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-120" yWindow="-120" windowWidth="29040" windowHeight="15840" activeTab="4"/>
  </bookViews>
  <sheets>
    <sheet name="节奏总纲" sheetId="4" r:id="rId1"/>
    <sheet name="信息索引" sheetId="6" r:id="rId2"/>
    <sheet name="消耗预期" sheetId="1" r:id="rId3"/>
    <sheet name="产出预期" sheetId="2" r:id="rId4"/>
    <sheet name="付费空间" sheetId="7" r:id="rId5"/>
    <sheet name="Sheet3" sheetId="3" r:id="rId6"/>
  </sheets>
  <functionGroups builtInGroupCount="18"/>
  <externalReferences>
    <externalReference r:id="rId7"/>
    <externalReference r:id="rId8"/>
    <externalReference r:id="rId9"/>
    <externalReference r:id="rId10"/>
  </externalReferences>
  <calcPr calcId="152511"/>
</workbook>
</file>

<file path=xl/calcChain.xml><?xml version="1.0" encoding="utf-8"?>
<calcChain xmlns="http://schemas.openxmlformats.org/spreadsheetml/2006/main">
  <c r="AN6" i="7" l="1"/>
  <c r="AN7" i="7"/>
  <c r="AN8" i="7"/>
  <c r="AN9" i="7"/>
  <c r="AN10" i="7"/>
  <c r="AN11" i="7"/>
  <c r="AN12" i="7"/>
  <c r="AN13" i="7"/>
  <c r="AN14" i="7"/>
  <c r="AN15" i="7"/>
  <c r="AN16" i="7"/>
  <c r="AN17" i="7"/>
  <c r="AN18" i="7"/>
  <c r="AN19" i="7"/>
  <c r="AN20" i="7"/>
  <c r="AN21" i="7"/>
  <c r="AN22" i="7"/>
  <c r="AN23" i="7"/>
  <c r="AN24" i="7"/>
  <c r="AN25" i="7"/>
  <c r="AN26" i="7"/>
  <c r="AN27" i="7"/>
  <c r="AN28" i="7"/>
  <c r="AN29" i="7"/>
  <c r="AN30" i="7"/>
  <c r="AN31" i="7"/>
  <c r="AN32" i="7"/>
  <c r="AN33" i="7"/>
  <c r="AN34" i="7"/>
  <c r="AN35" i="7"/>
  <c r="AN36" i="7"/>
  <c r="AN37" i="7"/>
  <c r="AN38" i="7"/>
  <c r="AN39" i="7"/>
  <c r="AN40" i="7"/>
  <c r="AN41" i="7"/>
  <c r="AN42" i="7"/>
  <c r="AN43" i="7"/>
  <c r="AN44" i="7"/>
  <c r="AN45" i="7"/>
  <c r="AN46" i="7"/>
  <c r="AN47" i="7"/>
  <c r="AN48" i="7"/>
  <c r="AN49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1" i="7"/>
  <c r="AN72" i="7"/>
  <c r="AN73" i="7"/>
  <c r="AN74" i="7"/>
  <c r="AN75" i="7"/>
  <c r="AN76" i="7"/>
  <c r="AN77" i="7"/>
  <c r="AN78" i="7"/>
  <c r="AN79" i="7"/>
  <c r="AN80" i="7"/>
  <c r="AN81" i="7"/>
  <c r="AN82" i="7"/>
  <c r="AN83" i="7"/>
  <c r="AN84" i="7"/>
  <c r="AN85" i="7"/>
  <c r="AN86" i="7"/>
  <c r="AN87" i="7"/>
  <c r="AN88" i="7"/>
  <c r="AN89" i="7"/>
  <c r="AN90" i="7"/>
  <c r="AN91" i="7"/>
  <c r="AN92" i="7"/>
  <c r="AN93" i="7"/>
  <c r="AN94" i="7"/>
  <c r="AN95" i="7"/>
  <c r="AN96" i="7"/>
  <c r="AN97" i="7"/>
  <c r="AN98" i="7"/>
  <c r="AN99" i="7"/>
  <c r="AN100" i="7"/>
  <c r="AN101" i="7"/>
  <c r="AN102" i="7"/>
  <c r="AN103" i="7"/>
  <c r="AN104" i="7"/>
  <c r="AN105" i="7"/>
  <c r="AN106" i="7"/>
  <c r="AN107" i="7"/>
  <c r="AN108" i="7"/>
  <c r="AN109" i="7"/>
  <c r="AN110" i="7"/>
  <c r="AN111" i="7"/>
  <c r="AN112" i="7"/>
  <c r="AN113" i="7"/>
  <c r="AN114" i="7"/>
  <c r="AN5" i="7"/>
  <c r="AM6" i="7"/>
  <c r="AM7" i="7"/>
  <c r="AM8" i="7"/>
  <c r="AM9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25" i="7"/>
  <c r="AP25" i="7" s="1"/>
  <c r="AM26" i="7"/>
  <c r="AM27" i="7"/>
  <c r="AM28" i="7"/>
  <c r="AM29" i="7"/>
  <c r="AM30" i="7"/>
  <c r="AM31" i="7"/>
  <c r="AM32" i="7"/>
  <c r="AM33" i="7"/>
  <c r="AM34" i="7"/>
  <c r="AM35" i="7"/>
  <c r="AM36" i="7"/>
  <c r="AM37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65" i="7"/>
  <c r="AM66" i="7"/>
  <c r="AM67" i="7"/>
  <c r="AM68" i="7"/>
  <c r="AM69" i="7"/>
  <c r="AM70" i="7"/>
  <c r="AM71" i="7"/>
  <c r="AP71" i="7" s="1"/>
  <c r="AM72" i="7"/>
  <c r="AM73" i="7"/>
  <c r="AM74" i="7"/>
  <c r="AM75" i="7"/>
  <c r="AM76" i="7"/>
  <c r="AM77" i="7"/>
  <c r="AM78" i="7"/>
  <c r="AM79" i="7"/>
  <c r="AM80" i="7"/>
  <c r="AM81" i="7"/>
  <c r="AM82" i="7"/>
  <c r="AM83" i="7"/>
  <c r="AM84" i="7"/>
  <c r="AM85" i="7"/>
  <c r="AM86" i="7"/>
  <c r="AM87" i="7"/>
  <c r="AM88" i="7"/>
  <c r="AM89" i="7"/>
  <c r="AM90" i="7"/>
  <c r="AM91" i="7"/>
  <c r="AM92" i="7"/>
  <c r="AM93" i="7"/>
  <c r="AM94" i="7"/>
  <c r="AM95" i="7"/>
  <c r="AM96" i="7"/>
  <c r="AM97" i="7"/>
  <c r="AP97" i="7" s="1"/>
  <c r="AM98" i="7"/>
  <c r="AM99" i="7"/>
  <c r="AM100" i="7"/>
  <c r="AM101" i="7"/>
  <c r="AM102" i="7"/>
  <c r="AM103" i="7"/>
  <c r="AM104" i="7"/>
  <c r="AM105" i="7"/>
  <c r="AM106" i="7"/>
  <c r="AM107" i="7"/>
  <c r="AM108" i="7"/>
  <c r="AM109" i="7"/>
  <c r="AM110" i="7"/>
  <c r="AM111" i="7"/>
  <c r="AM112" i="7"/>
  <c r="AM113" i="7"/>
  <c r="AM114" i="7"/>
  <c r="AM5" i="7"/>
  <c r="AL6" i="7"/>
  <c r="AL7" i="7"/>
  <c r="AL8" i="7"/>
  <c r="AL9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56" i="7"/>
  <c r="AL57" i="7"/>
  <c r="AL58" i="7"/>
  <c r="AL59" i="7"/>
  <c r="AL60" i="7"/>
  <c r="AL61" i="7"/>
  <c r="AL62" i="7"/>
  <c r="AL63" i="7"/>
  <c r="AL64" i="7"/>
  <c r="AL65" i="7"/>
  <c r="AL66" i="7"/>
  <c r="AL67" i="7"/>
  <c r="AL68" i="7"/>
  <c r="AL69" i="7"/>
  <c r="AL70" i="7"/>
  <c r="AL71" i="7"/>
  <c r="AL72" i="7"/>
  <c r="AL73" i="7"/>
  <c r="AL74" i="7"/>
  <c r="AL75" i="7"/>
  <c r="AL76" i="7"/>
  <c r="AL77" i="7"/>
  <c r="AL78" i="7"/>
  <c r="AL79" i="7"/>
  <c r="AL80" i="7"/>
  <c r="AL81" i="7"/>
  <c r="AL82" i="7"/>
  <c r="AL83" i="7"/>
  <c r="AL84" i="7"/>
  <c r="AL85" i="7"/>
  <c r="AL86" i="7"/>
  <c r="AL87" i="7"/>
  <c r="AL88" i="7"/>
  <c r="AL89" i="7"/>
  <c r="AL90" i="7"/>
  <c r="AL91" i="7"/>
  <c r="AL92" i="7"/>
  <c r="AL93" i="7"/>
  <c r="AL94" i="7"/>
  <c r="AL95" i="7"/>
  <c r="AL96" i="7"/>
  <c r="AL97" i="7"/>
  <c r="AL98" i="7"/>
  <c r="AL99" i="7"/>
  <c r="AL100" i="7"/>
  <c r="AL101" i="7"/>
  <c r="AL102" i="7"/>
  <c r="AL103" i="7"/>
  <c r="AL104" i="7"/>
  <c r="AL105" i="7"/>
  <c r="AL106" i="7"/>
  <c r="AL107" i="7"/>
  <c r="AL108" i="7"/>
  <c r="AL109" i="7"/>
  <c r="AL110" i="7"/>
  <c r="AL111" i="7"/>
  <c r="AL112" i="7"/>
  <c r="AL113" i="7"/>
  <c r="AL114" i="7"/>
  <c r="AL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K71" i="7"/>
  <c r="AK72" i="7"/>
  <c r="AK73" i="7"/>
  <c r="AK74" i="7"/>
  <c r="AK75" i="7"/>
  <c r="AK76" i="7"/>
  <c r="AK77" i="7"/>
  <c r="AK78" i="7"/>
  <c r="AK79" i="7"/>
  <c r="AK80" i="7"/>
  <c r="AK81" i="7"/>
  <c r="AP81" i="7" s="1"/>
  <c r="AK82" i="7"/>
  <c r="AK83" i="7"/>
  <c r="AK84" i="7"/>
  <c r="AK85" i="7"/>
  <c r="AK86" i="7"/>
  <c r="AK87" i="7"/>
  <c r="AK88" i="7"/>
  <c r="AK89" i="7"/>
  <c r="AK90" i="7"/>
  <c r="AK91" i="7"/>
  <c r="AK92" i="7"/>
  <c r="AK93" i="7"/>
  <c r="AK94" i="7"/>
  <c r="AK95" i="7"/>
  <c r="AK96" i="7"/>
  <c r="AK97" i="7"/>
  <c r="AK98" i="7"/>
  <c r="AK99" i="7"/>
  <c r="AP99" i="7" s="1"/>
  <c r="AK100" i="7"/>
  <c r="AK101" i="7"/>
  <c r="AK102" i="7"/>
  <c r="AK103" i="7"/>
  <c r="AK104" i="7"/>
  <c r="AK105" i="7"/>
  <c r="AK106" i="7"/>
  <c r="AK107" i="7"/>
  <c r="AK108" i="7"/>
  <c r="AK109" i="7"/>
  <c r="AK110" i="7"/>
  <c r="AK111" i="7"/>
  <c r="AK112" i="7"/>
  <c r="AK113" i="7"/>
  <c r="AK114" i="7"/>
  <c r="AK5" i="7"/>
  <c r="AJ6" i="7"/>
  <c r="AJ7" i="7"/>
  <c r="AP7" i="7" s="1"/>
  <c r="AJ8" i="7"/>
  <c r="AJ9" i="7"/>
  <c r="AJ10" i="7"/>
  <c r="AJ11" i="7"/>
  <c r="AJ12" i="7"/>
  <c r="AJ13" i="7"/>
  <c r="AJ14" i="7"/>
  <c r="AJ15" i="7"/>
  <c r="AP15" i="7" s="1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P55" i="7" s="1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J71" i="7"/>
  <c r="AJ72" i="7"/>
  <c r="AJ73" i="7"/>
  <c r="AJ74" i="7"/>
  <c r="AJ75" i="7"/>
  <c r="AJ76" i="7"/>
  <c r="AJ77" i="7"/>
  <c r="AJ78" i="7"/>
  <c r="AJ79" i="7"/>
  <c r="AJ80" i="7"/>
  <c r="AJ81" i="7"/>
  <c r="AJ82" i="7"/>
  <c r="AJ83" i="7"/>
  <c r="AJ84" i="7"/>
  <c r="AJ85" i="7"/>
  <c r="AJ86" i="7"/>
  <c r="AJ87" i="7"/>
  <c r="AJ88" i="7"/>
  <c r="AJ89" i="7"/>
  <c r="AJ90" i="7"/>
  <c r="AJ91" i="7"/>
  <c r="AJ92" i="7"/>
  <c r="AJ93" i="7"/>
  <c r="AJ94" i="7"/>
  <c r="AJ95" i="7"/>
  <c r="AJ96" i="7"/>
  <c r="AJ97" i="7"/>
  <c r="AJ98" i="7"/>
  <c r="AJ99" i="7"/>
  <c r="AJ100" i="7"/>
  <c r="AJ101" i="7"/>
  <c r="AJ102" i="7"/>
  <c r="AJ103" i="7"/>
  <c r="AJ104" i="7"/>
  <c r="AJ105" i="7"/>
  <c r="AP105" i="7" s="1"/>
  <c r="AJ106" i="7"/>
  <c r="AJ107" i="7"/>
  <c r="AJ108" i="7"/>
  <c r="AJ109" i="7"/>
  <c r="AJ110" i="7"/>
  <c r="AJ111" i="7"/>
  <c r="AJ112" i="7"/>
  <c r="AJ113" i="7"/>
  <c r="AP113" i="7" s="1"/>
  <c r="AJ114" i="7"/>
  <c r="AJ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P31" i="7" s="1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P47" i="7" s="1"/>
  <c r="AI48" i="7"/>
  <c r="AI49" i="7"/>
  <c r="AI50" i="7"/>
  <c r="AI51" i="7"/>
  <c r="AI52" i="7"/>
  <c r="AI53" i="7"/>
  <c r="AI54" i="7"/>
  <c r="AI55" i="7"/>
  <c r="AI56" i="7"/>
  <c r="AI57" i="7"/>
  <c r="AI58" i="7"/>
  <c r="AI59" i="7"/>
  <c r="AI60" i="7"/>
  <c r="AI61" i="7"/>
  <c r="AI62" i="7"/>
  <c r="AI63" i="7"/>
  <c r="AI64" i="7"/>
  <c r="AI65" i="7"/>
  <c r="AI66" i="7"/>
  <c r="AI67" i="7"/>
  <c r="AI68" i="7"/>
  <c r="AI69" i="7"/>
  <c r="AI70" i="7"/>
  <c r="AI71" i="7"/>
  <c r="AI72" i="7"/>
  <c r="AI73" i="7"/>
  <c r="AI74" i="7"/>
  <c r="AI75" i="7"/>
  <c r="AI76" i="7"/>
  <c r="AI77" i="7"/>
  <c r="AI78" i="7"/>
  <c r="AI79" i="7"/>
  <c r="AI80" i="7"/>
  <c r="AI81" i="7"/>
  <c r="AI82" i="7"/>
  <c r="AI83" i="7"/>
  <c r="AI84" i="7"/>
  <c r="AI85" i="7"/>
  <c r="AI86" i="7"/>
  <c r="AI87" i="7"/>
  <c r="AI88" i="7"/>
  <c r="AI89" i="7"/>
  <c r="AI90" i="7"/>
  <c r="AI91" i="7"/>
  <c r="AI92" i="7"/>
  <c r="AI93" i="7"/>
  <c r="AI94" i="7"/>
  <c r="AI95" i="7"/>
  <c r="AI96" i="7"/>
  <c r="AI97" i="7"/>
  <c r="AI98" i="7"/>
  <c r="AI99" i="7"/>
  <c r="AI100" i="7"/>
  <c r="AI101" i="7"/>
  <c r="AI102" i="7"/>
  <c r="AI103" i="7"/>
  <c r="AP103" i="7" s="1"/>
  <c r="AI104" i="7"/>
  <c r="AI105" i="7"/>
  <c r="AI106" i="7"/>
  <c r="AI107" i="7"/>
  <c r="AI108" i="7"/>
  <c r="AP108" i="7" s="1"/>
  <c r="AI109" i="7"/>
  <c r="AI110" i="7"/>
  <c r="AI111" i="7"/>
  <c r="AI112" i="7"/>
  <c r="AI113" i="7"/>
  <c r="AI114" i="7"/>
  <c r="AI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P18" i="7" s="1"/>
  <c r="AH19" i="7"/>
  <c r="AH20" i="7"/>
  <c r="AH21" i="7"/>
  <c r="AH22" i="7"/>
  <c r="AH23" i="7"/>
  <c r="AH24" i="7"/>
  <c r="AH25" i="7"/>
  <c r="AH26" i="7"/>
  <c r="AH27" i="7"/>
  <c r="AH28" i="7"/>
  <c r="AH29" i="7"/>
  <c r="AH30" i="7"/>
  <c r="AH31" i="7"/>
  <c r="AH32" i="7"/>
  <c r="AH33" i="7"/>
  <c r="AH34" i="7"/>
  <c r="AP34" i="7" s="1"/>
  <c r="AH35" i="7"/>
  <c r="AH36" i="7"/>
  <c r="AH37" i="7"/>
  <c r="AH38" i="7"/>
  <c r="AH39" i="7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H76" i="7"/>
  <c r="AH77" i="7"/>
  <c r="AH78" i="7"/>
  <c r="AH79" i="7"/>
  <c r="AH80" i="7"/>
  <c r="AH81" i="7"/>
  <c r="AH82" i="7"/>
  <c r="AH83" i="7"/>
  <c r="AH84" i="7"/>
  <c r="AH85" i="7"/>
  <c r="AH86" i="7"/>
  <c r="AH87" i="7"/>
  <c r="AH88" i="7"/>
  <c r="AH89" i="7"/>
  <c r="AH90" i="7"/>
  <c r="AH91" i="7"/>
  <c r="AH92" i="7"/>
  <c r="AH93" i="7"/>
  <c r="AH94" i="7"/>
  <c r="AH95" i="7"/>
  <c r="AH96" i="7"/>
  <c r="AH97" i="7"/>
  <c r="AH98" i="7"/>
  <c r="AH99" i="7"/>
  <c r="AH100" i="7"/>
  <c r="AH101" i="7"/>
  <c r="AH102" i="7"/>
  <c r="AH103" i="7"/>
  <c r="AH104" i="7"/>
  <c r="AH105" i="7"/>
  <c r="AH106" i="7"/>
  <c r="AH107" i="7"/>
  <c r="AH108" i="7"/>
  <c r="AH109" i="7"/>
  <c r="AH110" i="7"/>
  <c r="AH111" i="7"/>
  <c r="AH112" i="7"/>
  <c r="AH113" i="7"/>
  <c r="AH114" i="7"/>
  <c r="AP114" i="7" s="1"/>
  <c r="AH5" i="7"/>
  <c r="AP64" i="7"/>
  <c r="AP65" i="7"/>
  <c r="AP87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AG87" i="7"/>
  <c r="AG88" i="7"/>
  <c r="AG89" i="7"/>
  <c r="AG90" i="7"/>
  <c r="AG91" i="7"/>
  <c r="AG92" i="7"/>
  <c r="AG93" i="7"/>
  <c r="AG94" i="7"/>
  <c r="AG95" i="7"/>
  <c r="AG96" i="7"/>
  <c r="AG97" i="7"/>
  <c r="AG98" i="7"/>
  <c r="AG99" i="7"/>
  <c r="AG100" i="7"/>
  <c r="AG101" i="7"/>
  <c r="AG102" i="7"/>
  <c r="AG103" i="7"/>
  <c r="AG104" i="7"/>
  <c r="AG105" i="7"/>
  <c r="AG106" i="7"/>
  <c r="AG107" i="7"/>
  <c r="AG108" i="7"/>
  <c r="AG109" i="7"/>
  <c r="AG110" i="7"/>
  <c r="AG111" i="7"/>
  <c r="AG112" i="7"/>
  <c r="AG113" i="7"/>
  <c r="AG114" i="7"/>
  <c r="AG5" i="7"/>
  <c r="AF6" i="7"/>
  <c r="AF7" i="7"/>
  <c r="AF8" i="7"/>
  <c r="AF9" i="7"/>
  <c r="AF10" i="7"/>
  <c r="AF11" i="7"/>
  <c r="AF12" i="7"/>
  <c r="AF13" i="7"/>
  <c r="AF14" i="7"/>
  <c r="AP14" i="7" s="1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38" i="7"/>
  <c r="AF39" i="7"/>
  <c r="AF40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F53" i="7"/>
  <c r="AF54" i="7"/>
  <c r="AF55" i="7"/>
  <c r="AF56" i="7"/>
  <c r="AF57" i="7"/>
  <c r="AF58" i="7"/>
  <c r="AF59" i="7"/>
  <c r="AF60" i="7"/>
  <c r="AF61" i="7"/>
  <c r="AF62" i="7"/>
  <c r="AF63" i="7"/>
  <c r="AF64" i="7"/>
  <c r="AF65" i="7"/>
  <c r="AF66" i="7"/>
  <c r="AF67" i="7"/>
  <c r="AF68" i="7"/>
  <c r="AF69" i="7"/>
  <c r="AF70" i="7"/>
  <c r="AF71" i="7"/>
  <c r="AF72" i="7"/>
  <c r="AF73" i="7"/>
  <c r="AF74" i="7"/>
  <c r="AF75" i="7"/>
  <c r="AF76" i="7"/>
  <c r="AF77" i="7"/>
  <c r="AF78" i="7"/>
  <c r="AF79" i="7"/>
  <c r="AF80" i="7"/>
  <c r="AF81" i="7"/>
  <c r="AF82" i="7"/>
  <c r="AF83" i="7"/>
  <c r="AF84" i="7"/>
  <c r="AF85" i="7"/>
  <c r="AF86" i="7"/>
  <c r="AF87" i="7"/>
  <c r="AF88" i="7"/>
  <c r="AF89" i="7"/>
  <c r="AF90" i="7"/>
  <c r="AF91" i="7"/>
  <c r="AF92" i="7"/>
  <c r="AF93" i="7"/>
  <c r="AF94" i="7"/>
  <c r="AF95" i="7"/>
  <c r="AF96" i="7"/>
  <c r="AF97" i="7"/>
  <c r="AF98" i="7"/>
  <c r="AF99" i="7"/>
  <c r="AF100" i="7"/>
  <c r="AF101" i="7"/>
  <c r="AF102" i="7"/>
  <c r="AF103" i="7"/>
  <c r="AF104" i="7"/>
  <c r="AF105" i="7"/>
  <c r="AF106" i="7"/>
  <c r="AF107" i="7"/>
  <c r="AF108" i="7"/>
  <c r="AF109" i="7"/>
  <c r="AF110" i="7"/>
  <c r="AF111" i="7"/>
  <c r="AF112" i="7"/>
  <c r="AF113" i="7"/>
  <c r="AF114" i="7"/>
  <c r="AF5" i="7"/>
  <c r="AO114" i="7"/>
  <c r="AO113" i="7"/>
  <c r="AO112" i="7"/>
  <c r="AO111" i="7"/>
  <c r="AO110" i="7"/>
  <c r="AO109" i="7"/>
  <c r="AO108" i="7"/>
  <c r="AO107" i="7"/>
  <c r="AP107" i="7"/>
  <c r="AO106" i="7"/>
  <c r="AO105" i="7"/>
  <c r="AO104" i="7"/>
  <c r="AO103" i="7"/>
  <c r="AO102" i="7"/>
  <c r="AO101" i="7"/>
  <c r="AO100" i="7"/>
  <c r="AO99" i="7"/>
  <c r="AO98" i="7"/>
  <c r="AO97" i="7"/>
  <c r="AO96" i="7"/>
  <c r="AO95" i="7"/>
  <c r="AO94" i="7"/>
  <c r="AO93" i="7"/>
  <c r="AO92" i="7"/>
  <c r="AO91" i="7"/>
  <c r="AP91" i="7"/>
  <c r="AO90" i="7"/>
  <c r="AO89" i="7"/>
  <c r="AO88" i="7"/>
  <c r="AO87" i="7"/>
  <c r="AO86" i="7"/>
  <c r="AO85" i="7"/>
  <c r="AO84" i="7"/>
  <c r="AO83" i="7"/>
  <c r="AP83" i="7"/>
  <c r="AO82" i="7"/>
  <c r="AO81" i="7"/>
  <c r="AO80" i="7"/>
  <c r="AO79" i="7"/>
  <c r="AO78" i="7"/>
  <c r="AO77" i="7"/>
  <c r="AO76" i="7"/>
  <c r="AO75" i="7"/>
  <c r="AP75" i="7"/>
  <c r="AO74" i="7"/>
  <c r="AO73" i="7"/>
  <c r="AO72" i="7"/>
  <c r="AO71" i="7"/>
  <c r="AO70" i="7"/>
  <c r="AO69" i="7"/>
  <c r="AO68" i="7"/>
  <c r="AO67" i="7"/>
  <c r="AP67" i="7"/>
  <c r="AO66" i="7"/>
  <c r="AO65" i="7"/>
  <c r="AO64" i="7"/>
  <c r="AO63" i="7"/>
  <c r="AO62" i="7"/>
  <c r="AO61" i="7"/>
  <c r="AO60" i="7"/>
  <c r="AO59" i="7"/>
  <c r="AP59" i="7"/>
  <c r="AO58" i="7"/>
  <c r="AO57" i="7"/>
  <c r="AP57" i="7"/>
  <c r="AO56" i="7"/>
  <c r="AO55" i="7"/>
  <c r="AO54" i="7"/>
  <c r="AO53" i="7"/>
  <c r="AO52" i="7"/>
  <c r="AP52" i="7"/>
  <c r="AO51" i="7"/>
  <c r="AP51" i="7"/>
  <c r="AO50" i="7"/>
  <c r="AO49" i="7"/>
  <c r="AP49" i="7"/>
  <c r="AO48" i="7"/>
  <c r="AO47" i="7"/>
  <c r="AO46" i="7"/>
  <c r="AP46" i="7"/>
  <c r="AO45" i="7"/>
  <c r="AO44" i="7"/>
  <c r="AO43" i="7"/>
  <c r="AP43" i="7"/>
  <c r="AO42" i="7"/>
  <c r="AO41" i="7"/>
  <c r="AO40" i="7"/>
  <c r="AO39" i="7"/>
  <c r="AO38" i="7"/>
  <c r="AO37" i="7"/>
  <c r="AO36" i="7"/>
  <c r="AO35" i="7"/>
  <c r="AP35" i="7"/>
  <c r="AO34" i="7"/>
  <c r="AO33" i="7"/>
  <c r="AP33" i="7"/>
  <c r="AO32" i="7"/>
  <c r="AO31" i="7"/>
  <c r="AO30" i="7"/>
  <c r="AO29" i="7"/>
  <c r="AO28" i="7"/>
  <c r="AO27" i="7"/>
  <c r="AP27" i="7"/>
  <c r="AO26" i="7"/>
  <c r="AO25" i="7"/>
  <c r="AO24" i="7"/>
  <c r="AO23" i="7"/>
  <c r="AO22" i="7"/>
  <c r="AP22" i="7"/>
  <c r="AO21" i="7"/>
  <c r="AO20" i="7"/>
  <c r="AO19" i="7"/>
  <c r="AP19" i="7"/>
  <c r="AO18" i="7"/>
  <c r="AO17" i="7"/>
  <c r="AP17" i="7"/>
  <c r="AO16" i="7"/>
  <c r="AO15" i="7"/>
  <c r="AO14" i="7"/>
  <c r="AO13" i="7"/>
  <c r="AO12" i="7"/>
  <c r="AP11" i="7"/>
  <c r="AO11" i="7"/>
  <c r="AO10" i="7"/>
  <c r="AO9" i="7"/>
  <c r="AO8" i="7"/>
  <c r="AO7" i="7"/>
  <c r="AO6" i="7"/>
  <c r="AP6" i="7"/>
  <c r="AO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09" i="7"/>
  <c r="AB110" i="7"/>
  <c r="AB111" i="7"/>
  <c r="AB112" i="7"/>
  <c r="AB113" i="7"/>
  <c r="AB114" i="7"/>
  <c r="AB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5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6" i="7"/>
  <c r="W7" i="7"/>
  <c r="W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5" i="7"/>
  <c r="H6" i="7"/>
  <c r="H7" i="7"/>
  <c r="H8" i="7"/>
  <c r="H9" i="7"/>
  <c r="H10" i="7"/>
  <c r="H11" i="7"/>
  <c r="N11" i="7" s="1"/>
  <c r="H12" i="7"/>
  <c r="H13" i="7"/>
  <c r="H14" i="7"/>
  <c r="N14" i="7" s="1"/>
  <c r="H15" i="7"/>
  <c r="H16" i="7"/>
  <c r="H17" i="7"/>
  <c r="H18" i="7"/>
  <c r="H19" i="7"/>
  <c r="N19" i="7" s="1"/>
  <c r="H20" i="7"/>
  <c r="H21" i="7"/>
  <c r="H22" i="7"/>
  <c r="H23" i="7"/>
  <c r="H24" i="7"/>
  <c r="H25" i="7"/>
  <c r="H26" i="7"/>
  <c r="H27" i="7"/>
  <c r="N27" i="7" s="1"/>
  <c r="H28" i="7"/>
  <c r="H29" i="7"/>
  <c r="H30" i="7"/>
  <c r="H31" i="7"/>
  <c r="H32" i="7"/>
  <c r="H33" i="7"/>
  <c r="N33" i="7" s="1"/>
  <c r="H34" i="7"/>
  <c r="H35" i="7"/>
  <c r="N35" i="7" s="1"/>
  <c r="H36" i="7"/>
  <c r="H37" i="7"/>
  <c r="H38" i="7"/>
  <c r="H39" i="7"/>
  <c r="H40" i="7"/>
  <c r="H41" i="7"/>
  <c r="H42" i="7"/>
  <c r="H43" i="7"/>
  <c r="N43" i="7" s="1"/>
  <c r="H44" i="7"/>
  <c r="H45" i="7"/>
  <c r="H46" i="7"/>
  <c r="N46" i="7" s="1"/>
  <c r="H47" i="7"/>
  <c r="H48" i="7"/>
  <c r="H49" i="7"/>
  <c r="H50" i="7"/>
  <c r="H51" i="7"/>
  <c r="N51" i="7" s="1"/>
  <c r="H52" i="7"/>
  <c r="H53" i="7"/>
  <c r="H54" i="7"/>
  <c r="H55" i="7"/>
  <c r="H56" i="7"/>
  <c r="H57" i="7"/>
  <c r="H58" i="7"/>
  <c r="H59" i="7"/>
  <c r="N59" i="7" s="1"/>
  <c r="H60" i="7"/>
  <c r="H61" i="7"/>
  <c r="H62" i="7"/>
  <c r="H63" i="7"/>
  <c r="H64" i="7"/>
  <c r="H65" i="7"/>
  <c r="N65" i="7" s="1"/>
  <c r="H66" i="7"/>
  <c r="H67" i="7"/>
  <c r="N67" i="7" s="1"/>
  <c r="H68" i="7"/>
  <c r="H69" i="7"/>
  <c r="H70" i="7"/>
  <c r="H71" i="7"/>
  <c r="H72" i="7"/>
  <c r="H73" i="7"/>
  <c r="H74" i="7"/>
  <c r="H75" i="7"/>
  <c r="N75" i="7" s="1"/>
  <c r="H76" i="7"/>
  <c r="H77" i="7"/>
  <c r="H78" i="7"/>
  <c r="N78" i="7" s="1"/>
  <c r="H79" i="7"/>
  <c r="H80" i="7"/>
  <c r="H81" i="7"/>
  <c r="H82" i="7"/>
  <c r="H83" i="7"/>
  <c r="N83" i="7" s="1"/>
  <c r="H84" i="7"/>
  <c r="H85" i="7"/>
  <c r="H86" i="7"/>
  <c r="H87" i="7"/>
  <c r="H88" i="7"/>
  <c r="H89" i="7"/>
  <c r="N89" i="7" s="1"/>
  <c r="H90" i="7"/>
  <c r="H91" i="7"/>
  <c r="N91" i="7" s="1"/>
  <c r="H92" i="7"/>
  <c r="H93" i="7"/>
  <c r="H94" i="7"/>
  <c r="H95" i="7"/>
  <c r="H96" i="7"/>
  <c r="H97" i="7"/>
  <c r="H98" i="7"/>
  <c r="H99" i="7"/>
  <c r="N99" i="7" s="1"/>
  <c r="H100" i="7"/>
  <c r="H101" i="7"/>
  <c r="H102" i="7"/>
  <c r="H103" i="7"/>
  <c r="H104" i="7"/>
  <c r="H105" i="7"/>
  <c r="H106" i="7"/>
  <c r="N106" i="7" s="1"/>
  <c r="H107" i="7"/>
  <c r="H108" i="7"/>
  <c r="H109" i="7"/>
  <c r="N109" i="7" s="1"/>
  <c r="H110" i="7"/>
  <c r="N110" i="7" s="1"/>
  <c r="H111" i="7"/>
  <c r="H112" i="7"/>
  <c r="H113" i="7"/>
  <c r="H114" i="7"/>
  <c r="N114" i="7" s="1"/>
  <c r="H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5" i="7"/>
  <c r="L6" i="7"/>
  <c r="L7" i="7"/>
  <c r="L8" i="7"/>
  <c r="L9" i="7"/>
  <c r="L10" i="7"/>
  <c r="L11" i="7"/>
  <c r="L12" i="7"/>
  <c r="L13" i="7"/>
  <c r="N13" i="7" s="1"/>
  <c r="L14" i="7"/>
  <c r="L15" i="7"/>
  <c r="L16" i="7"/>
  <c r="L17" i="7"/>
  <c r="L18" i="7"/>
  <c r="L19" i="7"/>
  <c r="L20" i="7"/>
  <c r="L21" i="7"/>
  <c r="N21" i="7" s="1"/>
  <c r="L22" i="7"/>
  <c r="L23" i="7"/>
  <c r="L24" i="7"/>
  <c r="L25" i="7"/>
  <c r="L26" i="7"/>
  <c r="L27" i="7"/>
  <c r="L28" i="7"/>
  <c r="L29" i="7"/>
  <c r="N29" i="7" s="1"/>
  <c r="L30" i="7"/>
  <c r="L31" i="7"/>
  <c r="L32" i="7"/>
  <c r="L33" i="7"/>
  <c r="L34" i="7"/>
  <c r="L35" i="7"/>
  <c r="L36" i="7"/>
  <c r="L37" i="7"/>
  <c r="N37" i="7" s="1"/>
  <c r="L38" i="7"/>
  <c r="L39" i="7"/>
  <c r="L40" i="7"/>
  <c r="L41" i="7"/>
  <c r="L42" i="7"/>
  <c r="L43" i="7"/>
  <c r="L44" i="7"/>
  <c r="L45" i="7"/>
  <c r="N45" i="7" s="1"/>
  <c r="L46" i="7"/>
  <c r="L47" i="7"/>
  <c r="L48" i="7"/>
  <c r="L49" i="7"/>
  <c r="L50" i="7"/>
  <c r="L51" i="7"/>
  <c r="L52" i="7"/>
  <c r="L53" i="7"/>
  <c r="N53" i="7" s="1"/>
  <c r="L54" i="7"/>
  <c r="L55" i="7"/>
  <c r="L56" i="7"/>
  <c r="L57" i="7"/>
  <c r="L58" i="7"/>
  <c r="L59" i="7"/>
  <c r="L60" i="7"/>
  <c r="L61" i="7"/>
  <c r="N61" i="7" s="1"/>
  <c r="L62" i="7"/>
  <c r="L63" i="7"/>
  <c r="L64" i="7"/>
  <c r="L65" i="7"/>
  <c r="L66" i="7"/>
  <c r="L67" i="7"/>
  <c r="L68" i="7"/>
  <c r="L69" i="7"/>
  <c r="N69" i="7" s="1"/>
  <c r="L70" i="7"/>
  <c r="L71" i="7"/>
  <c r="L72" i="7"/>
  <c r="L73" i="7"/>
  <c r="L74" i="7"/>
  <c r="L75" i="7"/>
  <c r="L76" i="7"/>
  <c r="L77" i="7"/>
  <c r="N77" i="7" s="1"/>
  <c r="L78" i="7"/>
  <c r="L79" i="7"/>
  <c r="L80" i="7"/>
  <c r="L81" i="7"/>
  <c r="L82" i="7"/>
  <c r="L83" i="7"/>
  <c r="L84" i="7"/>
  <c r="L85" i="7"/>
  <c r="N85" i="7" s="1"/>
  <c r="L86" i="7"/>
  <c r="L87" i="7"/>
  <c r="N87" i="7" s="1"/>
  <c r="L88" i="7"/>
  <c r="L89" i="7"/>
  <c r="L90" i="7"/>
  <c r="L91" i="7"/>
  <c r="L92" i="7"/>
  <c r="L93" i="7"/>
  <c r="N93" i="7" s="1"/>
  <c r="L94" i="7"/>
  <c r="L95" i="7"/>
  <c r="L96" i="7"/>
  <c r="L97" i="7"/>
  <c r="L98" i="7"/>
  <c r="L99" i="7"/>
  <c r="L100" i="7"/>
  <c r="L101" i="7"/>
  <c r="N101" i="7" s="1"/>
  <c r="L102" i="7"/>
  <c r="L103" i="7"/>
  <c r="N103" i="7" s="1"/>
  <c r="L104" i="7"/>
  <c r="L105" i="7"/>
  <c r="L106" i="7"/>
  <c r="L107" i="7"/>
  <c r="L108" i="7"/>
  <c r="L109" i="7"/>
  <c r="L110" i="7"/>
  <c r="L111" i="7"/>
  <c r="L112" i="7"/>
  <c r="L113" i="7"/>
  <c r="L114" i="7"/>
  <c r="L5" i="7"/>
  <c r="N6" i="7"/>
  <c r="N7" i="7"/>
  <c r="N8" i="7"/>
  <c r="N9" i="7"/>
  <c r="N12" i="7"/>
  <c r="N15" i="7"/>
  <c r="N16" i="7"/>
  <c r="N17" i="7"/>
  <c r="N20" i="7"/>
  <c r="N22" i="7"/>
  <c r="N23" i="7"/>
  <c r="N24" i="7"/>
  <c r="N25" i="7"/>
  <c r="N28" i="7"/>
  <c r="N30" i="7"/>
  <c r="N31" i="7"/>
  <c r="N32" i="7"/>
  <c r="N36" i="7"/>
  <c r="N38" i="7"/>
  <c r="N39" i="7"/>
  <c r="N40" i="7"/>
  <c r="N41" i="7"/>
  <c r="N44" i="7"/>
  <c r="N47" i="7"/>
  <c r="N48" i="7"/>
  <c r="N49" i="7"/>
  <c r="N52" i="7"/>
  <c r="N54" i="7"/>
  <c r="N55" i="7"/>
  <c r="N56" i="7"/>
  <c r="N57" i="7"/>
  <c r="N60" i="7"/>
  <c r="N62" i="7"/>
  <c r="N63" i="7"/>
  <c r="N64" i="7"/>
  <c r="N68" i="7"/>
  <c r="N70" i="7"/>
  <c r="N71" i="7"/>
  <c r="N72" i="7"/>
  <c r="N73" i="7"/>
  <c r="N76" i="7"/>
  <c r="N79" i="7"/>
  <c r="N80" i="7"/>
  <c r="N81" i="7"/>
  <c r="N84" i="7"/>
  <c r="N86" i="7"/>
  <c r="N88" i="7"/>
  <c r="N92" i="7"/>
  <c r="N94" i="7"/>
  <c r="N95" i="7"/>
  <c r="N96" i="7"/>
  <c r="N97" i="7"/>
  <c r="N100" i="7"/>
  <c r="N102" i="7"/>
  <c r="N104" i="7"/>
  <c r="N105" i="7"/>
  <c r="N107" i="7"/>
  <c r="N108" i="7"/>
  <c r="N111" i="7"/>
  <c r="N112" i="7"/>
  <c r="N113" i="7"/>
  <c r="N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5" i="7"/>
  <c r="AP76" i="7" l="1"/>
  <c r="AP60" i="7"/>
  <c r="AP36" i="7"/>
  <c r="AP12" i="7"/>
  <c r="AP92" i="7"/>
  <c r="AP20" i="7"/>
  <c r="AP40" i="7"/>
  <c r="AP89" i="7"/>
  <c r="AP73" i="7"/>
  <c r="AP41" i="7"/>
  <c r="AP9" i="7"/>
  <c r="AP94" i="7"/>
  <c r="AP78" i="7"/>
  <c r="AP62" i="7"/>
  <c r="AP30" i="7"/>
  <c r="AP5" i="7"/>
  <c r="AP106" i="7"/>
  <c r="AP98" i="7"/>
  <c r="AP90" i="7"/>
  <c r="AP82" i="7"/>
  <c r="AP74" i="7"/>
  <c r="AP66" i="7"/>
  <c r="AP58" i="7"/>
  <c r="AP50" i="7"/>
  <c r="AP42" i="7"/>
  <c r="AP26" i="7"/>
  <c r="AP10" i="7"/>
  <c r="AP111" i="7"/>
  <c r="AP95" i="7"/>
  <c r="AP79" i="7"/>
  <c r="AP63" i="7"/>
  <c r="AP23" i="7"/>
  <c r="AP61" i="7"/>
  <c r="AP37" i="7"/>
  <c r="AP21" i="7"/>
  <c r="AP110" i="7"/>
  <c r="AP102" i="7"/>
  <c r="AP86" i="7"/>
  <c r="AP70" i="7"/>
  <c r="AP54" i="7"/>
  <c r="AP38" i="7"/>
  <c r="AP16" i="7"/>
  <c r="AP112" i="7"/>
  <c r="AP53" i="7"/>
  <c r="AP45" i="7"/>
  <c r="AP29" i="7"/>
  <c r="AP13" i="7"/>
  <c r="AP56" i="7"/>
  <c r="AP96" i="7"/>
  <c r="AP24" i="7"/>
  <c r="AP80" i="7"/>
  <c r="AP72" i="7"/>
  <c r="AP88" i="7"/>
  <c r="AP104" i="7"/>
  <c r="AP109" i="7"/>
  <c r="AP8" i="7"/>
  <c r="AP32" i="7"/>
  <c r="AP28" i="7"/>
  <c r="AP48" i="7"/>
  <c r="AP68" i="7"/>
  <c r="AP69" i="7"/>
  <c r="AP84" i="7"/>
  <c r="AP85" i="7"/>
  <c r="AP100" i="7"/>
  <c r="AP39" i="7"/>
  <c r="AP44" i="7"/>
  <c r="AP101" i="7"/>
  <c r="AP77" i="7"/>
  <c r="AP93" i="7"/>
  <c r="N98" i="7"/>
  <c r="N90" i="7"/>
  <c r="N82" i="7"/>
  <c r="N74" i="7"/>
  <c r="N66" i="7"/>
  <c r="N58" i="7"/>
  <c r="N50" i="7"/>
  <c r="N42" i="7"/>
  <c r="N34" i="7"/>
  <c r="N26" i="7"/>
  <c r="N18" i="7"/>
  <c r="N10" i="7"/>
  <c r="K6" i="7" l="1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5" i="7"/>
  <c r="I105" i="7"/>
  <c r="I106" i="7"/>
  <c r="I107" i="7"/>
  <c r="I108" i="7"/>
  <c r="I109" i="7"/>
  <c r="I110" i="7"/>
  <c r="I111" i="7"/>
  <c r="I112" i="7"/>
  <c r="I113" i="7"/>
  <c r="I114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5" i="7"/>
  <c r="E105" i="7"/>
  <c r="E106" i="7"/>
  <c r="E107" i="7"/>
  <c r="E108" i="7"/>
  <c r="E109" i="7"/>
  <c r="E110" i="7"/>
  <c r="E111" i="7"/>
  <c r="E112" i="7"/>
  <c r="E113" i="7"/>
  <c r="E114" i="7"/>
  <c r="D105" i="7"/>
  <c r="D106" i="7"/>
  <c r="D107" i="7"/>
  <c r="D108" i="7"/>
  <c r="D109" i="7"/>
  <c r="D110" i="7"/>
  <c r="D111" i="7"/>
  <c r="D112" i="7"/>
  <c r="D113" i="7"/>
  <c r="D114" i="7"/>
  <c r="I7" i="7" l="1"/>
  <c r="I11" i="7"/>
  <c r="I5" i="7"/>
  <c r="I8" i="7"/>
  <c r="I13" i="7"/>
  <c r="I6" i="7"/>
  <c r="I10" i="7"/>
  <c r="I9" i="7"/>
  <c r="I12" i="7"/>
  <c r="I29" i="7"/>
  <c r="I33" i="7"/>
  <c r="I28" i="7"/>
  <c r="I31" i="7"/>
  <c r="I19" i="7"/>
  <c r="I25" i="7"/>
  <c r="I14" i="7"/>
  <c r="I32" i="7"/>
  <c r="I16" i="7"/>
  <c r="I30" i="7"/>
  <c r="I18" i="7"/>
  <c r="I27" i="7"/>
  <c r="I15" i="7"/>
  <c r="I26" i="7"/>
  <c r="I22" i="7"/>
  <c r="I23" i="7"/>
  <c r="I17" i="7"/>
  <c r="I24" i="7"/>
  <c r="I20" i="7"/>
  <c r="I21" i="7"/>
  <c r="I61" i="7"/>
  <c r="I57" i="7"/>
  <c r="I64" i="7"/>
  <c r="I54" i="7"/>
  <c r="I55" i="7"/>
  <c r="I56" i="7"/>
  <c r="I65" i="7"/>
  <c r="I68" i="7"/>
  <c r="I63" i="7"/>
  <c r="I66" i="7"/>
  <c r="I58" i="7"/>
  <c r="I60" i="7"/>
  <c r="I59" i="7"/>
  <c r="I69" i="7"/>
  <c r="I67" i="7"/>
  <c r="I62" i="7"/>
  <c r="I50" i="7"/>
  <c r="I45" i="7"/>
  <c r="I47" i="7"/>
  <c r="I53" i="7"/>
  <c r="I46" i="7"/>
  <c r="I49" i="7"/>
  <c r="I48" i="7"/>
  <c r="I51" i="7"/>
  <c r="I44" i="7"/>
  <c r="I52" i="7"/>
  <c r="I38" i="7"/>
  <c r="I43" i="7"/>
  <c r="I34" i="7"/>
  <c r="I41" i="7"/>
  <c r="I40" i="7"/>
  <c r="I37" i="7"/>
  <c r="I36" i="7"/>
  <c r="I35" i="7"/>
  <c r="I39" i="7"/>
  <c r="I42" i="7"/>
  <c r="I84" i="7"/>
  <c r="I83" i="7"/>
  <c r="I85" i="7"/>
  <c r="I81" i="7"/>
  <c r="I88" i="7"/>
  <c r="I86" i="7"/>
  <c r="I80" i="7"/>
  <c r="I79" i="7"/>
  <c r="I87" i="7"/>
  <c r="I82" i="7"/>
  <c r="I74" i="7"/>
  <c r="I73" i="7"/>
  <c r="I76" i="7"/>
  <c r="I77" i="7"/>
  <c r="I75" i="7"/>
  <c r="I70" i="7"/>
  <c r="I71" i="7"/>
  <c r="I78" i="7"/>
  <c r="I72" i="7"/>
  <c r="E8" i="7" l="1"/>
  <c r="E9" i="7"/>
  <c r="E6" i="7"/>
  <c r="E5" i="7"/>
  <c r="E7" i="7"/>
  <c r="I89" i="7"/>
  <c r="E10" i="7" l="1"/>
  <c r="I90" i="7"/>
  <c r="E11" i="7" l="1"/>
  <c r="I91" i="7"/>
  <c r="E12" i="7" l="1"/>
  <c r="I92" i="7"/>
  <c r="E13" i="7" l="1"/>
  <c r="E14" i="7"/>
  <c r="I93" i="7"/>
  <c r="I94" i="7" l="1"/>
  <c r="E16" i="7" l="1"/>
  <c r="E15" i="7"/>
  <c r="I95" i="7"/>
  <c r="E17" i="7" l="1"/>
  <c r="I96" i="7"/>
  <c r="E18" i="7" l="1"/>
  <c r="I97" i="7"/>
  <c r="E19" i="7" l="1"/>
  <c r="I98" i="7"/>
  <c r="E20" i="7" l="1"/>
  <c r="I99" i="7"/>
  <c r="E21" i="7" l="1"/>
  <c r="I100" i="7"/>
  <c r="E22" i="7" l="1"/>
  <c r="I101" i="7"/>
  <c r="E23" i="7" l="1"/>
  <c r="I102" i="7"/>
  <c r="E24" i="7" l="1"/>
  <c r="I103" i="7"/>
  <c r="E25" i="7" l="1"/>
  <c r="I104" i="7"/>
  <c r="E26" i="7" l="1"/>
  <c r="E27" i="7" l="1"/>
  <c r="E28" i="7" l="1"/>
  <c r="E29" i="7" l="1"/>
  <c r="E30" i="7" l="1"/>
  <c r="E31" i="7" l="1"/>
  <c r="E32" i="7" l="1"/>
  <c r="E33" i="7" l="1"/>
  <c r="E34" i="7" l="1"/>
  <c r="E35" i="7" l="1"/>
  <c r="E36" i="7" l="1"/>
  <c r="E37" i="7" l="1"/>
  <c r="E38" i="7" l="1"/>
  <c r="E39" i="7" l="1"/>
  <c r="E40" i="7" l="1"/>
  <c r="E41" i="7" l="1"/>
  <c r="E42" i="7" l="1"/>
  <c r="E43" i="7" l="1"/>
  <c r="E44" i="7" l="1"/>
  <c r="E45" i="7" l="1"/>
  <c r="E46" i="7" l="1"/>
  <c r="E47" i="7" l="1"/>
  <c r="E48" i="7" l="1"/>
  <c r="E49" i="7" l="1"/>
  <c r="E50" i="7" l="1"/>
  <c r="E51" i="7" l="1"/>
  <c r="E52" i="7" l="1"/>
  <c r="E53" i="7" l="1"/>
  <c r="E54" i="7" l="1"/>
  <c r="E55" i="7" l="1"/>
  <c r="E56" i="7" l="1"/>
  <c r="E57" i="7" l="1"/>
  <c r="E58" i="7" l="1"/>
  <c r="E59" i="7" l="1"/>
  <c r="E60" i="7" l="1"/>
  <c r="E61" i="7" l="1"/>
  <c r="E62" i="7" l="1"/>
  <c r="E63" i="7" l="1"/>
  <c r="E64" i="7" l="1"/>
  <c r="E65" i="7" l="1"/>
  <c r="E66" i="7" l="1"/>
  <c r="E67" i="7" l="1"/>
  <c r="E68" i="7" l="1"/>
  <c r="E69" i="7" l="1"/>
  <c r="E70" i="7" l="1"/>
  <c r="E71" i="7" l="1"/>
  <c r="E72" i="7" l="1"/>
  <c r="E73" i="7" l="1"/>
  <c r="E74" i="7" l="1"/>
  <c r="E75" i="7" l="1"/>
  <c r="E76" i="7" l="1"/>
  <c r="E77" i="7" l="1"/>
  <c r="E78" i="7" l="1"/>
  <c r="E79" i="7" l="1"/>
  <c r="E80" i="7" l="1"/>
  <c r="E81" i="7" l="1"/>
  <c r="E82" i="7" l="1"/>
  <c r="E83" i="7" l="1"/>
  <c r="E84" i="7" l="1"/>
  <c r="E85" i="7" l="1"/>
  <c r="E86" i="7" l="1"/>
  <c r="E87" i="7" l="1"/>
  <c r="E88" i="7" l="1"/>
  <c r="E89" i="7" l="1"/>
  <c r="E90" i="7" l="1"/>
  <c r="E91" i="7" l="1"/>
  <c r="E92" i="7" l="1"/>
  <c r="E93" i="7" l="1"/>
  <c r="E94" i="7" l="1"/>
  <c r="E95" i="7" l="1"/>
  <c r="E96" i="7" l="1"/>
  <c r="E97" i="7" l="1"/>
  <c r="E98" i="7" l="1"/>
  <c r="E99" i="7" l="1"/>
  <c r="E100" i="7" l="1"/>
  <c r="E101" i="7" l="1"/>
  <c r="E102" i="7" l="1"/>
  <c r="E103" i="7" l="1"/>
  <c r="E104" i="7" l="1"/>
  <c r="D6" i="7" l="1"/>
  <c r="D5" i="7"/>
  <c r="D7" i="7" l="1"/>
  <c r="D10" i="7" l="1"/>
  <c r="D9" i="7"/>
  <c r="D8" i="7"/>
  <c r="D11" i="7" l="1"/>
  <c r="D12" i="7"/>
  <c r="D13" i="7" l="1"/>
  <c r="D14" i="7" l="1"/>
  <c r="D15" i="7" l="1"/>
  <c r="D16" i="7" l="1"/>
  <c r="D17" i="7" l="1"/>
  <c r="D18" i="7" l="1"/>
  <c r="D19" i="7" l="1"/>
  <c r="D20" i="7" l="1"/>
  <c r="D21" i="7" l="1"/>
  <c r="D22" i="7" l="1"/>
  <c r="D23" i="7" l="1"/>
  <c r="D24" i="7" l="1"/>
  <c r="D25" i="7" l="1"/>
  <c r="D26" i="7" l="1"/>
  <c r="D27" i="7" l="1"/>
  <c r="D28" i="7" l="1"/>
  <c r="D29" i="7" l="1"/>
  <c r="D30" i="7" l="1"/>
  <c r="D31" i="7" l="1"/>
  <c r="D32" i="7" l="1"/>
  <c r="D33" i="7" l="1"/>
  <c r="D34" i="7" l="1"/>
  <c r="D35" i="7" l="1"/>
  <c r="D36" i="7" l="1"/>
  <c r="D37" i="7" l="1"/>
  <c r="D38" i="7" l="1"/>
  <c r="D39" i="7" l="1"/>
  <c r="D40" i="7" l="1"/>
  <c r="D41" i="7" l="1"/>
  <c r="D42" i="7" l="1"/>
  <c r="D43" i="7" l="1"/>
  <c r="D44" i="7" l="1"/>
  <c r="D45" i="7" l="1"/>
  <c r="D46" i="7" l="1"/>
  <c r="D47" i="7" l="1"/>
  <c r="D48" i="7" l="1"/>
  <c r="D49" i="7" l="1"/>
  <c r="D50" i="7" l="1"/>
  <c r="D51" i="7" l="1"/>
  <c r="D52" i="7" l="1"/>
  <c r="D53" i="7" l="1"/>
  <c r="D54" i="7" l="1"/>
  <c r="D55" i="7" l="1"/>
  <c r="D56" i="7" l="1"/>
  <c r="D57" i="7" l="1"/>
  <c r="D58" i="7" l="1"/>
  <c r="D59" i="7" l="1"/>
  <c r="D60" i="7" l="1"/>
  <c r="D61" i="7" l="1"/>
  <c r="D62" i="7" l="1"/>
  <c r="D63" i="7" l="1"/>
  <c r="D64" i="7" l="1"/>
  <c r="D65" i="7" l="1"/>
  <c r="D66" i="7" l="1"/>
  <c r="D67" i="7" l="1"/>
  <c r="D68" i="7" l="1"/>
  <c r="D69" i="7" l="1"/>
  <c r="D70" i="7" l="1"/>
  <c r="D71" i="7" l="1"/>
  <c r="D72" i="7" l="1"/>
  <c r="D73" i="7" l="1"/>
  <c r="D74" i="7" l="1"/>
  <c r="D75" i="7" l="1"/>
  <c r="D76" i="7" l="1"/>
  <c r="D77" i="7" l="1"/>
  <c r="D78" i="7" l="1"/>
  <c r="D79" i="7" l="1"/>
  <c r="D80" i="7" l="1"/>
  <c r="D81" i="7" l="1"/>
  <c r="D82" i="7" l="1"/>
  <c r="D83" i="7" l="1"/>
  <c r="D84" i="7" l="1"/>
  <c r="D85" i="7" l="1"/>
  <c r="D86" i="7" l="1"/>
  <c r="D87" i="7" l="1"/>
  <c r="D88" i="7" l="1"/>
  <c r="D89" i="7" l="1"/>
  <c r="D90" i="7" l="1"/>
  <c r="D91" i="7" l="1"/>
  <c r="D92" i="7" l="1"/>
  <c r="D93" i="7" l="1"/>
  <c r="D94" i="7" l="1"/>
  <c r="D95" i="7" l="1"/>
  <c r="D96" i="7" l="1"/>
  <c r="D97" i="7" l="1"/>
  <c r="D98" i="7" l="1"/>
  <c r="D99" i="7" l="1"/>
  <c r="D100" i="7" l="1"/>
  <c r="D101" i="7" l="1"/>
  <c r="D102" i="7" l="1"/>
  <c r="D103" i="7" l="1"/>
  <c r="D104" i="7" l="1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3" i="4"/>
  <c r="BJ5" i="4" l="1"/>
  <c r="BK5" i="4"/>
  <c r="BL5" i="4"/>
  <c r="BM5" i="4"/>
  <c r="BN5" i="4"/>
  <c r="BJ6" i="4"/>
  <c r="BK6" i="4"/>
  <c r="BL6" i="4"/>
  <c r="BM6" i="4"/>
  <c r="BN6" i="4"/>
  <c r="BJ7" i="4"/>
  <c r="BK7" i="4"/>
  <c r="BL7" i="4"/>
  <c r="BM7" i="4"/>
  <c r="BN7" i="4"/>
  <c r="BJ8" i="4"/>
  <c r="BK8" i="4"/>
  <c r="BL8" i="4"/>
  <c r="BM8" i="4"/>
  <c r="BN8" i="4"/>
  <c r="BJ9" i="4"/>
  <c r="BK9" i="4"/>
  <c r="BL9" i="4"/>
  <c r="BM9" i="4"/>
  <c r="BN9" i="4"/>
  <c r="BJ10" i="4"/>
  <c r="BK10" i="4"/>
  <c r="BL10" i="4"/>
  <c r="BM10" i="4"/>
  <c r="BN10" i="4"/>
  <c r="BJ11" i="4"/>
  <c r="BK11" i="4"/>
  <c r="BL11" i="4"/>
  <c r="BM11" i="4"/>
  <c r="BN11" i="4"/>
  <c r="BJ12" i="4"/>
  <c r="BK12" i="4"/>
  <c r="BL12" i="4"/>
  <c r="BM12" i="4"/>
  <c r="BN12" i="4"/>
  <c r="BJ13" i="4"/>
  <c r="BK13" i="4"/>
  <c r="BL13" i="4"/>
  <c r="BM13" i="4"/>
  <c r="BN13" i="4"/>
  <c r="BJ14" i="4"/>
  <c r="BK14" i="4"/>
  <c r="BL14" i="4"/>
  <c r="BM14" i="4"/>
  <c r="BN14" i="4"/>
  <c r="BJ15" i="4"/>
  <c r="BK15" i="4"/>
  <c r="BL15" i="4"/>
  <c r="BM15" i="4"/>
  <c r="BN15" i="4"/>
  <c r="BJ16" i="4"/>
  <c r="BK16" i="4"/>
  <c r="BL16" i="4"/>
  <c r="BM16" i="4"/>
  <c r="BN16" i="4"/>
  <c r="BJ17" i="4"/>
  <c r="BK17" i="4"/>
  <c r="BL17" i="4"/>
  <c r="BM17" i="4"/>
  <c r="BN17" i="4"/>
  <c r="BJ18" i="4"/>
  <c r="BK18" i="4"/>
  <c r="BL18" i="4"/>
  <c r="BM18" i="4"/>
  <c r="BN18" i="4"/>
  <c r="BJ19" i="4"/>
  <c r="BK19" i="4"/>
  <c r="BL19" i="4"/>
  <c r="BM19" i="4"/>
  <c r="BN19" i="4"/>
  <c r="BJ20" i="4"/>
  <c r="BK20" i="4"/>
  <c r="BL20" i="4"/>
  <c r="BM20" i="4"/>
  <c r="BN20" i="4"/>
  <c r="BJ21" i="4"/>
  <c r="BK21" i="4"/>
  <c r="BL21" i="4"/>
  <c r="BM21" i="4"/>
  <c r="BN21" i="4"/>
  <c r="BJ22" i="4"/>
  <c r="BK22" i="4"/>
  <c r="BL22" i="4"/>
  <c r="BM22" i="4"/>
  <c r="BN22" i="4"/>
  <c r="BJ23" i="4"/>
  <c r="BK23" i="4"/>
  <c r="BL23" i="4"/>
  <c r="BM23" i="4"/>
  <c r="BN23" i="4"/>
  <c r="BJ24" i="4"/>
  <c r="BK24" i="4"/>
  <c r="BL24" i="4"/>
  <c r="BM24" i="4"/>
  <c r="BN24" i="4"/>
  <c r="BJ25" i="4"/>
  <c r="BK25" i="4"/>
  <c r="BL25" i="4"/>
  <c r="BM25" i="4"/>
  <c r="BN25" i="4"/>
  <c r="BJ26" i="4"/>
  <c r="BK26" i="4"/>
  <c r="BL26" i="4"/>
  <c r="BM26" i="4"/>
  <c r="BN26" i="4"/>
  <c r="BJ27" i="4"/>
  <c r="BK27" i="4"/>
  <c r="BL27" i="4"/>
  <c r="BM27" i="4"/>
  <c r="BN27" i="4"/>
  <c r="BJ28" i="4"/>
  <c r="BK28" i="4"/>
  <c r="BL28" i="4"/>
  <c r="BM28" i="4"/>
  <c r="BN28" i="4"/>
  <c r="BJ29" i="4"/>
  <c r="BK29" i="4"/>
  <c r="BL29" i="4"/>
  <c r="BM29" i="4"/>
  <c r="BN29" i="4"/>
  <c r="BJ30" i="4"/>
  <c r="BK30" i="4"/>
  <c r="BL30" i="4"/>
  <c r="BM30" i="4"/>
  <c r="BN30" i="4"/>
  <c r="BJ31" i="4"/>
  <c r="BK31" i="4"/>
  <c r="BL31" i="4"/>
  <c r="BM31" i="4"/>
  <c r="BN31" i="4"/>
  <c r="BJ32" i="4"/>
  <c r="BK32" i="4"/>
  <c r="BL32" i="4"/>
  <c r="BM32" i="4"/>
  <c r="BN32" i="4"/>
  <c r="BJ33" i="4"/>
  <c r="BK33" i="4"/>
  <c r="BL33" i="4"/>
  <c r="BM33" i="4"/>
  <c r="BN33" i="4"/>
  <c r="BJ34" i="4"/>
  <c r="BK34" i="4"/>
  <c r="BL34" i="4"/>
  <c r="BM34" i="4"/>
  <c r="BN34" i="4"/>
  <c r="BJ35" i="4"/>
  <c r="BK35" i="4"/>
  <c r="BL35" i="4"/>
  <c r="BM35" i="4"/>
  <c r="BN35" i="4"/>
  <c r="BJ36" i="4"/>
  <c r="BK36" i="4"/>
  <c r="BL36" i="4"/>
  <c r="BM36" i="4"/>
  <c r="BN36" i="4"/>
  <c r="BJ37" i="4"/>
  <c r="BK37" i="4"/>
  <c r="BL37" i="4"/>
  <c r="BM37" i="4"/>
  <c r="BN37" i="4"/>
  <c r="BJ38" i="4"/>
  <c r="BK38" i="4"/>
  <c r="BL38" i="4"/>
  <c r="BM38" i="4"/>
  <c r="BN38" i="4"/>
  <c r="BJ39" i="4"/>
  <c r="BK39" i="4"/>
  <c r="BL39" i="4"/>
  <c r="BM39" i="4"/>
  <c r="BN39" i="4"/>
  <c r="BJ40" i="4"/>
  <c r="BK40" i="4"/>
  <c r="BL40" i="4"/>
  <c r="BM40" i="4"/>
  <c r="BN40" i="4"/>
  <c r="BJ41" i="4"/>
  <c r="BK41" i="4"/>
  <c r="BL41" i="4"/>
  <c r="BM41" i="4"/>
  <c r="BN41" i="4"/>
  <c r="BJ42" i="4"/>
  <c r="BK42" i="4"/>
  <c r="BL42" i="4"/>
  <c r="BM42" i="4"/>
  <c r="BN42" i="4"/>
  <c r="BJ43" i="4"/>
  <c r="BK43" i="4"/>
  <c r="BL43" i="4"/>
  <c r="BM43" i="4"/>
  <c r="BN43" i="4"/>
  <c r="BJ44" i="4"/>
  <c r="BK44" i="4"/>
  <c r="BL44" i="4"/>
  <c r="BM44" i="4"/>
  <c r="BN44" i="4"/>
  <c r="BJ45" i="4"/>
  <c r="BK45" i="4"/>
  <c r="BL45" i="4"/>
  <c r="BM45" i="4"/>
  <c r="BN45" i="4"/>
  <c r="BJ46" i="4"/>
  <c r="BK46" i="4"/>
  <c r="BL46" i="4"/>
  <c r="BM46" i="4"/>
  <c r="BN46" i="4"/>
  <c r="BJ47" i="4"/>
  <c r="BK47" i="4"/>
  <c r="BL47" i="4"/>
  <c r="BM47" i="4"/>
  <c r="BN47" i="4"/>
  <c r="BJ48" i="4"/>
  <c r="BK48" i="4"/>
  <c r="BL48" i="4"/>
  <c r="BM48" i="4"/>
  <c r="BN48" i="4"/>
  <c r="BJ49" i="4"/>
  <c r="BK49" i="4"/>
  <c r="BL49" i="4"/>
  <c r="BM49" i="4"/>
  <c r="BN49" i="4"/>
  <c r="BJ50" i="4"/>
  <c r="BK50" i="4"/>
  <c r="BL50" i="4"/>
  <c r="BM50" i="4"/>
  <c r="BN50" i="4"/>
  <c r="BJ51" i="4"/>
  <c r="BK51" i="4"/>
  <c r="BL51" i="4"/>
  <c r="BM51" i="4"/>
  <c r="BN51" i="4"/>
  <c r="BJ52" i="4"/>
  <c r="BK52" i="4"/>
  <c r="BL52" i="4"/>
  <c r="BM52" i="4"/>
  <c r="BN52" i="4"/>
  <c r="BJ53" i="4"/>
  <c r="BK53" i="4"/>
  <c r="BL53" i="4"/>
  <c r="BM53" i="4"/>
  <c r="BN53" i="4"/>
  <c r="BJ54" i="4"/>
  <c r="BK54" i="4"/>
  <c r="BL54" i="4"/>
  <c r="BM54" i="4"/>
  <c r="BN54" i="4"/>
  <c r="BJ55" i="4"/>
  <c r="BK55" i="4"/>
  <c r="BL55" i="4"/>
  <c r="BM55" i="4"/>
  <c r="BN55" i="4"/>
  <c r="BJ56" i="4"/>
  <c r="BK56" i="4"/>
  <c r="BL56" i="4"/>
  <c r="BM56" i="4"/>
  <c r="BN56" i="4"/>
  <c r="BJ57" i="4"/>
  <c r="BK57" i="4"/>
  <c r="BL57" i="4"/>
  <c r="BM57" i="4"/>
  <c r="BN57" i="4"/>
  <c r="BJ58" i="4"/>
  <c r="BK58" i="4"/>
  <c r="BL58" i="4"/>
  <c r="BM58" i="4"/>
  <c r="BN58" i="4"/>
  <c r="BJ59" i="4"/>
  <c r="BK59" i="4"/>
  <c r="BL59" i="4"/>
  <c r="BM59" i="4"/>
  <c r="BN59" i="4"/>
  <c r="BJ60" i="4"/>
  <c r="BK60" i="4"/>
  <c r="BL60" i="4"/>
  <c r="BM60" i="4"/>
  <c r="BN60" i="4"/>
  <c r="BJ61" i="4"/>
  <c r="BK61" i="4"/>
  <c r="BL61" i="4"/>
  <c r="BM61" i="4"/>
  <c r="BN61" i="4"/>
  <c r="BJ62" i="4"/>
  <c r="BK62" i="4"/>
  <c r="BL62" i="4"/>
  <c r="BM62" i="4"/>
  <c r="BN62" i="4"/>
  <c r="BJ63" i="4"/>
  <c r="BK63" i="4"/>
  <c r="BL63" i="4"/>
  <c r="BM63" i="4"/>
  <c r="BN63" i="4"/>
  <c r="BJ64" i="4"/>
  <c r="BK64" i="4"/>
  <c r="BL64" i="4"/>
  <c r="BM64" i="4"/>
  <c r="BN64" i="4"/>
  <c r="BJ65" i="4"/>
  <c r="BK65" i="4"/>
  <c r="BL65" i="4"/>
  <c r="BM65" i="4"/>
  <c r="BN65" i="4"/>
  <c r="BJ66" i="4"/>
  <c r="BK66" i="4"/>
  <c r="BL66" i="4"/>
  <c r="BM66" i="4"/>
  <c r="BN66" i="4"/>
  <c r="BJ67" i="4"/>
  <c r="BK67" i="4"/>
  <c r="BL67" i="4"/>
  <c r="BM67" i="4"/>
  <c r="BN67" i="4"/>
  <c r="BJ68" i="4"/>
  <c r="BK68" i="4"/>
  <c r="BL68" i="4"/>
  <c r="BM68" i="4"/>
  <c r="BN68" i="4"/>
  <c r="BJ69" i="4"/>
  <c r="BK69" i="4"/>
  <c r="BL69" i="4"/>
  <c r="BM69" i="4"/>
  <c r="BN69" i="4"/>
  <c r="BJ70" i="4"/>
  <c r="BK70" i="4"/>
  <c r="BL70" i="4"/>
  <c r="BM70" i="4"/>
  <c r="BN70" i="4"/>
  <c r="BJ71" i="4"/>
  <c r="BK71" i="4"/>
  <c r="BL71" i="4"/>
  <c r="BM71" i="4"/>
  <c r="BN71" i="4"/>
  <c r="BJ72" i="4"/>
  <c r="BK72" i="4"/>
  <c r="BL72" i="4"/>
  <c r="BM72" i="4"/>
  <c r="BN72" i="4"/>
  <c r="BJ73" i="4"/>
  <c r="BK73" i="4"/>
  <c r="BL73" i="4"/>
  <c r="BM73" i="4"/>
  <c r="BN73" i="4"/>
  <c r="BJ74" i="4"/>
  <c r="BK74" i="4"/>
  <c r="BL74" i="4"/>
  <c r="BM74" i="4"/>
  <c r="BN74" i="4"/>
  <c r="BJ75" i="4"/>
  <c r="BK75" i="4"/>
  <c r="BL75" i="4"/>
  <c r="BM75" i="4"/>
  <c r="BN75" i="4"/>
  <c r="BJ76" i="4"/>
  <c r="BK76" i="4"/>
  <c r="BL76" i="4"/>
  <c r="BM76" i="4"/>
  <c r="BN76" i="4"/>
  <c r="BJ77" i="4"/>
  <c r="BK77" i="4"/>
  <c r="BL77" i="4"/>
  <c r="BM77" i="4"/>
  <c r="BN77" i="4"/>
  <c r="BJ78" i="4"/>
  <c r="BK78" i="4"/>
  <c r="BL78" i="4"/>
  <c r="BM78" i="4"/>
  <c r="BN78" i="4"/>
  <c r="BJ79" i="4"/>
  <c r="BK79" i="4"/>
  <c r="BL79" i="4"/>
  <c r="BM79" i="4"/>
  <c r="BN79" i="4"/>
  <c r="BJ80" i="4"/>
  <c r="BK80" i="4"/>
  <c r="BL80" i="4"/>
  <c r="BM80" i="4"/>
  <c r="BN80" i="4"/>
  <c r="BJ81" i="4"/>
  <c r="BK81" i="4"/>
  <c r="BL81" i="4"/>
  <c r="BM81" i="4"/>
  <c r="BN81" i="4"/>
  <c r="BJ82" i="4"/>
  <c r="BK82" i="4"/>
  <c r="BL82" i="4"/>
  <c r="BM82" i="4"/>
  <c r="BN82" i="4"/>
  <c r="BJ83" i="4"/>
  <c r="BK83" i="4"/>
  <c r="BL83" i="4"/>
  <c r="BM83" i="4"/>
  <c r="BN83" i="4"/>
  <c r="BJ84" i="4"/>
  <c r="BK84" i="4"/>
  <c r="BL84" i="4"/>
  <c r="BM84" i="4"/>
  <c r="BN84" i="4"/>
  <c r="BJ85" i="4"/>
  <c r="BK85" i="4"/>
  <c r="BL85" i="4"/>
  <c r="BM85" i="4"/>
  <c r="BN85" i="4"/>
  <c r="BJ86" i="4"/>
  <c r="BK86" i="4"/>
  <c r="BL86" i="4"/>
  <c r="BM86" i="4"/>
  <c r="BN86" i="4"/>
  <c r="BJ87" i="4"/>
  <c r="BK87" i="4"/>
  <c r="BL87" i="4"/>
  <c r="BM87" i="4"/>
  <c r="BN87" i="4"/>
  <c r="BJ88" i="4"/>
  <c r="BK88" i="4"/>
  <c r="BL88" i="4"/>
  <c r="BM88" i="4"/>
  <c r="BN88" i="4"/>
  <c r="BJ89" i="4"/>
  <c r="BK89" i="4"/>
  <c r="BL89" i="4"/>
  <c r="BM89" i="4"/>
  <c r="BN89" i="4"/>
  <c r="BJ90" i="4"/>
  <c r="BK90" i="4"/>
  <c r="BL90" i="4"/>
  <c r="BM90" i="4"/>
  <c r="BN90" i="4"/>
  <c r="BJ91" i="4"/>
  <c r="BK91" i="4"/>
  <c r="BL91" i="4"/>
  <c r="BM91" i="4"/>
  <c r="BN91" i="4"/>
  <c r="BJ92" i="4"/>
  <c r="BK92" i="4"/>
  <c r="BL92" i="4"/>
  <c r="BM92" i="4"/>
  <c r="BN92" i="4"/>
  <c r="BJ93" i="4"/>
  <c r="BK93" i="4"/>
  <c r="BL93" i="4"/>
  <c r="BM93" i="4"/>
  <c r="BN93" i="4"/>
  <c r="BJ94" i="4"/>
  <c r="BK94" i="4"/>
  <c r="BL94" i="4"/>
  <c r="BM94" i="4"/>
  <c r="BN94" i="4"/>
  <c r="BJ95" i="4"/>
  <c r="BK95" i="4"/>
  <c r="BL95" i="4"/>
  <c r="BM95" i="4"/>
  <c r="BN95" i="4"/>
  <c r="BJ96" i="4"/>
  <c r="BK96" i="4"/>
  <c r="BL96" i="4"/>
  <c r="BM96" i="4"/>
  <c r="BN96" i="4"/>
  <c r="BJ97" i="4"/>
  <c r="BK97" i="4"/>
  <c r="BL97" i="4"/>
  <c r="BM97" i="4"/>
  <c r="BN97" i="4"/>
  <c r="BJ98" i="4"/>
  <c r="BK98" i="4"/>
  <c r="BL98" i="4"/>
  <c r="BM98" i="4"/>
  <c r="BN98" i="4"/>
  <c r="BJ99" i="4"/>
  <c r="BK99" i="4"/>
  <c r="BL99" i="4"/>
  <c r="BM99" i="4"/>
  <c r="BN99" i="4"/>
  <c r="BJ100" i="4"/>
  <c r="BK100" i="4"/>
  <c r="BL100" i="4"/>
  <c r="BM100" i="4"/>
  <c r="BN100" i="4"/>
  <c r="BJ101" i="4"/>
  <c r="BK101" i="4"/>
  <c r="BL101" i="4"/>
  <c r="BM101" i="4"/>
  <c r="BN101" i="4"/>
  <c r="BJ102" i="4"/>
  <c r="BK102" i="4"/>
  <c r="BL102" i="4"/>
  <c r="BM102" i="4"/>
  <c r="BN102" i="4"/>
  <c r="BJ103" i="4"/>
  <c r="BK103" i="4"/>
  <c r="BL103" i="4"/>
  <c r="BM103" i="4"/>
  <c r="BN103" i="4"/>
  <c r="BK4" i="4"/>
  <c r="BL4" i="4"/>
  <c r="BM4" i="4"/>
  <c r="BN4" i="4"/>
  <c r="BJ4" i="4"/>
  <c r="AH363" i="4"/>
  <c r="AG363" i="4"/>
  <c r="AF363" i="4"/>
  <c r="AE363" i="4"/>
  <c r="AD363" i="4"/>
  <c r="AH362" i="4"/>
  <c r="AG362" i="4"/>
  <c r="AF362" i="4"/>
  <c r="AE362" i="4"/>
  <c r="AD362" i="4"/>
  <c r="AH361" i="4"/>
  <c r="AG361" i="4"/>
  <c r="AF361" i="4"/>
  <c r="AE361" i="4"/>
  <c r="AD361" i="4"/>
  <c r="AH360" i="4"/>
  <c r="AG360" i="4"/>
  <c r="AF360" i="4"/>
  <c r="AE360" i="4"/>
  <c r="AD360" i="4"/>
  <c r="AH359" i="4"/>
  <c r="AG359" i="4"/>
  <c r="AF359" i="4"/>
  <c r="AE359" i="4"/>
  <c r="AD359" i="4"/>
  <c r="AH358" i="4"/>
  <c r="AG358" i="4"/>
  <c r="AF358" i="4"/>
  <c r="AE358" i="4"/>
  <c r="AD358" i="4"/>
  <c r="AH357" i="4"/>
  <c r="AG357" i="4"/>
  <c r="AF357" i="4"/>
  <c r="AE357" i="4"/>
  <c r="AD357" i="4"/>
  <c r="AH356" i="4"/>
  <c r="AG356" i="4"/>
  <c r="AF356" i="4"/>
  <c r="AE356" i="4"/>
  <c r="AD356" i="4"/>
  <c r="AH355" i="4"/>
  <c r="AG355" i="4"/>
  <c r="AF355" i="4"/>
  <c r="AE355" i="4"/>
  <c r="AD355" i="4"/>
  <c r="AH354" i="4"/>
  <c r="AG354" i="4"/>
  <c r="AF354" i="4"/>
  <c r="AE354" i="4"/>
  <c r="AD354" i="4"/>
  <c r="AH353" i="4"/>
  <c r="AG353" i="4"/>
  <c r="AF353" i="4"/>
  <c r="AE353" i="4"/>
  <c r="AD353" i="4"/>
  <c r="AH352" i="4"/>
  <c r="AG352" i="4"/>
  <c r="AF352" i="4"/>
  <c r="AE352" i="4"/>
  <c r="AD352" i="4"/>
  <c r="AH351" i="4"/>
  <c r="AG351" i="4"/>
  <c r="AF351" i="4"/>
  <c r="AE351" i="4"/>
  <c r="AD351" i="4"/>
  <c r="AH350" i="4"/>
  <c r="AG350" i="4"/>
  <c r="AF350" i="4"/>
  <c r="AE350" i="4"/>
  <c r="AD350" i="4"/>
  <c r="AH349" i="4"/>
  <c r="AG349" i="4"/>
  <c r="AF349" i="4"/>
  <c r="AE349" i="4"/>
  <c r="AD349" i="4"/>
  <c r="AH348" i="4"/>
  <c r="AG348" i="4"/>
  <c r="AF348" i="4"/>
  <c r="AE348" i="4"/>
  <c r="AD348" i="4"/>
  <c r="AH347" i="4"/>
  <c r="AG347" i="4"/>
  <c r="AF347" i="4"/>
  <c r="AE347" i="4"/>
  <c r="AD347" i="4"/>
  <c r="AH346" i="4"/>
  <c r="AG346" i="4"/>
  <c r="AF346" i="4"/>
  <c r="AE346" i="4"/>
  <c r="AD346" i="4"/>
  <c r="AH345" i="4"/>
  <c r="AG345" i="4"/>
  <c r="AF345" i="4"/>
  <c r="AE345" i="4"/>
  <c r="AD345" i="4"/>
  <c r="AH344" i="4"/>
  <c r="AG344" i="4"/>
  <c r="AF344" i="4"/>
  <c r="AE344" i="4"/>
  <c r="AD344" i="4"/>
  <c r="AH343" i="4"/>
  <c r="AG343" i="4"/>
  <c r="AF343" i="4"/>
  <c r="AE343" i="4"/>
  <c r="AD343" i="4"/>
  <c r="AH342" i="4"/>
  <c r="AG342" i="4"/>
  <c r="AF342" i="4"/>
  <c r="AE342" i="4"/>
  <c r="AD342" i="4"/>
  <c r="AH341" i="4"/>
  <c r="AG341" i="4"/>
  <c r="AF341" i="4"/>
  <c r="AE341" i="4"/>
  <c r="AD341" i="4"/>
  <c r="AH340" i="4"/>
  <c r="AG340" i="4"/>
  <c r="AF340" i="4"/>
  <c r="AE340" i="4"/>
  <c r="AD340" i="4"/>
  <c r="AH339" i="4"/>
  <c r="AG339" i="4"/>
  <c r="AF339" i="4"/>
  <c r="AE339" i="4"/>
  <c r="AD339" i="4"/>
  <c r="AH338" i="4"/>
  <c r="AG338" i="4"/>
  <c r="AF338" i="4"/>
  <c r="AE338" i="4"/>
  <c r="AD338" i="4"/>
  <c r="AH337" i="4"/>
  <c r="AG337" i="4"/>
  <c r="AF337" i="4"/>
  <c r="AE337" i="4"/>
  <c r="AD337" i="4"/>
  <c r="AH336" i="4"/>
  <c r="AG336" i="4"/>
  <c r="AF336" i="4"/>
  <c r="AE336" i="4"/>
  <c r="AD336" i="4"/>
  <c r="AH335" i="4"/>
  <c r="AG335" i="4"/>
  <c r="AF335" i="4"/>
  <c r="AE335" i="4"/>
  <c r="AD335" i="4"/>
  <c r="AH334" i="4"/>
  <c r="AG334" i="4"/>
  <c r="AF334" i="4"/>
  <c r="AE334" i="4"/>
  <c r="AD334" i="4"/>
  <c r="AH333" i="4"/>
  <c r="AG333" i="4"/>
  <c r="AF333" i="4"/>
  <c r="AE333" i="4"/>
  <c r="AD333" i="4"/>
  <c r="AH332" i="4"/>
  <c r="AG332" i="4"/>
  <c r="AF332" i="4"/>
  <c r="AE332" i="4"/>
  <c r="AD332" i="4"/>
  <c r="AH331" i="4"/>
  <c r="AG331" i="4"/>
  <c r="AF331" i="4"/>
  <c r="AE331" i="4"/>
  <c r="AD331" i="4"/>
  <c r="AH330" i="4"/>
  <c r="AG330" i="4"/>
  <c r="AF330" i="4"/>
  <c r="AE330" i="4"/>
  <c r="AD330" i="4"/>
  <c r="AH329" i="4"/>
  <c r="AG329" i="4"/>
  <c r="AF329" i="4"/>
  <c r="AE329" i="4"/>
  <c r="AD329" i="4"/>
  <c r="AH328" i="4"/>
  <c r="AG328" i="4"/>
  <c r="AF328" i="4"/>
  <c r="AE328" i="4"/>
  <c r="AD328" i="4"/>
  <c r="AH327" i="4"/>
  <c r="AG327" i="4"/>
  <c r="AF327" i="4"/>
  <c r="AE327" i="4"/>
  <c r="AD327" i="4"/>
  <c r="AH326" i="4"/>
  <c r="AG326" i="4"/>
  <c r="AF326" i="4"/>
  <c r="AE326" i="4"/>
  <c r="AD326" i="4"/>
  <c r="AH325" i="4"/>
  <c r="AG325" i="4"/>
  <c r="AF325" i="4"/>
  <c r="AE325" i="4"/>
  <c r="AD325" i="4"/>
  <c r="AH324" i="4"/>
  <c r="AG324" i="4"/>
  <c r="AF324" i="4"/>
  <c r="AE324" i="4"/>
  <c r="AD324" i="4"/>
  <c r="AH323" i="4"/>
  <c r="AG323" i="4"/>
  <c r="AF323" i="4"/>
  <c r="AE323" i="4"/>
  <c r="AD323" i="4"/>
  <c r="AH322" i="4"/>
  <c r="AG322" i="4"/>
  <c r="AF322" i="4"/>
  <c r="AE322" i="4"/>
  <c r="AD322" i="4"/>
  <c r="AH321" i="4"/>
  <c r="AG321" i="4"/>
  <c r="AF321" i="4"/>
  <c r="AE321" i="4"/>
  <c r="AD321" i="4"/>
  <c r="AH320" i="4"/>
  <c r="AG320" i="4"/>
  <c r="AF320" i="4"/>
  <c r="AE320" i="4"/>
  <c r="AD320" i="4"/>
  <c r="AH319" i="4"/>
  <c r="AG319" i="4"/>
  <c r="AF319" i="4"/>
  <c r="AE319" i="4"/>
  <c r="AD319" i="4"/>
  <c r="AH318" i="4"/>
  <c r="AG318" i="4"/>
  <c r="AF318" i="4"/>
  <c r="AE318" i="4"/>
  <c r="AD318" i="4"/>
  <c r="AH317" i="4"/>
  <c r="AG317" i="4"/>
  <c r="AF317" i="4"/>
  <c r="AE317" i="4"/>
  <c r="AD317" i="4"/>
  <c r="AH316" i="4"/>
  <c r="AG316" i="4"/>
  <c r="AF316" i="4"/>
  <c r="AE316" i="4"/>
  <c r="AD316" i="4"/>
  <c r="AH315" i="4"/>
  <c r="AG315" i="4"/>
  <c r="AF315" i="4"/>
  <c r="AE315" i="4"/>
  <c r="AD315" i="4"/>
  <c r="AH314" i="4"/>
  <c r="AG314" i="4"/>
  <c r="AF314" i="4"/>
  <c r="AE314" i="4"/>
  <c r="AD314" i="4"/>
  <c r="AH313" i="4"/>
  <c r="AG313" i="4"/>
  <c r="AF313" i="4"/>
  <c r="AE313" i="4"/>
  <c r="AD313" i="4"/>
  <c r="AH312" i="4"/>
  <c r="AG312" i="4"/>
  <c r="AF312" i="4"/>
  <c r="AE312" i="4"/>
  <c r="AD312" i="4"/>
  <c r="AH311" i="4"/>
  <c r="AG311" i="4"/>
  <c r="AF311" i="4"/>
  <c r="AE311" i="4"/>
  <c r="AD311" i="4"/>
  <c r="AH310" i="4"/>
  <c r="AG310" i="4"/>
  <c r="AF310" i="4"/>
  <c r="AE310" i="4"/>
  <c r="AD310" i="4"/>
  <c r="AH309" i="4"/>
  <c r="AG309" i="4"/>
  <c r="AF309" i="4"/>
  <c r="AE309" i="4"/>
  <c r="AD309" i="4"/>
  <c r="AH308" i="4"/>
  <c r="AG308" i="4"/>
  <c r="AF308" i="4"/>
  <c r="AE308" i="4"/>
  <c r="AD308" i="4"/>
  <c r="AH307" i="4"/>
  <c r="AG307" i="4"/>
  <c r="AF307" i="4"/>
  <c r="AE307" i="4"/>
  <c r="AD307" i="4"/>
  <c r="AH306" i="4"/>
  <c r="AG306" i="4"/>
  <c r="AF306" i="4"/>
  <c r="AE306" i="4"/>
  <c r="AD306" i="4"/>
  <c r="AH305" i="4"/>
  <c r="AG305" i="4"/>
  <c r="AF305" i="4"/>
  <c r="AE305" i="4"/>
  <c r="AD305" i="4"/>
  <c r="AH304" i="4"/>
  <c r="AG304" i="4"/>
  <c r="AF304" i="4"/>
  <c r="AE304" i="4"/>
  <c r="AD304" i="4"/>
  <c r="AH303" i="4"/>
  <c r="AG303" i="4"/>
  <c r="AF303" i="4"/>
  <c r="AE303" i="4"/>
  <c r="AD303" i="4"/>
  <c r="AH302" i="4"/>
  <c r="AG302" i="4"/>
  <c r="AF302" i="4"/>
  <c r="AE302" i="4"/>
  <c r="AD302" i="4"/>
  <c r="AH301" i="4"/>
  <c r="AG301" i="4"/>
  <c r="AF301" i="4"/>
  <c r="AE301" i="4"/>
  <c r="AD301" i="4"/>
  <c r="AH300" i="4"/>
  <c r="AG300" i="4"/>
  <c r="AF300" i="4"/>
  <c r="AE300" i="4"/>
  <c r="AD300" i="4"/>
  <c r="AH299" i="4"/>
  <c r="AG299" i="4"/>
  <c r="AF299" i="4"/>
  <c r="AE299" i="4"/>
  <c r="AD299" i="4"/>
  <c r="AH298" i="4"/>
  <c r="AG298" i="4"/>
  <c r="AF298" i="4"/>
  <c r="AE298" i="4"/>
  <c r="AD298" i="4"/>
  <c r="AH297" i="4"/>
  <c r="AG297" i="4"/>
  <c r="AF297" i="4"/>
  <c r="AE297" i="4"/>
  <c r="AD297" i="4"/>
  <c r="AH296" i="4"/>
  <c r="AG296" i="4"/>
  <c r="AF296" i="4"/>
  <c r="AE296" i="4"/>
  <c r="AD296" i="4"/>
  <c r="AH295" i="4"/>
  <c r="AG295" i="4"/>
  <c r="AF295" i="4"/>
  <c r="AE295" i="4"/>
  <c r="AD295" i="4"/>
  <c r="AH294" i="4"/>
  <c r="AG294" i="4"/>
  <c r="AF294" i="4"/>
  <c r="AE294" i="4"/>
  <c r="AD294" i="4"/>
  <c r="AH293" i="4"/>
  <c r="AG293" i="4"/>
  <c r="AF293" i="4"/>
  <c r="AE293" i="4"/>
  <c r="AD293" i="4"/>
  <c r="AH292" i="4"/>
  <c r="AG292" i="4"/>
  <c r="AF292" i="4"/>
  <c r="AE292" i="4"/>
  <c r="AD292" i="4"/>
  <c r="AH291" i="4"/>
  <c r="AG291" i="4"/>
  <c r="AF291" i="4"/>
  <c r="AE291" i="4"/>
  <c r="AD291" i="4"/>
  <c r="AH290" i="4"/>
  <c r="AG290" i="4"/>
  <c r="AF290" i="4"/>
  <c r="AE290" i="4"/>
  <c r="AD290" i="4"/>
  <c r="AH289" i="4"/>
  <c r="AG289" i="4"/>
  <c r="AF289" i="4"/>
  <c r="AE289" i="4"/>
  <c r="AD289" i="4"/>
  <c r="AH288" i="4"/>
  <c r="AG288" i="4"/>
  <c r="AF288" i="4"/>
  <c r="AE288" i="4"/>
  <c r="AD288" i="4"/>
  <c r="AH287" i="4"/>
  <c r="AG287" i="4"/>
  <c r="AF287" i="4"/>
  <c r="AE287" i="4"/>
  <c r="AD287" i="4"/>
  <c r="AH286" i="4"/>
  <c r="AG286" i="4"/>
  <c r="AF286" i="4"/>
  <c r="AE286" i="4"/>
  <c r="AD286" i="4"/>
  <c r="AH285" i="4"/>
  <c r="AG285" i="4"/>
  <c r="AF285" i="4"/>
  <c r="AE285" i="4"/>
  <c r="AD285" i="4"/>
  <c r="AH284" i="4"/>
  <c r="AG284" i="4"/>
  <c r="AF284" i="4"/>
  <c r="AE284" i="4"/>
  <c r="AD284" i="4"/>
  <c r="AH283" i="4"/>
  <c r="AG283" i="4"/>
  <c r="AF283" i="4"/>
  <c r="AE283" i="4"/>
  <c r="AD283" i="4"/>
  <c r="AH282" i="4"/>
  <c r="AG282" i="4"/>
  <c r="AF282" i="4"/>
  <c r="AE282" i="4"/>
  <c r="AD282" i="4"/>
  <c r="AH281" i="4"/>
  <c r="AG281" i="4"/>
  <c r="AF281" i="4"/>
  <c r="AE281" i="4"/>
  <c r="AD281" i="4"/>
  <c r="AH280" i="4"/>
  <c r="AG280" i="4"/>
  <c r="AF280" i="4"/>
  <c r="AE280" i="4"/>
  <c r="AD280" i="4"/>
  <c r="AH279" i="4"/>
  <c r="AG279" i="4"/>
  <c r="AF279" i="4"/>
  <c r="AE279" i="4"/>
  <c r="AD279" i="4"/>
  <c r="AH278" i="4"/>
  <c r="AG278" i="4"/>
  <c r="AF278" i="4"/>
  <c r="AE278" i="4"/>
  <c r="AD278" i="4"/>
  <c r="AH277" i="4"/>
  <c r="AG277" i="4"/>
  <c r="AF277" i="4"/>
  <c r="AE277" i="4"/>
  <c r="AD277" i="4"/>
  <c r="AH276" i="4"/>
  <c r="AG276" i="4"/>
  <c r="AF276" i="4"/>
  <c r="AE276" i="4"/>
  <c r="AD276" i="4"/>
  <c r="AH275" i="4"/>
  <c r="AG275" i="4"/>
  <c r="AF275" i="4"/>
  <c r="AE275" i="4"/>
  <c r="AD275" i="4"/>
  <c r="AH274" i="4"/>
  <c r="AG274" i="4"/>
  <c r="AF274" i="4"/>
  <c r="AE274" i="4"/>
  <c r="AD274" i="4"/>
  <c r="AH273" i="4"/>
  <c r="AG273" i="4"/>
  <c r="AF273" i="4"/>
  <c r="AE273" i="4"/>
  <c r="AD273" i="4"/>
  <c r="AH272" i="4"/>
  <c r="AG272" i="4"/>
  <c r="AF272" i="4"/>
  <c r="AE272" i="4"/>
  <c r="AD272" i="4"/>
  <c r="AH271" i="4"/>
  <c r="AG271" i="4"/>
  <c r="AF271" i="4"/>
  <c r="AE271" i="4"/>
  <c r="AD271" i="4"/>
  <c r="AH270" i="4"/>
  <c r="AG270" i="4"/>
  <c r="AF270" i="4"/>
  <c r="AE270" i="4"/>
  <c r="AD270" i="4"/>
  <c r="AH269" i="4"/>
  <c r="AG269" i="4"/>
  <c r="AF269" i="4"/>
  <c r="AE269" i="4"/>
  <c r="AD269" i="4"/>
  <c r="AH268" i="4"/>
  <c r="AG268" i="4"/>
  <c r="AF268" i="4"/>
  <c r="AE268" i="4"/>
  <c r="AD268" i="4"/>
  <c r="AH267" i="4"/>
  <c r="AG267" i="4"/>
  <c r="AF267" i="4"/>
  <c r="AE267" i="4"/>
  <c r="AD267" i="4"/>
  <c r="AH266" i="4"/>
  <c r="AG266" i="4"/>
  <c r="AF266" i="4"/>
  <c r="AE266" i="4"/>
  <c r="AD266" i="4"/>
  <c r="AH265" i="4"/>
  <c r="AG265" i="4"/>
  <c r="AF265" i="4"/>
  <c r="AE265" i="4"/>
  <c r="AD265" i="4"/>
  <c r="AH264" i="4"/>
  <c r="AG264" i="4"/>
  <c r="AF264" i="4"/>
  <c r="AE264" i="4"/>
  <c r="AD264" i="4"/>
  <c r="AH263" i="4"/>
  <c r="AG263" i="4"/>
  <c r="AF263" i="4"/>
  <c r="AE263" i="4"/>
  <c r="AD263" i="4"/>
  <c r="AH262" i="4"/>
  <c r="AG262" i="4"/>
  <c r="AF262" i="4"/>
  <c r="AE262" i="4"/>
  <c r="AD262" i="4"/>
  <c r="AH261" i="4"/>
  <c r="AG261" i="4"/>
  <c r="AF261" i="4"/>
  <c r="AE261" i="4"/>
  <c r="AD261" i="4"/>
  <c r="AH260" i="4"/>
  <c r="AG260" i="4"/>
  <c r="AF260" i="4"/>
  <c r="AE260" i="4"/>
  <c r="AD260" i="4"/>
  <c r="AH259" i="4"/>
  <c r="AG259" i="4"/>
  <c r="AF259" i="4"/>
  <c r="AE259" i="4"/>
  <c r="AD259" i="4"/>
  <c r="AH258" i="4"/>
  <c r="AG258" i="4"/>
  <c r="AF258" i="4"/>
  <c r="AE258" i="4"/>
  <c r="AD258" i="4"/>
  <c r="AH257" i="4"/>
  <c r="AG257" i="4"/>
  <c r="AF257" i="4"/>
  <c r="AE257" i="4"/>
  <c r="AD257" i="4"/>
  <c r="AH256" i="4"/>
  <c r="AG256" i="4"/>
  <c r="AF256" i="4"/>
  <c r="AE256" i="4"/>
  <c r="AD256" i="4"/>
  <c r="AH255" i="4"/>
  <c r="AG255" i="4"/>
  <c r="AF255" i="4"/>
  <c r="AE255" i="4"/>
  <c r="AD255" i="4"/>
  <c r="AH254" i="4"/>
  <c r="AG254" i="4"/>
  <c r="AF254" i="4"/>
  <c r="AE254" i="4"/>
  <c r="AD254" i="4"/>
  <c r="AH253" i="4"/>
  <c r="AG253" i="4"/>
  <c r="AF253" i="4"/>
  <c r="AE253" i="4"/>
  <c r="AD253" i="4"/>
  <c r="AH252" i="4"/>
  <c r="AG252" i="4"/>
  <c r="AF252" i="4"/>
  <c r="AE252" i="4"/>
  <c r="AD252" i="4"/>
  <c r="AH251" i="4"/>
  <c r="AG251" i="4"/>
  <c r="AF251" i="4"/>
  <c r="AE251" i="4"/>
  <c r="AD251" i="4"/>
  <c r="AH250" i="4"/>
  <c r="AG250" i="4"/>
  <c r="AF250" i="4"/>
  <c r="AE250" i="4"/>
  <c r="AD250" i="4"/>
  <c r="AH249" i="4"/>
  <c r="AG249" i="4"/>
  <c r="AF249" i="4"/>
  <c r="AE249" i="4"/>
  <c r="AD249" i="4"/>
  <c r="AH248" i="4"/>
  <c r="AG248" i="4"/>
  <c r="AF248" i="4"/>
  <c r="AE248" i="4"/>
  <c r="AD248" i="4"/>
  <c r="AH247" i="4"/>
  <c r="AG247" i="4"/>
  <c r="AF247" i="4"/>
  <c r="AE247" i="4"/>
  <c r="AD247" i="4"/>
  <c r="AH246" i="4"/>
  <c r="AG246" i="4"/>
  <c r="AF246" i="4"/>
  <c r="AE246" i="4"/>
  <c r="AD246" i="4"/>
  <c r="AH245" i="4"/>
  <c r="AG245" i="4"/>
  <c r="AF245" i="4"/>
  <c r="AE245" i="4"/>
  <c r="AD245" i="4"/>
  <c r="AH244" i="4"/>
  <c r="AG244" i="4"/>
  <c r="AF244" i="4"/>
  <c r="AE244" i="4"/>
  <c r="AD244" i="4"/>
  <c r="AH243" i="4"/>
  <c r="AG243" i="4"/>
  <c r="AF243" i="4"/>
  <c r="AE243" i="4"/>
  <c r="AD243" i="4"/>
  <c r="AH242" i="4"/>
  <c r="AG242" i="4"/>
  <c r="AF242" i="4"/>
  <c r="AE242" i="4"/>
  <c r="AD242" i="4"/>
  <c r="AH241" i="4"/>
  <c r="AG241" i="4"/>
  <c r="AF241" i="4"/>
  <c r="AE241" i="4"/>
  <c r="AD241" i="4"/>
  <c r="AH240" i="4"/>
  <c r="AG240" i="4"/>
  <c r="AF240" i="4"/>
  <c r="AE240" i="4"/>
  <c r="AD240" i="4"/>
  <c r="AH239" i="4"/>
  <c r="AG239" i="4"/>
  <c r="AF239" i="4"/>
  <c r="AE239" i="4"/>
  <c r="AD239" i="4"/>
  <c r="AH238" i="4"/>
  <c r="AG238" i="4"/>
  <c r="AF238" i="4"/>
  <c r="AE238" i="4"/>
  <c r="AD238" i="4"/>
  <c r="AH237" i="4"/>
  <c r="AG237" i="4"/>
  <c r="AF237" i="4"/>
  <c r="AE237" i="4"/>
  <c r="AD237" i="4"/>
  <c r="AH236" i="4"/>
  <c r="AG236" i="4"/>
  <c r="AF236" i="4"/>
  <c r="AE236" i="4"/>
  <c r="AD236" i="4"/>
  <c r="AH235" i="4"/>
  <c r="AG235" i="4"/>
  <c r="AF235" i="4"/>
  <c r="AE235" i="4"/>
  <c r="AD235" i="4"/>
  <c r="AH234" i="4"/>
  <c r="AG234" i="4"/>
  <c r="AF234" i="4"/>
  <c r="AE234" i="4"/>
  <c r="AD234" i="4"/>
  <c r="AH233" i="4"/>
  <c r="AG233" i="4"/>
  <c r="AF233" i="4"/>
  <c r="AE233" i="4"/>
  <c r="AD233" i="4"/>
  <c r="AH232" i="4"/>
  <c r="AG232" i="4"/>
  <c r="AF232" i="4"/>
  <c r="AE232" i="4"/>
  <c r="AD232" i="4"/>
  <c r="AH231" i="4"/>
  <c r="AG231" i="4"/>
  <c r="AF231" i="4"/>
  <c r="AE231" i="4"/>
  <c r="AD231" i="4"/>
  <c r="AH230" i="4"/>
  <c r="AG230" i="4"/>
  <c r="AF230" i="4"/>
  <c r="AE230" i="4"/>
  <c r="AD230" i="4"/>
  <c r="AH229" i="4"/>
  <c r="AG229" i="4"/>
  <c r="AF229" i="4"/>
  <c r="AE229" i="4"/>
  <c r="AD229" i="4"/>
  <c r="AH228" i="4"/>
  <c r="AG228" i="4"/>
  <c r="AF228" i="4"/>
  <c r="AE228" i="4"/>
  <c r="AD228" i="4"/>
  <c r="AH227" i="4"/>
  <c r="AG227" i="4"/>
  <c r="AF227" i="4"/>
  <c r="AE227" i="4"/>
  <c r="AD227" i="4"/>
  <c r="AH226" i="4"/>
  <c r="AG226" i="4"/>
  <c r="AF226" i="4"/>
  <c r="AE226" i="4"/>
  <c r="AD226" i="4"/>
  <c r="AH225" i="4"/>
  <c r="AG225" i="4"/>
  <c r="AF225" i="4"/>
  <c r="AE225" i="4"/>
  <c r="AD225" i="4"/>
  <c r="AH224" i="4"/>
  <c r="AG224" i="4"/>
  <c r="AF224" i="4"/>
  <c r="AE224" i="4"/>
  <c r="AD224" i="4"/>
  <c r="AH223" i="4"/>
  <c r="AG223" i="4"/>
  <c r="AF223" i="4"/>
  <c r="AE223" i="4"/>
  <c r="AD223" i="4"/>
  <c r="AH222" i="4"/>
  <c r="AG222" i="4"/>
  <c r="AF222" i="4"/>
  <c r="AE222" i="4"/>
  <c r="AD222" i="4"/>
  <c r="AH221" i="4"/>
  <c r="AG221" i="4"/>
  <c r="AF221" i="4"/>
  <c r="AE221" i="4"/>
  <c r="AD221" i="4"/>
  <c r="AH220" i="4"/>
  <c r="AG220" i="4"/>
  <c r="AF220" i="4"/>
  <c r="AE220" i="4"/>
  <c r="AD220" i="4"/>
  <c r="AH219" i="4"/>
  <c r="AG219" i="4"/>
  <c r="AF219" i="4"/>
  <c r="AE219" i="4"/>
  <c r="AD219" i="4"/>
  <c r="AH218" i="4"/>
  <c r="AG218" i="4"/>
  <c r="AF218" i="4"/>
  <c r="AE218" i="4"/>
  <c r="AD218" i="4"/>
  <c r="AH217" i="4"/>
  <c r="AG217" i="4"/>
  <c r="AF217" i="4"/>
  <c r="AE217" i="4"/>
  <c r="AD217" i="4"/>
  <c r="AH216" i="4"/>
  <c r="AG216" i="4"/>
  <c r="AF216" i="4"/>
  <c r="AE216" i="4"/>
  <c r="AD216" i="4"/>
  <c r="AH215" i="4"/>
  <c r="AG215" i="4"/>
  <c r="AF215" i="4"/>
  <c r="AE215" i="4"/>
  <c r="AD215" i="4"/>
  <c r="AH214" i="4"/>
  <c r="AG214" i="4"/>
  <c r="AF214" i="4"/>
  <c r="AE214" i="4"/>
  <c r="AD214" i="4"/>
  <c r="AH213" i="4"/>
  <c r="AG213" i="4"/>
  <c r="AF213" i="4"/>
  <c r="AE213" i="4"/>
  <c r="AD213" i="4"/>
  <c r="AH212" i="4"/>
  <c r="AG212" i="4"/>
  <c r="AF212" i="4"/>
  <c r="AE212" i="4"/>
  <c r="AD212" i="4"/>
  <c r="AH211" i="4"/>
  <c r="AG211" i="4"/>
  <c r="AF211" i="4"/>
  <c r="AE211" i="4"/>
  <c r="AD211" i="4"/>
  <c r="AH210" i="4"/>
  <c r="AG210" i="4"/>
  <c r="AF210" i="4"/>
  <c r="AE210" i="4"/>
  <c r="AD210" i="4"/>
  <c r="AH209" i="4"/>
  <c r="AG209" i="4"/>
  <c r="AF209" i="4"/>
  <c r="AE209" i="4"/>
  <c r="AD209" i="4"/>
  <c r="AH208" i="4"/>
  <c r="AG208" i="4"/>
  <c r="AF208" i="4"/>
  <c r="AE208" i="4"/>
  <c r="AD208" i="4"/>
  <c r="AH207" i="4"/>
  <c r="AG207" i="4"/>
  <c r="AF207" i="4"/>
  <c r="AE207" i="4"/>
  <c r="AD207" i="4"/>
  <c r="AH206" i="4"/>
  <c r="AG206" i="4"/>
  <c r="AF206" i="4"/>
  <c r="AE206" i="4"/>
  <c r="AD206" i="4"/>
  <c r="AH205" i="4"/>
  <c r="AG205" i="4"/>
  <c r="AF205" i="4"/>
  <c r="AE205" i="4"/>
  <c r="AD205" i="4"/>
  <c r="AH204" i="4"/>
  <c r="AG204" i="4"/>
  <c r="AF204" i="4"/>
  <c r="AE204" i="4"/>
  <c r="AD204" i="4"/>
  <c r="AH203" i="4"/>
  <c r="AG203" i="4"/>
  <c r="AF203" i="4"/>
  <c r="AE203" i="4"/>
  <c r="AD203" i="4"/>
  <c r="AH202" i="4"/>
  <c r="AG202" i="4"/>
  <c r="AF202" i="4"/>
  <c r="AE202" i="4"/>
  <c r="AD202" i="4"/>
  <c r="AH201" i="4"/>
  <c r="AG201" i="4"/>
  <c r="AF201" i="4"/>
  <c r="AE201" i="4"/>
  <c r="AD201" i="4"/>
  <c r="AH200" i="4"/>
  <c r="AG200" i="4"/>
  <c r="AF200" i="4"/>
  <c r="AE200" i="4"/>
  <c r="AD200" i="4"/>
  <c r="AH199" i="4"/>
  <c r="AG199" i="4"/>
  <c r="AF199" i="4"/>
  <c r="AE199" i="4"/>
  <c r="AD199" i="4"/>
  <c r="AH198" i="4"/>
  <c r="AG198" i="4"/>
  <c r="AF198" i="4"/>
  <c r="AE198" i="4"/>
  <c r="AD198" i="4"/>
  <c r="AH197" i="4"/>
  <c r="AG197" i="4"/>
  <c r="AF197" i="4"/>
  <c r="AE197" i="4"/>
  <c r="AD197" i="4"/>
  <c r="AH196" i="4"/>
  <c r="AG196" i="4"/>
  <c r="AF196" i="4"/>
  <c r="AE196" i="4"/>
  <c r="AD196" i="4"/>
  <c r="AH195" i="4"/>
  <c r="AG195" i="4"/>
  <c r="AF195" i="4"/>
  <c r="AE195" i="4"/>
  <c r="AD195" i="4"/>
  <c r="AH194" i="4"/>
  <c r="AG194" i="4"/>
  <c r="AF194" i="4"/>
  <c r="AE194" i="4"/>
  <c r="AD194" i="4"/>
  <c r="AH193" i="4"/>
  <c r="AG193" i="4"/>
  <c r="AF193" i="4"/>
  <c r="AE193" i="4"/>
  <c r="AD193" i="4"/>
  <c r="AH192" i="4"/>
  <c r="AG192" i="4"/>
  <c r="AF192" i="4"/>
  <c r="AE192" i="4"/>
  <c r="AD192" i="4"/>
  <c r="AH191" i="4"/>
  <c r="AG191" i="4"/>
  <c r="AF191" i="4"/>
  <c r="AE191" i="4"/>
  <c r="AD191" i="4"/>
  <c r="AH190" i="4"/>
  <c r="AG190" i="4"/>
  <c r="AF190" i="4"/>
  <c r="AE190" i="4"/>
  <c r="AD190" i="4"/>
  <c r="AH189" i="4"/>
  <c r="AG189" i="4"/>
  <c r="AF189" i="4"/>
  <c r="AE189" i="4"/>
  <c r="AD189" i="4"/>
  <c r="AH188" i="4"/>
  <c r="AG188" i="4"/>
  <c r="AF188" i="4"/>
  <c r="AE188" i="4"/>
  <c r="AD188" i="4"/>
  <c r="AH187" i="4"/>
  <c r="AG187" i="4"/>
  <c r="AF187" i="4"/>
  <c r="AE187" i="4"/>
  <c r="AD187" i="4"/>
  <c r="AH186" i="4"/>
  <c r="AG186" i="4"/>
  <c r="AF186" i="4"/>
  <c r="AE186" i="4"/>
  <c r="AD186" i="4"/>
  <c r="AH185" i="4"/>
  <c r="AG185" i="4"/>
  <c r="AF185" i="4"/>
  <c r="AE185" i="4"/>
  <c r="AD185" i="4"/>
  <c r="AH184" i="4"/>
  <c r="AG184" i="4"/>
  <c r="AF184" i="4"/>
  <c r="AE184" i="4"/>
  <c r="AD184" i="4"/>
  <c r="AH183" i="4"/>
  <c r="AG183" i="4"/>
  <c r="AF183" i="4"/>
  <c r="AE183" i="4"/>
  <c r="AD183" i="4"/>
  <c r="AH182" i="4"/>
  <c r="AG182" i="4"/>
  <c r="AF182" i="4"/>
  <c r="AE182" i="4"/>
  <c r="AD182" i="4"/>
  <c r="AH181" i="4"/>
  <c r="AG181" i="4"/>
  <c r="AF181" i="4"/>
  <c r="AE181" i="4"/>
  <c r="AD181" i="4"/>
  <c r="AH180" i="4"/>
  <c r="AG180" i="4"/>
  <c r="AF180" i="4"/>
  <c r="AE180" i="4"/>
  <c r="AD180" i="4"/>
  <c r="AH179" i="4"/>
  <c r="AG179" i="4"/>
  <c r="AF179" i="4"/>
  <c r="AE179" i="4"/>
  <c r="AD179" i="4"/>
  <c r="AH178" i="4"/>
  <c r="AG178" i="4"/>
  <c r="AF178" i="4"/>
  <c r="AE178" i="4"/>
  <c r="AD178" i="4"/>
  <c r="AH177" i="4"/>
  <c r="AG177" i="4"/>
  <c r="AF177" i="4"/>
  <c r="AE177" i="4"/>
  <c r="AD177" i="4"/>
  <c r="AH176" i="4"/>
  <c r="AG176" i="4"/>
  <c r="AF176" i="4"/>
  <c r="AE176" i="4"/>
  <c r="AD176" i="4"/>
  <c r="AH175" i="4"/>
  <c r="AG175" i="4"/>
  <c r="AF175" i="4"/>
  <c r="AE175" i="4"/>
  <c r="AD175" i="4"/>
  <c r="AH174" i="4"/>
  <c r="AG174" i="4"/>
  <c r="AF174" i="4"/>
  <c r="AE174" i="4"/>
  <c r="AD174" i="4"/>
  <c r="AH173" i="4"/>
  <c r="AG173" i="4"/>
  <c r="AF173" i="4"/>
  <c r="AE173" i="4"/>
  <c r="AD173" i="4"/>
  <c r="AH172" i="4"/>
  <c r="AG172" i="4"/>
  <c r="AF172" i="4"/>
  <c r="AE172" i="4"/>
  <c r="AD172" i="4"/>
  <c r="AH171" i="4"/>
  <c r="AG171" i="4"/>
  <c r="AF171" i="4"/>
  <c r="AE171" i="4"/>
  <c r="AD171" i="4"/>
  <c r="AH170" i="4"/>
  <c r="AG170" i="4"/>
  <c r="AF170" i="4"/>
  <c r="AE170" i="4"/>
  <c r="AD170" i="4"/>
  <c r="AH169" i="4"/>
  <c r="AG169" i="4"/>
  <c r="AF169" i="4"/>
  <c r="AE169" i="4"/>
  <c r="AD169" i="4"/>
  <c r="AH168" i="4"/>
  <c r="AG168" i="4"/>
  <c r="AF168" i="4"/>
  <c r="AE168" i="4"/>
  <c r="AD168" i="4"/>
  <c r="AH167" i="4"/>
  <c r="AG167" i="4"/>
  <c r="AF167" i="4"/>
  <c r="AE167" i="4"/>
  <c r="AD167" i="4"/>
  <c r="AH166" i="4"/>
  <c r="AG166" i="4"/>
  <c r="AF166" i="4"/>
  <c r="AE166" i="4"/>
  <c r="AD166" i="4"/>
  <c r="AH165" i="4"/>
  <c r="AG165" i="4"/>
  <c r="AF165" i="4"/>
  <c r="AE165" i="4"/>
  <c r="AD165" i="4"/>
  <c r="AH164" i="4"/>
  <c r="AG164" i="4"/>
  <c r="AF164" i="4"/>
  <c r="AE164" i="4"/>
  <c r="AD164" i="4"/>
  <c r="AH163" i="4"/>
  <c r="AG163" i="4"/>
  <c r="AF163" i="4"/>
  <c r="AE163" i="4"/>
  <c r="AD163" i="4"/>
  <c r="AH162" i="4"/>
  <c r="AG162" i="4"/>
  <c r="AF162" i="4"/>
  <c r="AE162" i="4"/>
  <c r="AD162" i="4"/>
  <c r="AH161" i="4"/>
  <c r="AG161" i="4"/>
  <c r="AF161" i="4"/>
  <c r="AE161" i="4"/>
  <c r="AD161" i="4"/>
  <c r="AH160" i="4"/>
  <c r="AG160" i="4"/>
  <c r="AF160" i="4"/>
  <c r="AE160" i="4"/>
  <c r="AD160" i="4"/>
  <c r="AH159" i="4"/>
  <c r="AG159" i="4"/>
  <c r="AF159" i="4"/>
  <c r="AE159" i="4"/>
  <c r="AD159" i="4"/>
  <c r="AH158" i="4"/>
  <c r="AG158" i="4"/>
  <c r="AF158" i="4"/>
  <c r="AE158" i="4"/>
  <c r="AD158" i="4"/>
  <c r="AH157" i="4"/>
  <c r="AG157" i="4"/>
  <c r="AF157" i="4"/>
  <c r="AE157" i="4"/>
  <c r="AD157" i="4"/>
  <c r="AH156" i="4"/>
  <c r="AG156" i="4"/>
  <c r="AF156" i="4"/>
  <c r="AE156" i="4"/>
  <c r="AD156" i="4"/>
  <c r="AH155" i="4"/>
  <c r="AG155" i="4"/>
  <c r="AF155" i="4"/>
  <c r="AE155" i="4"/>
  <c r="AD155" i="4"/>
  <c r="AH154" i="4"/>
  <c r="AG154" i="4"/>
  <c r="AF154" i="4"/>
  <c r="AE154" i="4"/>
  <c r="AD154" i="4"/>
  <c r="AH153" i="4"/>
  <c r="AG153" i="4"/>
  <c r="AF153" i="4"/>
  <c r="AE153" i="4"/>
  <c r="AD153" i="4"/>
  <c r="AH152" i="4"/>
  <c r="AG152" i="4"/>
  <c r="AF152" i="4"/>
  <c r="AE152" i="4"/>
  <c r="AD152" i="4"/>
  <c r="AH151" i="4"/>
  <c r="AG151" i="4"/>
  <c r="AF151" i="4"/>
  <c r="AE151" i="4"/>
  <c r="AD151" i="4"/>
  <c r="AH150" i="4"/>
  <c r="AG150" i="4"/>
  <c r="AF150" i="4"/>
  <c r="AE150" i="4"/>
  <c r="AD150" i="4"/>
  <c r="AH149" i="4"/>
  <c r="AG149" i="4"/>
  <c r="AF149" i="4"/>
  <c r="AE149" i="4"/>
  <c r="AD149" i="4"/>
  <c r="AH148" i="4"/>
  <c r="AG148" i="4"/>
  <c r="AF148" i="4"/>
  <c r="AE148" i="4"/>
  <c r="AD148" i="4"/>
  <c r="AH147" i="4"/>
  <c r="AG147" i="4"/>
  <c r="AF147" i="4"/>
  <c r="AE147" i="4"/>
  <c r="AD147" i="4"/>
  <c r="AH146" i="4"/>
  <c r="AG146" i="4"/>
  <c r="AF146" i="4"/>
  <c r="AE146" i="4"/>
  <c r="AD146" i="4"/>
  <c r="AH145" i="4"/>
  <c r="AG145" i="4"/>
  <c r="AF145" i="4"/>
  <c r="AE145" i="4"/>
  <c r="AD145" i="4"/>
  <c r="AH144" i="4"/>
  <c r="AG144" i="4"/>
  <c r="AF144" i="4"/>
  <c r="AE144" i="4"/>
  <c r="AD144" i="4"/>
  <c r="AH143" i="4"/>
  <c r="AG143" i="4"/>
  <c r="AF143" i="4"/>
  <c r="AE143" i="4"/>
  <c r="AD143" i="4"/>
  <c r="AH142" i="4"/>
  <c r="AG142" i="4"/>
  <c r="AF142" i="4"/>
  <c r="AE142" i="4"/>
  <c r="AD142" i="4"/>
  <c r="AH141" i="4"/>
  <c r="AG141" i="4"/>
  <c r="AF141" i="4"/>
  <c r="AE141" i="4"/>
  <c r="AD141" i="4"/>
  <c r="AH140" i="4"/>
  <c r="AG140" i="4"/>
  <c r="AF140" i="4"/>
  <c r="AE140" i="4"/>
  <c r="AD140" i="4"/>
  <c r="AH139" i="4"/>
  <c r="AG139" i="4"/>
  <c r="AF139" i="4"/>
  <c r="AE139" i="4"/>
  <c r="AD139" i="4"/>
  <c r="AH138" i="4"/>
  <c r="AG138" i="4"/>
  <c r="AF138" i="4"/>
  <c r="AE138" i="4"/>
  <c r="AD138" i="4"/>
  <c r="AH137" i="4"/>
  <c r="AG137" i="4"/>
  <c r="AF137" i="4"/>
  <c r="AE137" i="4"/>
  <c r="AD137" i="4"/>
  <c r="AH136" i="4"/>
  <c r="AG136" i="4"/>
  <c r="AF136" i="4"/>
  <c r="AE136" i="4"/>
  <c r="AD136" i="4"/>
  <c r="AH135" i="4"/>
  <c r="AG135" i="4"/>
  <c r="AF135" i="4"/>
  <c r="AE135" i="4"/>
  <c r="AD135" i="4"/>
  <c r="AH134" i="4"/>
  <c r="AG134" i="4"/>
  <c r="AF134" i="4"/>
  <c r="AE134" i="4"/>
  <c r="AD134" i="4"/>
  <c r="AH133" i="4"/>
  <c r="AG133" i="4"/>
  <c r="AF133" i="4"/>
  <c r="AE133" i="4"/>
  <c r="AD133" i="4"/>
  <c r="AH132" i="4"/>
  <c r="AG132" i="4"/>
  <c r="AF132" i="4"/>
  <c r="AE132" i="4"/>
  <c r="AD132" i="4"/>
  <c r="AH131" i="4"/>
  <c r="AG131" i="4"/>
  <c r="AF131" i="4"/>
  <c r="AE131" i="4"/>
  <c r="AD131" i="4"/>
  <c r="AH130" i="4"/>
  <c r="AG130" i="4"/>
  <c r="AF130" i="4"/>
  <c r="AE130" i="4"/>
  <c r="AD130" i="4"/>
  <c r="AH129" i="4"/>
  <c r="AG129" i="4"/>
  <c r="AF129" i="4"/>
  <c r="AE129" i="4"/>
  <c r="AD129" i="4"/>
  <c r="AH128" i="4"/>
  <c r="AG128" i="4"/>
  <c r="AF128" i="4"/>
  <c r="AE128" i="4"/>
  <c r="AD128" i="4"/>
  <c r="AH127" i="4"/>
  <c r="AG127" i="4"/>
  <c r="AF127" i="4"/>
  <c r="AE127" i="4"/>
  <c r="AD127" i="4"/>
  <c r="AH126" i="4"/>
  <c r="AG126" i="4"/>
  <c r="AF126" i="4"/>
  <c r="AE126" i="4"/>
  <c r="AD126" i="4"/>
  <c r="AH125" i="4"/>
  <c r="AG125" i="4"/>
  <c r="AF125" i="4"/>
  <c r="AE125" i="4"/>
  <c r="AD125" i="4"/>
  <c r="AH124" i="4"/>
  <c r="AG124" i="4"/>
  <c r="AF124" i="4"/>
  <c r="AE124" i="4"/>
  <c r="AD124" i="4"/>
  <c r="AH123" i="4"/>
  <c r="AG123" i="4"/>
  <c r="AF123" i="4"/>
  <c r="AE123" i="4"/>
  <c r="AD123" i="4"/>
  <c r="AH122" i="4"/>
  <c r="AG122" i="4"/>
  <c r="AF122" i="4"/>
  <c r="AE122" i="4"/>
  <c r="AD122" i="4"/>
  <c r="AH121" i="4"/>
  <c r="AG121" i="4"/>
  <c r="AF121" i="4"/>
  <c r="AE121" i="4"/>
  <c r="AD121" i="4"/>
  <c r="AH120" i="4"/>
  <c r="AG120" i="4"/>
  <c r="AF120" i="4"/>
  <c r="AE120" i="4"/>
  <c r="AD120" i="4"/>
  <c r="AH119" i="4"/>
  <c r="AG119" i="4"/>
  <c r="AF119" i="4"/>
  <c r="AE119" i="4"/>
  <c r="AD119" i="4"/>
  <c r="AH118" i="4"/>
  <c r="AG118" i="4"/>
  <c r="AF118" i="4"/>
  <c r="AE118" i="4"/>
  <c r="AD118" i="4"/>
  <c r="AH117" i="4"/>
  <c r="AG117" i="4"/>
  <c r="AF117" i="4"/>
  <c r="AE117" i="4"/>
  <c r="AD117" i="4"/>
  <c r="AH116" i="4"/>
  <c r="AG116" i="4"/>
  <c r="AF116" i="4"/>
  <c r="AE116" i="4"/>
  <c r="AD116" i="4"/>
  <c r="AH115" i="4"/>
  <c r="AG115" i="4"/>
  <c r="AF115" i="4"/>
  <c r="AE115" i="4"/>
  <c r="AD115" i="4"/>
  <c r="AH114" i="4"/>
  <c r="AG114" i="4"/>
  <c r="AF114" i="4"/>
  <c r="AE114" i="4"/>
  <c r="AD114" i="4"/>
  <c r="AH113" i="4"/>
  <c r="AG113" i="4"/>
  <c r="AF113" i="4"/>
  <c r="AE113" i="4"/>
  <c r="AD113" i="4"/>
  <c r="AA113" i="4"/>
  <c r="Z113" i="4"/>
  <c r="Y113" i="4"/>
  <c r="X113" i="4"/>
  <c r="W113" i="4"/>
  <c r="T113" i="4"/>
  <c r="S113" i="4"/>
  <c r="R113" i="4"/>
  <c r="Q113" i="4"/>
  <c r="P113" i="4"/>
  <c r="AH112" i="4"/>
  <c r="AG112" i="4"/>
  <c r="AF112" i="4"/>
  <c r="AE112" i="4"/>
  <c r="AD112" i="4"/>
  <c r="AA112" i="4"/>
  <c r="Z112" i="4"/>
  <c r="Y112" i="4"/>
  <c r="X112" i="4"/>
  <c r="W112" i="4"/>
  <c r="T112" i="4"/>
  <c r="S112" i="4"/>
  <c r="R112" i="4"/>
  <c r="Q112" i="4"/>
  <c r="P112" i="4"/>
  <c r="AH111" i="4"/>
  <c r="AG111" i="4"/>
  <c r="AF111" i="4"/>
  <c r="AE111" i="4"/>
  <c r="AD111" i="4"/>
  <c r="AA111" i="4"/>
  <c r="Z111" i="4"/>
  <c r="Y111" i="4"/>
  <c r="X111" i="4"/>
  <c r="W111" i="4"/>
  <c r="T111" i="4"/>
  <c r="S111" i="4"/>
  <c r="R111" i="4"/>
  <c r="Q111" i="4"/>
  <c r="P111" i="4"/>
  <c r="AH110" i="4"/>
  <c r="AG110" i="4"/>
  <c r="AF110" i="4"/>
  <c r="AE110" i="4"/>
  <c r="AD110" i="4"/>
  <c r="AA110" i="4"/>
  <c r="Z110" i="4"/>
  <c r="Y110" i="4"/>
  <c r="X110" i="4"/>
  <c r="W110" i="4"/>
  <c r="T110" i="4"/>
  <c r="S110" i="4"/>
  <c r="R110" i="4"/>
  <c r="Q110" i="4"/>
  <c r="P110" i="4"/>
  <c r="AH109" i="4"/>
  <c r="AG109" i="4"/>
  <c r="AF109" i="4"/>
  <c r="AE109" i="4"/>
  <c r="AD109" i="4"/>
  <c r="AA109" i="4"/>
  <c r="Z109" i="4"/>
  <c r="Y109" i="4"/>
  <c r="X109" i="4"/>
  <c r="W109" i="4"/>
  <c r="T109" i="4"/>
  <c r="S109" i="4"/>
  <c r="R109" i="4"/>
  <c r="Q109" i="4"/>
  <c r="P109" i="4"/>
  <c r="AH108" i="4"/>
  <c r="AG108" i="4"/>
  <c r="AF108" i="4"/>
  <c r="AE108" i="4"/>
  <c r="AD108" i="4"/>
  <c r="AA108" i="4"/>
  <c r="Z108" i="4"/>
  <c r="Y108" i="4"/>
  <c r="X108" i="4"/>
  <c r="W108" i="4"/>
  <c r="T108" i="4"/>
  <c r="S108" i="4"/>
  <c r="R108" i="4"/>
  <c r="Q108" i="4"/>
  <c r="P108" i="4"/>
  <c r="AH107" i="4"/>
  <c r="AG107" i="4"/>
  <c r="AF107" i="4"/>
  <c r="AE107" i="4"/>
  <c r="AD107" i="4"/>
  <c r="AA107" i="4"/>
  <c r="Z107" i="4"/>
  <c r="Y107" i="4"/>
  <c r="X107" i="4"/>
  <c r="W107" i="4"/>
  <c r="T107" i="4"/>
  <c r="S107" i="4"/>
  <c r="R107" i="4"/>
  <c r="Q107" i="4"/>
  <c r="P107" i="4"/>
  <c r="AH106" i="4"/>
  <c r="AG106" i="4"/>
  <c r="AF106" i="4"/>
  <c r="AE106" i="4"/>
  <c r="AD106" i="4"/>
  <c r="AA106" i="4"/>
  <c r="Z106" i="4"/>
  <c r="Y106" i="4"/>
  <c r="X106" i="4"/>
  <c r="W106" i="4"/>
  <c r="T106" i="4"/>
  <c r="S106" i="4"/>
  <c r="R106" i="4"/>
  <c r="Q106" i="4"/>
  <c r="P106" i="4"/>
  <c r="AH105" i="4"/>
  <c r="AG105" i="4"/>
  <c r="AF105" i="4"/>
  <c r="AE105" i="4"/>
  <c r="AD105" i="4"/>
  <c r="AA105" i="4"/>
  <c r="Z105" i="4"/>
  <c r="Y105" i="4"/>
  <c r="X105" i="4"/>
  <c r="W105" i="4"/>
  <c r="T105" i="4"/>
  <c r="S105" i="4"/>
  <c r="R105" i="4"/>
  <c r="Q105" i="4"/>
  <c r="P105" i="4"/>
  <c r="AH104" i="4"/>
  <c r="AG104" i="4"/>
  <c r="AF104" i="4"/>
  <c r="AE104" i="4"/>
  <c r="AD104" i="4"/>
  <c r="AA104" i="4"/>
  <c r="Z104" i="4"/>
  <c r="Y104" i="4"/>
  <c r="X104" i="4"/>
  <c r="W104" i="4"/>
  <c r="T104" i="4"/>
  <c r="S104" i="4"/>
  <c r="R104" i="4"/>
  <c r="Q104" i="4"/>
  <c r="P104" i="4"/>
  <c r="AH103" i="4"/>
  <c r="AG103" i="4"/>
  <c r="AF103" i="4"/>
  <c r="AE103" i="4"/>
  <c r="AD103" i="4"/>
  <c r="AA103" i="4"/>
  <c r="Z103" i="4"/>
  <c r="Y103" i="4"/>
  <c r="X103" i="4"/>
  <c r="W103" i="4"/>
  <c r="T103" i="4"/>
  <c r="S103" i="4"/>
  <c r="R103" i="4"/>
  <c r="Q103" i="4"/>
  <c r="P103" i="4"/>
  <c r="AH102" i="4"/>
  <c r="AG102" i="4"/>
  <c r="AF102" i="4"/>
  <c r="AE102" i="4"/>
  <c r="AD102" i="4"/>
  <c r="AA102" i="4"/>
  <c r="Z102" i="4"/>
  <c r="Y102" i="4"/>
  <c r="X102" i="4"/>
  <c r="W102" i="4"/>
  <c r="T102" i="4"/>
  <c r="S102" i="4"/>
  <c r="R102" i="4"/>
  <c r="Q102" i="4"/>
  <c r="P102" i="4"/>
  <c r="AH101" i="4"/>
  <c r="AG101" i="4"/>
  <c r="AF101" i="4"/>
  <c r="AE101" i="4"/>
  <c r="AD101" i="4"/>
  <c r="AA101" i="4"/>
  <c r="Z101" i="4"/>
  <c r="Y101" i="4"/>
  <c r="X101" i="4"/>
  <c r="W101" i="4"/>
  <c r="T101" i="4"/>
  <c r="S101" i="4"/>
  <c r="R101" i="4"/>
  <c r="Q101" i="4"/>
  <c r="P101" i="4"/>
  <c r="AH100" i="4"/>
  <c r="AG100" i="4"/>
  <c r="AF100" i="4"/>
  <c r="AE100" i="4"/>
  <c r="AD100" i="4"/>
  <c r="AA100" i="4"/>
  <c r="Z100" i="4"/>
  <c r="Y100" i="4"/>
  <c r="X100" i="4"/>
  <c r="W100" i="4"/>
  <c r="T100" i="4"/>
  <c r="S100" i="4"/>
  <c r="R100" i="4"/>
  <c r="Q100" i="4"/>
  <c r="P100" i="4"/>
  <c r="AH99" i="4"/>
  <c r="AG99" i="4"/>
  <c r="AF99" i="4"/>
  <c r="AE99" i="4"/>
  <c r="AD99" i="4"/>
  <c r="AA99" i="4"/>
  <c r="Z99" i="4"/>
  <c r="Y99" i="4"/>
  <c r="X99" i="4"/>
  <c r="W99" i="4"/>
  <c r="T99" i="4"/>
  <c r="S99" i="4"/>
  <c r="R99" i="4"/>
  <c r="Q99" i="4"/>
  <c r="P99" i="4"/>
  <c r="AH98" i="4"/>
  <c r="AG98" i="4"/>
  <c r="AF98" i="4"/>
  <c r="AE98" i="4"/>
  <c r="AD98" i="4"/>
  <c r="AA98" i="4"/>
  <c r="Z98" i="4"/>
  <c r="Y98" i="4"/>
  <c r="X98" i="4"/>
  <c r="W98" i="4"/>
  <c r="T98" i="4"/>
  <c r="S98" i="4"/>
  <c r="R98" i="4"/>
  <c r="Q98" i="4"/>
  <c r="P98" i="4"/>
  <c r="AH97" i="4"/>
  <c r="AG97" i="4"/>
  <c r="AF97" i="4"/>
  <c r="AE97" i="4"/>
  <c r="AD97" i="4"/>
  <c r="AA97" i="4"/>
  <c r="Z97" i="4"/>
  <c r="Y97" i="4"/>
  <c r="X97" i="4"/>
  <c r="W97" i="4"/>
  <c r="T97" i="4"/>
  <c r="S97" i="4"/>
  <c r="R97" i="4"/>
  <c r="Q97" i="4"/>
  <c r="P97" i="4"/>
  <c r="AH96" i="4"/>
  <c r="AG96" i="4"/>
  <c r="AF96" i="4"/>
  <c r="AE96" i="4"/>
  <c r="AD96" i="4"/>
  <c r="AA96" i="4"/>
  <c r="Z96" i="4"/>
  <c r="Y96" i="4"/>
  <c r="X96" i="4"/>
  <c r="W96" i="4"/>
  <c r="T96" i="4"/>
  <c r="S96" i="4"/>
  <c r="R96" i="4"/>
  <c r="Q96" i="4"/>
  <c r="P96" i="4"/>
  <c r="AH95" i="4"/>
  <c r="AG95" i="4"/>
  <c r="AF95" i="4"/>
  <c r="AE95" i="4"/>
  <c r="AD95" i="4"/>
  <c r="AA95" i="4"/>
  <c r="Z95" i="4"/>
  <c r="Y95" i="4"/>
  <c r="X95" i="4"/>
  <c r="W95" i="4"/>
  <c r="T95" i="4"/>
  <c r="S95" i="4"/>
  <c r="R95" i="4"/>
  <c r="Q95" i="4"/>
  <c r="P95" i="4"/>
  <c r="AH94" i="4"/>
  <c r="AG94" i="4"/>
  <c r="AF94" i="4"/>
  <c r="AE94" i="4"/>
  <c r="AD94" i="4"/>
  <c r="AA94" i="4"/>
  <c r="Z94" i="4"/>
  <c r="Y94" i="4"/>
  <c r="X94" i="4"/>
  <c r="W94" i="4"/>
  <c r="T94" i="4"/>
  <c r="S94" i="4"/>
  <c r="R94" i="4"/>
  <c r="Q94" i="4"/>
  <c r="P94" i="4"/>
  <c r="AH93" i="4"/>
  <c r="AG93" i="4"/>
  <c r="AF93" i="4"/>
  <c r="AE93" i="4"/>
  <c r="AD93" i="4"/>
  <c r="AA93" i="4"/>
  <c r="Z93" i="4"/>
  <c r="Y93" i="4"/>
  <c r="X93" i="4"/>
  <c r="W93" i="4"/>
  <c r="T93" i="4"/>
  <c r="S93" i="4"/>
  <c r="R93" i="4"/>
  <c r="Q93" i="4"/>
  <c r="P93" i="4"/>
  <c r="AH92" i="4"/>
  <c r="AG92" i="4"/>
  <c r="AF92" i="4"/>
  <c r="AE92" i="4"/>
  <c r="AD92" i="4"/>
  <c r="AA92" i="4"/>
  <c r="Z92" i="4"/>
  <c r="Y92" i="4"/>
  <c r="X92" i="4"/>
  <c r="W92" i="4"/>
  <c r="T92" i="4"/>
  <c r="S92" i="4"/>
  <c r="R92" i="4"/>
  <c r="Q92" i="4"/>
  <c r="P92" i="4"/>
  <c r="AH91" i="4"/>
  <c r="AG91" i="4"/>
  <c r="AF91" i="4"/>
  <c r="AE91" i="4"/>
  <c r="AD91" i="4"/>
  <c r="AA91" i="4"/>
  <c r="Z91" i="4"/>
  <c r="Y91" i="4"/>
  <c r="X91" i="4"/>
  <c r="W91" i="4"/>
  <c r="T91" i="4"/>
  <c r="S91" i="4"/>
  <c r="R91" i="4"/>
  <c r="Q91" i="4"/>
  <c r="P91" i="4"/>
  <c r="AH90" i="4"/>
  <c r="AG90" i="4"/>
  <c r="AF90" i="4"/>
  <c r="AE90" i="4"/>
  <c r="AD90" i="4"/>
  <c r="AA90" i="4"/>
  <c r="Z90" i="4"/>
  <c r="Y90" i="4"/>
  <c r="X90" i="4"/>
  <c r="W90" i="4"/>
  <c r="T90" i="4"/>
  <c r="S90" i="4"/>
  <c r="R90" i="4"/>
  <c r="Q90" i="4"/>
  <c r="P90" i="4"/>
  <c r="AH89" i="4"/>
  <c r="AG89" i="4"/>
  <c r="AF89" i="4"/>
  <c r="AE89" i="4"/>
  <c r="AD89" i="4"/>
  <c r="AA89" i="4"/>
  <c r="Z89" i="4"/>
  <c r="Y89" i="4"/>
  <c r="X89" i="4"/>
  <c r="W89" i="4"/>
  <c r="T89" i="4"/>
  <c r="S89" i="4"/>
  <c r="R89" i="4"/>
  <c r="Q89" i="4"/>
  <c r="P89" i="4"/>
  <c r="AH88" i="4"/>
  <c r="AG88" i="4"/>
  <c r="AF88" i="4"/>
  <c r="AE88" i="4"/>
  <c r="AD88" i="4"/>
  <c r="AA88" i="4"/>
  <c r="Z88" i="4"/>
  <c r="Y88" i="4"/>
  <c r="X88" i="4"/>
  <c r="W88" i="4"/>
  <c r="T88" i="4"/>
  <c r="S88" i="4"/>
  <c r="R88" i="4"/>
  <c r="Q88" i="4"/>
  <c r="P88" i="4"/>
  <c r="AH87" i="4"/>
  <c r="AG87" i="4"/>
  <c r="AF87" i="4"/>
  <c r="AE87" i="4"/>
  <c r="AD87" i="4"/>
  <c r="AA87" i="4"/>
  <c r="Z87" i="4"/>
  <c r="Y87" i="4"/>
  <c r="X87" i="4"/>
  <c r="W87" i="4"/>
  <c r="T87" i="4"/>
  <c r="S87" i="4"/>
  <c r="R87" i="4"/>
  <c r="Q87" i="4"/>
  <c r="P87" i="4"/>
  <c r="AH86" i="4"/>
  <c r="AG86" i="4"/>
  <c r="AF86" i="4"/>
  <c r="AE86" i="4"/>
  <c r="AD86" i="4"/>
  <c r="AA86" i="4"/>
  <c r="Z86" i="4"/>
  <c r="Y86" i="4"/>
  <c r="X86" i="4"/>
  <c r="W86" i="4"/>
  <c r="T86" i="4"/>
  <c r="S86" i="4"/>
  <c r="R86" i="4"/>
  <c r="Q86" i="4"/>
  <c r="P86" i="4"/>
  <c r="AH85" i="4"/>
  <c r="AG85" i="4"/>
  <c r="AF85" i="4"/>
  <c r="AE85" i="4"/>
  <c r="AD85" i="4"/>
  <c r="AA85" i="4"/>
  <c r="Z85" i="4"/>
  <c r="Y85" i="4"/>
  <c r="X85" i="4"/>
  <c r="W85" i="4"/>
  <c r="T85" i="4"/>
  <c r="S85" i="4"/>
  <c r="R85" i="4"/>
  <c r="Q85" i="4"/>
  <c r="P85" i="4"/>
  <c r="AH84" i="4"/>
  <c r="AG84" i="4"/>
  <c r="AF84" i="4"/>
  <c r="AE84" i="4"/>
  <c r="AD84" i="4"/>
  <c r="AA84" i="4"/>
  <c r="Z84" i="4"/>
  <c r="Y84" i="4"/>
  <c r="X84" i="4"/>
  <c r="W84" i="4"/>
  <c r="T84" i="4"/>
  <c r="S84" i="4"/>
  <c r="R84" i="4"/>
  <c r="Q84" i="4"/>
  <c r="P84" i="4"/>
  <c r="AH83" i="4"/>
  <c r="AG83" i="4"/>
  <c r="AF83" i="4"/>
  <c r="AE83" i="4"/>
  <c r="AD83" i="4"/>
  <c r="AA83" i="4"/>
  <c r="Z83" i="4"/>
  <c r="Y83" i="4"/>
  <c r="X83" i="4"/>
  <c r="W83" i="4"/>
  <c r="T83" i="4"/>
  <c r="S83" i="4"/>
  <c r="R83" i="4"/>
  <c r="Q83" i="4"/>
  <c r="P83" i="4"/>
  <c r="AH82" i="4"/>
  <c r="AG82" i="4"/>
  <c r="AF82" i="4"/>
  <c r="AE82" i="4"/>
  <c r="AD82" i="4"/>
  <c r="AA82" i="4"/>
  <c r="Z82" i="4"/>
  <c r="Y82" i="4"/>
  <c r="X82" i="4"/>
  <c r="W82" i="4"/>
  <c r="T82" i="4"/>
  <c r="S82" i="4"/>
  <c r="R82" i="4"/>
  <c r="Q82" i="4"/>
  <c r="P82" i="4"/>
  <c r="AH81" i="4"/>
  <c r="AG81" i="4"/>
  <c r="AF81" i="4"/>
  <c r="AE81" i="4"/>
  <c r="AD81" i="4"/>
  <c r="AA81" i="4"/>
  <c r="Z81" i="4"/>
  <c r="Y81" i="4"/>
  <c r="X81" i="4"/>
  <c r="W81" i="4"/>
  <c r="T81" i="4"/>
  <c r="S81" i="4"/>
  <c r="R81" i="4"/>
  <c r="Q81" i="4"/>
  <c r="P81" i="4"/>
  <c r="AH80" i="4"/>
  <c r="AG80" i="4"/>
  <c r="AF80" i="4"/>
  <c r="AE80" i="4"/>
  <c r="AD80" i="4"/>
  <c r="AA80" i="4"/>
  <c r="Z80" i="4"/>
  <c r="Y80" i="4"/>
  <c r="X80" i="4"/>
  <c r="W80" i="4"/>
  <c r="T80" i="4"/>
  <c r="S80" i="4"/>
  <c r="R80" i="4"/>
  <c r="Q80" i="4"/>
  <c r="P80" i="4"/>
  <c r="AH79" i="4"/>
  <c r="AG79" i="4"/>
  <c r="AF79" i="4"/>
  <c r="AE79" i="4"/>
  <c r="AD79" i="4"/>
  <c r="AA79" i="4"/>
  <c r="Z79" i="4"/>
  <c r="Y79" i="4"/>
  <c r="X79" i="4"/>
  <c r="W79" i="4"/>
  <c r="T79" i="4"/>
  <c r="S79" i="4"/>
  <c r="R79" i="4"/>
  <c r="Q79" i="4"/>
  <c r="P79" i="4"/>
  <c r="AH78" i="4"/>
  <c r="AG78" i="4"/>
  <c r="AF78" i="4"/>
  <c r="AE78" i="4"/>
  <c r="AD78" i="4"/>
  <c r="AA78" i="4"/>
  <c r="Z78" i="4"/>
  <c r="Y78" i="4"/>
  <c r="X78" i="4"/>
  <c r="W78" i="4"/>
  <c r="T78" i="4"/>
  <c r="S78" i="4"/>
  <c r="R78" i="4"/>
  <c r="Q78" i="4"/>
  <c r="P78" i="4"/>
  <c r="AH77" i="4"/>
  <c r="AG77" i="4"/>
  <c r="AF77" i="4"/>
  <c r="AE77" i="4"/>
  <c r="AD77" i="4"/>
  <c r="AA77" i="4"/>
  <c r="Z77" i="4"/>
  <c r="Y77" i="4"/>
  <c r="X77" i="4"/>
  <c r="W77" i="4"/>
  <c r="T77" i="4"/>
  <c r="S77" i="4"/>
  <c r="R77" i="4"/>
  <c r="Q77" i="4"/>
  <c r="P77" i="4"/>
  <c r="AH76" i="4"/>
  <c r="AG76" i="4"/>
  <c r="AF76" i="4"/>
  <c r="AE76" i="4"/>
  <c r="AD76" i="4"/>
  <c r="AA76" i="4"/>
  <c r="Z76" i="4"/>
  <c r="Y76" i="4"/>
  <c r="X76" i="4"/>
  <c r="W76" i="4"/>
  <c r="T76" i="4"/>
  <c r="S76" i="4"/>
  <c r="R76" i="4"/>
  <c r="Q76" i="4"/>
  <c r="P76" i="4"/>
  <c r="AH75" i="4"/>
  <c r="AG75" i="4"/>
  <c r="AF75" i="4"/>
  <c r="AE75" i="4"/>
  <c r="AD75" i="4"/>
  <c r="AA75" i="4"/>
  <c r="Z75" i="4"/>
  <c r="Y75" i="4"/>
  <c r="X75" i="4"/>
  <c r="W75" i="4"/>
  <c r="T75" i="4"/>
  <c r="S75" i="4"/>
  <c r="R75" i="4"/>
  <c r="Q75" i="4"/>
  <c r="P75" i="4"/>
  <c r="AH74" i="4"/>
  <c r="AG74" i="4"/>
  <c r="AF74" i="4"/>
  <c r="AE74" i="4"/>
  <c r="AD74" i="4"/>
  <c r="AA74" i="4"/>
  <c r="Z74" i="4"/>
  <c r="Y74" i="4"/>
  <c r="X74" i="4"/>
  <c r="W74" i="4"/>
  <c r="T74" i="4"/>
  <c r="S74" i="4"/>
  <c r="R74" i="4"/>
  <c r="Q74" i="4"/>
  <c r="P74" i="4"/>
  <c r="AH73" i="4"/>
  <c r="AG73" i="4"/>
  <c r="AF73" i="4"/>
  <c r="AE73" i="4"/>
  <c r="AD73" i="4"/>
  <c r="AA73" i="4"/>
  <c r="Z73" i="4"/>
  <c r="Y73" i="4"/>
  <c r="X73" i="4"/>
  <c r="W73" i="4"/>
  <c r="T73" i="4"/>
  <c r="S73" i="4"/>
  <c r="R73" i="4"/>
  <c r="Q73" i="4"/>
  <c r="P73" i="4"/>
  <c r="AH72" i="4"/>
  <c r="AG72" i="4"/>
  <c r="AF72" i="4"/>
  <c r="AE72" i="4"/>
  <c r="AD72" i="4"/>
  <c r="AA72" i="4"/>
  <c r="Z72" i="4"/>
  <c r="Y72" i="4"/>
  <c r="X72" i="4"/>
  <c r="W72" i="4"/>
  <c r="T72" i="4"/>
  <c r="S72" i="4"/>
  <c r="R72" i="4"/>
  <c r="Q72" i="4"/>
  <c r="P72" i="4"/>
  <c r="AH71" i="4"/>
  <c r="AG71" i="4"/>
  <c r="AF71" i="4"/>
  <c r="AE71" i="4"/>
  <c r="AD71" i="4"/>
  <c r="AA71" i="4"/>
  <c r="Z71" i="4"/>
  <c r="Y71" i="4"/>
  <c r="X71" i="4"/>
  <c r="W71" i="4"/>
  <c r="T71" i="4"/>
  <c r="S71" i="4"/>
  <c r="R71" i="4"/>
  <c r="Q71" i="4"/>
  <c r="P71" i="4"/>
  <c r="AH70" i="4"/>
  <c r="AG70" i="4"/>
  <c r="AF70" i="4"/>
  <c r="AE70" i="4"/>
  <c r="AD70" i="4"/>
  <c r="AA70" i="4"/>
  <c r="Z70" i="4"/>
  <c r="Y70" i="4"/>
  <c r="X70" i="4"/>
  <c r="W70" i="4"/>
  <c r="T70" i="4"/>
  <c r="S70" i="4"/>
  <c r="R70" i="4"/>
  <c r="Q70" i="4"/>
  <c r="P70" i="4"/>
  <c r="AH69" i="4"/>
  <c r="AG69" i="4"/>
  <c r="AF69" i="4"/>
  <c r="AE69" i="4"/>
  <c r="AD69" i="4"/>
  <c r="AA69" i="4"/>
  <c r="Z69" i="4"/>
  <c r="Y69" i="4"/>
  <c r="X69" i="4"/>
  <c r="W69" i="4"/>
  <c r="T69" i="4"/>
  <c r="S69" i="4"/>
  <c r="R69" i="4"/>
  <c r="Q69" i="4"/>
  <c r="P69" i="4"/>
  <c r="AH68" i="4"/>
  <c r="AG68" i="4"/>
  <c r="AF68" i="4"/>
  <c r="AE68" i="4"/>
  <c r="AD68" i="4"/>
  <c r="AA68" i="4"/>
  <c r="Z68" i="4"/>
  <c r="Y68" i="4"/>
  <c r="X68" i="4"/>
  <c r="W68" i="4"/>
  <c r="T68" i="4"/>
  <c r="S68" i="4"/>
  <c r="R68" i="4"/>
  <c r="Q68" i="4"/>
  <c r="P68" i="4"/>
  <c r="AH67" i="4"/>
  <c r="AG67" i="4"/>
  <c r="AF67" i="4"/>
  <c r="AE67" i="4"/>
  <c r="AD67" i="4"/>
  <c r="AA67" i="4"/>
  <c r="Z67" i="4"/>
  <c r="Y67" i="4"/>
  <c r="X67" i="4"/>
  <c r="W67" i="4"/>
  <c r="T67" i="4"/>
  <c r="S67" i="4"/>
  <c r="R67" i="4"/>
  <c r="Q67" i="4"/>
  <c r="P67" i="4"/>
  <c r="AH66" i="4"/>
  <c r="AG66" i="4"/>
  <c r="AF66" i="4"/>
  <c r="AE66" i="4"/>
  <c r="AD66" i="4"/>
  <c r="AA66" i="4"/>
  <c r="Z66" i="4"/>
  <c r="Y66" i="4"/>
  <c r="X66" i="4"/>
  <c r="W66" i="4"/>
  <c r="T66" i="4"/>
  <c r="S66" i="4"/>
  <c r="R66" i="4"/>
  <c r="Q66" i="4"/>
  <c r="P66" i="4"/>
  <c r="AH65" i="4"/>
  <c r="AG65" i="4"/>
  <c r="AF65" i="4"/>
  <c r="AE65" i="4"/>
  <c r="AD65" i="4"/>
  <c r="AA65" i="4"/>
  <c r="Z65" i="4"/>
  <c r="Y65" i="4"/>
  <c r="X65" i="4"/>
  <c r="W65" i="4"/>
  <c r="T65" i="4"/>
  <c r="S65" i="4"/>
  <c r="R65" i="4"/>
  <c r="Q65" i="4"/>
  <c r="P65" i="4"/>
  <c r="AH64" i="4"/>
  <c r="AG64" i="4"/>
  <c r="AF64" i="4"/>
  <c r="AE64" i="4"/>
  <c r="AD64" i="4"/>
  <c r="AA64" i="4"/>
  <c r="Z64" i="4"/>
  <c r="Y64" i="4"/>
  <c r="X64" i="4"/>
  <c r="W64" i="4"/>
  <c r="T64" i="4"/>
  <c r="S64" i="4"/>
  <c r="R64" i="4"/>
  <c r="Q64" i="4"/>
  <c r="P64" i="4"/>
  <c r="AH63" i="4"/>
  <c r="AG63" i="4"/>
  <c r="AF63" i="4"/>
  <c r="AE63" i="4"/>
  <c r="AD63" i="4"/>
  <c r="AA63" i="4"/>
  <c r="Z63" i="4"/>
  <c r="Y63" i="4"/>
  <c r="X63" i="4"/>
  <c r="W63" i="4"/>
  <c r="T63" i="4"/>
  <c r="S63" i="4"/>
  <c r="R63" i="4"/>
  <c r="Q63" i="4"/>
  <c r="P63" i="4"/>
  <c r="AH62" i="4"/>
  <c r="AG62" i="4"/>
  <c r="AF62" i="4"/>
  <c r="AE62" i="4"/>
  <c r="AD62" i="4"/>
  <c r="AA62" i="4"/>
  <c r="Z62" i="4"/>
  <c r="Y62" i="4"/>
  <c r="X62" i="4"/>
  <c r="W62" i="4"/>
  <c r="T62" i="4"/>
  <c r="S62" i="4"/>
  <c r="R62" i="4"/>
  <c r="Q62" i="4"/>
  <c r="P62" i="4"/>
  <c r="AH61" i="4"/>
  <c r="AG61" i="4"/>
  <c r="AF61" i="4"/>
  <c r="AE61" i="4"/>
  <c r="AD61" i="4"/>
  <c r="AA61" i="4"/>
  <c r="Z61" i="4"/>
  <c r="Y61" i="4"/>
  <c r="X61" i="4"/>
  <c r="W61" i="4"/>
  <c r="T61" i="4"/>
  <c r="S61" i="4"/>
  <c r="R61" i="4"/>
  <c r="Q61" i="4"/>
  <c r="P61" i="4"/>
  <c r="AH60" i="4"/>
  <c r="AG60" i="4"/>
  <c r="AF60" i="4"/>
  <c r="AE60" i="4"/>
  <c r="AD60" i="4"/>
  <c r="AA60" i="4"/>
  <c r="Z60" i="4"/>
  <c r="Y60" i="4"/>
  <c r="X60" i="4"/>
  <c r="W60" i="4"/>
  <c r="T60" i="4"/>
  <c r="S60" i="4"/>
  <c r="R60" i="4"/>
  <c r="Q60" i="4"/>
  <c r="P60" i="4"/>
  <c r="AH59" i="4"/>
  <c r="AG59" i="4"/>
  <c r="AF59" i="4"/>
  <c r="AE59" i="4"/>
  <c r="AD59" i="4"/>
  <c r="AA59" i="4"/>
  <c r="Z59" i="4"/>
  <c r="Y59" i="4"/>
  <c r="X59" i="4"/>
  <c r="W59" i="4"/>
  <c r="T59" i="4"/>
  <c r="S59" i="4"/>
  <c r="R59" i="4"/>
  <c r="Q59" i="4"/>
  <c r="P59" i="4"/>
  <c r="AH58" i="4"/>
  <c r="AG58" i="4"/>
  <c r="AF58" i="4"/>
  <c r="AE58" i="4"/>
  <c r="AD58" i="4"/>
  <c r="AA58" i="4"/>
  <c r="Z58" i="4"/>
  <c r="Y58" i="4"/>
  <c r="X58" i="4"/>
  <c r="W58" i="4"/>
  <c r="T58" i="4"/>
  <c r="S58" i="4"/>
  <c r="R58" i="4"/>
  <c r="Q58" i="4"/>
  <c r="P58" i="4"/>
  <c r="AH57" i="4"/>
  <c r="AG57" i="4"/>
  <c r="AF57" i="4"/>
  <c r="AE57" i="4"/>
  <c r="AD57" i="4"/>
  <c r="AA57" i="4"/>
  <c r="Z57" i="4"/>
  <c r="Y57" i="4"/>
  <c r="X57" i="4"/>
  <c r="W57" i="4"/>
  <c r="T57" i="4"/>
  <c r="S57" i="4"/>
  <c r="R57" i="4"/>
  <c r="Q57" i="4"/>
  <c r="P57" i="4"/>
  <c r="AH56" i="4"/>
  <c r="AG56" i="4"/>
  <c r="AF56" i="4"/>
  <c r="AE56" i="4"/>
  <c r="AD56" i="4"/>
  <c r="AA56" i="4"/>
  <c r="Z56" i="4"/>
  <c r="Y56" i="4"/>
  <c r="X56" i="4"/>
  <c r="W56" i="4"/>
  <c r="T56" i="4"/>
  <c r="S56" i="4"/>
  <c r="R56" i="4"/>
  <c r="Q56" i="4"/>
  <c r="P56" i="4"/>
  <c r="AH55" i="4"/>
  <c r="AG55" i="4"/>
  <c r="AF55" i="4"/>
  <c r="AE55" i="4"/>
  <c r="AD55" i="4"/>
  <c r="AA55" i="4"/>
  <c r="Z55" i="4"/>
  <c r="Y55" i="4"/>
  <c r="X55" i="4"/>
  <c r="W55" i="4"/>
  <c r="T55" i="4"/>
  <c r="S55" i="4"/>
  <c r="R55" i="4"/>
  <c r="Q55" i="4"/>
  <c r="P55" i="4"/>
  <c r="AH54" i="4"/>
  <c r="AG54" i="4"/>
  <c r="AF54" i="4"/>
  <c r="AE54" i="4"/>
  <c r="AD54" i="4"/>
  <c r="AA54" i="4"/>
  <c r="Z54" i="4"/>
  <c r="Y54" i="4"/>
  <c r="X54" i="4"/>
  <c r="W54" i="4"/>
  <c r="T54" i="4"/>
  <c r="S54" i="4"/>
  <c r="R54" i="4"/>
  <c r="Q54" i="4"/>
  <c r="P54" i="4"/>
  <c r="BE53" i="4"/>
  <c r="BD53" i="4"/>
  <c r="BC53" i="4"/>
  <c r="BB53" i="4"/>
  <c r="BA53" i="4"/>
  <c r="AX53" i="4"/>
  <c r="AW53" i="4"/>
  <c r="AV53" i="4"/>
  <c r="AU53" i="4"/>
  <c r="AT53" i="4"/>
  <c r="AQ53" i="4"/>
  <c r="AP53" i="4"/>
  <c r="AO53" i="4"/>
  <c r="AN53" i="4"/>
  <c r="AM53" i="4"/>
  <c r="AH53" i="4"/>
  <c r="AG53" i="4"/>
  <c r="AF53" i="4"/>
  <c r="AE53" i="4"/>
  <c r="AD53" i="4"/>
  <c r="AA53" i="4"/>
  <c r="Z53" i="4"/>
  <c r="Y53" i="4"/>
  <c r="X53" i="4"/>
  <c r="W53" i="4"/>
  <c r="T53" i="4"/>
  <c r="S53" i="4"/>
  <c r="R53" i="4"/>
  <c r="Q53" i="4"/>
  <c r="P53" i="4"/>
  <c r="BE52" i="4"/>
  <c r="BD52" i="4"/>
  <c r="BC52" i="4"/>
  <c r="BB52" i="4"/>
  <c r="BA52" i="4"/>
  <c r="AX52" i="4"/>
  <c r="AW52" i="4"/>
  <c r="AV52" i="4"/>
  <c r="AU52" i="4"/>
  <c r="AT52" i="4"/>
  <c r="AQ52" i="4"/>
  <c r="AP52" i="4"/>
  <c r="AO52" i="4"/>
  <c r="AN52" i="4"/>
  <c r="AM52" i="4"/>
  <c r="AH52" i="4"/>
  <c r="AG52" i="4"/>
  <c r="AF52" i="4"/>
  <c r="AE52" i="4"/>
  <c r="AD52" i="4"/>
  <c r="AA52" i="4"/>
  <c r="Z52" i="4"/>
  <c r="Y52" i="4"/>
  <c r="X52" i="4"/>
  <c r="W52" i="4"/>
  <c r="T52" i="4"/>
  <c r="S52" i="4"/>
  <c r="R52" i="4"/>
  <c r="Q52" i="4"/>
  <c r="P52" i="4"/>
  <c r="BE51" i="4"/>
  <c r="BD51" i="4"/>
  <c r="BC51" i="4"/>
  <c r="BB51" i="4"/>
  <c r="BA51" i="4"/>
  <c r="AX51" i="4"/>
  <c r="AW51" i="4"/>
  <c r="AV51" i="4"/>
  <c r="AU51" i="4"/>
  <c r="AT51" i="4"/>
  <c r="AQ51" i="4"/>
  <c r="AP51" i="4"/>
  <c r="AO51" i="4"/>
  <c r="AN51" i="4"/>
  <c r="AM51" i="4"/>
  <c r="AH51" i="4"/>
  <c r="AG51" i="4"/>
  <c r="AF51" i="4"/>
  <c r="AE51" i="4"/>
  <c r="AD51" i="4"/>
  <c r="AA51" i="4"/>
  <c r="Z51" i="4"/>
  <c r="Y51" i="4"/>
  <c r="X51" i="4"/>
  <c r="W51" i="4"/>
  <c r="T51" i="4"/>
  <c r="S51" i="4"/>
  <c r="R51" i="4"/>
  <c r="Q51" i="4"/>
  <c r="P51" i="4"/>
  <c r="BE50" i="4"/>
  <c r="BD50" i="4"/>
  <c r="BC50" i="4"/>
  <c r="BB50" i="4"/>
  <c r="BA50" i="4"/>
  <c r="AX50" i="4"/>
  <c r="AW50" i="4"/>
  <c r="AV50" i="4"/>
  <c r="AU50" i="4"/>
  <c r="AT50" i="4"/>
  <c r="AQ50" i="4"/>
  <c r="AP50" i="4"/>
  <c r="AO50" i="4"/>
  <c r="AN50" i="4"/>
  <c r="AM50" i="4"/>
  <c r="AH50" i="4"/>
  <c r="AG50" i="4"/>
  <c r="AF50" i="4"/>
  <c r="AE50" i="4"/>
  <c r="AD50" i="4"/>
  <c r="AA50" i="4"/>
  <c r="Z50" i="4"/>
  <c r="Y50" i="4"/>
  <c r="X50" i="4"/>
  <c r="W50" i="4"/>
  <c r="T50" i="4"/>
  <c r="S50" i="4"/>
  <c r="R50" i="4"/>
  <c r="Q50" i="4"/>
  <c r="P50" i="4"/>
  <c r="BE49" i="4"/>
  <c r="BD49" i="4"/>
  <c r="BC49" i="4"/>
  <c r="BB49" i="4"/>
  <c r="BA49" i="4"/>
  <c r="AX49" i="4"/>
  <c r="AW49" i="4"/>
  <c r="AV49" i="4"/>
  <c r="AU49" i="4"/>
  <c r="AT49" i="4"/>
  <c r="AQ49" i="4"/>
  <c r="AP49" i="4"/>
  <c r="AO49" i="4"/>
  <c r="AN49" i="4"/>
  <c r="AM49" i="4"/>
  <c r="AH49" i="4"/>
  <c r="AG49" i="4"/>
  <c r="AF49" i="4"/>
  <c r="AE49" i="4"/>
  <c r="AD49" i="4"/>
  <c r="AA49" i="4"/>
  <c r="Z49" i="4"/>
  <c r="Y49" i="4"/>
  <c r="X49" i="4"/>
  <c r="W49" i="4"/>
  <c r="T49" i="4"/>
  <c r="S49" i="4"/>
  <c r="R49" i="4"/>
  <c r="Q49" i="4"/>
  <c r="P49" i="4"/>
  <c r="BE48" i="4"/>
  <c r="BD48" i="4"/>
  <c r="BC48" i="4"/>
  <c r="BB48" i="4"/>
  <c r="BA48" i="4"/>
  <c r="AX48" i="4"/>
  <c r="AW48" i="4"/>
  <c r="AV48" i="4"/>
  <c r="AU48" i="4"/>
  <c r="AT48" i="4"/>
  <c r="AQ48" i="4"/>
  <c r="AP48" i="4"/>
  <c r="AO48" i="4"/>
  <c r="AN48" i="4"/>
  <c r="AM48" i="4"/>
  <c r="AH48" i="4"/>
  <c r="AG48" i="4"/>
  <c r="AF48" i="4"/>
  <c r="AE48" i="4"/>
  <c r="AD48" i="4"/>
  <c r="AA48" i="4"/>
  <c r="Z48" i="4"/>
  <c r="Y48" i="4"/>
  <c r="X48" i="4"/>
  <c r="W48" i="4"/>
  <c r="T48" i="4"/>
  <c r="S48" i="4"/>
  <c r="R48" i="4"/>
  <c r="Q48" i="4"/>
  <c r="P48" i="4"/>
  <c r="BE47" i="4"/>
  <c r="BD47" i="4"/>
  <c r="BC47" i="4"/>
  <c r="BB47" i="4"/>
  <c r="BA47" i="4"/>
  <c r="AX47" i="4"/>
  <c r="AW47" i="4"/>
  <c r="AV47" i="4"/>
  <c r="AU47" i="4"/>
  <c r="AT47" i="4"/>
  <c r="AQ47" i="4"/>
  <c r="AP47" i="4"/>
  <c r="AO47" i="4"/>
  <c r="AN47" i="4"/>
  <c r="AM47" i="4"/>
  <c r="AH47" i="4"/>
  <c r="AG47" i="4"/>
  <c r="AF47" i="4"/>
  <c r="AE47" i="4"/>
  <c r="AD47" i="4"/>
  <c r="AA47" i="4"/>
  <c r="Z47" i="4"/>
  <c r="Y47" i="4"/>
  <c r="X47" i="4"/>
  <c r="W47" i="4"/>
  <c r="T47" i="4"/>
  <c r="S47" i="4"/>
  <c r="R47" i="4"/>
  <c r="Q47" i="4"/>
  <c r="P47" i="4"/>
  <c r="BE46" i="4"/>
  <c r="BD46" i="4"/>
  <c r="BC46" i="4"/>
  <c r="BB46" i="4"/>
  <c r="BA46" i="4"/>
  <c r="AX46" i="4"/>
  <c r="AW46" i="4"/>
  <c r="AV46" i="4"/>
  <c r="AU46" i="4"/>
  <c r="AT46" i="4"/>
  <c r="AQ46" i="4"/>
  <c r="AP46" i="4"/>
  <c r="AO46" i="4"/>
  <c r="AN46" i="4"/>
  <c r="AM46" i="4"/>
  <c r="AH46" i="4"/>
  <c r="AG46" i="4"/>
  <c r="AF46" i="4"/>
  <c r="AE46" i="4"/>
  <c r="AD46" i="4"/>
  <c r="AA46" i="4"/>
  <c r="Z46" i="4"/>
  <c r="Y46" i="4"/>
  <c r="X46" i="4"/>
  <c r="W46" i="4"/>
  <c r="T46" i="4"/>
  <c r="S46" i="4"/>
  <c r="R46" i="4"/>
  <c r="Q46" i="4"/>
  <c r="P46" i="4"/>
  <c r="BE45" i="4"/>
  <c r="BD45" i="4"/>
  <c r="BC45" i="4"/>
  <c r="BB45" i="4"/>
  <c r="BA45" i="4"/>
  <c r="AX45" i="4"/>
  <c r="AW45" i="4"/>
  <c r="AV45" i="4"/>
  <c r="AU45" i="4"/>
  <c r="AT45" i="4"/>
  <c r="AQ45" i="4"/>
  <c r="AP45" i="4"/>
  <c r="AO45" i="4"/>
  <c r="AN45" i="4"/>
  <c r="AM45" i="4"/>
  <c r="AH45" i="4"/>
  <c r="AG45" i="4"/>
  <c r="AF45" i="4"/>
  <c r="AE45" i="4"/>
  <c r="AD45" i="4"/>
  <c r="AA45" i="4"/>
  <c r="Z45" i="4"/>
  <c r="Y45" i="4"/>
  <c r="X45" i="4"/>
  <c r="W45" i="4"/>
  <c r="T45" i="4"/>
  <c r="S45" i="4"/>
  <c r="R45" i="4"/>
  <c r="Q45" i="4"/>
  <c r="P45" i="4"/>
  <c r="BE44" i="4"/>
  <c r="BD44" i="4"/>
  <c r="BC44" i="4"/>
  <c r="BB44" i="4"/>
  <c r="BA44" i="4"/>
  <c r="AX44" i="4"/>
  <c r="AW44" i="4"/>
  <c r="AV44" i="4"/>
  <c r="AU44" i="4"/>
  <c r="AT44" i="4"/>
  <c r="AQ44" i="4"/>
  <c r="AP44" i="4"/>
  <c r="AO44" i="4"/>
  <c r="AN44" i="4"/>
  <c r="AM44" i="4"/>
  <c r="AH44" i="4"/>
  <c r="AG44" i="4"/>
  <c r="AF44" i="4"/>
  <c r="AE44" i="4"/>
  <c r="AD44" i="4"/>
  <c r="AA44" i="4"/>
  <c r="Z44" i="4"/>
  <c r="Y44" i="4"/>
  <c r="X44" i="4"/>
  <c r="W44" i="4"/>
  <c r="T44" i="4"/>
  <c r="S44" i="4"/>
  <c r="R44" i="4"/>
  <c r="Q44" i="4"/>
  <c r="P44" i="4"/>
  <c r="BE43" i="4"/>
  <c r="BD43" i="4"/>
  <c r="BC43" i="4"/>
  <c r="BB43" i="4"/>
  <c r="BA43" i="4"/>
  <c r="AX43" i="4"/>
  <c r="AW43" i="4"/>
  <c r="AV43" i="4"/>
  <c r="AU43" i="4"/>
  <c r="AT43" i="4"/>
  <c r="AQ43" i="4"/>
  <c r="AP43" i="4"/>
  <c r="AO43" i="4"/>
  <c r="AN43" i="4"/>
  <c r="AM43" i="4"/>
  <c r="AH43" i="4"/>
  <c r="AG43" i="4"/>
  <c r="AF43" i="4"/>
  <c r="AE43" i="4"/>
  <c r="AD43" i="4"/>
  <c r="AA43" i="4"/>
  <c r="Z43" i="4"/>
  <c r="Y43" i="4"/>
  <c r="X43" i="4"/>
  <c r="W43" i="4"/>
  <c r="T43" i="4"/>
  <c r="S43" i="4"/>
  <c r="R43" i="4"/>
  <c r="Q43" i="4"/>
  <c r="P43" i="4"/>
  <c r="BE42" i="4"/>
  <c r="BD42" i="4"/>
  <c r="BC42" i="4"/>
  <c r="BB42" i="4"/>
  <c r="BA42" i="4"/>
  <c r="AX42" i="4"/>
  <c r="AW42" i="4"/>
  <c r="AV42" i="4"/>
  <c r="AU42" i="4"/>
  <c r="AT42" i="4"/>
  <c r="AQ42" i="4"/>
  <c r="AP42" i="4"/>
  <c r="AO42" i="4"/>
  <c r="AN42" i="4"/>
  <c r="AM42" i="4"/>
  <c r="AH42" i="4"/>
  <c r="AG42" i="4"/>
  <c r="AF42" i="4"/>
  <c r="AE42" i="4"/>
  <c r="AD42" i="4"/>
  <c r="AA42" i="4"/>
  <c r="Z42" i="4"/>
  <c r="Y42" i="4"/>
  <c r="X42" i="4"/>
  <c r="W42" i="4"/>
  <c r="T42" i="4"/>
  <c r="S42" i="4"/>
  <c r="R42" i="4"/>
  <c r="Q42" i="4"/>
  <c r="P42" i="4"/>
  <c r="BE41" i="4"/>
  <c r="BD41" i="4"/>
  <c r="BC41" i="4"/>
  <c r="BB41" i="4"/>
  <c r="BA41" i="4"/>
  <c r="AX41" i="4"/>
  <c r="AW41" i="4"/>
  <c r="AV41" i="4"/>
  <c r="AU41" i="4"/>
  <c r="AT41" i="4"/>
  <c r="AQ41" i="4"/>
  <c r="AP41" i="4"/>
  <c r="AO41" i="4"/>
  <c r="AN41" i="4"/>
  <c r="AM41" i="4"/>
  <c r="AH41" i="4"/>
  <c r="AG41" i="4"/>
  <c r="AF41" i="4"/>
  <c r="AE41" i="4"/>
  <c r="AD41" i="4"/>
  <c r="AA41" i="4"/>
  <c r="Z41" i="4"/>
  <c r="Y41" i="4"/>
  <c r="X41" i="4"/>
  <c r="W41" i="4"/>
  <c r="T41" i="4"/>
  <c r="S41" i="4"/>
  <c r="R41" i="4"/>
  <c r="Q41" i="4"/>
  <c r="P41" i="4"/>
  <c r="BE40" i="4"/>
  <c r="BD40" i="4"/>
  <c r="BC40" i="4"/>
  <c r="BB40" i="4"/>
  <c r="BA40" i="4"/>
  <c r="AX40" i="4"/>
  <c r="AW40" i="4"/>
  <c r="AV40" i="4"/>
  <c r="AU40" i="4"/>
  <c r="AT40" i="4"/>
  <c r="AQ40" i="4"/>
  <c r="AP40" i="4"/>
  <c r="AO40" i="4"/>
  <c r="AN40" i="4"/>
  <c r="AM40" i="4"/>
  <c r="AH40" i="4"/>
  <c r="AG40" i="4"/>
  <c r="AF40" i="4"/>
  <c r="AE40" i="4"/>
  <c r="AD40" i="4"/>
  <c r="AA40" i="4"/>
  <c r="Z40" i="4"/>
  <c r="Y40" i="4"/>
  <c r="X40" i="4"/>
  <c r="W40" i="4"/>
  <c r="T40" i="4"/>
  <c r="S40" i="4"/>
  <c r="R40" i="4"/>
  <c r="Q40" i="4"/>
  <c r="P40" i="4"/>
  <c r="BE39" i="4"/>
  <c r="BD39" i="4"/>
  <c r="BC39" i="4"/>
  <c r="BB39" i="4"/>
  <c r="BA39" i="4"/>
  <c r="AX39" i="4"/>
  <c r="AW39" i="4"/>
  <c r="AV39" i="4"/>
  <c r="AU39" i="4"/>
  <c r="AT39" i="4"/>
  <c r="AQ39" i="4"/>
  <c r="AP39" i="4"/>
  <c r="AO39" i="4"/>
  <c r="AN39" i="4"/>
  <c r="AM39" i="4"/>
  <c r="AH39" i="4"/>
  <c r="AG39" i="4"/>
  <c r="AF39" i="4"/>
  <c r="AE39" i="4"/>
  <c r="AD39" i="4"/>
  <c r="AA39" i="4"/>
  <c r="Z39" i="4"/>
  <c r="Y39" i="4"/>
  <c r="X39" i="4"/>
  <c r="W39" i="4"/>
  <c r="T39" i="4"/>
  <c r="S39" i="4"/>
  <c r="R39" i="4"/>
  <c r="Q39" i="4"/>
  <c r="P39" i="4"/>
  <c r="BE38" i="4"/>
  <c r="BD38" i="4"/>
  <c r="BC38" i="4"/>
  <c r="BB38" i="4"/>
  <c r="BA38" i="4"/>
  <c r="AX38" i="4"/>
  <c r="AW38" i="4"/>
  <c r="AV38" i="4"/>
  <c r="AU38" i="4"/>
  <c r="AT38" i="4"/>
  <c r="AQ38" i="4"/>
  <c r="AP38" i="4"/>
  <c r="AO38" i="4"/>
  <c r="AN38" i="4"/>
  <c r="AM38" i="4"/>
  <c r="AH38" i="4"/>
  <c r="AG38" i="4"/>
  <c r="AF38" i="4"/>
  <c r="AE38" i="4"/>
  <c r="AD38" i="4"/>
  <c r="AA38" i="4"/>
  <c r="Z38" i="4"/>
  <c r="Y38" i="4"/>
  <c r="X38" i="4"/>
  <c r="W38" i="4"/>
  <c r="T38" i="4"/>
  <c r="S38" i="4"/>
  <c r="R38" i="4"/>
  <c r="Q38" i="4"/>
  <c r="P38" i="4"/>
  <c r="BE37" i="4"/>
  <c r="BD37" i="4"/>
  <c r="BC37" i="4"/>
  <c r="BB37" i="4"/>
  <c r="BA37" i="4"/>
  <c r="AX37" i="4"/>
  <c r="AW37" i="4"/>
  <c r="AV37" i="4"/>
  <c r="AU37" i="4"/>
  <c r="AT37" i="4"/>
  <c r="AQ37" i="4"/>
  <c r="AP37" i="4"/>
  <c r="AO37" i="4"/>
  <c r="AN37" i="4"/>
  <c r="AM37" i="4"/>
  <c r="AH37" i="4"/>
  <c r="AG37" i="4"/>
  <c r="AF37" i="4"/>
  <c r="AE37" i="4"/>
  <c r="AD37" i="4"/>
  <c r="AA37" i="4"/>
  <c r="Z37" i="4"/>
  <c r="Y37" i="4"/>
  <c r="X37" i="4"/>
  <c r="W37" i="4"/>
  <c r="T37" i="4"/>
  <c r="S37" i="4"/>
  <c r="R37" i="4"/>
  <c r="Q37" i="4"/>
  <c r="P37" i="4"/>
  <c r="BE36" i="4"/>
  <c r="BD36" i="4"/>
  <c r="BC36" i="4"/>
  <c r="BB36" i="4"/>
  <c r="BA36" i="4"/>
  <c r="AX36" i="4"/>
  <c r="AW36" i="4"/>
  <c r="AV36" i="4"/>
  <c r="AU36" i="4"/>
  <c r="AT36" i="4"/>
  <c r="AQ36" i="4"/>
  <c r="AP36" i="4"/>
  <c r="AO36" i="4"/>
  <c r="AN36" i="4"/>
  <c r="AM36" i="4"/>
  <c r="AH36" i="4"/>
  <c r="AG36" i="4"/>
  <c r="AF36" i="4"/>
  <c r="AE36" i="4"/>
  <c r="AD36" i="4"/>
  <c r="AA36" i="4"/>
  <c r="Z36" i="4"/>
  <c r="Y36" i="4"/>
  <c r="X36" i="4"/>
  <c r="W36" i="4"/>
  <c r="T36" i="4"/>
  <c r="S36" i="4"/>
  <c r="R36" i="4"/>
  <c r="Q36" i="4"/>
  <c r="P36" i="4"/>
  <c r="BE35" i="4"/>
  <c r="BD35" i="4"/>
  <c r="BC35" i="4"/>
  <c r="BB35" i="4"/>
  <c r="BA35" i="4"/>
  <c r="AX35" i="4"/>
  <c r="AW35" i="4"/>
  <c r="AV35" i="4"/>
  <c r="AU35" i="4"/>
  <c r="AT35" i="4"/>
  <c r="AQ35" i="4"/>
  <c r="AP35" i="4"/>
  <c r="AO35" i="4"/>
  <c r="AN35" i="4"/>
  <c r="AM35" i="4"/>
  <c r="AH35" i="4"/>
  <c r="AG35" i="4"/>
  <c r="AF35" i="4"/>
  <c r="AE35" i="4"/>
  <c r="AD35" i="4"/>
  <c r="AA35" i="4"/>
  <c r="Z35" i="4"/>
  <c r="Y35" i="4"/>
  <c r="X35" i="4"/>
  <c r="W35" i="4"/>
  <c r="T35" i="4"/>
  <c r="S35" i="4"/>
  <c r="R35" i="4"/>
  <c r="Q35" i="4"/>
  <c r="P35" i="4"/>
  <c r="BE34" i="4"/>
  <c r="BD34" i="4"/>
  <c r="BC34" i="4"/>
  <c r="BB34" i="4"/>
  <c r="BA34" i="4"/>
  <c r="AX34" i="4"/>
  <c r="AW34" i="4"/>
  <c r="AV34" i="4"/>
  <c r="AU34" i="4"/>
  <c r="AT34" i="4"/>
  <c r="AQ34" i="4"/>
  <c r="AP34" i="4"/>
  <c r="AO34" i="4"/>
  <c r="AN34" i="4"/>
  <c r="AM34" i="4"/>
  <c r="AH34" i="4"/>
  <c r="AG34" i="4"/>
  <c r="AF34" i="4"/>
  <c r="AE34" i="4"/>
  <c r="AD34" i="4"/>
  <c r="AA34" i="4"/>
  <c r="Z34" i="4"/>
  <c r="Y34" i="4"/>
  <c r="X34" i="4"/>
  <c r="W34" i="4"/>
  <c r="T34" i="4"/>
  <c r="S34" i="4"/>
  <c r="R34" i="4"/>
  <c r="Q34" i="4"/>
  <c r="P34" i="4"/>
  <c r="BE33" i="4"/>
  <c r="BD33" i="4"/>
  <c r="BC33" i="4"/>
  <c r="BB33" i="4"/>
  <c r="BA33" i="4"/>
  <c r="AX33" i="4"/>
  <c r="AW33" i="4"/>
  <c r="AV33" i="4"/>
  <c r="AU33" i="4"/>
  <c r="AT33" i="4"/>
  <c r="AQ33" i="4"/>
  <c r="AP33" i="4"/>
  <c r="AO33" i="4"/>
  <c r="AN33" i="4"/>
  <c r="AM33" i="4"/>
  <c r="AH33" i="4"/>
  <c r="AG33" i="4"/>
  <c r="AF33" i="4"/>
  <c r="AE33" i="4"/>
  <c r="AD33" i="4"/>
  <c r="AA33" i="4"/>
  <c r="Z33" i="4"/>
  <c r="Y33" i="4"/>
  <c r="X33" i="4"/>
  <c r="W33" i="4"/>
  <c r="T33" i="4"/>
  <c r="S33" i="4"/>
  <c r="R33" i="4"/>
  <c r="Q33" i="4"/>
  <c r="P33" i="4"/>
  <c r="BE32" i="4"/>
  <c r="BD32" i="4"/>
  <c r="BC32" i="4"/>
  <c r="BB32" i="4"/>
  <c r="BA32" i="4"/>
  <c r="AX32" i="4"/>
  <c r="AW32" i="4"/>
  <c r="AV32" i="4"/>
  <c r="AU32" i="4"/>
  <c r="AT32" i="4"/>
  <c r="AQ32" i="4"/>
  <c r="AP32" i="4"/>
  <c r="AO32" i="4"/>
  <c r="AN32" i="4"/>
  <c r="AM32" i="4"/>
  <c r="AH32" i="4"/>
  <c r="AG32" i="4"/>
  <c r="AF32" i="4"/>
  <c r="AE32" i="4"/>
  <c r="AD32" i="4"/>
  <c r="AA32" i="4"/>
  <c r="Z32" i="4"/>
  <c r="Y32" i="4"/>
  <c r="X32" i="4"/>
  <c r="W32" i="4"/>
  <c r="T32" i="4"/>
  <c r="S32" i="4"/>
  <c r="R32" i="4"/>
  <c r="Q32" i="4"/>
  <c r="P32" i="4"/>
  <c r="BE31" i="4"/>
  <c r="BD31" i="4"/>
  <c r="BC31" i="4"/>
  <c r="BB31" i="4"/>
  <c r="BA31" i="4"/>
  <c r="AX31" i="4"/>
  <c r="AW31" i="4"/>
  <c r="AV31" i="4"/>
  <c r="AU31" i="4"/>
  <c r="AT31" i="4"/>
  <c r="AQ31" i="4"/>
  <c r="AP31" i="4"/>
  <c r="AO31" i="4"/>
  <c r="AN31" i="4"/>
  <c r="AM31" i="4"/>
  <c r="AH31" i="4"/>
  <c r="AG31" i="4"/>
  <c r="AF31" i="4"/>
  <c r="AE31" i="4"/>
  <c r="AD31" i="4"/>
  <c r="AA31" i="4"/>
  <c r="Z31" i="4"/>
  <c r="Y31" i="4"/>
  <c r="X31" i="4"/>
  <c r="W31" i="4"/>
  <c r="T31" i="4"/>
  <c r="S31" i="4"/>
  <c r="R31" i="4"/>
  <c r="Q31" i="4"/>
  <c r="P31" i="4"/>
  <c r="BE30" i="4"/>
  <c r="BD30" i="4"/>
  <c r="BC30" i="4"/>
  <c r="BB30" i="4"/>
  <c r="BA30" i="4"/>
  <c r="AX30" i="4"/>
  <c r="AW30" i="4"/>
  <c r="AV30" i="4"/>
  <c r="AU30" i="4"/>
  <c r="AT30" i="4"/>
  <c r="AQ30" i="4"/>
  <c r="AP30" i="4"/>
  <c r="AO30" i="4"/>
  <c r="AN30" i="4"/>
  <c r="AM30" i="4"/>
  <c r="AH30" i="4"/>
  <c r="AG30" i="4"/>
  <c r="AF30" i="4"/>
  <c r="AE30" i="4"/>
  <c r="AD30" i="4"/>
  <c r="AA30" i="4"/>
  <c r="Z30" i="4"/>
  <c r="Y30" i="4"/>
  <c r="X30" i="4"/>
  <c r="W30" i="4"/>
  <c r="T30" i="4"/>
  <c r="S30" i="4"/>
  <c r="R30" i="4"/>
  <c r="Q30" i="4"/>
  <c r="P30" i="4"/>
  <c r="BE29" i="4"/>
  <c r="BD29" i="4"/>
  <c r="BC29" i="4"/>
  <c r="BB29" i="4"/>
  <c r="BA29" i="4"/>
  <c r="AX29" i="4"/>
  <c r="AW29" i="4"/>
  <c r="AV29" i="4"/>
  <c r="AU29" i="4"/>
  <c r="AT29" i="4"/>
  <c r="AQ29" i="4"/>
  <c r="AP29" i="4"/>
  <c r="AO29" i="4"/>
  <c r="AN29" i="4"/>
  <c r="AM29" i="4"/>
  <c r="AH29" i="4"/>
  <c r="AG29" i="4"/>
  <c r="AF29" i="4"/>
  <c r="AE29" i="4"/>
  <c r="AD29" i="4"/>
  <c r="AA29" i="4"/>
  <c r="Z29" i="4"/>
  <c r="Y29" i="4"/>
  <c r="X29" i="4"/>
  <c r="W29" i="4"/>
  <c r="T29" i="4"/>
  <c r="S29" i="4"/>
  <c r="R29" i="4"/>
  <c r="Q29" i="4"/>
  <c r="P29" i="4"/>
  <c r="BE28" i="4"/>
  <c r="BD28" i="4"/>
  <c r="BC28" i="4"/>
  <c r="BB28" i="4"/>
  <c r="BA28" i="4"/>
  <c r="AX28" i="4"/>
  <c r="AW28" i="4"/>
  <c r="AV28" i="4"/>
  <c r="AU28" i="4"/>
  <c r="AT28" i="4"/>
  <c r="AQ28" i="4"/>
  <c r="AP28" i="4"/>
  <c r="AO28" i="4"/>
  <c r="AN28" i="4"/>
  <c r="AM28" i="4"/>
  <c r="AH28" i="4"/>
  <c r="AG28" i="4"/>
  <c r="AF28" i="4"/>
  <c r="AE28" i="4"/>
  <c r="AD28" i="4"/>
  <c r="AA28" i="4"/>
  <c r="Z28" i="4"/>
  <c r="Y28" i="4"/>
  <c r="X28" i="4"/>
  <c r="W28" i="4"/>
  <c r="T28" i="4"/>
  <c r="S28" i="4"/>
  <c r="R28" i="4"/>
  <c r="Q28" i="4"/>
  <c r="P28" i="4"/>
  <c r="BE27" i="4"/>
  <c r="BD27" i="4"/>
  <c r="BC27" i="4"/>
  <c r="BB27" i="4"/>
  <c r="BA27" i="4"/>
  <c r="AX27" i="4"/>
  <c r="AW27" i="4"/>
  <c r="AV27" i="4"/>
  <c r="AU27" i="4"/>
  <c r="AT27" i="4"/>
  <c r="AQ27" i="4"/>
  <c r="AP27" i="4"/>
  <c r="AO27" i="4"/>
  <c r="AN27" i="4"/>
  <c r="AM27" i="4"/>
  <c r="AH27" i="4"/>
  <c r="AG27" i="4"/>
  <c r="AF27" i="4"/>
  <c r="AE27" i="4"/>
  <c r="AD27" i="4"/>
  <c r="AA27" i="4"/>
  <c r="Z27" i="4"/>
  <c r="Y27" i="4"/>
  <c r="X27" i="4"/>
  <c r="W27" i="4"/>
  <c r="T27" i="4"/>
  <c r="S27" i="4"/>
  <c r="R27" i="4"/>
  <c r="Q27" i="4"/>
  <c r="P27" i="4"/>
  <c r="BE26" i="4"/>
  <c r="BD26" i="4"/>
  <c r="BC26" i="4"/>
  <c r="BB26" i="4"/>
  <c r="BA26" i="4"/>
  <c r="AX26" i="4"/>
  <c r="AW26" i="4"/>
  <c r="AV26" i="4"/>
  <c r="AU26" i="4"/>
  <c r="AT26" i="4"/>
  <c r="AQ26" i="4"/>
  <c r="AP26" i="4"/>
  <c r="AO26" i="4"/>
  <c r="AN26" i="4"/>
  <c r="AM26" i="4"/>
  <c r="AH26" i="4"/>
  <c r="AG26" i="4"/>
  <c r="AF26" i="4"/>
  <c r="AE26" i="4"/>
  <c r="AD26" i="4"/>
  <c r="AA26" i="4"/>
  <c r="Z26" i="4"/>
  <c r="Y26" i="4"/>
  <c r="X26" i="4"/>
  <c r="W26" i="4"/>
  <c r="T26" i="4"/>
  <c r="S26" i="4"/>
  <c r="R26" i="4"/>
  <c r="Q26" i="4"/>
  <c r="P26" i="4"/>
  <c r="BE25" i="4"/>
  <c r="BD25" i="4"/>
  <c r="BC25" i="4"/>
  <c r="BB25" i="4"/>
  <c r="BA25" i="4"/>
  <c r="AX25" i="4"/>
  <c r="AW25" i="4"/>
  <c r="AV25" i="4"/>
  <c r="AU25" i="4"/>
  <c r="AT25" i="4"/>
  <c r="AQ25" i="4"/>
  <c r="AP25" i="4"/>
  <c r="AO25" i="4"/>
  <c r="AN25" i="4"/>
  <c r="AM25" i="4"/>
  <c r="AH25" i="4"/>
  <c r="AG25" i="4"/>
  <c r="AF25" i="4"/>
  <c r="AE25" i="4"/>
  <c r="AD25" i="4"/>
  <c r="AA25" i="4"/>
  <c r="Z25" i="4"/>
  <c r="Y25" i="4"/>
  <c r="X25" i="4"/>
  <c r="W25" i="4"/>
  <c r="T25" i="4"/>
  <c r="S25" i="4"/>
  <c r="R25" i="4"/>
  <c r="Q25" i="4"/>
  <c r="P25" i="4"/>
  <c r="BE24" i="4"/>
  <c r="BD24" i="4"/>
  <c r="BC24" i="4"/>
  <c r="BB24" i="4"/>
  <c r="BA24" i="4"/>
  <c r="AX24" i="4"/>
  <c r="AW24" i="4"/>
  <c r="AV24" i="4"/>
  <c r="AU24" i="4"/>
  <c r="AT24" i="4"/>
  <c r="AQ24" i="4"/>
  <c r="AP24" i="4"/>
  <c r="AO24" i="4"/>
  <c r="AN24" i="4"/>
  <c r="AM24" i="4"/>
  <c r="AH24" i="4"/>
  <c r="AG24" i="4"/>
  <c r="AF24" i="4"/>
  <c r="AE24" i="4"/>
  <c r="AD24" i="4"/>
  <c r="AA24" i="4"/>
  <c r="Z24" i="4"/>
  <c r="Y24" i="4"/>
  <c r="X24" i="4"/>
  <c r="W24" i="4"/>
  <c r="T24" i="4"/>
  <c r="S24" i="4"/>
  <c r="R24" i="4"/>
  <c r="Q24" i="4"/>
  <c r="P24" i="4"/>
  <c r="BE23" i="4"/>
  <c r="BD23" i="4"/>
  <c r="BC23" i="4"/>
  <c r="BB23" i="4"/>
  <c r="BA23" i="4"/>
  <c r="AX23" i="4"/>
  <c r="AW23" i="4"/>
  <c r="AV23" i="4"/>
  <c r="AU23" i="4"/>
  <c r="AT23" i="4"/>
  <c r="AQ23" i="4"/>
  <c r="AP23" i="4"/>
  <c r="AO23" i="4"/>
  <c r="AN23" i="4"/>
  <c r="AM23" i="4"/>
  <c r="AH23" i="4"/>
  <c r="AG23" i="4"/>
  <c r="AF23" i="4"/>
  <c r="AE23" i="4"/>
  <c r="AD23" i="4"/>
  <c r="AA23" i="4"/>
  <c r="Z23" i="4"/>
  <c r="Y23" i="4"/>
  <c r="X23" i="4"/>
  <c r="W23" i="4"/>
  <c r="T23" i="4"/>
  <c r="S23" i="4"/>
  <c r="R23" i="4"/>
  <c r="Q23" i="4"/>
  <c r="P23" i="4"/>
  <c r="BE22" i="4"/>
  <c r="BD22" i="4"/>
  <c r="BC22" i="4"/>
  <c r="BB22" i="4"/>
  <c r="BA22" i="4"/>
  <c r="AX22" i="4"/>
  <c r="AW22" i="4"/>
  <c r="AV22" i="4"/>
  <c r="AU22" i="4"/>
  <c r="AT22" i="4"/>
  <c r="AQ22" i="4"/>
  <c r="AP22" i="4"/>
  <c r="AO22" i="4"/>
  <c r="AN22" i="4"/>
  <c r="AM22" i="4"/>
  <c r="AH22" i="4"/>
  <c r="AG22" i="4"/>
  <c r="AF22" i="4"/>
  <c r="AE22" i="4"/>
  <c r="AD22" i="4"/>
  <c r="AA22" i="4"/>
  <c r="Z22" i="4"/>
  <c r="Y22" i="4"/>
  <c r="X22" i="4"/>
  <c r="W22" i="4"/>
  <c r="T22" i="4"/>
  <c r="S22" i="4"/>
  <c r="R22" i="4"/>
  <c r="Q22" i="4"/>
  <c r="P22" i="4"/>
  <c r="BE21" i="4"/>
  <c r="BD21" i="4"/>
  <c r="BC21" i="4"/>
  <c r="BB21" i="4"/>
  <c r="BA21" i="4"/>
  <c r="AX21" i="4"/>
  <c r="AW21" i="4"/>
  <c r="AV21" i="4"/>
  <c r="AU21" i="4"/>
  <c r="AT21" i="4"/>
  <c r="AQ21" i="4"/>
  <c r="AP21" i="4"/>
  <c r="AO21" i="4"/>
  <c r="AN21" i="4"/>
  <c r="AM21" i="4"/>
  <c r="AH21" i="4"/>
  <c r="AG21" i="4"/>
  <c r="AF21" i="4"/>
  <c r="AE21" i="4"/>
  <c r="AD21" i="4"/>
  <c r="AA21" i="4"/>
  <c r="Z21" i="4"/>
  <c r="Y21" i="4"/>
  <c r="X21" i="4"/>
  <c r="W21" i="4"/>
  <c r="T21" i="4"/>
  <c r="S21" i="4"/>
  <c r="R21" i="4"/>
  <c r="Q21" i="4"/>
  <c r="P21" i="4"/>
  <c r="BE20" i="4"/>
  <c r="BD20" i="4"/>
  <c r="BC20" i="4"/>
  <c r="BB20" i="4"/>
  <c r="BA20" i="4"/>
  <c r="AX20" i="4"/>
  <c r="AW20" i="4"/>
  <c r="AV20" i="4"/>
  <c r="AU20" i="4"/>
  <c r="AT20" i="4"/>
  <c r="AQ20" i="4"/>
  <c r="AP20" i="4"/>
  <c r="AO20" i="4"/>
  <c r="AN20" i="4"/>
  <c r="AM20" i="4"/>
  <c r="AH20" i="4"/>
  <c r="AG20" i="4"/>
  <c r="AF20" i="4"/>
  <c r="AE20" i="4"/>
  <c r="AD20" i="4"/>
  <c r="AA20" i="4"/>
  <c r="Z20" i="4"/>
  <c r="Y20" i="4"/>
  <c r="X20" i="4"/>
  <c r="W20" i="4"/>
  <c r="T20" i="4"/>
  <c r="S20" i="4"/>
  <c r="R20" i="4"/>
  <c r="Q20" i="4"/>
  <c r="P20" i="4"/>
  <c r="BE19" i="4"/>
  <c r="BD19" i="4"/>
  <c r="BC19" i="4"/>
  <c r="BB19" i="4"/>
  <c r="BA19" i="4"/>
  <c r="AX19" i="4"/>
  <c r="AW19" i="4"/>
  <c r="AV19" i="4"/>
  <c r="AU19" i="4"/>
  <c r="AT19" i="4"/>
  <c r="AQ19" i="4"/>
  <c r="AP19" i="4"/>
  <c r="AO19" i="4"/>
  <c r="AN19" i="4"/>
  <c r="AM19" i="4"/>
  <c r="AH19" i="4"/>
  <c r="AG19" i="4"/>
  <c r="AF19" i="4"/>
  <c r="AE19" i="4"/>
  <c r="AD19" i="4"/>
  <c r="AA19" i="4"/>
  <c r="Z19" i="4"/>
  <c r="Y19" i="4"/>
  <c r="X19" i="4"/>
  <c r="W19" i="4"/>
  <c r="T19" i="4"/>
  <c r="S19" i="4"/>
  <c r="R19" i="4"/>
  <c r="Q19" i="4"/>
  <c r="P19" i="4"/>
  <c r="BE18" i="4"/>
  <c r="BD18" i="4"/>
  <c r="BC18" i="4"/>
  <c r="BB18" i="4"/>
  <c r="BA18" i="4"/>
  <c r="AX18" i="4"/>
  <c r="AW18" i="4"/>
  <c r="AV18" i="4"/>
  <c r="AU18" i="4"/>
  <c r="AT18" i="4"/>
  <c r="AQ18" i="4"/>
  <c r="AP18" i="4"/>
  <c r="AO18" i="4"/>
  <c r="AN18" i="4"/>
  <c r="AM18" i="4"/>
  <c r="AH18" i="4"/>
  <c r="AG18" i="4"/>
  <c r="AF18" i="4"/>
  <c r="AE18" i="4"/>
  <c r="AD18" i="4"/>
  <c r="AA18" i="4"/>
  <c r="Z18" i="4"/>
  <c r="Y18" i="4"/>
  <c r="X18" i="4"/>
  <c r="W18" i="4"/>
  <c r="T18" i="4"/>
  <c r="S18" i="4"/>
  <c r="R18" i="4"/>
  <c r="Q18" i="4"/>
  <c r="P18" i="4"/>
  <c r="BE17" i="4"/>
  <c r="BD17" i="4"/>
  <c r="BC17" i="4"/>
  <c r="BB17" i="4"/>
  <c r="BA17" i="4"/>
  <c r="AX17" i="4"/>
  <c r="AW17" i="4"/>
  <c r="AV17" i="4"/>
  <c r="AU17" i="4"/>
  <c r="AT17" i="4"/>
  <c r="AQ17" i="4"/>
  <c r="AP17" i="4"/>
  <c r="AO17" i="4"/>
  <c r="AN17" i="4"/>
  <c r="AM17" i="4"/>
  <c r="AH17" i="4"/>
  <c r="AG17" i="4"/>
  <c r="AF17" i="4"/>
  <c r="AE17" i="4"/>
  <c r="AD17" i="4"/>
  <c r="AA17" i="4"/>
  <c r="Z17" i="4"/>
  <c r="Y17" i="4"/>
  <c r="X17" i="4"/>
  <c r="W17" i="4"/>
  <c r="T17" i="4"/>
  <c r="S17" i="4"/>
  <c r="R17" i="4"/>
  <c r="Q17" i="4"/>
  <c r="P17" i="4"/>
  <c r="BE16" i="4"/>
  <c r="BD16" i="4"/>
  <c r="BC16" i="4"/>
  <c r="BB16" i="4"/>
  <c r="BA16" i="4"/>
  <c r="AX16" i="4"/>
  <c r="AW16" i="4"/>
  <c r="AV16" i="4"/>
  <c r="AU16" i="4"/>
  <c r="AT16" i="4"/>
  <c r="AQ16" i="4"/>
  <c r="AP16" i="4"/>
  <c r="AO16" i="4"/>
  <c r="AN16" i="4"/>
  <c r="AM16" i="4"/>
  <c r="AH16" i="4"/>
  <c r="AG16" i="4"/>
  <c r="AF16" i="4"/>
  <c r="AE16" i="4"/>
  <c r="AD16" i="4"/>
  <c r="AA16" i="4"/>
  <c r="Z16" i="4"/>
  <c r="Y16" i="4"/>
  <c r="X16" i="4"/>
  <c r="W16" i="4"/>
  <c r="T16" i="4"/>
  <c r="S16" i="4"/>
  <c r="R16" i="4"/>
  <c r="Q16" i="4"/>
  <c r="P16" i="4"/>
  <c r="BE15" i="4"/>
  <c r="BD15" i="4"/>
  <c r="BC15" i="4"/>
  <c r="BB15" i="4"/>
  <c r="BA15" i="4"/>
  <c r="AX15" i="4"/>
  <c r="AW15" i="4"/>
  <c r="AV15" i="4"/>
  <c r="AU15" i="4"/>
  <c r="AT15" i="4"/>
  <c r="AQ15" i="4"/>
  <c r="AP15" i="4"/>
  <c r="AO15" i="4"/>
  <c r="AN15" i="4"/>
  <c r="AM15" i="4"/>
  <c r="AH15" i="4"/>
  <c r="AG15" i="4"/>
  <c r="AF15" i="4"/>
  <c r="AE15" i="4"/>
  <c r="AD15" i="4"/>
  <c r="AA15" i="4"/>
  <c r="Z15" i="4"/>
  <c r="Y15" i="4"/>
  <c r="X15" i="4"/>
  <c r="W15" i="4"/>
  <c r="T15" i="4"/>
  <c r="S15" i="4"/>
  <c r="R15" i="4"/>
  <c r="Q15" i="4"/>
  <c r="P15" i="4"/>
  <c r="BE14" i="4"/>
  <c r="BD14" i="4"/>
  <c r="BC14" i="4"/>
  <c r="BB14" i="4"/>
  <c r="BA14" i="4"/>
  <c r="AX14" i="4"/>
  <c r="AW14" i="4"/>
  <c r="AV14" i="4"/>
  <c r="AU14" i="4"/>
  <c r="AT14" i="4"/>
  <c r="AQ14" i="4"/>
  <c r="AP14" i="4"/>
  <c r="AO14" i="4"/>
  <c r="AN14" i="4"/>
  <c r="AM14" i="4"/>
  <c r="AH14" i="4"/>
  <c r="AG14" i="4"/>
  <c r="AF14" i="4"/>
  <c r="AE14" i="4"/>
  <c r="AD14" i="4"/>
  <c r="AA14" i="4"/>
  <c r="Z14" i="4"/>
  <c r="Y14" i="4"/>
  <c r="X14" i="4"/>
  <c r="W14" i="4"/>
  <c r="T14" i="4"/>
  <c r="S14" i="4"/>
  <c r="R14" i="4"/>
  <c r="Q14" i="4"/>
  <c r="P14" i="4"/>
  <c r="BE13" i="4"/>
  <c r="BD13" i="4"/>
  <c r="BC13" i="4"/>
  <c r="BB13" i="4"/>
  <c r="BA13" i="4"/>
  <c r="AX13" i="4"/>
  <c r="AW13" i="4"/>
  <c r="AV13" i="4"/>
  <c r="AU13" i="4"/>
  <c r="AT13" i="4"/>
  <c r="AQ13" i="4"/>
  <c r="AP13" i="4"/>
  <c r="AO13" i="4"/>
  <c r="AN13" i="4"/>
  <c r="AM13" i="4"/>
  <c r="AH13" i="4"/>
  <c r="AG13" i="4"/>
  <c r="AF13" i="4"/>
  <c r="AE13" i="4"/>
  <c r="AD13" i="4"/>
  <c r="AA13" i="4"/>
  <c r="Z13" i="4"/>
  <c r="Y13" i="4"/>
  <c r="X13" i="4"/>
  <c r="W13" i="4"/>
  <c r="T13" i="4"/>
  <c r="S13" i="4"/>
  <c r="R13" i="4"/>
  <c r="Q13" i="4"/>
  <c r="P13" i="4"/>
  <c r="BE12" i="4"/>
  <c r="BD12" i="4"/>
  <c r="BC12" i="4"/>
  <c r="BB12" i="4"/>
  <c r="BA12" i="4"/>
  <c r="AX12" i="4"/>
  <c r="AW12" i="4"/>
  <c r="AV12" i="4"/>
  <c r="AU12" i="4"/>
  <c r="AT12" i="4"/>
  <c r="AQ12" i="4"/>
  <c r="AP12" i="4"/>
  <c r="AO12" i="4"/>
  <c r="AN12" i="4"/>
  <c r="AM12" i="4"/>
  <c r="AH12" i="4"/>
  <c r="AG12" i="4"/>
  <c r="AF12" i="4"/>
  <c r="AE12" i="4"/>
  <c r="AD12" i="4"/>
  <c r="AA12" i="4"/>
  <c r="Z12" i="4"/>
  <c r="Y12" i="4"/>
  <c r="X12" i="4"/>
  <c r="W12" i="4"/>
  <c r="T12" i="4"/>
  <c r="S12" i="4"/>
  <c r="R12" i="4"/>
  <c r="Q12" i="4"/>
  <c r="P12" i="4"/>
  <c r="BE11" i="4"/>
  <c r="BD11" i="4"/>
  <c r="BC11" i="4"/>
  <c r="BB11" i="4"/>
  <c r="BA11" i="4"/>
  <c r="AX11" i="4"/>
  <c r="AW11" i="4"/>
  <c r="AV11" i="4"/>
  <c r="AU11" i="4"/>
  <c r="AT11" i="4"/>
  <c r="AQ11" i="4"/>
  <c r="AP11" i="4"/>
  <c r="AO11" i="4"/>
  <c r="AN11" i="4"/>
  <c r="AM11" i="4"/>
  <c r="AH11" i="4"/>
  <c r="AG11" i="4"/>
  <c r="AF11" i="4"/>
  <c r="AE11" i="4"/>
  <c r="AD11" i="4"/>
  <c r="AA11" i="4"/>
  <c r="Z11" i="4"/>
  <c r="Y11" i="4"/>
  <c r="X11" i="4"/>
  <c r="W11" i="4"/>
  <c r="T11" i="4"/>
  <c r="S11" i="4"/>
  <c r="R11" i="4"/>
  <c r="Q11" i="4"/>
  <c r="P11" i="4"/>
  <c r="BE10" i="4"/>
  <c r="BD10" i="4"/>
  <c r="BC10" i="4"/>
  <c r="BB10" i="4"/>
  <c r="BA10" i="4"/>
  <c r="AX10" i="4"/>
  <c r="AW10" i="4"/>
  <c r="AV10" i="4"/>
  <c r="AU10" i="4"/>
  <c r="AT10" i="4"/>
  <c r="AQ10" i="4"/>
  <c r="AP10" i="4"/>
  <c r="AO10" i="4"/>
  <c r="AN10" i="4"/>
  <c r="AM10" i="4"/>
  <c r="AH10" i="4"/>
  <c r="AG10" i="4"/>
  <c r="AF10" i="4"/>
  <c r="AE10" i="4"/>
  <c r="AD10" i="4"/>
  <c r="AA10" i="4"/>
  <c r="Z10" i="4"/>
  <c r="Y10" i="4"/>
  <c r="X10" i="4"/>
  <c r="W10" i="4"/>
  <c r="T10" i="4"/>
  <c r="S10" i="4"/>
  <c r="R10" i="4"/>
  <c r="Q10" i="4"/>
  <c r="P10" i="4"/>
  <c r="BE9" i="4"/>
  <c r="BD9" i="4"/>
  <c r="BC9" i="4"/>
  <c r="BB9" i="4"/>
  <c r="BA9" i="4"/>
  <c r="AX9" i="4"/>
  <c r="AW9" i="4"/>
  <c r="AV9" i="4"/>
  <c r="AU9" i="4"/>
  <c r="AT9" i="4"/>
  <c r="AQ9" i="4"/>
  <c r="AP9" i="4"/>
  <c r="AO9" i="4"/>
  <c r="AN9" i="4"/>
  <c r="AM9" i="4"/>
  <c r="AH9" i="4"/>
  <c r="AG9" i="4"/>
  <c r="AF9" i="4"/>
  <c r="AE9" i="4"/>
  <c r="AD9" i="4"/>
  <c r="AA9" i="4"/>
  <c r="Z9" i="4"/>
  <c r="Y9" i="4"/>
  <c r="X9" i="4"/>
  <c r="W9" i="4"/>
  <c r="T9" i="4"/>
  <c r="S9" i="4"/>
  <c r="R9" i="4"/>
  <c r="Q9" i="4"/>
  <c r="P9" i="4"/>
  <c r="BE8" i="4"/>
  <c r="BD8" i="4"/>
  <c r="BC8" i="4"/>
  <c r="BB8" i="4"/>
  <c r="BA8" i="4"/>
  <c r="AX8" i="4"/>
  <c r="AW8" i="4"/>
  <c r="AV8" i="4"/>
  <c r="AU8" i="4"/>
  <c r="AT8" i="4"/>
  <c r="AQ8" i="4"/>
  <c r="AP8" i="4"/>
  <c r="AO8" i="4"/>
  <c r="AN8" i="4"/>
  <c r="AM8" i="4"/>
  <c r="AH8" i="4"/>
  <c r="AG8" i="4"/>
  <c r="AF8" i="4"/>
  <c r="AE8" i="4"/>
  <c r="AD8" i="4"/>
  <c r="AA8" i="4"/>
  <c r="Z8" i="4"/>
  <c r="Y8" i="4"/>
  <c r="X8" i="4"/>
  <c r="W8" i="4"/>
  <c r="T8" i="4"/>
  <c r="S8" i="4"/>
  <c r="R8" i="4"/>
  <c r="Q8" i="4"/>
  <c r="P8" i="4"/>
  <c r="BE7" i="4"/>
  <c r="BD7" i="4"/>
  <c r="BC7" i="4"/>
  <c r="BB7" i="4"/>
  <c r="BA7" i="4"/>
  <c r="AX7" i="4"/>
  <c r="AW7" i="4"/>
  <c r="AV7" i="4"/>
  <c r="AU7" i="4"/>
  <c r="AT7" i="4"/>
  <c r="AQ7" i="4"/>
  <c r="AP7" i="4"/>
  <c r="AO7" i="4"/>
  <c r="AN7" i="4"/>
  <c r="AM7" i="4"/>
  <c r="AH7" i="4"/>
  <c r="AG7" i="4"/>
  <c r="AF7" i="4"/>
  <c r="AE7" i="4"/>
  <c r="AD7" i="4"/>
  <c r="AA7" i="4"/>
  <c r="Z7" i="4"/>
  <c r="Y7" i="4"/>
  <c r="X7" i="4"/>
  <c r="W7" i="4"/>
  <c r="T7" i="4"/>
  <c r="S7" i="4"/>
  <c r="R7" i="4"/>
  <c r="Q7" i="4"/>
  <c r="P7" i="4"/>
  <c r="BE6" i="4"/>
  <c r="BD6" i="4"/>
  <c r="BC6" i="4"/>
  <c r="BB6" i="4"/>
  <c r="BA6" i="4"/>
  <c r="AX6" i="4"/>
  <c r="AW6" i="4"/>
  <c r="AV6" i="4"/>
  <c r="AU6" i="4"/>
  <c r="AT6" i="4"/>
  <c r="AQ6" i="4"/>
  <c r="AP6" i="4"/>
  <c r="AO6" i="4"/>
  <c r="AN6" i="4"/>
  <c r="AM6" i="4"/>
  <c r="AH6" i="4"/>
  <c r="AG6" i="4"/>
  <c r="AF6" i="4"/>
  <c r="AE6" i="4"/>
  <c r="AD6" i="4"/>
  <c r="AA6" i="4"/>
  <c r="Z6" i="4"/>
  <c r="Y6" i="4"/>
  <c r="X6" i="4"/>
  <c r="W6" i="4"/>
  <c r="T6" i="4"/>
  <c r="S6" i="4"/>
  <c r="R6" i="4"/>
  <c r="Q6" i="4"/>
  <c r="P6" i="4"/>
  <c r="BE5" i="4"/>
  <c r="BD5" i="4"/>
  <c r="BC5" i="4"/>
  <c r="BB5" i="4"/>
  <c r="BA5" i="4"/>
  <c r="AX5" i="4"/>
  <c r="AW5" i="4"/>
  <c r="AV5" i="4"/>
  <c r="AU5" i="4"/>
  <c r="AT5" i="4"/>
  <c r="AQ5" i="4"/>
  <c r="AP5" i="4"/>
  <c r="AO5" i="4"/>
  <c r="AN5" i="4"/>
  <c r="AM5" i="4"/>
  <c r="AH5" i="4"/>
  <c r="AG5" i="4"/>
  <c r="AF5" i="4"/>
  <c r="AE5" i="4"/>
  <c r="AD5" i="4"/>
  <c r="AA5" i="4"/>
  <c r="Z5" i="4"/>
  <c r="Y5" i="4"/>
  <c r="X5" i="4"/>
  <c r="W5" i="4"/>
  <c r="T5" i="4"/>
  <c r="S5" i="4"/>
  <c r="R5" i="4"/>
  <c r="Q5" i="4"/>
  <c r="P5" i="4"/>
  <c r="BE4" i="4"/>
  <c r="BD4" i="4"/>
  <c r="BC4" i="4"/>
  <c r="BB4" i="4"/>
  <c r="BA4" i="4"/>
  <c r="AX4" i="4"/>
  <c r="AW4" i="4"/>
  <c r="AV4" i="4"/>
  <c r="AU4" i="4"/>
  <c r="AT4" i="4"/>
  <c r="AQ4" i="4"/>
  <c r="AP4" i="4"/>
  <c r="AO4" i="4"/>
  <c r="AN4" i="4"/>
  <c r="AM4" i="4"/>
  <c r="AH4" i="4"/>
  <c r="AG4" i="4"/>
  <c r="AF4" i="4"/>
  <c r="AE4" i="4"/>
  <c r="AD4" i="4"/>
  <c r="AA4" i="4"/>
  <c r="Z4" i="4"/>
  <c r="Y4" i="4"/>
  <c r="X4" i="4"/>
  <c r="W4" i="4"/>
  <c r="T4" i="4"/>
  <c r="S4" i="4"/>
  <c r="R4" i="4"/>
  <c r="Q4" i="4"/>
  <c r="P4" i="4"/>
  <c r="AZ97" i="2" l="1"/>
  <c r="BA92" i="2"/>
  <c r="BC82" i="2"/>
  <c r="AZ73" i="2"/>
  <c r="BA68" i="2"/>
  <c r="BC100" i="2"/>
  <c r="AZ91" i="2"/>
  <c r="BA86" i="2"/>
  <c r="BC76" i="2"/>
  <c r="AZ67" i="2"/>
  <c r="AZ103" i="2"/>
  <c r="BA98" i="2"/>
  <c r="BC88" i="2"/>
  <c r="AZ79" i="2"/>
  <c r="BA74" i="2"/>
  <c r="BC64" i="2"/>
  <c r="BC94" i="2"/>
  <c r="AZ85" i="2"/>
  <c r="BA80" i="2"/>
  <c r="BC70" i="2"/>
  <c r="BB4" i="2"/>
  <c r="AY102" i="2"/>
  <c r="BB99" i="2"/>
  <c r="AY96" i="2"/>
  <c r="BB93" i="2"/>
  <c r="AY90" i="2"/>
  <c r="BB87" i="2"/>
  <c r="AY84" i="2"/>
  <c r="BB81" i="2"/>
  <c r="AY78" i="2"/>
  <c r="BB75" i="2"/>
  <c r="AY72" i="2"/>
  <c r="BB69" i="2"/>
  <c r="AY66" i="2"/>
  <c r="BB63" i="2"/>
  <c r="BA62" i="2"/>
  <c r="AZ61" i="2"/>
  <c r="AY60" i="2"/>
  <c r="BC58" i="2"/>
  <c r="BB57" i="2"/>
  <c r="BA56" i="2"/>
  <c r="AZ55" i="2"/>
  <c r="AY54" i="2"/>
  <c r="BC52" i="2"/>
  <c r="BB51" i="2"/>
  <c r="BA50" i="2"/>
  <c r="AZ49" i="2"/>
  <c r="AY48" i="2"/>
  <c r="BC46" i="2"/>
  <c r="BB45" i="2"/>
  <c r="BA44" i="2"/>
  <c r="AZ43" i="2"/>
  <c r="AY42" i="2"/>
  <c r="BC40" i="2"/>
  <c r="BB39" i="2"/>
  <c r="BA38" i="2"/>
  <c r="AZ37" i="2"/>
  <c r="AY36" i="2"/>
  <c r="BC34" i="2"/>
  <c r="BB33" i="2"/>
  <c r="BA32" i="2"/>
  <c r="AY4" i="2"/>
  <c r="AU69" i="2"/>
  <c r="AO69" i="2"/>
  <c r="K69" i="2"/>
  <c r="AU97" i="2"/>
  <c r="AO97" i="2"/>
  <c r="K97" i="2"/>
  <c r="AZ31" i="2"/>
  <c r="AY30" i="2"/>
  <c r="BC28" i="2"/>
  <c r="BB27" i="2"/>
  <c r="BA26" i="2"/>
  <c r="AZ25" i="2"/>
  <c r="AY24" i="2"/>
  <c r="BC22" i="2"/>
  <c r="BB21" i="2"/>
  <c r="BA20" i="2"/>
  <c r="AZ19" i="2"/>
  <c r="AY18" i="2"/>
  <c r="BC16" i="2"/>
  <c r="BB15" i="2"/>
  <c r="BA14" i="2"/>
  <c r="AZ13" i="2"/>
  <c r="AY12" i="2"/>
  <c r="BC10" i="2"/>
  <c r="BB9" i="2"/>
  <c r="BA8" i="2"/>
  <c r="AZ7" i="2"/>
  <c r="AY6" i="2"/>
  <c r="AU59" i="2"/>
  <c r="AO59" i="2"/>
  <c r="K59" i="2"/>
  <c r="AU79" i="2"/>
  <c r="AO79" i="2"/>
  <c r="K79" i="2"/>
  <c r="AU89" i="2"/>
  <c r="AO89" i="2"/>
  <c r="K89" i="2"/>
  <c r="AM4" i="2"/>
  <c r="I4" i="2"/>
  <c r="AS4" i="2"/>
  <c r="AS5" i="2"/>
  <c r="AM5" i="2"/>
  <c r="I5" i="2"/>
  <c r="AS6" i="2"/>
  <c r="AM6" i="2"/>
  <c r="I6" i="2"/>
  <c r="AS7" i="2"/>
  <c r="AM7" i="2"/>
  <c r="I7" i="2"/>
  <c r="AS8" i="2"/>
  <c r="AM8" i="2"/>
  <c r="I8" i="2"/>
  <c r="AS9" i="2"/>
  <c r="AM9" i="2"/>
  <c r="I9" i="2"/>
  <c r="AS10" i="2"/>
  <c r="AM10" i="2"/>
  <c r="I10" i="2"/>
  <c r="AS11" i="2"/>
  <c r="AM11" i="2"/>
  <c r="I11" i="2"/>
  <c r="AS12" i="2"/>
  <c r="AM12" i="2"/>
  <c r="I12" i="2"/>
  <c r="AS13" i="2"/>
  <c r="AM13" i="2"/>
  <c r="I13" i="2"/>
  <c r="AS14" i="2"/>
  <c r="AM14" i="2"/>
  <c r="I14" i="2"/>
  <c r="AS15" i="2"/>
  <c r="AM15" i="2"/>
  <c r="I15" i="2"/>
  <c r="AS16" i="2"/>
  <c r="AM16" i="2"/>
  <c r="I16" i="2"/>
  <c r="AS17" i="2"/>
  <c r="AM17" i="2"/>
  <c r="I17" i="2"/>
  <c r="AS18" i="2"/>
  <c r="AM18" i="2"/>
  <c r="I18" i="2"/>
  <c r="AS19" i="2"/>
  <c r="AM19" i="2"/>
  <c r="I19" i="2"/>
  <c r="AS20" i="2"/>
  <c r="AM20" i="2"/>
  <c r="I20" i="2"/>
  <c r="AS21" i="2"/>
  <c r="AM21" i="2"/>
  <c r="I21" i="2"/>
  <c r="AS22" i="2"/>
  <c r="AM22" i="2"/>
  <c r="I22" i="2"/>
  <c r="AS23" i="2"/>
  <c r="AM23" i="2"/>
  <c r="I23" i="2"/>
  <c r="AS24" i="2"/>
  <c r="AM24" i="2"/>
  <c r="I24" i="2"/>
  <c r="AS25" i="2"/>
  <c r="AM25" i="2"/>
  <c r="I25" i="2"/>
  <c r="AS26" i="2"/>
  <c r="AM26" i="2"/>
  <c r="I26" i="2"/>
  <c r="AS27" i="2"/>
  <c r="AM27" i="2"/>
  <c r="I27" i="2"/>
  <c r="AS28" i="2"/>
  <c r="AM28" i="2"/>
  <c r="I28" i="2"/>
  <c r="AS29" i="2"/>
  <c r="AM29" i="2"/>
  <c r="I29" i="2"/>
  <c r="AS30" i="2"/>
  <c r="AM30" i="2"/>
  <c r="I30" i="2"/>
  <c r="AS31" i="2"/>
  <c r="AM31" i="2"/>
  <c r="I31" i="2"/>
  <c r="AS32" i="2"/>
  <c r="AM32" i="2"/>
  <c r="I32" i="2"/>
  <c r="AS33" i="2"/>
  <c r="AM33" i="2"/>
  <c r="I33" i="2"/>
  <c r="AS34" i="2"/>
  <c r="AM34" i="2"/>
  <c r="I34" i="2"/>
  <c r="AS35" i="2"/>
  <c r="AM35" i="2"/>
  <c r="I35" i="2"/>
  <c r="AS36" i="2"/>
  <c r="AM36" i="2"/>
  <c r="I36" i="2"/>
  <c r="AS37" i="2"/>
  <c r="AM37" i="2"/>
  <c r="I37" i="2"/>
  <c r="AS38" i="2"/>
  <c r="AM38" i="2"/>
  <c r="I38" i="2"/>
  <c r="AS39" i="2"/>
  <c r="AM39" i="2"/>
  <c r="I39" i="2"/>
  <c r="AS40" i="2"/>
  <c r="AM40" i="2"/>
  <c r="I40" i="2"/>
  <c r="AS41" i="2"/>
  <c r="AM41" i="2"/>
  <c r="I41" i="2"/>
  <c r="AS42" i="2"/>
  <c r="AM42" i="2"/>
  <c r="I42" i="2"/>
  <c r="AS43" i="2"/>
  <c r="AM43" i="2"/>
  <c r="I43" i="2"/>
  <c r="AS44" i="2"/>
  <c r="AM44" i="2"/>
  <c r="I44" i="2"/>
  <c r="AS45" i="2"/>
  <c r="AM45" i="2"/>
  <c r="I45" i="2"/>
  <c r="AS46" i="2"/>
  <c r="AM46" i="2"/>
  <c r="I46" i="2"/>
  <c r="AS47" i="2"/>
  <c r="AM47" i="2"/>
  <c r="I47" i="2"/>
  <c r="AS48" i="2"/>
  <c r="AM48" i="2"/>
  <c r="I48" i="2"/>
  <c r="AS49" i="2"/>
  <c r="AM49" i="2"/>
  <c r="I49" i="2"/>
  <c r="AS50" i="2"/>
  <c r="AM50" i="2"/>
  <c r="I50" i="2"/>
  <c r="AS51" i="2"/>
  <c r="AM51" i="2"/>
  <c r="I51" i="2"/>
  <c r="AS52" i="2"/>
  <c r="AM52" i="2"/>
  <c r="I52" i="2"/>
  <c r="AS53" i="2"/>
  <c r="AM53" i="2"/>
  <c r="I53" i="2"/>
  <c r="AS54" i="2"/>
  <c r="AM54" i="2"/>
  <c r="I54" i="2"/>
  <c r="AV55" i="2"/>
  <c r="AP55" i="2"/>
  <c r="L55" i="2"/>
  <c r="AS56" i="2"/>
  <c r="AM56" i="2"/>
  <c r="I56" i="2"/>
  <c r="AV57" i="2"/>
  <c r="AP57" i="2"/>
  <c r="L57" i="2"/>
  <c r="AS58" i="2"/>
  <c r="AM58" i="2"/>
  <c r="I58" i="2"/>
  <c r="AV59" i="2"/>
  <c r="AP59" i="2"/>
  <c r="L59" i="2"/>
  <c r="AS60" i="2"/>
  <c r="AM60" i="2"/>
  <c r="I60" i="2"/>
  <c r="AV61" i="2"/>
  <c r="AP61" i="2"/>
  <c r="L61" i="2"/>
  <c r="AS62" i="2"/>
  <c r="AM62" i="2"/>
  <c r="I62" i="2"/>
  <c r="AV63" i="2"/>
  <c r="AP63" i="2"/>
  <c r="L63" i="2"/>
  <c r="AS64" i="2"/>
  <c r="AM64" i="2"/>
  <c r="I64" i="2"/>
  <c r="AV65" i="2"/>
  <c r="AP65" i="2"/>
  <c r="L65" i="2"/>
  <c r="AS66" i="2"/>
  <c r="AM66" i="2"/>
  <c r="I66" i="2"/>
  <c r="AV67" i="2"/>
  <c r="AP67" i="2"/>
  <c r="L67" i="2"/>
  <c r="AS68" i="2"/>
  <c r="AM68" i="2"/>
  <c r="I68" i="2"/>
  <c r="AV69" i="2"/>
  <c r="AP69" i="2"/>
  <c r="L69" i="2"/>
  <c r="AS70" i="2"/>
  <c r="AM70" i="2"/>
  <c r="I70" i="2"/>
  <c r="AV71" i="2"/>
  <c r="AP71" i="2"/>
  <c r="L71" i="2"/>
  <c r="AS72" i="2"/>
  <c r="AM72" i="2"/>
  <c r="I72" i="2"/>
  <c r="AV73" i="2"/>
  <c r="AP73" i="2"/>
  <c r="L73" i="2"/>
  <c r="AS74" i="2"/>
  <c r="AM74" i="2"/>
  <c r="I74" i="2"/>
  <c r="AV75" i="2"/>
  <c r="AP75" i="2"/>
  <c r="L75" i="2"/>
  <c r="AS76" i="2"/>
  <c r="AM76" i="2"/>
  <c r="I76" i="2"/>
  <c r="AV77" i="2"/>
  <c r="AP77" i="2"/>
  <c r="L77" i="2"/>
  <c r="AS78" i="2"/>
  <c r="AM78" i="2"/>
  <c r="I78" i="2"/>
  <c r="AV79" i="2"/>
  <c r="AP79" i="2"/>
  <c r="L79" i="2"/>
  <c r="AS80" i="2"/>
  <c r="AM80" i="2"/>
  <c r="I80" i="2"/>
  <c r="AV81" i="2"/>
  <c r="AP81" i="2"/>
  <c r="L81" i="2"/>
  <c r="AS82" i="2"/>
  <c r="AM82" i="2"/>
  <c r="I82" i="2"/>
  <c r="AV83" i="2"/>
  <c r="AP83" i="2"/>
  <c r="L83" i="2"/>
  <c r="AS84" i="2"/>
  <c r="AM84" i="2"/>
  <c r="I84" i="2"/>
  <c r="AV85" i="2"/>
  <c r="AP85" i="2"/>
  <c r="L85" i="2"/>
  <c r="AS86" i="2"/>
  <c r="AM86" i="2"/>
  <c r="I86" i="2"/>
  <c r="AV87" i="2"/>
  <c r="AP87" i="2"/>
  <c r="L87" i="2"/>
  <c r="AS88" i="2"/>
  <c r="AM88" i="2"/>
  <c r="I88" i="2"/>
  <c r="AV89" i="2"/>
  <c r="AP89" i="2"/>
  <c r="L89" i="2"/>
  <c r="AS90" i="2"/>
  <c r="AM90" i="2"/>
  <c r="I90" i="2"/>
  <c r="AV91" i="2"/>
  <c r="AP91" i="2"/>
  <c r="L91" i="2"/>
  <c r="AS92" i="2"/>
  <c r="AM92" i="2"/>
  <c r="I92" i="2"/>
  <c r="AV93" i="2"/>
  <c r="AP93" i="2"/>
  <c r="L93" i="2"/>
  <c r="AS94" i="2"/>
  <c r="AM94" i="2"/>
  <c r="I94" i="2"/>
  <c r="AV95" i="2"/>
  <c r="AP95" i="2"/>
  <c r="L95" i="2"/>
  <c r="AS96" i="2"/>
  <c r="AM96" i="2"/>
  <c r="I96" i="2"/>
  <c r="AV97" i="2"/>
  <c r="AP97" i="2"/>
  <c r="L97" i="2"/>
  <c r="AS98" i="2"/>
  <c r="AM98" i="2"/>
  <c r="I98" i="2"/>
  <c r="AV99" i="2"/>
  <c r="AP99" i="2"/>
  <c r="L99" i="2"/>
  <c r="AS100" i="2"/>
  <c r="AM100" i="2"/>
  <c r="I100" i="2"/>
  <c r="AV101" i="2"/>
  <c r="AP101" i="2"/>
  <c r="L101" i="2"/>
  <c r="AS102" i="2"/>
  <c r="AM102" i="2"/>
  <c r="I102" i="2"/>
  <c r="AV103" i="2"/>
  <c r="AP103" i="2"/>
  <c r="L103" i="2"/>
  <c r="BA4" i="2"/>
  <c r="AY103" i="2"/>
  <c r="BC101" i="2"/>
  <c r="BB100" i="2"/>
  <c r="BA99" i="2"/>
  <c r="AZ98" i="2"/>
  <c r="AY97" i="2"/>
  <c r="BC95" i="2"/>
  <c r="BB94" i="2"/>
  <c r="BA93" i="2"/>
  <c r="AZ92" i="2"/>
  <c r="AY91" i="2"/>
  <c r="BC89" i="2"/>
  <c r="BB88" i="2"/>
  <c r="BA87" i="2"/>
  <c r="AZ86" i="2"/>
  <c r="AY85" i="2"/>
  <c r="BC83" i="2"/>
  <c r="BB82" i="2"/>
  <c r="BA81" i="2"/>
  <c r="AZ80" i="2"/>
  <c r="AY79" i="2"/>
  <c r="BC77" i="2"/>
  <c r="BB76" i="2"/>
  <c r="BA75" i="2"/>
  <c r="AZ74" i="2"/>
  <c r="AY73" i="2"/>
  <c r="BC71" i="2"/>
  <c r="BB70" i="2"/>
  <c r="BA69" i="2"/>
  <c r="AZ68" i="2"/>
  <c r="AY67" i="2"/>
  <c r="BC65" i="2"/>
  <c r="BB64" i="2"/>
  <c r="BA63" i="2"/>
  <c r="AZ62" i="2"/>
  <c r="AY61" i="2"/>
  <c r="BC59" i="2"/>
  <c r="BB58" i="2"/>
  <c r="BA57" i="2"/>
  <c r="AZ56" i="2"/>
  <c r="AY55" i="2"/>
  <c r="BC53" i="2"/>
  <c r="BB52" i="2"/>
  <c r="BA51" i="2"/>
  <c r="AZ50" i="2"/>
  <c r="AY49" i="2"/>
  <c r="BC47" i="2"/>
  <c r="BB46" i="2"/>
  <c r="BA45" i="2"/>
  <c r="AZ44" i="2"/>
  <c r="AY43" i="2"/>
  <c r="BC41" i="2"/>
  <c r="BB40" i="2"/>
  <c r="BA39" i="2"/>
  <c r="AZ38" i="2"/>
  <c r="AY37" i="2"/>
  <c r="BC35" i="2"/>
  <c r="BB34" i="2"/>
  <c r="BA33" i="2"/>
  <c r="AZ32" i="2"/>
  <c r="AY31" i="2"/>
  <c r="BC29" i="2"/>
  <c r="BB28" i="2"/>
  <c r="BA27" i="2"/>
  <c r="AZ26" i="2"/>
  <c r="AY25" i="2"/>
  <c r="BC23" i="2"/>
  <c r="BB22" i="2"/>
  <c r="BA21" i="2"/>
  <c r="AZ20" i="2"/>
  <c r="AY19" i="2"/>
  <c r="BC17" i="2"/>
  <c r="BB16" i="2"/>
  <c r="BA15" i="2"/>
  <c r="AZ14" i="2"/>
  <c r="AY13" i="2"/>
  <c r="BC11" i="2"/>
  <c r="BB10" i="2"/>
  <c r="BA9" i="2"/>
  <c r="AZ8" i="2"/>
  <c r="AY7" i="2"/>
  <c r="BC5" i="2"/>
  <c r="AU57" i="2"/>
  <c r="AO57" i="2"/>
  <c r="K57" i="2"/>
  <c r="AU91" i="2"/>
  <c r="AO91" i="2"/>
  <c r="K91" i="2"/>
  <c r="AT5" i="2"/>
  <c r="AN5" i="2"/>
  <c r="J5" i="2"/>
  <c r="AT6" i="2"/>
  <c r="AN6" i="2"/>
  <c r="J6" i="2"/>
  <c r="AT7" i="2"/>
  <c r="AN7" i="2"/>
  <c r="J7" i="2"/>
  <c r="AT8" i="2"/>
  <c r="AN8" i="2"/>
  <c r="J8" i="2"/>
  <c r="AT9" i="2"/>
  <c r="AN9" i="2"/>
  <c r="J9" i="2"/>
  <c r="AT10" i="2"/>
  <c r="AN10" i="2"/>
  <c r="J10" i="2"/>
  <c r="AT11" i="2"/>
  <c r="AN11" i="2"/>
  <c r="J11" i="2"/>
  <c r="AT12" i="2"/>
  <c r="AN12" i="2"/>
  <c r="J12" i="2"/>
  <c r="AT13" i="2"/>
  <c r="AN13" i="2"/>
  <c r="J13" i="2"/>
  <c r="AT14" i="2"/>
  <c r="AN14" i="2"/>
  <c r="J14" i="2"/>
  <c r="AT15" i="2"/>
  <c r="AN15" i="2"/>
  <c r="J15" i="2"/>
  <c r="AT16" i="2"/>
  <c r="AN16" i="2"/>
  <c r="J16" i="2"/>
  <c r="AT17" i="2"/>
  <c r="AN17" i="2"/>
  <c r="J17" i="2"/>
  <c r="AT18" i="2"/>
  <c r="AN18" i="2"/>
  <c r="J18" i="2"/>
  <c r="AT19" i="2"/>
  <c r="AN19" i="2"/>
  <c r="J19" i="2"/>
  <c r="AT20" i="2"/>
  <c r="AN20" i="2"/>
  <c r="J20" i="2"/>
  <c r="AT21" i="2"/>
  <c r="AN21" i="2"/>
  <c r="J21" i="2"/>
  <c r="AT22" i="2"/>
  <c r="AN22" i="2"/>
  <c r="J22" i="2"/>
  <c r="AT23" i="2"/>
  <c r="AN23" i="2"/>
  <c r="J23" i="2"/>
  <c r="AT24" i="2"/>
  <c r="AN24" i="2"/>
  <c r="J24" i="2"/>
  <c r="AT25" i="2"/>
  <c r="AN25" i="2"/>
  <c r="J25" i="2"/>
  <c r="AT26" i="2"/>
  <c r="AN26" i="2"/>
  <c r="J26" i="2"/>
  <c r="AT27" i="2"/>
  <c r="AN27" i="2"/>
  <c r="J27" i="2"/>
  <c r="AT28" i="2"/>
  <c r="AN28" i="2"/>
  <c r="J28" i="2"/>
  <c r="AT29" i="2"/>
  <c r="AN29" i="2"/>
  <c r="J29" i="2"/>
  <c r="AT30" i="2"/>
  <c r="AN30" i="2"/>
  <c r="J30" i="2"/>
  <c r="AT31" i="2"/>
  <c r="AN31" i="2"/>
  <c r="J31" i="2"/>
  <c r="AT32" i="2"/>
  <c r="AN32" i="2"/>
  <c r="J32" i="2"/>
  <c r="AT33" i="2"/>
  <c r="AN33" i="2"/>
  <c r="J33" i="2"/>
  <c r="AT34" i="2"/>
  <c r="AN34" i="2"/>
  <c r="J34" i="2"/>
  <c r="AT35" i="2"/>
  <c r="AN35" i="2"/>
  <c r="J35" i="2"/>
  <c r="AT36" i="2"/>
  <c r="AN36" i="2"/>
  <c r="J36" i="2"/>
  <c r="AT37" i="2"/>
  <c r="AN37" i="2"/>
  <c r="J37" i="2"/>
  <c r="AT38" i="2"/>
  <c r="AN38" i="2"/>
  <c r="J38" i="2"/>
  <c r="AT39" i="2"/>
  <c r="AN39" i="2"/>
  <c r="J39" i="2"/>
  <c r="AT40" i="2"/>
  <c r="AN40" i="2"/>
  <c r="J40" i="2"/>
  <c r="AT41" i="2"/>
  <c r="AN41" i="2"/>
  <c r="J41" i="2"/>
  <c r="AT42" i="2"/>
  <c r="AN42" i="2"/>
  <c r="J42" i="2"/>
  <c r="AT43" i="2"/>
  <c r="AN43" i="2"/>
  <c r="J43" i="2"/>
  <c r="AT44" i="2"/>
  <c r="AN44" i="2"/>
  <c r="J44" i="2"/>
  <c r="AT45" i="2"/>
  <c r="AN45" i="2"/>
  <c r="J45" i="2"/>
  <c r="AT46" i="2"/>
  <c r="AN46" i="2"/>
  <c r="J46" i="2"/>
  <c r="AT47" i="2"/>
  <c r="AN47" i="2"/>
  <c r="J47" i="2"/>
  <c r="AT48" i="2"/>
  <c r="AN48" i="2"/>
  <c r="J48" i="2"/>
  <c r="AT49" i="2"/>
  <c r="AN49" i="2"/>
  <c r="J49" i="2"/>
  <c r="AT50" i="2"/>
  <c r="AN50" i="2"/>
  <c r="J50" i="2"/>
  <c r="AT51" i="2"/>
  <c r="AN51" i="2"/>
  <c r="J51" i="2"/>
  <c r="AT52" i="2"/>
  <c r="AN52" i="2"/>
  <c r="J52" i="2"/>
  <c r="AT53" i="2"/>
  <c r="AN53" i="2"/>
  <c r="J53" i="2"/>
  <c r="AT54" i="2"/>
  <c r="AN54" i="2"/>
  <c r="J54" i="2"/>
  <c r="AW55" i="2"/>
  <c r="AQ55" i="2"/>
  <c r="M55" i="2"/>
  <c r="AT56" i="2"/>
  <c r="AN56" i="2"/>
  <c r="J56" i="2"/>
  <c r="AW57" i="2"/>
  <c r="AQ57" i="2"/>
  <c r="M57" i="2"/>
  <c r="AT58" i="2"/>
  <c r="AN58" i="2"/>
  <c r="J58" i="2"/>
  <c r="AW59" i="2"/>
  <c r="AQ59" i="2"/>
  <c r="M59" i="2"/>
  <c r="AT60" i="2"/>
  <c r="AN60" i="2"/>
  <c r="J60" i="2"/>
  <c r="AW61" i="2"/>
  <c r="AQ61" i="2"/>
  <c r="M61" i="2"/>
  <c r="AT62" i="2"/>
  <c r="AN62" i="2"/>
  <c r="J62" i="2"/>
  <c r="AW63" i="2"/>
  <c r="AQ63" i="2"/>
  <c r="M63" i="2"/>
  <c r="AT64" i="2"/>
  <c r="AN64" i="2"/>
  <c r="J64" i="2"/>
  <c r="AW65" i="2"/>
  <c r="AQ65" i="2"/>
  <c r="M65" i="2"/>
  <c r="AT66" i="2"/>
  <c r="AN66" i="2"/>
  <c r="J66" i="2"/>
  <c r="AW67" i="2"/>
  <c r="AQ67" i="2"/>
  <c r="M67" i="2"/>
  <c r="AT68" i="2"/>
  <c r="AN68" i="2"/>
  <c r="J68" i="2"/>
  <c r="AW69" i="2"/>
  <c r="AQ69" i="2"/>
  <c r="M69" i="2"/>
  <c r="AT70" i="2"/>
  <c r="AN70" i="2"/>
  <c r="J70" i="2"/>
  <c r="AW71" i="2"/>
  <c r="AQ71" i="2"/>
  <c r="M71" i="2"/>
  <c r="AT72" i="2"/>
  <c r="AN72" i="2"/>
  <c r="J72" i="2"/>
  <c r="AW73" i="2"/>
  <c r="AQ73" i="2"/>
  <c r="M73" i="2"/>
  <c r="AT74" i="2"/>
  <c r="AN74" i="2"/>
  <c r="J74" i="2"/>
  <c r="AW75" i="2"/>
  <c r="AQ75" i="2"/>
  <c r="M75" i="2"/>
  <c r="AT76" i="2"/>
  <c r="AN76" i="2"/>
  <c r="J76" i="2"/>
  <c r="AW77" i="2"/>
  <c r="AQ77" i="2"/>
  <c r="M77" i="2"/>
  <c r="AT78" i="2"/>
  <c r="AN78" i="2"/>
  <c r="J78" i="2"/>
  <c r="AW79" i="2"/>
  <c r="AQ79" i="2"/>
  <c r="M79" i="2"/>
  <c r="AT80" i="2"/>
  <c r="AN80" i="2"/>
  <c r="J80" i="2"/>
  <c r="AW81" i="2"/>
  <c r="AQ81" i="2"/>
  <c r="M81" i="2"/>
  <c r="AT82" i="2"/>
  <c r="AN82" i="2"/>
  <c r="J82" i="2"/>
  <c r="AW83" i="2"/>
  <c r="AQ83" i="2"/>
  <c r="M83" i="2"/>
  <c r="AT84" i="2"/>
  <c r="AN84" i="2"/>
  <c r="J84" i="2"/>
  <c r="AW85" i="2"/>
  <c r="AQ85" i="2"/>
  <c r="M85" i="2"/>
  <c r="AT86" i="2"/>
  <c r="AN86" i="2"/>
  <c r="J86" i="2"/>
  <c r="AW87" i="2"/>
  <c r="AQ87" i="2"/>
  <c r="M87" i="2"/>
  <c r="AT88" i="2"/>
  <c r="AN88" i="2"/>
  <c r="J88" i="2"/>
  <c r="AW89" i="2"/>
  <c r="AQ89" i="2"/>
  <c r="M89" i="2"/>
  <c r="AT90" i="2"/>
  <c r="AN90" i="2"/>
  <c r="J90" i="2"/>
  <c r="AW91" i="2"/>
  <c r="AQ91" i="2"/>
  <c r="M91" i="2"/>
  <c r="AT92" i="2"/>
  <c r="AN92" i="2"/>
  <c r="J92" i="2"/>
  <c r="AW93" i="2"/>
  <c r="AQ93" i="2"/>
  <c r="M93" i="2"/>
  <c r="AT94" i="2"/>
  <c r="AN94" i="2"/>
  <c r="J94" i="2"/>
  <c r="AW95" i="2"/>
  <c r="AQ95" i="2"/>
  <c r="M95" i="2"/>
  <c r="AT96" i="2"/>
  <c r="AN96" i="2"/>
  <c r="J96" i="2"/>
  <c r="AW97" i="2"/>
  <c r="AQ97" i="2"/>
  <c r="M97" i="2"/>
  <c r="AT98" i="2"/>
  <c r="AN98" i="2"/>
  <c r="J98" i="2"/>
  <c r="AW99" i="2"/>
  <c r="AQ99" i="2"/>
  <c r="M99" i="2"/>
  <c r="AT100" i="2"/>
  <c r="AN100" i="2"/>
  <c r="J100" i="2"/>
  <c r="AW101" i="2"/>
  <c r="AQ101" i="2"/>
  <c r="M101" i="2"/>
  <c r="AT102" i="2"/>
  <c r="AN102" i="2"/>
  <c r="J102" i="2"/>
  <c r="AW103" i="2"/>
  <c r="AQ103" i="2"/>
  <c r="M103" i="2"/>
  <c r="AZ4" i="2"/>
  <c r="BC102" i="2"/>
  <c r="BB101" i="2"/>
  <c r="BA100" i="2"/>
  <c r="AZ99" i="2"/>
  <c r="AY98" i="2"/>
  <c r="BC96" i="2"/>
  <c r="BB95" i="2"/>
  <c r="BA94" i="2"/>
  <c r="AZ93" i="2"/>
  <c r="AY92" i="2"/>
  <c r="BC90" i="2"/>
  <c r="BB89" i="2"/>
  <c r="BA88" i="2"/>
  <c r="AZ87" i="2"/>
  <c r="AY86" i="2"/>
  <c r="BC84" i="2"/>
  <c r="BB83" i="2"/>
  <c r="BA82" i="2"/>
  <c r="AZ81" i="2"/>
  <c r="AY80" i="2"/>
  <c r="BC78" i="2"/>
  <c r="BB77" i="2"/>
  <c r="BA76" i="2"/>
  <c r="AZ75" i="2"/>
  <c r="AY74" i="2"/>
  <c r="BC72" i="2"/>
  <c r="BB71" i="2"/>
  <c r="BA70" i="2"/>
  <c r="AZ69" i="2"/>
  <c r="AY68" i="2"/>
  <c r="BC66" i="2"/>
  <c r="BB65" i="2"/>
  <c r="BA64" i="2"/>
  <c r="AZ63" i="2"/>
  <c r="AY62" i="2"/>
  <c r="BC60" i="2"/>
  <c r="BB59" i="2"/>
  <c r="BA58" i="2"/>
  <c r="AZ57" i="2"/>
  <c r="AY56" i="2"/>
  <c r="BC54" i="2"/>
  <c r="BB53" i="2"/>
  <c r="BA52" i="2"/>
  <c r="AZ51" i="2"/>
  <c r="AY50" i="2"/>
  <c r="BC48" i="2"/>
  <c r="BB47" i="2"/>
  <c r="BA46" i="2"/>
  <c r="AZ45" i="2"/>
  <c r="AY44" i="2"/>
  <c r="BC42" i="2"/>
  <c r="BB41" i="2"/>
  <c r="BA40" i="2"/>
  <c r="AZ39" i="2"/>
  <c r="AY38" i="2"/>
  <c r="BC36" i="2"/>
  <c r="BB35" i="2"/>
  <c r="BA34" i="2"/>
  <c r="AZ33" i="2"/>
  <c r="AY32" i="2"/>
  <c r="BC30" i="2"/>
  <c r="BB29" i="2"/>
  <c r="BA28" i="2"/>
  <c r="AZ27" i="2"/>
  <c r="AY26" i="2"/>
  <c r="BC24" i="2"/>
  <c r="BB23" i="2"/>
  <c r="BA22" i="2"/>
  <c r="AZ21" i="2"/>
  <c r="AY20" i="2"/>
  <c r="BC18" i="2"/>
  <c r="BB17" i="2"/>
  <c r="BA16" i="2"/>
  <c r="AZ15" i="2"/>
  <c r="AY14" i="2"/>
  <c r="BC12" i="2"/>
  <c r="BB11" i="2"/>
  <c r="BA10" i="2"/>
  <c r="AZ9" i="2"/>
  <c r="AY8" i="2"/>
  <c r="BC6" i="2"/>
  <c r="BB5" i="2"/>
  <c r="AU63" i="2"/>
  <c r="AO63" i="2"/>
  <c r="K63" i="2"/>
  <c r="AU65" i="2"/>
  <c r="AO65" i="2"/>
  <c r="K65" i="2"/>
  <c r="AU71" i="2"/>
  <c r="AO71" i="2"/>
  <c r="K71" i="2"/>
  <c r="AU75" i="2"/>
  <c r="AO75" i="2"/>
  <c r="K75" i="2"/>
  <c r="AU81" i="2"/>
  <c r="AO81" i="2"/>
  <c r="K81" i="2"/>
  <c r="AU83" i="2"/>
  <c r="AO83" i="2"/>
  <c r="K83" i="2"/>
  <c r="AU85" i="2"/>
  <c r="AO85" i="2"/>
  <c r="K85" i="2"/>
  <c r="AU87" i="2"/>
  <c r="AO87" i="2"/>
  <c r="K87" i="2"/>
  <c r="AU103" i="2"/>
  <c r="AO103" i="2"/>
  <c r="K103" i="2"/>
  <c r="AT4" i="2"/>
  <c r="AN4" i="2"/>
  <c r="J4" i="2"/>
  <c r="AU4" i="2"/>
  <c r="AO4" i="2"/>
  <c r="K4" i="2"/>
  <c r="AU5" i="2"/>
  <c r="AO5" i="2"/>
  <c r="K5" i="2"/>
  <c r="AU6" i="2"/>
  <c r="AO6" i="2"/>
  <c r="K6" i="2"/>
  <c r="AU7" i="2"/>
  <c r="AO7" i="2"/>
  <c r="K7" i="2"/>
  <c r="AU8" i="2"/>
  <c r="AO8" i="2"/>
  <c r="K8" i="2"/>
  <c r="AU9" i="2"/>
  <c r="AO9" i="2"/>
  <c r="K9" i="2"/>
  <c r="AU10" i="2"/>
  <c r="AO10" i="2"/>
  <c r="K10" i="2"/>
  <c r="AU11" i="2"/>
  <c r="AO11" i="2"/>
  <c r="K11" i="2"/>
  <c r="AU12" i="2"/>
  <c r="AO12" i="2"/>
  <c r="K12" i="2"/>
  <c r="AU13" i="2"/>
  <c r="AO13" i="2"/>
  <c r="K13" i="2"/>
  <c r="AU14" i="2"/>
  <c r="AO14" i="2"/>
  <c r="K14" i="2"/>
  <c r="AU15" i="2"/>
  <c r="AO15" i="2"/>
  <c r="K15" i="2"/>
  <c r="AU16" i="2"/>
  <c r="AO16" i="2"/>
  <c r="K16" i="2"/>
  <c r="AU17" i="2"/>
  <c r="AO17" i="2"/>
  <c r="K17" i="2"/>
  <c r="AU18" i="2"/>
  <c r="AO18" i="2"/>
  <c r="K18" i="2"/>
  <c r="AU19" i="2"/>
  <c r="AO19" i="2"/>
  <c r="K19" i="2"/>
  <c r="AU20" i="2"/>
  <c r="AO20" i="2"/>
  <c r="K20" i="2"/>
  <c r="AU21" i="2"/>
  <c r="AO21" i="2"/>
  <c r="K21" i="2"/>
  <c r="AU22" i="2"/>
  <c r="AO22" i="2"/>
  <c r="K22" i="2"/>
  <c r="AU23" i="2"/>
  <c r="AO23" i="2"/>
  <c r="K23" i="2"/>
  <c r="AU24" i="2"/>
  <c r="AO24" i="2"/>
  <c r="K24" i="2"/>
  <c r="AU25" i="2"/>
  <c r="AO25" i="2"/>
  <c r="K25" i="2"/>
  <c r="AU26" i="2"/>
  <c r="AO26" i="2"/>
  <c r="K26" i="2"/>
  <c r="AU27" i="2"/>
  <c r="AO27" i="2"/>
  <c r="K27" i="2"/>
  <c r="AU28" i="2"/>
  <c r="AO28" i="2"/>
  <c r="K28" i="2"/>
  <c r="AU29" i="2"/>
  <c r="AO29" i="2"/>
  <c r="K29" i="2"/>
  <c r="AU30" i="2"/>
  <c r="AO30" i="2"/>
  <c r="K30" i="2"/>
  <c r="AU31" i="2"/>
  <c r="AO31" i="2"/>
  <c r="K31" i="2"/>
  <c r="AU32" i="2"/>
  <c r="AO32" i="2"/>
  <c r="K32" i="2"/>
  <c r="AU33" i="2"/>
  <c r="AO33" i="2"/>
  <c r="K33" i="2"/>
  <c r="AU34" i="2"/>
  <c r="AO34" i="2"/>
  <c r="K34" i="2"/>
  <c r="AU35" i="2"/>
  <c r="AO35" i="2"/>
  <c r="K35" i="2"/>
  <c r="AU36" i="2"/>
  <c r="AO36" i="2"/>
  <c r="K36" i="2"/>
  <c r="AU37" i="2"/>
  <c r="AO37" i="2"/>
  <c r="K37" i="2"/>
  <c r="AU38" i="2"/>
  <c r="AO38" i="2"/>
  <c r="K38" i="2"/>
  <c r="AU39" i="2"/>
  <c r="AO39" i="2"/>
  <c r="K39" i="2"/>
  <c r="AU40" i="2"/>
  <c r="AO40" i="2"/>
  <c r="K40" i="2"/>
  <c r="AU41" i="2"/>
  <c r="AO41" i="2"/>
  <c r="K41" i="2"/>
  <c r="AU42" i="2"/>
  <c r="AO42" i="2"/>
  <c r="K42" i="2"/>
  <c r="AU43" i="2"/>
  <c r="AO43" i="2"/>
  <c r="K43" i="2"/>
  <c r="AU44" i="2"/>
  <c r="AO44" i="2"/>
  <c r="K44" i="2"/>
  <c r="AU45" i="2"/>
  <c r="AO45" i="2"/>
  <c r="K45" i="2"/>
  <c r="AU46" i="2"/>
  <c r="AO46" i="2"/>
  <c r="K46" i="2"/>
  <c r="AU47" i="2"/>
  <c r="AO47" i="2"/>
  <c r="K47" i="2"/>
  <c r="AU48" i="2"/>
  <c r="AO48" i="2"/>
  <c r="K48" i="2"/>
  <c r="AU49" i="2"/>
  <c r="AO49" i="2"/>
  <c r="K49" i="2"/>
  <c r="AU50" i="2"/>
  <c r="AO50" i="2"/>
  <c r="K50" i="2"/>
  <c r="AU51" i="2"/>
  <c r="AO51" i="2"/>
  <c r="K51" i="2"/>
  <c r="AU52" i="2"/>
  <c r="AO52" i="2"/>
  <c r="K52" i="2"/>
  <c r="AU53" i="2"/>
  <c r="AO53" i="2"/>
  <c r="K53" i="2"/>
  <c r="AU54" i="2"/>
  <c r="AO54" i="2"/>
  <c r="K54" i="2"/>
  <c r="AU56" i="2"/>
  <c r="AO56" i="2"/>
  <c r="K56" i="2"/>
  <c r="AU58" i="2"/>
  <c r="AO58" i="2"/>
  <c r="K58" i="2"/>
  <c r="AU60" i="2"/>
  <c r="AO60" i="2"/>
  <c r="K60" i="2"/>
  <c r="AU62" i="2"/>
  <c r="AO62" i="2"/>
  <c r="K62" i="2"/>
  <c r="AU64" i="2"/>
  <c r="AO64" i="2"/>
  <c r="K64" i="2"/>
  <c r="AU66" i="2"/>
  <c r="AO66" i="2"/>
  <c r="K66" i="2"/>
  <c r="AU68" i="2"/>
  <c r="AO68" i="2"/>
  <c r="K68" i="2"/>
  <c r="AU70" i="2"/>
  <c r="AO70" i="2"/>
  <c r="K70" i="2"/>
  <c r="AU72" i="2"/>
  <c r="AO72" i="2"/>
  <c r="K72" i="2"/>
  <c r="AU74" i="2"/>
  <c r="AO74" i="2"/>
  <c r="K74" i="2"/>
  <c r="AU76" i="2"/>
  <c r="AO76" i="2"/>
  <c r="K76" i="2"/>
  <c r="AU78" i="2"/>
  <c r="AO78" i="2"/>
  <c r="K78" i="2"/>
  <c r="AU80" i="2"/>
  <c r="AO80" i="2"/>
  <c r="K80" i="2"/>
  <c r="AU82" i="2"/>
  <c r="AO82" i="2"/>
  <c r="K82" i="2"/>
  <c r="AU84" i="2"/>
  <c r="AO84" i="2"/>
  <c r="K84" i="2"/>
  <c r="AU86" i="2"/>
  <c r="AO86" i="2"/>
  <c r="K86" i="2"/>
  <c r="AU88" i="2"/>
  <c r="AO88" i="2"/>
  <c r="K88" i="2"/>
  <c r="AU90" i="2"/>
  <c r="AO90" i="2"/>
  <c r="K90" i="2"/>
  <c r="AU92" i="2"/>
  <c r="AO92" i="2"/>
  <c r="K92" i="2"/>
  <c r="AU94" i="2"/>
  <c r="AO94" i="2"/>
  <c r="K94" i="2"/>
  <c r="AU96" i="2"/>
  <c r="AO96" i="2"/>
  <c r="K96" i="2"/>
  <c r="AU98" i="2"/>
  <c r="AO98" i="2"/>
  <c r="K98" i="2"/>
  <c r="AU100" i="2"/>
  <c r="AO100" i="2"/>
  <c r="K100" i="2"/>
  <c r="AU102" i="2"/>
  <c r="AO102" i="2"/>
  <c r="K102" i="2"/>
  <c r="BC103" i="2"/>
  <c r="BB102" i="2"/>
  <c r="BA101" i="2"/>
  <c r="AZ100" i="2"/>
  <c r="AY99" i="2"/>
  <c r="BC97" i="2"/>
  <c r="BB96" i="2"/>
  <c r="BA95" i="2"/>
  <c r="AZ94" i="2"/>
  <c r="AY93" i="2"/>
  <c r="BC91" i="2"/>
  <c r="BB90" i="2"/>
  <c r="BA89" i="2"/>
  <c r="AZ88" i="2"/>
  <c r="AY87" i="2"/>
  <c r="BC85" i="2"/>
  <c r="BB84" i="2"/>
  <c r="BA83" i="2"/>
  <c r="AZ82" i="2"/>
  <c r="AY81" i="2"/>
  <c r="BC79" i="2"/>
  <c r="BB78" i="2"/>
  <c r="BA77" i="2"/>
  <c r="AZ76" i="2"/>
  <c r="AY75" i="2"/>
  <c r="BC73" i="2"/>
  <c r="BB72" i="2"/>
  <c r="BA71" i="2"/>
  <c r="AZ70" i="2"/>
  <c r="AY69" i="2"/>
  <c r="BC67" i="2"/>
  <c r="BB66" i="2"/>
  <c r="BA65" i="2"/>
  <c r="AZ64" i="2"/>
  <c r="AY63" i="2"/>
  <c r="BC61" i="2"/>
  <c r="BB60" i="2"/>
  <c r="BA59" i="2"/>
  <c r="AZ58" i="2"/>
  <c r="AY57" i="2"/>
  <c r="BC55" i="2"/>
  <c r="BB54" i="2"/>
  <c r="BA53" i="2"/>
  <c r="AZ52" i="2"/>
  <c r="AY51" i="2"/>
  <c r="BC49" i="2"/>
  <c r="BB48" i="2"/>
  <c r="BA47" i="2"/>
  <c r="AZ46" i="2"/>
  <c r="AY45" i="2"/>
  <c r="BC43" i="2"/>
  <c r="BB42" i="2"/>
  <c r="BA41" i="2"/>
  <c r="AZ40" i="2"/>
  <c r="AY39" i="2"/>
  <c r="BC37" i="2"/>
  <c r="BB36" i="2"/>
  <c r="BA35" i="2"/>
  <c r="AZ34" i="2"/>
  <c r="AY33" i="2"/>
  <c r="BC31" i="2"/>
  <c r="BB30" i="2"/>
  <c r="BA29" i="2"/>
  <c r="AZ28" i="2"/>
  <c r="AY27" i="2"/>
  <c r="BC25" i="2"/>
  <c r="BB24" i="2"/>
  <c r="BA23" i="2"/>
  <c r="AZ22" i="2"/>
  <c r="AY21" i="2"/>
  <c r="BC19" i="2"/>
  <c r="BB18" i="2"/>
  <c r="BA17" i="2"/>
  <c r="AZ16" i="2"/>
  <c r="AY15" i="2"/>
  <c r="BC13" i="2"/>
  <c r="BB12" i="2"/>
  <c r="BA11" i="2"/>
  <c r="AZ10" i="2"/>
  <c r="AY9" i="2"/>
  <c r="BC7" i="2"/>
  <c r="BB6" i="2"/>
  <c r="BA5" i="2"/>
  <c r="AU55" i="2"/>
  <c r="AO55" i="2"/>
  <c r="K55" i="2"/>
  <c r="AU67" i="2"/>
  <c r="AO67" i="2"/>
  <c r="K67" i="2"/>
  <c r="AU77" i="2"/>
  <c r="AO77" i="2"/>
  <c r="K77" i="2"/>
  <c r="AU93" i="2"/>
  <c r="AO93" i="2"/>
  <c r="K93" i="2"/>
  <c r="AU99" i="2"/>
  <c r="AO99" i="2"/>
  <c r="K99" i="2"/>
  <c r="AV4" i="2"/>
  <c r="AP4" i="2"/>
  <c r="L4" i="2"/>
  <c r="AV5" i="2"/>
  <c r="AP5" i="2"/>
  <c r="L5" i="2"/>
  <c r="AV6" i="2"/>
  <c r="AP6" i="2"/>
  <c r="L6" i="2"/>
  <c r="AV7" i="2"/>
  <c r="AP7" i="2"/>
  <c r="L7" i="2"/>
  <c r="AV8" i="2"/>
  <c r="AP8" i="2"/>
  <c r="L8" i="2"/>
  <c r="AV9" i="2"/>
  <c r="AP9" i="2"/>
  <c r="L9" i="2"/>
  <c r="AV10" i="2"/>
  <c r="AP10" i="2"/>
  <c r="L10" i="2"/>
  <c r="AV11" i="2"/>
  <c r="AP11" i="2"/>
  <c r="L11" i="2"/>
  <c r="AV12" i="2"/>
  <c r="AP12" i="2"/>
  <c r="L12" i="2"/>
  <c r="AV13" i="2"/>
  <c r="AP13" i="2"/>
  <c r="L13" i="2"/>
  <c r="AV14" i="2"/>
  <c r="AP14" i="2"/>
  <c r="L14" i="2"/>
  <c r="AV15" i="2"/>
  <c r="AP15" i="2"/>
  <c r="L15" i="2"/>
  <c r="AV16" i="2"/>
  <c r="AP16" i="2"/>
  <c r="L16" i="2"/>
  <c r="AV17" i="2"/>
  <c r="AP17" i="2"/>
  <c r="L17" i="2"/>
  <c r="AV18" i="2"/>
  <c r="AP18" i="2"/>
  <c r="L18" i="2"/>
  <c r="AV19" i="2"/>
  <c r="AP19" i="2"/>
  <c r="L19" i="2"/>
  <c r="AV20" i="2"/>
  <c r="AP20" i="2"/>
  <c r="L20" i="2"/>
  <c r="AV21" i="2"/>
  <c r="AP21" i="2"/>
  <c r="L21" i="2"/>
  <c r="AV22" i="2"/>
  <c r="AP22" i="2"/>
  <c r="L22" i="2"/>
  <c r="AV23" i="2"/>
  <c r="AP23" i="2"/>
  <c r="L23" i="2"/>
  <c r="AV24" i="2"/>
  <c r="AP24" i="2"/>
  <c r="L24" i="2"/>
  <c r="AV25" i="2"/>
  <c r="AP25" i="2"/>
  <c r="L25" i="2"/>
  <c r="AV26" i="2"/>
  <c r="AP26" i="2"/>
  <c r="L26" i="2"/>
  <c r="AV27" i="2"/>
  <c r="AP27" i="2"/>
  <c r="L27" i="2"/>
  <c r="AV28" i="2"/>
  <c r="AP28" i="2"/>
  <c r="L28" i="2"/>
  <c r="AV29" i="2"/>
  <c r="AP29" i="2"/>
  <c r="L29" i="2"/>
  <c r="AV30" i="2"/>
  <c r="AP30" i="2"/>
  <c r="L30" i="2"/>
  <c r="AV31" i="2"/>
  <c r="AP31" i="2"/>
  <c r="L31" i="2"/>
  <c r="AV32" i="2"/>
  <c r="AP32" i="2"/>
  <c r="L32" i="2"/>
  <c r="AV33" i="2"/>
  <c r="AP33" i="2"/>
  <c r="L33" i="2"/>
  <c r="AV34" i="2"/>
  <c r="AP34" i="2"/>
  <c r="L34" i="2"/>
  <c r="AV35" i="2"/>
  <c r="AP35" i="2"/>
  <c r="L35" i="2"/>
  <c r="AV36" i="2"/>
  <c r="AP36" i="2"/>
  <c r="L36" i="2"/>
  <c r="AV37" i="2"/>
  <c r="AP37" i="2"/>
  <c r="L37" i="2"/>
  <c r="AV38" i="2"/>
  <c r="AP38" i="2"/>
  <c r="L38" i="2"/>
  <c r="AV39" i="2"/>
  <c r="AP39" i="2"/>
  <c r="L39" i="2"/>
  <c r="AV40" i="2"/>
  <c r="AP40" i="2"/>
  <c r="L40" i="2"/>
  <c r="AV41" i="2"/>
  <c r="AP41" i="2"/>
  <c r="L41" i="2"/>
  <c r="AV42" i="2"/>
  <c r="AP42" i="2"/>
  <c r="L42" i="2"/>
  <c r="AV43" i="2"/>
  <c r="AP43" i="2"/>
  <c r="L43" i="2"/>
  <c r="AV44" i="2"/>
  <c r="AP44" i="2"/>
  <c r="L44" i="2"/>
  <c r="AV45" i="2"/>
  <c r="AP45" i="2"/>
  <c r="L45" i="2"/>
  <c r="AV46" i="2"/>
  <c r="AP46" i="2"/>
  <c r="L46" i="2"/>
  <c r="AV47" i="2"/>
  <c r="AP47" i="2"/>
  <c r="L47" i="2"/>
  <c r="AV48" i="2"/>
  <c r="AP48" i="2"/>
  <c r="L48" i="2"/>
  <c r="AV49" i="2"/>
  <c r="AP49" i="2"/>
  <c r="L49" i="2"/>
  <c r="AV50" i="2"/>
  <c r="AP50" i="2"/>
  <c r="L50" i="2"/>
  <c r="AV51" i="2"/>
  <c r="AP51" i="2"/>
  <c r="L51" i="2"/>
  <c r="AV52" i="2"/>
  <c r="AP52" i="2"/>
  <c r="L52" i="2"/>
  <c r="AV53" i="2"/>
  <c r="AP53" i="2"/>
  <c r="L53" i="2"/>
  <c r="AV54" i="2"/>
  <c r="AP54" i="2"/>
  <c r="L54" i="2"/>
  <c r="AS55" i="2"/>
  <c r="AM55" i="2"/>
  <c r="I55" i="2"/>
  <c r="AV56" i="2"/>
  <c r="AP56" i="2"/>
  <c r="L56" i="2"/>
  <c r="AS57" i="2"/>
  <c r="AM57" i="2"/>
  <c r="I57" i="2"/>
  <c r="AV58" i="2"/>
  <c r="AP58" i="2"/>
  <c r="L58" i="2"/>
  <c r="AS59" i="2"/>
  <c r="AM59" i="2"/>
  <c r="I59" i="2"/>
  <c r="AV60" i="2"/>
  <c r="AP60" i="2"/>
  <c r="L60" i="2"/>
  <c r="AS61" i="2"/>
  <c r="AM61" i="2"/>
  <c r="I61" i="2"/>
  <c r="AV62" i="2"/>
  <c r="AP62" i="2"/>
  <c r="L62" i="2"/>
  <c r="AS63" i="2"/>
  <c r="AM63" i="2"/>
  <c r="I63" i="2"/>
  <c r="AV64" i="2"/>
  <c r="AP64" i="2"/>
  <c r="L64" i="2"/>
  <c r="AS65" i="2"/>
  <c r="AM65" i="2"/>
  <c r="I65" i="2"/>
  <c r="AV66" i="2"/>
  <c r="AP66" i="2"/>
  <c r="L66" i="2"/>
  <c r="AS67" i="2"/>
  <c r="AM67" i="2"/>
  <c r="I67" i="2"/>
  <c r="AV68" i="2"/>
  <c r="AP68" i="2"/>
  <c r="L68" i="2"/>
  <c r="AS69" i="2"/>
  <c r="AM69" i="2"/>
  <c r="I69" i="2"/>
  <c r="AV70" i="2"/>
  <c r="AP70" i="2"/>
  <c r="L70" i="2"/>
  <c r="AS71" i="2"/>
  <c r="AM71" i="2"/>
  <c r="I71" i="2"/>
  <c r="AV72" i="2"/>
  <c r="AP72" i="2"/>
  <c r="L72" i="2"/>
  <c r="AS73" i="2"/>
  <c r="AM73" i="2"/>
  <c r="I73" i="2"/>
  <c r="AV74" i="2"/>
  <c r="AP74" i="2"/>
  <c r="L74" i="2"/>
  <c r="AS75" i="2"/>
  <c r="AM75" i="2"/>
  <c r="I75" i="2"/>
  <c r="AV76" i="2"/>
  <c r="AP76" i="2"/>
  <c r="L76" i="2"/>
  <c r="AS77" i="2"/>
  <c r="AM77" i="2"/>
  <c r="I77" i="2"/>
  <c r="AV78" i="2"/>
  <c r="AP78" i="2"/>
  <c r="L78" i="2"/>
  <c r="AS79" i="2"/>
  <c r="AM79" i="2"/>
  <c r="I79" i="2"/>
  <c r="AV80" i="2"/>
  <c r="AP80" i="2"/>
  <c r="L80" i="2"/>
  <c r="AS81" i="2"/>
  <c r="AM81" i="2"/>
  <c r="I81" i="2"/>
  <c r="AV82" i="2"/>
  <c r="AP82" i="2"/>
  <c r="L82" i="2"/>
  <c r="AS83" i="2"/>
  <c r="AM83" i="2"/>
  <c r="I83" i="2"/>
  <c r="AV84" i="2"/>
  <c r="AP84" i="2"/>
  <c r="L84" i="2"/>
  <c r="AS85" i="2"/>
  <c r="AM85" i="2"/>
  <c r="I85" i="2"/>
  <c r="AV86" i="2"/>
  <c r="AP86" i="2"/>
  <c r="L86" i="2"/>
  <c r="AS87" i="2"/>
  <c r="AM87" i="2"/>
  <c r="I87" i="2"/>
  <c r="AV88" i="2"/>
  <c r="AP88" i="2"/>
  <c r="L88" i="2"/>
  <c r="AS89" i="2"/>
  <c r="AM89" i="2"/>
  <c r="I89" i="2"/>
  <c r="AV90" i="2"/>
  <c r="AP90" i="2"/>
  <c r="L90" i="2"/>
  <c r="AS91" i="2"/>
  <c r="AM91" i="2"/>
  <c r="I91" i="2"/>
  <c r="AV92" i="2"/>
  <c r="AP92" i="2"/>
  <c r="L92" i="2"/>
  <c r="AS93" i="2"/>
  <c r="AM93" i="2"/>
  <c r="I93" i="2"/>
  <c r="AV94" i="2"/>
  <c r="AP94" i="2"/>
  <c r="L94" i="2"/>
  <c r="AS95" i="2"/>
  <c r="AM95" i="2"/>
  <c r="I95" i="2"/>
  <c r="AV96" i="2"/>
  <c r="AP96" i="2"/>
  <c r="L96" i="2"/>
  <c r="AS97" i="2"/>
  <c r="AM97" i="2"/>
  <c r="I97" i="2"/>
  <c r="AV98" i="2"/>
  <c r="AP98" i="2"/>
  <c r="L98" i="2"/>
  <c r="AS99" i="2"/>
  <c r="AM99" i="2"/>
  <c r="I99" i="2"/>
  <c r="AV100" i="2"/>
  <c r="AP100" i="2"/>
  <c r="L100" i="2"/>
  <c r="AS101" i="2"/>
  <c r="AM101" i="2"/>
  <c r="I101" i="2"/>
  <c r="AV102" i="2"/>
  <c r="AP102" i="2"/>
  <c r="L102" i="2"/>
  <c r="AS103" i="2"/>
  <c r="AM103" i="2"/>
  <c r="I103" i="2"/>
  <c r="BB103" i="2"/>
  <c r="BA102" i="2"/>
  <c r="AZ101" i="2"/>
  <c r="AY100" i="2"/>
  <c r="BC98" i="2"/>
  <c r="BB97" i="2"/>
  <c r="BA96" i="2"/>
  <c r="AZ95" i="2"/>
  <c r="AY94" i="2"/>
  <c r="BC92" i="2"/>
  <c r="BB91" i="2"/>
  <c r="BA90" i="2"/>
  <c r="AZ89" i="2"/>
  <c r="AY88" i="2"/>
  <c r="BC86" i="2"/>
  <c r="BB85" i="2"/>
  <c r="BA84" i="2"/>
  <c r="AZ83" i="2"/>
  <c r="AY82" i="2"/>
  <c r="BC80" i="2"/>
  <c r="BB79" i="2"/>
  <c r="BA78" i="2"/>
  <c r="AZ77" i="2"/>
  <c r="AY76" i="2"/>
  <c r="BC74" i="2"/>
  <c r="BB73" i="2"/>
  <c r="BA72" i="2"/>
  <c r="AZ71" i="2"/>
  <c r="AY70" i="2"/>
  <c r="BC68" i="2"/>
  <c r="BB67" i="2"/>
  <c r="BA66" i="2"/>
  <c r="AZ65" i="2"/>
  <c r="AY64" i="2"/>
  <c r="BC62" i="2"/>
  <c r="BB61" i="2"/>
  <c r="BA60" i="2"/>
  <c r="AZ59" i="2"/>
  <c r="AY58" i="2"/>
  <c r="BC56" i="2"/>
  <c r="BB55" i="2"/>
  <c r="BA54" i="2"/>
  <c r="AZ53" i="2"/>
  <c r="AY52" i="2"/>
  <c r="BC50" i="2"/>
  <c r="BB49" i="2"/>
  <c r="BA48" i="2"/>
  <c r="AZ47" i="2"/>
  <c r="AY46" i="2"/>
  <c r="BC44" i="2"/>
  <c r="BB43" i="2"/>
  <c r="BA42" i="2"/>
  <c r="AZ41" i="2"/>
  <c r="AY40" i="2"/>
  <c r="BC38" i="2"/>
  <c r="BB37" i="2"/>
  <c r="BA36" i="2"/>
  <c r="AZ35" i="2"/>
  <c r="AY34" i="2"/>
  <c r="BC32" i="2"/>
  <c r="BB31" i="2"/>
  <c r="BA30" i="2"/>
  <c r="AZ29" i="2"/>
  <c r="AY28" i="2"/>
  <c r="BC26" i="2"/>
  <c r="BB25" i="2"/>
  <c r="BA24" i="2"/>
  <c r="AZ23" i="2"/>
  <c r="AY22" i="2"/>
  <c r="BC20" i="2"/>
  <c r="BB19" i="2"/>
  <c r="BA18" i="2"/>
  <c r="AZ17" i="2"/>
  <c r="AY16" i="2"/>
  <c r="BC14" i="2"/>
  <c r="BB13" i="2"/>
  <c r="BA12" i="2"/>
  <c r="AZ11" i="2"/>
  <c r="AY10" i="2"/>
  <c r="BC8" i="2"/>
  <c r="BB7" i="2"/>
  <c r="BA6" i="2"/>
  <c r="AZ5" i="2"/>
  <c r="AU61" i="2"/>
  <c r="AO61" i="2"/>
  <c r="K61" i="2"/>
  <c r="AU73" i="2"/>
  <c r="AO73" i="2"/>
  <c r="K73" i="2"/>
  <c r="AU95" i="2"/>
  <c r="AO95" i="2"/>
  <c r="K95" i="2"/>
  <c r="AU101" i="2"/>
  <c r="AO101" i="2"/>
  <c r="K101" i="2"/>
  <c r="AW4" i="2"/>
  <c r="AQ4" i="2"/>
  <c r="M4" i="2"/>
  <c r="AW5" i="2"/>
  <c r="AQ5" i="2"/>
  <c r="M5" i="2"/>
  <c r="AW6" i="2"/>
  <c r="AQ6" i="2"/>
  <c r="M6" i="2"/>
  <c r="AW7" i="2"/>
  <c r="AQ7" i="2"/>
  <c r="M7" i="2"/>
  <c r="AW8" i="2"/>
  <c r="AQ8" i="2"/>
  <c r="M8" i="2"/>
  <c r="AW9" i="2"/>
  <c r="AQ9" i="2"/>
  <c r="M9" i="2"/>
  <c r="AW10" i="2"/>
  <c r="AQ10" i="2"/>
  <c r="M10" i="2"/>
  <c r="AW11" i="2"/>
  <c r="AQ11" i="2"/>
  <c r="M11" i="2"/>
  <c r="AW12" i="2"/>
  <c r="AQ12" i="2"/>
  <c r="M12" i="2"/>
  <c r="AW13" i="2"/>
  <c r="AQ13" i="2"/>
  <c r="M13" i="2"/>
  <c r="AW14" i="2"/>
  <c r="AQ14" i="2"/>
  <c r="M14" i="2"/>
  <c r="AW15" i="2"/>
  <c r="AQ15" i="2"/>
  <c r="M15" i="2"/>
  <c r="AW16" i="2"/>
  <c r="AQ16" i="2"/>
  <c r="M16" i="2"/>
  <c r="AW17" i="2"/>
  <c r="AQ17" i="2"/>
  <c r="M17" i="2"/>
  <c r="AW18" i="2"/>
  <c r="AQ18" i="2"/>
  <c r="M18" i="2"/>
  <c r="AW19" i="2"/>
  <c r="AQ19" i="2"/>
  <c r="M19" i="2"/>
  <c r="AW20" i="2"/>
  <c r="AQ20" i="2"/>
  <c r="M20" i="2"/>
  <c r="AW21" i="2"/>
  <c r="AQ21" i="2"/>
  <c r="M21" i="2"/>
  <c r="AW22" i="2"/>
  <c r="AQ22" i="2"/>
  <c r="M22" i="2"/>
  <c r="AW23" i="2"/>
  <c r="AQ23" i="2"/>
  <c r="M23" i="2"/>
  <c r="AW24" i="2"/>
  <c r="AQ24" i="2"/>
  <c r="M24" i="2"/>
  <c r="AW25" i="2"/>
  <c r="AQ25" i="2"/>
  <c r="M25" i="2"/>
  <c r="AW26" i="2"/>
  <c r="AQ26" i="2"/>
  <c r="M26" i="2"/>
  <c r="AW27" i="2"/>
  <c r="AQ27" i="2"/>
  <c r="M27" i="2"/>
  <c r="AW28" i="2"/>
  <c r="AQ28" i="2"/>
  <c r="M28" i="2"/>
  <c r="AW29" i="2"/>
  <c r="AQ29" i="2"/>
  <c r="M29" i="2"/>
  <c r="AW30" i="2"/>
  <c r="AQ30" i="2"/>
  <c r="M30" i="2"/>
  <c r="AW31" i="2"/>
  <c r="AQ31" i="2"/>
  <c r="M31" i="2"/>
  <c r="AW32" i="2"/>
  <c r="AQ32" i="2"/>
  <c r="M32" i="2"/>
  <c r="AW33" i="2"/>
  <c r="AQ33" i="2"/>
  <c r="M33" i="2"/>
  <c r="AW34" i="2"/>
  <c r="AQ34" i="2"/>
  <c r="M34" i="2"/>
  <c r="AW35" i="2"/>
  <c r="AQ35" i="2"/>
  <c r="M35" i="2"/>
  <c r="AW36" i="2"/>
  <c r="AQ36" i="2"/>
  <c r="M36" i="2"/>
  <c r="AW37" i="2"/>
  <c r="AQ37" i="2"/>
  <c r="M37" i="2"/>
  <c r="AW38" i="2"/>
  <c r="AQ38" i="2"/>
  <c r="M38" i="2"/>
  <c r="AW39" i="2"/>
  <c r="AQ39" i="2"/>
  <c r="M39" i="2"/>
  <c r="AW40" i="2"/>
  <c r="AQ40" i="2"/>
  <c r="M40" i="2"/>
  <c r="AW41" i="2"/>
  <c r="AQ41" i="2"/>
  <c r="M41" i="2"/>
  <c r="AW42" i="2"/>
  <c r="AQ42" i="2"/>
  <c r="M42" i="2"/>
  <c r="AW43" i="2"/>
  <c r="AQ43" i="2"/>
  <c r="M43" i="2"/>
  <c r="AW44" i="2"/>
  <c r="AQ44" i="2"/>
  <c r="M44" i="2"/>
  <c r="AW45" i="2"/>
  <c r="AQ45" i="2"/>
  <c r="M45" i="2"/>
  <c r="AW46" i="2"/>
  <c r="AQ46" i="2"/>
  <c r="M46" i="2"/>
  <c r="AW47" i="2"/>
  <c r="AQ47" i="2"/>
  <c r="M47" i="2"/>
  <c r="AW48" i="2"/>
  <c r="AQ48" i="2"/>
  <c r="M48" i="2"/>
  <c r="AW49" i="2"/>
  <c r="AQ49" i="2"/>
  <c r="M49" i="2"/>
  <c r="AW50" i="2"/>
  <c r="AQ50" i="2"/>
  <c r="M50" i="2"/>
  <c r="AW51" i="2"/>
  <c r="AQ51" i="2"/>
  <c r="M51" i="2"/>
  <c r="AW52" i="2"/>
  <c r="AQ52" i="2"/>
  <c r="M52" i="2"/>
  <c r="AW53" i="2"/>
  <c r="AQ53" i="2"/>
  <c r="M53" i="2"/>
  <c r="AW54" i="2"/>
  <c r="AQ54" i="2"/>
  <c r="M54" i="2"/>
  <c r="AT55" i="2"/>
  <c r="AN55" i="2"/>
  <c r="J55" i="2"/>
  <c r="AW56" i="2"/>
  <c r="AQ56" i="2"/>
  <c r="M56" i="2"/>
  <c r="AT57" i="2"/>
  <c r="AN57" i="2"/>
  <c r="J57" i="2"/>
  <c r="AW58" i="2"/>
  <c r="AQ58" i="2"/>
  <c r="M58" i="2"/>
  <c r="AT59" i="2"/>
  <c r="AN59" i="2"/>
  <c r="J59" i="2"/>
  <c r="AW60" i="2"/>
  <c r="AQ60" i="2"/>
  <c r="M60" i="2"/>
  <c r="AT61" i="2"/>
  <c r="AN61" i="2"/>
  <c r="J61" i="2"/>
  <c r="AW62" i="2"/>
  <c r="AQ62" i="2"/>
  <c r="M62" i="2"/>
  <c r="AT63" i="2"/>
  <c r="AN63" i="2"/>
  <c r="J63" i="2"/>
  <c r="AW64" i="2"/>
  <c r="AQ64" i="2"/>
  <c r="M64" i="2"/>
  <c r="AT65" i="2"/>
  <c r="AN65" i="2"/>
  <c r="J65" i="2"/>
  <c r="AW66" i="2"/>
  <c r="AQ66" i="2"/>
  <c r="M66" i="2"/>
  <c r="AT67" i="2"/>
  <c r="AN67" i="2"/>
  <c r="J67" i="2"/>
  <c r="AW68" i="2"/>
  <c r="AQ68" i="2"/>
  <c r="M68" i="2"/>
  <c r="AT69" i="2"/>
  <c r="AN69" i="2"/>
  <c r="J69" i="2"/>
  <c r="AW70" i="2"/>
  <c r="AQ70" i="2"/>
  <c r="M70" i="2"/>
  <c r="AT71" i="2"/>
  <c r="AN71" i="2"/>
  <c r="J71" i="2"/>
  <c r="AW72" i="2"/>
  <c r="AQ72" i="2"/>
  <c r="M72" i="2"/>
  <c r="AT73" i="2"/>
  <c r="AN73" i="2"/>
  <c r="J73" i="2"/>
  <c r="AW74" i="2"/>
  <c r="AQ74" i="2"/>
  <c r="M74" i="2"/>
  <c r="AT75" i="2"/>
  <c r="AN75" i="2"/>
  <c r="J75" i="2"/>
  <c r="AW76" i="2"/>
  <c r="AQ76" i="2"/>
  <c r="M76" i="2"/>
  <c r="AT77" i="2"/>
  <c r="AN77" i="2"/>
  <c r="J77" i="2"/>
  <c r="AW78" i="2"/>
  <c r="AQ78" i="2"/>
  <c r="M78" i="2"/>
  <c r="AT79" i="2"/>
  <c r="AN79" i="2"/>
  <c r="J79" i="2"/>
  <c r="AW80" i="2"/>
  <c r="AQ80" i="2"/>
  <c r="M80" i="2"/>
  <c r="AT81" i="2"/>
  <c r="AN81" i="2"/>
  <c r="J81" i="2"/>
  <c r="AW82" i="2"/>
  <c r="AQ82" i="2"/>
  <c r="M82" i="2"/>
  <c r="AT83" i="2"/>
  <c r="AN83" i="2"/>
  <c r="J83" i="2"/>
  <c r="AW84" i="2"/>
  <c r="AQ84" i="2"/>
  <c r="M84" i="2"/>
  <c r="AT85" i="2"/>
  <c r="AN85" i="2"/>
  <c r="J85" i="2"/>
  <c r="AW86" i="2"/>
  <c r="AQ86" i="2"/>
  <c r="M86" i="2"/>
  <c r="AT87" i="2"/>
  <c r="AN87" i="2"/>
  <c r="J87" i="2"/>
  <c r="AW88" i="2"/>
  <c r="AQ88" i="2"/>
  <c r="M88" i="2"/>
  <c r="AT89" i="2"/>
  <c r="AN89" i="2"/>
  <c r="J89" i="2"/>
  <c r="AW90" i="2"/>
  <c r="AQ90" i="2"/>
  <c r="M90" i="2"/>
  <c r="AT91" i="2"/>
  <c r="AN91" i="2"/>
  <c r="J91" i="2"/>
  <c r="AW92" i="2"/>
  <c r="AQ92" i="2"/>
  <c r="M92" i="2"/>
  <c r="AT93" i="2"/>
  <c r="AN93" i="2"/>
  <c r="J93" i="2"/>
  <c r="AW94" i="2"/>
  <c r="AQ94" i="2"/>
  <c r="M94" i="2"/>
  <c r="AT95" i="2"/>
  <c r="AN95" i="2"/>
  <c r="J95" i="2"/>
  <c r="AW96" i="2"/>
  <c r="AQ96" i="2"/>
  <c r="M96" i="2"/>
  <c r="AT97" i="2"/>
  <c r="AN97" i="2"/>
  <c r="J97" i="2"/>
  <c r="AW98" i="2"/>
  <c r="AQ98" i="2"/>
  <c r="M98" i="2"/>
  <c r="AT99" i="2"/>
  <c r="AN99" i="2"/>
  <c r="J99" i="2"/>
  <c r="AW100" i="2"/>
  <c r="AQ100" i="2"/>
  <c r="M100" i="2"/>
  <c r="AT101" i="2"/>
  <c r="AN101" i="2"/>
  <c r="J101" i="2"/>
  <c r="AW102" i="2"/>
  <c r="AQ102" i="2"/>
  <c r="M102" i="2"/>
  <c r="AT103" i="2"/>
  <c r="AN103" i="2"/>
  <c r="J103" i="2"/>
  <c r="BC4" i="2"/>
  <c r="BA103" i="2"/>
  <c r="AZ102" i="2"/>
  <c r="AY101" i="2"/>
  <c r="BC99" i="2"/>
  <c r="BB98" i="2"/>
  <c r="BA97" i="2"/>
  <c r="AZ96" i="2"/>
  <c r="AY95" i="2"/>
  <c r="BC93" i="2"/>
  <c r="BB92" i="2"/>
  <c r="BA91" i="2"/>
  <c r="AZ90" i="2"/>
  <c r="AY89" i="2"/>
  <c r="BC87" i="2"/>
  <c r="BB86" i="2"/>
  <c r="BA85" i="2"/>
  <c r="AZ84" i="2"/>
  <c r="AY83" i="2"/>
  <c r="BC81" i="2"/>
  <c r="BB80" i="2"/>
  <c r="BA79" i="2"/>
  <c r="AZ78" i="2"/>
  <c r="AY77" i="2"/>
  <c r="BC75" i="2"/>
  <c r="BB74" i="2"/>
  <c r="BA73" i="2"/>
  <c r="AZ72" i="2"/>
  <c r="AY71" i="2"/>
  <c r="BC69" i="2"/>
  <c r="BB68" i="2"/>
  <c r="BA67" i="2"/>
  <c r="AZ66" i="2"/>
  <c r="AY65" i="2"/>
  <c r="BC63" i="2"/>
  <c r="BB62" i="2"/>
  <c r="BA61" i="2"/>
  <c r="AZ60" i="2"/>
  <c r="AY59" i="2"/>
  <c r="BC57" i="2"/>
  <c r="BB56" i="2"/>
  <c r="BA55" i="2"/>
  <c r="AZ54" i="2"/>
  <c r="AY53" i="2"/>
  <c r="BC51" i="2"/>
  <c r="BB50" i="2"/>
  <c r="BA49" i="2"/>
  <c r="AZ48" i="2"/>
  <c r="AY47" i="2"/>
  <c r="BC45" i="2"/>
  <c r="BB44" i="2"/>
  <c r="BA43" i="2"/>
  <c r="AZ42" i="2"/>
  <c r="AY41" i="2"/>
  <c r="BC39" i="2"/>
  <c r="BB38" i="2"/>
  <c r="BA37" i="2"/>
  <c r="AZ36" i="2"/>
  <c r="AY35" i="2"/>
  <c r="BC33" i="2"/>
  <c r="BB32" i="2"/>
  <c r="BA31" i="2"/>
  <c r="AZ30" i="2"/>
  <c r="AY29" i="2"/>
  <c r="BC27" i="2"/>
  <c r="BB26" i="2"/>
  <c r="BA25" i="2"/>
  <c r="AZ24" i="2"/>
  <c r="AY23" i="2"/>
  <c r="BC21" i="2"/>
  <c r="BB20" i="2"/>
  <c r="BA19" i="2"/>
  <c r="AZ18" i="2"/>
  <c r="AY17" i="2"/>
  <c r="BC15" i="2"/>
  <c r="BB14" i="2"/>
  <c r="BA13" i="2"/>
  <c r="AZ12" i="2"/>
  <c r="AY11" i="2"/>
  <c r="BC9" i="2"/>
  <c r="BB8" i="2"/>
  <c r="BA7" i="2"/>
  <c r="AZ6" i="2"/>
  <c r="AY5" i="2"/>
  <c r="E113" i="6"/>
  <c r="D113" i="6"/>
  <c r="E112" i="6"/>
  <c r="D112" i="6"/>
  <c r="E111" i="6"/>
  <c r="D111" i="6"/>
  <c r="E110" i="6"/>
  <c r="D110" i="6"/>
  <c r="E109" i="6"/>
  <c r="D109" i="6"/>
  <c r="E108" i="6"/>
  <c r="D108" i="6"/>
  <c r="E107" i="6"/>
  <c r="D107" i="6"/>
  <c r="E106" i="6"/>
  <c r="D106" i="6"/>
  <c r="E105" i="6"/>
  <c r="D105" i="6"/>
  <c r="E104" i="6"/>
  <c r="D104" i="6"/>
  <c r="E90" i="6"/>
  <c r="D90" i="6"/>
  <c r="E89" i="6"/>
  <c r="D89" i="6"/>
  <c r="E88" i="6"/>
  <c r="D88" i="6"/>
  <c r="E87" i="6"/>
  <c r="D87" i="6"/>
  <c r="E86" i="6"/>
  <c r="D86" i="6"/>
  <c r="E85" i="6"/>
  <c r="D85" i="6"/>
  <c r="E84" i="6"/>
  <c r="D84" i="6"/>
  <c r="E83" i="6"/>
  <c r="D83" i="6"/>
  <c r="E82" i="6"/>
  <c r="D82" i="6"/>
  <c r="E81" i="6"/>
  <c r="D81" i="6"/>
  <c r="E67" i="6"/>
  <c r="D67" i="6"/>
  <c r="E66" i="6"/>
  <c r="D66" i="6"/>
  <c r="E65" i="6"/>
  <c r="D65" i="6"/>
  <c r="E64" i="6"/>
  <c r="D64" i="6"/>
  <c r="E63" i="6"/>
  <c r="D63" i="6"/>
  <c r="E62" i="6"/>
  <c r="D62" i="6"/>
  <c r="E61" i="6"/>
  <c r="D61" i="6"/>
  <c r="E60" i="6"/>
  <c r="D60" i="6"/>
  <c r="E59" i="6"/>
  <c r="D59" i="6"/>
  <c r="E58" i="6"/>
  <c r="D58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E12" i="6"/>
  <c r="D12" i="6"/>
  <c r="C97" i="1" l="1"/>
  <c r="I97" i="1"/>
  <c r="I95" i="1"/>
  <c r="C95" i="1"/>
  <c r="I94" i="1"/>
  <c r="C94" i="1"/>
  <c r="C81" i="1"/>
  <c r="I81" i="1"/>
  <c r="C84" i="1"/>
  <c r="I84" i="1"/>
  <c r="I91" i="1"/>
  <c r="C91" i="1"/>
  <c r="I93" i="1"/>
  <c r="C93" i="1"/>
  <c r="I79" i="1"/>
  <c r="C79" i="1"/>
  <c r="I83" i="1"/>
  <c r="C83" i="1"/>
  <c r="I85" i="1"/>
  <c r="C85" i="1"/>
  <c r="C82" i="1"/>
  <c r="I82" i="1"/>
  <c r="C103" i="1"/>
  <c r="I103" i="1"/>
  <c r="I90" i="1"/>
  <c r="C90" i="1"/>
  <c r="I78" i="1"/>
  <c r="C78" i="1"/>
  <c r="C100" i="1"/>
  <c r="I100" i="1"/>
  <c r="C80" i="1"/>
  <c r="I80" i="1"/>
  <c r="I102" i="1"/>
  <c r="C102" i="1"/>
  <c r="I89" i="1"/>
  <c r="C89" i="1"/>
  <c r="I77" i="1"/>
  <c r="C77" i="1"/>
  <c r="C99" i="1"/>
  <c r="I99" i="1"/>
  <c r="I76" i="1"/>
  <c r="C76" i="1"/>
  <c r="I101" i="1"/>
  <c r="C101" i="1"/>
  <c r="C87" i="1"/>
  <c r="I87" i="1"/>
  <c r="C74" i="1"/>
  <c r="I74" i="1"/>
  <c r="I96" i="1"/>
  <c r="C96" i="1"/>
  <c r="I75" i="1"/>
  <c r="C75" i="1"/>
  <c r="I88" i="1"/>
  <c r="C88" i="1"/>
  <c r="I98" i="1"/>
  <c r="C98" i="1"/>
  <c r="C86" i="1"/>
  <c r="I86" i="1"/>
  <c r="I92" i="1"/>
  <c r="C92" i="1"/>
  <c r="I69" i="1"/>
  <c r="C69" i="1"/>
  <c r="I70" i="1"/>
  <c r="C70" i="1"/>
  <c r="I71" i="1"/>
  <c r="C71" i="1"/>
  <c r="C73" i="1"/>
  <c r="I73" i="1"/>
  <c r="I72" i="1"/>
  <c r="C72" i="1"/>
  <c r="I67" i="1"/>
  <c r="C67" i="1"/>
  <c r="C64" i="1"/>
  <c r="I64" i="1"/>
  <c r="C58" i="1"/>
  <c r="I58" i="1"/>
  <c r="I66" i="1"/>
  <c r="C66" i="1"/>
  <c r="I60" i="1"/>
  <c r="C60" i="1"/>
  <c r="I68" i="1"/>
  <c r="C68" i="1"/>
  <c r="I65" i="1"/>
  <c r="C65" i="1"/>
  <c r="I59" i="1"/>
  <c r="C59" i="1"/>
  <c r="C63" i="1"/>
  <c r="I63" i="1"/>
  <c r="I62" i="1"/>
  <c r="C62" i="1"/>
  <c r="I61" i="1"/>
  <c r="C61" i="1"/>
  <c r="I55" i="1"/>
  <c r="C55" i="1"/>
  <c r="C54" i="1"/>
  <c r="I54" i="1"/>
  <c r="I53" i="1"/>
  <c r="C53" i="1"/>
  <c r="I50" i="1"/>
  <c r="C50" i="1"/>
  <c r="I56" i="1"/>
  <c r="C56" i="1"/>
  <c r="C52" i="1"/>
  <c r="I52" i="1"/>
  <c r="C57" i="1"/>
  <c r="I57" i="1"/>
  <c r="C51" i="1"/>
  <c r="I51" i="1"/>
  <c r="I48" i="1"/>
  <c r="C48" i="1"/>
  <c r="I44" i="1"/>
  <c r="C44" i="1"/>
  <c r="I43" i="1"/>
  <c r="C43" i="1"/>
  <c r="I46" i="1"/>
  <c r="C46" i="1"/>
  <c r="I45" i="1"/>
  <c r="C45" i="1"/>
  <c r="I49" i="1"/>
  <c r="C49" i="1"/>
  <c r="I47" i="1"/>
  <c r="C47" i="1"/>
  <c r="C42" i="1"/>
  <c r="I42" i="1"/>
  <c r="C41" i="1"/>
  <c r="I41" i="1"/>
  <c r="C40" i="1"/>
  <c r="I40" i="1"/>
  <c r="I39" i="1"/>
  <c r="C39" i="1"/>
  <c r="I36" i="1"/>
  <c r="C36" i="1"/>
  <c r="I38" i="1"/>
  <c r="C38" i="1"/>
  <c r="I35" i="1"/>
  <c r="C35" i="1"/>
  <c r="I37" i="1"/>
  <c r="C37" i="1"/>
  <c r="I34" i="1"/>
  <c r="C34" i="1"/>
  <c r="C33" i="1"/>
  <c r="I33" i="1"/>
  <c r="C29" i="1"/>
  <c r="I29" i="1"/>
  <c r="I31" i="1"/>
  <c r="C31" i="1"/>
  <c r="C30" i="1"/>
  <c r="I30" i="1"/>
  <c r="I32" i="1"/>
  <c r="C32" i="1"/>
  <c r="I28" i="1"/>
  <c r="C28" i="1"/>
  <c r="I18" i="1"/>
  <c r="C18" i="1"/>
  <c r="I6" i="1"/>
  <c r="C6" i="1"/>
  <c r="I24" i="1"/>
  <c r="C24" i="1"/>
  <c r="I5" i="1"/>
  <c r="C5" i="1"/>
  <c r="I20" i="1"/>
  <c r="C20" i="1"/>
  <c r="I15" i="1"/>
  <c r="C15" i="1"/>
  <c r="I19" i="1"/>
  <c r="C19" i="1"/>
  <c r="I7" i="1"/>
  <c r="C7" i="1"/>
  <c r="I26" i="1"/>
  <c r="C26" i="1"/>
  <c r="C14" i="1"/>
  <c r="I14" i="1"/>
  <c r="I16" i="1"/>
  <c r="C16" i="1"/>
  <c r="I27" i="1"/>
  <c r="C27" i="1"/>
  <c r="I25" i="1"/>
  <c r="C25" i="1"/>
  <c r="I13" i="1"/>
  <c r="C13" i="1"/>
  <c r="I12" i="1"/>
  <c r="C12" i="1"/>
  <c r="I17" i="1"/>
  <c r="C17" i="1"/>
  <c r="I23" i="1"/>
  <c r="C23" i="1"/>
  <c r="I10" i="1"/>
  <c r="C10" i="1"/>
  <c r="I11" i="1"/>
  <c r="C11" i="1"/>
  <c r="I21" i="1"/>
  <c r="C21" i="1"/>
  <c r="I22" i="1"/>
  <c r="C22" i="1"/>
  <c r="I9" i="1"/>
  <c r="C9" i="1"/>
  <c r="C8" i="1"/>
  <c r="I8" i="1"/>
  <c r="C4" i="1"/>
  <c r="I4" i="1"/>
  <c r="J77" i="1" l="1"/>
  <c r="D77" i="1"/>
  <c r="D92" i="1"/>
  <c r="J92" i="1"/>
  <c r="J98" i="1"/>
  <c r="D98" i="1"/>
  <c r="J76" i="1"/>
  <c r="D76" i="1"/>
  <c r="J89" i="1"/>
  <c r="D89" i="1"/>
  <c r="J79" i="1"/>
  <c r="D79" i="1"/>
  <c r="D82" i="1"/>
  <c r="J82" i="1"/>
  <c r="J99" i="1"/>
  <c r="D99" i="1"/>
  <c r="J102" i="1"/>
  <c r="D102" i="1"/>
  <c r="D93" i="1"/>
  <c r="J93" i="1"/>
  <c r="D88" i="1"/>
  <c r="J88" i="1"/>
  <c r="J95" i="1"/>
  <c r="D95" i="1"/>
  <c r="D87" i="1"/>
  <c r="J87" i="1"/>
  <c r="J83" i="1"/>
  <c r="D83" i="1"/>
  <c r="J100" i="1"/>
  <c r="D100" i="1"/>
  <c r="D74" i="1"/>
  <c r="J74" i="1"/>
  <c r="J103" i="1"/>
  <c r="D103" i="1"/>
  <c r="J75" i="1"/>
  <c r="D75" i="1"/>
  <c r="J101" i="1"/>
  <c r="D101" i="1"/>
  <c r="D78" i="1"/>
  <c r="J78" i="1"/>
  <c r="D81" i="1"/>
  <c r="J81" i="1"/>
  <c r="J85" i="1"/>
  <c r="D85" i="1"/>
  <c r="D86" i="1"/>
  <c r="J86" i="1"/>
  <c r="J96" i="1"/>
  <c r="D96" i="1"/>
  <c r="D80" i="1"/>
  <c r="J80" i="1"/>
  <c r="J90" i="1"/>
  <c r="D90" i="1"/>
  <c r="D84" i="1"/>
  <c r="J84" i="1"/>
  <c r="D94" i="1"/>
  <c r="J94" i="1"/>
  <c r="D91" i="1"/>
  <c r="J91" i="1"/>
  <c r="J97" i="1"/>
  <c r="D97" i="1"/>
  <c r="J71" i="1"/>
  <c r="D71" i="1"/>
  <c r="J69" i="1"/>
  <c r="D69" i="1"/>
  <c r="J73" i="1"/>
  <c r="D73" i="1"/>
  <c r="D72" i="1"/>
  <c r="J72" i="1"/>
  <c r="D70" i="1"/>
  <c r="J70" i="1"/>
  <c r="J60" i="1"/>
  <c r="D60" i="1"/>
  <c r="J62" i="1"/>
  <c r="D62" i="1"/>
  <c r="J58" i="1"/>
  <c r="D58" i="1"/>
  <c r="J65" i="1"/>
  <c r="D65" i="1"/>
  <c r="J59" i="1"/>
  <c r="D59" i="1"/>
  <c r="J64" i="1"/>
  <c r="D64" i="1"/>
  <c r="J68" i="1"/>
  <c r="D68" i="1"/>
  <c r="J67" i="1"/>
  <c r="D67" i="1"/>
  <c r="D61" i="1"/>
  <c r="J61" i="1"/>
  <c r="D63" i="1"/>
  <c r="J63" i="1"/>
  <c r="J66" i="1"/>
  <c r="D66" i="1"/>
  <c r="J55" i="1"/>
  <c r="D55" i="1"/>
  <c r="J52" i="1"/>
  <c r="D52" i="1"/>
  <c r="J50" i="1"/>
  <c r="D50" i="1"/>
  <c r="J51" i="1"/>
  <c r="D51" i="1"/>
  <c r="D54" i="1"/>
  <c r="J54" i="1"/>
  <c r="D57" i="1"/>
  <c r="J57" i="1"/>
  <c r="J53" i="1"/>
  <c r="D53" i="1"/>
  <c r="J56" i="1"/>
  <c r="D56" i="1"/>
  <c r="D43" i="1"/>
  <c r="J43" i="1"/>
  <c r="D48" i="1"/>
  <c r="J48" i="1"/>
  <c r="D47" i="1"/>
  <c r="J47" i="1"/>
  <c r="J45" i="1"/>
  <c r="D45" i="1"/>
  <c r="J44" i="1"/>
  <c r="D44" i="1"/>
  <c r="D49" i="1"/>
  <c r="J49" i="1"/>
  <c r="J46" i="1"/>
  <c r="D46" i="1"/>
  <c r="J41" i="1"/>
  <c r="D41" i="1"/>
  <c r="J35" i="1"/>
  <c r="D35" i="1"/>
  <c r="J37" i="1"/>
  <c r="D37" i="1"/>
  <c r="J40" i="1"/>
  <c r="D40" i="1"/>
  <c r="J38" i="1"/>
  <c r="D38" i="1"/>
  <c r="J39" i="1"/>
  <c r="D39" i="1"/>
  <c r="D42" i="1"/>
  <c r="J42" i="1"/>
  <c r="J34" i="1"/>
  <c r="D34" i="1"/>
  <c r="J36" i="1"/>
  <c r="D36" i="1"/>
  <c r="D32" i="1"/>
  <c r="J32" i="1"/>
  <c r="D29" i="1"/>
  <c r="J29" i="1"/>
  <c r="J31" i="1"/>
  <c r="D31" i="1"/>
  <c r="J28" i="1"/>
  <c r="D28" i="1"/>
  <c r="D30" i="1"/>
  <c r="J30" i="1"/>
  <c r="J33" i="1"/>
  <c r="D33" i="1"/>
  <c r="D5" i="1"/>
  <c r="J5" i="1"/>
  <c r="J23" i="1"/>
  <c r="D23" i="1"/>
  <c r="J14" i="1"/>
  <c r="D14" i="1"/>
  <c r="D19" i="1"/>
  <c r="J19" i="1"/>
  <c r="J17" i="1"/>
  <c r="D17" i="1"/>
  <c r="D21" i="1"/>
  <c r="J21" i="1"/>
  <c r="J26" i="1"/>
  <c r="D26" i="1"/>
  <c r="D9" i="1"/>
  <c r="J9" i="1"/>
  <c r="J11" i="1"/>
  <c r="D11" i="1"/>
  <c r="J10" i="1"/>
  <c r="D10" i="1"/>
  <c r="D22" i="1"/>
  <c r="J22" i="1"/>
  <c r="D13" i="1"/>
  <c r="J13" i="1"/>
  <c r="J16" i="1"/>
  <c r="D16" i="1"/>
  <c r="D20" i="1"/>
  <c r="J20" i="1"/>
  <c r="J6" i="1"/>
  <c r="D6" i="1"/>
  <c r="D27" i="1"/>
  <c r="J27" i="1"/>
  <c r="J24" i="1"/>
  <c r="D24" i="1"/>
  <c r="J25" i="1"/>
  <c r="D25" i="1"/>
  <c r="J15" i="1"/>
  <c r="D15" i="1"/>
  <c r="J18" i="1"/>
  <c r="D18" i="1"/>
  <c r="D8" i="1"/>
  <c r="J8" i="1"/>
  <c r="J7" i="1"/>
  <c r="D7" i="1"/>
  <c r="D12" i="1"/>
  <c r="J12" i="1"/>
  <c r="J4" i="1"/>
  <c r="D4" i="1"/>
  <c r="E103" i="1" l="1"/>
  <c r="K103" i="1"/>
  <c r="K100" i="1"/>
  <c r="E100" i="1"/>
  <c r="E85" i="1"/>
  <c r="K85" i="1"/>
  <c r="K89" i="1"/>
  <c r="E89" i="1"/>
  <c r="E76" i="1"/>
  <c r="K76" i="1"/>
  <c r="K94" i="1"/>
  <c r="E94" i="1"/>
  <c r="K95" i="1"/>
  <c r="E95" i="1"/>
  <c r="E84" i="1"/>
  <c r="K84" i="1"/>
  <c r="E88" i="1"/>
  <c r="K88" i="1"/>
  <c r="K75" i="1"/>
  <c r="E75" i="1"/>
  <c r="E82" i="1"/>
  <c r="K82" i="1"/>
  <c r="K90" i="1"/>
  <c r="E90" i="1"/>
  <c r="K101" i="1"/>
  <c r="E101" i="1"/>
  <c r="E80" i="1"/>
  <c r="K80" i="1"/>
  <c r="K92" i="1"/>
  <c r="E92" i="1"/>
  <c r="K77" i="1"/>
  <c r="E77" i="1"/>
  <c r="E81" i="1"/>
  <c r="K81" i="1"/>
  <c r="E93" i="1"/>
  <c r="K93" i="1"/>
  <c r="K98" i="1"/>
  <c r="E98" i="1"/>
  <c r="K97" i="1"/>
  <c r="E97" i="1"/>
  <c r="K91" i="1"/>
  <c r="E91" i="1"/>
  <c r="K102" i="1"/>
  <c r="E102" i="1"/>
  <c r="K78" i="1"/>
  <c r="E78" i="1"/>
  <c r="K86" i="1"/>
  <c r="E86" i="1"/>
  <c r="E74" i="1"/>
  <c r="K74" i="1"/>
  <c r="K83" i="1"/>
  <c r="E83" i="1"/>
  <c r="K96" i="1"/>
  <c r="E96" i="1"/>
  <c r="E99" i="1"/>
  <c r="K99" i="1"/>
  <c r="E79" i="1"/>
  <c r="K79" i="1"/>
  <c r="E87" i="1"/>
  <c r="K87" i="1"/>
  <c r="K70" i="1"/>
  <c r="E70" i="1"/>
  <c r="K71" i="1"/>
  <c r="E71" i="1"/>
  <c r="K73" i="1"/>
  <c r="E73" i="1"/>
  <c r="K72" i="1"/>
  <c r="E72" i="1"/>
  <c r="K69" i="1"/>
  <c r="E69" i="1"/>
  <c r="E68" i="1"/>
  <c r="K68" i="1"/>
  <c r="K58" i="1"/>
  <c r="E58" i="1"/>
  <c r="K66" i="1"/>
  <c r="E66" i="1"/>
  <c r="K67" i="1"/>
  <c r="E67" i="1"/>
  <c r="K63" i="1"/>
  <c r="E63" i="1"/>
  <c r="K64" i="1"/>
  <c r="E64" i="1"/>
  <c r="K62" i="1"/>
  <c r="E62" i="1"/>
  <c r="K61" i="1"/>
  <c r="E61" i="1"/>
  <c r="K60" i="1"/>
  <c r="E60" i="1"/>
  <c r="K65" i="1"/>
  <c r="E65" i="1"/>
  <c r="E59" i="1"/>
  <c r="K59" i="1"/>
  <c r="E51" i="1"/>
  <c r="K51" i="1"/>
  <c r="E57" i="1"/>
  <c r="K57" i="1"/>
  <c r="E55" i="1"/>
  <c r="K55" i="1"/>
  <c r="K54" i="1"/>
  <c r="E54" i="1"/>
  <c r="E50" i="1"/>
  <c r="K50" i="1"/>
  <c r="E52" i="1"/>
  <c r="K52" i="1"/>
  <c r="K53" i="1"/>
  <c r="E53" i="1"/>
  <c r="E56" i="1"/>
  <c r="K56" i="1"/>
  <c r="K49" i="1"/>
  <c r="E49" i="1"/>
  <c r="E46" i="1"/>
  <c r="K46" i="1"/>
  <c r="E45" i="1"/>
  <c r="K45" i="1"/>
  <c r="E48" i="1"/>
  <c r="K48" i="1"/>
  <c r="E47" i="1"/>
  <c r="K47" i="1"/>
  <c r="E44" i="1"/>
  <c r="K44" i="1"/>
  <c r="K43" i="1"/>
  <c r="E43" i="1"/>
  <c r="K36" i="1"/>
  <c r="E36" i="1"/>
  <c r="K38" i="1"/>
  <c r="E38" i="1"/>
  <c r="K34" i="1"/>
  <c r="E34" i="1"/>
  <c r="K35" i="1"/>
  <c r="E35" i="1"/>
  <c r="K40" i="1"/>
  <c r="E40" i="1"/>
  <c r="E37" i="1"/>
  <c r="K37" i="1"/>
  <c r="E41" i="1"/>
  <c r="K41" i="1"/>
  <c r="K42" i="1"/>
  <c r="E42" i="1"/>
  <c r="K39" i="1"/>
  <c r="E39" i="1"/>
  <c r="K31" i="1"/>
  <c r="E31" i="1"/>
  <c r="K32" i="1"/>
  <c r="E32" i="1"/>
  <c r="K30" i="1"/>
  <c r="E30" i="1"/>
  <c r="K28" i="1"/>
  <c r="E28" i="1"/>
  <c r="K29" i="1"/>
  <c r="E29" i="1"/>
  <c r="E33" i="1"/>
  <c r="K33" i="1"/>
  <c r="E13" i="1"/>
  <c r="K13" i="1"/>
  <c r="E27" i="1"/>
  <c r="K27" i="1"/>
  <c r="K19" i="1"/>
  <c r="E19" i="1"/>
  <c r="E7" i="1"/>
  <c r="K7" i="1"/>
  <c r="E16" i="1"/>
  <c r="K16" i="1"/>
  <c r="K9" i="1"/>
  <c r="E9" i="1"/>
  <c r="E10" i="1"/>
  <c r="K10" i="1"/>
  <c r="E18" i="1"/>
  <c r="K18" i="1"/>
  <c r="K24" i="1"/>
  <c r="E24" i="1"/>
  <c r="K23" i="1"/>
  <c r="E23" i="1"/>
  <c r="E17" i="1"/>
  <c r="K17" i="1"/>
  <c r="K11" i="1"/>
  <c r="E11" i="1"/>
  <c r="E15" i="1"/>
  <c r="K15" i="1"/>
  <c r="E12" i="1"/>
  <c r="K12" i="1"/>
  <c r="E20" i="1"/>
  <c r="K20" i="1"/>
  <c r="E21" i="1"/>
  <c r="K21" i="1"/>
  <c r="E22" i="1"/>
  <c r="K22" i="1"/>
  <c r="K5" i="1"/>
  <c r="E5" i="1"/>
  <c r="E8" i="1"/>
  <c r="K8" i="1"/>
  <c r="K26" i="1"/>
  <c r="E26" i="1"/>
  <c r="E6" i="1"/>
  <c r="K6" i="1"/>
  <c r="E14" i="1"/>
  <c r="K14" i="1"/>
  <c r="K25" i="1"/>
  <c r="E25" i="1"/>
  <c r="K4" i="1"/>
  <c r="E4" i="1"/>
  <c r="L102" i="1" l="1"/>
  <c r="F102" i="1"/>
  <c r="F77" i="1"/>
  <c r="L77" i="1"/>
  <c r="L95" i="1"/>
  <c r="F95" i="1"/>
  <c r="L92" i="1"/>
  <c r="F92" i="1"/>
  <c r="F74" i="1"/>
  <c r="L74" i="1"/>
  <c r="L84" i="1"/>
  <c r="F84" i="1"/>
  <c r="L78" i="1"/>
  <c r="F78" i="1"/>
  <c r="F82" i="1"/>
  <c r="L82" i="1"/>
  <c r="F90" i="1"/>
  <c r="L90" i="1"/>
  <c r="F85" i="1"/>
  <c r="L85" i="1"/>
  <c r="L76" i="1"/>
  <c r="F76" i="1"/>
  <c r="F88" i="1"/>
  <c r="L88" i="1"/>
  <c r="F89" i="1"/>
  <c r="L89" i="1"/>
  <c r="L98" i="1"/>
  <c r="F98" i="1"/>
  <c r="F87" i="1"/>
  <c r="L87" i="1"/>
  <c r="F96" i="1"/>
  <c r="L96" i="1"/>
  <c r="L75" i="1"/>
  <c r="F75" i="1"/>
  <c r="L80" i="1"/>
  <c r="F80" i="1"/>
  <c r="L93" i="1"/>
  <c r="F93" i="1"/>
  <c r="L100" i="1"/>
  <c r="F100" i="1"/>
  <c r="L86" i="1"/>
  <c r="F86" i="1"/>
  <c r="L79" i="1"/>
  <c r="F79" i="1"/>
  <c r="L97" i="1"/>
  <c r="F97" i="1"/>
  <c r="L101" i="1"/>
  <c r="F101" i="1"/>
  <c r="F99" i="1"/>
  <c r="L99" i="1"/>
  <c r="L83" i="1"/>
  <c r="F83" i="1"/>
  <c r="F91" i="1"/>
  <c r="L91" i="1"/>
  <c r="F103" i="1"/>
  <c r="L103" i="1"/>
  <c r="F94" i="1"/>
  <c r="L94" i="1"/>
  <c r="L81" i="1"/>
  <c r="F81" i="1"/>
  <c r="L70" i="1"/>
  <c r="F70" i="1"/>
  <c r="L69" i="1"/>
  <c r="F69" i="1"/>
  <c r="L73" i="1"/>
  <c r="F73" i="1"/>
  <c r="L72" i="1"/>
  <c r="F72" i="1"/>
  <c r="L71" i="1"/>
  <c r="F71" i="1"/>
  <c r="L61" i="1"/>
  <c r="F61" i="1"/>
  <c r="L65" i="1"/>
  <c r="F65" i="1"/>
  <c r="F58" i="1"/>
  <c r="L58" i="1"/>
  <c r="L66" i="1"/>
  <c r="F66" i="1"/>
  <c r="L68" i="1"/>
  <c r="F68" i="1"/>
  <c r="L63" i="1"/>
  <c r="F63" i="1"/>
  <c r="F64" i="1"/>
  <c r="L64" i="1"/>
  <c r="F60" i="1"/>
  <c r="L60" i="1"/>
  <c r="L62" i="1"/>
  <c r="F62" i="1"/>
  <c r="L59" i="1"/>
  <c r="F59" i="1"/>
  <c r="L67" i="1"/>
  <c r="F67" i="1"/>
  <c r="F53" i="1"/>
  <c r="L53" i="1"/>
  <c r="F57" i="1"/>
  <c r="L57" i="1"/>
  <c r="F54" i="1"/>
  <c r="L54" i="1"/>
  <c r="F52" i="1"/>
  <c r="L52" i="1"/>
  <c r="F55" i="1"/>
  <c r="L55" i="1"/>
  <c r="F51" i="1"/>
  <c r="L51" i="1"/>
  <c r="L56" i="1"/>
  <c r="F56" i="1"/>
  <c r="F50" i="1"/>
  <c r="L50" i="1"/>
  <c r="F44" i="1"/>
  <c r="L44" i="1"/>
  <c r="F48" i="1"/>
  <c r="L48" i="1"/>
  <c r="L45" i="1"/>
  <c r="F45" i="1"/>
  <c r="F49" i="1"/>
  <c r="L49" i="1"/>
  <c r="F43" i="1"/>
  <c r="L43" i="1"/>
  <c r="F46" i="1"/>
  <c r="L46" i="1"/>
  <c r="L47" i="1"/>
  <c r="F47" i="1"/>
  <c r="L41" i="1"/>
  <c r="F41" i="1"/>
  <c r="F42" i="1"/>
  <c r="L42" i="1"/>
  <c r="L38" i="1"/>
  <c r="F38" i="1"/>
  <c r="F35" i="1"/>
  <c r="L35" i="1"/>
  <c r="L34" i="1"/>
  <c r="F34" i="1"/>
  <c r="L40" i="1"/>
  <c r="F40" i="1"/>
  <c r="F37" i="1"/>
  <c r="L37" i="1"/>
  <c r="L36" i="1"/>
  <c r="F36" i="1"/>
  <c r="L39" i="1"/>
  <c r="F39" i="1"/>
  <c r="L32" i="1"/>
  <c r="F32" i="1"/>
  <c r="L30" i="1"/>
  <c r="F30" i="1"/>
  <c r="L28" i="1"/>
  <c r="F28" i="1"/>
  <c r="L33" i="1"/>
  <c r="F33" i="1"/>
  <c r="F29" i="1"/>
  <c r="L29" i="1"/>
  <c r="F31" i="1"/>
  <c r="L31" i="1"/>
  <c r="F16" i="1"/>
  <c r="L16" i="1"/>
  <c r="L10" i="1"/>
  <c r="F10" i="1"/>
  <c r="F22" i="1"/>
  <c r="L22" i="1"/>
  <c r="F15" i="1"/>
  <c r="L15" i="1"/>
  <c r="F7" i="1"/>
  <c r="L7" i="1"/>
  <c r="F24" i="1"/>
  <c r="L24" i="1"/>
  <c r="F19" i="1"/>
  <c r="L19" i="1"/>
  <c r="F14" i="1"/>
  <c r="L14" i="1"/>
  <c r="F6" i="1"/>
  <c r="L6" i="1"/>
  <c r="L21" i="1"/>
  <c r="F21" i="1"/>
  <c r="L20" i="1"/>
  <c r="F20" i="1"/>
  <c r="L9" i="1"/>
  <c r="F9" i="1"/>
  <c r="F13" i="1"/>
  <c r="L13" i="1"/>
  <c r="L11" i="1"/>
  <c r="F11" i="1"/>
  <c r="L8" i="1"/>
  <c r="F8" i="1"/>
  <c r="F23" i="1"/>
  <c r="L23" i="1"/>
  <c r="L18" i="1"/>
  <c r="F18" i="1"/>
  <c r="L27" i="1"/>
  <c r="F27" i="1"/>
  <c r="L12" i="1"/>
  <c r="F12" i="1"/>
  <c r="L25" i="1"/>
  <c r="F25" i="1"/>
  <c r="L26" i="1"/>
  <c r="F26" i="1"/>
  <c r="L17" i="1"/>
  <c r="F17" i="1"/>
  <c r="L5" i="1"/>
  <c r="F5" i="1"/>
  <c r="F4" i="1"/>
  <c r="L4" i="1"/>
  <c r="M101" i="1" l="1"/>
  <c r="G101" i="1"/>
  <c r="M103" i="1"/>
  <c r="G103" i="1"/>
  <c r="M95" i="1"/>
  <c r="G95" i="1"/>
  <c r="G98" i="1"/>
  <c r="M98" i="1"/>
  <c r="G76" i="1"/>
  <c r="M76" i="1"/>
  <c r="M80" i="1"/>
  <c r="G80" i="1"/>
  <c r="G88" i="1"/>
  <c r="M88" i="1"/>
  <c r="M87" i="1"/>
  <c r="G87" i="1"/>
  <c r="M82" i="1"/>
  <c r="G82" i="1"/>
  <c r="M102" i="1"/>
  <c r="G102" i="1"/>
  <c r="G75" i="1"/>
  <c r="M75" i="1"/>
  <c r="G83" i="1"/>
  <c r="M83" i="1"/>
  <c r="G91" i="1"/>
  <c r="M91" i="1"/>
  <c r="M89" i="1"/>
  <c r="G89" i="1"/>
  <c r="M96" i="1"/>
  <c r="G96" i="1"/>
  <c r="G84" i="1"/>
  <c r="M84" i="1"/>
  <c r="M97" i="1"/>
  <c r="G97" i="1"/>
  <c r="M90" i="1"/>
  <c r="G90" i="1"/>
  <c r="G100" i="1"/>
  <c r="M100" i="1"/>
  <c r="M85" i="1"/>
  <c r="G85" i="1"/>
  <c r="M77" i="1"/>
  <c r="G77" i="1"/>
  <c r="M93" i="1"/>
  <c r="G93" i="1"/>
  <c r="M94" i="1"/>
  <c r="G94" i="1"/>
  <c r="G86" i="1"/>
  <c r="M86" i="1"/>
  <c r="G74" i="1"/>
  <c r="M74" i="1"/>
  <c r="M81" i="1"/>
  <c r="G81" i="1"/>
  <c r="M92" i="1"/>
  <c r="G92" i="1"/>
  <c r="G79" i="1"/>
  <c r="M79" i="1"/>
  <c r="G78" i="1"/>
  <c r="M78" i="1"/>
  <c r="M99" i="1"/>
  <c r="G99" i="1"/>
  <c r="M71" i="1"/>
  <c r="G71" i="1"/>
  <c r="G72" i="1"/>
  <c r="M72" i="1"/>
  <c r="M73" i="1"/>
  <c r="G73" i="1"/>
  <c r="M69" i="1"/>
  <c r="G69" i="1"/>
  <c r="G70" i="1"/>
  <c r="M70" i="1"/>
  <c r="G64" i="1"/>
  <c r="M64" i="1"/>
  <c r="M58" i="1"/>
  <c r="G58" i="1"/>
  <c r="M61" i="1"/>
  <c r="G61" i="1"/>
  <c r="M66" i="1"/>
  <c r="G66" i="1"/>
  <c r="M62" i="1"/>
  <c r="G62" i="1"/>
  <c r="M68" i="1"/>
  <c r="G68" i="1"/>
  <c r="M63" i="1"/>
  <c r="G63" i="1"/>
  <c r="M65" i="1"/>
  <c r="G65" i="1"/>
  <c r="M60" i="1"/>
  <c r="G60" i="1"/>
  <c r="M67" i="1"/>
  <c r="G67" i="1"/>
  <c r="M59" i="1"/>
  <c r="G59" i="1"/>
  <c r="G52" i="1"/>
  <c r="M52" i="1"/>
  <c r="M56" i="1"/>
  <c r="G56" i="1"/>
  <c r="M51" i="1"/>
  <c r="G51" i="1"/>
  <c r="G57" i="1"/>
  <c r="M57" i="1"/>
  <c r="G55" i="1"/>
  <c r="M55" i="1"/>
  <c r="G54" i="1"/>
  <c r="M54" i="1"/>
  <c r="M50" i="1"/>
  <c r="G50" i="1"/>
  <c r="G53" i="1"/>
  <c r="M53" i="1"/>
  <c r="M49" i="1"/>
  <c r="G49" i="1"/>
  <c r="M44" i="1"/>
  <c r="G44" i="1"/>
  <c r="G48" i="1"/>
  <c r="M48" i="1"/>
  <c r="G45" i="1"/>
  <c r="M45" i="1"/>
  <c r="M43" i="1"/>
  <c r="G43" i="1"/>
  <c r="M47" i="1"/>
  <c r="G47" i="1"/>
  <c r="M46" i="1"/>
  <c r="G46" i="1"/>
  <c r="G36" i="1"/>
  <c r="M36" i="1"/>
  <c r="M40" i="1"/>
  <c r="G40" i="1"/>
  <c r="G37" i="1"/>
  <c r="M37" i="1"/>
  <c r="G39" i="1"/>
  <c r="M39" i="1"/>
  <c r="M42" i="1"/>
  <c r="G42" i="1"/>
  <c r="M38" i="1"/>
  <c r="G38" i="1"/>
  <c r="M41" i="1"/>
  <c r="G41" i="1"/>
  <c r="M34" i="1"/>
  <c r="G34" i="1"/>
  <c r="M35" i="1"/>
  <c r="G35" i="1"/>
  <c r="M29" i="1"/>
  <c r="G29" i="1"/>
  <c r="G32" i="1"/>
  <c r="M32" i="1"/>
  <c r="M31" i="1"/>
  <c r="G31" i="1"/>
  <c r="M30" i="1"/>
  <c r="G30" i="1"/>
  <c r="M33" i="1"/>
  <c r="G33" i="1"/>
  <c r="M28" i="1"/>
  <c r="G28" i="1"/>
  <c r="G13" i="1"/>
  <c r="M13" i="1"/>
  <c r="G9" i="1"/>
  <c r="M9" i="1"/>
  <c r="M6" i="1"/>
  <c r="G6" i="1"/>
  <c r="M16" i="1"/>
  <c r="G16" i="1"/>
  <c r="M19" i="1"/>
  <c r="G19" i="1"/>
  <c r="M5" i="1"/>
  <c r="G5" i="1"/>
  <c r="M24" i="1"/>
  <c r="G24" i="1"/>
  <c r="G15" i="1"/>
  <c r="M15" i="1"/>
  <c r="M22" i="1"/>
  <c r="G22" i="1"/>
  <c r="G11" i="1"/>
  <c r="M11" i="1"/>
  <c r="M21" i="1"/>
  <c r="G21" i="1"/>
  <c r="G12" i="1"/>
  <c r="M12" i="1"/>
  <c r="M17" i="1"/>
  <c r="G17" i="1"/>
  <c r="G14" i="1"/>
  <c r="M14" i="1"/>
  <c r="M8" i="1"/>
  <c r="G8" i="1"/>
  <c r="M26" i="1"/>
  <c r="G26" i="1"/>
  <c r="M18" i="1"/>
  <c r="G18" i="1"/>
  <c r="M20" i="1"/>
  <c r="G20" i="1"/>
  <c r="M10" i="1"/>
  <c r="G10" i="1"/>
  <c r="G27" i="1"/>
  <c r="M27" i="1"/>
  <c r="G25" i="1"/>
  <c r="M25" i="1"/>
  <c r="G7" i="1"/>
  <c r="M7" i="1"/>
  <c r="G23" i="1"/>
  <c r="M23" i="1"/>
  <c r="G4" i="1"/>
  <c r="M4" i="1"/>
  <c r="J36" i="6" l="1"/>
  <c r="J82" i="6"/>
  <c r="F21" i="6"/>
  <c r="F19" i="6"/>
  <c r="J15" i="6"/>
  <c r="I44" i="6"/>
  <c r="I42" i="6"/>
  <c r="F40" i="6"/>
  <c r="I36" i="6"/>
  <c r="F62" i="6"/>
  <c r="I65" i="6"/>
  <c r="F83" i="6"/>
  <c r="H87" i="6"/>
  <c r="H90" i="6"/>
  <c r="F110" i="6"/>
  <c r="G112" i="6"/>
  <c r="G85" i="6"/>
  <c r="G19" i="6"/>
  <c r="H65" i="6"/>
  <c r="I20" i="6"/>
  <c r="H18" i="6"/>
  <c r="F15" i="6"/>
  <c r="H44" i="6"/>
  <c r="H42" i="6"/>
  <c r="G39" i="6"/>
  <c r="I58" i="6"/>
  <c r="G62" i="6"/>
  <c r="F66" i="6"/>
  <c r="J83" i="6"/>
  <c r="F88" i="6"/>
  <c r="I90" i="6"/>
  <c r="G110" i="6"/>
  <c r="H112" i="6"/>
  <c r="F14" i="6"/>
  <c r="F86" i="6"/>
  <c r="F16" i="6"/>
  <c r="J81" i="6"/>
  <c r="H20" i="6"/>
  <c r="G18" i="6"/>
  <c r="J14" i="6"/>
  <c r="G44" i="6"/>
  <c r="G42" i="6"/>
  <c r="F39" i="6"/>
  <c r="J58" i="6"/>
  <c r="F63" i="6"/>
  <c r="G66" i="6"/>
  <c r="F84" i="6"/>
  <c r="G88" i="6"/>
  <c r="F106" i="6"/>
  <c r="H110" i="6"/>
  <c r="I112" i="6"/>
  <c r="J61" i="6"/>
  <c r="H88" i="6"/>
  <c r="G40" i="6"/>
  <c r="G87" i="6"/>
  <c r="I12" i="6"/>
  <c r="G20" i="6"/>
  <c r="F18" i="6"/>
  <c r="J13" i="6"/>
  <c r="F44" i="6"/>
  <c r="F42" i="6"/>
  <c r="J38" i="6"/>
  <c r="I59" i="6"/>
  <c r="G63" i="6"/>
  <c r="H66" i="6"/>
  <c r="J84" i="6"/>
  <c r="I88" i="6"/>
  <c r="F107" i="6"/>
  <c r="F111" i="6"/>
  <c r="F113" i="6"/>
  <c r="G64" i="6"/>
  <c r="G89" i="6"/>
  <c r="H35" i="6"/>
  <c r="F112" i="6"/>
  <c r="H12" i="6"/>
  <c r="F20" i="6"/>
  <c r="G17" i="6"/>
  <c r="I13" i="6"/>
  <c r="I43" i="6"/>
  <c r="H41" i="6"/>
  <c r="F38" i="6"/>
  <c r="J59" i="6"/>
  <c r="F64" i="6"/>
  <c r="F67" i="6"/>
  <c r="F85" i="6"/>
  <c r="F89" i="6"/>
  <c r="F108" i="6"/>
  <c r="G111" i="6"/>
  <c r="G113" i="6"/>
  <c r="F65" i="6"/>
  <c r="F90" i="6"/>
  <c r="G21" i="6"/>
  <c r="F61" i="6"/>
  <c r="J12" i="6"/>
  <c r="I21" i="6"/>
  <c r="I19" i="6"/>
  <c r="F17" i="6"/>
  <c r="J35" i="6"/>
  <c r="H43" i="6"/>
  <c r="G41" i="6"/>
  <c r="J37" i="6"/>
  <c r="F60" i="6"/>
  <c r="H64" i="6"/>
  <c r="G67" i="6"/>
  <c r="G86" i="6"/>
  <c r="H89" i="6"/>
  <c r="G108" i="6"/>
  <c r="H111" i="6"/>
  <c r="H113" i="6"/>
  <c r="I66" i="6"/>
  <c r="F43" i="6"/>
  <c r="G90" i="6"/>
  <c r="H21" i="6"/>
  <c r="H19" i="6"/>
  <c r="G16" i="6"/>
  <c r="I35" i="6"/>
  <c r="G43" i="6"/>
  <c r="F41" i="6"/>
  <c r="F37" i="6"/>
  <c r="J60" i="6"/>
  <c r="G65" i="6"/>
  <c r="I67" i="6"/>
  <c r="F87" i="6"/>
  <c r="I89" i="6"/>
  <c r="F109" i="6"/>
  <c r="I111" i="6"/>
  <c r="I113" i="6"/>
  <c r="H67" i="6"/>
  <c r="G109" i="6"/>
  <c r="F12" i="6"/>
  <c r="F13" i="6" l="1"/>
  <c r="H60" i="6" l="1"/>
  <c r="I108" i="6"/>
  <c r="H106" i="6"/>
  <c r="G35" i="6"/>
  <c r="J67" i="6"/>
  <c r="K67" i="6" s="1"/>
  <c r="J16" i="6"/>
  <c r="J62" i="6"/>
  <c r="J113" i="6"/>
  <c r="K113" i="6" s="1"/>
  <c r="J18" i="6"/>
  <c r="I110" i="6"/>
  <c r="H108" i="6"/>
  <c r="H109" i="6"/>
  <c r="G37" i="6"/>
  <c r="F36" i="6"/>
  <c r="G61" i="6"/>
  <c r="H81" i="6"/>
  <c r="I17" i="6"/>
  <c r="H84" i="6"/>
  <c r="J90" i="6"/>
  <c r="K90" i="6" s="1"/>
  <c r="J85" i="6"/>
  <c r="J19" i="6"/>
  <c r="K19" i="6" s="1"/>
  <c r="I60" i="6"/>
  <c r="J20" i="6"/>
  <c r="K20" i="6" s="1"/>
  <c r="H37" i="6"/>
  <c r="I106" i="6"/>
  <c r="I86" i="6"/>
  <c r="H85" i="6"/>
  <c r="H15" i="6"/>
  <c r="I39" i="6"/>
  <c r="G14" i="6"/>
  <c r="G106" i="6"/>
  <c r="F58" i="6"/>
  <c r="G12" i="6"/>
  <c r="K12" i="6" s="1"/>
  <c r="J65" i="6"/>
  <c r="K65" i="6" s="1"/>
  <c r="J106" i="6"/>
  <c r="H83" i="6"/>
  <c r="J111" i="6"/>
  <c r="K111" i="6" s="1"/>
  <c r="G58" i="6"/>
  <c r="J110" i="6"/>
  <c r="J39" i="6"/>
  <c r="H59" i="6"/>
  <c r="I87" i="6"/>
  <c r="H63" i="6"/>
  <c r="H40" i="6"/>
  <c r="I85" i="6"/>
  <c r="G60" i="6"/>
  <c r="G81" i="6"/>
  <c r="F81" i="6"/>
  <c r="I82" i="6"/>
  <c r="J104" i="6"/>
  <c r="J109" i="6"/>
  <c r="I107" i="6"/>
  <c r="H61" i="6"/>
  <c r="G83" i="6"/>
  <c r="J86" i="6"/>
  <c r="G38" i="6"/>
  <c r="I104" i="6"/>
  <c r="J107" i="6"/>
  <c r="J89" i="6"/>
  <c r="K89" i="6" s="1"/>
  <c r="I109" i="6"/>
  <c r="G82" i="6"/>
  <c r="G13" i="6"/>
  <c r="H36" i="6"/>
  <c r="I37" i="6"/>
  <c r="I61" i="6"/>
  <c r="G104" i="6"/>
  <c r="J42" i="6"/>
  <c r="K42" i="6" s="1"/>
  <c r="J87" i="6"/>
  <c r="I14" i="6"/>
  <c r="J40" i="6"/>
  <c r="I40" i="6"/>
  <c r="H17" i="6"/>
  <c r="H107" i="6"/>
  <c r="I62" i="6"/>
  <c r="G105" i="6"/>
  <c r="I83" i="6"/>
  <c r="F105" i="6"/>
  <c r="G107" i="6"/>
  <c r="I81" i="6"/>
  <c r="I16" i="6"/>
  <c r="J64" i="6"/>
  <c r="J43" i="6"/>
  <c r="K43" i="6" s="1"/>
  <c r="I64" i="6"/>
  <c r="F104" i="6"/>
  <c r="J112" i="6"/>
  <c r="K112" i="6" s="1"/>
  <c r="I38" i="6"/>
  <c r="J88" i="6"/>
  <c r="K88" i="6" s="1"/>
  <c r="H13" i="6"/>
  <c r="I84" i="6"/>
  <c r="J17" i="6"/>
  <c r="J44" i="6"/>
  <c r="K44" i="6" s="1"/>
  <c r="I41" i="6"/>
  <c r="I18" i="6"/>
  <c r="H39" i="6"/>
  <c r="H16" i="6"/>
  <c r="G36" i="6"/>
  <c r="F35" i="6"/>
  <c r="F82" i="6"/>
  <c r="G84" i="6"/>
  <c r="H104" i="6"/>
  <c r="I105" i="6"/>
  <c r="J63" i="6"/>
  <c r="J105" i="6"/>
  <c r="H105" i="6"/>
  <c r="H86" i="6"/>
  <c r="J108" i="6"/>
  <c r="J41" i="6"/>
  <c r="H82" i="6"/>
  <c r="H14" i="6"/>
  <c r="J66" i="6"/>
  <c r="K66" i="6" s="1"/>
  <c r="J21" i="6"/>
  <c r="K21" i="6" s="1"/>
  <c r="I15" i="6"/>
  <c r="I63" i="6"/>
  <c r="H62" i="6"/>
  <c r="H38" i="6"/>
  <c r="G59" i="6"/>
  <c r="F59" i="6"/>
  <c r="G15" i="6"/>
  <c r="H58" i="6"/>
  <c r="K15" i="6" l="1"/>
  <c r="K18" i="6"/>
  <c r="K39" i="6"/>
  <c r="K59" i="6"/>
  <c r="K84" i="6"/>
  <c r="K61" i="6"/>
  <c r="K13" i="6"/>
  <c r="K35" i="6"/>
  <c r="K37" i="6"/>
  <c r="K16" i="6"/>
  <c r="K64" i="6"/>
  <c r="K106" i="6"/>
  <c r="K107" i="6"/>
  <c r="K60" i="6"/>
  <c r="K83" i="6"/>
  <c r="K14" i="6"/>
  <c r="K36" i="6"/>
  <c r="K105" i="6"/>
  <c r="K41" i="6"/>
  <c r="K104" i="6"/>
  <c r="K40" i="6"/>
  <c r="K109" i="6"/>
  <c r="K63" i="6"/>
  <c r="K85" i="6"/>
  <c r="K108" i="6"/>
  <c r="K62" i="6"/>
  <c r="K82" i="6"/>
  <c r="K87" i="6"/>
  <c r="K110" i="6"/>
  <c r="K86" i="6"/>
  <c r="K17" i="6"/>
  <c r="K38" i="6"/>
  <c r="K81" i="6"/>
  <c r="K58" i="6"/>
  <c r="BA85" i="1" l="1"/>
  <c r="BB85" i="1"/>
  <c r="BC85" i="1"/>
  <c r="AY87" i="1"/>
  <c r="AZ87" i="1"/>
  <c r="BA87" i="1"/>
  <c r="BB88" i="1"/>
  <c r="BC88" i="1"/>
  <c r="AY89" i="1"/>
  <c r="AZ90" i="1"/>
  <c r="BA90" i="1"/>
  <c r="BB90" i="1"/>
  <c r="BC91" i="1"/>
  <c r="AY92" i="1"/>
  <c r="AZ92" i="1"/>
  <c r="BA93" i="1"/>
  <c r="BB93" i="1"/>
  <c r="BC93" i="1"/>
  <c r="AY95" i="1"/>
  <c r="AZ95" i="1"/>
  <c r="BA95" i="1"/>
  <c r="BB96" i="1"/>
  <c r="BC96" i="1"/>
  <c r="AY97" i="1"/>
  <c r="AZ98" i="1"/>
  <c r="BA98" i="1"/>
  <c r="BB98" i="1"/>
  <c r="BC99" i="1"/>
  <c r="AY100" i="1"/>
  <c r="AZ100" i="1"/>
  <c r="BA101" i="1"/>
  <c r="BB101" i="1"/>
  <c r="BC101" i="1"/>
  <c r="AY103" i="1"/>
  <c r="AZ103" i="1"/>
  <c r="BA103" i="1"/>
  <c r="AZ101" i="1" l="1"/>
  <c r="AY85" i="1"/>
  <c r="BB99" i="1"/>
  <c r="BC94" i="1"/>
  <c r="BB91" i="1"/>
  <c r="AZ85" i="1"/>
  <c r="BB102" i="1"/>
  <c r="BC97" i="1"/>
  <c r="BB94" i="1"/>
  <c r="BA91" i="1"/>
  <c r="BB86" i="1"/>
  <c r="BA102" i="1"/>
  <c r="BC100" i="1"/>
  <c r="AZ99" i="1"/>
  <c r="BB97" i="1"/>
  <c r="AY96" i="1"/>
  <c r="BA94" i="1"/>
  <c r="BC92" i="1"/>
  <c r="AZ91" i="1"/>
  <c r="BB89" i="1"/>
  <c r="AY88" i="1"/>
  <c r="BA86" i="1"/>
  <c r="AY98" i="1"/>
  <c r="AZ93" i="1"/>
  <c r="BA88" i="1"/>
  <c r="AY101" i="1"/>
  <c r="AY93" i="1"/>
  <c r="AZ88" i="1"/>
  <c r="BC103" i="1"/>
  <c r="AZ102" i="1"/>
  <c r="BB100" i="1"/>
  <c r="AY99" i="1"/>
  <c r="BA97" i="1"/>
  <c r="BC95" i="1"/>
  <c r="AZ94" i="1"/>
  <c r="BB92" i="1"/>
  <c r="AY91" i="1"/>
  <c r="BA89" i="1"/>
  <c r="BC87" i="1"/>
  <c r="AZ86" i="1"/>
  <c r="BC102" i="1"/>
  <c r="BA96" i="1"/>
  <c r="AY90" i="1"/>
  <c r="BC86" i="1"/>
  <c r="BA99" i="1"/>
  <c r="AZ96" i="1"/>
  <c r="BC89" i="1"/>
  <c r="BB103" i="1"/>
  <c r="AY102" i="1"/>
  <c r="BA100" i="1"/>
  <c r="BC98" i="1"/>
  <c r="AZ97" i="1"/>
  <c r="BB95" i="1"/>
  <c r="AY94" i="1"/>
  <c r="BA92" i="1"/>
  <c r="BC90" i="1"/>
  <c r="AZ89" i="1"/>
  <c r="BB87" i="1"/>
  <c r="AY86" i="1"/>
  <c r="N106" i="6" l="1"/>
  <c r="O106" i="6"/>
  <c r="P106" i="6"/>
  <c r="Q106" i="6"/>
  <c r="R106" i="6"/>
  <c r="N107" i="6"/>
  <c r="O107" i="6"/>
  <c r="P107" i="6"/>
  <c r="Q107" i="6"/>
  <c r="R107" i="6"/>
  <c r="N108" i="6"/>
  <c r="O108" i="6"/>
  <c r="P108" i="6"/>
  <c r="Q108" i="6"/>
  <c r="R108" i="6"/>
  <c r="N109" i="6"/>
  <c r="O109" i="6"/>
  <c r="P109" i="6"/>
  <c r="Q109" i="6"/>
  <c r="R109" i="6"/>
  <c r="N110" i="6"/>
  <c r="O110" i="6"/>
  <c r="P110" i="6"/>
  <c r="Q110" i="6"/>
  <c r="R110" i="6"/>
  <c r="N111" i="6"/>
  <c r="O111" i="6"/>
  <c r="P111" i="6"/>
  <c r="Q111" i="6"/>
  <c r="R111" i="6"/>
  <c r="N112" i="6"/>
  <c r="O112" i="6"/>
  <c r="P112" i="6"/>
  <c r="Q112" i="6"/>
  <c r="R112" i="6"/>
  <c r="N113" i="6"/>
  <c r="O113" i="6"/>
  <c r="P113" i="6"/>
  <c r="Q113" i="6"/>
  <c r="R113" i="6"/>
  <c r="N114" i="6"/>
  <c r="O114" i="6"/>
  <c r="P114" i="6"/>
  <c r="Q114" i="6"/>
  <c r="R114" i="6"/>
  <c r="N115" i="6"/>
  <c r="O115" i="6"/>
  <c r="P115" i="6"/>
  <c r="Q115" i="6"/>
  <c r="R115" i="6"/>
  <c r="U106" i="6"/>
  <c r="V110" i="6"/>
  <c r="U113" i="6"/>
  <c r="W107" i="6"/>
  <c r="X110" i="6"/>
  <c r="Y107" i="6"/>
  <c r="Y115" i="6"/>
  <c r="X106" i="6"/>
  <c r="U109" i="6"/>
  <c r="V109" i="6"/>
  <c r="W115" i="6"/>
  <c r="X107" i="6"/>
  <c r="V107" i="6"/>
  <c r="W106" i="6"/>
  <c r="X115" i="6"/>
  <c r="W110" i="6"/>
  <c r="U110" i="6"/>
  <c r="U111" i="6"/>
  <c r="V111" i="6"/>
  <c r="Y113" i="6"/>
  <c r="W113" i="6"/>
  <c r="Y112" i="6"/>
  <c r="Y106" i="6"/>
  <c r="W114" i="6"/>
  <c r="X111" i="6"/>
  <c r="V114" i="6"/>
  <c r="W112" i="6"/>
  <c r="U114" i="6"/>
  <c r="X114" i="6"/>
  <c r="V115" i="6"/>
  <c r="V112" i="6"/>
  <c r="X112" i="6"/>
  <c r="V106" i="6"/>
  <c r="Y114" i="6"/>
  <c r="X109" i="6"/>
  <c r="Y109" i="6"/>
  <c r="W111" i="6"/>
  <c r="X108" i="6"/>
  <c r="U107" i="6"/>
  <c r="Y108" i="6"/>
  <c r="U112" i="6"/>
  <c r="V113" i="6"/>
  <c r="Y111" i="6"/>
  <c r="Y110" i="6"/>
  <c r="V108" i="6"/>
  <c r="X113" i="6"/>
  <c r="W109" i="6"/>
  <c r="U108" i="6"/>
  <c r="W108" i="6"/>
  <c r="U115" i="6"/>
  <c r="Q17" i="6" l="1"/>
  <c r="N14" i="6"/>
  <c r="R9" i="6"/>
  <c r="P8" i="6"/>
  <c r="N12" i="6"/>
  <c r="Q24" i="6"/>
  <c r="R11" i="6"/>
  <c r="P9" i="6"/>
  <c r="P23" i="6"/>
  <c r="O14" i="6"/>
  <c r="O23" i="6"/>
  <c r="R10" i="6"/>
  <c r="Q15" i="6"/>
  <c r="Q13" i="6"/>
  <c r="N18" i="6"/>
  <c r="N20" i="6"/>
  <c r="O9" i="6"/>
  <c r="N9" i="6"/>
  <c r="R8" i="6"/>
  <c r="N22" i="6"/>
  <c r="N11" i="6"/>
  <c r="R7" i="6"/>
  <c r="R17" i="6"/>
  <c r="N13" i="6"/>
  <c r="O20" i="6"/>
  <c r="P14" i="6"/>
  <c r="R18" i="6"/>
  <c r="O10" i="6"/>
  <c r="P17" i="6"/>
  <c r="O13" i="6"/>
  <c r="N21" i="6"/>
  <c r="R22" i="6"/>
  <c r="O8" i="6"/>
  <c r="P19" i="6"/>
  <c r="O15" i="6"/>
  <c r="R21" i="6"/>
  <c r="P15" i="6"/>
  <c r="P16" i="6"/>
  <c r="Q11" i="6"/>
  <c r="O22" i="6"/>
  <c r="O19" i="6"/>
  <c r="P12" i="6"/>
  <c r="P18" i="6"/>
  <c r="R24" i="6"/>
  <c r="R12" i="6"/>
  <c r="N19" i="6"/>
  <c r="P22" i="6"/>
  <c r="R6" i="6"/>
  <c r="N16" i="6"/>
  <c r="P7" i="6"/>
  <c r="N6" i="6"/>
  <c r="R19" i="6"/>
  <c r="Q14" i="6"/>
  <c r="P21" i="6"/>
  <c r="N23" i="6"/>
  <c r="O17" i="6"/>
  <c r="Q9" i="6"/>
  <c r="Q12" i="6"/>
  <c r="N10" i="6"/>
  <c r="N8" i="6"/>
  <c r="Q23" i="6"/>
  <c r="Q20" i="6"/>
  <c r="R15" i="6"/>
  <c r="Q21" i="6"/>
  <c r="O11" i="6"/>
  <c r="R16" i="6"/>
  <c r="P10" i="6"/>
  <c r="O16" i="6"/>
  <c r="N24" i="6"/>
  <c r="R23" i="6"/>
  <c r="N15" i="6"/>
  <c r="Q8" i="6"/>
  <c r="Q22" i="6"/>
  <c r="Q18" i="6"/>
  <c r="Q10" i="6"/>
  <c r="N17" i="6"/>
  <c r="O18" i="6"/>
  <c r="P11" i="6"/>
  <c r="Q6" i="6"/>
  <c r="R13" i="6"/>
  <c r="O6" i="6"/>
  <c r="P20" i="6"/>
  <c r="Q19" i="6"/>
  <c r="O12" i="6"/>
  <c r="O24" i="6"/>
  <c r="Q7" i="6"/>
  <c r="O21" i="6"/>
  <c r="N7" i="6"/>
  <c r="O7" i="6"/>
  <c r="P6" i="6"/>
  <c r="Q16" i="6"/>
  <c r="R14" i="6"/>
  <c r="P13" i="6"/>
  <c r="R20" i="6"/>
  <c r="P24" i="6"/>
  <c r="X15" i="6"/>
  <c r="U11" i="6"/>
  <c r="U14" i="6"/>
  <c r="Y19" i="6"/>
  <c r="Y7" i="6"/>
  <c r="X12" i="6"/>
  <c r="X13" i="6"/>
  <c r="Y16" i="6"/>
  <c r="W19" i="6"/>
  <c r="W15" i="6"/>
  <c r="Y15" i="6"/>
  <c r="W16" i="6"/>
  <c r="W7" i="6"/>
  <c r="Y13" i="6"/>
  <c r="V13" i="6"/>
  <c r="U21" i="6"/>
  <c r="V6" i="6"/>
  <c r="V7" i="6"/>
  <c r="W23" i="6"/>
  <c r="X11" i="6"/>
  <c r="V10" i="6"/>
  <c r="X20" i="6"/>
  <c r="V14" i="6"/>
  <c r="V20" i="6"/>
  <c r="W12" i="6"/>
  <c r="V19" i="6"/>
  <c r="W14" i="6"/>
  <c r="V8" i="6"/>
  <c r="U18" i="6"/>
  <c r="W10" i="6"/>
  <c r="U20" i="6"/>
  <c r="X6" i="6"/>
  <c r="Y11" i="6"/>
  <c r="W22" i="6"/>
  <c r="Y14" i="6"/>
  <c r="X14" i="6"/>
  <c r="Y24" i="6"/>
  <c r="U15" i="6"/>
  <c r="U8" i="6"/>
  <c r="U19" i="6"/>
  <c r="X18" i="6"/>
  <c r="U16" i="6"/>
  <c r="X7" i="6"/>
  <c r="U17" i="6"/>
  <c r="V16" i="6"/>
  <c r="W20" i="6"/>
  <c r="X22" i="6"/>
  <c r="W6" i="6"/>
  <c r="V18" i="6"/>
  <c r="V21" i="6"/>
  <c r="U9" i="6"/>
  <c r="U13" i="6"/>
  <c r="Y8" i="6"/>
  <c r="U10" i="6"/>
  <c r="X23" i="6"/>
  <c r="U22" i="6"/>
  <c r="Y21" i="6"/>
  <c r="Y12" i="6"/>
  <c r="Y10" i="6"/>
  <c r="W13" i="6"/>
  <c r="X24" i="6"/>
  <c r="Y20" i="6"/>
  <c r="U12" i="6"/>
  <c r="U24" i="6"/>
  <c r="X17" i="6"/>
  <c r="W8" i="6"/>
  <c r="Y17" i="6"/>
  <c r="V24" i="6"/>
  <c r="Y23" i="6"/>
  <c r="V12" i="6"/>
  <c r="W11" i="6"/>
  <c r="W17" i="6"/>
  <c r="W21" i="6"/>
  <c r="U23" i="6"/>
  <c r="V9" i="6"/>
  <c r="W24" i="6"/>
  <c r="X9" i="6"/>
  <c r="V11" i="6"/>
  <c r="Y18" i="6"/>
  <c r="Y9" i="6"/>
  <c r="W18" i="6"/>
  <c r="X10" i="6"/>
  <c r="X16" i="6"/>
  <c r="X21" i="6"/>
  <c r="V23" i="6"/>
  <c r="V15" i="6"/>
  <c r="U6" i="6"/>
  <c r="X19" i="6"/>
  <c r="Y6" i="6"/>
  <c r="V22" i="6"/>
  <c r="V17" i="6"/>
  <c r="U7" i="6"/>
  <c r="Y22" i="6"/>
  <c r="W9" i="6"/>
  <c r="X8" i="6"/>
  <c r="AW18" i="1" l="1"/>
  <c r="AV5" i="1"/>
  <c r="AU9" i="1"/>
  <c r="AW21" i="1"/>
  <c r="AV18" i="1"/>
  <c r="AU19" i="1"/>
  <c r="AS17" i="1"/>
  <c r="AU14" i="1"/>
  <c r="AT11" i="1"/>
  <c r="AW5" i="1"/>
  <c r="AV11" i="1"/>
  <c r="AV22" i="1"/>
  <c r="AU11" i="1"/>
  <c r="AT22" i="1"/>
  <c r="AT16" i="1"/>
  <c r="AS22" i="1"/>
  <c r="AV21" i="1"/>
  <c r="AW10" i="1"/>
  <c r="AU13" i="1"/>
  <c r="AS9" i="1"/>
  <c r="AW12" i="1"/>
  <c r="AT10" i="1"/>
  <c r="AS15" i="1"/>
  <c r="AT14" i="1"/>
  <c r="AS6" i="1"/>
  <c r="AW17" i="1"/>
  <c r="AT8" i="1"/>
  <c r="AS20" i="1"/>
  <c r="AW8" i="1"/>
  <c r="AU6" i="1"/>
  <c r="AW4" i="1"/>
  <c r="AS19" i="1"/>
  <c r="AV14" i="1"/>
  <c r="AV17" i="1"/>
  <c r="AV8" i="1"/>
  <c r="AU8" i="1"/>
  <c r="AS8" i="1"/>
  <c r="AS4" i="1"/>
  <c r="AT13" i="1"/>
  <c r="AW16" i="1"/>
  <c r="AT21" i="1"/>
  <c r="AU4" i="1"/>
  <c r="AU18" i="1"/>
  <c r="AV16" i="1"/>
  <c r="AW14" i="1"/>
  <c r="AV10" i="1"/>
  <c r="AS12" i="1"/>
  <c r="AV4" i="1"/>
  <c r="AT5" i="1"/>
  <c r="AT4" i="1"/>
  <c r="AV20" i="1"/>
  <c r="AV7" i="1"/>
  <c r="AS14" i="1"/>
  <c r="AU21" i="1"/>
  <c r="AU10" i="1"/>
  <c r="AT9" i="1"/>
  <c r="AT6" i="1"/>
  <c r="AV15" i="1"/>
  <c r="AS5" i="1"/>
  <c r="AW11" i="1"/>
  <c r="AV6" i="1"/>
  <c r="AV19" i="1"/>
  <c r="AT15" i="1"/>
  <c r="AT20" i="1"/>
  <c r="AW20" i="1"/>
  <c r="AS11" i="1"/>
  <c r="AS18" i="1"/>
  <c r="AU7" i="1"/>
  <c r="AV12" i="1"/>
  <c r="AU5" i="1"/>
  <c r="AU17" i="1"/>
  <c r="AT12" i="1"/>
  <c r="AT17" i="1"/>
  <c r="AT18" i="1"/>
  <c r="AT7" i="1"/>
  <c r="AU22" i="1"/>
  <c r="AT19" i="1"/>
  <c r="AS13" i="1"/>
  <c r="AW13" i="1"/>
  <c r="AS21" i="1"/>
  <c r="AU20" i="1"/>
  <c r="AV9" i="1"/>
  <c r="AW15" i="1"/>
  <c r="AS16" i="1"/>
  <c r="AW9" i="1"/>
  <c r="AU15" i="1"/>
  <c r="AV13" i="1"/>
  <c r="AS10" i="1"/>
  <c r="AW22" i="1"/>
  <c r="AW7" i="1"/>
  <c r="AW19" i="1"/>
  <c r="AS7" i="1"/>
  <c r="AU16" i="1"/>
  <c r="AW6" i="1"/>
  <c r="AU12" i="1"/>
  <c r="R33" i="6"/>
  <c r="O27" i="6"/>
  <c r="Q32" i="6"/>
  <c r="N31" i="6"/>
  <c r="O32" i="6"/>
  <c r="O28" i="6"/>
  <c r="R29" i="6"/>
  <c r="P25" i="6"/>
  <c r="O34" i="6"/>
  <c r="O29" i="6"/>
  <c r="N30" i="6"/>
  <c r="Q30" i="6"/>
  <c r="O31" i="6"/>
  <c r="N25" i="6"/>
  <c r="Q25" i="6"/>
  <c r="O26" i="6"/>
  <c r="R25" i="6"/>
  <c r="O33" i="6"/>
  <c r="R34" i="6"/>
  <c r="Q33" i="6"/>
  <c r="P31" i="6"/>
  <c r="P29" i="6"/>
  <c r="N32" i="6"/>
  <c r="P34" i="6"/>
  <c r="P27" i="6"/>
  <c r="R28" i="6"/>
  <c r="N34" i="6"/>
  <c r="R31" i="6"/>
  <c r="P26" i="6"/>
  <c r="N27" i="6"/>
  <c r="N26" i="6"/>
  <c r="R27" i="6"/>
  <c r="O25" i="6"/>
  <c r="P30" i="6"/>
  <c r="Q29" i="6"/>
  <c r="Q28" i="6"/>
  <c r="N29" i="6"/>
  <c r="P33" i="6"/>
  <c r="R26" i="6"/>
  <c r="Q26" i="6"/>
  <c r="R32" i="6"/>
  <c r="O30" i="6"/>
  <c r="N28" i="6"/>
  <c r="Q31" i="6"/>
  <c r="N33" i="6"/>
  <c r="P32" i="6"/>
  <c r="R30" i="6"/>
  <c r="P28" i="6"/>
  <c r="Q27" i="6"/>
  <c r="Q34" i="6"/>
  <c r="W31" i="6"/>
  <c r="U25" i="6"/>
  <c r="W28" i="6"/>
  <c r="V34" i="6"/>
  <c r="V27" i="6"/>
  <c r="Y28" i="6"/>
  <c r="Y32" i="6"/>
  <c r="X32" i="6"/>
  <c r="X26" i="6"/>
  <c r="U26" i="6"/>
  <c r="X29" i="6"/>
  <c r="X31" i="6"/>
  <c r="Y26" i="6"/>
  <c r="Y30" i="6"/>
  <c r="V25" i="6"/>
  <c r="X27" i="6"/>
  <c r="Y29" i="6"/>
  <c r="Y33" i="6"/>
  <c r="U32" i="6"/>
  <c r="V29" i="6"/>
  <c r="Y27" i="6"/>
  <c r="U31" i="6"/>
  <c r="V26" i="6"/>
  <c r="X25" i="6"/>
  <c r="X28" i="6"/>
  <c r="W25" i="6"/>
  <c r="W34" i="6"/>
  <c r="W29" i="6"/>
  <c r="W27" i="6"/>
  <c r="W30" i="6"/>
  <c r="X34" i="6"/>
  <c r="Y34" i="6"/>
  <c r="U28" i="6"/>
  <c r="X30" i="6"/>
  <c r="Y31" i="6"/>
  <c r="V32" i="6"/>
  <c r="U29" i="6"/>
  <c r="U27" i="6"/>
  <c r="W32" i="6"/>
  <c r="Y25" i="6"/>
  <c r="V33" i="6"/>
  <c r="V30" i="6"/>
  <c r="U30" i="6"/>
  <c r="U34" i="6"/>
  <c r="X33" i="6"/>
  <c r="V31" i="6"/>
  <c r="W26" i="6"/>
  <c r="U33" i="6"/>
  <c r="V28" i="6"/>
  <c r="W33" i="6"/>
  <c r="AT28" i="1" l="1"/>
  <c r="AT27" i="1"/>
  <c r="AW23" i="1"/>
  <c r="AU32" i="1"/>
  <c r="AU23" i="1"/>
  <c r="AW32" i="1"/>
  <c r="AT23" i="1"/>
  <c r="AV24" i="1"/>
  <c r="AW25" i="1"/>
  <c r="AW28" i="1"/>
  <c r="AS24" i="1"/>
  <c r="AV23" i="1"/>
  <c r="AU28" i="1"/>
  <c r="AV25" i="1"/>
  <c r="AS25" i="1"/>
  <c r="AS23" i="1"/>
  <c r="AS31" i="1"/>
  <c r="AS27" i="1"/>
  <c r="AU24" i="1"/>
  <c r="AU29" i="1"/>
  <c r="AT29" i="1"/>
  <c r="AT30" i="1"/>
  <c r="AS26" i="1"/>
  <c r="AW26" i="1"/>
  <c r="AV29" i="1"/>
  <c r="AV26" i="1"/>
  <c r="AW29" i="1"/>
  <c r="AV31" i="1"/>
  <c r="AV28" i="1"/>
  <c r="AS29" i="1"/>
  <c r="AT25" i="1"/>
  <c r="AV30" i="1"/>
  <c r="AV32" i="1"/>
  <c r="AT31" i="1"/>
  <c r="AW30" i="1"/>
  <c r="AW31" i="1"/>
  <c r="AW24" i="1"/>
  <c r="AS30" i="1"/>
  <c r="AW27" i="1"/>
  <c r="AV27" i="1"/>
  <c r="AS32" i="1"/>
  <c r="AS28" i="1"/>
  <c r="AU25" i="1"/>
  <c r="AT32" i="1"/>
  <c r="AU26" i="1"/>
  <c r="AT24" i="1"/>
  <c r="AU30" i="1"/>
  <c r="AU31" i="1"/>
  <c r="AU27" i="1"/>
  <c r="AT26" i="1"/>
  <c r="Q36" i="6"/>
  <c r="Q39" i="6"/>
  <c r="R37" i="6"/>
  <c r="R38" i="6"/>
  <c r="R40" i="6"/>
  <c r="Q43" i="6"/>
  <c r="O44" i="6"/>
  <c r="N39" i="6"/>
  <c r="Q44" i="6"/>
  <c r="O40" i="6"/>
  <c r="N41" i="6"/>
  <c r="P43" i="6"/>
  <c r="Q37" i="6"/>
  <c r="Q42" i="6"/>
  <c r="R43" i="6"/>
  <c r="O36" i="6"/>
  <c r="R39" i="6"/>
  <c r="N38" i="6"/>
  <c r="P36" i="6"/>
  <c r="R41" i="6"/>
  <c r="N43" i="6"/>
  <c r="O39" i="6"/>
  <c r="N40" i="6"/>
  <c r="Q35" i="6"/>
  <c r="N35" i="6"/>
  <c r="R44" i="6"/>
  <c r="P40" i="6"/>
  <c r="P35" i="6"/>
  <c r="O41" i="6"/>
  <c r="N42" i="6"/>
  <c r="O38" i="6"/>
  <c r="N36" i="6"/>
  <c r="P41" i="6"/>
  <c r="Q38" i="6"/>
  <c r="R36" i="6"/>
  <c r="P37" i="6"/>
  <c r="Q41" i="6"/>
  <c r="R42" i="6"/>
  <c r="P44" i="6"/>
  <c r="O35" i="6"/>
  <c r="Q40" i="6"/>
  <c r="P42" i="6"/>
  <c r="O37" i="6"/>
  <c r="P39" i="6"/>
  <c r="P38" i="6"/>
  <c r="N37" i="6"/>
  <c r="R35" i="6"/>
  <c r="O42" i="6"/>
  <c r="N44" i="6"/>
  <c r="O43" i="6"/>
  <c r="Y38" i="6"/>
  <c r="W39" i="6"/>
  <c r="Y41" i="6"/>
  <c r="X42" i="6"/>
  <c r="U41" i="6"/>
  <c r="V39" i="6"/>
  <c r="X39" i="6"/>
  <c r="V38" i="6"/>
  <c r="X41" i="6"/>
  <c r="X37" i="6"/>
  <c r="X35" i="6"/>
  <c r="W44" i="6"/>
  <c r="U42" i="6"/>
  <c r="U37" i="6"/>
  <c r="W38" i="6"/>
  <c r="U40" i="6"/>
  <c r="W35" i="6"/>
  <c r="U43" i="6"/>
  <c r="X43" i="6"/>
  <c r="W43" i="6"/>
  <c r="Y40" i="6"/>
  <c r="W37" i="6"/>
  <c r="V36" i="6"/>
  <c r="X36" i="6"/>
  <c r="V41" i="6"/>
  <c r="Y42" i="6"/>
  <c r="V37" i="6"/>
  <c r="V40" i="6"/>
  <c r="U38" i="6"/>
  <c r="Y44" i="6"/>
  <c r="X38" i="6"/>
  <c r="W42" i="6"/>
  <c r="V43" i="6"/>
  <c r="Y37" i="6"/>
  <c r="W36" i="6"/>
  <c r="W40" i="6"/>
  <c r="Y36" i="6"/>
  <c r="U35" i="6"/>
  <c r="U44" i="6"/>
  <c r="U39" i="6"/>
  <c r="Y43" i="6"/>
  <c r="V42" i="6"/>
  <c r="X44" i="6"/>
  <c r="X40" i="6"/>
  <c r="V44" i="6"/>
  <c r="Y35" i="6"/>
  <c r="U36" i="6"/>
  <c r="V35" i="6"/>
  <c r="Y39" i="6"/>
  <c r="W41" i="6"/>
  <c r="AW40" i="1" l="1"/>
  <c r="AV40" i="1"/>
  <c r="AU37" i="1"/>
  <c r="AU33" i="1"/>
  <c r="AW39" i="1"/>
  <c r="AS39" i="1"/>
  <c r="AW34" i="1"/>
  <c r="AU40" i="1"/>
  <c r="AW42" i="1"/>
  <c r="AS36" i="1"/>
  <c r="AS42" i="1"/>
  <c r="AS33" i="1"/>
  <c r="AW37" i="1"/>
  <c r="AV42" i="1"/>
  <c r="AV34" i="1"/>
  <c r="AU38" i="1"/>
  <c r="AT41" i="1"/>
  <c r="AV36" i="1"/>
  <c r="AT38" i="1"/>
  <c r="AT40" i="1"/>
  <c r="AT33" i="1"/>
  <c r="AV33" i="1"/>
  <c r="AT35" i="1"/>
  <c r="AU34" i="1"/>
  <c r="AW33" i="1"/>
  <c r="AU42" i="1"/>
  <c r="AW41" i="1"/>
  <c r="AW35" i="1"/>
  <c r="AV37" i="1"/>
  <c r="AV38" i="1"/>
  <c r="AS34" i="1"/>
  <c r="AT34" i="1"/>
  <c r="AT36" i="1"/>
  <c r="AV41" i="1"/>
  <c r="AU36" i="1"/>
  <c r="AV39" i="1"/>
  <c r="AT39" i="1"/>
  <c r="AS41" i="1"/>
  <c r="AV35" i="1"/>
  <c r="AW38" i="1"/>
  <c r="AU39" i="1"/>
  <c r="AS37" i="1"/>
  <c r="AS38" i="1"/>
  <c r="AT42" i="1"/>
  <c r="AS35" i="1"/>
  <c r="AS40" i="1"/>
  <c r="AT37" i="1"/>
  <c r="AU35" i="1"/>
  <c r="AU41" i="1"/>
  <c r="AW36" i="1"/>
  <c r="P51" i="6"/>
  <c r="O54" i="6"/>
  <c r="N47" i="6"/>
  <c r="N51" i="6"/>
  <c r="P47" i="6"/>
  <c r="R51" i="6"/>
  <c r="Q51" i="6"/>
  <c r="Q47" i="6"/>
  <c r="O48" i="6"/>
  <c r="O45" i="6"/>
  <c r="P45" i="6"/>
  <c r="P52" i="6"/>
  <c r="Q45" i="6"/>
  <c r="Q54" i="6"/>
  <c r="R54" i="6"/>
  <c r="N54" i="6"/>
  <c r="P53" i="6"/>
  <c r="O51" i="6"/>
  <c r="P49" i="6"/>
  <c r="R49" i="6"/>
  <c r="R46" i="6"/>
  <c r="R45" i="6"/>
  <c r="N46" i="6"/>
  <c r="Q46" i="6"/>
  <c r="P48" i="6"/>
  <c r="N52" i="6"/>
  <c r="Q48" i="6"/>
  <c r="N50" i="6"/>
  <c r="R47" i="6"/>
  <c r="Q49" i="6"/>
  <c r="P46" i="6"/>
  <c r="N45" i="6"/>
  <c r="N53" i="6"/>
  <c r="N48" i="6"/>
  <c r="R48" i="6"/>
  <c r="R52" i="6"/>
  <c r="N49" i="6"/>
  <c r="O46" i="6"/>
  <c r="O50" i="6"/>
  <c r="P50" i="6"/>
  <c r="O52" i="6"/>
  <c r="Q53" i="6"/>
  <c r="R53" i="6"/>
  <c r="O53" i="6"/>
  <c r="R50" i="6"/>
  <c r="O49" i="6"/>
  <c r="P54" i="6"/>
  <c r="Q50" i="6"/>
  <c r="O47" i="6"/>
  <c r="Q52" i="6"/>
  <c r="Y48" i="6"/>
  <c r="W49" i="6"/>
  <c r="U51" i="6"/>
  <c r="U47" i="6"/>
  <c r="W53" i="6"/>
  <c r="U54" i="6"/>
  <c r="X50" i="6"/>
  <c r="Y50" i="6"/>
  <c r="X47" i="6"/>
  <c r="Y53" i="6"/>
  <c r="X46" i="6"/>
  <c r="X48" i="6"/>
  <c r="W54" i="6"/>
  <c r="U53" i="6"/>
  <c r="V47" i="6"/>
  <c r="V50" i="6"/>
  <c r="Y45" i="6"/>
  <c r="Y52" i="6"/>
  <c r="W46" i="6"/>
  <c r="U50" i="6"/>
  <c r="W48" i="6"/>
  <c r="X45" i="6"/>
  <c r="X51" i="6"/>
  <c r="U48" i="6"/>
  <c r="W45" i="6"/>
  <c r="Y49" i="6"/>
  <c r="U45" i="6"/>
  <c r="Y54" i="6"/>
  <c r="W52" i="6"/>
  <c r="U46" i="6"/>
  <c r="W50" i="6"/>
  <c r="V53" i="6"/>
  <c r="Y47" i="6"/>
  <c r="X54" i="6"/>
  <c r="V46" i="6"/>
  <c r="V54" i="6"/>
  <c r="W51" i="6"/>
  <c r="V52" i="6"/>
  <c r="V51" i="6"/>
  <c r="X53" i="6"/>
  <c r="X52" i="6"/>
  <c r="V49" i="6"/>
  <c r="V48" i="6"/>
  <c r="V45" i="6"/>
  <c r="U52" i="6"/>
  <c r="X49" i="6"/>
  <c r="Y46" i="6"/>
  <c r="W47" i="6"/>
  <c r="U49" i="6"/>
  <c r="Y51" i="6"/>
  <c r="AT51" i="1" l="1"/>
  <c r="AW47" i="1"/>
  <c r="AV46" i="1"/>
  <c r="AT47" i="1"/>
  <c r="AT44" i="1"/>
  <c r="AV47" i="1"/>
  <c r="AW43" i="1"/>
  <c r="AV52" i="1"/>
  <c r="AW49" i="1"/>
  <c r="AU50" i="1"/>
  <c r="AW48" i="1"/>
  <c r="AS47" i="1"/>
  <c r="AW45" i="1"/>
  <c r="AV43" i="1"/>
  <c r="AU47" i="1"/>
  <c r="AV51" i="1"/>
  <c r="AT43" i="1"/>
  <c r="AU43" i="1"/>
  <c r="AS43" i="1"/>
  <c r="AU52" i="1"/>
  <c r="AT48" i="1"/>
  <c r="AU44" i="1"/>
  <c r="AS44" i="1"/>
  <c r="AW52" i="1"/>
  <c r="AV49" i="1"/>
  <c r="AW44" i="1"/>
  <c r="AU45" i="1"/>
  <c r="AS48" i="1"/>
  <c r="AW46" i="1"/>
  <c r="AS45" i="1"/>
  <c r="AV50" i="1"/>
  <c r="AS46" i="1"/>
  <c r="AT49" i="1"/>
  <c r="AT52" i="1"/>
  <c r="AT45" i="1"/>
  <c r="AT50" i="1"/>
  <c r="AS51" i="1"/>
  <c r="AU46" i="1"/>
  <c r="AU51" i="1"/>
  <c r="AT46" i="1"/>
  <c r="AU49" i="1"/>
  <c r="AW50" i="1"/>
  <c r="AS49" i="1"/>
  <c r="AW51" i="1"/>
  <c r="AS50" i="1"/>
  <c r="AV48" i="1"/>
  <c r="AU48" i="1"/>
  <c r="AV44" i="1"/>
  <c r="AS52" i="1"/>
  <c r="AV45" i="1"/>
  <c r="N57" i="6"/>
  <c r="Q64" i="6"/>
  <c r="P64" i="6"/>
  <c r="O57" i="6"/>
  <c r="Q62" i="6"/>
  <c r="R61" i="6"/>
  <c r="Q61" i="6"/>
  <c r="R55" i="6"/>
  <c r="P58" i="6"/>
  <c r="N55" i="6"/>
  <c r="R59" i="6"/>
  <c r="R64" i="6"/>
  <c r="P63" i="6"/>
  <c r="R62" i="6"/>
  <c r="P57" i="6"/>
  <c r="Q55" i="6"/>
  <c r="N61" i="6"/>
  <c r="R63" i="6"/>
  <c r="P55" i="6"/>
  <c r="P62" i="6"/>
  <c r="R58" i="6"/>
  <c r="N56" i="6"/>
  <c r="Q60" i="6"/>
  <c r="Q56" i="6"/>
  <c r="N60" i="6"/>
  <c r="O56" i="6"/>
  <c r="N63" i="6"/>
  <c r="O61" i="6"/>
  <c r="P59" i="6"/>
  <c r="O60" i="6"/>
  <c r="P61" i="6"/>
  <c r="Q63" i="6"/>
  <c r="R56" i="6"/>
  <c r="P60" i="6"/>
  <c r="O63" i="6"/>
  <c r="Q57" i="6"/>
  <c r="O64" i="6"/>
  <c r="N62" i="6"/>
  <c r="R60" i="6"/>
  <c r="O55" i="6"/>
  <c r="N64" i="6"/>
  <c r="Q59" i="6"/>
  <c r="R57" i="6"/>
  <c r="O59" i="6"/>
  <c r="P56" i="6"/>
  <c r="O62" i="6"/>
  <c r="Q58" i="6"/>
  <c r="N58" i="6"/>
  <c r="O58" i="6"/>
  <c r="N59" i="6"/>
  <c r="X58" i="6"/>
  <c r="X62" i="6"/>
  <c r="W56" i="6"/>
  <c r="Y58" i="6"/>
  <c r="W63" i="6"/>
  <c r="V61" i="6"/>
  <c r="Y61" i="6"/>
  <c r="W62" i="6"/>
  <c r="X57" i="6"/>
  <c r="V57" i="6"/>
  <c r="W61" i="6"/>
  <c r="Y64" i="6"/>
  <c r="X56" i="6"/>
  <c r="U56" i="6"/>
  <c r="U62" i="6"/>
  <c r="Y55" i="6"/>
  <c r="W57" i="6"/>
  <c r="V62" i="6"/>
  <c r="X60" i="6"/>
  <c r="V64" i="6"/>
  <c r="V60" i="6"/>
  <c r="V59" i="6"/>
  <c r="W58" i="6"/>
  <c r="V56" i="6"/>
  <c r="W59" i="6"/>
  <c r="X64" i="6"/>
  <c r="U55" i="6"/>
  <c r="Y63" i="6"/>
  <c r="W60" i="6"/>
  <c r="X59" i="6"/>
  <c r="U59" i="6"/>
  <c r="W64" i="6"/>
  <c r="Y59" i="6"/>
  <c r="W55" i="6"/>
  <c r="U63" i="6"/>
  <c r="V63" i="6"/>
  <c r="Y57" i="6"/>
  <c r="X61" i="6"/>
  <c r="X63" i="6"/>
  <c r="U58" i="6"/>
  <c r="U60" i="6"/>
  <c r="U64" i="6"/>
  <c r="Y62" i="6"/>
  <c r="Y60" i="6"/>
  <c r="X55" i="6"/>
  <c r="V55" i="6"/>
  <c r="U57" i="6"/>
  <c r="U61" i="6"/>
  <c r="Y56" i="6"/>
  <c r="V58" i="6"/>
  <c r="AT62" i="1" l="1"/>
  <c r="AW55" i="1"/>
  <c r="AU53" i="1"/>
  <c r="AW60" i="1"/>
  <c r="AU54" i="1"/>
  <c r="AW56" i="1"/>
  <c r="AU61" i="1"/>
  <c r="AV60" i="1"/>
  <c r="AT57" i="1"/>
  <c r="AV55" i="1"/>
  <c r="AT59" i="1"/>
  <c r="AU60" i="1"/>
  <c r="AW62" i="1"/>
  <c r="AT55" i="1"/>
  <c r="AT61" i="1"/>
  <c r="AS57" i="1"/>
  <c r="AS53" i="1"/>
  <c r="AW54" i="1"/>
  <c r="AS59" i="1"/>
  <c r="AU56" i="1"/>
  <c r="AS55" i="1"/>
  <c r="AS61" i="1"/>
  <c r="AV57" i="1"/>
  <c r="AT54" i="1"/>
  <c r="AV62" i="1"/>
  <c r="AT53" i="1"/>
  <c r="AV54" i="1"/>
  <c r="AV53" i="1"/>
  <c r="AW53" i="1"/>
  <c r="AU57" i="1"/>
  <c r="AW61" i="1"/>
  <c r="AW57" i="1"/>
  <c r="AU58" i="1"/>
  <c r="AT56" i="1"/>
  <c r="AV61" i="1"/>
  <c r="AV56" i="1"/>
  <c r="AW58" i="1"/>
  <c r="AU59" i="1"/>
  <c r="AV58" i="1"/>
  <c r="AU55" i="1"/>
  <c r="AV59" i="1"/>
  <c r="AS62" i="1"/>
  <c r="AS58" i="1"/>
  <c r="AS56" i="1"/>
  <c r="AT60" i="1"/>
  <c r="AS60" i="1"/>
  <c r="AT58" i="1"/>
  <c r="AS54" i="1"/>
  <c r="AW59" i="1"/>
  <c r="AU62" i="1"/>
  <c r="Q69" i="6"/>
  <c r="Q66" i="6"/>
  <c r="N67" i="6"/>
  <c r="O73" i="6"/>
  <c r="O68" i="6"/>
  <c r="P69" i="6"/>
  <c r="R67" i="6"/>
  <c r="N68" i="6"/>
  <c r="R65" i="6"/>
  <c r="P67" i="6"/>
  <c r="O67" i="6"/>
  <c r="P71" i="6"/>
  <c r="R66" i="6"/>
  <c r="Q73" i="6"/>
  <c r="N72" i="6"/>
  <c r="P68" i="6"/>
  <c r="N70" i="6"/>
  <c r="P65" i="6"/>
  <c r="P74" i="6"/>
  <c r="Q70" i="6"/>
  <c r="O69" i="6"/>
  <c r="R74" i="6"/>
  <c r="R70" i="6"/>
  <c r="P72" i="6"/>
  <c r="N66" i="6"/>
  <c r="N73" i="6"/>
  <c r="Q67" i="6"/>
  <c r="O72" i="6"/>
  <c r="O74" i="6"/>
  <c r="Q74" i="6"/>
  <c r="O71" i="6"/>
  <c r="N69" i="6"/>
  <c r="P70" i="6"/>
  <c r="P66" i="6"/>
  <c r="R68" i="6"/>
  <c r="Q68" i="6"/>
  <c r="R71" i="6"/>
  <c r="O70" i="6"/>
  <c r="Q72" i="6"/>
  <c r="N74" i="6"/>
  <c r="N71" i="6"/>
  <c r="R73" i="6"/>
  <c r="R69" i="6"/>
  <c r="P73" i="6"/>
  <c r="R72" i="6"/>
  <c r="Q71" i="6"/>
  <c r="Q65" i="6"/>
  <c r="O65" i="6"/>
  <c r="O66" i="6"/>
  <c r="N65" i="6"/>
  <c r="V71" i="6"/>
  <c r="W68" i="6"/>
  <c r="Y67" i="6"/>
  <c r="W73" i="6"/>
  <c r="V67" i="6"/>
  <c r="Y66" i="6"/>
  <c r="U72" i="6"/>
  <c r="V74" i="6"/>
  <c r="Y71" i="6"/>
  <c r="X68" i="6"/>
  <c r="U65" i="6"/>
  <c r="X65" i="6"/>
  <c r="Y72" i="6"/>
  <c r="W71" i="6"/>
  <c r="X70" i="6"/>
  <c r="Y70" i="6"/>
  <c r="V73" i="6"/>
  <c r="U69" i="6"/>
  <c r="U73" i="6"/>
  <c r="U71" i="6"/>
  <c r="V72" i="6"/>
  <c r="V68" i="6"/>
  <c r="X71" i="6"/>
  <c r="U68" i="6"/>
  <c r="V69" i="6"/>
  <c r="V65" i="6"/>
  <c r="U74" i="6"/>
  <c r="X73" i="6"/>
  <c r="X66" i="6"/>
  <c r="W67" i="6"/>
  <c r="W65" i="6"/>
  <c r="W66" i="6"/>
  <c r="Y73" i="6"/>
  <c r="U67" i="6"/>
  <c r="W74" i="6"/>
  <c r="X67" i="6"/>
  <c r="Y68" i="6"/>
  <c r="Y69" i="6"/>
  <c r="Y74" i="6"/>
  <c r="W72" i="6"/>
  <c r="Y65" i="6"/>
  <c r="U66" i="6"/>
  <c r="V66" i="6"/>
  <c r="W69" i="6"/>
  <c r="X74" i="6"/>
  <c r="V70" i="6"/>
  <c r="X72" i="6"/>
  <c r="X69" i="6"/>
  <c r="U70" i="6"/>
  <c r="W70" i="6"/>
  <c r="AS63" i="1" l="1"/>
  <c r="AU63" i="1"/>
  <c r="AV69" i="1"/>
  <c r="AT68" i="1"/>
  <c r="AV72" i="1"/>
  <c r="AW70" i="1"/>
  <c r="AT72" i="1"/>
  <c r="AT67" i="1"/>
  <c r="AW71" i="1"/>
  <c r="AV64" i="1"/>
  <c r="AW67" i="1"/>
  <c r="AW66" i="1"/>
  <c r="AV65" i="1"/>
  <c r="AU72" i="1"/>
  <c r="AT65" i="1"/>
  <c r="AS65" i="1"/>
  <c r="AS71" i="1"/>
  <c r="AT64" i="1"/>
  <c r="AU68" i="1"/>
  <c r="AS68" i="1"/>
  <c r="AV67" i="1"/>
  <c r="AT63" i="1"/>
  <c r="AS67" i="1"/>
  <c r="AU70" i="1"/>
  <c r="AU64" i="1"/>
  <c r="AS69" i="1"/>
  <c r="AW63" i="1"/>
  <c r="AV63" i="1"/>
  <c r="AV70" i="1"/>
  <c r="AT69" i="1"/>
  <c r="AW65" i="1"/>
  <c r="AU65" i="1"/>
  <c r="AS64" i="1"/>
  <c r="AU66" i="1"/>
  <c r="AW72" i="1"/>
  <c r="AU67" i="1"/>
  <c r="AW69" i="1"/>
  <c r="AW64" i="1"/>
  <c r="AT66" i="1"/>
  <c r="AS72" i="1"/>
  <c r="AS66" i="1"/>
  <c r="AW68" i="1"/>
  <c r="AS70" i="1"/>
  <c r="AV71" i="1"/>
  <c r="AU71" i="1"/>
  <c r="AV66" i="1"/>
  <c r="AT70" i="1"/>
  <c r="AV68" i="1"/>
  <c r="AU69" i="1"/>
  <c r="AT71" i="1"/>
  <c r="Q76" i="6"/>
  <c r="Q84" i="6"/>
  <c r="Q77" i="6"/>
  <c r="Q81" i="6"/>
  <c r="O77" i="6"/>
  <c r="N83" i="6"/>
  <c r="R81" i="6"/>
  <c r="P77" i="6"/>
  <c r="O81" i="6"/>
  <c r="Q80" i="6"/>
  <c r="O80" i="6"/>
  <c r="O78" i="6"/>
  <c r="R82" i="6"/>
  <c r="Q78" i="6"/>
  <c r="P76" i="6"/>
  <c r="O84" i="6"/>
  <c r="P78" i="6"/>
  <c r="N75" i="6"/>
  <c r="N84" i="6"/>
  <c r="Q83" i="6"/>
  <c r="N80" i="6"/>
  <c r="R76" i="6"/>
  <c r="R80" i="6"/>
  <c r="Q82" i="6"/>
  <c r="N76" i="6"/>
  <c r="R78" i="6"/>
  <c r="O82" i="6"/>
  <c r="R79" i="6"/>
  <c r="O76" i="6"/>
  <c r="O79" i="6"/>
  <c r="N77" i="6"/>
  <c r="R77" i="6"/>
  <c r="P79" i="6"/>
  <c r="O75" i="6"/>
  <c r="R75" i="6"/>
  <c r="P83" i="6"/>
  <c r="R84" i="6"/>
  <c r="N79" i="6"/>
  <c r="P81" i="6"/>
  <c r="N81" i="6"/>
  <c r="P80" i="6"/>
  <c r="P75" i="6"/>
  <c r="N78" i="6"/>
  <c r="Q75" i="6"/>
  <c r="R83" i="6"/>
  <c r="N82" i="6"/>
  <c r="Q79" i="6"/>
  <c r="O83" i="6"/>
  <c r="P82" i="6"/>
  <c r="P84" i="6"/>
  <c r="Y79" i="6"/>
  <c r="X77" i="6"/>
  <c r="Y81" i="6"/>
  <c r="V84" i="6"/>
  <c r="W77" i="6"/>
  <c r="U84" i="6"/>
  <c r="V78" i="6"/>
  <c r="X83" i="6"/>
  <c r="U80" i="6"/>
  <c r="Y83" i="6"/>
  <c r="Y76" i="6"/>
  <c r="W83" i="6"/>
  <c r="U77" i="6"/>
  <c r="V79" i="6"/>
  <c r="V82" i="6"/>
  <c r="U78" i="6"/>
  <c r="X81" i="6"/>
  <c r="V77" i="6"/>
  <c r="V76" i="6"/>
  <c r="X75" i="6"/>
  <c r="Y84" i="6"/>
  <c r="W76" i="6"/>
  <c r="Y75" i="6"/>
  <c r="X82" i="6"/>
  <c r="U79" i="6"/>
  <c r="Y82" i="6"/>
  <c r="U82" i="6"/>
  <c r="V75" i="6"/>
  <c r="X84" i="6"/>
  <c r="X80" i="6"/>
  <c r="U75" i="6"/>
  <c r="Y78" i="6"/>
  <c r="W75" i="6"/>
  <c r="W84" i="6"/>
  <c r="V80" i="6"/>
  <c r="Y77" i="6"/>
  <c r="X76" i="6"/>
  <c r="U76" i="6"/>
  <c r="W82" i="6"/>
  <c r="X79" i="6"/>
  <c r="W81" i="6"/>
  <c r="V83" i="6"/>
  <c r="V81" i="6"/>
  <c r="W79" i="6"/>
  <c r="U83" i="6"/>
  <c r="X78" i="6"/>
  <c r="Y80" i="6"/>
  <c r="U81" i="6"/>
  <c r="W78" i="6"/>
  <c r="W80" i="6"/>
  <c r="AV76" i="1" l="1"/>
  <c r="AW81" i="1"/>
  <c r="AV77" i="1"/>
  <c r="AT77" i="1"/>
  <c r="AV73" i="1"/>
  <c r="AT76" i="1"/>
  <c r="AW78" i="1"/>
  <c r="AW73" i="1"/>
  <c r="AU82" i="1"/>
  <c r="AU73" i="1"/>
  <c r="AT73" i="1"/>
  <c r="AW76" i="1"/>
  <c r="AS73" i="1"/>
  <c r="AV78" i="1"/>
  <c r="AV82" i="1"/>
  <c r="AS75" i="1"/>
  <c r="AT80" i="1"/>
  <c r="AV75" i="1"/>
  <c r="AU78" i="1"/>
  <c r="AU77" i="1"/>
  <c r="AU79" i="1"/>
  <c r="AS82" i="1"/>
  <c r="AT81" i="1"/>
  <c r="AS79" i="1"/>
  <c r="AW75" i="1"/>
  <c r="AV80" i="1"/>
  <c r="AU75" i="1"/>
  <c r="AU74" i="1"/>
  <c r="AW82" i="1"/>
  <c r="AT74" i="1"/>
  <c r="AS78" i="1"/>
  <c r="AW80" i="1"/>
  <c r="AT75" i="1"/>
  <c r="AT82" i="1"/>
  <c r="AU81" i="1"/>
  <c r="AW77" i="1"/>
  <c r="AV81" i="1"/>
  <c r="AV79" i="1"/>
  <c r="AS76" i="1"/>
  <c r="AT78" i="1"/>
  <c r="AU80" i="1"/>
  <c r="AS74" i="1"/>
  <c r="AU76" i="1"/>
  <c r="AT79" i="1"/>
  <c r="AV74" i="1"/>
  <c r="AW79" i="1"/>
  <c r="AS80" i="1"/>
  <c r="AS77" i="1"/>
  <c r="AW74" i="1"/>
  <c r="AS81" i="1"/>
  <c r="R86" i="6"/>
  <c r="O90" i="6"/>
  <c r="O88" i="6"/>
  <c r="R88" i="6"/>
  <c r="R87" i="6"/>
  <c r="Q93" i="6"/>
  <c r="Q88" i="6"/>
  <c r="O91" i="6"/>
  <c r="O87" i="6"/>
  <c r="P85" i="6"/>
  <c r="N86" i="6"/>
  <c r="R91" i="6"/>
  <c r="P93" i="6"/>
  <c r="O85" i="6"/>
  <c r="P92" i="6"/>
  <c r="N87" i="6"/>
  <c r="N90" i="6"/>
  <c r="R85" i="6"/>
  <c r="Q94" i="6"/>
  <c r="P88" i="6"/>
  <c r="O93" i="6"/>
  <c r="N92" i="6"/>
  <c r="P87" i="6"/>
  <c r="P91" i="6"/>
  <c r="Q92" i="6"/>
  <c r="O92" i="6"/>
  <c r="O86" i="6"/>
  <c r="Q86" i="6"/>
  <c r="Q90" i="6"/>
  <c r="P94" i="6"/>
  <c r="R89" i="6"/>
  <c r="N94" i="6"/>
  <c r="N89" i="6"/>
  <c r="Q85" i="6"/>
  <c r="N93" i="6"/>
  <c r="P90" i="6"/>
  <c r="Q91" i="6"/>
  <c r="O94" i="6"/>
  <c r="Q87" i="6"/>
  <c r="R93" i="6"/>
  <c r="R90" i="6"/>
  <c r="P86" i="6"/>
  <c r="O89" i="6"/>
  <c r="N88" i="6"/>
  <c r="Q89" i="6"/>
  <c r="R92" i="6"/>
  <c r="N85" i="6"/>
  <c r="N91" i="6"/>
  <c r="R94" i="6"/>
  <c r="P89" i="6"/>
  <c r="U93" i="6"/>
  <c r="U94" i="6"/>
  <c r="X93" i="6"/>
  <c r="X94" i="6"/>
  <c r="W93" i="6"/>
  <c r="U87" i="6"/>
  <c r="X90" i="6"/>
  <c r="V88" i="6"/>
  <c r="V93" i="6"/>
  <c r="X91" i="6"/>
  <c r="W90" i="6"/>
  <c r="Y89" i="6"/>
  <c r="X89" i="6"/>
  <c r="U85" i="6"/>
  <c r="V89" i="6"/>
  <c r="V85" i="6"/>
  <c r="X88" i="6"/>
  <c r="Y86" i="6"/>
  <c r="Y90" i="6"/>
  <c r="U88" i="6"/>
  <c r="Y87" i="6"/>
  <c r="Y91" i="6"/>
  <c r="Y88" i="6"/>
  <c r="W88" i="6"/>
  <c r="W94" i="6"/>
  <c r="X86" i="6"/>
  <c r="X87" i="6"/>
  <c r="U91" i="6"/>
  <c r="U92" i="6"/>
  <c r="Y93" i="6"/>
  <c r="V91" i="6"/>
  <c r="W87" i="6"/>
  <c r="V94" i="6"/>
  <c r="V90" i="6"/>
  <c r="W85" i="6"/>
  <c r="Y85" i="6"/>
  <c r="V92" i="6"/>
  <c r="X85" i="6"/>
  <c r="W86" i="6"/>
  <c r="W89" i="6"/>
  <c r="U86" i="6"/>
  <c r="V86" i="6"/>
  <c r="X92" i="6"/>
  <c r="W91" i="6"/>
  <c r="Y94" i="6"/>
  <c r="Y92" i="6"/>
  <c r="W92" i="6"/>
  <c r="V87" i="6"/>
  <c r="U90" i="6"/>
  <c r="U89" i="6"/>
  <c r="AS89" i="1" l="1"/>
  <c r="AS92" i="1"/>
  <c r="AS85" i="1"/>
  <c r="AT89" i="1"/>
  <c r="AS83" i="1"/>
  <c r="AV85" i="1"/>
  <c r="AW87" i="1"/>
  <c r="AW90" i="1"/>
  <c r="AT92" i="1"/>
  <c r="AU92" i="1"/>
  <c r="AS90" i="1"/>
  <c r="AT83" i="1"/>
  <c r="AV91" i="1"/>
  <c r="AV87" i="1"/>
  <c r="AV89" i="1"/>
  <c r="AT91" i="1"/>
  <c r="AU91" i="1"/>
  <c r="AW85" i="1"/>
  <c r="AS86" i="1"/>
  <c r="AW86" i="1"/>
  <c r="AT87" i="1"/>
  <c r="AU87" i="1"/>
  <c r="AU84" i="1"/>
  <c r="AV83" i="1"/>
  <c r="AT90" i="1"/>
  <c r="AW83" i="1"/>
  <c r="AU83" i="1"/>
  <c r="AW92" i="1"/>
  <c r="AW88" i="1"/>
  <c r="AS87" i="1"/>
  <c r="AV90" i="1"/>
  <c r="AS88" i="1"/>
  <c r="AT85" i="1"/>
  <c r="AW84" i="1"/>
  <c r="AW91" i="1"/>
  <c r="AU89" i="1"/>
  <c r="AU85" i="1"/>
  <c r="AU90" i="1"/>
  <c r="AV86" i="1"/>
  <c r="AV88" i="1"/>
  <c r="AU88" i="1"/>
  <c r="AV84" i="1"/>
  <c r="AU86" i="1"/>
  <c r="AW89" i="1"/>
  <c r="AS91" i="1"/>
  <c r="AT84" i="1"/>
  <c r="AV92" i="1"/>
  <c r="AS84" i="1"/>
  <c r="AT86" i="1"/>
  <c r="AT88" i="1"/>
  <c r="Q104" i="6"/>
  <c r="O98" i="6"/>
  <c r="P99" i="6"/>
  <c r="O96" i="6"/>
  <c r="P105" i="6"/>
  <c r="O104" i="6"/>
  <c r="P102" i="6"/>
  <c r="R98" i="6"/>
  <c r="N96" i="6"/>
  <c r="R100" i="6"/>
  <c r="Q105" i="6"/>
  <c r="R104" i="6"/>
  <c r="N95" i="6"/>
  <c r="R102" i="6"/>
  <c r="O105" i="6"/>
  <c r="Q96" i="6"/>
  <c r="Q100" i="6"/>
  <c r="R95" i="6"/>
  <c r="N101" i="6"/>
  <c r="N102" i="6"/>
  <c r="P103" i="6"/>
  <c r="R105" i="6"/>
  <c r="P95" i="6"/>
  <c r="N103" i="6"/>
  <c r="R96" i="6"/>
  <c r="N105" i="6"/>
  <c r="R101" i="6"/>
  <c r="P98" i="6"/>
  <c r="R99" i="6"/>
  <c r="Q99" i="6"/>
  <c r="Q102" i="6"/>
  <c r="O100" i="6"/>
  <c r="Q98" i="6"/>
  <c r="O103" i="6"/>
  <c r="P100" i="6"/>
  <c r="N100" i="6"/>
  <c r="Q95" i="6"/>
  <c r="P104" i="6"/>
  <c r="P97" i="6"/>
  <c r="Q103" i="6"/>
  <c r="N98" i="6"/>
  <c r="Q97" i="6"/>
  <c r="P101" i="6"/>
  <c r="O102" i="6"/>
  <c r="O99" i="6"/>
  <c r="O97" i="6"/>
  <c r="O101" i="6"/>
  <c r="N104" i="6"/>
  <c r="R97" i="6"/>
  <c r="R103" i="6"/>
  <c r="N99" i="6"/>
  <c r="N97" i="6"/>
  <c r="P96" i="6"/>
  <c r="Q101" i="6"/>
  <c r="O95" i="6"/>
  <c r="U95" i="6"/>
  <c r="U103" i="6"/>
  <c r="V102" i="6"/>
  <c r="W97" i="6"/>
  <c r="X102" i="6"/>
  <c r="V97" i="6"/>
  <c r="Y99" i="6"/>
  <c r="W105" i="6"/>
  <c r="V96" i="6"/>
  <c r="V99" i="6"/>
  <c r="Y105" i="6"/>
  <c r="Y96" i="6"/>
  <c r="U101" i="6"/>
  <c r="U98" i="6"/>
  <c r="X100" i="6"/>
  <c r="X95" i="6"/>
  <c r="Y97" i="6"/>
  <c r="W98" i="6"/>
  <c r="U100" i="6"/>
  <c r="W102" i="6"/>
  <c r="W103" i="6"/>
  <c r="W95" i="6"/>
  <c r="U97" i="6"/>
  <c r="Y98" i="6"/>
  <c r="Y104" i="6"/>
  <c r="V104" i="6"/>
  <c r="W104" i="6"/>
  <c r="W96" i="6"/>
  <c r="X101" i="6"/>
  <c r="U102" i="6"/>
  <c r="V98" i="6"/>
  <c r="Y100" i="6"/>
  <c r="Y95" i="6"/>
  <c r="U105" i="6"/>
  <c r="V103" i="6"/>
  <c r="X97" i="6"/>
  <c r="Y103" i="6"/>
  <c r="W99" i="6"/>
  <c r="X105" i="6"/>
  <c r="Y101" i="6"/>
  <c r="W100" i="6"/>
  <c r="W101" i="6"/>
  <c r="U99" i="6"/>
  <c r="V105" i="6"/>
  <c r="V100" i="6"/>
  <c r="U104" i="6"/>
  <c r="U96" i="6"/>
  <c r="Y102" i="6"/>
  <c r="X99" i="6"/>
  <c r="V101" i="6"/>
  <c r="V95" i="6"/>
  <c r="X96" i="6"/>
  <c r="X103" i="6"/>
  <c r="X104" i="6"/>
  <c r="X98" i="6"/>
  <c r="AU98" i="1" l="1"/>
  <c r="AT99" i="1"/>
  <c r="AU93" i="1"/>
  <c r="AT103" i="1"/>
  <c r="AV99" i="1"/>
  <c r="AT95" i="1"/>
  <c r="AU102" i="1"/>
  <c r="AW103" i="1"/>
  <c r="AT93" i="1"/>
  <c r="AU94" i="1"/>
  <c r="AT97" i="1"/>
  <c r="AV93" i="1"/>
  <c r="AW97" i="1"/>
  <c r="AU101" i="1"/>
  <c r="AS93" i="1"/>
  <c r="AS95" i="1"/>
  <c r="AS97" i="1"/>
  <c r="AW99" i="1"/>
  <c r="AW101" i="1"/>
  <c r="AU99" i="1"/>
  <c r="AV103" i="1"/>
  <c r="AV95" i="1"/>
  <c r="AT101" i="1"/>
  <c r="AW93" i="1"/>
  <c r="AW95" i="1"/>
  <c r="AS96" i="1"/>
  <c r="AW94" i="1"/>
  <c r="AS94" i="1"/>
  <c r="AS102" i="1"/>
  <c r="AV101" i="1"/>
  <c r="AS101" i="1"/>
  <c r="AS99" i="1"/>
  <c r="AU97" i="1"/>
  <c r="AS103" i="1"/>
  <c r="AW98" i="1"/>
  <c r="AT96" i="1"/>
  <c r="AV96" i="1"/>
  <c r="AV98" i="1"/>
  <c r="AV102" i="1"/>
  <c r="AT98" i="1"/>
  <c r="AV94" i="1"/>
  <c r="AW96" i="1"/>
  <c r="AU95" i="1"/>
  <c r="AV100" i="1"/>
  <c r="AU100" i="1"/>
  <c r="AV97" i="1"/>
  <c r="AW100" i="1"/>
  <c r="AT102" i="1"/>
  <c r="AU103" i="1"/>
  <c r="AT100" i="1"/>
  <c r="AS98" i="1"/>
  <c r="AU96" i="1"/>
  <c r="AS100" i="1"/>
  <c r="AW102" i="1"/>
  <c r="AT94" i="1"/>
  <c r="BB15" i="1" l="1"/>
  <c r="BB20" i="1"/>
  <c r="BB32" i="1"/>
  <c r="BB25" i="1"/>
  <c r="BB34" i="1"/>
  <c r="BA76" i="1"/>
  <c r="BB4" i="1"/>
  <c r="BB39" i="1"/>
  <c r="BB37" i="1"/>
  <c r="BB19" i="1"/>
  <c r="BC11" i="1"/>
  <c r="BB36" i="1"/>
  <c r="BB22" i="1"/>
  <c r="BB16" i="1"/>
  <c r="BB30" i="1"/>
  <c r="BB41" i="1"/>
  <c r="BB14" i="1"/>
  <c r="BB26" i="1"/>
  <c r="BB46" i="1"/>
  <c r="BB42" i="1"/>
  <c r="BB38" i="1"/>
  <c r="BB40" i="1"/>
  <c r="BB27" i="1"/>
  <c r="BB45" i="1"/>
  <c r="BB33" i="1"/>
  <c r="BB17" i="1"/>
  <c r="BB23" i="1"/>
  <c r="BB43" i="1"/>
  <c r="BB31" i="1"/>
  <c r="BB21" i="1"/>
  <c r="BB35" i="1"/>
  <c r="BB18" i="1"/>
  <c r="BB24" i="1"/>
  <c r="BB29" i="1"/>
  <c r="BB44" i="1"/>
  <c r="BB28" i="1"/>
  <c r="BA75" i="1"/>
  <c r="BB13" i="1"/>
  <c r="BC20" i="1" l="1"/>
  <c r="BC75" i="1"/>
  <c r="BC16" i="1"/>
  <c r="BB6" i="1"/>
  <c r="BC22" i="1"/>
  <c r="BB65" i="1"/>
  <c r="BC59" i="1"/>
  <c r="BB12" i="1"/>
  <c r="BC35" i="1"/>
  <c r="BB66" i="1"/>
  <c r="BC60" i="1"/>
  <c r="BC70" i="1"/>
  <c r="BB56" i="1"/>
  <c r="BC12" i="1"/>
  <c r="BC30" i="1"/>
  <c r="BB62" i="1"/>
  <c r="BC38" i="1"/>
  <c r="BC47" i="1"/>
  <c r="BC62" i="1"/>
  <c r="BC33" i="1"/>
  <c r="BC4" i="1"/>
  <c r="BC79" i="1"/>
  <c r="BC42" i="1"/>
  <c r="BB68" i="1"/>
  <c r="BA82" i="1"/>
  <c r="BB76" i="1"/>
  <c r="BC72" i="1"/>
  <c r="BC80" i="1"/>
  <c r="BB77" i="1"/>
  <c r="BB60" i="1"/>
  <c r="BC46" i="1"/>
  <c r="BB67" i="1"/>
  <c r="BC49" i="1"/>
  <c r="BB58" i="1"/>
  <c r="BA73" i="1"/>
  <c r="BB54" i="1"/>
  <c r="BC54" i="1"/>
  <c r="BC58" i="1"/>
  <c r="BB71" i="1"/>
  <c r="BC78" i="1"/>
  <c r="BC45" i="1"/>
  <c r="BB70" i="1"/>
  <c r="BC48" i="1"/>
  <c r="BC68" i="1"/>
  <c r="BC13" i="1"/>
  <c r="BC25" i="1"/>
  <c r="BC17" i="1"/>
  <c r="BC63" i="1"/>
  <c r="BA81" i="1"/>
  <c r="BC18" i="1"/>
  <c r="BB78" i="1"/>
  <c r="BC7" i="1"/>
  <c r="BC29" i="1"/>
  <c r="BC39" i="1"/>
  <c r="BC21" i="1"/>
  <c r="BC24" i="1"/>
  <c r="BB57" i="1"/>
  <c r="BB69" i="1"/>
  <c r="BB11" i="1"/>
  <c r="BB61" i="1"/>
  <c r="BC64" i="1"/>
  <c r="BB10" i="1"/>
  <c r="BC67" i="1"/>
  <c r="BA80" i="1"/>
  <c r="BC82" i="1"/>
  <c r="BC27" i="1"/>
  <c r="BB74" i="1"/>
  <c r="BC23" i="1"/>
  <c r="BB75" i="1"/>
  <c r="BC55" i="1"/>
  <c r="BA77" i="1"/>
  <c r="BC81" i="1"/>
  <c r="BC73" i="1"/>
  <c r="BA79" i="1"/>
  <c r="BC83" i="1"/>
  <c r="BC84" i="1"/>
  <c r="BB82" i="1"/>
  <c r="BB72" i="1"/>
  <c r="BA83" i="1"/>
  <c r="BA84" i="1"/>
  <c r="BB83" i="1"/>
  <c r="BB84" i="1"/>
  <c r="BB79" i="1"/>
  <c r="BB48" i="1"/>
  <c r="BC36" i="1"/>
  <c r="BB49" i="1"/>
  <c r="BC32" i="1"/>
  <c r="BB63" i="1"/>
  <c r="BB7" i="1"/>
  <c r="BC65" i="1"/>
  <c r="BC74" i="1"/>
  <c r="BC43" i="1"/>
  <c r="BC50" i="1"/>
  <c r="BB47" i="1"/>
  <c r="BB59" i="1"/>
  <c r="BA74" i="1"/>
  <c r="BC61" i="1"/>
  <c r="BC8" i="1"/>
  <c r="BC14" i="1"/>
  <c r="BB52" i="1"/>
  <c r="BC69" i="1"/>
  <c r="BB73" i="1"/>
  <c r="BB9" i="1"/>
  <c r="BC19" i="1"/>
  <c r="BB80" i="1"/>
  <c r="BC26" i="1"/>
  <c r="BC76" i="1"/>
  <c r="BC53" i="1"/>
  <c r="BC31" i="1"/>
  <c r="BC44" i="1"/>
  <c r="BC9" i="1"/>
  <c r="BC66" i="1"/>
  <c r="BC71" i="1"/>
  <c r="BC6" i="1"/>
  <c r="BB50" i="1"/>
  <c r="BC57" i="1"/>
  <c r="BB64" i="1"/>
  <c r="BC28" i="1"/>
  <c r="BB55" i="1"/>
  <c r="BC15" i="1"/>
  <c r="BC34" i="1"/>
  <c r="BC77" i="1"/>
  <c r="BC40" i="1"/>
  <c r="BB8" i="1"/>
  <c r="BC52" i="1"/>
  <c r="BB53" i="1"/>
  <c r="BB5" i="1"/>
  <c r="BC51" i="1"/>
  <c r="BA78" i="1"/>
  <c r="BB51" i="1"/>
  <c r="BC56" i="1"/>
  <c r="BC37" i="1"/>
  <c r="BC10" i="1"/>
  <c r="BC5" i="1"/>
  <c r="BC41" i="1"/>
  <c r="BB81" i="1"/>
  <c r="BA72" i="1" l="1"/>
  <c r="AY15" i="1" l="1"/>
  <c r="BA43" i="1"/>
  <c r="AZ7" i="1"/>
  <c r="BA18" i="1"/>
  <c r="AZ65" i="1"/>
  <c r="AY79" i="1"/>
  <c r="AY77" i="1"/>
  <c r="AZ72" i="1"/>
  <c r="AY59" i="1"/>
  <c r="AZ53" i="1"/>
  <c r="BA65" i="1"/>
  <c r="BA49" i="1"/>
  <c r="AZ82" i="1"/>
  <c r="AY13" i="1"/>
  <c r="AY14" i="1"/>
  <c r="AZ83" i="1"/>
  <c r="AZ84" i="1"/>
  <c r="AZ80" i="1"/>
  <c r="AZ49" i="1"/>
  <c r="AZ29" i="1"/>
  <c r="BA30" i="1"/>
  <c r="AZ39" i="1"/>
  <c r="AZ16" i="1"/>
  <c r="AY25" i="1"/>
  <c r="BA23" i="1"/>
  <c r="AZ51" i="1"/>
  <c r="BA26" i="1"/>
  <c r="AZ35" i="1"/>
  <c r="AZ54" i="1"/>
  <c r="AY69" i="1"/>
  <c r="BA14" i="1"/>
  <c r="AY10" i="1"/>
  <c r="AZ19" i="1"/>
  <c r="AZ5" i="1"/>
  <c r="BA10" i="1"/>
  <c r="BA59" i="1"/>
  <c r="BA28" i="1"/>
  <c r="BA5" i="1"/>
  <c r="AZ31" i="1"/>
  <c r="AZ68" i="1"/>
  <c r="BA70" i="1"/>
  <c r="AY18" i="1"/>
  <c r="AZ81" i="1"/>
  <c r="AZ47" i="1"/>
  <c r="AZ67" i="1"/>
  <c r="BA52" i="1"/>
  <c r="AZ48" i="1"/>
  <c r="AZ27" i="1"/>
  <c r="AZ77" i="1"/>
  <c r="BA37" i="1"/>
  <c r="BA53" i="1"/>
  <c r="AZ40" i="1"/>
  <c r="AY56" i="1"/>
  <c r="AY61" i="1"/>
  <c r="BA54" i="1"/>
  <c r="AY21" i="1"/>
  <c r="AY67" i="1"/>
  <c r="BA15" i="1"/>
  <c r="AY24" i="1"/>
  <c r="BA67" i="1"/>
  <c r="BA51" i="1"/>
  <c r="AY66" i="1"/>
  <c r="AY83" i="1"/>
  <c r="AY84" i="1"/>
  <c r="AZ59" i="1"/>
  <c r="AY31" i="1"/>
  <c r="AY82" i="1"/>
  <c r="AY9" i="1"/>
  <c r="BA13" i="1"/>
  <c r="BA33" i="1"/>
  <c r="BA56" i="1"/>
  <c r="AY16" i="1"/>
  <c r="AZ10" i="1"/>
  <c r="AZ75" i="1"/>
  <c r="BA4" i="1"/>
  <c r="AY12" i="1"/>
  <c r="AZ26" i="1"/>
  <c r="AY74" i="1"/>
  <c r="AZ50" i="1"/>
  <c r="AZ20" i="1"/>
  <c r="AY71" i="1"/>
  <c r="BA47" i="1"/>
  <c r="AZ45" i="1"/>
  <c r="AZ15" i="1"/>
  <c r="AZ42" i="1"/>
  <c r="AY7" i="1"/>
  <c r="AY17" i="1"/>
  <c r="AZ78" i="1"/>
  <c r="BA29" i="1"/>
  <c r="AZ73" i="1"/>
  <c r="BA39" i="1"/>
  <c r="BA45" i="1"/>
  <c r="BA61" i="1"/>
  <c r="BA60" i="1"/>
  <c r="BA16" i="1"/>
  <c r="AZ18" i="1"/>
  <c r="BA9" i="1"/>
  <c r="AZ23" i="1"/>
  <c r="BA17" i="1"/>
  <c r="BA21" i="1"/>
  <c r="AZ34" i="1"/>
  <c r="AZ33" i="1"/>
  <c r="AZ30" i="1"/>
  <c r="AZ17" i="1"/>
  <c r="AY80" i="1"/>
  <c r="AY23" i="1"/>
  <c r="AZ41" i="1"/>
  <c r="AZ62" i="1"/>
  <c r="BA66" i="1"/>
  <c r="BA20" i="1"/>
  <c r="BA19" i="1"/>
  <c r="AY81" i="1"/>
  <c r="AZ60" i="1"/>
  <c r="BA46" i="1"/>
  <c r="AZ13" i="1"/>
  <c r="AY75" i="1"/>
  <c r="AZ24" i="1"/>
  <c r="BA40" i="1"/>
  <c r="BA55" i="1"/>
  <c r="AY22" i="1"/>
  <c r="BA69" i="1"/>
  <c r="AY64" i="1"/>
  <c r="BA36" i="1"/>
  <c r="AY20" i="1"/>
  <c r="AZ57" i="1"/>
  <c r="AZ58" i="1"/>
  <c r="AZ4" i="1"/>
  <c r="AZ25" i="1"/>
  <c r="AZ79" i="1"/>
  <c r="AY62" i="1"/>
  <c r="AY60" i="1"/>
  <c r="BA68" i="1"/>
  <c r="AY32" i="1"/>
  <c r="BA8" i="1"/>
  <c r="BA11" i="1"/>
  <c r="AY6" i="1"/>
  <c r="AZ70" i="1"/>
  <c r="AY27" i="1"/>
  <c r="AZ63" i="1"/>
  <c r="AY73" i="1"/>
  <c r="AZ55" i="1"/>
  <c r="AY5" i="1"/>
  <c r="AZ11" i="1"/>
  <c r="AZ36" i="1"/>
  <c r="AZ52" i="1"/>
  <c r="AY78" i="1"/>
  <c r="BA50" i="1"/>
  <c r="BA38" i="1"/>
  <c r="AY58" i="1"/>
  <c r="AZ9" i="1"/>
  <c r="BA62" i="1"/>
  <c r="AZ66" i="1"/>
  <c r="AZ74" i="1"/>
  <c r="AZ12" i="1"/>
  <c r="AZ43" i="1"/>
  <c r="AY63" i="1"/>
  <c r="AZ8" i="1"/>
  <c r="AY11" i="1"/>
  <c r="AY72" i="1"/>
  <c r="AY70" i="1"/>
  <c r="BA12" i="1"/>
  <c r="BA58" i="1"/>
  <c r="AZ64" i="1"/>
  <c r="AY8" i="1"/>
  <c r="AZ46" i="1"/>
  <c r="AZ56" i="1"/>
  <c r="BA32" i="1"/>
  <c r="AY57" i="1"/>
  <c r="AY19" i="1"/>
  <c r="BA25" i="1"/>
  <c r="AZ61" i="1"/>
  <c r="AZ38" i="1"/>
  <c r="BA64" i="1"/>
  <c r="AY30" i="1"/>
  <c r="BA44" i="1"/>
  <c r="AZ76" i="1"/>
  <c r="AZ21" i="1"/>
  <c r="BA7" i="1"/>
  <c r="AZ28" i="1"/>
  <c r="AZ37" i="1"/>
  <c r="AZ22" i="1"/>
  <c r="AZ44" i="1"/>
  <c r="BA34" i="1"/>
  <c r="BA22" i="1"/>
  <c r="AY29" i="1"/>
  <c r="BA41" i="1"/>
  <c r="BA48" i="1"/>
  <c r="AY4" i="1"/>
  <c r="AZ69" i="1"/>
  <c r="AZ14" i="1"/>
  <c r="BA24" i="1"/>
  <c r="BA57" i="1"/>
  <c r="BA63" i="1"/>
  <c r="AY76" i="1"/>
  <c r="BA42" i="1"/>
  <c r="AY68" i="1"/>
  <c r="AZ32" i="1"/>
  <c r="AZ71" i="1"/>
  <c r="AY65" i="1"/>
  <c r="BA71" i="1"/>
  <c r="AZ6" i="1"/>
  <c r="BA27" i="1"/>
  <c r="BA31" i="1"/>
  <c r="AY26" i="1"/>
  <c r="BA35" i="1"/>
  <c r="AY28" i="1"/>
  <c r="BA6" i="1"/>
  <c r="AY33" i="1" l="1"/>
  <c r="AY34" i="1"/>
  <c r="AY36" i="1"/>
  <c r="AY35" i="1"/>
  <c r="AY55" i="1"/>
  <c r="AY44" i="1" l="1"/>
  <c r="AY41" i="1"/>
  <c r="AY45" i="1"/>
  <c r="AY49" i="1"/>
  <c r="AY40" i="1"/>
  <c r="AY42" i="1"/>
  <c r="AY52" i="1"/>
  <c r="AY37" i="1"/>
  <c r="AY54" i="1"/>
  <c r="AY43" i="1"/>
  <c r="AY47" i="1"/>
  <c r="AY38" i="1"/>
  <c r="AY50" i="1"/>
  <c r="AY53" i="1"/>
  <c r="AY48" i="1"/>
  <c r="AY51" i="1"/>
  <c r="AY39" i="1"/>
  <c r="AY46" i="1"/>
  <c r="AG4" i="1" l="1"/>
  <c r="E3" i="3" s="1"/>
  <c r="AI4" i="1" l="1"/>
  <c r="G3" i="3" s="1"/>
  <c r="AH4" i="1" l="1"/>
  <c r="F3" i="3" s="1"/>
  <c r="AK4" i="1"/>
  <c r="I3" i="3" s="1"/>
  <c r="AJ4" i="1"/>
  <c r="H3" i="3" s="1"/>
  <c r="AP8" i="1" l="1"/>
  <c r="AQ9" i="1"/>
  <c r="AP12" i="1"/>
  <c r="AO7" i="1"/>
  <c r="AO6" i="1"/>
  <c r="AN20" i="1"/>
  <c r="AN10" i="1"/>
  <c r="AQ20" i="1"/>
  <c r="AN21" i="1"/>
  <c r="AN9" i="1"/>
  <c r="AN18" i="1"/>
  <c r="AP14" i="1"/>
  <c r="AO16" i="1"/>
  <c r="AP13" i="1"/>
  <c r="AN15" i="1"/>
  <c r="AP7" i="1"/>
  <c r="AO11" i="1"/>
  <c r="AP9" i="1"/>
  <c r="AP5" i="1"/>
  <c r="AP21" i="1"/>
  <c r="AN22" i="1"/>
  <c r="AQ15" i="1"/>
  <c r="AQ17" i="1"/>
  <c r="AO5" i="1"/>
  <c r="AP20" i="1"/>
  <c r="AN19" i="1"/>
  <c r="AP22" i="1"/>
  <c r="AO19" i="1"/>
  <c r="AN5" i="1"/>
  <c r="AP11" i="1"/>
  <c r="AN17" i="1"/>
  <c r="AP15" i="1"/>
  <c r="AQ19" i="1"/>
  <c r="AN11" i="1"/>
  <c r="AN12" i="1"/>
  <c r="AQ4" i="1"/>
  <c r="AP4" i="1"/>
  <c r="AQ22" i="1"/>
  <c r="AQ12" i="1"/>
  <c r="AO21" i="1"/>
  <c r="AN4" i="1"/>
  <c r="AO17" i="1"/>
  <c r="AQ5" i="1"/>
  <c r="AO13" i="1"/>
  <c r="AO12" i="1"/>
  <c r="AQ16" i="1"/>
  <c r="AP10" i="1"/>
  <c r="AO9" i="1"/>
  <c r="AP6" i="1"/>
  <c r="AP18" i="1"/>
  <c r="AO18" i="1"/>
  <c r="AN6" i="1"/>
  <c r="AQ7" i="1"/>
  <c r="AO10" i="1"/>
  <c r="AQ14" i="1"/>
  <c r="AN16" i="1"/>
  <c r="AQ8" i="1"/>
  <c r="AO4" i="1"/>
  <c r="AN13" i="1"/>
  <c r="AN8" i="1"/>
  <c r="AN14" i="1"/>
  <c r="AQ6" i="1"/>
  <c r="AP17" i="1"/>
  <c r="AO20" i="1"/>
  <c r="AN7" i="1"/>
  <c r="AQ21" i="1"/>
  <c r="AO22" i="1"/>
  <c r="AO14" i="1"/>
  <c r="AQ10" i="1"/>
  <c r="AP19" i="1"/>
  <c r="AQ18" i="1"/>
  <c r="AO15" i="1"/>
  <c r="AQ11" i="1"/>
  <c r="AP16" i="1"/>
  <c r="AQ13" i="1"/>
  <c r="AO8" i="1"/>
  <c r="AN28" i="1" l="1"/>
  <c r="AO30" i="1"/>
  <c r="AQ26" i="1"/>
  <c r="AQ28" i="1"/>
  <c r="AN30" i="1"/>
  <c r="AO27" i="1"/>
  <c r="AP25" i="1"/>
  <c r="AN35" i="1"/>
  <c r="AQ23" i="1"/>
  <c r="AP32" i="1"/>
  <c r="AP34" i="1"/>
  <c r="AN26" i="1"/>
  <c r="AO24" i="1"/>
  <c r="AP23" i="1"/>
  <c r="AO34" i="1"/>
  <c r="AO33" i="1"/>
  <c r="AM31" i="1"/>
  <c r="AN29" i="1"/>
  <c r="AN32" i="1"/>
  <c r="AO28" i="1"/>
  <c r="AP31" i="1"/>
  <c r="AO26" i="1"/>
  <c r="AP24" i="1"/>
  <c r="AQ30" i="1"/>
  <c r="AQ29" i="1"/>
  <c r="AQ27" i="1"/>
  <c r="AP29" i="1"/>
  <c r="AN33" i="1"/>
  <c r="AN31" i="1"/>
  <c r="AQ25" i="1"/>
  <c r="AM32" i="1"/>
  <c r="AP33" i="1"/>
  <c r="AQ24" i="1"/>
  <c r="AN24" i="1"/>
  <c r="AM35" i="1"/>
  <c r="AN25" i="1"/>
  <c r="AM34" i="1"/>
  <c r="AP30" i="1"/>
  <c r="AO29" i="1"/>
  <c r="AP26" i="1"/>
  <c r="AQ33" i="1"/>
  <c r="AP27" i="1"/>
  <c r="AQ31" i="1"/>
  <c r="AN34" i="1"/>
  <c r="AM33" i="1"/>
  <c r="AO25" i="1"/>
  <c r="AP28" i="1"/>
  <c r="AQ32" i="1"/>
  <c r="AO23" i="1"/>
  <c r="AO31" i="1"/>
  <c r="AN23" i="1"/>
  <c r="AO32" i="1"/>
  <c r="AN27" i="1"/>
  <c r="AM38" i="1" l="1"/>
  <c r="AM49" i="1"/>
  <c r="AQ40" i="1"/>
  <c r="AM48" i="1"/>
  <c r="AQ39" i="1"/>
  <c r="AP39" i="1"/>
  <c r="AM43" i="1"/>
  <c r="AN47" i="1"/>
  <c r="AM46" i="1"/>
  <c r="AQ45" i="1"/>
  <c r="AP46" i="1"/>
  <c r="AN46" i="1"/>
  <c r="AN40" i="1"/>
  <c r="AO46" i="1"/>
  <c r="AN45" i="1"/>
  <c r="AM42" i="1"/>
  <c r="AO36" i="1"/>
  <c r="AM40" i="1"/>
  <c r="AM37" i="1"/>
  <c r="AN48" i="1"/>
  <c r="AO44" i="1"/>
  <c r="AQ38" i="1"/>
  <c r="AP44" i="1"/>
  <c r="AP41" i="1"/>
  <c r="AQ37" i="1"/>
  <c r="AN37" i="1"/>
  <c r="AO40" i="1"/>
  <c r="AO38" i="1"/>
  <c r="AM47" i="1"/>
  <c r="AQ35" i="1"/>
  <c r="AP40" i="1"/>
  <c r="AO43" i="1"/>
  <c r="AN43" i="1"/>
  <c r="AO41" i="1"/>
  <c r="AO35" i="1"/>
  <c r="AO39" i="1"/>
  <c r="AO42" i="1"/>
  <c r="AP37" i="1"/>
  <c r="AQ46" i="1"/>
  <c r="AP45" i="1"/>
  <c r="AN36" i="1"/>
  <c r="AM39" i="1"/>
  <c r="AO45" i="1"/>
  <c r="AO48" i="1"/>
  <c r="AM36" i="1"/>
  <c r="AO47" i="1"/>
  <c r="AP35" i="1"/>
  <c r="AM45" i="1"/>
  <c r="AP38" i="1"/>
  <c r="AN39" i="1"/>
  <c r="AN38" i="1"/>
  <c r="AQ36" i="1"/>
  <c r="AN41" i="1"/>
  <c r="AN44" i="1"/>
  <c r="AQ34" i="1"/>
  <c r="AQ47" i="1"/>
  <c r="AM44" i="1"/>
  <c r="AQ42" i="1"/>
  <c r="AO37" i="1"/>
  <c r="AP36" i="1"/>
  <c r="AM41" i="1"/>
  <c r="AP43" i="1"/>
  <c r="AQ44" i="1"/>
  <c r="AP42" i="1"/>
  <c r="AQ43" i="1"/>
  <c r="AN42" i="1"/>
  <c r="AQ41" i="1"/>
  <c r="AP47" i="1"/>
  <c r="AN49" i="1" l="1"/>
  <c r="AN51" i="1"/>
  <c r="AO51" i="1"/>
  <c r="AN54" i="1"/>
  <c r="AP51" i="1"/>
  <c r="AP49" i="1"/>
  <c r="AP50" i="1"/>
  <c r="AO52" i="1"/>
  <c r="AQ51" i="1"/>
  <c r="AQ53" i="1"/>
  <c r="AQ50" i="1"/>
  <c r="AO53" i="1"/>
  <c r="AO49" i="1"/>
  <c r="AQ49" i="1"/>
  <c r="AM51" i="1"/>
  <c r="AO54" i="1"/>
  <c r="AM55" i="1"/>
  <c r="AP54" i="1"/>
  <c r="AP53" i="1"/>
  <c r="AQ54" i="1"/>
  <c r="AN50" i="1"/>
  <c r="AM53" i="1"/>
  <c r="AQ48" i="1"/>
  <c r="AN53" i="1"/>
  <c r="AM50" i="1"/>
  <c r="AN55" i="1"/>
  <c r="AN52" i="1"/>
  <c r="AP52" i="1"/>
  <c r="AO50" i="1"/>
  <c r="AM56" i="1"/>
  <c r="AM54" i="1"/>
  <c r="AO55" i="1"/>
  <c r="AM52" i="1"/>
  <c r="AP48" i="1"/>
  <c r="AQ52" i="1"/>
  <c r="AM57" i="1" l="1"/>
  <c r="AO56" i="1"/>
  <c r="AP58" i="1"/>
  <c r="AP55" i="1"/>
  <c r="AQ56" i="1"/>
  <c r="AQ58" i="1"/>
  <c r="AN59" i="1"/>
  <c r="AM60" i="1"/>
  <c r="AP57" i="1"/>
  <c r="AP59" i="1"/>
  <c r="AN60" i="1"/>
  <c r="AQ59" i="1"/>
  <c r="AO58" i="1"/>
  <c r="AQ55" i="1"/>
  <c r="AO59" i="1"/>
  <c r="AN56" i="1"/>
  <c r="AM61" i="1"/>
  <c r="AO60" i="1"/>
  <c r="AO57" i="1"/>
  <c r="AN57" i="1"/>
  <c r="AP56" i="1"/>
  <c r="AM58" i="1"/>
  <c r="AM59" i="1"/>
  <c r="AQ57" i="1"/>
  <c r="AP60" i="1"/>
  <c r="AN61" i="1"/>
  <c r="AN58" i="1"/>
  <c r="AN66" i="1" l="1"/>
  <c r="AM68" i="1"/>
  <c r="AP67" i="1"/>
  <c r="AO62" i="1"/>
  <c r="AN70" i="1"/>
  <c r="AQ66" i="1"/>
  <c r="AP65" i="1"/>
  <c r="AO61" i="1"/>
  <c r="AP66" i="1"/>
  <c r="AO66" i="1"/>
  <c r="AO68" i="1"/>
  <c r="AN65" i="1"/>
  <c r="AM67" i="1"/>
  <c r="AQ62" i="1"/>
  <c r="AN62" i="1"/>
  <c r="AQ64" i="1"/>
  <c r="AN68" i="1"/>
  <c r="AM64" i="1"/>
  <c r="AP64" i="1"/>
  <c r="AM66" i="1"/>
  <c r="AO64" i="1"/>
  <c r="AQ60" i="1"/>
  <c r="AN67" i="1"/>
  <c r="AM63" i="1"/>
  <c r="AP68" i="1"/>
  <c r="AP63" i="1"/>
  <c r="AO69" i="1"/>
  <c r="AN63" i="1"/>
  <c r="AN64" i="1"/>
  <c r="AQ63" i="1"/>
  <c r="AM62" i="1"/>
  <c r="AQ65" i="1"/>
  <c r="AQ61" i="1"/>
  <c r="AM69" i="1"/>
  <c r="AP62" i="1"/>
  <c r="AM70" i="1"/>
  <c r="AQ67" i="1"/>
  <c r="AP61" i="1"/>
  <c r="AO67" i="1"/>
  <c r="AO65" i="1"/>
  <c r="AO63" i="1"/>
  <c r="AN69" i="1"/>
  <c r="AQ68" i="1"/>
  <c r="AM65" i="1"/>
  <c r="AP73" i="1" l="1"/>
  <c r="AQ70" i="1"/>
  <c r="AM73" i="1"/>
  <c r="AO72" i="1"/>
  <c r="AO71" i="1"/>
  <c r="AP71" i="1"/>
  <c r="AN74" i="1"/>
  <c r="AM74" i="1"/>
  <c r="AP70" i="1"/>
  <c r="AN72" i="1"/>
  <c r="AM72" i="1"/>
  <c r="AM71" i="1"/>
  <c r="AN71" i="1"/>
  <c r="AN73" i="1"/>
  <c r="AQ72" i="1"/>
  <c r="AO70" i="1"/>
  <c r="AQ69" i="1"/>
  <c r="AO73" i="1"/>
  <c r="AP69" i="1"/>
  <c r="AQ71" i="1"/>
  <c r="AP72" i="1"/>
  <c r="AO77" i="1" l="1"/>
  <c r="AQ76" i="1"/>
  <c r="AO76" i="1"/>
  <c r="AM79" i="1"/>
  <c r="AQ75" i="1"/>
  <c r="AM78" i="1"/>
  <c r="AN76" i="1"/>
  <c r="AP74" i="1"/>
  <c r="AM77" i="1"/>
  <c r="AO74" i="1"/>
  <c r="AO75" i="1"/>
  <c r="AP77" i="1"/>
  <c r="AP76" i="1"/>
  <c r="AM76" i="1"/>
  <c r="AN78" i="1"/>
  <c r="AN75" i="1"/>
  <c r="AM75" i="1"/>
  <c r="AQ77" i="1"/>
  <c r="AN77" i="1"/>
  <c r="AQ74" i="1"/>
  <c r="AO78" i="1"/>
  <c r="AQ73" i="1"/>
  <c r="AP75" i="1"/>
  <c r="AO81" i="1" l="1"/>
  <c r="AM81" i="1"/>
  <c r="AM83" i="1"/>
  <c r="AN81" i="1"/>
  <c r="AO80" i="1"/>
  <c r="AP80" i="1"/>
  <c r="AM80" i="1"/>
  <c r="AN80" i="1"/>
  <c r="AQ81" i="1"/>
  <c r="AP78" i="1"/>
  <c r="AP81" i="1"/>
  <c r="AN79" i="1"/>
  <c r="AO79" i="1"/>
  <c r="AQ80" i="1"/>
  <c r="AO82" i="1"/>
  <c r="AP79" i="1"/>
  <c r="AN82" i="1"/>
  <c r="AQ78" i="1"/>
  <c r="AM82" i="1"/>
  <c r="AQ79" i="1"/>
  <c r="AQ85" i="1" l="1"/>
  <c r="AP82" i="1"/>
  <c r="AN86" i="1"/>
  <c r="AO83" i="1"/>
  <c r="AP83" i="1"/>
  <c r="AP85" i="1"/>
  <c r="AP86" i="1"/>
  <c r="AM84" i="1"/>
  <c r="AP84" i="1"/>
  <c r="AQ84" i="1"/>
  <c r="AM87" i="1"/>
  <c r="AN87" i="1"/>
  <c r="AM85" i="1"/>
  <c r="AO86" i="1"/>
  <c r="AQ82" i="1"/>
  <c r="AN84" i="1"/>
  <c r="AQ83" i="1"/>
  <c r="AN83" i="1"/>
  <c r="AO84" i="1"/>
  <c r="AN85" i="1"/>
  <c r="AO85" i="1"/>
  <c r="AM86" i="1"/>
  <c r="AQ90" i="1" l="1"/>
  <c r="AM94" i="1"/>
  <c r="AQ88" i="1"/>
  <c r="AO88" i="1"/>
  <c r="AP97" i="1"/>
  <c r="AP94" i="1"/>
  <c r="AN101" i="1"/>
  <c r="AM99" i="1"/>
  <c r="AO102" i="1"/>
  <c r="AM103" i="1"/>
  <c r="AN91" i="1"/>
  <c r="AO96" i="1"/>
  <c r="AQ101" i="1"/>
  <c r="AO92" i="1"/>
  <c r="AM96" i="1"/>
  <c r="AP101" i="1"/>
  <c r="AP102" i="1"/>
  <c r="AP92" i="1"/>
  <c r="AM93" i="1"/>
  <c r="AQ87" i="1"/>
  <c r="AO91" i="1"/>
  <c r="AQ92" i="1"/>
  <c r="AM97" i="1"/>
  <c r="AN93" i="1"/>
  <c r="AO87" i="1"/>
  <c r="AN99" i="1"/>
  <c r="AO98" i="1"/>
  <c r="AN88" i="1"/>
  <c r="AQ89" i="1"/>
  <c r="AP98" i="1"/>
  <c r="AO103" i="1"/>
  <c r="AN97" i="1"/>
  <c r="AO95" i="1"/>
  <c r="AM91" i="1"/>
  <c r="AQ91" i="1"/>
  <c r="AN103" i="1"/>
  <c r="AM98" i="1"/>
  <c r="AN102" i="1"/>
  <c r="AP99" i="1"/>
  <c r="AM102" i="1"/>
  <c r="AQ86" i="1"/>
  <c r="AM100" i="1"/>
  <c r="AP90" i="1"/>
  <c r="AO101" i="1"/>
  <c r="AP89" i="1"/>
  <c r="AP93" i="1"/>
  <c r="AO93" i="1"/>
  <c r="AP96" i="1"/>
  <c r="AO90" i="1"/>
  <c r="AM88" i="1"/>
  <c r="AP88" i="1"/>
  <c r="AO100" i="1"/>
  <c r="AP87" i="1"/>
  <c r="AQ97" i="1"/>
  <c r="AN92" i="1"/>
  <c r="AO99" i="1"/>
  <c r="AP100" i="1"/>
  <c r="AM95" i="1"/>
  <c r="AP103" i="1"/>
  <c r="AN95" i="1"/>
  <c r="AQ94" i="1"/>
  <c r="AM92" i="1"/>
  <c r="AQ96" i="1"/>
  <c r="AQ99" i="1"/>
  <c r="AO97" i="1"/>
  <c r="AQ95" i="1"/>
  <c r="AN96" i="1"/>
  <c r="AP95" i="1"/>
  <c r="AQ102" i="1"/>
  <c r="AO94" i="1"/>
  <c r="AM89" i="1"/>
  <c r="AM101" i="1"/>
  <c r="AN89" i="1"/>
  <c r="AN100" i="1"/>
  <c r="AP91" i="1"/>
  <c r="AQ93" i="1"/>
  <c r="AM90" i="1"/>
  <c r="AN98" i="1"/>
  <c r="AQ103" i="1"/>
  <c r="AQ100" i="1"/>
  <c r="AO89" i="1"/>
  <c r="AN94" i="1"/>
  <c r="AN90" i="1"/>
  <c r="AQ98" i="1"/>
  <c r="AM30" i="1" l="1"/>
  <c r="AM23" i="1" l="1"/>
  <c r="AM15" i="1"/>
  <c r="AM20" i="1"/>
  <c r="AM4" i="1"/>
  <c r="AM17" i="1"/>
  <c r="AM6" i="1"/>
  <c r="AM24" i="1"/>
  <c r="AM21" i="1"/>
  <c r="AM29" i="1"/>
  <c r="AM27" i="1"/>
  <c r="AM25" i="1"/>
  <c r="AM7" i="1"/>
  <c r="AM14" i="1"/>
  <c r="AM19" i="1"/>
  <c r="AM10" i="1"/>
  <c r="AM11" i="1"/>
  <c r="AM13" i="1"/>
  <c r="AM16" i="1"/>
  <c r="AM28" i="1"/>
  <c r="AM8" i="1"/>
  <c r="AM22" i="1"/>
  <c r="AM18" i="1"/>
  <c r="AM5" i="1"/>
  <c r="AM9" i="1"/>
  <c r="AM26" i="1"/>
  <c r="AM12" i="1"/>
  <c r="D4" i="2" l="1"/>
  <c r="F4" i="2"/>
  <c r="C4" i="2"/>
  <c r="G4" i="2"/>
  <c r="E4" i="2"/>
  <c r="D5" i="2" l="1"/>
  <c r="G5" i="2"/>
  <c r="E5" i="2"/>
  <c r="C5" i="2"/>
  <c r="F5" i="2"/>
  <c r="E6" i="2" l="1"/>
  <c r="F6" i="2"/>
  <c r="C6" i="2"/>
  <c r="D6" i="2"/>
  <c r="G6" i="2"/>
  <c r="F7" i="2" l="1"/>
  <c r="E7" i="2"/>
  <c r="D7" i="2"/>
  <c r="G7" i="2"/>
  <c r="AD4" i="1" l="1"/>
  <c r="AC4" i="1"/>
  <c r="AE4" i="1"/>
  <c r="G8" i="2"/>
  <c r="F8" i="2"/>
  <c r="D8" i="2"/>
  <c r="E8" i="2"/>
  <c r="C8" i="2"/>
  <c r="C7" i="2" l="1"/>
  <c r="AE4" i="2"/>
  <c r="AB4" i="1"/>
  <c r="AD5" i="1"/>
  <c r="AE5" i="1"/>
  <c r="AE6" i="1"/>
  <c r="AB7" i="1"/>
  <c r="AB11" i="1"/>
  <c r="AC5" i="1"/>
  <c r="AA4" i="1"/>
  <c r="AB17" i="1"/>
  <c r="AB14" i="1"/>
  <c r="C9" i="2"/>
  <c r="E9" i="2"/>
  <c r="F9" i="2"/>
  <c r="D9" i="2"/>
  <c r="G9" i="2"/>
  <c r="AC11" i="1" l="1"/>
  <c r="AC8" i="1"/>
  <c r="AB10" i="1"/>
  <c r="AB8" i="1"/>
  <c r="AB13" i="1"/>
  <c r="AB20" i="1"/>
  <c r="AB12" i="1"/>
  <c r="AC10" i="1"/>
  <c r="AB16" i="1"/>
  <c r="AB19" i="1"/>
  <c r="AB9" i="1"/>
  <c r="AC9" i="1"/>
  <c r="AB15" i="1"/>
  <c r="AB18" i="1"/>
  <c r="AC14" i="1"/>
  <c r="AC23" i="1"/>
  <c r="AB4" i="2"/>
  <c r="AD4" i="2"/>
  <c r="AC4" i="2"/>
  <c r="AC12" i="1"/>
  <c r="AC6" i="1"/>
  <c r="AB5" i="1"/>
  <c r="AD6" i="1"/>
  <c r="AE15" i="1"/>
  <c r="AE16" i="1"/>
  <c r="AE7" i="1"/>
  <c r="AD7" i="1"/>
  <c r="AE11" i="1"/>
  <c r="AD16" i="1"/>
  <c r="AE19" i="1"/>
  <c r="AD18" i="1"/>
  <c r="AB21" i="1"/>
  <c r="AE17" i="1"/>
  <c r="AD33" i="1"/>
  <c r="AC15" i="1"/>
  <c r="AC21" i="1"/>
  <c r="AB40" i="1"/>
  <c r="AB47" i="1"/>
  <c r="AE29" i="1"/>
  <c r="AA10" i="1"/>
  <c r="AA5" i="1"/>
  <c r="AA44" i="1"/>
  <c r="C10" i="2"/>
  <c r="F10" i="2"/>
  <c r="D10" i="2"/>
  <c r="G10" i="2"/>
  <c r="E10" i="2"/>
  <c r="AB30" i="1" l="1"/>
  <c r="AA7" i="1"/>
  <c r="AE26" i="1"/>
  <c r="AA15" i="1"/>
  <c r="AB36" i="1"/>
  <c r="AC26" i="1"/>
  <c r="AA28" i="1"/>
  <c r="AA37" i="1"/>
  <c r="AD47" i="1"/>
  <c r="AB45" i="1"/>
  <c r="AA42" i="1"/>
  <c r="AE23" i="1"/>
  <c r="AD27" i="1"/>
  <c r="AE22" i="1"/>
  <c r="AA8" i="1"/>
  <c r="AA39" i="1"/>
  <c r="AE24" i="1"/>
  <c r="AE32" i="1"/>
  <c r="AB42" i="1"/>
  <c r="AD46" i="1"/>
  <c r="AA13" i="1"/>
  <c r="AA47" i="1"/>
  <c r="AA35" i="1"/>
  <c r="AE27" i="1"/>
  <c r="AB23" i="1"/>
  <c r="AD44" i="1"/>
  <c r="AD34" i="1"/>
  <c r="AE36" i="1"/>
  <c r="AC24" i="1"/>
  <c r="AD31" i="1"/>
  <c r="AA25" i="1"/>
  <c r="AE41" i="1"/>
  <c r="AC43" i="1"/>
  <c r="AC19" i="1"/>
  <c r="AE47" i="1"/>
  <c r="AC46" i="1"/>
  <c r="AD41" i="1"/>
  <c r="AD43" i="1"/>
  <c r="AE10" i="1"/>
  <c r="AC38" i="1"/>
  <c r="AD39" i="1"/>
  <c r="AB33" i="1"/>
  <c r="AC7" i="1"/>
  <c r="AB27" i="1"/>
  <c r="AE43" i="1"/>
  <c r="AD22" i="1"/>
  <c r="AA20" i="1"/>
  <c r="AA9" i="1"/>
  <c r="AC27" i="1"/>
  <c r="AC36" i="1"/>
  <c r="AE8" i="1"/>
  <c r="AD17" i="1"/>
  <c r="AD36" i="1"/>
  <c r="AB34" i="1"/>
  <c r="AA29" i="1"/>
  <c r="AA22" i="1"/>
  <c r="AA31" i="1"/>
  <c r="AE44" i="1"/>
  <c r="AC40" i="1"/>
  <c r="AC34" i="1"/>
  <c r="AE13" i="1"/>
  <c r="AA40" i="1"/>
  <c r="AC18" i="1"/>
  <c r="AD38" i="1"/>
  <c r="AD10" i="1"/>
  <c r="AD30" i="1"/>
  <c r="AA43" i="1"/>
  <c r="AA34" i="1"/>
  <c r="AB25" i="1"/>
  <c r="AB43" i="1"/>
  <c r="AE37" i="1"/>
  <c r="AB39" i="1"/>
  <c r="AC30" i="1"/>
  <c r="AD28" i="1"/>
  <c r="AE18" i="1"/>
  <c r="AB22" i="1"/>
  <c r="AD11" i="1"/>
  <c r="AD23" i="1"/>
  <c r="AC41" i="1"/>
  <c r="AE33" i="1"/>
  <c r="AD12" i="1"/>
  <c r="AA32" i="1"/>
  <c r="AA24" i="1"/>
  <c r="AB31" i="1"/>
  <c r="AE39" i="1"/>
  <c r="AE46" i="1"/>
  <c r="AC42" i="1"/>
  <c r="AC44" i="1"/>
  <c r="AC45" i="1"/>
  <c r="AD40" i="1"/>
  <c r="AC29" i="1"/>
  <c r="AD20" i="1"/>
  <c r="AD42" i="1"/>
  <c r="AE9" i="1"/>
  <c r="AC13" i="1"/>
  <c r="AA16" i="1"/>
  <c r="AA26" i="1"/>
  <c r="AA23" i="1"/>
  <c r="AA19" i="1"/>
  <c r="AA14" i="1"/>
  <c r="AA6" i="1"/>
  <c r="AE40" i="1"/>
  <c r="AE42" i="1"/>
  <c r="AE25" i="1"/>
  <c r="AB35" i="1"/>
  <c r="AB29" i="1"/>
  <c r="AD45" i="1"/>
  <c r="AD21" i="1"/>
  <c r="AE12" i="1"/>
  <c r="AD14" i="1"/>
  <c r="AE30" i="1"/>
  <c r="AD32" i="1"/>
  <c r="AD19" i="1"/>
  <c r="AA11" i="1"/>
  <c r="AA21" i="1"/>
  <c r="AA17" i="1"/>
  <c r="AA18" i="1"/>
  <c r="AE28" i="1"/>
  <c r="AB24" i="1"/>
  <c r="AB37" i="1"/>
  <c r="AC31" i="1"/>
  <c r="AC28" i="1"/>
  <c r="AC39" i="1"/>
  <c r="AD13" i="1"/>
  <c r="AD8" i="1"/>
  <c r="AD37" i="1"/>
  <c r="AC33" i="1"/>
  <c r="AD25" i="1"/>
  <c r="AD29" i="1"/>
  <c r="AB6" i="1"/>
  <c r="AE38" i="1"/>
  <c r="AC20" i="1"/>
  <c r="AA30" i="1"/>
  <c r="AA46" i="1"/>
  <c r="AA38" i="1"/>
  <c r="AE45" i="1"/>
  <c r="AB26" i="1"/>
  <c r="AB38" i="1"/>
  <c r="AB41" i="1"/>
  <c r="AB32" i="1"/>
  <c r="AB28" i="1"/>
  <c r="AB46" i="1"/>
  <c r="AC37" i="1"/>
  <c r="AC16" i="1"/>
  <c r="AE31" i="1"/>
  <c r="AE21" i="1"/>
  <c r="AD15" i="1"/>
  <c r="AC22" i="1"/>
  <c r="AA12" i="1"/>
  <c r="AA45" i="1"/>
  <c r="AA41" i="1"/>
  <c r="AA33" i="1"/>
  <c r="AA27" i="1"/>
  <c r="AA36" i="1"/>
  <c r="AE20" i="1"/>
  <c r="AE34" i="1"/>
  <c r="AE35" i="1"/>
  <c r="AC47" i="1"/>
  <c r="AB44" i="1"/>
  <c r="AC32" i="1"/>
  <c r="AC35" i="1"/>
  <c r="AC17" i="1"/>
  <c r="AC25" i="1"/>
  <c r="AD35" i="1"/>
  <c r="AD24" i="1"/>
  <c r="AD9" i="1"/>
  <c r="AE14" i="1"/>
  <c r="AD26" i="1"/>
  <c r="AA4" i="2"/>
  <c r="AC5" i="2"/>
  <c r="AD5" i="2"/>
  <c r="AE5" i="2"/>
  <c r="AB5" i="2"/>
  <c r="F11" i="2"/>
  <c r="G11" i="2"/>
  <c r="C11" i="2"/>
  <c r="E11" i="2"/>
  <c r="D11" i="2"/>
  <c r="AA5" i="2" l="1"/>
  <c r="AB6" i="2"/>
  <c r="AD6" i="2"/>
  <c r="AE6" i="2"/>
  <c r="AC6" i="2"/>
  <c r="C12" i="2"/>
  <c r="E12" i="2"/>
  <c r="G12" i="2"/>
  <c r="D12" i="2"/>
  <c r="F12" i="2"/>
  <c r="AA6" i="2" l="1"/>
  <c r="AC7" i="2"/>
  <c r="AD7" i="2"/>
  <c r="AE7" i="2"/>
  <c r="AB7" i="2"/>
  <c r="G13" i="2"/>
  <c r="E13" i="2"/>
  <c r="D13" i="2"/>
  <c r="C13" i="2"/>
  <c r="F13" i="2"/>
  <c r="AA7" i="2" l="1"/>
  <c r="AD8" i="2"/>
  <c r="AB8" i="2"/>
  <c r="AE8" i="2"/>
  <c r="AC8" i="2"/>
  <c r="E14" i="2"/>
  <c r="D14" i="2"/>
  <c r="F14" i="2"/>
  <c r="C14" i="2"/>
  <c r="G14" i="2"/>
  <c r="AA8" i="2" l="1"/>
  <c r="AD9" i="2"/>
  <c r="AB9" i="2"/>
  <c r="AC9" i="2"/>
  <c r="AE9" i="2"/>
  <c r="F15" i="2"/>
  <c r="G15" i="2"/>
  <c r="D15" i="2"/>
  <c r="E15" i="2"/>
  <c r="C15" i="2"/>
  <c r="AA9" i="2" l="1"/>
  <c r="AB10" i="2"/>
  <c r="AC10" i="2"/>
  <c r="AE10" i="2"/>
  <c r="AD10" i="2"/>
  <c r="G16" i="2"/>
  <c r="D16" i="2"/>
  <c r="F16" i="2"/>
  <c r="C16" i="2"/>
  <c r="E16" i="2"/>
  <c r="AA10" i="2" l="1"/>
  <c r="AC11" i="2"/>
  <c r="AB11" i="2"/>
  <c r="AD11" i="2"/>
  <c r="AE11" i="2"/>
  <c r="C17" i="2"/>
  <c r="F17" i="2"/>
  <c r="D17" i="2"/>
  <c r="E17" i="2"/>
  <c r="G17" i="2"/>
  <c r="AA11" i="2" l="1"/>
  <c r="AD12" i="2"/>
  <c r="AB12" i="2"/>
  <c r="AE12" i="2"/>
  <c r="AC12" i="2"/>
  <c r="E18" i="2"/>
  <c r="D18" i="2"/>
  <c r="G18" i="2"/>
  <c r="F18" i="2"/>
  <c r="C18" i="2"/>
  <c r="AA12" i="2" l="1"/>
  <c r="AB13" i="2"/>
  <c r="AC13" i="2"/>
  <c r="AD13" i="2"/>
  <c r="AE13" i="2"/>
  <c r="D19" i="2"/>
  <c r="F19" i="2"/>
  <c r="C19" i="2"/>
  <c r="G19" i="2"/>
  <c r="E19" i="2"/>
  <c r="AA13" i="2" l="1"/>
  <c r="AD14" i="2"/>
  <c r="AC14" i="2"/>
  <c r="AE14" i="2"/>
  <c r="AB14" i="2"/>
  <c r="G20" i="2"/>
  <c r="E20" i="2"/>
  <c r="F20" i="2"/>
  <c r="D20" i="2"/>
  <c r="C20" i="2"/>
  <c r="AA14" i="2" l="1"/>
  <c r="AB15" i="2"/>
  <c r="AC15" i="2"/>
  <c r="AE15" i="2"/>
  <c r="AD15" i="2"/>
  <c r="F21" i="2"/>
  <c r="G21" i="2"/>
  <c r="E21" i="2"/>
  <c r="D21" i="2"/>
  <c r="C21" i="2"/>
  <c r="AA15" i="2" l="1"/>
  <c r="AC16" i="2"/>
  <c r="AB16" i="2"/>
  <c r="AD16" i="2"/>
  <c r="AE16" i="2"/>
  <c r="C22" i="2"/>
  <c r="D22" i="2"/>
  <c r="F22" i="2"/>
  <c r="E22" i="2"/>
  <c r="G22" i="2"/>
  <c r="AA16" i="2" l="1"/>
  <c r="AD17" i="2"/>
  <c r="AB17" i="2"/>
  <c r="AE17" i="2"/>
  <c r="AC17" i="2"/>
  <c r="D23" i="2"/>
  <c r="E23" i="2"/>
  <c r="C23" i="2"/>
  <c r="G23" i="2"/>
  <c r="F23" i="2"/>
  <c r="AA17" i="2" l="1"/>
  <c r="AB18" i="2"/>
  <c r="AC18" i="2"/>
  <c r="AD18" i="2"/>
  <c r="AE18" i="2"/>
  <c r="E24" i="2"/>
  <c r="C24" i="2"/>
  <c r="F24" i="2"/>
  <c r="D24" i="2"/>
  <c r="G24" i="2"/>
  <c r="AA18" i="2" l="1"/>
  <c r="AD19" i="2"/>
  <c r="AC19" i="2"/>
  <c r="AE19" i="2"/>
  <c r="AB19" i="2"/>
  <c r="D25" i="2"/>
  <c r="F25" i="2"/>
  <c r="E25" i="2"/>
  <c r="G25" i="2"/>
  <c r="C25" i="2"/>
  <c r="AA19" i="2" l="1"/>
  <c r="AB20" i="2"/>
  <c r="AC20" i="2"/>
  <c r="AE20" i="2"/>
  <c r="AD20" i="2"/>
  <c r="C26" i="2"/>
  <c r="D26" i="2"/>
  <c r="E26" i="2"/>
  <c r="G26" i="2"/>
  <c r="F26" i="2"/>
  <c r="AA20" i="2" l="1"/>
  <c r="AC21" i="2"/>
  <c r="AB21" i="2"/>
  <c r="AD21" i="2"/>
  <c r="AE21" i="2"/>
  <c r="F27" i="2"/>
  <c r="C27" i="2"/>
  <c r="E27" i="2"/>
  <c r="D27" i="2"/>
  <c r="G27" i="2"/>
  <c r="AA21" i="2" l="1"/>
  <c r="AD22" i="2"/>
  <c r="AB22" i="2"/>
  <c r="AE22" i="2"/>
  <c r="AC22" i="2"/>
  <c r="C28" i="2"/>
  <c r="E28" i="2"/>
  <c r="D28" i="2"/>
  <c r="F28" i="2"/>
  <c r="G28" i="2"/>
  <c r="AA22" i="2" l="1"/>
  <c r="AB23" i="2"/>
  <c r="AC23" i="2"/>
  <c r="AD23" i="2"/>
  <c r="AE23" i="2"/>
  <c r="G29" i="2"/>
  <c r="C29" i="2"/>
  <c r="E29" i="2"/>
  <c r="F29" i="2"/>
  <c r="D29" i="2"/>
  <c r="AA23" i="2" l="1"/>
  <c r="AD24" i="2"/>
  <c r="AC24" i="2"/>
  <c r="AE24" i="2"/>
  <c r="AB24" i="2"/>
  <c r="D30" i="2"/>
  <c r="G30" i="2"/>
  <c r="E30" i="2"/>
  <c r="F30" i="2"/>
  <c r="C30" i="2"/>
  <c r="AA24" i="2" l="1"/>
  <c r="AB25" i="2"/>
  <c r="AC25" i="2"/>
  <c r="AE25" i="2"/>
  <c r="AD25" i="2"/>
  <c r="F31" i="2"/>
  <c r="G31" i="2"/>
  <c r="E31" i="2"/>
  <c r="C31" i="2"/>
  <c r="D31" i="2"/>
  <c r="AA25" i="2" l="1"/>
  <c r="AC26" i="2"/>
  <c r="AB26" i="2"/>
  <c r="AD26" i="2"/>
  <c r="AE26" i="2"/>
  <c r="D32" i="2"/>
  <c r="E32" i="2"/>
  <c r="C32" i="2"/>
  <c r="F32" i="2"/>
  <c r="G32" i="2"/>
  <c r="AA26" i="2" l="1"/>
  <c r="AD27" i="2"/>
  <c r="AB27" i="2"/>
  <c r="AE27" i="2"/>
  <c r="AC27" i="2"/>
  <c r="F33" i="2"/>
  <c r="E33" i="2"/>
  <c r="D33" i="2"/>
  <c r="G33" i="2"/>
  <c r="C33" i="2"/>
  <c r="AA27" i="2" l="1"/>
  <c r="AB28" i="2"/>
  <c r="AC28" i="2"/>
  <c r="AD28" i="2"/>
  <c r="AE28" i="2"/>
  <c r="C34" i="2"/>
  <c r="F34" i="2"/>
  <c r="G34" i="2"/>
  <c r="D34" i="2"/>
  <c r="E34" i="2"/>
  <c r="AA28" i="2" l="1"/>
  <c r="AD29" i="2"/>
  <c r="AC29" i="2"/>
  <c r="AE29" i="2"/>
  <c r="AB29" i="2"/>
  <c r="E35" i="2"/>
  <c r="D35" i="2"/>
  <c r="G35" i="2"/>
  <c r="F35" i="2"/>
  <c r="C35" i="2"/>
  <c r="AA29" i="2" l="1"/>
  <c r="AB30" i="2"/>
  <c r="AC30" i="2"/>
  <c r="AE30" i="2"/>
  <c r="AD30" i="2"/>
  <c r="G36" i="2"/>
  <c r="F36" i="2"/>
  <c r="C36" i="2"/>
  <c r="D36" i="2"/>
  <c r="E36" i="2"/>
  <c r="AA30" i="2" l="1"/>
  <c r="AC31" i="2"/>
  <c r="AB31" i="2"/>
  <c r="AD31" i="2"/>
  <c r="AE31" i="2"/>
  <c r="F37" i="2"/>
  <c r="C37" i="2"/>
  <c r="E37" i="2"/>
  <c r="G37" i="2"/>
  <c r="D37" i="2"/>
  <c r="AA31" i="2" l="1"/>
  <c r="AD32" i="2"/>
  <c r="AB32" i="2"/>
  <c r="AE32" i="2"/>
  <c r="AC32" i="2"/>
  <c r="D38" i="2"/>
  <c r="C38" i="2"/>
  <c r="E38" i="2"/>
  <c r="G38" i="2"/>
  <c r="F38" i="2"/>
  <c r="AA32" i="2" l="1"/>
  <c r="AB33" i="2"/>
  <c r="AC33" i="2"/>
  <c r="AD33" i="2"/>
  <c r="AE33" i="2"/>
  <c r="C39" i="2"/>
  <c r="G39" i="2"/>
  <c r="E39" i="2"/>
  <c r="F39" i="2"/>
  <c r="D39" i="2"/>
  <c r="AA33" i="2" l="1"/>
  <c r="AD34" i="2"/>
  <c r="AC34" i="2"/>
  <c r="AE34" i="2"/>
  <c r="AB34" i="2"/>
  <c r="C40" i="2"/>
  <c r="D40" i="2"/>
  <c r="G40" i="2"/>
  <c r="E40" i="2"/>
  <c r="F40" i="2"/>
  <c r="AA34" i="2" l="1"/>
  <c r="AB35" i="2"/>
  <c r="AC35" i="2"/>
  <c r="AE35" i="2"/>
  <c r="AD35" i="2"/>
  <c r="G41" i="2"/>
  <c r="E41" i="2"/>
  <c r="F41" i="2"/>
  <c r="D41" i="2"/>
  <c r="C41" i="2"/>
  <c r="AA35" i="2" l="1"/>
  <c r="AC36" i="2"/>
  <c r="AB36" i="2"/>
  <c r="AD36" i="2"/>
  <c r="AE36" i="2"/>
  <c r="C42" i="2"/>
  <c r="D42" i="2"/>
  <c r="F42" i="2"/>
  <c r="G42" i="2"/>
  <c r="E42" i="2"/>
  <c r="AA36" i="2" l="1"/>
  <c r="AD37" i="2"/>
  <c r="AB37" i="2"/>
  <c r="AE37" i="2"/>
  <c r="AC37" i="2"/>
  <c r="E43" i="2"/>
  <c r="F43" i="2"/>
  <c r="G43" i="2"/>
  <c r="D43" i="2"/>
  <c r="C43" i="2"/>
  <c r="AA37" i="2" l="1"/>
  <c r="AB38" i="2"/>
  <c r="AC38" i="2"/>
  <c r="AD38" i="2"/>
  <c r="AE38" i="2"/>
  <c r="G44" i="2"/>
  <c r="F44" i="2"/>
  <c r="D44" i="2"/>
  <c r="E44" i="2"/>
  <c r="C44" i="2"/>
  <c r="AA38" i="2" l="1"/>
  <c r="AD39" i="2"/>
  <c r="AC39" i="2"/>
  <c r="AE39" i="2"/>
  <c r="AB39" i="2"/>
  <c r="E45" i="2"/>
  <c r="D45" i="2"/>
  <c r="F45" i="2"/>
  <c r="G45" i="2"/>
  <c r="C45" i="2"/>
  <c r="AA39" i="2" l="1"/>
  <c r="AB40" i="2"/>
  <c r="AC40" i="2"/>
  <c r="AE40" i="2"/>
  <c r="AD40" i="2"/>
  <c r="D46" i="2"/>
  <c r="G46" i="2"/>
  <c r="C46" i="2"/>
  <c r="E46" i="2"/>
  <c r="F46" i="2"/>
  <c r="AA40" i="2" l="1"/>
  <c r="AC41" i="2"/>
  <c r="AB41" i="2"/>
  <c r="AD41" i="2"/>
  <c r="AE41" i="2"/>
  <c r="F47" i="2"/>
  <c r="D47" i="2"/>
  <c r="E47" i="2"/>
  <c r="C47" i="2"/>
  <c r="G47" i="2"/>
  <c r="AA41" i="2" l="1"/>
  <c r="AD42" i="2"/>
  <c r="AB42" i="2"/>
  <c r="AE42" i="2"/>
  <c r="AC42" i="2"/>
  <c r="F48" i="2"/>
  <c r="G48" i="2"/>
  <c r="D48" i="2"/>
  <c r="C48" i="2"/>
  <c r="E48" i="2"/>
  <c r="AA42" i="2" l="1"/>
  <c r="AB43" i="2"/>
  <c r="AC43" i="2"/>
  <c r="AD43" i="2"/>
  <c r="AE43" i="2"/>
  <c r="F49" i="2"/>
  <c r="C49" i="2"/>
  <c r="E49" i="2"/>
  <c r="G49" i="2"/>
  <c r="D49" i="2"/>
  <c r="AA43" i="2" l="1"/>
  <c r="AD44" i="2"/>
  <c r="AC44" i="2"/>
  <c r="AE44" i="2"/>
  <c r="AB44" i="2"/>
  <c r="F50" i="2"/>
  <c r="E50" i="2"/>
  <c r="D50" i="2"/>
  <c r="C50" i="2"/>
  <c r="G50" i="2"/>
  <c r="AA44" i="2" l="1"/>
  <c r="AB45" i="2"/>
  <c r="AC45" i="2"/>
  <c r="AE45" i="2"/>
  <c r="AD45" i="2"/>
  <c r="E51" i="2"/>
  <c r="C51" i="2"/>
  <c r="D51" i="2"/>
  <c r="F51" i="2"/>
  <c r="G51" i="2"/>
  <c r="AA45" i="2" l="1"/>
  <c r="AC46" i="2"/>
  <c r="AB46" i="2"/>
  <c r="AD46" i="2"/>
  <c r="AE46" i="2"/>
  <c r="E52" i="2"/>
  <c r="C52" i="2"/>
  <c r="F52" i="2"/>
  <c r="G52" i="2"/>
  <c r="D52" i="2"/>
  <c r="AA46" i="2" l="1"/>
  <c r="AD47" i="2"/>
  <c r="AB47" i="2"/>
  <c r="AE47" i="2"/>
  <c r="AC47" i="2"/>
  <c r="D53" i="2"/>
  <c r="C53" i="2"/>
  <c r="F53" i="2"/>
  <c r="E53" i="2"/>
  <c r="G53" i="2"/>
  <c r="AA47" i="2" l="1"/>
  <c r="AB48" i="2"/>
  <c r="AC48" i="2"/>
  <c r="AD48" i="2"/>
  <c r="AE48" i="2"/>
  <c r="C54" i="2"/>
  <c r="G54" i="2"/>
  <c r="E54" i="2"/>
  <c r="F54" i="2"/>
  <c r="D54" i="2"/>
  <c r="AA48" i="2" l="1"/>
  <c r="AD49" i="2"/>
  <c r="AC49" i="2"/>
  <c r="AE49" i="2"/>
  <c r="AB49" i="2"/>
  <c r="F55" i="2"/>
  <c r="E55" i="2"/>
  <c r="D55" i="2"/>
  <c r="G55" i="2"/>
  <c r="C55" i="2"/>
  <c r="AA49" i="2" l="1"/>
  <c r="AB50" i="2"/>
  <c r="AC50" i="2"/>
  <c r="AE50" i="2"/>
  <c r="AD50" i="2"/>
  <c r="C56" i="2"/>
  <c r="G56" i="2"/>
  <c r="D56" i="2"/>
  <c r="F56" i="2"/>
  <c r="E56" i="2"/>
  <c r="AA50" i="2" l="1"/>
  <c r="AC51" i="2"/>
  <c r="AB51" i="2"/>
  <c r="AD51" i="2"/>
  <c r="AE51" i="2"/>
  <c r="E57" i="2"/>
  <c r="G57" i="2"/>
  <c r="D57" i="2"/>
  <c r="C57" i="2"/>
  <c r="F57" i="2"/>
  <c r="AA51" i="2" l="1"/>
  <c r="AD52" i="2"/>
  <c r="AB52" i="2"/>
  <c r="AE52" i="2"/>
  <c r="AC52" i="2"/>
  <c r="G58" i="2"/>
  <c r="E58" i="2"/>
  <c r="D58" i="2"/>
  <c r="C58" i="2"/>
  <c r="F58" i="2"/>
  <c r="AA52" i="2" l="1"/>
  <c r="AB53" i="2"/>
  <c r="AC53" i="2"/>
  <c r="AD53" i="2"/>
  <c r="AE53" i="2"/>
  <c r="G59" i="2"/>
  <c r="D59" i="2"/>
  <c r="E59" i="2"/>
  <c r="F59" i="2"/>
  <c r="C59" i="2"/>
  <c r="AA53" i="2" l="1"/>
  <c r="AD54" i="2"/>
  <c r="AC54" i="2"/>
  <c r="AE54" i="2"/>
  <c r="AB54" i="2"/>
  <c r="D60" i="2"/>
  <c r="C60" i="2"/>
  <c r="E60" i="2"/>
  <c r="F60" i="2"/>
  <c r="G60" i="2"/>
  <c r="AA54" i="2" l="1"/>
  <c r="AB55" i="2"/>
  <c r="AC55" i="2"/>
  <c r="AE55" i="2"/>
  <c r="AD55" i="2"/>
  <c r="E61" i="2"/>
  <c r="G61" i="2"/>
  <c r="F61" i="2"/>
  <c r="C61" i="2"/>
  <c r="D61" i="2"/>
  <c r="AA55" i="2" l="1"/>
  <c r="AC56" i="2"/>
  <c r="AB56" i="2"/>
  <c r="AD56" i="2"/>
  <c r="AE56" i="2"/>
  <c r="D62" i="2"/>
  <c r="E62" i="2"/>
  <c r="F62" i="2"/>
  <c r="C62" i="2"/>
  <c r="G62" i="2"/>
  <c r="AA56" i="2" l="1"/>
  <c r="AD57" i="2"/>
  <c r="AB57" i="2"/>
  <c r="AE57" i="2"/>
  <c r="AC57" i="2"/>
  <c r="G63" i="2"/>
  <c r="D63" i="2"/>
  <c r="E63" i="2"/>
  <c r="F63" i="2"/>
  <c r="C63" i="2"/>
  <c r="AA57" i="2" l="1"/>
  <c r="AB58" i="2"/>
  <c r="AC58" i="2"/>
  <c r="AD58" i="2"/>
  <c r="AE58" i="2"/>
  <c r="F64" i="2"/>
  <c r="D64" i="2"/>
  <c r="E64" i="2"/>
  <c r="G64" i="2"/>
  <c r="C64" i="2"/>
  <c r="AA58" i="2" l="1"/>
  <c r="AD59" i="2"/>
  <c r="AC59" i="2"/>
  <c r="AE59" i="2"/>
  <c r="AB59" i="2"/>
  <c r="D65" i="2"/>
  <c r="C65" i="2"/>
  <c r="G65" i="2"/>
  <c r="F65" i="2"/>
  <c r="E65" i="2"/>
  <c r="AA59" i="2" l="1"/>
  <c r="AB60" i="2"/>
  <c r="AC60" i="2"/>
  <c r="AE60" i="2"/>
  <c r="AD60" i="2"/>
  <c r="E66" i="2"/>
  <c r="D66" i="2"/>
  <c r="G66" i="2"/>
  <c r="F66" i="2"/>
  <c r="C66" i="2"/>
  <c r="AA60" i="2" l="1"/>
  <c r="AC61" i="2"/>
  <c r="AB61" i="2"/>
  <c r="AD61" i="2"/>
  <c r="AE61" i="2"/>
  <c r="E67" i="2"/>
  <c r="G67" i="2"/>
  <c r="C67" i="2"/>
  <c r="F67" i="2"/>
  <c r="D67" i="2"/>
  <c r="AA61" i="2" l="1"/>
  <c r="AD62" i="2"/>
  <c r="AB62" i="2"/>
  <c r="AE62" i="2"/>
  <c r="AC62" i="2"/>
  <c r="D68" i="2"/>
  <c r="F68" i="2"/>
  <c r="C68" i="2"/>
  <c r="E68" i="2"/>
  <c r="G68" i="2"/>
  <c r="AA62" i="2" l="1"/>
  <c r="AB63" i="2"/>
  <c r="AC63" i="2"/>
  <c r="AD63" i="2"/>
  <c r="AE63" i="2"/>
  <c r="F69" i="2"/>
  <c r="G69" i="2"/>
  <c r="C69" i="2"/>
  <c r="E69" i="2"/>
  <c r="D69" i="2"/>
  <c r="AA63" i="2" l="1"/>
  <c r="AD64" i="2"/>
  <c r="AC64" i="2"/>
  <c r="AE64" i="2"/>
  <c r="AB64" i="2"/>
  <c r="D70" i="2"/>
  <c r="F70" i="2"/>
  <c r="G70" i="2"/>
  <c r="E70" i="2"/>
  <c r="C70" i="2"/>
  <c r="AA64" i="2" l="1"/>
  <c r="AB65" i="2"/>
  <c r="AC65" i="2"/>
  <c r="AE65" i="2"/>
  <c r="AD65" i="2"/>
  <c r="F71" i="2"/>
  <c r="C71" i="2"/>
  <c r="E71" i="2"/>
  <c r="D71" i="2"/>
  <c r="G71" i="2"/>
  <c r="AA65" i="2" l="1"/>
  <c r="AC66" i="2"/>
  <c r="AB66" i="2"/>
  <c r="AD66" i="2"/>
  <c r="AE66" i="2"/>
  <c r="E72" i="2"/>
  <c r="G72" i="2"/>
  <c r="D72" i="2"/>
  <c r="F72" i="2"/>
  <c r="C72" i="2"/>
  <c r="AA66" i="2" l="1"/>
  <c r="AD67" i="2"/>
  <c r="AB67" i="2"/>
  <c r="AE67" i="2"/>
  <c r="AC67" i="2"/>
  <c r="F73" i="2"/>
  <c r="G73" i="2"/>
  <c r="D73" i="2"/>
  <c r="E73" i="2"/>
  <c r="C73" i="2"/>
  <c r="AA67" i="2" l="1"/>
  <c r="AB68" i="2"/>
  <c r="AC68" i="2"/>
  <c r="AD68" i="2"/>
  <c r="AE68" i="2"/>
  <c r="F74" i="2"/>
  <c r="D74" i="2"/>
  <c r="C74" i="2"/>
  <c r="E74" i="2"/>
  <c r="G74" i="2"/>
  <c r="AA68" i="2" l="1"/>
  <c r="AD69" i="2"/>
  <c r="AC69" i="2"/>
  <c r="AE69" i="2"/>
  <c r="AB69" i="2"/>
  <c r="G75" i="2"/>
  <c r="C75" i="2"/>
  <c r="F75" i="2"/>
  <c r="E75" i="2"/>
  <c r="D75" i="2"/>
  <c r="AA69" i="2" l="1"/>
  <c r="AB70" i="2"/>
  <c r="AC70" i="2"/>
  <c r="AE70" i="2"/>
  <c r="AD70" i="2"/>
  <c r="E76" i="2"/>
  <c r="F76" i="2"/>
  <c r="D76" i="2"/>
  <c r="C76" i="2"/>
  <c r="G76" i="2"/>
  <c r="AA70" i="2" l="1"/>
  <c r="AC71" i="2"/>
  <c r="AB71" i="2"/>
  <c r="AD71" i="2"/>
  <c r="AE71" i="2"/>
  <c r="E77" i="2"/>
  <c r="F77" i="2"/>
  <c r="D77" i="2"/>
  <c r="C77" i="2"/>
  <c r="G77" i="2"/>
  <c r="AA71" i="2" l="1"/>
  <c r="AD72" i="2"/>
  <c r="AB72" i="2"/>
  <c r="AE72" i="2"/>
  <c r="AC72" i="2"/>
  <c r="G78" i="2"/>
  <c r="E78" i="2"/>
  <c r="D78" i="2"/>
  <c r="F78" i="2"/>
  <c r="C78" i="2"/>
  <c r="AA72" i="2" l="1"/>
  <c r="AB73" i="2"/>
  <c r="AC73" i="2"/>
  <c r="AD73" i="2"/>
  <c r="AE73" i="2"/>
  <c r="C79" i="2"/>
  <c r="F79" i="2"/>
  <c r="E79" i="2"/>
  <c r="D79" i="2"/>
  <c r="G79" i="2"/>
  <c r="AA73" i="2" l="1"/>
  <c r="AD74" i="2"/>
  <c r="AC74" i="2"/>
  <c r="AE74" i="2"/>
  <c r="AB74" i="2"/>
  <c r="E80" i="2"/>
  <c r="F80" i="2"/>
  <c r="G80" i="2"/>
  <c r="D80" i="2"/>
  <c r="C80" i="2"/>
  <c r="AA74" i="2" l="1"/>
  <c r="AB75" i="2"/>
  <c r="AC75" i="2"/>
  <c r="AE75" i="2"/>
  <c r="AD75" i="2"/>
  <c r="C81" i="2"/>
  <c r="F81" i="2"/>
  <c r="G81" i="2"/>
  <c r="D81" i="2"/>
  <c r="E81" i="2"/>
  <c r="AA75" i="2" l="1"/>
  <c r="AC76" i="2"/>
  <c r="AB76" i="2"/>
  <c r="AD76" i="2"/>
  <c r="AE76" i="2"/>
  <c r="C82" i="2"/>
  <c r="G82" i="2"/>
  <c r="D82" i="2"/>
  <c r="F82" i="2"/>
  <c r="E82" i="2"/>
  <c r="AA76" i="2" l="1"/>
  <c r="AD77" i="2"/>
  <c r="AB77" i="2"/>
  <c r="AE77" i="2"/>
  <c r="AC77" i="2"/>
  <c r="E83" i="2"/>
  <c r="D83" i="2"/>
  <c r="G83" i="2"/>
  <c r="C83" i="2"/>
  <c r="F83" i="2"/>
  <c r="AA77" i="2" l="1"/>
  <c r="AB78" i="2"/>
  <c r="AC78" i="2"/>
  <c r="AD78" i="2"/>
  <c r="AE78" i="2"/>
  <c r="C84" i="2"/>
  <c r="D84" i="2"/>
  <c r="G84" i="2"/>
  <c r="F84" i="2"/>
  <c r="E84" i="2"/>
  <c r="AA78" i="2" l="1"/>
  <c r="AD79" i="2"/>
  <c r="AC79" i="2"/>
  <c r="AE79" i="2"/>
  <c r="AB79" i="2"/>
  <c r="D85" i="2"/>
  <c r="G85" i="2"/>
  <c r="E85" i="2"/>
  <c r="F85" i="2"/>
  <c r="C85" i="2"/>
  <c r="AA79" i="2" l="1"/>
  <c r="AB80" i="2"/>
  <c r="AC80" i="2"/>
  <c r="AE80" i="2"/>
  <c r="AD80" i="2"/>
  <c r="C86" i="2"/>
  <c r="G86" i="2"/>
  <c r="E86" i="2"/>
  <c r="D86" i="2"/>
  <c r="F86" i="2"/>
  <c r="AA80" i="2" l="1"/>
  <c r="AC81" i="2"/>
  <c r="AB81" i="2"/>
  <c r="AD81" i="2"/>
  <c r="AE81" i="2"/>
  <c r="G87" i="2"/>
  <c r="C87" i="2"/>
  <c r="F87" i="2"/>
  <c r="D87" i="2"/>
  <c r="E87" i="2"/>
  <c r="AA81" i="2" l="1"/>
  <c r="AD82" i="2"/>
  <c r="AB82" i="2"/>
  <c r="AE82" i="2"/>
  <c r="AC82" i="2"/>
  <c r="E88" i="2"/>
  <c r="G88" i="2"/>
  <c r="C88" i="2"/>
  <c r="D88" i="2"/>
  <c r="F88" i="2"/>
  <c r="AA82" i="2" l="1"/>
  <c r="AB83" i="2"/>
  <c r="AC83" i="2"/>
  <c r="AD83" i="2"/>
  <c r="AE83" i="2"/>
  <c r="C89" i="2"/>
  <c r="G89" i="2"/>
  <c r="D89" i="2"/>
  <c r="F89" i="2"/>
  <c r="E89" i="2"/>
  <c r="AA83" i="2" l="1"/>
  <c r="AD84" i="2"/>
  <c r="AC84" i="2"/>
  <c r="AE84" i="2"/>
  <c r="AB84" i="2"/>
  <c r="D90" i="2"/>
  <c r="E90" i="2"/>
  <c r="F90" i="2"/>
  <c r="G90" i="2"/>
  <c r="C90" i="2"/>
  <c r="AA84" i="2" l="1"/>
  <c r="AB85" i="2"/>
  <c r="AC85" i="2"/>
  <c r="AE85" i="2"/>
  <c r="AD85" i="2"/>
  <c r="D91" i="2"/>
  <c r="G91" i="2"/>
  <c r="C91" i="2"/>
  <c r="F91" i="2"/>
  <c r="E91" i="2"/>
  <c r="AA85" i="2" l="1"/>
  <c r="AC86" i="2"/>
  <c r="AB86" i="2"/>
  <c r="AD86" i="2"/>
  <c r="AE86" i="2"/>
  <c r="E92" i="2"/>
  <c r="D92" i="2"/>
  <c r="F92" i="2"/>
  <c r="G92" i="2"/>
  <c r="C92" i="2"/>
  <c r="AA86" i="2" l="1"/>
  <c r="AD87" i="2"/>
  <c r="AB87" i="2"/>
  <c r="AE87" i="2"/>
  <c r="AC87" i="2"/>
  <c r="G93" i="2"/>
  <c r="E93" i="2"/>
  <c r="F93" i="2"/>
  <c r="D93" i="2"/>
  <c r="AA87" i="2" l="1"/>
  <c r="AB88" i="2"/>
  <c r="AC88" i="2"/>
  <c r="AD88" i="2"/>
  <c r="AE88" i="2"/>
  <c r="D94" i="2"/>
  <c r="G94" i="2"/>
  <c r="C94" i="2"/>
  <c r="F94" i="2"/>
  <c r="E94" i="2"/>
  <c r="AA88" i="2" l="1"/>
  <c r="C93" i="2"/>
  <c r="AD89" i="2"/>
  <c r="AC89" i="2"/>
  <c r="AE89" i="2"/>
  <c r="AB89" i="2"/>
  <c r="G95" i="2"/>
  <c r="E95" i="2"/>
  <c r="D95" i="2"/>
  <c r="F95" i="2"/>
  <c r="C95" i="2"/>
  <c r="AA89" i="2" l="1"/>
  <c r="AB90" i="2"/>
  <c r="AC90" i="2"/>
  <c r="AE90" i="2"/>
  <c r="AD90" i="2"/>
  <c r="E96" i="2"/>
  <c r="C96" i="2"/>
  <c r="D96" i="2"/>
  <c r="F96" i="2"/>
  <c r="G96" i="2"/>
  <c r="AA90" i="2" l="1"/>
  <c r="AC91" i="2"/>
  <c r="AB91" i="2"/>
  <c r="AD91" i="2"/>
  <c r="AE91" i="2"/>
  <c r="G97" i="2"/>
  <c r="D97" i="2"/>
  <c r="F97" i="2"/>
  <c r="C97" i="2"/>
  <c r="E97" i="2"/>
  <c r="AA91" i="2" l="1"/>
  <c r="AD92" i="2"/>
  <c r="AB92" i="2"/>
  <c r="AE92" i="2"/>
  <c r="AC92" i="2"/>
  <c r="D98" i="2"/>
  <c r="F98" i="2"/>
  <c r="G98" i="2"/>
  <c r="E98" i="2"/>
  <c r="C98" i="2"/>
  <c r="AA92" i="2" l="1"/>
  <c r="AB93" i="2"/>
  <c r="AC93" i="2"/>
  <c r="AD93" i="2"/>
  <c r="AE93" i="2"/>
  <c r="D99" i="2"/>
  <c r="G99" i="2"/>
  <c r="E99" i="2"/>
  <c r="C99" i="2"/>
  <c r="F99" i="2"/>
  <c r="AA93" i="2" l="1"/>
  <c r="AD94" i="2"/>
  <c r="AC94" i="2"/>
  <c r="AE94" i="2"/>
  <c r="AB94" i="2"/>
  <c r="E100" i="2"/>
  <c r="F100" i="2"/>
  <c r="G100" i="2"/>
  <c r="D100" i="2"/>
  <c r="C100" i="2"/>
  <c r="AA94" i="2" l="1"/>
  <c r="AB95" i="2"/>
  <c r="AC95" i="2"/>
  <c r="AE95" i="2"/>
  <c r="AD95" i="2"/>
  <c r="F101" i="2"/>
  <c r="G101" i="2"/>
  <c r="E101" i="2"/>
  <c r="C101" i="2"/>
  <c r="D101" i="2"/>
  <c r="AA95" i="2" l="1"/>
  <c r="AC96" i="2"/>
  <c r="AB96" i="2"/>
  <c r="AD96" i="2"/>
  <c r="AE96" i="2"/>
  <c r="G102" i="2"/>
  <c r="E102" i="2"/>
  <c r="C102" i="2"/>
  <c r="F102" i="2"/>
  <c r="D102" i="2"/>
  <c r="AA96" i="2" l="1"/>
  <c r="AD97" i="2"/>
  <c r="AB97" i="2"/>
  <c r="AE97" i="2"/>
  <c r="AC97" i="2"/>
  <c r="D103" i="2"/>
  <c r="C103" i="2"/>
  <c r="G103" i="2"/>
  <c r="F103" i="2"/>
  <c r="E103" i="2"/>
  <c r="AA97" i="2" l="1"/>
  <c r="AB98" i="2"/>
  <c r="AC98" i="2"/>
  <c r="AD98" i="2"/>
  <c r="AE98" i="2"/>
  <c r="AA98" i="2" l="1"/>
  <c r="AD99" i="2"/>
  <c r="AC99" i="2"/>
  <c r="AE99" i="2"/>
  <c r="AB99" i="2"/>
  <c r="AA99" i="2" l="1"/>
  <c r="AB100" i="2"/>
  <c r="AC100" i="2"/>
  <c r="AE100" i="2"/>
  <c r="AD100" i="2"/>
  <c r="AA100" i="2" l="1"/>
  <c r="AB101" i="2"/>
  <c r="AD101" i="2"/>
  <c r="AC101" i="2"/>
  <c r="AE101" i="2"/>
  <c r="AA101" i="2" l="1"/>
  <c r="AC103" i="2"/>
  <c r="AC102" i="2"/>
  <c r="AD102" i="2"/>
  <c r="AE102" i="2"/>
  <c r="AB103" i="2"/>
  <c r="AB102" i="2"/>
  <c r="AE103" i="2" l="1"/>
  <c r="AD103" i="2"/>
  <c r="AA102" i="2"/>
  <c r="AA103" i="2" l="1"/>
  <c r="AD49" i="1" l="1"/>
  <c r="AD48" i="1"/>
  <c r="AB48" i="1" l="1"/>
  <c r="AE48" i="1"/>
  <c r="AA48" i="1"/>
  <c r="AD51" i="1" l="1"/>
  <c r="AC49" i="1"/>
  <c r="AE49" i="1"/>
  <c r="AD50" i="1"/>
  <c r="AC48" i="1"/>
  <c r="AA49" i="1"/>
  <c r="AD52" i="1" l="1"/>
  <c r="AB50" i="1"/>
  <c r="AC50" i="1"/>
  <c r="AB49" i="1"/>
  <c r="AA50" i="1"/>
  <c r="AE51" i="1" l="1"/>
  <c r="AB51" i="1"/>
  <c r="AE50" i="1"/>
  <c r="AA51" i="1"/>
  <c r="AD54" i="1" l="1"/>
  <c r="AC52" i="1"/>
  <c r="AC51" i="1"/>
  <c r="AD53" i="1"/>
  <c r="AA52" i="1"/>
  <c r="AE53" i="1" l="1"/>
  <c r="AB53" i="1"/>
  <c r="AB52" i="1"/>
  <c r="AE52" i="1"/>
  <c r="AA53" i="1"/>
  <c r="AD56" i="1" l="1"/>
  <c r="AC54" i="1"/>
  <c r="AC53" i="1"/>
  <c r="AD55" i="1"/>
  <c r="AA54" i="1"/>
  <c r="AE55" i="1" l="1"/>
  <c r="AB55" i="1"/>
  <c r="AB54" i="1"/>
  <c r="AE54" i="1"/>
  <c r="AA55" i="1"/>
  <c r="AD58" i="1" l="1"/>
  <c r="AE56" i="1"/>
  <c r="AC56" i="1"/>
  <c r="AC55" i="1"/>
  <c r="AD57" i="1"/>
  <c r="AA56" i="1"/>
  <c r="AC57" i="1" l="1"/>
  <c r="AB57" i="1"/>
  <c r="AB56" i="1"/>
  <c r="AA57" i="1"/>
  <c r="AD60" i="1" l="1"/>
  <c r="AE58" i="1"/>
  <c r="AD59" i="1"/>
  <c r="AE57" i="1"/>
  <c r="AA58" i="1"/>
  <c r="AD61" i="1" l="1"/>
  <c r="AC59" i="1"/>
  <c r="AB59" i="1"/>
  <c r="AC58" i="1"/>
  <c r="AB58" i="1"/>
  <c r="AA59" i="1"/>
  <c r="AB60" i="1" l="1"/>
  <c r="AE60" i="1"/>
  <c r="AE59" i="1"/>
  <c r="AA60" i="1"/>
  <c r="AD63" i="1" l="1"/>
  <c r="AC61" i="1"/>
  <c r="AD62" i="1"/>
  <c r="AC60" i="1"/>
  <c r="AA61" i="1"/>
  <c r="AB62" i="1" l="1"/>
  <c r="AE62" i="1"/>
  <c r="AE61" i="1"/>
  <c r="AB61" i="1"/>
  <c r="AA62" i="1"/>
  <c r="AD65" i="1" l="1"/>
  <c r="AC63" i="1"/>
  <c r="AE63" i="1"/>
  <c r="AC62" i="1"/>
  <c r="AD64" i="1"/>
  <c r="AA63" i="1"/>
  <c r="AB64" i="1" l="1"/>
  <c r="AC64" i="1"/>
  <c r="AB63" i="1"/>
  <c r="AA64" i="1"/>
  <c r="AD67" i="1" l="1"/>
  <c r="AE65" i="1"/>
  <c r="AE64" i="1"/>
  <c r="AD66" i="1"/>
  <c r="AA65" i="1"/>
  <c r="AD68" i="1" l="1"/>
  <c r="AB66" i="1"/>
  <c r="AC65" i="1"/>
  <c r="AB65" i="1"/>
  <c r="AA66" i="1"/>
  <c r="AC67" i="1" l="1"/>
  <c r="AE67" i="1"/>
  <c r="AC66" i="1"/>
  <c r="AE66" i="1"/>
  <c r="AA67" i="1"/>
  <c r="AD70" i="1" l="1"/>
  <c r="AB68" i="1"/>
  <c r="AE68" i="1"/>
  <c r="AC68" i="1"/>
  <c r="AD69" i="1"/>
  <c r="AB67" i="1"/>
  <c r="AA68" i="1"/>
  <c r="AB69" i="1" l="1"/>
  <c r="AA69" i="1"/>
  <c r="AD72" i="1" l="1"/>
  <c r="AC70" i="1"/>
  <c r="AC69" i="1"/>
  <c r="AD71" i="1"/>
  <c r="AE69" i="1"/>
  <c r="AA70" i="1"/>
  <c r="AE71" i="1" l="1"/>
  <c r="AB71" i="1"/>
  <c r="AB70" i="1"/>
  <c r="AE70" i="1"/>
  <c r="AA71" i="1"/>
  <c r="AD74" i="1" l="1"/>
  <c r="AC72" i="1"/>
  <c r="AD73" i="1"/>
  <c r="AC71" i="1"/>
  <c r="AA72" i="1"/>
  <c r="AE73" i="1" l="1"/>
  <c r="AB73" i="1"/>
  <c r="AB72" i="1"/>
  <c r="AE72" i="1"/>
  <c r="AA73" i="1"/>
  <c r="AD76" i="1" l="1"/>
  <c r="AC74" i="1"/>
  <c r="AD75" i="1"/>
  <c r="AC73" i="1"/>
  <c r="AA74" i="1"/>
  <c r="AE75" i="1" l="1"/>
  <c r="AB75" i="1"/>
  <c r="AE74" i="1"/>
  <c r="AB74" i="1"/>
  <c r="AA75" i="1"/>
  <c r="AD78" i="1" l="1"/>
  <c r="AE76" i="1"/>
  <c r="AC76" i="1"/>
  <c r="AD77" i="1"/>
  <c r="AC75" i="1"/>
  <c r="AA76" i="1"/>
  <c r="AB77" i="1" l="1"/>
  <c r="AB76" i="1"/>
  <c r="AA77" i="1"/>
  <c r="AD80" i="1" l="1"/>
  <c r="AE78" i="1"/>
  <c r="AC78" i="1"/>
  <c r="AC77" i="1"/>
  <c r="AD79" i="1"/>
  <c r="AE77" i="1"/>
  <c r="AA78" i="1"/>
  <c r="AD81" i="1" l="1"/>
  <c r="AB79" i="1"/>
  <c r="AB78" i="1"/>
  <c r="AA79" i="1"/>
  <c r="AE80" i="1" l="1"/>
  <c r="AC80" i="1"/>
  <c r="AE79" i="1"/>
  <c r="AC79" i="1"/>
  <c r="AA80" i="1"/>
  <c r="AD83" i="1" l="1"/>
  <c r="AC81" i="1"/>
  <c r="AB81" i="1"/>
  <c r="AD82" i="1"/>
  <c r="AB80" i="1"/>
  <c r="AA81" i="1"/>
  <c r="AE82" i="1" l="1"/>
  <c r="AE81" i="1"/>
  <c r="AA82" i="1"/>
  <c r="AD85" i="1" l="1"/>
  <c r="AC83" i="1"/>
  <c r="AE83" i="1"/>
  <c r="AB83" i="1"/>
  <c r="AC82" i="1"/>
  <c r="AD84" i="1"/>
  <c r="AB82" i="1"/>
  <c r="AA83" i="1"/>
  <c r="AB84" i="1" l="1"/>
  <c r="AA84" i="1"/>
  <c r="AD87" i="1" l="1"/>
  <c r="AC85" i="1"/>
  <c r="AE85" i="1"/>
  <c r="AC84" i="1"/>
  <c r="AE84" i="1"/>
  <c r="AD86" i="1"/>
  <c r="AA85" i="1"/>
  <c r="AD88" i="1" l="1"/>
  <c r="AB86" i="1"/>
  <c r="AE86" i="1"/>
  <c r="AB85" i="1"/>
  <c r="AA86" i="1"/>
  <c r="AC87" i="1" l="1"/>
  <c r="AC86" i="1"/>
  <c r="AA87" i="1"/>
  <c r="AD90" i="1" l="1"/>
  <c r="AB88" i="1"/>
  <c r="AE88" i="1"/>
  <c r="AD89" i="1"/>
  <c r="AE87" i="1"/>
  <c r="AB87" i="1"/>
  <c r="AA88" i="1"/>
  <c r="AC89" i="1" l="1"/>
  <c r="AC88" i="1"/>
  <c r="AA89" i="1"/>
  <c r="AD92" i="1" l="1"/>
  <c r="AB90" i="1"/>
  <c r="AC90" i="1"/>
  <c r="AB89" i="1"/>
  <c r="AE89" i="1"/>
  <c r="AD91" i="1"/>
  <c r="AA90" i="1"/>
  <c r="AE91" i="1" l="1"/>
  <c r="AE90" i="1"/>
  <c r="AA91" i="1"/>
  <c r="AB92" i="1" l="1"/>
  <c r="AC92" i="1"/>
  <c r="AC91" i="1"/>
  <c r="AD93" i="1"/>
  <c r="AB91" i="1"/>
  <c r="AA92" i="1"/>
  <c r="AD95" i="1" l="1"/>
  <c r="AE93" i="1"/>
  <c r="AB93" i="1"/>
  <c r="AD94" i="1"/>
  <c r="AE92" i="1"/>
  <c r="AA93" i="1"/>
  <c r="AD96" i="1" l="1"/>
  <c r="AC94" i="1"/>
  <c r="AC93" i="1"/>
  <c r="AA94" i="1"/>
  <c r="AD97" i="1" l="1"/>
  <c r="AE95" i="1"/>
  <c r="AB95" i="1"/>
  <c r="AE94" i="1"/>
  <c r="AB94" i="1"/>
  <c r="AA95" i="1"/>
  <c r="AD98" i="1" l="1"/>
  <c r="AE96" i="1"/>
  <c r="AC96" i="1"/>
  <c r="AC95" i="1"/>
  <c r="AA96" i="1"/>
  <c r="AD99" i="1" l="1"/>
  <c r="AC97" i="1"/>
  <c r="AE97" i="1"/>
  <c r="AB97" i="1"/>
  <c r="AB96" i="1"/>
  <c r="AA97" i="1"/>
  <c r="AD100" i="1" l="1"/>
  <c r="AB98" i="1"/>
  <c r="AE98" i="1"/>
  <c r="AC98" i="1"/>
  <c r="AA98" i="1"/>
  <c r="AD101" i="1" l="1"/>
  <c r="AC99" i="1"/>
  <c r="AE99" i="1"/>
  <c r="AB99" i="1"/>
  <c r="AA99" i="1"/>
  <c r="AD103" i="1" l="1"/>
  <c r="AD102" i="1"/>
  <c r="AB100" i="1"/>
  <c r="AE100" i="1"/>
  <c r="AC100" i="1"/>
  <c r="AA100" i="1"/>
  <c r="AC101" i="1" l="1"/>
  <c r="AE101" i="1"/>
  <c r="AB101" i="1"/>
  <c r="AA101" i="1"/>
  <c r="AB103" i="1" l="1"/>
  <c r="AB102" i="1"/>
  <c r="AE103" i="1"/>
  <c r="AE102" i="1"/>
  <c r="AC103" i="1"/>
  <c r="AC102" i="1"/>
  <c r="AA102" i="1"/>
  <c r="AA103" i="1" l="1"/>
  <c r="AH5" i="1" l="1"/>
  <c r="F4" i="3" s="1"/>
  <c r="AI5" i="1"/>
  <c r="G4" i="3" s="1"/>
  <c r="AJ5" i="1"/>
  <c r="H4" i="3" s="1"/>
  <c r="AK5" i="1"/>
  <c r="I4" i="3" s="1"/>
  <c r="AH6" i="1"/>
  <c r="F5" i="3" s="1"/>
  <c r="AI6" i="1"/>
  <c r="G5" i="3" s="1"/>
  <c r="AJ6" i="1"/>
  <c r="H5" i="3" s="1"/>
  <c r="AK6" i="1"/>
  <c r="I5" i="3" s="1"/>
  <c r="AH7" i="1"/>
  <c r="F6" i="3" s="1"/>
  <c r="AI7" i="1"/>
  <c r="G6" i="3" s="1"/>
  <c r="AJ7" i="1"/>
  <c r="H6" i="3" s="1"/>
  <c r="AK7" i="1"/>
  <c r="I6" i="3" s="1"/>
  <c r="AH8" i="1"/>
  <c r="F7" i="3" s="1"/>
  <c r="AI8" i="1"/>
  <c r="G7" i="3" s="1"/>
  <c r="AJ8" i="1"/>
  <c r="H7" i="3" s="1"/>
  <c r="AK8" i="1"/>
  <c r="I7" i="3" s="1"/>
  <c r="AH9" i="1"/>
  <c r="F8" i="3" s="1"/>
  <c r="AI9" i="1"/>
  <c r="G8" i="3" s="1"/>
  <c r="AJ9" i="1"/>
  <c r="H8" i="3" s="1"/>
  <c r="AK9" i="1"/>
  <c r="I8" i="3" s="1"/>
  <c r="AH10" i="1"/>
  <c r="F9" i="3" s="1"/>
  <c r="AI10" i="1"/>
  <c r="G9" i="3" s="1"/>
  <c r="AJ10" i="1"/>
  <c r="H9" i="3" s="1"/>
  <c r="AK10" i="1"/>
  <c r="I9" i="3" s="1"/>
  <c r="AH11" i="1"/>
  <c r="F10" i="3" s="1"/>
  <c r="AI11" i="1"/>
  <c r="G10" i="3" s="1"/>
  <c r="AJ11" i="1"/>
  <c r="H10" i="3" s="1"/>
  <c r="AK11" i="1"/>
  <c r="I10" i="3" s="1"/>
  <c r="AH12" i="1"/>
  <c r="F11" i="3" s="1"/>
  <c r="AI12" i="1"/>
  <c r="G11" i="3" s="1"/>
  <c r="AJ12" i="1"/>
  <c r="H11" i="3" s="1"/>
  <c r="AK12" i="1"/>
  <c r="I11" i="3" s="1"/>
  <c r="AH13" i="1"/>
  <c r="F12" i="3" s="1"/>
  <c r="AI13" i="1"/>
  <c r="G12" i="3" s="1"/>
  <c r="AJ13" i="1"/>
  <c r="H12" i="3" s="1"/>
  <c r="AK13" i="1"/>
  <c r="I12" i="3" s="1"/>
  <c r="AH14" i="1"/>
  <c r="F13" i="3" s="1"/>
  <c r="AI14" i="1"/>
  <c r="G13" i="3" s="1"/>
  <c r="AJ14" i="1"/>
  <c r="H13" i="3" s="1"/>
  <c r="AK14" i="1"/>
  <c r="I13" i="3" s="1"/>
  <c r="AH15" i="1"/>
  <c r="F14" i="3" s="1"/>
  <c r="AI15" i="1"/>
  <c r="G14" i="3" s="1"/>
  <c r="AJ15" i="1"/>
  <c r="H14" i="3" s="1"/>
  <c r="AK15" i="1"/>
  <c r="I14" i="3" s="1"/>
  <c r="AH16" i="1"/>
  <c r="F15" i="3" s="1"/>
  <c r="AI16" i="1"/>
  <c r="G15" i="3" s="1"/>
  <c r="AJ16" i="1"/>
  <c r="H15" i="3" s="1"/>
  <c r="AK16" i="1"/>
  <c r="I15" i="3" s="1"/>
  <c r="AH17" i="1"/>
  <c r="F16" i="3" s="1"/>
  <c r="AI17" i="1"/>
  <c r="G16" i="3" s="1"/>
  <c r="AJ17" i="1"/>
  <c r="H16" i="3" s="1"/>
  <c r="AK17" i="1"/>
  <c r="I16" i="3" s="1"/>
  <c r="AH18" i="1"/>
  <c r="F17" i="3" s="1"/>
  <c r="AI18" i="1"/>
  <c r="G17" i="3" s="1"/>
  <c r="AJ18" i="1"/>
  <c r="H17" i="3" s="1"/>
  <c r="AK18" i="1"/>
  <c r="I17" i="3" s="1"/>
  <c r="AH19" i="1"/>
  <c r="F18" i="3" s="1"/>
  <c r="AI19" i="1"/>
  <c r="G18" i="3" s="1"/>
  <c r="AJ19" i="1"/>
  <c r="H18" i="3" s="1"/>
  <c r="AK19" i="1"/>
  <c r="I18" i="3" s="1"/>
  <c r="AH20" i="1"/>
  <c r="F19" i="3" s="1"/>
  <c r="AI20" i="1"/>
  <c r="G19" i="3" s="1"/>
  <c r="AJ20" i="1"/>
  <c r="H19" i="3" s="1"/>
  <c r="AK20" i="1"/>
  <c r="I19" i="3" s="1"/>
  <c r="AH21" i="1"/>
  <c r="F20" i="3" s="1"/>
  <c r="AI21" i="1"/>
  <c r="G20" i="3" s="1"/>
  <c r="AJ21" i="1"/>
  <c r="H20" i="3" s="1"/>
  <c r="AK21" i="1"/>
  <c r="I20" i="3" s="1"/>
  <c r="AH22" i="1"/>
  <c r="F21" i="3" s="1"/>
  <c r="AI22" i="1"/>
  <c r="G21" i="3" s="1"/>
  <c r="AJ22" i="1"/>
  <c r="H21" i="3" s="1"/>
  <c r="AK22" i="1"/>
  <c r="I21" i="3" s="1"/>
  <c r="AH23" i="1"/>
  <c r="F22" i="3" s="1"/>
  <c r="AI23" i="1"/>
  <c r="G22" i="3" s="1"/>
  <c r="AJ23" i="1"/>
  <c r="H22" i="3" s="1"/>
  <c r="AK23" i="1"/>
  <c r="I22" i="3" s="1"/>
  <c r="AH24" i="1"/>
  <c r="F23" i="3" s="1"/>
  <c r="AI24" i="1"/>
  <c r="G23" i="3" s="1"/>
  <c r="AJ24" i="1"/>
  <c r="H23" i="3" s="1"/>
  <c r="AK24" i="1"/>
  <c r="I23" i="3" s="1"/>
  <c r="AH25" i="1"/>
  <c r="F24" i="3" s="1"/>
  <c r="AI25" i="1"/>
  <c r="G24" i="3" s="1"/>
  <c r="AJ25" i="1"/>
  <c r="H24" i="3" s="1"/>
  <c r="AK25" i="1"/>
  <c r="I24" i="3" s="1"/>
  <c r="AH26" i="1"/>
  <c r="F25" i="3" s="1"/>
  <c r="AI26" i="1"/>
  <c r="G25" i="3" s="1"/>
  <c r="AJ26" i="1"/>
  <c r="H25" i="3" s="1"/>
  <c r="AK26" i="1"/>
  <c r="I25" i="3" s="1"/>
  <c r="AH27" i="1"/>
  <c r="F26" i="3" s="1"/>
  <c r="AI27" i="1"/>
  <c r="G26" i="3" s="1"/>
  <c r="AJ27" i="1"/>
  <c r="H26" i="3" s="1"/>
  <c r="AK27" i="1"/>
  <c r="I26" i="3" s="1"/>
  <c r="AH28" i="1"/>
  <c r="F27" i="3" s="1"/>
  <c r="AI28" i="1"/>
  <c r="G27" i="3" s="1"/>
  <c r="AJ28" i="1"/>
  <c r="H27" i="3" s="1"/>
  <c r="AK28" i="1"/>
  <c r="I27" i="3" s="1"/>
  <c r="AH29" i="1"/>
  <c r="F28" i="3" s="1"/>
  <c r="AI29" i="1"/>
  <c r="G28" i="3" s="1"/>
  <c r="AJ29" i="1"/>
  <c r="H28" i="3" s="1"/>
  <c r="AK29" i="1"/>
  <c r="I28" i="3" s="1"/>
  <c r="AH30" i="1"/>
  <c r="F29" i="3" s="1"/>
  <c r="AI30" i="1"/>
  <c r="G29" i="3" s="1"/>
  <c r="AJ30" i="1"/>
  <c r="H29" i="3" s="1"/>
  <c r="AK30" i="1"/>
  <c r="I29" i="3" s="1"/>
  <c r="AH31" i="1"/>
  <c r="F30" i="3" s="1"/>
  <c r="AI31" i="1"/>
  <c r="G30" i="3" s="1"/>
  <c r="AJ31" i="1"/>
  <c r="H30" i="3" s="1"/>
  <c r="AK31" i="1"/>
  <c r="I30" i="3" s="1"/>
  <c r="AH32" i="1"/>
  <c r="F31" i="3" s="1"/>
  <c r="AI32" i="1"/>
  <c r="G31" i="3" s="1"/>
  <c r="AJ32" i="1"/>
  <c r="H31" i="3" s="1"/>
  <c r="AK32" i="1"/>
  <c r="I31" i="3" s="1"/>
  <c r="AH33" i="1"/>
  <c r="F32" i="3" s="1"/>
  <c r="AI33" i="1"/>
  <c r="G32" i="3" s="1"/>
  <c r="AJ33" i="1"/>
  <c r="H32" i="3" s="1"/>
  <c r="AK33" i="1"/>
  <c r="I32" i="3" s="1"/>
  <c r="AH34" i="1"/>
  <c r="F33" i="3" s="1"/>
  <c r="AI34" i="1"/>
  <c r="G33" i="3" s="1"/>
  <c r="AJ34" i="1"/>
  <c r="H33" i="3" s="1"/>
  <c r="AK34" i="1"/>
  <c r="I33" i="3" s="1"/>
  <c r="AH35" i="1"/>
  <c r="F34" i="3" s="1"/>
  <c r="AI35" i="1"/>
  <c r="G34" i="3" s="1"/>
  <c r="AJ35" i="1"/>
  <c r="H34" i="3" s="1"/>
  <c r="AK35" i="1"/>
  <c r="I34" i="3" s="1"/>
  <c r="AH36" i="1"/>
  <c r="F35" i="3" s="1"/>
  <c r="AI36" i="1"/>
  <c r="G35" i="3" s="1"/>
  <c r="AJ36" i="1"/>
  <c r="H35" i="3" s="1"/>
  <c r="AK36" i="1"/>
  <c r="I35" i="3" s="1"/>
  <c r="AH37" i="1"/>
  <c r="F36" i="3" s="1"/>
  <c r="AI37" i="1"/>
  <c r="G36" i="3" s="1"/>
  <c r="AJ37" i="1"/>
  <c r="H36" i="3" s="1"/>
  <c r="AK37" i="1"/>
  <c r="I36" i="3" s="1"/>
  <c r="AH38" i="1"/>
  <c r="F37" i="3" s="1"/>
  <c r="AI38" i="1"/>
  <c r="G37" i="3" s="1"/>
  <c r="AJ38" i="1"/>
  <c r="H37" i="3" s="1"/>
  <c r="AK38" i="1"/>
  <c r="I37" i="3" s="1"/>
  <c r="AH39" i="1"/>
  <c r="F38" i="3" s="1"/>
  <c r="AI39" i="1"/>
  <c r="G38" i="3" s="1"/>
  <c r="AJ39" i="1"/>
  <c r="H38" i="3" s="1"/>
  <c r="AK39" i="1"/>
  <c r="I38" i="3" s="1"/>
  <c r="AH40" i="1"/>
  <c r="F39" i="3" s="1"/>
  <c r="AI40" i="1"/>
  <c r="G39" i="3" s="1"/>
  <c r="AJ40" i="1"/>
  <c r="H39" i="3" s="1"/>
  <c r="AK40" i="1"/>
  <c r="I39" i="3" s="1"/>
  <c r="AH41" i="1"/>
  <c r="F40" i="3" s="1"/>
  <c r="AI41" i="1"/>
  <c r="G40" i="3" s="1"/>
  <c r="AJ41" i="1"/>
  <c r="H40" i="3" s="1"/>
  <c r="AK41" i="1"/>
  <c r="I40" i="3" s="1"/>
  <c r="AH42" i="1"/>
  <c r="F41" i="3" s="1"/>
  <c r="AI42" i="1"/>
  <c r="G41" i="3" s="1"/>
  <c r="AJ42" i="1"/>
  <c r="H41" i="3" s="1"/>
  <c r="AK42" i="1"/>
  <c r="I41" i="3" s="1"/>
  <c r="AH43" i="1"/>
  <c r="F42" i="3" s="1"/>
  <c r="AI43" i="1"/>
  <c r="G42" i="3" s="1"/>
  <c r="AJ43" i="1"/>
  <c r="H42" i="3" s="1"/>
  <c r="AK43" i="1"/>
  <c r="I42" i="3" s="1"/>
  <c r="AH44" i="1"/>
  <c r="F43" i="3" s="1"/>
  <c r="AI44" i="1"/>
  <c r="G43" i="3" s="1"/>
  <c r="AJ44" i="1"/>
  <c r="H43" i="3" s="1"/>
  <c r="AK44" i="1"/>
  <c r="I43" i="3" s="1"/>
  <c r="AH45" i="1"/>
  <c r="F44" i="3" s="1"/>
  <c r="AI45" i="1"/>
  <c r="G44" i="3" s="1"/>
  <c r="AJ45" i="1"/>
  <c r="H44" i="3" s="1"/>
  <c r="AK45" i="1"/>
  <c r="I44" i="3" s="1"/>
  <c r="AH46" i="1"/>
  <c r="F45" i="3" s="1"/>
  <c r="AI46" i="1"/>
  <c r="G45" i="3" s="1"/>
  <c r="AJ46" i="1"/>
  <c r="H45" i="3" s="1"/>
  <c r="AK46" i="1"/>
  <c r="I45" i="3" s="1"/>
  <c r="AH47" i="1"/>
  <c r="F46" i="3" s="1"/>
  <c r="AI47" i="1"/>
  <c r="G46" i="3" s="1"/>
  <c r="AJ47" i="1"/>
  <c r="H46" i="3" s="1"/>
  <c r="AK47" i="1"/>
  <c r="I46" i="3" s="1"/>
  <c r="AH48" i="1"/>
  <c r="F47" i="3" s="1"/>
  <c r="AI48" i="1"/>
  <c r="G47" i="3" s="1"/>
  <c r="AJ48" i="1"/>
  <c r="H47" i="3" s="1"/>
  <c r="AK48" i="1"/>
  <c r="I47" i="3" s="1"/>
  <c r="AH49" i="1"/>
  <c r="F48" i="3" s="1"/>
  <c r="AI49" i="1"/>
  <c r="G48" i="3" s="1"/>
  <c r="AJ49" i="1"/>
  <c r="H48" i="3" s="1"/>
  <c r="AK49" i="1"/>
  <c r="I48" i="3" s="1"/>
  <c r="AH50" i="1"/>
  <c r="F49" i="3" s="1"/>
  <c r="AI50" i="1"/>
  <c r="G49" i="3" s="1"/>
  <c r="AJ50" i="1"/>
  <c r="H49" i="3" s="1"/>
  <c r="AK50" i="1"/>
  <c r="I49" i="3" s="1"/>
  <c r="AH51" i="1"/>
  <c r="F50" i="3" s="1"/>
  <c r="AI51" i="1"/>
  <c r="G50" i="3" s="1"/>
  <c r="AJ51" i="1"/>
  <c r="H50" i="3" s="1"/>
  <c r="AK51" i="1"/>
  <c r="I50" i="3" s="1"/>
  <c r="AH52" i="1"/>
  <c r="F51" i="3" s="1"/>
  <c r="AI52" i="1"/>
  <c r="G51" i="3" s="1"/>
  <c r="AJ52" i="1"/>
  <c r="H51" i="3" s="1"/>
  <c r="AK52" i="1"/>
  <c r="I51" i="3" s="1"/>
  <c r="AH53" i="1"/>
  <c r="F52" i="3" s="1"/>
  <c r="AI53" i="1"/>
  <c r="G52" i="3" s="1"/>
  <c r="AJ53" i="1"/>
  <c r="H52" i="3" s="1"/>
  <c r="AK53" i="1"/>
  <c r="I52" i="3" s="1"/>
  <c r="AH54" i="1"/>
  <c r="F53" i="3" s="1"/>
  <c r="AI54" i="1"/>
  <c r="G53" i="3" s="1"/>
  <c r="AJ54" i="1"/>
  <c r="H53" i="3" s="1"/>
  <c r="AK54" i="1"/>
  <c r="I53" i="3" s="1"/>
  <c r="AH55" i="1"/>
  <c r="F54" i="3" s="1"/>
  <c r="AI55" i="1"/>
  <c r="G54" i="3" s="1"/>
  <c r="AJ55" i="1"/>
  <c r="H54" i="3" s="1"/>
  <c r="AK55" i="1"/>
  <c r="I54" i="3" s="1"/>
  <c r="AH56" i="1"/>
  <c r="F55" i="3" s="1"/>
  <c r="AI56" i="1"/>
  <c r="G55" i="3" s="1"/>
  <c r="AJ56" i="1"/>
  <c r="H55" i="3" s="1"/>
  <c r="AK56" i="1"/>
  <c r="I55" i="3" s="1"/>
  <c r="AH57" i="1"/>
  <c r="F56" i="3" s="1"/>
  <c r="AI57" i="1"/>
  <c r="G56" i="3" s="1"/>
  <c r="AJ57" i="1"/>
  <c r="H56" i="3" s="1"/>
  <c r="AK57" i="1"/>
  <c r="I56" i="3" s="1"/>
  <c r="AH58" i="1"/>
  <c r="F57" i="3" s="1"/>
  <c r="AI58" i="1"/>
  <c r="G57" i="3" s="1"/>
  <c r="AJ58" i="1"/>
  <c r="H57" i="3" s="1"/>
  <c r="AK58" i="1"/>
  <c r="I57" i="3" s="1"/>
  <c r="AH59" i="1"/>
  <c r="F58" i="3" s="1"/>
  <c r="AI59" i="1"/>
  <c r="G58" i="3" s="1"/>
  <c r="AJ59" i="1"/>
  <c r="H58" i="3" s="1"/>
  <c r="AK59" i="1"/>
  <c r="I58" i="3" s="1"/>
  <c r="AH60" i="1"/>
  <c r="F59" i="3" s="1"/>
  <c r="AI60" i="1"/>
  <c r="G59" i="3" s="1"/>
  <c r="AJ60" i="1"/>
  <c r="H59" i="3" s="1"/>
  <c r="AK60" i="1"/>
  <c r="I59" i="3" s="1"/>
  <c r="AH61" i="1"/>
  <c r="F60" i="3" s="1"/>
  <c r="AI61" i="1"/>
  <c r="G60" i="3" s="1"/>
  <c r="AJ61" i="1"/>
  <c r="H60" i="3" s="1"/>
  <c r="AK61" i="1"/>
  <c r="I60" i="3" s="1"/>
  <c r="AH62" i="1"/>
  <c r="F61" i="3" s="1"/>
  <c r="AI62" i="1"/>
  <c r="G61" i="3" s="1"/>
  <c r="AJ62" i="1"/>
  <c r="H61" i="3" s="1"/>
  <c r="AK62" i="1"/>
  <c r="I61" i="3" s="1"/>
  <c r="AH63" i="1"/>
  <c r="F62" i="3" s="1"/>
  <c r="AI63" i="1"/>
  <c r="G62" i="3" s="1"/>
  <c r="AJ63" i="1"/>
  <c r="H62" i="3" s="1"/>
  <c r="AK63" i="1"/>
  <c r="I62" i="3" s="1"/>
  <c r="AH64" i="1"/>
  <c r="F63" i="3" s="1"/>
  <c r="AI64" i="1"/>
  <c r="G63" i="3" s="1"/>
  <c r="AJ64" i="1"/>
  <c r="H63" i="3" s="1"/>
  <c r="AK64" i="1"/>
  <c r="I63" i="3" s="1"/>
  <c r="AH65" i="1"/>
  <c r="F64" i="3" s="1"/>
  <c r="AI65" i="1"/>
  <c r="G64" i="3" s="1"/>
  <c r="AJ65" i="1"/>
  <c r="H64" i="3" s="1"/>
  <c r="AK65" i="1"/>
  <c r="I64" i="3" s="1"/>
  <c r="AH66" i="1"/>
  <c r="F65" i="3" s="1"/>
  <c r="AI66" i="1"/>
  <c r="G65" i="3" s="1"/>
  <c r="AJ66" i="1"/>
  <c r="H65" i="3" s="1"/>
  <c r="AK66" i="1"/>
  <c r="I65" i="3" s="1"/>
  <c r="AH67" i="1"/>
  <c r="F66" i="3" s="1"/>
  <c r="AI67" i="1"/>
  <c r="G66" i="3" s="1"/>
  <c r="AJ67" i="1"/>
  <c r="H66" i="3" s="1"/>
  <c r="AK67" i="1"/>
  <c r="I66" i="3" s="1"/>
  <c r="AH68" i="1"/>
  <c r="F67" i="3" s="1"/>
  <c r="AI68" i="1"/>
  <c r="G67" i="3" s="1"/>
  <c r="AJ68" i="1"/>
  <c r="H67" i="3" s="1"/>
  <c r="AK68" i="1"/>
  <c r="I67" i="3" s="1"/>
  <c r="AH69" i="1"/>
  <c r="F68" i="3" s="1"/>
  <c r="AI69" i="1"/>
  <c r="G68" i="3" s="1"/>
  <c r="AJ69" i="1"/>
  <c r="H68" i="3" s="1"/>
  <c r="AK69" i="1"/>
  <c r="I68" i="3" s="1"/>
  <c r="AH70" i="1"/>
  <c r="F69" i="3" s="1"/>
  <c r="AI70" i="1"/>
  <c r="G69" i="3" s="1"/>
  <c r="AJ70" i="1"/>
  <c r="H69" i="3" s="1"/>
  <c r="AK70" i="1"/>
  <c r="I69" i="3" s="1"/>
  <c r="AH71" i="1"/>
  <c r="F70" i="3" s="1"/>
  <c r="AI71" i="1"/>
  <c r="G70" i="3" s="1"/>
  <c r="AJ71" i="1"/>
  <c r="H70" i="3" s="1"/>
  <c r="AK71" i="1"/>
  <c r="I70" i="3" s="1"/>
  <c r="AH72" i="1"/>
  <c r="F71" i="3" s="1"/>
  <c r="AI72" i="1"/>
  <c r="G71" i="3" s="1"/>
  <c r="AJ72" i="1"/>
  <c r="H71" i="3" s="1"/>
  <c r="AK72" i="1"/>
  <c r="I71" i="3" s="1"/>
  <c r="AH73" i="1"/>
  <c r="F72" i="3" s="1"/>
  <c r="AI73" i="1"/>
  <c r="G72" i="3" s="1"/>
  <c r="AJ73" i="1"/>
  <c r="H72" i="3" s="1"/>
  <c r="AK73" i="1"/>
  <c r="I72" i="3" s="1"/>
  <c r="AH74" i="1"/>
  <c r="F73" i="3" s="1"/>
  <c r="AI74" i="1"/>
  <c r="G73" i="3" s="1"/>
  <c r="AJ74" i="1"/>
  <c r="H73" i="3" s="1"/>
  <c r="AK74" i="1"/>
  <c r="I73" i="3" s="1"/>
  <c r="AH75" i="1"/>
  <c r="F74" i="3" s="1"/>
  <c r="AI75" i="1"/>
  <c r="G74" i="3" s="1"/>
  <c r="AJ75" i="1"/>
  <c r="H74" i="3" s="1"/>
  <c r="AK75" i="1"/>
  <c r="I74" i="3" s="1"/>
  <c r="AH76" i="1"/>
  <c r="F75" i="3" s="1"/>
  <c r="AI76" i="1"/>
  <c r="G75" i="3" s="1"/>
  <c r="AJ76" i="1"/>
  <c r="H75" i="3" s="1"/>
  <c r="AK76" i="1"/>
  <c r="I75" i="3" s="1"/>
  <c r="AH77" i="1"/>
  <c r="F76" i="3" s="1"/>
  <c r="AI77" i="1"/>
  <c r="G76" i="3" s="1"/>
  <c r="AJ77" i="1"/>
  <c r="H76" i="3" s="1"/>
  <c r="AK77" i="1"/>
  <c r="I76" i="3" s="1"/>
  <c r="AH78" i="1"/>
  <c r="F77" i="3" s="1"/>
  <c r="AI78" i="1"/>
  <c r="G77" i="3" s="1"/>
  <c r="AJ78" i="1"/>
  <c r="H77" i="3" s="1"/>
  <c r="AK78" i="1"/>
  <c r="I77" i="3" s="1"/>
  <c r="AH79" i="1"/>
  <c r="F78" i="3" s="1"/>
  <c r="AI79" i="1"/>
  <c r="G78" i="3" s="1"/>
  <c r="AJ79" i="1"/>
  <c r="H78" i="3" s="1"/>
  <c r="AK79" i="1"/>
  <c r="I78" i="3" s="1"/>
  <c r="AH80" i="1"/>
  <c r="F79" i="3" s="1"/>
  <c r="AI80" i="1"/>
  <c r="G79" i="3" s="1"/>
  <c r="AJ80" i="1"/>
  <c r="H79" i="3" s="1"/>
  <c r="AK80" i="1"/>
  <c r="I79" i="3" s="1"/>
  <c r="AH81" i="1"/>
  <c r="F80" i="3" s="1"/>
  <c r="AI81" i="1"/>
  <c r="G80" i="3" s="1"/>
  <c r="AJ81" i="1"/>
  <c r="H80" i="3" s="1"/>
  <c r="AK81" i="1"/>
  <c r="I80" i="3" s="1"/>
  <c r="AH82" i="1"/>
  <c r="F81" i="3" s="1"/>
  <c r="AI82" i="1"/>
  <c r="G81" i="3" s="1"/>
  <c r="AJ82" i="1"/>
  <c r="H81" i="3" s="1"/>
  <c r="AK82" i="1"/>
  <c r="I81" i="3" s="1"/>
  <c r="AH83" i="1"/>
  <c r="F82" i="3" s="1"/>
  <c r="AI83" i="1"/>
  <c r="G82" i="3" s="1"/>
  <c r="AJ83" i="1"/>
  <c r="H82" i="3" s="1"/>
  <c r="AK83" i="1"/>
  <c r="I82" i="3" s="1"/>
  <c r="AH84" i="1"/>
  <c r="F83" i="3" s="1"/>
  <c r="AI84" i="1"/>
  <c r="G83" i="3" s="1"/>
  <c r="AJ84" i="1"/>
  <c r="H83" i="3" s="1"/>
  <c r="AK84" i="1"/>
  <c r="I83" i="3" s="1"/>
  <c r="AH85" i="1"/>
  <c r="F84" i="3" s="1"/>
  <c r="AI85" i="1"/>
  <c r="G84" i="3" s="1"/>
  <c r="AJ85" i="1"/>
  <c r="H84" i="3" s="1"/>
  <c r="AK85" i="1"/>
  <c r="I84" i="3" s="1"/>
  <c r="AH86" i="1"/>
  <c r="F85" i="3" s="1"/>
  <c r="AI86" i="1"/>
  <c r="G85" i="3" s="1"/>
  <c r="AJ86" i="1"/>
  <c r="H85" i="3" s="1"/>
  <c r="AK86" i="1"/>
  <c r="I85" i="3" s="1"/>
  <c r="AH87" i="1"/>
  <c r="F86" i="3" s="1"/>
  <c r="AI87" i="1"/>
  <c r="G86" i="3" s="1"/>
  <c r="AJ87" i="1"/>
  <c r="H86" i="3" s="1"/>
  <c r="AK87" i="1"/>
  <c r="I86" i="3" s="1"/>
  <c r="AH88" i="1"/>
  <c r="F87" i="3" s="1"/>
  <c r="AI88" i="1"/>
  <c r="G87" i="3" s="1"/>
  <c r="AJ88" i="1"/>
  <c r="H87" i="3" s="1"/>
  <c r="AK88" i="1"/>
  <c r="I87" i="3" s="1"/>
  <c r="AH89" i="1"/>
  <c r="F88" i="3" s="1"/>
  <c r="AI89" i="1"/>
  <c r="G88" i="3" s="1"/>
  <c r="AJ89" i="1"/>
  <c r="H88" i="3" s="1"/>
  <c r="AK89" i="1"/>
  <c r="I88" i="3" s="1"/>
  <c r="AH90" i="1"/>
  <c r="F89" i="3" s="1"/>
  <c r="AI90" i="1"/>
  <c r="G89" i="3" s="1"/>
  <c r="AJ90" i="1"/>
  <c r="H89" i="3" s="1"/>
  <c r="AK90" i="1"/>
  <c r="I89" i="3" s="1"/>
  <c r="AH91" i="1"/>
  <c r="F90" i="3" s="1"/>
  <c r="AI91" i="1"/>
  <c r="G90" i="3" s="1"/>
  <c r="AJ91" i="1"/>
  <c r="H90" i="3" s="1"/>
  <c r="AH92" i="1"/>
  <c r="F91" i="3" s="1"/>
  <c r="AI92" i="1"/>
  <c r="G91" i="3" s="1"/>
  <c r="AJ92" i="1"/>
  <c r="H91" i="3" s="1"/>
  <c r="AH93" i="1"/>
  <c r="AH94" i="1"/>
  <c r="AH95" i="1" l="1"/>
  <c r="AK91" i="1"/>
  <c r="I90" i="3" s="1"/>
  <c r="AI93" i="1"/>
  <c r="AG93" i="1"/>
  <c r="AG48" i="1"/>
  <c r="E47" i="3" s="1"/>
  <c r="AG24" i="1"/>
  <c r="E23" i="3" s="1"/>
  <c r="AG91" i="1"/>
  <c r="E90" i="3" s="1"/>
  <c r="AG83" i="1"/>
  <c r="E82" i="3" s="1"/>
  <c r="AG75" i="1"/>
  <c r="E74" i="3" s="1"/>
  <c r="AG67" i="1"/>
  <c r="E66" i="3" s="1"/>
  <c r="AG59" i="1"/>
  <c r="E58" i="3" s="1"/>
  <c r="AG51" i="1"/>
  <c r="E50" i="3" s="1"/>
  <c r="AG43" i="1"/>
  <c r="E42" i="3" s="1"/>
  <c r="AG35" i="1"/>
  <c r="E34" i="3" s="1"/>
  <c r="AG27" i="1"/>
  <c r="E26" i="3" s="1"/>
  <c r="AG19" i="1"/>
  <c r="E18" i="3" s="1"/>
  <c r="AG11" i="1"/>
  <c r="E10" i="3" s="1"/>
  <c r="AG96" i="1"/>
  <c r="AG64" i="1"/>
  <c r="E63" i="3" s="1"/>
  <c r="AG16" i="1"/>
  <c r="E15" i="3" s="1"/>
  <c r="AG95" i="1"/>
  <c r="AG86" i="1"/>
  <c r="E85" i="3" s="1"/>
  <c r="AG78" i="1"/>
  <c r="E77" i="3" s="1"/>
  <c r="AG70" i="1"/>
  <c r="E69" i="3" s="1"/>
  <c r="AG62" i="1"/>
  <c r="E61" i="3" s="1"/>
  <c r="AG54" i="1"/>
  <c r="E53" i="3" s="1"/>
  <c r="AG46" i="1"/>
  <c r="E45" i="3" s="1"/>
  <c r="AG38" i="1"/>
  <c r="E37" i="3" s="1"/>
  <c r="AG30" i="1"/>
  <c r="E29" i="3" s="1"/>
  <c r="AG22" i="1"/>
  <c r="E21" i="3" s="1"/>
  <c r="AG14" i="1"/>
  <c r="E13" i="3" s="1"/>
  <c r="AG6" i="1"/>
  <c r="E5" i="3" s="1"/>
  <c r="AG72" i="1"/>
  <c r="E71" i="3" s="1"/>
  <c r="AG8" i="1"/>
  <c r="E7" i="3" s="1"/>
  <c r="AG89" i="1"/>
  <c r="E88" i="3" s="1"/>
  <c r="AG81" i="1"/>
  <c r="E80" i="3" s="1"/>
  <c r="AG73" i="1"/>
  <c r="E72" i="3" s="1"/>
  <c r="AG65" i="1"/>
  <c r="E64" i="3" s="1"/>
  <c r="AG57" i="1"/>
  <c r="E56" i="3" s="1"/>
  <c r="AG49" i="1"/>
  <c r="E48" i="3" s="1"/>
  <c r="AG41" i="1"/>
  <c r="E40" i="3" s="1"/>
  <c r="AG33" i="1"/>
  <c r="E32" i="3" s="1"/>
  <c r="AG25" i="1"/>
  <c r="E24" i="3" s="1"/>
  <c r="AG17" i="1"/>
  <c r="E16" i="3" s="1"/>
  <c r="AG9" i="1"/>
  <c r="E8" i="3" s="1"/>
  <c r="AG40" i="1"/>
  <c r="E39" i="3" s="1"/>
  <c r="AG92" i="1"/>
  <c r="E91" i="3" s="1"/>
  <c r="AG84" i="1"/>
  <c r="E83" i="3" s="1"/>
  <c r="AG76" i="1"/>
  <c r="E75" i="3" s="1"/>
  <c r="AG68" i="1"/>
  <c r="E67" i="3" s="1"/>
  <c r="AG60" i="1"/>
  <c r="E59" i="3" s="1"/>
  <c r="AG52" i="1"/>
  <c r="E51" i="3" s="1"/>
  <c r="AG44" i="1"/>
  <c r="E43" i="3" s="1"/>
  <c r="AG36" i="1"/>
  <c r="E35" i="3" s="1"/>
  <c r="AG28" i="1"/>
  <c r="E27" i="3" s="1"/>
  <c r="AG20" i="1"/>
  <c r="E19" i="3" s="1"/>
  <c r="AG12" i="1"/>
  <c r="E11" i="3" s="1"/>
  <c r="AG88" i="1"/>
  <c r="E87" i="3" s="1"/>
  <c r="AG94" i="1"/>
  <c r="AG87" i="1"/>
  <c r="E86" i="3" s="1"/>
  <c r="AG79" i="1"/>
  <c r="E78" i="3" s="1"/>
  <c r="AG71" i="1"/>
  <c r="E70" i="3" s="1"/>
  <c r="AG63" i="1"/>
  <c r="E62" i="3" s="1"/>
  <c r="AG55" i="1"/>
  <c r="E54" i="3" s="1"/>
  <c r="AG47" i="1"/>
  <c r="E46" i="3" s="1"/>
  <c r="AG39" i="1"/>
  <c r="E38" i="3" s="1"/>
  <c r="AG31" i="1"/>
  <c r="E30" i="3" s="1"/>
  <c r="AG23" i="1"/>
  <c r="E22" i="3" s="1"/>
  <c r="AG15" i="1"/>
  <c r="E14" i="3" s="1"/>
  <c r="AG7" i="1"/>
  <c r="E6" i="3" s="1"/>
  <c r="AG56" i="1"/>
  <c r="E55" i="3" s="1"/>
  <c r="AG32" i="1"/>
  <c r="E31" i="3" s="1"/>
  <c r="AG90" i="1"/>
  <c r="E89" i="3" s="1"/>
  <c r="AG82" i="1"/>
  <c r="E81" i="3" s="1"/>
  <c r="AG74" i="1"/>
  <c r="E73" i="3" s="1"/>
  <c r="AG66" i="1"/>
  <c r="E65" i="3" s="1"/>
  <c r="AG58" i="1"/>
  <c r="E57" i="3" s="1"/>
  <c r="AG50" i="1"/>
  <c r="E49" i="3" s="1"/>
  <c r="AG42" i="1"/>
  <c r="E41" i="3" s="1"/>
  <c r="AG34" i="1"/>
  <c r="E33" i="3" s="1"/>
  <c r="AG26" i="1"/>
  <c r="E25" i="3" s="1"/>
  <c r="AG18" i="1"/>
  <c r="E17" i="3" s="1"/>
  <c r="AG10" i="1"/>
  <c r="E9" i="3" s="1"/>
  <c r="AG80" i="1"/>
  <c r="E79" i="3" s="1"/>
  <c r="AG85" i="1"/>
  <c r="E84" i="3" s="1"/>
  <c r="AG77" i="1"/>
  <c r="E76" i="3" s="1"/>
  <c r="AG69" i="1"/>
  <c r="E68" i="3" s="1"/>
  <c r="AG61" i="1"/>
  <c r="E60" i="3" s="1"/>
  <c r="AG53" i="1"/>
  <c r="E52" i="3" s="1"/>
  <c r="AG45" i="1"/>
  <c r="E44" i="3" s="1"/>
  <c r="AG37" i="1"/>
  <c r="E36" i="3" s="1"/>
  <c r="AG29" i="1"/>
  <c r="E28" i="3" s="1"/>
  <c r="AG21" i="1"/>
  <c r="E20" i="3" s="1"/>
  <c r="AG13" i="1"/>
  <c r="E12" i="3" s="1"/>
  <c r="AG5" i="1"/>
  <c r="E4" i="3" s="1"/>
  <c r="AI94" i="1" l="1"/>
  <c r="AJ93" i="1"/>
  <c r="AK92" i="1"/>
  <c r="I91" i="3" s="1"/>
  <c r="AH96" i="1"/>
  <c r="AG97" i="1"/>
  <c r="AH97" i="1" l="1"/>
  <c r="AJ94" i="1"/>
  <c r="AK93" i="1"/>
  <c r="AI95" i="1"/>
  <c r="AG98" i="1"/>
  <c r="AI96" i="1" l="1"/>
  <c r="AJ95" i="1"/>
  <c r="AK94" i="1"/>
  <c r="AH98" i="1"/>
  <c r="AG99" i="1"/>
  <c r="AH99" i="1" l="1"/>
  <c r="AJ96" i="1"/>
  <c r="AK95" i="1"/>
  <c r="AI97" i="1"/>
  <c r="AG100" i="1"/>
  <c r="AI98" i="1" l="1"/>
  <c r="AJ97" i="1"/>
  <c r="AK96" i="1"/>
  <c r="AH100" i="1"/>
  <c r="AG101" i="1"/>
  <c r="AH101" i="1" l="1"/>
  <c r="AJ98" i="1"/>
  <c r="AK97" i="1"/>
  <c r="AI99" i="1"/>
  <c r="AG102" i="1"/>
  <c r="AK98" i="1" l="1"/>
  <c r="AJ99" i="1"/>
  <c r="AI100" i="1"/>
  <c r="AH103" i="1"/>
  <c r="AH102" i="1"/>
  <c r="AG103" i="1"/>
  <c r="AJ100" i="1" l="1"/>
  <c r="AI101" i="1"/>
  <c r="AK99" i="1"/>
  <c r="AK100" i="1" l="1"/>
  <c r="AI103" i="1"/>
  <c r="AI102" i="1"/>
  <c r="AJ101" i="1"/>
  <c r="AJ103" i="1" l="1"/>
  <c r="AJ102" i="1"/>
  <c r="AK101" i="1"/>
  <c r="AK103" i="1" l="1"/>
  <c r="AK102" i="1"/>
  <c r="Y5" i="1" l="1"/>
  <c r="Y6" i="1"/>
  <c r="W4" i="1"/>
  <c r="Y4" i="1"/>
  <c r="V5" i="1"/>
  <c r="V4" i="1"/>
  <c r="Q4" i="1"/>
  <c r="R4" i="1" l="1"/>
  <c r="S6" i="1"/>
  <c r="BI6" i="1" s="1"/>
  <c r="Q47" i="1"/>
  <c r="X4" i="1"/>
  <c r="Q5" i="1"/>
  <c r="P5" i="1"/>
  <c r="BF5" i="1" s="1"/>
  <c r="S4" i="1"/>
  <c r="BI4" i="1" s="1"/>
  <c r="P4" i="1"/>
  <c r="BF4" i="1" s="1"/>
  <c r="S5" i="1"/>
  <c r="BI5" i="1" s="1"/>
  <c r="BG4" i="1"/>
  <c r="Y51" i="1"/>
  <c r="Y74" i="1"/>
  <c r="Y97" i="1"/>
  <c r="Y73" i="1"/>
  <c r="W58" i="1"/>
  <c r="W20" i="1"/>
  <c r="X45" i="1"/>
  <c r="W40" i="1"/>
  <c r="V59" i="1"/>
  <c r="W17" i="1"/>
  <c r="X28" i="1"/>
  <c r="V54" i="1"/>
  <c r="Y7" i="1"/>
  <c r="V14" i="1"/>
  <c r="X19" i="1"/>
  <c r="V43" i="1"/>
  <c r="Y24" i="1"/>
  <c r="Y78" i="1"/>
  <c r="W24" i="1"/>
  <c r="X40" i="1"/>
  <c r="W56" i="1"/>
  <c r="W71" i="1"/>
  <c r="W7" i="1"/>
  <c r="Y101" i="1"/>
  <c r="Y38" i="1"/>
  <c r="Y57" i="1"/>
  <c r="X102" i="1"/>
  <c r="V101" i="1"/>
  <c r="Y31" i="1"/>
  <c r="X10" i="1"/>
  <c r="X49" i="1"/>
  <c r="X7" i="1"/>
  <c r="V87" i="1"/>
  <c r="V10" i="1"/>
  <c r="V8" i="1"/>
  <c r="V21" i="1"/>
  <c r="Y8" i="1"/>
  <c r="Y12" i="1"/>
  <c r="X46" i="1"/>
  <c r="V46" i="1"/>
  <c r="Y76" i="1"/>
  <c r="Y59" i="1"/>
  <c r="W46" i="1"/>
  <c r="X81" i="1"/>
  <c r="Y65" i="1"/>
  <c r="X70" i="1"/>
  <c r="Y95" i="1"/>
  <c r="W102" i="1"/>
  <c r="X63" i="1"/>
  <c r="V89" i="1"/>
  <c r="V65" i="1"/>
  <c r="Y25" i="1"/>
  <c r="X75" i="1"/>
  <c r="Y9" i="1"/>
  <c r="Y60" i="1"/>
  <c r="X57" i="1"/>
  <c r="V19" i="1"/>
  <c r="W98" i="1"/>
  <c r="W86" i="1"/>
  <c r="Y66" i="1"/>
  <c r="Y22" i="1"/>
  <c r="W72" i="1"/>
  <c r="W67" i="1"/>
  <c r="X34" i="1"/>
  <c r="V73" i="1"/>
  <c r="V85" i="1"/>
  <c r="Y86" i="1"/>
  <c r="W75" i="1"/>
  <c r="W87" i="1"/>
  <c r="V47" i="1"/>
  <c r="V52" i="1"/>
  <c r="Y43" i="1"/>
  <c r="W91" i="1"/>
  <c r="X85" i="1"/>
  <c r="X20" i="1"/>
  <c r="V30" i="1"/>
  <c r="Y61" i="1"/>
  <c r="W22" i="1"/>
  <c r="X82" i="1"/>
  <c r="X5" i="1"/>
  <c r="Y15" i="1"/>
  <c r="W76" i="1"/>
  <c r="X38" i="1"/>
  <c r="X15" i="1"/>
  <c r="V93" i="1"/>
  <c r="Y83" i="1"/>
  <c r="W64" i="1"/>
  <c r="X93" i="1"/>
  <c r="V61" i="1"/>
  <c r="V75" i="1"/>
  <c r="Y26" i="1"/>
  <c r="Y16" i="1"/>
  <c r="W89" i="1"/>
  <c r="V33" i="1"/>
  <c r="V44" i="1"/>
  <c r="Y79" i="1"/>
  <c r="W100" i="1"/>
  <c r="W36" i="1"/>
  <c r="X68" i="1"/>
  <c r="V95" i="1"/>
  <c r="Y17" i="1"/>
  <c r="W62" i="1"/>
  <c r="X52" i="1"/>
  <c r="X88" i="1"/>
  <c r="V63" i="1"/>
  <c r="Y80" i="1"/>
  <c r="Y40" i="1"/>
  <c r="W94" i="1"/>
  <c r="X17" i="1"/>
  <c r="Y47" i="1"/>
  <c r="W80" i="1"/>
  <c r="W29" i="1"/>
  <c r="X76" i="1"/>
  <c r="X91" i="1"/>
  <c r="V80" i="1"/>
  <c r="V11" i="1"/>
  <c r="V13" i="1"/>
  <c r="Y10" i="1"/>
  <c r="W42" i="1"/>
  <c r="X98" i="1"/>
  <c r="W39" i="1"/>
  <c r="Y85" i="1"/>
  <c r="V81" i="1"/>
  <c r="X103" i="1"/>
  <c r="X43" i="1"/>
  <c r="V27" i="1"/>
  <c r="Y93" i="1"/>
  <c r="W78" i="1"/>
  <c r="W51" i="1"/>
  <c r="X58" i="1"/>
  <c r="X86" i="1"/>
  <c r="Y81" i="1"/>
  <c r="Y89" i="1"/>
  <c r="W52" i="1"/>
  <c r="X22" i="1"/>
  <c r="X64" i="1"/>
  <c r="V82" i="1"/>
  <c r="Y19" i="1"/>
  <c r="X35" i="1"/>
  <c r="X54" i="1"/>
  <c r="Y99" i="1"/>
  <c r="W5" i="1"/>
  <c r="W69" i="1"/>
  <c r="X41" i="1"/>
  <c r="V103" i="1"/>
  <c r="V66" i="1"/>
  <c r="Y71" i="1"/>
  <c r="W82" i="1"/>
  <c r="W54" i="1"/>
  <c r="X32" i="1"/>
  <c r="X50" i="1"/>
  <c r="V38" i="1"/>
  <c r="V31" i="1"/>
  <c r="W10" i="1"/>
  <c r="V91" i="1"/>
  <c r="Y55" i="1"/>
  <c r="Y27" i="1"/>
  <c r="W61" i="1"/>
  <c r="X11" i="1"/>
  <c r="V50" i="1"/>
  <c r="Y45" i="1"/>
  <c r="Y20" i="1"/>
  <c r="W93" i="1"/>
  <c r="W83" i="1"/>
  <c r="X83" i="1"/>
  <c r="X60" i="1"/>
  <c r="V23" i="1"/>
  <c r="V55" i="1"/>
  <c r="Y68" i="1"/>
  <c r="Y33" i="1"/>
  <c r="X47" i="1"/>
  <c r="V40" i="1"/>
  <c r="V83" i="1"/>
  <c r="Y90" i="1"/>
  <c r="Y34" i="1"/>
  <c r="W28" i="1"/>
  <c r="W13" i="1"/>
  <c r="X96" i="1"/>
  <c r="V57" i="1"/>
  <c r="V96" i="1"/>
  <c r="Y28" i="1"/>
  <c r="Y62" i="1"/>
  <c r="W33" i="1"/>
  <c r="X29" i="1"/>
  <c r="X72" i="1"/>
  <c r="V77" i="1"/>
  <c r="V99" i="1"/>
  <c r="Y11" i="1"/>
  <c r="W14" i="1"/>
  <c r="W48" i="1"/>
  <c r="X78" i="1"/>
  <c r="V36" i="1"/>
  <c r="V68" i="1"/>
  <c r="V16" i="1"/>
  <c r="BH4" i="1" l="1"/>
  <c r="BG5" i="1"/>
  <c r="P40" i="1"/>
  <c r="W15" i="1"/>
  <c r="R33" i="1"/>
  <c r="P70" i="1"/>
  <c r="P11" i="1"/>
  <c r="BF11" i="1" s="1"/>
  <c r="S90" i="1"/>
  <c r="Q61" i="1"/>
  <c r="Q102" i="1"/>
  <c r="S38" i="1"/>
  <c r="BI38" i="1" s="1"/>
  <c r="R31" i="1"/>
  <c r="R74" i="1"/>
  <c r="P49" i="1"/>
  <c r="P55" i="1"/>
  <c r="BF55" i="1" s="1"/>
  <c r="P10" i="1"/>
  <c r="Q73" i="1"/>
  <c r="P39" i="1"/>
  <c r="S87" i="1"/>
  <c r="P21" i="1"/>
  <c r="P58" i="1"/>
  <c r="P88" i="1"/>
  <c r="S93" i="1"/>
  <c r="BI93" i="1" s="1"/>
  <c r="R19" i="1"/>
  <c r="BH19" i="1" s="1"/>
  <c r="Q84" i="1"/>
  <c r="P87" i="1"/>
  <c r="BF87" i="1" s="1"/>
  <c r="S101" i="1"/>
  <c r="BI101" i="1" s="1"/>
  <c r="R48" i="1"/>
  <c r="Q43" i="1"/>
  <c r="S59" i="1"/>
  <c r="BI59" i="1" s="1"/>
  <c r="R99" i="1"/>
  <c r="P89" i="1"/>
  <c r="BF89" i="1" s="1"/>
  <c r="S17" i="1"/>
  <c r="O4" i="1"/>
  <c r="S27" i="1"/>
  <c r="BI27" i="1" s="1"/>
  <c r="Q39" i="1"/>
  <c r="BG39" i="1" s="1"/>
  <c r="P75" i="1"/>
  <c r="S26" i="1"/>
  <c r="BI26" i="1" s="1"/>
  <c r="R73" i="1"/>
  <c r="P63" i="1"/>
  <c r="S43" i="1"/>
  <c r="BI43" i="1" s="1"/>
  <c r="R26" i="1"/>
  <c r="P90" i="1"/>
  <c r="P85" i="1"/>
  <c r="S96" i="1"/>
  <c r="Q79" i="1"/>
  <c r="S22" i="1"/>
  <c r="BI22" i="1" s="1"/>
  <c r="Q35" i="1"/>
  <c r="S57" i="1"/>
  <c r="BI57" i="1" s="1"/>
  <c r="Q6" i="1"/>
  <c r="Q30" i="1"/>
  <c r="V78" i="1"/>
  <c r="W84" i="1"/>
  <c r="W95" i="1"/>
  <c r="W37" i="1"/>
  <c r="Y29" i="1"/>
  <c r="W23" i="1"/>
  <c r="W11" i="1"/>
  <c r="W96" i="1"/>
  <c r="V18" i="1"/>
  <c r="Y82" i="1"/>
  <c r="BF85" i="1"/>
  <c r="V86" i="1"/>
  <c r="V28" i="1"/>
  <c r="V56" i="1"/>
  <c r="V76" i="1"/>
  <c r="V25" i="1"/>
  <c r="V22" i="1"/>
  <c r="Y100" i="1"/>
  <c r="V98" i="1"/>
  <c r="V20" i="1"/>
  <c r="Y32" i="1"/>
  <c r="Y50" i="1"/>
  <c r="W103" i="1"/>
  <c r="Y37" i="1"/>
  <c r="X16" i="1"/>
  <c r="Y96" i="1"/>
  <c r="Y46" i="1"/>
  <c r="Y98" i="1"/>
  <c r="Y30" i="1"/>
  <c r="Y56" i="1"/>
  <c r="Y75" i="1"/>
  <c r="Q29" i="1"/>
  <c r="BG29" i="1" s="1"/>
  <c r="R50" i="1"/>
  <c r="BH50" i="1" s="1"/>
  <c r="Y69" i="1"/>
  <c r="P79" i="1"/>
  <c r="R101" i="1"/>
  <c r="Q91" i="1"/>
  <c r="BG91" i="1" s="1"/>
  <c r="P86" i="1"/>
  <c r="P34" i="1"/>
  <c r="S12" i="1"/>
  <c r="BI12" i="1" s="1"/>
  <c r="R70" i="1"/>
  <c r="BH70" i="1" s="1"/>
  <c r="S33" i="1"/>
  <c r="R8" i="1"/>
  <c r="S72" i="1"/>
  <c r="R44" i="1"/>
  <c r="P99" i="1"/>
  <c r="BF99" i="1" s="1"/>
  <c r="P20" i="1"/>
  <c r="P57" i="1"/>
  <c r="BF57" i="1" s="1"/>
  <c r="S19" i="1"/>
  <c r="BI19" i="1" s="1"/>
  <c r="R88" i="1"/>
  <c r="BH88" i="1" s="1"/>
  <c r="P78" i="1"/>
  <c r="P28" i="1"/>
  <c r="P31" i="1"/>
  <c r="BF31" i="1" s="1"/>
  <c r="P51" i="1"/>
  <c r="P93" i="1"/>
  <c r="S55" i="1"/>
  <c r="BI55" i="1" s="1"/>
  <c r="S71" i="1"/>
  <c r="BI71" i="1" s="1"/>
  <c r="Q87" i="1"/>
  <c r="P8" i="1"/>
  <c r="BF8" i="1" s="1"/>
  <c r="S88" i="1"/>
  <c r="S61" i="1"/>
  <c r="BI61" i="1" s="1"/>
  <c r="Q103" i="1"/>
  <c r="P77" i="1"/>
  <c r="BF77" i="1" s="1"/>
  <c r="S25" i="1"/>
  <c r="BI25" i="1" s="1"/>
  <c r="R97" i="1"/>
  <c r="P83" i="1"/>
  <c r="BF83" i="1" s="1"/>
  <c r="S10" i="1"/>
  <c r="BI10" i="1" s="1"/>
  <c r="S56" i="1"/>
  <c r="S74" i="1"/>
  <c r="BI74" i="1" s="1"/>
  <c r="Q44" i="1"/>
  <c r="P65" i="1"/>
  <c r="BF65" i="1" s="1"/>
  <c r="S13" i="1"/>
  <c r="R89" i="1"/>
  <c r="Q60" i="1"/>
  <c r="S29" i="1"/>
  <c r="R79" i="1"/>
  <c r="Q100" i="1"/>
  <c r="BG100" i="1" s="1"/>
  <c r="P61" i="1"/>
  <c r="BF61" i="1" s="1"/>
  <c r="S70" i="1"/>
  <c r="Q49" i="1"/>
  <c r="P50" i="1"/>
  <c r="BF50" i="1" s="1"/>
  <c r="Q21" i="1"/>
  <c r="Q32" i="1"/>
  <c r="Q20" i="1"/>
  <c r="BG20" i="1" s="1"/>
  <c r="Q8" i="1"/>
  <c r="BF40" i="1"/>
  <c r="W63" i="1"/>
  <c r="W55" i="1"/>
  <c r="W8" i="1"/>
  <c r="W49" i="1"/>
  <c r="Y35" i="1"/>
  <c r="Y13" i="1"/>
  <c r="Y52" i="1"/>
  <c r="Y18" i="1"/>
  <c r="V15" i="1"/>
  <c r="Y53" i="1"/>
  <c r="X92" i="1"/>
  <c r="X99" i="1"/>
  <c r="X25" i="1"/>
  <c r="V51" i="1"/>
  <c r="V48" i="1"/>
  <c r="V92" i="1"/>
  <c r="V67" i="1"/>
  <c r="V100" i="1"/>
  <c r="V32" i="1"/>
  <c r="Y64" i="1"/>
  <c r="Y41" i="1"/>
  <c r="Y36" i="1"/>
  <c r="V7" i="1"/>
  <c r="Y77" i="1"/>
  <c r="Y54" i="1"/>
  <c r="X9" i="1"/>
  <c r="Y42" i="1"/>
  <c r="V74" i="1"/>
  <c r="V29" i="1"/>
  <c r="V45" i="1"/>
  <c r="V88" i="1"/>
  <c r="BF88" i="1" s="1"/>
  <c r="V90" i="1"/>
  <c r="Q94" i="1"/>
  <c r="BG94" i="1" s="1"/>
  <c r="P36" i="1"/>
  <c r="BF36" i="1" s="1"/>
  <c r="R20" i="1"/>
  <c r="BH20" i="1" s="1"/>
  <c r="R80" i="1"/>
  <c r="P66" i="1"/>
  <c r="BI90" i="1"/>
  <c r="P69" i="1"/>
  <c r="S15" i="1"/>
  <c r="BI15" i="1" s="1"/>
  <c r="R52" i="1"/>
  <c r="BH52" i="1" s="1"/>
  <c r="Q98" i="1"/>
  <c r="BG98" i="1" s="1"/>
  <c r="S23" i="1"/>
  <c r="R82" i="1"/>
  <c r="BH82" i="1" s="1"/>
  <c r="S62" i="1"/>
  <c r="BI62" i="1" s="1"/>
  <c r="R40" i="1"/>
  <c r="BH40" i="1" s="1"/>
  <c r="P97" i="1"/>
  <c r="Q68" i="1"/>
  <c r="P94" i="1"/>
  <c r="S53" i="1"/>
  <c r="R94" i="1"/>
  <c r="Q59" i="1"/>
  <c r="P18" i="1"/>
  <c r="Q76" i="1"/>
  <c r="BG76" i="1" s="1"/>
  <c r="P52" i="1"/>
  <c r="BF52" i="1" s="1"/>
  <c r="P60" i="1"/>
  <c r="S37" i="1"/>
  <c r="S65" i="1"/>
  <c r="BI65" i="1" s="1"/>
  <c r="R78" i="1"/>
  <c r="BH78" i="1" s="1"/>
  <c r="S91" i="1"/>
  <c r="Q90" i="1"/>
  <c r="P76" i="1"/>
  <c r="S58" i="1"/>
  <c r="R41" i="1"/>
  <c r="BH41" i="1" s="1"/>
  <c r="P7" i="1"/>
  <c r="P38" i="1"/>
  <c r="BF38" i="1" s="1"/>
  <c r="S97" i="1"/>
  <c r="BI97" i="1" s="1"/>
  <c r="S60" i="1"/>
  <c r="BI60" i="1" s="1"/>
  <c r="R39" i="1"/>
  <c r="Q46" i="1"/>
  <c r="BG46" i="1" s="1"/>
  <c r="S50" i="1"/>
  <c r="R17" i="1"/>
  <c r="BH17" i="1" s="1"/>
  <c r="R55" i="1"/>
  <c r="P102" i="1"/>
  <c r="S82" i="1"/>
  <c r="R91" i="1"/>
  <c r="BH91" i="1" s="1"/>
  <c r="R18" i="1"/>
  <c r="P9" i="1"/>
  <c r="S14" i="1"/>
  <c r="R30" i="1"/>
  <c r="P29" i="1"/>
  <c r="O6" i="1"/>
  <c r="Q10" i="1"/>
  <c r="BG10" i="1" s="1"/>
  <c r="Q13" i="1"/>
  <c r="BG13" i="1" s="1"/>
  <c r="Q22" i="1"/>
  <c r="BG22" i="1" s="1"/>
  <c r="Y72" i="1"/>
  <c r="Y44" i="1"/>
  <c r="Y91" i="1"/>
  <c r="BI17" i="1"/>
  <c r="Y92" i="1"/>
  <c r="V62" i="1"/>
  <c r="X12" i="1"/>
  <c r="X61" i="1"/>
  <c r="X13" i="1"/>
  <c r="X71" i="1"/>
  <c r="X84" i="1"/>
  <c r="X80" i="1"/>
  <c r="X56" i="1"/>
  <c r="V94" i="1"/>
  <c r="X48" i="1"/>
  <c r="BH48" i="1" s="1"/>
  <c r="X62" i="1"/>
  <c r="V102" i="1"/>
  <c r="BF102" i="1" s="1"/>
  <c r="V79" i="1"/>
  <c r="W6" i="1"/>
  <c r="BG6" i="1" s="1"/>
  <c r="V9" i="1"/>
  <c r="Y21" i="1"/>
  <c r="X39" i="1"/>
  <c r="V58" i="1"/>
  <c r="V42" i="1"/>
  <c r="V84" i="1"/>
  <c r="V49" i="1"/>
  <c r="BF49" i="1" s="1"/>
  <c r="V41" i="1"/>
  <c r="X24" i="1"/>
  <c r="W16" i="1"/>
  <c r="Q85" i="1"/>
  <c r="Q45" i="1"/>
  <c r="S98" i="1"/>
  <c r="Q93" i="1"/>
  <c r="BG93" i="1" s="1"/>
  <c r="S83" i="1"/>
  <c r="BI83" i="1" s="1"/>
  <c r="Q99" i="1"/>
  <c r="Q62" i="1"/>
  <c r="BG62" i="1" s="1"/>
  <c r="W25" i="1"/>
  <c r="Q81" i="1"/>
  <c r="S100" i="1"/>
  <c r="Q50" i="1"/>
  <c r="R14" i="1"/>
  <c r="P22" i="1"/>
  <c r="R100" i="1"/>
  <c r="S21" i="1"/>
  <c r="Q82" i="1"/>
  <c r="BG82" i="1" s="1"/>
  <c r="P26" i="1"/>
  <c r="R5" i="1"/>
  <c r="BH5" i="1" s="1"/>
  <c r="Q53" i="1"/>
  <c r="P84" i="1"/>
  <c r="R51" i="1"/>
  <c r="Q97" i="1"/>
  <c r="Q89" i="1"/>
  <c r="BG89" i="1" s="1"/>
  <c r="P98" i="1"/>
  <c r="S35" i="1"/>
  <c r="R53" i="1"/>
  <c r="Q70" i="1"/>
  <c r="P41" i="1"/>
  <c r="P15" i="1"/>
  <c r="R54" i="1"/>
  <c r="BH54" i="1" s="1"/>
  <c r="S95" i="1"/>
  <c r="BI95" i="1" s="1"/>
  <c r="Q86" i="1"/>
  <c r="BG86" i="1" s="1"/>
  <c r="P67" i="1"/>
  <c r="P16" i="1"/>
  <c r="BF16" i="1" s="1"/>
  <c r="P103" i="1"/>
  <c r="BF103" i="1" s="1"/>
  <c r="R32" i="1"/>
  <c r="Q92" i="1"/>
  <c r="P27" i="1"/>
  <c r="BF27" i="1" s="1"/>
  <c r="R63" i="1"/>
  <c r="BH63" i="1" s="1"/>
  <c r="P13" i="1"/>
  <c r="BF13" i="1" s="1"/>
  <c r="S79" i="1"/>
  <c r="BI79" i="1" s="1"/>
  <c r="U4" i="1"/>
  <c r="BE4" i="1" s="1"/>
  <c r="R84" i="1"/>
  <c r="Q65" i="1"/>
  <c r="P96" i="1"/>
  <c r="BF96" i="1" s="1"/>
  <c r="R36" i="1"/>
  <c r="P47" i="1"/>
  <c r="BF47" i="1" s="1"/>
  <c r="Q26" i="1"/>
  <c r="Q23" i="1"/>
  <c r="Q34" i="1"/>
  <c r="X59" i="1"/>
  <c r="X79" i="1"/>
  <c r="V17" i="1"/>
  <c r="BF66" i="1"/>
  <c r="Y67" i="1"/>
  <c r="Y70" i="1"/>
  <c r="BF63" i="1"/>
  <c r="V35" i="1"/>
  <c r="BF75" i="1"/>
  <c r="Y87" i="1"/>
  <c r="BF93" i="1"/>
  <c r="V24" i="1"/>
  <c r="X67" i="1"/>
  <c r="W57" i="1"/>
  <c r="W21" i="1"/>
  <c r="W59" i="1"/>
  <c r="BF21" i="1"/>
  <c r="X6" i="1"/>
  <c r="X97" i="1"/>
  <c r="X51" i="1"/>
  <c r="V72" i="1"/>
  <c r="V60" i="1"/>
  <c r="X23" i="1"/>
  <c r="V64" i="1"/>
  <c r="X89" i="1"/>
  <c r="X37" i="1"/>
  <c r="X27" i="1"/>
  <c r="X66" i="1"/>
  <c r="X44" i="1"/>
  <c r="BH44" i="1" s="1"/>
  <c r="X31" i="1"/>
  <c r="Q24" i="1"/>
  <c r="BG24" i="1" s="1"/>
  <c r="P80" i="1"/>
  <c r="BF80" i="1" s="1"/>
  <c r="S85" i="1"/>
  <c r="BI85" i="1" s="1"/>
  <c r="P62" i="1"/>
  <c r="R98" i="1"/>
  <c r="BH98" i="1" s="1"/>
  <c r="R56" i="1"/>
  <c r="R24" i="1"/>
  <c r="S20" i="1"/>
  <c r="BI20" i="1" s="1"/>
  <c r="Q58" i="1"/>
  <c r="BG58" i="1" s="1"/>
  <c r="Q7" i="1"/>
  <c r="BG7" i="1" s="1"/>
  <c r="S80" i="1"/>
  <c r="BI80" i="1" s="1"/>
  <c r="Q55" i="1"/>
  <c r="Q69" i="1"/>
  <c r="BG69" i="1" s="1"/>
  <c r="S92" i="1"/>
  <c r="R43" i="1"/>
  <c r="BH43" i="1" s="1"/>
  <c r="R7" i="1"/>
  <c r="BH7" i="1" s="1"/>
  <c r="R37" i="1"/>
  <c r="P64" i="1"/>
  <c r="S31" i="1"/>
  <c r="BI31" i="1" s="1"/>
  <c r="Q77" i="1"/>
  <c r="P12" i="1"/>
  <c r="P35" i="1"/>
  <c r="S36" i="1"/>
  <c r="R27" i="1"/>
  <c r="S30" i="1"/>
  <c r="R87" i="1"/>
  <c r="Q51" i="1"/>
  <c r="BG51" i="1" s="1"/>
  <c r="P59" i="1"/>
  <c r="BF59" i="1" s="1"/>
  <c r="S16" i="1"/>
  <c r="BI16" i="1" s="1"/>
  <c r="R42" i="1"/>
  <c r="Q71" i="1"/>
  <c r="BG71" i="1" s="1"/>
  <c r="R102" i="1"/>
  <c r="BH102" i="1" s="1"/>
  <c r="R61" i="1"/>
  <c r="R34" i="1"/>
  <c r="BH34" i="1" s="1"/>
  <c r="P101" i="1"/>
  <c r="BF101" i="1" s="1"/>
  <c r="P19" i="1"/>
  <c r="BF19" i="1" s="1"/>
  <c r="Q56" i="1"/>
  <c r="BG56" i="1" s="1"/>
  <c r="P91" i="1"/>
  <c r="BF91" i="1" s="1"/>
  <c r="P44" i="1"/>
  <c r="BF44" i="1" s="1"/>
  <c r="R13" i="1"/>
  <c r="Q54" i="1"/>
  <c r="BG54" i="1" s="1"/>
  <c r="P54" i="1"/>
  <c r="BF54" i="1" s="1"/>
  <c r="S99" i="1"/>
  <c r="BI99" i="1" s="1"/>
  <c r="R92" i="1"/>
  <c r="Q66" i="1"/>
  <c r="P73" i="1"/>
  <c r="BF73" i="1" s="1"/>
  <c r="P17" i="1"/>
  <c r="R11" i="1"/>
  <c r="BH11" i="1" s="1"/>
  <c r="R66" i="1"/>
  <c r="P48" i="1"/>
  <c r="S64" i="1"/>
  <c r="R85" i="1"/>
  <c r="BH85" i="1" s="1"/>
  <c r="Q88" i="1"/>
  <c r="P95" i="1"/>
  <c r="BF95" i="1" s="1"/>
  <c r="S40" i="1"/>
  <c r="BI40" i="1" s="1"/>
  <c r="R64" i="1"/>
  <c r="Q52" i="1"/>
  <c r="BG52" i="1" s="1"/>
  <c r="P68" i="1"/>
  <c r="BF68" i="1" s="1"/>
  <c r="R35" i="1"/>
  <c r="BH35" i="1" s="1"/>
  <c r="P72" i="1"/>
  <c r="Q16" i="1"/>
  <c r="Q28" i="1"/>
  <c r="BG28" i="1" s="1"/>
  <c r="Q11" i="1"/>
  <c r="W65" i="1"/>
  <c r="BG61" i="1"/>
  <c r="V69" i="1"/>
  <c r="V71" i="1"/>
  <c r="V34" i="1"/>
  <c r="V37" i="1"/>
  <c r="W44" i="1"/>
  <c r="W18" i="1"/>
  <c r="BG87" i="1"/>
  <c r="W79" i="1"/>
  <c r="BG79" i="1" s="1"/>
  <c r="W97" i="1"/>
  <c r="W35" i="1"/>
  <c r="W73" i="1"/>
  <c r="W92" i="1"/>
  <c r="W90" i="1"/>
  <c r="W30" i="1"/>
  <c r="X8" i="1"/>
  <c r="X74" i="1"/>
  <c r="BH74" i="1" s="1"/>
  <c r="V53" i="1"/>
  <c r="X26" i="1"/>
  <c r="W50" i="1"/>
  <c r="X101" i="1"/>
  <c r="BH101" i="1" s="1"/>
  <c r="X69" i="1"/>
  <c r="X18" i="1"/>
  <c r="X90" i="1"/>
  <c r="X33" i="1"/>
  <c r="W85" i="1"/>
  <c r="Y23" i="1"/>
  <c r="Q19" i="1"/>
  <c r="S32" i="1"/>
  <c r="S11" i="1"/>
  <c r="BI11" i="1" s="1"/>
  <c r="Q37" i="1"/>
  <c r="S63" i="1"/>
  <c r="S51" i="1"/>
  <c r="BI51" i="1" s="1"/>
  <c r="Q83" i="1"/>
  <c r="BG83" i="1" s="1"/>
  <c r="Q72" i="1"/>
  <c r="BG72" i="1" s="1"/>
  <c r="Q48" i="1"/>
  <c r="BG48" i="1" s="1"/>
  <c r="S69" i="1"/>
  <c r="Q38" i="1"/>
  <c r="R95" i="1"/>
  <c r="Q25" i="1"/>
  <c r="BH32" i="1"/>
  <c r="Y102" i="1"/>
  <c r="R15" i="1"/>
  <c r="BH15" i="1" s="1"/>
  <c r="P100" i="1"/>
  <c r="Q96" i="1"/>
  <c r="R25" i="1"/>
  <c r="S24" i="1"/>
  <c r="BI24" i="1" s="1"/>
  <c r="R29" i="1"/>
  <c r="BH29" i="1" s="1"/>
  <c r="S77" i="1"/>
  <c r="R76" i="1"/>
  <c r="BH76" i="1" s="1"/>
  <c r="P23" i="1"/>
  <c r="BF23" i="1" s="1"/>
  <c r="S67" i="1"/>
  <c r="R67" i="1"/>
  <c r="R60" i="1"/>
  <c r="BH60" i="1" s="1"/>
  <c r="P14" i="1"/>
  <c r="BF14" i="1" s="1"/>
  <c r="S94" i="1"/>
  <c r="S48" i="1"/>
  <c r="R57" i="1"/>
  <c r="BH57" i="1" s="1"/>
  <c r="Q64" i="1"/>
  <c r="BG64" i="1" s="1"/>
  <c r="S103" i="1"/>
  <c r="R96" i="1"/>
  <c r="BH96" i="1" s="1"/>
  <c r="R38" i="1"/>
  <c r="BH38" i="1" s="1"/>
  <c r="S75" i="1"/>
  <c r="R103" i="1"/>
  <c r="BH103" i="1" s="1"/>
  <c r="R93" i="1"/>
  <c r="BH93" i="1" s="1"/>
  <c r="R59" i="1"/>
  <c r="P6" i="1"/>
  <c r="P43" i="1"/>
  <c r="BF43" i="1" s="1"/>
  <c r="S47" i="1"/>
  <c r="BI47" i="1" s="1"/>
  <c r="R77" i="1"/>
  <c r="P32" i="1"/>
  <c r="P82" i="1"/>
  <c r="BF82" i="1" s="1"/>
  <c r="R9" i="1"/>
  <c r="R6" i="1"/>
  <c r="P33" i="1"/>
  <c r="BF33" i="1" s="1"/>
  <c r="S44" i="1"/>
  <c r="R49" i="1"/>
  <c r="BH49" i="1" s="1"/>
  <c r="Q40" i="1"/>
  <c r="BG40" i="1" s="1"/>
  <c r="R72" i="1"/>
  <c r="BH72" i="1" s="1"/>
  <c r="P46" i="1"/>
  <c r="BF46" i="1" s="1"/>
  <c r="S66" i="1"/>
  <c r="BI66" i="1" s="1"/>
  <c r="R71" i="1"/>
  <c r="P45" i="1"/>
  <c r="S84" i="1"/>
  <c r="Q63" i="1"/>
  <c r="P71" i="1"/>
  <c r="S28" i="1"/>
  <c r="BI28" i="1" s="1"/>
  <c r="S73" i="1"/>
  <c r="BI73" i="1" s="1"/>
  <c r="R86" i="1"/>
  <c r="BH86" i="1" s="1"/>
  <c r="P74" i="1"/>
  <c r="Q36" i="1"/>
  <c r="BG36" i="1" s="1"/>
  <c r="Q17" i="1"/>
  <c r="BG17" i="1" s="1"/>
  <c r="Q15" i="1"/>
  <c r="Q33" i="1"/>
  <c r="BG33" i="1" s="1"/>
  <c r="X36" i="1"/>
  <c r="W43" i="1"/>
  <c r="W27" i="1"/>
  <c r="V97" i="1"/>
  <c r="V70" i="1"/>
  <c r="V39" i="1"/>
  <c r="X73" i="1"/>
  <c r="BH73" i="1" s="1"/>
  <c r="X87" i="1"/>
  <c r="BH87" i="1" s="1"/>
  <c r="Y94" i="1"/>
  <c r="BG102" i="1"/>
  <c r="W19" i="1"/>
  <c r="W74" i="1"/>
  <c r="Y49" i="1"/>
  <c r="V12" i="1"/>
  <c r="W81" i="1"/>
  <c r="W88" i="1"/>
  <c r="W26" i="1"/>
  <c r="W31" i="1"/>
  <c r="X100" i="1"/>
  <c r="X53" i="1"/>
  <c r="X65" i="1"/>
  <c r="V26" i="1"/>
  <c r="X42" i="1"/>
  <c r="W32" i="1"/>
  <c r="W101" i="1"/>
  <c r="W41" i="1"/>
  <c r="W45" i="1"/>
  <c r="W53" i="1"/>
  <c r="S8" i="1"/>
  <c r="BI8" i="1" s="1"/>
  <c r="Q78" i="1"/>
  <c r="BG78" i="1" s="1"/>
  <c r="R16" i="1"/>
  <c r="P92" i="1"/>
  <c r="R10" i="1"/>
  <c r="BH10" i="1" s="1"/>
  <c r="P81" i="1"/>
  <c r="BF81" i="1" s="1"/>
  <c r="S54" i="1"/>
  <c r="R21" i="1"/>
  <c r="P42" i="1"/>
  <c r="R75" i="1"/>
  <c r="BH75" i="1" s="1"/>
  <c r="S46" i="1"/>
  <c r="S52" i="1"/>
  <c r="Q27" i="1"/>
  <c r="Q31" i="1"/>
  <c r="R47" i="1"/>
  <c r="BH47" i="1" s="1"/>
  <c r="P56" i="1"/>
  <c r="Q75" i="1"/>
  <c r="BG75" i="1" s="1"/>
  <c r="P37" i="1"/>
  <c r="O5" i="1"/>
  <c r="S89" i="1"/>
  <c r="BI89" i="1" s="1"/>
  <c r="R65" i="1"/>
  <c r="S41" i="1"/>
  <c r="R12" i="1"/>
  <c r="P30" i="1"/>
  <c r="BF30" i="1" s="1"/>
  <c r="R23" i="1"/>
  <c r="Q42" i="1"/>
  <c r="BG42" i="1" s="1"/>
  <c r="Q41" i="1"/>
  <c r="S45" i="1"/>
  <c r="BI45" i="1" s="1"/>
  <c r="S34" i="1"/>
  <c r="BI34" i="1" s="1"/>
  <c r="R90" i="1"/>
  <c r="Q80" i="1"/>
  <c r="BG80" i="1" s="1"/>
  <c r="S102" i="1"/>
  <c r="R68" i="1"/>
  <c r="BH68" i="1" s="1"/>
  <c r="S81" i="1"/>
  <c r="BI81" i="1" s="1"/>
  <c r="U5" i="1"/>
  <c r="S76" i="1"/>
  <c r="BI76" i="1" s="1"/>
  <c r="S68" i="1"/>
  <c r="BI68" i="1" s="1"/>
  <c r="Q101" i="1"/>
  <c r="Q57" i="1"/>
  <c r="S78" i="1"/>
  <c r="BI78" i="1" s="1"/>
  <c r="R46" i="1"/>
  <c r="BH46" i="1" s="1"/>
  <c r="R83" i="1"/>
  <c r="BH83" i="1" s="1"/>
  <c r="S86" i="1"/>
  <c r="BI86" i="1" s="1"/>
  <c r="R62" i="1"/>
  <c r="P25" i="1"/>
  <c r="S9" i="1"/>
  <c r="BI9" i="1" s="1"/>
  <c r="R58" i="1"/>
  <c r="BH58" i="1" s="1"/>
  <c r="R45" i="1"/>
  <c r="BH45" i="1" s="1"/>
  <c r="R81" i="1"/>
  <c r="BH81" i="1" s="1"/>
  <c r="Q74" i="1"/>
  <c r="S49" i="1"/>
  <c r="R69" i="1"/>
  <c r="Q67" i="1"/>
  <c r="BG67" i="1" s="1"/>
  <c r="P53" i="1"/>
  <c r="S18" i="1"/>
  <c r="R28" i="1"/>
  <c r="BH28" i="1" s="1"/>
  <c r="P24" i="1"/>
  <c r="S42" i="1"/>
  <c r="S39" i="1"/>
  <c r="R22" i="1"/>
  <c r="BH22" i="1" s="1"/>
  <c r="Q95" i="1"/>
  <c r="Q12" i="1"/>
  <c r="Q14" i="1"/>
  <c r="BG14" i="1" s="1"/>
  <c r="Q9" i="1"/>
  <c r="S7" i="1"/>
  <c r="BI7" i="1" s="1"/>
  <c r="W34" i="1"/>
  <c r="BI33" i="1"/>
  <c r="X21" i="1"/>
  <c r="BH64" i="1"/>
  <c r="X77" i="1"/>
  <c r="X95" i="1"/>
  <c r="X55" i="1"/>
  <c r="X94" i="1"/>
  <c r="W77" i="1"/>
  <c r="Y88" i="1"/>
  <c r="BI88" i="1" s="1"/>
  <c r="Y14" i="1"/>
  <c r="V6" i="1"/>
  <c r="Y63" i="1"/>
  <c r="Y84" i="1"/>
  <c r="BI84" i="1" s="1"/>
  <c r="Y39" i="1"/>
  <c r="Y48" i="1"/>
  <c r="BF10" i="1"/>
  <c r="W66" i="1"/>
  <c r="Y58" i="1"/>
  <c r="W68" i="1"/>
  <c r="W47" i="1"/>
  <c r="BG47" i="1" s="1"/>
  <c r="X14" i="1"/>
  <c r="X30" i="1"/>
  <c r="W9" i="1"/>
  <c r="W60" i="1"/>
  <c r="W70" i="1"/>
  <c r="W12" i="1"/>
  <c r="W99" i="1"/>
  <c r="W38" i="1"/>
  <c r="Y103" i="1"/>
  <c r="BI103" i="1" s="1"/>
  <c r="Q18" i="1"/>
  <c r="U42" i="1"/>
  <c r="U77" i="1"/>
  <c r="U28" i="1"/>
  <c r="U20" i="1"/>
  <c r="U39" i="1"/>
  <c r="U66" i="1"/>
  <c r="U73" i="1"/>
  <c r="BF58" i="1" l="1"/>
  <c r="BH33" i="1"/>
  <c r="BF51" i="1"/>
  <c r="BI14" i="1"/>
  <c r="BF34" i="1"/>
  <c r="BH99" i="1"/>
  <c r="BI23" i="1"/>
  <c r="BG90" i="1"/>
  <c r="BF94" i="1"/>
  <c r="BH55" i="1"/>
  <c r="BG26" i="1"/>
  <c r="BI87" i="1"/>
  <c r="BG70" i="1"/>
  <c r="BG43" i="1"/>
  <c r="BG81" i="1"/>
  <c r="BG73" i="1"/>
  <c r="BF97" i="1"/>
  <c r="BH8" i="1"/>
  <c r="BF9" i="1"/>
  <c r="BG68" i="1"/>
  <c r="BG65" i="1"/>
  <c r="BG66" i="1"/>
  <c r="BG45" i="1"/>
  <c r="BF12" i="1"/>
  <c r="BI72" i="1"/>
  <c r="BG60" i="1"/>
  <c r="BH42" i="1"/>
  <c r="BH26" i="1"/>
  <c r="BG77" i="1"/>
  <c r="BG53" i="1"/>
  <c r="BH31" i="1"/>
  <c r="BI63" i="1"/>
  <c r="BF39" i="1"/>
  <c r="BH18" i="1"/>
  <c r="BG35" i="1"/>
  <c r="BH89" i="1"/>
  <c r="BH95" i="1"/>
  <c r="BG85" i="1"/>
  <c r="BG50" i="1"/>
  <c r="BI70" i="1"/>
  <c r="BH84" i="1"/>
  <c r="BG8" i="1"/>
  <c r="BF26" i="1"/>
  <c r="BI94" i="1"/>
  <c r="BG99" i="1"/>
  <c r="BH77" i="1"/>
  <c r="BG19" i="1"/>
  <c r="BG97" i="1"/>
  <c r="BH80" i="1"/>
  <c r="BG84" i="1"/>
  <c r="BG92" i="1"/>
  <c r="BF90" i="1"/>
  <c r="BH79" i="1"/>
  <c r="BG12" i="1"/>
  <c r="BF6" i="1"/>
  <c r="BG30" i="1"/>
  <c r="BG44" i="1"/>
  <c r="BI96" i="1"/>
  <c r="BH51" i="1"/>
  <c r="BG21" i="1"/>
  <c r="BH14" i="1"/>
  <c r="BI39" i="1"/>
  <c r="BG63" i="1"/>
  <c r="BI58" i="1"/>
  <c r="BH97" i="1"/>
  <c r="BF42" i="1"/>
  <c r="BF79" i="1"/>
  <c r="BI75" i="1"/>
  <c r="BH21" i="1"/>
  <c r="BG88" i="1"/>
  <c r="BF70" i="1"/>
  <c r="BH39" i="1"/>
  <c r="BG103" i="1"/>
  <c r="BF86" i="1"/>
  <c r="BF29" i="1"/>
  <c r="BI48" i="1"/>
  <c r="BH94" i="1"/>
  <c r="BE5" i="1"/>
  <c r="BF69" i="1"/>
  <c r="BI41" i="1"/>
  <c r="BF48" i="1"/>
  <c r="BI69" i="1"/>
  <c r="BH53" i="1"/>
  <c r="BG32" i="1"/>
  <c r="BH100" i="1"/>
  <c r="BF37" i="1"/>
  <c r="BH37" i="1"/>
  <c r="O30" i="1"/>
  <c r="O13" i="1"/>
  <c r="U25" i="1"/>
  <c r="BG95" i="1"/>
  <c r="O10" i="1"/>
  <c r="U63" i="1"/>
  <c r="O76" i="1"/>
  <c r="O73" i="1"/>
  <c r="O59" i="1"/>
  <c r="O43" i="1"/>
  <c r="U40" i="1"/>
  <c r="O17" i="1"/>
  <c r="O38" i="1"/>
  <c r="O42" i="1"/>
  <c r="O33" i="1"/>
  <c r="U103" i="1"/>
  <c r="O62" i="1"/>
  <c r="O29" i="1"/>
  <c r="O26" i="1"/>
  <c r="U84" i="1"/>
  <c r="U23" i="1"/>
  <c r="O35" i="1"/>
  <c r="O54" i="1"/>
  <c r="O8" i="1"/>
  <c r="U9" i="1"/>
  <c r="U8" i="1"/>
  <c r="BH90" i="1"/>
  <c r="BG18" i="1"/>
  <c r="BF72" i="1"/>
  <c r="BF17" i="1"/>
  <c r="BG25" i="1"/>
  <c r="BH62" i="1"/>
  <c r="BH71" i="1"/>
  <c r="BF62" i="1"/>
  <c r="BI44" i="1"/>
  <c r="BF74" i="1"/>
  <c r="BI64" i="1"/>
  <c r="BI35" i="1"/>
  <c r="BI56" i="1"/>
  <c r="BF22" i="1"/>
  <c r="BG11" i="1"/>
  <c r="U101" i="1"/>
  <c r="O87" i="1"/>
  <c r="U51" i="1"/>
  <c r="U96" i="1"/>
  <c r="U43" i="1"/>
  <c r="BE43" i="1" s="1"/>
  <c r="O72" i="1"/>
  <c r="U35" i="1"/>
  <c r="O102" i="1"/>
  <c r="O83" i="1"/>
  <c r="U102" i="1"/>
  <c r="O92" i="1"/>
  <c r="U90" i="1"/>
  <c r="O18" i="1"/>
  <c r="O22" i="1"/>
  <c r="U32" i="1"/>
  <c r="O69" i="1"/>
  <c r="O80" i="1"/>
  <c r="U71" i="1"/>
  <c r="U27" i="1"/>
  <c r="O103" i="1"/>
  <c r="U21" i="1"/>
  <c r="O85" i="1"/>
  <c r="U29" i="1"/>
  <c r="O93" i="1"/>
  <c r="O21" i="1"/>
  <c r="U57" i="1"/>
  <c r="O9" i="1"/>
  <c r="U18" i="1"/>
  <c r="BI49" i="1"/>
  <c r="BH36" i="1"/>
  <c r="BF64" i="1"/>
  <c r="BF24" i="1"/>
  <c r="BI92" i="1"/>
  <c r="BI42" i="1"/>
  <c r="BF32" i="1"/>
  <c r="BI53" i="1"/>
  <c r="BI30" i="1"/>
  <c r="BG23" i="1"/>
  <c r="BG15" i="1"/>
  <c r="U36" i="1"/>
  <c r="O39" i="1"/>
  <c r="U37" i="1"/>
  <c r="O46" i="1"/>
  <c r="O28" i="1"/>
  <c r="BE28" i="1" s="1"/>
  <c r="O63" i="1"/>
  <c r="O53" i="1"/>
  <c r="U45" i="1"/>
  <c r="O65" i="1"/>
  <c r="U86" i="1"/>
  <c r="O56" i="1"/>
  <c r="O31" i="1"/>
  <c r="O19" i="1"/>
  <c r="U79" i="1"/>
  <c r="U69" i="1"/>
  <c r="U41" i="1"/>
  <c r="O101" i="1"/>
  <c r="O37" i="1"/>
  <c r="U55" i="1"/>
  <c r="O86" i="1"/>
  <c r="O64" i="1"/>
  <c r="U72" i="1"/>
  <c r="U19" i="1"/>
  <c r="O47" i="1"/>
  <c r="O51" i="1"/>
  <c r="O58" i="1"/>
  <c r="U7" i="1"/>
  <c r="BG9" i="1"/>
  <c r="BG41" i="1"/>
  <c r="BG74" i="1"/>
  <c r="BH69" i="1"/>
  <c r="BH23" i="1"/>
  <c r="BG16" i="1"/>
  <c r="BH9" i="1"/>
  <c r="BF100" i="1"/>
  <c r="BH25" i="1"/>
  <c r="BF15" i="1"/>
  <c r="BG49" i="1"/>
  <c r="BI98" i="1"/>
  <c r="BI50" i="1"/>
  <c r="BF25" i="1"/>
  <c r="U67" i="1"/>
  <c r="U22" i="1"/>
  <c r="O97" i="1"/>
  <c r="O49" i="1"/>
  <c r="U61" i="1"/>
  <c r="O88" i="1"/>
  <c r="U12" i="1"/>
  <c r="O61" i="1"/>
  <c r="O99" i="1"/>
  <c r="O60" i="1"/>
  <c r="O32" i="1"/>
  <c r="O50" i="1"/>
  <c r="O74" i="1"/>
  <c r="U89" i="1"/>
  <c r="O45" i="1"/>
  <c r="O16" i="1"/>
  <c r="U70" i="1"/>
  <c r="U47" i="1"/>
  <c r="O70" i="1"/>
  <c r="O84" i="1"/>
  <c r="U59" i="1"/>
  <c r="O81" i="1"/>
  <c r="U76" i="1"/>
  <c r="BE76" i="1" s="1"/>
  <c r="U64" i="1"/>
  <c r="U16" i="1"/>
  <c r="O95" i="1"/>
  <c r="U17" i="1"/>
  <c r="O78" i="1"/>
  <c r="O11" i="1"/>
  <c r="U74" i="1"/>
  <c r="BH30" i="1"/>
  <c r="BG101" i="1"/>
  <c r="BG27" i="1"/>
  <c r="BH6" i="1"/>
  <c r="BG57" i="1"/>
  <c r="BH59" i="1"/>
  <c r="BH24" i="1"/>
  <c r="BI21" i="1"/>
  <c r="BH13" i="1"/>
  <c r="BI54" i="1"/>
  <c r="BI18" i="1"/>
  <c r="BI46" i="1"/>
  <c r="BI32" i="1"/>
  <c r="BF76" i="1"/>
  <c r="BI82" i="1"/>
  <c r="BI29" i="1"/>
  <c r="BF78" i="1"/>
  <c r="U100" i="1"/>
  <c r="BE42" i="1"/>
  <c r="U6" i="1"/>
  <c r="BE6" i="1" s="1"/>
  <c r="U92" i="1"/>
  <c r="BE92" i="1" s="1"/>
  <c r="U75" i="1"/>
  <c r="O24" i="1"/>
  <c r="O25" i="1"/>
  <c r="U14" i="1"/>
  <c r="U85" i="1"/>
  <c r="BE85" i="1" s="1"/>
  <c r="U83" i="1"/>
  <c r="O98" i="1"/>
  <c r="O20" i="1"/>
  <c r="BE20" i="1" s="1"/>
  <c r="O57" i="1"/>
  <c r="U50" i="1"/>
  <c r="BE50" i="1" s="1"/>
  <c r="O90" i="1"/>
  <c r="U94" i="1"/>
  <c r="O94" i="1"/>
  <c r="O75" i="1"/>
  <c r="O52" i="1"/>
  <c r="U46" i="1"/>
  <c r="O100" i="1"/>
  <c r="U65" i="1"/>
  <c r="O15" i="1"/>
  <c r="O34" i="1"/>
  <c r="U33" i="1"/>
  <c r="U81" i="1"/>
  <c r="U10" i="1"/>
  <c r="BG38" i="1"/>
  <c r="BG31" i="1"/>
  <c r="BI102" i="1"/>
  <c r="BF41" i="1"/>
  <c r="BH61" i="1"/>
  <c r="BI77" i="1"/>
  <c r="BF67" i="1"/>
  <c r="BF20" i="1"/>
  <c r="BF18" i="1"/>
  <c r="BG37" i="1"/>
  <c r="U60" i="1"/>
  <c r="U78" i="1"/>
  <c r="U68" i="1"/>
  <c r="O66" i="1"/>
  <c r="BE66" i="1" s="1"/>
  <c r="O96" i="1"/>
  <c r="O7" i="1"/>
  <c r="BE73" i="1"/>
  <c r="O67" i="1"/>
  <c r="O23" i="1"/>
  <c r="O71" i="1"/>
  <c r="U62" i="1"/>
  <c r="U99" i="1"/>
  <c r="U97" i="1"/>
  <c r="O68" i="1"/>
  <c r="U38" i="1"/>
  <c r="BE38" i="1" s="1"/>
  <c r="O77" i="1"/>
  <c r="BE77" i="1" s="1"/>
  <c r="O91" i="1"/>
  <c r="O41" i="1"/>
  <c r="U91" i="1"/>
  <c r="U80" i="1"/>
  <c r="BE80" i="1" s="1"/>
  <c r="O89" i="1"/>
  <c r="U53" i="1"/>
  <c r="O48" i="1"/>
  <c r="U82" i="1"/>
  <c r="O12" i="1"/>
  <c r="U54" i="1"/>
  <c r="O82" i="1"/>
  <c r="O40" i="1"/>
  <c r="U11" i="1"/>
  <c r="BE11" i="1" s="1"/>
  <c r="BG34" i="1"/>
  <c r="BF71" i="1"/>
  <c r="BH66" i="1"/>
  <c r="BH56" i="1"/>
  <c r="BH12" i="1"/>
  <c r="BF7" i="1"/>
  <c r="BF92" i="1"/>
  <c r="BH92" i="1"/>
  <c r="BI52" i="1"/>
  <c r="BG55" i="1"/>
  <c r="BH16" i="1"/>
  <c r="BF98" i="1"/>
  <c r="BF56" i="1"/>
  <c r="BG96" i="1"/>
  <c r="U88" i="1"/>
  <c r="BE88" i="1" s="1"/>
  <c r="BH65" i="1"/>
  <c r="U13" i="1"/>
  <c r="O79" i="1"/>
  <c r="U98" i="1"/>
  <c r="U95" i="1"/>
  <c r="O36" i="1"/>
  <c r="U31" i="1"/>
  <c r="U34" i="1"/>
  <c r="U30" i="1"/>
  <c r="BE30" i="1" s="1"/>
  <c r="O14" i="1"/>
  <c r="U58" i="1"/>
  <c r="BE39" i="1"/>
  <c r="U87" i="1"/>
  <c r="BE87" i="1" s="1"/>
  <c r="U44" i="1"/>
  <c r="U26" i="1"/>
  <c r="BE26" i="1" s="1"/>
  <c r="U93" i="1"/>
  <c r="U15" i="1"/>
  <c r="U48" i="1"/>
  <c r="O44" i="1"/>
  <c r="U52" i="1"/>
  <c r="O27" i="1"/>
  <c r="U49" i="1"/>
  <c r="U56" i="1"/>
  <c r="BE56" i="1" s="1"/>
  <c r="O55" i="1"/>
  <c r="U24" i="1"/>
  <c r="BF53" i="1"/>
  <c r="BH27" i="1"/>
  <c r="BF60" i="1"/>
  <c r="BG59" i="1"/>
  <c r="BH67" i="1"/>
  <c r="BF35" i="1"/>
  <c r="BI67" i="1"/>
  <c r="BF84" i="1"/>
  <c r="BI91" i="1"/>
  <c r="BF45" i="1"/>
  <c r="BI36" i="1"/>
  <c r="BI13" i="1"/>
  <c r="BI37" i="1"/>
  <c r="BI100" i="1"/>
  <c r="BF28" i="1"/>
  <c r="BE44" i="1" l="1"/>
  <c r="BE53" i="1"/>
  <c r="BE69" i="1"/>
  <c r="BE59" i="1"/>
  <c r="BE52" i="1"/>
  <c r="BE13" i="1"/>
  <c r="BE31" i="1"/>
  <c r="BE83" i="1"/>
  <c r="BE99" i="1"/>
  <c r="BE33" i="1"/>
  <c r="BE47" i="1"/>
  <c r="BE95" i="1"/>
  <c r="BE97" i="1"/>
  <c r="BE35" i="1"/>
  <c r="BE46" i="1"/>
  <c r="BE74" i="1"/>
  <c r="BE34" i="1"/>
  <c r="BE17" i="1"/>
  <c r="BE29" i="1"/>
  <c r="BE18" i="1"/>
  <c r="BE102" i="1"/>
  <c r="BE62" i="1"/>
  <c r="BE72" i="1"/>
  <c r="BE94" i="1"/>
  <c r="BE103" i="1"/>
  <c r="BE71" i="1"/>
  <c r="BE54" i="1"/>
  <c r="BE10" i="1"/>
  <c r="BE15" i="1"/>
  <c r="BE91" i="1"/>
  <c r="BE60" i="1"/>
  <c r="BE81" i="1"/>
  <c r="BE93" i="1"/>
  <c r="BE98" i="1"/>
  <c r="BE64" i="1"/>
  <c r="BE19" i="1"/>
  <c r="BE49" i="1"/>
  <c r="BE48" i="1"/>
  <c r="BE78" i="1"/>
  <c r="BE65" i="1"/>
  <c r="BE100" i="1"/>
  <c r="BE57" i="1"/>
  <c r="BE75" i="1"/>
  <c r="BE12" i="1"/>
  <c r="BE45" i="1"/>
  <c r="BE25" i="1"/>
  <c r="BE84" i="1"/>
  <c r="BE24" i="1"/>
  <c r="BE21" i="1"/>
  <c r="BE101" i="1"/>
  <c r="BE40" i="1"/>
  <c r="BE14" i="1"/>
  <c r="BE89" i="1"/>
  <c r="BE22" i="1"/>
  <c r="BE41" i="1"/>
  <c r="BE37" i="1"/>
  <c r="BE8" i="1"/>
  <c r="BE90" i="1"/>
  <c r="BE96" i="1"/>
  <c r="BE63" i="1"/>
  <c r="BE36" i="1"/>
  <c r="BE58" i="1"/>
  <c r="BE82" i="1"/>
  <c r="BE16" i="1"/>
  <c r="BE70" i="1"/>
  <c r="BE61" i="1"/>
  <c r="BE67" i="1"/>
  <c r="BE7" i="1"/>
  <c r="BE55" i="1"/>
  <c r="BE27" i="1"/>
  <c r="BE32" i="1"/>
  <c r="BE9" i="1"/>
  <c r="BE23" i="1"/>
  <c r="BE68" i="1"/>
  <c r="BE79" i="1"/>
  <c r="BE86" i="1"/>
  <c r="BE51" i="1"/>
  <c r="O4" i="2" l="1"/>
  <c r="O5" i="2" l="1"/>
  <c r="O6" i="2" l="1"/>
  <c r="O7" i="2"/>
  <c r="O8" i="2" l="1"/>
  <c r="O9" i="2" l="1"/>
  <c r="O10" i="2"/>
  <c r="O11" i="2" l="1"/>
  <c r="O12" i="2" l="1"/>
  <c r="O13" i="2" l="1"/>
  <c r="O14" i="2"/>
  <c r="O15" i="2" l="1"/>
  <c r="O16" i="2" l="1"/>
  <c r="O17" i="2" l="1"/>
  <c r="O18" i="2" l="1"/>
  <c r="R4" i="2"/>
  <c r="S4" i="2"/>
  <c r="O19" i="2" l="1"/>
  <c r="R5" i="2"/>
  <c r="S5" i="2"/>
  <c r="O20" i="2" l="1"/>
  <c r="S6" i="2"/>
  <c r="O21" i="2"/>
  <c r="R6" i="2"/>
  <c r="S7" i="2" l="1"/>
  <c r="R7" i="2"/>
  <c r="O22" i="2" l="1"/>
  <c r="R8" i="2"/>
  <c r="S8" i="2"/>
  <c r="O23" i="2" l="1"/>
  <c r="S9" i="2"/>
  <c r="R9" i="2"/>
  <c r="O24" i="2" l="1"/>
  <c r="S10" i="2"/>
  <c r="R10" i="2"/>
  <c r="O25" i="2" l="1"/>
  <c r="R11" i="2"/>
  <c r="S11" i="2"/>
  <c r="O26" i="2" l="1"/>
  <c r="R12" i="2"/>
  <c r="S12" i="2"/>
  <c r="O27" i="2" l="1"/>
  <c r="R13" i="2"/>
  <c r="O28" i="2"/>
  <c r="S13" i="2"/>
  <c r="O29" i="2" l="1"/>
  <c r="O30" i="2" l="1"/>
  <c r="O31" i="2" l="1"/>
  <c r="Q4" i="2" l="1"/>
  <c r="R14" i="2"/>
  <c r="P4" i="2"/>
  <c r="O32" i="2"/>
  <c r="S14" i="2"/>
  <c r="R15" i="2" l="1"/>
  <c r="S15" i="2"/>
  <c r="Q5" i="2"/>
  <c r="P5" i="2"/>
  <c r="O33" i="2" l="1"/>
  <c r="S16" i="2"/>
  <c r="Q6" i="2"/>
  <c r="P6" i="2"/>
  <c r="R16" i="2"/>
  <c r="O34" i="2" l="1"/>
  <c r="S17" i="2"/>
  <c r="R17" i="2"/>
  <c r="P7" i="2"/>
  <c r="Q7" i="2"/>
  <c r="O35" i="2" l="1"/>
  <c r="S18" i="2"/>
  <c r="Q8" i="2"/>
  <c r="R18" i="2"/>
  <c r="P8" i="2"/>
  <c r="O36" i="2" l="1"/>
  <c r="P9" i="2"/>
  <c r="Q9" i="2"/>
  <c r="S19" i="2"/>
  <c r="O37" i="2"/>
  <c r="R19" i="2"/>
  <c r="P10" i="2" l="1"/>
  <c r="R20" i="2"/>
  <c r="S20" i="2"/>
  <c r="Q10" i="2"/>
  <c r="O38" i="2" l="1"/>
  <c r="R21" i="2"/>
  <c r="Q11" i="2"/>
  <c r="P11" i="2"/>
  <c r="S21" i="2"/>
  <c r="O39" i="2" l="1"/>
  <c r="P12" i="2"/>
  <c r="O40" i="2"/>
  <c r="S22" i="2"/>
  <c r="R22" i="2"/>
  <c r="Q12" i="2"/>
  <c r="P13" i="2" l="1"/>
  <c r="S23" i="2"/>
  <c r="R23" i="2"/>
  <c r="Q13" i="2"/>
  <c r="O41" i="2" l="1"/>
  <c r="P14" i="2"/>
  <c r="Q14" i="2"/>
  <c r="R24" i="2"/>
  <c r="S24" i="2"/>
  <c r="O42" i="2" l="1"/>
  <c r="Q15" i="2"/>
  <c r="R25" i="2"/>
  <c r="S25" i="2"/>
  <c r="O43" i="2"/>
  <c r="P15" i="2"/>
  <c r="P16" i="2" l="1"/>
  <c r="R26" i="2"/>
  <c r="S26" i="2"/>
  <c r="Q16" i="2"/>
  <c r="O44" i="2" l="1"/>
  <c r="S27" i="2"/>
  <c r="O45" i="2"/>
  <c r="P17" i="2"/>
  <c r="Q17" i="2"/>
  <c r="R27" i="2"/>
  <c r="P18" i="2" l="1"/>
  <c r="S28" i="2"/>
  <c r="R28" i="2"/>
  <c r="Q18" i="2"/>
  <c r="O46" i="2" l="1"/>
  <c r="S29" i="2"/>
  <c r="O47" i="2"/>
  <c r="P19" i="2"/>
  <c r="Q19" i="2"/>
  <c r="R29" i="2"/>
  <c r="S30" i="2" l="1"/>
  <c r="P20" i="2"/>
  <c r="R30" i="2"/>
  <c r="Q20" i="2"/>
  <c r="O48" i="2" l="1"/>
  <c r="Q21" i="2"/>
  <c r="R31" i="2"/>
  <c r="P21" i="2"/>
  <c r="S31" i="2"/>
  <c r="O49" i="2" l="1"/>
  <c r="S32" i="2"/>
  <c r="Q22" i="2"/>
  <c r="R32" i="2"/>
  <c r="P22" i="2"/>
  <c r="O50" i="2" l="1"/>
  <c r="S33" i="2"/>
  <c r="P23" i="2"/>
  <c r="R33" i="2"/>
  <c r="Q23" i="2"/>
  <c r="O51" i="2"/>
  <c r="R34" i="2" l="1"/>
  <c r="P24" i="2"/>
  <c r="S34" i="2"/>
  <c r="Q24" i="2"/>
  <c r="O52" i="2" l="1"/>
  <c r="S35" i="2"/>
  <c r="P25" i="2"/>
  <c r="Q25" i="2"/>
  <c r="R35" i="2"/>
  <c r="O53" i="2" l="1"/>
  <c r="Q26" i="2"/>
  <c r="S36" i="2"/>
  <c r="P26" i="2"/>
  <c r="R36" i="2"/>
  <c r="O54" i="2" l="1"/>
  <c r="Q27" i="2"/>
  <c r="S37" i="2"/>
  <c r="R37" i="2"/>
  <c r="P27" i="2"/>
  <c r="O55" i="2" l="1"/>
  <c r="R38" i="2"/>
  <c r="P28" i="2"/>
  <c r="S38" i="2"/>
  <c r="Q28" i="2"/>
  <c r="O56" i="2" l="1"/>
  <c r="R39" i="2"/>
  <c r="S39" i="2"/>
  <c r="Q29" i="2"/>
  <c r="P29" i="2"/>
  <c r="O57" i="2" l="1"/>
  <c r="Q30" i="2"/>
  <c r="S40" i="2"/>
  <c r="P30" i="2"/>
  <c r="R40" i="2"/>
  <c r="O58" i="2" l="1"/>
  <c r="S41" i="2"/>
  <c r="P31" i="2"/>
  <c r="R41" i="2"/>
  <c r="Q31" i="2"/>
  <c r="O59" i="2" l="1"/>
  <c r="R42" i="2"/>
  <c r="Q32" i="2"/>
  <c r="P32" i="2"/>
  <c r="S42" i="2"/>
  <c r="O60" i="2" l="1"/>
  <c r="R43" i="2"/>
  <c r="S43" i="2"/>
  <c r="Q33" i="2"/>
  <c r="P33" i="2"/>
  <c r="O61" i="2" l="1"/>
  <c r="R44" i="2"/>
  <c r="P34" i="2"/>
  <c r="S44" i="2"/>
  <c r="Q34" i="2"/>
  <c r="O62" i="2" l="1"/>
  <c r="P35" i="2"/>
  <c r="R45" i="2"/>
  <c r="S45" i="2"/>
  <c r="Q35" i="2"/>
  <c r="O63" i="2" l="1"/>
  <c r="Q36" i="2"/>
  <c r="O64" i="2"/>
  <c r="P36" i="2"/>
  <c r="R46" i="2"/>
  <c r="S46" i="2"/>
  <c r="S47" i="2" l="1"/>
  <c r="R47" i="2"/>
  <c r="O65" i="2"/>
  <c r="P37" i="2"/>
  <c r="Q37" i="2"/>
  <c r="R48" i="2" l="1"/>
  <c r="Q38" i="2"/>
  <c r="P38" i="2"/>
  <c r="O66" i="2"/>
  <c r="S48" i="2"/>
  <c r="R49" i="2" l="1"/>
  <c r="S49" i="2"/>
  <c r="P39" i="2"/>
  <c r="Q39" i="2"/>
  <c r="O67" i="2" l="1"/>
  <c r="P40" i="2"/>
  <c r="R50" i="2"/>
  <c r="O68" i="2"/>
  <c r="Q40" i="2"/>
  <c r="S50" i="2"/>
  <c r="S51" i="2" l="1"/>
  <c r="P41" i="2"/>
  <c r="R51" i="2"/>
  <c r="O69" i="2"/>
  <c r="Q41" i="2"/>
  <c r="Q42" i="2" l="1"/>
  <c r="R52" i="2"/>
  <c r="S52" i="2"/>
  <c r="P42" i="2"/>
  <c r="O70" i="2" l="1"/>
  <c r="P43" i="2"/>
  <c r="S53" i="2"/>
  <c r="Q43" i="2"/>
  <c r="R53" i="2"/>
  <c r="O71" i="2" l="1"/>
  <c r="P44" i="2"/>
  <c r="R54" i="2"/>
  <c r="S54" i="2"/>
  <c r="Q44" i="2"/>
  <c r="O72" i="2" l="1"/>
  <c r="S55" i="2"/>
  <c r="R55" i="2"/>
  <c r="P45" i="2"/>
  <c r="Q45" i="2"/>
  <c r="O73" i="2" l="1"/>
  <c r="Q46" i="2"/>
  <c r="S56" i="2"/>
  <c r="P46" i="2"/>
  <c r="R56" i="2"/>
  <c r="O74" i="2" l="1"/>
  <c r="R57" i="2"/>
  <c r="Q47" i="2"/>
  <c r="P47" i="2"/>
  <c r="S57" i="2"/>
  <c r="O75" i="2" l="1"/>
  <c r="R58" i="2"/>
  <c r="S58" i="2"/>
  <c r="Q48" i="2"/>
  <c r="P48" i="2"/>
  <c r="O76" i="2" l="1"/>
  <c r="P49" i="2"/>
  <c r="S59" i="2"/>
  <c r="R59" i="2"/>
  <c r="Q49" i="2"/>
  <c r="O77" i="2" l="1"/>
  <c r="Q50" i="2"/>
  <c r="S60" i="2"/>
  <c r="R60" i="2"/>
  <c r="P50" i="2"/>
  <c r="O78" i="2" l="1"/>
  <c r="P51" i="2"/>
  <c r="Q51" i="2"/>
  <c r="R61" i="2"/>
  <c r="S61" i="2"/>
  <c r="O79" i="2" l="1"/>
  <c r="O80" i="2"/>
  <c r="S62" i="2"/>
  <c r="P52" i="2"/>
  <c r="R62" i="2"/>
  <c r="Q52" i="2"/>
  <c r="S63" i="2" l="1"/>
  <c r="Q53" i="2"/>
  <c r="R63" i="2"/>
  <c r="P53" i="2"/>
  <c r="O81" i="2" l="1"/>
  <c r="Q54" i="2"/>
  <c r="P54" i="2"/>
  <c r="R64" i="2"/>
  <c r="S64" i="2"/>
  <c r="O82" i="2" l="1"/>
  <c r="R65" i="2"/>
  <c r="S65" i="2"/>
  <c r="Q55" i="2"/>
  <c r="P55" i="2"/>
  <c r="O83" i="2" l="1"/>
  <c r="P56" i="2"/>
  <c r="S66" i="2"/>
  <c r="R66" i="2"/>
  <c r="Q56" i="2"/>
  <c r="O84" i="2" l="1"/>
  <c r="S67" i="2"/>
  <c r="P57" i="2"/>
  <c r="R67" i="2"/>
  <c r="Q57" i="2"/>
  <c r="O85" i="2" l="1"/>
  <c r="P58" i="2"/>
  <c r="Q58" i="2"/>
  <c r="S68" i="2"/>
  <c r="R68" i="2"/>
  <c r="O86" i="2"/>
  <c r="O87" i="2" l="1"/>
  <c r="S69" i="2"/>
  <c r="R69" i="2"/>
  <c r="Q59" i="2"/>
  <c r="P59" i="2"/>
  <c r="P60" i="2" l="1"/>
  <c r="Q60" i="2"/>
  <c r="S70" i="2"/>
  <c r="R70" i="2"/>
  <c r="O88" i="2" l="1"/>
  <c r="O89" i="2"/>
  <c r="S71" i="2"/>
  <c r="Q61" i="2"/>
  <c r="P61" i="2"/>
  <c r="R71" i="2"/>
  <c r="P62" i="2" l="1"/>
  <c r="Q62" i="2"/>
  <c r="R72" i="2"/>
  <c r="S72" i="2"/>
  <c r="O90" i="2" l="1"/>
  <c r="R73" i="2"/>
  <c r="Q63" i="2"/>
  <c r="S73" i="2"/>
  <c r="P63" i="2"/>
  <c r="O91" i="2" l="1"/>
  <c r="O92" i="2"/>
  <c r="Q64" i="2"/>
  <c r="P64" i="2"/>
  <c r="R74" i="2"/>
  <c r="S74" i="2"/>
  <c r="S75" i="2" l="1"/>
  <c r="Q65" i="2"/>
  <c r="R75" i="2"/>
  <c r="P65" i="2"/>
  <c r="O93" i="2" l="1"/>
  <c r="O94" i="2"/>
  <c r="R76" i="2"/>
  <c r="Q66" i="2"/>
  <c r="P66" i="2"/>
  <c r="S76" i="2"/>
  <c r="R77" i="2" l="1"/>
  <c r="P67" i="2"/>
  <c r="S77" i="2"/>
  <c r="Q67" i="2"/>
  <c r="O95" i="2" l="1"/>
  <c r="R78" i="2"/>
  <c r="S78" i="2"/>
  <c r="P68" i="2"/>
  <c r="Q68" i="2"/>
  <c r="O96" i="2" l="1"/>
  <c r="S79" i="2"/>
  <c r="O97" i="2"/>
  <c r="Q69" i="2"/>
  <c r="P69" i="2"/>
  <c r="R79" i="2"/>
  <c r="R80" i="2" l="1"/>
  <c r="P70" i="2"/>
  <c r="Q70" i="2"/>
  <c r="O98" i="2"/>
  <c r="S80" i="2"/>
  <c r="Q71" i="2" l="1"/>
  <c r="R81" i="2"/>
  <c r="P71" i="2"/>
  <c r="S81" i="2"/>
  <c r="O99" i="2" l="1"/>
  <c r="S82" i="2"/>
  <c r="P72" i="2"/>
  <c r="O100" i="2"/>
  <c r="R82" i="2"/>
  <c r="Q72" i="2"/>
  <c r="S83" i="2" l="1"/>
  <c r="Q73" i="2"/>
  <c r="R83" i="2"/>
  <c r="P73" i="2"/>
  <c r="O101" i="2" l="1"/>
  <c r="P74" i="2"/>
  <c r="S84" i="2"/>
  <c r="R84" i="2"/>
  <c r="Q74" i="2"/>
  <c r="O102" i="2" l="1"/>
  <c r="P75" i="2"/>
  <c r="Q75" i="2"/>
  <c r="S85" i="2"/>
  <c r="R85" i="2"/>
  <c r="O103" i="2" l="1"/>
  <c r="R86" i="2"/>
  <c r="S86" i="2"/>
  <c r="P76" i="2"/>
  <c r="Q76" i="2"/>
  <c r="R87" i="2" l="1"/>
  <c r="P77" i="2"/>
  <c r="S87" i="2"/>
  <c r="Q77" i="2"/>
  <c r="P78" i="2" l="1"/>
  <c r="Q78" i="2"/>
  <c r="R88" i="2"/>
  <c r="S88" i="2"/>
  <c r="S89" i="2" l="1"/>
  <c r="P79" i="2"/>
  <c r="R89" i="2"/>
  <c r="Q79" i="2"/>
  <c r="Q80" i="2" l="1"/>
  <c r="P80" i="2"/>
  <c r="R90" i="2"/>
  <c r="S90" i="2"/>
  <c r="S91" i="2" l="1"/>
  <c r="P81" i="2"/>
  <c r="Q81" i="2"/>
  <c r="R91" i="2"/>
  <c r="Q82" i="2" l="1"/>
  <c r="S92" i="2"/>
  <c r="R92" i="2"/>
  <c r="P82" i="2"/>
  <c r="P83" i="2" l="1"/>
  <c r="Q83" i="2"/>
  <c r="R93" i="2"/>
  <c r="S93" i="2"/>
  <c r="S94" i="2" l="1"/>
  <c r="R94" i="2"/>
  <c r="Q84" i="2"/>
  <c r="P84" i="2"/>
  <c r="S95" i="2" l="1"/>
  <c r="Q85" i="2"/>
  <c r="P85" i="2"/>
  <c r="R95" i="2"/>
  <c r="S96" i="2" l="1"/>
  <c r="R96" i="2"/>
  <c r="P86" i="2"/>
  <c r="Q86" i="2"/>
  <c r="P87" i="2" l="1"/>
  <c r="Q87" i="2"/>
  <c r="R97" i="2"/>
  <c r="S97" i="2"/>
  <c r="R98" i="2" l="1"/>
  <c r="P88" i="2"/>
  <c r="S98" i="2"/>
  <c r="Q88" i="2"/>
  <c r="Q89" i="2" l="1"/>
  <c r="R99" i="2"/>
  <c r="S99" i="2"/>
  <c r="P89" i="2"/>
  <c r="Q90" i="2" l="1"/>
  <c r="P90" i="2"/>
  <c r="S100" i="2"/>
  <c r="R100" i="2"/>
  <c r="R101" i="2" l="1"/>
  <c r="S101" i="2"/>
  <c r="P91" i="2"/>
  <c r="Q91" i="2"/>
  <c r="Q92" i="2" l="1"/>
  <c r="R102" i="2"/>
  <c r="P92" i="2"/>
  <c r="S102" i="2"/>
  <c r="R103" i="2" l="1"/>
  <c r="P93" i="2"/>
  <c r="Q93" i="2"/>
  <c r="S103" i="2"/>
  <c r="P94" i="2" l="1"/>
  <c r="Q94" i="2"/>
  <c r="P95" i="2" l="1"/>
  <c r="Q95" i="2"/>
  <c r="P96" i="2" l="1"/>
  <c r="Q96" i="2"/>
  <c r="Q97" i="2" l="1"/>
  <c r="P97" i="2"/>
  <c r="Q98" i="2" l="1"/>
  <c r="P98" i="2"/>
  <c r="P99" i="2" l="1"/>
  <c r="Q99" i="2"/>
  <c r="Q100" i="2" l="1"/>
  <c r="P100" i="2"/>
  <c r="Q101" i="2" l="1"/>
  <c r="P101" i="2"/>
  <c r="P102" i="2" l="1"/>
  <c r="Q102" i="2"/>
  <c r="Q103" i="2" l="1"/>
  <c r="P103" i="2"/>
  <c r="Y4" i="2" l="1"/>
  <c r="Y5" i="2"/>
  <c r="Y6" i="2"/>
  <c r="Y45" i="2"/>
  <c r="Y93" i="2"/>
  <c r="Y46" i="2"/>
  <c r="Y94" i="2"/>
  <c r="Y73" i="2"/>
  <c r="Y51" i="2"/>
  <c r="Y10" i="2"/>
  <c r="Y89" i="2"/>
  <c r="Y100" i="2"/>
  <c r="Y90" i="2"/>
  <c r="Y12" i="2"/>
  <c r="Y60" i="2"/>
  <c r="Y58" i="2"/>
  <c r="Y53" i="2"/>
  <c r="Y20" i="2"/>
  <c r="Y59" i="2"/>
  <c r="Y54" i="2"/>
  <c r="Y39" i="2"/>
  <c r="Y97" i="2"/>
  <c r="Y86" i="2"/>
  <c r="Y35" i="2"/>
  <c r="Y55" i="2"/>
  <c r="Y85" i="2"/>
  <c r="Y102" i="2"/>
  <c r="Y72" i="2"/>
  <c r="Y67" i="2"/>
  <c r="Y75" i="2"/>
  <c r="Y13" i="2"/>
  <c r="Y37" i="2"/>
  <c r="Y49" i="2"/>
  <c r="Y26" i="2"/>
  <c r="Y23" i="2"/>
  <c r="Y79" i="2"/>
  <c r="Y68" i="2"/>
  <c r="Y36" i="2"/>
  <c r="Y95" i="2"/>
  <c r="Y69" i="2"/>
  <c r="Y15" i="2"/>
  <c r="Y21" i="2"/>
  <c r="Y81" i="2"/>
  <c r="Y87" i="2"/>
  <c r="Y91" i="2"/>
  <c r="Y30" i="2"/>
  <c r="Y77" i="2"/>
  <c r="Y32" i="2"/>
  <c r="Y33" i="2"/>
  <c r="Y64" i="2"/>
  <c r="Y83" i="2"/>
  <c r="Y43" i="2"/>
  <c r="Y41" i="2"/>
  <c r="V4" i="2"/>
  <c r="V35" i="2"/>
  <c r="V62" i="2"/>
  <c r="V66" i="2"/>
  <c r="V63" i="2"/>
  <c r="V88" i="2"/>
  <c r="V73" i="2"/>
  <c r="V49" i="2"/>
  <c r="V59" i="2"/>
  <c r="V103" i="2"/>
  <c r="V23" i="2"/>
  <c r="V99" i="2"/>
  <c r="V84" i="2"/>
  <c r="V76" i="2"/>
  <c r="V38" i="2"/>
  <c r="V12" i="2"/>
  <c r="V61" i="2"/>
  <c r="V22" i="2"/>
  <c r="V92" i="2"/>
  <c r="V100" i="2"/>
  <c r="V26" i="2"/>
  <c r="V55" i="2"/>
  <c r="V7" i="2"/>
  <c r="V79" i="2"/>
  <c r="V39" i="2"/>
  <c r="V17" i="2"/>
  <c r="V57" i="2"/>
  <c r="V37" i="2"/>
  <c r="V41" i="2"/>
  <c r="V101" i="2"/>
  <c r="V13" i="2"/>
  <c r="V96" i="2"/>
  <c r="V72" i="2"/>
  <c r="V20" i="2"/>
  <c r="V32" i="2"/>
  <c r="V52" i="2"/>
  <c r="V8" i="2"/>
  <c r="V94" i="2"/>
  <c r="V68" i="2"/>
  <c r="V30" i="2"/>
  <c r="V64" i="2"/>
  <c r="V47" i="2"/>
  <c r="V48" i="2"/>
  <c r="V44" i="2"/>
  <c r="V91" i="2"/>
  <c r="V51" i="2"/>
  <c r="V77" i="2"/>
  <c r="V69" i="2"/>
  <c r="V14" i="2"/>
  <c r="V89" i="2"/>
  <c r="V80" i="2"/>
  <c r="V82" i="2"/>
  <c r="V24" i="2"/>
  <c r="V28" i="2"/>
  <c r="W5" i="2"/>
  <c r="W4" i="2"/>
  <c r="W72" i="2"/>
  <c r="W22" i="2"/>
  <c r="W52" i="2"/>
  <c r="W48" i="2"/>
  <c r="W74" i="2"/>
  <c r="W28" i="2"/>
  <c r="W68" i="2"/>
  <c r="W14" i="2"/>
  <c r="W87" i="2"/>
  <c r="W16" i="2"/>
  <c r="W21" i="2"/>
  <c r="W80" i="2"/>
  <c r="W55" i="2"/>
  <c r="W56" i="2"/>
  <c r="W43" i="2"/>
  <c r="W85" i="2"/>
  <c r="W76" i="2"/>
  <c r="W38" i="2"/>
  <c r="W65" i="2"/>
  <c r="W42" i="2"/>
  <c r="W102" i="2"/>
  <c r="W77" i="2"/>
  <c r="W35" i="2"/>
  <c r="W50" i="2"/>
  <c r="W37" i="2"/>
  <c r="W98" i="2"/>
  <c r="W47" i="2"/>
  <c r="W94" i="2"/>
  <c r="W95" i="2"/>
  <c r="W24" i="2"/>
  <c r="W7" i="2"/>
  <c r="W9" i="2"/>
  <c r="W41" i="2"/>
  <c r="W82" i="2"/>
  <c r="W45" i="2"/>
  <c r="W53" i="2"/>
  <c r="W100" i="2"/>
  <c r="W30" i="2"/>
  <c r="W91" i="2"/>
  <c r="W88" i="2"/>
  <c r="W70" i="2"/>
  <c r="W60" i="2"/>
  <c r="W18" i="2"/>
  <c r="W63" i="2"/>
  <c r="W32" i="2"/>
  <c r="W25" i="2"/>
  <c r="W11" i="2"/>
  <c r="W81" i="2"/>
  <c r="X4" i="2"/>
  <c r="X11" i="2"/>
  <c r="X88" i="2"/>
  <c r="X87" i="2"/>
  <c r="X79" i="2"/>
  <c r="X69" i="2"/>
  <c r="X40" i="2"/>
  <c r="X66" i="2"/>
  <c r="X84" i="2"/>
  <c r="X45" i="2"/>
  <c r="X89" i="2"/>
  <c r="X19" i="2"/>
  <c r="X14" i="2"/>
  <c r="X25" i="2"/>
  <c r="X70" i="2"/>
  <c r="X101" i="2"/>
  <c r="X51" i="2"/>
  <c r="X35" i="2"/>
  <c r="X55" i="2"/>
  <c r="X54" i="2"/>
  <c r="X100" i="2"/>
  <c r="X63" i="2"/>
  <c r="X41" i="2"/>
  <c r="X74" i="2"/>
  <c r="X16" i="2"/>
  <c r="X34" i="2"/>
  <c r="X50" i="2"/>
  <c r="X97" i="2"/>
  <c r="X77" i="2"/>
  <c r="X6" i="2"/>
  <c r="X56" i="2"/>
  <c r="X102" i="2"/>
  <c r="X73" i="2"/>
  <c r="X37" i="2"/>
  <c r="X82" i="2"/>
  <c r="X91" i="2"/>
  <c r="X58" i="2"/>
  <c r="X20" i="2"/>
  <c r="X30" i="2"/>
  <c r="X103" i="2"/>
  <c r="X26" i="2"/>
  <c r="X9" i="2"/>
  <c r="X96" i="2"/>
  <c r="X38" i="2"/>
  <c r="X13" i="2"/>
  <c r="X67" i="2"/>
  <c r="X59" i="2"/>
  <c r="X23" i="2"/>
  <c r="X46" i="2"/>
  <c r="X86" i="2"/>
  <c r="X22" i="2"/>
  <c r="X32" i="2"/>
  <c r="X71" i="2"/>
  <c r="X7" i="2" l="1"/>
  <c r="X98" i="2"/>
  <c r="X28" i="2"/>
  <c r="W83" i="2"/>
  <c r="W89" i="2"/>
  <c r="W64" i="2"/>
  <c r="W62" i="2"/>
  <c r="V67" i="2"/>
  <c r="V54" i="2"/>
  <c r="V29" i="2"/>
  <c r="V34" i="2"/>
  <c r="V102" i="2"/>
  <c r="V78" i="2"/>
  <c r="Y16" i="2"/>
  <c r="Y42" i="2"/>
  <c r="Y56" i="2"/>
  <c r="Y61" i="2"/>
  <c r="X80" i="2"/>
  <c r="X60" i="2"/>
  <c r="X17" i="2"/>
  <c r="X72" i="2"/>
  <c r="X43" i="2"/>
  <c r="X18" i="2"/>
  <c r="X62" i="2"/>
  <c r="X29" i="2"/>
  <c r="X15" i="2"/>
  <c r="X99" i="2"/>
  <c r="X44" i="2"/>
  <c r="W86" i="2"/>
  <c r="W93" i="2"/>
  <c r="W58" i="2"/>
  <c r="W59" i="2"/>
  <c r="W75" i="2"/>
  <c r="W27" i="2"/>
  <c r="W69" i="2"/>
  <c r="W101" i="2"/>
  <c r="W46" i="2"/>
  <c r="W79" i="2"/>
  <c r="W17" i="2"/>
  <c r="W10" i="2"/>
  <c r="V97" i="2"/>
  <c r="V58" i="2"/>
  <c r="V83" i="2"/>
  <c r="V87" i="2"/>
  <c r="V31" i="2"/>
  <c r="V56" i="2"/>
  <c r="Y44" i="2"/>
  <c r="Y18" i="2"/>
  <c r="Y14" i="2"/>
  <c r="Y71" i="2"/>
  <c r="Y74" i="2"/>
  <c r="Y29" i="2"/>
  <c r="Y92" i="2"/>
  <c r="W96" i="2"/>
  <c r="X21" i="2"/>
  <c r="X90" i="2"/>
  <c r="X75" i="2"/>
  <c r="X64" i="2"/>
  <c r="X10" i="2"/>
  <c r="X49" i="2"/>
  <c r="X31" i="2"/>
  <c r="X76" i="2"/>
  <c r="X95" i="2"/>
  <c r="W33" i="2"/>
  <c r="W61" i="2"/>
  <c r="W73" i="2"/>
  <c r="W39" i="2"/>
  <c r="W19" i="2"/>
  <c r="W99" i="2"/>
  <c r="W66" i="2"/>
  <c r="W20" i="2"/>
  <c r="W67" i="2"/>
  <c r="W40" i="2"/>
  <c r="V45" i="2"/>
  <c r="V74" i="2"/>
  <c r="V81" i="2"/>
  <c r="V33" i="2"/>
  <c r="V6" i="2"/>
  <c r="V40" i="2"/>
  <c r="V21" i="2"/>
  <c r="V98" i="2"/>
  <c r="V19" i="2"/>
  <c r="Y17" i="2"/>
  <c r="Y34" i="2"/>
  <c r="Y96" i="2"/>
  <c r="Y101" i="2"/>
  <c r="Y25" i="2"/>
  <c r="Y9" i="2"/>
  <c r="Y84" i="2"/>
  <c r="X57" i="2"/>
  <c r="X48" i="2"/>
  <c r="X93" i="2"/>
  <c r="X85" i="2"/>
  <c r="X36" i="2"/>
  <c r="X12" i="2"/>
  <c r="X81" i="2"/>
  <c r="X53" i="2"/>
  <c r="X39" i="2"/>
  <c r="X68" i="2"/>
  <c r="X65" i="2"/>
  <c r="W78" i="2"/>
  <c r="W97" i="2"/>
  <c r="W34" i="2"/>
  <c r="W84" i="2"/>
  <c r="W36" i="2"/>
  <c r="W51" i="2"/>
  <c r="W23" i="2"/>
  <c r="W31" i="2"/>
  <c r="V86" i="2"/>
  <c r="V50" i="2"/>
  <c r="V16" i="2"/>
  <c r="V75" i="2"/>
  <c r="V71" i="2"/>
  <c r="V60" i="2"/>
  <c r="Y7" i="2"/>
  <c r="Y24" i="2"/>
  <c r="Y103" i="2"/>
  <c r="Y22" i="2"/>
  <c r="Y63" i="2"/>
  <c r="Y47" i="2"/>
  <c r="Y11" i="2"/>
  <c r="Y38" i="2"/>
  <c r="X27" i="2"/>
  <c r="X42" i="2"/>
  <c r="X33" i="2"/>
  <c r="X94" i="2"/>
  <c r="X24" i="2"/>
  <c r="X8" i="2"/>
  <c r="W57" i="2"/>
  <c r="W12" i="2"/>
  <c r="W71" i="2"/>
  <c r="W8" i="2"/>
  <c r="W6" i="2"/>
  <c r="W44" i="2"/>
  <c r="W29" i="2"/>
  <c r="W15" i="2"/>
  <c r="W13" i="2"/>
  <c r="W54" i="2"/>
  <c r="V53" i="2"/>
  <c r="V95" i="2"/>
  <c r="V15" i="2"/>
  <c r="V27" i="2"/>
  <c r="V25" i="2"/>
  <c r="V43" i="2"/>
  <c r="V11" i="2"/>
  <c r="Y70" i="2"/>
  <c r="Y27" i="2"/>
  <c r="Y65" i="2"/>
  <c r="Y8" i="2"/>
  <c r="Y40" i="2"/>
  <c r="Y19" i="2"/>
  <c r="Y52" i="2"/>
  <c r="V18" i="2"/>
  <c r="X47" i="2"/>
  <c r="X52" i="2"/>
  <c r="X5" i="2"/>
  <c r="W49" i="2"/>
  <c r="W26" i="2"/>
  <c r="W90" i="2"/>
  <c r="V85" i="2"/>
  <c r="V10" i="2"/>
  <c r="V93" i="2"/>
  <c r="V36" i="2"/>
  <c r="V46" i="2"/>
  <c r="V42" i="2"/>
  <c r="Y28" i="2"/>
  <c r="Y76" i="2"/>
  <c r="Y62" i="2"/>
  <c r="Y50" i="2"/>
  <c r="Y80" i="2"/>
  <c r="Y48" i="2"/>
  <c r="Y57" i="2"/>
  <c r="X78" i="2"/>
  <c r="X92" i="2"/>
  <c r="X61" i="2"/>
  <c r="X83" i="2"/>
  <c r="W92" i="2"/>
  <c r="W103" i="2"/>
  <c r="V70" i="2"/>
  <c r="V90" i="2"/>
  <c r="V9" i="2"/>
  <c r="V65" i="2"/>
  <c r="V5" i="2"/>
  <c r="Y82" i="2"/>
  <c r="Y98" i="2"/>
  <c r="Y99" i="2"/>
  <c r="Y31" i="2"/>
  <c r="Y66" i="2"/>
  <c r="Y78" i="2"/>
  <c r="Y88" i="2"/>
  <c r="U6" i="2"/>
  <c r="U5" i="2" l="1"/>
  <c r="U4" i="2"/>
  <c r="U7" i="2" l="1"/>
  <c r="U8" i="2" l="1"/>
  <c r="U9" i="2" l="1"/>
  <c r="U10" i="2" l="1"/>
  <c r="U11" i="2" l="1"/>
  <c r="U12" i="2"/>
  <c r="U13" i="2" l="1"/>
  <c r="U14" i="2" l="1"/>
  <c r="U15" i="2" l="1"/>
  <c r="U16" i="2" l="1"/>
  <c r="U17" i="2" l="1"/>
  <c r="U18" i="2"/>
  <c r="U19" i="2" l="1"/>
  <c r="U20" i="2" l="1"/>
  <c r="U21" i="2" l="1"/>
  <c r="U22" i="2" l="1"/>
  <c r="U23" i="2"/>
  <c r="U24" i="2" l="1"/>
  <c r="U25" i="2" l="1"/>
  <c r="U26" i="2" l="1"/>
  <c r="U27" i="2" l="1"/>
  <c r="U28" i="2" l="1"/>
  <c r="U29" i="2" l="1"/>
  <c r="U30" i="2" l="1"/>
  <c r="U31" i="2" l="1"/>
  <c r="U32" i="2" l="1"/>
  <c r="U33" i="2" l="1"/>
  <c r="U34" i="2" l="1"/>
  <c r="U35" i="2" l="1"/>
  <c r="U36" i="2" l="1"/>
  <c r="U37" i="2" l="1"/>
  <c r="U38" i="2" l="1"/>
  <c r="U39" i="2" l="1"/>
  <c r="U40" i="2" l="1"/>
  <c r="U41" i="2" l="1"/>
  <c r="U42" i="2" l="1"/>
  <c r="U43" i="2" l="1"/>
  <c r="U44" i="2" l="1"/>
  <c r="U45" i="2"/>
  <c r="U46" i="2" l="1"/>
  <c r="U47" i="2" l="1"/>
  <c r="U48" i="2" l="1"/>
  <c r="U49" i="2" l="1"/>
  <c r="U50" i="2" l="1"/>
  <c r="U51" i="2" l="1"/>
  <c r="U52" i="2" l="1"/>
  <c r="U53" i="2" l="1"/>
  <c r="U54" i="2" l="1"/>
  <c r="U55" i="2" l="1"/>
  <c r="U56" i="2" l="1"/>
  <c r="U57" i="2" l="1"/>
  <c r="U58" i="2" l="1"/>
  <c r="U59" i="2" l="1"/>
  <c r="U60" i="2" l="1"/>
  <c r="U61" i="2" l="1"/>
  <c r="U62" i="2" l="1"/>
  <c r="U63" i="2" l="1"/>
  <c r="U64" i="2" l="1"/>
  <c r="U65" i="2" l="1"/>
  <c r="U66" i="2" l="1"/>
  <c r="U67" i="2" l="1"/>
  <c r="U68" i="2" l="1"/>
  <c r="U69" i="2" l="1"/>
  <c r="U70" i="2" l="1"/>
  <c r="U71" i="2" l="1"/>
  <c r="U72" i="2" l="1"/>
  <c r="U73" i="2" l="1"/>
  <c r="U74" i="2" l="1"/>
  <c r="U75" i="2" l="1"/>
  <c r="U76" i="2" l="1"/>
  <c r="U77" i="2" l="1"/>
  <c r="U78" i="2" l="1"/>
  <c r="U79" i="2" l="1"/>
  <c r="U80" i="2" l="1"/>
  <c r="U81" i="2" l="1"/>
  <c r="U82" i="2" l="1"/>
  <c r="U83" i="2" l="1"/>
  <c r="U84" i="2"/>
  <c r="U85" i="2" l="1"/>
  <c r="U86" i="2" l="1"/>
  <c r="U87" i="2" l="1"/>
  <c r="U88" i="2" l="1"/>
  <c r="U89" i="2"/>
  <c r="U90" i="2" l="1"/>
  <c r="U91" i="2" l="1"/>
  <c r="U92" i="2"/>
  <c r="U93" i="2" l="1"/>
  <c r="U94" i="2" l="1"/>
  <c r="U95" i="2" l="1"/>
  <c r="U96" i="2" l="1"/>
  <c r="U97" i="2" l="1"/>
  <c r="U98" i="2" l="1"/>
  <c r="U99" i="2"/>
  <c r="U100" i="2" l="1"/>
  <c r="U101" i="2" l="1"/>
  <c r="U102" i="2"/>
  <c r="U103" i="2" l="1"/>
  <c r="AI4" i="2" l="1"/>
  <c r="BG4" i="2" s="1"/>
  <c r="AJ4" i="2"/>
  <c r="BH4" i="2" s="1"/>
  <c r="AH4" i="2"/>
  <c r="BF4" i="2" s="1"/>
  <c r="AK4" i="2"/>
  <c r="BI4" i="2" s="1"/>
  <c r="AG4" i="2" l="1"/>
  <c r="AG5" i="2"/>
  <c r="AK5" i="2"/>
  <c r="BI5" i="2" s="1"/>
  <c r="AG7" i="2" l="1"/>
  <c r="BE7" i="2" s="1"/>
  <c r="BE4" i="2"/>
  <c r="BE5" i="2"/>
  <c r="AG6" i="2"/>
  <c r="AI5" i="2"/>
  <c r="BG5" i="2" s="1"/>
  <c r="AH5" i="2"/>
  <c r="BF5" i="2" s="1"/>
  <c r="AG8" i="2"/>
  <c r="AK7" i="2" l="1"/>
  <c r="BI7" i="2" s="1"/>
  <c r="AJ8" i="2"/>
  <c r="BH8" i="2" s="1"/>
  <c r="BE8" i="2"/>
  <c r="AI7" i="2"/>
  <c r="BG7" i="2" s="1"/>
  <c r="BE6" i="2"/>
  <c r="AI6" i="2"/>
  <c r="BG6" i="2" s="1"/>
  <c r="AH6" i="2"/>
  <c r="BF6" i="2" s="1"/>
  <c r="AJ7" i="2"/>
  <c r="BH7" i="2" s="1"/>
  <c r="AK6" i="2"/>
  <c r="BI6" i="2" s="1"/>
  <c r="AJ6" i="2"/>
  <c r="BH6" i="2" s="1"/>
  <c r="AJ5" i="2"/>
  <c r="BH5" i="2" s="1"/>
  <c r="AK8" i="2"/>
  <c r="BI8" i="2" s="1"/>
  <c r="AG9" i="2"/>
  <c r="AJ9" i="2"/>
  <c r="BH9" i="2" s="1"/>
  <c r="AI8" i="2"/>
  <c r="BG8" i="2" s="1"/>
  <c r="BE9" i="2" l="1"/>
  <c r="AH7" i="2"/>
  <c r="BF7" i="2" s="1"/>
  <c r="AH8" i="2"/>
  <c r="BF8" i="2" s="1"/>
  <c r="AJ10" i="2"/>
  <c r="BH10" i="2" s="1"/>
  <c r="AI9" i="2"/>
  <c r="BG9" i="2" s="1"/>
  <c r="AK9" i="2"/>
  <c r="BI9" i="2" s="1"/>
  <c r="AG10" i="2"/>
  <c r="BE10" i="2" l="1"/>
  <c r="AH9" i="2"/>
  <c r="BF9" i="2" s="1"/>
  <c r="AI10" i="2"/>
  <c r="BG10" i="2" s="1"/>
  <c r="AG11" i="2"/>
  <c r="AJ11" i="2"/>
  <c r="BH11" i="2" s="1"/>
  <c r="AK10" i="2"/>
  <c r="BI10" i="2" s="1"/>
  <c r="BE11" i="2" l="1"/>
  <c r="AH10" i="2"/>
  <c r="BF10" i="2" s="1"/>
  <c r="AI11" i="2"/>
  <c r="BG11" i="2" s="1"/>
  <c r="AK11" i="2"/>
  <c r="BI11" i="2" s="1"/>
  <c r="AJ12" i="2"/>
  <c r="BH12" i="2" s="1"/>
  <c r="AH11" i="2" l="1"/>
  <c r="BF11" i="2" s="1"/>
  <c r="AK12" i="2"/>
  <c r="BI12" i="2" s="1"/>
  <c r="AI12" i="2"/>
  <c r="BG12" i="2" s="1"/>
  <c r="AJ13" i="2"/>
  <c r="BH13" i="2" s="1"/>
  <c r="AG12" i="2" l="1"/>
  <c r="AG13" i="2"/>
  <c r="AH12" i="2"/>
  <c r="BF12" i="2" s="1"/>
  <c r="AI13" i="2"/>
  <c r="BG13" i="2" s="1"/>
  <c r="AJ14" i="2"/>
  <c r="BH14" i="2" s="1"/>
  <c r="AK13" i="2"/>
  <c r="BI13" i="2" s="1"/>
  <c r="BE12" i="2" l="1"/>
  <c r="BE13" i="2"/>
  <c r="AH13" i="2"/>
  <c r="BF13" i="2" s="1"/>
  <c r="AI14" i="2"/>
  <c r="BG14" i="2" s="1"/>
  <c r="AJ15" i="2"/>
  <c r="BH15" i="2" s="1"/>
  <c r="AK14" i="2"/>
  <c r="BI14" i="2" s="1"/>
  <c r="AG15" i="2" l="1"/>
  <c r="AG14" i="2"/>
  <c r="AH14" i="2"/>
  <c r="BF14" i="2" s="1"/>
  <c r="AJ16" i="2"/>
  <c r="BH16" i="2" s="1"/>
  <c r="AK15" i="2"/>
  <c r="BI15" i="2" s="1"/>
  <c r="AG16" i="2"/>
  <c r="AI15" i="2"/>
  <c r="BG15" i="2" s="1"/>
  <c r="BE14" i="2" l="1"/>
  <c r="BE16" i="2"/>
  <c r="BE15" i="2"/>
  <c r="AH15" i="2"/>
  <c r="BF15" i="2" s="1"/>
  <c r="AK16" i="2"/>
  <c r="BI16" i="2" s="1"/>
  <c r="AI16" i="2"/>
  <c r="BG16" i="2" s="1"/>
  <c r="AJ17" i="2"/>
  <c r="BH17" i="2" s="1"/>
  <c r="AG17" i="2" l="1"/>
  <c r="AH16" i="2"/>
  <c r="BF16" i="2" s="1"/>
  <c r="AJ18" i="2"/>
  <c r="BH18" i="2" s="1"/>
  <c r="AG18" i="2"/>
  <c r="AI17" i="2"/>
  <c r="BG17" i="2" s="1"/>
  <c r="AK17" i="2"/>
  <c r="BI17" i="2" s="1"/>
  <c r="BE18" i="2" l="1"/>
  <c r="BE17" i="2"/>
  <c r="AH17" i="2"/>
  <c r="BF17" i="2" s="1"/>
  <c r="AK18" i="2"/>
  <c r="BI18" i="2" s="1"/>
  <c r="AJ19" i="2"/>
  <c r="BH19" i="2" s="1"/>
  <c r="AI18" i="2"/>
  <c r="BG18" i="2" s="1"/>
  <c r="AG19" i="2"/>
  <c r="BE19" i="2" l="1"/>
  <c r="AH18" i="2"/>
  <c r="BF18" i="2" s="1"/>
  <c r="AJ20" i="2"/>
  <c r="BH20" i="2" s="1"/>
  <c r="AI19" i="2"/>
  <c r="BG19" i="2" s="1"/>
  <c r="AG20" i="2"/>
  <c r="AK19" i="2"/>
  <c r="BI19" i="2" s="1"/>
  <c r="BE20" i="2" l="1"/>
  <c r="AH19" i="2"/>
  <c r="BF19" i="2" s="1"/>
  <c r="AI20" i="2"/>
  <c r="BG20" i="2" s="1"/>
  <c r="AJ21" i="2"/>
  <c r="BH21" i="2" s="1"/>
  <c r="AK20" i="2"/>
  <c r="BI20" i="2" s="1"/>
  <c r="AG21" i="2"/>
  <c r="BE21" i="2" l="1"/>
  <c r="AH20" i="2"/>
  <c r="BF20" i="2" s="1"/>
  <c r="AK21" i="2"/>
  <c r="BI21" i="2" s="1"/>
  <c r="AJ22" i="2"/>
  <c r="BH22" i="2" s="1"/>
  <c r="AI21" i="2"/>
  <c r="BG21" i="2" s="1"/>
  <c r="AG22" i="2" l="1"/>
  <c r="AH21" i="2"/>
  <c r="BF21" i="2" s="1"/>
  <c r="AJ23" i="2"/>
  <c r="BH23" i="2" s="1"/>
  <c r="AK22" i="2"/>
  <c r="BI22" i="2" s="1"/>
  <c r="AI22" i="2"/>
  <c r="BG22" i="2" s="1"/>
  <c r="BE22" i="2" l="1"/>
  <c r="AG23" i="2"/>
  <c r="AH22" i="2"/>
  <c r="BF22" i="2" s="1"/>
  <c r="AI23" i="2"/>
  <c r="BG23" i="2" s="1"/>
  <c r="AJ24" i="2"/>
  <c r="BH24" i="2" s="1"/>
  <c r="AK23" i="2"/>
  <c r="BI23" i="2" s="1"/>
  <c r="BE23" i="2" l="1"/>
  <c r="AG24" i="2"/>
  <c r="AH23" i="2"/>
  <c r="BF23" i="2" s="1"/>
  <c r="AJ25" i="2"/>
  <c r="BH25" i="2" s="1"/>
  <c r="AK24" i="2"/>
  <c r="BI24" i="2" s="1"/>
  <c r="AI24" i="2"/>
  <c r="BG24" i="2" s="1"/>
  <c r="BE24" i="2" l="1"/>
  <c r="AG25" i="2"/>
  <c r="AH24" i="2"/>
  <c r="BF24" i="2" s="1"/>
  <c r="AI25" i="2"/>
  <c r="BG25" i="2" s="1"/>
  <c r="AK25" i="2"/>
  <c r="BI25" i="2" s="1"/>
  <c r="AJ26" i="2"/>
  <c r="BH26" i="2" s="1"/>
  <c r="BE25" i="2" l="1"/>
  <c r="AG26" i="2"/>
  <c r="AH25" i="2"/>
  <c r="BF25" i="2" s="1"/>
  <c r="AJ27" i="2"/>
  <c r="BH27" i="2" s="1"/>
  <c r="AK26" i="2"/>
  <c r="BI26" i="2" s="1"/>
  <c r="AI26" i="2"/>
  <c r="BG26" i="2" s="1"/>
  <c r="BE26" i="2" l="1"/>
  <c r="AG27" i="2"/>
  <c r="AH26" i="2"/>
  <c r="BF26" i="2" s="1"/>
  <c r="AJ28" i="2"/>
  <c r="BH28" i="2" s="1"/>
  <c r="AI27" i="2"/>
  <c r="BG27" i="2" s="1"/>
  <c r="AG28" i="2"/>
  <c r="AK27" i="2"/>
  <c r="BI27" i="2" s="1"/>
  <c r="BE27" i="2" l="1"/>
  <c r="BE28" i="2"/>
  <c r="AH27" i="2"/>
  <c r="BF27" i="2" s="1"/>
  <c r="AJ29" i="2"/>
  <c r="BH29" i="2" s="1"/>
  <c r="AI28" i="2"/>
  <c r="BG28" i="2" s="1"/>
  <c r="AK28" i="2"/>
  <c r="BI28" i="2" s="1"/>
  <c r="AG29" i="2"/>
  <c r="BE29" i="2" l="1"/>
  <c r="AH28" i="2"/>
  <c r="BF28" i="2" s="1"/>
  <c r="AJ30" i="2"/>
  <c r="BH30" i="2" s="1"/>
  <c r="AI29" i="2"/>
  <c r="BG29" i="2" s="1"/>
  <c r="AK29" i="2"/>
  <c r="BI29" i="2" s="1"/>
  <c r="AG30" i="2"/>
  <c r="BE30" i="2" l="1"/>
  <c r="AH29" i="2"/>
  <c r="BF29" i="2" s="1"/>
  <c r="AI30" i="2"/>
  <c r="BG30" i="2" s="1"/>
  <c r="AJ31" i="2"/>
  <c r="BH31" i="2" s="1"/>
  <c r="AK30" i="2"/>
  <c r="BI30" i="2" s="1"/>
  <c r="AG31" i="2" l="1"/>
  <c r="AH30" i="2"/>
  <c r="BF30" i="2" s="1"/>
  <c r="AK31" i="2"/>
  <c r="BI31" i="2" s="1"/>
  <c r="AJ32" i="2"/>
  <c r="BH32" i="2" s="1"/>
  <c r="AI31" i="2"/>
  <c r="BG31" i="2" s="1"/>
  <c r="BE31" i="2" l="1"/>
  <c r="AG32" i="2"/>
  <c r="AH31" i="2"/>
  <c r="BF31" i="2" s="1"/>
  <c r="AJ33" i="2"/>
  <c r="BH33" i="2" s="1"/>
  <c r="AK32" i="2"/>
  <c r="BI32" i="2" s="1"/>
  <c r="AI32" i="2"/>
  <c r="BG32" i="2" s="1"/>
  <c r="BE32" i="2" l="1"/>
  <c r="AG33" i="2"/>
  <c r="AH32" i="2"/>
  <c r="BF32" i="2" s="1"/>
  <c r="AI33" i="2"/>
  <c r="BG33" i="2" s="1"/>
  <c r="AK33" i="2"/>
  <c r="BI33" i="2" s="1"/>
  <c r="AJ34" i="2"/>
  <c r="BH34" i="2" s="1"/>
  <c r="AG34" i="2"/>
  <c r="BE34" i="2" l="1"/>
  <c r="BE33" i="2"/>
  <c r="AH33" i="2"/>
  <c r="BF33" i="2" s="1"/>
  <c r="AI34" i="2"/>
  <c r="BG34" i="2" s="1"/>
  <c r="AK34" i="2"/>
  <c r="BI34" i="2" s="1"/>
  <c r="AJ35" i="2"/>
  <c r="BH35" i="2" s="1"/>
  <c r="AG35" i="2" l="1"/>
  <c r="AH34" i="2"/>
  <c r="BF34" i="2" s="1"/>
  <c r="AK35" i="2"/>
  <c r="BI35" i="2" s="1"/>
  <c r="AI35" i="2"/>
  <c r="BG35" i="2" s="1"/>
  <c r="AJ36" i="2"/>
  <c r="BH36" i="2" s="1"/>
  <c r="BE35" i="2" l="1"/>
  <c r="AG36" i="2"/>
  <c r="AH35" i="2"/>
  <c r="BF35" i="2" s="1"/>
  <c r="AK36" i="2"/>
  <c r="BI36" i="2" s="1"/>
  <c r="AI36" i="2"/>
  <c r="BG36" i="2" s="1"/>
  <c r="AJ37" i="2"/>
  <c r="BH37" i="2" s="1"/>
  <c r="BE36" i="2" l="1"/>
  <c r="AG37" i="2"/>
  <c r="AH36" i="2"/>
  <c r="BF36" i="2" s="1"/>
  <c r="AJ38" i="2"/>
  <c r="BH38" i="2" s="1"/>
  <c r="AK37" i="2"/>
  <c r="BI37" i="2" s="1"/>
  <c r="AI37" i="2"/>
  <c r="BG37" i="2" s="1"/>
  <c r="BE37" i="2" l="1"/>
  <c r="AG38" i="2"/>
  <c r="AH37" i="2"/>
  <c r="BF37" i="2" s="1"/>
  <c r="AJ39" i="2"/>
  <c r="BH39" i="2" s="1"/>
  <c r="AI38" i="2"/>
  <c r="BG38" i="2" s="1"/>
  <c r="AK38" i="2"/>
  <c r="BI38" i="2" s="1"/>
  <c r="BE38" i="2" l="1"/>
  <c r="AG39" i="2"/>
  <c r="AH38" i="2"/>
  <c r="BF38" i="2" s="1"/>
  <c r="AJ40" i="2"/>
  <c r="BH40" i="2" s="1"/>
  <c r="AI39" i="2"/>
  <c r="BG39" i="2" s="1"/>
  <c r="AK39" i="2"/>
  <c r="BI39" i="2" s="1"/>
  <c r="BE39" i="2" l="1"/>
  <c r="AG40" i="2"/>
  <c r="AH39" i="2"/>
  <c r="BF39" i="2" s="1"/>
  <c r="AK40" i="2"/>
  <c r="BI40" i="2" s="1"/>
  <c r="AG41" i="2"/>
  <c r="AI40" i="2"/>
  <c r="BG40" i="2" s="1"/>
  <c r="AJ41" i="2"/>
  <c r="BH41" i="2" s="1"/>
  <c r="BE40" i="2" l="1"/>
  <c r="BE41" i="2"/>
  <c r="AH40" i="2"/>
  <c r="BF40" i="2" s="1"/>
  <c r="AI41" i="2"/>
  <c r="BG41" i="2" s="1"/>
  <c r="AJ42" i="2"/>
  <c r="BH42" i="2" s="1"/>
  <c r="AG42" i="2"/>
  <c r="AK41" i="2"/>
  <c r="BI41" i="2" s="1"/>
  <c r="BE42" i="2" l="1"/>
  <c r="AH41" i="2"/>
  <c r="BF41" i="2" s="1"/>
  <c r="AJ43" i="2"/>
  <c r="BH43" i="2" s="1"/>
  <c r="AK42" i="2"/>
  <c r="BI42" i="2" s="1"/>
  <c r="AI42" i="2"/>
  <c r="BG42" i="2" s="1"/>
  <c r="AG43" i="2" l="1"/>
  <c r="AH42" i="2"/>
  <c r="BF42" i="2" s="1"/>
  <c r="AK43" i="2"/>
  <c r="BI43" i="2" s="1"/>
  <c r="AI43" i="2"/>
  <c r="BG43" i="2" s="1"/>
  <c r="AJ44" i="2"/>
  <c r="BH44" i="2" s="1"/>
  <c r="BE43" i="2" l="1"/>
  <c r="AG44" i="2"/>
  <c r="AH43" i="2"/>
  <c r="BF43" i="2" s="1"/>
  <c r="AJ45" i="2"/>
  <c r="BH45" i="2" s="1"/>
  <c r="AI44" i="2"/>
  <c r="BG44" i="2" s="1"/>
  <c r="AK44" i="2"/>
  <c r="BI44" i="2" s="1"/>
  <c r="BE44" i="2" l="1"/>
  <c r="AG45" i="2"/>
  <c r="AH44" i="2"/>
  <c r="BF44" i="2" s="1"/>
  <c r="AJ46" i="2"/>
  <c r="BH46" i="2" s="1"/>
  <c r="AI45" i="2"/>
  <c r="BG45" i="2" s="1"/>
  <c r="AK45" i="2"/>
  <c r="BI45" i="2" s="1"/>
  <c r="BE45" i="2" l="1"/>
  <c r="AG46" i="2"/>
  <c r="AH45" i="2"/>
  <c r="BF45" i="2" s="1"/>
  <c r="AI46" i="2"/>
  <c r="BG46" i="2" s="1"/>
  <c r="AK46" i="2"/>
  <c r="BI46" i="2" s="1"/>
  <c r="AJ47" i="2"/>
  <c r="BH47" i="2" s="1"/>
  <c r="BE46" i="2" l="1"/>
  <c r="AG47" i="2"/>
  <c r="AH46" i="2"/>
  <c r="BF46" i="2" s="1"/>
  <c r="AJ48" i="2"/>
  <c r="BH48" i="2" s="1"/>
  <c r="AI47" i="2"/>
  <c r="BG47" i="2" s="1"/>
  <c r="AK47" i="2"/>
  <c r="BI47" i="2" s="1"/>
  <c r="BE47" i="2" l="1"/>
  <c r="AG48" i="2"/>
  <c r="AH47" i="2"/>
  <c r="BF47" i="2" s="1"/>
  <c r="AJ49" i="2"/>
  <c r="BH49" i="2" s="1"/>
  <c r="AK48" i="2"/>
  <c r="BI48" i="2" s="1"/>
  <c r="AI48" i="2"/>
  <c r="BG48" i="2" s="1"/>
  <c r="BE48" i="2" l="1"/>
  <c r="AG49" i="2"/>
  <c r="AH48" i="2"/>
  <c r="BF48" i="2" s="1"/>
  <c r="AK49" i="2"/>
  <c r="BI49" i="2" s="1"/>
  <c r="AI49" i="2"/>
  <c r="BG49" i="2" s="1"/>
  <c r="AJ50" i="2"/>
  <c r="BH50" i="2" s="1"/>
  <c r="BE49" i="2" l="1"/>
  <c r="AG50" i="2"/>
  <c r="AH49" i="2"/>
  <c r="BF49" i="2" s="1"/>
  <c r="AJ51" i="2"/>
  <c r="BH51" i="2" s="1"/>
  <c r="AI50" i="2"/>
  <c r="BG50" i="2" s="1"/>
  <c r="AK50" i="2"/>
  <c r="BI50" i="2" s="1"/>
  <c r="BE50" i="2" l="1"/>
  <c r="AG51" i="2"/>
  <c r="AH50" i="2"/>
  <c r="BF50" i="2" s="1"/>
  <c r="AJ52" i="2"/>
  <c r="BH52" i="2" s="1"/>
  <c r="AK51" i="2"/>
  <c r="BI51" i="2" s="1"/>
  <c r="AI51" i="2"/>
  <c r="BG51" i="2" s="1"/>
  <c r="AG52" i="2"/>
  <c r="BE52" i="2" l="1"/>
  <c r="BE51" i="2"/>
  <c r="AH51" i="2"/>
  <c r="BF51" i="2" s="1"/>
  <c r="AJ53" i="2"/>
  <c r="BH53" i="2" s="1"/>
  <c r="AI52" i="2"/>
  <c r="BG52" i="2" s="1"/>
  <c r="AG53" i="2"/>
  <c r="AK52" i="2"/>
  <c r="BI52" i="2" s="1"/>
  <c r="BE53" i="2" l="1"/>
  <c r="AH52" i="2"/>
  <c r="BF52" i="2" s="1"/>
  <c r="AK53" i="2"/>
  <c r="BI53" i="2" s="1"/>
  <c r="AG54" i="2"/>
  <c r="AJ54" i="2"/>
  <c r="BH54" i="2" s="1"/>
  <c r="AI53" i="2"/>
  <c r="BG53" i="2" s="1"/>
  <c r="BE54" i="2" l="1"/>
  <c r="AH53" i="2"/>
  <c r="BF53" i="2" s="1"/>
  <c r="AI54" i="2"/>
  <c r="BG54" i="2" s="1"/>
  <c r="AK54" i="2"/>
  <c r="BI54" i="2" s="1"/>
  <c r="AJ55" i="2"/>
  <c r="BH55" i="2" s="1"/>
  <c r="AG55" i="2" l="1"/>
  <c r="AH54" i="2"/>
  <c r="BF54" i="2" s="1"/>
  <c r="AJ56" i="2"/>
  <c r="BH56" i="2" s="1"/>
  <c r="AI55" i="2"/>
  <c r="BG55" i="2" s="1"/>
  <c r="AK55" i="2"/>
  <c r="BI55" i="2" s="1"/>
  <c r="BE55" i="2" l="1"/>
  <c r="AG56" i="2"/>
  <c r="AH55" i="2"/>
  <c r="BF55" i="2" s="1"/>
  <c r="AJ57" i="2"/>
  <c r="BH57" i="2" s="1"/>
  <c r="AK56" i="2"/>
  <c r="BI56" i="2" s="1"/>
  <c r="AI56" i="2"/>
  <c r="BG56" i="2" s="1"/>
  <c r="BE56" i="2" l="1"/>
  <c r="AG57" i="2"/>
  <c r="AH56" i="2"/>
  <c r="BF56" i="2" s="1"/>
  <c r="AG58" i="2"/>
  <c r="AJ58" i="2"/>
  <c r="BH58" i="2" s="1"/>
  <c r="AI57" i="2"/>
  <c r="BG57" i="2" s="1"/>
  <c r="AK57" i="2"/>
  <c r="BI57" i="2" s="1"/>
  <c r="BE58" i="2" l="1"/>
  <c r="BE57" i="2"/>
  <c r="AH57" i="2"/>
  <c r="BF57" i="2" s="1"/>
  <c r="AI58" i="2"/>
  <c r="BG58" i="2" s="1"/>
  <c r="AJ59" i="2"/>
  <c r="BH59" i="2" s="1"/>
  <c r="AK58" i="2"/>
  <c r="BI58" i="2" s="1"/>
  <c r="AG59" i="2"/>
  <c r="BE59" i="2" l="1"/>
  <c r="AH58" i="2"/>
  <c r="BF58" i="2" s="1"/>
  <c r="AI59" i="2"/>
  <c r="BG59" i="2" s="1"/>
  <c r="AJ60" i="2"/>
  <c r="BH60" i="2" s="1"/>
  <c r="AK59" i="2"/>
  <c r="BI59" i="2" s="1"/>
  <c r="AG60" i="2" l="1"/>
  <c r="AH59" i="2"/>
  <c r="BF59" i="2" s="1"/>
  <c r="AK60" i="2"/>
  <c r="BI60" i="2" s="1"/>
  <c r="AJ61" i="2"/>
  <c r="BH61" i="2" s="1"/>
  <c r="AI60" i="2"/>
  <c r="BG60" i="2" s="1"/>
  <c r="AG61" i="2"/>
  <c r="BE60" i="2" l="1"/>
  <c r="BE61" i="2"/>
  <c r="AH60" i="2"/>
  <c r="BF60" i="2" s="1"/>
  <c r="AJ62" i="2"/>
  <c r="BH62" i="2" s="1"/>
  <c r="AI61" i="2"/>
  <c r="BG61" i="2" s="1"/>
  <c r="AK61" i="2"/>
  <c r="BI61" i="2" s="1"/>
  <c r="AG62" i="2" l="1"/>
  <c r="AH61" i="2"/>
  <c r="BF61" i="2" s="1"/>
  <c r="AJ63" i="2"/>
  <c r="BH63" i="2" s="1"/>
  <c r="AG63" i="2"/>
  <c r="AI62" i="2"/>
  <c r="BG62" i="2" s="1"/>
  <c r="AK62" i="2"/>
  <c r="BI62" i="2" s="1"/>
  <c r="BE63" i="2" l="1"/>
  <c r="BE62" i="2"/>
  <c r="AH62" i="2"/>
  <c r="BF62" i="2" s="1"/>
  <c r="AJ64" i="2"/>
  <c r="BH64" i="2" s="1"/>
  <c r="AK63" i="2"/>
  <c r="BI63" i="2" s="1"/>
  <c r="AI63" i="2"/>
  <c r="BG63" i="2" s="1"/>
  <c r="AG64" i="2" l="1"/>
  <c r="AH63" i="2"/>
  <c r="BF63" i="2" s="1"/>
  <c r="AI64" i="2"/>
  <c r="BG64" i="2" s="1"/>
  <c r="AJ65" i="2"/>
  <c r="BH65" i="2" s="1"/>
  <c r="AK64" i="2"/>
  <c r="BI64" i="2" s="1"/>
  <c r="AG65" i="2"/>
  <c r="BE64" i="2" l="1"/>
  <c r="BE65" i="2"/>
  <c r="AH64" i="2"/>
  <c r="BF64" i="2" s="1"/>
  <c r="AK65" i="2"/>
  <c r="BI65" i="2" s="1"/>
  <c r="AJ66" i="2"/>
  <c r="BH66" i="2" s="1"/>
  <c r="AI65" i="2"/>
  <c r="BG65" i="2" s="1"/>
  <c r="AG66" i="2" l="1"/>
  <c r="AH65" i="2"/>
  <c r="BF65" i="2" s="1"/>
  <c r="AK66" i="2"/>
  <c r="BI66" i="2" s="1"/>
  <c r="AJ67" i="2"/>
  <c r="BH67" i="2" s="1"/>
  <c r="AI66" i="2"/>
  <c r="BG66" i="2" s="1"/>
  <c r="AG67" i="2"/>
  <c r="BE67" i="2" l="1"/>
  <c r="BE66" i="2"/>
  <c r="AH66" i="2"/>
  <c r="BF66" i="2" s="1"/>
  <c r="AI67" i="2"/>
  <c r="BG67" i="2" s="1"/>
  <c r="AJ68" i="2"/>
  <c r="BH68" i="2" s="1"/>
  <c r="AK67" i="2"/>
  <c r="BI67" i="2" s="1"/>
  <c r="AG68" i="2" l="1"/>
  <c r="AH67" i="2"/>
  <c r="BF67" i="2" s="1"/>
  <c r="AJ69" i="2"/>
  <c r="BH69" i="2" s="1"/>
  <c r="AK68" i="2"/>
  <c r="BI68" i="2" s="1"/>
  <c r="AI68" i="2"/>
  <c r="BG68" i="2" s="1"/>
  <c r="AG69" i="2"/>
  <c r="BE69" i="2" l="1"/>
  <c r="BE68" i="2"/>
  <c r="AH68" i="2"/>
  <c r="BF68" i="2" s="1"/>
  <c r="AK69" i="2"/>
  <c r="BI69" i="2" s="1"/>
  <c r="AI69" i="2"/>
  <c r="BG69" i="2" s="1"/>
  <c r="AJ70" i="2"/>
  <c r="BH70" i="2" s="1"/>
  <c r="AG70" i="2" l="1"/>
  <c r="AH69" i="2"/>
  <c r="BF69" i="2" s="1"/>
  <c r="AI70" i="2"/>
  <c r="BG70" i="2" s="1"/>
  <c r="AK70" i="2"/>
  <c r="BI70" i="2" s="1"/>
  <c r="AJ71" i="2"/>
  <c r="BH71" i="2" s="1"/>
  <c r="AG71" i="2"/>
  <c r="BE71" i="2" l="1"/>
  <c r="BE70" i="2"/>
  <c r="AH70" i="2"/>
  <c r="BF70" i="2" s="1"/>
  <c r="AI71" i="2"/>
  <c r="BG71" i="2" s="1"/>
  <c r="AK71" i="2"/>
  <c r="BI71" i="2" s="1"/>
  <c r="AG72" i="2"/>
  <c r="AJ72" i="2"/>
  <c r="BH72" i="2" s="1"/>
  <c r="BE72" i="2" l="1"/>
  <c r="AH71" i="2"/>
  <c r="BF71" i="2" s="1"/>
  <c r="AI72" i="2"/>
  <c r="BG72" i="2" s="1"/>
  <c r="AJ73" i="2"/>
  <c r="BH73" i="2" s="1"/>
  <c r="AK72" i="2"/>
  <c r="BI72" i="2" s="1"/>
  <c r="AG73" i="2" l="1"/>
  <c r="AH72" i="2"/>
  <c r="BF72" i="2" s="1"/>
  <c r="AK73" i="2"/>
  <c r="BI73" i="2" s="1"/>
  <c r="AI73" i="2"/>
  <c r="BG73" i="2" s="1"/>
  <c r="AJ74" i="2"/>
  <c r="BH74" i="2" s="1"/>
  <c r="BE73" i="2" l="1"/>
  <c r="AG74" i="2"/>
  <c r="AH73" i="2"/>
  <c r="BF73" i="2" s="1"/>
  <c r="AG75" i="2"/>
  <c r="AI74" i="2"/>
  <c r="BG74" i="2" s="1"/>
  <c r="AK74" i="2"/>
  <c r="BI74" i="2" s="1"/>
  <c r="AJ75" i="2"/>
  <c r="BH75" i="2" s="1"/>
  <c r="BE74" i="2" l="1"/>
  <c r="BE75" i="2"/>
  <c r="AH74" i="2"/>
  <c r="BF74" i="2" s="1"/>
  <c r="AI75" i="2"/>
  <c r="BG75" i="2" s="1"/>
  <c r="AJ76" i="2"/>
  <c r="BH76" i="2" s="1"/>
  <c r="AK75" i="2"/>
  <c r="BI75" i="2" s="1"/>
  <c r="AG76" i="2" l="1"/>
  <c r="AH75" i="2"/>
  <c r="BF75" i="2" s="1"/>
  <c r="AI76" i="2"/>
  <c r="BG76" i="2" s="1"/>
  <c r="AJ77" i="2"/>
  <c r="BH77" i="2" s="1"/>
  <c r="AK76" i="2"/>
  <c r="BI76" i="2" s="1"/>
  <c r="BE76" i="2" l="1"/>
  <c r="AG77" i="2"/>
  <c r="AH76" i="2"/>
  <c r="BF76" i="2" s="1"/>
  <c r="AK77" i="2"/>
  <c r="BI77" i="2" s="1"/>
  <c r="AJ78" i="2"/>
  <c r="BH78" i="2" s="1"/>
  <c r="AI77" i="2"/>
  <c r="BG77" i="2" s="1"/>
  <c r="BE77" i="2" l="1"/>
  <c r="AG78" i="2"/>
  <c r="AH77" i="2"/>
  <c r="BF77" i="2" s="1"/>
  <c r="AJ79" i="2"/>
  <c r="BH79" i="2" s="1"/>
  <c r="AK78" i="2"/>
  <c r="BI78" i="2" s="1"/>
  <c r="AI78" i="2"/>
  <c r="BG78" i="2" s="1"/>
  <c r="BE78" i="2" l="1"/>
  <c r="AG79" i="2"/>
  <c r="AH78" i="2"/>
  <c r="BF78" i="2" s="1"/>
  <c r="AK79" i="2"/>
  <c r="BI79" i="2" s="1"/>
  <c r="AJ80" i="2"/>
  <c r="BH80" i="2" s="1"/>
  <c r="AI79" i="2"/>
  <c r="BG79" i="2" s="1"/>
  <c r="BE79" i="2" l="1"/>
  <c r="AG80" i="2"/>
  <c r="AH79" i="2"/>
  <c r="BF79" i="2" s="1"/>
  <c r="AG81" i="2"/>
  <c r="AK80" i="2"/>
  <c r="BI80" i="2" s="1"/>
  <c r="AI80" i="2"/>
  <c r="BG80" i="2" s="1"/>
  <c r="AJ81" i="2"/>
  <c r="BH81" i="2" s="1"/>
  <c r="BE80" i="2" l="1"/>
  <c r="BE81" i="2"/>
  <c r="AH80" i="2"/>
  <c r="BF80" i="2" s="1"/>
  <c r="AK81" i="2"/>
  <c r="BI81" i="2" s="1"/>
  <c r="AI81" i="2"/>
  <c r="BG81" i="2" s="1"/>
  <c r="AJ82" i="2"/>
  <c r="BH82" i="2" s="1"/>
  <c r="AG82" i="2" l="1"/>
  <c r="AH81" i="2"/>
  <c r="BF81" i="2" s="1"/>
  <c r="AI82" i="2"/>
  <c r="BG82" i="2" s="1"/>
  <c r="AK82" i="2"/>
  <c r="BI82" i="2" s="1"/>
  <c r="AJ83" i="2"/>
  <c r="BH83" i="2" s="1"/>
  <c r="BE82" i="2" l="1"/>
  <c r="AG83" i="2"/>
  <c r="AH82" i="2"/>
  <c r="BF82" i="2" s="1"/>
  <c r="AK83" i="2"/>
  <c r="BI83" i="2" s="1"/>
  <c r="AG84" i="2"/>
  <c r="AJ84" i="2"/>
  <c r="BH84" i="2" s="1"/>
  <c r="AI83" i="2"/>
  <c r="BG83" i="2" s="1"/>
  <c r="BE84" i="2" l="1"/>
  <c r="BE83" i="2"/>
  <c r="AH83" i="2"/>
  <c r="BF83" i="2" s="1"/>
  <c r="AK84" i="2"/>
  <c r="BI84" i="2" s="1"/>
  <c r="AG85" i="2"/>
  <c r="AI84" i="2"/>
  <c r="BG84" i="2" s="1"/>
  <c r="AJ85" i="2"/>
  <c r="BH85" i="2" s="1"/>
  <c r="BE85" i="2" l="1"/>
  <c r="AH84" i="2"/>
  <c r="BF84" i="2" s="1"/>
  <c r="AJ86" i="2"/>
  <c r="BH86" i="2" s="1"/>
  <c r="AK85" i="2"/>
  <c r="BI85" i="2" s="1"/>
  <c r="AI85" i="2"/>
  <c r="BG85" i="2" s="1"/>
  <c r="AG86" i="2" l="1"/>
  <c r="AH85" i="2"/>
  <c r="BF85" i="2" s="1"/>
  <c r="AJ87" i="2"/>
  <c r="BH87" i="2" s="1"/>
  <c r="AI86" i="2"/>
  <c r="BG86" i="2" s="1"/>
  <c r="AK86" i="2"/>
  <c r="BI86" i="2" s="1"/>
  <c r="AG87" i="2"/>
  <c r="BE86" i="2" l="1"/>
  <c r="BE87" i="2"/>
  <c r="AH86" i="2"/>
  <c r="BF86" i="2" s="1"/>
  <c r="AJ88" i="2"/>
  <c r="BH88" i="2" s="1"/>
  <c r="AK87" i="2"/>
  <c r="BI87" i="2" s="1"/>
  <c r="AI87" i="2"/>
  <c r="BG87" i="2" s="1"/>
  <c r="AG88" i="2" l="1"/>
  <c r="AH87" i="2"/>
  <c r="BF87" i="2" s="1"/>
  <c r="AJ89" i="2"/>
  <c r="BH89" i="2" s="1"/>
  <c r="AI88" i="2"/>
  <c r="BG88" i="2" s="1"/>
  <c r="AK88" i="2"/>
  <c r="BI88" i="2" s="1"/>
  <c r="BE88" i="2" l="1"/>
  <c r="AG89" i="2"/>
  <c r="AH88" i="2"/>
  <c r="BF88" i="2" s="1"/>
  <c r="AI89" i="2"/>
  <c r="BG89" i="2" s="1"/>
  <c r="AK89" i="2"/>
  <c r="BI89" i="2" s="1"/>
  <c r="AJ90" i="2"/>
  <c r="BH90" i="2" s="1"/>
  <c r="BE89" i="2" l="1"/>
  <c r="AG90" i="2"/>
  <c r="AH89" i="2"/>
  <c r="BF89" i="2" s="1"/>
  <c r="AK90" i="2"/>
  <c r="BI90" i="2" s="1"/>
  <c r="AI90" i="2"/>
  <c r="BG90" i="2" s="1"/>
  <c r="AJ91" i="2"/>
  <c r="BH91" i="2" s="1"/>
  <c r="BE90" i="2" l="1"/>
  <c r="AG91" i="2"/>
  <c r="AH90" i="2"/>
  <c r="BF90" i="2" s="1"/>
  <c r="AJ92" i="2"/>
  <c r="BH92" i="2" s="1"/>
  <c r="AI91" i="2"/>
  <c r="BG91" i="2" s="1"/>
  <c r="AK91" i="2"/>
  <c r="BI91" i="2" s="1"/>
  <c r="BE91" i="2" l="1"/>
  <c r="AG92" i="2"/>
  <c r="AH91" i="2"/>
  <c r="BF91" i="2" s="1"/>
  <c r="AJ93" i="2"/>
  <c r="BH93" i="2" s="1"/>
  <c r="AI92" i="2"/>
  <c r="BG92" i="2" s="1"/>
  <c r="AK92" i="2"/>
  <c r="BI92" i="2" s="1"/>
  <c r="BE92" i="2" l="1"/>
  <c r="AG93" i="2"/>
  <c r="AH92" i="2"/>
  <c r="BF92" i="2" s="1"/>
  <c r="AJ94" i="2"/>
  <c r="BH94" i="2" s="1"/>
  <c r="AK93" i="2"/>
  <c r="BI93" i="2" s="1"/>
  <c r="AI93" i="2"/>
  <c r="BG93" i="2" s="1"/>
  <c r="BE93" i="2" l="1"/>
  <c r="AG94" i="2"/>
  <c r="AH93" i="2"/>
  <c r="BF93" i="2" s="1"/>
  <c r="AG95" i="2"/>
  <c r="AK94" i="2"/>
  <c r="BI94" i="2" s="1"/>
  <c r="AI94" i="2"/>
  <c r="BG94" i="2" s="1"/>
  <c r="AJ95" i="2"/>
  <c r="BH95" i="2" s="1"/>
  <c r="BE94" i="2" l="1"/>
  <c r="BE95" i="2"/>
  <c r="AH94" i="2"/>
  <c r="BF94" i="2" s="1"/>
  <c r="AK95" i="2"/>
  <c r="BI95" i="2" s="1"/>
  <c r="AJ96" i="2"/>
  <c r="BH96" i="2" s="1"/>
  <c r="AI95" i="2"/>
  <c r="BG95" i="2" s="1"/>
  <c r="AG96" i="2" l="1"/>
  <c r="AH95" i="2"/>
  <c r="BF95" i="2" s="1"/>
  <c r="AI96" i="2"/>
  <c r="BG96" i="2" s="1"/>
  <c r="AJ97" i="2"/>
  <c r="BH97" i="2" s="1"/>
  <c r="AK96" i="2"/>
  <c r="BI96" i="2" s="1"/>
  <c r="BE96" i="2" l="1"/>
  <c r="AG97" i="2"/>
  <c r="AH96" i="2"/>
  <c r="BF96" i="2" s="1"/>
  <c r="AG98" i="2"/>
  <c r="AK97" i="2"/>
  <c r="BI97" i="2" s="1"/>
  <c r="AJ98" i="2"/>
  <c r="BH98" i="2" s="1"/>
  <c r="AI97" i="2"/>
  <c r="BG97" i="2" s="1"/>
  <c r="BE97" i="2" l="1"/>
  <c r="BE98" i="2"/>
  <c r="AH97" i="2"/>
  <c r="BF97" i="2" s="1"/>
  <c r="AG99" i="2"/>
  <c r="AK98" i="2"/>
  <c r="BI98" i="2" s="1"/>
  <c r="AI98" i="2"/>
  <c r="BG98" i="2" s="1"/>
  <c r="AJ99" i="2"/>
  <c r="BH99" i="2" s="1"/>
  <c r="BE99" i="2" l="1"/>
  <c r="AH98" i="2"/>
  <c r="BF98" i="2" s="1"/>
  <c r="AJ100" i="2"/>
  <c r="BH100" i="2" s="1"/>
  <c r="AK99" i="2"/>
  <c r="BI99" i="2" s="1"/>
  <c r="AI99" i="2"/>
  <c r="BG99" i="2" s="1"/>
  <c r="AG100" i="2"/>
  <c r="BE100" i="2" l="1"/>
  <c r="AH99" i="2"/>
  <c r="BF99" i="2" s="1"/>
  <c r="AK100" i="2"/>
  <c r="BI100" i="2" s="1"/>
  <c r="AJ101" i="2"/>
  <c r="BH101" i="2" s="1"/>
  <c r="AI100" i="2"/>
  <c r="BG100" i="2" s="1"/>
  <c r="AG101" i="2" l="1"/>
  <c r="AH100" i="2"/>
  <c r="BF100" i="2" s="1"/>
  <c r="AK101" i="2"/>
  <c r="BI101" i="2" s="1"/>
  <c r="AI101" i="2"/>
  <c r="BG101" i="2" s="1"/>
  <c r="AJ103" i="2"/>
  <c r="BH103" i="2" s="1"/>
  <c r="AJ102" i="2"/>
  <c r="BH102" i="2" s="1"/>
  <c r="AG102" i="2"/>
  <c r="BE101" i="2" l="1"/>
  <c r="BE102" i="2"/>
  <c r="AH101" i="2"/>
  <c r="BF101" i="2" s="1"/>
  <c r="AI102" i="2"/>
  <c r="BG102" i="2" s="1"/>
  <c r="AK103" i="2"/>
  <c r="BI103" i="2" s="1"/>
  <c r="AK102" i="2"/>
  <c r="BI102" i="2" s="1"/>
  <c r="AI103" i="2" l="1"/>
  <c r="BG103" i="2" s="1"/>
  <c r="AG103" i="2"/>
  <c r="AH102" i="2"/>
  <c r="BF102" i="2" s="1"/>
  <c r="BE103" i="2" l="1"/>
  <c r="AH103" i="2"/>
  <c r="BF103" i="2" s="1"/>
</calcChain>
</file>

<file path=xl/sharedStrings.xml><?xml version="1.0" encoding="utf-8"?>
<sst xmlns="http://schemas.openxmlformats.org/spreadsheetml/2006/main" count="293" uniqueCount="68">
  <si>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</si>
  <si>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</si>
  <si>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</si>
  <si>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</si>
  <si>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</si>
  <si>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大殿等级</t>
  </si>
  <si>
    <t>大殿等级累积停留时间(天）</t>
  </si>
  <si>
    <t>大殿等级阶段停留时间（天）</t>
  </si>
  <si>
    <t>非r累积时长大殿等级标准</t>
  </si>
  <si>
    <t>累积停留天数(标准）</t>
    <phoneticPr fontId="1" type="noConversion"/>
  </si>
  <si>
    <t>调整系数</t>
    <phoneticPr fontId="1" type="noConversion"/>
  </si>
  <si>
    <t>,</t>
    <phoneticPr fontId="1" type="noConversion"/>
  </si>
  <si>
    <t>天数对应大殿等级</t>
    <phoneticPr fontId="1" type="noConversion"/>
  </si>
  <si>
    <t>预估养成队伍数量</t>
    <phoneticPr fontId="1" type="noConversion"/>
  </si>
  <si>
    <t>天数</t>
    <phoneticPr fontId="1" type="noConversion"/>
  </si>
  <si>
    <t>等级</t>
    <phoneticPr fontId="1" type="noConversion"/>
  </si>
  <si>
    <t>累积天数</t>
    <phoneticPr fontId="1" type="noConversion"/>
  </si>
  <si>
    <t>调整值</t>
    <phoneticPr fontId="1" type="noConversion"/>
  </si>
  <si>
    <t>消耗城建时间价值/天</t>
    <phoneticPr fontId="1" type="noConversion"/>
  </si>
  <si>
    <t>消耗城建木石铜粮价值/天</t>
    <phoneticPr fontId="1" type="noConversion"/>
  </si>
  <si>
    <t>消耗城建铁价值/天</t>
    <phoneticPr fontId="1" type="noConversion"/>
  </si>
  <si>
    <t>消耗银币价值/天</t>
    <phoneticPr fontId="1" type="noConversion"/>
  </si>
  <si>
    <t>消耗圣人好感度价值/天</t>
    <phoneticPr fontId="1" type="noConversion"/>
  </si>
  <si>
    <t>消耗装备经验价值/天</t>
    <phoneticPr fontId="1" type="noConversion"/>
  </si>
  <si>
    <t>消耗武将经验价值/天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</si>
  <si>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</si>
  <si>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</si>
  <si>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</si>
  <si>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</si>
  <si>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</si>
  <si>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主力部队占用的装备折算装备经验</t>
    <phoneticPr fontId="1" type="noConversion"/>
  </si>
  <si>
    <t>队伍数</t>
    <phoneticPr fontId="1" type="noConversion"/>
  </si>
  <si>
    <t>修正系数</t>
    <phoneticPr fontId="1" type="noConversion"/>
  </si>
  <si>
    <t>累积消耗装备经验/主力部队</t>
    <phoneticPr fontId="1" type="noConversion"/>
  </si>
  <si>
    <t>减去全体队伍占用装备后的经验</t>
  </si>
  <si>
    <t>（累积消耗装备经验+占用装备经验）/全体部队</t>
    <phoneticPr fontId="1" type="noConversion"/>
  </si>
  <si>
    <t>总计/天</t>
    <phoneticPr fontId="1" type="noConversion"/>
  </si>
  <si>
    <t>消耗士兵训练时间价值/天</t>
    <phoneticPr fontId="1" type="noConversion"/>
  </si>
  <si>
    <t>产出城建时间价值/天</t>
    <phoneticPr fontId="1" type="noConversion"/>
  </si>
  <si>
    <t>产出士兵训练时间价值/天</t>
  </si>
  <si>
    <t>产出城建木石铜粮价值/天</t>
  </si>
  <si>
    <t>产出城建铁价值/天</t>
  </si>
  <si>
    <t>产出银币价值/天</t>
  </si>
  <si>
    <t>产出圣人好感度价值/天</t>
  </si>
  <si>
    <t>产出装备经验价值/天</t>
  </si>
  <si>
    <t>产出武将经验价值/天</t>
  </si>
  <si>
    <t>消耗士兵招募时间价值/天</t>
    <phoneticPr fontId="1" type="noConversion"/>
  </si>
  <si>
    <t>产出士兵招募时间价值/天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</si>
  <si>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</si>
  <si>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</si>
  <si>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</si>
  <si>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</si>
  <si>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</si>
  <si>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定义等级</t>
    <phoneticPr fontId="1" type="noConversion"/>
  </si>
  <si>
    <t>银币</t>
    <phoneticPr fontId="1" type="noConversion"/>
  </si>
  <si>
    <t>木石铜粮</t>
    <phoneticPr fontId="1" type="noConversion"/>
  </si>
  <si>
    <t>铁</t>
    <phoneticPr fontId="1" type="noConversion"/>
  </si>
  <si>
    <t>训练时间</t>
    <phoneticPr fontId="1" type="noConversion"/>
  </si>
  <si>
    <t>城建时间</t>
    <phoneticPr fontId="1" type="noConversion"/>
  </si>
  <si>
    <t>招募时间</t>
    <phoneticPr fontId="1" type="noConversion"/>
  </si>
  <si>
    <t>研究时间</t>
    <phoneticPr fontId="1" type="noConversion"/>
  </si>
  <si>
    <t>治疗时间</t>
    <phoneticPr fontId="1" type="noConversion"/>
  </si>
  <si>
    <t>非r付费空间</t>
    <phoneticPr fontId="1" type="noConversion"/>
  </si>
  <si>
    <t>总计</t>
    <phoneticPr fontId="1" type="noConversion"/>
  </si>
  <si>
    <t>武将</t>
    <phoneticPr fontId="1" type="noConversion"/>
  </si>
  <si>
    <t>兵法</t>
    <phoneticPr fontId="1" type="noConversion"/>
  </si>
  <si>
    <t>中r付费空间</t>
    <phoneticPr fontId="1" type="noConversion"/>
  </si>
  <si>
    <t>超r付费空间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</si>
</sst>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>
      <alignment vertical="center"/>
    </xf>
  </cellStyleXfs>
  <cellXfs count="49">
    <xf numFmtId="0" fontId="0" fillId="0" borderId="0" xfId="0"/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/>
    <xf numFmtId="0" fontId="3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9" fontId="7" fillId="0" borderId="0" xfId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9" fontId="7" fillId="0" borderId="0" xfId="0" applyNumberFormat="1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7861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功能-日常任务"/>
      <sheetName val="资源-武将经验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九鼎之争"/>
      <sheetName val="调研"/>
      <sheetName val="资源-贡品"/>
      <sheetName val="资源-圣人好感度（废弃）"/>
      <sheetName val="资源-装备"/>
      <sheetName val="功能-行军令"/>
      <sheetName val="资源-装备经验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 refreshError="1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5.9198751899934572E-2</v>
          </cell>
          <cell r="R4">
            <v>4.5899129291959453E-2</v>
          </cell>
          <cell r="S4">
            <v>3.1652096978505274E-2</v>
          </cell>
          <cell r="T4">
            <v>1.6364349458274835E-2</v>
          </cell>
          <cell r="W4">
            <v>7.1773462536293131E-2</v>
          </cell>
          <cell r="X4">
            <v>5.9198751899934572E-2</v>
          </cell>
          <cell r="Y4">
            <v>4.5899129291959453E-2</v>
          </cell>
          <cell r="Z4">
            <v>3.1652096978505274E-2</v>
          </cell>
          <cell r="AA4">
            <v>1.6364349458274835E-2</v>
          </cell>
          <cell r="AD4">
            <v>10</v>
          </cell>
          <cell r="AE4">
            <v>11.183833372338139</v>
          </cell>
          <cell r="AF4">
            <v>12.874130786064232</v>
          </cell>
          <cell r="AG4">
            <v>15.670601846495588</v>
          </cell>
          <cell r="AH4">
            <v>22.133339311557481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</row>
        <row r="5">
          <cell r="N5">
            <v>4</v>
          </cell>
          <cell r="P5">
            <v>0.1486983549970351</v>
          </cell>
          <cell r="Q5">
            <v>0.12338989497653972</v>
          </cell>
          <cell r="R5">
            <v>9.6326794367079346E-2</v>
          </cell>
          <cell r="S5">
            <v>6.69142597486658E-2</v>
          </cell>
          <cell r="T5">
            <v>3.4914373753303841E-2</v>
          </cell>
          <cell r="W5">
            <v>7.6924892460741967E-2</v>
          </cell>
          <cell r="X5">
            <v>6.4191143076605145E-2</v>
          </cell>
          <cell r="Y5">
            <v>5.0427665075119893E-2</v>
          </cell>
          <cell r="Z5">
            <v>3.5262162770160525E-2</v>
          </cell>
          <cell r="AA5">
            <v>1.8550024295029006E-2</v>
          </cell>
          <cell r="AD5">
            <v>15.845161563010114</v>
          </cell>
          <cell r="AE5">
            <v>17.346925352696559</v>
          </cell>
          <cell r="AF5">
            <v>19.496136817742748</v>
          </cell>
          <cell r="AG5">
            <v>23.06484143491593</v>
          </cell>
          <cell r="AH5">
            <v>29.389886110615148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</row>
        <row r="6">
          <cell r="N6">
            <v>6</v>
          </cell>
          <cell r="P6">
            <v>0.23114441334491631</v>
          </cell>
          <cell r="Q6">
            <v>0.19277444072966018</v>
          </cell>
          <cell r="R6">
            <v>0.15123778965157875</v>
          </cell>
          <cell r="S6">
            <v>0.10563299689862676</v>
          </cell>
          <cell r="T6">
            <v>5.5335972554772968E-2</v>
          </cell>
          <cell r="W6">
            <v>8.2446058347881213E-2</v>
          </cell>
          <cell r="X6">
            <v>6.9384545753120461E-2</v>
          </cell>
          <cell r="Y6">
            <v>5.49109952844994E-2</v>
          </cell>
          <cell r="Z6">
            <v>3.8718737149960963E-2</v>
          </cell>
          <cell r="AA6">
            <v>2.0421598801469126E-2</v>
          </cell>
          <cell r="AD6">
            <v>20</v>
          </cell>
          <cell r="AE6">
            <v>21.702036938281466</v>
          </cell>
          <cell r="AF6">
            <v>23.958553703766697</v>
          </cell>
          <cell r="AG6">
            <v>27.42487403740024</v>
          </cell>
          <cell r="AH6">
            <v>35.140403177407869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</row>
        <row r="7">
          <cell r="N7">
            <v>8</v>
          </cell>
          <cell r="P7">
            <v>0.3195079107728942</v>
          </cell>
          <cell r="Q7">
            <v>0.2680671371384582</v>
          </cell>
          <cell r="R7">
            <v>0.21161008930488784</v>
          </cell>
          <cell r="S7">
            <v>0.14892263721124599</v>
          </cell>
          <cell r="T7">
            <v>7.8598946050131971E-2</v>
          </cell>
          <cell r="W7">
            <v>8.8363497427977888E-2</v>
          </cell>
          <cell r="X7">
            <v>7.5292696408798016E-2</v>
          </cell>
          <cell r="Y7">
            <v>6.0372299653309092E-2</v>
          </cell>
          <cell r="Z7">
            <v>4.3289640312619226E-2</v>
          </cell>
          <cell r="AA7">
            <v>2.3262973495359003E-2</v>
          </cell>
          <cell r="AD7">
            <v>23.213386604241784</v>
          </cell>
          <cell r="AE7">
            <v>24.912927634186268</v>
          </cell>
          <cell r="AF7">
            <v>27.225813547181609</v>
          </cell>
          <cell r="AG7">
            <v>30.804322869749544</v>
          </cell>
          <cell r="AH7">
            <v>38.470574747660741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</row>
        <row r="8">
          <cell r="N8">
            <v>10</v>
          </cell>
          <cell r="P8">
            <v>0.41421356237309515</v>
          </cell>
          <cell r="Q8">
            <v>0.34818792053082376</v>
          </cell>
          <cell r="R8">
            <v>0.27578338982800671</v>
          </cell>
          <cell r="S8">
            <v>0.19476321702782934</v>
          </cell>
          <cell r="T8">
            <v>0.10330486245584994</v>
          </cell>
          <cell r="W8">
            <v>9.4705651600200946E-2</v>
          </cell>
          <cell r="X8">
            <v>8.0120783392365558E-2</v>
          </cell>
          <cell r="Y8">
            <v>6.417330052311887E-2</v>
          </cell>
          <cell r="Z8">
            <v>4.5840579816583349E-2</v>
          </cell>
          <cell r="AA8">
            <v>2.4705916405717968E-2</v>
          </cell>
          <cell r="AD8">
            <v>25.845161563010112</v>
          </cell>
          <cell r="AE8">
            <v>27.556225045875266</v>
          </cell>
          <cell r="AF8">
            <v>29.904507749301924</v>
          </cell>
          <cell r="AG8">
            <v>33.699093452437232</v>
          </cell>
          <cell r="AH8">
            <v>40.911336203628196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</row>
        <row r="9">
          <cell r="N9">
            <v>12</v>
          </cell>
          <cell r="P9">
            <v>0.51571656651039799</v>
          </cell>
          <cell r="Q9">
            <v>0.43459435059831236</v>
          </cell>
          <cell r="R9">
            <v>0.34444709477229485</v>
          </cell>
          <cell r="S9">
            <v>0.24548108565894944</v>
          </cell>
          <cell r="T9">
            <v>0.13119829452024526</v>
          </cell>
          <cell r="W9">
            <v>0.10150300413730284</v>
          </cell>
          <cell r="X9">
            <v>8.6406430067488604E-2</v>
          </cell>
          <cell r="Y9">
            <v>6.866370494428814E-2</v>
          </cell>
          <cell r="Z9">
            <v>5.07178686311201E-2</v>
          </cell>
          <cell r="AA9">
            <v>2.7893432064395318E-2</v>
          </cell>
          <cell r="AD9">
            <v>28.071211008105138</v>
          </cell>
          <cell r="AE9">
            <v>29.795583728079247</v>
          </cell>
          <cell r="AF9">
            <v>32.191286239727027</v>
          </cell>
          <cell r="AG9">
            <v>36.562071848084436</v>
          </cell>
          <cell r="AH9">
            <v>44.585591286903316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</row>
        <row r="10">
          <cell r="N10">
            <v>14</v>
          </cell>
          <cell r="P10">
            <v>0.62450479271247095</v>
          </cell>
          <cell r="Q10">
            <v>0.52958006422017534</v>
          </cell>
          <cell r="R10">
            <v>0.42216523987363042</v>
          </cell>
          <cell r="S10">
            <v>0.30119866152522473</v>
          </cell>
          <cell r="T10">
            <v>0.16162184035398747</v>
          </cell>
          <cell r="W10">
            <v>0.10878822620207296</v>
          </cell>
          <cell r="X10">
            <v>9.4985713621862977E-2</v>
          </cell>
          <cell r="Y10">
            <v>7.7718145101335567E-2</v>
          </cell>
          <cell r="Z10">
            <v>5.5717575866275293E-2</v>
          </cell>
          <cell r="AA10">
            <v>3.042354583374221E-2</v>
          </cell>
          <cell r="AD10">
            <v>30</v>
          </cell>
          <cell r="AE10">
            <v>31.724755342187414</v>
          </cell>
          <cell r="AF10">
            <v>34.169250928926282</v>
          </cell>
          <cell r="AG10">
            <v>38.340762588878064</v>
          </cell>
          <cell r="AH10">
            <v>48.564888834015079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</row>
        <row r="11">
          <cell r="N11">
            <v>16</v>
          </cell>
          <cell r="P11">
            <v>0.74110112659224825</v>
          </cell>
          <cell r="Q11">
            <v>0.62882430591352267</v>
          </cell>
          <cell r="R11">
            <v>0.50261478405486282</v>
          </cell>
          <cell r="S11">
            <v>0.35913760594660349</v>
          </cell>
          <cell r="T11">
            <v>0.19179697156207381</v>
          </cell>
          <cell r="W11">
            <v>0.1165963338797773</v>
          </cell>
          <cell r="X11">
            <v>9.9244241693347335E-2</v>
          </cell>
          <cell r="Y11">
            <v>8.0449544181232402E-2</v>
          </cell>
          <cell r="Z11">
            <v>5.7938944421378757E-2</v>
          </cell>
          <cell r="AA11">
            <v>3.0175131208086348E-2</v>
          </cell>
          <cell r="AD11">
            <v>31.691928656135214</v>
          </cell>
          <cell r="AE11">
            <v>33.450348816719846</v>
          </cell>
          <cell r="AF11">
            <v>36.14947720061452</v>
          </cell>
          <cell r="AG11">
            <v>39.803708465145405</v>
          </cell>
          <cell r="AH11">
            <v>49.615364868460929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</row>
        <row r="12">
          <cell r="N12">
            <v>18</v>
          </cell>
          <cell r="P12">
            <v>0.86606598307361482</v>
          </cell>
          <cell r="Q12">
            <v>0.7354632328261137</v>
          </cell>
          <cell r="R12">
            <v>0.5847677517713048</v>
          </cell>
          <cell r="S12">
            <v>0.41397953990918784</v>
          </cell>
          <cell r="T12">
            <v>0.21989415310239083</v>
          </cell>
          <cell r="W12">
            <v>0.12496485648136657</v>
          </cell>
          <cell r="X12">
            <v>0.10663892691259103</v>
          </cell>
          <cell r="Y12">
            <v>8.2152967716441982E-2</v>
          </cell>
          <cell r="Z12">
            <v>5.4841933962584355E-2</v>
          </cell>
          <cell r="AA12">
            <v>2.8097181540317012E-2</v>
          </cell>
          <cell r="AD12">
            <v>33.213386604241784</v>
          </cell>
          <cell r="AE12">
            <v>34.981981072715584</v>
          </cell>
          <cell r="AF12">
            <v>37.892711451771461</v>
          </cell>
          <cell r="AG12">
            <v>41.2660631640329</v>
          </cell>
          <cell r="AH12">
            <v>50.311588960916467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</row>
        <row r="13">
          <cell r="N13">
            <v>20</v>
          </cell>
          <cell r="P13">
            <v>1</v>
          </cell>
          <cell r="Q13">
            <v>0.84350000000000003</v>
          </cell>
          <cell r="R13">
            <v>0.66969999999999996</v>
          </cell>
          <cell r="S13">
            <v>0.47799999999999998</v>
          </cell>
          <cell r="T13">
            <v>0.25919999999999999</v>
          </cell>
          <cell r="W13">
            <v>0.13393401692638518</v>
          </cell>
          <cell r="X13">
            <v>0.10803676717388633</v>
          </cell>
          <cell r="Y13">
            <v>8.4932248228695162E-2</v>
          </cell>
          <cell r="Z13">
            <v>6.4020460090812137E-2</v>
          </cell>
          <cell r="AA13">
            <v>3.9305846897609159E-2</v>
          </cell>
          <cell r="AD13">
            <v>34.585942742481357</v>
          </cell>
          <cell r="AE13">
            <v>36.420378366486965</v>
          </cell>
          <cell r="AF13">
            <v>39.018299834725916</v>
          </cell>
          <cell r="AG13">
            <v>42.651211016367654</v>
          </cell>
          <cell r="AH13">
            <v>50.909074983766843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</row>
        <row r="14">
          <cell r="N14">
            <v>21</v>
          </cell>
          <cell r="P14">
            <v>1.1435469250725863</v>
          </cell>
          <cell r="Q14">
            <v>0.97544552708691601</v>
          </cell>
          <cell r="R14">
            <v>0.78676028444993928</v>
          </cell>
          <cell r="S14">
            <v>0.56719927483600274</v>
          </cell>
          <cell r="T14">
            <v>0.30875766976959829</v>
          </cell>
          <cell r="W14">
            <v>0.14354692507258626</v>
          </cell>
          <cell r="X14">
            <v>0.13194552708691598</v>
          </cell>
          <cell r="Y14">
            <v>0.11706028444993932</v>
          </cell>
          <cell r="Z14">
            <v>8.9199274836002762E-2</v>
          </cell>
          <cell r="AA14">
            <v>4.95576697695983E-2</v>
          </cell>
          <cell r="AD14">
            <v>35.845161563010116</v>
          </cell>
          <cell r="AE14">
            <v>37.835462257348986</v>
          </cell>
          <cell r="AF14">
            <v>40.156529087505227</v>
          </cell>
          <cell r="AG14">
            <v>43.974789987631326</v>
          </cell>
          <cell r="AH14">
            <v>51.992485346749106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</row>
        <row r="15">
          <cell r="N15">
            <v>22</v>
          </cell>
          <cell r="P15">
            <v>1.2973967099940702</v>
          </cell>
          <cell r="Q15">
            <v>1.1090147077029313</v>
          </cell>
          <cell r="R15">
            <v>0.89702008528990018</v>
          </cell>
          <cell r="S15">
            <v>0.64947679302303163</v>
          </cell>
          <cell r="T15">
            <v>0.35354060347338417</v>
          </cell>
          <cell r="W15">
            <v>0.15384978492148393</v>
          </cell>
          <cell r="X15">
            <v>0.1335691806160153</v>
          </cell>
          <cell r="Y15">
            <v>0.1102598008399609</v>
          </cell>
          <cell r="Z15">
            <v>8.2277518187028886E-2</v>
          </cell>
          <cell r="AA15">
            <v>4.4782933703785888E-2</v>
          </cell>
          <cell r="AD15">
            <v>37.004247194324648</v>
          </cell>
          <cell r="AE15">
            <v>38.952312700618464</v>
          </cell>
          <cell r="AF15">
            <v>41.250784240188885</v>
          </cell>
          <cell r="AG15">
            <v>46.229656396965908</v>
          </cell>
          <cell r="AH15">
            <v>53.926967851226287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</row>
        <row r="16">
          <cell r="N16">
            <v>23</v>
          </cell>
          <cell r="P16">
            <v>1.4622888266898326</v>
          </cell>
          <cell r="Q16">
            <v>1.2549362710652143</v>
          </cell>
          <cell r="R16">
            <v>1.0148284457227437</v>
          </cell>
          <cell r="S16">
            <v>0.73626242423833066</v>
          </cell>
          <cell r="T16">
            <v>0.4028605717530489</v>
          </cell>
          <cell r="W16">
            <v>0.16489211669576243</v>
          </cell>
          <cell r="X16">
            <v>0.14592156336228301</v>
          </cell>
          <cell r="Y16">
            <v>0.11780836043284348</v>
          </cell>
          <cell r="Z16">
            <v>8.6785631215299031E-2</v>
          </cell>
          <cell r="AA16">
            <v>4.9319968279664728E-2</v>
          </cell>
          <cell r="AD16">
            <v>38.071211008105138</v>
          </cell>
          <cell r="AE16">
            <v>39.900612524117953</v>
          </cell>
          <cell r="AF16">
            <v>42.277108242340987</v>
          </cell>
          <cell r="AG16">
            <v>48.4996665519486</v>
          </cell>
          <cell r="AH16">
            <v>55.75556877794282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</row>
        <row r="17">
          <cell r="N17">
            <v>24</v>
          </cell>
          <cell r="P17">
            <v>1.6390158215457884</v>
          </cell>
          <cell r="Q17">
            <v>1.4033253464075039</v>
          </cell>
          <cell r="R17">
            <v>1.1368213738241588</v>
          </cell>
          <cell r="S17">
            <v>0.82442495823753159</v>
          </cell>
          <cell r="T17">
            <v>0.45040154776078262</v>
          </cell>
          <cell r="W17">
            <v>0.17672699485595578</v>
          </cell>
          <cell r="X17">
            <v>0.14838907534228962</v>
          </cell>
          <cell r="Y17">
            <v>0.12199292810141515</v>
          </cell>
          <cell r="Z17">
            <v>8.8162533999200932E-2</v>
          </cell>
          <cell r="AA17">
            <v>4.7540976007733715E-2</v>
          </cell>
          <cell r="AD17">
            <v>39.066704614192943</v>
          </cell>
          <cell r="AE17">
            <v>40.878796672110767</v>
          </cell>
          <cell r="AF17">
            <v>43.296044807815257</v>
          </cell>
          <cell r="AG17">
            <v>49.424665590895735</v>
          </cell>
          <cell r="AH17">
            <v>56.782731988307333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</row>
        <row r="18">
          <cell r="N18">
            <v>25</v>
          </cell>
          <cell r="P18">
            <v>1.8284271247461898</v>
          </cell>
          <cell r="Q18">
            <v>1.569704686594604</v>
          </cell>
          <cell r="R18">
            <v>1.2731338069607721</v>
          </cell>
          <cell r="S18">
            <v>0.9266468668213691</v>
          </cell>
          <cell r="T18">
            <v>0.50738852711706772</v>
          </cell>
          <cell r="W18">
            <v>0.18941130320040145</v>
          </cell>
          <cell r="X18">
            <v>0.1663793401871001</v>
          </cell>
          <cell r="Y18">
            <v>0.13631243313661323</v>
          </cell>
          <cell r="Z18">
            <v>0.10222190858383751</v>
          </cell>
          <cell r="AA18">
            <v>5.6986979356285106E-2</v>
          </cell>
          <cell r="AD18">
            <v>40</v>
          </cell>
          <cell r="AE18">
            <v>41.756931085981428</v>
          </cell>
          <cell r="AF18">
            <v>44.249299559281241</v>
          </cell>
          <cell r="AG18">
            <v>50.013526717322804</v>
          </cell>
          <cell r="AH18">
            <v>57.627617111982929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</row>
        <row r="19">
          <cell r="N19">
            <v>26</v>
          </cell>
          <cell r="P19">
            <v>2.031433133020796</v>
          </cell>
          <cell r="Q19">
            <v>1.747845067651093</v>
          </cell>
          <cell r="R19">
            <v>1.4199717599815362</v>
          </cell>
          <cell r="S19">
            <v>1.0360308978406059</v>
          </cell>
          <cell r="T19">
            <v>0.56778556067931252</v>
          </cell>
          <cell r="W19">
            <v>0.20300600827460613</v>
          </cell>
          <cell r="X19">
            <v>0.17814038105648899</v>
          </cell>
          <cell r="Y19">
            <v>0.14683795302076419</v>
          </cell>
          <cell r="Z19">
            <v>0.10938403101923677</v>
          </cell>
          <cell r="AA19">
            <v>6.0397033562244795E-2</v>
          </cell>
          <cell r="AD19">
            <v>40.870795385807064</v>
          </cell>
          <cell r="AE19">
            <v>42.617443736929005</v>
          </cell>
          <cell r="AF19">
            <v>45.148322162881371</v>
          </cell>
          <cell r="AG19">
            <v>50.386163558171489</v>
          </cell>
          <cell r="AH19">
            <v>58.288613224494391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</row>
        <row r="20">
          <cell r="N20">
            <v>27</v>
          </cell>
          <cell r="P20">
            <v>2.2490095854249419</v>
          </cell>
          <cell r="Q20">
            <v>1.9289755214189728</v>
          </cell>
          <cell r="R20">
            <v>1.564186166663047</v>
          </cell>
          <cell r="S20">
            <v>1.1388984540591904</v>
          </cell>
          <cell r="T20">
            <v>0.62005194270165653</v>
          </cell>
          <cell r="W20">
            <v>0.21757645240414591</v>
          </cell>
          <cell r="X20">
            <v>0.18113045376787973</v>
          </cell>
          <cell r="Y20">
            <v>0.14421440668151075</v>
          </cell>
          <cell r="Z20">
            <v>0.10286755621858457</v>
          </cell>
          <cell r="AA20">
            <v>5.2266382022344016E-2</v>
          </cell>
          <cell r="AD20">
            <v>41.691928656135218</v>
          </cell>
          <cell r="AE20">
            <v>43.443338070136875</v>
          </cell>
          <cell r="AF20">
            <v>45.994818134337102</v>
          </cell>
          <cell r="AG20">
            <v>50.758800399020174</v>
          </cell>
          <cell r="AH20">
            <v>58.820182335441885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</row>
        <row r="21">
          <cell r="N21">
            <v>28</v>
          </cell>
          <cell r="P21">
            <v>2.4822022531844965</v>
          </cell>
          <cell r="Q21">
            <v>2.1337010568373933</v>
          </cell>
          <cell r="R21">
            <v>1.7325771727227783</v>
          </cell>
          <cell r="S21">
            <v>1.2614551850683611</v>
          </cell>
          <cell r="T21">
            <v>0.68757002413210555</v>
          </cell>
          <cell r="W21">
            <v>0.23319266775955461</v>
          </cell>
          <cell r="X21">
            <v>0.20472553541842053</v>
          </cell>
          <cell r="Y21">
            <v>0.16839100605973134</v>
          </cell>
          <cell r="Z21">
            <v>0.12255673100917064</v>
          </cell>
          <cell r="AA21">
            <v>6.7518081430449017E-2</v>
          </cell>
          <cell r="AD21">
            <v>42.470630686057078</v>
          </cell>
          <cell r="AE21">
            <v>44.227141424919743</v>
          </cell>
          <cell r="AF21">
            <v>47.736605839367648</v>
          </cell>
          <cell r="AG21">
            <v>51.178744844016215</v>
          </cell>
          <cell r="AH21">
            <v>59.323292694625067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</row>
        <row r="22">
          <cell r="N22">
            <v>29</v>
          </cell>
          <cell r="P22">
            <v>2.7321319661472296</v>
          </cell>
          <cell r="Q22">
            <v>2.3504531304764615</v>
          </cell>
          <cell r="R22">
            <v>1.9092138179436839</v>
          </cell>
          <cell r="S22">
            <v>1.3912015971621694</v>
          </cell>
          <cell r="T22">
            <v>0.75570770183632374</v>
          </cell>
          <cell r="W22">
            <v>0.24992971296273314</v>
          </cell>
          <cell r="X22">
            <v>0.21675207363906823</v>
          </cell>
          <cell r="Y22">
            <v>0.17663664522090561</v>
          </cell>
          <cell r="Z22">
            <v>0.12974641209380833</v>
          </cell>
          <cell r="AA22">
            <v>6.8137677704218191E-2</v>
          </cell>
          <cell r="AD22">
            <v>43.213386604241784</v>
          </cell>
          <cell r="AE22">
            <v>44.975943274275792</v>
          </cell>
          <cell r="AF22">
            <v>49.017662096142061</v>
          </cell>
          <cell r="AG22">
            <v>51.685503157403261</v>
          </cell>
          <cell r="AH22">
            <v>59.81185475178696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</row>
        <row r="23">
          <cell r="N23">
            <v>30</v>
          </cell>
          <cell r="P23">
            <v>3</v>
          </cell>
          <cell r="Q23">
            <v>2.5773000000000001</v>
          </cell>
          <cell r="R23">
            <v>2.0922000000000001</v>
          </cell>
          <cell r="S23">
            <v>1.5164999999999997</v>
          </cell>
          <cell r="T23">
            <v>0.81479999999999997</v>
          </cell>
          <cell r="W23">
            <v>0.26786803385277036</v>
          </cell>
          <cell r="X23">
            <v>0.22684686952353861</v>
          </cell>
          <cell r="Y23">
            <v>0.18298618205631612</v>
          </cell>
          <cell r="Z23">
            <v>0.12529840283783034</v>
          </cell>
          <cell r="AA23">
            <v>5.9092298163676227E-2</v>
          </cell>
          <cell r="AD23">
            <v>43.920692243099523</v>
          </cell>
          <cell r="AE23">
            <v>45.689571752526476</v>
          </cell>
          <cell r="AF23">
            <v>49.618995289003188</v>
          </cell>
          <cell r="AG23">
            <v>52.201644571375347</v>
          </cell>
          <cell r="AH23">
            <v>60.606040426168505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</row>
        <row r="24">
          <cell r="N24">
            <v>31</v>
          </cell>
          <cell r="P24">
            <v>3.2870938501451725</v>
          </cell>
          <cell r="Q24">
            <v>2.8275581298948773</v>
          </cell>
          <cell r="R24">
            <v>2.283215388310837</v>
          </cell>
          <cell r="S24">
            <v>1.6438756344576007</v>
          </cell>
          <cell r="T24">
            <v>0.88685792076916747</v>
          </cell>
          <cell r="W24">
            <v>0.28709385014517252</v>
          </cell>
          <cell r="X24">
            <v>0.25025812989487717</v>
          </cell>
          <cell r="Y24">
            <v>0.19101538831083698</v>
          </cell>
          <cell r="Z24">
            <v>0.12737563445760092</v>
          </cell>
          <cell r="AA24">
            <v>7.2057920769167505E-2</v>
          </cell>
          <cell r="AD24">
            <v>44.585942742481357</v>
          </cell>
          <cell r="AE24">
            <v>46.371895553182263</v>
          </cell>
          <cell r="AF24">
            <v>50.145149714792119</v>
          </cell>
          <cell r="AG24">
            <v>52.733134643066698</v>
          </cell>
          <cell r="AH24">
            <v>61.767222999726627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</row>
        <row r="25">
          <cell r="N25">
            <v>32</v>
          </cell>
          <cell r="P25">
            <v>3.5947934199881395</v>
          </cell>
          <cell r="Q25">
            <v>3.0731888947478603</v>
          </cell>
          <cell r="R25">
            <v>2.4732178729518397</v>
          </cell>
          <cell r="S25">
            <v>1.7866123297341052</v>
          </cell>
          <cell r="T25">
            <v>0.98569235576074787</v>
          </cell>
          <cell r="W25">
            <v>0.30769956984296698</v>
          </cell>
          <cell r="X25">
            <v>0.24563076485298296</v>
          </cell>
          <cell r="Y25">
            <v>0.19000248464100267</v>
          </cell>
          <cell r="Z25">
            <v>0.14273669527650457</v>
          </cell>
          <cell r="AA25">
            <v>9.88344349915804E-2</v>
          </cell>
          <cell r="AD25">
            <v>45.229416240679988</v>
          </cell>
          <cell r="AE25">
            <v>47.040648918273938</v>
          </cell>
          <cell r="AF25">
            <v>50.541300683111224</v>
          </cell>
          <cell r="AG25">
            <v>53.543763470137222</v>
          </cell>
          <cell r="AH25">
            <v>62.954680016506323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</row>
        <row r="26">
          <cell r="N26">
            <v>33</v>
          </cell>
          <cell r="P26">
            <v>3.9245776533796644</v>
          </cell>
          <cell r="Q26">
            <v>3.3437401606794741</v>
          </cell>
          <cell r="R26">
            <v>2.6989320522291953</v>
          </cell>
          <cell r="S26">
            <v>1.9850513770794342</v>
          </cell>
          <cell r="T26">
            <v>1.0929948764662367</v>
          </cell>
          <cell r="W26">
            <v>0.32978423339152485</v>
          </cell>
          <cell r="X26">
            <v>0.27055126593161383</v>
          </cell>
          <cell r="Y26">
            <v>0.2257141792773556</v>
          </cell>
          <cell r="Z26">
            <v>0.19843904734532902</v>
          </cell>
          <cell r="AA26">
            <v>0.10730252070548885</v>
          </cell>
          <cell r="AD26">
            <v>45.845161563010116</v>
          </cell>
          <cell r="AE26">
            <v>47.906259132172586</v>
          </cell>
          <cell r="AF26">
            <v>50.937451651430329</v>
          </cell>
          <cell r="AG26">
            <v>54.737506523817103</v>
          </cell>
          <cell r="AH26">
            <v>64.040299279363822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</row>
        <row r="27">
          <cell r="N27">
            <v>34</v>
          </cell>
          <cell r="P27">
            <v>4.2780316430915768</v>
          </cell>
          <cell r="Q27">
            <v>3.6752569845799736</v>
          </cell>
          <cell r="R27">
            <v>3.0130176862293978</v>
          </cell>
          <cell r="S27">
            <v>2.2155925879571279</v>
          </cell>
          <cell r="T27">
            <v>1.2256560657457367</v>
          </cell>
          <cell r="W27">
            <v>0.35345398971191244</v>
          </cell>
          <cell r="X27">
            <v>0.33151682390049952</v>
          </cell>
          <cell r="Y27">
            <v>0.31408563400020251</v>
          </cell>
          <cell r="Z27">
            <v>0.23054121087769364</v>
          </cell>
          <cell r="AA27">
            <v>0.13266118927949999</v>
          </cell>
          <cell r="AD27">
            <v>46.430041330048923</v>
          </cell>
          <cell r="AE27">
            <v>48.855619369731947</v>
          </cell>
          <cell r="AF27">
            <v>51.313256549759295</v>
          </cell>
          <cell r="AG27">
            <v>55.853349587197073</v>
          </cell>
          <cell r="AH27">
            <v>64.8203743547854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</row>
        <row r="28">
          <cell r="N28">
            <v>35</v>
          </cell>
          <cell r="P28">
            <v>4.6568542494923806</v>
          </cell>
          <cell r="Q28">
            <v>4.0309730383606048</v>
          </cell>
          <cell r="R28">
            <v>3.3017096628900977</v>
          </cell>
          <cell r="S28">
            <v>2.4401916267340074</v>
          </cell>
          <cell r="T28">
            <v>1.3509534177777398</v>
          </cell>
          <cell r="W28">
            <v>0.37882260640080379</v>
          </cell>
          <cell r="X28">
            <v>0.3557160537806312</v>
          </cell>
          <cell r="Y28">
            <v>0.2886919766606999</v>
          </cell>
          <cell r="Z28">
            <v>0.22459903877687948</v>
          </cell>
          <cell r="AA28">
            <v>0.1252973520320031</v>
          </cell>
          <cell r="AD28">
            <v>47.004247194324648</v>
          </cell>
          <cell r="AE28">
            <v>49.473690097584367</v>
          </cell>
          <cell r="AF28">
            <v>51.685246690642039</v>
          </cell>
          <cell r="AG28">
            <v>56.810869626688635</v>
          </cell>
          <cell r="AH28">
            <v>65.556126639416846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</row>
        <row r="29">
          <cell r="N29">
            <v>36</v>
          </cell>
          <cell r="P29">
            <v>5.062866266041592</v>
          </cell>
          <cell r="Q29">
            <v>4.3940616322974977</v>
          </cell>
          <cell r="R29">
            <v>3.6072922145546342</v>
          </cell>
          <cell r="S29">
            <v>2.6600299361782525</v>
          </cell>
          <cell r="T29">
            <v>1.4727877967914991</v>
          </cell>
          <cell r="W29">
            <v>0.40601201654921137</v>
          </cell>
          <cell r="X29">
            <v>0.36308859393689286</v>
          </cell>
          <cell r="Y29">
            <v>0.30558255166453652</v>
          </cell>
          <cell r="Z29">
            <v>0.21983830944424509</v>
          </cell>
          <cell r="AA29">
            <v>0.12183437901375926</v>
          </cell>
          <cell r="AD29">
            <v>47.540284631526092</v>
          </cell>
          <cell r="AE29">
            <v>50.021106023833781</v>
          </cell>
          <cell r="AF29">
            <v>52.054105542885111</v>
          </cell>
          <cell r="AG29">
            <v>57.394369520378234</v>
          </cell>
          <cell r="AH29">
            <v>66.200919129886117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</row>
        <row r="30">
          <cell r="N30">
            <v>37</v>
          </cell>
          <cell r="P30">
            <v>5.4980191708498847</v>
          </cell>
          <cell r="Q30">
            <v>4.7750296498831251</v>
          </cell>
          <cell r="R30">
            <v>3.9228366784013931</v>
          </cell>
          <cell r="S30">
            <v>2.8809620455253397</v>
          </cell>
          <cell r="T30">
            <v>1.6054215978881663</v>
          </cell>
          <cell r="W30">
            <v>0.43515290480829272</v>
          </cell>
          <cell r="X30">
            <v>0.38096801758562737</v>
          </cell>
          <cell r="Y30">
            <v>0.31554446384675883</v>
          </cell>
          <cell r="Z30">
            <v>0.22093210934708729</v>
          </cell>
          <cell r="AA30">
            <v>0.13263380109666723</v>
          </cell>
          <cell r="AD30">
            <v>48.071211008105138</v>
          </cell>
          <cell r="AE30">
            <v>50.397327482546444</v>
          </cell>
          <cell r="AF30">
            <v>52.40574500272578</v>
          </cell>
          <cell r="AG30">
            <v>57.888237056129611</v>
          </cell>
          <cell r="AH30">
            <v>66.721925669649451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</row>
        <row r="31">
          <cell r="N31">
            <v>38</v>
          </cell>
          <cell r="P31">
            <v>5.9644045063689921</v>
          </cell>
          <cell r="Q31">
            <v>5.1794888733308326</v>
          </cell>
          <cell r="R31">
            <v>4.2645492220538292</v>
          </cell>
          <cell r="S31">
            <v>3.161134388375566</v>
          </cell>
          <cell r="T31">
            <v>1.7594993293788526</v>
          </cell>
          <cell r="W31">
            <v>0.46638533551910744</v>
          </cell>
          <cell r="X31">
            <v>0.40445922344770757</v>
          </cell>
          <cell r="Y31">
            <v>0.3417125436524362</v>
          </cell>
          <cell r="Z31">
            <v>0.2801723428502263</v>
          </cell>
          <cell r="AA31">
            <v>0.15407773149068626</v>
          </cell>
          <cell r="AD31">
            <v>48.571351621712928</v>
          </cell>
          <cell r="AE31">
            <v>50.773548941259108</v>
          </cell>
          <cell r="AF31">
            <v>52.757384462566456</v>
          </cell>
          <cell r="AG31">
            <v>58.229609889772782</v>
          </cell>
          <cell r="AH31">
            <v>67.194854947539284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</row>
        <row r="32">
          <cell r="N32">
            <v>39</v>
          </cell>
          <cell r="P32">
            <v>6.4642639322944575</v>
          </cell>
          <cell r="Q32">
            <v>5.6252024738826369</v>
          </cell>
          <cell r="R32">
            <v>4.6542700312520093</v>
          </cell>
          <cell r="S32">
            <v>3.4389884119806515</v>
          </cell>
          <cell r="T32">
            <v>1.9347541949357312</v>
          </cell>
          <cell r="W32">
            <v>0.49985942592546539</v>
          </cell>
          <cell r="X32">
            <v>0.44571360055180431</v>
          </cell>
          <cell r="Y32">
            <v>0.38972080919818008</v>
          </cell>
          <cell r="Z32">
            <v>0.27785402360508549</v>
          </cell>
          <cell r="AA32">
            <v>0.17525486555687864</v>
          </cell>
          <cell r="AD32">
            <v>49.066704614192936</v>
          </cell>
          <cell r="AE32">
            <v>51.187001267089649</v>
          </cell>
          <cell r="AF32">
            <v>53.151474195897926</v>
          </cell>
          <cell r="AG32">
            <v>58.526379080344434</v>
          </cell>
          <cell r="AH32">
            <v>67.612752196399768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</row>
        <row r="33">
          <cell r="N33">
            <v>40</v>
          </cell>
          <cell r="P33">
            <v>7</v>
          </cell>
          <cell r="Q33">
            <v>6.0963000000000003</v>
          </cell>
          <cell r="R33">
            <v>5.0365000000000002</v>
          </cell>
          <cell r="S33">
            <v>3.7450000000000001</v>
          </cell>
          <cell r="T33">
            <v>2.1021000000000001</v>
          </cell>
          <cell r="W33">
            <v>0.5357360677055425</v>
          </cell>
          <cell r="X33">
            <v>0.47109752611736333</v>
          </cell>
          <cell r="Y33">
            <v>0.38222996874799087</v>
          </cell>
          <cell r="Z33">
            <v>0.30601158801934858</v>
          </cell>
          <cell r="AA33">
            <v>0.16734580506426888</v>
          </cell>
          <cell r="AD33">
            <v>49.533352307096472</v>
          </cell>
          <cell r="AE33">
            <v>51.656746220023251</v>
          </cell>
          <cell r="AF33">
            <v>53.640030315044328</v>
          </cell>
          <cell r="AG33">
            <v>58.823148270916079</v>
          </cell>
          <cell r="AH33">
            <v>68.025173281460795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</row>
        <row r="34">
          <cell r="N34">
            <v>41</v>
          </cell>
          <cell r="P34">
            <v>7.5741877002903433</v>
          </cell>
          <cell r="Q34">
            <v>6.6084787685033248</v>
          </cell>
          <cell r="R34">
            <v>5.4647764257594833</v>
          </cell>
          <cell r="S34">
            <v>4.0620368636657114</v>
          </cell>
          <cell r="T34">
            <v>2.2752859851672191</v>
          </cell>
          <cell r="W34">
            <v>0.57418770029034327</v>
          </cell>
          <cell r="X34">
            <v>0.51217876850332456</v>
          </cell>
          <cell r="Y34">
            <v>0.4282764257594831</v>
          </cell>
          <cell r="Z34">
            <v>0.31703686366571127</v>
          </cell>
          <cell r="AA34">
            <v>0.17318598516721906</v>
          </cell>
          <cell r="AD34">
            <v>50</v>
          </cell>
          <cell r="AE34">
            <v>52.083043150292518</v>
          </cell>
          <cell r="AF34">
            <v>54.144496295105839</v>
          </cell>
          <cell r="AG34">
            <v>59.114227336033103</v>
          </cell>
          <cell r="AH34">
            <v>68.368404455073616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</row>
        <row r="35">
          <cell r="N35">
            <v>42</v>
          </cell>
          <cell r="P35">
            <v>8.189586839976279</v>
          </cell>
          <cell r="Q35">
            <v>7.1486903526152936</v>
          </cell>
          <cell r="R35">
            <v>5.9079679463588883</v>
          </cell>
          <cell r="S35">
            <v>4.3896185462272861</v>
          </cell>
          <cell r="T35">
            <v>2.46506563883286</v>
          </cell>
          <cell r="W35">
            <v>0.61539913968593574</v>
          </cell>
          <cell r="X35">
            <v>0.54021158411196879</v>
          </cell>
          <cell r="Y35">
            <v>0.44319152059940503</v>
          </cell>
          <cell r="Z35">
            <v>0.32758168256157472</v>
          </cell>
          <cell r="AA35">
            <v>0.18977965366564087</v>
          </cell>
          <cell r="AD35">
            <v>50.435397692903535</v>
          </cell>
          <cell r="AE35">
            <v>52.391437007458528</v>
          </cell>
          <cell r="AF35">
            <v>54.69350093632039</v>
          </cell>
          <cell r="AG35">
            <v>59.396914724801505</v>
          </cell>
          <cell r="AH35">
            <v>68.711635628686437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</row>
        <row r="36">
          <cell r="N36">
            <v>43</v>
          </cell>
          <cell r="P36">
            <v>8.8491553067593287</v>
          </cell>
          <cell r="Q36">
            <v>7.7217729206781902</v>
          </cell>
          <cell r="R36">
            <v>6.3890901314802351</v>
          </cell>
          <cell r="S36">
            <v>4.7608455550365187</v>
          </cell>
          <cell r="T36">
            <v>2.6149253931473817</v>
          </cell>
          <cell r="W36">
            <v>0.6595684667830497</v>
          </cell>
          <cell r="X36">
            <v>0.57308256806289659</v>
          </cell>
          <cell r="Y36">
            <v>0.48112218512134675</v>
          </cell>
          <cell r="Z36">
            <v>0.37122700880923265</v>
          </cell>
          <cell r="AA36">
            <v>0.1498597543145217</v>
          </cell>
          <cell r="AD36">
            <v>50.870795385807064</v>
          </cell>
          <cell r="AE36">
            <v>52.699830864624531</v>
          </cell>
          <cell r="AF36">
            <v>55.341806360797882</v>
          </cell>
          <cell r="AG36">
            <v>59.679602113569899</v>
          </cell>
          <cell r="AH36">
            <v>69.048567791744219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</row>
        <row r="37">
          <cell r="N37">
            <v>44</v>
          </cell>
          <cell r="P37">
            <v>9.5560632861831518</v>
          </cell>
          <cell r="Q37">
            <v>8.3395764298520376</v>
          </cell>
          <cell r="R37">
            <v>6.9090337559104187</v>
          </cell>
          <cell r="S37">
            <v>5.1029377948218038</v>
          </cell>
          <cell r="T37">
            <v>2.7865480542510075</v>
          </cell>
          <cell r="W37">
            <v>0.70690797942382311</v>
          </cell>
          <cell r="X37">
            <v>0.61780350917384741</v>
          </cell>
          <cell r="Y37">
            <v>0.5199436244301836</v>
          </cell>
          <cell r="Z37">
            <v>0.34209223978528502</v>
          </cell>
          <cell r="AA37">
            <v>0.17162266110362578</v>
          </cell>
          <cell r="AD37">
            <v>51.285688244217212</v>
          </cell>
          <cell r="AE37">
            <v>53.009100302884853</v>
          </cell>
          <cell r="AF37">
            <v>56.0994870217868</v>
          </cell>
          <cell r="AG37">
            <v>59.962289502338301</v>
          </cell>
          <cell r="AH37">
            <v>69.352394139582572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</row>
        <row r="38">
          <cell r="N38">
            <v>45</v>
          </cell>
          <cell r="P38">
            <v>10.313708498984759</v>
          </cell>
          <cell r="Q38">
            <v>9.0121184864128825</v>
          </cell>
          <cell r="R38">
            <v>7.4464975362669961</v>
          </cell>
          <cell r="S38">
            <v>5.4146969619669987</v>
          </cell>
          <cell r="T38">
            <v>2.9651911934581179</v>
          </cell>
          <cell r="W38">
            <v>0.75764521280160757</v>
          </cell>
          <cell r="X38">
            <v>0.67254205656084487</v>
          </cell>
          <cell r="Y38">
            <v>0.53746378035657738</v>
          </cell>
          <cell r="Z38">
            <v>0.31175916714519492</v>
          </cell>
          <cell r="AA38">
            <v>0.17864313920711039</v>
          </cell>
          <cell r="AD38">
            <v>51.691928656135211</v>
          </cell>
          <cell r="AE38">
            <v>53.350324915645452</v>
          </cell>
          <cell r="AF38">
            <v>56.765344035139712</v>
          </cell>
          <cell r="AG38">
            <v>60.326066149129588</v>
          </cell>
          <cell r="AH38">
            <v>69.65622048742091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</row>
        <row r="39">
          <cell r="N39">
            <v>46</v>
          </cell>
          <cell r="P39">
            <v>11.125732532083184</v>
          </cell>
          <cell r="Q39">
            <v>9.7216650865342871</v>
          </cell>
          <cell r="R39">
            <v>7.9259718558560603</v>
          </cell>
          <cell r="S39">
            <v>5.7531162923402146</v>
          </cell>
          <cell r="T39">
            <v>3.2131115552656233</v>
          </cell>
          <cell r="W39">
            <v>0.81202403309842452</v>
          </cell>
          <cell r="X39">
            <v>0.70954660012140458</v>
          </cell>
          <cell r="Y39">
            <v>0.47947431958906428</v>
          </cell>
          <cell r="Z39">
            <v>0.33841933037321592</v>
          </cell>
          <cell r="AA39">
            <v>0.24792036180750543</v>
          </cell>
          <cell r="AD39">
            <v>52.091594979242075</v>
          </cell>
          <cell r="AE39">
            <v>53.69154952840605</v>
          </cell>
          <cell r="AF39">
            <v>57.371213148319512</v>
          </cell>
          <cell r="AG39">
            <v>60.702325264211048</v>
          </cell>
          <cell r="AH39">
            <v>69.960046835259263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</row>
        <row r="40">
          <cell r="N40">
            <v>47</v>
          </cell>
          <cell r="P40">
            <v>11.996038341699768</v>
          </cell>
          <cell r="Q40">
            <v>10.383770788575319</v>
          </cell>
          <cell r="R40">
            <v>8.4212189158732365</v>
          </cell>
          <cell r="S40">
            <v>6.1923549919854199</v>
          </cell>
          <cell r="T40">
            <v>3.4788511190929325</v>
          </cell>
          <cell r="W40">
            <v>0.87030580961658366</v>
          </cell>
          <cell r="X40">
            <v>0.66210570204103192</v>
          </cell>
          <cell r="Y40">
            <v>0.49524706001717611</v>
          </cell>
          <cell r="Z40">
            <v>0.43923869964520534</v>
          </cell>
          <cell r="AA40">
            <v>0.26573956382730923</v>
          </cell>
          <cell r="AD40">
            <v>52.470630686057078</v>
          </cell>
          <cell r="AE40">
            <v>54.04197689939673</v>
          </cell>
          <cell r="AF40">
            <v>57.944437353412297</v>
          </cell>
          <cell r="AG40">
            <v>61.078152136114454</v>
          </cell>
          <cell r="AH40">
            <v>70.242555071979652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</row>
        <row r="41">
          <cell r="N41">
            <v>48</v>
          </cell>
          <cell r="P41">
            <v>12.928809012737984</v>
          </cell>
          <cell r="Q41">
            <v>11.121361512757213</v>
          </cell>
          <cell r="R41">
            <v>9.0695595224356964</v>
          </cell>
          <cell r="S41">
            <v>6.7772816844772512</v>
          </cell>
          <cell r="T41">
            <v>3.8152915396589786</v>
          </cell>
          <cell r="W41">
            <v>0.93277067103821665</v>
          </cell>
          <cell r="X41">
            <v>0.73759072418189398</v>
          </cell>
          <cell r="Y41">
            <v>0.64834060656245995</v>
          </cell>
          <cell r="Z41">
            <v>0.58492669249183127</v>
          </cell>
          <cell r="AA41">
            <v>0.33644042056604606</v>
          </cell>
          <cell r="AD41">
            <v>52.849666392872081</v>
          </cell>
          <cell r="AE41">
            <v>54.479015086567088</v>
          </cell>
          <cell r="AF41">
            <v>58.232771085759644</v>
          </cell>
          <cell r="AG41">
            <v>61.452341686771838</v>
          </cell>
          <cell r="AH41">
            <v>70.521835523309122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</row>
        <row r="42">
          <cell r="N42">
            <v>49</v>
          </cell>
          <cell r="P42">
            <v>13.928527864588917</v>
          </cell>
          <cell r="Q42">
            <v>12.043998044510037</v>
          </cell>
          <cell r="R42">
            <v>9.9839687733373346</v>
          </cell>
          <cell r="S42">
            <v>7.4308696157581871</v>
          </cell>
          <cell r="T42">
            <v>4.2078082678923119</v>
          </cell>
          <cell r="W42">
            <v>0.99971885185093257</v>
          </cell>
          <cell r="X42">
            <v>0.92263653175282379</v>
          </cell>
          <cell r="Y42">
            <v>0.91440925090163816</v>
          </cell>
          <cell r="Z42">
            <v>0.65358793128093584</v>
          </cell>
          <cell r="AA42">
            <v>0.39251672823333328</v>
          </cell>
          <cell r="AD42">
            <v>53.213386604241784</v>
          </cell>
          <cell r="AE42">
            <v>54.916053273737454</v>
          </cell>
          <cell r="AF42">
            <v>58.490526405641766</v>
          </cell>
          <cell r="AG42">
            <v>61.826531237429229</v>
          </cell>
          <cell r="AH42">
            <v>70.801115974638606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</row>
        <row r="43">
          <cell r="N43">
            <v>50</v>
          </cell>
          <cell r="P43">
            <v>15</v>
          </cell>
          <cell r="Q43">
            <v>13.105500000000001</v>
          </cell>
          <cell r="R43">
            <v>10.86</v>
          </cell>
          <cell r="S43">
            <v>8.1389999999999993</v>
          </cell>
          <cell r="T43">
            <v>4.6229999999999993</v>
          </cell>
          <cell r="W43">
            <v>1.0714721354110832</v>
          </cell>
          <cell r="X43">
            <v>1.0615019554899643</v>
          </cell>
          <cell r="Y43">
            <v>0.87603122666266486</v>
          </cell>
          <cell r="Z43">
            <v>0.70813038424181229</v>
          </cell>
          <cell r="AA43">
            <v>0.41519173210768745</v>
          </cell>
          <cell r="AD43">
            <v>53.567039423670657</v>
          </cell>
          <cell r="AE43">
            <v>55.311757727123592</v>
          </cell>
          <cell r="AF43">
            <v>58.748281725523888</v>
          </cell>
          <cell r="AG43">
            <v>62.307666298472036</v>
          </cell>
          <cell r="AH43">
            <v>71.070499605404166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</row>
        <row r="44">
          <cell r="N44">
            <v>51</v>
          </cell>
          <cell r="P44">
            <v>16.148375400580683</v>
          </cell>
          <cell r="Q44">
            <v>14.123369125347866</v>
          </cell>
          <cell r="R44">
            <v>11.75440245408268</v>
          </cell>
          <cell r="S44">
            <v>8.8057091059366464</v>
          </cell>
          <cell r="T44">
            <v>5.0366782874411156</v>
          </cell>
          <cell r="W44">
            <v>1.148375400580683</v>
          </cell>
          <cell r="X44">
            <v>1.0178691253478647</v>
          </cell>
          <cell r="Y44">
            <v>0.89440245408268026</v>
          </cell>
          <cell r="Z44">
            <v>0.66670910593664701</v>
          </cell>
          <cell r="AA44">
            <v>0.41367828744111623</v>
          </cell>
          <cell r="AD44">
            <v>53.920692243099523</v>
          </cell>
          <cell r="AE44">
            <v>55.697635175272978</v>
          </cell>
          <cell r="AF44">
            <v>59.004919037866458</v>
          </cell>
          <cell r="AG44">
            <v>62.881226790512336</v>
          </cell>
          <cell r="AH44">
            <v>71.315400561867619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</row>
        <row r="45">
          <cell r="N45">
            <v>52</v>
          </cell>
          <cell r="P45">
            <v>17.379173679952558</v>
          </cell>
          <cell r="Q45">
            <v>15.281507416782285</v>
          </cell>
          <cell r="R45">
            <v>12.73372055530124</v>
          </cell>
          <cell r="S45">
            <v>9.5359525981899687</v>
          </cell>
          <cell r="T45">
            <v>5.420564270777203</v>
          </cell>
          <cell r="W45">
            <v>1.230798279371875</v>
          </cell>
          <cell r="X45">
            <v>1.1581382914344189</v>
          </cell>
          <cell r="Y45">
            <v>0.97931810121855989</v>
          </cell>
          <cell r="Z45">
            <v>0.7302434922533223</v>
          </cell>
          <cell r="AA45">
            <v>0.38388598333608748</v>
          </cell>
          <cell r="AD45">
            <v>54.255972994404218</v>
          </cell>
          <cell r="AE45">
            <v>56.087777964022685</v>
          </cell>
          <cell r="AF45">
            <v>59.214940346885776</v>
          </cell>
          <cell r="AG45">
            <v>63.468131470397843</v>
          </cell>
          <cell r="AH45">
            <v>71.560301518331073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</row>
        <row r="46">
          <cell r="N46">
            <v>53</v>
          </cell>
          <cell r="P46">
            <v>18.698310613518661</v>
          </cell>
          <cell r="Q46">
            <v>16.445164184589661</v>
          </cell>
          <cell r="R46">
            <v>13.694642693341068</v>
          </cell>
          <cell r="S46">
            <v>10.248544047269579</v>
          </cell>
          <cell r="T46">
            <v>5.7403813583502288</v>
          </cell>
          <cell r="W46">
            <v>1.319136933566103</v>
          </cell>
          <cell r="X46">
            <v>1.1636567678073764</v>
          </cell>
          <cell r="Y46">
            <v>0.96092213803982851</v>
          </cell>
          <cell r="Z46">
            <v>0.71259144907961058</v>
          </cell>
          <cell r="AA46">
            <v>0.31981708757302574</v>
          </cell>
          <cell r="AD46">
            <v>54.585942742481357</v>
          </cell>
          <cell r="AE46">
            <v>56.493363794915794</v>
          </cell>
          <cell r="AF46">
            <v>59.424961655905101</v>
          </cell>
          <cell r="AG46">
            <v>64.054518466880793</v>
          </cell>
          <cell r="AH46">
            <v>71.805202474794527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</row>
        <row r="47">
          <cell r="N47">
            <v>54</v>
          </cell>
          <cell r="P47">
            <v>20.112126572366307</v>
          </cell>
          <cell r="Q47">
            <v>17.696660171025115</v>
          </cell>
          <cell r="R47">
            <v>14.726099076286609</v>
          </cell>
          <cell r="S47">
            <v>11.019434148999501</v>
          </cell>
          <cell r="T47">
            <v>5.8968755110178019</v>
          </cell>
          <cell r="W47">
            <v>1.4138159588476462</v>
          </cell>
          <cell r="X47">
            <v>1.2514959864354545</v>
          </cell>
          <cell r="Y47">
            <v>1.0314563829455405</v>
          </cell>
          <cell r="Z47">
            <v>0.77089010172992189</v>
          </cell>
          <cell r="AA47">
            <v>0.15649415266757316</v>
          </cell>
          <cell r="AD47">
            <v>54.915912490558505</v>
          </cell>
          <cell r="AE47">
            <v>56.898949625808903</v>
          </cell>
          <cell r="AF47">
            <v>59.634982964924419</v>
          </cell>
          <cell r="AG47">
            <v>64.604527170806747</v>
          </cell>
          <cell r="AH47">
            <v>72.048549210274331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</row>
        <row r="48">
          <cell r="N48">
            <v>55</v>
          </cell>
          <cell r="P48">
            <v>21.627416997969519</v>
          </cell>
          <cell r="Q48">
            <v>19.032126958213176</v>
          </cell>
          <cell r="R48">
            <v>15.824781017414297</v>
          </cell>
          <cell r="S48">
            <v>11.549040676915723</v>
          </cell>
          <cell r="T48">
            <v>6.0729786930298406</v>
          </cell>
          <cell r="W48">
            <v>1.5152904256032116</v>
          </cell>
          <cell r="X48">
            <v>1.3354667871880608</v>
          </cell>
          <cell r="Y48">
            <v>1.0986819411276887</v>
          </cell>
          <cell r="Z48">
            <v>0.52960652791622209</v>
          </cell>
          <cell r="AA48">
            <v>0.17610318201203867</v>
          </cell>
          <cell r="AD48">
            <v>55.229416240679981</v>
          </cell>
          <cell r="AE48">
            <v>57.338980826721098</v>
          </cell>
          <cell r="AF48">
            <v>59.845004273943744</v>
          </cell>
          <cell r="AG48">
            <v>65.134833604446982</v>
          </cell>
          <cell r="AH48">
            <v>72.285853277744508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</row>
        <row r="49">
          <cell r="N49">
            <v>56</v>
          </cell>
          <cell r="P49">
            <v>23.251465064166357</v>
          </cell>
          <cell r="Q49">
            <v>20.435712644895812</v>
          </cell>
          <cell r="R49">
            <v>17.006121547931276</v>
          </cell>
          <cell r="S49">
            <v>11.911725552372424</v>
          </cell>
          <cell r="T49">
            <v>6.26161954178</v>
          </cell>
          <cell r="W49">
            <v>1.6240480661968384</v>
          </cell>
          <cell r="X49">
            <v>1.4035856866826357</v>
          </cell>
          <cell r="Y49">
            <v>1.1813405305169784</v>
          </cell>
          <cell r="Z49">
            <v>0.36268487545670069</v>
          </cell>
          <cell r="AA49">
            <v>0.18864084875015941</v>
          </cell>
          <cell r="AD49">
            <v>55.537288901845052</v>
          </cell>
          <cell r="AE49">
            <v>57.790441624591473</v>
          </cell>
          <cell r="AF49">
            <v>60.074774550791737</v>
          </cell>
          <cell r="AG49">
            <v>65.614719948998498</v>
          </cell>
          <cell r="AH49">
            <v>72.52315734521467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</row>
        <row r="50">
          <cell r="N50">
            <v>57</v>
          </cell>
          <cell r="P50">
            <v>24.992076683399535</v>
          </cell>
          <cell r="Q50">
            <v>21.953040158698151</v>
          </cell>
          <cell r="R50">
            <v>17.564431493093192</v>
          </cell>
          <cell r="S50">
            <v>12.296101728232571</v>
          </cell>
          <cell r="T50">
            <v>6.4629510303271198</v>
          </cell>
          <cell r="W50">
            <v>1.740611619233178</v>
          </cell>
          <cell r="X50">
            <v>1.5173275138023392</v>
          </cell>
          <cell r="Y50">
            <v>0.55830994516191623</v>
          </cell>
          <cell r="Z50">
            <v>0.38437617586014738</v>
          </cell>
          <cell r="AA50">
            <v>0.2013314885471198</v>
          </cell>
          <cell r="AD50">
            <v>55.845161563010116</v>
          </cell>
          <cell r="AE50">
            <v>58.158060684581955</v>
          </cell>
          <cell r="AF50">
            <v>60.360173599615166</v>
          </cell>
          <cell r="AG50">
            <v>66.054140616396438</v>
          </cell>
          <cell r="AH50">
            <v>72.760461412684833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</row>
        <row r="51">
          <cell r="N51">
            <v>58</v>
          </cell>
          <cell r="P51">
            <v>26.857618025475972</v>
          </cell>
          <cell r="Q51">
            <v>23.108294549119528</v>
          </cell>
          <cell r="R51">
            <v>18.155749785221758</v>
          </cell>
          <cell r="S51">
            <v>12.711710611457777</v>
          </cell>
          <cell r="T51">
            <v>6.6956041737511596</v>
          </cell>
          <cell r="W51">
            <v>1.8655413420764368</v>
          </cell>
          <cell r="X51">
            <v>1.1552543904213763</v>
          </cell>
          <cell r="Y51">
            <v>0.59131829212856601</v>
          </cell>
          <cell r="Z51">
            <v>0.41560888322520562</v>
          </cell>
          <cell r="AA51">
            <v>0.23265314342403975</v>
          </cell>
          <cell r="AD51">
            <v>56.142785979989682</v>
          </cell>
          <cell r="AE51">
            <v>58.453048233888381</v>
          </cell>
          <cell r="AF51">
            <v>60.645572648438595</v>
          </cell>
          <cell r="AG51">
            <v>66.328766558491026</v>
          </cell>
          <cell r="AH51">
            <v>72.997765480154996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</row>
        <row r="52">
          <cell r="N52">
            <v>59</v>
          </cell>
          <cell r="P52">
            <v>28.857055729177837</v>
          </cell>
          <cell r="Q52">
            <v>24.15046993974893</v>
          </cell>
          <cell r="R52">
            <v>18.970628436361508</v>
          </cell>
          <cell r="S52">
            <v>13.288674163286395</v>
          </cell>
          <cell r="T52">
            <v>7.2344638713048832</v>
          </cell>
          <cell r="W52">
            <v>1.9994377037018651</v>
          </cell>
          <cell r="X52">
            <v>1.0421753906294029</v>
          </cell>
          <cell r="Y52">
            <v>0.81487865113975033</v>
          </cell>
          <cell r="Z52">
            <v>0.57696355182861758</v>
          </cell>
          <cell r="AA52">
            <v>0.53885969755372365</v>
          </cell>
          <cell r="AD52">
            <v>56.430041330048923</v>
          </cell>
          <cell r="AE52">
            <v>58.748035783194808</v>
          </cell>
          <cell r="AF52">
            <v>60.930971697262024</v>
          </cell>
          <cell r="AG52">
            <v>66.603392500585613</v>
          </cell>
          <cell r="AH52">
            <v>73.493538869182444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</row>
        <row r="53">
          <cell r="N53">
            <v>60</v>
          </cell>
          <cell r="P53">
            <v>31</v>
          </cell>
          <cell r="Q53">
            <v>25.943899999999999</v>
          </cell>
          <cell r="R53">
            <v>20.633599999999998</v>
          </cell>
          <cell r="S53">
            <v>14.963700000000001</v>
          </cell>
          <cell r="T53">
            <v>8.4785000000000004</v>
          </cell>
          <cell r="W53">
            <v>2.1429442708221629</v>
          </cell>
          <cell r="X53">
            <v>1.7934300602510689</v>
          </cell>
          <cell r="Y53">
            <v>1.6629715636384894</v>
          </cell>
          <cell r="Z53">
            <v>1.6750258367136066</v>
          </cell>
          <cell r="AA53">
            <v>1.2440361286951171</v>
          </cell>
          <cell r="AD53">
            <v>56.717296680108156</v>
          </cell>
          <cell r="AE53">
            <v>59.027770260063747</v>
          </cell>
          <cell r="AF53">
            <v>61.213541582301438</v>
          </cell>
          <cell r="AG53">
            <v>66.878018442680201</v>
          </cell>
          <cell r="AH53">
            <v>73.991769211201799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</row>
        <row r="54">
          <cell r="N54">
            <v>61</v>
          </cell>
          <cell r="P54">
            <v>33.296750801161366</v>
          </cell>
          <cell r="Q54">
            <v>28.601908938197614</v>
          </cell>
          <cell r="R54">
            <v>23.15789018220773</v>
          </cell>
          <cell r="S54">
            <v>17.647277924615526</v>
          </cell>
          <cell r="T54">
            <v>10.152179319274101</v>
          </cell>
          <cell r="W54">
            <v>2.296750801161366</v>
          </cell>
          <cell r="X54">
            <v>2.6580089381976144</v>
          </cell>
          <cell r="Y54">
            <v>2.5242901822077322</v>
          </cell>
          <cell r="Z54">
            <v>2.6835779246155251</v>
          </cell>
          <cell r="AA54">
            <v>1.6736793192741004</v>
          </cell>
          <cell r="AD54">
            <v>57.004247194324648</v>
          </cell>
          <cell r="AE54">
            <v>59.218175802441735</v>
          </cell>
          <cell r="AF54">
            <v>61.495208885186315</v>
          </cell>
          <cell r="AG54">
            <v>67.12097982274932</v>
          </cell>
          <cell r="AH54">
            <v>74.522279065175425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</row>
        <row r="55">
          <cell r="N55">
            <v>62</v>
          </cell>
          <cell r="P55">
            <v>35.758347359905123</v>
          </cell>
          <cell r="Q55">
            <v>30.730723721102464</v>
          </cell>
          <cell r="R55">
            <v>25.846133471739424</v>
          </cell>
          <cell r="S55">
            <v>19.620605196379941</v>
          </cell>
          <cell r="T55">
            <v>11.006419317378798</v>
          </cell>
          <cell r="W55">
            <v>2.4615965587437572</v>
          </cell>
          <cell r="X55">
            <v>2.1288147829048505</v>
          </cell>
          <cell r="Y55">
            <v>2.6882432895316946</v>
          </cell>
          <cell r="Z55">
            <v>1.9733272717644148</v>
          </cell>
          <cell r="AA55">
            <v>0.85423999810469731</v>
          </cell>
          <cell r="AD55">
            <v>57.27226591292537</v>
          </cell>
          <cell r="AE55">
            <v>59.408581344819723</v>
          </cell>
          <cell r="AF55">
            <v>61.776876188071199</v>
          </cell>
          <cell r="AG55">
            <v>67.338637339899307</v>
          </cell>
          <cell r="AH55">
            <v>75.050977465796123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</row>
        <row r="56">
          <cell r="N56">
            <v>63</v>
          </cell>
          <cell r="P56">
            <v>38.396621227037308</v>
          </cell>
          <cell r="Q56">
            <v>33.973330461682615</v>
          </cell>
          <cell r="R56">
            <v>28.689955380842274</v>
          </cell>
          <cell r="S56">
            <v>21.502107887140895</v>
          </cell>
          <cell r="T56">
            <v>11.576581299951748</v>
          </cell>
          <cell r="W56">
            <v>2.6382738671321846</v>
          </cell>
          <cell r="X56">
            <v>3.2426067405801504</v>
          </cell>
          <cell r="Y56">
            <v>2.84382190910285</v>
          </cell>
          <cell r="Z56">
            <v>1.8815026907609536</v>
          </cell>
          <cell r="AA56">
            <v>0.57016198257294981</v>
          </cell>
          <cell r="AD56">
            <v>57.540284631526099</v>
          </cell>
          <cell r="AE56">
            <v>59.598986887197718</v>
          </cell>
          <cell r="AF56">
            <v>62.053245286966117</v>
          </cell>
          <cell r="AG56">
            <v>67.556294857049295</v>
          </cell>
          <cell r="AH56">
            <v>75.55859254705355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</row>
        <row r="57">
          <cell r="N57">
            <v>64</v>
          </cell>
          <cell r="P57">
            <v>41.224253144732614</v>
          </cell>
          <cell r="Q57">
            <v>36.903951415164634</v>
          </cell>
          <cell r="R57">
            <v>30.736803144712638</v>
          </cell>
          <cell r="S57">
            <v>22.417748860105593</v>
          </cell>
          <cell r="T57">
            <v>12.033359492947449</v>
          </cell>
          <cell r="W57">
            <v>2.8276319176953066</v>
          </cell>
          <cell r="X57">
            <v>2.9306209534820198</v>
          </cell>
          <cell r="Y57">
            <v>2.0468477638703639</v>
          </cell>
          <cell r="Z57">
            <v>0.91564097296469882</v>
          </cell>
          <cell r="AA57">
            <v>0.4567781929957011</v>
          </cell>
          <cell r="AD57">
            <v>57.80830335012682</v>
          </cell>
          <cell r="AE57">
            <v>59.789392429575706</v>
          </cell>
          <cell r="AF57">
            <v>62.309421612056276</v>
          </cell>
          <cell r="AG57">
            <v>67.773952374199283</v>
          </cell>
          <cell r="AH57">
            <v>76.06130681599123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</row>
        <row r="58">
          <cell r="N58">
            <v>65</v>
          </cell>
          <cell r="P58">
            <v>44.254833995939045</v>
          </cell>
          <cell r="Q58">
            <v>39.192080986803617</v>
          </cell>
          <cell r="R58">
            <v>32.55828137081236</v>
          </cell>
          <cell r="S58">
            <v>23.207234947470432</v>
          </cell>
          <cell r="T58">
            <v>12.46658673665603</v>
          </cell>
          <cell r="W58">
            <v>3.0305808512064303</v>
          </cell>
          <cell r="X58">
            <v>2.2881295716389829</v>
          </cell>
          <cell r="Y58">
            <v>1.8214782260997211</v>
          </cell>
          <cell r="Z58">
            <v>0.78948608736483905</v>
          </cell>
          <cell r="AA58">
            <v>0.4332272437085809</v>
          </cell>
          <cell r="AD58">
            <v>58.071211008105138</v>
          </cell>
          <cell r="AE58">
            <v>59.979797971953694</v>
          </cell>
          <cell r="AF58">
            <v>62.565597937146443</v>
          </cell>
          <cell r="AG58">
            <v>67.99160989134927</v>
          </cell>
          <cell r="AH58">
            <v>76.531347280737108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</row>
        <row r="59">
          <cell r="N59">
            <v>66</v>
          </cell>
          <cell r="P59">
            <v>47.502930128332721</v>
          </cell>
          <cell r="Q59">
            <v>41.783577340881465</v>
          </cell>
          <cell r="R59">
            <v>33.850588009449901</v>
          </cell>
          <cell r="S59">
            <v>24.136238798205856</v>
          </cell>
          <cell r="T59">
            <v>13.172562524586663</v>
          </cell>
          <cell r="W59">
            <v>3.2480961323936768</v>
          </cell>
          <cell r="X59">
            <v>2.5914963540778473</v>
          </cell>
          <cell r="Y59">
            <v>1.292306638637541</v>
          </cell>
          <cell r="Z59">
            <v>0.92900385073542324</v>
          </cell>
          <cell r="AA59">
            <v>0.7059757879306332</v>
          </cell>
          <cell r="AD59">
            <v>58.321281314909029</v>
          </cell>
          <cell r="AE59">
            <v>60.210440635483401</v>
          </cell>
          <cell r="AF59">
            <v>62.821774262236602</v>
          </cell>
          <cell r="AG59">
            <v>68.221463295042724</v>
          </cell>
          <cell r="AH59">
            <v>77.000675402153561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</row>
        <row r="60">
          <cell r="N60">
            <v>67</v>
          </cell>
          <cell r="P60">
            <v>50.984153366799077</v>
          </cell>
          <cell r="Q60">
            <v>44.249146707044922</v>
          </cell>
          <cell r="R60">
            <v>35.352411944538481</v>
          </cell>
          <cell r="S60">
            <v>25.201467009208784</v>
          </cell>
          <cell r="T60">
            <v>14.229677204673623</v>
          </cell>
          <cell r="W60">
            <v>3.481223238466356</v>
          </cell>
          <cell r="X60">
            <v>2.4655693661634572</v>
          </cell>
          <cell r="Y60">
            <v>1.5018239350885807</v>
          </cell>
          <cell r="Z60">
            <v>1.0652282110029283</v>
          </cell>
          <cell r="AA60">
            <v>1.0571146800869595</v>
          </cell>
          <cell r="AD60">
            <v>58.571351621712921</v>
          </cell>
          <cell r="AE60">
            <v>60.445859178366725</v>
          </cell>
          <cell r="AF60">
            <v>63.083459479519668</v>
          </cell>
          <cell r="AG60">
            <v>68.451805665527161</v>
          </cell>
          <cell r="AH60">
            <v>77.229439499056227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</row>
        <row r="61">
          <cell r="N61">
            <v>68</v>
          </cell>
          <cell r="P61">
            <v>54.715236050951923</v>
          </cell>
          <cell r="Q61">
            <v>46.464178454468367</v>
          </cell>
          <cell r="R61">
            <v>37.096930042545409</v>
          </cell>
          <cell r="S61">
            <v>27.226301458953674</v>
          </cell>
          <cell r="T61">
            <v>15.457054184393916</v>
          </cell>
          <cell r="W61">
            <v>3.7310826841528453</v>
          </cell>
          <cell r="X61">
            <v>2.2150317474234456</v>
          </cell>
          <cell r="Y61">
            <v>1.7445180980069281</v>
          </cell>
          <cell r="Z61">
            <v>2.0248344497448905</v>
          </cell>
          <cell r="AA61">
            <v>1.2273769797202938</v>
          </cell>
          <cell r="AD61">
            <v>58.821421928516813</v>
          </cell>
          <cell r="AE61">
            <v>60.681277721250048</v>
          </cell>
          <cell r="AF61">
            <v>63.357740193629766</v>
          </cell>
          <cell r="AG61">
            <v>68.682148036011597</v>
          </cell>
          <cell r="AH61">
            <v>77.458203595958892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</row>
        <row r="62">
          <cell r="N62">
            <v>69</v>
          </cell>
          <cell r="P62">
            <v>58.714111458355703</v>
          </cell>
          <cell r="Q62">
            <v>49.854152039289822</v>
          </cell>
          <cell r="R62">
            <v>40.976578386786443</v>
          </cell>
          <cell r="S62">
            <v>30.595923480949157</v>
          </cell>
          <cell r="T62">
            <v>17.338277113652438</v>
          </cell>
          <cell r="W62">
            <v>3.99887540740378</v>
          </cell>
          <cell r="X62">
            <v>3.3899735848214547</v>
          </cell>
          <cell r="Y62">
            <v>3.8796483442410334</v>
          </cell>
          <cell r="Z62">
            <v>3.3696220219954824</v>
          </cell>
          <cell r="AA62">
            <v>1.8812229292585219</v>
          </cell>
          <cell r="AD62">
            <v>59.066704614192936</v>
          </cell>
          <cell r="AE62">
            <v>60.916696264133364</v>
          </cell>
          <cell r="AF62">
            <v>63.632020907739872</v>
          </cell>
          <cell r="AG62">
            <v>68.912490406496033</v>
          </cell>
          <cell r="AH62">
            <v>77.686967692861558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</row>
        <row r="63">
          <cell r="N63">
            <v>70</v>
          </cell>
          <cell r="P63">
            <v>63</v>
          </cell>
          <cell r="Q63">
            <v>55.106100000000005</v>
          </cell>
          <cell r="R63">
            <v>45.738</v>
          </cell>
          <cell r="S63">
            <v>34.133399999999995</v>
          </cell>
          <cell r="T63">
            <v>19.385099999999998</v>
          </cell>
          <cell r="W63">
            <v>4.2858885416442973</v>
          </cell>
          <cell r="X63">
            <v>5.2519479607101829</v>
          </cell>
          <cell r="Y63">
            <v>4.7614216132135567</v>
          </cell>
          <cell r="Z63">
            <v>3.5374765190508377</v>
          </cell>
          <cell r="AA63">
            <v>2.0468228863475595</v>
          </cell>
          <cell r="AD63">
            <v>59.300028460644697</v>
          </cell>
          <cell r="AE63">
            <v>61.150221122126098</v>
          </cell>
          <cell r="AF63">
            <v>63.90630162184997</v>
          </cell>
          <cell r="AG63">
            <v>69.137376608764825</v>
          </cell>
          <cell r="AH63">
            <v>77.915731789764223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</row>
        <row r="64">
          <cell r="N64">
            <v>71</v>
          </cell>
          <cell r="P64">
            <v>67.593501602322732</v>
          </cell>
          <cell r="Q64">
            <v>59.353853756999591</v>
          </cell>
          <cell r="R64">
            <v>49.24186591729211</v>
          </cell>
          <cell r="S64">
            <v>36.79114292214426</v>
          </cell>
          <cell r="T64">
            <v>20.399718783581001</v>
          </cell>
          <cell r="W64">
            <v>4.593501602322732</v>
          </cell>
          <cell r="X64">
            <v>4.247753756999586</v>
          </cell>
          <cell r="Y64">
            <v>3.5038659172921101</v>
          </cell>
          <cell r="Z64">
            <v>2.6577429221442657</v>
          </cell>
          <cell r="AA64">
            <v>1.0146187835810032</v>
          </cell>
          <cell r="AD64">
            <v>59.533352307096465</v>
          </cell>
          <cell r="AE64">
            <v>61.382708927717204</v>
          </cell>
          <cell r="AF64">
            <v>64.254824385678546</v>
          </cell>
          <cell r="AG64">
            <v>69.35891997143662</v>
          </cell>
          <cell r="AH64">
            <v>78.130825487512283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</row>
        <row r="65">
          <cell r="N65">
            <v>72</v>
          </cell>
          <cell r="P65">
            <v>72.516694719810218</v>
          </cell>
          <cell r="Q65">
            <v>63.655154625049413</v>
          </cell>
          <cell r="R65">
            <v>52.79215375602184</v>
          </cell>
          <cell r="S65">
            <v>39.463585266520724</v>
          </cell>
          <cell r="T65">
            <v>21.182126527656568</v>
          </cell>
          <cell r="W65">
            <v>4.9231931174874859</v>
          </cell>
          <cell r="X65">
            <v>4.3013008680498217</v>
          </cell>
          <cell r="Y65">
            <v>3.5502878387297301</v>
          </cell>
          <cell r="Z65">
            <v>2.6724423443764636</v>
          </cell>
          <cell r="AA65">
            <v>0.78240774407556657</v>
          </cell>
          <cell r="AD65">
            <v>59.766676153548232</v>
          </cell>
          <cell r="AE65">
            <v>61.615196733308302</v>
          </cell>
          <cell r="AF65">
            <v>64.641868966229509</v>
          </cell>
          <cell r="AG65">
            <v>69.580463334108416</v>
          </cell>
          <cell r="AH65">
            <v>78.337946777903028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</row>
        <row r="66">
          <cell r="N66">
            <v>73</v>
          </cell>
          <cell r="P66">
            <v>77.793242454074615</v>
          </cell>
          <cell r="Q66">
            <v>68.279128901941291</v>
          </cell>
          <cell r="R66">
            <v>56.695715100529583</v>
          </cell>
          <cell r="S66">
            <v>41.207080527923317</v>
          </cell>
          <cell r="T66">
            <v>22.038825587239337</v>
          </cell>
          <cell r="W66">
            <v>5.2765477342643976</v>
          </cell>
          <cell r="X66">
            <v>4.6239742768918788</v>
          </cell>
          <cell r="Y66">
            <v>3.9035613445077431</v>
          </cell>
          <cell r="Z66">
            <v>1.7434952614025931</v>
          </cell>
          <cell r="AA66">
            <v>0.85669905958276971</v>
          </cell>
          <cell r="AD66">
            <v>60</v>
          </cell>
          <cell r="AE66">
            <v>61.847684538899401</v>
          </cell>
          <cell r="AF66">
            <v>65.027623836121933</v>
          </cell>
          <cell r="AG66">
            <v>69.802006696780211</v>
          </cell>
          <cell r="AH66">
            <v>78.545068068293759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</row>
        <row r="67">
          <cell r="N67">
            <v>74</v>
          </cell>
          <cell r="P67">
            <v>83.4485062894652</v>
          </cell>
          <cell r="Q67">
            <v>73.251098820892551</v>
          </cell>
          <cell r="R67">
            <v>60.341614897912287</v>
          </cell>
          <cell r="S67">
            <v>42.900877083414059</v>
          </cell>
          <cell r="T67">
            <v>22.948339229602933</v>
          </cell>
          <cell r="W67">
            <v>5.6552638353905849</v>
          </cell>
          <cell r="X67">
            <v>4.9719699189512596</v>
          </cell>
          <cell r="Y67">
            <v>3.6458997973827039</v>
          </cell>
          <cell r="Z67">
            <v>1.6937965554907422</v>
          </cell>
          <cell r="AA67">
            <v>0.90951364236359566</v>
          </cell>
          <cell r="AD67">
            <v>60.217698846451768</v>
          </cell>
          <cell r="AE67">
            <v>62.074577701842749</v>
          </cell>
          <cell r="AF67">
            <v>65.397403999939201</v>
          </cell>
          <cell r="AG67">
            <v>70.016991075934925</v>
          </cell>
          <cell r="AH67">
            <v>78.752189358684504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</row>
        <row r="68">
          <cell r="N68">
            <v>75</v>
          </cell>
          <cell r="P68">
            <v>89.509667991878061</v>
          </cell>
          <cell r="Q68">
            <v>78.652145264463257</v>
          </cell>
          <cell r="R68">
            <v>62.925296598290274</v>
          </cell>
          <cell r="S68">
            <v>44.719030128742276</v>
          </cell>
          <cell r="T68">
            <v>24.23026712540139</v>
          </cell>
          <cell r="W68">
            <v>6.0611617024128606</v>
          </cell>
          <cell r="X68">
            <v>5.4010464435707064</v>
          </cell>
          <cell r="Y68">
            <v>2.5836817003779871</v>
          </cell>
          <cell r="Z68">
            <v>1.8181530453282164</v>
          </cell>
          <cell r="AA68">
            <v>1.2819278957984572</v>
          </cell>
          <cell r="AD68">
            <v>60.435397692903535</v>
          </cell>
          <cell r="AE68">
            <v>62.290841880689385</v>
          </cell>
          <cell r="AF68">
            <v>65.767184163756468</v>
          </cell>
          <cell r="AG68">
            <v>70.176831865539171</v>
          </cell>
          <cell r="AH68">
            <v>78.959310649075235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</row>
        <row r="69">
          <cell r="N69">
            <v>76</v>
          </cell>
          <cell r="P69">
            <v>96.005860256665443</v>
          </cell>
          <cell r="Q69">
            <v>82.382628686244615</v>
          </cell>
          <cell r="R69">
            <v>65.629606071456493</v>
          </cell>
          <cell r="S69">
            <v>46.802856875124405</v>
          </cell>
          <cell r="T69">
            <v>25.614363516478338</v>
          </cell>
          <cell r="W69">
            <v>6.496192264787382</v>
          </cell>
          <cell r="X69">
            <v>3.7304834217813578</v>
          </cell>
          <cell r="Y69">
            <v>2.7043094731662194</v>
          </cell>
          <cell r="Z69">
            <v>2.0838267463821296</v>
          </cell>
          <cell r="AA69">
            <v>1.3840963910769482</v>
          </cell>
          <cell r="AD69">
            <v>60.653096539355303</v>
          </cell>
          <cell r="AE69">
            <v>62.507106059536028</v>
          </cell>
          <cell r="AF69">
            <v>66.094853834426118</v>
          </cell>
          <cell r="AG69">
            <v>70.336672655143403</v>
          </cell>
          <cell r="AH69">
            <v>79.166485066397655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</row>
        <row r="70">
          <cell r="N70">
            <v>77</v>
          </cell>
          <cell r="P70">
            <v>102.96830673359811</v>
          </cell>
          <cell r="Q70">
            <v>87.224452634030953</v>
          </cell>
          <cell r="R70">
            <v>69.534497537198803</v>
          </cell>
          <cell r="S70">
            <v>50.444173468789714</v>
          </cell>
          <cell r="T70">
            <v>27.533725220564136</v>
          </cell>
          <cell r="W70">
            <v>6.9624464769326693</v>
          </cell>
          <cell r="X70">
            <v>4.8418239477863381</v>
          </cell>
          <cell r="Y70">
            <v>3.9048914657423097</v>
          </cell>
          <cell r="Z70">
            <v>3.6413165936653087</v>
          </cell>
          <cell r="AA70">
            <v>1.919361704085798</v>
          </cell>
          <cell r="AD70">
            <v>60.870795385807064</v>
          </cell>
          <cell r="AE70">
            <v>62.723370238382664</v>
          </cell>
          <cell r="AF70">
            <v>66.350942898302293</v>
          </cell>
          <cell r="AG70">
            <v>70.496513444747649</v>
          </cell>
          <cell r="AH70">
            <v>79.373672472214793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</row>
        <row r="71">
          <cell r="N71">
            <v>78</v>
          </cell>
          <cell r="P71">
            <v>110.43047210190386</v>
          </cell>
          <cell r="Q71">
            <v>93.876944333828462</v>
          </cell>
          <cell r="R71">
            <v>76.119724419842328</v>
          </cell>
          <cell r="S71">
            <v>55.038547295588884</v>
          </cell>
          <cell r="T71">
            <v>29.926657939615946</v>
          </cell>
          <cell r="W71">
            <v>7.4621653683057474</v>
          </cell>
          <cell r="X71">
            <v>6.6524916997975083</v>
          </cell>
          <cell r="Y71">
            <v>6.585226882643525</v>
          </cell>
          <cell r="Z71">
            <v>4.5943738267991705</v>
          </cell>
          <cell r="AA71">
            <v>2.3929327190518102</v>
          </cell>
          <cell r="AD71">
            <v>61.082568038258209</v>
          </cell>
          <cell r="AE71">
            <v>62.9396344172293</v>
          </cell>
          <cell r="AF71">
            <v>66.607031962178468</v>
          </cell>
          <cell r="AG71">
            <v>70.65635423435188</v>
          </cell>
          <cell r="AH71">
            <v>79.58085987803193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</row>
        <row r="72">
          <cell r="N72">
            <v>79</v>
          </cell>
          <cell r="P72">
            <v>118.42822291671132</v>
          </cell>
          <cell r="Q72">
            <v>101.82458606378839</v>
          </cell>
          <cell r="R72">
            <v>82.402357505447739</v>
          </cell>
          <cell r="S72">
            <v>59.379910970439049</v>
          </cell>
          <cell r="T72">
            <v>32.840146214804051</v>
          </cell>
          <cell r="W72">
            <v>7.9977508148074605</v>
          </cell>
          <cell r="X72">
            <v>7.9476417299599262</v>
          </cell>
          <cell r="Y72">
            <v>6.2826330856054113</v>
          </cell>
          <cell r="Z72">
            <v>4.3413636748501645</v>
          </cell>
          <cell r="AA72">
            <v>2.9134882751881044</v>
          </cell>
          <cell r="AD72">
            <v>61.285688244217212</v>
          </cell>
          <cell r="AE72">
            <v>63.144987019191532</v>
          </cell>
          <cell r="AF72">
            <v>66.863121026054642</v>
          </cell>
          <cell r="AG72">
            <v>70.816195023956126</v>
          </cell>
          <cell r="AH72">
            <v>79.788047283849068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</row>
        <row r="73">
          <cell r="N73">
            <v>80</v>
          </cell>
          <cell r="P73">
            <v>127</v>
          </cell>
          <cell r="Q73">
            <v>109.04220000000001</v>
          </cell>
          <cell r="R73">
            <v>87.909400000000005</v>
          </cell>
          <cell r="S73">
            <v>63.893699999999995</v>
          </cell>
          <cell r="T73">
            <v>36.131499999999996</v>
          </cell>
          <cell r="W73">
            <v>8.5717770832886799</v>
          </cell>
          <cell r="X73">
            <v>7.2176139362116203</v>
          </cell>
          <cell r="Y73">
            <v>5.507042494552266</v>
          </cell>
          <cell r="Z73">
            <v>4.5137890295609466</v>
          </cell>
          <cell r="AA73">
            <v>3.2913537851959447</v>
          </cell>
          <cell r="AD73">
            <v>61.488808450176215</v>
          </cell>
          <cell r="AE73">
            <v>63.346114543352201</v>
          </cell>
          <cell r="AF73">
            <v>67.070688902766292</v>
          </cell>
          <cell r="AG73">
            <v>70.976035813560358</v>
          </cell>
          <cell r="AH73">
            <v>79.995234689666205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</row>
        <row r="74">
          <cell r="N74">
            <v>81</v>
          </cell>
          <cell r="P74">
            <v>136.18700320464549</v>
          </cell>
          <cell r="Q74">
            <v>116.57607474317653</v>
          </cell>
          <cell r="R74">
            <v>94.295881018896537</v>
          </cell>
          <cell r="S74">
            <v>70.149925350712891</v>
          </cell>
          <cell r="T74">
            <v>39.712130134474627</v>
          </cell>
          <cell r="W74">
            <v>9.1870032046454924</v>
          </cell>
          <cell r="X74">
            <v>7.5338747431765256</v>
          </cell>
          <cell r="Y74">
            <v>6.3864810188965322</v>
          </cell>
          <cell r="Z74">
            <v>6.2562253507128958</v>
          </cell>
          <cell r="AA74">
            <v>3.5806301344746316</v>
          </cell>
          <cell r="AD74">
            <v>61.691928656135218</v>
          </cell>
          <cell r="AE74">
            <v>63.547242067512876</v>
          </cell>
          <cell r="AF74">
            <v>67.22254395921631</v>
          </cell>
          <cell r="AG74">
            <v>71.117287734829731</v>
          </cell>
          <cell r="AH74">
            <v>80.163515361854607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</row>
        <row r="75">
          <cell r="N75">
            <v>82</v>
          </cell>
          <cell r="P75">
            <v>146.03338943962044</v>
          </cell>
          <cell r="Q75">
            <v>125.29664813919433</v>
          </cell>
          <cell r="R75">
            <v>103.78592987473824</v>
          </cell>
          <cell r="S75">
            <v>77.397696402998832</v>
          </cell>
          <cell r="T75">
            <v>43.795413492942167</v>
          </cell>
          <cell r="W75">
            <v>9.8463862349749434</v>
          </cell>
          <cell r="X75">
            <v>8.720573396017798</v>
          </cell>
          <cell r="Y75">
            <v>9.4900488558417067</v>
          </cell>
          <cell r="Z75">
            <v>7.2477710522859411</v>
          </cell>
          <cell r="AA75">
            <v>4.0832833584675399</v>
          </cell>
          <cell r="AD75">
            <v>61.895048862094221</v>
          </cell>
          <cell r="AE75">
            <v>63.748369591673544</v>
          </cell>
          <cell r="AF75">
            <v>67.374399015666327</v>
          </cell>
          <cell r="AG75">
            <v>71.255261188017741</v>
          </cell>
          <cell r="AH75">
            <v>80.330880112985213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</row>
        <row r="76">
          <cell r="N76">
            <v>83</v>
          </cell>
          <cell r="P76">
            <v>156.58648490814926</v>
          </cell>
          <cell r="Q76">
            <v>137.07580888859385</v>
          </cell>
          <cell r="R76">
            <v>113.83837452822451</v>
          </cell>
          <cell r="S76">
            <v>84.713288335308761</v>
          </cell>
          <cell r="T76">
            <v>48.009416272838557</v>
          </cell>
          <cell r="W76">
            <v>10.553095468528824</v>
          </cell>
          <cell r="X76">
            <v>11.779160749399523</v>
          </cell>
          <cell r="Y76">
            <v>10.052444653486262</v>
          </cell>
          <cell r="Z76">
            <v>7.3155919323099283</v>
          </cell>
          <cell r="AA76">
            <v>4.2140027798963899</v>
          </cell>
          <cell r="AD76">
            <v>62.091594979242075</v>
          </cell>
          <cell r="AE76">
            <v>63.94949711583422</v>
          </cell>
          <cell r="AF76">
            <v>67.526254072116345</v>
          </cell>
          <cell r="AG76">
            <v>71.393234641205751</v>
          </cell>
          <cell r="AH76">
            <v>80.498244864115819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</row>
        <row r="77">
          <cell r="N77">
            <v>84</v>
          </cell>
          <cell r="P77">
            <v>167.89701257893043</v>
          </cell>
          <cell r="Q77">
            <v>147.04420361662727</v>
          </cell>
          <cell r="R77">
            <v>122.04433844362453</v>
          </cell>
          <cell r="S77">
            <v>90.9498117140066</v>
          </cell>
          <cell r="T77">
            <v>50.016520047263377</v>
          </cell>
          <cell r="W77">
            <v>11.31052767078117</v>
          </cell>
          <cell r="X77">
            <v>9.9683947280334166</v>
          </cell>
          <cell r="Y77">
            <v>8.2059639154000195</v>
          </cell>
          <cell r="Z77">
            <v>6.2365233786978393</v>
          </cell>
          <cell r="AA77">
            <v>2.0071037744248201</v>
          </cell>
          <cell r="AD77">
            <v>62.281112832649576</v>
          </cell>
          <cell r="AE77">
            <v>64.138658533477141</v>
          </cell>
          <cell r="AF77">
            <v>67.678109128566362</v>
          </cell>
          <cell r="AG77">
            <v>71.531208094393762</v>
          </cell>
          <cell r="AH77">
            <v>80.665609615246424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</row>
        <row r="78">
          <cell r="N78">
            <v>85</v>
          </cell>
          <cell r="P78">
            <v>180.01933598375612</v>
          </cell>
          <cell r="Q78">
            <v>157.94896539214761</v>
          </cell>
          <cell r="R78">
            <v>130.96406692818258</v>
          </cell>
          <cell r="S78">
            <v>97.300451099220183</v>
          </cell>
          <cell r="T78">
            <v>51.89957456411689</v>
          </cell>
          <cell r="W78">
            <v>12.122323404825693</v>
          </cell>
          <cell r="X78">
            <v>10.904761775520342</v>
          </cell>
          <cell r="Y78">
            <v>8.9197284845580498</v>
          </cell>
          <cell r="Z78">
            <v>6.350639385213583</v>
          </cell>
          <cell r="AA78">
            <v>1.8830545168535124</v>
          </cell>
          <cell r="AD78">
            <v>62.470630686057078</v>
          </cell>
          <cell r="AE78">
            <v>64.323807839347367</v>
          </cell>
          <cell r="AF78">
            <v>67.829964185016379</v>
          </cell>
          <cell r="AG78">
            <v>71.669181547581772</v>
          </cell>
          <cell r="AH78">
            <v>80.83297436637703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</row>
        <row r="79">
          <cell r="N79">
            <v>86</v>
          </cell>
          <cell r="P79">
            <v>193.01172051333091</v>
          </cell>
          <cell r="Q79">
            <v>169.23267654608856</v>
          </cell>
          <cell r="R79">
            <v>140.37742432934556</v>
          </cell>
          <cell r="S79">
            <v>101.00303334462606</v>
          </cell>
          <cell r="T79">
            <v>53.869571195270659</v>
          </cell>
          <cell r="W79">
            <v>12.992384529574792</v>
          </cell>
          <cell r="X79">
            <v>11.283711153940942</v>
          </cell>
          <cell r="Y79">
            <v>9.4133574011629833</v>
          </cell>
          <cell r="Z79">
            <v>3.7025822454058783</v>
          </cell>
          <cell r="AA79">
            <v>1.9699966311537693</v>
          </cell>
          <cell r="AD79">
            <v>62.660148539464579</v>
          </cell>
          <cell r="AE79">
            <v>64.508957145217607</v>
          </cell>
          <cell r="AF79">
            <v>67.981819241466397</v>
          </cell>
          <cell r="AG79">
            <v>71.807155000769782</v>
          </cell>
          <cell r="AH79">
            <v>81.000274572993447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</row>
        <row r="80">
          <cell r="N80">
            <v>87</v>
          </cell>
          <cell r="P80">
            <v>206.93661346719625</v>
          </cell>
          <cell r="Q80">
            <v>181.44202268803767</v>
          </cell>
          <cell r="R80">
            <v>148.29077721059284</v>
          </cell>
          <cell r="S80">
            <v>105.04102499594883</v>
          </cell>
          <cell r="T80">
            <v>55.997047604223305</v>
          </cell>
          <cell r="W80">
            <v>13.924892953865339</v>
          </cell>
          <cell r="X80">
            <v>12.209346141949112</v>
          </cell>
          <cell r="Y80">
            <v>7.9133528812472775</v>
          </cell>
          <cell r="Z80">
            <v>4.0379916513227698</v>
          </cell>
          <cell r="AA80">
            <v>2.1274764089526457</v>
          </cell>
          <cell r="AD80">
            <v>62.849666392872081</v>
          </cell>
          <cell r="AE80">
            <v>64.694106451087833</v>
          </cell>
          <cell r="AF80">
            <v>68.140112524185838</v>
          </cell>
          <cell r="AG80">
            <v>71.945128453957807</v>
          </cell>
          <cell r="AH80">
            <v>81.135784653362236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</row>
        <row r="81">
          <cell r="N81">
            <v>88</v>
          </cell>
          <cell r="P81">
            <v>221.86094420380775</v>
          </cell>
          <cell r="Q81">
            <v>194.30581493369482</v>
          </cell>
          <cell r="R81">
            <v>154.28210059932792</v>
          </cell>
          <cell r="S81">
            <v>109.33307330363647</v>
          </cell>
          <cell r="T81">
            <v>60.368362917856089</v>
          </cell>
          <cell r="W81">
            <v>14.924330736611495</v>
          </cell>
          <cell r="X81">
            <v>12.863792245657152</v>
          </cell>
          <cell r="Y81">
            <v>5.9913233887350827</v>
          </cell>
          <cell r="Z81">
            <v>4.2920483076876366</v>
          </cell>
          <cell r="AA81">
            <v>4.3713153136327847</v>
          </cell>
          <cell r="AD81">
            <v>63.036560194527354</v>
          </cell>
          <cell r="AE81">
            <v>64.879255756958074</v>
          </cell>
          <cell r="AF81">
            <v>68.299281456443111</v>
          </cell>
          <cell r="AG81">
            <v>72.082331491774582</v>
          </cell>
          <cell r="AH81">
            <v>81.271294733731025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</row>
        <row r="82">
          <cell r="N82">
            <v>89</v>
          </cell>
          <cell r="P82">
            <v>237.85644583342264</v>
          </cell>
          <cell r="Q82">
            <v>202.46340669340935</v>
          </cell>
          <cell r="R82">
            <v>160.76717173881036</v>
          </cell>
          <cell r="S82">
            <v>115.24144800629327</v>
          </cell>
          <cell r="T82">
            <v>65.196451802941155</v>
          </cell>
          <cell r="W82">
            <v>15.995501629614893</v>
          </cell>
          <cell r="X82">
            <v>8.1575917597145349</v>
          </cell>
          <cell r="Y82">
            <v>6.485071139482443</v>
          </cell>
          <cell r="Z82">
            <v>5.9083747026568005</v>
          </cell>
          <cell r="AA82">
            <v>4.8280888850850658</v>
          </cell>
          <cell r="AD82">
            <v>63.213386604241791</v>
          </cell>
          <cell r="AE82">
            <v>65.093246557136723</v>
          </cell>
          <cell r="AF82">
            <v>68.458450388700385</v>
          </cell>
          <cell r="AG82">
            <v>72.219025830285105</v>
          </cell>
          <cell r="AH82">
            <v>81.406804814099814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</row>
        <row r="83">
          <cell r="N83">
            <v>90</v>
          </cell>
          <cell r="P83">
            <v>255</v>
          </cell>
          <cell r="Q83">
            <v>215.42400000000001</v>
          </cell>
          <cell r="R83">
            <v>173.01749999999998</v>
          </cell>
          <cell r="S83">
            <v>128.90249999999997</v>
          </cell>
          <cell r="T83">
            <v>70.022999999999996</v>
          </cell>
          <cell r="W83">
            <v>17.14355416657736</v>
          </cell>
          <cell r="X83">
            <v>12.960593306590653</v>
          </cell>
          <cell r="Y83">
            <v>12.250328261189622</v>
          </cell>
          <cell r="Z83">
            <v>13.661051993706707</v>
          </cell>
          <cell r="AA83">
            <v>4.8265481970588411</v>
          </cell>
          <cell r="AD83">
            <v>63.39021301395622</v>
          </cell>
          <cell r="AE83">
            <v>65.361308330085848</v>
          </cell>
          <cell r="AF83">
            <v>68.617619320957644</v>
          </cell>
          <cell r="AG83">
            <v>72.355720168795614</v>
          </cell>
          <cell r="AH83">
            <v>81.542314894468603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</row>
        <row r="84">
          <cell r="N84">
            <v>91</v>
          </cell>
          <cell r="P84">
            <v>273.37400640929098</v>
          </cell>
          <cell r="Q84">
            <v>235.18365771391302</v>
          </cell>
          <cell r="R84">
            <v>195.05235357302914</v>
          </cell>
          <cell r="S84">
            <v>140.10417828476162</v>
          </cell>
          <cell r="T84">
            <v>75.997973781782903</v>
          </cell>
          <cell r="W84">
            <v>18.374006409290985</v>
          </cell>
          <cell r="X84">
            <v>19.759657713913015</v>
          </cell>
          <cell r="Y84">
            <v>22.034853573029153</v>
          </cell>
          <cell r="Z84">
            <v>11.201678284761641</v>
          </cell>
          <cell r="AA84">
            <v>5.9749737817829072</v>
          </cell>
          <cell r="AD84">
            <v>63.567039423670657</v>
          </cell>
          <cell r="AE84">
            <v>65.629370103034958</v>
          </cell>
          <cell r="AF84">
            <v>68.776788253214917</v>
          </cell>
          <cell r="AG84">
            <v>72.492414507306137</v>
          </cell>
          <cell r="AH84">
            <v>81.677824974837392</v>
          </cell>
          <cell r="BJ84">
            <v>3.533333333333331</v>
          </cell>
          <cell r="BK84">
            <v>3.6039999999999979</v>
          </cell>
          <cell r="BL84">
            <v>3.7453333333333312</v>
          </cell>
          <cell r="BM84">
            <v>4.0279999999999969</v>
          </cell>
          <cell r="BN84">
            <v>4.9466666666666628</v>
          </cell>
        </row>
        <row r="85">
          <cell r="N85">
            <v>92</v>
          </cell>
          <cell r="P85">
            <v>293.06677887924064</v>
          </cell>
          <cell r="Q85">
            <v>256.87303168765442</v>
          </cell>
          <cell r="R85">
            <v>207.31543937917485</v>
          </cell>
          <cell r="S85">
            <v>148.76069695910257</v>
          </cell>
          <cell r="T85">
            <v>83.377498591143961</v>
          </cell>
          <cell r="W85">
            <v>19.692772469949659</v>
          </cell>
          <cell r="X85">
            <v>21.689373973741397</v>
          </cell>
          <cell r="Y85">
            <v>12.26308580614571</v>
          </cell>
          <cell r="Z85">
            <v>8.6565186743409583</v>
          </cell>
          <cell r="AA85">
            <v>7.3795248093610581</v>
          </cell>
          <cell r="AD85">
            <v>63.743865833385094</v>
          </cell>
          <cell r="AE85">
            <v>65.897431875984083</v>
          </cell>
          <cell r="AF85">
            <v>68.935957185472191</v>
          </cell>
          <cell r="AG85">
            <v>72.62910884581666</v>
          </cell>
          <cell r="AH85">
            <v>81.813335055206181</v>
          </cell>
          <cell r="BJ85">
            <v>3.5666666666666642</v>
          </cell>
          <cell r="BK85">
            <v>3.6379999999999977</v>
          </cell>
          <cell r="BL85">
            <v>3.7806666666666642</v>
          </cell>
          <cell r="BM85">
            <v>4.0659999999999972</v>
          </cell>
          <cell r="BN85">
            <v>4.9933333333333296</v>
          </cell>
        </row>
        <row r="86">
          <cell r="N86">
            <v>93</v>
          </cell>
          <cell r="P86">
            <v>314.1729698162988</v>
          </cell>
          <cell r="Q86">
            <v>271.037021060521</v>
          </cell>
          <cell r="R86">
            <v>217.69045078571344</v>
          </cell>
          <cell r="S86">
            <v>158.97152272704719</v>
          </cell>
          <cell r="T86">
            <v>89.382209912736997</v>
          </cell>
          <cell r="W86">
            <v>21.106190937058159</v>
          </cell>
          <cell r="X86">
            <v>14.163989372866581</v>
          </cell>
          <cell r="Y86">
            <v>10.37501140653859</v>
          </cell>
          <cell r="Z86">
            <v>10.210825767944613</v>
          </cell>
          <cell r="AA86">
            <v>6.0047113215930352</v>
          </cell>
          <cell r="AD86">
            <v>63.920692243099523</v>
          </cell>
          <cell r="AE86">
            <v>66.127508005332913</v>
          </cell>
          <cell r="AF86">
            <v>69.10852331267526</v>
          </cell>
          <cell r="AG86">
            <v>72.765803184327183</v>
          </cell>
          <cell r="AH86">
            <v>81.94884513557497</v>
          </cell>
          <cell r="BJ86">
            <v>3.5999999999999974</v>
          </cell>
          <cell r="BK86">
            <v>3.6719999999999975</v>
          </cell>
          <cell r="BL86">
            <v>3.8159999999999976</v>
          </cell>
          <cell r="BM86">
            <v>4.1039999999999965</v>
          </cell>
          <cell r="BN86">
            <v>5.0399999999999965</v>
          </cell>
        </row>
        <row r="87">
          <cell r="N87">
            <v>94</v>
          </cell>
          <cell r="P87">
            <v>336.79402515786086</v>
          </cell>
          <cell r="Q87">
            <v>287.52105927726581</v>
          </cell>
          <cell r="R87">
            <v>232.82570959162922</v>
          </cell>
          <cell r="S87">
            <v>173.2805259437194</v>
          </cell>
          <cell r="T87">
            <v>95.817900157411401</v>
          </cell>
          <cell r="W87">
            <v>22.621055341562055</v>
          </cell>
          <cell r="X87">
            <v>16.484038216744807</v>
          </cell>
          <cell r="Y87">
            <v>15.135258805915782</v>
          </cell>
          <cell r="Z87">
            <v>14.30900321667221</v>
          </cell>
          <cell r="AA87">
            <v>6.4356902446744044</v>
          </cell>
          <cell r="AD87">
            <v>64.090988120365651</v>
          </cell>
          <cell r="AE87">
            <v>66.334041743606733</v>
          </cell>
          <cell r="AF87">
            <v>69.290108982477022</v>
          </cell>
          <cell r="AG87">
            <v>72.902497522837706</v>
          </cell>
          <cell r="AH87">
            <v>82.103668831941604</v>
          </cell>
          <cell r="BJ87">
            <v>3.6333333333333306</v>
          </cell>
          <cell r="BK87">
            <v>3.7059999999999973</v>
          </cell>
          <cell r="BL87">
            <v>3.8513333333333306</v>
          </cell>
          <cell r="BM87">
            <v>4.1419999999999968</v>
          </cell>
          <cell r="BN87">
            <v>5.0866666666666625</v>
          </cell>
        </row>
        <row r="88">
          <cell r="N88">
            <v>95</v>
          </cell>
          <cell r="P88">
            <v>361.0386719675123</v>
          </cell>
          <cell r="Q88">
            <v>310.6015694936508</v>
          </cell>
          <cell r="R88">
            <v>257.05953444086873</v>
          </cell>
          <cell r="S88">
            <v>188.46218676704143</v>
          </cell>
          <cell r="T88">
            <v>102.78770990915075</v>
          </cell>
          <cell r="W88">
            <v>24.244646809651442</v>
          </cell>
          <cell r="X88">
            <v>23.080510216384994</v>
          </cell>
          <cell r="Y88">
            <v>24.233824849239511</v>
          </cell>
          <cell r="Z88">
            <v>15.181660823322034</v>
          </cell>
          <cell r="AA88">
            <v>6.9698097517393478</v>
          </cell>
          <cell r="AD88">
            <v>64.255972994404218</v>
          </cell>
          <cell r="AE88">
            <v>66.540575481880552</v>
          </cell>
          <cell r="AF88">
            <v>69.471694652278771</v>
          </cell>
          <cell r="AG88">
            <v>73.04597299605588</v>
          </cell>
          <cell r="AH88">
            <v>82.270204731245201</v>
          </cell>
          <cell r="BJ88">
            <v>3.6666666666666639</v>
          </cell>
          <cell r="BK88">
            <v>3.7399999999999971</v>
          </cell>
          <cell r="BL88">
            <v>3.886666666666664</v>
          </cell>
          <cell r="BM88">
            <v>4.1799999999999962</v>
          </cell>
          <cell r="BN88">
            <v>5.1333333333333293</v>
          </cell>
        </row>
        <row r="89">
          <cell r="N89">
            <v>96</v>
          </cell>
          <cell r="P89">
            <v>387.02344102666189</v>
          </cell>
          <cell r="Q89">
            <v>338.91642730704785</v>
          </cell>
          <cell r="R89">
            <v>278.65687753919656</v>
          </cell>
          <cell r="S89">
            <v>202.60677137745748</v>
          </cell>
          <cell r="T89">
            <v>106.93457675566667</v>
          </cell>
          <cell r="W89">
            <v>25.984769059149585</v>
          </cell>
          <cell r="X89">
            <v>28.314857813397055</v>
          </cell>
          <cell r="Y89">
            <v>21.597343098327826</v>
          </cell>
          <cell r="Z89">
            <v>14.144584610416047</v>
          </cell>
          <cell r="AA89">
            <v>4.1468668465159197</v>
          </cell>
          <cell r="AD89">
            <v>64.420957868442798</v>
          </cell>
          <cell r="AE89">
            <v>66.747109220154371</v>
          </cell>
          <cell r="AF89">
            <v>69.653280322080533</v>
          </cell>
          <cell r="AG89">
            <v>73.206318743081482</v>
          </cell>
          <cell r="AH89">
            <v>82.436740630548798</v>
          </cell>
          <cell r="BJ89">
            <v>3.6999999999999971</v>
          </cell>
          <cell r="BK89">
            <v>3.7739999999999969</v>
          </cell>
          <cell r="BL89">
            <v>3.921999999999997</v>
          </cell>
          <cell r="BM89">
            <v>4.2179999999999964</v>
          </cell>
          <cell r="BN89">
            <v>5.1799999999999953</v>
          </cell>
        </row>
        <row r="90">
          <cell r="N90">
            <v>97</v>
          </cell>
          <cell r="P90">
            <v>414.87322693439216</v>
          </cell>
          <cell r="Q90">
            <v>361.23011869177526</v>
          </cell>
          <cell r="R90">
            <v>294.39404183264469</v>
          </cell>
          <cell r="S90">
            <v>209.51097960186806</v>
          </cell>
          <cell r="T90">
            <v>110.52222765532208</v>
          </cell>
          <cell r="W90">
            <v>27.849785907730279</v>
          </cell>
          <cell r="X90">
            <v>22.313691384727406</v>
          </cell>
          <cell r="Y90">
            <v>15.737164293448132</v>
          </cell>
          <cell r="Z90">
            <v>6.9042082244105814</v>
          </cell>
          <cell r="AA90">
            <v>3.5876508996554151</v>
          </cell>
          <cell r="AD90">
            <v>64.585942742481365</v>
          </cell>
          <cell r="AE90">
            <v>66.953642958428176</v>
          </cell>
          <cell r="AF90">
            <v>69.834865991882282</v>
          </cell>
          <cell r="AG90">
            <v>73.366664490107098</v>
          </cell>
          <cell r="AH90">
            <v>82.603276529852394</v>
          </cell>
          <cell r="BJ90">
            <v>3.7333333333333303</v>
          </cell>
          <cell r="BK90">
            <v>3.8079999999999972</v>
          </cell>
          <cell r="BL90">
            <v>3.9573333333333305</v>
          </cell>
          <cell r="BM90">
            <v>4.2559999999999958</v>
          </cell>
          <cell r="BN90">
            <v>5.2266666666666621</v>
          </cell>
        </row>
        <row r="91">
          <cell r="N91">
            <v>98</v>
          </cell>
          <cell r="P91">
            <v>444.72188840761549</v>
          </cell>
          <cell r="Q91">
            <v>384.15076720649824</v>
          </cell>
          <cell r="R91">
            <v>309.52643433170039</v>
          </cell>
          <cell r="S91">
            <v>217.02428154291636</v>
          </cell>
          <cell r="T91">
            <v>114.7382472091648</v>
          </cell>
          <cell r="W91">
            <v>29.848661473223331</v>
          </cell>
          <cell r="X91">
            <v>22.920648514722984</v>
          </cell>
          <cell r="Y91">
            <v>15.132392499055697</v>
          </cell>
          <cell r="Z91">
            <v>7.5133019410482973</v>
          </cell>
          <cell r="AA91">
            <v>4.2160195538427132</v>
          </cell>
          <cell r="AD91">
            <v>64.750927616519931</v>
          </cell>
          <cell r="AE91">
            <v>67.116579982503794</v>
          </cell>
          <cell r="AF91">
            <v>70.014186216123079</v>
          </cell>
          <cell r="AG91">
            <v>73.527010237132714</v>
          </cell>
          <cell r="AH91">
            <v>82.769812429155991</v>
          </cell>
          <cell r="BJ91">
            <v>3.7666666666666635</v>
          </cell>
          <cell r="BK91">
            <v>3.841999999999997</v>
          </cell>
          <cell r="BL91">
            <v>3.9926666666666635</v>
          </cell>
          <cell r="BM91">
            <v>4.293999999999996</v>
          </cell>
          <cell r="BN91">
            <v>5.273333333333329</v>
          </cell>
        </row>
        <row r="92">
          <cell r="N92">
            <v>99</v>
          </cell>
          <cell r="P92">
            <v>476.71289166684534</v>
          </cell>
          <cell r="Q92">
            <v>409.59171652015351</v>
          </cell>
          <cell r="R92">
            <v>322.40092863428748</v>
          </cell>
          <cell r="S92">
            <v>226.43862354175153</v>
          </cell>
          <cell r="T92">
            <v>147.30428352505521</v>
          </cell>
          <cell r="W92">
            <v>31.991003259229842</v>
          </cell>
          <cell r="X92">
            <v>25.440949313655267</v>
          </cell>
          <cell r="Y92">
            <v>12.874494302587095</v>
          </cell>
          <cell r="Z92">
            <v>9.4143419988351695</v>
          </cell>
          <cell r="AA92">
            <v>32.566036315890415</v>
          </cell>
          <cell r="AD92">
            <v>64.915912490558512</v>
          </cell>
          <cell r="AE92">
            <v>67.266899598841007</v>
          </cell>
          <cell r="AF92">
            <v>70.170766968033433</v>
          </cell>
          <cell r="AG92">
            <v>73.687355984158316</v>
          </cell>
          <cell r="AH92">
            <v>82.936348328459587</v>
          </cell>
          <cell r="BJ92">
            <v>3.7999999999999967</v>
          </cell>
          <cell r="BK92">
            <v>3.8759999999999968</v>
          </cell>
          <cell r="BL92">
            <v>4.0279999999999969</v>
          </cell>
          <cell r="BM92">
            <v>4.3319999999999963</v>
          </cell>
          <cell r="BN92">
            <v>5.319999999999995</v>
          </cell>
        </row>
        <row r="93">
          <cell r="N93">
            <v>100</v>
          </cell>
          <cell r="P93">
            <v>511</v>
          </cell>
          <cell r="Q93">
            <v>428.11579999999998</v>
          </cell>
          <cell r="R93">
            <v>337.26</v>
          </cell>
          <cell r="S93">
            <v>250.39</v>
          </cell>
          <cell r="T93">
            <v>250.39</v>
          </cell>
          <cell r="W93">
            <v>34.287108333154663</v>
          </cell>
          <cell r="X93">
            <v>18.524083479846468</v>
          </cell>
          <cell r="Y93">
            <v>14.859071365712509</v>
          </cell>
          <cell r="Z93">
            <v>23.951376458248461</v>
          </cell>
          <cell r="AA93">
            <v>103.08571647494477</v>
          </cell>
          <cell r="AD93">
            <v>65.075479910097457</v>
          </cell>
          <cell r="AE93">
            <v>67.417219215178207</v>
          </cell>
          <cell r="AF93">
            <v>70.327347719943774</v>
          </cell>
          <cell r="AG93">
            <v>73.847701731183932</v>
          </cell>
          <cell r="AH93">
            <v>83.095994378811852</v>
          </cell>
          <cell r="BJ93">
            <v>3.8333333333333299</v>
          </cell>
          <cell r="BK93">
            <v>3.9099999999999966</v>
          </cell>
          <cell r="BL93">
            <v>4.0633333333333299</v>
          </cell>
          <cell r="BM93">
            <v>4.3699999999999957</v>
          </cell>
          <cell r="BN93">
            <v>5.3666666666666618</v>
          </cell>
        </row>
        <row r="94">
          <cell r="N94">
            <v>101</v>
          </cell>
          <cell r="P94">
            <v>547.74801281858208</v>
          </cell>
          <cell r="Q94">
            <v>459.01283474197174</v>
          </cell>
          <cell r="R94">
            <v>410.81100961393656</v>
          </cell>
          <cell r="S94">
            <v>410.81100961393656</v>
          </cell>
          <cell r="T94">
            <v>410.81100961393656</v>
          </cell>
          <cell r="W94">
            <v>36.748012818582083</v>
          </cell>
          <cell r="X94">
            <v>30.897034741971765</v>
          </cell>
          <cell r="Y94">
            <v>73.551009613936571</v>
          </cell>
          <cell r="Z94">
            <v>160.42100961393658</v>
          </cell>
          <cell r="AA94">
            <v>160.42100961393658</v>
          </cell>
          <cell r="AD94">
            <v>65.229416240679981</v>
          </cell>
          <cell r="AE94">
            <v>67.567538831515407</v>
          </cell>
          <cell r="AF94">
            <v>70.483928471854128</v>
          </cell>
          <cell r="AG94">
            <v>74.007902871340832</v>
          </cell>
          <cell r="AH94">
            <v>83.251377867137364</v>
          </cell>
          <cell r="BJ94">
            <v>3.8666666666666631</v>
          </cell>
          <cell r="BK94">
            <v>3.9439999999999964</v>
          </cell>
          <cell r="BL94">
            <v>4.0986666666666629</v>
          </cell>
          <cell r="BM94">
            <v>4.4079999999999959</v>
          </cell>
          <cell r="BN94">
            <v>5.4133333333333278</v>
          </cell>
        </row>
        <row r="95">
          <cell r="N95">
            <v>102</v>
          </cell>
          <cell r="P95">
            <v>587.1335577584814</v>
          </cell>
          <cell r="Q95">
            <v>584.66759681589576</v>
          </cell>
          <cell r="R95">
            <v>584.49145674856823</v>
          </cell>
          <cell r="S95">
            <v>585.95929064296445</v>
          </cell>
          <cell r="T95">
            <v>588.60139165287762</v>
          </cell>
          <cell r="W95">
            <v>39.385544939899319</v>
          </cell>
          <cell r="X95">
            <v>125.65476207392402</v>
          </cell>
          <cell r="Y95">
            <v>173.68044713463166</v>
          </cell>
          <cell r="Z95">
            <v>175.14828102902788</v>
          </cell>
          <cell r="AA95">
            <v>177.79038203894106</v>
          </cell>
          <cell r="AD95">
            <v>65.38335257126252</v>
          </cell>
          <cell r="AE95">
            <v>67.71785844785262</v>
          </cell>
          <cell r="AF95">
            <v>70.640509223764482</v>
          </cell>
          <cell r="AG95">
            <v>74.165367331112932</v>
          </cell>
          <cell r="AH95">
            <v>83.406761355462876</v>
          </cell>
          <cell r="BJ95">
            <v>3.8999999999999964</v>
          </cell>
          <cell r="BK95">
            <v>3.9779999999999962</v>
          </cell>
          <cell r="BL95">
            <v>4.1339999999999968</v>
          </cell>
          <cell r="BM95">
            <v>4.4459999999999953</v>
          </cell>
          <cell r="BN95">
            <v>5.4599999999999946</v>
          </cell>
        </row>
        <row r="96">
          <cell r="N96">
            <v>103</v>
          </cell>
          <cell r="P96">
            <v>629.34593963259704</v>
          </cell>
          <cell r="Q96">
            <v>629.34593963259704</v>
          </cell>
          <cell r="R96">
            <v>631.23397745149475</v>
          </cell>
          <cell r="S96">
            <v>632.49266933076001</v>
          </cell>
          <cell r="T96">
            <v>634.25483796173137</v>
          </cell>
          <cell r="W96">
            <v>42.212381874115636</v>
          </cell>
          <cell r="X96">
            <v>44.678342816701274</v>
          </cell>
          <cell r="Y96">
            <v>46.742520702926527</v>
          </cell>
          <cell r="Z96">
            <v>46.533378687795562</v>
          </cell>
          <cell r="AA96">
            <v>45.653446308853745</v>
          </cell>
          <cell r="AD96">
            <v>65.537288901845059</v>
          </cell>
          <cell r="AE96">
            <v>67.86817806418982</v>
          </cell>
          <cell r="AF96">
            <v>70.797089975674822</v>
          </cell>
          <cell r="AG96">
            <v>74.322831790885019</v>
          </cell>
          <cell r="AH96">
            <v>83.562144843788403</v>
          </cell>
          <cell r="BJ96">
            <v>3.9333333333333296</v>
          </cell>
          <cell r="BK96">
            <v>4.011999999999996</v>
          </cell>
          <cell r="BL96">
            <v>4.1693333333333298</v>
          </cell>
          <cell r="BM96">
            <v>4.4839999999999955</v>
          </cell>
          <cell r="BN96">
            <v>5.5066666666666615</v>
          </cell>
        </row>
        <row r="97">
          <cell r="N97">
            <v>104</v>
          </cell>
          <cell r="P97">
            <v>674.58805031572183</v>
          </cell>
          <cell r="Q97">
            <v>674.58805031572183</v>
          </cell>
          <cell r="R97">
            <v>676.61181446666887</v>
          </cell>
          <cell r="S97">
            <v>678.50066100755305</v>
          </cell>
          <cell r="T97">
            <v>679.78237830315288</v>
          </cell>
          <cell r="W97">
            <v>45.242110683124793</v>
          </cell>
          <cell r="X97">
            <v>45.242110683124793</v>
          </cell>
          <cell r="Y97">
            <v>45.377837015174123</v>
          </cell>
          <cell r="Z97">
            <v>46.00799167679304</v>
          </cell>
          <cell r="AA97">
            <v>45.527540341421513</v>
          </cell>
          <cell r="AD97">
            <v>65.691225232427584</v>
          </cell>
          <cell r="AE97">
            <v>68.015483293076443</v>
          </cell>
          <cell r="AF97">
            <v>70.953670727585177</v>
          </cell>
          <cell r="AG97">
            <v>74.480296250657105</v>
          </cell>
          <cell r="AH97">
            <v>83.717528332113915</v>
          </cell>
          <cell r="BJ97">
            <v>3.9666666666666628</v>
          </cell>
          <cell r="BK97">
            <v>4.0459999999999958</v>
          </cell>
          <cell r="BL97">
            <v>4.2046666666666628</v>
          </cell>
          <cell r="BM97">
            <v>4.5219999999999949</v>
          </cell>
          <cell r="BN97">
            <v>5.5533333333333275</v>
          </cell>
        </row>
        <row r="98">
          <cell r="N98">
            <v>105</v>
          </cell>
          <cell r="P98">
            <v>723.0773439350246</v>
          </cell>
          <cell r="Q98">
            <v>723.80042127895956</v>
          </cell>
          <cell r="R98">
            <v>725.53580690440378</v>
          </cell>
          <cell r="S98">
            <v>727.12657706106074</v>
          </cell>
          <cell r="T98">
            <v>728.42811628014385</v>
          </cell>
          <cell r="W98">
            <v>48.489293619302771</v>
          </cell>
          <cell r="X98">
            <v>49.212370963237731</v>
          </cell>
          <cell r="Y98">
            <v>48.92399243773491</v>
          </cell>
          <cell r="Z98">
            <v>48.625916053507694</v>
          </cell>
          <cell r="AA98">
            <v>48.645737976990972</v>
          </cell>
          <cell r="AD98">
            <v>65.845161563010123</v>
          </cell>
          <cell r="AE98">
            <v>68.141306780593538</v>
          </cell>
          <cell r="AF98">
            <v>71.074195506450948</v>
          </cell>
          <cell r="AG98">
            <v>74.637760710429191</v>
          </cell>
          <cell r="AH98">
            <v>83.872911820439427</v>
          </cell>
          <cell r="BJ98">
            <v>3.999999999999996</v>
          </cell>
          <cell r="BK98">
            <v>4.0799999999999956</v>
          </cell>
          <cell r="BL98">
            <v>4.2399999999999958</v>
          </cell>
          <cell r="BM98">
            <v>4.5599999999999952</v>
          </cell>
          <cell r="BN98">
            <v>5.5999999999999943</v>
          </cell>
        </row>
        <row r="99">
          <cell r="N99">
            <v>106</v>
          </cell>
          <cell r="P99">
            <v>775.04688205332377</v>
          </cell>
          <cell r="Q99">
            <v>775.43440549435036</v>
          </cell>
          <cell r="R99">
            <v>777.83705082871575</v>
          </cell>
          <cell r="S99">
            <v>779.38714459282244</v>
          </cell>
          <cell r="T99">
            <v>780.85973366872372</v>
          </cell>
          <cell r="W99">
            <v>51.96953811829917</v>
          </cell>
          <cell r="X99">
            <v>51.633984215390797</v>
          </cell>
          <cell r="Y99">
            <v>52.301243924311962</v>
          </cell>
          <cell r="Z99">
            <v>52.260567531761694</v>
          </cell>
          <cell r="AA99">
            <v>52.431617388579866</v>
          </cell>
          <cell r="AD99">
            <v>65.999097893592648</v>
          </cell>
          <cell r="AE99">
            <v>68.267130268110648</v>
          </cell>
          <cell r="AF99">
            <v>71.179569041950131</v>
          </cell>
          <cell r="AG99">
            <v>74.795225170201277</v>
          </cell>
          <cell r="AH99">
            <v>84.026126945938969</v>
          </cell>
          <cell r="BJ99">
            <v>4.0333333333333297</v>
          </cell>
          <cell r="BK99">
            <v>4.1139999999999963</v>
          </cell>
          <cell r="BL99">
            <v>4.2753333333333297</v>
          </cell>
          <cell r="BM99">
            <v>4.5979999999999954</v>
          </cell>
          <cell r="BN99">
            <v>5.6466666666666612</v>
          </cell>
        </row>
        <row r="100">
          <cell r="N100">
            <v>107</v>
          </cell>
          <cell r="P100">
            <v>830.74645386878444</v>
          </cell>
          <cell r="Q100">
            <v>831.99257354958763</v>
          </cell>
          <cell r="R100">
            <v>833.57099181193837</v>
          </cell>
          <cell r="S100">
            <v>835.23248471967588</v>
          </cell>
          <cell r="T100">
            <v>836.64475369125284</v>
          </cell>
          <cell r="W100">
            <v>55.699571815460672</v>
          </cell>
          <cell r="X100">
            <v>56.558168055237275</v>
          </cell>
          <cell r="Y100">
            <v>55.733940983222624</v>
          </cell>
          <cell r="Z100">
            <v>55.845340126853444</v>
          </cell>
          <cell r="AA100">
            <v>55.785020022529125</v>
          </cell>
          <cell r="AD100">
            <v>66.142785979989682</v>
          </cell>
          <cell r="AE100">
            <v>68.392953755627744</v>
          </cell>
          <cell r="AF100">
            <v>71.284942577449314</v>
          </cell>
          <cell r="AG100">
            <v>74.952689629973364</v>
          </cell>
          <cell r="AH100">
            <v>84.169602885113704</v>
          </cell>
          <cell r="BJ100">
            <v>4.0666666666666629</v>
          </cell>
          <cell r="BK100">
            <v>4.1479999999999961</v>
          </cell>
          <cell r="BL100">
            <v>4.3106666666666626</v>
          </cell>
          <cell r="BM100">
            <v>4.6359999999999957</v>
          </cell>
          <cell r="BN100">
            <v>5.693333333333328</v>
          </cell>
        </row>
        <row r="101">
          <cell r="N101">
            <v>108</v>
          </cell>
          <cell r="P101">
            <v>890.4437768152311</v>
          </cell>
          <cell r="Q101">
            <v>890.88899870363866</v>
          </cell>
          <cell r="R101">
            <v>893.47128565640298</v>
          </cell>
          <cell r="S101">
            <v>894.89599569930715</v>
          </cell>
          <cell r="T101">
            <v>896.05357260916708</v>
          </cell>
          <cell r="W101">
            <v>59.697322946446661</v>
          </cell>
          <cell r="X101">
            <v>58.89642515405103</v>
          </cell>
          <cell r="Y101">
            <v>59.900293844464613</v>
          </cell>
          <cell r="Z101">
            <v>59.663510979631269</v>
          </cell>
          <cell r="AA101">
            <v>59.408818917914232</v>
          </cell>
          <cell r="AD101">
            <v>66.286413655019302</v>
          </cell>
          <cell r="AE101">
            <v>68.518777243144839</v>
          </cell>
          <cell r="AF101">
            <v>71.390316112948497</v>
          </cell>
          <cell r="AG101">
            <v>75.188935411670542</v>
          </cell>
          <cell r="AH101">
            <v>84.313078824288425</v>
          </cell>
          <cell r="BJ101">
            <v>4.0999999999999961</v>
          </cell>
          <cell r="BK101">
            <v>4.1819999999999959</v>
          </cell>
          <cell r="BL101">
            <v>4.3459999999999956</v>
          </cell>
          <cell r="BM101">
            <v>4.673999999999995</v>
          </cell>
          <cell r="BN101">
            <v>5.739999999999994</v>
          </cell>
        </row>
        <row r="102">
          <cell r="N102">
            <v>109</v>
          </cell>
          <cell r="P102">
            <v>954.42578333369079</v>
          </cell>
          <cell r="Q102">
            <v>955.8574220086914</v>
          </cell>
          <cell r="R102">
            <v>957.38450326202531</v>
          </cell>
          <cell r="S102">
            <v>959.6751251420261</v>
          </cell>
          <cell r="T102">
            <v>960.8204360820265</v>
          </cell>
          <cell r="W102">
            <v>63.982006518459684</v>
          </cell>
          <cell r="X102">
            <v>64.968423305052738</v>
          </cell>
          <cell r="Y102">
            <v>63.913217605622322</v>
          </cell>
          <cell r="Z102">
            <v>64.779129442718954</v>
          </cell>
          <cell r="AA102">
            <v>64.766863472859427</v>
          </cell>
          <cell r="AD102">
            <v>66.430041330048923</v>
          </cell>
          <cell r="AE102">
            <v>68.644600730661949</v>
          </cell>
          <cell r="AF102">
            <v>71.49568964844768</v>
          </cell>
          <cell r="AG102">
            <v>75.459017190742642</v>
          </cell>
          <cell r="AH102">
            <v>84.45655476346316</v>
          </cell>
          <cell r="BJ102">
            <v>4.1333333333333293</v>
          </cell>
          <cell r="BK102">
            <v>4.2159999999999958</v>
          </cell>
          <cell r="BL102">
            <v>4.3813333333333295</v>
          </cell>
          <cell r="BM102">
            <v>4.7119999999999953</v>
          </cell>
          <cell r="BN102">
            <v>5.7866666666666609</v>
          </cell>
        </row>
        <row r="103">
          <cell r="N103">
            <v>110</v>
          </cell>
          <cell r="P103">
            <v>1023</v>
          </cell>
          <cell r="Q103">
            <v>1023.5115</v>
          </cell>
          <cell r="R103">
            <v>1025.7620999999999</v>
          </cell>
          <cell r="S103">
            <v>1028.1149999999998</v>
          </cell>
          <cell r="T103">
            <v>1029.8541</v>
          </cell>
          <cell r="W103">
            <v>68.574216666309212</v>
          </cell>
          <cell r="X103">
            <v>67.654077991308554</v>
          </cell>
          <cell r="Y103">
            <v>68.377596737974613</v>
          </cell>
          <cell r="Z103">
            <v>68.439874857973678</v>
          </cell>
          <cell r="AA103">
            <v>69.033663917973513</v>
          </cell>
          <cell r="AD103">
            <v>66.573669005078543</v>
          </cell>
          <cell r="AE103">
            <v>68.770424218179045</v>
          </cell>
          <cell r="AF103">
            <v>71.601063183946863</v>
          </cell>
          <cell r="AG103">
            <v>75.729098969814757</v>
          </cell>
          <cell r="AH103">
            <v>84.600030702637895</v>
          </cell>
          <cell r="BJ103">
            <v>4.1666666666666625</v>
          </cell>
          <cell r="BK103">
            <v>4.2499999999999956</v>
          </cell>
          <cell r="BL103">
            <v>4.4166666666666625</v>
          </cell>
          <cell r="BM103">
            <v>4.7499999999999947</v>
          </cell>
          <cell r="BN103">
            <v>5.8333333333333268</v>
          </cell>
        </row>
        <row r="104">
          <cell r="N104">
            <v>111</v>
          </cell>
          <cell r="P104">
            <v>1096.4960256371633</v>
          </cell>
          <cell r="Q104">
            <v>1097.0442736499817</v>
          </cell>
          <cell r="R104">
            <v>1099.4565649063836</v>
          </cell>
          <cell r="S104">
            <v>1101.3206081499668</v>
          </cell>
          <cell r="T104">
            <v>1103.6232498038048</v>
          </cell>
          <cell r="W104">
            <v>73.496025637163257</v>
          </cell>
          <cell r="X104">
            <v>73.532773649981777</v>
          </cell>
          <cell r="Y104">
            <v>73.694464906383701</v>
          </cell>
          <cell r="Z104">
            <v>73.20560814996702</v>
          </cell>
          <cell r="AA104">
            <v>73.769149803804794</v>
          </cell>
          <cell r="AD104">
            <v>66.717296680108163</v>
          </cell>
          <cell r="AE104">
            <v>68.89624770569614</v>
          </cell>
          <cell r="AF104">
            <v>71.706436719446046</v>
          </cell>
          <cell r="AG104">
            <v>75.999180748886857</v>
          </cell>
          <cell r="AH104">
            <v>84.74350664181263</v>
          </cell>
        </row>
        <row r="105">
          <cell r="N105">
            <v>112</v>
          </cell>
          <cell r="P105">
            <v>1175.2671155169628</v>
          </cell>
          <cell r="Q105">
            <v>1175.8547490747212</v>
          </cell>
          <cell r="R105">
            <v>1178.4403367288585</v>
          </cell>
          <cell r="S105">
            <v>1180.4382908252373</v>
          </cell>
          <cell r="T105">
            <v>1181.7310846523062</v>
          </cell>
          <cell r="W105">
            <v>78.771089879799547</v>
          </cell>
          <cell r="X105">
            <v>78.810475424739479</v>
          </cell>
          <cell r="Y105">
            <v>78.983771822474864</v>
          </cell>
          <cell r="Z105">
            <v>79.117682675270544</v>
          </cell>
          <cell r="AA105">
            <v>78.107834848501398</v>
          </cell>
          <cell r="AD105">
            <v>66.860924355137783</v>
          </cell>
          <cell r="AE105">
            <v>69.024303590876698</v>
          </cell>
          <cell r="AF105">
            <v>71.811810254945215</v>
          </cell>
          <cell r="AG105">
            <v>76.246896660880253</v>
          </cell>
          <cell r="AH105">
            <v>84.88698258098735</v>
          </cell>
        </row>
        <row r="106">
          <cell r="N106">
            <v>113</v>
          </cell>
          <cell r="P106">
            <v>1259.6918792651943</v>
          </cell>
          <cell r="Q106">
            <v>1260.3217252048269</v>
          </cell>
          <cell r="R106">
            <v>1263.0930473392102</v>
          </cell>
          <cell r="S106">
            <v>1264.6046775943287</v>
          </cell>
          <cell r="T106">
            <v>1267.2500305407855</v>
          </cell>
          <cell r="W106">
            <v>84.424763748231499</v>
          </cell>
          <cell r="X106">
            <v>84.46697613010565</v>
          </cell>
          <cell r="Y106">
            <v>84.652710610351733</v>
          </cell>
          <cell r="Z106">
            <v>84.166386769091332</v>
          </cell>
          <cell r="AA106">
            <v>85.518945888479266</v>
          </cell>
          <cell r="AD106">
            <v>67.004247194324648</v>
          </cell>
          <cell r="AE106">
            <v>69.162853533951775</v>
          </cell>
          <cell r="AF106">
            <v>71.917183790444398</v>
          </cell>
          <cell r="AG106">
            <v>76.494544523072449</v>
          </cell>
          <cell r="AH106">
            <v>85.051192888198855</v>
          </cell>
        </row>
        <row r="107">
          <cell r="N107">
            <v>114</v>
          </cell>
          <cell r="P107">
            <v>1350.1761006314437</v>
          </cell>
          <cell r="Q107">
            <v>1350.8511886817594</v>
          </cell>
          <cell r="R107">
            <v>1353.8215761031483</v>
          </cell>
          <cell r="S107">
            <v>1355.4417874239064</v>
          </cell>
          <cell r="T107">
            <v>1358.2771572352324</v>
          </cell>
          <cell r="W107">
            <v>90.484221366249358</v>
          </cell>
          <cell r="X107">
            <v>90.529463476932506</v>
          </cell>
          <cell r="Y107">
            <v>90.728528763938129</v>
          </cell>
          <cell r="Z107">
            <v>90.837109829577685</v>
          </cell>
          <cell r="AA107">
            <v>91.027126694446906</v>
          </cell>
          <cell r="AD107">
            <v>67.138256553625013</v>
          </cell>
          <cell r="AE107">
            <v>69.301403477026852</v>
          </cell>
          <cell r="AF107">
            <v>72.021295329906394</v>
          </cell>
          <cell r="AG107">
            <v>76.742192385264644</v>
          </cell>
          <cell r="AH107">
            <v>85.292338803178069</v>
          </cell>
        </row>
        <row r="108">
          <cell r="N108">
            <v>115</v>
          </cell>
          <cell r="P108">
            <v>1447.1546878700494</v>
          </cell>
          <cell r="Q108">
            <v>1447.8782652139844</v>
          </cell>
          <cell r="R108">
            <v>1451.0620055272984</v>
          </cell>
          <cell r="S108">
            <v>1453.6668839654646</v>
          </cell>
          <cell r="T108">
            <v>1455.1140386533348</v>
          </cell>
          <cell r="W108">
            <v>96.978587238605769</v>
          </cell>
          <cell r="X108">
            <v>97.02707653222501</v>
          </cell>
          <cell r="Y108">
            <v>97.240429424150079</v>
          </cell>
          <cell r="Z108">
            <v>98.225096541558287</v>
          </cell>
          <cell r="AA108">
            <v>96.836881418102394</v>
          </cell>
          <cell r="AD108">
            <v>67.272265912925377</v>
          </cell>
          <cell r="AE108">
            <v>69.439953420101929</v>
          </cell>
          <cell r="AF108">
            <v>72.120773619463876</v>
          </cell>
          <cell r="AG108">
            <v>76.989840247456826</v>
          </cell>
          <cell r="AH108">
            <v>85.533484718157268</v>
          </cell>
        </row>
        <row r="109">
          <cell r="N109">
            <v>116</v>
          </cell>
          <cell r="P109">
            <v>1551.0937641066464</v>
          </cell>
          <cell r="Q109">
            <v>1551.8693109886997</v>
          </cell>
          <cell r="R109">
            <v>1555.2817172697341</v>
          </cell>
          <cell r="S109">
            <v>1557.763467292305</v>
          </cell>
          <cell r="T109">
            <v>1559.6247798092331</v>
          </cell>
          <cell r="W109">
            <v>103.93907623659697</v>
          </cell>
          <cell r="X109">
            <v>103.9910457747153</v>
          </cell>
          <cell r="Y109">
            <v>104.21971174243572</v>
          </cell>
          <cell r="Z109">
            <v>104.09658332684035</v>
          </cell>
          <cell r="AA109">
            <v>104.51074115589836</v>
          </cell>
          <cell r="AD109">
            <v>67.406275272225741</v>
          </cell>
          <cell r="AE109">
            <v>69.578503363177006</v>
          </cell>
          <cell r="AF109">
            <v>72.220251909021343</v>
          </cell>
          <cell r="AG109">
            <v>77.223430617575644</v>
          </cell>
          <cell r="AH109">
            <v>85.774630633136468</v>
          </cell>
        </row>
        <row r="110">
          <cell r="N110">
            <v>117</v>
          </cell>
          <cell r="P110">
            <v>1662.4929077375689</v>
          </cell>
          <cell r="Q110">
            <v>1663.3241541914376</v>
          </cell>
          <cell r="R110">
            <v>1666.9816385884601</v>
          </cell>
          <cell r="S110">
            <v>1669.3091286592928</v>
          </cell>
          <cell r="T110">
            <v>1671.6366187301255</v>
          </cell>
          <cell r="W110">
            <v>111.39914363092248</v>
          </cell>
          <cell r="X110">
            <v>111.45484320273795</v>
          </cell>
          <cell r="Y110">
            <v>111.69992131872596</v>
          </cell>
          <cell r="Z110">
            <v>111.54566136698782</v>
          </cell>
          <cell r="AA110">
            <v>112.01183892089239</v>
          </cell>
          <cell r="AD110">
            <v>67.540284631526106</v>
          </cell>
          <cell r="AE110">
            <v>69.717053306252083</v>
          </cell>
          <cell r="AF110">
            <v>72.319730198578824</v>
          </cell>
          <cell r="AG110">
            <v>77.456419607519877</v>
          </cell>
          <cell r="AH110">
            <v>86.01823567737307</v>
          </cell>
        </row>
        <row r="111">
          <cell r="N111">
            <v>118</v>
          </cell>
          <cell r="P111">
            <v>1781.8875536304624</v>
          </cell>
          <cell r="Q111">
            <v>1782.7784974072777</v>
          </cell>
          <cell r="R111">
            <v>1786.6986500252644</v>
          </cell>
          <cell r="S111">
            <v>1789.1932926003474</v>
          </cell>
          <cell r="T111">
            <v>1790.7969913986146</v>
          </cell>
          <cell r="W111">
            <v>119.39464589289355</v>
          </cell>
          <cell r="X111">
            <v>119.45434321584003</v>
          </cell>
          <cell r="Y111">
            <v>119.71701143680434</v>
          </cell>
          <cell r="Z111">
            <v>119.88416394105457</v>
          </cell>
          <cell r="AA111">
            <v>119.16037266848912</v>
          </cell>
          <cell r="AD111">
            <v>67.674293990826456</v>
          </cell>
          <cell r="AE111">
            <v>69.85560324932716</v>
          </cell>
          <cell r="AF111">
            <v>72.419208488136292</v>
          </cell>
          <cell r="AG111">
            <v>77.689408597464123</v>
          </cell>
          <cell r="AH111">
            <v>86.296969597692922</v>
          </cell>
        </row>
        <row r="112">
          <cell r="N112">
            <v>119</v>
          </cell>
          <cell r="P112">
            <v>1909.8515666673818</v>
          </cell>
          <cell r="Q112">
            <v>1910.8064924507155</v>
          </cell>
          <cell r="R112">
            <v>1915.0081658973836</v>
          </cell>
          <cell r="S112">
            <v>1917.2999877773846</v>
          </cell>
          <cell r="T112">
            <v>1918.445898717385</v>
          </cell>
          <cell r="W112">
            <v>127.96401303691937</v>
          </cell>
          <cell r="X112">
            <v>128.02799504343784</v>
          </cell>
          <cell r="Y112">
            <v>128.30951587211916</v>
          </cell>
          <cell r="Z112">
            <v>128.10669517703718</v>
          </cell>
          <cell r="AA112">
            <v>127.6489073187704</v>
          </cell>
          <cell r="AD112">
            <v>67.80830335012682</v>
          </cell>
          <cell r="AE112">
            <v>69.994153192402237</v>
          </cell>
          <cell r="AF112">
            <v>72.518686777693773</v>
          </cell>
          <cell r="AG112">
            <v>77.922397587408355</v>
          </cell>
          <cell r="AH112">
            <v>86.575703518012773</v>
          </cell>
        </row>
        <row r="113">
          <cell r="N113">
            <v>120</v>
          </cell>
          <cell r="P113">
            <v>2047</v>
          </cell>
          <cell r="Q113">
            <v>2048.0234999999998</v>
          </cell>
          <cell r="R113">
            <v>2052.5268999999998</v>
          </cell>
          <cell r="S113">
            <v>2054.5738999999999</v>
          </cell>
          <cell r="T113">
            <v>2056.2114999999999</v>
          </cell>
          <cell r="W113">
            <v>137.1484333326182</v>
          </cell>
          <cell r="X113">
            <v>137.21700754928429</v>
          </cell>
          <cell r="Y113">
            <v>137.51873410261624</v>
          </cell>
          <cell r="Z113">
            <v>137.27391222261531</v>
          </cell>
          <cell r="AA113">
            <v>137.76560128261485</v>
          </cell>
          <cell r="AD113">
            <v>67.942312709427185</v>
          </cell>
          <cell r="AE113">
            <v>70.127132456093392</v>
          </cell>
          <cell r="AF113">
            <v>72.61816506725124</v>
          </cell>
          <cell r="AG113">
            <v>78.112878199154096</v>
          </cell>
          <cell r="AH113">
            <v>86.854437438332624</v>
          </cell>
        </row>
        <row r="114">
          <cell r="AD114">
            <v>68.071211008105138</v>
          </cell>
          <cell r="AE114">
            <v>70.259866279536055</v>
          </cell>
          <cell r="AF114">
            <v>72.717643356808722</v>
          </cell>
          <cell r="AG114">
            <v>78.282129482345454</v>
          </cell>
          <cell r="AH114">
            <v>87.113323085573086</v>
          </cell>
        </row>
        <row r="115">
          <cell r="AD115">
            <v>68.196246161507091</v>
          </cell>
          <cell r="AE115">
            <v>70.392600102978733</v>
          </cell>
          <cell r="AF115">
            <v>72.817121646366189</v>
          </cell>
          <cell r="AG115">
            <v>78.451380765536811</v>
          </cell>
          <cell r="AH115">
            <v>87.350513636335251</v>
          </cell>
        </row>
        <row r="116">
          <cell r="AD116">
            <v>68.321281314909029</v>
          </cell>
          <cell r="AE116">
            <v>70.525333926421411</v>
          </cell>
          <cell r="AF116">
            <v>72.916599935923671</v>
          </cell>
          <cell r="AG116">
            <v>78.620632048728169</v>
          </cell>
          <cell r="AH116">
            <v>87.587704187097415</v>
          </cell>
        </row>
        <row r="117">
          <cell r="AD117">
            <v>68.446316468310982</v>
          </cell>
          <cell r="AE117">
            <v>70.658067749864074</v>
          </cell>
          <cell r="AF117">
            <v>73.019696098281912</v>
          </cell>
          <cell r="AG117">
            <v>78.789883331919512</v>
          </cell>
          <cell r="AH117">
            <v>87.824894737859566</v>
          </cell>
        </row>
        <row r="118">
          <cell r="AD118">
            <v>68.571351621712935</v>
          </cell>
          <cell r="AE118">
            <v>70.790801573306751</v>
          </cell>
          <cell r="AF118">
            <v>73.141558686310518</v>
          </cell>
          <cell r="AG118">
            <v>78.95913461511087</v>
          </cell>
          <cell r="AH118">
            <v>88.008037600532532</v>
          </cell>
        </row>
        <row r="119">
          <cell r="AD119">
            <v>68.696386775114874</v>
          </cell>
          <cell r="AE119">
            <v>70.923535396749429</v>
          </cell>
          <cell r="AF119">
            <v>73.263421274339123</v>
          </cell>
          <cell r="AG119">
            <v>79.055526616402318</v>
          </cell>
          <cell r="AH119">
            <v>88.038744438487882</v>
          </cell>
        </row>
        <row r="120">
          <cell r="AD120">
            <v>68.821421928516827</v>
          </cell>
          <cell r="AE120">
            <v>71.048612085188921</v>
          </cell>
          <cell r="AF120">
            <v>73.385283862367729</v>
          </cell>
          <cell r="AG120">
            <v>79.128727421176407</v>
          </cell>
          <cell r="AH120">
            <v>88.069451276443232</v>
          </cell>
        </row>
        <row r="121">
          <cell r="AD121">
            <v>68.946457081918766</v>
          </cell>
          <cell r="AE121">
            <v>71.163283443893008</v>
          </cell>
          <cell r="AF121">
            <v>73.507146450396334</v>
          </cell>
          <cell r="AG121">
            <v>79.201928225950496</v>
          </cell>
          <cell r="AH121">
            <v>88.100158114398582</v>
          </cell>
        </row>
        <row r="122">
          <cell r="AD122">
            <v>69.066704614192943</v>
          </cell>
          <cell r="AE122">
            <v>71.27795480259708</v>
          </cell>
          <cell r="AF122">
            <v>73.62900903842494</v>
          </cell>
          <cell r="AG122">
            <v>79.275129030724585</v>
          </cell>
          <cell r="AH122">
            <v>88.130864952353932</v>
          </cell>
        </row>
        <row r="123">
          <cell r="AD123">
            <v>69.18336653741882</v>
          </cell>
          <cell r="AE123">
            <v>71.392626161301152</v>
          </cell>
          <cell r="AF123">
            <v>73.750871626453545</v>
          </cell>
          <cell r="AG123">
            <v>79.348329835498674</v>
          </cell>
          <cell r="AH123">
            <v>88.161571790309267</v>
          </cell>
        </row>
        <row r="124">
          <cell r="AD124">
            <v>69.300028460644711</v>
          </cell>
          <cell r="AE124">
            <v>71.507297520005238</v>
          </cell>
          <cell r="AF124">
            <v>73.872734214482151</v>
          </cell>
          <cell r="AG124">
            <v>79.421530640272763</v>
          </cell>
          <cell r="AH124">
            <v>88.192278628264617</v>
          </cell>
        </row>
        <row r="125">
          <cell r="AD125">
            <v>69.416690383870588</v>
          </cell>
          <cell r="AE125">
            <v>71.621968878709311</v>
          </cell>
          <cell r="AF125">
            <v>73.994596802510756</v>
          </cell>
          <cell r="AG125">
            <v>79.494731445046853</v>
          </cell>
          <cell r="AH125">
            <v>88.222985466219967</v>
          </cell>
        </row>
        <row r="126">
          <cell r="AD126">
            <v>69.533352307096465</v>
          </cell>
          <cell r="AE126">
            <v>71.736640237413397</v>
          </cell>
          <cell r="AF126">
            <v>74.107140207017508</v>
          </cell>
          <cell r="AG126">
            <v>79.567932249820942</v>
          </cell>
          <cell r="AH126">
            <v>88.253692304175317</v>
          </cell>
        </row>
        <row r="127">
          <cell r="AD127">
            <v>69.650014230322356</v>
          </cell>
          <cell r="AE127">
            <v>71.851311596117469</v>
          </cell>
          <cell r="AF127">
            <v>74.219251242878201</v>
          </cell>
          <cell r="AG127">
            <v>79.641133054595031</v>
          </cell>
          <cell r="AH127">
            <v>88.284399142130667</v>
          </cell>
        </row>
        <row r="128">
          <cell r="AD128">
            <v>69.766676153548232</v>
          </cell>
          <cell r="AE128">
            <v>71.965982954821555</v>
          </cell>
          <cell r="AF128">
            <v>74.331362278738908</v>
          </cell>
          <cell r="AG128">
            <v>79.71433385936912</v>
          </cell>
          <cell r="AH128">
            <v>88.315105980086003</v>
          </cell>
        </row>
        <row r="129">
          <cell r="AD129">
            <v>69.883338076774123</v>
          </cell>
          <cell r="AE129">
            <v>72.05971154276348</v>
          </cell>
          <cell r="AF129">
            <v>74.443473314599601</v>
          </cell>
          <cell r="AG129">
            <v>79.787534664143209</v>
          </cell>
          <cell r="AH129">
            <v>88.345812818041352</v>
          </cell>
        </row>
        <row r="130">
          <cell r="AD130">
            <v>70</v>
          </cell>
          <cell r="AE130">
            <v>72.14460723450884</v>
          </cell>
          <cell r="AF130">
            <v>74.555584350460308</v>
          </cell>
          <cell r="AG130">
            <v>79.860735468917298</v>
          </cell>
          <cell r="AH130">
            <v>88.376519655996702</v>
          </cell>
        </row>
        <row r="131">
          <cell r="AD131">
            <v>70.108849423225877</v>
          </cell>
          <cell r="AE131">
            <v>72.229502926254185</v>
          </cell>
          <cell r="AF131">
            <v>74.667695386321</v>
          </cell>
          <cell r="AG131">
            <v>79.933936273691387</v>
          </cell>
          <cell r="AH131">
            <v>88.407226493952052</v>
          </cell>
        </row>
        <row r="132">
          <cell r="AD132">
            <v>70.217698846451768</v>
          </cell>
          <cell r="AE132">
            <v>72.314398617999544</v>
          </cell>
          <cell r="AF132">
            <v>74.779806422181707</v>
          </cell>
          <cell r="AG132">
            <v>80.008704052867927</v>
          </cell>
          <cell r="AH132">
            <v>88.437933331907402</v>
          </cell>
        </row>
        <row r="133">
          <cell r="AD133">
            <v>70.326548269677644</v>
          </cell>
          <cell r="AE133">
            <v>72.399294309744903</v>
          </cell>
          <cell r="AF133">
            <v>74.891917458042414</v>
          </cell>
          <cell r="AG133">
            <v>80.097976389974804</v>
          </cell>
          <cell r="AH133">
            <v>88.468640169862738</v>
          </cell>
        </row>
        <row r="134">
          <cell r="AD134">
            <v>70.435397692903535</v>
          </cell>
          <cell r="AE134">
            <v>72.484190001490248</v>
          </cell>
          <cell r="AF134">
            <v>75.003817242911964</v>
          </cell>
          <cell r="AG134">
            <v>80.187248727081666</v>
          </cell>
          <cell r="AH134">
            <v>88.499347007818088</v>
          </cell>
        </row>
        <row r="135">
          <cell r="AD135">
            <v>70.544247116129412</v>
          </cell>
          <cell r="AE135">
            <v>72.569085693235607</v>
          </cell>
          <cell r="AF135">
            <v>75.110049265917539</v>
          </cell>
          <cell r="AG135">
            <v>80.276521064188543</v>
          </cell>
          <cell r="AH135">
            <v>88.530053845773438</v>
          </cell>
        </row>
        <row r="136">
          <cell r="AD136">
            <v>70.653096539355303</v>
          </cell>
          <cell r="AE136">
            <v>72.653981384980966</v>
          </cell>
          <cell r="AF136">
            <v>75.216281288923113</v>
          </cell>
          <cell r="AG136">
            <v>80.36579340129542</v>
          </cell>
          <cell r="AH136">
            <v>88.560760683728788</v>
          </cell>
        </row>
        <row r="137">
          <cell r="AD137">
            <v>70.76194596258118</v>
          </cell>
          <cell r="AE137">
            <v>72.738877076726311</v>
          </cell>
          <cell r="AF137">
            <v>75.322513311928674</v>
          </cell>
          <cell r="AG137">
            <v>80.455065738402297</v>
          </cell>
          <cell r="AH137">
            <v>88.591467521684137</v>
          </cell>
        </row>
        <row r="138">
          <cell r="AD138">
            <v>70.870795385807057</v>
          </cell>
          <cell r="AE138">
            <v>72.82377276847167</v>
          </cell>
          <cell r="AF138">
            <v>75.428745334934248</v>
          </cell>
          <cell r="AG138">
            <v>80.544338075509174</v>
          </cell>
          <cell r="AH138">
            <v>88.622174359639487</v>
          </cell>
        </row>
        <row r="139">
          <cell r="AD139">
            <v>70.979644809032948</v>
          </cell>
          <cell r="AE139">
            <v>72.908668460217029</v>
          </cell>
          <cell r="AF139">
            <v>75.534977357939823</v>
          </cell>
          <cell r="AG139">
            <v>80.633610412616051</v>
          </cell>
          <cell r="AH139">
            <v>88.652881197594823</v>
          </cell>
        </row>
        <row r="140">
          <cell r="AD140">
            <v>71.082568038258202</v>
          </cell>
          <cell r="AE140">
            <v>72.993564151962374</v>
          </cell>
          <cell r="AF140">
            <v>75.641209380945384</v>
          </cell>
          <cell r="AG140">
            <v>80.722882749722928</v>
          </cell>
          <cell r="AH140">
            <v>88.683588035550173</v>
          </cell>
        </row>
        <row r="141">
          <cell r="AD141">
            <v>71.184128141237707</v>
          </cell>
          <cell r="AE141">
            <v>73.092712130350051</v>
          </cell>
          <cell r="AF141">
            <v>75.747441403950958</v>
          </cell>
          <cell r="AG141">
            <v>80.81215508682979</v>
          </cell>
          <cell r="AH141">
            <v>88.714294873505523</v>
          </cell>
        </row>
        <row r="142">
          <cell r="AD142">
            <v>71.285688244217212</v>
          </cell>
          <cell r="AE142">
            <v>73.193029185129973</v>
          </cell>
          <cell r="AF142">
            <v>75.853673426956533</v>
          </cell>
          <cell r="AG142">
            <v>80.901427423936667</v>
          </cell>
          <cell r="AH142">
            <v>88.745001711460873</v>
          </cell>
        </row>
        <row r="143">
          <cell r="AD143">
            <v>71.387248347196717</v>
          </cell>
          <cell r="AE143">
            <v>73.29334623990988</v>
          </cell>
          <cell r="AF143">
            <v>75.959905449962108</v>
          </cell>
          <cell r="AG143">
            <v>80.990699761043544</v>
          </cell>
          <cell r="AH143">
            <v>88.775708549416223</v>
          </cell>
        </row>
        <row r="144">
          <cell r="AD144">
            <v>71.488808450176208</v>
          </cell>
          <cell r="AE144">
            <v>73.393663294689802</v>
          </cell>
          <cell r="AF144">
            <v>76.078674069006809</v>
          </cell>
          <cell r="AG144">
            <v>81.103485217203271</v>
          </cell>
          <cell r="AH144">
            <v>88.806415387371558</v>
          </cell>
        </row>
        <row r="145">
          <cell r="AD145">
            <v>71.590368553155713</v>
          </cell>
          <cell r="AE145">
            <v>73.493980349469723</v>
          </cell>
          <cell r="AF145">
            <v>76.205042754317148</v>
          </cell>
          <cell r="AG145">
            <v>81.219005097379139</v>
          </cell>
          <cell r="AH145">
            <v>88.837122225326908</v>
          </cell>
        </row>
        <row r="146">
          <cell r="AD146">
            <v>71.691928656135218</v>
          </cell>
          <cell r="AE146">
            <v>73.594297404249645</v>
          </cell>
          <cell r="AF146">
            <v>76.331411439627487</v>
          </cell>
          <cell r="AG146">
            <v>81.334524977555006</v>
          </cell>
          <cell r="AH146">
            <v>88.867829063282258</v>
          </cell>
        </row>
        <row r="147">
          <cell r="AD147">
            <v>71.793488759114723</v>
          </cell>
          <cell r="AE147">
            <v>73.694614459029566</v>
          </cell>
          <cell r="AF147">
            <v>76.457780124937827</v>
          </cell>
          <cell r="AG147">
            <v>81.450044857730873</v>
          </cell>
          <cell r="AH147">
            <v>88.898535901237608</v>
          </cell>
        </row>
        <row r="148">
          <cell r="AD148">
            <v>71.895048862094214</v>
          </cell>
          <cell r="AE148">
            <v>73.794931513809487</v>
          </cell>
          <cell r="AF148">
            <v>76.584148810248166</v>
          </cell>
          <cell r="AG148">
            <v>81.565564737906726</v>
          </cell>
          <cell r="AH148">
            <v>88.929242739192958</v>
          </cell>
        </row>
        <row r="149">
          <cell r="AD149">
            <v>71.996608965073719</v>
          </cell>
          <cell r="AE149">
            <v>73.895248568589409</v>
          </cell>
          <cell r="AF149">
            <v>76.710517495558491</v>
          </cell>
          <cell r="AG149">
            <v>81.681084618082593</v>
          </cell>
          <cell r="AH149">
            <v>88.959949577148294</v>
          </cell>
        </row>
        <row r="150">
          <cell r="AD150">
            <v>72.091594979242075</v>
          </cell>
          <cell r="AE150">
            <v>73.99556562336933</v>
          </cell>
          <cell r="AF150">
            <v>76.836886180868831</v>
          </cell>
          <cell r="AG150">
            <v>81.796604498258461</v>
          </cell>
          <cell r="AH150">
            <v>88.990656415103643</v>
          </cell>
        </row>
        <row r="151">
          <cell r="AD151">
            <v>72.186353905945822</v>
          </cell>
          <cell r="AE151">
            <v>74.087649451042424</v>
          </cell>
          <cell r="AF151">
            <v>76.96325486617917</v>
          </cell>
          <cell r="AG151">
            <v>81.912124378434328</v>
          </cell>
          <cell r="AH151">
            <v>89.006748912446213</v>
          </cell>
        </row>
        <row r="152">
          <cell r="AD152">
            <v>72.281112832649583</v>
          </cell>
          <cell r="AE152">
            <v>74.179352508897836</v>
          </cell>
          <cell r="AF152">
            <v>77.118374980516094</v>
          </cell>
          <cell r="AG152">
            <v>82.023436208425835</v>
          </cell>
          <cell r="AH152">
            <v>89.016449577428673</v>
          </cell>
        </row>
        <row r="153">
          <cell r="AD153">
            <v>72.375871759353331</v>
          </cell>
          <cell r="AE153">
            <v>74.271055566753233</v>
          </cell>
          <cell r="AF153">
            <v>77.285283013202204</v>
          </cell>
          <cell r="AG153">
            <v>82.121371480530797</v>
          </cell>
          <cell r="AH153">
            <v>89.026150242411134</v>
          </cell>
        </row>
        <row r="154">
          <cell r="AD154">
            <v>72.470630686057078</v>
          </cell>
          <cell r="AE154">
            <v>74.362758624608645</v>
          </cell>
          <cell r="AF154">
            <v>77.452191045888299</v>
          </cell>
          <cell r="AG154">
            <v>82.219306752635759</v>
          </cell>
          <cell r="AH154">
            <v>89.035850907393581</v>
          </cell>
        </row>
        <row r="155">
          <cell r="AD155">
            <v>72.565389612760825</v>
          </cell>
          <cell r="AE155">
            <v>74.454461682464057</v>
          </cell>
          <cell r="AF155">
            <v>77.619099078574408</v>
          </cell>
          <cell r="AG155">
            <v>82.317242024740722</v>
          </cell>
          <cell r="AH155">
            <v>89.045551572376041</v>
          </cell>
        </row>
        <row r="156">
          <cell r="AD156">
            <v>72.660148539464572</v>
          </cell>
          <cell r="AE156">
            <v>74.546164740319469</v>
          </cell>
          <cell r="AF156">
            <v>77.786007111260503</v>
          </cell>
          <cell r="AG156">
            <v>82.41517729684567</v>
          </cell>
          <cell r="AH156">
            <v>89.055252237358502</v>
          </cell>
        </row>
        <row r="157">
          <cell r="AD157">
            <v>72.754907466168333</v>
          </cell>
          <cell r="AE157">
            <v>74.637867798174881</v>
          </cell>
          <cell r="AF157">
            <v>77.952915143946612</v>
          </cell>
          <cell r="AG157">
            <v>82.513112568950632</v>
          </cell>
          <cell r="AH157">
            <v>89.064952902340963</v>
          </cell>
        </row>
        <row r="158">
          <cell r="AD158">
            <v>72.849666392872081</v>
          </cell>
          <cell r="AE158">
            <v>74.729570856030293</v>
          </cell>
          <cell r="AF158">
            <v>78.11070031233757</v>
          </cell>
          <cell r="AG158">
            <v>82.611047841055594</v>
          </cell>
          <cell r="AH158">
            <v>89.074653567323409</v>
          </cell>
        </row>
        <row r="159">
          <cell r="AD159">
            <v>72.944425319575828</v>
          </cell>
          <cell r="AE159">
            <v>74.82127391388569</v>
          </cell>
          <cell r="AF159">
            <v>78.264900625409211</v>
          </cell>
          <cell r="AG159">
            <v>82.708983113160556</v>
          </cell>
          <cell r="AH159">
            <v>89.08435423230587</v>
          </cell>
        </row>
        <row r="160">
          <cell r="AD160">
            <v>73.036560194527354</v>
          </cell>
          <cell r="AE160">
            <v>74.912976971741102</v>
          </cell>
          <cell r="AF160">
            <v>78.419100938480838</v>
          </cell>
          <cell r="AG160">
            <v>82.806918385265519</v>
          </cell>
          <cell r="AH160">
            <v>89.094054897288331</v>
          </cell>
        </row>
        <row r="161">
          <cell r="AD161">
            <v>73.124973399384572</v>
          </cell>
          <cell r="AE161">
            <v>75.004522856634324</v>
          </cell>
          <cell r="AF161">
            <v>78.573301251552465</v>
          </cell>
          <cell r="AG161">
            <v>82.904853657370481</v>
          </cell>
          <cell r="AH161">
            <v>89.103755562270791</v>
          </cell>
        </row>
        <row r="162">
          <cell r="AD162">
            <v>73.213386604241791</v>
          </cell>
          <cell r="AE162">
            <v>75.093146181563256</v>
          </cell>
          <cell r="AF162">
            <v>78.727501564624106</v>
          </cell>
          <cell r="AG162">
            <v>83.001990164690127</v>
          </cell>
          <cell r="AH162">
            <v>89.113456227253238</v>
          </cell>
        </row>
        <row r="163">
          <cell r="AD163">
            <v>73.301799809099009</v>
          </cell>
          <cell r="AE163">
            <v>75.181769506492202</v>
          </cell>
          <cell r="AF163">
            <v>78.881701877695733</v>
          </cell>
          <cell r="AG163">
            <v>83.071876234660039</v>
          </cell>
          <cell r="AH163">
            <v>89.123156892235698</v>
          </cell>
        </row>
        <row r="164">
          <cell r="AD164">
            <v>73.390213013956213</v>
          </cell>
          <cell r="AE164">
            <v>75.270392831421134</v>
          </cell>
          <cell r="AF164">
            <v>79.019005879371193</v>
          </cell>
          <cell r="AG164">
            <v>83.14176230462995</v>
          </cell>
          <cell r="AH164">
            <v>89.132857557218159</v>
          </cell>
        </row>
        <row r="165">
          <cell r="AD165">
            <v>73.478626218813432</v>
          </cell>
          <cell r="AE165">
            <v>75.35901615635008</v>
          </cell>
          <cell r="AF165">
            <v>79.100636344994555</v>
          </cell>
          <cell r="AG165">
            <v>83.211648374599861</v>
          </cell>
          <cell r="AH165">
            <v>89.14255822220062</v>
          </cell>
        </row>
        <row r="166">
          <cell r="AD166">
            <v>73.56703942367065</v>
          </cell>
          <cell r="AE166">
            <v>75.447639481279012</v>
          </cell>
          <cell r="AF166">
            <v>79.182266810617918</v>
          </cell>
          <cell r="AG166">
            <v>83.281534444569772</v>
          </cell>
          <cell r="AH166">
            <v>89.152258887183066</v>
          </cell>
        </row>
        <row r="167">
          <cell r="AD167">
            <v>73.655452628527868</v>
          </cell>
          <cell r="AE167">
            <v>75.536262806207958</v>
          </cell>
          <cell r="AF167">
            <v>79.263897276241295</v>
          </cell>
          <cell r="AG167">
            <v>83.351420514539669</v>
          </cell>
          <cell r="AH167">
            <v>89.161959552165527</v>
          </cell>
        </row>
        <row r="168">
          <cell r="AD168">
            <v>73.743865833385087</v>
          </cell>
          <cell r="AE168">
            <v>75.62488613113689</v>
          </cell>
          <cell r="AF168">
            <v>79.345527741864657</v>
          </cell>
          <cell r="AG168">
            <v>83.42130658450958</v>
          </cell>
          <cell r="AH168">
            <v>89.171660217147988</v>
          </cell>
        </row>
        <row r="169">
          <cell r="AD169">
            <v>73.832279038242305</v>
          </cell>
          <cell r="AE169">
            <v>75.713509456065836</v>
          </cell>
          <cell r="AF169">
            <v>79.42715820748802</v>
          </cell>
          <cell r="AG169">
            <v>83.491192654479491</v>
          </cell>
          <cell r="AH169">
            <v>89.181360882130448</v>
          </cell>
        </row>
        <row r="170">
          <cell r="AD170">
            <v>73.920692243099523</v>
          </cell>
          <cell r="AE170">
            <v>75.802132780994768</v>
          </cell>
          <cell r="AF170">
            <v>79.508788673111397</v>
          </cell>
          <cell r="AG170">
            <v>83.561078724449402</v>
          </cell>
          <cell r="AH170">
            <v>89.191061547112895</v>
          </cell>
        </row>
        <row r="171">
          <cell r="AD171">
            <v>74.008495683346354</v>
          </cell>
          <cell r="AE171">
            <v>75.890756105923714</v>
          </cell>
          <cell r="AF171">
            <v>79.590419138734759</v>
          </cell>
          <cell r="AG171">
            <v>83.630964794419313</v>
          </cell>
          <cell r="AH171">
            <v>89.200762212095356</v>
          </cell>
        </row>
        <row r="172">
          <cell r="AD172">
            <v>74.090988120365651</v>
          </cell>
          <cell r="AE172">
            <v>75.979379430852646</v>
          </cell>
          <cell r="AF172">
            <v>79.672049604358122</v>
          </cell>
          <cell r="AG172">
            <v>83.700850864389224</v>
          </cell>
          <cell r="AH172">
            <v>89.210462877077816</v>
          </cell>
        </row>
        <row r="173">
          <cell r="AD173">
            <v>74.173480557384934</v>
          </cell>
          <cell r="AE173">
            <v>76.06284721925239</v>
          </cell>
          <cell r="AF173">
            <v>79.753680069981485</v>
          </cell>
          <cell r="AG173">
            <v>83.770736934359121</v>
          </cell>
          <cell r="AH173">
            <v>89.220163542060277</v>
          </cell>
        </row>
        <row r="174">
          <cell r="AD174">
            <v>74.255972994404218</v>
          </cell>
          <cell r="AE174">
            <v>76.144751687220932</v>
          </cell>
          <cell r="AF174">
            <v>79.835310535604862</v>
          </cell>
          <cell r="AG174">
            <v>83.840623004329032</v>
          </cell>
          <cell r="AH174">
            <v>89.229864207042723</v>
          </cell>
        </row>
        <row r="175">
          <cell r="AD175">
            <v>74.338465431423501</v>
          </cell>
          <cell r="AE175">
            <v>76.22665615518946</v>
          </cell>
          <cell r="AF175">
            <v>79.916941001228224</v>
          </cell>
          <cell r="AG175">
            <v>83.910509074298943</v>
          </cell>
          <cell r="AH175">
            <v>89.239564872025184</v>
          </cell>
        </row>
        <row r="176">
          <cell r="AD176">
            <v>74.420957868442784</v>
          </cell>
          <cell r="AE176">
            <v>76.308560623157987</v>
          </cell>
          <cell r="AF176">
            <v>79.998571466851587</v>
          </cell>
          <cell r="AG176">
            <v>83.980395144268854</v>
          </cell>
          <cell r="AH176">
            <v>89.249265537007645</v>
          </cell>
        </row>
        <row r="177">
          <cell r="AD177">
            <v>74.503450305462081</v>
          </cell>
          <cell r="AE177">
            <v>76.390465091126529</v>
          </cell>
          <cell r="AF177">
            <v>80.044588451506783</v>
          </cell>
          <cell r="AG177">
            <v>84.047390997905538</v>
          </cell>
          <cell r="AH177">
            <v>89.258966201990106</v>
          </cell>
        </row>
        <row r="178">
          <cell r="AD178">
            <v>74.585942742481365</v>
          </cell>
          <cell r="AE178">
            <v>76.472369559095057</v>
          </cell>
          <cell r="AF178">
            <v>80.089971099350834</v>
          </cell>
          <cell r="AG178">
            <v>84.113259944105664</v>
          </cell>
          <cell r="AH178">
            <v>89.268666866972552</v>
          </cell>
        </row>
        <row r="179">
          <cell r="AD179">
            <v>74.668435179500648</v>
          </cell>
          <cell r="AE179">
            <v>76.554274027063585</v>
          </cell>
          <cell r="AF179">
            <v>80.135353747194884</v>
          </cell>
          <cell r="AG179">
            <v>84.17912889030579</v>
          </cell>
          <cell r="AH179">
            <v>89.278367531955013</v>
          </cell>
        </row>
        <row r="180">
          <cell r="AD180">
            <v>74.750927616519931</v>
          </cell>
          <cell r="AE180">
            <v>76.636178495032127</v>
          </cell>
          <cell r="AF180">
            <v>80.180736395038934</v>
          </cell>
          <cell r="AG180">
            <v>84.244997836505917</v>
          </cell>
          <cell r="AH180">
            <v>89.288068196937473</v>
          </cell>
        </row>
        <row r="181">
          <cell r="AD181">
            <v>74.833420053539214</v>
          </cell>
          <cell r="AE181">
            <v>76.718082963000654</v>
          </cell>
          <cell r="AF181">
            <v>80.226119042882985</v>
          </cell>
          <cell r="AG181">
            <v>84.310866782706057</v>
          </cell>
          <cell r="AH181">
            <v>89.297768861919934</v>
          </cell>
        </row>
        <row r="182">
          <cell r="AD182">
            <v>74.915912490558512</v>
          </cell>
          <cell r="AE182">
            <v>76.799987430969182</v>
          </cell>
          <cell r="AF182">
            <v>80.271501690727035</v>
          </cell>
          <cell r="AG182">
            <v>84.376735728906183</v>
          </cell>
          <cell r="AH182">
            <v>89.307469526902381</v>
          </cell>
        </row>
        <row r="183">
          <cell r="AD183">
            <v>74.998404927577795</v>
          </cell>
          <cell r="AE183">
            <v>76.881891898937724</v>
          </cell>
          <cell r="AF183">
            <v>80.316884338571086</v>
          </cell>
          <cell r="AG183">
            <v>84.44260467510631</v>
          </cell>
          <cell r="AH183">
            <v>89.317170191884841</v>
          </cell>
        </row>
        <row r="184">
          <cell r="AD184">
            <v>75.075479910097457</v>
          </cell>
          <cell r="AE184">
            <v>76.963796366906251</v>
          </cell>
          <cell r="AF184">
            <v>80.362266986415136</v>
          </cell>
          <cell r="AG184">
            <v>84.508473621306436</v>
          </cell>
          <cell r="AH184">
            <v>89.326870856867302</v>
          </cell>
        </row>
        <row r="185">
          <cell r="AD185">
            <v>75.152448075388719</v>
          </cell>
          <cell r="AE185">
            <v>77.043375802508834</v>
          </cell>
          <cell r="AF185">
            <v>80.407649634259187</v>
          </cell>
          <cell r="AG185">
            <v>84.574342567506562</v>
          </cell>
          <cell r="AH185">
            <v>89.336571521849763</v>
          </cell>
        </row>
        <row r="186">
          <cell r="AD186">
            <v>75.229416240679981</v>
          </cell>
          <cell r="AE186">
            <v>77.121113376383107</v>
          </cell>
          <cell r="AF186">
            <v>80.453032282103237</v>
          </cell>
          <cell r="AG186">
            <v>84.640211513706689</v>
          </cell>
          <cell r="AH186">
            <v>89.346272186832209</v>
          </cell>
        </row>
        <row r="187">
          <cell r="AD187">
            <v>75.306384405971258</v>
          </cell>
          <cell r="AE187">
            <v>77.198850950257366</v>
          </cell>
          <cell r="AF187">
            <v>80.498414929947288</v>
          </cell>
          <cell r="AG187">
            <v>84.706080459906815</v>
          </cell>
          <cell r="AH187">
            <v>89.35597285181467</v>
          </cell>
        </row>
        <row r="188">
          <cell r="AD188">
            <v>75.38335257126252</v>
          </cell>
          <cell r="AE188">
            <v>77.27658852413164</v>
          </cell>
          <cell r="AF188">
            <v>80.543797577791338</v>
          </cell>
          <cell r="AG188">
            <v>84.771949406106955</v>
          </cell>
          <cell r="AH188">
            <v>89.365673516797131</v>
          </cell>
        </row>
        <row r="189">
          <cell r="AD189">
            <v>75.460320736553783</v>
          </cell>
          <cell r="AE189">
            <v>77.354326098005913</v>
          </cell>
          <cell r="AF189">
            <v>80.589180225635388</v>
          </cell>
          <cell r="AG189">
            <v>84.837818352307082</v>
          </cell>
          <cell r="AH189">
            <v>89.375374181779591</v>
          </cell>
        </row>
        <row r="190">
          <cell r="AD190">
            <v>75.537288901845045</v>
          </cell>
          <cell r="AE190">
            <v>77.432063671880172</v>
          </cell>
          <cell r="AF190">
            <v>80.634562873479439</v>
          </cell>
          <cell r="AG190">
            <v>84.903687298507208</v>
          </cell>
          <cell r="AH190">
            <v>89.385074846762038</v>
          </cell>
        </row>
        <row r="191">
          <cell r="AD191">
            <v>75.614257067136322</v>
          </cell>
          <cell r="AE191">
            <v>77.509801245754446</v>
          </cell>
          <cell r="AF191">
            <v>80.679945521323489</v>
          </cell>
          <cell r="AG191">
            <v>84.969556244707334</v>
          </cell>
          <cell r="AH191">
            <v>89.394775511744498</v>
          </cell>
        </row>
        <row r="192">
          <cell r="AD192">
            <v>75.691225232427584</v>
          </cell>
          <cell r="AE192">
            <v>77.587538819628705</v>
          </cell>
          <cell r="AF192">
            <v>80.72532816916754</v>
          </cell>
          <cell r="AG192">
            <v>85.038022554056667</v>
          </cell>
          <cell r="AH192">
            <v>89.404476176726959</v>
          </cell>
        </row>
        <row r="193">
          <cell r="AD193">
            <v>75.768193397718846</v>
          </cell>
          <cell r="AE193">
            <v>77.665276393502978</v>
          </cell>
          <cell r="AF193">
            <v>80.77071081701159</v>
          </cell>
          <cell r="AG193">
            <v>85.10872098936197</v>
          </cell>
          <cell r="AH193">
            <v>89.41417684170942</v>
          </cell>
        </row>
        <row r="194">
          <cell r="AD194">
            <v>75.845161563010109</v>
          </cell>
          <cell r="AE194">
            <v>77.743013967377237</v>
          </cell>
          <cell r="AF194">
            <v>80.816093464855641</v>
          </cell>
          <cell r="AG194">
            <v>85.179419424667287</v>
          </cell>
          <cell r="AH194">
            <v>89.423877506691866</v>
          </cell>
        </row>
        <row r="195">
          <cell r="AD195">
            <v>75.922129728301385</v>
          </cell>
          <cell r="AE195">
            <v>77.820751541251511</v>
          </cell>
          <cell r="AF195">
            <v>80.861476112699691</v>
          </cell>
          <cell r="AG195">
            <v>85.25011785997259</v>
          </cell>
          <cell r="AH195">
            <v>89.433578171674327</v>
          </cell>
        </row>
        <row r="196">
          <cell r="AD196">
            <v>75.999097893592648</v>
          </cell>
          <cell r="AE196">
            <v>77.898489115125784</v>
          </cell>
          <cell r="AF196">
            <v>80.906858760543741</v>
          </cell>
          <cell r="AG196">
            <v>85.320816295277908</v>
          </cell>
          <cell r="AH196">
            <v>89.443278836656788</v>
          </cell>
        </row>
        <row r="197">
          <cell r="AD197">
            <v>76.070972142474872</v>
          </cell>
          <cell r="AE197">
            <v>77.976226689000043</v>
          </cell>
          <cell r="AF197">
            <v>80.952241408387792</v>
          </cell>
          <cell r="AG197">
            <v>85.391514730583225</v>
          </cell>
          <cell r="AH197">
            <v>89.452979501639248</v>
          </cell>
        </row>
        <row r="198">
          <cell r="AD198">
            <v>76.142785979989682</v>
          </cell>
          <cell r="AE198">
            <v>78.085096813710805</v>
          </cell>
          <cell r="AF198">
            <v>80.997624056231842</v>
          </cell>
          <cell r="AG198">
            <v>85.462213165888528</v>
          </cell>
          <cell r="AH198">
            <v>89.462680166621695</v>
          </cell>
        </row>
        <row r="199">
          <cell r="AD199">
            <v>76.214599817504492</v>
          </cell>
          <cell r="AE199">
            <v>78.207682011579905</v>
          </cell>
          <cell r="AF199">
            <v>81.077276343161188</v>
          </cell>
          <cell r="AG199">
            <v>85.532911601193845</v>
          </cell>
          <cell r="AH199">
            <v>89.472380831604156</v>
          </cell>
        </row>
        <row r="200">
          <cell r="AD200">
            <v>76.286413655019302</v>
          </cell>
          <cell r="AE200">
            <v>78.330267209449019</v>
          </cell>
          <cell r="AF200">
            <v>81.158821886901805</v>
          </cell>
          <cell r="AG200">
            <v>85.603610036499148</v>
          </cell>
          <cell r="AH200">
            <v>89.482081496586616</v>
          </cell>
        </row>
        <row r="201">
          <cell r="AD201">
            <v>76.358227492534112</v>
          </cell>
          <cell r="AE201">
            <v>78.452852407318119</v>
          </cell>
          <cell r="AF201">
            <v>81.240367430642422</v>
          </cell>
          <cell r="AG201">
            <v>85.674308471804466</v>
          </cell>
          <cell r="AH201">
            <v>89.491782161569077</v>
          </cell>
        </row>
        <row r="202">
          <cell r="AD202">
            <v>76.430041330048923</v>
          </cell>
          <cell r="AE202">
            <v>78.575437605187233</v>
          </cell>
          <cell r="AF202">
            <v>81.321912974383039</v>
          </cell>
          <cell r="AG202">
            <v>85.745006907109769</v>
          </cell>
          <cell r="AH202">
            <v>89.501482826551523</v>
          </cell>
        </row>
        <row r="203">
          <cell r="AD203">
            <v>76.501855167563733</v>
          </cell>
          <cell r="AE203">
            <v>78.698022803056332</v>
          </cell>
          <cell r="AF203">
            <v>81.403458518123657</v>
          </cell>
          <cell r="AG203">
            <v>85.815705342415086</v>
          </cell>
          <cell r="AH203">
            <v>89.511183491533984</v>
          </cell>
        </row>
        <row r="204">
          <cell r="AD204">
            <v>76.573669005078543</v>
          </cell>
          <cell r="AE204">
            <v>78.820608000925432</v>
          </cell>
          <cell r="AF204">
            <v>81.485004061864274</v>
          </cell>
          <cell r="AG204">
            <v>85.886403777720403</v>
          </cell>
          <cell r="AH204">
            <v>89.520884156516445</v>
          </cell>
        </row>
        <row r="205">
          <cell r="AD205">
            <v>76.645482842593353</v>
          </cell>
          <cell r="AE205">
            <v>78.943193198794546</v>
          </cell>
          <cell r="AF205">
            <v>81.566549605604891</v>
          </cell>
          <cell r="AG205">
            <v>85.957102213025706</v>
          </cell>
          <cell r="AH205">
            <v>89.530584821498906</v>
          </cell>
        </row>
        <row r="206">
          <cell r="AD206">
            <v>76.717296680108163</v>
          </cell>
          <cell r="AE206">
            <v>79.041401909148547</v>
          </cell>
          <cell r="AF206">
            <v>81.648095149345508</v>
          </cell>
          <cell r="AG206">
            <v>86.056954919342118</v>
          </cell>
          <cell r="AH206">
            <v>89.540285486481352</v>
          </cell>
        </row>
        <row r="207">
          <cell r="AD207">
            <v>76.789110517622973</v>
          </cell>
          <cell r="AE207">
            <v>79.118558870743158</v>
          </cell>
          <cell r="AF207">
            <v>81.729640693086125</v>
          </cell>
          <cell r="AG207">
            <v>86.201794119942178</v>
          </cell>
          <cell r="AH207">
            <v>89.549986151463813</v>
          </cell>
        </row>
        <row r="208">
          <cell r="AD208">
            <v>76.860924355137783</v>
          </cell>
          <cell r="AE208">
            <v>79.195715832337768</v>
          </cell>
          <cell r="AF208">
            <v>81.811186236826742</v>
          </cell>
          <cell r="AG208">
            <v>86.346633320542253</v>
          </cell>
          <cell r="AH208">
            <v>89.559686816446273</v>
          </cell>
        </row>
        <row r="209">
          <cell r="AD209">
            <v>76.932738192652593</v>
          </cell>
          <cell r="AE209">
            <v>79.272872793932379</v>
          </cell>
          <cell r="AF209">
            <v>81.892731780567374</v>
          </cell>
          <cell r="AG209">
            <v>86.491472521142313</v>
          </cell>
          <cell r="AH209">
            <v>89.569387481428734</v>
          </cell>
        </row>
        <row r="210">
          <cell r="AD210">
            <v>77.004247194324648</v>
          </cell>
          <cell r="AE210">
            <v>79.35002975552699</v>
          </cell>
          <cell r="AF210">
            <v>81.974277324307991</v>
          </cell>
          <cell r="AG210">
            <v>86.636311721742373</v>
          </cell>
          <cell r="AH210">
            <v>89.579088146411181</v>
          </cell>
        </row>
        <row r="211">
          <cell r="AD211">
            <v>77.07125187397483</v>
          </cell>
          <cell r="AE211">
            <v>79.4271867171216</v>
          </cell>
          <cell r="AF211">
            <v>82.065981674043627</v>
          </cell>
          <cell r="AG211">
            <v>86.781150922342434</v>
          </cell>
          <cell r="AH211">
            <v>89.588788811393641</v>
          </cell>
        </row>
        <row r="212">
          <cell r="AD212">
            <v>77.138256553625013</v>
          </cell>
          <cell r="AE212">
            <v>79.504343678716211</v>
          </cell>
          <cell r="AF212">
            <v>82.162367110243707</v>
          </cell>
          <cell r="AG212">
            <v>86.925990122942494</v>
          </cell>
          <cell r="AH212">
            <v>89.598489476376102</v>
          </cell>
        </row>
        <row r="213">
          <cell r="AD213">
            <v>77.205261233275195</v>
          </cell>
          <cell r="AE213">
            <v>79.581500640310821</v>
          </cell>
          <cell r="AF213">
            <v>82.258752546443787</v>
          </cell>
          <cell r="AG213">
            <v>87.065087281460123</v>
          </cell>
          <cell r="AH213">
            <v>89.608190141358563</v>
          </cell>
        </row>
        <row r="214">
          <cell r="AD214">
            <v>77.272265912925377</v>
          </cell>
          <cell r="AE214">
            <v>79.658657601905432</v>
          </cell>
          <cell r="AF214">
            <v>82.355137982643853</v>
          </cell>
          <cell r="AG214">
            <v>87.198184554516146</v>
          </cell>
          <cell r="AH214">
            <v>89.617890806341009</v>
          </cell>
        </row>
        <row r="215">
          <cell r="AD215">
            <v>77.339270592575559</v>
          </cell>
          <cell r="AE215">
            <v>79.735814563500043</v>
          </cell>
          <cell r="AF215">
            <v>82.451523418843934</v>
          </cell>
          <cell r="AG215">
            <v>87.331281827572155</v>
          </cell>
          <cell r="AH215">
            <v>89.62759147132347</v>
          </cell>
        </row>
        <row r="216">
          <cell r="AD216">
            <v>77.406275272225741</v>
          </cell>
          <cell r="AE216">
            <v>79.812971525094653</v>
          </cell>
          <cell r="AF216">
            <v>82.547908855044014</v>
          </cell>
          <cell r="AG216">
            <v>87.464379100628179</v>
          </cell>
          <cell r="AH216">
            <v>89.637292136305931</v>
          </cell>
        </row>
        <row r="217">
          <cell r="AD217">
            <v>77.473279951875909</v>
          </cell>
          <cell r="AE217">
            <v>79.890128486689278</v>
          </cell>
          <cell r="AF217">
            <v>82.644294291244094</v>
          </cell>
          <cell r="AG217">
            <v>87.597476373684188</v>
          </cell>
          <cell r="AH217">
            <v>89.646992801288391</v>
          </cell>
        </row>
        <row r="218">
          <cell r="AD218">
            <v>77.540284631526092</v>
          </cell>
          <cell r="AE218">
            <v>79.967285448283889</v>
          </cell>
          <cell r="AF218">
            <v>82.740679727444174</v>
          </cell>
          <cell r="AG218">
            <v>87.730573646740211</v>
          </cell>
          <cell r="AH218">
            <v>89.656693466270838</v>
          </cell>
        </row>
        <row r="219">
          <cell r="AD219">
            <v>77.607289311176274</v>
          </cell>
          <cell r="AE219">
            <v>80.029150302517351</v>
          </cell>
          <cell r="AF219">
            <v>82.83706516364424</v>
          </cell>
          <cell r="AG219">
            <v>87.86367091979622</v>
          </cell>
          <cell r="AH219">
            <v>89.666394131253298</v>
          </cell>
        </row>
        <row r="220">
          <cell r="AD220">
            <v>77.674293990826456</v>
          </cell>
          <cell r="AE220">
            <v>80.079758466609988</v>
          </cell>
          <cell r="AF220">
            <v>82.933450599844321</v>
          </cell>
          <cell r="AG220">
            <v>87.996768192852244</v>
          </cell>
          <cell r="AH220">
            <v>89.676094796235759</v>
          </cell>
        </row>
        <row r="221">
          <cell r="AD221">
            <v>77.741298670476638</v>
          </cell>
          <cell r="AE221">
            <v>80.130366630702625</v>
          </cell>
          <cell r="AF221">
            <v>83.020452191684072</v>
          </cell>
          <cell r="AG221">
            <v>88.103641705092542</v>
          </cell>
          <cell r="AH221">
            <v>89.68579546121822</v>
          </cell>
        </row>
        <row r="222">
          <cell r="AD222">
            <v>77.80830335012682</v>
          </cell>
          <cell r="AE222">
            <v>80.180974794795262</v>
          </cell>
          <cell r="AF222">
            <v>83.086523080383316</v>
          </cell>
          <cell r="AG222">
            <v>88.209862617836492</v>
          </cell>
          <cell r="AH222">
            <v>89.695496126200666</v>
          </cell>
        </row>
        <row r="223">
          <cell r="AD223">
            <v>77.875308029777003</v>
          </cell>
          <cell r="AE223">
            <v>80.231582958887898</v>
          </cell>
          <cell r="AF223">
            <v>83.152593969082574</v>
          </cell>
          <cell r="AG223">
            <v>88.316083530580457</v>
          </cell>
          <cell r="AH223">
            <v>89.705196791183127</v>
          </cell>
        </row>
        <row r="224">
          <cell r="AD224">
            <v>77.942312709427185</v>
          </cell>
          <cell r="AE224">
            <v>80.282191122980535</v>
          </cell>
          <cell r="AF224">
            <v>83.218664857781818</v>
          </cell>
          <cell r="AG224">
            <v>88.422304443324407</v>
          </cell>
          <cell r="AH224">
            <v>89.714897456165588</v>
          </cell>
        </row>
        <row r="225">
          <cell r="AD225">
            <v>78.008693431404168</v>
          </cell>
          <cell r="AE225">
            <v>80.332799287073158</v>
          </cell>
          <cell r="AF225">
            <v>83.284735746481061</v>
          </cell>
          <cell r="AG225">
            <v>88.528525356068357</v>
          </cell>
          <cell r="AH225">
            <v>89.724598121148048</v>
          </cell>
        </row>
        <row r="226">
          <cell r="AD226">
            <v>78.071211008105138</v>
          </cell>
          <cell r="AE226">
            <v>80.383407451165795</v>
          </cell>
          <cell r="AF226">
            <v>83.350806635180319</v>
          </cell>
          <cell r="AG226">
            <v>88.634746268812307</v>
          </cell>
          <cell r="AH226">
            <v>89.734298786130495</v>
          </cell>
        </row>
        <row r="227">
          <cell r="AD227">
            <v>78.133728584806107</v>
          </cell>
          <cell r="AE227">
            <v>80.434015615258431</v>
          </cell>
          <cell r="AF227">
            <v>83.416877523879563</v>
          </cell>
          <cell r="AG227">
            <v>88.740967181556258</v>
          </cell>
          <cell r="AH227">
            <v>89.743999451112956</v>
          </cell>
        </row>
        <row r="228">
          <cell r="AD228">
            <v>78.196246161507091</v>
          </cell>
          <cell r="AE228">
            <v>80.484623779351068</v>
          </cell>
          <cell r="AF228">
            <v>83.482948412578821</v>
          </cell>
          <cell r="AG228">
            <v>88.847188094300222</v>
          </cell>
          <cell r="AH228">
            <v>89.753700116095416</v>
          </cell>
        </row>
        <row r="229">
          <cell r="AD229">
            <v>78.25876373820806</v>
          </cell>
          <cell r="AE229">
            <v>80.535231943443705</v>
          </cell>
          <cell r="AF229">
            <v>83.549019301278065</v>
          </cell>
          <cell r="AG229">
            <v>88.953409007044172</v>
          </cell>
          <cell r="AH229">
            <v>89.763400781077877</v>
          </cell>
        </row>
        <row r="230">
          <cell r="AD230">
            <v>78.321281314909029</v>
          </cell>
          <cell r="AE230">
            <v>80.585840107536342</v>
          </cell>
          <cell r="AF230">
            <v>83.615090189977309</v>
          </cell>
          <cell r="AG230">
            <v>89.023438171047374</v>
          </cell>
          <cell r="AH230">
            <v>89.773101446060323</v>
          </cell>
        </row>
        <row r="231">
          <cell r="AD231">
            <v>78.383798891610013</v>
          </cell>
          <cell r="AE231">
            <v>80.636448271628964</v>
          </cell>
          <cell r="AF231">
            <v>83.681161078676567</v>
          </cell>
          <cell r="AG231">
            <v>89.065189424957282</v>
          </cell>
          <cell r="AH231">
            <v>89.782802111042784</v>
          </cell>
        </row>
        <row r="232">
          <cell r="AD232">
            <v>78.446316468310982</v>
          </cell>
          <cell r="AE232">
            <v>80.687056435721601</v>
          </cell>
          <cell r="AF232">
            <v>83.747231967375811</v>
          </cell>
          <cell r="AG232">
            <v>89.106940678867176</v>
          </cell>
          <cell r="AH232">
            <v>89.792502776025245</v>
          </cell>
        </row>
        <row r="233">
          <cell r="AD233">
            <v>78.508834045011952</v>
          </cell>
          <cell r="AE233">
            <v>80.737664599814238</v>
          </cell>
          <cell r="AF233">
            <v>83.813302856075069</v>
          </cell>
          <cell r="AG233">
            <v>89.148691932777083</v>
          </cell>
          <cell r="AH233">
            <v>89.802203441007705</v>
          </cell>
        </row>
        <row r="234">
          <cell r="AD234">
            <v>78.571351621712921</v>
          </cell>
          <cell r="AE234">
            <v>80.788272763906875</v>
          </cell>
          <cell r="AF234">
            <v>83.879373744774313</v>
          </cell>
          <cell r="AG234">
            <v>89.190443186686991</v>
          </cell>
          <cell r="AH234">
            <v>89.811904105990152</v>
          </cell>
        </row>
        <row r="235">
          <cell r="AD235">
            <v>78.633869198413905</v>
          </cell>
          <cell r="AE235">
            <v>80.838880927999512</v>
          </cell>
          <cell r="AF235">
            <v>83.945444633473556</v>
          </cell>
          <cell r="AG235">
            <v>89.232194440596885</v>
          </cell>
          <cell r="AH235">
            <v>89.821604770972613</v>
          </cell>
        </row>
        <row r="236">
          <cell r="AD236">
            <v>78.696386775114874</v>
          </cell>
          <cell r="AE236">
            <v>80.889489092092148</v>
          </cell>
          <cell r="AF236">
            <v>84.007192030538107</v>
          </cell>
          <cell r="AG236">
            <v>89.273945694506793</v>
          </cell>
          <cell r="AH236">
            <v>89.831305435955073</v>
          </cell>
        </row>
        <row r="237">
          <cell r="AD237">
            <v>78.758904351815843</v>
          </cell>
          <cell r="AE237">
            <v>80.940097256184771</v>
          </cell>
          <cell r="AF237">
            <v>84.048456668135387</v>
          </cell>
          <cell r="AG237">
            <v>89.315696948416701</v>
          </cell>
          <cell r="AH237">
            <v>89.841006100937534</v>
          </cell>
        </row>
        <row r="238">
          <cell r="AD238">
            <v>78.821421928516827</v>
          </cell>
          <cell r="AE238">
            <v>80.990705420277408</v>
          </cell>
          <cell r="AF238">
            <v>84.089721305732681</v>
          </cell>
          <cell r="AG238">
            <v>89.357448202326594</v>
          </cell>
          <cell r="AH238">
            <v>89.850706765919981</v>
          </cell>
        </row>
        <row r="239">
          <cell r="AD239">
            <v>78.883939505217796</v>
          </cell>
          <cell r="AE239">
            <v>81.037637890659056</v>
          </cell>
          <cell r="AF239">
            <v>84.130985943329961</v>
          </cell>
          <cell r="AG239">
            <v>89.399199456236502</v>
          </cell>
          <cell r="AH239">
            <v>89.860407430902441</v>
          </cell>
        </row>
        <row r="240">
          <cell r="AD240">
            <v>78.946457081918766</v>
          </cell>
          <cell r="AE240">
            <v>81.083743416858681</v>
          </cell>
          <cell r="AF240">
            <v>84.172250580927255</v>
          </cell>
          <cell r="AG240">
            <v>89.440950710146396</v>
          </cell>
          <cell r="AH240">
            <v>89.870108095884902</v>
          </cell>
        </row>
        <row r="241">
          <cell r="AD241">
            <v>79.008373652580005</v>
          </cell>
          <cell r="AE241">
            <v>81.12984894305832</v>
          </cell>
          <cell r="AF241">
            <v>84.213515218524535</v>
          </cell>
          <cell r="AG241">
            <v>89.482701964056304</v>
          </cell>
          <cell r="AH241">
            <v>89.879808760867363</v>
          </cell>
        </row>
        <row r="242">
          <cell r="AD242">
            <v>79.066704614192943</v>
          </cell>
          <cell r="AE242">
            <v>81.17595446925796</v>
          </cell>
          <cell r="AF242">
            <v>84.254779856121829</v>
          </cell>
          <cell r="AG242">
            <v>89.524453217966212</v>
          </cell>
          <cell r="AH242">
            <v>89.889509425849809</v>
          </cell>
        </row>
        <row r="243">
          <cell r="AD243">
            <v>79.125035575805882</v>
          </cell>
          <cell r="AE243">
            <v>81.222059995457585</v>
          </cell>
          <cell r="AF243">
            <v>84.296044493719108</v>
          </cell>
          <cell r="AG243">
            <v>89.566204471876105</v>
          </cell>
          <cell r="AH243">
            <v>89.89921009083227</v>
          </cell>
        </row>
        <row r="244">
          <cell r="AD244">
            <v>79.18336653741882</v>
          </cell>
          <cell r="AE244">
            <v>81.268165521657224</v>
          </cell>
          <cell r="AF244">
            <v>84.337309131316402</v>
          </cell>
          <cell r="AG244">
            <v>89.607955725786013</v>
          </cell>
          <cell r="AH244">
            <v>89.90891075581473</v>
          </cell>
        </row>
        <row r="245">
          <cell r="AD245">
            <v>79.241697499031773</v>
          </cell>
          <cell r="AE245">
            <v>81.314271047856863</v>
          </cell>
          <cell r="AF245">
            <v>84.378573768913682</v>
          </cell>
          <cell r="AG245">
            <v>89.649706979695921</v>
          </cell>
          <cell r="AH245">
            <v>89.918611420797191</v>
          </cell>
        </row>
        <row r="246">
          <cell r="AD246">
            <v>79.300028460644711</v>
          </cell>
          <cell r="AE246">
            <v>81.360376574056488</v>
          </cell>
          <cell r="AF246">
            <v>84.419838406510976</v>
          </cell>
          <cell r="AG246">
            <v>89.691458233605815</v>
          </cell>
          <cell r="AH246">
            <v>89.928312085779638</v>
          </cell>
        </row>
        <row r="247">
          <cell r="AD247">
            <v>79.358359422257649</v>
          </cell>
          <cell r="AE247">
            <v>81.406482100256127</v>
          </cell>
          <cell r="AF247">
            <v>84.461103044108256</v>
          </cell>
          <cell r="AG247">
            <v>89.733209487515722</v>
          </cell>
          <cell r="AH247">
            <v>89.938012750762098</v>
          </cell>
        </row>
        <row r="248">
          <cell r="AD248">
            <v>79.416690383870588</v>
          </cell>
          <cell r="AE248">
            <v>81.452587626455767</v>
          </cell>
          <cell r="AF248">
            <v>84.50236768170555</v>
          </cell>
          <cell r="AG248">
            <v>89.77496074142563</v>
          </cell>
          <cell r="AH248">
            <v>89.947713415744559</v>
          </cell>
        </row>
        <row r="249">
          <cell r="AD249">
            <v>79.475021345483526</v>
          </cell>
          <cell r="AE249">
            <v>81.498693152655392</v>
          </cell>
          <cell r="AF249">
            <v>84.54363231930283</v>
          </cell>
          <cell r="AG249">
            <v>89.816711995335524</v>
          </cell>
          <cell r="AH249">
            <v>89.95741408072702</v>
          </cell>
        </row>
        <row r="250">
          <cell r="AD250">
            <v>79.533352307096465</v>
          </cell>
          <cell r="AE250">
            <v>81.544798678855031</v>
          </cell>
          <cell r="AF250">
            <v>84.584896956900124</v>
          </cell>
          <cell r="AG250">
            <v>89.858463249245432</v>
          </cell>
          <cell r="AH250">
            <v>89.967114745709466</v>
          </cell>
        </row>
        <row r="251">
          <cell r="AD251">
            <v>79.591683268709417</v>
          </cell>
          <cell r="AE251">
            <v>81.59090420505467</v>
          </cell>
          <cell r="AF251">
            <v>84.626161594497404</v>
          </cell>
          <cell r="AG251">
            <v>89.90021450315534</v>
          </cell>
          <cell r="AH251">
            <v>89.976815410691927</v>
          </cell>
        </row>
        <row r="252">
          <cell r="AD252">
            <v>79.650014230322356</v>
          </cell>
          <cell r="AE252">
            <v>81.637009731254295</v>
          </cell>
          <cell r="AF252">
            <v>84.667426232094698</v>
          </cell>
          <cell r="AG252">
            <v>89.941965757065233</v>
          </cell>
          <cell r="AH252">
            <v>89.986516075674388</v>
          </cell>
        </row>
        <row r="253">
          <cell r="AD253">
            <v>79.708345191935294</v>
          </cell>
          <cell r="AE253">
            <v>81.683115257453935</v>
          </cell>
          <cell r="AF253">
            <v>84.708690869691978</v>
          </cell>
          <cell r="AG253">
            <v>89.983717010975141</v>
          </cell>
          <cell r="AH253">
            <v>89.996216740656848</v>
          </cell>
        </row>
        <row r="254">
          <cell r="AD254">
            <v>79.766676153548232</v>
          </cell>
          <cell r="AE254">
            <v>81.729220783653574</v>
          </cell>
          <cell r="AF254">
            <v>84.749955507289272</v>
          </cell>
          <cell r="AG254">
            <v>90.003802494457972</v>
          </cell>
          <cell r="AH254">
            <v>90.003802494457972</v>
          </cell>
        </row>
        <row r="255">
          <cell r="AD255">
            <v>79.825007115161171</v>
          </cell>
          <cell r="AE255">
            <v>81.775326309853199</v>
          </cell>
          <cell r="AF255">
            <v>84.791220144886566</v>
          </cell>
          <cell r="AG255">
            <v>90.010036091930075</v>
          </cell>
          <cell r="AH255">
            <v>90.010036091930075</v>
          </cell>
        </row>
        <row r="256">
          <cell r="AD256">
            <v>79.883338076774123</v>
          </cell>
          <cell r="AE256">
            <v>81.821431836052838</v>
          </cell>
          <cell r="AF256">
            <v>84.832484782483846</v>
          </cell>
          <cell r="AG256">
            <v>90.016269689402165</v>
          </cell>
          <cell r="AH256">
            <v>90.016269689402165</v>
          </cell>
        </row>
        <row r="257">
          <cell r="AD257">
            <v>79.941669038387062</v>
          </cell>
          <cell r="AE257">
            <v>81.867537362252463</v>
          </cell>
          <cell r="AF257">
            <v>84.87374942008114</v>
          </cell>
          <cell r="AG257">
            <v>90.022503286874255</v>
          </cell>
          <cell r="AH257">
            <v>90.022503286874255</v>
          </cell>
        </row>
        <row r="258">
          <cell r="AD258">
            <v>80</v>
          </cell>
          <cell r="AE258">
            <v>81.913642888452102</v>
          </cell>
          <cell r="AF258">
            <v>84.91501405767842</v>
          </cell>
          <cell r="AG258">
            <v>90.028736884346344</v>
          </cell>
          <cell r="AH258">
            <v>90.028736884346344</v>
          </cell>
        </row>
        <row r="259">
          <cell r="AD259">
            <v>80.054424711612938</v>
          </cell>
          <cell r="AE259">
            <v>81.959748414651742</v>
          </cell>
          <cell r="AF259">
            <v>84.956278695275714</v>
          </cell>
          <cell r="AG259">
            <v>90.034970481818434</v>
          </cell>
          <cell r="AH259">
            <v>90.034970481818434</v>
          </cell>
        </row>
        <row r="260">
          <cell r="AD260">
            <v>80.108849423225877</v>
          </cell>
          <cell r="AE260">
            <v>82.008964163203117</v>
          </cell>
          <cell r="AF260">
            <v>84.997543332872993</v>
          </cell>
          <cell r="AG260">
            <v>90.041204079290537</v>
          </cell>
          <cell r="AH260">
            <v>90.041204079290537</v>
          </cell>
        </row>
        <row r="261">
          <cell r="AD261">
            <v>80.163274134838829</v>
          </cell>
          <cell r="AE261">
            <v>82.079565741167841</v>
          </cell>
          <cell r="AF261">
            <v>85.043545428474673</v>
          </cell>
          <cell r="AG261">
            <v>90.047437676762627</v>
          </cell>
          <cell r="AH261">
            <v>90.047437676762627</v>
          </cell>
        </row>
        <row r="262">
          <cell r="AD262">
            <v>80.217698846451768</v>
          </cell>
          <cell r="AE262">
            <v>82.150167319132564</v>
          </cell>
          <cell r="AF262">
            <v>85.089847420133893</v>
          </cell>
          <cell r="AG262">
            <v>90.053671274234716</v>
          </cell>
          <cell r="AH262">
            <v>90.053671274234716</v>
          </cell>
        </row>
        <row r="263">
          <cell r="AD263">
            <v>80.272123558064706</v>
          </cell>
          <cell r="AE263">
            <v>82.220768897097301</v>
          </cell>
          <cell r="AF263">
            <v>85.136149411793113</v>
          </cell>
          <cell r="AG263">
            <v>90.059904871706806</v>
          </cell>
          <cell r="AH263">
            <v>90.059904871706806</v>
          </cell>
        </row>
        <row r="264">
          <cell r="AD264">
            <v>80.326548269677644</v>
          </cell>
          <cell r="AE264">
            <v>82.291370475062024</v>
          </cell>
          <cell r="AF264">
            <v>85.182451403452319</v>
          </cell>
          <cell r="AG264">
            <v>90.06613846917891</v>
          </cell>
          <cell r="AH264">
            <v>90.06613846917891</v>
          </cell>
        </row>
        <row r="265">
          <cell r="AD265">
            <v>80.380972981290597</v>
          </cell>
          <cell r="AE265">
            <v>82.361972053026747</v>
          </cell>
          <cell r="AF265">
            <v>85.228753395111539</v>
          </cell>
          <cell r="AG265">
            <v>90.072372066650999</v>
          </cell>
          <cell r="AH265">
            <v>90.072372066650999</v>
          </cell>
        </row>
        <row r="266">
          <cell r="AD266">
            <v>80.435397692903535</v>
          </cell>
          <cell r="AE266">
            <v>82.43257363099147</v>
          </cell>
          <cell r="AF266">
            <v>85.275055386770759</v>
          </cell>
          <cell r="AG266">
            <v>90.078605664123089</v>
          </cell>
          <cell r="AH266">
            <v>90.078605664123089</v>
          </cell>
        </row>
        <row r="267">
          <cell r="AD267">
            <v>80.489822404516474</v>
          </cell>
          <cell r="AE267">
            <v>82.503175208956208</v>
          </cell>
          <cell r="AF267">
            <v>85.321357378429965</v>
          </cell>
          <cell r="AG267">
            <v>90.084839261595178</v>
          </cell>
          <cell r="AH267">
            <v>90.084839261595178</v>
          </cell>
        </row>
        <row r="268">
          <cell r="AD268">
            <v>80.544247116129412</v>
          </cell>
          <cell r="AE268">
            <v>82.573776786920931</v>
          </cell>
          <cell r="AF268">
            <v>85.367659370089186</v>
          </cell>
          <cell r="AG268">
            <v>90.091072859067282</v>
          </cell>
          <cell r="AH268">
            <v>90.091072859067282</v>
          </cell>
        </row>
        <row r="269">
          <cell r="AD269">
            <v>80.598671827742351</v>
          </cell>
          <cell r="AE269">
            <v>82.644378364885654</v>
          </cell>
          <cell r="AF269">
            <v>85.413961361748406</v>
          </cell>
          <cell r="AG269">
            <v>90.097306456539371</v>
          </cell>
          <cell r="AH269">
            <v>90.097306456539371</v>
          </cell>
        </row>
        <row r="270">
          <cell r="AD270">
            <v>80.653096539355303</v>
          </cell>
          <cell r="AE270">
            <v>82.714979942850377</v>
          </cell>
          <cell r="AF270">
            <v>85.460263353407626</v>
          </cell>
          <cell r="AG270">
            <v>90.103540054011461</v>
          </cell>
          <cell r="AH270">
            <v>90.103540054011461</v>
          </cell>
        </row>
        <row r="271">
          <cell r="AD271">
            <v>80.707521250968242</v>
          </cell>
          <cell r="AE271">
            <v>82.785581520815114</v>
          </cell>
          <cell r="AF271">
            <v>85.506565345066832</v>
          </cell>
          <cell r="AG271">
            <v>90.10977365148355</v>
          </cell>
          <cell r="AH271">
            <v>90.10977365148355</v>
          </cell>
        </row>
        <row r="272">
          <cell r="AD272">
            <v>80.76194596258118</v>
          </cell>
          <cell r="AE272">
            <v>82.856183098779837</v>
          </cell>
          <cell r="AF272">
            <v>85.552867336726052</v>
          </cell>
          <cell r="AG272">
            <v>90.11600724895564</v>
          </cell>
          <cell r="AH272">
            <v>90.11600724895564</v>
          </cell>
        </row>
        <row r="273">
          <cell r="AD273">
            <v>80.816370674194118</v>
          </cell>
          <cell r="AE273">
            <v>82.92678467674456</v>
          </cell>
          <cell r="AF273">
            <v>85.599169328385273</v>
          </cell>
          <cell r="AG273">
            <v>90.122240846427744</v>
          </cell>
          <cell r="AH273">
            <v>90.122240846427744</v>
          </cell>
        </row>
        <row r="274">
          <cell r="AD274">
            <v>80.870795385807057</v>
          </cell>
          <cell r="AE274">
            <v>82.997386254709284</v>
          </cell>
          <cell r="AF274">
            <v>85.645471320044479</v>
          </cell>
          <cell r="AG274">
            <v>90.128474443899833</v>
          </cell>
          <cell r="AH274">
            <v>90.128474443899833</v>
          </cell>
        </row>
        <row r="275">
          <cell r="AD275">
            <v>80.925220097420009</v>
          </cell>
          <cell r="AE275">
            <v>83.058418873264969</v>
          </cell>
          <cell r="AF275">
            <v>85.691773311703699</v>
          </cell>
          <cell r="AG275">
            <v>90.134708041371923</v>
          </cell>
          <cell r="AH275">
            <v>90.134708041371923</v>
          </cell>
        </row>
        <row r="276">
          <cell r="AD276">
            <v>80.979644809032948</v>
          </cell>
          <cell r="AE276">
            <v>83.119083619782259</v>
          </cell>
          <cell r="AF276">
            <v>85.738075303362919</v>
          </cell>
          <cell r="AG276">
            <v>90.140941638844012</v>
          </cell>
          <cell r="AH276">
            <v>90.140941638844012</v>
          </cell>
        </row>
        <row r="277">
          <cell r="AD277">
            <v>81.031787986768464</v>
          </cell>
          <cell r="AE277">
            <v>83.179748366299535</v>
          </cell>
          <cell r="AF277">
            <v>85.784377295022125</v>
          </cell>
          <cell r="AG277">
            <v>90.147175236316116</v>
          </cell>
          <cell r="AH277">
            <v>90.147175236316116</v>
          </cell>
        </row>
        <row r="278">
          <cell r="AD278">
            <v>81.082568038258216</v>
          </cell>
          <cell r="AE278">
            <v>83.240413112816825</v>
          </cell>
          <cell r="AF278">
            <v>85.830679286681345</v>
          </cell>
          <cell r="AG278">
            <v>90.153408833788205</v>
          </cell>
          <cell r="AH278">
            <v>90.153408833788205</v>
          </cell>
        </row>
        <row r="279">
          <cell r="AD279">
            <v>81.133348089747955</v>
          </cell>
          <cell r="AE279">
            <v>83.3010778593341</v>
          </cell>
          <cell r="AF279">
            <v>85.876981278340565</v>
          </cell>
          <cell r="AG279">
            <v>90.159642431260295</v>
          </cell>
          <cell r="AH279">
            <v>90.159642431260295</v>
          </cell>
        </row>
        <row r="280">
          <cell r="AD280">
            <v>81.184128141237707</v>
          </cell>
          <cell r="AE280">
            <v>83.361742605851376</v>
          </cell>
          <cell r="AF280">
            <v>85.923283269999786</v>
          </cell>
          <cell r="AG280">
            <v>90.165876028732384</v>
          </cell>
          <cell r="AH280">
            <v>90.165876028732384</v>
          </cell>
        </row>
        <row r="281">
          <cell r="AD281">
            <v>81.23490819272746</v>
          </cell>
          <cell r="AE281">
            <v>83.422407352368666</v>
          </cell>
          <cell r="AF281">
            <v>85.969585261658992</v>
          </cell>
          <cell r="AG281">
            <v>90.172109626204474</v>
          </cell>
          <cell r="AH281">
            <v>90.172109626204474</v>
          </cell>
        </row>
        <row r="282">
          <cell r="AD282">
            <v>81.285688244217212</v>
          </cell>
          <cell r="AE282">
            <v>83.483072098885941</v>
          </cell>
          <cell r="AF282">
            <v>86.021803322022024</v>
          </cell>
          <cell r="AG282">
            <v>90.178343223676578</v>
          </cell>
          <cell r="AH282">
            <v>90.178343223676578</v>
          </cell>
        </row>
        <row r="283">
          <cell r="AD283">
            <v>81.336468295706965</v>
          </cell>
          <cell r="AE283">
            <v>83.543736845403217</v>
          </cell>
          <cell r="AF283">
            <v>86.085347171558894</v>
          </cell>
          <cell r="AG283">
            <v>90.184576821148667</v>
          </cell>
          <cell r="AH283">
            <v>90.184576821148667</v>
          </cell>
        </row>
        <row r="284">
          <cell r="AD284">
            <v>81.387248347196717</v>
          </cell>
          <cell r="AE284">
            <v>83.604401591920507</v>
          </cell>
          <cell r="AF284">
            <v>86.148891021095778</v>
          </cell>
          <cell r="AG284">
            <v>90.190810418620757</v>
          </cell>
          <cell r="AH284">
            <v>90.190810418620757</v>
          </cell>
        </row>
        <row r="285">
          <cell r="AD285">
            <v>81.43802839868647</v>
          </cell>
          <cell r="AE285">
            <v>83.665066338437782</v>
          </cell>
          <cell r="AF285">
            <v>86.212434870632649</v>
          </cell>
          <cell r="AG285">
            <v>90.197044016092846</v>
          </cell>
          <cell r="AH285">
            <v>90.197044016092846</v>
          </cell>
        </row>
        <row r="286">
          <cell r="AD286">
            <v>81.488808450176222</v>
          </cell>
          <cell r="AE286">
            <v>83.725731084955072</v>
          </cell>
          <cell r="AF286">
            <v>86.275978720169533</v>
          </cell>
          <cell r="AG286">
            <v>90.20327761356495</v>
          </cell>
          <cell r="AH286">
            <v>90.20327761356495</v>
          </cell>
        </row>
        <row r="287">
          <cell r="AD287">
            <v>81.539588501665975</v>
          </cell>
          <cell r="AE287">
            <v>83.786395831472348</v>
          </cell>
          <cell r="AF287">
            <v>86.339522569706403</v>
          </cell>
          <cell r="AG287">
            <v>90.209511211037039</v>
          </cell>
          <cell r="AH287">
            <v>90.209511211037039</v>
          </cell>
        </row>
        <row r="288">
          <cell r="AD288">
            <v>81.590368553155727</v>
          </cell>
          <cell r="AE288">
            <v>83.847060577989623</v>
          </cell>
          <cell r="AF288">
            <v>86.403066419243288</v>
          </cell>
          <cell r="AG288">
            <v>90.215744808509129</v>
          </cell>
          <cell r="AH288">
            <v>90.215744808509129</v>
          </cell>
        </row>
        <row r="289">
          <cell r="AD289">
            <v>81.64114860464548</v>
          </cell>
          <cell r="AE289">
            <v>83.907725324506913</v>
          </cell>
          <cell r="AF289">
            <v>86.466610268780158</v>
          </cell>
          <cell r="AG289">
            <v>90.221978405981218</v>
          </cell>
          <cell r="AH289">
            <v>90.221978405981218</v>
          </cell>
        </row>
        <row r="290">
          <cell r="AD290">
            <v>81.691928656135218</v>
          </cell>
          <cell r="AE290">
            <v>83.968390071024189</v>
          </cell>
          <cell r="AF290">
            <v>86.530154118317043</v>
          </cell>
          <cell r="AG290">
            <v>90.228212003453322</v>
          </cell>
          <cell r="AH290">
            <v>90.228212003453322</v>
          </cell>
        </row>
        <row r="291">
          <cell r="AD291">
            <v>81.742708707624971</v>
          </cell>
          <cell r="AE291">
            <v>84.020750872413302</v>
          </cell>
          <cell r="AF291">
            <v>86.593697967853927</v>
          </cell>
          <cell r="AG291">
            <v>90.234445600925412</v>
          </cell>
          <cell r="AH291">
            <v>90.234445600925412</v>
          </cell>
        </row>
        <row r="292">
          <cell r="AD292">
            <v>81.793488759114723</v>
          </cell>
          <cell r="AE292">
            <v>84.064077470942749</v>
          </cell>
          <cell r="AF292">
            <v>86.657241817390798</v>
          </cell>
          <cell r="AG292">
            <v>90.240679198397501</v>
          </cell>
          <cell r="AH292">
            <v>90.240679198397501</v>
          </cell>
        </row>
        <row r="293">
          <cell r="AD293">
            <v>81.844268810604476</v>
          </cell>
          <cell r="AE293">
            <v>84.107404069472196</v>
          </cell>
          <cell r="AF293">
            <v>86.720785666927682</v>
          </cell>
          <cell r="AG293">
            <v>90.246912795869591</v>
          </cell>
          <cell r="AH293">
            <v>90.246912795869591</v>
          </cell>
        </row>
        <row r="294">
          <cell r="AD294">
            <v>81.895048862094228</v>
          </cell>
          <cell r="AE294">
            <v>84.150730668001628</v>
          </cell>
          <cell r="AF294">
            <v>86.784329516464553</v>
          </cell>
          <cell r="AG294">
            <v>90.25314639334168</v>
          </cell>
          <cell r="AH294">
            <v>90.25314639334168</v>
          </cell>
        </row>
        <row r="295">
          <cell r="AD295">
            <v>81.945828913583981</v>
          </cell>
          <cell r="AE295">
            <v>84.194057266531075</v>
          </cell>
          <cell r="AF295">
            <v>86.847873366001437</v>
          </cell>
          <cell r="AG295">
            <v>90.259379990813784</v>
          </cell>
          <cell r="AH295">
            <v>90.259379990813784</v>
          </cell>
        </row>
        <row r="296">
          <cell r="AD296">
            <v>81.996608965073733</v>
          </cell>
          <cell r="AE296">
            <v>84.237383865060522</v>
          </cell>
          <cell r="AF296">
            <v>86.911417215538307</v>
          </cell>
          <cell r="AG296">
            <v>90.265613588285873</v>
          </cell>
          <cell r="AH296">
            <v>90.265613588285873</v>
          </cell>
        </row>
        <row r="297">
          <cell r="AD297">
            <v>82.044215515890215</v>
          </cell>
          <cell r="AE297">
            <v>84.280710463589955</v>
          </cell>
          <cell r="AF297">
            <v>86.974961065075192</v>
          </cell>
          <cell r="AG297">
            <v>90.271847185757963</v>
          </cell>
          <cell r="AH297">
            <v>90.271847185757963</v>
          </cell>
        </row>
        <row r="298">
          <cell r="AD298">
            <v>82.091594979242089</v>
          </cell>
          <cell r="AE298">
            <v>84.324037062119402</v>
          </cell>
          <cell r="AF298">
            <v>87.04004377810007</v>
          </cell>
          <cell r="AG298">
            <v>90.278080783230052</v>
          </cell>
          <cell r="AH298">
            <v>90.278080783230052</v>
          </cell>
        </row>
        <row r="299">
          <cell r="AD299">
            <v>82.138974442593963</v>
          </cell>
          <cell r="AE299">
            <v>84.367363660648849</v>
          </cell>
          <cell r="AF299">
            <v>87.106127181637376</v>
          </cell>
          <cell r="AG299">
            <v>90.284314380702156</v>
          </cell>
          <cell r="AH299">
            <v>90.284314380702156</v>
          </cell>
        </row>
        <row r="300">
          <cell r="AD300">
            <v>82.186353905945836</v>
          </cell>
          <cell r="AE300">
            <v>84.410690259178281</v>
          </cell>
          <cell r="AF300">
            <v>87.172210585174682</v>
          </cell>
          <cell r="AG300">
            <v>90.290547978174246</v>
          </cell>
          <cell r="AH300">
            <v>90.290547978174246</v>
          </cell>
        </row>
        <row r="301">
          <cell r="AD301">
            <v>82.23373336929771</v>
          </cell>
          <cell r="AE301">
            <v>84.454016857707728</v>
          </cell>
          <cell r="AF301">
            <v>87.238293988711987</v>
          </cell>
          <cell r="AG301">
            <v>90.296781575646335</v>
          </cell>
          <cell r="AH301">
            <v>90.296781575646335</v>
          </cell>
        </row>
        <row r="302">
          <cell r="AD302">
            <v>82.281112832649583</v>
          </cell>
          <cell r="AE302">
            <v>84.497343456237175</v>
          </cell>
          <cell r="AF302">
            <v>87.304377392249293</v>
          </cell>
          <cell r="AG302">
            <v>90.303015173118425</v>
          </cell>
          <cell r="AH302">
            <v>90.303015173118425</v>
          </cell>
        </row>
        <row r="303">
          <cell r="AD303">
            <v>82.328492296001457</v>
          </cell>
          <cell r="AE303">
            <v>84.540670054766608</v>
          </cell>
          <cell r="AF303">
            <v>87.370460795786599</v>
          </cell>
          <cell r="AG303">
            <v>90.309248770590514</v>
          </cell>
          <cell r="AH303">
            <v>90.309248770590514</v>
          </cell>
        </row>
        <row r="304">
          <cell r="AD304">
            <v>82.375871759353331</v>
          </cell>
          <cell r="AE304">
            <v>84.583996653296055</v>
          </cell>
          <cell r="AF304">
            <v>87.436544199323905</v>
          </cell>
          <cell r="AG304">
            <v>90.315482368062618</v>
          </cell>
          <cell r="AH304">
            <v>90.315482368062618</v>
          </cell>
        </row>
        <row r="305">
          <cell r="AD305">
            <v>82.423251222705204</v>
          </cell>
          <cell r="AE305">
            <v>84.627323251825501</v>
          </cell>
          <cell r="AF305">
            <v>87.50262760286121</v>
          </cell>
          <cell r="AG305">
            <v>90.321715965534707</v>
          </cell>
          <cell r="AH305">
            <v>90.321715965534707</v>
          </cell>
        </row>
        <row r="306">
          <cell r="AD306">
            <v>82.470630686057078</v>
          </cell>
          <cell r="AE306">
            <v>84.670649850354934</v>
          </cell>
          <cell r="AF306">
            <v>87.568711006398516</v>
          </cell>
          <cell r="AG306">
            <v>90.327949563006797</v>
          </cell>
          <cell r="AH306">
            <v>90.327949563006797</v>
          </cell>
        </row>
        <row r="307">
          <cell r="AD307">
            <v>82.518010149408951</v>
          </cell>
          <cell r="AE307">
            <v>84.713976448884381</v>
          </cell>
          <cell r="AF307">
            <v>87.634794409935822</v>
          </cell>
          <cell r="AG307">
            <v>90.334183160478887</v>
          </cell>
          <cell r="AH307">
            <v>90.334183160478887</v>
          </cell>
        </row>
        <row r="308">
          <cell r="AD308">
            <v>82.565389612760825</v>
          </cell>
          <cell r="AE308">
            <v>84.757303047413828</v>
          </cell>
          <cell r="AF308">
            <v>87.700877813473127</v>
          </cell>
          <cell r="AG308">
            <v>90.34041675795099</v>
          </cell>
          <cell r="AH308">
            <v>90.34041675795099</v>
          </cell>
        </row>
        <row r="309">
          <cell r="AD309">
            <v>82.612769076112698</v>
          </cell>
          <cell r="AE309">
            <v>84.80062964594326</v>
          </cell>
          <cell r="AF309">
            <v>87.766961217010433</v>
          </cell>
          <cell r="AG309">
            <v>90.34665035542308</v>
          </cell>
          <cell r="AH309">
            <v>90.34665035542308</v>
          </cell>
        </row>
        <row r="310">
          <cell r="AD310">
            <v>82.660148539464572</v>
          </cell>
          <cell r="AE310">
            <v>84.843956244472707</v>
          </cell>
          <cell r="AF310">
            <v>87.833044620547739</v>
          </cell>
          <cell r="AG310">
            <v>90.352883952895169</v>
          </cell>
          <cell r="AH310">
            <v>90.352883952895169</v>
          </cell>
        </row>
        <row r="311">
          <cell r="AD311">
            <v>82.707528002816446</v>
          </cell>
          <cell r="AE311">
            <v>84.887282843002154</v>
          </cell>
          <cell r="AF311">
            <v>87.899128024085044</v>
          </cell>
          <cell r="AG311">
            <v>90.359117550367259</v>
          </cell>
          <cell r="AH311">
            <v>90.359117550367259</v>
          </cell>
        </row>
        <row r="312">
          <cell r="AD312">
            <v>82.754907466168319</v>
          </cell>
          <cell r="AE312">
            <v>84.930609441531587</v>
          </cell>
          <cell r="AF312">
            <v>87.96521142762235</v>
          </cell>
          <cell r="AG312">
            <v>90.365351147839363</v>
          </cell>
          <cell r="AH312">
            <v>90.365351147839363</v>
          </cell>
        </row>
        <row r="313">
          <cell r="AD313">
            <v>82.802286929520193</v>
          </cell>
          <cell r="AE313">
            <v>84.973936040061034</v>
          </cell>
          <cell r="AF313">
            <v>88.036783244232311</v>
          </cell>
          <cell r="AG313">
            <v>90.371584745311452</v>
          </cell>
          <cell r="AH313">
            <v>90.371584745311452</v>
          </cell>
        </row>
        <row r="314">
          <cell r="AD314">
            <v>82.849666392872066</v>
          </cell>
          <cell r="AE314">
            <v>85.014071428822817</v>
          </cell>
          <cell r="AF314">
            <v>88.114456197941962</v>
          </cell>
          <cell r="AG314">
            <v>90.377818342783542</v>
          </cell>
          <cell r="AH314">
            <v>90.377818342783542</v>
          </cell>
        </row>
        <row r="315">
          <cell r="AD315">
            <v>82.89704585622394</v>
          </cell>
          <cell r="AE315">
            <v>85.049388575975385</v>
          </cell>
          <cell r="AF315">
            <v>88.192129151651613</v>
          </cell>
          <cell r="AG315">
            <v>90.384051940255631</v>
          </cell>
          <cell r="AH315">
            <v>90.384051940255631</v>
          </cell>
        </row>
        <row r="316">
          <cell r="AD316">
            <v>82.944425319575814</v>
          </cell>
          <cell r="AE316">
            <v>85.084705723127968</v>
          </cell>
          <cell r="AF316">
            <v>88.269802105361265</v>
          </cell>
          <cell r="AG316">
            <v>90.390285537727721</v>
          </cell>
          <cell r="AH316">
            <v>90.390285537727721</v>
          </cell>
        </row>
        <row r="317">
          <cell r="AD317">
            <v>82.991804782927687</v>
          </cell>
          <cell r="AE317">
            <v>85.120022870280536</v>
          </cell>
          <cell r="AF317">
            <v>88.347475059070916</v>
          </cell>
          <cell r="AG317">
            <v>90.396519135199824</v>
          </cell>
          <cell r="AH317">
            <v>90.396519135199824</v>
          </cell>
        </row>
        <row r="318">
          <cell r="AD318">
            <v>83.03656019452734</v>
          </cell>
          <cell r="AE318">
            <v>85.155340017433119</v>
          </cell>
          <cell r="AF318">
            <v>88.425148012780568</v>
          </cell>
          <cell r="AG318">
            <v>90.402752732671914</v>
          </cell>
          <cell r="AH318">
            <v>90.402752732671914</v>
          </cell>
        </row>
        <row r="319">
          <cell r="AD319">
            <v>83.080766796955942</v>
          </cell>
          <cell r="AE319">
            <v>85.190657164585687</v>
          </cell>
          <cell r="AF319">
            <v>88.502820966490219</v>
          </cell>
          <cell r="AG319">
            <v>90.408986330144003</v>
          </cell>
          <cell r="AH319">
            <v>90.408986330144003</v>
          </cell>
        </row>
        <row r="320">
          <cell r="AD320">
            <v>83.124973399384558</v>
          </cell>
          <cell r="AE320">
            <v>85.22597431173827</v>
          </cell>
          <cell r="AF320">
            <v>88.580493920199871</v>
          </cell>
          <cell r="AG320">
            <v>90.415219927616093</v>
          </cell>
          <cell r="AH320">
            <v>90.415219927616093</v>
          </cell>
        </row>
        <row r="321">
          <cell r="AD321">
            <v>83.16918000181316</v>
          </cell>
          <cell r="AE321">
            <v>85.261291458890838</v>
          </cell>
          <cell r="AF321">
            <v>88.658166873909522</v>
          </cell>
          <cell r="AG321">
            <v>90.421453525088197</v>
          </cell>
          <cell r="AH321">
            <v>90.421453525088197</v>
          </cell>
        </row>
        <row r="322">
          <cell r="AD322">
            <v>83.213386604241776</v>
          </cell>
          <cell r="AE322">
            <v>85.296608606043421</v>
          </cell>
          <cell r="AF322">
            <v>88.735839827619159</v>
          </cell>
          <cell r="AG322">
            <v>90.427687122560286</v>
          </cell>
          <cell r="AH322">
            <v>90.427687122560286</v>
          </cell>
        </row>
        <row r="323">
          <cell r="AD323">
            <v>83.257593206670379</v>
          </cell>
          <cell r="AE323">
            <v>85.331925753195989</v>
          </cell>
          <cell r="AF323">
            <v>88.813512781328811</v>
          </cell>
          <cell r="AG323">
            <v>90.433920720032376</v>
          </cell>
          <cell r="AH323">
            <v>90.433920720032376</v>
          </cell>
        </row>
        <row r="324">
          <cell r="AD324">
            <v>83.301799809098995</v>
          </cell>
          <cell r="AE324">
            <v>85.367242900348572</v>
          </cell>
          <cell r="AF324">
            <v>88.891185735038462</v>
          </cell>
          <cell r="AG324">
            <v>90.440154317504465</v>
          </cell>
          <cell r="AH324">
            <v>90.440154317504465</v>
          </cell>
        </row>
        <row r="325">
          <cell r="AD325">
            <v>83.346006411527597</v>
          </cell>
          <cell r="AE325">
            <v>85.40256004750114</v>
          </cell>
          <cell r="AF325">
            <v>88.968858688748114</v>
          </cell>
          <cell r="AG325">
            <v>90.446387914976555</v>
          </cell>
          <cell r="AH325">
            <v>90.446387914976555</v>
          </cell>
        </row>
        <row r="326">
          <cell r="AD326">
            <v>83.390213013956213</v>
          </cell>
          <cell r="AE326">
            <v>85.437877194653723</v>
          </cell>
          <cell r="AF326">
            <v>89.040316877883427</v>
          </cell>
          <cell r="AG326">
            <v>90.452621512448658</v>
          </cell>
          <cell r="AH326">
            <v>90.452621512448658</v>
          </cell>
        </row>
        <row r="327">
          <cell r="AD327">
            <v>83.434419616384815</v>
          </cell>
          <cell r="AE327">
            <v>85.473194341806291</v>
          </cell>
          <cell r="AF327">
            <v>89.107615834553584</v>
          </cell>
          <cell r="AG327">
            <v>90.458855109920748</v>
          </cell>
          <cell r="AH327">
            <v>90.458855109920748</v>
          </cell>
        </row>
        <row r="328">
          <cell r="AD328">
            <v>83.478626218813432</v>
          </cell>
          <cell r="AE328">
            <v>85.508511488958874</v>
          </cell>
          <cell r="AF328">
            <v>89.174914791223756</v>
          </cell>
          <cell r="AG328">
            <v>90.465088707392837</v>
          </cell>
          <cell r="AH328">
            <v>90.465088707392837</v>
          </cell>
        </row>
        <row r="329">
          <cell r="AD329">
            <v>83.522832821242034</v>
          </cell>
          <cell r="AE329">
            <v>85.543828636111442</v>
          </cell>
          <cell r="AF329">
            <v>89.242213747893928</v>
          </cell>
          <cell r="AG329">
            <v>90.471322304864927</v>
          </cell>
          <cell r="AH329">
            <v>90.471322304864927</v>
          </cell>
        </row>
        <row r="330">
          <cell r="AD330">
            <v>83.56703942367065</v>
          </cell>
          <cell r="AE330">
            <v>85.579145783264025</v>
          </cell>
          <cell r="AF330">
            <v>89.309512704564085</v>
          </cell>
          <cell r="AG330">
            <v>90.477555902337031</v>
          </cell>
          <cell r="AH330">
            <v>90.477555902337031</v>
          </cell>
        </row>
        <row r="331">
          <cell r="AD331">
            <v>83.611246026099252</v>
          </cell>
          <cell r="AE331">
            <v>85.614462930416593</v>
          </cell>
          <cell r="AF331">
            <v>89.376811661234257</v>
          </cell>
          <cell r="AG331">
            <v>90.48378949980912</v>
          </cell>
          <cell r="AH331">
            <v>90.48378949980912</v>
          </cell>
        </row>
        <row r="332">
          <cell r="AD332">
            <v>83.655452628527868</v>
          </cell>
          <cell r="AE332">
            <v>85.649780077569176</v>
          </cell>
          <cell r="AF332">
            <v>89.444110617904428</v>
          </cell>
          <cell r="AG332">
            <v>90.49002309728121</v>
          </cell>
          <cell r="AH332">
            <v>90.49002309728121</v>
          </cell>
        </row>
        <row r="333">
          <cell r="AD333">
            <v>83.69965923095647</v>
          </cell>
          <cell r="AE333">
            <v>85.685097224721744</v>
          </cell>
          <cell r="AF333">
            <v>89.511409574574586</v>
          </cell>
          <cell r="AG333">
            <v>90.496256694753299</v>
          </cell>
          <cell r="AH333">
            <v>90.496256694753299</v>
          </cell>
        </row>
        <row r="334">
          <cell r="AD334">
            <v>83.743865833385087</v>
          </cell>
          <cell r="AE334">
            <v>85.720414371874327</v>
          </cell>
          <cell r="AF334">
            <v>89.578708531244757</v>
          </cell>
          <cell r="AG334">
            <v>90.502490292225389</v>
          </cell>
          <cell r="AH334">
            <v>90.502490292225389</v>
          </cell>
        </row>
        <row r="335">
          <cell r="AD335">
            <v>83.788072435813689</v>
          </cell>
          <cell r="AE335">
            <v>85.755731519026895</v>
          </cell>
          <cell r="AF335">
            <v>89.646007487914929</v>
          </cell>
          <cell r="AG335">
            <v>90.508723889697492</v>
          </cell>
          <cell r="AH335">
            <v>90.508723889697492</v>
          </cell>
        </row>
        <row r="336">
          <cell r="AD336">
            <v>83.832279038242305</v>
          </cell>
          <cell r="AE336">
            <v>85.791048666179478</v>
          </cell>
          <cell r="AF336">
            <v>89.713306444585086</v>
          </cell>
          <cell r="AG336">
            <v>90.514957487169582</v>
          </cell>
          <cell r="AH336">
            <v>90.514957487169582</v>
          </cell>
        </row>
        <row r="337">
          <cell r="AD337">
            <v>83.876485640670907</v>
          </cell>
          <cell r="AE337">
            <v>85.826365813332046</v>
          </cell>
          <cell r="AF337">
            <v>89.780605401255258</v>
          </cell>
          <cell r="AG337">
            <v>90.521191084641671</v>
          </cell>
          <cell r="AH337">
            <v>90.521191084641671</v>
          </cell>
        </row>
        <row r="338">
          <cell r="AD338">
            <v>83.920692243099523</v>
          </cell>
          <cell r="AE338">
            <v>85.861682960484629</v>
          </cell>
          <cell r="AF338">
            <v>89.84790435792543</v>
          </cell>
          <cell r="AG338">
            <v>90.527424682113761</v>
          </cell>
          <cell r="AH338">
            <v>90.527424682113761</v>
          </cell>
        </row>
        <row r="339">
          <cell r="AD339">
            <v>83.964898845528126</v>
          </cell>
          <cell r="AE339">
            <v>85.897000107637197</v>
          </cell>
          <cell r="AF339">
            <v>89.915203314595587</v>
          </cell>
          <cell r="AG339">
            <v>90.533658279585865</v>
          </cell>
          <cell r="AH339">
            <v>90.533658279585865</v>
          </cell>
        </row>
        <row r="340">
          <cell r="AD340">
            <v>84.008495683346354</v>
          </cell>
          <cell r="AE340">
            <v>85.93231725478978</v>
          </cell>
          <cell r="AF340">
            <v>89.982502271265759</v>
          </cell>
          <cell r="AG340">
            <v>90.539891877057954</v>
          </cell>
          <cell r="AH340">
            <v>90.539891877057954</v>
          </cell>
        </row>
        <row r="341">
          <cell r="AD341">
            <v>84.049741901856009</v>
          </cell>
          <cell r="AE341">
            <v>85.967634401942348</v>
          </cell>
          <cell r="AF341">
            <v>90.010061044761784</v>
          </cell>
          <cell r="AG341">
            <v>90.546125474530044</v>
          </cell>
          <cell r="AH341">
            <v>90.546125474530044</v>
          </cell>
        </row>
        <row r="342">
          <cell r="AD342">
            <v>84.090988120365651</v>
          </cell>
          <cell r="AE342">
            <v>86.003745354881502</v>
          </cell>
          <cell r="AF342">
            <v>90.023657051196622</v>
          </cell>
          <cell r="AG342">
            <v>90.552359072002133</v>
          </cell>
          <cell r="AH342">
            <v>90.552359072002133</v>
          </cell>
        </row>
        <row r="343">
          <cell r="AD343">
            <v>84.132234338875293</v>
          </cell>
          <cell r="AE343">
            <v>86.048560889109268</v>
          </cell>
          <cell r="AF343">
            <v>90.03725305763146</v>
          </cell>
          <cell r="AG343">
            <v>90.558592669474237</v>
          </cell>
          <cell r="AH343">
            <v>90.558592669474237</v>
          </cell>
        </row>
        <row r="344">
          <cell r="AD344">
            <v>84.173480557384934</v>
          </cell>
          <cell r="AE344">
            <v>86.093376423337034</v>
          </cell>
          <cell r="AF344">
            <v>90.050849064066298</v>
          </cell>
          <cell r="AG344">
            <v>90.564826266946326</v>
          </cell>
          <cell r="AH344">
            <v>90.564826266946326</v>
          </cell>
        </row>
        <row r="345">
          <cell r="AD345">
            <v>84.214726775894576</v>
          </cell>
          <cell r="AE345">
            <v>86.1381919575648</v>
          </cell>
          <cell r="AF345">
            <v>90.064445070501137</v>
          </cell>
          <cell r="AG345">
            <v>90.571059864418416</v>
          </cell>
          <cell r="AH345">
            <v>90.571059864418416</v>
          </cell>
        </row>
        <row r="346">
          <cell r="AD346">
            <v>84.255972994404218</v>
          </cell>
          <cell r="AE346">
            <v>86.183007491792551</v>
          </cell>
          <cell r="AF346">
            <v>90.078041076935975</v>
          </cell>
          <cell r="AG346">
            <v>90.577293461890505</v>
          </cell>
          <cell r="AH346">
            <v>90.577293461890505</v>
          </cell>
        </row>
        <row r="347">
          <cell r="AD347">
            <v>84.297219212913859</v>
          </cell>
          <cell r="AE347">
            <v>86.227823026020317</v>
          </cell>
          <cell r="AF347">
            <v>90.091637083370813</v>
          </cell>
          <cell r="AG347">
            <v>90.583527059362595</v>
          </cell>
          <cell r="AH347">
            <v>90.583527059362595</v>
          </cell>
        </row>
        <row r="348">
          <cell r="AD348">
            <v>84.338465431423501</v>
          </cell>
          <cell r="AE348">
            <v>86.272638560248083</v>
          </cell>
          <cell r="AF348">
            <v>90.105233089805651</v>
          </cell>
          <cell r="AG348">
            <v>90.589760656834699</v>
          </cell>
          <cell r="AH348">
            <v>90.589760656834699</v>
          </cell>
        </row>
        <row r="349">
          <cell r="AD349">
            <v>84.379711649933142</v>
          </cell>
          <cell r="AE349">
            <v>86.317454094475849</v>
          </cell>
          <cell r="AF349">
            <v>90.118829096240489</v>
          </cell>
          <cell r="AG349">
            <v>90.595994254306788</v>
          </cell>
          <cell r="AH349">
            <v>90.595994254306788</v>
          </cell>
        </row>
        <row r="350">
          <cell r="AD350">
            <v>84.420957868442784</v>
          </cell>
          <cell r="AE350">
            <v>86.362269628703615</v>
          </cell>
          <cell r="AF350">
            <v>90.132425102675327</v>
          </cell>
          <cell r="AG350">
            <v>90.602227851778878</v>
          </cell>
          <cell r="AH350">
            <v>90.602227851778878</v>
          </cell>
        </row>
        <row r="351">
          <cell r="AD351">
            <v>84.462204086952426</v>
          </cell>
          <cell r="AE351">
            <v>86.407085162931381</v>
          </cell>
          <cell r="AF351">
            <v>90.14602110911018</v>
          </cell>
          <cell r="AG351">
            <v>90.608461449250967</v>
          </cell>
          <cell r="AH351">
            <v>90.608461449250967</v>
          </cell>
        </row>
        <row r="352">
          <cell r="AD352">
            <v>84.503450305462081</v>
          </cell>
          <cell r="AE352">
            <v>86.451900697159132</v>
          </cell>
          <cell r="AF352">
            <v>90.159617115545018</v>
          </cell>
          <cell r="AG352">
            <v>90.614695046723071</v>
          </cell>
          <cell r="AH352">
            <v>90.614695046723071</v>
          </cell>
        </row>
        <row r="353">
          <cell r="AD353">
            <v>84.544696523971723</v>
          </cell>
          <cell r="AE353">
            <v>86.496716231386898</v>
          </cell>
          <cell r="AF353">
            <v>90.173213121979856</v>
          </cell>
          <cell r="AG353">
            <v>90.62092864419516</v>
          </cell>
          <cell r="AH353">
            <v>90.62092864419516</v>
          </cell>
        </row>
        <row r="354">
          <cell r="AD354">
            <v>84.585942742481365</v>
          </cell>
          <cell r="AE354">
            <v>86.541531765614664</v>
          </cell>
          <cell r="AF354">
            <v>90.186809128414694</v>
          </cell>
          <cell r="AG354">
            <v>90.62716224166725</v>
          </cell>
          <cell r="AH354">
            <v>90.62716224166725</v>
          </cell>
        </row>
        <row r="355">
          <cell r="AD355">
            <v>84.627188960991006</v>
          </cell>
          <cell r="AE355">
            <v>86.58634729984243</v>
          </cell>
          <cell r="AF355">
            <v>90.200405134849532</v>
          </cell>
          <cell r="AG355">
            <v>90.63339583913934</v>
          </cell>
          <cell r="AH355">
            <v>90.63339583913934</v>
          </cell>
        </row>
        <row r="356">
          <cell r="AD356">
            <v>84.668435179500648</v>
          </cell>
          <cell r="AE356">
            <v>86.631162834070196</v>
          </cell>
          <cell r="AF356">
            <v>90.214001141284371</v>
          </cell>
          <cell r="AG356">
            <v>90.639629436611429</v>
          </cell>
          <cell r="AH356">
            <v>90.639629436611429</v>
          </cell>
        </row>
        <row r="357">
          <cell r="AD357">
            <v>84.709681398010289</v>
          </cell>
          <cell r="AE357">
            <v>86.675978368297947</v>
          </cell>
          <cell r="AF357">
            <v>90.227597147719209</v>
          </cell>
          <cell r="AG357">
            <v>90.645863034083533</v>
          </cell>
          <cell r="AH357">
            <v>90.645863034083533</v>
          </cell>
        </row>
        <row r="358">
          <cell r="AD358">
            <v>84.750927616519931</v>
          </cell>
          <cell r="AE358">
            <v>86.720793902525713</v>
          </cell>
          <cell r="AF358">
            <v>90.241193154154047</v>
          </cell>
          <cell r="AG358">
            <v>90.652096631555622</v>
          </cell>
          <cell r="AH358">
            <v>90.652096631555622</v>
          </cell>
        </row>
        <row r="359">
          <cell r="AD359">
            <v>84.792173835029573</v>
          </cell>
          <cell r="AE359">
            <v>86.765609436753479</v>
          </cell>
          <cell r="AF359">
            <v>90.254789160588885</v>
          </cell>
          <cell r="AG359">
            <v>90.658330229027712</v>
          </cell>
          <cell r="AH359">
            <v>90.658330229027712</v>
          </cell>
        </row>
        <row r="360">
          <cell r="AD360">
            <v>84.833420053539214</v>
          </cell>
          <cell r="AE360">
            <v>86.810424970981245</v>
          </cell>
          <cell r="AF360">
            <v>90.268385167023723</v>
          </cell>
          <cell r="AG360">
            <v>90.664563826499801</v>
          </cell>
          <cell r="AH360">
            <v>90.664563826499801</v>
          </cell>
        </row>
        <row r="361">
          <cell r="AD361">
            <v>84.874666272048856</v>
          </cell>
          <cell r="AE361">
            <v>86.855240505209011</v>
          </cell>
          <cell r="AF361">
            <v>90.281981173458561</v>
          </cell>
          <cell r="AG361">
            <v>90.670797423971905</v>
          </cell>
          <cell r="AH361">
            <v>90.670797423971905</v>
          </cell>
        </row>
        <row r="362">
          <cell r="AD362">
            <v>84.915912490558497</v>
          </cell>
          <cell r="AE362">
            <v>86.900056039436777</v>
          </cell>
          <cell r="AF362">
            <v>90.295577179893399</v>
          </cell>
          <cell r="AG362">
            <v>90.677031021443995</v>
          </cell>
          <cell r="AH362">
            <v>90.677031021443995</v>
          </cell>
        </row>
        <row r="363">
          <cell r="AD363">
            <v>84.957158709068153</v>
          </cell>
          <cell r="AE363">
            <v>86.944871573664528</v>
          </cell>
          <cell r="AF363">
            <v>90.309173186328238</v>
          </cell>
          <cell r="AG363">
            <v>90.683264618916084</v>
          </cell>
          <cell r="AH363">
            <v>90.683264618916084</v>
          </cell>
        </row>
      </sheetData>
      <sheetData sheetId="2" refreshError="1"/>
      <sheetData sheetId="3" refreshError="1"/>
      <sheetData sheetId="4" refreshError="1"/>
      <sheetData sheetId="5" refreshError="1"/>
      <sheetData sheetId="6">
        <row r="6">
          <cell r="C6">
            <v>4181.4304135525017</v>
          </cell>
          <cell r="D6">
            <v>4358.8980881106154</v>
          </cell>
          <cell r="E6">
            <v>4365.9331746695425</v>
          </cell>
          <cell r="F6">
            <v>4057.7719681757521</v>
          </cell>
          <cell r="G6">
            <v>3399.4201146429568</v>
          </cell>
          <cell r="T6">
            <v>13200</v>
          </cell>
          <cell r="U6">
            <v>13329.41613021947</v>
          </cell>
          <cell r="V6">
            <v>13866.098846933324</v>
          </cell>
          <cell r="W6">
            <v>13835.45361934448</v>
          </cell>
          <cell r="X6">
            <v>14015.680499090682</v>
          </cell>
        </row>
        <row r="7">
          <cell r="C7">
            <v>10655.358557079609</v>
          </cell>
          <cell r="D7">
            <v>10930.995134443907</v>
          </cell>
          <cell r="E7">
            <v>10822.965650168651</v>
          </cell>
          <cell r="F7">
            <v>9969.4870480171448</v>
          </cell>
          <cell r="G7">
            <v>8338.7766445841316</v>
          </cell>
          <cell r="T7">
            <v>26400</v>
          </cell>
          <cell r="U7">
            <v>26658.83226043894</v>
          </cell>
          <cell r="V7">
            <v>27732.197693866648</v>
          </cell>
          <cell r="W7">
            <v>27670.907238688975</v>
          </cell>
          <cell r="X7">
            <v>28031.360998181364</v>
          </cell>
        </row>
        <row r="8">
          <cell r="C8">
            <v>18725.461361240912</v>
          </cell>
          <cell r="D8">
            <v>19205.966290733624</v>
          </cell>
          <cell r="E8">
            <v>18986.137797497897</v>
          </cell>
          <cell r="F8">
            <v>17536.340476496931</v>
          </cell>
          <cell r="G8">
            <v>14805.573789167149</v>
          </cell>
          <cell r="T8">
            <v>39600</v>
          </cell>
          <cell r="U8">
            <v>39988.248390658409</v>
          </cell>
          <cell r="V8">
            <v>41598.296540799987</v>
          </cell>
          <cell r="W8">
            <v>41506.360858033469</v>
          </cell>
          <cell r="X8">
            <v>42047.041497272032</v>
          </cell>
        </row>
        <row r="9">
          <cell r="C9">
            <v>31194.221053811634</v>
          </cell>
          <cell r="D9">
            <v>31645.187482476285</v>
          </cell>
          <cell r="E9">
            <v>30990.839510316953</v>
          </cell>
          <cell r="F9">
            <v>28217.235027196992</v>
          </cell>
          <cell r="G9">
            <v>23591.624673387789</v>
          </cell>
          <cell r="T9">
            <v>52800</v>
          </cell>
          <cell r="U9">
            <v>53317.664520877894</v>
          </cell>
          <cell r="V9">
            <v>55464.395387733312</v>
          </cell>
          <cell r="W9">
            <v>55341.814477377964</v>
          </cell>
          <cell r="X9">
            <v>56062.721996362714</v>
          </cell>
        </row>
        <row r="10">
          <cell r="C10">
            <v>46228.47565292567</v>
          </cell>
          <cell r="D10">
            <v>46331.543046648978</v>
          </cell>
          <cell r="E10">
            <v>44926.953398468206</v>
          </cell>
          <cell r="F10">
            <v>40377.73291525997</v>
          </cell>
          <cell r="G10">
            <v>33489.620591720741</v>
          </cell>
          <cell r="T10">
            <v>66000</v>
          </cell>
          <cell r="U10">
            <v>66647.080651097363</v>
          </cell>
          <cell r="V10">
            <v>69330.494234666636</v>
          </cell>
          <cell r="W10">
            <v>69177.268096722459</v>
          </cell>
          <cell r="X10">
            <v>70078.402495453396</v>
          </cell>
        </row>
        <row r="11">
          <cell r="C11">
            <v>63133.711994317418</v>
          </cell>
          <cell r="D11">
            <v>63132.473469085067</v>
          </cell>
          <cell r="E11">
            <v>60889.201198148992</v>
          </cell>
          <cell r="F11">
            <v>54758.571064586387</v>
          </cell>
          <cell r="G11">
            <v>44974.221025236671</v>
          </cell>
          <cell r="T11">
            <v>79200</v>
          </cell>
          <cell r="U11">
            <v>79976.496781316833</v>
          </cell>
          <cell r="V11">
            <v>83196.593081599975</v>
          </cell>
          <cell r="W11">
            <v>83012.721716066968</v>
          </cell>
          <cell r="X11">
            <v>84094.082994544064</v>
          </cell>
        </row>
        <row r="12">
          <cell r="C12">
            <v>81526.426200658723</v>
          </cell>
          <cell r="D12">
            <v>81621.203272878978</v>
          </cell>
          <cell r="E12">
            <v>78630.734417386615</v>
          </cell>
          <cell r="F12">
            <v>70239.21477691333</v>
          </cell>
          <cell r="G12">
            <v>57102.303159838833</v>
          </cell>
          <cell r="T12">
            <v>92400</v>
          </cell>
          <cell r="U12">
            <v>93305.912911536318</v>
          </cell>
          <cell r="V12">
            <v>97062.691928533284</v>
          </cell>
          <cell r="W12">
            <v>96848.175335411448</v>
          </cell>
          <cell r="X12">
            <v>98109.763493634746</v>
          </cell>
        </row>
        <row r="13">
          <cell r="C13">
            <v>101139.85158907664</v>
          </cell>
          <cell r="D13">
            <v>101565.41111762432</v>
          </cell>
          <cell r="E13">
            <v>98170.85399632575</v>
          </cell>
          <cell r="F13">
            <v>88108.530965640632</v>
          </cell>
          <cell r="G13">
            <v>72244.892259367538</v>
          </cell>
          <cell r="T13">
            <v>105600</v>
          </cell>
          <cell r="U13">
            <v>106635.32904175579</v>
          </cell>
          <cell r="V13">
            <v>110928.79077546662</v>
          </cell>
          <cell r="W13">
            <v>110683.62895475596</v>
          </cell>
          <cell r="X13">
            <v>112125.44399272543</v>
          </cell>
        </row>
        <row r="14">
          <cell r="C14">
            <v>128575.98406969645</v>
          </cell>
          <cell r="D14">
            <v>129387.16087430451</v>
          </cell>
          <cell r="E14">
            <v>124433.19010552905</v>
          </cell>
          <cell r="F14">
            <v>110530.59638789277</v>
          </cell>
          <cell r="G14">
            <v>90396.738051793654</v>
          </cell>
          <cell r="T14">
            <v>118800</v>
          </cell>
          <cell r="U14">
            <v>119964.74517197526</v>
          </cell>
          <cell r="V14">
            <v>124794.88962239995</v>
          </cell>
          <cell r="W14">
            <v>124519.08257410044</v>
          </cell>
          <cell r="X14">
            <v>126141.1244918161</v>
          </cell>
        </row>
        <row r="15">
          <cell r="C15">
            <v>161104.509594943</v>
          </cell>
          <cell r="D15">
            <v>160340.90055064522</v>
          </cell>
          <cell r="E15">
            <v>153487.32965016639</v>
          </cell>
          <cell r="F15">
            <v>136553.14933108346</v>
          </cell>
          <cell r="G15">
            <v>112984.18538398239</v>
          </cell>
          <cell r="T15">
            <v>132000</v>
          </cell>
          <cell r="U15">
            <v>133294.16130219473</v>
          </cell>
          <cell r="V15">
            <v>138660.98846933327</v>
          </cell>
          <cell r="W15">
            <v>138354.53619344495</v>
          </cell>
          <cell r="X15">
            <v>140156.80499090676</v>
          </cell>
        </row>
        <row r="16">
          <cell r="C16">
            <v>198508.49887039431</v>
          </cell>
          <cell r="D16">
            <v>199025.86292383159</v>
          </cell>
          <cell r="E16">
            <v>192929.6729748986</v>
          </cell>
          <cell r="F16">
            <v>172570.91818806101</v>
          </cell>
          <cell r="G16">
            <v>141562.46914080827</v>
          </cell>
          <cell r="T16">
            <v>211200</v>
          </cell>
          <cell r="U16">
            <v>208893.15520411287</v>
          </cell>
          <cell r="V16">
            <v>201910.3027277526</v>
          </cell>
          <cell r="W16">
            <v>201715.29227673501</v>
          </cell>
          <cell r="X16">
            <v>200033.32639399663</v>
          </cell>
        </row>
        <row r="17">
          <cell r="C17">
            <v>241938.38406870054</v>
          </cell>
          <cell r="D17">
            <v>242963.60565473139</v>
          </cell>
          <cell r="E17">
            <v>235469.13350704021</v>
          </cell>
          <cell r="F17">
            <v>210518.48381261755</v>
          </cell>
          <cell r="G17">
            <v>171517.54624763434</v>
          </cell>
          <cell r="T17">
            <v>290400</v>
          </cell>
          <cell r="U17">
            <v>287718.66714071226</v>
          </cell>
          <cell r="V17">
            <v>282406.11907470989</v>
          </cell>
          <cell r="W17">
            <v>281289.86401303357</v>
          </cell>
          <cell r="X17">
            <v>281374.63761311088</v>
          </cell>
        </row>
        <row r="18">
          <cell r="C18">
            <v>289454.72728984943</v>
          </cell>
          <cell r="D18">
            <v>290628.78475864383</v>
          </cell>
          <cell r="E18">
            <v>280968.02659246419</v>
          </cell>
          <cell r="F18">
            <v>250983.75868616311</v>
          </cell>
          <cell r="G18">
            <v>204659.32961936833</v>
          </cell>
          <cell r="T18">
            <v>369600</v>
          </cell>
          <cell r="U18">
            <v>366544.17907731165</v>
          </cell>
          <cell r="V18">
            <v>362901.93542166718</v>
          </cell>
          <cell r="W18">
            <v>360864.43574933219</v>
          </cell>
          <cell r="X18">
            <v>362715.94883222517</v>
          </cell>
        </row>
        <row r="19">
          <cell r="C19">
            <v>340212.87149102509</v>
          </cell>
          <cell r="D19">
            <v>341195.7859452003</v>
          </cell>
          <cell r="E19">
            <v>331768.88306000596</v>
          </cell>
          <cell r="F19">
            <v>297609.21708645497</v>
          </cell>
          <cell r="G19">
            <v>242654.98932459694</v>
          </cell>
          <cell r="T19">
            <v>448800</v>
          </cell>
          <cell r="U19">
            <v>445369.6910139111</v>
          </cell>
          <cell r="V19">
            <v>443397.75176862441</v>
          </cell>
          <cell r="W19">
            <v>440439.00748563081</v>
          </cell>
          <cell r="X19">
            <v>444057.2600513394</v>
          </cell>
        </row>
        <row r="20">
          <cell r="C20">
            <v>403808.40536389599</v>
          </cell>
          <cell r="D20">
            <v>406890.76775868097</v>
          </cell>
          <cell r="E20">
            <v>395519.17974242312</v>
          </cell>
          <cell r="F20">
            <v>355087.99081353546</v>
          </cell>
          <cell r="G20">
            <v>288590.23683957855</v>
          </cell>
          <cell r="T20">
            <v>528000</v>
          </cell>
          <cell r="U20">
            <v>524195.20295051055</v>
          </cell>
          <cell r="V20">
            <v>523893.56811558164</v>
          </cell>
          <cell r="W20">
            <v>520013.57922192942</v>
          </cell>
          <cell r="X20">
            <v>525398.57127045363</v>
          </cell>
        </row>
        <row r="21">
          <cell r="C21">
            <v>477452.978007322</v>
          </cell>
          <cell r="D21">
            <v>480980.09890098218</v>
          </cell>
          <cell r="E21">
            <v>467327.24379101052</v>
          </cell>
          <cell r="F21">
            <v>419766.3385572863</v>
          </cell>
          <cell r="G21">
            <v>338317.94576572871</v>
          </cell>
          <cell r="T21">
            <v>607200</v>
          </cell>
          <cell r="U21">
            <v>603020.71488710993</v>
          </cell>
          <cell r="V21">
            <v>604389.38446253887</v>
          </cell>
          <cell r="W21">
            <v>599588.15095822804</v>
          </cell>
          <cell r="X21">
            <v>606739.88248956786</v>
          </cell>
        </row>
        <row r="22">
          <cell r="C22">
            <v>560687.21738327038</v>
          </cell>
          <cell r="D22">
            <v>564522.45236000221</v>
          </cell>
          <cell r="E22">
            <v>549978.00776990165</v>
          </cell>
          <cell r="F22">
            <v>495837.83698233572</v>
          </cell>
          <cell r="G22">
            <v>403480.95520324726</v>
          </cell>
          <cell r="T22">
            <v>686400</v>
          </cell>
          <cell r="U22">
            <v>681846.22682370932</v>
          </cell>
          <cell r="V22">
            <v>684885.20080949622</v>
          </cell>
          <cell r="W22">
            <v>679162.72269452666</v>
          </cell>
          <cell r="X22">
            <v>688081.1937086822</v>
          </cell>
        </row>
        <row r="23">
          <cell r="C23">
            <v>672347.98336657882</v>
          </cell>
          <cell r="D23">
            <v>677679.61714395252</v>
          </cell>
          <cell r="E23">
            <v>659832.6461526393</v>
          </cell>
          <cell r="F23">
            <v>593465.75479897764</v>
          </cell>
          <cell r="G23">
            <v>482832.45523902611</v>
          </cell>
          <cell r="T23">
            <v>765600</v>
          </cell>
          <cell r="U23">
            <v>760671.73876030883</v>
          </cell>
          <cell r="V23">
            <v>765381.01715645345</v>
          </cell>
          <cell r="W23">
            <v>758737.29443082528</v>
          </cell>
          <cell r="X23">
            <v>769422.50492779631</v>
          </cell>
        </row>
        <row r="24">
          <cell r="C24">
            <v>797938.13984171092</v>
          </cell>
          <cell r="D24">
            <v>802202.82318102592</v>
          </cell>
          <cell r="E24">
            <v>779721.54377353797</v>
          </cell>
          <cell r="F24">
            <v>702401.96045603743</v>
          </cell>
          <cell r="G24">
            <v>565440.57917624968</v>
          </cell>
          <cell r="T24">
            <v>844800</v>
          </cell>
          <cell r="U24">
            <v>839497.25069690822</v>
          </cell>
          <cell r="V24">
            <v>845876.83350341069</v>
          </cell>
          <cell r="W24">
            <v>838311.8661671239</v>
          </cell>
          <cell r="X24">
            <v>850763.81614691066</v>
          </cell>
        </row>
        <row r="25">
          <cell r="C25">
            <v>937499.24506151804</v>
          </cell>
          <cell r="D25">
            <v>942742.18658685032</v>
          </cell>
          <cell r="E25">
            <v>919527.6045538421</v>
          </cell>
          <cell r="F25">
            <v>826996.59932700498</v>
          </cell>
          <cell r="G25">
            <v>668553.17634923628</v>
          </cell>
          <cell r="T25">
            <v>924000</v>
          </cell>
          <cell r="U25">
            <v>931495.48215575027</v>
          </cell>
          <cell r="V25">
            <v>926372.64985036803</v>
          </cell>
          <cell r="W25">
            <v>931765.13133698876</v>
          </cell>
          <cell r="X25">
            <v>932105.127366025</v>
          </cell>
        </row>
        <row r="26">
          <cell r="C26">
            <v>1115812.2952512507</v>
          </cell>
          <cell r="D26">
            <v>1123348.8670349452</v>
          </cell>
          <cell r="E26">
            <v>1087777.5677689284</v>
          </cell>
          <cell r="F26">
            <v>969277.45593895367</v>
          </cell>
          <cell r="G26">
            <v>786106.0855006685</v>
          </cell>
          <cell r="T26">
            <v>1115556.9997227534</v>
          </cell>
          <cell r="U26">
            <v>1119778.5100898687</v>
          </cell>
          <cell r="V26">
            <v>1111490.5236241887</v>
          </cell>
          <cell r="W26">
            <v>1116732.316449153</v>
          </cell>
          <cell r="X26">
            <v>1103023.6060291345</v>
          </cell>
        </row>
        <row r="27">
          <cell r="C27">
            <v>1321857.5683712889</v>
          </cell>
          <cell r="D27">
            <v>1317097.3656068966</v>
          </cell>
          <cell r="E27">
            <v>1267959.6910892753</v>
          </cell>
          <cell r="F27">
            <v>1134766.9410001698</v>
          </cell>
          <cell r="G27">
            <v>936572.63501323014</v>
          </cell>
          <cell r="T27">
            <v>1307113.9994455071</v>
          </cell>
          <cell r="U27">
            <v>1308061.5380239871</v>
          </cell>
          <cell r="V27">
            <v>1301062.455845027</v>
          </cell>
          <cell r="W27">
            <v>1301699.5015613171</v>
          </cell>
          <cell r="X27">
            <v>1288712.822159129</v>
          </cell>
        </row>
        <row r="28">
          <cell r="C28">
            <v>1556189.3381191487</v>
          </cell>
          <cell r="D28">
            <v>1550725.0744261499</v>
          </cell>
          <cell r="E28">
            <v>1508346.1394319599</v>
          </cell>
          <cell r="F28">
            <v>1383282.5664503085</v>
          </cell>
          <cell r="G28">
            <v>1144554.4802363878</v>
          </cell>
          <cell r="T28">
            <v>1498670.9991682605</v>
          </cell>
          <cell r="U28">
            <v>1496344.5659581055</v>
          </cell>
          <cell r="V28">
            <v>1490634.3880658653</v>
          </cell>
          <cell r="W28">
            <v>1486666.6866734813</v>
          </cell>
          <cell r="X28">
            <v>1474402.0382891237</v>
          </cell>
        </row>
        <row r="29">
          <cell r="C29">
            <v>1866256.0855584196</v>
          </cell>
          <cell r="D29">
            <v>1878283.460339413</v>
          </cell>
          <cell r="E29">
            <v>1858354.1379011539</v>
          </cell>
          <cell r="F29">
            <v>1691469.3342214273</v>
          </cell>
          <cell r="G29">
            <v>1383474.8201189837</v>
          </cell>
          <cell r="T29">
            <v>1690227.9988910141</v>
          </cell>
          <cell r="U29">
            <v>1684627.5938922239</v>
          </cell>
          <cell r="V29">
            <v>1680206.3202867033</v>
          </cell>
          <cell r="W29">
            <v>1671633.8717856454</v>
          </cell>
          <cell r="X29">
            <v>1660091.2544191182</v>
          </cell>
        </row>
        <row r="30">
          <cell r="C30">
            <v>2216381.5409791777</v>
          </cell>
          <cell r="D30">
            <v>2246732.0264061852</v>
          </cell>
          <cell r="E30">
            <v>2210752.0907001439</v>
          </cell>
          <cell r="F30">
            <v>2014569.5479660174</v>
          </cell>
          <cell r="G30">
            <v>1646316.1445844206</v>
          </cell>
          <cell r="T30">
            <v>1881784.9986137676</v>
          </cell>
          <cell r="U30">
            <v>1872910.6218263423</v>
          </cell>
          <cell r="V30">
            <v>1869778.2525075413</v>
          </cell>
          <cell r="W30">
            <v>1856601.0568978097</v>
          </cell>
          <cell r="X30">
            <v>1845780.4705491127</v>
          </cell>
        </row>
        <row r="31">
          <cell r="C31">
            <v>2608239.614024241</v>
          </cell>
          <cell r="D31">
            <v>2657305.3242476201</v>
          </cell>
          <cell r="E31">
            <v>2630967.7960471008</v>
          </cell>
          <cell r="F31">
            <v>2391941.1303243469</v>
          </cell>
          <cell r="G31">
            <v>1953761.1199258789</v>
          </cell>
          <cell r="T31">
            <v>2073341.998336521</v>
          </cell>
          <cell r="U31">
            <v>2061193.6497604605</v>
          </cell>
          <cell r="V31">
            <v>2059350.1847283798</v>
          </cell>
          <cell r="W31">
            <v>2041568.2420099736</v>
          </cell>
          <cell r="X31">
            <v>2031469.6866791071</v>
          </cell>
        </row>
        <row r="32">
          <cell r="C32">
            <v>3091585.3170248144</v>
          </cell>
          <cell r="D32">
            <v>3145641.0499825738</v>
          </cell>
          <cell r="E32">
            <v>3105966.0406853352</v>
          </cell>
          <cell r="F32">
            <v>2800766.1338286195</v>
          </cell>
          <cell r="G32">
            <v>2282328.9770241585</v>
          </cell>
          <cell r="T32">
            <v>2264898.9980592746</v>
          </cell>
          <cell r="U32">
            <v>2249476.6776945791</v>
          </cell>
          <cell r="V32">
            <v>2248922.1169492179</v>
          </cell>
          <cell r="W32">
            <v>2226535.427122138</v>
          </cell>
          <cell r="X32">
            <v>2217158.9028091016</v>
          </cell>
        </row>
        <row r="33">
          <cell r="C33">
            <v>3622885.1383964159</v>
          </cell>
          <cell r="D33">
            <v>3676030.6521700369</v>
          </cell>
          <cell r="E33">
            <v>3629138.9058998628</v>
          </cell>
          <cell r="F33">
            <v>3291617.6039460469</v>
          </cell>
          <cell r="G33">
            <v>2656571.5642040535</v>
          </cell>
          <cell r="T33">
            <v>2456455.9977820283</v>
          </cell>
          <cell r="U33">
            <v>2471623.034620503</v>
          </cell>
          <cell r="V33">
            <v>2470526.9214677992</v>
          </cell>
          <cell r="W33">
            <v>2503028.2571557071</v>
          </cell>
          <cell r="X33">
            <v>2515134.4585403595</v>
          </cell>
        </row>
        <row r="34">
          <cell r="C34">
            <v>4202923.485502718</v>
          </cell>
          <cell r="D34">
            <v>4275829.5216178019</v>
          </cell>
          <cell r="E34">
            <v>4244599.7489614338</v>
          </cell>
          <cell r="F34">
            <v>3821266.8059694776</v>
          </cell>
          <cell r="G34">
            <v>3082668.8723224755</v>
          </cell>
          <cell r="T34">
            <v>2816018.4239998832</v>
          </cell>
          <cell r="U34">
            <v>2832211.1308423015</v>
          </cell>
          <cell r="V34">
            <v>2829675.4020198826</v>
          </cell>
          <cell r="W34">
            <v>2847135.6148096886</v>
          </cell>
          <cell r="X34">
            <v>2858823.039427164</v>
          </cell>
        </row>
        <row r="35">
          <cell r="C35">
            <v>4865212.9852807801</v>
          </cell>
          <cell r="D35">
            <v>4954154.328390928</v>
          </cell>
          <cell r="E35">
            <v>4895381.3858129168</v>
          </cell>
          <cell r="F35">
            <v>4422811.1915954854</v>
          </cell>
          <cell r="G35">
            <v>3517714.9615033017</v>
          </cell>
          <cell r="T35">
            <v>3188461.9630348077</v>
          </cell>
          <cell r="U35">
            <v>3192799.2270641001</v>
          </cell>
          <cell r="V35">
            <v>3188823.8825719655</v>
          </cell>
          <cell r="W35">
            <v>3191242.9724636702</v>
          </cell>
          <cell r="X35">
            <v>3202511.620313969</v>
          </cell>
        </row>
        <row r="36">
          <cell r="C36">
            <v>5611447.8803348262</v>
          </cell>
          <cell r="D36">
            <v>5720450.4316305518</v>
          </cell>
          <cell r="E36">
            <v>5648154.048520511</v>
          </cell>
          <cell r="F36">
            <v>5075361.0050548092</v>
          </cell>
          <cell r="G36">
            <v>3991984.0757470373</v>
          </cell>
          <cell r="T36">
            <v>3560905.5020697326</v>
          </cell>
          <cell r="U36">
            <v>3553387.3232858991</v>
          </cell>
          <cell r="V36">
            <v>3547972.3631240488</v>
          </cell>
          <cell r="W36">
            <v>3535350.3301176522</v>
          </cell>
          <cell r="X36">
            <v>3546200.2012007739</v>
          </cell>
        </row>
        <row r="37">
          <cell r="C37">
            <v>6446048.8444615109</v>
          </cell>
          <cell r="D37">
            <v>6569253.3739480488</v>
          </cell>
          <cell r="E37">
            <v>6471987.0661215717</v>
          </cell>
          <cell r="F37">
            <v>5784198.1512432043</v>
          </cell>
          <cell r="G37">
            <v>4607495.1945625115</v>
          </cell>
          <cell r="T37">
            <v>3933349.0411046571</v>
          </cell>
          <cell r="U37">
            <v>3913975.4195076972</v>
          </cell>
          <cell r="V37">
            <v>3907120.8436761321</v>
          </cell>
          <cell r="W37">
            <v>3879457.6877716337</v>
          </cell>
          <cell r="X37">
            <v>3889888.7820875784</v>
          </cell>
        </row>
        <row r="38">
          <cell r="C38">
            <v>7380838.3386415169</v>
          </cell>
          <cell r="D38">
            <v>7561681.432462832</v>
          </cell>
          <cell r="E38">
            <v>7496056.339904164</v>
          </cell>
          <cell r="F38">
            <v>6754765.0981588149</v>
          </cell>
          <cell r="G38">
            <v>5226850.7134513259</v>
          </cell>
          <cell r="T38">
            <v>4305792.580139582</v>
          </cell>
          <cell r="U38">
            <v>4274563.5157294963</v>
          </cell>
          <cell r="V38">
            <v>4266269.324228215</v>
          </cell>
          <cell r="W38">
            <v>4223565.0454256153</v>
          </cell>
          <cell r="X38">
            <v>4233577.3629743829</v>
          </cell>
        </row>
        <row r="39">
          <cell r="C39">
            <v>8572510.4423851315</v>
          </cell>
          <cell r="D39">
            <v>8767813.7653644197</v>
          </cell>
          <cell r="E39">
            <v>8692480.0612866096</v>
          </cell>
          <cell r="F39">
            <v>7725038.4515367374</v>
          </cell>
          <cell r="G39">
            <v>5923156.0625506658</v>
          </cell>
          <cell r="T39">
            <v>4678236.1191745065</v>
          </cell>
          <cell r="U39">
            <v>4635151.6119512953</v>
          </cell>
          <cell r="V39">
            <v>4625417.8047802988</v>
          </cell>
          <cell r="W39">
            <v>4654331.7893782509</v>
          </cell>
          <cell r="X39">
            <v>4636865.2779035103</v>
          </cell>
        </row>
        <row r="40">
          <cell r="C40">
            <v>9895084.2632242069</v>
          </cell>
          <cell r="D40">
            <v>10125534.113962762</v>
          </cell>
          <cell r="E40">
            <v>9996953.8563981671</v>
          </cell>
          <cell r="F40">
            <v>8685902.5290087815</v>
          </cell>
          <cell r="G40">
            <v>6664345.0663149245</v>
          </cell>
          <cell r="T40">
            <v>5185702.0913365502</v>
          </cell>
          <cell r="U40">
            <v>5234692.4057561811</v>
          </cell>
          <cell r="V40">
            <v>5242156.2470285008</v>
          </cell>
          <cell r="W40">
            <v>5286433.4994335454</v>
          </cell>
          <cell r="X40">
            <v>5260420.9137667147</v>
          </cell>
        </row>
        <row r="41">
          <cell r="C41">
            <v>11366216.066605745</v>
          </cell>
          <cell r="D41">
            <v>11631418.862747299</v>
          </cell>
          <cell r="E41">
            <v>11264720.686538571</v>
          </cell>
          <cell r="F41">
            <v>9789867.6970837098</v>
          </cell>
          <cell r="G41">
            <v>7769814.570838578</v>
          </cell>
          <cell r="T41">
            <v>5884241.6730692396</v>
          </cell>
          <cell r="U41">
            <v>5909086.2772370409</v>
          </cell>
          <cell r="V41">
            <v>5911374.2427510219</v>
          </cell>
          <cell r="W41">
            <v>5918535.2094888398</v>
          </cell>
          <cell r="X41">
            <v>5883976.5496299202</v>
          </cell>
        </row>
        <row r="42">
          <cell r="C42">
            <v>13016816.272309043</v>
          </cell>
          <cell r="D42">
            <v>13217557.877902336</v>
          </cell>
          <cell r="E42">
            <v>12790573.69808796</v>
          </cell>
          <cell r="F42">
            <v>11371540.394776568</v>
          </cell>
          <cell r="G42">
            <v>9022642.8021052666</v>
          </cell>
          <cell r="T42">
            <v>6582781.2548019299</v>
          </cell>
          <cell r="U42">
            <v>6583480.1487178998</v>
          </cell>
          <cell r="V42">
            <v>6580592.238473542</v>
          </cell>
          <cell r="W42">
            <v>6550636.9195441343</v>
          </cell>
          <cell r="X42">
            <v>6507532.1854931246</v>
          </cell>
        </row>
        <row r="43">
          <cell r="C43">
            <v>15070689.722181335</v>
          </cell>
          <cell r="D43">
            <v>15170680.408872169</v>
          </cell>
          <cell r="E43">
            <v>14817943.850384707</v>
          </cell>
          <cell r="F43">
            <v>13408836.495105907</v>
          </cell>
          <cell r="G43">
            <v>10530173.871577088</v>
          </cell>
          <cell r="T43">
            <v>7281320.8365346193</v>
          </cell>
          <cell r="U43">
            <v>7257874.0201987587</v>
          </cell>
          <cell r="V43">
            <v>7249810.2341960631</v>
          </cell>
          <cell r="W43">
            <v>7182738.6295994287</v>
          </cell>
          <cell r="X43">
            <v>7131087.8213563301</v>
          </cell>
        </row>
        <row r="44">
          <cell r="C44">
            <v>17362611.200869542</v>
          </cell>
          <cell r="D44">
            <v>17634773.249281783</v>
          </cell>
          <cell r="E44">
            <v>17626964.172230009</v>
          </cell>
          <cell r="F44">
            <v>15782681.672903977</v>
          </cell>
          <cell r="G44">
            <v>12281277.137858678</v>
          </cell>
          <cell r="T44">
            <v>7979860.4182673097</v>
          </cell>
          <cell r="U44">
            <v>7932267.8916796185</v>
          </cell>
          <cell r="V44">
            <v>7919028.2299185842</v>
          </cell>
          <cell r="W44">
            <v>7814840.3396547232</v>
          </cell>
          <cell r="X44">
            <v>7836880.6325095445</v>
          </cell>
        </row>
        <row r="45">
          <cell r="C45">
            <v>19939723.865234993</v>
          </cell>
          <cell r="D45">
            <v>20568004.064997409</v>
          </cell>
          <cell r="E45">
            <v>20517736.288676739</v>
          </cell>
          <cell r="F45">
            <v>18471966.03420227</v>
          </cell>
          <cell r="G45">
            <v>14308086.706788804</v>
          </cell>
          <cell r="T45">
            <v>8678400</v>
          </cell>
          <cell r="U45">
            <v>8766630.2456053644</v>
          </cell>
          <cell r="V45">
            <v>8779574.2602154352</v>
          </cell>
          <cell r="W45">
            <v>8833287.923066061</v>
          </cell>
          <cell r="X45">
            <v>8850245.9794750698</v>
          </cell>
        </row>
        <row r="46">
          <cell r="C46">
            <v>22824992.274113502</v>
          </cell>
          <cell r="D46">
            <v>23580758.010191508</v>
          </cell>
          <cell r="E46">
            <v>23666428.595025297</v>
          </cell>
          <cell r="F46">
            <v>21412866.582332585</v>
          </cell>
          <cell r="G46">
            <v>17172912.700912662</v>
          </cell>
          <cell r="T46">
            <v>9889254.5115466285</v>
          </cell>
          <cell r="U46">
            <v>9918680.5360229537</v>
          </cell>
          <cell r="V46">
            <v>9914373.7360021416</v>
          </cell>
          <cell r="W46">
            <v>9893532.4371117353</v>
          </cell>
          <cell r="X46">
            <v>9863611.3264405951</v>
          </cell>
        </row>
        <row r="47">
          <cell r="C47">
            <v>26061102.450163886</v>
          </cell>
          <cell r="D47">
            <v>27491024.202042587</v>
          </cell>
          <cell r="E47">
            <v>27958022.764951661</v>
          </cell>
          <cell r="F47">
            <v>25367009.848830584</v>
          </cell>
          <cell r="G47">
            <v>20060046.844025552</v>
          </cell>
          <cell r="T47">
            <v>11100109.023093257</v>
          </cell>
          <cell r="U47">
            <v>11070730.826440545</v>
          </cell>
          <cell r="V47">
            <v>11049173.211788848</v>
          </cell>
          <cell r="W47">
            <v>10953776.95115741</v>
          </cell>
          <cell r="X47">
            <v>10876976.67340612</v>
          </cell>
        </row>
        <row r="48">
          <cell r="C48">
            <v>30491397.387605105</v>
          </cell>
          <cell r="D48">
            <v>32110024.999233343</v>
          </cell>
          <cell r="E48">
            <v>32552463.244616628</v>
          </cell>
          <cell r="F48">
            <v>29456289.318297211</v>
          </cell>
          <cell r="G48">
            <v>22816421.45722476</v>
          </cell>
          <cell r="T48">
            <v>12310963.534639884</v>
          </cell>
          <cell r="U48">
            <v>12222781.116858134</v>
          </cell>
          <cell r="V48">
            <v>12183972.687575556</v>
          </cell>
          <cell r="W48">
            <v>12399193.370725071</v>
          </cell>
          <cell r="X48">
            <v>12700172.166032536</v>
          </cell>
        </row>
        <row r="49">
          <cell r="C49">
            <v>35373737.367545068</v>
          </cell>
          <cell r="D49">
            <v>37233573.707238719</v>
          </cell>
          <cell r="E49">
            <v>37675338.388641968</v>
          </cell>
          <cell r="F49">
            <v>34010814.467976913</v>
          </cell>
          <cell r="G49">
            <v>24973577.274872467</v>
          </cell>
          <cell r="T49">
            <v>13604291.200535262</v>
          </cell>
          <cell r="U49">
            <v>13970241.208245503</v>
          </cell>
          <cell r="V49">
            <v>14116620.839868993</v>
          </cell>
          <cell r="W49">
            <v>14563750.015018502</v>
          </cell>
          <cell r="X49">
            <v>14790981.789008651</v>
          </cell>
        </row>
        <row r="50">
          <cell r="C50">
            <v>40771717.710595421</v>
          </cell>
          <cell r="D50">
            <v>42927546.653637573</v>
          </cell>
          <cell r="E50">
            <v>43353477.887869611</v>
          </cell>
          <cell r="F50">
            <v>37775146.796325728</v>
          </cell>
          <cell r="G50">
            <v>27297511.902095422</v>
          </cell>
          <cell r="T50">
            <v>15855058.547496516</v>
          </cell>
          <cell r="U50">
            <v>16191899.04505338</v>
          </cell>
          <cell r="V50">
            <v>16384800.231542937</v>
          </cell>
          <cell r="W50">
            <v>16728306.659311932</v>
          </cell>
          <cell r="X50">
            <v>16881791.411984768</v>
          </cell>
        </row>
        <row r="51">
          <cell r="C51">
            <v>46783947.546863295</v>
          </cell>
          <cell r="D51">
            <v>49180393.534754843</v>
          </cell>
          <cell r="E51">
            <v>49708221.890431881</v>
          </cell>
          <cell r="F51">
            <v>40937570.797291726</v>
          </cell>
          <cell r="G51">
            <v>30222737.291410536</v>
          </cell>
          <cell r="T51">
            <v>18105825.894457769</v>
          </cell>
          <cell r="U51">
            <v>18413556.881861255</v>
          </cell>
          <cell r="V51">
            <v>18652979.623216882</v>
          </cell>
          <cell r="W51">
            <v>18892863.303605363</v>
          </cell>
          <cell r="X51">
            <v>18972601.034960881</v>
          </cell>
        </row>
        <row r="52">
          <cell r="C52">
            <v>53468741.233903803</v>
          </cell>
          <cell r="D52">
            <v>56212018.28406015</v>
          </cell>
          <cell r="E52">
            <v>53662999.461448878</v>
          </cell>
          <cell r="F52">
            <v>44885622.624099657</v>
          </cell>
          <cell r="G52">
            <v>34009559.47602962</v>
          </cell>
          <cell r="T52">
            <v>20356593.241419025</v>
          </cell>
          <cell r="U52">
            <v>20635214.718669131</v>
          </cell>
          <cell r="V52">
            <v>20921159.014890831</v>
          </cell>
          <cell r="W52">
            <v>21057419.947898794</v>
          </cell>
          <cell r="X52">
            <v>21063410.657936998</v>
          </cell>
        </row>
        <row r="53">
          <cell r="C53">
            <v>60922659.064094037</v>
          </cell>
          <cell r="D53">
            <v>62826005.03710328</v>
          </cell>
          <cell r="E53">
            <v>59109115.130115211</v>
          </cell>
          <cell r="F53">
            <v>49839970.007738978</v>
          </cell>
          <cell r="G53">
            <v>38116230.219722964</v>
          </cell>
          <cell r="T53">
            <v>22607360.588380277</v>
          </cell>
          <cell r="U53">
            <v>22856872.555477008</v>
          </cell>
          <cell r="V53">
            <v>23189338.40656478</v>
          </cell>
          <cell r="W53">
            <v>23221976.592192225</v>
          </cell>
          <cell r="X53">
            <v>23154220.280913115</v>
          </cell>
        </row>
        <row r="54">
          <cell r="C54">
            <v>70574657.337769702</v>
          </cell>
          <cell r="D54">
            <v>69963212.923277363</v>
          </cell>
          <cell r="E54">
            <v>66092493.049851924</v>
          </cell>
          <cell r="F54">
            <v>56001506.923778683</v>
          </cell>
          <cell r="G54">
            <v>44374326.526039965</v>
          </cell>
          <cell r="T54">
            <v>24858127.935341533</v>
          </cell>
          <cell r="U54">
            <v>25078530.392284885</v>
          </cell>
          <cell r="V54">
            <v>25457517.798238724</v>
          </cell>
          <cell r="W54">
            <v>25386533.236485656</v>
          </cell>
          <cell r="X54">
            <v>25245029.903889231</v>
          </cell>
        </row>
        <row r="55">
          <cell r="C55">
            <v>81437283.29942137</v>
          </cell>
          <cell r="D55">
            <v>81144229.527387381</v>
          </cell>
          <cell r="E55">
            <v>78530712.481777012</v>
          </cell>
          <cell r="F55">
            <v>69892263.516438842</v>
          </cell>
          <cell r="G55">
            <v>56023048.545817152</v>
          </cell>
          <cell r="T55">
            <v>28022221.357793629</v>
          </cell>
          <cell r="U55">
            <v>27758970.725143649</v>
          </cell>
          <cell r="V55">
            <v>27725697.189912669</v>
          </cell>
          <cell r="W55">
            <v>27551089.880779088</v>
          </cell>
          <cell r="X55">
            <v>27650301.286781497</v>
          </cell>
        </row>
        <row r="56">
          <cell r="C56">
            <v>93686747.514354452</v>
          </cell>
          <cell r="D56">
            <v>97656675.400564417</v>
          </cell>
          <cell r="E56">
            <v>97405992.092972517</v>
          </cell>
          <cell r="F56">
            <v>92157071.518163055</v>
          </cell>
          <cell r="G56">
            <v>71864068.454039276</v>
          </cell>
          <cell r="T56">
            <v>32230195.585620489</v>
          </cell>
          <cell r="U56">
            <v>31834186.389242992</v>
          </cell>
          <cell r="V56">
            <v>31580679.752451483</v>
          </cell>
          <cell r="W56">
            <v>31470427.818999156</v>
          </cell>
          <cell r="X56">
            <v>31453153.756272897</v>
          </cell>
        </row>
        <row r="57">
          <cell r="C57">
            <v>107570136.50004843</v>
          </cell>
          <cell r="D57">
            <v>112364502.13960801</v>
          </cell>
          <cell r="E57">
            <v>118875285.14061828</v>
          </cell>
          <cell r="F57">
            <v>110519576.63179192</v>
          </cell>
          <cell r="G57">
            <v>84820882.118931085</v>
          </cell>
          <cell r="T57">
            <v>36438169.813447349</v>
          </cell>
          <cell r="U57">
            <v>35909402.053342342</v>
          </cell>
          <cell r="V57">
            <v>35705094.32158576</v>
          </cell>
          <cell r="W57">
            <v>35413827.666389108</v>
          </cell>
          <cell r="X57">
            <v>35280946.114000373</v>
          </cell>
        </row>
        <row r="58">
          <cell r="C58">
            <v>123275103.97696856</v>
          </cell>
          <cell r="D58">
            <v>135001410.94468886</v>
          </cell>
          <cell r="E58">
            <v>143554307.32003313</v>
          </cell>
          <cell r="F58">
            <v>132048193.76673485</v>
          </cell>
          <cell r="G58">
            <v>97021609.260972098</v>
          </cell>
          <cell r="T58">
            <v>40646144.041274205</v>
          </cell>
          <cell r="U58">
            <v>39984617.717441685</v>
          </cell>
          <cell r="V58">
            <v>40726785.973477639</v>
          </cell>
          <cell r="W58">
            <v>42070850.496136032</v>
          </cell>
          <cell r="X58">
            <v>42402632.786933824</v>
          </cell>
        </row>
        <row r="59">
          <cell r="C59">
            <v>141069039.81537026</v>
          </cell>
          <cell r="D59">
            <v>159440343.24154788</v>
          </cell>
          <cell r="E59">
            <v>167209170.05568236</v>
          </cell>
          <cell r="F59">
            <v>147462587.01793438</v>
          </cell>
          <cell r="G59">
            <v>108555122.673485</v>
          </cell>
          <cell r="T59">
            <v>46608456.048898555</v>
          </cell>
          <cell r="U59">
            <v>47899443.635308422</v>
          </cell>
          <cell r="V59">
            <v>48549550.171202272</v>
          </cell>
          <cell r="W59">
            <v>49413266.477269575</v>
          </cell>
          <cell r="X59">
            <v>49524319.459867269</v>
          </cell>
        </row>
        <row r="60">
          <cell r="C60">
            <v>165295597.62179488</v>
          </cell>
          <cell r="D60">
            <v>182703557.9127585</v>
          </cell>
          <cell r="E60">
            <v>190333521.41134083</v>
          </cell>
          <cell r="F60">
            <v>162346394.58924431</v>
          </cell>
          <cell r="G60">
            <v>120324396.13341604</v>
          </cell>
          <cell r="T60">
            <v>54868387.604274347</v>
          </cell>
          <cell r="U60">
            <v>55849532.069018885</v>
          </cell>
          <cell r="V60">
            <v>56372314.368926913</v>
          </cell>
          <cell r="W60">
            <v>56755682.458403111</v>
          </cell>
          <cell r="X60">
            <v>56646006.132800721</v>
          </cell>
        </row>
        <row r="61">
          <cell r="C61">
            <v>192360535.48447141</v>
          </cell>
          <cell r="D61">
            <v>209794101.39588594</v>
          </cell>
          <cell r="E61">
            <v>209753091.28451902</v>
          </cell>
          <cell r="F61">
            <v>179559519.4218182</v>
          </cell>
          <cell r="G61">
            <v>135771578.58444673</v>
          </cell>
          <cell r="T61">
            <v>63128319.15965014</v>
          </cell>
          <cell r="U61">
            <v>63799620.502729356</v>
          </cell>
          <cell r="V61">
            <v>64195078.566651553</v>
          </cell>
          <cell r="W61">
            <v>64098098.439536653</v>
          </cell>
          <cell r="X61">
            <v>63767692.805734172</v>
          </cell>
        </row>
        <row r="62">
          <cell r="C62">
            <v>222685361.47717646</v>
          </cell>
          <cell r="D62">
            <v>237590932.07921511</v>
          </cell>
          <cell r="E62">
            <v>232501509.45964843</v>
          </cell>
          <cell r="F62">
            <v>199335017.77049515</v>
          </cell>
          <cell r="G62">
            <v>156537891.45227</v>
          </cell>
          <cell r="T62">
            <v>71388250.715025932</v>
          </cell>
          <cell r="U62">
            <v>71749708.936439827</v>
          </cell>
          <cell r="V62">
            <v>72017842.764376193</v>
          </cell>
          <cell r="W62">
            <v>71440514.420670182</v>
          </cell>
          <cell r="X62">
            <v>70889379.478667617</v>
          </cell>
        </row>
        <row r="63">
          <cell r="C63">
            <v>256835912.58430114</v>
          </cell>
          <cell r="D63">
            <v>264814338.81374633</v>
          </cell>
          <cell r="E63">
            <v>259446722.12610143</v>
          </cell>
          <cell r="F63">
            <v>232874880.33922398</v>
          </cell>
          <cell r="G63">
            <v>189851240.39557129</v>
          </cell>
          <cell r="T63">
            <v>79648182.270401716</v>
          </cell>
          <cell r="U63">
            <v>79699797.370150298</v>
          </cell>
          <cell r="V63">
            <v>79840606.962100834</v>
          </cell>
          <cell r="W63">
            <v>78782930.401803732</v>
          </cell>
          <cell r="X63">
            <v>78011066.151601076</v>
          </cell>
        </row>
        <row r="64">
          <cell r="C64">
            <v>295294047.19517612</v>
          </cell>
          <cell r="D64">
            <v>305546823.59511322</v>
          </cell>
          <cell r="E64">
            <v>316832087.39104527</v>
          </cell>
          <cell r="F64">
            <v>295185889.04267502</v>
          </cell>
          <cell r="G64">
            <v>234955598.2367636</v>
          </cell>
          <cell r="T64">
            <v>87908113.825777531</v>
          </cell>
          <cell r="U64">
            <v>87649885.803860754</v>
          </cell>
          <cell r="V64">
            <v>87663371.159825474</v>
          </cell>
          <cell r="W64">
            <v>87972051.207338884</v>
          </cell>
          <cell r="X64">
            <v>89920442.891685635</v>
          </cell>
        </row>
        <row r="65">
          <cell r="C65">
            <v>338708713.7800858</v>
          </cell>
          <cell r="D65">
            <v>374796858.45330465</v>
          </cell>
          <cell r="E65">
            <v>397703675.68797708</v>
          </cell>
          <cell r="F65">
            <v>366372322.42044079</v>
          </cell>
          <cell r="G65">
            <v>285592538.24573642</v>
          </cell>
          <cell r="T65">
            <v>103115315.42691635</v>
          </cell>
          <cell r="U65">
            <v>103062976.92693964</v>
          </cell>
          <cell r="V65">
            <v>103489112.75495937</v>
          </cell>
          <cell r="W65">
            <v>105756575.01499698</v>
          </cell>
          <cell r="X65">
            <v>107786443.33129828</v>
          </cell>
        </row>
        <row r="66">
          <cell r="C66">
            <v>395577168.63718122</v>
          </cell>
          <cell r="D66">
            <v>439152856.94095445</v>
          </cell>
          <cell r="E66">
            <v>464017905.62509477</v>
          </cell>
          <cell r="F66">
            <v>426024917.98929304</v>
          </cell>
          <cell r="G66">
            <v>319665497.65756351</v>
          </cell>
          <cell r="T66">
            <v>121300322.01057357</v>
          </cell>
          <cell r="U66">
            <v>120558693.02563706</v>
          </cell>
          <cell r="V66">
            <v>121505977.95591675</v>
          </cell>
          <cell r="W66">
            <v>123541098.82265507</v>
          </cell>
          <cell r="X66">
            <v>125652443.77091092</v>
          </cell>
        </row>
        <row r="67">
          <cell r="C67">
            <v>458123285.73149371</v>
          </cell>
          <cell r="D67">
            <v>506993541.96978951</v>
          </cell>
          <cell r="E67">
            <v>533871423.55975699</v>
          </cell>
          <cell r="F67">
            <v>488351080.86004043</v>
          </cell>
          <cell r="G67">
            <v>350326547.98357296</v>
          </cell>
          <cell r="T67">
            <v>139485328.5942308</v>
          </cell>
          <cell r="U67">
            <v>138054409.12433448</v>
          </cell>
          <cell r="V67">
            <v>139522843.15687412</v>
          </cell>
          <cell r="W67">
            <v>141325622.63031316</v>
          </cell>
          <cell r="X67">
            <v>143518444.21052355</v>
          </cell>
        </row>
        <row r="68">
          <cell r="C68">
            <v>527013718.82522929</v>
          </cell>
          <cell r="D68">
            <v>581957027.1914233</v>
          </cell>
          <cell r="E68">
            <v>612372778.84807229</v>
          </cell>
          <cell r="F68">
            <v>536029424.28499395</v>
          </cell>
          <cell r="G68">
            <v>388543693.87757671</v>
          </cell>
          <cell r="T68">
            <v>157670335.17788804</v>
          </cell>
          <cell r="U68">
            <v>155550125.22303191</v>
          </cell>
          <cell r="V68">
            <v>157539708.35783148</v>
          </cell>
          <cell r="W68">
            <v>159110146.43797123</v>
          </cell>
          <cell r="X68">
            <v>161384444.6501362</v>
          </cell>
        </row>
        <row r="69">
          <cell r="C69">
            <v>603048428.847682</v>
          </cell>
          <cell r="D69">
            <v>664882841.0236485</v>
          </cell>
          <cell r="E69">
            <v>689840136.37164593</v>
          </cell>
          <cell r="F69">
            <v>584418489.31685019</v>
          </cell>
          <cell r="G69">
            <v>441109473.20614183</v>
          </cell>
          <cell r="T69">
            <v>175855341.76154524</v>
          </cell>
          <cell r="U69">
            <v>173045841.32172933</v>
          </cell>
          <cell r="V69">
            <v>175556573.55878887</v>
          </cell>
          <cell r="W69">
            <v>176894670.24562934</v>
          </cell>
          <cell r="X69">
            <v>179250445.08974886</v>
          </cell>
        </row>
        <row r="70">
          <cell r="C70">
            <v>686993862.82552695</v>
          </cell>
          <cell r="D70">
            <v>757565346.78106689</v>
          </cell>
          <cell r="E70">
            <v>757077805.14202762</v>
          </cell>
          <cell r="F70">
            <v>654173554.37771893</v>
          </cell>
          <cell r="G70">
            <v>503196959.59956473</v>
          </cell>
          <cell r="T70">
            <v>194040348.34520245</v>
          </cell>
          <cell r="U70">
            <v>197147104.82672611</v>
          </cell>
          <cell r="V70">
            <v>193573438.75974625</v>
          </cell>
          <cell r="W70">
            <v>194679194.05328745</v>
          </cell>
          <cell r="X70">
            <v>197116445.52936149</v>
          </cell>
        </row>
        <row r="71">
          <cell r="C71">
            <v>779767482.64491642</v>
          </cell>
          <cell r="D71">
            <v>840620175.5130949</v>
          </cell>
          <cell r="E71">
            <v>841003707.97522402</v>
          </cell>
          <cell r="F71">
            <v>732365246.02572894</v>
          </cell>
          <cell r="G71">
            <v>569455465.36166072</v>
          </cell>
          <cell r="T71">
            <v>228412936.81699386</v>
          </cell>
          <cell r="U71">
            <v>231220172.33182523</v>
          </cell>
          <cell r="V71">
            <v>229016520.32921088</v>
          </cell>
          <cell r="W71">
            <v>227925805.71177596</v>
          </cell>
          <cell r="X71">
            <v>226204666.12895307</v>
          </cell>
        </row>
        <row r="72">
          <cell r="C72">
            <v>900489091.71805406</v>
          </cell>
          <cell r="D72">
            <v>951017820.41890335</v>
          </cell>
          <cell r="E72">
            <v>952409366.24605441</v>
          </cell>
          <cell r="F72">
            <v>849330323.56042767</v>
          </cell>
          <cell r="G72">
            <v>651038886.35964417</v>
          </cell>
          <cell r="T72">
            <v>264107116.06756473</v>
          </cell>
          <cell r="U72">
            <v>265293239.83692437</v>
          </cell>
          <cell r="V72">
            <v>264954656.14112955</v>
          </cell>
          <cell r="W72">
            <v>263582137.68293419</v>
          </cell>
          <cell r="X72">
            <v>262040692.05805203</v>
          </cell>
        </row>
        <row r="73">
          <cell r="C73">
            <v>1033946005.779068</v>
          </cell>
          <cell r="D73">
            <v>1097454510.9286718</v>
          </cell>
          <cell r="E73">
            <v>1126063910.3745875</v>
          </cell>
          <cell r="F73">
            <v>994602497.05065298</v>
          </cell>
          <cell r="G73">
            <v>747869931.01302314</v>
          </cell>
          <cell r="T73">
            <v>299801295.31813562</v>
          </cell>
          <cell r="U73">
            <v>299366307.34202349</v>
          </cell>
          <cell r="V73">
            <v>300892791.95304817</v>
          </cell>
          <cell r="W73">
            <v>299238469.65409243</v>
          </cell>
          <cell r="X73">
            <v>297876717.98715103</v>
          </cell>
        </row>
        <row r="74">
          <cell r="C74">
            <v>1181644277.48247</v>
          </cell>
          <cell r="D74">
            <v>1274383803.075417</v>
          </cell>
          <cell r="E74">
            <v>1300966602.8344839</v>
          </cell>
          <cell r="F74">
            <v>1139652755.5963502</v>
          </cell>
          <cell r="G74">
            <v>879981974.24956751</v>
          </cell>
          <cell r="T74">
            <v>335495474.56870651</v>
          </cell>
          <cell r="U74">
            <v>333439374.84712261</v>
          </cell>
          <cell r="V74">
            <v>336830927.76496685</v>
          </cell>
          <cell r="W74">
            <v>334894801.6252507</v>
          </cell>
          <cell r="X74">
            <v>333712743.91624999</v>
          </cell>
        </row>
        <row r="75">
          <cell r="C75">
            <v>1345335725.9453933</v>
          </cell>
          <cell r="D75">
            <v>1445634218.1460919</v>
          </cell>
          <cell r="E75">
            <v>1465302520.3910112</v>
          </cell>
          <cell r="F75">
            <v>1300006958.9061072</v>
          </cell>
          <cell r="G75">
            <v>1038826412.9818829</v>
          </cell>
          <cell r="T75">
            <v>390259582.57114959</v>
          </cell>
          <cell r="U75">
            <v>390496775.50840312</v>
          </cell>
          <cell r="V75">
            <v>388476603.13197505</v>
          </cell>
          <cell r="W75">
            <v>388008169.40589422</v>
          </cell>
          <cell r="X75">
            <v>387342274.99852252</v>
          </cell>
        </row>
        <row r="76">
          <cell r="C76">
            <v>1526802414.7883153</v>
          </cell>
          <cell r="D76">
            <v>1631309342.0626254</v>
          </cell>
          <cell r="E76">
            <v>1671222695.3516235</v>
          </cell>
          <cell r="F76">
            <v>1540400989.8300681</v>
          </cell>
          <cell r="G76">
            <v>1214706801.8205419</v>
          </cell>
          <cell r="T76">
            <v>449305644.42961258</v>
          </cell>
          <cell r="U76">
            <v>448126692.19452333</v>
          </cell>
          <cell r="V76">
            <v>446541430.460428</v>
          </cell>
          <cell r="W76">
            <v>443901647.7225613</v>
          </cell>
          <cell r="X76">
            <v>441880111.73324227</v>
          </cell>
        </row>
        <row r="77">
          <cell r="C77">
            <v>1728111188.4352784</v>
          </cell>
          <cell r="D77">
            <v>1870371274.1559553</v>
          </cell>
          <cell r="E77">
            <v>1983200956.7325344</v>
          </cell>
          <cell r="F77">
            <v>1819549256.7966113</v>
          </cell>
          <cell r="G77">
            <v>1409849039.0824084</v>
          </cell>
          <cell r="T77">
            <v>508351706.28807557</v>
          </cell>
          <cell r="U77">
            <v>505756608.88064349</v>
          </cell>
          <cell r="V77">
            <v>504606257.788881</v>
          </cell>
          <cell r="W77">
            <v>506792085.31545216</v>
          </cell>
          <cell r="X77">
            <v>509256492.90528256</v>
          </cell>
        </row>
        <row r="78">
          <cell r="C78">
            <v>1978239830.1411288</v>
          </cell>
          <cell r="D78">
            <v>2195340424.697896</v>
          </cell>
          <cell r="E78">
            <v>2323280816.4325476</v>
          </cell>
          <cell r="F78">
            <v>2115134133.9519386</v>
          </cell>
          <cell r="G78">
            <v>1615976651.7474868</v>
          </cell>
          <cell r="T78">
            <v>585156274.257725</v>
          </cell>
          <cell r="U78">
            <v>585160748.56598759</v>
          </cell>
          <cell r="V78">
            <v>585052231.25193095</v>
          </cell>
          <cell r="W78">
            <v>583836014.05311954</v>
          </cell>
          <cell r="X78">
            <v>584389574.77137887</v>
          </cell>
        </row>
        <row r="79">
          <cell r="C79">
            <v>2252133246.1198654</v>
          </cell>
          <cell r="D79">
            <v>2490681698.0585256</v>
          </cell>
          <cell r="E79">
            <v>2623173037.5066123</v>
          </cell>
          <cell r="F79">
            <v>2383402011.8815708</v>
          </cell>
          <cell r="G79">
            <v>1750804049.2877884</v>
          </cell>
          <cell r="T79">
            <v>672655632.97836256</v>
          </cell>
          <cell r="U79">
            <v>669575041.99615884</v>
          </cell>
          <cell r="V79">
            <v>668572557.4485476</v>
          </cell>
          <cell r="W79">
            <v>667771107.68294668</v>
          </cell>
          <cell r="X79">
            <v>671173394.5426414</v>
          </cell>
        </row>
        <row r="80">
          <cell r="C80">
            <v>2552497458.9126368</v>
          </cell>
          <cell r="D80">
            <v>2820472052.6147785</v>
          </cell>
          <cell r="E80">
            <v>2956367202.1747818</v>
          </cell>
          <cell r="F80">
            <v>2665707752.8190823</v>
          </cell>
          <cell r="G80">
            <v>1931863219.1220982</v>
          </cell>
          <cell r="T80">
            <v>760222130.18714845</v>
          </cell>
          <cell r="U80">
            <v>770897365.62844026</v>
          </cell>
          <cell r="V80">
            <v>775193886.81469035</v>
          </cell>
          <cell r="W80">
            <v>790062857.98634803</v>
          </cell>
          <cell r="X80">
            <v>791579143.26491857</v>
          </cell>
        </row>
        <row r="81">
          <cell r="C81">
            <v>2882444210.4141998</v>
          </cell>
          <cell r="D81">
            <v>3176484638.0462637</v>
          </cell>
          <cell r="E81">
            <v>3321730980.355834</v>
          </cell>
          <cell r="F81">
            <v>2879967131.0485172</v>
          </cell>
          <cell r="G81">
            <v>2125346091.6809859</v>
          </cell>
          <cell r="T81">
            <v>889812673.74274838</v>
          </cell>
          <cell r="U81">
            <v>892567535.15341353</v>
          </cell>
          <cell r="V81">
            <v>900223459.15447438</v>
          </cell>
          <cell r="W81">
            <v>912354608.28974938</v>
          </cell>
          <cell r="X81">
            <v>911984891.98719573</v>
          </cell>
        </row>
        <row r="82">
          <cell r="C82">
            <v>3245210193.2626138</v>
          </cell>
          <cell r="D82">
            <v>3568184476.8775196</v>
          </cell>
          <cell r="E82">
            <v>3677394954.8485699</v>
          </cell>
          <cell r="F82">
            <v>3148038642.5536323</v>
          </cell>
          <cell r="G82">
            <v>2336183605.6725073</v>
          </cell>
          <cell r="T82">
            <v>1019403217.2983482</v>
          </cell>
          <cell r="U82">
            <v>1014237704.6783869</v>
          </cell>
          <cell r="V82">
            <v>1025253031.4942584</v>
          </cell>
          <cell r="W82">
            <v>1034646358.5931509</v>
          </cell>
          <cell r="X82">
            <v>1032390640.709473</v>
          </cell>
        </row>
        <row r="83">
          <cell r="C83">
            <v>3644508908.2343969</v>
          </cell>
          <cell r="D83">
            <v>4033842826.65242</v>
          </cell>
          <cell r="E83">
            <v>4000769606.1903548</v>
          </cell>
          <cell r="F83">
            <v>3434242658.1135435</v>
          </cell>
          <cell r="G83">
            <v>2642046738.9710741</v>
          </cell>
          <cell r="T83">
            <v>1156161224.196353</v>
          </cell>
          <cell r="U83">
            <v>1169765069.9311757</v>
          </cell>
          <cell r="V83">
            <v>1153362862.621623</v>
          </cell>
          <cell r="W83">
            <v>1156938108.8965523</v>
          </cell>
          <cell r="X83">
            <v>1152796389.4317503</v>
          </cell>
        </row>
        <row r="84">
          <cell r="C84">
            <v>4137448247.7085199</v>
          </cell>
          <cell r="D84">
            <v>4388426943.6800127</v>
          </cell>
          <cell r="E84">
            <v>4352933040.6303492</v>
          </cell>
          <cell r="F84">
            <v>3796624640.1638112</v>
          </cell>
          <cell r="G84">
            <v>2977268617.1497598</v>
          </cell>
          <cell r="T84">
            <v>1343233122.2416334</v>
          </cell>
          <cell r="U84">
            <v>1351049661.0936959</v>
          </cell>
          <cell r="V84">
            <v>1343811744.8152618</v>
          </cell>
          <cell r="W84">
            <v>1336556350.2658701</v>
          </cell>
          <cell r="X84">
            <v>1339891789.8284738</v>
          </cell>
        </row>
        <row r="85">
          <cell r="C85">
            <v>4679476263.3658924</v>
          </cell>
          <cell r="D85">
            <v>4907077158.4598827</v>
          </cell>
          <cell r="E85">
            <v>4942719320.9766912</v>
          </cell>
          <cell r="F85">
            <v>4515807741.2352047</v>
          </cell>
          <cell r="G85">
            <v>3303350242.6275272</v>
          </cell>
          <cell r="T85">
            <v>1530305020.2869139</v>
          </cell>
          <cell r="U85">
            <v>1532334252.256216</v>
          </cell>
          <cell r="V85">
            <v>1534260627.0089009</v>
          </cell>
          <cell r="W85">
            <v>1523468867.4259236</v>
          </cell>
          <cell r="X85">
            <v>1528856437.8027244</v>
          </cell>
        </row>
        <row r="86">
          <cell r="C86">
            <v>5276226572.3760586</v>
          </cell>
          <cell r="D86">
            <v>5671474967.6157417</v>
          </cell>
          <cell r="E86">
            <v>5957847299.0551872</v>
          </cell>
          <cell r="F86">
            <v>5150229494.7529831</v>
          </cell>
          <cell r="G86">
            <v>3617591840.9046865</v>
          </cell>
          <cell r="T86">
            <v>1766501945.8455939</v>
          </cell>
          <cell r="U86">
            <v>1759651012.5883315</v>
          </cell>
          <cell r="V86">
            <v>1762908601.6030309</v>
          </cell>
          <cell r="W86">
            <v>1765083242.1562703</v>
          </cell>
          <cell r="X86">
            <v>1759785639.9134769</v>
          </cell>
        </row>
        <row r="87">
          <cell r="C87">
            <v>5934099893.953104</v>
          </cell>
          <cell r="D87">
            <v>6535111834.6826458</v>
          </cell>
          <cell r="E87">
            <v>6596478685.1255608</v>
          </cell>
          <cell r="F87">
            <v>5634115911.4963646</v>
          </cell>
          <cell r="G87">
            <v>4014444120.9416528</v>
          </cell>
          <cell r="T87">
            <v>2021064732.0185144</v>
          </cell>
          <cell r="U87">
            <v>2011636380.3363054</v>
          </cell>
          <cell r="V87">
            <v>2017844811.921669</v>
          </cell>
          <cell r="W87">
            <v>2012639246.8728917</v>
          </cell>
          <cell r="X87">
            <v>2012618873.7388258</v>
          </cell>
        </row>
        <row r="88">
          <cell r="C88">
            <v>6659912676.3073063</v>
          </cell>
          <cell r="D88">
            <v>7161292960.1202831</v>
          </cell>
          <cell r="E88">
            <v>7108103446.5304451</v>
          </cell>
          <cell r="F88">
            <v>6169245008.1781101</v>
          </cell>
          <cell r="G88">
            <v>4352057296.1769066</v>
          </cell>
          <cell r="T88">
            <v>2327150177.5860119</v>
          </cell>
          <cell r="U88">
            <v>2333152869.4384751</v>
          </cell>
          <cell r="V88">
            <v>2330521335.2956581</v>
          </cell>
          <cell r="W88">
            <v>2324119810.8211927</v>
          </cell>
          <cell r="X88">
            <v>2325649688.0286627</v>
          </cell>
        </row>
        <row r="89">
          <cell r="C89">
            <v>7461396032.7205</v>
          </cell>
          <cell r="D89">
            <v>7816214927.0831223</v>
          </cell>
          <cell r="E89">
            <v>7828174904.3868494</v>
          </cell>
          <cell r="F89">
            <v>6941080348.623312</v>
          </cell>
          <cell r="G89">
            <v>4726106532.007987</v>
          </cell>
          <cell r="T89">
            <v>2658439796.6571732</v>
          </cell>
          <cell r="U89">
            <v>2654669358.5406451</v>
          </cell>
          <cell r="V89">
            <v>2663353682.4284401</v>
          </cell>
          <cell r="W89">
            <v>2570995281.1440449</v>
          </cell>
          <cell r="X89">
            <v>2525938256.1674428</v>
          </cell>
        </row>
        <row r="90">
          <cell r="C90">
            <v>8244014381.0832157</v>
          </cell>
          <cell r="D90">
            <v>8735764508.2795067</v>
          </cell>
          <cell r="E90">
            <v>9013783759.7401314</v>
          </cell>
          <cell r="F90">
            <v>7787897435.9059458</v>
          </cell>
          <cell r="G90">
            <v>5144989409.6269608</v>
          </cell>
          <cell r="T90">
            <v>2702247660.4112954</v>
          </cell>
          <cell r="U90">
            <v>2675271322.0287042</v>
          </cell>
          <cell r="V90">
            <v>2734418453.7585301</v>
          </cell>
          <cell r="W90">
            <v>2570995281.1440449</v>
          </cell>
          <cell r="X90">
            <v>2525938256.1674428</v>
          </cell>
        </row>
        <row r="91">
          <cell r="C91">
            <v>9107614325.5535603</v>
          </cell>
          <cell r="D91">
            <v>9899408457.8761215</v>
          </cell>
          <cell r="E91">
            <v>10111709591.663919</v>
          </cell>
          <cell r="F91">
            <v>8604701988.6525574</v>
          </cell>
          <cell r="G91">
            <v>5410451653.14818</v>
          </cell>
          <cell r="T91">
            <v>2702247660.4112954</v>
          </cell>
          <cell r="U91">
            <v>2675271322.0287042</v>
          </cell>
          <cell r="V91">
            <v>2734418453.7585301</v>
          </cell>
          <cell r="W91">
            <v>2570995281.1440449</v>
          </cell>
          <cell r="X91">
            <v>2525938256.1674428</v>
          </cell>
        </row>
        <row r="92">
          <cell r="C92">
            <v>10061025750.396206</v>
          </cell>
          <cell r="D92">
            <v>10853076142.174099</v>
          </cell>
          <cell r="E92">
            <v>10946406093.064627</v>
          </cell>
          <cell r="F92">
            <v>9027171303.5321999</v>
          </cell>
          <cell r="G92">
            <v>5650923861.574543</v>
          </cell>
          <cell r="T92">
            <v>2702247660.4112954</v>
          </cell>
          <cell r="U92">
            <v>2675271322.0287042</v>
          </cell>
          <cell r="V92">
            <v>2734418453.7585301</v>
          </cell>
          <cell r="W92">
            <v>2570995281.1440449</v>
          </cell>
          <cell r="X92">
            <v>2525938256.1674428</v>
          </cell>
        </row>
        <row r="93">
          <cell r="C93">
            <v>11114261264.739388</v>
          </cell>
          <cell r="D93">
            <v>11866444095.695644</v>
          </cell>
          <cell r="E93">
            <v>11780247151.559357</v>
          </cell>
          <cell r="F93">
            <v>9502952590.1786003</v>
          </cell>
          <cell r="G93">
            <v>5941084233.9318552</v>
          </cell>
          <cell r="T93">
            <v>2702247660.4112954</v>
          </cell>
          <cell r="U93">
            <v>2675271322.0287042</v>
          </cell>
          <cell r="V93">
            <v>2734418453.7585301</v>
          </cell>
          <cell r="W93">
            <v>2570995281.1440449</v>
          </cell>
          <cell r="X93">
            <v>2525938256.1674428</v>
          </cell>
        </row>
        <row r="94">
          <cell r="C94">
            <v>12278066299.609724</v>
          </cell>
          <cell r="D94">
            <v>13028846621.11167</v>
          </cell>
          <cell r="E94">
            <v>12521454550.739647</v>
          </cell>
          <cell r="F94">
            <v>10117887833.711277</v>
          </cell>
          <cell r="G94">
            <v>8154545242.1389561</v>
          </cell>
          <cell r="T94">
            <v>2702247660.4112954</v>
          </cell>
          <cell r="U94">
            <v>2675271322.0287042</v>
          </cell>
          <cell r="V94">
            <v>2734418453.7585301</v>
          </cell>
          <cell r="W94">
            <v>2570995281.1440449</v>
          </cell>
          <cell r="X94">
            <v>2525938256.1674428</v>
          </cell>
        </row>
        <row r="95">
          <cell r="C95">
            <v>13564613296.255363</v>
          </cell>
          <cell r="D95">
            <v>13912012777.726074</v>
          </cell>
          <cell r="E95">
            <v>13409448912.55891</v>
          </cell>
          <cell r="F95">
            <v>11718032051.728333</v>
          </cell>
          <cell r="G95">
            <v>15406070327.706177</v>
          </cell>
          <cell r="T95">
            <v>2702247660.4112954</v>
          </cell>
          <cell r="U95">
            <v>2675271322.0287042</v>
          </cell>
          <cell r="V95">
            <v>2734418453.7585301</v>
          </cell>
          <cell r="W95">
            <v>2570995281.1440449</v>
          </cell>
          <cell r="X95">
            <v>2525938256.1674428</v>
          </cell>
        </row>
        <row r="96">
          <cell r="C96">
            <v>14987675640.842646</v>
          </cell>
          <cell r="D96">
            <v>15422146928.411495</v>
          </cell>
          <cell r="E96">
            <v>17877622357.643105</v>
          </cell>
          <cell r="F96">
            <v>22769561211.581802</v>
          </cell>
          <cell r="G96">
            <v>27139589200.146919</v>
          </cell>
          <cell r="T96">
            <v>2702247660.4112954</v>
          </cell>
          <cell r="U96">
            <v>2675271322.0287042</v>
          </cell>
          <cell r="V96">
            <v>2734418453.7585301</v>
          </cell>
          <cell r="W96">
            <v>2570995281.1440449</v>
          </cell>
          <cell r="X96">
            <v>2525938256.1674428</v>
          </cell>
        </row>
        <row r="97">
          <cell r="C97">
            <v>16562135203.228765</v>
          </cell>
          <cell r="D97">
            <v>21727449849.015327</v>
          </cell>
          <cell r="E97">
            <v>28807823553.382622</v>
          </cell>
          <cell r="F97">
            <v>35322855546.221481</v>
          </cell>
          <cell r="G97">
            <v>40673139837.939926</v>
          </cell>
          <cell r="T97">
            <v>2702247660.4112954</v>
          </cell>
          <cell r="U97">
            <v>2675271322.0287042</v>
          </cell>
          <cell r="V97">
            <v>2734418453.7585301</v>
          </cell>
          <cell r="W97">
            <v>2570995281.1440449</v>
          </cell>
          <cell r="X97">
            <v>2525938256.1674428</v>
          </cell>
        </row>
        <row r="98">
          <cell r="C98">
            <v>18304817165.146416</v>
          </cell>
          <cell r="D98">
            <v>24062750141.684948</v>
          </cell>
          <cell r="E98">
            <v>31877746453.297134</v>
          </cell>
          <cell r="F98">
            <v>38805977226.745834</v>
          </cell>
          <cell r="G98">
            <v>44303635519.711403</v>
          </cell>
          <cell r="T98">
            <v>2702247660.4112954</v>
          </cell>
          <cell r="U98">
            <v>2675271322.0287042</v>
          </cell>
          <cell r="V98">
            <v>2734418453.7585301</v>
          </cell>
          <cell r="W98">
            <v>2570995281.1440449</v>
          </cell>
          <cell r="X98">
            <v>2525938256.1674428</v>
          </cell>
        </row>
        <row r="99">
          <cell r="C99">
            <v>20234726478.893219</v>
          </cell>
          <cell r="D99">
            <v>26515149791.13176</v>
          </cell>
          <cell r="E99">
            <v>34976760524.152534</v>
          </cell>
          <cell r="F99">
            <v>42390626142.275635</v>
          </cell>
          <cell r="G99">
            <v>48073324802.388847</v>
          </cell>
          <cell r="T99">
            <v>2702247660.4112954</v>
          </cell>
          <cell r="U99">
            <v>2675271322.0287042</v>
          </cell>
          <cell r="V99">
            <v>2734418453.7585301</v>
          </cell>
          <cell r="W99">
            <v>2570995281.1440449</v>
          </cell>
          <cell r="X99">
            <v>2525938256.1674428</v>
          </cell>
        </row>
        <row r="100">
          <cell r="C100">
            <v>22372518584.994133</v>
          </cell>
          <cell r="D100">
            <v>29281229180.342209</v>
          </cell>
          <cell r="E100">
            <v>38450101712.610756</v>
          </cell>
          <cell r="F100">
            <v>46333974309.195503</v>
          </cell>
          <cell r="G100">
            <v>52266943798.835419</v>
          </cell>
          <cell r="T100">
            <v>2702247660.4112954</v>
          </cell>
          <cell r="U100">
            <v>2675271322.0287042</v>
          </cell>
          <cell r="V100">
            <v>2734418453.7585301</v>
          </cell>
          <cell r="W100">
            <v>2570995281.1440449</v>
          </cell>
          <cell r="X100">
            <v>2525938256.1674428</v>
          </cell>
        </row>
        <row r="101">
          <cell r="C101">
            <v>24741509340.223686</v>
          </cell>
          <cell r="D101">
            <v>32292200055.886421</v>
          </cell>
          <cell r="E101">
            <v>42311373730.189362</v>
          </cell>
          <cell r="F101">
            <v>50746033665.287323</v>
          </cell>
          <cell r="G101">
            <v>56974012366.798607</v>
          </cell>
          <cell r="T101">
            <v>2702247660.4112954</v>
          </cell>
          <cell r="U101">
            <v>2675271322.0287042</v>
          </cell>
          <cell r="V101">
            <v>2734418453.7585301</v>
          </cell>
          <cell r="W101">
            <v>2570995281.1440449</v>
          </cell>
          <cell r="X101">
            <v>2525938256.1674428</v>
          </cell>
        </row>
        <row r="102">
          <cell r="C102">
            <v>27367999470.260162</v>
          </cell>
          <cell r="D102">
            <v>35714299997.358788</v>
          </cell>
          <cell r="E102">
            <v>46591540976.12793</v>
          </cell>
          <cell r="F102">
            <v>55655659235.283897</v>
          </cell>
          <cell r="G102">
            <v>62190995364.47612</v>
          </cell>
          <cell r="T102">
            <v>2702247660.4112954</v>
          </cell>
          <cell r="U102">
            <v>2675271322.0287042</v>
          </cell>
          <cell r="V102">
            <v>2734418453.7585301</v>
          </cell>
          <cell r="W102">
            <v>2570995281.1440449</v>
          </cell>
          <cell r="X102">
            <v>2525938256.1674428</v>
          </cell>
        </row>
        <row r="103">
          <cell r="C103">
            <v>30280717269.062447</v>
          </cell>
          <cell r="D103">
            <v>39413926133.172417</v>
          </cell>
          <cell r="E103">
            <v>51377845313.448479</v>
          </cell>
          <cell r="F103">
            <v>61119218004.825356</v>
          </cell>
          <cell r="G103">
            <v>67979980265.23114</v>
          </cell>
          <cell r="T103">
            <v>2702247660.4112954</v>
          </cell>
          <cell r="U103">
            <v>2675271322.0287042</v>
          </cell>
          <cell r="V103">
            <v>2734418453.7585301</v>
          </cell>
          <cell r="W103">
            <v>2570995281.1440449</v>
          </cell>
          <cell r="X103">
            <v>2525938256.1674428</v>
          </cell>
        </row>
        <row r="104">
          <cell r="C104">
            <v>33512051725.401329</v>
          </cell>
          <cell r="D104">
            <v>43651077462.102158</v>
          </cell>
          <cell r="E104">
            <v>56693075943.672203</v>
          </cell>
          <cell r="F104">
            <v>67299331219.179893</v>
          </cell>
          <cell r="G104">
            <v>74557037065.027039</v>
          </cell>
          <cell r="T104">
            <v>2702247660.4112954</v>
          </cell>
          <cell r="U104">
            <v>2675271322.0287042</v>
          </cell>
          <cell r="V104">
            <v>2734418453.7585301</v>
          </cell>
          <cell r="W104">
            <v>2570995281.1440449</v>
          </cell>
          <cell r="X104">
            <v>2525938256.1674428</v>
          </cell>
        </row>
        <row r="105">
          <cell r="C105">
            <v>37096016372.131828</v>
          </cell>
          <cell r="D105">
            <v>48234615550.065178</v>
          </cell>
          <cell r="E105">
            <v>62613013295.479797</v>
          </cell>
          <cell r="F105">
            <v>74103928003.591583</v>
          </cell>
          <cell r="G105">
            <v>81864993257.537018</v>
          </cell>
          <cell r="T105">
            <v>2702247660.4112954</v>
          </cell>
          <cell r="U105">
            <v>2675271322.0287042</v>
          </cell>
          <cell r="V105">
            <v>2734418453.7585301</v>
          </cell>
          <cell r="W105">
            <v>2570995281.1440449</v>
          </cell>
          <cell r="X105">
            <v>2525938256.1674428</v>
          </cell>
        </row>
      </sheetData>
      <sheetData sheetId="7">
        <row r="6">
          <cell r="H6">
            <v>15</v>
          </cell>
          <cell r="S6">
            <v>1.1606402542999971E-2</v>
          </cell>
          <cell r="T6">
            <v>1.1602424228493866E-2</v>
          </cell>
          <cell r="U6">
            <v>1.1596326177807901E-2</v>
          </cell>
          <cell r="V6">
            <v>1.1555950957676439E-2</v>
          </cell>
          <cell r="W6">
            <v>1.1537885505173394E-2</v>
          </cell>
          <cell r="X6">
            <v>1.6632430573546578E-2</v>
          </cell>
          <cell r="Y6">
            <v>1.6632043242022967E-2</v>
          </cell>
          <cell r="Z6">
            <v>1.6631449050656069E-2</v>
          </cell>
          <cell r="AA6">
            <v>1.6627500164467297E-2</v>
          </cell>
          <cell r="AB6">
            <v>1.6625724940072896E-2</v>
          </cell>
          <cell r="AH6">
            <v>3.2348184451616933E-2</v>
          </cell>
          <cell r="AI6">
            <v>3.2348184451616933E-2</v>
          </cell>
          <cell r="AJ6">
            <v>3.2348184451616933E-2</v>
          </cell>
          <cell r="AK6">
            <v>3.2348184451616933E-2</v>
          </cell>
          <cell r="AL6">
            <v>3.2348184451616933E-2</v>
          </cell>
          <cell r="AQ6">
            <v>7.8219040744095469E-2</v>
          </cell>
          <cell r="AR6">
            <v>7.8081552002074006E-2</v>
          </cell>
          <cell r="AS6">
            <v>7.7937126765624809E-2</v>
          </cell>
          <cell r="AT6">
            <v>7.7795480385948912E-2</v>
          </cell>
          <cell r="AU6">
            <v>7.7660520200122207E-2</v>
          </cell>
          <cell r="AZ6">
            <v>3.7499999999999999E-2</v>
          </cell>
          <cell r="BA6">
            <v>3.7499999999999999E-2</v>
          </cell>
          <cell r="BB6">
            <v>3.7499999999999999E-2</v>
          </cell>
          <cell r="BC6">
            <v>6.5811111111111112E-2</v>
          </cell>
          <cell r="BD6">
            <v>6.5811111111111112E-2</v>
          </cell>
          <cell r="BI6">
            <v>1.5</v>
          </cell>
          <cell r="BJ6">
            <v>1.5</v>
          </cell>
          <cell r="BK6">
            <v>1.5</v>
          </cell>
          <cell r="BL6">
            <v>1.5</v>
          </cell>
          <cell r="BM6">
            <v>1.5</v>
          </cell>
          <cell r="CA6" t="e">
            <v>#DIV/0!</v>
          </cell>
          <cell r="CB6" t="e">
            <v>#DIV/0!</v>
          </cell>
          <cell r="CC6" t="e">
            <v>#DIV/0!</v>
          </cell>
          <cell r="CD6" t="e">
            <v>#DIV/0!</v>
          </cell>
          <cell r="CE6" t="e">
            <v>#DIV/0!</v>
          </cell>
        </row>
        <row r="7">
          <cell r="S7">
            <v>5.6115778598897223E-3</v>
          </cell>
          <cell r="T7">
            <v>5.6073499898393079E-3</v>
          </cell>
          <cell r="U7">
            <v>5.6008987731679038E-3</v>
          </cell>
          <cell r="V7">
            <v>5.5596640583817497E-3</v>
          </cell>
          <cell r="W7">
            <v>5.5404895911446853E-3</v>
          </cell>
          <cell r="X7">
            <v>8.0684698628493215E-3</v>
          </cell>
          <cell r="Y7">
            <v>8.0680553215562445E-3</v>
          </cell>
          <cell r="Z7">
            <v>8.0674216581303818E-3</v>
          </cell>
          <cell r="AA7">
            <v>8.0633390736839072E-3</v>
          </cell>
          <cell r="AB7">
            <v>8.0614213680973972E-3</v>
          </cell>
          <cell r="AH7">
            <v>3.1392151119474958E-2</v>
          </cell>
          <cell r="AI7">
            <v>3.1392151119474958E-2</v>
          </cell>
          <cell r="AJ7">
            <v>3.1392151119474958E-2</v>
          </cell>
          <cell r="AK7">
            <v>3.1392151119474958E-2</v>
          </cell>
          <cell r="AL7">
            <v>3.1392151119474958E-2</v>
          </cell>
          <cell r="AQ7">
            <v>6.9335372721960969E-2</v>
          </cell>
          <cell r="AR7">
            <v>6.6939777232661271E-2</v>
          </cell>
          <cell r="AS7">
            <v>6.3937813812551481E-2</v>
          </cell>
          <cell r="AT7">
            <v>6.1268015407431015E-2</v>
          </cell>
          <cell r="AU7">
            <v>5.8874316469246922E-2</v>
          </cell>
          <cell r="AZ7">
            <v>3.4090909090909088E-2</v>
          </cell>
          <cell r="BA7">
            <v>3.4090909090909088E-2</v>
          </cell>
          <cell r="BB7">
            <v>3.4090909090909088E-2</v>
          </cell>
          <cell r="BC7">
            <v>5.9828282828282835E-2</v>
          </cell>
          <cell r="BD7">
            <v>5.9828282828282835E-2</v>
          </cell>
          <cell r="BI7">
            <v>1.4285714285714286</v>
          </cell>
          <cell r="BJ7">
            <v>1.4285714285714286</v>
          </cell>
          <cell r="BK7">
            <v>1.4285714285714286</v>
          </cell>
          <cell r="BL7">
            <v>1.4285714285714286</v>
          </cell>
          <cell r="BM7">
            <v>1.4285714285714286</v>
          </cell>
          <cell r="CA7" t="e">
            <v>#DIV/0!</v>
          </cell>
          <cell r="CB7" t="e">
            <v>#DIV/0!</v>
          </cell>
          <cell r="CC7" t="e">
            <v>#DIV/0!</v>
          </cell>
          <cell r="CD7" t="e">
            <v>#DIV/0!</v>
          </cell>
          <cell r="CE7" t="e">
            <v>#DIV/0!</v>
          </cell>
        </row>
        <row r="8">
          <cell r="S8">
            <v>3.6166436585387167E-3</v>
          </cell>
          <cell r="T8">
            <v>3.6122093605354014E-3</v>
          </cell>
          <cell r="U8">
            <v>3.6055047282183097E-3</v>
          </cell>
          <cell r="V8">
            <v>3.5637199627212468E-3</v>
          </cell>
          <cell r="W8">
            <v>3.5441053464790365E-3</v>
          </cell>
          <cell r="X8">
            <v>5.2186457971719604E-3</v>
          </cell>
          <cell r="Y8">
            <v>5.218207716389949E-3</v>
          </cell>
          <cell r="Z8">
            <v>5.2175434348331841E-3</v>
          </cell>
          <cell r="AA8">
            <v>5.2133510595702487E-3</v>
          </cell>
          <cell r="AB8">
            <v>5.2113513555269069E-3</v>
          </cell>
          <cell r="AH8">
            <v>3.0464372842374271E-2</v>
          </cell>
          <cell r="AI8">
            <v>3.0464372842374271E-2</v>
          </cell>
          <cell r="AJ8">
            <v>3.0464372842374271E-2</v>
          </cell>
          <cell r="AK8">
            <v>3.0464372842374271E-2</v>
          </cell>
          <cell r="AL8">
            <v>3.0464372842374271E-2</v>
          </cell>
          <cell r="AQ8">
            <v>3.8650618347033316E-2</v>
          </cell>
          <cell r="AR8">
            <v>3.6772984002137098E-2</v>
          </cell>
          <cell r="AS8">
            <v>3.522905676886836E-2</v>
          </cell>
          <cell r="AT8">
            <v>3.385364610842579E-2</v>
          </cell>
          <cell r="AU8">
            <v>3.2644621274267774E-2</v>
          </cell>
          <cell r="AZ8">
            <v>3.0991735537190084E-2</v>
          </cell>
          <cell r="BA8">
            <v>3.0991735537190084E-2</v>
          </cell>
          <cell r="BB8">
            <v>3.0991735537190084E-2</v>
          </cell>
          <cell r="BC8">
            <v>5.4389348025711666E-2</v>
          </cell>
          <cell r="BD8">
            <v>5.4389348025711666E-2</v>
          </cell>
          <cell r="BI8">
            <v>1.3605442176870748</v>
          </cell>
          <cell r="BJ8">
            <v>1.3605442176870748</v>
          </cell>
          <cell r="BK8">
            <v>1.3605442176870748</v>
          </cell>
          <cell r="BL8">
            <v>1.3605442176870748</v>
          </cell>
          <cell r="BM8">
            <v>1.3605442176870748</v>
          </cell>
          <cell r="CA8" t="e">
            <v>#DIV/0!</v>
          </cell>
          <cell r="CB8" t="e">
            <v>#DIV/0!</v>
          </cell>
          <cell r="CC8" t="e">
            <v>#DIV/0!</v>
          </cell>
          <cell r="CD8" t="e">
            <v>#DIV/0!</v>
          </cell>
          <cell r="CE8" t="e">
            <v>#DIV/0!</v>
          </cell>
        </row>
        <row r="9">
          <cell r="S9">
            <v>2.6216028167903522E-3</v>
          </cell>
          <cell r="T9">
            <v>2.6169228872341332E-3</v>
          </cell>
          <cell r="U9">
            <v>2.6098973436492713E-3</v>
          </cell>
          <cell r="V9">
            <v>2.5673181283171905E-3</v>
          </cell>
          <cell r="W9">
            <v>2.5468302308275445E-3</v>
          </cell>
          <cell r="X9">
            <v>3.79724734297059E-3</v>
          </cell>
          <cell r="Y9">
            <v>3.7967812261968047E-3</v>
          </cell>
          <cell r="Z9">
            <v>3.7960785663716272E-3</v>
          </cell>
          <cell r="AA9">
            <v>3.7917434829585462E-3</v>
          </cell>
          <cell r="AB9">
            <v>3.7896095542783613E-3</v>
          </cell>
          <cell r="AH9">
            <v>2.9564014557238585E-2</v>
          </cell>
          <cell r="AI9">
            <v>2.9564014557238585E-2</v>
          </cell>
          <cell r="AJ9">
            <v>2.9564014557238585E-2</v>
          </cell>
          <cell r="AK9">
            <v>2.9564014557238585E-2</v>
          </cell>
          <cell r="AL9">
            <v>2.9564014557238585E-2</v>
          </cell>
          <cell r="AQ9">
            <v>2.7098897521824952E-2</v>
          </cell>
          <cell r="AR9">
            <v>2.6771909183627745E-2</v>
          </cell>
          <cell r="AS9">
            <v>2.6455178912005019E-2</v>
          </cell>
          <cell r="AT9">
            <v>2.6157709687423519E-2</v>
          </cell>
          <cell r="AU9">
            <v>2.5892865978693558E-2</v>
          </cell>
          <cell r="AZ9">
            <v>2.8174305033809167E-2</v>
          </cell>
          <cell r="BA9">
            <v>2.8174305033809167E-2</v>
          </cell>
          <cell r="BB9">
            <v>2.8174305033809167E-2</v>
          </cell>
          <cell r="BC9">
            <v>4.9444861841556061E-2</v>
          </cell>
          <cell r="BD9">
            <v>4.9444861841556061E-2</v>
          </cell>
          <cell r="BI9">
            <v>1.2957563977972142</v>
          </cell>
          <cell r="BJ9">
            <v>1.2957563977972142</v>
          </cell>
          <cell r="BK9">
            <v>1.2957563977972142</v>
          </cell>
          <cell r="BL9">
            <v>1.2957563977972142</v>
          </cell>
          <cell r="BM9">
            <v>1.2957563977972142</v>
          </cell>
          <cell r="CA9" t="e">
            <v>#DIV/0!</v>
          </cell>
          <cell r="CB9" t="e">
            <v>#DIV/0!</v>
          </cell>
          <cell r="CC9" t="e">
            <v>#DIV/0!</v>
          </cell>
          <cell r="CD9" t="e">
            <v>#DIV/0!</v>
          </cell>
          <cell r="CE9" t="e">
            <v>#DIV/0!</v>
          </cell>
        </row>
        <row r="10">
          <cell r="S10">
            <v>2.0264582010701008E-3</v>
          </cell>
          <cell r="T10">
            <v>2.0217092590187002E-3</v>
          </cell>
          <cell r="U10">
            <v>2.0145318238735696E-3</v>
          </cell>
          <cell r="V10">
            <v>1.9718380942549919E-3</v>
          </cell>
          <cell r="W10">
            <v>1.9509891859278894E-3</v>
          </cell>
          <cell r="X10">
            <v>2.9471348172460648E-3</v>
          </cell>
          <cell r="Y10">
            <v>2.9466577286978478E-3</v>
          </cell>
          <cell r="Z10">
            <v>2.9459326957647258E-3</v>
          </cell>
          <cell r="AA10">
            <v>2.9415185984292842E-3</v>
          </cell>
          <cell r="AB10">
            <v>2.9392978407359739E-3</v>
          </cell>
          <cell r="AH10">
            <v>2.8690265880835262E-2</v>
          </cell>
          <cell r="AI10">
            <v>2.8690265880835262E-2</v>
          </cell>
          <cell r="AJ10">
            <v>2.8690265880835262E-2</v>
          </cell>
          <cell r="AK10">
            <v>2.8690265880835262E-2</v>
          </cell>
          <cell r="AL10">
            <v>2.8690265880835262E-2</v>
          </cell>
          <cell r="AQ10">
            <v>2.4591656469287359E-2</v>
          </cell>
          <cell r="AR10">
            <v>2.4441152618895928E-2</v>
          </cell>
          <cell r="AS10">
            <v>2.4060781024277871E-2</v>
          </cell>
          <cell r="AT10">
            <v>2.370078921533322E-2</v>
          </cell>
          <cell r="AU10">
            <v>2.3376178727923441E-2</v>
          </cell>
          <cell r="AZ10">
            <v>2.5613004576190149E-2</v>
          </cell>
          <cell r="BA10">
            <v>2.5613004576190149E-2</v>
          </cell>
          <cell r="BB10">
            <v>2.5613004576190149E-2</v>
          </cell>
          <cell r="BC10">
            <v>4.4949874401414597E-2</v>
          </cell>
          <cell r="BD10">
            <v>4.4949874401414597E-2</v>
          </cell>
          <cell r="BI10">
            <v>1.2340537121878228</v>
          </cell>
          <cell r="BJ10">
            <v>1.2340537121878228</v>
          </cell>
          <cell r="BK10">
            <v>1.2340537121878228</v>
          </cell>
          <cell r="BL10">
            <v>1.2340537121878228</v>
          </cell>
          <cell r="BM10">
            <v>1.2340537121878228</v>
          </cell>
          <cell r="CA10" t="e">
            <v>#DIV/0!</v>
          </cell>
          <cell r="CB10" t="e">
            <v>#DIV/0!</v>
          </cell>
          <cell r="CC10" t="e">
            <v>#DIV/0!</v>
          </cell>
          <cell r="CD10" t="e">
            <v>#DIV/0!</v>
          </cell>
          <cell r="CE10" t="e">
            <v>#DIV/0!</v>
          </cell>
        </row>
        <row r="11">
          <cell r="S11">
            <v>1.8821684653477259E-3</v>
          </cell>
          <cell r="T11">
            <v>1.8765816495257882E-3</v>
          </cell>
          <cell r="U11">
            <v>1.8682793915033398E-3</v>
          </cell>
          <cell r="V11">
            <v>1.8184463906786342E-3</v>
          </cell>
          <cell r="W11">
            <v>1.795031389839173E-3</v>
          </cell>
          <cell r="X11">
            <v>2.7796965377235856E-3</v>
          </cell>
          <cell r="Y11">
            <v>2.7791237765563024E-3</v>
          </cell>
          <cell r="Z11">
            <v>2.7782667413533946E-3</v>
          </cell>
          <cell r="AA11">
            <v>2.7729698179795419E-3</v>
          </cell>
          <cell r="AB11">
            <v>2.7702284931325647E-3</v>
          </cell>
          <cell r="AH11">
            <v>2.7842340380375731E-2</v>
          </cell>
          <cell r="AI11">
            <v>2.7842340380375731E-2</v>
          </cell>
          <cell r="AJ11">
            <v>2.7842340380375731E-2</v>
          </cell>
          <cell r="AK11">
            <v>2.7842340380375731E-2</v>
          </cell>
          <cell r="AL11">
            <v>2.7842340380375731E-2</v>
          </cell>
          <cell r="AQ11">
            <v>2.2456578569371853E-2</v>
          </cell>
          <cell r="AR11">
            <v>2.2273872304300578E-2</v>
          </cell>
          <cell r="AS11">
            <v>2.2212305424668174E-2</v>
          </cell>
          <cell r="AT11">
            <v>2.1546622899085034E-2</v>
          </cell>
          <cell r="AU11">
            <v>2.0993140417079805E-2</v>
          </cell>
          <cell r="AZ11">
            <v>2.3284549614718316E-2</v>
          </cell>
          <cell r="BA11">
            <v>2.3284549614718316E-2</v>
          </cell>
          <cell r="BB11">
            <v>2.3284549614718316E-2</v>
          </cell>
          <cell r="BC11">
            <v>4.0863522183104177E-2</v>
          </cell>
          <cell r="BD11">
            <v>4.0863522183104177E-2</v>
          </cell>
          <cell r="BI11">
            <v>1.1752892497026883</v>
          </cell>
          <cell r="BJ11">
            <v>1.1752892497026883</v>
          </cell>
          <cell r="BK11">
            <v>1.1752892497026883</v>
          </cell>
          <cell r="BL11">
            <v>1.1752892497026883</v>
          </cell>
          <cell r="BM11">
            <v>1.1752892497026883</v>
          </cell>
          <cell r="CA11" t="e">
            <v>#DIV/0!</v>
          </cell>
          <cell r="CB11" t="e">
            <v>#DIV/0!</v>
          </cell>
          <cell r="CC11" t="e">
            <v>#DIV/0!</v>
          </cell>
          <cell r="CD11" t="e">
            <v>#DIV/0!</v>
          </cell>
          <cell r="CE11" t="e">
            <v>#DIV/0!</v>
          </cell>
        </row>
        <row r="12">
          <cell r="S12">
            <v>1.7502006562400358E-3</v>
          </cell>
          <cell r="T12">
            <v>1.7435954078300865E-3</v>
          </cell>
          <cell r="U12">
            <v>1.7338838874952213E-3</v>
          </cell>
          <cell r="V12">
            <v>1.6789386428695248E-3</v>
          </cell>
          <cell r="W12">
            <v>1.6536506531330507E-3</v>
          </cell>
          <cell r="X12">
            <v>2.6237355024874044E-3</v>
          </cell>
          <cell r="Y12">
            <v>2.6230444357398584E-3</v>
          </cell>
          <cell r="Z12">
            <v>2.6220194879110711E-3</v>
          </cell>
          <cell r="AA12">
            <v>2.6158839245067288E-3</v>
          </cell>
          <cell r="AB12">
            <v>2.6126500071069819E-3</v>
          </cell>
          <cell r="AH12">
            <v>2.7019474865672907E-2</v>
          </cell>
          <cell r="AI12">
            <v>2.7019474865672907E-2</v>
          </cell>
          <cell r="AJ12">
            <v>2.7019474865672907E-2</v>
          </cell>
          <cell r="AK12">
            <v>2.7019474865672907E-2</v>
          </cell>
          <cell r="AL12">
            <v>2.7019474865672907E-2</v>
          </cell>
          <cell r="AQ12">
            <v>2.0600619280352141E-2</v>
          </cell>
          <cell r="AR12">
            <v>2.0075752605274982E-2</v>
          </cell>
          <cell r="AS12">
            <v>1.9650527175034838E-2</v>
          </cell>
          <cell r="AT12">
            <v>1.9612170819592274E-2</v>
          </cell>
          <cell r="AU12">
            <v>1.8991018301498644E-2</v>
          </cell>
          <cell r="AZ12">
            <v>2.1167772377016648E-2</v>
          </cell>
          <cell r="BA12">
            <v>2.1167772377016648E-2</v>
          </cell>
          <cell r="BB12">
            <v>2.1167772377016648E-2</v>
          </cell>
          <cell r="BC12">
            <v>3.7148656530094706E-2</v>
          </cell>
          <cell r="BD12">
            <v>3.7148656530094706E-2</v>
          </cell>
          <cell r="BI12">
            <v>1.1193230949549411</v>
          </cell>
          <cell r="BJ12">
            <v>1.1193230949549411</v>
          </cell>
          <cell r="BK12">
            <v>1.1193230949549411</v>
          </cell>
          <cell r="BL12">
            <v>1.1193230949549411</v>
          </cell>
          <cell r="BM12">
            <v>1.1193230949549411</v>
          </cell>
          <cell r="CA12" t="e">
            <v>#DIV/0!</v>
          </cell>
          <cell r="CB12" t="e">
            <v>#DIV/0!</v>
          </cell>
          <cell r="CC12" t="e">
            <v>#DIV/0!</v>
          </cell>
          <cell r="CD12" t="e">
            <v>#DIV/0!</v>
          </cell>
          <cell r="CE12" t="e">
            <v>#DIV/0!</v>
          </cell>
        </row>
        <row r="13">
          <cell r="S13">
            <v>1.6291861102851481E-3</v>
          </cell>
          <cell r="T13">
            <v>1.6218968668129711E-3</v>
          </cell>
          <cell r="U13">
            <v>1.6110556224918366E-3</v>
          </cell>
          <cell r="V13">
            <v>1.5528267033817996E-3</v>
          </cell>
          <cell r="W13">
            <v>1.5259798192461683E-3</v>
          </cell>
          <cell r="X13">
            <v>2.4782745170217509E-3</v>
          </cell>
          <cell r="Y13">
            <v>2.4774963420443868E-3</v>
          </cell>
          <cell r="Z13">
            <v>2.4763268624229816E-3</v>
          </cell>
          <cell r="AA13">
            <v>2.4694124969631128E-3</v>
          </cell>
          <cell r="AB13">
            <v>2.4658630082121731E-3</v>
          </cell>
          <cell r="AH13">
            <v>2.6220928702218448E-2</v>
          </cell>
          <cell r="AI13">
            <v>2.6220928702218448E-2</v>
          </cell>
          <cell r="AJ13">
            <v>2.6220928702218448E-2</v>
          </cell>
          <cell r="AK13">
            <v>2.6220928702218448E-2</v>
          </cell>
          <cell r="AL13">
            <v>2.6220928702218448E-2</v>
          </cell>
          <cell r="AQ13">
            <v>1.9069766328886139E-2</v>
          </cell>
          <cell r="AR13">
            <v>1.8579210862890591E-2</v>
          </cell>
          <cell r="AS13">
            <v>1.7999592810968218E-2</v>
          </cell>
          <cell r="AT13">
            <v>1.7480619134812296E-2</v>
          </cell>
          <cell r="AU13">
            <v>1.7248745099640448E-2</v>
          </cell>
          <cell r="AZ13">
            <v>1.92434294336515E-2</v>
          </cell>
          <cell r="BA13">
            <v>1.92434294336515E-2</v>
          </cell>
          <cell r="BB13">
            <v>1.92434294336515E-2</v>
          </cell>
          <cell r="BC13">
            <v>3.3771505936449731E-2</v>
          </cell>
          <cell r="BD13">
            <v>3.3771505936449731E-2</v>
          </cell>
          <cell r="BI13">
            <v>1.0660219951951819</v>
          </cell>
          <cell r="BJ13">
            <v>1.0660219951951819</v>
          </cell>
          <cell r="BK13">
            <v>1.0660219951951819</v>
          </cell>
          <cell r="BL13">
            <v>1.0660219951951819</v>
          </cell>
          <cell r="BM13">
            <v>1.0660219951951819</v>
          </cell>
          <cell r="CA13" t="e">
            <v>#DIV/0!</v>
          </cell>
          <cell r="CB13" t="e">
            <v>#DIV/0!</v>
          </cell>
          <cell r="CC13" t="e">
            <v>#DIV/0!</v>
          </cell>
          <cell r="CD13" t="e">
            <v>#DIV/0!</v>
          </cell>
          <cell r="CE13" t="e">
            <v>#DIV/0!</v>
          </cell>
        </row>
        <row r="14">
          <cell r="S14">
            <v>1.5179469156242475E-3</v>
          </cell>
          <cell r="T14">
            <v>1.5100057669052028E-3</v>
          </cell>
          <cell r="U14">
            <v>1.4986923232461504E-3</v>
          </cell>
          <cell r="V14">
            <v>1.4391026813895314E-3</v>
          </cell>
          <cell r="W14">
            <v>1.4137931577057109E-3</v>
          </cell>
          <cell r="X14">
            <v>2.3424386169414863E-3</v>
          </cell>
          <cell r="Y14">
            <v>2.3415734667737143E-3</v>
          </cell>
          <cell r="Z14">
            <v>2.3403262117430721E-3</v>
          </cell>
          <cell r="AA14">
            <v>2.3328787967356458E-3</v>
          </cell>
          <cell r="AB14">
            <v>2.329123830200292E-3</v>
          </cell>
          <cell r="AH14">
            <v>2.5445983144561774E-2</v>
          </cell>
          <cell r="AI14">
            <v>2.5445983144561774E-2</v>
          </cell>
          <cell r="AJ14">
            <v>2.5445983144561774E-2</v>
          </cell>
          <cell r="AK14">
            <v>2.5445983144561774E-2</v>
          </cell>
          <cell r="AL14">
            <v>2.5445983144561774E-2</v>
          </cell>
          <cell r="AQ14">
            <v>1.70652582835366E-2</v>
          </cell>
          <cell r="AR14">
            <v>1.6963988763041195E-2</v>
          </cell>
          <cell r="AS14">
            <v>1.6561146813173985E-2</v>
          </cell>
          <cell r="AT14">
            <v>1.5989212218162369E-2</v>
          </cell>
          <cell r="AU14">
            <v>1.5659066550499551E-2</v>
          </cell>
          <cell r="AZ14">
            <v>1.7494026757864999E-2</v>
          </cell>
          <cell r="BA14">
            <v>1.7494026757864999E-2</v>
          </cell>
          <cell r="BB14">
            <v>1.7494026757864999E-2</v>
          </cell>
          <cell r="BC14">
            <v>3.0701369033136115E-2</v>
          </cell>
          <cell r="BD14">
            <v>3.0701369033136115E-2</v>
          </cell>
          <cell r="BI14">
            <v>1.0152590430430304</v>
          </cell>
          <cell r="BJ14">
            <v>1.0152590430430304</v>
          </cell>
          <cell r="BK14">
            <v>1.0152590430430304</v>
          </cell>
          <cell r="BL14">
            <v>1.0152590430430304</v>
          </cell>
          <cell r="BM14">
            <v>1.0152590430430304</v>
          </cell>
          <cell r="CA14" t="e">
            <v>#DIV/0!</v>
          </cell>
          <cell r="CB14" t="e">
            <v>#DIV/0!</v>
          </cell>
          <cell r="CC14" t="e">
            <v>#DIV/0!</v>
          </cell>
          <cell r="CD14" t="e">
            <v>#DIV/0!</v>
          </cell>
          <cell r="CE14" t="e">
            <v>#DIV/0!</v>
          </cell>
        </row>
        <row r="15">
          <cell r="S15">
            <v>1.4154641260779915E-3</v>
          </cell>
          <cell r="T15">
            <v>1.4074477373685274E-3</v>
          </cell>
          <cell r="U15">
            <v>1.3955609451846279E-3</v>
          </cell>
          <cell r="V15">
            <v>1.3338798464285879E-3</v>
          </cell>
          <cell r="W15">
            <v>1.3062707451152026E-3</v>
          </cell>
          <cell r="X15">
            <v>2.2154422305876785E-3</v>
          </cell>
          <cell r="Y15">
            <v>2.2145511166434362E-3</v>
          </cell>
          <cell r="Z15">
            <v>2.2132122668977964E-3</v>
          </cell>
          <cell r="AA15">
            <v>2.2050134330370646E-3</v>
          </cell>
          <cell r="AB15">
            <v>2.2004756687331829E-3</v>
          </cell>
          <cell r="AH15">
            <v>2.4693940689390591E-2</v>
          </cell>
          <cell r="AI15">
            <v>2.4693940689390591E-2</v>
          </cell>
          <cell r="AJ15">
            <v>2.4693940689390591E-2</v>
          </cell>
          <cell r="AK15">
            <v>2.4693940689390591E-2</v>
          </cell>
          <cell r="AL15">
            <v>2.4693940689390591E-2</v>
          </cell>
          <cell r="AQ15">
            <v>1.5819366172322238E-2</v>
          </cell>
          <cell r="AR15">
            <v>1.5330022674743773E-2</v>
          </cell>
          <cell r="AS15">
            <v>1.5196271193471139E-2</v>
          </cell>
          <cell r="AT15">
            <v>1.4910120921118035E-2</v>
          </cell>
          <cell r="AU15">
            <v>1.440184152846084E-2</v>
          </cell>
          <cell r="AZ15">
            <v>1.5903660688968181E-2</v>
          </cell>
          <cell r="BA15">
            <v>1.5903660688968181E-2</v>
          </cell>
          <cell r="BB15">
            <v>1.5903660688968181E-2</v>
          </cell>
          <cell r="BC15">
            <v>2.7910335484669195E-2</v>
          </cell>
          <cell r="BD15">
            <v>2.7910335484669195E-2</v>
          </cell>
          <cell r="BI15">
            <v>0.96691337432669555</v>
          </cell>
          <cell r="BJ15">
            <v>0.96691337432669555</v>
          </cell>
          <cell r="BK15">
            <v>0.96691337432669555</v>
          </cell>
          <cell r="BL15">
            <v>0.96691337432669555</v>
          </cell>
          <cell r="BM15">
            <v>0.96691337432669555</v>
          </cell>
          <cell r="CA15" t="e">
            <v>#DIV/0!</v>
          </cell>
          <cell r="CB15" t="e">
            <v>#DIV/0!</v>
          </cell>
          <cell r="CC15" t="e">
            <v>#DIV/0!</v>
          </cell>
          <cell r="CD15" t="e">
            <v>#DIV/0!</v>
          </cell>
          <cell r="CE15" t="e">
            <v>#DIV/0!</v>
          </cell>
        </row>
        <row r="16">
          <cell r="S16">
            <v>1.3139000952905144E-3</v>
          </cell>
          <cell r="T16">
            <v>1.30505443108402E-3</v>
          </cell>
          <cell r="U16">
            <v>1.2912327322532364E-3</v>
          </cell>
          <cell r="V16">
            <v>1.2286522083085557E-3</v>
          </cell>
          <cell r="W16">
            <v>1.1972613757755832E-3</v>
          </cell>
          <cell r="X16">
            <v>2.0634364214183565E-3</v>
          </cell>
          <cell r="Y16">
            <v>2.0624454696365523E-3</v>
          </cell>
          <cell r="Z16">
            <v>2.060834283536477E-3</v>
          </cell>
          <cell r="AA16">
            <v>2.0519659205592003E-3</v>
          </cell>
          <cell r="AB16">
            <v>2.0464898264481069E-3</v>
          </cell>
          <cell r="AH16">
            <v>2.396412444773087E-2</v>
          </cell>
          <cell r="AI16">
            <v>2.396412444773087E-2</v>
          </cell>
          <cell r="AJ16">
            <v>2.396412444773087E-2</v>
          </cell>
          <cell r="AK16">
            <v>2.396412444773087E-2</v>
          </cell>
          <cell r="AL16">
            <v>2.396412444773087E-2</v>
          </cell>
          <cell r="AQ16">
            <v>1.4747153506295928E-2</v>
          </cell>
          <cell r="AR16">
            <v>1.431817636560825E-2</v>
          </cell>
          <cell r="AS16">
            <v>1.3891636099910034E-2</v>
          </cell>
          <cell r="AT16">
            <v>1.3684821456812928E-2</v>
          </cell>
          <cell r="AU16">
            <v>1.152658361176806E-2</v>
          </cell>
          <cell r="AZ16">
            <v>1.4457873353607435E-2</v>
          </cell>
          <cell r="BA16">
            <v>1.4457873353607435E-2</v>
          </cell>
          <cell r="BB16">
            <v>1.4457873353607435E-2</v>
          </cell>
          <cell r="BC16">
            <v>2.5373032258790174E-2</v>
          </cell>
          <cell r="BD16">
            <v>2.5373032258790174E-2</v>
          </cell>
          <cell r="BI16">
            <v>0.9208698803111387</v>
          </cell>
          <cell r="BJ16">
            <v>0.9208698803111387</v>
          </cell>
          <cell r="BK16">
            <v>0.9208698803111387</v>
          </cell>
          <cell r="BL16">
            <v>0.9208698803111387</v>
          </cell>
          <cell r="BM16">
            <v>0.9208698803111387</v>
          </cell>
          <cell r="CA16" t="e">
            <v>#DIV/0!</v>
          </cell>
          <cell r="CB16" t="e">
            <v>#DIV/0!</v>
          </cell>
          <cell r="CC16" t="e">
            <v>#DIV/0!</v>
          </cell>
          <cell r="CD16" t="e">
            <v>#DIV/0!</v>
          </cell>
          <cell r="CE16" t="e">
            <v>#DIV/0!</v>
          </cell>
        </row>
        <row r="17">
          <cell r="S17">
            <v>1.2212772672427286E-3</v>
          </cell>
          <cell r="T17">
            <v>1.2122025309438381E-3</v>
          </cell>
          <cell r="U17">
            <v>1.1987594814418566E-3</v>
          </cell>
          <cell r="V17">
            <v>1.1358726557120905E-3</v>
          </cell>
          <cell r="W17">
            <v>1.103086626122911E-3</v>
          </cell>
          <cell r="X17">
            <v>1.9249045265918659E-3</v>
          </cell>
          <cell r="Y17">
            <v>1.9238798868907881E-3</v>
          </cell>
          <cell r="Z17">
            <v>1.9222159023317585E-3</v>
          </cell>
          <cell r="AA17">
            <v>1.91297083710458E-3</v>
          </cell>
          <cell r="AB17">
            <v>1.9067833097612529E-3</v>
          </cell>
          <cell r="AH17">
            <v>2.3255877535701037E-2</v>
          </cell>
          <cell r="AI17">
            <v>2.3255877535701037E-2</v>
          </cell>
          <cell r="AJ17">
            <v>2.3255877535701037E-2</v>
          </cell>
          <cell r="AK17">
            <v>2.3255877535701037E-2</v>
          </cell>
          <cell r="AL17">
            <v>2.3255877535701037E-2</v>
          </cell>
          <cell r="AQ17">
            <v>1.3360541038940089E-2</v>
          </cell>
          <cell r="AR17">
            <v>1.3289072877543455E-2</v>
          </cell>
          <cell r="AS17">
            <v>1.1500044770667534E-2</v>
          </cell>
          <cell r="AT17">
            <v>9.7056757626389715E-3</v>
          </cell>
          <cell r="AU17">
            <v>9.2289157202939207E-3</v>
          </cell>
          <cell r="AZ17">
            <v>1.3143521230552213E-2</v>
          </cell>
          <cell r="BA17">
            <v>1.3143521230552213E-2</v>
          </cell>
          <cell r="BB17">
            <v>1.3143521230552213E-2</v>
          </cell>
          <cell r="BC17">
            <v>2.3066392962536521E-2</v>
          </cell>
          <cell r="BD17">
            <v>2.3066392962536521E-2</v>
          </cell>
          <cell r="BI17">
            <v>0.87701893362965577</v>
          </cell>
          <cell r="BJ17">
            <v>0.87701893362965577</v>
          </cell>
          <cell r="BK17">
            <v>0.87701893362965577</v>
          </cell>
          <cell r="BL17">
            <v>0.87701893362965577</v>
          </cell>
          <cell r="BM17">
            <v>0.87701893362965577</v>
          </cell>
          <cell r="CA17" t="e">
            <v>#DIV/0!</v>
          </cell>
          <cell r="CB17" t="e">
            <v>#DIV/0!</v>
          </cell>
          <cell r="CC17" t="e">
            <v>#DIV/0!</v>
          </cell>
          <cell r="CD17" t="e">
            <v>#DIV/0!</v>
          </cell>
          <cell r="CE17" t="e">
            <v>#DIV/0!</v>
          </cell>
        </row>
        <row r="18">
          <cell r="S18">
            <v>1.1254839226592752E-3</v>
          </cell>
          <cell r="T18">
            <v>1.1164404556976699E-3</v>
          </cell>
          <cell r="U18">
            <v>1.103644641890184E-3</v>
          </cell>
          <cell r="V18">
            <v>1.04194051315199E-3</v>
          </cell>
          <cell r="W18">
            <v>1.0080051768078283E-3</v>
          </cell>
          <cell r="X18">
            <v>1.7798094844661224E-3</v>
          </cell>
          <cell r="Y18">
            <v>1.7788401601442027E-3</v>
          </cell>
          <cell r="Z18">
            <v>1.7772642534275578E-3</v>
          </cell>
          <cell r="AA18">
            <v>1.7679710167045617E-3</v>
          </cell>
          <cell r="AB18">
            <v>1.7612539447693638E-3</v>
          </cell>
          <cell r="AH18">
            <v>2.2568562483272155E-2</v>
          </cell>
          <cell r="AI18">
            <v>2.2568562483272155E-2</v>
          </cell>
          <cell r="AJ18">
            <v>2.2568562483272155E-2</v>
          </cell>
          <cell r="AK18">
            <v>2.2568562483272155E-2</v>
          </cell>
          <cell r="AL18">
            <v>2.2568562483272155E-2</v>
          </cell>
          <cell r="AQ18">
            <v>1.1723331105858123E-2</v>
          </cell>
          <cell r="AR18">
            <v>9.8763224520955605E-3</v>
          </cell>
          <cell r="AS18">
            <v>9.4188296939229973E-3</v>
          </cell>
          <cell r="AT18">
            <v>8.1506049327946407E-3</v>
          </cell>
          <cell r="AU18">
            <v>7.2219399946470905E-3</v>
          </cell>
          <cell r="AZ18">
            <v>1.1948655664138374E-2</v>
          </cell>
          <cell r="BA18">
            <v>1.1948655664138374E-2</v>
          </cell>
          <cell r="BB18">
            <v>1.1948655664138374E-2</v>
          </cell>
          <cell r="BC18">
            <v>2.0969448147760472E-2</v>
          </cell>
          <cell r="BD18">
            <v>2.0969448147760472E-2</v>
          </cell>
          <cell r="BI18">
            <v>0.8352561272663388</v>
          </cell>
          <cell r="BJ18">
            <v>0.8352561272663388</v>
          </cell>
          <cell r="BK18">
            <v>0.8352561272663388</v>
          </cell>
          <cell r="BL18">
            <v>0.8352561272663388</v>
          </cell>
          <cell r="BM18">
            <v>0.8352561272663388</v>
          </cell>
          <cell r="CA18" t="e">
            <v>#DIV/0!</v>
          </cell>
          <cell r="CB18" t="e">
            <v>#DIV/0!</v>
          </cell>
          <cell r="CC18" t="e">
            <v>#DIV/0!</v>
          </cell>
          <cell r="CD18" t="e">
            <v>#DIV/0!</v>
          </cell>
          <cell r="CE18" t="e">
            <v>#DIV/0!</v>
          </cell>
        </row>
        <row r="19">
          <cell r="S19">
            <v>1.0386697240448827E-3</v>
          </cell>
          <cell r="T19">
            <v>1.0303632655092724E-3</v>
          </cell>
          <cell r="U19">
            <v>1.0176428219427094E-3</v>
          </cell>
          <cell r="V19">
            <v>9.5836133197599316E-4</v>
          </cell>
          <cell r="W19">
            <v>9.2339526439728014E-4</v>
          </cell>
          <cell r="X19">
            <v>1.6483012610080674E-3</v>
          </cell>
          <cell r="Y19">
            <v>1.6474146308875167E-3</v>
          </cell>
          <cell r="Z19">
            <v>1.645899875538328E-3</v>
          </cell>
          <cell r="AA19">
            <v>1.6366285678072888E-3</v>
          </cell>
          <cell r="AB19">
            <v>1.6296176601136212E-3</v>
          </cell>
          <cell r="AH19">
            <v>2.1901560660501897E-2</v>
          </cell>
          <cell r="AI19">
            <v>2.1901560660501897E-2</v>
          </cell>
          <cell r="AJ19">
            <v>2.1901560660501897E-2</v>
          </cell>
          <cell r="AK19">
            <v>2.1901560660501897E-2</v>
          </cell>
          <cell r="AL19">
            <v>2.1901560660501897E-2</v>
          </cell>
          <cell r="AQ19">
            <v>9.1404612077216341E-3</v>
          </cell>
          <cell r="AR19">
            <v>8.7876709623180629E-3</v>
          </cell>
          <cell r="AS19">
            <v>7.3305501368019065E-3</v>
          </cell>
          <cell r="AT19">
            <v>7.0084994113606084E-3</v>
          </cell>
          <cell r="AU19">
            <v>6.6674051341327287E-3</v>
          </cell>
          <cell r="AZ19">
            <v>1.0862414240125793E-2</v>
          </cell>
          <cell r="BA19">
            <v>1.0862414240125793E-2</v>
          </cell>
          <cell r="BB19">
            <v>1.0862414240125793E-2</v>
          </cell>
          <cell r="BC19">
            <v>1.9063134679782247E-2</v>
          </cell>
          <cell r="BD19">
            <v>1.9063134679782247E-2</v>
          </cell>
          <cell r="BI19">
            <v>0.79548202596794171</v>
          </cell>
          <cell r="BJ19">
            <v>0.79548202596794171</v>
          </cell>
          <cell r="BK19">
            <v>0.79548202596794171</v>
          </cell>
          <cell r="BL19">
            <v>0.79548202596794171</v>
          </cell>
          <cell r="BM19">
            <v>0.79548202596794171</v>
          </cell>
          <cell r="CA19" t="e">
            <v>#DIV/0!</v>
          </cell>
          <cell r="CB19" t="e">
            <v>#DIV/0!</v>
          </cell>
          <cell r="CC19" t="e">
            <v>#DIV/0!</v>
          </cell>
          <cell r="CD19" t="e">
            <v>#DIV/0!</v>
          </cell>
          <cell r="CE19" t="e">
            <v>#DIV/0!</v>
          </cell>
        </row>
        <row r="20">
          <cell r="S20">
            <v>9.5997913292521372E-4</v>
          </cell>
          <cell r="T20">
            <v>9.5193996904918005E-4</v>
          </cell>
          <cell r="U20">
            <v>9.3928721260005965E-4</v>
          </cell>
          <cell r="V20">
            <v>8.8201494164684901E-4</v>
          </cell>
          <cell r="W20">
            <v>8.4557641792172957E-4</v>
          </cell>
          <cell r="X20">
            <v>1.5288037806413096E-3</v>
          </cell>
          <cell r="Y20">
            <v>1.5279591873964176E-3</v>
          </cell>
          <cell r="Z20">
            <v>1.5265175014763043E-3</v>
          </cell>
          <cell r="AA20">
            <v>1.5171531545746428E-3</v>
          </cell>
          <cell r="AB20">
            <v>1.5097384979785437E-3</v>
          </cell>
          <cell r="AH20">
            <v>2.1254271720725776E-2</v>
          </cell>
          <cell r="AI20">
            <v>2.1254271720725776E-2</v>
          </cell>
          <cell r="AJ20">
            <v>2.1254271720725776E-2</v>
          </cell>
          <cell r="AK20">
            <v>2.1254271720725776E-2</v>
          </cell>
          <cell r="AL20">
            <v>2.1254271720725776E-2</v>
          </cell>
          <cell r="AQ20">
            <v>7.6561118446420639E-3</v>
          </cell>
          <cell r="AR20">
            <v>6.8013669506322497E-3</v>
          </cell>
          <cell r="AS20">
            <v>6.7493426057613206E-3</v>
          </cell>
          <cell r="AT20">
            <v>6.3694494885495247E-3</v>
          </cell>
          <cell r="AU20">
            <v>6.2975619913261515E-3</v>
          </cell>
          <cell r="AZ20">
            <v>9.8749220364779938E-3</v>
          </cell>
          <cell r="BA20">
            <v>9.8749220364779938E-3</v>
          </cell>
          <cell r="BB20">
            <v>9.8749220364779938E-3</v>
          </cell>
          <cell r="BC20">
            <v>1.7330122436165676E-2</v>
          </cell>
          <cell r="BD20">
            <v>1.7330122436165676E-2</v>
          </cell>
          <cell r="BI20">
            <v>0.75760192949327776</v>
          </cell>
          <cell r="BJ20">
            <v>0.75760192949327776</v>
          </cell>
          <cell r="BK20">
            <v>0.75760192949327776</v>
          </cell>
          <cell r="BL20">
            <v>0.75760192949327776</v>
          </cell>
          <cell r="BM20">
            <v>0.75760192949327776</v>
          </cell>
          <cell r="CA20" t="e">
            <v>#DIV/0!</v>
          </cell>
          <cell r="CB20" t="e">
            <v>#DIV/0!</v>
          </cell>
          <cell r="CC20" t="e">
            <v>#DIV/0!</v>
          </cell>
          <cell r="CD20" t="e">
            <v>#DIV/0!</v>
          </cell>
          <cell r="CE20" t="e">
            <v>#DIV/0!</v>
          </cell>
        </row>
        <row r="21">
          <cell r="S21">
            <v>8.8858495204073855E-4</v>
          </cell>
          <cell r="T21">
            <v>8.8052255385461973E-4</v>
          </cell>
          <cell r="U21">
            <v>8.6789610429979628E-4</v>
          </cell>
          <cell r="V21">
            <v>8.1255277838003721E-4</v>
          </cell>
          <cell r="W21">
            <v>7.785556305022021E-4</v>
          </cell>
          <cell r="X21">
            <v>1.4199621430656408E-3</v>
          </cell>
          <cell r="Y21">
            <v>1.4191620180129525E-3</v>
          </cell>
          <cell r="Z21">
            <v>1.4177544147495002E-3</v>
          </cell>
          <cell r="AA21">
            <v>1.4083403390325905E-3</v>
          </cell>
          <cell r="AB21">
            <v>1.4005478353416583E-3</v>
          </cell>
          <cell r="AH21">
            <v>2.0626113060204693E-2</v>
          </cell>
          <cell r="AI21">
            <v>2.0626113060204693E-2</v>
          </cell>
          <cell r="AJ21">
            <v>2.0626113060204693E-2</v>
          </cell>
          <cell r="AK21">
            <v>2.0626113060204693E-2</v>
          </cell>
          <cell r="AL21">
            <v>2.0626113060204693E-2</v>
          </cell>
          <cell r="AQ21">
            <v>6.6003561792655008E-3</v>
          </cell>
          <cell r="AR21">
            <v>6.4052016231282401E-3</v>
          </cell>
          <cell r="AS21">
            <v>6.1114409067273175E-3</v>
          </cell>
          <cell r="AT21">
            <v>6.0276717147132956E-3</v>
          </cell>
          <cell r="AU21">
            <v>5.6923402602694741E-3</v>
          </cell>
          <cell r="AZ21">
            <v>8.9772018513436299E-3</v>
          </cell>
          <cell r="BA21">
            <v>8.9772018513436299E-3</v>
          </cell>
          <cell r="BB21">
            <v>8.9772018513436299E-3</v>
          </cell>
          <cell r="BC21">
            <v>1.5754656760150615E-2</v>
          </cell>
          <cell r="BD21">
            <v>1.5754656760150615E-2</v>
          </cell>
          <cell r="BI21">
            <v>0.72152564713645495</v>
          </cell>
          <cell r="BJ21">
            <v>0.72152564713645495</v>
          </cell>
          <cell r="BK21">
            <v>0.72152564713645495</v>
          </cell>
          <cell r="BL21">
            <v>0.72152564713645495</v>
          </cell>
          <cell r="BM21">
            <v>0.72152564713645495</v>
          </cell>
          <cell r="CA21" t="e">
            <v>#DIV/0!</v>
          </cell>
          <cell r="CB21" t="e">
            <v>#DIV/0!</v>
          </cell>
          <cell r="CC21" t="e">
            <v>#DIV/0!</v>
          </cell>
          <cell r="CD21" t="e">
            <v>#DIV/0!</v>
          </cell>
          <cell r="CE21" t="e">
            <v>#DIV/0!</v>
          </cell>
        </row>
        <row r="22">
          <cell r="S22">
            <v>8.234026078677044E-4</v>
          </cell>
          <cell r="T22">
            <v>8.1554212124839798E-4</v>
          </cell>
          <cell r="U22">
            <v>8.0326348572961454E-4</v>
          </cell>
          <cell r="V22">
            <v>7.501235591702625E-4</v>
          </cell>
          <cell r="W22">
            <v>7.197112192509948E-4</v>
          </cell>
          <cell r="X22">
            <v>1.3205941018722474E-3</v>
          </cell>
          <cell r="Y22">
            <v>1.3198433985968574E-3</v>
          </cell>
          <cell r="Z22">
            <v>1.3185032520464544E-3</v>
          </cell>
          <cell r="AA22">
            <v>1.3091265513625013E-3</v>
          </cell>
          <cell r="AB22">
            <v>1.3013047950219605E-3</v>
          </cell>
          <cell r="AH22">
            <v>2.0016519293742197E-2</v>
          </cell>
          <cell r="AI22">
            <v>2.0016519293742197E-2</v>
          </cell>
          <cell r="AJ22">
            <v>2.0016519293742197E-2</v>
          </cell>
          <cell r="AK22">
            <v>2.0016519293742197E-2</v>
          </cell>
          <cell r="AL22">
            <v>2.0016519293742197E-2</v>
          </cell>
          <cell r="AQ22">
            <v>6.0725765959088593E-3</v>
          </cell>
          <cell r="AR22">
            <v>5.9308205314791617E-3</v>
          </cell>
          <cell r="AS22">
            <v>5.8087232797891398E-3</v>
          </cell>
          <cell r="AT22">
            <v>5.5217984258599138E-3</v>
          </cell>
          <cell r="AU22">
            <v>5.4457080156896124E-3</v>
          </cell>
          <cell r="AZ22">
            <v>8.161092592130572E-3</v>
          </cell>
          <cell r="BA22">
            <v>8.161092592130572E-3</v>
          </cell>
          <cell r="BB22">
            <v>8.161092592130572E-3</v>
          </cell>
          <cell r="BC22">
            <v>1.4322415236500557E-2</v>
          </cell>
          <cell r="BD22">
            <v>1.4322415236500557E-2</v>
          </cell>
          <cell r="BI22">
            <v>0.68716728298709995</v>
          </cell>
          <cell r="BJ22">
            <v>0.68716728298709995</v>
          </cell>
          <cell r="BK22">
            <v>0.68716728298709995</v>
          </cell>
          <cell r="BL22">
            <v>0.68716728298709995</v>
          </cell>
          <cell r="BM22">
            <v>0.68716728298709995</v>
          </cell>
          <cell r="CA22" t="e">
            <v>#DIV/0!</v>
          </cell>
          <cell r="CB22" t="e">
            <v>#DIV/0!</v>
          </cell>
          <cell r="CC22" t="e">
            <v>#DIV/0!</v>
          </cell>
          <cell r="CD22" t="e">
            <v>#DIV/0!</v>
          </cell>
          <cell r="CE22" t="e">
            <v>#DIV/0!</v>
          </cell>
        </row>
        <row r="23">
          <cell r="S23">
            <v>7.637801512447507E-4</v>
          </cell>
          <cell r="T23">
            <v>7.5588601942735262E-4</v>
          </cell>
          <cell r="U23">
            <v>7.4439513022703729E-4</v>
          </cell>
          <cell r="V23">
            <v>6.9231836981610215E-4</v>
          </cell>
          <cell r="W23">
            <v>6.6469374651396702E-4</v>
          </cell>
          <cell r="X23">
            <v>1.2297078603689825E-3</v>
          </cell>
          <cell r="Y23">
            <v>1.228979295491083E-3</v>
          </cell>
          <cell r="Z23">
            <v>1.2276632689087459E-3</v>
          </cell>
          <cell r="AA23">
            <v>1.2182517838246821E-3</v>
          </cell>
          <cell r="AB23">
            <v>1.2101142533191482E-3</v>
          </cell>
          <cell r="AH23">
            <v>1.9424941745799656E-2</v>
          </cell>
          <cell r="AI23">
            <v>1.9424941745799656E-2</v>
          </cell>
          <cell r="AJ23">
            <v>1.9424941745799656E-2</v>
          </cell>
          <cell r="AK23">
            <v>1.9424941745799656E-2</v>
          </cell>
          <cell r="AL23">
            <v>1.9424941745799656E-2</v>
          </cell>
          <cell r="AQ23">
            <v>5.7555382950517497E-3</v>
          </cell>
          <cell r="AR23">
            <v>5.5493623246196519E-3</v>
          </cell>
          <cell r="AS23">
            <v>5.358604619530939E-3</v>
          </cell>
          <cell r="AT23">
            <v>5.2179821119129654E-3</v>
          </cell>
          <cell r="AU23">
            <v>4.9329705336398641E-3</v>
          </cell>
          <cell r="AZ23">
            <v>7.4191750837550646E-3</v>
          </cell>
          <cell r="BA23">
            <v>7.4191750837550646E-3</v>
          </cell>
          <cell r="BB23">
            <v>7.4191750837550646E-3</v>
          </cell>
          <cell r="BC23">
            <v>1.3020377487727778E-2</v>
          </cell>
          <cell r="BD23">
            <v>1.3020377487727778E-2</v>
          </cell>
          <cell r="BI23">
            <v>0.65444503141628552</v>
          </cell>
          <cell r="BJ23">
            <v>0.65444503141628552</v>
          </cell>
          <cell r="BK23">
            <v>0.65444503141628552</v>
          </cell>
          <cell r="BL23">
            <v>0.65444503141628552</v>
          </cell>
          <cell r="BM23">
            <v>0.65444503141628552</v>
          </cell>
          <cell r="CA23" t="e">
            <v>#DIV/0!</v>
          </cell>
          <cell r="CB23" t="e">
            <v>#DIV/0!</v>
          </cell>
          <cell r="CC23" t="e">
            <v>#DIV/0!</v>
          </cell>
          <cell r="CD23" t="e">
            <v>#DIV/0!</v>
          </cell>
          <cell r="CE23" t="e">
            <v>#DIV/0!</v>
          </cell>
        </row>
        <row r="24">
          <cell r="S24">
            <v>7.016267661015623E-4</v>
          </cell>
          <cell r="T24">
            <v>7.0126027359807843E-4</v>
          </cell>
          <cell r="U24">
            <v>6.9053014600739245E-4</v>
          </cell>
          <cell r="V24">
            <v>6.3959010043844E-4</v>
          </cell>
          <cell r="W24">
            <v>6.1467247718458387E-4</v>
          </cell>
          <cell r="X24">
            <v>1.1333431622407267E-3</v>
          </cell>
          <cell r="Y24">
            <v>1.1456966521947161E-3</v>
          </cell>
          <cell r="Z24">
            <v>1.1444123666610848E-3</v>
          </cell>
          <cell r="AA24">
            <v>1.1349477608376666E-3</v>
          </cell>
          <cell r="AB24">
            <v>1.1266533718402797E-3</v>
          </cell>
          <cell r="AH24">
            <v>1.8850847956651238E-2</v>
          </cell>
          <cell r="AI24">
            <v>1.8850847956651238E-2</v>
          </cell>
          <cell r="AJ24">
            <v>1.8850847956651238E-2</v>
          </cell>
          <cell r="AK24">
            <v>1.8850847956651238E-2</v>
          </cell>
          <cell r="AL24">
            <v>1.8850847956651238E-2</v>
          </cell>
          <cell r="AQ24">
            <v>5.2826958187917649E-3</v>
          </cell>
          <cell r="AR24">
            <v>5.2002339190762043E-3</v>
          </cell>
          <cell r="AS24">
            <v>5.0177523309284369E-3</v>
          </cell>
          <cell r="AT24">
            <v>4.7871792214972102E-3</v>
          </cell>
          <cell r="AU24">
            <v>4.670814462844692E-3</v>
          </cell>
          <cell r="AZ24">
            <v>6.7447046215955127E-3</v>
          </cell>
          <cell r="BA24">
            <v>6.7447046215955127E-3</v>
          </cell>
          <cell r="BB24">
            <v>6.7447046215955127E-3</v>
          </cell>
          <cell r="BC24">
            <v>1.1836706807025251E-2</v>
          </cell>
          <cell r="BD24">
            <v>1.1836706807025251E-2</v>
          </cell>
          <cell r="BI24">
            <v>0.62328098230122431</v>
          </cell>
          <cell r="BJ24">
            <v>0.62328098230122431</v>
          </cell>
          <cell r="BK24">
            <v>0.62328098230122431</v>
          </cell>
          <cell r="BL24">
            <v>0.62328098230122431</v>
          </cell>
          <cell r="BM24">
            <v>0.62328098230122431</v>
          </cell>
          <cell r="CA24" t="e">
            <v>#DIV/0!</v>
          </cell>
          <cell r="CB24" t="e">
            <v>#DIV/0!</v>
          </cell>
          <cell r="CC24" t="e">
            <v>#DIV/0!</v>
          </cell>
          <cell r="CD24" t="e">
            <v>#DIV/0!</v>
          </cell>
          <cell r="CE24" t="e">
            <v>#DIV/0!</v>
          </cell>
        </row>
        <row r="25">
          <cell r="S25">
            <v>6.3857184175323601E-4</v>
          </cell>
          <cell r="T25">
            <v>6.5156963742040298E-4</v>
          </cell>
          <cell r="U25">
            <v>6.4119430883584935E-4</v>
          </cell>
          <cell r="V25">
            <v>5.9357160678922367E-4</v>
          </cell>
          <cell r="W25">
            <v>5.7011606605668189E-4</v>
          </cell>
          <cell r="X25">
            <v>1.0341975645804611E-3</v>
          </cell>
          <cell r="Y25">
            <v>1.0692275239856373E-3</v>
          </cell>
          <cell r="Z25">
            <v>1.0679610354857845E-3</v>
          </cell>
          <cell r="AA25">
            <v>1.0586161680884037E-3</v>
          </cell>
          <cell r="AB25">
            <v>1.050331755794318E-3</v>
          </cell>
          <cell r="AH25">
            <v>1.8293721203134217E-2</v>
          </cell>
          <cell r="AI25">
            <v>1.8293721203134217E-2</v>
          </cell>
          <cell r="AJ25">
            <v>1.8293721203134217E-2</v>
          </cell>
          <cell r="AK25">
            <v>1.8293721203134217E-2</v>
          </cell>
          <cell r="AL25">
            <v>1.8293721203134217E-2</v>
          </cell>
          <cell r="AQ25">
            <v>5.0465437801749599E-3</v>
          </cell>
          <cell r="AR25">
            <v>4.8071142387548704E-3</v>
          </cell>
          <cell r="AS25">
            <v>4.645696693798192E-3</v>
          </cell>
          <cell r="AT25">
            <v>4.5090138134938288E-3</v>
          </cell>
          <cell r="AU25">
            <v>4.3044049889727582E-3</v>
          </cell>
          <cell r="AZ25">
            <v>6.1315496559959199E-3</v>
          </cell>
          <cell r="BA25">
            <v>6.1315496559959199E-3</v>
          </cell>
          <cell r="BB25">
            <v>6.1315496559959199E-3</v>
          </cell>
          <cell r="BC25">
            <v>1.0760642551841136E-2</v>
          </cell>
          <cell r="BD25">
            <v>1.0760642551841136E-2</v>
          </cell>
          <cell r="BI25">
            <v>0.5936009355249755</v>
          </cell>
          <cell r="BJ25">
            <v>0.5936009355249755</v>
          </cell>
          <cell r="BK25">
            <v>0.5936009355249755</v>
          </cell>
          <cell r="BL25">
            <v>0.5936009355249755</v>
          </cell>
          <cell r="BM25">
            <v>0.5936009355249755</v>
          </cell>
          <cell r="CA25" t="e">
            <v>#DIV/0!</v>
          </cell>
          <cell r="CB25" t="e">
            <v>#DIV/0!</v>
          </cell>
          <cell r="CC25" t="e">
            <v>#DIV/0!</v>
          </cell>
          <cell r="CD25" t="e">
            <v>#DIV/0!</v>
          </cell>
          <cell r="CE25" t="e">
            <v>#DIV/0!</v>
          </cell>
        </row>
        <row r="26">
          <cell r="S26">
            <v>5.8161787682598745E-4</v>
          </cell>
          <cell r="T26">
            <v>5.9589445954644053E-4</v>
          </cell>
          <cell r="U26">
            <v>5.9669618845567172E-4</v>
          </cell>
          <cell r="V26">
            <v>5.5329562592358898E-4</v>
          </cell>
          <cell r="W26">
            <v>5.3052842358974862E-4</v>
          </cell>
          <cell r="X26">
            <v>9.4408256631099523E-4</v>
          </cell>
          <cell r="Y26">
            <v>9.7989867868204187E-4</v>
          </cell>
          <cell r="Z26">
            <v>9.9777388813819838E-4</v>
          </cell>
          <cell r="AA26">
            <v>9.8881620759142734E-4</v>
          </cell>
          <cell r="AB26">
            <v>9.8072199021575482E-4</v>
          </cell>
          <cell r="AH26">
            <v>1.775306003356324E-2</v>
          </cell>
          <cell r="AI26">
            <v>1.775306003356324E-2</v>
          </cell>
          <cell r="AJ26">
            <v>1.775306003356324E-2</v>
          </cell>
          <cell r="AK26">
            <v>1.775306003356324E-2</v>
          </cell>
          <cell r="AL26">
            <v>1.775306003356324E-2</v>
          </cell>
          <cell r="AQ26">
            <v>4.5818438576307853E-3</v>
          </cell>
          <cell r="AR26">
            <v>4.5083956067175227E-3</v>
          </cell>
          <cell r="AS26">
            <v>4.3629339708977088E-3</v>
          </cell>
          <cell r="AT26">
            <v>4.1771905961325287E-3</v>
          </cell>
          <cell r="AU26">
            <v>4.144601140963074E-3</v>
          </cell>
          <cell r="AZ26">
            <v>5.5741360509053818E-3</v>
          </cell>
          <cell r="BA26">
            <v>5.5741360509053818E-3</v>
          </cell>
          <cell r="BB26">
            <v>5.5741360509053818E-3</v>
          </cell>
          <cell r="BC26">
            <v>9.7824023198555786E-3</v>
          </cell>
          <cell r="BD26">
            <v>9.7824023198555786E-3</v>
          </cell>
          <cell r="BI26">
            <v>0.56533422430950053</v>
          </cell>
          <cell r="BJ26">
            <v>0.56533422430950053</v>
          </cell>
          <cell r="BK26">
            <v>0.56533422430950053</v>
          </cell>
          <cell r="BL26">
            <v>0.56533422430950053</v>
          </cell>
          <cell r="BM26">
            <v>0.56533422430950053</v>
          </cell>
          <cell r="CA26" t="e">
            <v>#DIV/0!</v>
          </cell>
          <cell r="CB26" t="e">
            <v>#DIV/0!</v>
          </cell>
          <cell r="CC26" t="e">
            <v>#DIV/0!</v>
          </cell>
          <cell r="CD26" t="e">
            <v>#DIV/0!</v>
          </cell>
          <cell r="CE26" t="e">
            <v>#DIV/0!</v>
          </cell>
        </row>
        <row r="27">
          <cell r="S27">
            <v>5.3002618085775505E-4</v>
          </cell>
          <cell r="T27">
            <v>5.4525377894847082E-4</v>
          </cell>
          <cell r="U27">
            <v>5.5590649879026278E-4</v>
          </cell>
          <cell r="V27">
            <v>5.1604389921665588E-4</v>
          </cell>
          <cell r="W27">
            <v>4.9365090987489309E-4</v>
          </cell>
          <cell r="X27">
            <v>8.6208166998448835E-4</v>
          </cell>
          <cell r="Y27">
            <v>8.9819966406434987E-4</v>
          </cell>
          <cell r="Z27">
            <v>9.3309753239416112E-4</v>
          </cell>
          <cell r="AA27">
            <v>9.2449613731702214E-4</v>
          </cell>
          <cell r="AB27">
            <v>9.1646526023278236E-4</v>
          </cell>
          <cell r="AH27">
            <v>1.7228377816389976E-2</v>
          </cell>
          <cell r="AI27">
            <v>1.7228377816389976E-2</v>
          </cell>
          <cell r="AJ27">
            <v>1.7228377816389976E-2</v>
          </cell>
          <cell r="AK27">
            <v>1.7228377816389976E-2</v>
          </cell>
          <cell r="AL27">
            <v>1.7228377816389976E-2</v>
          </cell>
          <cell r="AQ27">
            <v>4.3751523800087391E-3</v>
          </cell>
          <cell r="AR27">
            <v>4.1911645422568547E-3</v>
          </cell>
          <cell r="AS27">
            <v>4.0537359567976395E-3</v>
          </cell>
          <cell r="AT27">
            <v>3.9954483983862411E-3</v>
          </cell>
          <cell r="AU27">
            <v>3.7758529245710418E-3</v>
          </cell>
          <cell r="AZ27">
            <v>5.067396409913983E-3</v>
          </cell>
          <cell r="BA27">
            <v>5.067396409913983E-3</v>
          </cell>
          <cell r="BB27">
            <v>5.067396409913983E-3</v>
          </cell>
          <cell r="BC27">
            <v>8.8930930180505258E-3</v>
          </cell>
          <cell r="BD27">
            <v>8.8930930180505258E-3</v>
          </cell>
          <cell r="BI27">
            <v>0.53841354696142907</v>
          </cell>
          <cell r="BJ27">
            <v>0.53841354696142907</v>
          </cell>
          <cell r="BK27">
            <v>0.53841354696142907</v>
          </cell>
          <cell r="BL27">
            <v>0.53841354696142907</v>
          </cell>
          <cell r="BM27">
            <v>0.53841354696142907</v>
          </cell>
          <cell r="CA27" t="e">
            <v>#DIV/0!</v>
          </cell>
          <cell r="CB27" t="e">
            <v>#DIV/0!</v>
          </cell>
          <cell r="CC27" t="e">
            <v>#DIV/0!</v>
          </cell>
          <cell r="CD27" t="e">
            <v>#DIV/0!</v>
          </cell>
          <cell r="CE27" t="e">
            <v>#DIV/0!</v>
          </cell>
        </row>
        <row r="28">
          <cell r="S28">
            <v>4.768556088933093E-4</v>
          </cell>
          <cell r="T28">
            <v>4.9203510470529862E-4</v>
          </cell>
          <cell r="U28">
            <v>5.0753755993317325E-4</v>
          </cell>
          <cell r="V28">
            <v>4.7455498772922591E-4</v>
          </cell>
          <cell r="W28">
            <v>4.5374758104206988E-4</v>
          </cell>
          <cell r="X28">
            <v>7.7684769362816001E-4</v>
          </cell>
          <cell r="Y28">
            <v>8.1207385296617552E-4</v>
          </cell>
          <cell r="Z28">
            <v>8.5469104230236808E-4</v>
          </cell>
          <cell r="AA28">
            <v>8.5346631669545284E-4</v>
          </cell>
          <cell r="AB28">
            <v>8.4573520470403272E-4</v>
          </cell>
          <cell r="AH28">
            <v>1.6719202302201853E-2</v>
          </cell>
          <cell r="AI28">
            <v>1.6719202302201853E-2</v>
          </cell>
          <cell r="AJ28">
            <v>1.6719202302201853E-2</v>
          </cell>
          <cell r="AK28">
            <v>1.6719202302201853E-2</v>
          </cell>
          <cell r="AL28">
            <v>1.6719202302201853E-2</v>
          </cell>
          <cell r="AQ28">
            <v>4.0023119463140954E-3</v>
          </cell>
          <cell r="AR28">
            <v>3.9339299534592613E-3</v>
          </cell>
          <cell r="AS28">
            <v>3.8566519516236562E-3</v>
          </cell>
          <cell r="AT28">
            <v>3.6642596059860396E-3</v>
          </cell>
          <cell r="AU28">
            <v>3.5664728155469531E-3</v>
          </cell>
          <cell r="AZ28">
            <v>4.6067240090127111E-3</v>
          </cell>
          <cell r="BA28">
            <v>4.6067240090127111E-3</v>
          </cell>
          <cell r="BB28">
            <v>4.6067240090127111E-3</v>
          </cell>
          <cell r="BC28">
            <v>8.0846300164095688E-3</v>
          </cell>
          <cell r="BD28">
            <v>8.0846300164095688E-3</v>
          </cell>
          <cell r="BI28">
            <v>0.51277480662993247</v>
          </cell>
          <cell r="BJ28">
            <v>0.51277480662993247</v>
          </cell>
          <cell r="BK28">
            <v>0.51277480662993247</v>
          </cell>
          <cell r="BL28">
            <v>0.51277480662993247</v>
          </cell>
          <cell r="BM28">
            <v>0.51277480662993247</v>
          </cell>
          <cell r="CA28" t="e">
            <v>#DIV/0!</v>
          </cell>
          <cell r="CB28" t="e">
            <v>#DIV/0!</v>
          </cell>
          <cell r="CC28" t="e">
            <v>#DIV/0!</v>
          </cell>
          <cell r="CD28" t="e">
            <v>#DIV/0!</v>
          </cell>
          <cell r="CE28" t="e">
            <v>#DIV/0!</v>
          </cell>
        </row>
        <row r="29">
          <cell r="S29">
            <v>4.3170123160464491E-4</v>
          </cell>
          <cell r="T29">
            <v>4.4287169511522911E-4</v>
          </cell>
          <cell r="U29">
            <v>4.565397134095652E-4</v>
          </cell>
          <cell r="V29">
            <v>4.3679780758687628E-4</v>
          </cell>
          <cell r="W29">
            <v>4.1718829843374411E-4</v>
          </cell>
          <cell r="X29">
            <v>7.047794646646196E-4</v>
          </cell>
          <cell r="Y29">
            <v>7.3265132995216787E-4</v>
          </cell>
          <cell r="Z29">
            <v>7.7081173465059203E-4</v>
          </cell>
          <cell r="AA29">
            <v>7.8921306512189939E-4</v>
          </cell>
          <cell r="AB29">
            <v>7.8163660277149173E-4</v>
          </cell>
          <cell r="AH29">
            <v>1.6225075198665721E-2</v>
          </cell>
          <cell r="AI29">
            <v>1.6225075198665721E-2</v>
          </cell>
          <cell r="AJ29">
            <v>1.6225075198665721E-2</v>
          </cell>
          <cell r="AK29">
            <v>1.6225075198665721E-2</v>
          </cell>
          <cell r="AL29">
            <v>1.6225075198665721E-2</v>
          </cell>
          <cell r="AQ29">
            <v>3.8176647526272302E-3</v>
          </cell>
          <cell r="AR29">
            <v>3.687806367764375E-3</v>
          </cell>
          <cell r="AS29">
            <v>3.5559643683913665E-3</v>
          </cell>
          <cell r="AT29">
            <v>3.4380076324384561E-3</v>
          </cell>
          <cell r="AU29">
            <v>3.3282205535724537E-3</v>
          </cell>
          <cell r="AZ29">
            <v>4.1879309172842827E-3</v>
          </cell>
          <cell r="BA29">
            <v>4.1879309172842827E-3</v>
          </cell>
          <cell r="BB29">
            <v>4.1879309172842827E-3</v>
          </cell>
          <cell r="BC29">
            <v>7.3496636512814257E-3</v>
          </cell>
          <cell r="BD29">
            <v>7.3496636512814257E-3</v>
          </cell>
          <cell r="BI29">
            <v>0.4883569586951737</v>
          </cell>
          <cell r="BJ29">
            <v>0.4883569586951737</v>
          </cell>
          <cell r="BK29">
            <v>0.4883569586951737</v>
          </cell>
          <cell r="BL29">
            <v>0.4883569586951737</v>
          </cell>
          <cell r="BM29">
            <v>0.4883569586951737</v>
          </cell>
          <cell r="CA29" t="e">
            <v>#DIV/0!</v>
          </cell>
          <cell r="CB29" t="e">
            <v>#DIV/0!</v>
          </cell>
          <cell r="CC29" t="e">
            <v>#DIV/0!</v>
          </cell>
          <cell r="CD29" t="e">
            <v>#DIV/0!</v>
          </cell>
          <cell r="CE29" t="e">
            <v>#DIV/0!</v>
          </cell>
        </row>
        <row r="30">
          <cell r="S30">
            <v>3.9885097279363532E-4</v>
          </cell>
          <cell r="T30">
            <v>3.9895670104975238E-4</v>
          </cell>
          <cell r="U30">
            <v>4.127554576815353E-4</v>
          </cell>
          <cell r="V30">
            <v>4.0280481813392014E-4</v>
          </cell>
          <cell r="W30">
            <v>3.8440593654668752E-4</v>
          </cell>
          <cell r="X30">
            <v>6.5374556024600959E-4</v>
          </cell>
          <cell r="Y30">
            <v>6.615561966530299E-4</v>
          </cell>
          <cell r="Z30">
            <v>6.9840005837474314E-4</v>
          </cell>
          <cell r="AA30">
            <v>7.3099786954535948E-4</v>
          </cell>
          <cell r="AB30">
            <v>7.2360901356419735E-4</v>
          </cell>
          <cell r="AH30">
            <v>1.5745551758033823E-2</v>
          </cell>
          <cell r="AI30">
            <v>1.5745551758033823E-2</v>
          </cell>
          <cell r="AJ30">
            <v>1.5745551758033823E-2</v>
          </cell>
          <cell r="AK30">
            <v>1.5745551758033823E-2</v>
          </cell>
          <cell r="AL30">
            <v>1.5745551758033823E-2</v>
          </cell>
          <cell r="AQ30">
            <v>3.5260085746833228E-3</v>
          </cell>
          <cell r="AR30">
            <v>3.4508697387630434E-3</v>
          </cell>
          <cell r="AS30">
            <v>3.3310857330392019E-3</v>
          </cell>
          <cell r="AT30">
            <v>3.2298567708787334E-3</v>
          </cell>
          <cell r="AU30">
            <v>3.0436483865210751E-3</v>
          </cell>
          <cell r="AZ30">
            <v>3.8072099248038934E-3</v>
          </cell>
          <cell r="BA30">
            <v>3.8072099248038934E-3</v>
          </cell>
          <cell r="BB30">
            <v>3.8072099248038934E-3</v>
          </cell>
          <cell r="BC30">
            <v>6.6815124102558411E-3</v>
          </cell>
          <cell r="BD30">
            <v>6.6815124102558411E-3</v>
          </cell>
          <cell r="BI30">
            <v>0.46510186542397491</v>
          </cell>
          <cell r="BJ30">
            <v>0.46510186542397491</v>
          </cell>
          <cell r="BK30">
            <v>0.46510186542397491</v>
          </cell>
          <cell r="BL30">
            <v>0.46510186542397491</v>
          </cell>
          <cell r="BM30">
            <v>0.46510186542397491</v>
          </cell>
          <cell r="CA30" t="e">
            <v>#DIV/0!</v>
          </cell>
          <cell r="CB30" t="e">
            <v>#DIV/0!</v>
          </cell>
          <cell r="CC30" t="e">
            <v>#DIV/0!</v>
          </cell>
          <cell r="CD30" t="e">
            <v>#DIV/0!</v>
          </cell>
          <cell r="CE30" t="e">
            <v>#DIV/0!</v>
          </cell>
        </row>
        <row r="31">
          <cell r="S31">
            <v>3.689582052650342E-4</v>
          </cell>
          <cell r="T31">
            <v>3.6493872439407726E-4</v>
          </cell>
          <cell r="U31">
            <v>3.7355587749931277E-4</v>
          </cell>
          <cell r="V31">
            <v>3.7068364239395792E-4</v>
          </cell>
          <cell r="W31">
            <v>3.5485441460928244E-4</v>
          </cell>
          <cell r="X31">
            <v>6.0731620783561503E-4</v>
          </cell>
          <cell r="Y31">
            <v>6.0698730067518334E-4</v>
          </cell>
          <cell r="Z31">
            <v>6.3347045053248406E-4</v>
          </cell>
          <cell r="AA31">
            <v>6.748127623229552E-4</v>
          </cell>
          <cell r="AB31">
            <v>6.7095270810807819E-4</v>
          </cell>
          <cell r="AH31">
            <v>1.5280200376840785E-2</v>
          </cell>
          <cell r="AI31">
            <v>1.5280200376840785E-2</v>
          </cell>
          <cell r="AJ31">
            <v>1.5280200376840785E-2</v>
          </cell>
          <cell r="AK31">
            <v>1.5280200376840785E-2</v>
          </cell>
          <cell r="AL31">
            <v>1.5280200376840785E-2</v>
          </cell>
          <cell r="AQ31">
            <v>3.3488811248403002E-3</v>
          </cell>
          <cell r="AR31">
            <v>3.2307236037027475E-3</v>
          </cell>
          <cell r="AS31">
            <v>3.1344000773006714E-3</v>
          </cell>
          <cell r="AT31">
            <v>2.970754394098159E-3</v>
          </cell>
          <cell r="AU31">
            <v>2.9105143574934813E-3</v>
          </cell>
          <cell r="AZ31">
            <v>3.4610999316399028E-3</v>
          </cell>
          <cell r="BA31">
            <v>3.4610999316399028E-3</v>
          </cell>
          <cell r="BB31">
            <v>3.4610999316399028E-3</v>
          </cell>
          <cell r="BC31">
            <v>6.0741021911416733E-3</v>
          </cell>
          <cell r="BD31">
            <v>6.0741021911416733E-3</v>
          </cell>
          <cell r="BI31">
            <v>0.4429541575466428</v>
          </cell>
          <cell r="BJ31">
            <v>0.4429541575466428</v>
          </cell>
          <cell r="BK31">
            <v>0.4429541575466428</v>
          </cell>
          <cell r="BL31">
            <v>0.4429541575466428</v>
          </cell>
          <cell r="BM31">
            <v>0.4429541575466428</v>
          </cell>
          <cell r="CA31" t="e">
            <v>#DIV/0!</v>
          </cell>
          <cell r="CB31" t="e">
            <v>#DIV/0!</v>
          </cell>
          <cell r="CC31" t="e">
            <v>#DIV/0!</v>
          </cell>
          <cell r="CD31" t="e">
            <v>#DIV/0!</v>
          </cell>
          <cell r="CE31" t="e">
            <v>#DIV/0!</v>
          </cell>
        </row>
        <row r="32">
          <cell r="S32">
            <v>3.4168798603018992E-4</v>
          </cell>
          <cell r="T32">
            <v>3.3805943674425972E-4</v>
          </cell>
          <cell r="U32">
            <v>3.3861023072262404E-4</v>
          </cell>
          <cell r="V32">
            <v>3.3817824979078952E-4</v>
          </cell>
          <cell r="W32">
            <v>3.278454622622363E-4</v>
          </cell>
          <cell r="X32">
            <v>5.6495971847684851E-4</v>
          </cell>
          <cell r="Y32">
            <v>5.6464814040728211E-4</v>
          </cell>
          <cell r="Z32">
            <v>5.7545834737796997E-4</v>
          </cell>
          <cell r="AA32">
            <v>6.1602351481085469E-4</v>
          </cell>
          <cell r="AB32">
            <v>6.2290828055635455E-4</v>
          </cell>
          <cell r="AH32">
            <v>1.4828602207431372E-2</v>
          </cell>
          <cell r="AI32">
            <v>1.4828602207431372E-2</v>
          </cell>
          <cell r="AJ32">
            <v>1.4828602207431372E-2</v>
          </cell>
          <cell r="AK32">
            <v>1.4828602207431372E-2</v>
          </cell>
          <cell r="AL32">
            <v>1.4828602207431372E-2</v>
          </cell>
          <cell r="AQ32">
            <v>3.1279143485397143E-3</v>
          </cell>
          <cell r="AR32">
            <v>3.0417645553705388E-3</v>
          </cell>
          <cell r="AS32">
            <v>2.9214509507758395E-3</v>
          </cell>
          <cell r="AT32">
            <v>2.8244956585583561E-3</v>
          </cell>
          <cell r="AU32">
            <v>2.6569083681092696E-3</v>
          </cell>
          <cell r="AZ32">
            <v>3.1464544833090025E-3</v>
          </cell>
          <cell r="BA32">
            <v>3.1464544833090025E-3</v>
          </cell>
          <cell r="BB32">
            <v>3.1464544833090025E-3</v>
          </cell>
          <cell r="BC32">
            <v>5.5219110828560658E-3</v>
          </cell>
          <cell r="BD32">
            <v>5.5219110828560658E-3</v>
          </cell>
          <cell r="BI32">
            <v>0.42186110242537411</v>
          </cell>
          <cell r="BJ32">
            <v>0.42186110242537411</v>
          </cell>
          <cell r="BK32">
            <v>0.42186110242537411</v>
          </cell>
          <cell r="BL32">
            <v>0.42186110242537411</v>
          </cell>
          <cell r="BM32">
            <v>0.42186110242537411</v>
          </cell>
          <cell r="CA32" t="e">
            <v>#DIV/0!</v>
          </cell>
          <cell r="CB32" t="e">
            <v>#DIV/0!</v>
          </cell>
          <cell r="CC32" t="e">
            <v>#DIV/0!</v>
          </cell>
          <cell r="CD32" t="e">
            <v>#DIV/0!</v>
          </cell>
          <cell r="CE32" t="e">
            <v>#DIV/0!</v>
          </cell>
        </row>
        <row r="33">
          <cell r="S33">
            <v>3.1693870096025084E-4</v>
          </cell>
          <cell r="T33">
            <v>3.1355275026251399E-4</v>
          </cell>
          <cell r="U33">
            <v>3.0826684160823294E-4</v>
          </cell>
          <cell r="V33">
            <v>3.0761373032641722E-4</v>
          </cell>
          <cell r="W33">
            <v>3.0343093245400538E-4</v>
          </cell>
          <cell r="X33">
            <v>5.2623677648434863E-4</v>
          </cell>
          <cell r="Y33">
            <v>5.2595295878897367E-4</v>
          </cell>
          <cell r="Z33">
            <v>5.25327145679556E-4</v>
          </cell>
          <cell r="AA33">
            <v>5.6082226824043365E-4</v>
          </cell>
          <cell r="AB33">
            <v>5.7920332144919292E-4</v>
          </cell>
          <cell r="AH33">
            <v>1.4390350780969324E-2</v>
          </cell>
          <cell r="AI33">
            <v>1.4390350780969324E-2</v>
          </cell>
          <cell r="AJ33">
            <v>1.4390350780969324E-2</v>
          </cell>
          <cell r="AK33">
            <v>1.4390350780969324E-2</v>
          </cell>
          <cell r="AL33">
            <v>1.4390350780969324E-2</v>
          </cell>
          <cell r="AQ33">
            <v>2.9518668268655015E-3</v>
          </cell>
          <cell r="AR33">
            <v>2.8571600403296334E-3</v>
          </cell>
          <cell r="AS33">
            <v>2.7410191963751066E-3</v>
          </cell>
          <cell r="AT33">
            <v>2.6178556720481243E-3</v>
          </cell>
          <cell r="AU33">
            <v>2.5582845832834334E-3</v>
          </cell>
          <cell r="AZ33">
            <v>2.8604131666445476E-3</v>
          </cell>
          <cell r="BA33">
            <v>2.8604131666445476E-3</v>
          </cell>
          <cell r="BB33">
            <v>2.8604131666445476E-3</v>
          </cell>
          <cell r="BC33">
            <v>5.0199191662327874E-3</v>
          </cell>
          <cell r="BD33">
            <v>5.0199191662327874E-3</v>
          </cell>
          <cell r="BI33">
            <v>0.40177247850035624</v>
          </cell>
          <cell r="BJ33">
            <v>0.40177247850035624</v>
          </cell>
          <cell r="BK33">
            <v>0.40177247850035624</v>
          </cell>
          <cell r="BL33">
            <v>0.40177247850035624</v>
          </cell>
          <cell r="BM33">
            <v>0.40177247850035624</v>
          </cell>
          <cell r="CA33" t="e">
            <v>#DIV/0!</v>
          </cell>
          <cell r="CB33" t="e">
            <v>#DIV/0!</v>
          </cell>
          <cell r="CC33" t="e">
            <v>#DIV/0!</v>
          </cell>
          <cell r="CD33" t="e">
            <v>#DIV/0!</v>
          </cell>
          <cell r="CE33" t="e">
            <v>#DIV/0!</v>
          </cell>
        </row>
        <row r="34">
          <cell r="S34">
            <v>2.9469344717495229E-4</v>
          </cell>
          <cell r="T34">
            <v>2.9128852580123302E-4</v>
          </cell>
          <cell r="U34">
            <v>2.8594626213705059E-4</v>
          </cell>
          <cell r="V34">
            <v>2.8071915963946969E-4</v>
          </cell>
          <cell r="W34">
            <v>2.8122287802867215E-4</v>
          </cell>
          <cell r="X34">
            <v>4.9083501142928581E-4</v>
          </cell>
          <cell r="Y34">
            <v>4.9054078258547486E-4</v>
          </cell>
          <cell r="Z34">
            <v>4.8991606773085507E-4</v>
          </cell>
          <cell r="AA34">
            <v>5.1172757633154305E-4</v>
          </cell>
          <cell r="AB34">
            <v>5.3920382222708474E-4</v>
          </cell>
          <cell r="AH34">
            <v>1.3965051641587968E-2</v>
          </cell>
          <cell r="AI34">
            <v>1.3965051641587968E-2</v>
          </cell>
          <cell r="AJ34">
            <v>1.3965051641587968E-2</v>
          </cell>
          <cell r="AK34">
            <v>1.3965051641587968E-2</v>
          </cell>
          <cell r="AL34">
            <v>1.3965051641587968E-2</v>
          </cell>
          <cell r="AQ34">
            <v>2.775874920853562E-3</v>
          </cell>
          <cell r="AR34">
            <v>2.6600098364929457E-3</v>
          </cell>
          <cell r="AS34">
            <v>2.5707794928057138E-3</v>
          </cell>
          <cell r="AT34">
            <v>2.4826758473934169E-3</v>
          </cell>
          <cell r="AU34">
            <v>2.012174594467616E-3</v>
          </cell>
          <cell r="AZ34">
            <v>2.6003756060404976E-3</v>
          </cell>
          <cell r="BA34">
            <v>2.6003756060404976E-3</v>
          </cell>
          <cell r="BB34">
            <v>2.6003756060404976E-3</v>
          </cell>
          <cell r="BC34">
            <v>4.5635628783934432E-3</v>
          </cell>
          <cell r="BD34">
            <v>4.5635628783934432E-3</v>
          </cell>
          <cell r="BI34">
            <v>0.38264045571462496</v>
          </cell>
          <cell r="BJ34">
            <v>0.38264045571462496</v>
          </cell>
          <cell r="BK34">
            <v>0.38264045571462496</v>
          </cell>
          <cell r="BL34">
            <v>0.38264045571462496</v>
          </cell>
          <cell r="BM34">
            <v>0.38264045571462496</v>
          </cell>
          <cell r="CA34" t="e">
            <v>#DIV/0!</v>
          </cell>
          <cell r="CB34" t="e">
            <v>#DIV/0!</v>
          </cell>
          <cell r="CC34" t="e">
            <v>#DIV/0!</v>
          </cell>
          <cell r="CD34" t="e">
            <v>#DIV/0!</v>
          </cell>
          <cell r="CE34" t="e">
            <v>#DIV/0!</v>
          </cell>
        </row>
        <row r="35">
          <cell r="S35">
            <v>2.7428500525595814E-4</v>
          </cell>
          <cell r="T35">
            <v>2.7086343457258287E-4</v>
          </cell>
          <cell r="U35">
            <v>2.6560200259915189E-4</v>
          </cell>
          <cell r="V35">
            <v>2.5610850327893687E-4</v>
          </cell>
          <cell r="W35">
            <v>2.6124440060768336E-4</v>
          </cell>
          <cell r="X35">
            <v>4.5833408531745874E-4</v>
          </cell>
          <cell r="Y35">
            <v>4.5804163281905466E-4</v>
          </cell>
          <cell r="Z35">
            <v>4.5740142189371909E-4</v>
          </cell>
          <cell r="AA35">
            <v>4.6682381154172407E-4</v>
          </cell>
          <cell r="AB35">
            <v>5.0260372338874963E-4</v>
          </cell>
          <cell r="AH35">
            <v>1.3552321991353306E-2</v>
          </cell>
          <cell r="AI35">
            <v>1.3552321991353306E-2</v>
          </cell>
          <cell r="AJ35">
            <v>1.3552321991353306E-2</v>
          </cell>
          <cell r="AK35">
            <v>1.3552321991353306E-2</v>
          </cell>
          <cell r="AL35">
            <v>1.3552321991353306E-2</v>
          </cell>
          <cell r="AQ35">
            <v>2.5813946650196785E-3</v>
          </cell>
          <cell r="AR35">
            <v>2.5265714711785259E-3</v>
          </cell>
          <cell r="AS35">
            <v>2.4093016873516994E-3</v>
          </cell>
          <cell r="AT35">
            <v>2.0621040698972784E-3</v>
          </cell>
          <cell r="AU35">
            <v>1.9183454371805527E-3</v>
          </cell>
          <cell r="AZ35">
            <v>2.3639778236731793E-3</v>
          </cell>
          <cell r="BA35">
            <v>2.3639778236731793E-3</v>
          </cell>
          <cell r="BB35">
            <v>2.3639778236731793E-3</v>
          </cell>
          <cell r="BC35">
            <v>4.1486935258122203E-3</v>
          </cell>
          <cell r="BD35">
            <v>4.1486935258122203E-3</v>
          </cell>
          <cell r="BI35">
            <v>0.36441948163297616</v>
          </cell>
          <cell r="BJ35">
            <v>0.36441948163297616</v>
          </cell>
          <cell r="BK35">
            <v>0.36441948163297616</v>
          </cell>
          <cell r="BL35">
            <v>0.36441948163297616</v>
          </cell>
          <cell r="BM35">
            <v>0.36441948163297616</v>
          </cell>
          <cell r="CA35" t="e">
            <v>#DIV/0!</v>
          </cell>
          <cell r="CB35" t="e">
            <v>#DIV/0!</v>
          </cell>
          <cell r="CC35" t="e">
            <v>#DIV/0!</v>
          </cell>
          <cell r="CD35" t="e">
            <v>#DIV/0!</v>
          </cell>
          <cell r="CE35" t="e">
            <v>#DIV/0!</v>
          </cell>
        </row>
        <row r="36">
          <cell r="S36">
            <v>2.5707052465059362E-4</v>
          </cell>
          <cell r="T36">
            <v>2.5357979404998069E-4</v>
          </cell>
          <cell r="U36">
            <v>2.4865520696200133E-4</v>
          </cell>
          <cell r="V36">
            <v>2.353293043805821E-4</v>
          </cell>
          <cell r="W36">
            <v>2.4437906988351355E-4</v>
          </cell>
          <cell r="X36">
            <v>4.3107091940541002E-4</v>
          </cell>
          <cell r="Y36">
            <v>4.3074853434925994E-4</v>
          </cell>
          <cell r="Z36">
            <v>4.3010792546770485E-4</v>
          </cell>
          <cell r="AA36">
            <v>4.2893429212286703E-4</v>
          </cell>
          <cell r="AB36">
            <v>4.7180245478051691E-4</v>
          </cell>
          <cell r="AH36">
            <v>1.3151790345720039E-2</v>
          </cell>
          <cell r="AI36">
            <v>1.3151790345720039E-2</v>
          </cell>
          <cell r="AJ36">
            <v>1.3151790345720039E-2</v>
          </cell>
          <cell r="AK36">
            <v>1.3151790345720039E-2</v>
          </cell>
          <cell r="AL36">
            <v>1.3151790345720039E-2</v>
          </cell>
          <cell r="AQ36">
            <v>2.4644205141816531E-3</v>
          </cell>
          <cell r="AR36">
            <v>2.3380960614613386E-3</v>
          </cell>
          <cell r="AS36">
            <v>2.1385933001750964E-3</v>
          </cell>
          <cell r="AT36">
            <v>1.8788271922457209E-3</v>
          </cell>
          <cell r="AU36">
            <v>1.5472694524376509E-3</v>
          </cell>
          <cell r="AZ36">
            <v>2.1490707487937994E-3</v>
          </cell>
          <cell r="BA36">
            <v>2.1490707487937994E-3</v>
          </cell>
          <cell r="BB36">
            <v>2.1490707487937994E-3</v>
          </cell>
          <cell r="BC36">
            <v>3.7715395689202E-3</v>
          </cell>
          <cell r="BD36">
            <v>3.7715395689202E-3</v>
          </cell>
          <cell r="BI36">
            <v>0.34706617298378678</v>
          </cell>
          <cell r="BJ36">
            <v>0.34706617298378678</v>
          </cell>
          <cell r="BK36">
            <v>0.34706617298378678</v>
          </cell>
          <cell r="BL36">
            <v>0.34706617298378678</v>
          </cell>
          <cell r="BM36">
            <v>0.34706617298378678</v>
          </cell>
          <cell r="CA36" t="e">
            <v>#DIV/0!</v>
          </cell>
          <cell r="CB36" t="e">
            <v>#DIV/0!</v>
          </cell>
          <cell r="CC36" t="e">
            <v>#DIV/0!</v>
          </cell>
          <cell r="CD36" t="e">
            <v>#DIV/0!</v>
          </cell>
          <cell r="CE36" t="e">
            <v>#DIV/0!</v>
          </cell>
        </row>
        <row r="37">
          <cell r="S37">
            <v>2.410335454139868E-4</v>
          </cell>
          <cell r="T37">
            <v>2.3751942525982269E-4</v>
          </cell>
          <cell r="U37">
            <v>2.3326552576118841E-4</v>
          </cell>
          <cell r="V37">
            <v>2.1869388037185056E-4</v>
          </cell>
          <cell r="W37">
            <v>2.2865369095544723E-4</v>
          </cell>
          <cell r="X37">
            <v>4.0568938282665675E-4</v>
          </cell>
          <cell r="Y37">
            <v>4.0537388087251485E-4</v>
          </cell>
          <cell r="Z37">
            <v>4.0470305535459159E-4</v>
          </cell>
          <cell r="AA37">
            <v>3.9953248872132445E-4</v>
          </cell>
          <cell r="AB37">
            <v>4.4318023607927201E-4</v>
          </cell>
          <cell r="AH37">
            <v>1.2763096199170399E-2</v>
          </cell>
          <cell r="AI37">
            <v>1.2763096199170399E-2</v>
          </cell>
          <cell r="AJ37">
            <v>1.2763096199170399E-2</v>
          </cell>
          <cell r="AK37">
            <v>1.2763096199170399E-2</v>
          </cell>
          <cell r="AL37">
            <v>1.2763096199170399E-2</v>
          </cell>
          <cell r="AQ37">
            <v>2.2689948798525154E-3</v>
          </cell>
          <cell r="AR37">
            <v>2.1894929509571229E-3</v>
          </cell>
          <cell r="AS37">
            <v>1.8232994570243439E-3</v>
          </cell>
          <cell r="AT37">
            <v>1.612515098821663E-3</v>
          </cell>
          <cell r="AU37">
            <v>1.5015407293141644E-3</v>
          </cell>
          <cell r="AZ37">
            <v>1.9537006807216358E-3</v>
          </cell>
          <cell r="BA37">
            <v>1.9537006807216358E-3</v>
          </cell>
          <cell r="BB37">
            <v>1.9537006807216358E-3</v>
          </cell>
          <cell r="BC37">
            <v>3.4286723353819997E-3</v>
          </cell>
          <cell r="BD37">
            <v>3.4286723353819997E-3</v>
          </cell>
          <cell r="BI37">
            <v>0.3305392123655112</v>
          </cell>
          <cell r="BJ37">
            <v>0.3305392123655112</v>
          </cell>
          <cell r="BK37">
            <v>0.3305392123655112</v>
          </cell>
          <cell r="BL37">
            <v>0.3305392123655112</v>
          </cell>
          <cell r="BM37">
            <v>0.3305392123655112</v>
          </cell>
          <cell r="CA37" t="e">
            <v>#DIV/0!</v>
          </cell>
          <cell r="CB37" t="e">
            <v>#DIV/0!</v>
          </cell>
          <cell r="CC37" t="e">
            <v>#DIV/0!</v>
          </cell>
          <cell r="CD37" t="e">
            <v>#DIV/0!</v>
          </cell>
          <cell r="CE37" t="e">
            <v>#DIV/0!</v>
          </cell>
        </row>
        <row r="38">
          <cell r="S38">
            <v>2.2609958287057478E-4</v>
          </cell>
          <cell r="T38">
            <v>2.2255247536501636E-4</v>
          </cell>
          <cell r="U38">
            <v>2.1891168204748006E-4</v>
          </cell>
          <cell r="V38">
            <v>2.0482999122353358E-4</v>
          </cell>
          <cell r="W38">
            <v>2.1420445538471007E-4</v>
          </cell>
          <cell r="X38">
            <v>3.8207614769089729E-4</v>
          </cell>
          <cell r="Y38">
            <v>3.8171729137746166E-4</v>
          </cell>
          <cell r="Z38">
            <v>3.8105389887319106E-4</v>
          </cell>
          <cell r="AA38">
            <v>3.7592889712848823E-4</v>
          </cell>
          <cell r="AB38">
            <v>4.1618790488259354E-4</v>
          </cell>
          <cell r="AH38">
            <v>1.2385889700734858E-2</v>
          </cell>
          <cell r="AI38">
            <v>1.2385889700734858E-2</v>
          </cell>
          <cell r="AJ38">
            <v>1.2385889700734858E-2</v>
          </cell>
          <cell r="AK38">
            <v>1.2385889700734858E-2</v>
          </cell>
          <cell r="AL38">
            <v>1.2385889700734858E-2</v>
          </cell>
          <cell r="AQ38">
            <v>2.1908942620995631E-3</v>
          </cell>
          <cell r="AR38">
            <v>1.7694128143906948E-3</v>
          </cell>
          <cell r="AS38">
            <v>1.6907881535209886E-3</v>
          </cell>
          <cell r="AT38">
            <v>1.4571634942041004E-3</v>
          </cell>
          <cell r="AU38">
            <v>1.3723671998296552E-3</v>
          </cell>
          <cell r="AZ38">
            <v>1.7760915279287598E-3</v>
          </cell>
          <cell r="BA38">
            <v>1.7760915279287598E-3</v>
          </cell>
          <cell r="BB38">
            <v>1.7760915279287598E-3</v>
          </cell>
          <cell r="BC38">
            <v>3.1169748503472724E-3</v>
          </cell>
          <cell r="BD38">
            <v>3.1169748503472724E-3</v>
          </cell>
          <cell r="BI38">
            <v>0.31479924987191543</v>
          </cell>
          <cell r="BJ38">
            <v>0.31479924987191543</v>
          </cell>
          <cell r="BK38">
            <v>0.31479924987191543</v>
          </cell>
          <cell r="BL38">
            <v>0.31479924987191543</v>
          </cell>
          <cell r="BM38">
            <v>0.31479924987191543</v>
          </cell>
          <cell r="CA38" t="e">
            <v>#DIV/0!</v>
          </cell>
          <cell r="CB38" t="e">
            <v>#DIV/0!</v>
          </cell>
          <cell r="CC38" t="e">
            <v>#DIV/0!</v>
          </cell>
          <cell r="CD38" t="e">
            <v>#DIV/0!</v>
          </cell>
          <cell r="CE38" t="e">
            <v>#DIV/0!</v>
          </cell>
        </row>
        <row r="39">
          <cell r="S39">
            <v>2.1215096441475824E-4</v>
          </cell>
          <cell r="T39">
            <v>2.0871059793457463E-4</v>
          </cell>
          <cell r="U39">
            <v>2.0549736908715045E-4</v>
          </cell>
          <cell r="V39">
            <v>1.9210973037867243E-4</v>
          </cell>
          <cell r="W39">
            <v>1.9888583127188655E-4</v>
          </cell>
          <cell r="X39">
            <v>3.6003339431980245E-4</v>
          </cell>
          <cell r="Y39">
            <v>3.5968665049602273E-4</v>
          </cell>
          <cell r="Z39">
            <v>3.5898381753256573E-4</v>
          </cell>
          <cell r="AA39">
            <v>3.5397802110520544E-4</v>
          </cell>
          <cell r="AB39">
            <v>3.8654304808703732E-4</v>
          </cell>
          <cell r="AH39">
            <v>1.201983133910261E-2</v>
          </cell>
          <cell r="AI39">
            <v>1.201983133910261E-2</v>
          </cell>
          <cell r="AJ39">
            <v>1.201983133910261E-2</v>
          </cell>
          <cell r="AK39">
            <v>1.201983133910261E-2</v>
          </cell>
          <cell r="AL39">
            <v>1.201983133910261E-2</v>
          </cell>
          <cell r="AQ39">
            <v>1.7171187627289454E-3</v>
          </cell>
          <cell r="AR39">
            <v>1.7171187627289441E-3</v>
          </cell>
          <cell r="AS39">
            <v>1.4140978046003072E-3</v>
          </cell>
          <cell r="AT39">
            <v>1.3746790377755251E-3</v>
          </cell>
          <cell r="AU39">
            <v>1.323284184121389E-3</v>
          </cell>
          <cell r="AZ39">
            <v>1.6146286617534176E-3</v>
          </cell>
          <cell r="BA39">
            <v>1.6146286617534176E-3</v>
          </cell>
          <cell r="BB39">
            <v>1.6146286617534176E-3</v>
          </cell>
          <cell r="BC39">
            <v>2.8336135003157016E-3</v>
          </cell>
          <cell r="BD39">
            <v>2.8336135003157016E-3</v>
          </cell>
          <cell r="BI39">
            <v>0.29980880940182419</v>
          </cell>
          <cell r="BJ39">
            <v>0.29980880940182419</v>
          </cell>
          <cell r="BK39">
            <v>0.29980880940182419</v>
          </cell>
          <cell r="BL39">
            <v>0.29980880940182419</v>
          </cell>
          <cell r="BM39">
            <v>0.29980880940182419</v>
          </cell>
          <cell r="CA39" t="e">
            <v>#DIV/0!</v>
          </cell>
          <cell r="CB39" t="e">
            <v>#DIV/0!</v>
          </cell>
          <cell r="CC39" t="e">
            <v>#DIV/0!</v>
          </cell>
          <cell r="CD39" t="e">
            <v>#DIV/0!</v>
          </cell>
          <cell r="CE39" t="e">
            <v>#DIV/0!</v>
          </cell>
        </row>
        <row r="40">
          <cell r="S40">
            <v>1.9918047140077969E-4</v>
          </cell>
          <cell r="T40">
            <v>1.9629598676912968E-4</v>
          </cell>
          <cell r="U40">
            <v>1.9321071525996608E-4</v>
          </cell>
          <cell r="V40">
            <v>1.8044810608662748E-4</v>
          </cell>
          <cell r="W40">
            <v>1.8477864524427047E-4</v>
          </cell>
          <cell r="X40">
            <v>3.3949597388982695E-4</v>
          </cell>
          <cell r="Y40">
            <v>3.3914214919434033E-4</v>
          </cell>
          <cell r="Z40">
            <v>3.3847798660402011E-4</v>
          </cell>
          <cell r="AA40">
            <v>3.3354747991762117E-4</v>
          </cell>
          <cell r="AB40">
            <v>3.5919789967790597E-4</v>
          </cell>
          <cell r="AH40">
            <v>1.1664591637038512E-2</v>
          </cell>
          <cell r="AI40">
            <v>1.1664591637038512E-2</v>
          </cell>
          <cell r="AJ40">
            <v>1.1664591637038512E-2</v>
          </cell>
          <cell r="AK40">
            <v>1.1664591637038512E-2</v>
          </cell>
          <cell r="AL40">
            <v>1.1664591637038512E-2</v>
          </cell>
          <cell r="AQ40">
            <v>1.6663702338626457E-3</v>
          </cell>
          <cell r="AR40">
            <v>1.3868611698841025E-3</v>
          </cell>
          <cell r="AS40">
            <v>1.3711673030771135E-3</v>
          </cell>
          <cell r="AT40">
            <v>1.2841752260959812E-3</v>
          </cell>
          <cell r="AU40">
            <v>1.2691164762334158E-3</v>
          </cell>
          <cell r="AZ40">
            <v>1.4678442379576523E-3</v>
          </cell>
          <cell r="BA40">
            <v>1.4678442379576523E-3</v>
          </cell>
          <cell r="BB40">
            <v>1.4678442379576523E-3</v>
          </cell>
          <cell r="BC40">
            <v>2.5760122730142743E-3</v>
          </cell>
          <cell r="BD40">
            <v>2.5760122730142743E-3</v>
          </cell>
          <cell r="BI40">
            <v>0.28553219943030878</v>
          </cell>
          <cell r="BJ40">
            <v>0.28553219943030878</v>
          </cell>
          <cell r="BK40">
            <v>0.28553219943030878</v>
          </cell>
          <cell r="BL40">
            <v>0.28553219943030878</v>
          </cell>
          <cell r="BM40">
            <v>0.28553219943030878</v>
          </cell>
          <cell r="CA40" t="e">
            <v>#DIV/0!</v>
          </cell>
          <cell r="CB40" t="e">
            <v>#DIV/0!</v>
          </cell>
          <cell r="CC40" t="e">
            <v>#DIV/0!</v>
          </cell>
          <cell r="CD40" t="e">
            <v>#DIV/0!</v>
          </cell>
          <cell r="CE40" t="e">
            <v>#DIV/0!</v>
          </cell>
        </row>
        <row r="41">
          <cell r="S41">
            <v>1.8710799800696621E-4</v>
          </cell>
          <cell r="T41">
            <v>1.8475956476149169E-4</v>
          </cell>
          <cell r="U41">
            <v>1.8185898123507994E-4</v>
          </cell>
          <cell r="V41">
            <v>1.6955900757452812E-4</v>
          </cell>
          <cell r="W41">
            <v>1.7080690229572343E-4</v>
          </cell>
          <cell r="X41">
            <v>3.2030731288283198E-4</v>
          </cell>
          <cell r="Y41">
            <v>3.1998263241128937E-4</v>
          </cell>
          <cell r="Z41">
            <v>3.1930273743022738E-4</v>
          </cell>
          <cell r="AA41">
            <v>3.1447100021864349E-4</v>
          </cell>
          <cell r="AB41">
            <v>3.3231555314939111E-4</v>
          </cell>
          <cell r="AH41">
            <v>1.1319850854831304E-2</v>
          </cell>
          <cell r="AI41">
            <v>1.1319850854831304E-2</v>
          </cell>
          <cell r="AJ41">
            <v>1.1319850854831304E-2</v>
          </cell>
          <cell r="AK41">
            <v>1.1319850854831304E-2</v>
          </cell>
          <cell r="AL41">
            <v>1.1319850854831304E-2</v>
          </cell>
          <cell r="AQ41">
            <v>1.3799590870006238E-3</v>
          </cell>
          <cell r="AR41">
            <v>1.3317471593919179E-3</v>
          </cell>
          <cell r="AS41">
            <v>1.2462221124584921E-3</v>
          </cell>
          <cell r="AT41">
            <v>1.2462221124584926E-3</v>
          </cell>
          <cell r="AU41">
            <v>1.1710190539480662E-3</v>
          </cell>
          <cell r="AZ41">
            <v>1.3344038526887747E-3</v>
          </cell>
          <cell r="BA41">
            <v>1.3344038526887747E-3</v>
          </cell>
          <cell r="BB41">
            <v>1.3344038526887747E-3</v>
          </cell>
          <cell r="BC41">
            <v>2.3418293391038853E-3</v>
          </cell>
          <cell r="BD41">
            <v>2.3418293391038853E-3</v>
          </cell>
          <cell r="BI41">
            <v>0.2719354280288655</v>
          </cell>
          <cell r="BJ41">
            <v>0.2719354280288655</v>
          </cell>
          <cell r="BK41">
            <v>0.2719354280288655</v>
          </cell>
          <cell r="BL41">
            <v>0.2719354280288655</v>
          </cell>
          <cell r="BM41">
            <v>0.2719354280288655</v>
          </cell>
          <cell r="CA41" t="e">
            <v>#DIV/0!</v>
          </cell>
          <cell r="CB41" t="e">
            <v>#DIV/0!</v>
          </cell>
          <cell r="CC41" t="e">
            <v>#DIV/0!</v>
          </cell>
          <cell r="CD41" t="e">
            <v>#DIV/0!</v>
          </cell>
          <cell r="CE41" t="e">
            <v>#DIV/0!</v>
          </cell>
        </row>
        <row r="42">
          <cell r="S42">
            <v>1.7590680748620494E-4</v>
          </cell>
          <cell r="T42">
            <v>1.7402696435091572E-4</v>
          </cell>
          <cell r="U42">
            <v>1.7126032282652502E-4</v>
          </cell>
          <cell r="V42">
            <v>1.5930803163995225E-4</v>
          </cell>
          <cell r="W42">
            <v>1.5794676751189999E-4</v>
          </cell>
          <cell r="X42">
            <v>3.023795548328623E-4</v>
          </cell>
          <cell r="Y42">
            <v>3.0204704165454299E-4</v>
          </cell>
          <cell r="Z42">
            <v>3.0138936537287654E-4</v>
          </cell>
          <cell r="AA42">
            <v>2.9657049688958559E-4</v>
          </cell>
          <cell r="AB42">
            <v>3.0740774877995296E-4</v>
          </cell>
          <cell r="AH42">
            <v>1.0985298702506304E-2</v>
          </cell>
          <cell r="AI42">
            <v>1.0985298702506304E-2</v>
          </cell>
          <cell r="AJ42">
            <v>1.0985298702506304E-2</v>
          </cell>
          <cell r="AK42">
            <v>1.0985298702506304E-2</v>
          </cell>
          <cell r="AL42">
            <v>1.0985298702506304E-2</v>
          </cell>
          <cell r="AQ42">
            <v>1.2923880826478016E-3</v>
          </cell>
          <cell r="AR42">
            <v>1.23311239592046E-3</v>
          </cell>
          <cell r="AS42">
            <v>1.2093906828447314E-3</v>
          </cell>
          <cell r="AT42">
            <v>1.1540492222579092E-3</v>
          </cell>
          <cell r="AU42">
            <v>1.1322926650090897E-3</v>
          </cell>
          <cell r="AZ42">
            <v>1.2130944115352497E-3</v>
          </cell>
          <cell r="BA42">
            <v>1.2130944115352497E-3</v>
          </cell>
          <cell r="BB42">
            <v>1.2130944115352497E-3</v>
          </cell>
          <cell r="BC42">
            <v>2.128935762821714E-3</v>
          </cell>
          <cell r="BD42">
            <v>2.128935762821714E-3</v>
          </cell>
          <cell r="BI42">
            <v>0.25898612193225284</v>
          </cell>
          <cell r="BJ42">
            <v>0.25898612193225284</v>
          </cell>
          <cell r="BK42">
            <v>0.25898612193225284</v>
          </cell>
          <cell r="BL42">
            <v>0.25898612193225284</v>
          </cell>
          <cell r="BM42">
            <v>0.25898612193225284</v>
          </cell>
          <cell r="CA42" t="e">
            <v>#DIV/0!</v>
          </cell>
          <cell r="CB42" t="e">
            <v>#DIV/0!</v>
          </cell>
          <cell r="CC42" t="e">
            <v>#DIV/0!</v>
          </cell>
          <cell r="CD42" t="e">
            <v>#DIV/0!</v>
          </cell>
          <cell r="CE42" t="e">
            <v>#DIV/0!</v>
          </cell>
        </row>
        <row r="43">
          <cell r="S43">
            <v>1.6569860032467323E-4</v>
          </cell>
          <cell r="T43">
            <v>1.6395511425288718E-4</v>
          </cell>
          <cell r="U43">
            <v>1.6123572445077817E-4</v>
          </cell>
          <cell r="V43">
            <v>1.4948057959284712E-4</v>
          </cell>
          <cell r="W43">
            <v>1.4545863329000675E-4</v>
          </cell>
          <cell r="X43">
            <v>2.8559918840685158E-4</v>
          </cell>
          <cell r="Y43">
            <v>2.8527089294085571E-4</v>
          </cell>
          <cell r="Z43">
            <v>2.8463226903708899E-4</v>
          </cell>
          <cell r="AA43">
            <v>2.7975610364460601E-4</v>
          </cell>
          <cell r="AB43">
            <v>2.8320984961035666E-4</v>
          </cell>
          <cell r="AH43">
            <v>1.0660634060543463E-2</v>
          </cell>
          <cell r="AI43">
            <v>1.0660634060543463E-2</v>
          </cell>
          <cell r="AJ43">
            <v>1.0660634060543463E-2</v>
          </cell>
          <cell r="AK43">
            <v>1.0660634060543463E-2</v>
          </cell>
          <cell r="AL43">
            <v>1.0660634060543463E-2</v>
          </cell>
          <cell r="AQ43">
            <v>1.2072234392847114E-3</v>
          </cell>
          <cell r="AR43">
            <v>1.1736477864818476E-3</v>
          </cell>
          <cell r="AS43">
            <v>1.1427455325114997E-3</v>
          </cell>
          <cell r="AT43">
            <v>1.1028242131596688E-3</v>
          </cell>
          <cell r="AU43">
            <v>1.0400618595652164E-3</v>
          </cell>
          <cell r="AZ43">
            <v>1.1028131013956814E-3</v>
          </cell>
          <cell r="BA43">
            <v>1.1028131013956814E-3</v>
          </cell>
          <cell r="BB43">
            <v>1.1028131013956814E-3</v>
          </cell>
          <cell r="BC43">
            <v>1.9353961480197395E-3</v>
          </cell>
          <cell r="BD43">
            <v>1.9353961480197395E-3</v>
          </cell>
          <cell r="BI43">
            <v>0.24665344945928838</v>
          </cell>
          <cell r="BJ43">
            <v>0.24665344945928838</v>
          </cell>
          <cell r="BK43">
            <v>0.24665344945928838</v>
          </cell>
          <cell r="BL43">
            <v>0.24665344945928838</v>
          </cell>
          <cell r="BM43">
            <v>0.24665344945928838</v>
          </cell>
          <cell r="CA43" t="e">
            <v>#DIV/0!</v>
          </cell>
          <cell r="CB43" t="e">
            <v>#DIV/0!</v>
          </cell>
          <cell r="CC43" t="e">
            <v>#DIV/0!</v>
          </cell>
          <cell r="CD43" t="e">
            <v>#DIV/0!</v>
          </cell>
          <cell r="CE43" t="e">
            <v>#DIV/0!</v>
          </cell>
        </row>
        <row r="44">
          <cell r="S44">
            <v>1.5615722633906628E-4</v>
          </cell>
          <cell r="T44">
            <v>1.5442849354886518E-4</v>
          </cell>
          <cell r="U44">
            <v>1.5165879051850099E-4</v>
          </cell>
          <cell r="V44">
            <v>1.4021037826190009E-4</v>
          </cell>
          <cell r="W44">
            <v>1.3366034255245015E-4</v>
          </cell>
          <cell r="X44">
            <v>2.6988387899111384E-4</v>
          </cell>
          <cell r="Y44">
            <v>2.6957479343016181E-4</v>
          </cell>
          <cell r="Z44">
            <v>2.689344461838702E-4</v>
          </cell>
          <cell r="AA44">
            <v>2.6396919655942544E-4</v>
          </cell>
          <cell r="AB44">
            <v>2.6039237069023575E-4</v>
          </cell>
          <cell r="AH44">
            <v>1.0345564708849501E-2</v>
          </cell>
          <cell r="AI44">
            <v>1.0345564708849501E-2</v>
          </cell>
          <cell r="AJ44">
            <v>1.0345564708849501E-2</v>
          </cell>
          <cell r="AK44">
            <v>1.0345564708849501E-2</v>
          </cell>
          <cell r="AL44">
            <v>1.0345564708849501E-2</v>
          </cell>
          <cell r="AQ44">
            <v>1.1389612523504038E-3</v>
          </cell>
          <cell r="AR44">
            <v>1.1145048879640299E-3</v>
          </cell>
          <cell r="AS44">
            <v>1.0702308319499483E-3</v>
          </cell>
          <cell r="AT44">
            <v>1.0225357450858875E-3</v>
          </cell>
          <cell r="AU44">
            <v>9.9170154407224277E-4</v>
          </cell>
          <cell r="AZ44">
            <v>1.0025573649051647E-3</v>
          </cell>
          <cell r="BA44">
            <v>1.0025573649051647E-3</v>
          </cell>
          <cell r="BB44">
            <v>1.0025573649051647E-3</v>
          </cell>
          <cell r="BC44">
            <v>1.7594510436543085E-3</v>
          </cell>
          <cell r="BD44">
            <v>1.7594510436543085E-3</v>
          </cell>
          <cell r="BI44">
            <v>0.23490804710408417</v>
          </cell>
          <cell r="BJ44">
            <v>0.23490804710408417</v>
          </cell>
          <cell r="BK44">
            <v>0.23490804710408417</v>
          </cell>
          <cell r="BL44">
            <v>0.23490804710408417</v>
          </cell>
          <cell r="BM44">
            <v>0.23490804710408417</v>
          </cell>
          <cell r="CA44" t="e">
            <v>#DIV/0!</v>
          </cell>
          <cell r="CB44" t="e">
            <v>#DIV/0!</v>
          </cell>
          <cell r="CC44" t="e">
            <v>#DIV/0!</v>
          </cell>
          <cell r="CD44" t="e">
            <v>#DIV/0!</v>
          </cell>
          <cell r="CE44" t="e">
            <v>#DIV/0!</v>
          </cell>
        </row>
        <row r="45">
          <cell r="S45">
            <v>1.4720756032335361E-4</v>
          </cell>
          <cell r="T45">
            <v>1.4542279809244877E-4</v>
          </cell>
          <cell r="U45">
            <v>1.4276746805209054E-4</v>
          </cell>
          <cell r="V45">
            <v>1.3165796691869933E-4</v>
          </cell>
          <cell r="W45">
            <v>1.2527125949952521E-4</v>
          </cell>
          <cell r="X45">
            <v>2.5516141169951427E-4</v>
          </cell>
          <cell r="Y45">
            <v>2.5484946110089962E-4</v>
          </cell>
          <cell r="Z45">
            <v>2.5421861795801436E-4</v>
          </cell>
          <cell r="AA45">
            <v>2.492567707159475E-4</v>
          </cell>
          <cell r="AB45">
            <v>2.4562440312631624E-4</v>
          </cell>
          <cell r="AH45">
            <v>1.003980706374007E-2</v>
          </cell>
          <cell r="AI45">
            <v>1.003980706374007E-2</v>
          </cell>
          <cell r="AJ45">
            <v>1.003980706374007E-2</v>
          </cell>
          <cell r="AK45">
            <v>1.003980706374007E-2</v>
          </cell>
          <cell r="AL45">
            <v>1.003980706374007E-2</v>
          </cell>
          <cell r="AQ45">
            <v>1.0832841784549864E-3</v>
          </cell>
          <cell r="AR45">
            <v>1.0386007307317312E-3</v>
          </cell>
          <cell r="AS45">
            <v>1.0059299846435857E-3</v>
          </cell>
          <cell r="AT45">
            <v>9.7949337207220194E-4</v>
          </cell>
          <cell r="AU45">
            <v>9.2675142126831392E-4</v>
          </cell>
          <cell r="AZ45">
            <v>9.1141578627742246E-4</v>
          </cell>
          <cell r="BA45">
            <v>9.1141578627742246E-4</v>
          </cell>
          <cell r="BB45">
            <v>9.1141578627742246E-4</v>
          </cell>
          <cell r="BC45">
            <v>1.5995009487766441E-3</v>
          </cell>
          <cell r="BD45">
            <v>1.5995009487766441E-3</v>
          </cell>
          <cell r="BI45">
            <v>0.22372194962293729</v>
          </cell>
          <cell r="BJ45">
            <v>0.22372194962293729</v>
          </cell>
          <cell r="BK45">
            <v>0.22372194962293729</v>
          </cell>
          <cell r="BL45">
            <v>0.22372194962293729</v>
          </cell>
          <cell r="BM45">
            <v>0.22372194962293729</v>
          </cell>
          <cell r="CA45" t="e">
            <v>#DIV/0!</v>
          </cell>
          <cell r="CB45" t="e">
            <v>#DIV/0!</v>
          </cell>
          <cell r="CC45" t="e">
            <v>#DIV/0!</v>
          </cell>
          <cell r="CD45" t="e">
            <v>#DIV/0!</v>
          </cell>
          <cell r="CE45" t="e">
            <v>#DIV/0!</v>
          </cell>
        </row>
        <row r="46">
          <cell r="S46">
            <v>1.3872744960023012E-4</v>
          </cell>
          <cell r="T46">
            <v>1.3702104595855267E-4</v>
          </cell>
          <cell r="U46">
            <v>1.3455937272912669E-4</v>
          </cell>
          <cell r="V46">
            <v>1.237585673380457E-4</v>
          </cell>
          <cell r="W46">
            <v>1.1762925714806282E-4</v>
          </cell>
          <cell r="X46">
            <v>2.4131687682605744E-4</v>
          </cell>
          <cell r="Y46">
            <v>2.4103155444599482E-4</v>
          </cell>
          <cell r="Z46">
            <v>2.4041679201228729E-4</v>
          </cell>
          <cell r="AA46">
            <v>2.3547253236379508E-4</v>
          </cell>
          <cell r="AB46">
            <v>2.3180090936385732E-4</v>
          </cell>
          <cell r="AH46">
            <v>9.7430859226953128E-3</v>
          </cell>
          <cell r="AI46">
            <v>9.7430859226953128E-3</v>
          </cell>
          <cell r="AJ46">
            <v>9.7430859226953128E-3</v>
          </cell>
          <cell r="AK46">
            <v>9.7430859226953128E-3</v>
          </cell>
          <cell r="AL46">
            <v>9.7430859226953128E-3</v>
          </cell>
          <cell r="AQ46">
            <v>1.0079054402788255E-3</v>
          </cell>
          <cell r="AR46">
            <v>9.9190908926665203E-4</v>
          </cell>
          <cell r="AS46">
            <v>9.5054496806783401E-4</v>
          </cell>
          <cell r="AT46">
            <v>9.0165594222571272E-4</v>
          </cell>
          <cell r="AU46">
            <v>8.7064317618043975E-4</v>
          </cell>
          <cell r="AZ46">
            <v>8.2855980570674761E-4</v>
          </cell>
          <cell r="BA46">
            <v>8.2855980570674761E-4</v>
          </cell>
          <cell r="BB46">
            <v>8.2855980570674761E-4</v>
          </cell>
          <cell r="BC46">
            <v>1.4540917716151308E-3</v>
          </cell>
          <cell r="BD46">
            <v>1.4540917716151308E-3</v>
          </cell>
          <cell r="BI46">
            <v>0.21306852345041644</v>
          </cell>
          <cell r="BJ46">
            <v>0.21306852345041644</v>
          </cell>
          <cell r="BK46">
            <v>0.21306852345041644</v>
          </cell>
          <cell r="BL46">
            <v>0.21306852345041644</v>
          </cell>
          <cell r="BM46">
            <v>0.21306852345041644</v>
          </cell>
          <cell r="CA46" t="e">
            <v>#DIV/0!</v>
          </cell>
          <cell r="CB46" t="e">
            <v>#DIV/0!</v>
          </cell>
          <cell r="CC46" t="e">
            <v>#DIV/0!</v>
          </cell>
          <cell r="CD46" t="e">
            <v>#DIV/0!</v>
          </cell>
          <cell r="CE46" t="e">
            <v>#DIV/0!</v>
          </cell>
        </row>
        <row r="47">
          <cell r="S47">
            <v>1.3076691538044659E-4</v>
          </cell>
          <cell r="T47">
            <v>1.2911788138115943E-4</v>
          </cell>
          <cell r="U47">
            <v>1.2683261752018398E-4</v>
          </cell>
          <cell r="V47">
            <v>1.1636709828522004E-4</v>
          </cell>
          <cell r="W47">
            <v>1.1100450755816536E-4</v>
          </cell>
          <cell r="X47">
            <v>2.2833847332814737E-4</v>
          </cell>
          <cell r="Y47">
            <v>2.280465878034012E-4</v>
          </cell>
          <cell r="Z47">
            <v>2.2745721351167346E-4</v>
          </cell>
          <cell r="AA47">
            <v>2.2253757559448814E-4</v>
          </cell>
          <cell r="AB47">
            <v>2.1889072456122497E-4</v>
          </cell>
          <cell r="AH47">
            <v>9.4551342166590124E-3</v>
          </cell>
          <cell r="AI47">
            <v>9.4551342166590124E-3</v>
          </cell>
          <cell r="AJ47">
            <v>9.4551342166590124E-3</v>
          </cell>
          <cell r="AK47">
            <v>9.4551342166590124E-3</v>
          </cell>
          <cell r="AL47">
            <v>9.4551342166590124E-3</v>
          </cell>
          <cell r="AQ47">
            <v>9.7501068913261838E-4</v>
          </cell>
          <cell r="AR47">
            <v>9.2245211869844011E-4</v>
          </cell>
          <cell r="AS47">
            <v>8.9752280318802964E-4</v>
          </cell>
          <cell r="AT47">
            <v>8.7278161999929408E-4</v>
          </cell>
          <cell r="AU47">
            <v>8.2218558405730471E-4</v>
          </cell>
          <cell r="AZ47">
            <v>7.5323618700613411E-4</v>
          </cell>
          <cell r="BA47">
            <v>7.5323618700613411E-4</v>
          </cell>
          <cell r="BB47">
            <v>7.5323618700613411E-4</v>
          </cell>
          <cell r="BC47">
            <v>1.3219016105592099E-3</v>
          </cell>
          <cell r="BD47">
            <v>1.3219016105592099E-3</v>
          </cell>
          <cell r="BI47">
            <v>0.20292240328611089</v>
          </cell>
          <cell r="BJ47">
            <v>0.20292240328611089</v>
          </cell>
          <cell r="BK47">
            <v>0.20292240328611089</v>
          </cell>
          <cell r="BL47">
            <v>0.20292240328611089</v>
          </cell>
          <cell r="BM47">
            <v>0.20292240328611089</v>
          </cell>
          <cell r="CA47" t="e">
            <v>#DIV/0!</v>
          </cell>
          <cell r="CB47" t="e">
            <v>#DIV/0!</v>
          </cell>
          <cell r="CC47" t="e">
            <v>#DIV/0!</v>
          </cell>
          <cell r="CD47" t="e">
            <v>#DIV/0!</v>
          </cell>
          <cell r="CE47" t="e">
            <v>#DIV/0!</v>
          </cell>
        </row>
        <row r="48">
          <cell r="S48">
            <v>1.2326981215853445E-4</v>
          </cell>
          <cell r="T48">
            <v>1.2173176781123089E-4</v>
          </cell>
          <cell r="U48">
            <v>1.1961334634716974E-4</v>
          </cell>
          <cell r="V48">
            <v>1.095526204510614E-4</v>
          </cell>
          <cell r="W48">
            <v>1.0490898850750243E-4</v>
          </cell>
          <cell r="X48">
            <v>2.1612484860734267E-4</v>
          </cell>
          <cell r="Y48">
            <v>2.1586322334341549E-4</v>
          </cell>
          <cell r="Z48">
            <v>2.1527914475601216E-4</v>
          </cell>
          <cell r="AA48">
            <v>2.1040347397154602E-4</v>
          </cell>
          <cell r="AB48">
            <v>2.0691847477829326E-4</v>
          </cell>
          <cell r="AH48">
            <v>9.1756927696584108E-3</v>
          </cell>
          <cell r="AI48">
            <v>9.1756927696584108E-3</v>
          </cell>
          <cell r="AJ48">
            <v>9.1756927696584108E-3</v>
          </cell>
          <cell r="AK48">
            <v>9.1756927696584108E-3</v>
          </cell>
          <cell r="AL48">
            <v>9.1756927696584108E-3</v>
          </cell>
          <cell r="AQ48">
            <v>8.9518953850325914E-4</v>
          </cell>
          <cell r="AR48">
            <v>8.9065261363217418E-4</v>
          </cell>
          <cell r="AS48">
            <v>8.4698702489154553E-4</v>
          </cell>
          <cell r="AT48">
            <v>8.0403019906733777E-4</v>
          </cell>
          <cell r="AU48">
            <v>7.8783548640147993E-4</v>
          </cell>
          <cell r="AZ48">
            <v>6.8476017000557643E-4</v>
          </cell>
          <cell r="BA48">
            <v>6.8476017000557643E-4</v>
          </cell>
          <cell r="BB48">
            <v>6.8476017000557643E-4</v>
          </cell>
          <cell r="BC48">
            <v>1.2017287368720087E-3</v>
          </cell>
          <cell r="BD48">
            <v>1.2017287368720087E-3</v>
          </cell>
          <cell r="BI48">
            <v>0.193259431701058</v>
          </cell>
          <cell r="BJ48">
            <v>0.193259431701058</v>
          </cell>
          <cell r="BK48">
            <v>0.193259431701058</v>
          </cell>
          <cell r="BL48">
            <v>0.193259431701058</v>
          </cell>
          <cell r="BM48">
            <v>0.193259431701058</v>
          </cell>
          <cell r="CA48" t="e">
            <v>#DIV/0!</v>
          </cell>
          <cell r="CB48" t="e">
            <v>#DIV/0!</v>
          </cell>
          <cell r="CC48" t="e">
            <v>#DIV/0!</v>
          </cell>
          <cell r="CD48" t="e">
            <v>#DIV/0!</v>
          </cell>
          <cell r="CE48" t="e">
            <v>#DIV/0!</v>
          </cell>
        </row>
        <row r="49">
          <cell r="S49">
            <v>1.1626017353787781E-4</v>
          </cell>
          <cell r="T49">
            <v>1.1483118721404604E-4</v>
          </cell>
          <cell r="U49">
            <v>1.1282059155884949E-4</v>
          </cell>
          <cell r="V49">
            <v>1.0319218421988922E-4</v>
          </cell>
          <cell r="W49">
            <v>9.9365944386201871E-5</v>
          </cell>
          <cell r="X49">
            <v>2.0466254586809122E-4</v>
          </cell>
          <cell r="Y49">
            <v>2.0439294667754258E-4</v>
          </cell>
          <cell r="Z49">
            <v>2.0383701512201698E-4</v>
          </cell>
          <cell r="AA49">
            <v>1.9902383048723868E-4</v>
          </cell>
          <cell r="AB49">
            <v>1.9585333684274942E-4</v>
          </cell>
          <cell r="AH49">
            <v>8.9045100655283475E-3</v>
          </cell>
          <cell r="AI49">
            <v>8.9045100655283475E-3</v>
          </cell>
          <cell r="AJ49">
            <v>8.9045100655283475E-3</v>
          </cell>
          <cell r="AK49">
            <v>8.9045100655283475E-3</v>
          </cell>
          <cell r="AL49">
            <v>8.9045100655283475E-3</v>
          </cell>
          <cell r="AQ49">
            <v>8.687326893198385E-4</v>
          </cell>
          <cell r="AR49">
            <v>8.2195477527953942E-4</v>
          </cell>
          <cell r="AS49">
            <v>8.0838883433151517E-4</v>
          </cell>
          <cell r="AT49">
            <v>7.7430522308942116E-4</v>
          </cell>
          <cell r="AU49">
            <v>7.3187753963246645E-4</v>
          </cell>
          <cell r="AZ49">
            <v>6.225092454596148E-4</v>
          </cell>
          <cell r="BA49">
            <v>6.225092454596148E-4</v>
          </cell>
          <cell r="BB49">
            <v>6.225092454596148E-4</v>
          </cell>
          <cell r="BC49">
            <v>1.0924806698836441E-3</v>
          </cell>
          <cell r="BD49">
            <v>1.0924806698836441E-3</v>
          </cell>
          <cell r="BI49">
            <v>0.18405660162005522</v>
          </cell>
          <cell r="BJ49">
            <v>0.18405660162005522</v>
          </cell>
          <cell r="BK49">
            <v>0.18405660162005522</v>
          </cell>
          <cell r="BL49">
            <v>0.18405660162005522</v>
          </cell>
          <cell r="BM49">
            <v>0.18405660162005522</v>
          </cell>
          <cell r="CA49" t="e">
            <v>#DIV/0!</v>
          </cell>
          <cell r="CB49" t="e">
            <v>#DIV/0!</v>
          </cell>
          <cell r="CC49" t="e">
            <v>#DIV/0!</v>
          </cell>
          <cell r="CD49" t="e">
            <v>#DIV/0!</v>
          </cell>
          <cell r="CE49" t="e">
            <v>#DIV/0!</v>
          </cell>
        </row>
        <row r="50">
          <cell r="S50">
            <v>1.0968712583085607E-4</v>
          </cell>
          <cell r="T50">
            <v>1.0837951460547115E-4</v>
          </cell>
          <cell r="U50">
            <v>1.0641995670350384E-4</v>
          </cell>
          <cell r="V50">
            <v>9.7450440933127491E-5</v>
          </cell>
          <cell r="W50">
            <v>9.4136838639014307E-5</v>
          </cell>
          <cell r="X50">
            <v>1.9387641420282221E-4</v>
          </cell>
          <cell r="Y50">
            <v>1.9362276984385415E-4</v>
          </cell>
          <cell r="Z50">
            <v>1.9305991223284702E-4</v>
          </cell>
          <cell r="AA50">
            <v>1.8841343655532643E-4</v>
          </cell>
          <cell r="AB50">
            <v>1.8543681752998187E-4</v>
          </cell>
          <cell r="AH50">
            <v>8.641342021529717E-3</v>
          </cell>
          <cell r="AI50">
            <v>8.641342021529717E-3</v>
          </cell>
          <cell r="AJ50">
            <v>8.641342021529717E-3</v>
          </cell>
          <cell r="AK50">
            <v>8.641342021529717E-3</v>
          </cell>
          <cell r="AL50">
            <v>8.641342021529717E-3</v>
          </cell>
          <cell r="AQ50">
            <v>8.0666699775217129E-4</v>
          </cell>
          <cell r="AR50">
            <v>7.9766234044889681E-4</v>
          </cell>
          <cell r="AS50">
            <v>7.5142104535041022E-4</v>
          </cell>
          <cell r="AT50">
            <v>7.3461187348638492E-4</v>
          </cell>
          <cell r="AU50">
            <v>7.1024728944079816E-4</v>
          </cell>
          <cell r="AZ50">
            <v>5.6591749587237711E-4</v>
          </cell>
          <cell r="BA50">
            <v>5.6591749587237711E-4</v>
          </cell>
          <cell r="BB50">
            <v>5.6591749587237711E-4</v>
          </cell>
          <cell r="BC50">
            <v>9.9316424534876728E-4</v>
          </cell>
          <cell r="BD50">
            <v>9.9316424534876728E-4</v>
          </cell>
          <cell r="BI50">
            <v>0.17529200154290972</v>
          </cell>
          <cell r="BJ50">
            <v>0.17529200154290972</v>
          </cell>
          <cell r="BK50">
            <v>0.17529200154290972</v>
          </cell>
          <cell r="BL50">
            <v>0.17529200154290972</v>
          </cell>
          <cell r="BM50">
            <v>0.17529200154290972</v>
          </cell>
          <cell r="CA50" t="e">
            <v>#DIV/0!</v>
          </cell>
          <cell r="CB50" t="e">
            <v>#DIV/0!</v>
          </cell>
          <cell r="CC50" t="e">
            <v>#DIV/0!</v>
          </cell>
          <cell r="CD50" t="e">
            <v>#DIV/0!</v>
          </cell>
          <cell r="CE50" t="e">
            <v>#DIV/0!</v>
          </cell>
        </row>
        <row r="51">
          <cell r="S51">
            <v>1.035223245465966E-4</v>
          </cell>
          <cell r="T51">
            <v>1.0230131641468464E-4</v>
          </cell>
          <cell r="U51">
            <v>1.003925900034866E-4</v>
          </cell>
          <cell r="V51">
            <v>9.2197485253312018E-5</v>
          </cell>
          <cell r="W51">
            <v>8.9207261799110617E-5</v>
          </cell>
          <cell r="X51">
            <v>1.83731949403141E-4</v>
          </cell>
          <cell r="Y51">
            <v>1.8346925890798849E-4</v>
          </cell>
          <cell r="Z51">
            <v>1.8293041954276981E-4</v>
          </cell>
          <cell r="AA51">
            <v>1.7848458886997348E-4</v>
          </cell>
          <cell r="AB51">
            <v>1.756333866612665E-4</v>
          </cell>
          <cell r="AH51">
            <v>8.3859517686585509E-3</v>
          </cell>
          <cell r="AI51">
            <v>8.3859517686585509E-3</v>
          </cell>
          <cell r="AJ51">
            <v>8.3859517686585509E-3</v>
          </cell>
          <cell r="AK51">
            <v>8.3859517686585509E-3</v>
          </cell>
          <cell r="AL51">
            <v>8.3859517686585509E-3</v>
          </cell>
          <cell r="AQ51">
            <v>7.7408785556848186E-4</v>
          </cell>
          <cell r="AR51">
            <v>7.3613421836450112E-4</v>
          </cell>
          <cell r="AS51">
            <v>7.2921319727465683E-4</v>
          </cell>
          <cell r="AT51">
            <v>6.8925630975275802E-4</v>
          </cell>
          <cell r="AU51">
            <v>6.8925630975275758E-4</v>
          </cell>
          <cell r="AZ51">
            <v>5.1447045079307003E-4</v>
          </cell>
          <cell r="BA51">
            <v>5.1447045079307003E-4</v>
          </cell>
          <cell r="BB51">
            <v>5.1447045079307003E-4</v>
          </cell>
          <cell r="BC51">
            <v>9.0287658668069756E-4</v>
          </cell>
          <cell r="BD51">
            <v>9.0287658668069756E-4</v>
          </cell>
          <cell r="BI51">
            <v>0.16694476337419972</v>
          </cell>
          <cell r="BJ51">
            <v>0.16694476337419972</v>
          </cell>
          <cell r="BK51">
            <v>0.16694476337419972</v>
          </cell>
          <cell r="BL51">
            <v>0.16694476337419972</v>
          </cell>
          <cell r="BM51">
            <v>0.16694476337419972</v>
          </cell>
          <cell r="CA51" t="e">
            <v>#DIV/0!</v>
          </cell>
          <cell r="CB51" t="e">
            <v>#DIV/0!</v>
          </cell>
          <cell r="CC51" t="e">
            <v>#DIV/0!</v>
          </cell>
          <cell r="CD51" t="e">
            <v>#DIV/0!</v>
          </cell>
          <cell r="CE51" t="e">
            <v>#DIV/0!</v>
          </cell>
        </row>
        <row r="52">
          <cell r="S52">
            <v>9.7759326047298966E-5</v>
          </cell>
          <cell r="T52">
            <v>9.6569049535550117E-5</v>
          </cell>
          <cell r="U52">
            <v>9.5022095823963984E-5</v>
          </cell>
          <cell r="V52">
            <v>8.7246061779130041E-5</v>
          </cell>
          <cell r="W52">
            <v>8.4558108335576417E-5</v>
          </cell>
          <cell r="X52">
            <v>1.7417429433184866E-4</v>
          </cell>
          <cell r="Y52">
            <v>1.7391445676354282E-4</v>
          </cell>
          <cell r="Z52">
            <v>1.7340917780206956E-4</v>
          </cell>
          <cell r="AA52">
            <v>1.6913791467436387E-4</v>
          </cell>
          <cell r="AB52">
            <v>1.6640268938216275E-4</v>
          </cell>
          <cell r="AH52">
            <v>8.138109438447904E-3</v>
          </cell>
          <cell r="AI52">
            <v>8.138109438447904E-3</v>
          </cell>
          <cell r="AJ52">
            <v>8.138109438447904E-3</v>
          </cell>
          <cell r="AK52">
            <v>8.138109438447904E-3</v>
          </cell>
          <cell r="AL52">
            <v>8.138109438447904E-3</v>
          </cell>
          <cell r="AQ52">
            <v>7.2761129452303386E-4</v>
          </cell>
          <cell r="AR52">
            <v>7.0766169029981758E-4</v>
          </cell>
          <cell r="AS52">
            <v>6.6914041226086448E-4</v>
          </cell>
          <cell r="AT52">
            <v>6.6888570726969174E-4</v>
          </cell>
          <cell r="AU52">
            <v>6.6888570726969065E-4</v>
          </cell>
          <cell r="AZ52">
            <v>4.6770040981188179E-4</v>
          </cell>
          <cell r="BA52">
            <v>4.6770040981188179E-4</v>
          </cell>
          <cell r="BB52">
            <v>4.6770040981188179E-4</v>
          </cell>
          <cell r="BC52">
            <v>8.2079689698245223E-4</v>
          </cell>
          <cell r="BD52">
            <v>8.2079689698245223E-4</v>
          </cell>
          <cell r="BI52">
            <v>0.15899501273733307</v>
          </cell>
          <cell r="BJ52">
            <v>0.15899501273733307</v>
          </cell>
          <cell r="BK52">
            <v>0.15899501273733307</v>
          </cell>
          <cell r="BL52">
            <v>0.15899501273733307</v>
          </cell>
          <cell r="BM52">
            <v>0.15899501273733307</v>
          </cell>
          <cell r="CA52" t="e">
            <v>#DIV/0!</v>
          </cell>
          <cell r="CB52" t="e">
            <v>#DIV/0!</v>
          </cell>
          <cell r="CC52" t="e">
            <v>#DIV/0!</v>
          </cell>
          <cell r="CD52" t="e">
            <v>#DIV/0!</v>
          </cell>
          <cell r="CE52" t="e">
            <v>#DIV/0!</v>
          </cell>
        </row>
        <row r="53">
          <cell r="S53">
            <v>9.2320258628845523E-5</v>
          </cell>
          <cell r="T53">
            <v>9.1308810195807783E-5</v>
          </cell>
          <cell r="U53">
            <v>8.9959516462589082E-5</v>
          </cell>
          <cell r="V53">
            <v>8.2570737029716477E-5</v>
          </cell>
          <cell r="W53">
            <v>8.0158010593883762E-5</v>
          </cell>
          <cell r="X53">
            <v>1.6516435906405606E-4</v>
          </cell>
          <cell r="Y53">
            <v>1.6492115661317526E-4</v>
          </cell>
          <cell r="Z53">
            <v>1.6444308779450594E-4</v>
          </cell>
          <cell r="AA53">
            <v>1.6033254144634049E-4</v>
          </cell>
          <cell r="AB53">
            <v>1.5769156777703993E-4</v>
          </cell>
          <cell r="AH53">
            <v>7.8975919560707267E-3</v>
          </cell>
          <cell r="AI53">
            <v>7.8975919560707267E-3</v>
          </cell>
          <cell r="AJ53">
            <v>7.8975919560707267E-3</v>
          </cell>
          <cell r="AK53">
            <v>7.8975919560707267E-3</v>
          </cell>
          <cell r="AL53">
            <v>7.8975919560707267E-3</v>
          </cell>
          <cell r="AQ53">
            <v>6.8674712661484592E-4</v>
          </cell>
          <cell r="AR53">
            <v>6.7229812889136274E-4</v>
          </cell>
          <cell r="AS53">
            <v>6.4911714707430591E-4</v>
          </cell>
          <cell r="AT53">
            <v>6.4911714707430754E-4</v>
          </cell>
          <cell r="AU53">
            <v>6.4545832660560347E-4</v>
          </cell>
          <cell r="AZ53">
            <v>4.2518219073807434E-4</v>
          </cell>
          <cell r="BA53">
            <v>4.2518219073807434E-4</v>
          </cell>
          <cell r="BB53">
            <v>4.2518219073807434E-4</v>
          </cell>
          <cell r="BC53">
            <v>7.4617899725677467E-4</v>
          </cell>
          <cell r="BD53">
            <v>7.4617899725677467E-4</v>
          </cell>
          <cell r="BI53">
            <v>0.15142382165460291</v>
          </cell>
          <cell r="BJ53">
            <v>0.15142382165460291</v>
          </cell>
          <cell r="BK53">
            <v>0.15142382165460291</v>
          </cell>
          <cell r="BL53">
            <v>0.15142382165460291</v>
          </cell>
          <cell r="BM53">
            <v>0.15142382165460291</v>
          </cell>
          <cell r="CA53" t="e">
            <v>#DIV/0!</v>
          </cell>
          <cell r="CB53" t="e">
            <v>#DIV/0!</v>
          </cell>
          <cell r="CC53" t="e">
            <v>#DIV/0!</v>
          </cell>
          <cell r="CD53" t="e">
            <v>#DIV/0!</v>
          </cell>
          <cell r="CE53" t="e">
            <v>#DIV/0!</v>
          </cell>
        </row>
        <row r="54">
          <cell r="S54">
            <v>8.7188157165730035E-5</v>
          </cell>
          <cell r="T54">
            <v>8.6397773996308919E-5</v>
          </cell>
          <cell r="U54">
            <v>8.5116677567687033E-5</v>
          </cell>
          <cell r="V54">
            <v>7.804170117733403E-5</v>
          </cell>
          <cell r="W54">
            <v>7.5799915457408186E-5</v>
          </cell>
          <cell r="X54">
            <v>1.5667464904832668E-4</v>
          </cell>
          <cell r="Y54">
            <v>1.5644072588169773E-4</v>
          </cell>
          <cell r="Z54">
            <v>1.5598744262433972E-4</v>
          </cell>
          <cell r="AA54">
            <v>1.5200042990885367E-4</v>
          </cell>
          <cell r="AB54">
            <v>1.4924133717778099E-4</v>
          </cell>
          <cell r="AH54">
            <v>7.6641828395574603E-3</v>
          </cell>
          <cell r="AI54">
            <v>7.6641828395574603E-3</v>
          </cell>
          <cell r="AJ54">
            <v>7.6641828395574603E-3</v>
          </cell>
          <cell r="AK54">
            <v>7.6641828395574603E-3</v>
          </cell>
          <cell r="AL54">
            <v>7.6641828395574603E-3</v>
          </cell>
          <cell r="AQ54">
            <v>6.5679487698125621E-4</v>
          </cell>
          <cell r="AR54">
            <v>6.2993283612801083E-4</v>
          </cell>
          <cell r="AS54">
            <v>6.2993283612801051E-4</v>
          </cell>
          <cell r="AT54">
            <v>6.2993283612801018E-4</v>
          </cell>
          <cell r="AU54">
            <v>5.9720905243304838E-4</v>
          </cell>
          <cell r="AZ54">
            <v>3.8652926430734027E-4</v>
          </cell>
          <cell r="BA54">
            <v>3.8652926430734027E-4</v>
          </cell>
          <cell r="BB54">
            <v>3.8652926430734027E-4</v>
          </cell>
          <cell r="BC54">
            <v>6.7834454296070417E-4</v>
          </cell>
          <cell r="BD54">
            <v>6.7834454296070417E-4</v>
          </cell>
          <cell r="BI54">
            <v>0.1442131634805742</v>
          </cell>
          <cell r="BJ54">
            <v>0.1442131634805742</v>
          </cell>
          <cell r="BK54">
            <v>0.1442131634805742</v>
          </cell>
          <cell r="BL54">
            <v>0.1442131634805742</v>
          </cell>
          <cell r="BM54">
            <v>0.1442131634805742</v>
          </cell>
          <cell r="CA54" t="e">
            <v>#DIV/0!</v>
          </cell>
          <cell r="CB54" t="e">
            <v>#DIV/0!</v>
          </cell>
          <cell r="CC54" t="e">
            <v>#DIV/0!</v>
          </cell>
          <cell r="CD54" t="e">
            <v>#DIV/0!</v>
          </cell>
          <cell r="CE54" t="e">
            <v>#DIV/0!</v>
          </cell>
        </row>
        <row r="55">
          <cell r="S55">
            <v>8.2281265064268773E-5</v>
          </cell>
          <cell r="T55">
            <v>8.1562231105647602E-5</v>
          </cell>
          <cell r="U55">
            <v>8.0336918210464041E-5</v>
          </cell>
          <cell r="V55">
            <v>7.3586560130529385E-5</v>
          </cell>
          <cell r="W55">
            <v>7.1307536247919022E-5</v>
          </cell>
          <cell r="X55">
            <v>1.4862935293807349E-4</v>
          </cell>
          <cell r="Y55">
            <v>1.4842753782905399E-4</v>
          </cell>
          <cell r="Z55">
            <v>1.4797423732522486E-4</v>
          </cell>
          <cell r="AA55">
            <v>1.4384301809201833E-4</v>
          </cell>
          <cell r="AB55">
            <v>1.4078803942212261E-4</v>
          </cell>
          <cell r="AH55">
            <v>7.4376720049476614E-3</v>
          </cell>
          <cell r="AI55">
            <v>7.4376720049476614E-3</v>
          </cell>
          <cell r="AJ55">
            <v>7.4376720049476614E-3</v>
          </cell>
          <cell r="AK55">
            <v>7.4376720049476614E-3</v>
          </cell>
          <cell r="AL55">
            <v>7.4376720049476614E-3</v>
          </cell>
          <cell r="AQ55">
            <v>6.1131550725597255E-4</v>
          </cell>
          <cell r="AR55">
            <v>6.1131550725597266E-4</v>
          </cell>
          <cell r="AS55">
            <v>5.9909654454088441E-4</v>
          </cell>
          <cell r="AT55">
            <v>5.8053825472886248E-4</v>
          </cell>
          <cell r="AU55">
            <v>5.6460331827586552E-4</v>
          </cell>
          <cell r="AZ55">
            <v>3.5139024027940025E-4</v>
          </cell>
          <cell r="BA55">
            <v>3.5139024027940025E-4</v>
          </cell>
          <cell r="BB55">
            <v>3.5139024027940025E-4</v>
          </cell>
          <cell r="BC55">
            <v>6.1667685723700385E-4</v>
          </cell>
          <cell r="BD55">
            <v>6.1667685723700385E-4</v>
          </cell>
          <cell r="BI55">
            <v>0.13734586998149922</v>
          </cell>
          <cell r="BJ55">
            <v>0.13734586998149922</v>
          </cell>
          <cell r="BK55">
            <v>0.13734586998149922</v>
          </cell>
          <cell r="BL55">
            <v>0.13734586998149922</v>
          </cell>
          <cell r="BM55">
            <v>0.13734586998149922</v>
          </cell>
          <cell r="CA55" t="e">
            <v>#DIV/0!</v>
          </cell>
          <cell r="CB55" t="e">
            <v>#DIV/0!</v>
          </cell>
          <cell r="CC55" t="e">
            <v>#DIV/0!</v>
          </cell>
          <cell r="CD55" t="e">
            <v>#DIV/0!</v>
          </cell>
          <cell r="CE55" t="e">
            <v>#DIV/0!</v>
          </cell>
        </row>
        <row r="56">
          <cell r="S56">
            <v>7.7589630607790723E-5</v>
          </cell>
          <cell r="T56">
            <v>7.6785056962923247E-5</v>
          </cell>
          <cell r="U56">
            <v>7.5623452530930687E-5</v>
          </cell>
          <cell r="V56">
            <v>6.9346718377688929E-5</v>
          </cell>
          <cell r="W56">
            <v>6.7337966257840107E-5</v>
          </cell>
          <cell r="X56">
            <v>1.4102102724011784E-4</v>
          </cell>
          <cell r="Y56">
            <v>1.4080630077583232E-4</v>
          </cell>
          <cell r="Z56">
            <v>1.4037363680117828E-4</v>
          </cell>
          <cell r="AA56">
            <v>1.3597698169959179E-4</v>
          </cell>
          <cell r="AB56">
            <v>1.3245699838321094E-4</v>
          </cell>
          <cell r="AH56">
            <v>7.2178555772002351E-3</v>
          </cell>
          <cell r="AI56">
            <v>7.2178555772002351E-3</v>
          </cell>
          <cell r="AJ56">
            <v>7.2178555772002351E-3</v>
          </cell>
          <cell r="AK56">
            <v>7.2178555772002351E-3</v>
          </cell>
          <cell r="AL56">
            <v>7.2178555772002351E-3</v>
          </cell>
          <cell r="AQ56">
            <v>5.9324840360549798E-4</v>
          </cell>
          <cell r="AR56">
            <v>5.7070923497624135E-4</v>
          </cell>
          <cell r="AS56">
            <v>5.6243030471690074E-4</v>
          </cell>
          <cell r="AT56">
            <v>5.4188158641927428E-4</v>
          </cell>
          <cell r="AU56">
            <v>5.1855154603952373E-4</v>
          </cell>
          <cell r="AZ56">
            <v>3.1944567298127288E-4</v>
          </cell>
          <cell r="BA56">
            <v>3.1944567298127288E-4</v>
          </cell>
          <cell r="BB56">
            <v>3.1944567298127288E-4</v>
          </cell>
          <cell r="BC56">
            <v>5.6061532476091248E-4</v>
          </cell>
          <cell r="BD56">
            <v>5.6061532476091248E-4</v>
          </cell>
          <cell r="BI56">
            <v>0.13080559045857068</v>
          </cell>
          <cell r="BJ56">
            <v>0.13080559045857068</v>
          </cell>
          <cell r="BK56">
            <v>0.13080559045857068</v>
          </cell>
          <cell r="BL56">
            <v>0.13080559045857068</v>
          </cell>
          <cell r="BM56">
            <v>0.13080559045857068</v>
          </cell>
          <cell r="CA56" t="e">
            <v>#DIV/0!</v>
          </cell>
          <cell r="CB56" t="e">
            <v>#DIV/0!</v>
          </cell>
          <cell r="CC56" t="e">
            <v>#DIV/0!</v>
          </cell>
          <cell r="CD56" t="e">
            <v>#DIV/0!</v>
          </cell>
          <cell r="CE56" t="e">
            <v>#DIV/0!</v>
          </cell>
        </row>
        <row r="57">
          <cell r="S57">
            <v>7.3160095370667266E-5</v>
          </cell>
          <cell r="T57">
            <v>7.2514564308399614E-5</v>
          </cell>
          <cell r="U57">
            <v>7.116906855648736E-5</v>
          </cell>
          <cell r="V57">
            <v>6.5533990887747231E-5</v>
          </cell>
          <cell r="W57">
            <v>6.3782446005581961E-5</v>
          </cell>
          <cell r="X57">
            <v>1.3381577888890836E-4</v>
          </cell>
          <cell r="Y57">
            <v>1.3364097057692902E-4</v>
          </cell>
          <cell r="Z57">
            <v>1.331725280600592E-4</v>
          </cell>
          <cell r="AA57">
            <v>1.2872029751482143E-4</v>
          </cell>
          <cell r="AB57">
            <v>1.2488910755119895E-4</v>
          </cell>
          <cell r="AH57">
            <v>7.0045357066921572E-3</v>
          </cell>
          <cell r="AI57">
            <v>7.0045357066921572E-3</v>
          </cell>
          <cell r="AJ57">
            <v>7.0045357066921572E-3</v>
          </cell>
          <cell r="AK57">
            <v>7.0045357066921572E-3</v>
          </cell>
          <cell r="AL57">
            <v>7.0045357066921572E-3</v>
          </cell>
          <cell r="AQ57">
            <v>5.4651068281234751E-4</v>
          </cell>
          <cell r="AR57">
            <v>5.4580797714484316E-4</v>
          </cell>
          <cell r="AS57">
            <v>5.2244954987736665E-4</v>
          </cell>
          <cell r="AT57">
            <v>5.0206960219213509E-4</v>
          </cell>
          <cell r="AU57">
            <v>4.8602944617919544E-4</v>
          </cell>
          <cell r="AZ57">
            <v>2.9040515725570264E-4</v>
          </cell>
          <cell r="BA57">
            <v>2.9040515725570264E-4</v>
          </cell>
          <cell r="BB57">
            <v>2.9040515725570264E-4</v>
          </cell>
          <cell r="BC57">
            <v>5.0965029523719315E-4</v>
          </cell>
          <cell r="BD57">
            <v>5.0965029523719315E-4</v>
          </cell>
          <cell r="BI57">
            <v>0.12457675281768636</v>
          </cell>
          <cell r="BJ57">
            <v>0.12457675281768636</v>
          </cell>
          <cell r="BK57">
            <v>0.12457675281768636</v>
          </cell>
          <cell r="BL57">
            <v>0.12457675281768636</v>
          </cell>
          <cell r="BM57">
            <v>0.12457675281768636</v>
          </cell>
          <cell r="CA57" t="e">
            <v>#DIV/0!</v>
          </cell>
          <cell r="CB57" t="e">
            <v>#DIV/0!</v>
          </cell>
          <cell r="CC57" t="e">
            <v>#DIV/0!</v>
          </cell>
          <cell r="CD57" t="e">
            <v>#DIV/0!</v>
          </cell>
          <cell r="CE57" t="e">
            <v>#DIV/0!</v>
          </cell>
        </row>
        <row r="58">
          <cell r="S58">
            <v>6.9057733103890893E-5</v>
          </cell>
          <cell r="T58">
            <v>6.8263841412729496E-5</v>
          </cell>
          <cell r="U58">
            <v>6.6941163510500341E-5</v>
          </cell>
          <cell r="V58">
            <v>6.2002313482736494E-5</v>
          </cell>
          <cell r="W58">
            <v>6.0637328342487553E-5</v>
          </cell>
          <cell r="X58">
            <v>1.2701756349277465E-4</v>
          </cell>
          <cell r="Y58">
            <v>1.2680983194726013E-4</v>
          </cell>
          <cell r="Z58">
            <v>1.2634819435752154E-4</v>
          </cell>
          <cell r="AA58">
            <v>1.2193294658103594E-4</v>
          </cell>
          <cell r="AB58">
            <v>1.1816653646002586E-4</v>
          </cell>
          <cell r="AH58">
            <v>6.7975203911404495E-3</v>
          </cell>
          <cell r="AI58">
            <v>6.7975203911404495E-3</v>
          </cell>
          <cell r="AJ58">
            <v>6.7975203911404495E-3</v>
          </cell>
          <cell r="AK58">
            <v>6.7975203911404495E-3</v>
          </cell>
          <cell r="AL58">
            <v>6.7975203911404495E-3</v>
          </cell>
          <cell r="AQ58">
            <v>5.296769135953596E-4</v>
          </cell>
          <cell r="AR58">
            <v>5.0852228378599077E-4</v>
          </cell>
          <cell r="AS58">
            <v>4.9349121425445238E-4</v>
          </cell>
          <cell r="AT58">
            <v>4.7701897481687301E-4</v>
          </cell>
          <cell r="AU58">
            <v>4.5316802607603027E-4</v>
          </cell>
          <cell r="AZ58">
            <v>2.6400468841427505E-4</v>
          </cell>
          <cell r="BA58">
            <v>2.6400468841427505E-4</v>
          </cell>
          <cell r="BB58">
            <v>2.6400468841427505E-4</v>
          </cell>
          <cell r="BC58">
            <v>4.6331845021563002E-4</v>
          </cell>
          <cell r="BD58">
            <v>4.6331845021563002E-4</v>
          </cell>
          <cell r="BI58">
            <v>0.11864452649303461</v>
          </cell>
          <cell r="BJ58">
            <v>0.11864452649303461</v>
          </cell>
          <cell r="BK58">
            <v>0.11864452649303461</v>
          </cell>
          <cell r="BL58">
            <v>0.11864452649303461</v>
          </cell>
          <cell r="BM58">
            <v>0.11864452649303461</v>
          </cell>
          <cell r="CA58" t="e">
            <v>#DIV/0!</v>
          </cell>
          <cell r="CB58" t="e">
            <v>#DIV/0!</v>
          </cell>
          <cell r="CC58" t="e">
            <v>#DIV/0!</v>
          </cell>
          <cell r="CD58" t="e">
            <v>#DIV/0!</v>
          </cell>
          <cell r="CE58" t="e">
            <v>#DIV/0!</v>
          </cell>
        </row>
        <row r="59">
          <cell r="S59">
            <v>6.5185059225063269E-5</v>
          </cell>
          <cell r="T59">
            <v>6.4319014297270052E-5</v>
          </cell>
          <cell r="U59">
            <v>6.3179994683113056E-5</v>
          </cell>
          <cell r="V59">
            <v>5.885347597640897E-5</v>
          </cell>
          <cell r="W59">
            <v>5.7675937766418906E-5</v>
          </cell>
          <cell r="X59">
            <v>1.2058742526982741E-4</v>
          </cell>
          <cell r="Y59">
            <v>1.2036183025681261E-4</v>
          </cell>
          <cell r="Z59">
            <v>1.1992082048571079E-4</v>
          </cell>
          <cell r="AA59">
            <v>1.1572947498568597E-4</v>
          </cell>
          <cell r="AB59">
            <v>1.1195035757812549E-4</v>
          </cell>
          <cell r="AH59">
            <v>6.5966233027871567E-3</v>
          </cell>
          <cell r="AI59">
            <v>6.5966233027871567E-3</v>
          </cell>
          <cell r="AJ59">
            <v>6.5966233027871567E-3</v>
          </cell>
          <cell r="AK59">
            <v>6.5966233027871567E-3</v>
          </cell>
          <cell r="AL59">
            <v>6.5966233027871567E-3</v>
          </cell>
          <cell r="AQ59">
            <v>4.9577479683626173E-4</v>
          </cell>
          <cell r="AR59">
            <v>4.8828978421671277E-4</v>
          </cell>
          <cell r="AS59">
            <v>4.6292093352892329E-4</v>
          </cell>
          <cell r="AT59">
            <v>4.4321806284369384E-4</v>
          </cell>
          <cell r="AU59">
            <v>4.3977488685247712E-4</v>
          </cell>
          <cell r="AZ59">
            <v>2.4000426219479551E-4</v>
          </cell>
          <cell r="BA59">
            <v>2.4000426219479551E-4</v>
          </cell>
          <cell r="BB59">
            <v>2.4000426219479551E-4</v>
          </cell>
          <cell r="BC59">
            <v>4.2119859110511821E-4</v>
          </cell>
          <cell r="BD59">
            <v>4.2119859110511821E-4</v>
          </cell>
          <cell r="BI59">
            <v>0.11299478713622345</v>
          </cell>
          <cell r="BJ59">
            <v>0.11299478713622345</v>
          </cell>
          <cell r="BK59">
            <v>0.11299478713622345</v>
          </cell>
          <cell r="BL59">
            <v>0.11299478713622345</v>
          </cell>
          <cell r="BM59">
            <v>0.11299478713622345</v>
          </cell>
          <cell r="CA59" t="e">
            <v>#DIV/0!</v>
          </cell>
          <cell r="CB59" t="e">
            <v>#DIV/0!</v>
          </cell>
          <cell r="CC59" t="e">
            <v>#DIV/0!</v>
          </cell>
          <cell r="CD59" t="e">
            <v>#DIV/0!</v>
          </cell>
          <cell r="CE59" t="e">
            <v>#DIV/0!</v>
          </cell>
        </row>
        <row r="60">
          <cell r="S60">
            <v>6.153737070677313E-5</v>
          </cell>
          <cell r="T60">
            <v>6.074727980915365E-5</v>
          </cell>
          <cell r="U60">
            <v>5.9727750067437047E-5</v>
          </cell>
          <cell r="V60">
            <v>5.5901839340640108E-5</v>
          </cell>
          <cell r="W60">
            <v>5.4877299108533504E-5</v>
          </cell>
          <cell r="X60">
            <v>1.1451602886245046E-4</v>
          </cell>
          <cell r="Y60">
            <v>1.1429081652587272E-4</v>
          </cell>
          <cell r="Z60">
            <v>1.1387700360741804E-4</v>
          </cell>
          <cell r="AA60">
            <v>1.0989982393427557E-4</v>
          </cell>
          <cell r="AB60">
            <v>1.0611807501045277E-4</v>
          </cell>
          <cell r="AH60">
            <v>6.4016636206918037E-3</v>
          </cell>
          <cell r="AI60">
            <v>6.4016636206918037E-3</v>
          </cell>
          <cell r="AJ60">
            <v>6.4016636206918037E-3</v>
          </cell>
          <cell r="AK60">
            <v>6.4016636206918037E-3</v>
          </cell>
          <cell r="AL60">
            <v>6.4016636206918037E-3</v>
          </cell>
          <cell r="AQ60">
            <v>4.7419730523642938E-4</v>
          </cell>
          <cell r="AR60">
            <v>4.4923955232924933E-4</v>
          </cell>
          <cell r="AS60">
            <v>4.4805207006608602E-4</v>
          </cell>
          <cell r="AT60">
            <v>4.267775747127863E-4</v>
          </cell>
          <cell r="AU60">
            <v>4.2677757471278754E-4</v>
          </cell>
          <cell r="AZ60">
            <v>2.1818569290435954E-4</v>
          </cell>
          <cell r="BA60">
            <v>2.1818569290435954E-4</v>
          </cell>
          <cell r="BB60">
            <v>2.1818569290435954E-4</v>
          </cell>
          <cell r="BC60">
            <v>3.8290781009556196E-4</v>
          </cell>
          <cell r="BD60">
            <v>3.8290781009556196E-4</v>
          </cell>
          <cell r="BI60">
            <v>0.10761408298687947</v>
          </cell>
          <cell r="BJ60">
            <v>0.10761408298687947</v>
          </cell>
          <cell r="BK60">
            <v>0.10761408298687947</v>
          </cell>
          <cell r="BL60">
            <v>0.10761408298687947</v>
          </cell>
          <cell r="BM60">
            <v>0.10761408298687947</v>
          </cell>
          <cell r="CA60" t="e">
            <v>#DIV/0!</v>
          </cell>
          <cell r="CB60" t="e">
            <v>#DIV/0!</v>
          </cell>
          <cell r="CC60" t="e">
            <v>#DIV/0!</v>
          </cell>
          <cell r="CD60" t="e">
            <v>#DIV/0!</v>
          </cell>
          <cell r="CE60" t="e">
            <v>#DIV/0!</v>
          </cell>
        </row>
        <row r="61">
          <cell r="S61">
            <v>5.8081840674785368E-5</v>
          </cell>
          <cell r="T61">
            <v>5.737485801811444E-5</v>
          </cell>
          <cell r="U61">
            <v>5.6590195781901581E-5</v>
          </cell>
          <cell r="V61">
            <v>5.3150218564469221E-5</v>
          </cell>
          <cell r="W61">
            <v>5.2203942506598627E-5</v>
          </cell>
          <cell r="X61">
            <v>1.0876846153718274E-4</v>
          </cell>
          <cell r="Y61">
            <v>1.085458339738752E-4</v>
          </cell>
          <cell r="Z61">
            <v>1.0819672486595668E-4</v>
          </cell>
          <cell r="AA61">
            <v>1.0437046103315187E-4</v>
          </cell>
          <cell r="AB61">
            <v>1.0040313342647989E-4</v>
          </cell>
          <cell r="AH61">
            <v>6.2124658679803329E-3</v>
          </cell>
          <cell r="AI61">
            <v>6.2124658679803329E-3</v>
          </cell>
          <cell r="AJ61">
            <v>6.2124658679803329E-3</v>
          </cell>
          <cell r="AK61">
            <v>6.2124658679803329E-3</v>
          </cell>
          <cell r="AL61">
            <v>6.2124658679803329E-3</v>
          </cell>
          <cell r="AQ61">
            <v>4.4927000665588828E-4</v>
          </cell>
          <cell r="AR61">
            <v>4.3596251705125091E-4</v>
          </cell>
          <cell r="AS61">
            <v>4.1416439119868907E-4</v>
          </cell>
          <cell r="AT61">
            <v>4.1416439119868934E-4</v>
          </cell>
          <cell r="AU61">
            <v>4.007517321860179E-4</v>
          </cell>
          <cell r="AZ61">
            <v>1.9835062991305411E-4</v>
          </cell>
          <cell r="BA61">
            <v>1.9835062991305411E-4</v>
          </cell>
          <cell r="BB61">
            <v>1.9835062991305411E-4</v>
          </cell>
          <cell r="BC61">
            <v>3.4809800917778356E-4</v>
          </cell>
          <cell r="BD61">
            <v>3.4809800917778356E-4</v>
          </cell>
          <cell r="BI61">
            <v>0.10248960284464712</v>
          </cell>
          <cell r="BJ61">
            <v>0.10248960284464712</v>
          </cell>
          <cell r="BK61">
            <v>0.10248960284464712</v>
          </cell>
          <cell r="BL61">
            <v>0.10248960284464712</v>
          </cell>
          <cell r="BM61">
            <v>0.10248960284464712</v>
          </cell>
          <cell r="CA61" t="e">
            <v>#DIV/0!</v>
          </cell>
          <cell r="CB61" t="e">
            <v>#DIV/0!</v>
          </cell>
          <cell r="CC61" t="e">
            <v>#DIV/0!</v>
          </cell>
          <cell r="CD61" t="e">
            <v>#DIV/0!</v>
          </cell>
          <cell r="CE61" t="e">
            <v>#DIV/0!</v>
          </cell>
        </row>
        <row r="62">
          <cell r="S62">
            <v>5.4819244884804368E-5</v>
          </cell>
          <cell r="T62">
            <v>5.4250780096760251E-5</v>
          </cell>
          <cell r="U62">
            <v>5.3594132740371716E-5</v>
          </cell>
          <cell r="V62">
            <v>5.055586273172326E-5</v>
          </cell>
          <cell r="W62">
            <v>4.9645267982234991E-5</v>
          </cell>
          <cell r="X62">
            <v>1.0332027718960095E-4</v>
          </cell>
          <cell r="Y62">
            <v>1.0312226442231645E-4</v>
          </cell>
          <cell r="Z62">
            <v>1.0281504968286347E-4</v>
          </cell>
          <cell r="AA62">
            <v>9.9126688195485963E-5</v>
          </cell>
          <cell r="AB62">
            <v>9.4769570358196775E-5</v>
          </cell>
          <cell r="AH62">
            <v>6.0288597539040695E-3</v>
          </cell>
          <cell r="AI62">
            <v>6.0288597539040695E-3</v>
          </cell>
          <cell r="AJ62">
            <v>6.0288597539040695E-3</v>
          </cell>
          <cell r="AK62">
            <v>6.0288597539040695E-3</v>
          </cell>
          <cell r="AL62">
            <v>6.0288597539040695E-3</v>
          </cell>
          <cell r="AQ62">
            <v>4.2307787746695207E-4</v>
          </cell>
          <cell r="AR62">
            <v>4.1457846688657262E-4</v>
          </cell>
          <cell r="AS62">
            <v>4.0192398359360462E-4</v>
          </cell>
          <cell r="AT62">
            <v>4.0192398359360391E-4</v>
          </cell>
          <cell r="AU62">
            <v>3.8278474627962322E-4</v>
          </cell>
          <cell r="AZ62">
            <v>1.8031875446641282E-4</v>
          </cell>
          <cell r="BA62">
            <v>1.8031875446641282E-4</v>
          </cell>
          <cell r="BB62">
            <v>1.8031875446641282E-4</v>
          </cell>
          <cell r="BC62">
            <v>3.1645273561616688E-4</v>
          </cell>
          <cell r="BD62">
            <v>3.1645273561616688E-4</v>
          </cell>
          <cell r="BI62">
            <v>9.7609145566330574E-2</v>
          </cell>
          <cell r="BJ62">
            <v>9.7609145566330574E-2</v>
          </cell>
          <cell r="BK62">
            <v>9.7609145566330574E-2</v>
          </cell>
          <cell r="BL62">
            <v>9.7609145566330574E-2</v>
          </cell>
          <cell r="BM62">
            <v>9.7609145566330574E-2</v>
          </cell>
          <cell r="CA62" t="e">
            <v>#DIV/0!</v>
          </cell>
          <cell r="CB62" t="e">
            <v>#DIV/0!</v>
          </cell>
          <cell r="CC62" t="e">
            <v>#DIV/0!</v>
          </cell>
          <cell r="CD62" t="e">
            <v>#DIV/0!</v>
          </cell>
          <cell r="CE62" t="e">
            <v>#DIV/0!</v>
          </cell>
        </row>
        <row r="63">
          <cell r="S63">
            <v>5.1767423848665862E-5</v>
          </cell>
          <cell r="T63">
            <v>5.1352173966771048E-5</v>
          </cell>
          <cell r="U63">
            <v>5.0729503413046893E-5</v>
          </cell>
          <cell r="V63">
            <v>4.8021781394121425E-5</v>
          </cell>
          <cell r="W63">
            <v>4.720758069076574E-5</v>
          </cell>
          <cell r="X63">
            <v>9.8164538631558522E-5</v>
          </cell>
          <cell r="Y63">
            <v>9.8002168435331141E-5</v>
          </cell>
          <cell r="Z63">
            <v>9.771364747760047E-5</v>
          </cell>
          <cell r="AA63">
            <v>9.39231220555734E-5</v>
          </cell>
          <cell r="AB63">
            <v>8.9362167474932091E-5</v>
          </cell>
          <cell r="AH63">
            <v>5.8506800205665628E-3</v>
          </cell>
          <cell r="AI63">
            <v>5.8506800205665628E-3</v>
          </cell>
          <cell r="AJ63">
            <v>5.8506800205665628E-3</v>
          </cell>
          <cell r="AK63">
            <v>5.8506800205665628E-3</v>
          </cell>
          <cell r="AL63">
            <v>5.8506800205665628E-3</v>
          </cell>
          <cell r="AQ63">
            <v>4.071036923125355E-4</v>
          </cell>
          <cell r="AR63">
            <v>3.9004533470443745E-4</v>
          </cell>
          <cell r="AS63">
            <v>3.9004533470443707E-4</v>
          </cell>
          <cell r="AT63">
            <v>3.7321428481429522E-4</v>
          </cell>
          <cell r="AU63">
            <v>3.6154508494865196E-4</v>
          </cell>
          <cell r="AZ63">
            <v>1.6392614042401164E-4</v>
          </cell>
          <cell r="BA63">
            <v>1.6392614042401164E-4</v>
          </cell>
          <cell r="BB63">
            <v>1.6392614042401164E-4</v>
          </cell>
          <cell r="BC63">
            <v>2.8768430510560627E-4</v>
          </cell>
          <cell r="BD63">
            <v>2.8768430510560627E-4</v>
          </cell>
          <cell r="BI63">
            <v>9.296109101555293E-2</v>
          </cell>
          <cell r="BJ63">
            <v>9.296109101555293E-2</v>
          </cell>
          <cell r="BK63">
            <v>9.296109101555293E-2</v>
          </cell>
          <cell r="BL63">
            <v>9.296109101555293E-2</v>
          </cell>
          <cell r="BM63">
            <v>9.296109101555293E-2</v>
          </cell>
          <cell r="CA63" t="e">
            <v>#DIV/0!</v>
          </cell>
          <cell r="CB63" t="e">
            <v>#DIV/0!</v>
          </cell>
          <cell r="CC63" t="e">
            <v>#DIV/0!</v>
          </cell>
          <cell r="CD63" t="e">
            <v>#DIV/0!</v>
          </cell>
          <cell r="CE63" t="e">
            <v>#DIV/0!</v>
          </cell>
        </row>
        <row r="64">
          <cell r="S64">
            <v>4.8880275774689488E-5</v>
          </cell>
          <cell r="T64">
            <v>4.8467659509979264E-5</v>
          </cell>
          <cell r="U64">
            <v>4.7822755342152321E-5</v>
          </cell>
          <cell r="V64">
            <v>4.5529569678021923E-5</v>
          </cell>
          <cell r="W64">
            <v>4.4858352107092889E-5</v>
          </cell>
          <cell r="X64">
            <v>9.3265689093503039E-5</v>
          </cell>
          <cell r="Y64">
            <v>9.3104892032661233E-5</v>
          </cell>
          <cell r="Z64">
            <v>9.2740259950537031E-5</v>
          </cell>
          <cell r="AA64">
            <v>8.8395590028179347E-5</v>
          </cell>
          <cell r="AB64">
            <v>8.3938619437503862E-5</v>
          </cell>
          <cell r="AH64">
            <v>5.6777662941803137E-3</v>
          </cell>
          <cell r="AI64">
            <v>5.6777662941803137E-3</v>
          </cell>
          <cell r="AJ64">
            <v>5.6777662941803137E-3</v>
          </cell>
          <cell r="AK64">
            <v>5.6777662941803137E-3</v>
          </cell>
          <cell r="AL64">
            <v>5.6777662941803137E-3</v>
          </cell>
          <cell r="AQ64">
            <v>3.7851775294535443E-4</v>
          </cell>
          <cell r="AR64">
            <v>3.7851775294535438E-4</v>
          </cell>
          <cell r="AS64">
            <v>3.6498672100696776E-4</v>
          </cell>
          <cell r="AT64">
            <v>3.5498892929892192E-4</v>
          </cell>
          <cell r="AU64">
            <v>3.4215248910341426E-4</v>
          </cell>
          <cell r="AZ64">
            <v>1.4902376402182877E-4</v>
          </cell>
          <cell r="BA64">
            <v>1.4902376402182877E-4</v>
          </cell>
          <cell r="BB64">
            <v>1.4902376402182877E-4</v>
          </cell>
          <cell r="BC64">
            <v>2.6153118645964201E-4</v>
          </cell>
          <cell r="BD64">
            <v>2.6153118645964201E-4</v>
          </cell>
          <cell r="BI64">
            <v>8.8534372395764685E-2</v>
          </cell>
          <cell r="BJ64">
            <v>8.8534372395764685E-2</v>
          </cell>
          <cell r="BK64">
            <v>8.8534372395764685E-2</v>
          </cell>
          <cell r="BL64">
            <v>8.8534372395764685E-2</v>
          </cell>
          <cell r="BM64">
            <v>8.8534372395764685E-2</v>
          </cell>
          <cell r="CA64" t="e">
            <v>#DIV/0!</v>
          </cell>
          <cell r="CB64" t="e">
            <v>#DIV/0!</v>
          </cell>
          <cell r="CC64" t="e">
            <v>#DIV/0!</v>
          </cell>
          <cell r="CD64" t="e">
            <v>#DIV/0!</v>
          </cell>
          <cell r="CE64" t="e">
            <v>#DIV/0!</v>
          </cell>
        </row>
        <row r="65">
          <cell r="S65">
            <v>4.6552456420615072E-5</v>
          </cell>
          <cell r="T65">
            <v>4.603281520519581E-5</v>
          </cell>
          <cell r="U65">
            <v>4.5630800407618977E-5</v>
          </cell>
          <cell r="V65">
            <v>4.3644769280553698E-5</v>
          </cell>
          <cell r="W65">
            <v>4.2985794693805129E-5</v>
          </cell>
          <cell r="X65">
            <v>8.9379181495920302E-5</v>
          </cell>
          <cell r="Y65">
            <v>8.9135223517674739E-5</v>
          </cell>
          <cell r="Z65">
            <v>8.8726352100105478E-5</v>
          </cell>
          <cell r="AA65">
            <v>8.3792511812423904E-5</v>
          </cell>
          <cell r="AB65">
            <v>7.9528897535955634E-5</v>
          </cell>
          <cell r="AH65">
            <v>5.5555555555555558E-3</v>
          </cell>
          <cell r="AI65">
            <v>5.5555555555555558E-3</v>
          </cell>
          <cell r="AJ65">
            <v>5.5555555555555558E-3</v>
          </cell>
          <cell r="AK65">
            <v>5.5555555555555558E-3</v>
          </cell>
          <cell r="AL65">
            <v>5.5555555555555558E-3</v>
          </cell>
          <cell r="AQ65">
            <v>3.7037037037037057E-4</v>
          </cell>
          <cell r="AR65">
            <v>3.5578487502825726E-4</v>
          </cell>
          <cell r="AS65">
            <v>3.4755499780374753E-4</v>
          </cell>
          <cell r="AT65">
            <v>3.3670033670033699E-4</v>
          </cell>
          <cell r="AU65">
            <v>3.2051282051282046E-4</v>
          </cell>
          <cell r="AZ65">
            <v>1.3547614911075341E-4</v>
          </cell>
          <cell r="BA65">
            <v>1.3547614911075341E-4</v>
          </cell>
          <cell r="BB65">
            <v>1.3547614911075341E-4</v>
          </cell>
          <cell r="BC65">
            <v>2.3775562405421998E-4</v>
          </cell>
          <cell r="BD65">
            <v>2.3775562405421998E-4</v>
          </cell>
          <cell r="BI65">
            <v>8.4318449900728273E-2</v>
          </cell>
          <cell r="BJ65">
            <v>8.4318449900728273E-2</v>
          </cell>
          <cell r="BK65">
            <v>8.4318449900728273E-2</v>
          </cell>
          <cell r="BL65">
            <v>8.4318449900728273E-2</v>
          </cell>
          <cell r="BM65">
            <v>8.4318449900728273E-2</v>
          </cell>
          <cell r="CA65" t="e">
            <v>#DIV/0!</v>
          </cell>
          <cell r="CB65" t="e">
            <v>#DIV/0!</v>
          </cell>
          <cell r="CC65" t="e">
            <v>#DIV/0!</v>
          </cell>
          <cell r="CD65" t="e">
            <v>#DIV/0!</v>
          </cell>
          <cell r="CE65" t="e">
            <v>#DIV/0!</v>
          </cell>
        </row>
        <row r="66">
          <cell r="S66">
            <v>4.5300875687364855E-5</v>
          </cell>
          <cell r="T66">
            <v>4.5008990165302452E-5</v>
          </cell>
          <cell r="U66">
            <v>4.4605624532031549E-5</v>
          </cell>
          <cell r="V66">
            <v>4.2791585809739209E-5</v>
          </cell>
          <cell r="W66">
            <v>4.2179835694880603E-5</v>
          </cell>
          <cell r="X66">
            <v>8.7551548551621677E-5</v>
          </cell>
          <cell r="Y66">
            <v>8.7287936069999785E-5</v>
          </cell>
          <cell r="Z66">
            <v>8.6848649908419269E-5</v>
          </cell>
          <cell r="AA66">
            <v>8.1458563855492155E-5</v>
          </cell>
          <cell r="AB66">
            <v>7.767890605857536E-5</v>
          </cell>
          <cell r="AH66">
            <v>5.5555555555555558E-3</v>
          </cell>
          <cell r="AI66">
            <v>5.5555555555555558E-3</v>
          </cell>
          <cell r="AJ66">
            <v>5.5555555555555558E-3</v>
          </cell>
          <cell r="AK66">
            <v>5.5555555555555558E-3</v>
          </cell>
          <cell r="AL66">
            <v>5.5555555555555558E-3</v>
          </cell>
          <cell r="AQ66">
            <v>3.5457153880469544E-4</v>
          </cell>
          <cell r="AR66">
            <v>3.5133012567320395E-4</v>
          </cell>
          <cell r="AS66">
            <v>3.3670033670033672E-4</v>
          </cell>
          <cell r="AT66">
            <v>3.2119604963757068E-4</v>
          </cell>
          <cell r="AU66">
            <v>3.1281242578896082E-4</v>
          </cell>
          <cell r="AZ66">
            <v>1.2902490391500322E-4</v>
          </cell>
          <cell r="BA66">
            <v>1.2902490391500322E-4</v>
          </cell>
          <cell r="BB66">
            <v>1.2902490391500322E-4</v>
          </cell>
          <cell r="BC66">
            <v>2.2643392767068566E-4</v>
          </cell>
          <cell r="BD66">
            <v>2.2643392767068566E-4</v>
          </cell>
          <cell r="BI66">
            <v>8.0303285619741205E-2</v>
          </cell>
          <cell r="BJ66">
            <v>8.0303285619741205E-2</v>
          </cell>
          <cell r="BK66">
            <v>8.0303285619741205E-2</v>
          </cell>
          <cell r="BL66">
            <v>8.0303285619741205E-2</v>
          </cell>
          <cell r="BM66">
            <v>8.0303285619741205E-2</v>
          </cell>
          <cell r="CA66" t="e">
            <v>#DIV/0!</v>
          </cell>
          <cell r="CB66" t="e">
            <v>#DIV/0!</v>
          </cell>
          <cell r="CC66" t="e">
            <v>#DIV/0!</v>
          </cell>
          <cell r="CD66" t="e">
            <v>#DIV/0!</v>
          </cell>
          <cell r="CE66" t="e">
            <v>#DIV/0!</v>
          </cell>
        </row>
        <row r="67">
          <cell r="S67">
            <v>4.4321492339161584E-5</v>
          </cell>
          <cell r="T67">
            <v>4.4022436012755976E-5</v>
          </cell>
          <cell r="U67">
            <v>4.3611414978683659E-5</v>
          </cell>
          <cell r="V67">
            <v>4.1966190384909339E-5</v>
          </cell>
          <cell r="W67">
            <v>4.1411467884727761E-5</v>
          </cell>
          <cell r="X67">
            <v>8.5776023640738659E-5</v>
          </cell>
          <cell r="Y67">
            <v>8.548180112134399E-5</v>
          </cell>
          <cell r="Z67">
            <v>8.5026441428446444E-5</v>
          </cell>
          <cell r="AA67">
            <v>7.9221349147290919E-5</v>
          </cell>
          <cell r="AB67">
            <v>7.5983788606763557E-5</v>
          </cell>
          <cell r="AH67">
            <v>5.5555555555555558E-3</v>
          </cell>
          <cell r="AI67">
            <v>5.5555555555555558E-3</v>
          </cell>
          <cell r="AJ67">
            <v>5.5555555555555558E-3</v>
          </cell>
          <cell r="AK67">
            <v>5.5555555555555558E-3</v>
          </cell>
          <cell r="AL67">
            <v>5.5555555555555558E-3</v>
          </cell>
          <cell r="AQ67">
            <v>3.5273368606702007E-4</v>
          </cell>
          <cell r="AR67">
            <v>3.3670033670033715E-4</v>
          </cell>
          <cell r="AS67">
            <v>3.3005347051881702E-4</v>
          </cell>
          <cell r="AT67">
            <v>3.2051282051282057E-4</v>
          </cell>
          <cell r="AU67">
            <v>3.0581039755351718E-4</v>
          </cell>
          <cell r="AZ67">
            <v>1.2288086087143164E-4</v>
          </cell>
          <cell r="BA67">
            <v>1.2288086087143164E-4</v>
          </cell>
          <cell r="BB67">
            <v>1.2288086087143164E-4</v>
          </cell>
          <cell r="BC67">
            <v>2.1565135968636731E-4</v>
          </cell>
          <cell r="BD67">
            <v>2.1565135968636731E-4</v>
          </cell>
          <cell r="BI67">
            <v>7.6479319637848764E-2</v>
          </cell>
          <cell r="BJ67">
            <v>7.6479319637848764E-2</v>
          </cell>
          <cell r="BK67">
            <v>7.6479319637848764E-2</v>
          </cell>
          <cell r="BL67">
            <v>7.6479319637848764E-2</v>
          </cell>
          <cell r="BM67">
            <v>7.6479319637848764E-2</v>
          </cell>
          <cell r="CA67" t="e">
            <v>#DIV/0!</v>
          </cell>
          <cell r="CB67" t="e">
            <v>#DIV/0!</v>
          </cell>
          <cell r="CC67" t="e">
            <v>#DIV/0!</v>
          </cell>
          <cell r="CD67" t="e">
            <v>#DIV/0!</v>
          </cell>
          <cell r="CE67" t="e">
            <v>#DIV/0!</v>
          </cell>
        </row>
        <row r="68">
          <cell r="S68">
            <v>4.3360813560923584E-5</v>
          </cell>
          <cell r="T68">
            <v>4.3061025747593686E-5</v>
          </cell>
          <cell r="U68">
            <v>4.2636882804771129E-5</v>
          </cell>
          <cell r="V68">
            <v>4.119465250663708E-5</v>
          </cell>
          <cell r="W68">
            <v>4.0662353614343656E-5</v>
          </cell>
          <cell r="X68">
            <v>8.4033164369884945E-5</v>
          </cell>
          <cell r="Y68">
            <v>8.3724947192905002E-5</v>
          </cell>
          <cell r="Z68">
            <v>8.3231834746181658E-5</v>
          </cell>
          <cell r="AA68">
            <v>7.7324726550302282E-5</v>
          </cell>
          <cell r="AB68">
            <v>7.431856679568145E-5</v>
          </cell>
          <cell r="AH68">
            <v>5.5555555555555558E-3</v>
          </cell>
          <cell r="AI68">
            <v>5.5555555555555558E-3</v>
          </cell>
          <cell r="AJ68">
            <v>5.5555555555555558E-3</v>
          </cell>
          <cell r="AK68">
            <v>5.5555555555555558E-3</v>
          </cell>
          <cell r="AL68">
            <v>5.5555555555555558E-3</v>
          </cell>
          <cell r="AQ68">
            <v>3.4030663727768908E-4</v>
          </cell>
          <cell r="AR68">
            <v>3.3670033670033666E-4</v>
          </cell>
          <cell r="AS68">
            <v>3.2051282051282068E-4</v>
          </cell>
          <cell r="AT68">
            <v>3.0821745540135249E-4</v>
          </cell>
          <cell r="AU68">
            <v>3.0581039755351631E-4</v>
          </cell>
          <cell r="AZ68">
            <v>1.1702939130612535E-4</v>
          </cell>
          <cell r="BA68">
            <v>1.1702939130612535E-4</v>
          </cell>
          <cell r="BB68">
            <v>1.1702939130612535E-4</v>
          </cell>
          <cell r="BC68">
            <v>2.0538224732034979E-4</v>
          </cell>
          <cell r="BD68">
            <v>2.0538224732034979E-4</v>
          </cell>
          <cell r="BI68">
            <v>7.2837447274141681E-2</v>
          </cell>
          <cell r="BJ68">
            <v>7.2837447274141681E-2</v>
          </cell>
          <cell r="BK68">
            <v>7.2837447274141681E-2</v>
          </cell>
          <cell r="BL68">
            <v>7.2837447274141681E-2</v>
          </cell>
          <cell r="BM68">
            <v>7.2837447274141681E-2</v>
          </cell>
          <cell r="CA68" t="e">
            <v>#DIV/0!</v>
          </cell>
          <cell r="CB68" t="e">
            <v>#DIV/0!</v>
          </cell>
          <cell r="CC68" t="e">
            <v>#DIV/0!</v>
          </cell>
          <cell r="CD68" t="e">
            <v>#DIV/0!</v>
          </cell>
          <cell r="CE68" t="e">
            <v>#DIV/0!</v>
          </cell>
        </row>
        <row r="69">
          <cell r="S69">
            <v>4.2429421638538127E-5</v>
          </cell>
          <cell r="T69">
            <v>4.2109725607405222E-5</v>
          </cell>
          <cell r="U69">
            <v>4.1715955298947243E-5</v>
          </cell>
          <cell r="V69">
            <v>4.0447969709920415E-5</v>
          </cell>
          <cell r="W69">
            <v>3.9933209183241616E-5</v>
          </cell>
          <cell r="X69">
            <v>8.2332500806377648E-5</v>
          </cell>
          <cell r="Y69">
            <v>8.199178726894396E-5</v>
          </cell>
          <cell r="Z69">
            <v>8.1513498016774538E-5</v>
          </cell>
          <cell r="AA69">
            <v>7.55103098711615E-5</v>
          </cell>
          <cell r="AB69">
            <v>7.269148695207053E-5</v>
          </cell>
          <cell r="AH69">
            <v>5.5555555555555558E-3</v>
          </cell>
          <cell r="AI69">
            <v>5.5555555555555558E-3</v>
          </cell>
          <cell r="AJ69">
            <v>5.5555555555555558E-3</v>
          </cell>
          <cell r="AK69">
            <v>5.5555555555555558E-3</v>
          </cell>
          <cell r="AL69">
            <v>5.5555555555555558E-3</v>
          </cell>
          <cell r="AQ69">
            <v>3.3670033670033656E-4</v>
          </cell>
          <cell r="AR69">
            <v>3.2120498199873207E-4</v>
          </cell>
          <cell r="AS69">
            <v>3.1757723228217162E-4</v>
          </cell>
          <cell r="AT69">
            <v>3.0581039755351653E-4</v>
          </cell>
          <cell r="AU69">
            <v>3.0581039755351691E-4</v>
          </cell>
          <cell r="AZ69">
            <v>1.114565631486908E-4</v>
          </cell>
          <cell r="BA69">
            <v>1.114565631486908E-4</v>
          </cell>
          <cell r="BB69">
            <v>1.114565631486908E-4</v>
          </cell>
          <cell r="BC69">
            <v>1.9560214030509503E-4</v>
          </cell>
          <cell r="BD69">
            <v>1.9560214030509503E-4</v>
          </cell>
          <cell r="BI69">
            <v>6.9368997403944463E-2</v>
          </cell>
          <cell r="BJ69">
            <v>6.9368997403944463E-2</v>
          </cell>
          <cell r="BK69">
            <v>6.9368997403944463E-2</v>
          </cell>
          <cell r="BL69">
            <v>6.9368997403944463E-2</v>
          </cell>
          <cell r="BM69">
            <v>6.9368997403944463E-2</v>
          </cell>
          <cell r="CA69" t="e">
            <v>#DIV/0!</v>
          </cell>
          <cell r="CB69" t="e">
            <v>#DIV/0!</v>
          </cell>
          <cell r="CC69" t="e">
            <v>#DIV/0!</v>
          </cell>
          <cell r="CD69" t="e">
            <v>#DIV/0!</v>
          </cell>
          <cell r="CE69" t="e">
            <v>#DIV/0!</v>
          </cell>
        </row>
        <row r="70">
          <cell r="S70">
            <v>4.1511180371409089E-5</v>
          </cell>
          <cell r="T70">
            <v>4.1208840781556921E-5</v>
          </cell>
          <cell r="U70">
            <v>4.0954732192207866E-5</v>
          </cell>
          <cell r="V70">
            <v>3.9719950680130854E-5</v>
          </cell>
          <cell r="W70">
            <v>3.919919520407195E-5</v>
          </cell>
          <cell r="X70">
            <v>8.0662456003523212E-5</v>
          </cell>
          <cell r="Y70">
            <v>8.032920027156624E-5</v>
          </cell>
          <cell r="Z70">
            <v>7.9909027291129639E-5</v>
          </cell>
          <cell r="AA70">
            <v>7.3729688765143036E-5</v>
          </cell>
          <cell r="AB70">
            <v>7.0973315834442231E-5</v>
          </cell>
          <cell r="AH70">
            <v>5.5555555555555558E-3</v>
          </cell>
          <cell r="AI70">
            <v>5.5555555555555558E-3</v>
          </cell>
          <cell r="AJ70">
            <v>5.5555555555555558E-3</v>
          </cell>
          <cell r="AK70">
            <v>5.5555555555555558E-3</v>
          </cell>
          <cell r="AL70">
            <v>5.5555555555555558E-3</v>
          </cell>
          <cell r="AQ70">
            <v>3.2614983609306118E-4</v>
          </cell>
          <cell r="AR70">
            <v>3.2051282051282057E-4</v>
          </cell>
          <cell r="AS70">
            <v>3.0581039755351626E-4</v>
          </cell>
          <cell r="AT70">
            <v>3.0581039755351734E-4</v>
          </cell>
          <cell r="AU70">
            <v>2.9365554457144255E-4</v>
          </cell>
          <cell r="AZ70">
            <v>1.061491077606579E-4</v>
          </cell>
          <cell r="BA70">
            <v>1.061491077606579E-4</v>
          </cell>
          <cell r="BB70">
            <v>1.061491077606579E-4</v>
          </cell>
          <cell r="BC70">
            <v>1.8628775267151906E-4</v>
          </cell>
          <cell r="BD70">
            <v>1.8628775267151906E-4</v>
          </cell>
          <cell r="BI70">
            <v>6.6065711813280428E-2</v>
          </cell>
          <cell r="BJ70">
            <v>6.6065711813280428E-2</v>
          </cell>
          <cell r="BK70">
            <v>6.6065711813280428E-2</v>
          </cell>
          <cell r="BL70">
            <v>6.6065711813280428E-2</v>
          </cell>
          <cell r="BM70">
            <v>6.6065711813280428E-2</v>
          </cell>
          <cell r="CA70" t="e">
            <v>#DIV/0!</v>
          </cell>
          <cell r="CB70" t="e">
            <v>#DIV/0!</v>
          </cell>
          <cell r="CC70" t="e">
            <v>#DIV/0!</v>
          </cell>
          <cell r="CD70" t="e">
            <v>#DIV/0!</v>
          </cell>
          <cell r="CE70" t="e">
            <v>#DIV/0!</v>
          </cell>
        </row>
        <row r="71">
          <cell r="S71">
            <v>4.0707127271841193E-5</v>
          </cell>
          <cell r="T71">
            <v>4.0416161818453406E-5</v>
          </cell>
          <cell r="U71">
            <v>4.021877229502749E-5</v>
          </cell>
          <cell r="V71">
            <v>3.9007625578136461E-5</v>
          </cell>
          <cell r="W71">
            <v>3.848111042625193E-5</v>
          </cell>
          <cell r="X71">
            <v>7.9159869353792316E-5</v>
          </cell>
          <cell r="Y71">
            <v>7.8807306976411866E-5</v>
          </cell>
          <cell r="Z71">
            <v>7.8361466928424437E-5</v>
          </cell>
          <cell r="AA71">
            <v>7.1966061145871524E-5</v>
          </cell>
          <cell r="AB71">
            <v>6.9280133647936956E-5</v>
          </cell>
          <cell r="AH71">
            <v>5.5555555555555558E-3</v>
          </cell>
          <cell r="AI71">
            <v>5.5555555555555558E-3</v>
          </cell>
          <cell r="AJ71">
            <v>5.5555555555555558E-3</v>
          </cell>
          <cell r="AK71">
            <v>5.5555555555555558E-3</v>
          </cell>
          <cell r="AL71">
            <v>5.5555555555555558E-3</v>
          </cell>
          <cell r="AQ71">
            <v>3.2051282051282024E-4</v>
          </cell>
          <cell r="AR71">
            <v>3.091122389555106E-4</v>
          </cell>
          <cell r="AS71">
            <v>3.0581039755351723E-4</v>
          </cell>
          <cell r="AT71">
            <v>3.0145860614008116E-4</v>
          </cell>
          <cell r="AU71">
            <v>2.9239766081871362E-4</v>
          </cell>
          <cell r="AZ71">
            <v>1.0109438834348372E-4</v>
          </cell>
          <cell r="BA71">
            <v>1.0109438834348372E-4</v>
          </cell>
          <cell r="BB71">
            <v>1.0109438834348372E-4</v>
          </cell>
          <cell r="BC71">
            <v>1.7741690730620864E-4</v>
          </cell>
          <cell r="BD71">
            <v>1.7741690730620864E-4</v>
          </cell>
          <cell r="BI71">
            <v>6.2919725536457555E-2</v>
          </cell>
          <cell r="BJ71">
            <v>6.2919725536457555E-2</v>
          </cell>
          <cell r="BK71">
            <v>6.2919725536457555E-2</v>
          </cell>
          <cell r="BL71">
            <v>6.2919725536457555E-2</v>
          </cell>
          <cell r="BM71">
            <v>6.2919725536457555E-2</v>
          </cell>
          <cell r="CA71" t="e">
            <v>#DIV/0!</v>
          </cell>
          <cell r="CB71" t="e">
            <v>#DIV/0!</v>
          </cell>
          <cell r="CC71" t="e">
            <v>#DIV/0!</v>
          </cell>
          <cell r="CD71" t="e">
            <v>#DIV/0!</v>
          </cell>
          <cell r="CE71" t="e">
            <v>#DIV/0!</v>
          </cell>
        </row>
        <row r="72">
          <cell r="S72">
            <v>3.9931737788692473E-5</v>
          </cell>
          <cell r="T72">
            <v>3.9678210732807176E-5</v>
          </cell>
          <cell r="U72">
            <v>3.9456712865173931E-5</v>
          </cell>
          <cell r="V72">
            <v>3.8272018784182863E-5</v>
          </cell>
          <cell r="W72">
            <v>3.7750759903471897E-5</v>
          </cell>
          <cell r="X72">
            <v>7.7700016582247678E-5</v>
          </cell>
          <cell r="Y72">
            <v>7.7293915388815888E-5</v>
          </cell>
          <cell r="Z72">
            <v>7.6666447084090019E-5</v>
          </cell>
          <cell r="AA72">
            <v>7.0074140783086571E-5</v>
          </cell>
          <cell r="AB72">
            <v>6.7458445884951361E-5</v>
          </cell>
          <cell r="AH72">
            <v>5.5555555555555558E-3</v>
          </cell>
          <cell r="AI72">
            <v>5.5555555555555558E-3</v>
          </cell>
          <cell r="AJ72">
            <v>5.5555555555555558E-3</v>
          </cell>
          <cell r="AK72">
            <v>5.5555555555555558E-3</v>
          </cell>
          <cell r="AL72">
            <v>5.5555555555555558E-3</v>
          </cell>
          <cell r="AQ72">
            <v>3.1280754662579786E-4</v>
          </cell>
          <cell r="AR72">
            <v>3.0581039755351723E-4</v>
          </cell>
          <cell r="AS72">
            <v>3.0468694147124328E-4</v>
          </cell>
          <cell r="AT72">
            <v>2.9239766081871313E-4</v>
          </cell>
          <cell r="AU72">
            <v>2.8741453812705479E-4</v>
          </cell>
          <cell r="AZ72">
            <v>9.6280369850936884E-5</v>
          </cell>
          <cell r="BA72">
            <v>9.6280369850936884E-5</v>
          </cell>
          <cell r="BB72">
            <v>9.6280369850936884E-5</v>
          </cell>
          <cell r="BC72">
            <v>1.6896848314877012E-4</v>
          </cell>
          <cell r="BD72">
            <v>1.6896848314877012E-4</v>
          </cell>
          <cell r="BI72">
            <v>5.9923548129959571E-2</v>
          </cell>
          <cell r="BJ72">
            <v>5.9923548129959571E-2</v>
          </cell>
          <cell r="BK72">
            <v>5.9923548129959571E-2</v>
          </cell>
          <cell r="BL72">
            <v>5.9923548129959571E-2</v>
          </cell>
          <cell r="BM72">
            <v>5.9923548129959571E-2</v>
          </cell>
          <cell r="CA72" t="e">
            <v>#DIV/0!</v>
          </cell>
          <cell r="CB72" t="e">
            <v>#DIV/0!</v>
          </cell>
          <cell r="CC72" t="e">
            <v>#DIV/0!</v>
          </cell>
          <cell r="CD72" t="e">
            <v>#DIV/0!</v>
          </cell>
          <cell r="CE72" t="e">
            <v>#DIV/0!</v>
          </cell>
        </row>
        <row r="73">
          <cell r="S73">
            <v>3.9168819372170267E-5</v>
          </cell>
          <cell r="T73">
            <v>3.8955439722048198E-5</v>
          </cell>
          <cell r="U73">
            <v>3.8662588870485343E-5</v>
          </cell>
          <cell r="V73">
            <v>3.7529513706078611E-5</v>
          </cell>
          <cell r="W73">
            <v>3.7010237724566492E-5</v>
          </cell>
          <cell r="X73">
            <v>7.626931639230344E-5</v>
          </cell>
          <cell r="Y73">
            <v>7.576726446282296E-5</v>
          </cell>
          <cell r="Z73">
            <v>7.4628864083800135E-5</v>
          </cell>
          <cell r="AA73">
            <v>6.8089411440666982E-5</v>
          </cell>
          <cell r="AB73">
            <v>6.5541683970719744E-5</v>
          </cell>
          <cell r="AH73">
            <v>5.5555555555555558E-3</v>
          </cell>
          <cell r="AI73">
            <v>5.5555555555555558E-3</v>
          </cell>
          <cell r="AJ73">
            <v>5.5555555555555558E-3</v>
          </cell>
          <cell r="AK73">
            <v>5.5555555555555558E-3</v>
          </cell>
          <cell r="AL73">
            <v>5.5555555555555558E-3</v>
          </cell>
          <cell r="AQ73">
            <v>3.0581039755351696E-4</v>
          </cell>
          <cell r="AR73">
            <v>3.0250882432387337E-4</v>
          </cell>
          <cell r="AS73">
            <v>2.9239766081871356E-4</v>
          </cell>
          <cell r="AT73">
            <v>2.8830083628119258E-4</v>
          </cell>
          <cell r="AU73">
            <v>2.8011204481792688E-4</v>
          </cell>
          <cell r="AZ73">
            <v>9.169559033422559E-5</v>
          </cell>
          <cell r="BA73">
            <v>9.169559033422559E-5</v>
          </cell>
          <cell r="BB73">
            <v>9.169559033422559E-5</v>
          </cell>
          <cell r="BC73">
            <v>1.6092236490359058E-4</v>
          </cell>
          <cell r="BD73">
            <v>1.6092236490359058E-4</v>
          </cell>
          <cell r="BI73">
            <v>5.7070045838056735E-2</v>
          </cell>
          <cell r="BJ73">
            <v>5.7070045838056735E-2</v>
          </cell>
          <cell r="BK73">
            <v>5.7070045838056735E-2</v>
          </cell>
          <cell r="BL73">
            <v>5.7070045838056735E-2</v>
          </cell>
          <cell r="BM73">
            <v>5.7070045838056735E-2</v>
          </cell>
          <cell r="CA73" t="e">
            <v>#DIV/0!</v>
          </cell>
          <cell r="CB73" t="e">
            <v>#DIV/0!</v>
          </cell>
          <cell r="CC73" t="e">
            <v>#DIV/0!</v>
          </cell>
          <cell r="CD73" t="e">
            <v>#DIV/0!</v>
          </cell>
          <cell r="CE73" t="e">
            <v>#DIV/0!</v>
          </cell>
        </row>
        <row r="74">
          <cell r="S74">
            <v>3.8488265818676683E-5</v>
          </cell>
          <cell r="T74">
            <v>3.8191842505757563E-5</v>
          </cell>
          <cell r="U74">
            <v>3.7983789685137511E-5</v>
          </cell>
          <cell r="V74">
            <v>3.6812263880301866E-5</v>
          </cell>
          <cell r="W74">
            <v>3.626782643942282E-5</v>
          </cell>
          <cell r="X74">
            <v>7.486897958752316E-5</v>
          </cell>
          <cell r="Y74">
            <v>7.3986984926241456E-5</v>
          </cell>
          <cell r="Z74">
            <v>7.2702256320137108E-5</v>
          </cell>
          <cell r="AA74">
            <v>6.6222357943976072E-5</v>
          </cell>
          <cell r="AB74">
            <v>6.3526384156838381E-5</v>
          </cell>
          <cell r="AH74">
            <v>5.5555555555555558E-3</v>
          </cell>
          <cell r="AI74">
            <v>5.5555555555555558E-3</v>
          </cell>
          <cell r="AJ74">
            <v>5.5555555555555558E-3</v>
          </cell>
          <cell r="AK74">
            <v>5.5555555555555558E-3</v>
          </cell>
          <cell r="AL74">
            <v>5.5555555555555558E-3</v>
          </cell>
          <cell r="AQ74">
            <v>3.0053485178518213E-4</v>
          </cell>
          <cell r="AR74">
            <v>2.9239766081871362E-4</v>
          </cell>
          <cell r="AS74">
            <v>2.8821785998200126E-4</v>
          </cell>
          <cell r="AT74">
            <v>2.8011204481792759E-4</v>
          </cell>
          <cell r="AU74">
            <v>2.7244039338375676E-4</v>
          </cell>
          <cell r="AZ74">
            <v>8.7329133651643413E-5</v>
          </cell>
          <cell r="BA74">
            <v>8.7329133651643413E-5</v>
          </cell>
          <cell r="BB74">
            <v>8.7329133651643413E-5</v>
          </cell>
          <cell r="BC74">
            <v>1.5325939514627675E-4</v>
          </cell>
          <cell r="BD74">
            <v>1.5325939514627675E-4</v>
          </cell>
          <cell r="BI74">
            <v>5.4352424607673082E-2</v>
          </cell>
          <cell r="BJ74">
            <v>5.4352424607673082E-2</v>
          </cell>
          <cell r="BK74">
            <v>5.4352424607673082E-2</v>
          </cell>
          <cell r="BL74">
            <v>5.4352424607673082E-2</v>
          </cell>
          <cell r="BM74">
            <v>5.4352424607673082E-2</v>
          </cell>
          <cell r="CA74" t="e">
            <v>#DIV/0!</v>
          </cell>
          <cell r="CB74" t="e">
            <v>#DIV/0!</v>
          </cell>
          <cell r="CC74" t="e">
            <v>#DIV/0!</v>
          </cell>
          <cell r="CD74" t="e">
            <v>#DIV/0!</v>
          </cell>
          <cell r="CE74" t="e">
            <v>#DIV/0!</v>
          </cell>
        </row>
        <row r="75">
          <cell r="S75">
            <v>3.783348329457505E-5</v>
          </cell>
          <cell r="T75">
            <v>3.7538597494789138E-5</v>
          </cell>
          <cell r="U75">
            <v>3.7346780258761354E-5</v>
          </cell>
          <cell r="V75">
            <v>3.6116345301928365E-5</v>
          </cell>
          <cell r="W75">
            <v>3.5549059377403705E-5</v>
          </cell>
          <cell r="X75">
            <v>7.3499265336372457E-5</v>
          </cell>
          <cell r="Y75">
            <v>7.2427846886894952E-5</v>
          </cell>
          <cell r="Z75">
            <v>7.1030635565234681E-5</v>
          </cell>
          <cell r="AA75">
            <v>6.4429854294937081E-5</v>
          </cell>
          <cell r="AB75">
            <v>6.1437068448835983E-5</v>
          </cell>
          <cell r="AH75">
            <v>5.5555555555555558E-3</v>
          </cell>
          <cell r="AI75">
            <v>5.5555555555555558E-3</v>
          </cell>
          <cell r="AJ75">
            <v>5.5555555555555558E-3</v>
          </cell>
          <cell r="AK75">
            <v>5.5555555555555558E-3</v>
          </cell>
          <cell r="AL75">
            <v>5.5555555555555558E-3</v>
          </cell>
          <cell r="AQ75">
            <v>2.9239766081871324E-4</v>
          </cell>
          <cell r="AR75">
            <v>2.8898695941411459E-4</v>
          </cell>
          <cell r="AS75">
            <v>2.8011204481792721E-4</v>
          </cell>
          <cell r="AT75">
            <v>2.751436063004256E-4</v>
          </cell>
          <cell r="AU75">
            <v>2.6739831245280838E-4</v>
          </cell>
          <cell r="AZ75">
            <v>8.317060347775562E-5</v>
          </cell>
          <cell r="BA75">
            <v>8.317060347775562E-5</v>
          </cell>
          <cell r="BB75">
            <v>8.317060347775562E-5</v>
          </cell>
          <cell r="BC75">
            <v>1.4596132871073973E-4</v>
          </cell>
          <cell r="BD75">
            <v>1.4596132871073973E-4</v>
          </cell>
          <cell r="BI75">
            <v>5.1764213912069597E-2</v>
          </cell>
          <cell r="BJ75">
            <v>5.1764213912069597E-2</v>
          </cell>
          <cell r="BK75">
            <v>5.1764213912069597E-2</v>
          </cell>
          <cell r="BL75">
            <v>5.1764213912069597E-2</v>
          </cell>
          <cell r="BM75">
            <v>5.1764213912069597E-2</v>
          </cell>
          <cell r="CA75" t="e">
            <v>#DIV/0!</v>
          </cell>
          <cell r="CB75" t="e">
            <v>#DIV/0!</v>
          </cell>
          <cell r="CC75" t="e">
            <v>#DIV/0!</v>
          </cell>
          <cell r="CD75" t="e">
            <v>#DIV/0!</v>
          </cell>
          <cell r="CE75" t="e">
            <v>#DIV/0!</v>
          </cell>
        </row>
        <row r="76">
          <cell r="S76">
            <v>3.717471816085974E-5</v>
          </cell>
          <cell r="T76">
            <v>3.6937103478395702E-5</v>
          </cell>
          <cell r="U76">
            <v>3.6728550265267113E-5</v>
          </cell>
          <cell r="V76">
            <v>3.5389236936478043E-5</v>
          </cell>
          <cell r="W76">
            <v>3.482943727123213E-5</v>
          </cell>
          <cell r="X76">
            <v>7.2043824057967711E-5</v>
          </cell>
          <cell r="Y76">
            <v>7.0896056643402866E-5</v>
          </cell>
          <cell r="Z76">
            <v>6.9393807232074185E-5</v>
          </cell>
          <cell r="AA76">
            <v>6.2438558463814378E-5</v>
          </cell>
          <cell r="AB76">
            <v>5.9344614009390654E-5</v>
          </cell>
          <cell r="AH76">
            <v>5.5555555555555558E-3</v>
          </cell>
          <cell r="AI76">
            <v>5.5555555555555558E-3</v>
          </cell>
          <cell r="AJ76">
            <v>5.5555555555555558E-3</v>
          </cell>
          <cell r="AK76">
            <v>5.5555555555555558E-3</v>
          </cell>
          <cell r="AL76">
            <v>5.5555555555555558E-3</v>
          </cell>
          <cell r="AQ76">
            <v>2.8920548907949994E-4</v>
          </cell>
          <cell r="AR76">
            <v>2.8011204481792693E-4</v>
          </cell>
          <cell r="AS76">
            <v>2.7789850312164997E-4</v>
          </cell>
          <cell r="AT76">
            <v>2.6773761713520751E-4</v>
          </cell>
          <cell r="AU76">
            <v>2.5641025641025657E-4</v>
          </cell>
          <cell r="AZ76">
            <v>7.9210098550243455E-5</v>
          </cell>
          <cell r="BA76">
            <v>7.9210098550243455E-5</v>
          </cell>
          <cell r="BB76">
            <v>7.9210098550243455E-5</v>
          </cell>
          <cell r="BC76">
            <v>1.3901078924832356E-4</v>
          </cell>
          <cell r="BD76">
            <v>1.3901078924832356E-4</v>
          </cell>
          <cell r="BI76">
            <v>4.9299251344828189E-2</v>
          </cell>
          <cell r="BJ76">
            <v>4.9299251344828189E-2</v>
          </cell>
          <cell r="BK76">
            <v>4.9299251344828189E-2</v>
          </cell>
          <cell r="BL76">
            <v>4.9299251344828189E-2</v>
          </cell>
          <cell r="BM76">
            <v>4.9299251344828189E-2</v>
          </cell>
          <cell r="CA76" t="e">
            <v>#DIV/0!</v>
          </cell>
          <cell r="CB76" t="e">
            <v>#DIV/0!</v>
          </cell>
          <cell r="CC76" t="e">
            <v>#DIV/0!</v>
          </cell>
          <cell r="CD76" t="e">
            <v>#DIV/0!</v>
          </cell>
          <cell r="CE76" t="e">
            <v>#DIV/0!</v>
          </cell>
        </row>
        <row r="77">
          <cell r="S77">
            <v>3.651394295841462E-5</v>
          </cell>
          <cell r="T77">
            <v>3.6348638465591856E-5</v>
          </cell>
          <cell r="U77">
            <v>3.6097425831185699E-5</v>
          </cell>
          <cell r="V77">
            <v>3.4682895972140174E-5</v>
          </cell>
          <cell r="W77">
            <v>3.4113759718444482E-5</v>
          </cell>
          <cell r="X77">
            <v>7.0540593092514878E-5</v>
          </cell>
          <cell r="Y77">
            <v>6.9361382981421061E-5</v>
          </cell>
          <cell r="Z77">
            <v>6.7566850721925966E-5</v>
          </cell>
          <cell r="AA77">
            <v>6.0398274947029831E-5</v>
          </cell>
          <cell r="AB77">
            <v>5.7252641017776376E-5</v>
          </cell>
          <cell r="AH77">
            <v>5.5555555555555558E-3</v>
          </cell>
          <cell r="AI77">
            <v>5.5555555555555558E-3</v>
          </cell>
          <cell r="AJ77">
            <v>5.5555555555555558E-3</v>
          </cell>
          <cell r="AK77">
            <v>5.5555555555555558E-3</v>
          </cell>
          <cell r="AL77">
            <v>5.5555555555555558E-3</v>
          </cell>
          <cell r="AQ77">
            <v>2.8011204481792699E-4</v>
          </cell>
          <cell r="AR77">
            <v>2.7858193241504564E-4</v>
          </cell>
          <cell r="AS77">
            <v>2.6773761713520789E-4</v>
          </cell>
          <cell r="AT77">
            <v>2.5932271394238062E-4</v>
          </cell>
          <cell r="AU77">
            <v>2.5121264641012503E-4</v>
          </cell>
          <cell r="AZ77">
            <v>7.5438189095469946E-5</v>
          </cell>
          <cell r="BA77">
            <v>7.5438189095469946E-5</v>
          </cell>
          <cell r="BB77">
            <v>7.5438189095469946E-5</v>
          </cell>
          <cell r="BC77">
            <v>1.3239122785554624E-4</v>
          </cell>
          <cell r="BD77">
            <v>1.3239122785554624E-4</v>
          </cell>
          <cell r="BI77">
            <v>4.6951667947455422E-2</v>
          </cell>
          <cell r="BJ77">
            <v>4.6951667947455422E-2</v>
          </cell>
          <cell r="BK77">
            <v>4.6951667947455422E-2</v>
          </cell>
          <cell r="BL77">
            <v>4.6951667947455422E-2</v>
          </cell>
          <cell r="BM77">
            <v>4.6951667947455422E-2</v>
          </cell>
          <cell r="CA77" t="e">
            <v>#DIV/0!</v>
          </cell>
          <cell r="CB77" t="e">
            <v>#DIV/0!</v>
          </cell>
          <cell r="CC77" t="e">
            <v>#DIV/0!</v>
          </cell>
          <cell r="CD77" t="e">
            <v>#DIV/0!</v>
          </cell>
          <cell r="CE77" t="e">
            <v>#DIV/0!</v>
          </cell>
        </row>
        <row r="78">
          <cell r="S78">
            <v>3.5936047200452337E-5</v>
          </cell>
          <cell r="T78">
            <v>3.5763281207188221E-5</v>
          </cell>
          <cell r="U78">
            <v>3.5494794182095321E-5</v>
          </cell>
          <cell r="V78">
            <v>3.4020426043778201E-5</v>
          </cell>
          <cell r="W78">
            <v>3.3424572070791201E-5</v>
          </cell>
          <cell r="X78">
            <v>6.907979131730928E-5</v>
          </cell>
          <cell r="Y78">
            <v>6.7753821278413413E-5</v>
          </cell>
          <cell r="Z78">
            <v>6.5874460098593718E-5</v>
          </cell>
          <cell r="AA78">
            <v>5.8487702564063768E-5</v>
          </cell>
          <cell r="AB78">
            <v>5.5296161542820706E-5</v>
          </cell>
          <cell r="AH78">
            <v>5.5555555555555558E-3</v>
          </cell>
          <cell r="AI78">
            <v>5.5555555555555558E-3</v>
          </cell>
          <cell r="AJ78">
            <v>5.5555555555555558E-3</v>
          </cell>
          <cell r="AK78">
            <v>5.5555555555555558E-3</v>
          </cell>
          <cell r="AL78">
            <v>5.5555555555555558E-3</v>
          </cell>
          <cell r="AQ78">
            <v>2.7857345660853977E-4</v>
          </cell>
          <cell r="AR78">
            <v>2.6773761713520729E-4</v>
          </cell>
          <cell r="AS78">
            <v>2.6116407266239057E-4</v>
          </cell>
          <cell r="AT78">
            <v>2.5476564799932342E-4</v>
          </cell>
          <cell r="AU78">
            <v>2.4600246002460049E-4</v>
          </cell>
          <cell r="AZ78">
            <v>7.1845894376638045E-5</v>
          </cell>
          <cell r="BA78">
            <v>7.1845894376638045E-5</v>
          </cell>
          <cell r="BB78">
            <v>7.1845894376638045E-5</v>
          </cell>
          <cell r="BC78">
            <v>1.2608688367194879E-4</v>
          </cell>
          <cell r="BD78">
            <v>1.2608688367194879E-4</v>
          </cell>
          <cell r="BI78">
            <v>4.4715874235671825E-2</v>
          </cell>
          <cell r="BJ78">
            <v>4.4715874235671825E-2</v>
          </cell>
          <cell r="BK78">
            <v>4.4715874235671825E-2</v>
          </cell>
          <cell r="BL78">
            <v>4.4715874235671825E-2</v>
          </cell>
          <cell r="BM78">
            <v>4.4715874235671825E-2</v>
          </cell>
          <cell r="CA78" t="e">
            <v>#DIV/0!</v>
          </cell>
          <cell r="CB78" t="e">
            <v>#DIV/0!</v>
          </cell>
          <cell r="CC78" t="e">
            <v>#DIV/0!</v>
          </cell>
          <cell r="CD78" t="e">
            <v>#DIV/0!</v>
          </cell>
          <cell r="CE78" t="e">
            <v>#DIV/0!</v>
          </cell>
        </row>
        <row r="79">
          <cell r="S79">
            <v>3.5377852205222755E-5</v>
          </cell>
          <cell r="T79">
            <v>3.5199639557184426E-5</v>
          </cell>
          <cell r="U79">
            <v>3.4919634038599356E-5</v>
          </cell>
          <cell r="V79">
            <v>3.3396587676024973E-5</v>
          </cell>
          <cell r="W79">
            <v>3.2862269299005511E-5</v>
          </cell>
          <cell r="X79">
            <v>6.763645583130101E-5</v>
          </cell>
          <cell r="Y79">
            <v>6.628181910295751E-5</v>
          </cell>
          <cell r="Z79">
            <v>6.4364045681840779E-5</v>
          </cell>
          <cell r="AA79">
            <v>5.6810830493875703E-5</v>
          </cell>
          <cell r="AB79">
            <v>5.4034615586066562E-5</v>
          </cell>
          <cell r="AH79">
            <v>5.5555555555555558E-3</v>
          </cell>
          <cell r="AI79">
            <v>5.5555555555555558E-3</v>
          </cell>
          <cell r="AJ79">
            <v>5.5555555555555558E-3</v>
          </cell>
          <cell r="AK79">
            <v>5.5555555555555558E-3</v>
          </cell>
          <cell r="AL79">
            <v>5.5555555555555558E-3</v>
          </cell>
          <cell r="AQ79">
            <v>2.6773761713520756E-4</v>
          </cell>
          <cell r="AR79">
            <v>2.6434456012134369E-4</v>
          </cell>
          <cell r="AS79">
            <v>2.5641025641025652E-4</v>
          </cell>
          <cell r="AT79">
            <v>2.4600246002460038E-4</v>
          </cell>
          <cell r="AU79">
            <v>2.3856378209347203E-4</v>
          </cell>
          <cell r="AZ79">
            <v>6.842466131108385E-5</v>
          </cell>
          <cell r="BA79">
            <v>6.842466131108385E-5</v>
          </cell>
          <cell r="BB79">
            <v>6.842466131108385E-5</v>
          </cell>
          <cell r="BC79">
            <v>1.2008274635423695E-4</v>
          </cell>
          <cell r="BD79">
            <v>1.2008274635423695E-4</v>
          </cell>
          <cell r="BI79">
            <v>4.2586546891116024E-2</v>
          </cell>
          <cell r="BJ79">
            <v>4.2586546891116024E-2</v>
          </cell>
          <cell r="BK79">
            <v>4.2586546891116024E-2</v>
          </cell>
          <cell r="BL79">
            <v>4.2586546891116024E-2</v>
          </cell>
          <cell r="BM79">
            <v>4.2586546891116024E-2</v>
          </cell>
          <cell r="CA79" t="e">
            <v>#DIV/0!</v>
          </cell>
          <cell r="CB79" t="e">
            <v>#DIV/0!</v>
          </cell>
          <cell r="CC79" t="e">
            <v>#DIV/0!</v>
          </cell>
          <cell r="CD79" t="e">
            <v>#DIV/0!</v>
          </cell>
          <cell r="CE79" t="e">
            <v>#DIV/0!</v>
          </cell>
        </row>
        <row r="80">
          <cell r="S80">
            <v>3.483398489139796E-5</v>
          </cell>
          <cell r="T80">
            <v>3.4640547735238391E-5</v>
          </cell>
          <cell r="U80">
            <v>3.4354899852176256E-5</v>
          </cell>
          <cell r="V80">
            <v>3.2807003007805986E-5</v>
          </cell>
          <cell r="W80">
            <v>3.2319402361219104E-5</v>
          </cell>
          <cell r="X80">
            <v>6.6217848602559431E-5</v>
          </cell>
          <cell r="Y80">
            <v>6.4797193171895929E-5</v>
          </cell>
          <cell r="Z80">
            <v>6.2940474875992049E-5</v>
          </cell>
          <cell r="AA80">
            <v>5.5280671712071273E-5</v>
          </cell>
          <cell r="AB80">
            <v>5.2842086960594067E-5</v>
          </cell>
          <cell r="AH80">
            <v>5.5555555555555558E-3</v>
          </cell>
          <cell r="AI80">
            <v>5.5555555555555558E-3</v>
          </cell>
          <cell r="AJ80">
            <v>5.5555555555555558E-3</v>
          </cell>
          <cell r="AK80">
            <v>5.5555555555555558E-3</v>
          </cell>
          <cell r="AL80">
            <v>5.5555555555555558E-3</v>
          </cell>
          <cell r="AQ80">
            <v>2.6773761713520729E-4</v>
          </cell>
          <cell r="AR80">
            <v>2.5641025641025657E-4</v>
          </cell>
          <cell r="AS80">
            <v>2.4981217979113042E-4</v>
          </cell>
          <cell r="AT80">
            <v>2.4545168107584437E-4</v>
          </cell>
          <cell r="AU80">
            <v>2.3640661938534356E-4</v>
          </cell>
          <cell r="AZ80">
            <v>6.5166344105794144E-5</v>
          </cell>
          <cell r="BA80">
            <v>6.5166344105794144E-5</v>
          </cell>
          <cell r="BB80">
            <v>6.5166344105794144E-5</v>
          </cell>
          <cell r="BC80">
            <v>1.1436452033736852E-4</v>
          </cell>
          <cell r="BD80">
            <v>1.1436452033736852E-4</v>
          </cell>
          <cell r="BI80">
            <v>4.0558616086777168E-2</v>
          </cell>
          <cell r="BJ80">
            <v>4.0558616086777168E-2</v>
          </cell>
          <cell r="BK80">
            <v>4.0558616086777168E-2</v>
          </cell>
          <cell r="BL80">
            <v>4.0558616086777168E-2</v>
          </cell>
          <cell r="BM80">
            <v>4.0558616086777168E-2</v>
          </cell>
          <cell r="CA80" t="e">
            <v>#DIV/0!</v>
          </cell>
          <cell r="CB80" t="e">
            <v>#DIV/0!</v>
          </cell>
          <cell r="CC80" t="e">
            <v>#DIV/0!</v>
          </cell>
          <cell r="CD80" t="e">
            <v>#DIV/0!</v>
          </cell>
          <cell r="CE80" t="e">
            <v>#DIV/0!</v>
          </cell>
        </row>
        <row r="81">
          <cell r="S81">
            <v>3.4277288196416551E-5</v>
          </cell>
          <cell r="T81">
            <v>3.4092105047847501E-5</v>
          </cell>
          <cell r="U81">
            <v>3.3801109116483288E-5</v>
          </cell>
          <cell r="V81">
            <v>3.227442784392365E-5</v>
          </cell>
          <cell r="W81">
            <v>3.1788285639333937E-5</v>
          </cell>
          <cell r="X81">
            <v>6.4695968795791992E-5</v>
          </cell>
          <cell r="Y81">
            <v>6.3333222053928317E-5</v>
          </cell>
          <cell r="Z81">
            <v>6.1567656798124177E-5</v>
          </cell>
          <cell r="AA81">
            <v>5.4080540470380267E-5</v>
          </cell>
          <cell r="AB81">
            <v>5.1672265549237279E-5</v>
          </cell>
          <cell r="AH81">
            <v>5.5555555555555558E-3</v>
          </cell>
          <cell r="AI81">
            <v>5.5555555555555558E-3</v>
          </cell>
          <cell r="AJ81">
            <v>5.5555555555555558E-3</v>
          </cell>
          <cell r="AK81">
            <v>5.5555555555555558E-3</v>
          </cell>
          <cell r="AL81">
            <v>5.5555555555555558E-3</v>
          </cell>
          <cell r="AQ81">
            <v>2.5654848967823042E-4</v>
          </cell>
          <cell r="AR81">
            <v>2.5446526690835512E-4</v>
          </cell>
          <cell r="AS81">
            <v>2.4600246002460022E-4</v>
          </cell>
          <cell r="AT81">
            <v>2.36406619385343E-4</v>
          </cell>
          <cell r="AU81">
            <v>2.3640661938534267E-4</v>
          </cell>
          <cell r="AZ81">
            <v>6.2063184862661087E-5</v>
          </cell>
          <cell r="BA81">
            <v>6.2063184862661087E-5</v>
          </cell>
          <cell r="BB81">
            <v>6.2063184862661087E-5</v>
          </cell>
          <cell r="BC81">
            <v>1.0891859079749382E-4</v>
          </cell>
          <cell r="BD81">
            <v>1.0891859079749382E-4</v>
          </cell>
          <cell r="BI81">
            <v>3.8627253415978252E-2</v>
          </cell>
          <cell r="BJ81">
            <v>3.8627253415978252E-2</v>
          </cell>
          <cell r="BK81">
            <v>3.8627253415978252E-2</v>
          </cell>
          <cell r="BL81">
            <v>3.8627253415978252E-2</v>
          </cell>
          <cell r="BM81">
            <v>3.8627253415978252E-2</v>
          </cell>
          <cell r="CA81" t="e">
            <v>#DIV/0!</v>
          </cell>
          <cell r="CB81" t="e">
            <v>#DIV/0!</v>
          </cell>
          <cell r="CC81" t="e">
            <v>#DIV/0!</v>
          </cell>
          <cell r="CD81" t="e">
            <v>#DIV/0!</v>
          </cell>
          <cell r="CE81" t="e">
            <v>#DIV/0!</v>
          </cell>
        </row>
        <row r="82">
          <cell r="S82">
            <v>3.373286462870363E-5</v>
          </cell>
          <cell r="T82">
            <v>3.3548193003578998E-5</v>
          </cell>
          <cell r="U82">
            <v>3.3269751675829026E-5</v>
          </cell>
          <cell r="V82">
            <v>3.1750599860192977E-5</v>
          </cell>
          <cell r="W82">
            <v>3.1266101171117682E-5</v>
          </cell>
          <cell r="X82">
            <v>6.3194989540591454E-5</v>
          </cell>
          <cell r="Y82">
            <v>6.1867985703987897E-5</v>
          </cell>
          <cell r="Z82">
            <v>6.0303041335841341E-5</v>
          </cell>
          <cell r="AA82">
            <v>5.2886402501262383E-5</v>
          </cell>
          <cell r="AB82">
            <v>5.0511163738666029E-5</v>
          </cell>
          <cell r="AH82">
            <v>5.5555555555555558E-3</v>
          </cell>
          <cell r="AI82">
            <v>5.5555555555555558E-3</v>
          </cell>
          <cell r="AJ82">
            <v>5.5555555555555558E-3</v>
          </cell>
          <cell r="AK82">
            <v>5.5555555555555558E-3</v>
          </cell>
          <cell r="AL82">
            <v>5.5555555555555558E-3</v>
          </cell>
          <cell r="AQ82">
            <v>2.5641025641025663E-4</v>
          </cell>
          <cell r="AR82">
            <v>2.4600246002460065E-4</v>
          </cell>
          <cell r="AS82">
            <v>2.4243755480448889E-4</v>
          </cell>
          <cell r="AT82">
            <v>2.3640661938534351E-4</v>
          </cell>
          <cell r="AU82">
            <v>2.3640661938534275E-4</v>
          </cell>
          <cell r="AZ82">
            <v>5.9107795107296275E-5</v>
          </cell>
          <cell r="BA82">
            <v>5.9107795107296275E-5</v>
          </cell>
          <cell r="BB82">
            <v>5.9107795107296275E-5</v>
          </cell>
          <cell r="BC82">
            <v>1.0373199123570841E-4</v>
          </cell>
          <cell r="BD82">
            <v>1.0373199123570841E-4</v>
          </cell>
          <cell r="BI82">
            <v>3.6787860396169762E-2</v>
          </cell>
          <cell r="BJ82">
            <v>3.6787860396169762E-2</v>
          </cell>
          <cell r="BK82">
            <v>3.6787860396169762E-2</v>
          </cell>
          <cell r="BL82">
            <v>3.6787860396169762E-2</v>
          </cell>
          <cell r="BM82">
            <v>3.6787860396169762E-2</v>
          </cell>
          <cell r="CA82" t="e">
            <v>#DIV/0!</v>
          </cell>
          <cell r="CB82" t="e">
            <v>#DIV/0!</v>
          </cell>
          <cell r="CC82" t="e">
            <v>#DIV/0!</v>
          </cell>
          <cell r="CD82" t="e">
            <v>#DIV/0!</v>
          </cell>
          <cell r="CE82" t="e">
            <v>#DIV/0!</v>
          </cell>
        </row>
        <row r="83">
          <cell r="S83">
            <v>3.3193530304578657E-5</v>
          </cell>
          <cell r="T83">
            <v>3.3015881969350812E-5</v>
          </cell>
          <cell r="U83">
            <v>3.2761638395755171E-5</v>
          </cell>
          <cell r="V83">
            <v>3.1239435763247891E-5</v>
          </cell>
          <cell r="W83">
            <v>3.0672637930786897E-5</v>
          </cell>
          <cell r="X83">
            <v>6.1701278924714472E-5</v>
          </cell>
          <cell r="Y83">
            <v>6.0472037020309147E-5</v>
          </cell>
          <cell r="Z83">
            <v>5.9155821786914795E-5</v>
          </cell>
          <cell r="AA83">
            <v>5.1720382812691343E-5</v>
          </cell>
          <cell r="AB83">
            <v>4.8951523863460416E-5</v>
          </cell>
          <cell r="AH83">
            <v>5.5555555555555558E-3</v>
          </cell>
          <cell r="AI83">
            <v>5.5555555555555558E-3</v>
          </cell>
          <cell r="AJ83">
            <v>5.5555555555555558E-3</v>
          </cell>
          <cell r="AK83">
            <v>5.5555555555555558E-3</v>
          </cell>
          <cell r="AL83">
            <v>5.5555555555555558E-3</v>
          </cell>
          <cell r="AQ83">
            <v>2.4738582216364676E-4</v>
          </cell>
          <cell r="AR83">
            <v>2.4568688172161977E-4</v>
          </cell>
          <cell r="AS83">
            <v>2.3640661938534243E-4</v>
          </cell>
          <cell r="AT83">
            <v>2.3640661938534259E-4</v>
          </cell>
          <cell r="AU83">
            <v>2.2720915287373074E-4</v>
          </cell>
          <cell r="AZ83">
            <v>5.6293138197425025E-5</v>
          </cell>
          <cell r="BA83">
            <v>5.6293138197425025E-5</v>
          </cell>
          <cell r="BB83">
            <v>5.6293138197425025E-5</v>
          </cell>
          <cell r="BC83">
            <v>9.8792372605436575E-5</v>
          </cell>
          <cell r="BD83">
            <v>9.8792372605436575E-5</v>
          </cell>
          <cell r="BI83">
            <v>3.503605752016168E-2</v>
          </cell>
          <cell r="BJ83">
            <v>3.503605752016168E-2</v>
          </cell>
          <cell r="BK83">
            <v>3.503605752016168E-2</v>
          </cell>
          <cell r="BL83">
            <v>3.503605752016168E-2</v>
          </cell>
          <cell r="BM83">
            <v>3.503605752016168E-2</v>
          </cell>
          <cell r="CA83" t="e">
            <v>#DIV/0!</v>
          </cell>
          <cell r="CB83" t="e">
            <v>#DIV/0!</v>
          </cell>
          <cell r="CC83" t="e">
            <v>#DIV/0!</v>
          </cell>
          <cell r="CD83" t="e">
            <v>#DIV/0!</v>
          </cell>
          <cell r="CE83" t="e">
            <v>#DIV/0!</v>
          </cell>
        </row>
        <row r="84">
          <cell r="S84">
            <v>3.2670365852746465E-5</v>
          </cell>
          <cell r="T84">
            <v>3.2514220172961454E-5</v>
          </cell>
          <cell r="U84">
            <v>3.2266230369609056E-5</v>
          </cell>
          <cell r="V84">
            <v>3.0736061331373348E-5</v>
          </cell>
          <cell r="W84">
            <v>3.0094105935707296E-5</v>
          </cell>
          <cell r="X84">
            <v>6.0259415915588008E-5</v>
          </cell>
          <cell r="Y84">
            <v>5.9314842601409999E-5</v>
          </cell>
          <cell r="Z84">
            <v>5.8033929944313861E-5</v>
          </cell>
          <cell r="AA84">
            <v>5.0541136151133454E-5</v>
          </cell>
          <cell r="AB84">
            <v>4.743905630479552E-5</v>
          </cell>
          <cell r="AH84">
            <v>5.5555555555555558E-3</v>
          </cell>
          <cell r="AI84">
            <v>5.5555555555555558E-3</v>
          </cell>
          <cell r="AJ84">
            <v>5.5555555555555558E-3</v>
          </cell>
          <cell r="AK84">
            <v>5.5555555555555558E-3</v>
          </cell>
          <cell r="AL84">
            <v>5.5555555555555558E-3</v>
          </cell>
          <cell r="AQ84">
            <v>2.4600246002459984E-4</v>
          </cell>
          <cell r="AR84">
            <v>2.36406619385343E-4</v>
          </cell>
          <cell r="AS84">
            <v>2.3640661938534335E-4</v>
          </cell>
          <cell r="AT84">
            <v>2.3169837340664091E-4</v>
          </cell>
          <cell r="AU84">
            <v>2.2671016991186857E-4</v>
          </cell>
          <cell r="AZ84">
            <v>5.361251256897621E-5</v>
          </cell>
          <cell r="BA84">
            <v>5.361251256897621E-5</v>
          </cell>
          <cell r="BB84">
            <v>5.361251256897621E-5</v>
          </cell>
          <cell r="BC84">
            <v>9.4087973909939588E-5</v>
          </cell>
          <cell r="BD84">
            <v>9.4087973909939588E-5</v>
          </cell>
          <cell r="BI84">
            <v>3.3367673828725401E-2</v>
          </cell>
          <cell r="BJ84">
            <v>3.3367673828725401E-2</v>
          </cell>
          <cell r="BK84">
            <v>3.3367673828725401E-2</v>
          </cell>
          <cell r="BL84">
            <v>3.3367673828725401E-2</v>
          </cell>
          <cell r="BM84">
            <v>3.3367673828725401E-2</v>
          </cell>
          <cell r="CA84" t="e">
            <v>#DIV/0!</v>
          </cell>
          <cell r="CB84" t="e">
            <v>#DIV/0!</v>
          </cell>
          <cell r="CC84" t="e">
            <v>#DIV/0!</v>
          </cell>
          <cell r="CD84" t="e">
            <v>#DIV/0!</v>
          </cell>
          <cell r="CE84" t="e">
            <v>#DIV/0!</v>
          </cell>
        </row>
        <row r="85">
          <cell r="S85">
            <v>3.2153793530056791E-5</v>
          </cell>
          <cell r="T85">
            <v>3.2002752360830465E-5</v>
          </cell>
          <cell r="U85">
            <v>3.1747215649904929E-5</v>
          </cell>
          <cell r="V85">
            <v>3.0149345133429288E-5</v>
          </cell>
          <cell r="W85">
            <v>2.9550613779100092E-5</v>
          </cell>
          <cell r="X85">
            <v>5.8869140457031546E-5</v>
          </cell>
          <cell r="Y85">
            <v>5.8036763480250285E-5</v>
          </cell>
          <cell r="Z85">
            <v>5.6712694562182008E-5</v>
          </cell>
          <cell r="AA85">
            <v>4.883951593160857E-5</v>
          </cell>
          <cell r="AB85">
            <v>4.6090396386674712E-5</v>
          </cell>
          <cell r="AH85">
            <v>5.5555555555555558E-3</v>
          </cell>
          <cell r="AI85">
            <v>5.5555555555555558E-3</v>
          </cell>
          <cell r="AJ85">
            <v>5.5555555555555558E-3</v>
          </cell>
          <cell r="AK85">
            <v>5.5555555555555558E-3</v>
          </cell>
          <cell r="AL85">
            <v>5.5555555555555558E-3</v>
          </cell>
          <cell r="AQ85">
            <v>2.3886153987232809E-4</v>
          </cell>
          <cell r="AR85">
            <v>2.3640661938534283E-4</v>
          </cell>
          <cell r="AS85">
            <v>2.3285773211466221E-4</v>
          </cell>
          <cell r="AT85">
            <v>2.2675736961451235E-4</v>
          </cell>
          <cell r="AU85">
            <v>2.1786492374727671E-4</v>
          </cell>
          <cell r="AZ85">
            <v>5.1059535779977337E-5</v>
          </cell>
          <cell r="BA85">
            <v>5.1059535779977337E-5</v>
          </cell>
          <cell r="BB85">
            <v>5.1059535779977337E-5</v>
          </cell>
          <cell r="BC85">
            <v>8.9607594199942462E-5</v>
          </cell>
          <cell r="BD85">
            <v>8.9607594199942462E-5</v>
          </cell>
          <cell r="BI85">
            <v>3.1778736979738473E-2</v>
          </cell>
          <cell r="BJ85">
            <v>3.1778736979738473E-2</v>
          </cell>
          <cell r="BK85">
            <v>3.1778736979738473E-2</v>
          </cell>
          <cell r="BL85">
            <v>3.1778736979738473E-2</v>
          </cell>
          <cell r="BM85">
            <v>3.1778736979738473E-2</v>
          </cell>
          <cell r="CA85" t="e">
            <v>#DIV/0!</v>
          </cell>
          <cell r="CB85" t="e">
            <v>#DIV/0!</v>
          </cell>
          <cell r="CC85" t="e">
            <v>#DIV/0!</v>
          </cell>
          <cell r="CD85" t="e">
            <v>#DIV/0!</v>
          </cell>
          <cell r="CE85" t="e">
            <v>#DIV/0!</v>
          </cell>
        </row>
        <row r="86">
          <cell r="S86">
            <v>3.1999764261855736E-5</v>
          </cell>
          <cell r="T86">
            <v>3.1817268210569989E-5</v>
          </cell>
          <cell r="U86">
            <v>3.1510181570679344E-5</v>
          </cell>
          <cell r="V86">
            <v>2.9929783329480922E-5</v>
          </cell>
          <cell r="W86">
            <v>2.9313277445560655E-5</v>
          </cell>
          <cell r="X86">
            <v>5.8207632221209684E-5</v>
          </cell>
          <cell r="Y86">
            <v>5.7203768612238194E-5</v>
          </cell>
          <cell r="Z86">
            <v>5.5605939127822438E-5</v>
          </cell>
          <cell r="AA86">
            <v>4.7901070413823197E-5</v>
          </cell>
          <cell r="AB86">
            <v>4.5139211955017756E-5</v>
          </cell>
          <cell r="AH86">
            <v>5.5555555555555558E-3</v>
          </cell>
          <cell r="AI86">
            <v>5.5555555555555558E-3</v>
          </cell>
          <cell r="AJ86">
            <v>5.5555555555555558E-3</v>
          </cell>
          <cell r="AK86">
            <v>5.5555555555555558E-3</v>
          </cell>
          <cell r="AL86">
            <v>5.5555555555555558E-3</v>
          </cell>
          <cell r="AQ86">
            <v>2.3640661938534275E-4</v>
          </cell>
          <cell r="AR86">
            <v>2.3125529908628404E-4</v>
          </cell>
          <cell r="AS86">
            <v>2.2675736961451265E-4</v>
          </cell>
          <cell r="AT86">
            <v>2.1896968862142823E-4</v>
          </cell>
          <cell r="AU86">
            <v>2.1723172547862671E-4</v>
          </cell>
          <cell r="AZ86">
            <v>4.8628129314264127E-5</v>
          </cell>
          <cell r="BA86">
            <v>4.8628129314264127E-5</v>
          </cell>
          <cell r="BB86">
            <v>4.8628129314264127E-5</v>
          </cell>
          <cell r="BC86">
            <v>8.5340565904707094E-5</v>
          </cell>
          <cell r="BD86">
            <v>8.5340565904707094E-5</v>
          </cell>
          <cell r="BI86">
            <v>3.0265463790227119E-2</v>
          </cell>
          <cell r="BJ86">
            <v>3.0265463790227119E-2</v>
          </cell>
          <cell r="BK86">
            <v>3.0265463790227119E-2</v>
          </cell>
          <cell r="BL86">
            <v>3.0265463790227119E-2</v>
          </cell>
          <cell r="BM86">
            <v>3.0265463790227119E-2</v>
          </cell>
          <cell r="CA86" t="e">
            <v>#DIV/0!</v>
          </cell>
          <cell r="CB86" t="e">
            <v>#DIV/0!</v>
          </cell>
          <cell r="CC86" t="e">
            <v>#DIV/0!</v>
          </cell>
          <cell r="CD86" t="e">
            <v>#DIV/0!</v>
          </cell>
          <cell r="CE86" t="e">
            <v>#DIV/0!</v>
          </cell>
        </row>
        <row r="87">
          <cell r="S87">
            <v>3.1838716545588932E-5</v>
          </cell>
          <cell r="T87">
            <v>3.1621390764507524E-5</v>
          </cell>
          <cell r="U87">
            <v>3.1333535017572345E-5</v>
          </cell>
          <cell r="V87">
            <v>2.9746102719105614E-5</v>
          </cell>
          <cell r="W87">
            <v>2.9035925034254506E-5</v>
          </cell>
          <cell r="X87">
            <v>5.7519622997850305E-5</v>
          </cell>
          <cell r="Y87">
            <v>5.6328744935046096E-5</v>
          </cell>
          <cell r="Z87">
            <v>5.4903183107543132E-5</v>
          </cell>
          <cell r="AA87">
            <v>4.7172641082845977E-5</v>
          </cell>
          <cell r="AB87">
            <v>4.4038042649774406E-5</v>
          </cell>
          <cell r="AH87">
            <v>5.5555555555555558E-3</v>
          </cell>
          <cell r="AI87">
            <v>5.5555555555555558E-3</v>
          </cell>
          <cell r="AJ87">
            <v>5.5555555555555558E-3</v>
          </cell>
          <cell r="AK87">
            <v>5.5555555555555558E-3</v>
          </cell>
          <cell r="AL87">
            <v>5.5555555555555558E-3</v>
          </cell>
          <cell r="AQ87">
            <v>2.3042333289013272E-4</v>
          </cell>
          <cell r="AR87">
            <v>2.2675736961451243E-4</v>
          </cell>
          <cell r="AS87">
            <v>2.1818805998050127E-4</v>
          </cell>
          <cell r="AT87">
            <v>2.1786492374727641E-4</v>
          </cell>
          <cell r="AU87">
            <v>2.0964360587002109E-4</v>
          </cell>
          <cell r="AZ87">
            <v>4.6312504108822976E-5</v>
          </cell>
          <cell r="BA87">
            <v>4.6312504108822976E-5</v>
          </cell>
          <cell r="BB87">
            <v>4.6312504108822976E-5</v>
          </cell>
          <cell r="BC87">
            <v>8.1276729433054376E-5</v>
          </cell>
          <cell r="BD87">
            <v>8.1276729433054376E-5</v>
          </cell>
          <cell r="BI87">
            <v>2.8824251228787734E-2</v>
          </cell>
          <cell r="BJ87">
            <v>2.8824251228787734E-2</v>
          </cell>
          <cell r="BK87">
            <v>2.8824251228787734E-2</v>
          </cell>
          <cell r="BL87">
            <v>2.8824251228787734E-2</v>
          </cell>
          <cell r="BM87">
            <v>2.8824251228787734E-2</v>
          </cell>
          <cell r="CA87" t="e">
            <v>#DIV/0!</v>
          </cell>
          <cell r="CB87" t="e">
            <v>#DIV/0!</v>
          </cell>
          <cell r="CC87" t="e">
            <v>#DIV/0!</v>
          </cell>
          <cell r="CD87" t="e">
            <v>#DIV/0!</v>
          </cell>
          <cell r="CE87" t="e">
            <v>#DIV/0!</v>
          </cell>
        </row>
        <row r="88">
          <cell r="S88">
            <v>3.1677238126464932E-5</v>
          </cell>
          <cell r="T88">
            <v>3.1468183021338696E-5</v>
          </cell>
          <cell r="U88">
            <v>3.1194955359648826E-5</v>
          </cell>
          <cell r="V88">
            <v>2.955615123979006E-5</v>
          </cell>
          <cell r="W88">
            <v>2.8889717591931393E-5</v>
          </cell>
          <cell r="X88">
            <v>5.6832854418038552E-5</v>
          </cell>
          <cell r="Y88">
            <v>5.5728909552033427E-5</v>
          </cell>
          <cell r="Z88">
            <v>5.4305936278556857E-5</v>
          </cell>
          <cell r="AA88">
            <v>4.6420106098718515E-5</v>
          </cell>
          <cell r="AB88">
            <v>4.3504247821434525E-5</v>
          </cell>
          <cell r="AH88">
            <v>5.5555555555555558E-3</v>
          </cell>
          <cell r="AI88">
            <v>5.5555555555555558E-3</v>
          </cell>
          <cell r="AJ88">
            <v>5.5555555555555558E-3</v>
          </cell>
          <cell r="AK88">
            <v>5.5555555555555558E-3</v>
          </cell>
          <cell r="AL88">
            <v>5.5555555555555558E-3</v>
          </cell>
          <cell r="AQ88">
            <v>2.2675736961451243E-4</v>
          </cell>
          <cell r="AR88">
            <v>2.2019024792532002E-4</v>
          </cell>
          <cell r="AS88">
            <v>2.1786492374727652E-4</v>
          </cell>
          <cell r="AT88">
            <v>2.1147793081109582E-4</v>
          </cell>
          <cell r="AU88">
            <v>2.0729620650466969E-4</v>
          </cell>
          <cell r="AZ88">
            <v>4.4107146770307594E-5</v>
          </cell>
          <cell r="BA88">
            <v>4.4107146770307594E-5</v>
          </cell>
          <cell r="BB88">
            <v>4.4107146770307594E-5</v>
          </cell>
          <cell r="BC88">
            <v>7.7406408983861301E-5</v>
          </cell>
          <cell r="BD88">
            <v>7.7406408983861301E-5</v>
          </cell>
          <cell r="BI88">
            <v>2.74516678369407E-2</v>
          </cell>
          <cell r="BJ88">
            <v>2.74516678369407E-2</v>
          </cell>
          <cell r="BK88">
            <v>2.74516678369407E-2</v>
          </cell>
          <cell r="BL88">
            <v>2.74516678369407E-2</v>
          </cell>
          <cell r="BM88">
            <v>2.74516678369407E-2</v>
          </cell>
          <cell r="CA88" t="e">
            <v>#DIV/0!</v>
          </cell>
          <cell r="CB88" t="e">
            <v>#DIV/0!</v>
          </cell>
          <cell r="CC88" t="e">
            <v>#DIV/0!</v>
          </cell>
          <cell r="CD88" t="e">
            <v>#DIV/0!</v>
          </cell>
          <cell r="CE88" t="e">
            <v>#DIV/0!</v>
          </cell>
        </row>
        <row r="89">
          <cell r="S89">
            <v>3.1512134961283732E-5</v>
          </cell>
          <cell r="T89">
            <v>3.1304224279073324E-5</v>
          </cell>
          <cell r="U89">
            <v>3.1031170381656946E-5</v>
          </cell>
          <cell r="V89">
            <v>2.93889670206136E-5</v>
          </cell>
          <cell r="W89">
            <v>2.8876522386013359E-5</v>
          </cell>
          <cell r="X89">
            <v>5.6134319748424747E-5</v>
          </cell>
          <cell r="Y89">
            <v>5.5072470159493807E-5</v>
          </cell>
          <cell r="Z89">
            <v>5.3531618375933426E-5</v>
          </cell>
          <cell r="AA89">
            <v>4.5728944495898057E-5</v>
          </cell>
          <cell r="AB89">
            <v>4.348429975197583E-5</v>
          </cell>
          <cell r="AH89">
            <v>5.5555555555555558E-3</v>
          </cell>
          <cell r="AI89">
            <v>5.5555555555555558E-3</v>
          </cell>
          <cell r="AJ89">
            <v>5.5555555555555558E-3</v>
          </cell>
          <cell r="AK89">
            <v>5.5555555555555558E-3</v>
          </cell>
          <cell r="AL89">
            <v>5.5555555555555558E-3</v>
          </cell>
          <cell r="AQ89">
            <v>2.2236992207224854E-4</v>
          </cell>
          <cell r="AR89">
            <v>2.1786492374727668E-4</v>
          </cell>
          <cell r="AS89">
            <v>2.1444002891696202E-4</v>
          </cell>
          <cell r="AT89">
            <v>2.0964360587002131E-4</v>
          </cell>
          <cell r="AU89">
            <v>2.0202020202020194E-4</v>
          </cell>
          <cell r="AZ89">
            <v>4.2006806447911987E-5</v>
          </cell>
          <cell r="BA89">
            <v>4.2006806447911987E-5</v>
          </cell>
          <cell r="BB89">
            <v>4.2006806447911987E-5</v>
          </cell>
          <cell r="BC89">
            <v>7.3720389508439329E-5</v>
          </cell>
          <cell r="BD89">
            <v>7.3720389508439329E-5</v>
          </cell>
          <cell r="BI89">
            <v>2.6144445558991137E-2</v>
          </cell>
          <cell r="BJ89">
            <v>2.6144445558991137E-2</v>
          </cell>
          <cell r="BK89">
            <v>2.6144445558991137E-2</v>
          </cell>
          <cell r="BL89">
            <v>2.6144445558991137E-2</v>
          </cell>
          <cell r="BM89">
            <v>2.6144445558991137E-2</v>
          </cell>
          <cell r="CA89" t="e">
            <v>#DIV/0!</v>
          </cell>
          <cell r="CB89" t="e">
            <v>#DIV/0!</v>
          </cell>
          <cell r="CC89" t="e">
            <v>#DIV/0!</v>
          </cell>
          <cell r="CD89" t="e">
            <v>#DIV/0!</v>
          </cell>
          <cell r="CE89" t="e">
            <v>#DIV/0!</v>
          </cell>
        </row>
        <row r="90">
          <cell r="S90">
            <v>3.1470627510258038E-5</v>
          </cell>
          <cell r="T90">
            <v>3.1279678481977872E-5</v>
          </cell>
          <cell r="U90">
            <v>3.0989301354051357E-5</v>
          </cell>
          <cell r="V90">
            <v>2.9382808721318111E-5</v>
          </cell>
          <cell r="W90">
            <v>2.8881852366560305E-5</v>
          </cell>
          <cell r="X90">
            <v>5.5998186136611246E-5</v>
          </cell>
          <cell r="Y90">
            <v>5.4993888824222847E-5</v>
          </cell>
          <cell r="Z90">
            <v>5.3299018117323992E-5</v>
          </cell>
          <cell r="AA90">
            <v>4.5719004645513622E-5</v>
          </cell>
          <cell r="AB90">
            <v>4.3492357429096476E-5</v>
          </cell>
          <cell r="AH90">
            <v>5.5555555555555558E-3</v>
          </cell>
          <cell r="AI90">
            <v>5.5555555555555558E-3</v>
          </cell>
          <cell r="AJ90">
            <v>5.5555555555555558E-3</v>
          </cell>
          <cell r="AK90">
            <v>5.5555555555555558E-3</v>
          </cell>
          <cell r="AL90">
            <v>5.5555555555555558E-3</v>
          </cell>
          <cell r="AQ90">
            <v>2.1786492374727679E-4</v>
          </cell>
          <cell r="AR90">
            <v>2.1480423977620339E-4</v>
          </cell>
          <cell r="AS90">
            <v>2.0964360587002087E-4</v>
          </cell>
          <cell r="AT90">
            <v>2.0293405606491345E-4</v>
          </cell>
          <cell r="AU90">
            <v>2.0057239348823466E-4</v>
          </cell>
          <cell r="AZ90">
            <v>4.0006482331344748E-5</v>
          </cell>
          <cell r="BA90">
            <v>4.0006482331344748E-5</v>
          </cell>
          <cell r="BB90">
            <v>4.0006482331344748E-5</v>
          </cell>
          <cell r="BC90">
            <v>7.0209894769942212E-5</v>
          </cell>
          <cell r="BD90">
            <v>7.0209894769942212E-5</v>
          </cell>
          <cell r="BI90">
            <v>2.4899471960943938E-2</v>
          </cell>
          <cell r="BJ90">
            <v>2.4899471960943938E-2</v>
          </cell>
          <cell r="BK90">
            <v>2.4899471960943938E-2</v>
          </cell>
          <cell r="BL90">
            <v>2.4899471960943938E-2</v>
          </cell>
          <cell r="BM90">
            <v>2.4899471960943938E-2</v>
          </cell>
          <cell r="CA90" t="e">
            <v>#DIV/0!</v>
          </cell>
          <cell r="CB90" t="e">
            <v>#DIV/0!</v>
          </cell>
          <cell r="CC90" t="e">
            <v>#DIV/0!</v>
          </cell>
          <cell r="CD90" t="e">
            <v>#DIV/0!</v>
          </cell>
          <cell r="CE90" t="e">
            <v>#DIV/0!</v>
          </cell>
        </row>
        <row r="91">
          <cell r="S91">
            <v>3.145204067371711E-5</v>
          </cell>
          <cell r="T91">
            <v>3.1276606940464816E-5</v>
          </cell>
          <cell r="U91">
            <v>3.0981087486312181E-5</v>
          </cell>
          <cell r="V91">
            <v>2.9391255928599352E-5</v>
          </cell>
          <cell r="W91">
            <v>2.885543128016274E-5</v>
          </cell>
          <cell r="X91">
            <v>5.5958957468435098E-5</v>
          </cell>
          <cell r="Y91">
            <v>5.4987559430771463E-5</v>
          </cell>
          <cell r="Z91">
            <v>5.3282820377589818E-5</v>
          </cell>
          <cell r="AA91">
            <v>4.5732638965089222E-5</v>
          </cell>
          <cell r="AB91">
            <v>4.3452415074156581E-5</v>
          </cell>
          <cell r="AH91">
            <v>5.5555555555555558E-3</v>
          </cell>
          <cell r="AI91">
            <v>5.5555555555555558E-3</v>
          </cell>
          <cell r="AJ91">
            <v>5.5555555555555558E-3</v>
          </cell>
          <cell r="AK91">
            <v>5.5555555555555558E-3</v>
          </cell>
          <cell r="AL91">
            <v>5.5555555555555558E-3</v>
          </cell>
          <cell r="AQ91">
            <v>2.1486409960032164E-4</v>
          </cell>
          <cell r="AR91">
            <v>2.0964360587002112E-4</v>
          </cell>
          <cell r="AS91">
            <v>2.0397134156584953E-4</v>
          </cell>
          <cell r="AT91">
            <v>2.0202020202020191E-4</v>
          </cell>
          <cell r="AU91">
            <v>1.9436345966958223E-4</v>
          </cell>
          <cell r="AZ91">
            <v>3.8101411744137856E-5</v>
          </cell>
          <cell r="BA91">
            <v>3.8101411744137856E-5</v>
          </cell>
          <cell r="BB91">
            <v>3.8101411744137856E-5</v>
          </cell>
          <cell r="BC91">
            <v>6.6866566447564018E-5</v>
          </cell>
          <cell r="BD91">
            <v>6.6866566447564018E-5</v>
          </cell>
          <cell r="BI91">
            <v>2.371378281994661E-2</v>
          </cell>
          <cell r="BJ91">
            <v>2.371378281994661E-2</v>
          </cell>
          <cell r="BK91">
            <v>2.371378281994661E-2</v>
          </cell>
          <cell r="BL91">
            <v>2.371378281994661E-2</v>
          </cell>
          <cell r="BM91">
            <v>2.371378281994661E-2</v>
          </cell>
          <cell r="CA91" t="e">
            <v>#DIV/0!</v>
          </cell>
          <cell r="CB91" t="e">
            <v>#DIV/0!</v>
          </cell>
          <cell r="CC91" t="e">
            <v>#DIV/0!</v>
          </cell>
          <cell r="CD91" t="e">
            <v>#DIV/0!</v>
          </cell>
          <cell r="CE91" t="e">
            <v>#DIV/0!</v>
          </cell>
        </row>
        <row r="92">
          <cell r="S92">
            <v>3.1433429124534039E-5</v>
          </cell>
          <cell r="T92">
            <v>3.1255320373941174E-5</v>
          </cell>
          <cell r="U92">
            <v>3.0965018191159014E-5</v>
          </cell>
          <cell r="V92">
            <v>2.9357952071007071E-5</v>
          </cell>
          <cell r="W92">
            <v>2.8824958832218678E-5</v>
          </cell>
          <cell r="X92">
            <v>5.5919685288531546E-5</v>
          </cell>
          <cell r="Y92">
            <v>5.4943700996390098E-5</v>
          </cell>
          <cell r="Z92">
            <v>5.3251135382224666E-5</v>
          </cell>
          <cell r="AA92">
            <v>4.5678886158078217E-5</v>
          </cell>
          <cell r="AB92">
            <v>4.3406348386041428E-5</v>
          </cell>
          <cell r="AH92">
            <v>5.5555555555555558E-3</v>
          </cell>
          <cell r="AI92">
            <v>5.5555555555555558E-3</v>
          </cell>
          <cell r="AJ92">
            <v>5.5555555555555558E-3</v>
          </cell>
          <cell r="AK92">
            <v>5.5555555555555558E-3</v>
          </cell>
          <cell r="AL92">
            <v>5.5555555555555558E-3</v>
          </cell>
          <cell r="AQ92">
            <v>2.0964360587002085E-4</v>
          </cell>
          <cell r="AR92">
            <v>2.0584602299625457E-4</v>
          </cell>
          <cell r="AS92">
            <v>2.0202020202020202E-4</v>
          </cell>
          <cell r="AT92">
            <v>1.9480662832065744E-4</v>
          </cell>
          <cell r="AU92">
            <v>1.9436345966958242E-4</v>
          </cell>
          <cell r="AZ92">
            <v>3.6287058803940816E-5</v>
          </cell>
          <cell r="BA92">
            <v>3.6287058803940816E-5</v>
          </cell>
          <cell r="BB92">
            <v>3.6287058803940816E-5</v>
          </cell>
          <cell r="BC92">
            <v>6.3682444235775245E-5</v>
          </cell>
          <cell r="BD92">
            <v>6.3682444235775245E-5</v>
          </cell>
          <cell r="BI92">
            <v>2.2584555066615816E-2</v>
          </cell>
          <cell r="BJ92">
            <v>2.2584555066615816E-2</v>
          </cell>
          <cell r="BK92">
            <v>2.2584555066615816E-2</v>
          </cell>
          <cell r="BL92">
            <v>2.2584555066615816E-2</v>
          </cell>
          <cell r="BM92">
            <v>2.2584555066615816E-2</v>
          </cell>
          <cell r="CA92" t="e">
            <v>#DIV/0!</v>
          </cell>
          <cell r="CB92" t="e">
            <v>#DIV/0!</v>
          </cell>
          <cell r="CC92" t="e">
            <v>#DIV/0!</v>
          </cell>
          <cell r="CD92" t="e">
            <v>#DIV/0!</v>
          </cell>
          <cell r="CE92" t="e">
            <v>#DIV/0!</v>
          </cell>
        </row>
        <row r="93">
          <cell r="S93">
            <v>3.1418822699179733E-5</v>
          </cell>
          <cell r="T93">
            <v>3.1237429384161791E-5</v>
          </cell>
          <cell r="U93">
            <v>3.0950363159381981E-5</v>
          </cell>
          <cell r="V93">
            <v>2.9328206952767929E-5</v>
          </cell>
          <cell r="W93">
            <v>2.8801230076671342E-5</v>
          </cell>
          <cell r="X93">
            <v>5.5888870367024063E-5</v>
          </cell>
          <cell r="Y93">
            <v>5.4906846686850418E-5</v>
          </cell>
          <cell r="Z93">
            <v>5.3222243192123082E-5</v>
          </cell>
          <cell r="AA93">
            <v>4.5630881041255944E-5</v>
          </cell>
          <cell r="AB93">
            <v>4.3370476730652364E-5</v>
          </cell>
          <cell r="AH93">
            <v>5.5555555555555558E-3</v>
          </cell>
          <cell r="AI93">
            <v>5.5555555555555558E-3</v>
          </cell>
          <cell r="AJ93">
            <v>5.5555555555555558E-3</v>
          </cell>
          <cell r="AK93">
            <v>5.5555555555555558E-3</v>
          </cell>
          <cell r="AL93">
            <v>5.5555555555555558E-3</v>
          </cell>
          <cell r="AQ93">
            <v>2.0785138292656125E-4</v>
          </cell>
          <cell r="AR93">
            <v>2.0202020202020202E-4</v>
          </cell>
          <cell r="AS93">
            <v>1.9942714393006555E-4</v>
          </cell>
          <cell r="AT93">
            <v>1.9436345966958245E-4</v>
          </cell>
          <cell r="AU93">
            <v>1.9436345966958188E-4</v>
          </cell>
          <cell r="AZ93">
            <v>3.4559103622800775E-5</v>
          </cell>
          <cell r="BA93">
            <v>3.4559103622800775E-5</v>
          </cell>
          <cell r="BB93">
            <v>3.4559103622800775E-5</v>
          </cell>
          <cell r="BC93">
            <v>6.0649946891214527E-5</v>
          </cell>
          <cell r="BD93">
            <v>6.0649946891214527E-5</v>
          </cell>
          <cell r="BI93">
            <v>2.1509100063443636E-2</v>
          </cell>
          <cell r="BJ93">
            <v>2.1509100063443636E-2</v>
          </cell>
          <cell r="BK93">
            <v>2.1509100063443636E-2</v>
          </cell>
          <cell r="BL93">
            <v>2.1509100063443636E-2</v>
          </cell>
          <cell r="BM93">
            <v>2.1509100063443636E-2</v>
          </cell>
          <cell r="CA93" t="e">
            <v>#DIV/0!</v>
          </cell>
          <cell r="CB93" t="e">
            <v>#DIV/0!</v>
          </cell>
          <cell r="CC93" t="e">
            <v>#DIV/0!</v>
          </cell>
          <cell r="CD93" t="e">
            <v>#DIV/0!</v>
          </cell>
          <cell r="CE93" t="e">
            <v>#DIV/0!</v>
          </cell>
        </row>
        <row r="94">
          <cell r="S94">
            <v>3.1475734721297107E-5</v>
          </cell>
          <cell r="T94">
            <v>3.1309482643041724E-5</v>
          </cell>
          <cell r="U94">
            <v>3.0989723087105611E-5</v>
          </cell>
          <cell r="V94">
            <v>2.9367606013427186E-5</v>
          </cell>
          <cell r="W94">
            <v>2.882259691598213E-5</v>
          </cell>
          <cell r="X94">
            <v>5.6008966732989819E-5</v>
          </cell>
          <cell r="Y94">
            <v>5.5055316086882512E-5</v>
          </cell>
          <cell r="Z94">
            <v>5.3299849808502213E-5</v>
          </cell>
          <cell r="AA94">
            <v>4.5694467263523901E-5</v>
          </cell>
          <cell r="AB94">
            <v>4.3402777777777779E-5</v>
          </cell>
          <cell r="AH94">
            <v>5.5555555555555558E-3</v>
          </cell>
          <cell r="AI94">
            <v>5.5555555555555558E-3</v>
          </cell>
          <cell r="AJ94">
            <v>5.5555555555555558E-3</v>
          </cell>
          <cell r="AK94">
            <v>5.5555555555555558E-3</v>
          </cell>
          <cell r="AL94">
            <v>5.5555555555555558E-3</v>
          </cell>
          <cell r="AQ94">
            <v>2.0202020202020202E-4</v>
          </cell>
          <cell r="AR94">
            <v>2.0091597107747933E-4</v>
          </cell>
          <cell r="AS94">
            <v>1.9436345966958147E-4</v>
          </cell>
          <cell r="AT94">
            <v>1.9436345966958193E-4</v>
          </cell>
          <cell r="AU94">
            <v>2.1775664948318692E-3</v>
          </cell>
          <cell r="AZ94">
            <v>3.2913432021715028E-5</v>
          </cell>
          <cell r="BA94">
            <v>3.2913432021715028E-5</v>
          </cell>
          <cell r="BB94">
            <v>3.2913432021715028E-5</v>
          </cell>
          <cell r="BC94">
            <v>5.7761854182109069E-5</v>
          </cell>
          <cell r="BD94">
            <v>5.7761854182109069E-5</v>
          </cell>
          <cell r="BI94">
            <v>2.0484857203279652E-2</v>
          </cell>
          <cell r="BJ94">
            <v>2.0484857203279652E-2</v>
          </cell>
          <cell r="BK94">
            <v>2.0484857203279652E-2</v>
          </cell>
          <cell r="BL94">
            <v>2.0484857203279652E-2</v>
          </cell>
          <cell r="BM94">
            <v>2.0484857203279652E-2</v>
          </cell>
          <cell r="CA94" t="e">
            <v>#DIV/0!</v>
          </cell>
          <cell r="CB94" t="e">
            <v>#DIV/0!</v>
          </cell>
          <cell r="CC94" t="e">
            <v>#DIV/0!</v>
          </cell>
          <cell r="CD94" t="e">
            <v>#DIV/0!</v>
          </cell>
          <cell r="CE94" t="e">
            <v>#DIV/0!</v>
          </cell>
        </row>
        <row r="95">
          <cell r="S95">
            <v>3.1562553800494124E-5</v>
          </cell>
          <cell r="T95">
            <v>3.1360211028165535E-5</v>
          </cell>
          <cell r="U95">
            <v>3.1042881201026568E-5</v>
          </cell>
          <cell r="V95">
            <v>2.9410250954951154E-5</v>
          </cell>
          <cell r="W95">
            <v>2.882259691598213E-5</v>
          </cell>
          <cell r="X95">
            <v>5.6192329223598626E-5</v>
          </cell>
          <cell r="Y95">
            <v>5.5159915141695237E-5</v>
          </cell>
          <cell r="Z95">
            <v>5.3404708424086258E-5</v>
          </cell>
          <cell r="AA95">
            <v>4.5763299191357225E-5</v>
          </cell>
          <cell r="AB95">
            <v>4.3402777777777779E-5</v>
          </cell>
          <cell r="AH95">
            <v>5.5555555555555558E-3</v>
          </cell>
          <cell r="AI95">
            <v>5.5555555555555558E-3</v>
          </cell>
          <cell r="AJ95">
            <v>5.5555555555555558E-3</v>
          </cell>
          <cell r="AK95">
            <v>5.5555555555555558E-3</v>
          </cell>
          <cell r="AL95">
            <v>5.5555555555555558E-3</v>
          </cell>
          <cell r="AQ95">
            <v>2.0122326504610398E-4</v>
          </cell>
          <cell r="AR95">
            <v>1.9436345966958204E-4</v>
          </cell>
          <cell r="AS95">
            <v>1.9436345966958223E-4</v>
          </cell>
          <cell r="AT95">
            <v>5.2593767921096512E-4</v>
          </cell>
          <cell r="AU95">
            <v>2.1775664948318692E-3</v>
          </cell>
          <cell r="AZ95">
            <v>3.134612573496669E-5</v>
          </cell>
          <cell r="BA95">
            <v>3.134612573496669E-5</v>
          </cell>
          <cell r="BB95">
            <v>3.134612573496669E-5</v>
          </cell>
          <cell r="BC95">
            <v>5.5011289697246727E-5</v>
          </cell>
          <cell r="BD95">
            <v>5.5011289697246727E-5</v>
          </cell>
          <cell r="BI95">
            <v>1.9509387812647286E-2</v>
          </cell>
          <cell r="BJ95">
            <v>1.9509387812647286E-2</v>
          </cell>
          <cell r="BK95">
            <v>1.9509387812647286E-2</v>
          </cell>
          <cell r="BL95">
            <v>1.9509387812647286E-2</v>
          </cell>
          <cell r="BM95">
            <v>1.9509387812647286E-2</v>
          </cell>
          <cell r="CA95" t="e">
            <v>#DIV/0!</v>
          </cell>
          <cell r="CB95" t="e">
            <v>#DIV/0!</v>
          </cell>
          <cell r="CC95" t="e">
            <v>#DIV/0!</v>
          </cell>
          <cell r="CD95" t="e">
            <v>#DIV/0!</v>
          </cell>
          <cell r="CE95" t="e">
            <v>#DIV/0!</v>
          </cell>
        </row>
        <row r="96">
          <cell r="S96">
            <v>3.1644447962951764E-5</v>
          </cell>
          <cell r="T96">
            <v>3.1445189601429881E-5</v>
          </cell>
          <cell r="U96">
            <v>3.1099156311488555E-5</v>
          </cell>
          <cell r="V96">
            <v>2.9410250954951154E-5</v>
          </cell>
          <cell r="W96">
            <v>2.882259691598213E-5</v>
          </cell>
          <cell r="X96">
            <v>5.6365463135245385E-5</v>
          </cell>
          <cell r="Y96">
            <v>5.5335267084480906E-5</v>
          </cell>
          <cell r="Z96">
            <v>5.3515773065481677E-5</v>
          </cell>
          <cell r="AA96">
            <v>4.5763299191357225E-5</v>
          </cell>
          <cell r="AB96">
            <v>4.3402777777777779E-5</v>
          </cell>
          <cell r="AH96">
            <v>5.5555555555555558E-3</v>
          </cell>
          <cell r="AI96">
            <v>5.5555555555555558E-3</v>
          </cell>
          <cell r="AJ96">
            <v>5.5555555555555558E-3</v>
          </cell>
          <cell r="AK96">
            <v>5.5555555555555558E-3</v>
          </cell>
          <cell r="AL96">
            <v>5.5555555555555558E-3</v>
          </cell>
          <cell r="AQ96">
            <v>1.9436345966958215E-4</v>
          </cell>
          <cell r="AR96">
            <v>1.9436345966958215E-4</v>
          </cell>
          <cell r="AS96">
            <v>9.1200183035122491E-4</v>
          </cell>
          <cell r="AT96">
            <v>5.2593767921096512E-4</v>
          </cell>
          <cell r="AU96">
            <v>2.1775664948318692E-3</v>
          </cell>
          <cell r="AZ96">
            <v>2.9853453080920655E-5</v>
          </cell>
          <cell r="BA96">
            <v>2.9853453080920655E-5</v>
          </cell>
          <cell r="BB96">
            <v>2.9853453080920655E-5</v>
          </cell>
          <cell r="BC96">
            <v>5.2391704473568307E-5</v>
          </cell>
          <cell r="BD96">
            <v>5.2391704473568307E-5</v>
          </cell>
          <cell r="BI96">
            <v>1.8580369345378368E-2</v>
          </cell>
          <cell r="BJ96">
            <v>1.8580369345378368E-2</v>
          </cell>
          <cell r="BK96">
            <v>1.8580369345378368E-2</v>
          </cell>
          <cell r="BL96">
            <v>1.8580369345378368E-2</v>
          </cell>
          <cell r="BM96">
            <v>1.8580369345378368E-2</v>
          </cell>
          <cell r="CA96" t="e">
            <v>#DIV/0!</v>
          </cell>
          <cell r="CB96" t="e">
            <v>#DIV/0!</v>
          </cell>
          <cell r="CC96" t="e">
            <v>#DIV/0!</v>
          </cell>
          <cell r="CD96" t="e">
            <v>#DIV/0!</v>
          </cell>
          <cell r="CE96" t="e">
            <v>#DIV/0!</v>
          </cell>
        </row>
        <row r="97">
          <cell r="S97">
            <v>3.1732693091662947E-5</v>
          </cell>
          <cell r="T97">
            <v>3.1477122299846666E-5</v>
          </cell>
          <cell r="U97">
            <v>3.1099156311488555E-5</v>
          </cell>
          <cell r="V97">
            <v>2.9410250954951154E-5</v>
          </cell>
          <cell r="W97">
            <v>2.882259691598213E-5</v>
          </cell>
          <cell r="X97">
            <v>5.6552211884689397E-5</v>
          </cell>
          <cell r="Y97">
            <v>5.5401202131482085E-5</v>
          </cell>
          <cell r="Z97">
            <v>5.3515773065481677E-5</v>
          </cell>
          <cell r="AA97">
            <v>4.5763299191357225E-5</v>
          </cell>
          <cell r="AB97">
            <v>4.3402777777777779E-5</v>
          </cell>
          <cell r="AH97">
            <v>5.5555555555555558E-3</v>
          </cell>
          <cell r="AI97">
            <v>5.5555555555555558E-3</v>
          </cell>
          <cell r="AJ97">
            <v>5.5555555555555558E-3</v>
          </cell>
          <cell r="AK97">
            <v>5.5555555555555558E-3</v>
          </cell>
          <cell r="AL97">
            <v>5.5555555555555558E-3</v>
          </cell>
          <cell r="AQ97">
            <v>1.9436345966958202E-4</v>
          </cell>
          <cell r="AR97">
            <v>2.1113811150658152E-3</v>
          </cell>
          <cell r="AS97">
            <v>9.1200183035122491E-4</v>
          </cell>
          <cell r="AT97">
            <v>5.2593767921096512E-4</v>
          </cell>
          <cell r="AU97">
            <v>2.1775664948318692E-3</v>
          </cell>
          <cell r="AZ97">
            <v>2.8431860077067288E-5</v>
          </cell>
          <cell r="BA97">
            <v>2.8431860077067288E-5</v>
          </cell>
          <cell r="BB97">
            <v>2.8431860077067288E-5</v>
          </cell>
          <cell r="BC97">
            <v>4.9896861403398391E-5</v>
          </cell>
          <cell r="BD97">
            <v>4.9896861403398391E-5</v>
          </cell>
          <cell r="BI97">
            <v>1.7695589852741302E-2</v>
          </cell>
          <cell r="BJ97">
            <v>1.7695589852741302E-2</v>
          </cell>
          <cell r="BK97">
            <v>1.7695589852741302E-2</v>
          </cell>
          <cell r="BL97">
            <v>1.7695589852741302E-2</v>
          </cell>
          <cell r="BM97">
            <v>1.7695589852741302E-2</v>
          </cell>
          <cell r="CA97" t="e">
            <v>#DIV/0!</v>
          </cell>
          <cell r="CB97" t="e">
            <v>#DIV/0!</v>
          </cell>
          <cell r="CC97" t="e">
            <v>#DIV/0!</v>
          </cell>
          <cell r="CD97" t="e">
            <v>#DIV/0!</v>
          </cell>
          <cell r="CE97" t="e">
            <v>#DIV/0!</v>
          </cell>
        </row>
        <row r="98">
          <cell r="S98">
            <v>3.1735145527255896E-5</v>
          </cell>
          <cell r="T98">
            <v>3.1477122299846666E-5</v>
          </cell>
          <cell r="U98">
            <v>3.1099156311488555E-5</v>
          </cell>
          <cell r="V98">
            <v>2.9410250954951154E-5</v>
          </cell>
          <cell r="W98">
            <v>2.882259691598213E-5</v>
          </cell>
          <cell r="X98">
            <v>5.6557404641615727E-5</v>
          </cell>
          <cell r="Y98">
            <v>5.5401202131482085E-5</v>
          </cell>
          <cell r="Z98">
            <v>5.3515773065481677E-5</v>
          </cell>
          <cell r="AA98">
            <v>4.5763299191357225E-5</v>
          </cell>
          <cell r="AB98">
            <v>4.3402777777777779E-5</v>
          </cell>
          <cell r="AH98">
            <v>5.5555555555555558E-3</v>
          </cell>
          <cell r="AI98">
            <v>5.5555555555555558E-3</v>
          </cell>
          <cell r="AJ98">
            <v>5.5555555555555558E-3</v>
          </cell>
          <cell r="AK98">
            <v>5.5555555555555558E-3</v>
          </cell>
          <cell r="AL98">
            <v>5.5555555555555558E-3</v>
          </cell>
          <cell r="AQ98">
            <v>7.5171587371696347E-3</v>
          </cell>
          <cell r="AR98">
            <v>2.1113811150658152E-3</v>
          </cell>
          <cell r="AS98">
            <v>9.1200183035122491E-4</v>
          </cell>
          <cell r="AT98">
            <v>5.2593767921096512E-4</v>
          </cell>
          <cell r="AU98">
            <v>2.1775664948318692E-3</v>
          </cell>
          <cell r="AZ98">
            <v>2.707796197815932E-5</v>
          </cell>
          <cell r="BA98">
            <v>2.707796197815932E-5</v>
          </cell>
          <cell r="BB98">
            <v>2.707796197815932E-5</v>
          </cell>
          <cell r="BC98">
            <v>4.7520820384188939E-5</v>
          </cell>
          <cell r="BD98">
            <v>4.7520820384188939E-5</v>
          </cell>
          <cell r="BI98">
            <v>1.6852942716896479E-2</v>
          </cell>
          <cell r="BJ98">
            <v>1.6852942716896479E-2</v>
          </cell>
          <cell r="BK98">
            <v>1.6852942716896479E-2</v>
          </cell>
          <cell r="BL98">
            <v>1.6852942716896479E-2</v>
          </cell>
          <cell r="BM98">
            <v>1.6852942716896479E-2</v>
          </cell>
          <cell r="CA98" t="e">
            <v>#DIV/0!</v>
          </cell>
          <cell r="CB98" t="e">
            <v>#DIV/0!</v>
          </cell>
          <cell r="CC98" t="e">
            <v>#DIV/0!</v>
          </cell>
          <cell r="CD98" t="e">
            <v>#DIV/0!</v>
          </cell>
          <cell r="CE98" t="e">
            <v>#DIV/0!</v>
          </cell>
        </row>
        <row r="99">
          <cell r="S99">
            <v>3.1735145527255896E-5</v>
          </cell>
          <cell r="T99">
            <v>3.1477122299846666E-5</v>
          </cell>
          <cell r="U99">
            <v>3.1099156311488555E-5</v>
          </cell>
          <cell r="V99">
            <v>2.9410250954951154E-5</v>
          </cell>
          <cell r="W99">
            <v>2.882259691598213E-5</v>
          </cell>
          <cell r="X99">
            <v>5.6557404641615727E-5</v>
          </cell>
          <cell r="Y99">
            <v>5.5401202131482085E-5</v>
          </cell>
          <cell r="Z99">
            <v>5.3515773065481677E-5</v>
          </cell>
          <cell r="AA99">
            <v>4.5763299191357225E-5</v>
          </cell>
          <cell r="AB99">
            <v>4.3402777777777779E-5</v>
          </cell>
          <cell r="AH99">
            <v>5.5555555555555558E-3</v>
          </cell>
          <cell r="AI99">
            <v>5.5555555555555558E-3</v>
          </cell>
          <cell r="AJ99">
            <v>5.5555555555555558E-3</v>
          </cell>
          <cell r="AK99">
            <v>5.5555555555555558E-3</v>
          </cell>
          <cell r="AL99">
            <v>5.5555555555555558E-3</v>
          </cell>
          <cell r="AQ99">
            <v>7.5171587371696347E-3</v>
          </cell>
          <cell r="AR99">
            <v>2.1113811150658152E-3</v>
          </cell>
          <cell r="AS99">
            <v>9.1200183035122491E-4</v>
          </cell>
          <cell r="AT99">
            <v>5.2593767921096512E-4</v>
          </cell>
          <cell r="AU99">
            <v>2.1775664948318692E-3</v>
          </cell>
          <cell r="AZ99">
            <v>2.5788535217294591E-5</v>
          </cell>
          <cell r="BA99">
            <v>2.5788535217294591E-5</v>
          </cell>
          <cell r="BB99">
            <v>2.5788535217294591E-5</v>
          </cell>
          <cell r="BC99">
            <v>4.5257924175418035E-5</v>
          </cell>
          <cell r="BD99">
            <v>4.5257924175418035E-5</v>
          </cell>
          <cell r="BI99">
            <v>1.6050421635139502E-2</v>
          </cell>
          <cell r="BJ99">
            <v>1.6050421635139502E-2</v>
          </cell>
          <cell r="BK99">
            <v>1.6050421635139502E-2</v>
          </cell>
          <cell r="BL99">
            <v>1.6050421635139502E-2</v>
          </cell>
          <cell r="BM99">
            <v>1.6050421635139502E-2</v>
          </cell>
          <cell r="CA99" t="e">
            <v>#DIV/0!</v>
          </cell>
          <cell r="CB99" t="e">
            <v>#DIV/0!</v>
          </cell>
          <cell r="CC99" t="e">
            <v>#DIV/0!</v>
          </cell>
          <cell r="CD99" t="e">
            <v>#DIV/0!</v>
          </cell>
          <cell r="CE99" t="e">
            <v>#DIV/0!</v>
          </cell>
        </row>
        <row r="100">
          <cell r="S100">
            <v>3.1735145527255896E-5</v>
          </cell>
          <cell r="T100">
            <v>3.1477122299846666E-5</v>
          </cell>
          <cell r="U100">
            <v>3.1099156311488555E-5</v>
          </cell>
          <cell r="V100">
            <v>2.9410250954951154E-5</v>
          </cell>
          <cell r="W100">
            <v>2.882259691598213E-5</v>
          </cell>
          <cell r="X100">
            <v>5.6557404641615727E-5</v>
          </cell>
          <cell r="Y100">
            <v>5.5401202131482085E-5</v>
          </cell>
          <cell r="Z100">
            <v>5.3515773065481677E-5</v>
          </cell>
          <cell r="AA100">
            <v>4.5763299191357225E-5</v>
          </cell>
          <cell r="AB100">
            <v>4.3402777777777779E-5</v>
          </cell>
          <cell r="AH100">
            <v>5.5555555555555558E-3</v>
          </cell>
          <cell r="AI100">
            <v>5.5555555555555558E-3</v>
          </cell>
          <cell r="AJ100">
            <v>5.5555555555555558E-3</v>
          </cell>
          <cell r="AK100">
            <v>5.5555555555555558E-3</v>
          </cell>
          <cell r="AL100">
            <v>5.5555555555555558E-3</v>
          </cell>
          <cell r="AQ100">
            <v>7.5171587371696347E-3</v>
          </cell>
          <cell r="AR100">
            <v>2.1113811150658152E-3</v>
          </cell>
          <cell r="AS100">
            <v>9.1200183035122491E-4</v>
          </cell>
          <cell r="AT100">
            <v>5.2593767921096512E-4</v>
          </cell>
          <cell r="AU100">
            <v>2.1775664948318692E-3</v>
          </cell>
          <cell r="AZ100">
            <v>2.4560509730756751E-5</v>
          </cell>
          <cell r="BA100">
            <v>2.4560509730756751E-5</v>
          </cell>
          <cell r="BB100">
            <v>2.4560509730756751E-5</v>
          </cell>
          <cell r="BC100">
            <v>4.3102784928969554E-5</v>
          </cell>
          <cell r="BD100">
            <v>4.3102784928969554E-5</v>
          </cell>
          <cell r="BI100">
            <v>1.528611584299E-2</v>
          </cell>
          <cell r="BJ100">
            <v>1.528611584299E-2</v>
          </cell>
          <cell r="BK100">
            <v>1.528611584299E-2</v>
          </cell>
          <cell r="BL100">
            <v>1.528611584299E-2</v>
          </cell>
          <cell r="BM100">
            <v>1.528611584299E-2</v>
          </cell>
          <cell r="CA100" t="e">
            <v>#DIV/0!</v>
          </cell>
          <cell r="CB100" t="e">
            <v>#DIV/0!</v>
          </cell>
          <cell r="CC100" t="e">
            <v>#DIV/0!</v>
          </cell>
          <cell r="CD100" t="e">
            <v>#DIV/0!</v>
          </cell>
          <cell r="CE100" t="e">
            <v>#DIV/0!</v>
          </cell>
        </row>
        <row r="101">
          <cell r="S101">
            <v>3.1735145527255896E-5</v>
          </cell>
          <cell r="T101">
            <v>3.1477122299846666E-5</v>
          </cell>
          <cell r="U101">
            <v>3.1099156311488555E-5</v>
          </cell>
          <cell r="V101">
            <v>2.9410250954951154E-5</v>
          </cell>
          <cell r="W101">
            <v>2.882259691598213E-5</v>
          </cell>
          <cell r="X101">
            <v>5.6557404641615727E-5</v>
          </cell>
          <cell r="Y101">
            <v>5.5401202131482085E-5</v>
          </cell>
          <cell r="Z101">
            <v>5.3515773065481677E-5</v>
          </cell>
          <cell r="AA101">
            <v>4.5763299191357225E-5</v>
          </cell>
          <cell r="AB101">
            <v>4.3402777777777779E-5</v>
          </cell>
          <cell r="AH101">
            <v>5.5555555555555558E-3</v>
          </cell>
          <cell r="AI101">
            <v>5.5555555555555558E-3</v>
          </cell>
          <cell r="AJ101">
            <v>5.5555555555555558E-3</v>
          </cell>
          <cell r="AK101">
            <v>5.5555555555555558E-3</v>
          </cell>
          <cell r="AL101">
            <v>5.5555555555555558E-3</v>
          </cell>
          <cell r="AQ101">
            <v>7.5171587371696347E-3</v>
          </cell>
          <cell r="AR101">
            <v>2.1113811150658152E-3</v>
          </cell>
          <cell r="AS101">
            <v>9.1200183035122491E-4</v>
          </cell>
          <cell r="AT101">
            <v>5.2593767921096512E-4</v>
          </cell>
          <cell r="AU101">
            <v>2.1775664948318692E-3</v>
          </cell>
          <cell r="AZ101">
            <v>2.3390961648339764E-5</v>
          </cell>
          <cell r="BA101">
            <v>2.3390961648339764E-5</v>
          </cell>
          <cell r="BB101">
            <v>2.3390961648339764E-5</v>
          </cell>
          <cell r="BC101">
            <v>4.1050271360923385E-5</v>
          </cell>
          <cell r="BD101">
            <v>4.1050271360923385E-5</v>
          </cell>
          <cell r="BI101">
            <v>1.4558205564752381E-2</v>
          </cell>
          <cell r="BJ101">
            <v>1.4558205564752381E-2</v>
          </cell>
          <cell r="BK101">
            <v>1.4558205564752381E-2</v>
          </cell>
          <cell r="BL101">
            <v>1.4558205564752381E-2</v>
          </cell>
          <cell r="BM101">
            <v>1.4558205564752381E-2</v>
          </cell>
          <cell r="CA101" t="e">
            <v>#DIV/0!</v>
          </cell>
          <cell r="CB101" t="e">
            <v>#DIV/0!</v>
          </cell>
          <cell r="CC101" t="e">
            <v>#DIV/0!</v>
          </cell>
          <cell r="CD101" t="e">
            <v>#DIV/0!</v>
          </cell>
          <cell r="CE101" t="e">
            <v>#DIV/0!</v>
          </cell>
        </row>
        <row r="102">
          <cell r="S102">
            <v>3.1735145527255896E-5</v>
          </cell>
          <cell r="T102">
            <v>3.1477122299846666E-5</v>
          </cell>
          <cell r="U102">
            <v>3.1099156311488555E-5</v>
          </cell>
          <cell r="V102">
            <v>2.9410250954951154E-5</v>
          </cell>
          <cell r="W102">
            <v>2.882259691598213E-5</v>
          </cell>
          <cell r="X102">
            <v>5.6557404641615727E-5</v>
          </cell>
          <cell r="Y102">
            <v>5.5401202131482085E-5</v>
          </cell>
          <cell r="Z102">
            <v>5.3515773065481677E-5</v>
          </cell>
          <cell r="AA102">
            <v>4.5763299191357225E-5</v>
          </cell>
          <cell r="AB102">
            <v>4.3402777777777779E-5</v>
          </cell>
          <cell r="AH102">
            <v>5.5555555555555558E-3</v>
          </cell>
          <cell r="AI102">
            <v>5.5555555555555558E-3</v>
          </cell>
          <cell r="AJ102">
            <v>5.5555555555555558E-3</v>
          </cell>
          <cell r="AK102">
            <v>5.5555555555555558E-3</v>
          </cell>
          <cell r="AL102">
            <v>5.5555555555555558E-3</v>
          </cell>
          <cell r="AQ102">
            <v>7.5171587371696347E-3</v>
          </cell>
          <cell r="AR102">
            <v>2.1113811150658152E-3</v>
          </cell>
          <cell r="AS102">
            <v>9.1200183035122491E-4</v>
          </cell>
          <cell r="AT102">
            <v>5.2593767921096512E-4</v>
          </cell>
          <cell r="AU102">
            <v>2.1775664948318692E-3</v>
          </cell>
          <cell r="AZ102">
            <v>2.2277106331752153E-5</v>
          </cell>
          <cell r="BA102">
            <v>2.2277106331752153E-5</v>
          </cell>
          <cell r="BB102">
            <v>2.2277106331752153E-5</v>
          </cell>
          <cell r="BC102">
            <v>3.9095496534212744E-5</v>
          </cell>
          <cell r="BD102">
            <v>3.9095496534212744E-5</v>
          </cell>
          <cell r="BI102">
            <v>1.3864957680716552E-2</v>
          </cell>
          <cell r="BJ102">
            <v>1.3864957680716552E-2</v>
          </cell>
          <cell r="BK102">
            <v>1.3864957680716552E-2</v>
          </cell>
          <cell r="BL102">
            <v>1.3864957680716552E-2</v>
          </cell>
          <cell r="BM102">
            <v>1.3864957680716552E-2</v>
          </cell>
          <cell r="CA102" t="e">
            <v>#DIV/0!</v>
          </cell>
          <cell r="CB102" t="e">
            <v>#DIV/0!</v>
          </cell>
          <cell r="CC102" t="e">
            <v>#DIV/0!</v>
          </cell>
          <cell r="CD102" t="e">
            <v>#DIV/0!</v>
          </cell>
          <cell r="CE102" t="e">
            <v>#DIV/0!</v>
          </cell>
        </row>
        <row r="103">
          <cell r="S103">
            <v>3.1735145527255896E-5</v>
          </cell>
          <cell r="T103">
            <v>3.1477122299846666E-5</v>
          </cell>
          <cell r="U103">
            <v>3.1099156311488555E-5</v>
          </cell>
          <cell r="V103">
            <v>2.9410250954951154E-5</v>
          </cell>
          <cell r="W103">
            <v>2.882259691598213E-5</v>
          </cell>
          <cell r="X103">
            <v>5.6557404641615727E-5</v>
          </cell>
          <cell r="Y103">
            <v>5.5401202131482085E-5</v>
          </cell>
          <cell r="Z103">
            <v>5.3515773065481677E-5</v>
          </cell>
          <cell r="AA103">
            <v>4.5763299191357225E-5</v>
          </cell>
          <cell r="AB103">
            <v>4.3402777777777779E-5</v>
          </cell>
          <cell r="AH103">
            <v>5.5555555555555558E-3</v>
          </cell>
          <cell r="AI103">
            <v>5.5555555555555558E-3</v>
          </cell>
          <cell r="AJ103">
            <v>5.5555555555555558E-3</v>
          </cell>
          <cell r="AK103">
            <v>5.5555555555555558E-3</v>
          </cell>
          <cell r="AL103">
            <v>5.5555555555555558E-3</v>
          </cell>
          <cell r="AQ103">
            <v>7.5171587371696347E-3</v>
          </cell>
          <cell r="AR103">
            <v>2.1113811150658152E-3</v>
          </cell>
          <cell r="AS103">
            <v>9.1200183035122491E-4</v>
          </cell>
          <cell r="AT103">
            <v>5.2593767921096512E-4</v>
          </cell>
          <cell r="AU103">
            <v>2.1775664948318692E-3</v>
          </cell>
          <cell r="AZ103">
            <v>2.1216291744525858E-5</v>
          </cell>
          <cell r="BA103">
            <v>2.1216291744525858E-5</v>
          </cell>
          <cell r="BB103">
            <v>2.1216291744525858E-5</v>
          </cell>
          <cell r="BC103">
            <v>3.7233806223059756E-5</v>
          </cell>
          <cell r="BD103">
            <v>3.7233806223059756E-5</v>
          </cell>
          <cell r="BI103">
            <v>1.320472160068243E-2</v>
          </cell>
          <cell r="BJ103">
            <v>1.320472160068243E-2</v>
          </cell>
          <cell r="BK103">
            <v>1.320472160068243E-2</v>
          </cell>
          <cell r="BL103">
            <v>1.320472160068243E-2</v>
          </cell>
          <cell r="BM103">
            <v>1.320472160068243E-2</v>
          </cell>
          <cell r="CA103" t="e">
            <v>#DIV/0!</v>
          </cell>
          <cell r="CB103" t="e">
            <v>#DIV/0!</v>
          </cell>
          <cell r="CC103" t="e">
            <v>#DIV/0!</v>
          </cell>
          <cell r="CD103" t="e">
            <v>#DIV/0!</v>
          </cell>
          <cell r="CE103" t="e">
            <v>#DIV/0!</v>
          </cell>
        </row>
        <row r="104">
          <cell r="S104">
            <v>3.1735145527255896E-5</v>
          </cell>
          <cell r="T104">
            <v>3.1477122299846666E-5</v>
          </cell>
          <cell r="U104">
            <v>3.1099156311488555E-5</v>
          </cell>
          <cell r="V104">
            <v>2.9410250954951154E-5</v>
          </cell>
          <cell r="W104">
            <v>2.882259691598213E-5</v>
          </cell>
          <cell r="X104">
            <v>5.6557404641615727E-5</v>
          </cell>
          <cell r="Y104">
            <v>5.5401202131482085E-5</v>
          </cell>
          <cell r="Z104">
            <v>5.3515773065481677E-5</v>
          </cell>
          <cell r="AA104">
            <v>4.5763299191357225E-5</v>
          </cell>
          <cell r="AB104">
            <v>4.3402777777777779E-5</v>
          </cell>
          <cell r="AH104">
            <v>5.5555555555555558E-3</v>
          </cell>
          <cell r="AI104">
            <v>5.5555555555555558E-3</v>
          </cell>
          <cell r="AJ104">
            <v>5.5555555555555558E-3</v>
          </cell>
          <cell r="AK104">
            <v>5.5555555555555558E-3</v>
          </cell>
          <cell r="AL104">
            <v>5.5555555555555558E-3</v>
          </cell>
          <cell r="AQ104">
            <v>7.5171587371696347E-3</v>
          </cell>
          <cell r="AR104">
            <v>2.1113811150658152E-3</v>
          </cell>
          <cell r="AS104">
            <v>9.1200183035122491E-4</v>
          </cell>
          <cell r="AT104">
            <v>5.2593767921096512E-4</v>
          </cell>
          <cell r="AU104">
            <v>2.1775664948318692E-3</v>
          </cell>
          <cell r="AZ104">
            <v>2.0205992137643675E-5</v>
          </cell>
          <cell r="BA104">
            <v>2.0205992137643675E-5</v>
          </cell>
          <cell r="BB104">
            <v>2.0205992137643675E-5</v>
          </cell>
          <cell r="BC104">
            <v>3.5460767831485482E-5</v>
          </cell>
          <cell r="BD104">
            <v>3.5460767831485482E-5</v>
          </cell>
          <cell r="BI104">
            <v>1.2575925333983266E-2</v>
          </cell>
          <cell r="BJ104">
            <v>1.2575925333983266E-2</v>
          </cell>
          <cell r="BK104">
            <v>1.2575925333983266E-2</v>
          </cell>
          <cell r="BL104">
            <v>1.2575925333983266E-2</v>
          </cell>
          <cell r="BM104">
            <v>1.2575925333983266E-2</v>
          </cell>
          <cell r="CA104" t="e">
            <v>#DIV/0!</v>
          </cell>
          <cell r="CB104" t="e">
            <v>#DIV/0!</v>
          </cell>
          <cell r="CC104" t="e">
            <v>#DIV/0!</v>
          </cell>
          <cell r="CD104" t="e">
            <v>#DIV/0!</v>
          </cell>
          <cell r="CE104" t="e">
            <v>#DIV/0!</v>
          </cell>
        </row>
        <row r="105">
          <cell r="S105">
            <v>3.1735145527255896E-5</v>
          </cell>
          <cell r="T105">
            <v>3.1477122299846666E-5</v>
          </cell>
          <cell r="U105">
            <v>3.1099156311488555E-5</v>
          </cell>
          <cell r="V105">
            <v>2.9410250954951154E-5</v>
          </cell>
          <cell r="W105">
            <v>2.882259691598213E-5</v>
          </cell>
          <cell r="X105">
            <v>5.6557404641615727E-5</v>
          </cell>
          <cell r="Y105">
            <v>5.5401202131482085E-5</v>
          </cell>
          <cell r="Z105">
            <v>5.3515773065481677E-5</v>
          </cell>
          <cell r="AA105">
            <v>4.5763299191357225E-5</v>
          </cell>
          <cell r="AB105">
            <v>4.3402777777777779E-5</v>
          </cell>
          <cell r="AH105">
            <v>5.5555555555555558E-3</v>
          </cell>
          <cell r="AI105">
            <v>5.5555555555555558E-3</v>
          </cell>
          <cell r="AJ105">
            <v>5.5555555555555558E-3</v>
          </cell>
          <cell r="AK105">
            <v>5.5555555555555558E-3</v>
          </cell>
          <cell r="AL105">
            <v>5.5555555555555558E-3</v>
          </cell>
          <cell r="AQ105">
            <v>7.5171587371696347E-3</v>
          </cell>
          <cell r="AR105">
            <v>2.1113811150658152E-3</v>
          </cell>
          <cell r="AS105">
            <v>9.1200183035122491E-4</v>
          </cell>
          <cell r="AT105">
            <v>5.2593767921096512E-4</v>
          </cell>
          <cell r="AU105">
            <v>2.1775664948318692E-3</v>
          </cell>
          <cell r="AZ105">
            <v>1.9243802035851119E-5</v>
          </cell>
          <cell r="BA105">
            <v>1.9243802035851119E-5</v>
          </cell>
          <cell r="BB105">
            <v>1.9243802035851119E-5</v>
          </cell>
          <cell r="BC105">
            <v>3.3772159839509983E-5</v>
          </cell>
          <cell r="BD105">
            <v>3.3772159839509983E-5</v>
          </cell>
          <cell r="BI105">
            <v>1.1977071746650728E-2</v>
          </cell>
          <cell r="BJ105">
            <v>1.1977071746650728E-2</v>
          </cell>
          <cell r="BK105">
            <v>1.1977071746650728E-2</v>
          </cell>
          <cell r="BL105">
            <v>1.1977071746650728E-2</v>
          </cell>
          <cell r="BM105">
            <v>1.1977071746650728E-2</v>
          </cell>
          <cell r="CA105" t="e">
            <v>#DIV/0!</v>
          </cell>
          <cell r="CB105" t="e">
            <v>#DIV/0!</v>
          </cell>
          <cell r="CC105" t="e">
            <v>#DIV/0!</v>
          </cell>
          <cell r="CD105" t="e">
            <v>#DIV/0!</v>
          </cell>
          <cell r="CE105" t="e">
            <v>#DIV/0!</v>
          </cell>
        </row>
      </sheetData>
      <sheetData sheetId="8" refreshError="1"/>
      <sheetData sheetId="9" refreshError="1"/>
      <sheetData sheetId="10" refreshError="1"/>
      <sheetData sheetId="11">
        <row r="6">
          <cell r="C6">
            <v>25322.579111305902</v>
          </cell>
          <cell r="D6">
            <v>31879.228074337439</v>
          </cell>
          <cell r="E6">
            <v>36937.472634065918</v>
          </cell>
          <cell r="F6">
            <v>42229.41771352393</v>
          </cell>
          <cell r="G6">
            <v>47083.995713040575</v>
          </cell>
          <cell r="Y6">
            <v>3716.6863773584</v>
          </cell>
          <cell r="Z6">
            <v>4281.2583082848796</v>
          </cell>
          <cell r="AA6">
            <v>5313.4992831999589</v>
          </cell>
          <cell r="AB6">
            <v>5673.1199992499005</v>
          </cell>
          <cell r="AC6">
            <v>7159.8714255216273</v>
          </cell>
          <cell r="AY6">
            <v>-1.6044173351936906</v>
          </cell>
          <cell r="BA6">
            <v>-1.8511507641729534</v>
          </cell>
          <cell r="BC6">
            <v>-1.0585604174891183</v>
          </cell>
        </row>
        <row r="7">
          <cell r="C7">
            <v>52450.861374999142</v>
          </cell>
          <cell r="D7">
            <v>59427.953906255847</v>
          </cell>
          <cell r="E7">
            <v>63264.788462603807</v>
          </cell>
          <cell r="F7">
            <v>67469.952133532992</v>
          </cell>
          <cell r="G7">
            <v>70684.51066704173</v>
          </cell>
          <cell r="Y7">
            <v>9337.3122078566084</v>
          </cell>
          <cell r="Z7">
            <v>10883.949814327809</v>
          </cell>
          <cell r="AA7">
            <v>13480.637613276063</v>
          </cell>
          <cell r="AB7">
            <v>14136.818980615348</v>
          </cell>
          <cell r="AC7">
            <v>18350.005087901289</v>
          </cell>
          <cell r="AY7">
            <v>-1.4577596889310771</v>
          </cell>
          <cell r="BA7">
            <v>-1.2976052305136268</v>
          </cell>
          <cell r="BC7">
            <v>-0.61306583218144151</v>
          </cell>
        </row>
        <row r="8">
          <cell r="C8">
            <v>81666.979513626764</v>
          </cell>
          <cell r="D8">
            <v>89742.633780557211</v>
          </cell>
          <cell r="E8">
            <v>92650.378118720866</v>
          </cell>
          <cell r="F8">
            <v>96263.81945306265</v>
          </cell>
          <cell r="G8">
            <v>98303.480485938926</v>
          </cell>
          <cell r="Y8">
            <v>17526.039881632343</v>
          </cell>
          <cell r="Z8">
            <v>20537.300696643557</v>
          </cell>
          <cell r="AA8">
            <v>25418.433603072503</v>
          </cell>
          <cell r="AB8">
            <v>26445.500184074539</v>
          </cell>
          <cell r="AC8">
            <v>34758.944259518488</v>
          </cell>
          <cell r="AY8">
            <v>-1.1773791294975477</v>
          </cell>
          <cell r="BA8">
            <v>-0.96658352871642272</v>
          </cell>
          <cell r="BC8">
            <v>-0.42376334405054322</v>
          </cell>
        </row>
        <row r="9">
          <cell r="C9">
            <v>117027.40403194386</v>
          </cell>
          <cell r="D9">
            <v>125743.07001057814</v>
          </cell>
          <cell r="E9">
            <v>127070.97895908453</v>
          </cell>
          <cell r="F9">
            <v>128356.68325796728</v>
          </cell>
          <cell r="G9">
            <v>128161.89853705067</v>
          </cell>
          <cell r="Y9">
            <v>28543.916959047259</v>
          </cell>
          <cell r="Z9">
            <v>33936.416411994178</v>
          </cell>
          <cell r="AA9">
            <v>42549.4777007987</v>
          </cell>
          <cell r="AB9">
            <v>44912.686124361957</v>
          </cell>
          <cell r="AC9">
            <v>54976.270687366545</v>
          </cell>
          <cell r="AY9">
            <v>-0.99244179144437117</v>
          </cell>
          <cell r="BA9">
            <v>-0.76533249904509781</v>
          </cell>
          <cell r="BC9">
            <v>-0.31608655869297292</v>
          </cell>
        </row>
        <row r="10">
          <cell r="C10">
            <v>154595.57374834674</v>
          </cell>
          <cell r="D10">
            <v>163644.79360658047</v>
          </cell>
          <cell r="E10">
            <v>163066.87163808965</v>
          </cell>
          <cell r="F10">
            <v>161740.75570894254</v>
          </cell>
          <cell r="G10">
            <v>160168.47005688667</v>
          </cell>
          <cell r="Y10">
            <v>44321.074197958129</v>
          </cell>
          <cell r="Z10">
            <v>52004.518552162401</v>
          </cell>
          <cell r="AA10">
            <v>64089.167156087162</v>
          </cell>
          <cell r="AB10">
            <v>65630.092409215344</v>
          </cell>
          <cell r="AC10">
            <v>78481.992760545618</v>
          </cell>
          <cell r="AY10">
            <v>-0.85368329500929785</v>
          </cell>
          <cell r="BA10">
            <v>-0.6307229459891347</v>
          </cell>
          <cell r="BC10">
            <v>-0.25123991081971481</v>
          </cell>
        </row>
        <row r="11">
          <cell r="C11">
            <v>195740.3141456694</v>
          </cell>
          <cell r="D11">
            <v>206660.20146713662</v>
          </cell>
          <cell r="E11">
            <v>204431.37173252768</v>
          </cell>
          <cell r="F11">
            <v>201812.89211353648</v>
          </cell>
          <cell r="G11">
            <v>197032.51782412105</v>
          </cell>
          <cell r="Y11">
            <v>56567.515800486588</v>
          </cell>
          <cell r="Z11">
            <v>66441.603070741039</v>
          </cell>
          <cell r="AA11">
            <v>82027.956226519062</v>
          </cell>
          <cell r="AB11">
            <v>85792.840673917221</v>
          </cell>
          <cell r="AC11">
            <v>103710.87999440156</v>
          </cell>
          <cell r="AY11">
            <v>-0.77140541944337915</v>
          </cell>
          <cell r="BA11">
            <v>-0.5570690667225271</v>
          </cell>
          <cell r="BC11">
            <v>-0.2082266175299432</v>
          </cell>
        </row>
        <row r="12">
          <cell r="C12">
            <v>241442.97011653904</v>
          </cell>
          <cell r="D12">
            <v>253850.72491508457</v>
          </cell>
          <cell r="E12">
            <v>249154.52250706055</v>
          </cell>
          <cell r="F12">
            <v>243347.81176570844</v>
          </cell>
          <cell r="G12">
            <v>235072.51630790203</v>
          </cell>
          <cell r="Y12">
            <v>70266.521181991295</v>
          </cell>
          <cell r="Z12">
            <v>83061.576991532827</v>
          </cell>
          <cell r="AA12">
            <v>103619.68283810414</v>
          </cell>
          <cell r="AB12">
            <v>109286.53623581515</v>
          </cell>
          <cell r="AC12">
            <v>133882.45417159854</v>
          </cell>
          <cell r="AY12">
            <v>-0.70896227595203165</v>
          </cell>
          <cell r="BA12">
            <v>-0.49163348660677847</v>
          </cell>
          <cell r="BC12">
            <v>-0.17419575901313625</v>
          </cell>
        </row>
        <row r="13">
          <cell r="C13">
            <v>289156.67298301763</v>
          </cell>
          <cell r="D13">
            <v>302423.33298548637</v>
          </cell>
          <cell r="E13">
            <v>295181.2561564144</v>
          </cell>
          <cell r="F13">
            <v>288567.69314453966</v>
          </cell>
          <cell r="G13">
            <v>279503.1521675</v>
          </cell>
          <cell r="Y13">
            <v>85413.4350761479</v>
          </cell>
          <cell r="Z13">
            <v>101474.73175406877</v>
          </cell>
          <cell r="AA13">
            <v>128242.35637410112</v>
          </cell>
          <cell r="AB13">
            <v>137961.44102480158</v>
          </cell>
          <cell r="AC13">
            <v>166985.92366467009</v>
          </cell>
          <cell r="AY13">
            <v>-0.65452272972640146</v>
          </cell>
          <cell r="BA13">
            <v>-0.43936626608643853</v>
          </cell>
          <cell r="BC13">
            <v>-0.15248115613530375</v>
          </cell>
        </row>
        <row r="14">
          <cell r="C14">
            <v>339853.90935954545</v>
          </cell>
          <cell r="D14">
            <v>357558.87052896741</v>
          </cell>
          <cell r="E14">
            <v>348071.57097186061</v>
          </cell>
          <cell r="F14">
            <v>336549.57731921563</v>
          </cell>
          <cell r="G14">
            <v>324029.43182223424</v>
          </cell>
          <cell r="Y14">
            <v>103632.89428078622</v>
          </cell>
          <cell r="Z14">
            <v>122857.5498665723</v>
          </cell>
          <cell r="AA14">
            <v>154012.73066983101</v>
          </cell>
          <cell r="AB14">
            <v>164057.57378131434</v>
          </cell>
          <cell r="AC14">
            <v>196599.92391170081</v>
          </cell>
          <cell r="AY14">
            <v>-0.60368734396402546</v>
          </cell>
          <cell r="BA14">
            <v>-0.40411824470256896</v>
          </cell>
          <cell r="BC14">
            <v>-0.13893074131067093</v>
          </cell>
        </row>
        <row r="15">
          <cell r="C15">
            <v>399012.11028867366</v>
          </cell>
          <cell r="D15">
            <v>416054.55648767209</v>
          </cell>
          <cell r="E15">
            <v>402705.6910326808</v>
          </cell>
          <cell r="F15">
            <v>387428.39774470672</v>
          </cell>
          <cell r="G15">
            <v>381555.13718215021</v>
          </cell>
          <cell r="Y15">
            <v>122066.43228462074</v>
          </cell>
          <cell r="Z15">
            <v>142929.17162183748</v>
          </cell>
          <cell r="AA15">
            <v>178776.25987120584</v>
          </cell>
          <cell r="AB15">
            <v>197877.96902851106</v>
          </cell>
          <cell r="AC15">
            <v>255932.87107001152</v>
          </cell>
          <cell r="AY15">
            <v>-0.56673090985547714</v>
          </cell>
          <cell r="BA15">
            <v>-0.37623351477964295</v>
          </cell>
          <cell r="BC15">
            <v>-0.11730185738166053</v>
          </cell>
        </row>
        <row r="16">
          <cell r="C16">
            <v>470456.17870675086</v>
          </cell>
          <cell r="D16">
            <v>480209.70924557658</v>
          </cell>
          <cell r="E16">
            <v>468360.61374887783</v>
          </cell>
          <cell r="F16">
            <v>455830.26132531767</v>
          </cell>
          <cell r="G16">
            <v>448568.87612688611</v>
          </cell>
          <cell r="Y16">
            <v>185026.7359364703</v>
          </cell>
          <cell r="Z16">
            <v>215591.72403103576</v>
          </cell>
          <cell r="AA16">
            <v>268535.36743879749</v>
          </cell>
          <cell r="AB16">
            <v>306387.26870717248</v>
          </cell>
          <cell r="AC16">
            <v>377275.0324470551</v>
          </cell>
          <cell r="AY16">
            <v>-0.52379498881532083</v>
          </cell>
          <cell r="BA16">
            <v>-0.30558259699362433</v>
          </cell>
          <cell r="BC16">
            <v>-8.7142592779925879E-2</v>
          </cell>
        </row>
        <row r="17">
          <cell r="C17">
            <v>546096.40762989467</v>
          </cell>
          <cell r="D17">
            <v>567648.13449988596</v>
          </cell>
          <cell r="E17">
            <v>543952.40023679181</v>
          </cell>
          <cell r="F17">
            <v>528865.83870246424</v>
          </cell>
          <cell r="G17">
            <v>520695.73855243914</v>
          </cell>
          <cell r="Y17">
            <v>263778.45288364997</v>
          </cell>
          <cell r="Z17">
            <v>300966.87819140439</v>
          </cell>
          <cell r="AA17">
            <v>361074.24952995428</v>
          </cell>
          <cell r="AB17">
            <v>405593.51132650627</v>
          </cell>
          <cell r="AC17">
            <v>497073.33857091307</v>
          </cell>
          <cell r="AY17">
            <v>-0.47561473912471852</v>
          </cell>
          <cell r="BA17">
            <v>-0.26053109907728816</v>
          </cell>
          <cell r="BC17">
            <v>-6.915163569831323E-2</v>
          </cell>
        </row>
        <row r="18">
          <cell r="C18">
            <v>639123.06374638341</v>
          </cell>
          <cell r="D18">
            <v>667044.9338794119</v>
          </cell>
          <cell r="E18">
            <v>625925.4437022974</v>
          </cell>
          <cell r="F18">
            <v>608264.83672677551</v>
          </cell>
          <cell r="G18">
            <v>602657.86432667891</v>
          </cell>
          <cell r="Y18">
            <v>345319.48966523993</v>
          </cell>
          <cell r="Z18">
            <v>385845.53576011606</v>
          </cell>
          <cell r="AA18">
            <v>453265.99259616138</v>
          </cell>
          <cell r="AB18">
            <v>521890.8226024193</v>
          </cell>
          <cell r="AC18">
            <v>651978.69141174108</v>
          </cell>
          <cell r="AY18">
            <v>-0.44180984423848135</v>
          </cell>
          <cell r="BA18">
            <v>-0.22826531493978411</v>
          </cell>
          <cell r="BC18">
            <v>-5.3380071420958304E-2</v>
          </cell>
        </row>
        <row r="19">
          <cell r="C19">
            <v>740440.1821576996</v>
          </cell>
          <cell r="D19">
            <v>770125.36288655829</v>
          </cell>
          <cell r="E19">
            <v>729001.38364748983</v>
          </cell>
          <cell r="F19">
            <v>701007.79459846311</v>
          </cell>
          <cell r="G19">
            <v>685590.75665538141</v>
          </cell>
          <cell r="Y19">
            <v>426355.22399228188</v>
          </cell>
          <cell r="Z19">
            <v>473498.53455268126</v>
          </cell>
          <cell r="AA19">
            <v>565804.4515362503</v>
          </cell>
          <cell r="AB19">
            <v>653463.16320955346</v>
          </cell>
          <cell r="AC19">
            <v>818476.72325295722</v>
          </cell>
          <cell r="AY19">
            <v>-0.4134191151578982</v>
          </cell>
          <cell r="BA19">
            <v>-0.21001000778561457</v>
          </cell>
          <cell r="BC19">
            <v>-4.0834358357346577E-2</v>
          </cell>
        </row>
        <row r="20">
          <cell r="C20">
            <v>850743.65082017297</v>
          </cell>
          <cell r="D20">
            <v>893857.55481439736</v>
          </cell>
          <cell r="E20">
            <v>847533.4269324753</v>
          </cell>
          <cell r="F20">
            <v>800899.37536367809</v>
          </cell>
          <cell r="G20">
            <v>779646.40932321281</v>
          </cell>
          <cell r="Y20">
            <v>518232.81085088314</v>
          </cell>
          <cell r="Z20">
            <v>581834.49256106757</v>
          </cell>
          <cell r="AA20">
            <v>692123.0083817672</v>
          </cell>
          <cell r="AB20">
            <v>815033.94855556078</v>
          </cell>
          <cell r="AC20">
            <v>1015489.204552596</v>
          </cell>
          <cell r="AY20">
            <v>-0.38535139775741317</v>
          </cell>
          <cell r="BA20">
            <v>-0.19316262901848294</v>
          </cell>
          <cell r="BC20">
            <v>-2.9108611658087775E-2</v>
          </cell>
        </row>
        <row r="21">
          <cell r="C21">
            <v>977542.26915255096</v>
          </cell>
          <cell r="D21">
            <v>1027066.5177056568</v>
          </cell>
          <cell r="E21">
            <v>975460.00856874138</v>
          </cell>
          <cell r="F21">
            <v>915111.02347401599</v>
          </cell>
          <cell r="G21">
            <v>878501.57129569328</v>
          </cell>
          <cell r="Y21">
            <v>621529.35697222943</v>
          </cell>
          <cell r="Z21">
            <v>699588.21662023687</v>
          </cell>
          <cell r="AA21">
            <v>840419.50195491849</v>
          </cell>
          <cell r="AB21">
            <v>986687.28797451966</v>
          </cell>
          <cell r="AC21">
            <v>1212045.538124918</v>
          </cell>
          <cell r="AY21">
            <v>-0.36016206415271795</v>
          </cell>
          <cell r="BA21">
            <v>-0.17570798965430254</v>
          </cell>
          <cell r="BC21">
            <v>-2.0539752267960655E-2</v>
          </cell>
        </row>
        <row r="22">
          <cell r="C22">
            <v>1106905.1536435641</v>
          </cell>
          <cell r="D22">
            <v>1168405.094352565</v>
          </cell>
          <cell r="E22">
            <v>1107418.6736733483</v>
          </cell>
          <cell r="F22">
            <v>1041783.3858900417</v>
          </cell>
          <cell r="G22">
            <v>978120.80190931377</v>
          </cell>
          <cell r="Y22">
            <v>736951.58046181954</v>
          </cell>
          <cell r="Z22">
            <v>827412.59384219756</v>
          </cell>
          <cell r="AA22">
            <v>986406.36754599214</v>
          </cell>
          <cell r="AB22">
            <v>1146830.6604130794</v>
          </cell>
          <cell r="AC22">
            <v>1391332.9861473474</v>
          </cell>
          <cell r="AY22">
            <v>-0.33435689180046713</v>
          </cell>
          <cell r="BA22">
            <v>-0.16191188518582275</v>
          </cell>
          <cell r="BC22">
            <v>-1.4899163828944911E-2</v>
          </cell>
        </row>
        <row r="23">
          <cell r="C23">
            <v>1249225.577244092</v>
          </cell>
          <cell r="D23">
            <v>1315525.6523557946</v>
          </cell>
          <cell r="E23">
            <v>1256119.5517799656</v>
          </cell>
          <cell r="F23">
            <v>1180809.8621227683</v>
          </cell>
          <cell r="G23">
            <v>1093521.6839427571</v>
          </cell>
          <cell r="Y23">
            <v>861284.88942057197</v>
          </cell>
          <cell r="Z23">
            <v>962326.46632544335</v>
          </cell>
          <cell r="AA23">
            <v>1142671.7208916042</v>
          </cell>
          <cell r="AB23">
            <v>1324053.5856338148</v>
          </cell>
          <cell r="AC23">
            <v>1594708.55411884</v>
          </cell>
          <cell r="AY23">
            <v>-0.31136809240177826</v>
          </cell>
          <cell r="BA23">
            <v>-0.14925462276681911</v>
          </cell>
          <cell r="BC23">
            <v>-9.9097229039508527E-3</v>
          </cell>
        </row>
        <row r="24">
          <cell r="C24">
            <v>1410228.3974341401</v>
          </cell>
          <cell r="D24">
            <v>1464129.3931846116</v>
          </cell>
          <cell r="E24">
            <v>1411998.2493377796</v>
          </cell>
          <cell r="F24">
            <v>1336843.5358774946</v>
          </cell>
          <cell r="G24">
            <v>1210900.6591182929</v>
          </cell>
          <cell r="Y24">
            <v>987472.19862528564</v>
          </cell>
          <cell r="Z24">
            <v>1099748.8085866915</v>
          </cell>
          <cell r="AA24">
            <v>1301395.2185225172</v>
          </cell>
          <cell r="AB24">
            <v>1502538.3523275517</v>
          </cell>
          <cell r="AC24">
            <v>1794289.1696810522</v>
          </cell>
          <cell r="AY24">
            <v>-0.29273190761033607</v>
          </cell>
          <cell r="BA24">
            <v>-0.13842535023786995</v>
          </cell>
          <cell r="BC24">
            <v>-6.1776628285736025E-3</v>
          </cell>
        </row>
        <row r="25">
          <cell r="C25">
            <v>1581433.8872805736</v>
          </cell>
          <cell r="D25">
            <v>1621476.3233284014</v>
          </cell>
          <cell r="E25">
            <v>1572186.0453102312</v>
          </cell>
          <cell r="F25">
            <v>1494656.1023690547</v>
          </cell>
          <cell r="G25">
            <v>1340711.3587011069</v>
          </cell>
          <cell r="Y25">
            <v>1118128.4993854424</v>
          </cell>
          <cell r="Z25">
            <v>1245446.6445270402</v>
          </cell>
          <cell r="AA25">
            <v>1460024.3890022477</v>
          </cell>
          <cell r="AB25">
            <v>1679864.889971507</v>
          </cell>
          <cell r="AC25">
            <v>1966305.0147067406</v>
          </cell>
          <cell r="AY25">
            <v>-0.27596242858383907</v>
          </cell>
          <cell r="BA25">
            <v>-0.1291576191877227</v>
          </cell>
          <cell r="BC25">
            <v>-4.4839567707315904E-3</v>
          </cell>
        </row>
        <row r="26">
          <cell r="C26">
            <v>1769645.1143724693</v>
          </cell>
          <cell r="D26">
            <v>1811711.0446395574</v>
          </cell>
          <cell r="E26">
            <v>1748795.9937098743</v>
          </cell>
          <cell r="F26">
            <v>1670221.8654827308</v>
          </cell>
          <cell r="G26">
            <v>1495123.4227013639</v>
          </cell>
          <cell r="Y26">
            <v>1410030.572461193</v>
          </cell>
          <cell r="Z26">
            <v>1557552.1290727491</v>
          </cell>
          <cell r="AA26">
            <v>1790654.3843371831</v>
          </cell>
          <cell r="AB26">
            <v>2015440.403919135</v>
          </cell>
          <cell r="AC26">
            <v>2359441.3226911975</v>
          </cell>
          <cell r="AY26">
            <v>-0.24220571795651949</v>
          </cell>
          <cell r="BA26">
            <v>-0.10774674415530897</v>
          </cell>
          <cell r="BC26">
            <v>2.113465842908023E-3</v>
          </cell>
        </row>
        <row r="27">
          <cell r="C27">
            <v>1982319.3250026165</v>
          </cell>
          <cell r="D27">
            <v>2009381.2185254714</v>
          </cell>
          <cell r="E27">
            <v>1930048.5164440428</v>
          </cell>
          <cell r="F27">
            <v>1874209.8342183139</v>
          </cell>
          <cell r="G27">
            <v>1672893.7138488484</v>
          </cell>
          <cell r="Y27">
            <v>1709388.1413845269</v>
          </cell>
          <cell r="Z27">
            <v>1865529.1978869126</v>
          </cell>
          <cell r="AA27">
            <v>2118907.1363581056</v>
          </cell>
          <cell r="AB27">
            <v>2375539.0337103177</v>
          </cell>
          <cell r="AC27">
            <v>2876413.8392185969</v>
          </cell>
          <cell r="AY27">
            <v>-0.21452148547356975</v>
          </cell>
          <cell r="BA27">
            <v>-9.0392343281971418E-2</v>
          </cell>
          <cell r="BC27">
            <v>9.1611236091423184E-3</v>
          </cell>
        </row>
        <row r="28">
          <cell r="C28">
            <v>2214559.9116462213</v>
          </cell>
          <cell r="D28">
            <v>2223601.8137160721</v>
          </cell>
          <cell r="E28">
            <v>2142796.6313227229</v>
          </cell>
          <cell r="F28">
            <v>2119927.2104686205</v>
          </cell>
          <cell r="G28">
            <v>1890813.0772836597</v>
          </cell>
          <cell r="Y28">
            <v>2008598.6622829246</v>
          </cell>
          <cell r="Z28">
            <v>2178838.7732945932</v>
          </cell>
          <cell r="AA28">
            <v>2478331.5074326275</v>
          </cell>
          <cell r="AB28">
            <v>2833936.4734975183</v>
          </cell>
          <cell r="AC28">
            <v>3403637.7381342286</v>
          </cell>
          <cell r="AY28">
            <v>-0.19230579970586381</v>
          </cell>
          <cell r="BA28">
            <v>-7.4752065507002211E-2</v>
          </cell>
          <cell r="BC28">
            <v>1.4452057400513623E-2</v>
          </cell>
        </row>
        <row r="29">
          <cell r="C29">
            <v>2462640.0964576658</v>
          </cell>
          <cell r="D29">
            <v>2485848.51263075</v>
          </cell>
          <cell r="E29">
            <v>2420637.9395216159</v>
          </cell>
          <cell r="F29">
            <v>2380148.8862496987</v>
          </cell>
          <cell r="G29">
            <v>2133789.1898761308</v>
          </cell>
          <cell r="Y29">
            <v>2313514.8011397664</v>
          </cell>
          <cell r="Z29">
            <v>2530159.0886256448</v>
          </cell>
          <cell r="AA29">
            <v>2927093.4990104414</v>
          </cell>
          <cell r="AB29">
            <v>3312082.8946269364</v>
          </cell>
          <cell r="AC29">
            <v>3964125.1941848621</v>
          </cell>
          <cell r="AY29">
            <v>-0.17340498407172217</v>
          </cell>
          <cell r="BA29">
            <v>-5.8978059543815069E-2</v>
          </cell>
          <cell r="BC29">
            <v>1.876241963396549E-2</v>
          </cell>
        </row>
        <row r="30">
          <cell r="C30">
            <v>2742961.8071066849</v>
          </cell>
          <cell r="D30">
            <v>2778940.077991731</v>
          </cell>
          <cell r="E30">
            <v>2695092.9310324173</v>
          </cell>
          <cell r="F30">
            <v>2646639.8076567799</v>
          </cell>
          <cell r="G30">
            <v>2402064.2538543437</v>
          </cell>
          <cell r="Y30">
            <v>2648673.1628198805</v>
          </cell>
          <cell r="Z30">
            <v>2913871.8779416783</v>
          </cell>
          <cell r="AA30">
            <v>3349842.8722444726</v>
          </cell>
          <cell r="AB30">
            <v>3770944.3541127983</v>
          </cell>
          <cell r="AC30">
            <v>4822197.0724949148</v>
          </cell>
          <cell r="AY30">
            <v>-0.15680855713219416</v>
          </cell>
          <cell r="BA30">
            <v>-4.763397077963559E-2</v>
          </cell>
          <cell r="BC30">
            <v>2.6079282438330229E-2</v>
          </cell>
        </row>
        <row r="31">
          <cell r="C31">
            <v>3049577.7695368114</v>
          </cell>
          <cell r="D31">
            <v>3087358.983728874</v>
          </cell>
          <cell r="E31">
            <v>3004010.311966606</v>
          </cell>
          <cell r="F31">
            <v>2924453.3470177017</v>
          </cell>
          <cell r="G31">
            <v>2675771.6886296128</v>
          </cell>
          <cell r="Y31">
            <v>3004897.4558200138</v>
          </cell>
          <cell r="Z31">
            <v>3293168.7978539988</v>
          </cell>
          <cell r="AA31">
            <v>3772775.9366759476</v>
          </cell>
          <cell r="AB31">
            <v>4447835.9574342705</v>
          </cell>
          <cell r="AC31">
            <v>5747280.8966398966</v>
          </cell>
          <cell r="AY31">
            <v>-0.14228891689427697</v>
          </cell>
          <cell r="BA31">
            <v>-3.9491197654391547E-2</v>
          </cell>
          <cell r="BC31">
            <v>3.3090976100190274E-2</v>
          </cell>
        </row>
        <row r="32">
          <cell r="C32">
            <v>3385971.6118940557</v>
          </cell>
          <cell r="D32">
            <v>3433129.4284046418</v>
          </cell>
          <cell r="E32">
            <v>3333860.9787370418</v>
          </cell>
          <cell r="F32">
            <v>3233133.1611428764</v>
          </cell>
          <cell r="G32">
            <v>2968269.2959786067</v>
          </cell>
          <cell r="Y32">
            <v>3362517.3821944781</v>
          </cell>
          <cell r="Z32">
            <v>3672459.3409166895</v>
          </cell>
          <cell r="AA32">
            <v>4343747.0830873363</v>
          </cell>
          <cell r="AB32">
            <v>5217968.924407294</v>
          </cell>
          <cell r="AC32">
            <v>6979821.2864266122</v>
          </cell>
          <cell r="AY32">
            <v>-0.13078931788840323</v>
          </cell>
          <cell r="BA32">
            <v>-2.8151373930202565E-2</v>
          </cell>
          <cell r="BC32">
            <v>4.1737784803602733E-2</v>
          </cell>
        </row>
        <row r="33">
          <cell r="C33">
            <v>3767343.8148722816</v>
          </cell>
          <cell r="D33">
            <v>3808933.7456264733</v>
          </cell>
          <cell r="E33">
            <v>3698639.3329626829</v>
          </cell>
          <cell r="F33">
            <v>3597502.2065659002</v>
          </cell>
          <cell r="G33">
            <v>3297320.6793466052</v>
          </cell>
          <cell r="Y33">
            <v>3723381.2424575295</v>
          </cell>
          <cell r="Z33">
            <v>4167246.5659300983</v>
          </cell>
          <cell r="AA33">
            <v>5100485.2508001355</v>
          </cell>
          <cell r="AB33">
            <v>6388735.0414139554</v>
          </cell>
          <cell r="AC33">
            <v>8499476.3823814634</v>
          </cell>
          <cell r="AY33">
            <v>-0.1222341495309183</v>
          </cell>
          <cell r="BA33">
            <v>-1.400184063478788E-2</v>
          </cell>
          <cell r="BC33">
            <v>5.1232169305542856E-2</v>
          </cell>
        </row>
        <row r="34">
          <cell r="C34">
            <v>4155670.3914137948</v>
          </cell>
          <cell r="D34">
            <v>4201431.6570423041</v>
          </cell>
          <cell r="E34">
            <v>4098432.280078223</v>
          </cell>
          <cell r="F34">
            <v>3959475.5281109139</v>
          </cell>
          <cell r="G34">
            <v>3636309.9082919573</v>
          </cell>
          <cell r="Y34">
            <v>4206569.8884933032</v>
          </cell>
          <cell r="Z34">
            <v>4884658.9540198818</v>
          </cell>
          <cell r="AA34">
            <v>6145740.1132728625</v>
          </cell>
          <cell r="AB34">
            <v>7712829.0384450071</v>
          </cell>
          <cell r="AC34">
            <v>10262937.539729131</v>
          </cell>
          <cell r="AY34">
            <v>-0.10962600234455817</v>
          </cell>
          <cell r="BA34">
            <v>4.4403757267668601E-3</v>
          </cell>
          <cell r="BC34">
            <v>5.8531762969247544E-2</v>
          </cell>
        </row>
        <row r="35">
          <cell r="C35">
            <v>4579309.3772271732</v>
          </cell>
          <cell r="D35">
            <v>4642564.1690642545</v>
          </cell>
          <cell r="E35">
            <v>4498768.447806417</v>
          </cell>
          <cell r="F35">
            <v>4372091.2556976005</v>
          </cell>
          <cell r="G35">
            <v>3962182.9604153284</v>
          </cell>
          <cell r="Y35">
            <v>4826304.9785546996</v>
          </cell>
          <cell r="Z35">
            <v>5677383.3068799321</v>
          </cell>
          <cell r="AA35">
            <v>7295872.5706569459</v>
          </cell>
          <cell r="AB35">
            <v>9160462.3953842707</v>
          </cell>
          <cell r="AC35">
            <v>11978083.37273284</v>
          </cell>
          <cell r="AY35">
            <v>-9.499988778015632E-2</v>
          </cell>
          <cell r="BA35">
            <v>2.1800358414726145E-2</v>
          </cell>
          <cell r="BC35">
            <v>6.4433245598950112E-2</v>
          </cell>
        </row>
        <row r="36">
          <cell r="C36">
            <v>5087708.6318457639</v>
          </cell>
          <cell r="D36">
            <v>5143655.6303886045</v>
          </cell>
          <cell r="E36">
            <v>4976677.7741840417</v>
          </cell>
          <cell r="F36">
            <v>4826141.8405561894</v>
          </cell>
          <cell r="G36">
            <v>4346900.6455780296</v>
          </cell>
          <cell r="Y36">
            <v>5664696.1373106241</v>
          </cell>
          <cell r="Z36">
            <v>6794558.8113892041</v>
          </cell>
          <cell r="AA36">
            <v>8713920.966113165</v>
          </cell>
          <cell r="AB36">
            <v>10830745.19650463</v>
          </cell>
          <cell r="AC36">
            <v>13936009.41564852</v>
          </cell>
          <cell r="AY36">
            <v>-7.9313115411137974E-2</v>
          </cell>
          <cell r="BA36">
            <v>3.8528287527303369E-2</v>
          </cell>
          <cell r="BC36">
            <v>6.8804757776586983E-2</v>
          </cell>
        </row>
        <row r="37">
          <cell r="C37">
            <v>5636054.3829142768</v>
          </cell>
          <cell r="D37">
            <v>5691117.6317647509</v>
          </cell>
          <cell r="E37">
            <v>5506402.5194660267</v>
          </cell>
          <cell r="F37">
            <v>5314257.7206557244</v>
          </cell>
          <cell r="G37">
            <v>4752069.6742241122</v>
          </cell>
          <cell r="Y37">
            <v>6657178.5126460884</v>
          </cell>
          <cell r="Z37">
            <v>7955848.3366591968</v>
          </cell>
          <cell r="AA37">
            <v>10189828.956169546</v>
          </cell>
          <cell r="AB37">
            <v>12549272.651863012</v>
          </cell>
          <cell r="AC37">
            <v>16029777.373571128</v>
          </cell>
          <cell r="AY37">
            <v>-6.2772995686359273E-2</v>
          </cell>
          <cell r="BA37">
            <v>5.0510688956578474E-2</v>
          </cell>
          <cell r="BC37">
            <v>7.2657138005222818E-2</v>
          </cell>
        </row>
        <row r="38">
          <cell r="C38">
            <v>6219546.3339097705</v>
          </cell>
          <cell r="D38">
            <v>6323330.300481596</v>
          </cell>
          <cell r="E38">
            <v>6092099.1201038864</v>
          </cell>
          <cell r="F38">
            <v>5880449.0642002746</v>
          </cell>
          <cell r="G38">
            <v>5126940.790205393</v>
          </cell>
          <cell r="Y38">
            <v>7694961.6924841739</v>
          </cell>
          <cell r="Z38">
            <v>9185041.663713038</v>
          </cell>
          <cell r="AA38">
            <v>11751126.32227358</v>
          </cell>
          <cell r="AB38">
            <v>14426482.549784262</v>
          </cell>
          <cell r="AC38">
            <v>17687068.653917268</v>
          </cell>
          <cell r="AY38">
            <v>-4.7997125936549118E-2</v>
          </cell>
          <cell r="BA38">
            <v>6.0037367566646301E-2</v>
          </cell>
          <cell r="BC38">
            <v>7.468202793681826E-2</v>
          </cell>
        </row>
        <row r="39">
          <cell r="C39">
            <v>6940941.1974394666</v>
          </cell>
          <cell r="D39">
            <v>7013669.4728293065</v>
          </cell>
          <cell r="E39">
            <v>6773839.0753095942</v>
          </cell>
          <cell r="F39">
            <v>6446508.656577114</v>
          </cell>
          <cell r="G39">
            <v>5573045.9068833953</v>
          </cell>
          <cell r="Y39">
            <v>8802855.1493184566</v>
          </cell>
          <cell r="Z39">
            <v>10476238.833664302</v>
          </cell>
          <cell r="AA39">
            <v>13402444.689410567</v>
          </cell>
          <cell r="AB39">
            <v>16128801.877149612</v>
          </cell>
          <cell r="AC39">
            <v>19470329.658263519</v>
          </cell>
          <cell r="AY39">
            <v>-3.8198312829139949E-2</v>
          </cell>
          <cell r="BA39">
            <v>6.5939888747654524E-2</v>
          </cell>
          <cell r="BC39">
            <v>7.6101297149229863E-2</v>
          </cell>
        </row>
        <row r="40">
          <cell r="C40">
            <v>7720076.8415689422</v>
          </cell>
          <cell r="D40">
            <v>7806073.5437689452</v>
          </cell>
          <cell r="E40">
            <v>7504465.3113997662</v>
          </cell>
          <cell r="F40">
            <v>7001704.7747102398</v>
          </cell>
          <cell r="G40">
            <v>6043477.9725351892</v>
          </cell>
          <cell r="Y40">
            <v>9998463.0486516263</v>
          </cell>
          <cell r="Z40">
            <v>11902221.205816001</v>
          </cell>
          <cell r="AA40">
            <v>15148654.134146754</v>
          </cell>
          <cell r="AB40">
            <v>17618475.500163488</v>
          </cell>
          <cell r="AC40">
            <v>21319324.255499911</v>
          </cell>
          <cell r="AY40">
            <v>-2.9075010296009941E-2</v>
          </cell>
          <cell r="BA40">
            <v>7.1705813502921517E-2</v>
          </cell>
          <cell r="BC40">
            <v>7.7194300511494882E-2</v>
          </cell>
        </row>
        <row r="41">
          <cell r="C41">
            <v>8603515.7980137821</v>
          </cell>
          <cell r="D41">
            <v>8682753.6677349731</v>
          </cell>
          <cell r="E41">
            <v>8208856.7892842507</v>
          </cell>
          <cell r="F41">
            <v>7635110.1007123962</v>
          </cell>
          <cell r="G41">
            <v>6644017.581013863</v>
          </cell>
          <cell r="Y41">
            <v>11303428.680063449</v>
          </cell>
          <cell r="Z41">
            <v>13400224.312555186</v>
          </cell>
          <cell r="AA41">
            <v>16660095.405090835</v>
          </cell>
          <cell r="AB41">
            <v>19193533.053275518</v>
          </cell>
          <cell r="AC41">
            <v>23871816.12068703</v>
          </cell>
          <cell r="AY41">
            <v>-2.1934391144703583E-2</v>
          </cell>
          <cell r="BA41">
            <v>7.4871456240257428E-2</v>
          </cell>
          <cell r="BC41">
            <v>7.8192535220668033E-2</v>
          </cell>
        </row>
        <row r="42">
          <cell r="C42">
            <v>9598884.772081906</v>
          </cell>
          <cell r="D42">
            <v>9553390.6421073396</v>
          </cell>
          <cell r="E42">
            <v>8945926.2406473141</v>
          </cell>
          <cell r="F42">
            <v>8431248.54035604</v>
          </cell>
          <cell r="G42">
            <v>7348277.7767794933</v>
          </cell>
          <cell r="Y42">
            <v>12669522.68729075</v>
          </cell>
          <cell r="Z42">
            <v>14766042.506204173</v>
          </cell>
          <cell r="AA42">
            <v>18208466.901614375</v>
          </cell>
          <cell r="AB42">
            <v>21239029.353107408</v>
          </cell>
          <cell r="AC42">
            <v>26551903.926417839</v>
          </cell>
          <cell r="AY42">
            <v>-1.6432743327652957E-2</v>
          </cell>
          <cell r="BA42">
            <v>7.7475350309231389E-2</v>
          </cell>
          <cell r="BC42">
            <v>7.863207320800579E-2</v>
          </cell>
        </row>
        <row r="43">
          <cell r="C43">
            <v>10710421.211726632</v>
          </cell>
          <cell r="D43">
            <v>10522981.222805705</v>
          </cell>
          <cell r="E43">
            <v>9897179.0551685989</v>
          </cell>
          <cell r="F43">
            <v>9480677.2526887953</v>
          </cell>
          <cell r="G43">
            <v>8191501.4981219852</v>
          </cell>
          <cell r="Y43">
            <v>14029435.06390791</v>
          </cell>
          <cell r="Z43">
            <v>16183304.897697717</v>
          </cell>
          <cell r="AA43">
            <v>20112088.088855401</v>
          </cell>
          <cell r="AB43">
            <v>23846194.633537903</v>
          </cell>
          <cell r="AC43">
            <v>29419908.925129779</v>
          </cell>
          <cell r="AY43">
            <v>-1.2978625690402121E-2</v>
          </cell>
          <cell r="BA43">
            <v>7.9375979042217451E-2</v>
          </cell>
          <cell r="BC43">
            <v>7.7525920003409118E-2</v>
          </cell>
        </row>
        <row r="44">
          <cell r="C44">
            <v>11913395.954951331</v>
          </cell>
          <cell r="D44">
            <v>11736930.991073994</v>
          </cell>
          <cell r="E44">
            <v>11172032.503710851</v>
          </cell>
          <cell r="F44">
            <v>10622280.342143901</v>
          </cell>
          <cell r="G44">
            <v>9079228.294036353</v>
          </cell>
          <cell r="Y44">
            <v>15394897.091561034</v>
          </cell>
          <cell r="Z44">
            <v>17861036.558490492</v>
          </cell>
          <cell r="AA44">
            <v>22677660.724074177</v>
          </cell>
          <cell r="AB44">
            <v>26442594.696411818</v>
          </cell>
          <cell r="AC44">
            <v>32882661.195783116</v>
          </cell>
          <cell r="AY44">
            <v>-1.0762108037674144E-2</v>
          </cell>
          <cell r="BA44">
            <v>8.0871110988021577E-2</v>
          </cell>
          <cell r="BC44">
            <v>7.6617980182707227E-2</v>
          </cell>
        </row>
        <row r="45">
          <cell r="C45">
            <v>13216592.010937424</v>
          </cell>
          <cell r="D45">
            <v>13108666.102876322</v>
          </cell>
          <cell r="E45">
            <v>12406854.080903612</v>
          </cell>
          <cell r="F45">
            <v>11778570.312732147</v>
          </cell>
          <cell r="G45">
            <v>9982680.0695675295</v>
          </cell>
          <cell r="Y45">
            <v>16870916.845744692</v>
          </cell>
          <cell r="Z45">
            <v>19979027.043691084</v>
          </cell>
          <cell r="AA45">
            <v>25325785.32744588</v>
          </cell>
          <cell r="AB45">
            <v>29590852.714253407</v>
          </cell>
          <cell r="AC45">
            <v>37187075.258034803</v>
          </cell>
          <cell r="AY45">
            <v>-8.6664891733451606E-3</v>
          </cell>
          <cell r="BA45">
            <v>8.2604168073762987E-2</v>
          </cell>
          <cell r="BC45">
            <v>7.6640144121737919E-2</v>
          </cell>
        </row>
        <row r="46">
          <cell r="C46">
            <v>14669755.570948923</v>
          </cell>
          <cell r="D46">
            <v>14513370.659974342</v>
          </cell>
          <cell r="E46">
            <v>13799616.865486085</v>
          </cell>
          <cell r="F46">
            <v>12964507.453532226</v>
          </cell>
          <cell r="G46">
            <v>10938018.149216888</v>
          </cell>
          <cell r="Y46">
            <v>18810695.816630248</v>
          </cell>
          <cell r="Z46">
            <v>22354402.196239568</v>
          </cell>
          <cell r="AA46">
            <v>28376110.600604951</v>
          </cell>
          <cell r="AB46">
            <v>33014641.645761237</v>
          </cell>
          <cell r="AC46">
            <v>41685051.117559567</v>
          </cell>
          <cell r="AY46">
            <v>-4.7959298073998718E-3</v>
          </cell>
          <cell r="BA46">
            <v>8.473616550373568E-2</v>
          </cell>
          <cell r="BC46">
            <v>7.6562144534135013E-2</v>
          </cell>
        </row>
        <row r="47">
          <cell r="C47">
            <v>16244611.473183688</v>
          </cell>
          <cell r="D47">
            <v>16252799.168462796</v>
          </cell>
          <cell r="E47">
            <v>15532275.607547512</v>
          </cell>
          <cell r="F47">
            <v>14292022.009792237</v>
          </cell>
          <cell r="G47">
            <v>11890659.765602062</v>
          </cell>
          <cell r="Y47">
            <v>20828689.605897184</v>
          </cell>
          <cell r="Z47">
            <v>24758007.932094745</v>
          </cell>
          <cell r="AA47">
            <v>31713483.034858465</v>
          </cell>
          <cell r="AB47">
            <v>36680329.0210841</v>
          </cell>
          <cell r="AC47">
            <v>46070423.581954911</v>
          </cell>
          <cell r="AY47">
            <v>-1.7907710772091701E-3</v>
          </cell>
          <cell r="BA47">
            <v>8.5510477251710681E-2</v>
          </cell>
          <cell r="BC47">
            <v>7.6434177276347687E-2</v>
          </cell>
        </row>
        <row r="48">
          <cell r="C48">
            <v>18009643.965994261</v>
          </cell>
          <cell r="D48">
            <v>18161392.746297777</v>
          </cell>
          <cell r="E48">
            <v>17132215.54553023</v>
          </cell>
          <cell r="F48">
            <v>15637712.335223984</v>
          </cell>
          <cell r="G48">
            <v>12784832.219258551</v>
          </cell>
          <cell r="Y48">
            <v>22771667.028688967</v>
          </cell>
          <cell r="Z48">
            <v>27199714.434365757</v>
          </cell>
          <cell r="AA48">
            <v>35162102.789728768</v>
          </cell>
          <cell r="AB48">
            <v>40721327.954688169</v>
          </cell>
          <cell r="AC48">
            <v>50699588.872886896</v>
          </cell>
          <cell r="AY48">
            <v>-7.5076364110525829E-4</v>
          </cell>
          <cell r="BA48">
            <v>8.6812272418405223E-2</v>
          </cell>
          <cell r="BC48">
            <v>7.7253008202405937E-2</v>
          </cell>
        </row>
        <row r="49">
          <cell r="C49">
            <v>19884350.658984393</v>
          </cell>
          <cell r="D49">
            <v>20000462.147917174</v>
          </cell>
          <cell r="E49">
            <v>18808937.82102143</v>
          </cell>
          <cell r="F49">
            <v>17097908.013351269</v>
          </cell>
          <cell r="G49">
            <v>13476559.47229876</v>
          </cell>
          <cell r="Y49">
            <v>24809953.33861468</v>
          </cell>
          <cell r="Z49">
            <v>30445962.391316835</v>
          </cell>
          <cell r="AA49">
            <v>39024746.411701173</v>
          </cell>
          <cell r="AB49">
            <v>45519703.14462468</v>
          </cell>
          <cell r="AC49">
            <v>54369062.031170741</v>
          </cell>
          <cell r="AY49">
            <v>6.0242080802060847E-5</v>
          </cell>
          <cell r="BA49">
            <v>8.8156047409527802E-2</v>
          </cell>
          <cell r="BC49">
            <v>7.8741710182761687E-2</v>
          </cell>
        </row>
        <row r="50">
          <cell r="C50">
            <v>21938485.879816681</v>
          </cell>
          <cell r="D50">
            <v>22008532.534346785</v>
          </cell>
          <cell r="E50">
            <v>20631154.312968366</v>
          </cell>
          <cell r="F50">
            <v>18286637.147166897</v>
          </cell>
          <cell r="G50">
            <v>14217915.958772933</v>
          </cell>
          <cell r="Y50">
            <v>27190938.745601933</v>
          </cell>
          <cell r="Z50">
            <v>34234842.38705717</v>
          </cell>
          <cell r="AA50">
            <v>43250183.585172519</v>
          </cell>
          <cell r="AB50">
            <v>49572425.980530925</v>
          </cell>
          <cell r="AC50">
            <v>58246619.068584979</v>
          </cell>
          <cell r="AY50">
            <v>1.3649434304224164E-3</v>
          </cell>
          <cell r="BA50">
            <v>8.9036451362830657E-2</v>
          </cell>
          <cell r="BC50">
            <v>8.0005102691284399E-2</v>
          </cell>
        </row>
        <row r="51">
          <cell r="C51">
            <v>24232089.040062286</v>
          </cell>
          <cell r="D51">
            <v>24168460.630110685</v>
          </cell>
          <cell r="E51">
            <v>22590181.342088263</v>
          </cell>
          <cell r="F51">
            <v>19265913.529809818</v>
          </cell>
          <cell r="G51">
            <v>14979293.245388148</v>
          </cell>
          <cell r="Y51">
            <v>29717611.615751661</v>
          </cell>
          <cell r="Z51">
            <v>38236205.330744617</v>
          </cell>
          <cell r="AA51">
            <v>47675898.669056825</v>
          </cell>
          <cell r="AB51">
            <v>53122036.937051065</v>
          </cell>
          <cell r="AC51">
            <v>62270303.937433764</v>
          </cell>
          <cell r="AY51">
            <v>2.103216367407683E-3</v>
          </cell>
          <cell r="BA51">
            <v>8.9376756557884213E-2</v>
          </cell>
          <cell r="BC51">
            <v>8.1091780748559938E-2</v>
          </cell>
        </row>
        <row r="52">
          <cell r="C52">
            <v>27100210.945660669</v>
          </cell>
          <cell r="D52">
            <v>26528583.108041458</v>
          </cell>
          <cell r="E52">
            <v>23809423.510972682</v>
          </cell>
          <cell r="F52">
            <v>20310744.465680659</v>
          </cell>
          <cell r="G52">
            <v>15763005.580686685</v>
          </cell>
          <cell r="Y52">
            <v>32419582.519071143</v>
          </cell>
          <cell r="Z52">
            <v>42433050.755717754</v>
          </cell>
          <cell r="AA52">
            <v>50944569.905798517</v>
          </cell>
          <cell r="AB52">
            <v>56787059.547296025</v>
          </cell>
          <cell r="AC52">
            <v>66441456.917753257</v>
          </cell>
          <cell r="AY52">
            <v>1.4375702561294093E-3</v>
          </cell>
          <cell r="BA52">
            <v>9.1247083959868872E-2</v>
          </cell>
          <cell r="BC52">
            <v>8.200279565604475E-2</v>
          </cell>
        </row>
        <row r="53">
          <cell r="C53">
            <v>29764888.944998439</v>
          </cell>
          <cell r="D53">
            <v>28495198.580153462</v>
          </cell>
          <cell r="E53">
            <v>25082185.028207183</v>
          </cell>
          <cell r="F53">
            <v>21409141.1258711</v>
          </cell>
          <cell r="G53">
            <v>16598448.101704521</v>
          </cell>
          <cell r="Y53">
            <v>35306197.983330235</v>
          </cell>
          <cell r="Z53">
            <v>46255833.858053461</v>
          </cell>
          <cell r="AA53">
            <v>54317531.167538658</v>
          </cell>
          <cell r="AB53">
            <v>60605112.66267655</v>
          </cell>
          <cell r="AC53">
            <v>70934110.818730086</v>
          </cell>
          <cell r="AY53">
            <v>1.9477092151940908E-3</v>
          </cell>
          <cell r="BA53">
            <v>9.2824106393386743E-2</v>
          </cell>
          <cell r="BC53">
            <v>8.2646963509636934E-2</v>
          </cell>
        </row>
        <row r="54">
          <cell r="C54">
            <v>32697161.975846615</v>
          </cell>
          <cell r="D54">
            <v>30347857.229375605</v>
          </cell>
          <cell r="E54">
            <v>26680816.185260978</v>
          </cell>
          <cell r="F54">
            <v>22744487.66368318</v>
          </cell>
          <cell r="G54">
            <v>17883296.833397299</v>
          </cell>
          <cell r="Y54">
            <v>38386563.731396824</v>
          </cell>
          <cell r="Z54">
            <v>50050123.197402872</v>
          </cell>
          <cell r="AA54">
            <v>58239093.298069</v>
          </cell>
          <cell r="AB54">
            <v>65089227.405834727</v>
          </cell>
          <cell r="AC54">
            <v>78376806.631521642</v>
          </cell>
          <cell r="AY54">
            <v>2.1753204525112443E-3</v>
          </cell>
          <cell r="BA54">
            <v>9.356726790298843E-2</v>
          </cell>
          <cell r="BC54">
            <v>8.19435368628528E-2</v>
          </cell>
        </row>
        <row r="55">
          <cell r="C55">
            <v>35922999.986167051</v>
          </cell>
          <cell r="D55">
            <v>33246755.213888492</v>
          </cell>
          <cell r="E55">
            <v>29563842.510207172</v>
          </cell>
          <cell r="F55">
            <v>25801055.203097209</v>
          </cell>
          <cell r="G55">
            <v>20226233.992648933</v>
          </cell>
          <cell r="Y55">
            <v>42137329.64065209</v>
          </cell>
          <cell r="Z55">
            <v>54720713.824143559</v>
          </cell>
          <cell r="AA55">
            <v>64242464.827804893</v>
          </cell>
          <cell r="AB55">
            <v>74259692.059241086</v>
          </cell>
          <cell r="AC55">
            <v>91285236.000031009</v>
          </cell>
          <cell r="AY55">
            <v>3.1155366352236366E-3</v>
          </cell>
          <cell r="BA55">
            <v>9.1737179053023629E-2</v>
          </cell>
          <cell r="BC55">
            <v>7.8351772662623498E-2</v>
          </cell>
        </row>
        <row r="56">
          <cell r="C56">
            <v>39474171.551759079</v>
          </cell>
          <cell r="D56">
            <v>37587365.278284237</v>
          </cell>
          <cell r="E56">
            <v>33908688.031297199</v>
          </cell>
          <cell r="F56">
            <v>30601604.413591076</v>
          </cell>
          <cell r="G56">
            <v>23432194.811994337</v>
          </cell>
          <cell r="Y56">
            <v>47389948.503581524</v>
          </cell>
          <cell r="Z56">
            <v>61032999.186127916</v>
          </cell>
          <cell r="AA56">
            <v>73053644.138363436</v>
          </cell>
          <cell r="AB56">
            <v>86393901.095144346</v>
          </cell>
          <cell r="AC56">
            <v>109597113.9059467</v>
          </cell>
          <cell r="AY56">
            <v>6.0474916354405096E-3</v>
          </cell>
          <cell r="BA56">
            <v>8.8608417660150873E-2</v>
          </cell>
          <cell r="BC56">
            <v>7.4544225536991957E-2</v>
          </cell>
        </row>
        <row r="57">
          <cell r="C57">
            <v>43455425.807985365</v>
          </cell>
          <cell r="D57">
            <v>41295536.0568868</v>
          </cell>
          <cell r="E57">
            <v>38678837.678039446</v>
          </cell>
          <cell r="F57">
            <v>34447141.117762156</v>
          </cell>
          <cell r="G57">
            <v>25496726.512889095</v>
          </cell>
          <cell r="Y57">
            <v>52982169.71893876</v>
          </cell>
          <cell r="Z57">
            <v>66637681.694816336</v>
          </cell>
          <cell r="AA57">
            <v>81404823.199585825</v>
          </cell>
          <cell r="AB57">
            <v>97109087.334496617</v>
          </cell>
          <cell r="AC57">
            <v>120980466.49036182</v>
          </cell>
          <cell r="AY57">
            <v>8.1125607679749263E-3</v>
          </cell>
          <cell r="BA57">
            <v>8.4075385090469287E-2</v>
          </cell>
          <cell r="BC57">
            <v>7.3461362902535743E-2</v>
          </cell>
        </row>
        <row r="58">
          <cell r="C58">
            <v>47767141.305391945</v>
          </cell>
          <cell r="D58">
            <v>46814018.505363412</v>
          </cell>
          <cell r="E58">
            <v>43925683.145287611</v>
          </cell>
          <cell r="F58">
            <v>38295650.876438297</v>
          </cell>
          <cell r="G58">
            <v>27137494.560142189</v>
          </cell>
          <cell r="Y58">
            <v>58809997.89937412</v>
          </cell>
          <cell r="Z58">
            <v>73373893.809550747</v>
          </cell>
          <cell r="AA58">
            <v>90724592.723222047</v>
          </cell>
          <cell r="AB58">
            <v>108630039.91233477</v>
          </cell>
          <cell r="AC58">
            <v>129052218.96747088</v>
          </cell>
          <cell r="AY58">
            <v>9.6083337558643626E-3</v>
          </cell>
          <cell r="BA58">
            <v>8.0232881135445314E-2</v>
          </cell>
          <cell r="BC58">
            <v>7.2725405090250425E-2</v>
          </cell>
        </row>
        <row r="59">
          <cell r="C59">
            <v>52523231.375259936</v>
          </cell>
          <cell r="D59">
            <v>52030929.241356321</v>
          </cell>
          <cell r="E59">
            <v>48046970.639100514</v>
          </cell>
          <cell r="F59">
            <v>40613289.21393735</v>
          </cell>
          <cell r="G59">
            <v>28620276.933270339</v>
          </cell>
          <cell r="Y59">
            <v>64563547.437098145</v>
          </cell>
          <cell r="Z59">
            <v>79546464.78729853</v>
          </cell>
          <cell r="AA59">
            <v>99024160.613393337</v>
          </cell>
          <cell r="AB59">
            <v>115040830.43498641</v>
          </cell>
          <cell r="AC59">
            <v>136125252.08378553</v>
          </cell>
          <cell r="AY59">
            <v>1.006613073840632E-2</v>
          </cell>
          <cell r="BA59">
            <v>7.851986558525359E-2</v>
          </cell>
          <cell r="BC59">
            <v>7.2281303020806806E-2</v>
          </cell>
        </row>
        <row r="60">
          <cell r="C60">
            <v>57744772.598379381</v>
          </cell>
          <cell r="D60">
            <v>56439724.943228908</v>
          </cell>
          <cell r="E60">
            <v>51848119.200765513</v>
          </cell>
          <cell r="F60">
            <v>42733038.14430096</v>
          </cell>
          <cell r="G60">
            <v>30193912.266768333</v>
          </cell>
          <cell r="Y60">
            <v>70415481.628016546</v>
          </cell>
          <cell r="Z60">
            <v>85965753.030161932</v>
          </cell>
          <cell r="AA60">
            <v>106672269.00727242</v>
          </cell>
          <cell r="AB60">
            <v>120864664.4221369</v>
          </cell>
          <cell r="AC60">
            <v>143022397.6383298</v>
          </cell>
          <cell r="AY60">
            <v>9.9587505351311431E-3</v>
          </cell>
          <cell r="BA60">
            <v>7.6722500582081493E-2</v>
          </cell>
          <cell r="BC60">
            <v>7.1839667189746617E-2</v>
          </cell>
        </row>
        <row r="61">
          <cell r="C61">
            <v>63469496.62961179</v>
          </cell>
          <cell r="D61">
            <v>61457183.42596937</v>
          </cell>
          <cell r="E61">
            <v>54901793.963717788</v>
          </cell>
          <cell r="F61">
            <v>45211618.43139407</v>
          </cell>
          <cell r="G61">
            <v>32289039.455446154</v>
          </cell>
          <cell r="Y61">
            <v>76994412.582980037</v>
          </cell>
          <cell r="Z61">
            <v>92942456.823828816</v>
          </cell>
          <cell r="AA61">
            <v>112341923.3820619</v>
          </cell>
          <cell r="AB61">
            <v>127296001.57001281</v>
          </cell>
          <cell r="AC61">
            <v>153571057.0847221</v>
          </cell>
          <cell r="AY61">
            <v>9.9934803590537857E-3</v>
          </cell>
          <cell r="BA61">
            <v>7.5336129432008736E-2</v>
          </cell>
          <cell r="BC61">
            <v>7.0939104812613771E-2</v>
          </cell>
        </row>
        <row r="62">
          <cell r="C62">
            <v>69785022.735653937</v>
          </cell>
          <cell r="D62">
            <v>66430231.393907048</v>
          </cell>
          <cell r="E62">
            <v>58358851.870028079</v>
          </cell>
          <cell r="F62">
            <v>47968943.327336408</v>
          </cell>
          <cell r="G62">
            <v>35074369.499989092</v>
          </cell>
          <cell r="Y62">
            <v>84533758.102055296</v>
          </cell>
          <cell r="Z62">
            <v>99486948.257886529</v>
          </cell>
          <cell r="AA62">
            <v>118553652.19055478</v>
          </cell>
          <cell r="AB62">
            <v>134321267.081734</v>
          </cell>
          <cell r="AC62">
            <v>168753116.17994693</v>
          </cell>
          <cell r="AY62">
            <v>1.0230985224596676E-2</v>
          </cell>
          <cell r="BA62">
            <v>7.3615081703986424E-2</v>
          </cell>
          <cell r="BC62">
            <v>6.9600296530757957E-2</v>
          </cell>
        </row>
        <row r="63">
          <cell r="C63">
            <v>76713096.898123547</v>
          </cell>
          <cell r="D63">
            <v>71082661.850946441</v>
          </cell>
          <cell r="E63">
            <v>62319676.570381887</v>
          </cell>
          <cell r="F63">
            <v>52597174.109530397</v>
          </cell>
          <cell r="G63">
            <v>38271016.504335418</v>
          </cell>
          <cell r="Y63">
            <v>92318806.421867967</v>
          </cell>
          <cell r="Z63">
            <v>105308069.78610024</v>
          </cell>
          <cell r="AA63">
            <v>125388491.81286362</v>
          </cell>
          <cell r="AB63">
            <v>147270642.54433325</v>
          </cell>
          <cell r="AC63">
            <v>186721145.65106434</v>
          </cell>
          <cell r="AY63">
            <v>1.0080141824332761E-2</v>
          </cell>
          <cell r="BA63">
            <v>7.1550259810056652E-2</v>
          </cell>
          <cell r="BC63">
            <v>6.8480582098519732E-2</v>
          </cell>
        </row>
        <row r="64">
          <cell r="C64">
            <v>84375608.729434282</v>
          </cell>
          <cell r="D64">
            <v>78017742.139422014</v>
          </cell>
          <cell r="E64">
            <v>70736482.774014845</v>
          </cell>
          <cell r="F64">
            <v>60078352.584771208</v>
          </cell>
          <cell r="G64">
            <v>42829750.515205681</v>
          </cell>
          <cell r="Y64">
            <v>99852696.73592186</v>
          </cell>
          <cell r="Z64">
            <v>112907341.38816309</v>
          </cell>
          <cell r="AA64">
            <v>139276185.2239396</v>
          </cell>
          <cell r="AB64">
            <v>168614588.70160356</v>
          </cell>
          <cell r="AC64">
            <v>215313794.23868325</v>
          </cell>
          <cell r="AY64">
            <v>9.2434927328978039E-3</v>
          </cell>
          <cell r="BA64">
            <v>6.6950010645659253E-2</v>
          </cell>
          <cell r="BC64">
            <v>6.7048916697477881E-2</v>
          </cell>
        </row>
        <row r="65">
          <cell r="C65">
            <v>92775441.976981401</v>
          </cell>
          <cell r="D65">
            <v>88927916.428553954</v>
          </cell>
          <cell r="E65">
            <v>81175165.440798685</v>
          </cell>
          <cell r="F65">
            <v>68148875.158825621</v>
          </cell>
          <cell r="G65">
            <v>47888147.834436677</v>
          </cell>
          <cell r="Y65">
            <v>109330766.58812749</v>
          </cell>
          <cell r="Z65">
            <v>127223946.65990612</v>
          </cell>
          <cell r="AA65">
            <v>159314183.90426171</v>
          </cell>
          <cell r="AB65">
            <v>195063604.61448419</v>
          </cell>
          <cell r="AC65">
            <v>248385205.02863002</v>
          </cell>
          <cell r="AY65">
            <v>9.1664791502651215E-3</v>
          </cell>
          <cell r="BA65">
            <v>6.3563582900000651E-2</v>
          </cell>
          <cell r="BC65">
            <v>6.5781308604931296E-2</v>
          </cell>
        </row>
        <row r="66">
          <cell r="C66">
            <v>102258015.44691573</v>
          </cell>
          <cell r="D66">
            <v>98272886.219930664</v>
          </cell>
          <cell r="E66">
            <v>89507109.553363144</v>
          </cell>
          <cell r="F66">
            <v>74771388.794578895</v>
          </cell>
          <cell r="G66">
            <v>51078680.608500853</v>
          </cell>
          <cell r="Y66">
            <v>122321795.75121984</v>
          </cell>
          <cell r="Z66">
            <v>142070908.83939439</v>
          </cell>
          <cell r="AA66">
            <v>178108305.51831421</v>
          </cell>
          <cell r="AB66">
            <v>218059005.66887778</v>
          </cell>
          <cell r="AC66">
            <v>269900682.50145805</v>
          </cell>
          <cell r="AY66">
            <v>1.0251724339079282E-2</v>
          </cell>
          <cell r="BA66">
            <v>6.2751026774980734E-2</v>
          </cell>
          <cell r="BC66">
            <v>6.5898443411741725E-2</v>
          </cell>
        </row>
        <row r="67">
          <cell r="C67">
            <v>112522696.08069789</v>
          </cell>
          <cell r="D67">
            <v>108084241.78431281</v>
          </cell>
          <cell r="E67">
            <v>98117888.76194869</v>
          </cell>
          <cell r="F67">
            <v>81537708.584695101</v>
          </cell>
          <cell r="G67">
            <v>53820090.988042228</v>
          </cell>
          <cell r="Y67">
            <v>135992565.58840531</v>
          </cell>
          <cell r="Z67">
            <v>157813311.56862712</v>
          </cell>
          <cell r="AA67">
            <v>197175987.57213473</v>
          </cell>
          <cell r="AB67">
            <v>241243100.27765262</v>
          </cell>
          <cell r="AC67">
            <v>288539460.7238484</v>
          </cell>
          <cell r="AY67">
            <v>1.1076839436811594E-2</v>
          </cell>
          <cell r="BA67">
            <v>6.1919487085695689E-2</v>
          </cell>
          <cell r="BC67">
            <v>6.6203062378890787E-2</v>
          </cell>
        </row>
        <row r="68">
          <cell r="C68">
            <v>123851336.5886866</v>
          </cell>
          <cell r="D68">
            <v>118719821.40148814</v>
          </cell>
          <cell r="E68">
            <v>107717245.80110554</v>
          </cell>
          <cell r="F68">
            <v>86408528.440964833</v>
          </cell>
          <cell r="G68">
            <v>56760362.756394364</v>
          </cell>
          <cell r="Y68">
            <v>150773331.52149531</v>
          </cell>
          <cell r="Z68">
            <v>174301472.19460034</v>
          </cell>
          <cell r="AA68">
            <v>217573190.60370353</v>
          </cell>
          <cell r="AB68">
            <v>259099596.61966276</v>
          </cell>
          <cell r="AC68">
            <v>308229641.45077276</v>
          </cell>
          <cell r="AY68">
            <v>1.1699166800728217E-2</v>
          </cell>
          <cell r="BA68">
            <v>6.0802684507189196E-2</v>
          </cell>
          <cell r="BC68">
            <v>6.6417601866271922E-2</v>
          </cell>
        </row>
        <row r="69">
          <cell r="C69">
            <v>136224477.70448563</v>
          </cell>
          <cell r="D69">
            <v>130442439.66616294</v>
          </cell>
          <cell r="E69">
            <v>116860000.61433424</v>
          </cell>
          <cell r="F69">
            <v>91205071.668619394</v>
          </cell>
          <cell r="G69">
            <v>59827458.469521053</v>
          </cell>
          <cell r="Y69">
            <v>166374498.21622699</v>
          </cell>
          <cell r="Z69">
            <v>191648999.67415041</v>
          </cell>
          <cell r="AA69">
            <v>237150971.7875272</v>
          </cell>
          <cell r="AB69">
            <v>276752413.56244332</v>
          </cell>
          <cell r="AC69">
            <v>328702204.86772621</v>
          </cell>
          <cell r="AY69">
            <v>1.2078313280660209E-2</v>
          </cell>
          <cell r="BA69">
            <v>5.9973669380120401E-2</v>
          </cell>
          <cell r="BC69">
            <v>6.6576049673539889E-2</v>
          </cell>
        </row>
        <row r="70">
          <cell r="C70">
            <v>149874478.07457617</v>
          </cell>
          <cell r="D70">
            <v>143357521.26272148</v>
          </cell>
          <cell r="E70">
            <v>123865574.53412762</v>
          </cell>
          <cell r="F70">
            <v>96402429.514096528</v>
          </cell>
          <cell r="G70">
            <v>63790094.323208772</v>
          </cell>
          <cell r="Y70">
            <v>182710625.69025168</v>
          </cell>
          <cell r="Z70">
            <v>210550831.4844926</v>
          </cell>
          <cell r="AA70">
            <v>253126854.15790129</v>
          </cell>
          <cell r="AB70">
            <v>295206618.95579773</v>
          </cell>
          <cell r="AC70">
            <v>351971420.77360427</v>
          </cell>
          <cell r="AY70">
            <v>1.2125534146214962E-2</v>
          </cell>
          <cell r="BA70">
            <v>5.979768732523065E-2</v>
          </cell>
          <cell r="BC70">
            <v>6.5966111913015713E-2</v>
          </cell>
        </row>
        <row r="71">
          <cell r="C71">
            <v>164779202.26287556</v>
          </cell>
          <cell r="D71">
            <v>152865056.3803691</v>
          </cell>
          <cell r="E71">
            <v>131195896.02055541</v>
          </cell>
          <cell r="F71">
            <v>102267276.25967671</v>
          </cell>
          <cell r="G71">
            <v>68004997.383733943</v>
          </cell>
          <cell r="Y71">
            <v>201217385.57921124</v>
          </cell>
          <cell r="Z71">
            <v>226894991.08366132</v>
          </cell>
          <cell r="AA71">
            <v>271125402.21500438</v>
          </cell>
          <cell r="AB71">
            <v>317606415.3701297</v>
          </cell>
          <cell r="AC71">
            <v>378891856.13903546</v>
          </cell>
          <cell r="AY71">
            <v>1.2669413456872492E-2</v>
          </cell>
          <cell r="BA71">
            <v>5.9960784619549741E-2</v>
          </cell>
          <cell r="BC71">
            <v>6.5588046398126196E-2</v>
          </cell>
        </row>
        <row r="72">
          <cell r="C72">
            <v>181227111.92435849</v>
          </cell>
          <cell r="D72">
            <v>165085592.16570112</v>
          </cell>
          <cell r="E72">
            <v>141358932.10728139</v>
          </cell>
          <cell r="F72">
            <v>112005104.09953037</v>
          </cell>
          <cell r="G72">
            <v>73482801.729369149</v>
          </cell>
          <cell r="Y72">
            <v>220573755.61527014</v>
          </cell>
          <cell r="Z72">
            <v>245578101.29856098</v>
          </cell>
          <cell r="AA72">
            <v>293140758.20671463</v>
          </cell>
          <cell r="AB72">
            <v>347060934.27660596</v>
          </cell>
          <cell r="AC72">
            <v>415766731.39781165</v>
          </cell>
          <cell r="AY72">
            <v>1.2910844197444116E-2</v>
          </cell>
          <cell r="BA72">
            <v>5.9295649579233924E-2</v>
          </cell>
          <cell r="BC72">
            <v>6.5048029182074266E-2</v>
          </cell>
        </row>
        <row r="73">
          <cell r="C73">
            <v>199482479.47707662</v>
          </cell>
          <cell r="D73">
            <v>181865010.03223586</v>
          </cell>
          <cell r="E73">
            <v>158550524.88788593</v>
          </cell>
          <cell r="F73">
            <v>124436659.1389325</v>
          </cell>
          <cell r="G73">
            <v>80248124.911993772</v>
          </cell>
          <cell r="Y73">
            <v>240709816.30112725</v>
          </cell>
          <cell r="Z73">
            <v>267606683.04904729</v>
          </cell>
          <cell r="AA73">
            <v>321340676.17961454</v>
          </cell>
          <cell r="AB73">
            <v>383423432.00394225</v>
          </cell>
          <cell r="AC73">
            <v>463135592.03399169</v>
          </cell>
          <cell r="AY73">
            <v>1.2784970495937308E-2</v>
          </cell>
          <cell r="BA73">
            <v>5.625346074486326E-2</v>
          </cell>
          <cell r="BC73">
            <v>6.4508166939066358E-2</v>
          </cell>
        </row>
        <row r="74">
          <cell r="C74">
            <v>219464711.32054916</v>
          </cell>
          <cell r="D74">
            <v>202463950.55601728</v>
          </cell>
          <cell r="E74">
            <v>175442456.00998184</v>
          </cell>
          <cell r="F74">
            <v>136568441.19202486</v>
          </cell>
          <cell r="G74">
            <v>88479194.876279086</v>
          </cell>
          <cell r="Y74">
            <v>261121036.52477702</v>
          </cell>
          <cell r="Z74">
            <v>290595157.57631284</v>
          </cell>
          <cell r="AA74">
            <v>350536940.15394121</v>
          </cell>
          <cell r="AB74">
            <v>422780658.94402301</v>
          </cell>
          <cell r="AC74">
            <v>514561247.33813334</v>
          </cell>
          <cell r="AY74">
            <v>1.2247055055119612E-2</v>
          </cell>
          <cell r="BA74">
            <v>5.4141764692102037E-2</v>
          </cell>
          <cell r="BC74">
            <v>6.2785515589779309E-2</v>
          </cell>
        </row>
        <row r="75">
          <cell r="C75">
            <v>241282016.26752225</v>
          </cell>
          <cell r="D75">
            <v>221889362.34314951</v>
          </cell>
          <cell r="E75">
            <v>190886809.53849867</v>
          </cell>
          <cell r="F75">
            <v>149533200.70148116</v>
          </cell>
          <cell r="G75">
            <v>97824695.331895337</v>
          </cell>
          <cell r="Y75">
            <v>282438823.7256788</v>
          </cell>
          <cell r="Z75">
            <v>314828782.04164404</v>
          </cell>
          <cell r="AA75">
            <v>381709239.05850637</v>
          </cell>
          <cell r="AB75">
            <v>459810891.6478529</v>
          </cell>
          <cell r="AC75">
            <v>565905750.1048094</v>
          </cell>
          <cell r="AY75">
            <v>1.1497769034534906E-2</v>
          </cell>
          <cell r="BA75">
            <v>5.335865786977001E-2</v>
          </cell>
          <cell r="BC75">
            <v>6.0529270648847812E-2</v>
          </cell>
        </row>
        <row r="76">
          <cell r="C76">
            <v>265109151.81702051</v>
          </cell>
          <cell r="D76">
            <v>243242308.85938543</v>
          </cell>
          <cell r="E76">
            <v>209372975.29013556</v>
          </cell>
          <cell r="F76">
            <v>167953603.11816421</v>
          </cell>
          <cell r="G76">
            <v>111787656.43643269</v>
          </cell>
          <cell r="Y76">
            <v>313823566.6176244</v>
          </cell>
          <cell r="Z76">
            <v>350783136.03504431</v>
          </cell>
          <cell r="AA76">
            <v>424519601.71091473</v>
          </cell>
          <cell r="AB76">
            <v>512400214.42834508</v>
          </cell>
          <cell r="AC76">
            <v>638469596.7616241</v>
          </cell>
          <cell r="AY76">
            <v>1.2573479737245586E-2</v>
          </cell>
          <cell r="BA76">
            <v>5.4168698206312246E-2</v>
          </cell>
          <cell r="BC76">
            <v>5.9277343387260088E-2</v>
          </cell>
        </row>
        <row r="77">
          <cell r="C77">
            <v>291326852.21109957</v>
          </cell>
          <cell r="D77">
            <v>268025416.83945435</v>
          </cell>
          <cell r="E77">
            <v>237408727.26755285</v>
          </cell>
          <cell r="F77">
            <v>189861909.87888867</v>
          </cell>
          <cell r="G77">
            <v>124843822.45612921</v>
          </cell>
          <cell r="Y77">
            <v>349152186.83269906</v>
          </cell>
          <cell r="Z77">
            <v>389330124.2739532</v>
          </cell>
          <cell r="AA77">
            <v>474844809.4269681</v>
          </cell>
          <cell r="AB77">
            <v>577531102.75290704</v>
          </cell>
          <cell r="AC77">
            <v>722480299.4414444</v>
          </cell>
          <cell r="AY77">
            <v>1.3760280577523947E-2</v>
          </cell>
          <cell r="BA77">
            <v>5.3435500731628297E-2</v>
          </cell>
          <cell r="BC77">
            <v>5.8272010988528779E-2</v>
          </cell>
        </row>
        <row r="78">
          <cell r="C78">
            <v>319608143.63322997</v>
          </cell>
          <cell r="D78">
            <v>301772716.6837976</v>
          </cell>
          <cell r="E78">
            <v>268264202.81882417</v>
          </cell>
          <cell r="F78">
            <v>216074839.78601611</v>
          </cell>
          <cell r="G78">
            <v>138645688.09944883</v>
          </cell>
          <cell r="Y78">
            <v>386485689.91633558</v>
          </cell>
          <cell r="Z78">
            <v>433122165.94153261</v>
          </cell>
          <cell r="AA78">
            <v>532009666.55804241</v>
          </cell>
          <cell r="AB78">
            <v>649133699.55922508</v>
          </cell>
          <cell r="AC78">
            <v>812483136.43181789</v>
          </cell>
          <cell r="AY78">
            <v>1.4753022633273058E-2</v>
          </cell>
          <cell r="BA78">
            <v>5.3045269593342714E-2</v>
          </cell>
          <cell r="BC78">
            <v>5.749355504386728E-2</v>
          </cell>
        </row>
        <row r="79">
          <cell r="C79">
            <v>350523356.6485706</v>
          </cell>
          <cell r="D79">
            <v>331136891.76537895</v>
          </cell>
          <cell r="E79">
            <v>294214549.88762575</v>
          </cell>
          <cell r="F79">
            <v>236912451.81212038</v>
          </cell>
          <cell r="G79">
            <v>146649381.44741386</v>
          </cell>
          <cell r="Y79">
            <v>423544580.96447945</v>
          </cell>
          <cell r="Z79">
            <v>474987935.15008157</v>
          </cell>
          <cell r="AA79">
            <v>585155523.30244184</v>
          </cell>
          <cell r="AB79">
            <v>716805235.79120266</v>
          </cell>
          <cell r="AC79">
            <v>868100790.16547298</v>
          </cell>
          <cell r="AY79">
            <v>1.5017175659033421E-2</v>
          </cell>
          <cell r="BA79">
            <v>5.341634972309748E-2</v>
          </cell>
          <cell r="BC79">
            <v>5.7705492514995599E-2</v>
          </cell>
        </row>
        <row r="80">
          <cell r="C80">
            <v>383656435.56231701</v>
          </cell>
          <cell r="D80">
            <v>363783572.48766327</v>
          </cell>
          <cell r="E80">
            <v>322804779.85704368</v>
          </cell>
          <cell r="F80">
            <v>258562414.49755612</v>
          </cell>
          <cell r="G80">
            <v>154419033.16234922</v>
          </cell>
          <cell r="Y80">
            <v>462005763.35716033</v>
          </cell>
          <cell r="Z80">
            <v>520353448.77617192</v>
          </cell>
          <cell r="AA80">
            <v>641456599.05904913</v>
          </cell>
          <cell r="AB80">
            <v>782691386.35718071</v>
          </cell>
          <cell r="AC80">
            <v>923028667.43364143</v>
          </cell>
          <cell r="AY80">
            <v>1.5063258967482245E-2</v>
          </cell>
          <cell r="BA80">
            <v>5.3480166074119269E-2</v>
          </cell>
          <cell r="BC80">
            <v>5.7994141147775319E-2</v>
          </cell>
        </row>
        <row r="81">
          <cell r="C81">
            <v>420055611.04419434</v>
          </cell>
          <cell r="D81">
            <v>401201839.51469904</v>
          </cell>
          <cell r="E81">
            <v>356593493.71110547</v>
          </cell>
          <cell r="F81">
            <v>272497642.35921884</v>
          </cell>
          <cell r="G81">
            <v>162493413.04383725</v>
          </cell>
          <cell r="Y81">
            <v>502427775.6716457</v>
          </cell>
          <cell r="Z81">
            <v>565466348.61084664</v>
          </cell>
          <cell r="AA81">
            <v>699780987.75580704</v>
          </cell>
          <cell r="AB81">
            <v>829754005.37837648</v>
          </cell>
          <cell r="AC81">
            <v>979624039.23906267</v>
          </cell>
          <cell r="AY81">
            <v>1.4701855528193784E-2</v>
          </cell>
          <cell r="BA81">
            <v>5.3001834679633472E-2</v>
          </cell>
          <cell r="BC81">
            <v>5.8235107290587604E-2</v>
          </cell>
        </row>
        <row r="82">
          <cell r="C82">
            <v>459168414.79210246</v>
          </cell>
          <cell r="D82">
            <v>438976410.99838138</v>
          </cell>
          <cell r="E82">
            <v>383390921.72294867</v>
          </cell>
          <cell r="F82">
            <v>287727858.70974827</v>
          </cell>
          <cell r="G82">
            <v>170550034.21633726</v>
          </cell>
          <cell r="Y82">
            <v>544693159.14891946</v>
          </cell>
          <cell r="Z82">
            <v>615261419.83379614</v>
          </cell>
          <cell r="AA82">
            <v>751858590.9032588</v>
          </cell>
          <cell r="AB82">
            <v>879399286.71170378</v>
          </cell>
          <cell r="AC82">
            <v>1038981175.2443314</v>
          </cell>
          <cell r="AY82">
            <v>1.4201780417343332E-2</v>
          </cell>
          <cell r="BA82">
            <v>5.3066588758349083E-2</v>
          </cell>
          <cell r="BC82">
            <v>5.8425084112196921E-2</v>
          </cell>
        </row>
        <row r="83">
          <cell r="C83">
            <v>501999828.96594727</v>
          </cell>
          <cell r="D83">
            <v>478180979.29840004</v>
          </cell>
          <cell r="E83">
            <v>404142169.55312705</v>
          </cell>
          <cell r="F83">
            <v>303894273.15583724</v>
          </cell>
          <cell r="G83">
            <v>184754267.5694674</v>
          </cell>
          <cell r="Y83">
            <v>591577729.70290482</v>
          </cell>
          <cell r="Z83">
            <v>669700610.45292401</v>
          </cell>
          <cell r="AA83">
            <v>796296409.09437656</v>
          </cell>
          <cell r="AB83">
            <v>931059309.21227908</v>
          </cell>
          <cell r="AC83">
            <v>1131597673.0462499</v>
          </cell>
          <cell r="AY83">
            <v>1.3800686367762743E-2</v>
          </cell>
          <cell r="BA83">
            <v>5.3487023122592979E-2</v>
          </cell>
          <cell r="BC83">
            <v>5.7472835669183465E-2</v>
          </cell>
        </row>
        <row r="84">
          <cell r="C84">
            <v>548063603.41904616</v>
          </cell>
          <cell r="D84">
            <v>504068731.3546654</v>
          </cell>
          <cell r="E84">
            <v>426042976.7020669</v>
          </cell>
          <cell r="F84">
            <v>324455835.39866239</v>
          </cell>
          <cell r="G84">
            <v>200488184.96351758</v>
          </cell>
          <cell r="Y84">
            <v>644778416.34152448</v>
          </cell>
          <cell r="Z84">
            <v>714206151.54545641</v>
          </cell>
          <cell r="AA84">
            <v>850964348.22455919</v>
          </cell>
          <cell r="AB84">
            <v>994007145.29408967</v>
          </cell>
          <cell r="AC84">
            <v>1232565468.9227166</v>
          </cell>
          <cell r="AY84">
            <v>1.3745404310273495E-2</v>
          </cell>
          <cell r="BA84">
            <v>5.4547707501938734E-2</v>
          </cell>
          <cell r="BC84">
            <v>5.6508891157856643E-2</v>
          </cell>
        </row>
        <row r="85">
          <cell r="C85">
            <v>598322394.51616216</v>
          </cell>
          <cell r="D85">
            <v>544664468.23844934</v>
          </cell>
          <cell r="E85">
            <v>466941897.91617614</v>
          </cell>
          <cell r="F85">
            <v>371807808.9934395</v>
          </cell>
          <cell r="G85">
            <v>216762074.31664148</v>
          </cell>
          <cell r="Y85">
            <v>700066589.6196506</v>
          </cell>
          <cell r="Z85">
            <v>771077047.99127281</v>
          </cell>
          <cell r="AA85">
            <v>929263226.69376218</v>
          </cell>
          <cell r="AB85">
            <v>1109172162.7707562</v>
          </cell>
          <cell r="AC85">
            <v>1332079542.4164689</v>
          </cell>
          <cell r="AY85">
            <v>1.3393057232358585E-2</v>
          </cell>
          <cell r="BA85">
            <v>5.4264143030299576E-2</v>
          </cell>
          <cell r="BC85">
            <v>5.5490967984893926E-2</v>
          </cell>
        </row>
        <row r="86">
          <cell r="C86">
            <v>650471476.13474667</v>
          </cell>
          <cell r="D86">
            <v>607677816.27673388</v>
          </cell>
          <cell r="E86">
            <v>541885452.77543807</v>
          </cell>
          <cell r="F86">
            <v>412445428.19014376</v>
          </cell>
          <cell r="G86">
            <v>237801151.87112644</v>
          </cell>
          <cell r="Y86">
            <v>791767166.69309807</v>
          </cell>
          <cell r="Z86">
            <v>877997188.81617475</v>
          </cell>
          <cell r="AA86">
            <v>1072806852.6829814</v>
          </cell>
          <cell r="AB86">
            <v>1246628714.8225851</v>
          </cell>
          <cell r="AC86">
            <v>1486741981.8591189</v>
          </cell>
          <cell r="AY86">
            <v>1.6393557182057539E-2</v>
          </cell>
          <cell r="BA86">
            <v>5.3469031361206773E-2</v>
          </cell>
          <cell r="BC86">
            <v>5.536687524913321E-2</v>
          </cell>
        </row>
        <row r="87">
          <cell r="C87">
            <v>706018505.25298011</v>
          </cell>
          <cell r="D87">
            <v>677960119.39397824</v>
          </cell>
          <cell r="E87">
            <v>585731532.75968277</v>
          </cell>
          <cell r="F87">
            <v>444788671.27353346</v>
          </cell>
          <cell r="G87">
            <v>264497415.43726501</v>
          </cell>
          <cell r="Y87">
            <v>895721829.22696543</v>
          </cell>
          <cell r="Z87">
            <v>999143823.88449669</v>
          </cell>
          <cell r="AA87">
            <v>1189271090.1733317</v>
          </cell>
          <cell r="AB87">
            <v>1371222656.7263265</v>
          </cell>
          <cell r="AC87">
            <v>1668409716.5490696</v>
          </cell>
          <cell r="AY87">
            <v>1.9645865612471967E-2</v>
          </cell>
          <cell r="BA87">
            <v>5.5163417411741432E-2</v>
          </cell>
          <cell r="BC87">
            <v>5.4791872429539895E-2</v>
          </cell>
        </row>
        <row r="88">
          <cell r="C88">
            <v>765673333.54559684</v>
          </cell>
          <cell r="D88">
            <v>723251340.75908279</v>
          </cell>
          <cell r="E88">
            <v>623216260.10903716</v>
          </cell>
          <cell r="F88">
            <v>483526621.18296468</v>
          </cell>
          <cell r="G88">
            <v>286817503.39424479</v>
          </cell>
          <cell r="Y88">
            <v>1000157595.8010435</v>
          </cell>
          <cell r="Z88">
            <v>1096641659.7854376</v>
          </cell>
          <cell r="AA88">
            <v>1295992655.3364413</v>
          </cell>
          <cell r="AB88">
            <v>1504901791.5159464</v>
          </cell>
          <cell r="AC88">
            <v>1835221675.5985594</v>
          </cell>
          <cell r="AY88">
            <v>2.2044700235672687E-2</v>
          </cell>
          <cell r="BA88">
            <v>5.6932128453273806E-2</v>
          </cell>
          <cell r="BC88">
            <v>5.4829338801467661E-2</v>
          </cell>
        </row>
        <row r="89">
          <cell r="C89">
            <v>830347200.95678318</v>
          </cell>
          <cell r="D89">
            <v>775305287.09837925</v>
          </cell>
          <cell r="E89">
            <v>677763618.64379525</v>
          </cell>
          <cell r="F89">
            <v>537799806.24723852</v>
          </cell>
          <cell r="G89">
            <v>311357509.12798947</v>
          </cell>
          <cell r="Y89">
            <v>1106373339.4574063</v>
          </cell>
          <cell r="Z89">
            <v>1200133110.534328</v>
          </cell>
          <cell r="AA89">
            <v>1420102729.4311917</v>
          </cell>
          <cell r="AB89">
            <v>1654733340.4528155</v>
          </cell>
          <cell r="AC89">
            <v>2000230548.4250929</v>
          </cell>
          <cell r="AY89">
            <v>2.3737089938819553E-2</v>
          </cell>
          <cell r="BA89">
            <v>5.7345584506128228E-2</v>
          </cell>
          <cell r="BC89">
            <v>5.4645222593273375E-2</v>
          </cell>
        </row>
        <row r="90">
          <cell r="C90">
            <v>900729273.62567556</v>
          </cell>
          <cell r="D90">
            <v>847913065.06160772</v>
          </cell>
          <cell r="E90">
            <v>765898139.07610381</v>
          </cell>
          <cell r="F90">
            <v>596355674.37907994</v>
          </cell>
          <cell r="G90">
            <v>338488813.14338803</v>
          </cell>
          <cell r="Y90">
            <v>1178036160.8029323</v>
          </cell>
          <cell r="Z90">
            <v>1280629087.8622389</v>
          </cell>
          <cell r="AA90">
            <v>1544616474.4497232</v>
          </cell>
          <cell r="AB90">
            <v>1788679163.1081905</v>
          </cell>
          <cell r="AC90">
            <v>2143612235.5429177</v>
          </cell>
          <cell r="AY90">
            <v>2.2379622710845377E-2</v>
          </cell>
          <cell r="BA90">
            <v>5.3962067407265148E-2</v>
          </cell>
          <cell r="BC90">
            <v>5.3687999279336485E-2</v>
          </cell>
        </row>
        <row r="91">
          <cell r="C91">
            <v>977014059.98003638</v>
          </cell>
          <cell r="D91">
            <v>937555639.25126219</v>
          </cell>
          <cell r="E91">
            <v>842325373.92126167</v>
          </cell>
          <cell r="F91">
            <v>651367229.25821161</v>
          </cell>
          <cell r="G91">
            <v>355718202.68417734</v>
          </cell>
          <cell r="Y91">
            <v>1246676443.3252454</v>
          </cell>
          <cell r="Z91">
            <v>1369419835.8053699</v>
          </cell>
          <cell r="AA91">
            <v>1658999512.7573607</v>
          </cell>
          <cell r="AB91">
            <v>1917045193.7731702</v>
          </cell>
          <cell r="AC91">
            <v>2245158312.4610753</v>
          </cell>
          <cell r="AY91">
            <v>2.0603129210485179E-2</v>
          </cell>
          <cell r="BA91">
            <v>5.1640277460731611E-2</v>
          </cell>
          <cell r="BC91">
            <v>5.3437456865050824E-2</v>
          </cell>
        </row>
        <row r="92">
          <cell r="C92">
            <v>1060065485.8458316</v>
          </cell>
          <cell r="D92">
            <v>1009248212.1989703</v>
          </cell>
          <cell r="E92">
            <v>898394625.21479034</v>
          </cell>
          <cell r="F92">
            <v>679462918.96202755</v>
          </cell>
          <cell r="G92">
            <v>370943311.61431372</v>
          </cell>
          <cell r="Y92">
            <v>1317590608.6075549</v>
          </cell>
          <cell r="Z92">
            <v>1448225713.1262259</v>
          </cell>
          <cell r="AA92">
            <v>1751431067.5168173</v>
          </cell>
          <cell r="AB92">
            <v>1996549307.7761047</v>
          </cell>
          <cell r="AC92">
            <v>2337309293.5655122</v>
          </cell>
          <cell r="AY92">
            <v>1.8764362707947659E-2</v>
          </cell>
          <cell r="BA92">
            <v>5.0519943078027187E-2</v>
          </cell>
          <cell r="BC92">
            <v>5.3313467695812522E-2</v>
          </cell>
        </row>
        <row r="93">
          <cell r="C93">
            <v>1149682814.8458056</v>
          </cell>
          <cell r="D93">
            <v>1083878746.8889902</v>
          </cell>
          <cell r="E93">
            <v>952645967.84055531</v>
          </cell>
          <cell r="F93">
            <v>710075654.23578632</v>
          </cell>
          <cell r="G93">
            <v>388815356.68234003</v>
          </cell>
          <cell r="Y93">
            <v>1393766833.048681</v>
          </cell>
          <cell r="Z93">
            <v>1532587064.3868554</v>
          </cell>
          <cell r="AA93">
            <v>1843093669.7182398</v>
          </cell>
          <cell r="AB93">
            <v>2081286448.0424824</v>
          </cell>
          <cell r="AC93">
            <v>2440674776.589992</v>
          </cell>
          <cell r="AY93">
            <v>1.7048117637955256E-2</v>
          </cell>
          <cell r="BA93">
            <v>4.9627789457728944E-2</v>
          </cell>
          <cell r="BC93">
            <v>5.3083834940548719E-2</v>
          </cell>
        </row>
        <row r="94">
          <cell r="C94">
            <v>1247744188.1313155</v>
          </cell>
          <cell r="D94">
            <v>1167268300.2114389</v>
          </cell>
          <cell r="E94">
            <v>999691833.50634134</v>
          </cell>
          <cell r="F94">
            <v>748376850.55776799</v>
          </cell>
          <cell r="G94">
            <v>460197780.38518381</v>
          </cell>
          <cell r="Y94">
            <v>1479888467.4035757</v>
          </cell>
          <cell r="Z94">
            <v>1624482483.1931434</v>
          </cell>
          <cell r="AA94">
            <v>1927792112.7052267</v>
          </cell>
          <cell r="AB94">
            <v>2181121713.5677724</v>
          </cell>
          <cell r="AC94">
            <v>2521628621.1586246</v>
          </cell>
          <cell r="AY94">
            <v>1.5597422523073886E-2</v>
          </cell>
          <cell r="BA94">
            <v>4.9122145551533894E-2</v>
          </cell>
          <cell r="BC94">
            <v>4.344258633889056E-2</v>
          </cell>
        </row>
        <row r="95">
          <cell r="C95">
            <v>1353045120.9540012</v>
          </cell>
          <cell r="D95">
            <v>1229811130.1482103</v>
          </cell>
          <cell r="E95">
            <v>1054058357.0729035</v>
          </cell>
          <cell r="F95">
            <v>813557062.45215607</v>
          </cell>
          <cell r="G95">
            <v>667684505.69327843</v>
          </cell>
          <cell r="Y95">
            <v>1571178999.9433668</v>
          </cell>
          <cell r="Z95">
            <v>1701374806.4161208</v>
          </cell>
          <cell r="AA95">
            <v>2021909217.601985</v>
          </cell>
          <cell r="AB95">
            <v>2276812707.752913</v>
          </cell>
          <cell r="AC95">
            <v>2552447712.3120308</v>
          </cell>
          <cell r="AY95">
            <v>1.4183145972155243E-2</v>
          </cell>
          <cell r="BA95">
            <v>4.8451069278139594E-2</v>
          </cell>
          <cell r="BC95">
            <v>8.2011921692840602E-3</v>
          </cell>
        </row>
        <row r="96">
          <cell r="C96">
            <v>1456565217.8458724</v>
          </cell>
          <cell r="D96">
            <v>1319221967.8595452</v>
          </cell>
          <cell r="E96">
            <v>1150774458.6205876</v>
          </cell>
          <cell r="F96">
            <v>961365156.9510026</v>
          </cell>
          <cell r="G96">
            <v>819024370.88428187</v>
          </cell>
          <cell r="Y96">
            <v>1687960707.2895198</v>
          </cell>
          <cell r="Z96">
            <v>1829276395.069422</v>
          </cell>
          <cell r="AA96">
            <v>2136319460.9572802</v>
          </cell>
          <cell r="AB96">
            <v>2320697763.8727655</v>
          </cell>
          <cell r="AC96">
            <v>2603187302.6654367</v>
          </cell>
          <cell r="AY96">
            <v>1.4149572124594258E-2</v>
          </cell>
          <cell r="BA96">
            <v>4.933900782617575E-2</v>
          </cell>
          <cell r="BC96">
            <v>-1.3246601666788266E-3</v>
          </cell>
        </row>
        <row r="97">
          <cell r="C97">
            <v>1567435928.8695991</v>
          </cell>
          <cell r="D97">
            <v>1445015095.8066599</v>
          </cell>
          <cell r="E97">
            <v>1300578024.0918198</v>
          </cell>
          <cell r="F97">
            <v>1118781157.2705679</v>
          </cell>
          <cell r="G97">
            <v>982702209.99580073</v>
          </cell>
          <cell r="Y97">
            <v>1810625042.3725193</v>
          </cell>
          <cell r="Z97">
            <v>1903064346.2533941</v>
          </cell>
          <cell r="AA97">
            <v>2178602437.4199352</v>
          </cell>
          <cell r="AB97">
            <v>2365027365.2726183</v>
          </cell>
          <cell r="AC97">
            <v>2654472825.8188429</v>
          </cell>
          <cell r="AY97">
            <v>1.4055373619303145E-2</v>
          </cell>
          <cell r="BA97">
            <v>3.0549213095268722E-2</v>
          </cell>
          <cell r="BC97">
            <v>-7.2425441813509283E-3</v>
          </cell>
        </row>
        <row r="98">
          <cell r="C98">
            <v>1603550962.5375705</v>
          </cell>
          <cell r="D98">
            <v>1483272175.6109076</v>
          </cell>
          <cell r="E98">
            <v>1342920029.5023158</v>
          </cell>
          <cell r="F98">
            <v>1162638597.8498731</v>
          </cell>
          <cell r="G98">
            <v>1026790108.0980194</v>
          </cell>
          <cell r="Y98">
            <v>1853931641.4346998</v>
          </cell>
          <cell r="Z98">
            <v>1944629950.351212</v>
          </cell>
          <cell r="AA98">
            <v>2221298763.0025902</v>
          </cell>
          <cell r="AB98">
            <v>2409801511.9524703</v>
          </cell>
          <cell r="AC98">
            <v>2706304281.7722492</v>
          </cell>
          <cell r="AY98">
            <v>2.5016869903903404E-2</v>
          </cell>
          <cell r="BA98">
            <v>2.9439334577567873E-2</v>
          </cell>
          <cell r="BC98">
            <v>-5.5691528824357043E-3</v>
          </cell>
        </row>
        <row r="99">
          <cell r="C99">
            <v>1639845734.7570033</v>
          </cell>
          <cell r="D99">
            <v>1522119813.5633945</v>
          </cell>
          <cell r="E99">
            <v>1384243004.2091687</v>
          </cell>
          <cell r="F99">
            <v>1206175465.4018977</v>
          </cell>
          <cell r="G99">
            <v>1070910593.9887116</v>
          </cell>
          <cell r="Y99">
            <v>1895355257.7827566</v>
          </cell>
          <cell r="Z99">
            <v>1986593305.4890299</v>
          </cell>
          <cell r="AA99">
            <v>2264408437.7052455</v>
          </cell>
          <cell r="AB99">
            <v>2455020203.912323</v>
          </cell>
          <cell r="AC99">
            <v>2758681670.5256553</v>
          </cell>
          <cell r="AY99">
            <v>3.193682669534223E-2</v>
          </cell>
          <cell r="BA99">
            <v>2.8618721366004955E-2</v>
          </cell>
          <cell r="BC99">
            <v>-4.393243345566478E-3</v>
          </cell>
        </row>
        <row r="100">
          <cell r="C100">
            <v>1678694067.6735864</v>
          </cell>
          <cell r="D100">
            <v>1564303505.4810641</v>
          </cell>
          <cell r="E100">
            <v>1428747561.1935964</v>
          </cell>
          <cell r="F100">
            <v>1252197209.3859954</v>
          </cell>
          <cell r="G100">
            <v>1118033978.8080032</v>
          </cell>
          <cell r="Y100">
            <v>1937168826.1308136</v>
          </cell>
          <cell r="Z100">
            <v>2028954411.6668479</v>
          </cell>
          <cell r="AA100">
            <v>2307931461.5279002</v>
          </cell>
          <cell r="AB100">
            <v>2500683441.1521754</v>
          </cell>
          <cell r="AC100">
            <v>2811604992.0790615</v>
          </cell>
          <cell r="AY100">
            <v>3.5124648516498255E-2</v>
          </cell>
          <cell r="BA100">
            <v>2.7468714757725731E-2</v>
          </cell>
          <cell r="BC100">
            <v>-3.6133770596055766E-3</v>
          </cell>
        </row>
        <row r="101">
          <cell r="C101">
            <v>1720289920.6174452</v>
          </cell>
          <cell r="D101">
            <v>1608596509.164624</v>
          </cell>
          <cell r="E101">
            <v>1476310612.837152</v>
          </cell>
          <cell r="F101">
            <v>1301632132.0823364</v>
          </cell>
          <cell r="G101">
            <v>1168794066.4451976</v>
          </cell>
          <cell r="Y101">
            <v>1979372346.4788704</v>
          </cell>
          <cell r="Z101">
            <v>2071713268.884666</v>
          </cell>
          <cell r="AA101">
            <v>2351867834.4705553</v>
          </cell>
          <cell r="AB101">
            <v>2546791223.6720276</v>
          </cell>
          <cell r="AC101">
            <v>2865074246.4324679</v>
          </cell>
          <cell r="AY101">
            <v>3.4711623443822434E-2</v>
          </cell>
          <cell r="BA101">
            <v>2.6039724487690142E-2</v>
          </cell>
          <cell r="BC101">
            <v>-3.107814918234262E-3</v>
          </cell>
        </row>
        <row r="102">
          <cell r="C102">
            <v>1764841940.6951437</v>
          </cell>
          <cell r="D102">
            <v>1657043759.3767364</v>
          </cell>
          <cell r="E102">
            <v>1527001183.4831774</v>
          </cell>
          <cell r="F102">
            <v>1354458348.1842318</v>
          </cell>
          <cell r="G102">
            <v>1222816439.0531576</v>
          </cell>
          <cell r="Y102">
            <v>2021965818.8269272</v>
          </cell>
          <cell r="Z102">
            <v>2114869877.1424839</v>
          </cell>
          <cell r="AA102">
            <v>2396217556.5332103</v>
          </cell>
          <cell r="AB102">
            <v>2593343551.47188</v>
          </cell>
          <cell r="AC102">
            <v>2919089433.5858746</v>
          </cell>
          <cell r="AY102">
            <v>3.0790312087758554E-2</v>
          </cell>
          <cell r="BA102">
            <v>2.435038468722699E-2</v>
          </cell>
          <cell r="BC102">
            <v>-2.7799072062140049E-3</v>
          </cell>
        </row>
        <row r="103">
          <cell r="C103">
            <v>1812574572.0069342</v>
          </cell>
          <cell r="D103">
            <v>1707570237.909179</v>
          </cell>
          <cell r="E103">
            <v>1581476495.582793</v>
          </cell>
          <cell r="F103">
            <v>1410909316.3061807</v>
          </cell>
          <cell r="G103">
            <v>1280373028.4463892</v>
          </cell>
          <cell r="Y103">
            <v>2064949243.174984</v>
          </cell>
          <cell r="Z103">
            <v>2158424236.4403019</v>
          </cell>
          <cell r="AA103">
            <v>2440980627.7158651</v>
          </cell>
          <cell r="AB103">
            <v>2640340424.5517321</v>
          </cell>
          <cell r="AC103">
            <v>2973650553.5392799</v>
          </cell>
          <cell r="AY103">
            <v>2.3419653474882417E-2</v>
          </cell>
          <cell r="BA103">
            <v>2.2342516630573704E-2</v>
          </cell>
          <cell r="BC103">
            <v>-2.585182015758053E-3</v>
          </cell>
        </row>
        <row r="104">
          <cell r="C104">
            <v>1863729248.4256716</v>
          </cell>
          <cell r="D104">
            <v>1763242157.27282</v>
          </cell>
          <cell r="E104">
            <v>1639629216.8574748</v>
          </cell>
          <cell r="F104">
            <v>1472184981.9328399</v>
          </cell>
          <cell r="G104">
            <v>1343097976.2240105</v>
          </cell>
          <cell r="Y104">
            <v>2108322619.523041</v>
          </cell>
          <cell r="Z104">
            <v>2202376346.7781196</v>
          </cell>
          <cell r="AA104">
            <v>2486157048.0185204</v>
          </cell>
          <cell r="AB104">
            <v>2687781842.9115849</v>
          </cell>
          <cell r="AC104">
            <v>3028757606.2926865</v>
          </cell>
          <cell r="AY104">
            <v>1.2628956085917785E-2</v>
          </cell>
          <cell r="BA104">
            <v>2.0058900346990073E-2</v>
          </cell>
          <cell r="BC104">
            <v>-2.5240338260636474E-3</v>
          </cell>
        </row>
        <row r="105">
          <cell r="C105">
            <v>1908838476.2183824</v>
          </cell>
          <cell r="D105">
            <v>1811810893.0406871</v>
          </cell>
          <cell r="E105">
            <v>1692370501.7930839</v>
          </cell>
          <cell r="F105">
            <v>1527486667.4308748</v>
          </cell>
          <cell r="G105">
            <v>1400500855.3478837</v>
          </cell>
          <cell r="Y105">
            <v>2152085947.871098</v>
          </cell>
          <cell r="Z105">
            <v>2246726208.1559377</v>
          </cell>
          <cell r="AA105">
            <v>2531746817.4411755</v>
          </cell>
          <cell r="AB105">
            <v>2735667806.5514369</v>
          </cell>
          <cell r="AC105">
            <v>3084410591.8460927</v>
          </cell>
          <cell r="AY105">
            <v>1.0548888013323194E-2</v>
          </cell>
          <cell r="BA105">
            <v>1.860532587922227E-2</v>
          </cell>
          <cell r="BC105">
            <v>-2.3563550651187152E-3</v>
          </cell>
        </row>
      </sheetData>
      <sheetData sheetId="12">
        <row r="6"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AN6">
            <v>0</v>
          </cell>
          <cell r="AP6">
            <v>0</v>
          </cell>
          <cell r="AR6">
            <v>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AN7">
            <v>0</v>
          </cell>
          <cell r="AP7">
            <v>0</v>
          </cell>
          <cell r="AR7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AN8">
            <v>0</v>
          </cell>
          <cell r="AP8">
            <v>0</v>
          </cell>
          <cell r="AR8">
            <v>0</v>
          </cell>
        </row>
        <row r="9"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AN9">
            <v>0</v>
          </cell>
          <cell r="AP9">
            <v>0</v>
          </cell>
          <cell r="AR9">
            <v>0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AN10">
            <v>0</v>
          </cell>
          <cell r="AP10">
            <v>0</v>
          </cell>
          <cell r="AR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AN11">
            <v>0</v>
          </cell>
          <cell r="AP11">
            <v>0</v>
          </cell>
          <cell r="AR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AN12">
            <v>0</v>
          </cell>
          <cell r="AP12">
            <v>0</v>
          </cell>
          <cell r="AR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AN13">
            <v>0</v>
          </cell>
          <cell r="AP13">
            <v>0</v>
          </cell>
          <cell r="AR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AN14">
            <v>0</v>
          </cell>
          <cell r="AP14">
            <v>0</v>
          </cell>
          <cell r="AR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AN15">
            <v>0</v>
          </cell>
          <cell r="AP15">
            <v>0</v>
          </cell>
          <cell r="AR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AN16">
            <v>0</v>
          </cell>
          <cell r="AP16">
            <v>0</v>
          </cell>
          <cell r="AR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AN17">
            <v>0</v>
          </cell>
          <cell r="AP17">
            <v>0</v>
          </cell>
          <cell r="AR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AN18">
            <v>0</v>
          </cell>
          <cell r="AP18">
            <v>0</v>
          </cell>
          <cell r="AR18">
            <v>0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AN19">
            <v>0</v>
          </cell>
          <cell r="AP19">
            <v>0</v>
          </cell>
          <cell r="AR19">
            <v>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AN20">
            <v>0</v>
          </cell>
          <cell r="AP20">
            <v>0</v>
          </cell>
          <cell r="AR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AN21">
            <v>0</v>
          </cell>
          <cell r="AP21">
            <v>0</v>
          </cell>
          <cell r="AR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AN22">
            <v>0</v>
          </cell>
          <cell r="AP22">
            <v>0</v>
          </cell>
          <cell r="AR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AN23">
            <v>0</v>
          </cell>
          <cell r="AP23">
            <v>0</v>
          </cell>
          <cell r="AR23">
            <v>0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AN24">
            <v>0</v>
          </cell>
          <cell r="AP24">
            <v>0</v>
          </cell>
          <cell r="AR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AN25">
            <v>0</v>
          </cell>
          <cell r="AP25">
            <v>0</v>
          </cell>
          <cell r="AR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AN26">
            <v>0</v>
          </cell>
          <cell r="AP26">
            <v>0</v>
          </cell>
          <cell r="AR26">
            <v>0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AN27">
            <v>0</v>
          </cell>
          <cell r="AP27">
            <v>0</v>
          </cell>
          <cell r="AR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AN28">
            <v>0</v>
          </cell>
          <cell r="AP28">
            <v>0</v>
          </cell>
          <cell r="AR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AN29">
            <v>0</v>
          </cell>
          <cell r="AP29">
            <v>0</v>
          </cell>
          <cell r="AR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AN30">
            <v>0</v>
          </cell>
          <cell r="AP30">
            <v>0</v>
          </cell>
          <cell r="AR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AN31">
            <v>0</v>
          </cell>
          <cell r="AP31">
            <v>0</v>
          </cell>
          <cell r="AR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25204.811929616921</v>
          </cell>
          <cell r="AN32">
            <v>0</v>
          </cell>
          <cell r="AP32">
            <v>0</v>
          </cell>
          <cell r="AR32">
            <v>3.4611233350229965E-5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T33">
            <v>0</v>
          </cell>
          <cell r="U33">
            <v>0</v>
          </cell>
          <cell r="V33">
            <v>0</v>
          </cell>
          <cell r="W33">
            <v>17870.591458095252</v>
          </cell>
          <cell r="X33">
            <v>58361.915237215573</v>
          </cell>
          <cell r="AN33">
            <v>0</v>
          </cell>
          <cell r="AP33">
            <v>0</v>
          </cell>
          <cell r="AR33">
            <v>7.2155454042755463E-5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T34">
            <v>0</v>
          </cell>
          <cell r="U34">
            <v>0</v>
          </cell>
          <cell r="V34">
            <v>10867.629130556625</v>
          </cell>
          <cell r="W34">
            <v>44777.630614160473</v>
          </cell>
          <cell r="X34">
            <v>121373.37973967424</v>
          </cell>
          <cell r="AN34">
            <v>0</v>
          </cell>
          <cell r="AP34">
            <v>3.2592239396929434E-5</v>
          </cell>
          <cell r="AR34">
            <v>1.328813415887131E-4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T35">
            <v>0</v>
          </cell>
          <cell r="U35">
            <v>5004.5113216698455</v>
          </cell>
          <cell r="V35">
            <v>32802.252108921602</v>
          </cell>
          <cell r="W35">
            <v>88724.130220725987</v>
          </cell>
          <cell r="X35">
            <v>182245.34477275607</v>
          </cell>
          <cell r="AN35">
            <v>0</v>
          </cell>
          <cell r="AP35">
            <v>8.7338282426036587E-5</v>
          </cell>
          <cell r="AR35">
            <v>1.8051479377018177E-4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T36">
            <v>3426.8233550307141</v>
          </cell>
          <cell r="U36">
            <v>22915.173546669022</v>
          </cell>
          <cell r="V36">
            <v>63956.162254569055</v>
          </cell>
          <cell r="W36">
            <v>140953.80013070314</v>
          </cell>
          <cell r="X36">
            <v>236210.56301450374</v>
          </cell>
          <cell r="AN36">
            <v>1.107937305327904E-5</v>
          </cell>
          <cell r="AP36">
            <v>1.5155345488073027E-4</v>
          </cell>
          <cell r="AR36">
            <v>2.1365125106938282E-4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T37">
            <v>19318.687275320077</v>
          </cell>
          <cell r="U37">
            <v>43773.821823138693</v>
          </cell>
          <cell r="V37">
            <v>107223.00241556426</v>
          </cell>
          <cell r="W37">
            <v>190020.42300434224</v>
          </cell>
          <cell r="X37">
            <v>295346.41293920146</v>
          </cell>
          <cell r="AN37">
            <v>5.5817056963656514E-5</v>
          </cell>
          <cell r="AP37">
            <v>2.2668369008427392E-4</v>
          </cell>
          <cell r="AR37">
            <v>2.4306872499985142E-4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T38">
            <v>36597.406421899621</v>
          </cell>
          <cell r="U38">
            <v>77866.84926016441</v>
          </cell>
          <cell r="V38">
            <v>152675.6431207881</v>
          </cell>
          <cell r="W38">
            <v>242074.32296469549</v>
          </cell>
          <cell r="X38">
            <v>896771.44204235019</v>
          </cell>
          <cell r="AN38">
            <v>9.6124054291163311E-5</v>
          </cell>
          <cell r="AP38">
            <v>2.8952043215368537E-4</v>
          </cell>
          <cell r="AR38">
            <v>6.1315202974844703E-4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T39">
            <v>67652.949927793728</v>
          </cell>
          <cell r="U39">
            <v>114620.35244234998</v>
          </cell>
          <cell r="V39">
            <v>195879.86450731356</v>
          </cell>
          <cell r="W39">
            <v>554494.53714204289</v>
          </cell>
          <cell r="X39">
            <v>1655853.9287769399</v>
          </cell>
          <cell r="AN39">
            <v>1.595970768567136E-4</v>
          </cell>
          <cell r="AP39">
            <v>3.346160663762292E-4</v>
          </cell>
          <cell r="AR39">
            <v>1.0087950059708261E-3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T40">
            <v>100937.45732205245</v>
          </cell>
          <cell r="U40">
            <v>149029.02321859906</v>
          </cell>
          <cell r="V40">
            <v>247663.58157364294</v>
          </cell>
          <cell r="W40">
            <v>1175000.6815619522</v>
          </cell>
          <cell r="X40">
            <v>2439639.4526349767</v>
          </cell>
          <cell r="AN40">
            <v>2.1553921383911238E-4</v>
          </cell>
          <cell r="AP40">
            <v>3.8417856427381273E-4</v>
          </cell>
          <cell r="AR40">
            <v>1.3494146224715849E-3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T41">
            <v>132352.18004175564</v>
          </cell>
          <cell r="U41">
            <v>184957.22507241182</v>
          </cell>
          <cell r="V41">
            <v>813184.17424841772</v>
          </cell>
          <cell r="W41">
            <v>1848569.5642670211</v>
          </cell>
          <cell r="X41">
            <v>3488500.8410196723</v>
          </cell>
          <cell r="AN41">
            <v>2.5715791899224313E-4</v>
          </cell>
          <cell r="AP41">
            <v>1.0420711285801393E-3</v>
          </cell>
          <cell r="AR41">
            <v>1.717100198088314E-3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13156.685821609231</v>
          </cell>
          <cell r="T42">
            <v>164894.93544382017</v>
          </cell>
          <cell r="U42">
            <v>528327.46209303546</v>
          </cell>
          <cell r="V42">
            <v>1397308.07715398</v>
          </cell>
          <cell r="W42">
            <v>2697042.4549896289</v>
          </cell>
          <cell r="X42">
            <v>4744139.3067150563</v>
          </cell>
          <cell r="AN42">
            <v>2.9154157650856661E-4</v>
          </cell>
          <cell r="AP42">
            <v>1.6195191817705303E-3</v>
          </cell>
          <cell r="AR42">
            <v>2.0740011034034453E-3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290289.08304140443</v>
          </cell>
          <cell r="T43">
            <v>460668.99171626789</v>
          </cell>
          <cell r="U43">
            <v>1058458.4022287503</v>
          </cell>
          <cell r="V43">
            <v>2151598.6264045751</v>
          </cell>
          <cell r="W43">
            <v>3815303.1165305465</v>
          </cell>
          <cell r="X43">
            <v>8927923.434443647</v>
          </cell>
          <cell r="AN43">
            <v>6.7515002812208594E-4</v>
          </cell>
          <cell r="AP43">
            <v>2.242555284550583E-3</v>
          </cell>
          <cell r="AR43">
            <v>3.167042365540045E-3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257504.66389088397</v>
          </cell>
          <cell r="G44">
            <v>609879.83165821584</v>
          </cell>
          <cell r="T44">
            <v>991276.59368574119</v>
          </cell>
          <cell r="U44">
            <v>1719123.7227228696</v>
          </cell>
          <cell r="V44">
            <v>3195270.16297743</v>
          </cell>
          <cell r="W44">
            <v>6932944.2684014551</v>
          </cell>
          <cell r="X44">
            <v>14627579.076047694</v>
          </cell>
          <cell r="AN44">
            <v>1.2708745273919532E-3</v>
          </cell>
          <cell r="AP44">
            <v>2.9348835208115524E-3</v>
          </cell>
          <cell r="AR44">
            <v>4.3703870400613768E-3</v>
          </cell>
        </row>
        <row r="45">
          <cell r="C45">
            <v>0</v>
          </cell>
          <cell r="D45">
            <v>0</v>
          </cell>
          <cell r="E45">
            <v>188983.71921757673</v>
          </cell>
          <cell r="F45">
            <v>619788.98342947429</v>
          </cell>
          <cell r="G45">
            <v>938212.92698644451</v>
          </cell>
          <cell r="T45">
            <v>1559553.9458955841</v>
          </cell>
          <cell r="U45">
            <v>2473763.3426672053</v>
          </cell>
          <cell r="V45">
            <v>5231115.2208184302</v>
          </cell>
          <cell r="W45">
            <v>10905275.14331124</v>
          </cell>
          <cell r="X45">
            <v>22563683.934460338</v>
          </cell>
          <cell r="AN45">
            <v>1.779272188434947E-3</v>
          </cell>
          <cell r="AP45">
            <v>4.0753699101269223E-3</v>
          </cell>
          <cell r="AR45">
            <v>5.8126712050170131E-3</v>
          </cell>
        </row>
        <row r="46">
          <cell r="C46">
            <v>82000</v>
          </cell>
          <cell r="D46">
            <v>177018.01643889101</v>
          </cell>
          <cell r="E46">
            <v>630778.2891140529</v>
          </cell>
          <cell r="F46">
            <v>1038287.7339656793</v>
          </cell>
          <cell r="G46">
            <v>1344479.7059518551</v>
          </cell>
          <cell r="T46">
            <v>2167660.601194269</v>
          </cell>
          <cell r="U46">
            <v>3564558.2991079101</v>
          </cell>
          <cell r="V46">
            <v>8217176.1530574262</v>
          </cell>
          <cell r="W46">
            <v>16568203.97305388</v>
          </cell>
          <cell r="X46">
            <v>31848164.660270777</v>
          </cell>
          <cell r="AN46">
            <v>2.1380216256678525E-3</v>
          </cell>
          <cell r="AP46">
            <v>5.4379672200064412E-3</v>
          </cell>
          <cell r="AR46">
            <v>7.2102247743745362E-3</v>
          </cell>
        </row>
        <row r="47">
          <cell r="C47">
            <v>184729.45663759887</v>
          </cell>
          <cell r="D47">
            <v>665224.86631876137</v>
          </cell>
          <cell r="E47">
            <v>1108063.9380585314</v>
          </cell>
          <cell r="F47">
            <v>1490062.6426805258</v>
          </cell>
          <cell r="G47">
            <v>1725335.3782897345</v>
          </cell>
          <cell r="T47">
            <v>2884399.9069320974</v>
          </cell>
          <cell r="U47">
            <v>5951161.7355328221</v>
          </cell>
          <cell r="V47">
            <v>12354932.092705466</v>
          </cell>
          <cell r="W47">
            <v>22875244.95554813</v>
          </cell>
          <cell r="X47">
            <v>41570357.815580793</v>
          </cell>
          <cell r="AN47">
            <v>2.4828778170882635E-3</v>
          </cell>
          <cell r="AP47">
            <v>7.1374345931812253E-3</v>
          </cell>
          <cell r="AR47">
            <v>8.4513959005955101E-3</v>
          </cell>
        </row>
        <row r="48">
          <cell r="C48">
            <v>689380.3538461033</v>
          </cell>
          <cell r="D48">
            <v>1157499.1910620856</v>
          </cell>
          <cell r="E48">
            <v>1579362.7183791054</v>
          </cell>
          <cell r="F48">
            <v>1939834.3508312635</v>
          </cell>
          <cell r="G48">
            <v>2064234.746551025</v>
          </cell>
          <cell r="T48">
            <v>4902055.1880850382</v>
          </cell>
          <cell r="U48">
            <v>8468628.999876732</v>
          </cell>
          <cell r="V48">
            <v>17308535.315045021</v>
          </cell>
          <cell r="W48">
            <v>30768428.804069217</v>
          </cell>
          <cell r="X48">
            <v>50632028.589872792</v>
          </cell>
          <cell r="AN48">
            <v>3.3787758619621437E-3</v>
          </cell>
          <cell r="AP48">
            <v>8.9351522290949965E-3</v>
          </cell>
          <cell r="AR48">
            <v>9.4535804129091648E-3</v>
          </cell>
        </row>
        <row r="49">
          <cell r="C49">
            <v>1226365.0760726586</v>
          </cell>
          <cell r="D49">
            <v>1687951.7822532479</v>
          </cell>
          <cell r="E49">
            <v>2085573.1663397173</v>
          </cell>
          <cell r="F49">
            <v>2422436.0937096141</v>
          </cell>
          <cell r="G49">
            <v>2284778.3141417596</v>
          </cell>
          <cell r="T49">
            <v>7064524.5749709578</v>
          </cell>
          <cell r="U49">
            <v>12483378.196017552</v>
          </cell>
          <cell r="V49">
            <v>23098551.932245016</v>
          </cell>
          <cell r="W49">
            <v>39592931.333151907</v>
          </cell>
          <cell r="X49">
            <v>56734534.796229385</v>
          </cell>
          <cell r="AN49">
            <v>4.1507336003075001E-3</v>
          </cell>
          <cell r="AP49">
            <v>1.0688898911690729E-2</v>
          </cell>
          <cell r="AR49">
            <v>1.0115535365268009E-2</v>
          </cell>
        </row>
        <row r="50">
          <cell r="C50">
            <v>1807357.1781460675</v>
          </cell>
          <cell r="D50">
            <v>2250602.4278542576</v>
          </cell>
          <cell r="E50">
            <v>2634789.1222410775</v>
          </cell>
          <cell r="F50">
            <v>2806737.953636623</v>
          </cell>
          <cell r="G50">
            <v>2523249.9365231469</v>
          </cell>
          <cell r="T50">
            <v>10414191.330343073</v>
          </cell>
          <cell r="U50">
            <v>16767502.370963562</v>
          </cell>
          <cell r="V50">
            <v>30609118.280032061</v>
          </cell>
          <cell r="W50">
            <v>46980952.954812899</v>
          </cell>
          <cell r="X50">
            <v>63601697.197309233</v>
          </cell>
          <cell r="AN50">
            <v>5.3685579311464953E-3</v>
          </cell>
          <cell r="AP50">
            <v>1.2699062141760056E-2</v>
          </cell>
          <cell r="AR50">
            <v>1.0774881500979128E-2</v>
          </cell>
        </row>
        <row r="51">
          <cell r="C51">
            <v>2429282.1589416629</v>
          </cell>
          <cell r="D51">
            <v>2865145.6600669702</v>
          </cell>
          <cell r="E51">
            <v>3221419.8796419334</v>
          </cell>
          <cell r="F51">
            <v>3124126.881488103</v>
          </cell>
          <cell r="G51">
            <v>2773478.3384154816</v>
          </cell>
          <cell r="T51">
            <v>14293538.048223363</v>
          </cell>
          <cell r="U51">
            <v>22507566.985165395</v>
          </cell>
          <cell r="V51">
            <v>38684736.984268643</v>
          </cell>
          <cell r="W51">
            <v>53432456.397617161</v>
          </cell>
          <cell r="X51">
            <v>70957767.252626747</v>
          </cell>
          <cell r="AN51">
            <v>6.5523163316888074E-3</v>
          </cell>
          <cell r="AP51">
            <v>1.4436521212942217E-2</v>
          </cell>
          <cell r="AR51">
            <v>1.1395301393827304E-2</v>
          </cell>
        </row>
        <row r="52">
          <cell r="C52">
            <v>3114884.838965382</v>
          </cell>
          <cell r="D52">
            <v>3530949.16482175</v>
          </cell>
          <cell r="E52">
            <v>3613973.3073149398</v>
          </cell>
          <cell r="F52">
            <v>3456777.3624206842</v>
          </cell>
          <cell r="G52">
            <v>3035690.8653259021</v>
          </cell>
          <cell r="T52">
            <v>19171786.40732735</v>
          </cell>
          <cell r="U52">
            <v>28971733.002014264</v>
          </cell>
          <cell r="V52">
            <v>44692326.241810635</v>
          </cell>
          <cell r="W52">
            <v>60269808.572204158</v>
          </cell>
          <cell r="X52">
            <v>78808710.162958175</v>
          </cell>
          <cell r="AN52">
            <v>7.8589916749235971E-3</v>
          </cell>
          <cell r="AP52">
            <v>1.5770945828424868E-2</v>
          </cell>
          <cell r="AR52">
            <v>1.1973449956605322E-2</v>
          </cell>
        </row>
        <row r="53">
          <cell r="C53">
            <v>3868603.6274488941</v>
          </cell>
          <cell r="D53">
            <v>4116287.7974209171</v>
          </cell>
          <cell r="E53">
            <v>4027026.5947454772</v>
          </cell>
          <cell r="F53">
            <v>3811089.8734559091</v>
          </cell>
          <cell r="G53">
            <v>3331652.5294325575</v>
          </cell>
          <cell r="T53">
            <v>25093106.287240986</v>
          </cell>
          <cell r="U53">
            <v>35073011.992479451</v>
          </cell>
          <cell r="V53">
            <v>51071328.575654872</v>
          </cell>
          <cell r="W53">
            <v>67662733.73240307</v>
          </cell>
          <cell r="X53">
            <v>87962701.845952526</v>
          </cell>
          <cell r="AN53">
            <v>9.2230990328536037E-3</v>
          </cell>
          <cell r="AP53">
            <v>1.7009014620831608E-2</v>
          </cell>
          <cell r="AR53">
            <v>1.2560462408020251E-2</v>
          </cell>
        </row>
        <row r="54">
          <cell r="C54">
            <v>4771588.2278853413</v>
          </cell>
          <cell r="D54">
            <v>4742185.4507875592</v>
          </cell>
          <cell r="E54">
            <v>4567540.83135881</v>
          </cell>
          <cell r="F54">
            <v>4273067.6184615297</v>
          </cell>
          <cell r="G54">
            <v>4011962.8209808087</v>
          </cell>
          <cell r="T54">
            <v>32522893.370269727</v>
          </cell>
          <cell r="U54">
            <v>42383326.639261417</v>
          </cell>
          <cell r="V54">
            <v>59862047.358780429</v>
          </cell>
          <cell r="W54">
            <v>77925864.60133642</v>
          </cell>
          <cell r="X54">
            <v>110803807.47305685</v>
          </cell>
          <cell r="AN54">
            <v>1.0704843642840748E-2</v>
          </cell>
          <cell r="AP54">
            <v>1.8480923229608585E-2</v>
          </cell>
          <cell r="AR54">
            <v>1.3868070365622012E-2</v>
          </cell>
        </row>
        <row r="55">
          <cell r="C55">
            <v>6437883.2199170338</v>
          </cell>
          <cell r="D55">
            <v>6176670.5417690976</v>
          </cell>
          <cell r="E55">
            <v>6124545.7562359255</v>
          </cell>
          <cell r="F55">
            <v>5831779.4252619501</v>
          </cell>
          <cell r="G55">
            <v>6062346.3401904134</v>
          </cell>
          <cell r="T55">
            <v>43903733.951859079</v>
          </cell>
          <cell r="U55">
            <v>54963299.410941049</v>
          </cell>
          <cell r="V55">
            <v>78495155.564066201</v>
          </cell>
          <cell r="W55">
            <v>110411911.65390311</v>
          </cell>
          <cell r="X55">
            <v>185967775.19904324</v>
          </cell>
          <cell r="AN55">
            <v>1.2647233684689889E-2</v>
          </cell>
          <cell r="AP55">
            <v>2.0968994129303069E-2</v>
          </cell>
          <cell r="AR55">
            <v>1.7906107628863254E-2</v>
          </cell>
        </row>
        <row r="56">
          <cell r="C56">
            <v>10969774.610099064</v>
          </cell>
          <cell r="D56">
            <v>11585723.990288701</v>
          </cell>
          <cell r="E56">
            <v>11647334.964968277</v>
          </cell>
          <cell r="F56">
            <v>13757132.247053552</v>
          </cell>
          <cell r="G56">
            <v>11818833.692342335</v>
          </cell>
          <cell r="T56">
            <v>56101416.868562579</v>
          </cell>
          <cell r="U56">
            <v>75381323.340752512</v>
          </cell>
          <cell r="V56">
            <v>108554181.87489416</v>
          </cell>
          <cell r="W56">
            <v>194311879.62908387</v>
          </cell>
          <cell r="X56">
            <v>318933204.23073667</v>
          </cell>
          <cell r="AN56">
            <v>1.3484542731117828E-2</v>
          </cell>
          <cell r="AP56">
            <v>2.3517344377741743E-2</v>
          </cell>
          <cell r="AR56">
            <v>2.3451366949876068E-2</v>
          </cell>
        </row>
        <row r="57">
          <cell r="C57">
            <v>16839676.647428732</v>
          </cell>
          <cell r="D57">
            <v>17063602.314457018</v>
          </cell>
          <cell r="E57">
            <v>20120631.857280262</v>
          </cell>
          <cell r="F57">
            <v>21360515.695643552</v>
          </cell>
          <cell r="G57">
            <v>15923462.56364977</v>
          </cell>
          <cell r="T57">
            <v>70989221.228543267</v>
          </cell>
          <cell r="U57">
            <v>92284553.874784946</v>
          </cell>
          <cell r="V57">
            <v>163387991.91188359</v>
          </cell>
          <cell r="W57">
            <v>266472228.36773548</v>
          </cell>
          <cell r="X57">
            <v>396219402.58110249</v>
          </cell>
          <cell r="AN57">
            <v>1.4305908163102045E-2</v>
          </cell>
          <cell r="AP57">
            <v>2.8742217007995109E-2</v>
          </cell>
          <cell r="AR57">
            <v>2.5971839148423471E-2</v>
          </cell>
        </row>
        <row r="58">
          <cell r="C58">
            <v>23699447.147775035</v>
          </cell>
          <cell r="D58">
            <v>27378316.307035785</v>
          </cell>
          <cell r="E58">
            <v>30244719.640816461</v>
          </cell>
          <cell r="F58">
            <v>29391343.324733011</v>
          </cell>
          <cell r="G58">
            <v>19463836.020632811</v>
          </cell>
          <cell r="T58">
            <v>86994936.155774295</v>
          </cell>
          <cell r="U58">
            <v>134873299.37249088</v>
          </cell>
          <cell r="V58">
            <v>226452359.96960288</v>
          </cell>
          <cell r="W58">
            <v>336436355.21033895</v>
          </cell>
          <cell r="X58">
            <v>467900548.80327606</v>
          </cell>
          <cell r="AN58">
            <v>1.4848492478274317E-2</v>
          </cell>
          <cell r="AP58">
            <v>3.3355751038982945E-2</v>
          </cell>
          <cell r="AR58">
            <v>2.8329094681526359E-2</v>
          </cell>
        </row>
        <row r="59">
          <cell r="C59">
            <v>33454011.348076958</v>
          </cell>
          <cell r="D59">
            <v>38313935.615230501</v>
          </cell>
          <cell r="E59">
            <v>38886500.360580705</v>
          </cell>
          <cell r="F59">
            <v>34853313.67457056</v>
          </cell>
          <cell r="G59">
            <v>22763579.116450485</v>
          </cell>
          <cell r="T59">
            <v>114029455.44986337</v>
          </cell>
          <cell r="U59">
            <v>177188151.26857209</v>
          </cell>
          <cell r="V59">
            <v>273275946.58062953</v>
          </cell>
          <cell r="W59">
            <v>386501935.45397305</v>
          </cell>
          <cell r="X59">
            <v>525327009.07947642</v>
          </cell>
          <cell r="AN59">
            <v>1.644682564622774E-2</v>
          </cell>
          <cell r="AP59">
            <v>3.5753465992848191E-2</v>
          </cell>
          <cell r="AR59">
            <v>2.9920975384049229E-2</v>
          </cell>
        </row>
        <row r="60">
          <cell r="C60">
            <v>45454916.387531497</v>
          </cell>
          <cell r="D60">
            <v>48211893.860675536</v>
          </cell>
          <cell r="E60">
            <v>47435036.721638344</v>
          </cell>
          <cell r="F60">
            <v>40175923.015348159</v>
          </cell>
          <cell r="G60">
            <v>26019924.006573595</v>
          </cell>
          <cell r="T60">
            <v>147360472.35021228</v>
          </cell>
          <cell r="U60">
            <v>212474184.33183438</v>
          </cell>
          <cell r="V60">
            <v>316113556.45772481</v>
          </cell>
          <cell r="W60">
            <v>432210062.35252577</v>
          </cell>
          <cell r="X60">
            <v>579792628.24188828</v>
          </cell>
          <cell r="AN60">
            <v>1.8140476617493507E-2</v>
          </cell>
          <cell r="AP60">
            <v>3.7224598797949746E-2</v>
          </cell>
          <cell r="AR60">
            <v>3.1215750788071872E-2</v>
          </cell>
        </row>
        <row r="61">
          <cell r="C61">
            <v>59296358.701318793</v>
          </cell>
          <cell r="D61">
            <v>59979177.909596249</v>
          </cell>
          <cell r="E61">
            <v>54710587.831571512</v>
          </cell>
          <cell r="F61">
            <v>46393359.846909799</v>
          </cell>
          <cell r="G61">
            <v>29954739.358056843</v>
          </cell>
          <cell r="T61">
            <v>184264519.40648896</v>
          </cell>
          <cell r="U61">
            <v>252438540.88171875</v>
          </cell>
          <cell r="V61">
            <v>362154654.60578644</v>
          </cell>
          <cell r="W61">
            <v>485995716.81591558</v>
          </cell>
          <cell r="X61">
            <v>688103823.84448576</v>
          </cell>
          <cell r="AN61">
            <v>1.9544109984771723E-2</v>
          </cell>
          <cell r="AP61">
            <v>3.9446705517151653E-2</v>
          </cell>
          <cell r="AR61">
            <v>3.3816269063906619E-2</v>
          </cell>
        </row>
        <row r="62">
          <cell r="C62">
            <v>75277820.358239874</v>
          </cell>
          <cell r="D62">
            <v>72226221.398438483</v>
          </cell>
          <cell r="E62">
            <v>63336738.987383083</v>
          </cell>
          <cell r="F62">
            <v>53618123.657758757</v>
          </cell>
          <cell r="G62">
            <v>34787820.554407679</v>
          </cell>
          <cell r="T62">
            <v>225446245.21161082</v>
          </cell>
          <cell r="U62">
            <v>298714066.93320429</v>
          </cell>
          <cell r="V62">
            <v>415660239.99024349</v>
          </cell>
          <cell r="W62">
            <v>547668223.80961967</v>
          </cell>
          <cell r="X62">
            <v>864750205.6995039</v>
          </cell>
          <cell r="AN62">
            <v>2.0721595351430869E-2</v>
          </cell>
          <cell r="AP62">
            <v>4.1564215288459584E-2</v>
          </cell>
          <cell r="AR62">
            <v>3.7582707866560927E-2</v>
          </cell>
        </row>
        <row r="63">
          <cell r="C63">
            <v>92659839.08163701</v>
          </cell>
          <cell r="D63">
            <v>83749303.511501566</v>
          </cell>
          <cell r="E63">
            <v>73124776.628218412</v>
          </cell>
          <cell r="F63">
            <v>65689719.750710465</v>
          </cell>
          <cell r="G63">
            <v>44403231.018955208</v>
          </cell>
          <cell r="T63">
            <v>273567796.15558666</v>
          </cell>
          <cell r="U63">
            <v>351907527.28483856</v>
          </cell>
          <cell r="V63">
            <v>477812307.13127935</v>
          </cell>
          <cell r="W63">
            <v>699724289.37155282</v>
          </cell>
          <cell r="X63">
            <v>1085602815.9688029</v>
          </cell>
          <cell r="AN63">
            <v>2.199677484532887E-2</v>
          </cell>
          <cell r="AP63">
            <v>4.3570596348113819E-2</v>
          </cell>
          <cell r="AR63">
            <v>4.1628475491098521E-2</v>
          </cell>
        </row>
        <row r="64">
          <cell r="C64">
            <v>111748371.43246284</v>
          </cell>
          <cell r="D64">
            <v>100446698.53220424</v>
          </cell>
          <cell r="E64">
            <v>92724866.518366054</v>
          </cell>
          <cell r="F64">
            <v>84962957.699498653</v>
          </cell>
          <cell r="G64">
            <v>58527118.203997433</v>
          </cell>
          <cell r="T64">
            <v>347237028.27269375</v>
          </cell>
          <cell r="U64">
            <v>433316936.28633165</v>
          </cell>
          <cell r="V64">
            <v>649802535.21086645</v>
          </cell>
          <cell r="W64">
            <v>970658849.68135452</v>
          </cell>
          <cell r="X64">
            <v>1444606919.0607924</v>
          </cell>
          <cell r="AN64">
            <v>2.4755819383677595E-2</v>
          </cell>
          <cell r="AP64">
            <v>4.9302682769998871E-2</v>
          </cell>
          <cell r="AR64">
            <v>4.6993657721172491E-2</v>
          </cell>
        </row>
        <row r="65">
          <cell r="C65">
            <v>132378937.64256035</v>
          </cell>
          <cell r="D65">
            <v>126052650.04262796</v>
          </cell>
          <cell r="E65">
            <v>116970900.2104739</v>
          </cell>
          <cell r="F65">
            <v>105901275.5112873</v>
          </cell>
          <cell r="G65">
            <v>75468619.116097689</v>
          </cell>
          <cell r="T65">
            <v>426193756.26123399</v>
          </cell>
          <cell r="U65">
            <v>593510664.36529565</v>
          </cell>
          <cell r="V65">
            <v>885433958.4764725</v>
          </cell>
          <cell r="W65">
            <v>1280291874.0495</v>
          </cell>
          <cell r="X65">
            <v>1858810538.5958962</v>
          </cell>
          <cell r="AN65">
            <v>2.706695709505872E-2</v>
          </cell>
          <cell r="AP65">
            <v>5.5773340630623669E-2</v>
          </cell>
          <cell r="AR65">
            <v>5.1939702031799449E-2</v>
          </cell>
        </row>
        <row r="66">
          <cell r="C66">
            <v>158549134.98427296</v>
          </cell>
          <cell r="D66">
            <v>150981805.55260053</v>
          </cell>
          <cell r="E66">
            <v>139276056.6714958</v>
          </cell>
          <cell r="F66">
            <v>127714869.76465923</v>
          </cell>
          <cell r="G66">
            <v>88916914.989580944</v>
          </cell>
          <cell r="T66">
            <v>535664584.88760209</v>
          </cell>
          <cell r="U66">
            <v>730909074.01036382</v>
          </cell>
          <cell r="V66">
            <v>1075150763.170192</v>
          </cell>
          <cell r="W66">
            <v>1528701889.2906332</v>
          </cell>
          <cell r="X66">
            <v>2063195828.111362</v>
          </cell>
          <cell r="AN66">
            <v>3.0413567527988804E-2</v>
          </cell>
          <cell r="AP66">
            <v>6.0099970746777823E-2</v>
          </cell>
          <cell r="AR66">
            <v>5.3858097906111256E-2</v>
          </cell>
        </row>
        <row r="67">
          <cell r="C67">
            <v>186712816.36655378</v>
          </cell>
          <cell r="D67">
            <v>177086240.51286575</v>
          </cell>
          <cell r="E67">
            <v>163169822.78127944</v>
          </cell>
          <cell r="F67">
            <v>150183215.74403173</v>
          </cell>
          <cell r="G67">
            <v>101016868.46313424</v>
          </cell>
          <cell r="T67">
            <v>656245287.23805881</v>
          </cell>
          <cell r="U67">
            <v>889741460.39118958</v>
          </cell>
          <cell r="V67">
            <v>1273077562.6475072</v>
          </cell>
          <cell r="W67">
            <v>1779220324.7533398</v>
          </cell>
          <cell r="X67">
            <v>2220115657.0272999</v>
          </cell>
          <cell r="AN67">
            <v>3.3559498827341924E-2</v>
          </cell>
          <cell r="AP67">
            <v>6.3881560878151028E-2</v>
          </cell>
          <cell r="AR67">
            <v>5.5120770054355395E-2</v>
          </cell>
        </row>
        <row r="68">
          <cell r="C68">
            <v>217562836.06369284</v>
          </cell>
          <cell r="D68">
            <v>205199426.89716578</v>
          </cell>
          <cell r="E68">
            <v>190860658.49830979</v>
          </cell>
          <cell r="F68">
            <v>168216156.84912226</v>
          </cell>
          <cell r="G68">
            <v>113886307.35418123</v>
          </cell>
          <cell r="T68">
            <v>801483127.27991819</v>
          </cell>
          <cell r="U68">
            <v>1060489076.4014313</v>
          </cell>
          <cell r="V68">
            <v>1500143343.1853218</v>
          </cell>
          <cell r="W68">
            <v>1941834937.9965377</v>
          </cell>
          <cell r="X68">
            <v>2391935364.6926546</v>
          </cell>
          <cell r="AN68">
            <v>3.714971923047488E-2</v>
          </cell>
          <cell r="AP68">
            <v>6.7610991125571146E-2</v>
          </cell>
          <cell r="AR68">
            <v>5.6362899678752194E-2</v>
          </cell>
        </row>
        <row r="69">
          <cell r="C69">
            <v>251066686.70672792</v>
          </cell>
          <cell r="D69">
            <v>238657730.65133333</v>
          </cell>
          <cell r="E69">
            <v>218022345.24092907</v>
          </cell>
          <cell r="F69">
            <v>186409542.63901725</v>
          </cell>
          <cell r="G69">
            <v>127370964.93607359</v>
          </cell>
          <cell r="T69">
            <v>962359442.09595919</v>
          </cell>
          <cell r="U69">
            <v>1258452196.6429307</v>
          </cell>
          <cell r="V69">
            <v>1712130365.2684474</v>
          </cell>
          <cell r="W69">
            <v>2099650128.0058162</v>
          </cell>
          <cell r="X69">
            <v>2574347573.9749579</v>
          </cell>
          <cell r="AN69">
            <v>4.0558400900400221E-2</v>
          </cell>
          <cell r="AP69">
            <v>7.0419017062859302E-2</v>
          </cell>
          <cell r="AR69">
            <v>5.7537797001290303E-2</v>
          </cell>
        </row>
        <row r="70">
          <cell r="C70">
            <v>289781256.77336866</v>
          </cell>
          <cell r="D70">
            <v>275445245.8309381</v>
          </cell>
          <cell r="E70">
            <v>240706647.74933997</v>
          </cell>
          <cell r="F70">
            <v>205843690.75502756</v>
          </cell>
          <cell r="G70">
            <v>144559884.18956184</v>
          </cell>
          <cell r="T70">
            <v>1144126305.3667796</v>
          </cell>
          <cell r="U70">
            <v>1474231616.0877538</v>
          </cell>
          <cell r="V70">
            <v>1862085284.8105683</v>
          </cell>
          <cell r="W70">
            <v>2269051917.9576726</v>
          </cell>
          <cell r="X70">
            <v>2856792107.3310275</v>
          </cell>
          <cell r="AN70">
            <v>4.3855757669483561E-2</v>
          </cell>
          <cell r="AP70">
            <v>7.1977416802888647E-2</v>
          </cell>
          <cell r="AR70">
            <v>5.9456426826618287E-2</v>
          </cell>
        </row>
        <row r="71">
          <cell r="C71">
            <v>333098122.22748005</v>
          </cell>
          <cell r="D71">
            <v>305063257.82989657</v>
          </cell>
          <cell r="E71">
            <v>264590902.24417296</v>
          </cell>
          <cell r="F71">
            <v>227804589.02765095</v>
          </cell>
          <cell r="G71">
            <v>163007346.36651725</v>
          </cell>
          <cell r="T71">
            <v>1344560100.0499787</v>
          </cell>
          <cell r="U71">
            <v>1623943212.3497488</v>
          </cell>
          <cell r="V71">
            <v>2019041348.4798307</v>
          </cell>
          <cell r="W71">
            <v>2469754635.3011951</v>
          </cell>
          <cell r="X71">
            <v>3164708588.5576801</v>
          </cell>
          <cell r="AN71">
            <v>4.8032459600753578E-2</v>
          </cell>
          <cell r="AP71">
            <v>7.3381831050755339E-2</v>
          </cell>
          <cell r="AR71">
            <v>6.1298087717394117E-2</v>
          </cell>
        </row>
        <row r="72">
          <cell r="C72">
            <v>382449610.18765932</v>
          </cell>
          <cell r="D72">
            <v>343372444.06593138</v>
          </cell>
          <cell r="E72">
            <v>297216351.36407006</v>
          </cell>
          <cell r="F72">
            <v>263256652.8093715</v>
          </cell>
          <cell r="G72">
            <v>187072049.55114704</v>
          </cell>
          <cell r="T72">
            <v>1560348056.9046514</v>
          </cell>
          <cell r="U72">
            <v>1818520427.9862874</v>
          </cell>
          <cell r="V72">
            <v>2247567203.0982037</v>
          </cell>
          <cell r="W72">
            <v>2845380755.3827982</v>
          </cell>
          <cell r="X72">
            <v>3582428461.4332523</v>
          </cell>
          <cell r="AN72">
            <v>5.1973799678611037E-2</v>
          </cell>
          <cell r="AP72">
            <v>7.5208036591290967E-2</v>
          </cell>
          <cell r="AR72">
            <v>6.3343311314185774E-2</v>
          </cell>
        </row>
        <row r="73">
          <cell r="C73">
            <v>438437896.56063139</v>
          </cell>
          <cell r="D73">
            <v>395032422.11496592</v>
          </cell>
          <cell r="E73">
            <v>350720082.71808922</v>
          </cell>
          <cell r="F73">
            <v>308068141.69852674</v>
          </cell>
          <cell r="G73">
            <v>216727335.26126653</v>
          </cell>
          <cell r="T73">
            <v>1792611630.0383468</v>
          </cell>
          <cell r="U73">
            <v>2091893932.5675507</v>
          </cell>
          <cell r="V73">
            <v>2669398198.7238221</v>
          </cell>
          <cell r="W73">
            <v>3311212388.8843031</v>
          </cell>
          <cell r="X73">
            <v>4085523591.2364016</v>
          </cell>
          <cell r="AN73">
            <v>5.5594635192498042E-2</v>
          </cell>
          <cell r="AP73">
            <v>7.8717098547476036E-2</v>
          </cell>
          <cell r="AR73">
            <v>6.5189524877996105E-2</v>
          </cell>
        </row>
        <row r="74">
          <cell r="C74">
            <v>499523740.05110604</v>
          </cell>
          <cell r="D74">
            <v>458060441.60693288</v>
          </cell>
          <cell r="E74">
            <v>403865183.37139386</v>
          </cell>
          <cell r="F74">
            <v>352418692.68513757</v>
          </cell>
          <cell r="G74">
            <v>252989313.37638593</v>
          </cell>
          <cell r="T74">
            <v>2050297029.3562837</v>
          </cell>
          <cell r="U74">
            <v>2441569353.3935843</v>
          </cell>
          <cell r="V74">
            <v>3065185336.0050077</v>
          </cell>
          <cell r="W74">
            <v>3735403920.5649509</v>
          </cell>
          <cell r="X74">
            <v>4719538443.8066359</v>
          </cell>
          <cell r="AN74">
            <v>5.9237490748166498E-2</v>
          </cell>
          <cell r="AP74">
            <v>8.1137581848532772E-2</v>
          </cell>
          <cell r="AR74">
            <v>6.6733004142492225E-2</v>
          </cell>
        </row>
        <row r="75">
          <cell r="C75">
            <v>566556374.0251981</v>
          </cell>
          <cell r="D75">
            <v>517291256.80669165</v>
          </cell>
          <cell r="E75">
            <v>452967133.7312268</v>
          </cell>
          <cell r="F75">
            <v>400000568.46170533</v>
          </cell>
          <cell r="G75">
            <v>294752753.57817632</v>
          </cell>
          <cell r="T75">
            <v>2341608458.154058</v>
          </cell>
          <cell r="U75">
            <v>2755318053.2868533</v>
          </cell>
          <cell r="V75">
            <v>3400293860.4171562</v>
          </cell>
          <cell r="W75">
            <v>4186013423.0083961</v>
          </cell>
          <cell r="X75">
            <v>5451726779.2261133</v>
          </cell>
          <cell r="AN75">
            <v>6.305694362078898E-2</v>
          </cell>
          <cell r="AP75">
            <v>8.2509434129761125E-2</v>
          </cell>
          <cell r="AR75">
            <v>6.8182717871410156E-2</v>
          </cell>
        </row>
        <row r="76">
          <cell r="C76">
            <v>648770506.03092551</v>
          </cell>
          <cell r="D76">
            <v>590092190.23168075</v>
          </cell>
          <cell r="E76">
            <v>519488010.34205592</v>
          </cell>
          <cell r="F76">
            <v>475663301.49107677</v>
          </cell>
          <cell r="G76">
            <v>350932726.56728268</v>
          </cell>
          <cell r="T76">
            <v>2650484805.409215</v>
          </cell>
          <cell r="U76">
            <v>3072019708.3466144</v>
          </cell>
          <cell r="V76">
            <v>3792413610.7281275</v>
          </cell>
          <cell r="W76">
            <v>4831256065.3565931</v>
          </cell>
          <cell r="X76">
            <v>6262403403.9742603</v>
          </cell>
          <cell r="AN76">
            <v>6.6223657897899121E-2</v>
          </cell>
          <cell r="AP76">
            <v>8.4646260710471211E-2</v>
          </cell>
          <cell r="AR76">
            <v>6.9371110492722945E-2</v>
          </cell>
        </row>
        <row r="77">
          <cell r="C77">
            <v>738755792.31556082</v>
          </cell>
          <cell r="D77">
            <v>673852333.49108994</v>
          </cell>
          <cell r="E77">
            <v>615021014.87488902</v>
          </cell>
          <cell r="F77">
            <v>564960217.58837402</v>
          </cell>
          <cell r="G77">
            <v>415271815.12504864</v>
          </cell>
          <cell r="T77">
            <v>2970874378.8115211</v>
          </cell>
          <cell r="U77">
            <v>3440511565.6415763</v>
          </cell>
          <cell r="V77">
            <v>4400040227.426527</v>
          </cell>
          <cell r="W77">
            <v>5588192038.7741899</v>
          </cell>
          <cell r="X77">
            <v>7176993165.2584972</v>
          </cell>
          <cell r="AN77">
            <v>6.8820205233633774E-2</v>
          </cell>
          <cell r="AP77">
            <v>8.8482992648929282E-2</v>
          </cell>
          <cell r="AR77">
            <v>7.0247782631810779E-2</v>
          </cell>
        </row>
        <row r="78">
          <cell r="C78">
            <v>836281284.72464466</v>
          </cell>
          <cell r="D78">
            <v>786257204.84935188</v>
          </cell>
          <cell r="E78">
            <v>718950874.36689627</v>
          </cell>
          <cell r="F78">
            <v>658488963.14132285</v>
          </cell>
          <cell r="G78">
            <v>483729253.5574584</v>
          </cell>
          <cell r="T78">
            <v>3315937264.2628284</v>
          </cell>
          <cell r="U78">
            <v>3957324130.5913363</v>
          </cell>
          <cell r="V78">
            <v>5049214160.8011808</v>
          </cell>
          <cell r="W78">
            <v>6353051296.6706467</v>
          </cell>
          <cell r="X78">
            <v>8110197115.9359503</v>
          </cell>
          <cell r="AN78">
            <v>7.1230018788795771E-2</v>
          </cell>
          <cell r="AP78">
            <v>9.1861915387789816E-2</v>
          </cell>
          <cell r="AR78">
            <v>7.0759937552463736E-2</v>
          </cell>
        </row>
        <row r="79">
          <cell r="C79">
            <v>943666803.98903453</v>
          </cell>
          <cell r="D79">
            <v>886240946.08724034</v>
          </cell>
          <cell r="E79">
            <v>809090395.28900695</v>
          </cell>
          <cell r="F79">
            <v>743706315.9565078</v>
          </cell>
          <cell r="G79">
            <v>525028566.39243561</v>
          </cell>
          <cell r="T79">
            <v>3699016538.1732469</v>
          </cell>
          <cell r="U79">
            <v>4395877827.5267868</v>
          </cell>
          <cell r="V79">
            <v>5582558692.0422678</v>
          </cell>
          <cell r="W79">
            <v>6992785085.3456326</v>
          </cell>
          <cell r="X79">
            <v>8566973902.7763357</v>
          </cell>
          <cell r="AN79">
            <v>7.3683011382867342E-2</v>
          </cell>
          <cell r="AP79">
            <v>9.4125220323320213E-2</v>
          </cell>
          <cell r="AR79">
            <v>7.0948676605036357E-2</v>
          </cell>
        </row>
        <row r="80">
          <cell r="C80">
            <v>1060155296.0160754</v>
          </cell>
          <cell r="D80">
            <v>998139159.34634852</v>
          </cell>
          <cell r="E80">
            <v>908998789.91248667</v>
          </cell>
          <cell r="F80">
            <v>832436350.06186795</v>
          </cell>
          <cell r="G80">
            <v>565467945.1298691</v>
          </cell>
          <cell r="T80">
            <v>4109590737.9981055</v>
          </cell>
          <cell r="U80">
            <v>4878801743.766161</v>
          </cell>
          <cell r="V80">
            <v>6153972982.9122105</v>
          </cell>
          <cell r="W80">
            <v>7645573979.2225637</v>
          </cell>
          <cell r="X80">
            <v>8999001121.796257</v>
          </cell>
          <cell r="AN80">
            <v>7.5901753658183399E-2</v>
          </cell>
          <cell r="AP80">
            <v>9.6035428068945314E-2</v>
          </cell>
          <cell r="AR80">
            <v>7.1079796998284164E-2</v>
          </cell>
        </row>
        <row r="81">
          <cell r="C81">
            <v>1189365464.7501616</v>
          </cell>
          <cell r="D81">
            <v>1116557441.7576363</v>
          </cell>
          <cell r="E81">
            <v>1016677074.9120768</v>
          </cell>
          <cell r="F81">
            <v>892129241.23209918</v>
          </cell>
          <cell r="G81">
            <v>607820923.11966932</v>
          </cell>
          <cell r="T81">
            <v>4552869890.7533779</v>
          </cell>
          <cell r="U81">
            <v>5376201407.5796061</v>
          </cell>
          <cell r="V81">
            <v>6751724996.0839615</v>
          </cell>
          <cell r="W81">
            <v>8039609179.8838644</v>
          </cell>
          <cell r="X81">
            <v>9450975378.7381668</v>
          </cell>
          <cell r="AN81">
            <v>7.7281548390025878E-2</v>
          </cell>
          <cell r="AP81">
            <v>9.7603773134326957E-2</v>
          </cell>
          <cell r="AR81">
            <v>7.1162266148358827E-2</v>
          </cell>
        </row>
        <row r="82">
          <cell r="C82">
            <v>1330350233.293011</v>
          </cell>
          <cell r="D82">
            <v>1248600046.9879537</v>
          </cell>
          <cell r="E82">
            <v>1112019506.0282545</v>
          </cell>
          <cell r="F82">
            <v>957132707.4251622</v>
          </cell>
          <cell r="G82">
            <v>653215313.64253378</v>
          </cell>
          <cell r="T82">
            <v>5028009472.364234</v>
          </cell>
          <cell r="U82">
            <v>5903086944.2852907</v>
          </cell>
          <cell r="V82">
            <v>7261373009.6571541</v>
          </cell>
          <cell r="W82">
            <v>8469339229.1141968</v>
          </cell>
          <cell r="X82">
            <v>9939080055.6150284</v>
          </cell>
          <cell r="AN82">
            <v>7.8435172316883101E-2</v>
          </cell>
          <cell r="AP82">
            <v>9.8733403691479787E-2</v>
          </cell>
          <cell r="AR82">
            <v>7.1201370926235436E-2</v>
          </cell>
        </row>
        <row r="83">
          <cell r="C83">
            <v>1486841372.5522435</v>
          </cell>
          <cell r="D83">
            <v>1390457072.3632479</v>
          </cell>
          <cell r="E83">
            <v>1189910025.1366656</v>
          </cell>
          <cell r="F83">
            <v>1026668872.3223066</v>
          </cell>
          <cell r="G83">
            <v>739849027.69428504</v>
          </cell>
          <cell r="T83">
            <v>5525672895.7388353</v>
          </cell>
          <cell r="U83">
            <v>6458965141.9632339</v>
          </cell>
          <cell r="V83">
            <v>7656761186.1890669</v>
          </cell>
          <cell r="W83">
            <v>8926106426.7277374</v>
          </cell>
          <cell r="X83">
            <v>10960478431.770596</v>
          </cell>
          <cell r="AN83">
            <v>7.913768603701038E-2</v>
          </cell>
          <cell r="AP83">
            <v>9.9509096742231018E-2</v>
          </cell>
          <cell r="AR83">
            <v>7.1315398375800212E-2</v>
          </cell>
        </row>
        <row r="84">
          <cell r="C84">
            <v>1658374503.467927</v>
          </cell>
          <cell r="D84">
            <v>1489180766.0761738</v>
          </cell>
          <cell r="E84">
            <v>1274572373.5433331</v>
          </cell>
          <cell r="F84">
            <v>1123006482.59989</v>
          </cell>
          <cell r="G84">
            <v>837547234.72082639</v>
          </cell>
          <cell r="T84">
            <v>6057072587.7185707</v>
          </cell>
          <cell r="U84">
            <v>6826040148.3086262</v>
          </cell>
          <cell r="V84">
            <v>8084733486.4893255</v>
          </cell>
          <cell r="W84">
            <v>9560898364.7804642</v>
          </cell>
          <cell r="X84">
            <v>12089845689.629436</v>
          </cell>
          <cell r="AN84">
            <v>7.9617829329069911E-2</v>
          </cell>
          <cell r="AP84">
            <v>0.10022388537612288</v>
          </cell>
          <cell r="AR84">
            <v>7.1318380083507923E-2</v>
          </cell>
        </row>
        <row r="85">
          <cell r="C85">
            <v>1848484287.7800174</v>
          </cell>
          <cell r="D85">
            <v>1640955320.3638523</v>
          </cell>
          <cell r="E85">
            <v>1430569827.8844068</v>
          </cell>
          <cell r="F85">
            <v>1344907838.3053813</v>
          </cell>
          <cell r="G85">
            <v>946205610.27403998</v>
          </cell>
          <cell r="T85">
            <v>6645078840.3366289</v>
          </cell>
          <cell r="U85">
            <v>7409240437.1182861</v>
          </cell>
          <cell r="V85">
            <v>8899180528.7947788</v>
          </cell>
          <cell r="W85">
            <v>11043842762.072521</v>
          </cell>
          <cell r="X85">
            <v>13256592876.595163</v>
          </cell>
          <cell r="AN85">
            <v>8.0153801623283144E-2</v>
          </cell>
          <cell r="AP85">
            <v>0.1014391333441817</v>
          </cell>
          <cell r="AR85">
            <v>7.1357269510587337E-2</v>
          </cell>
        </row>
        <row r="86">
          <cell r="C86">
            <v>2081655653.912643</v>
          </cell>
          <cell r="D86">
            <v>1907904430.5501461</v>
          </cell>
          <cell r="E86">
            <v>1750981962.6869996</v>
          </cell>
          <cell r="F86">
            <v>1575766915.9501128</v>
          </cell>
          <cell r="G86">
            <v>1106531931.6879895</v>
          </cell>
          <cell r="T86">
            <v>7282368492.8747025</v>
          </cell>
          <cell r="U86">
            <v>8308588701.8931179</v>
          </cell>
          <cell r="V86">
            <v>10383497376.42812</v>
          </cell>
          <cell r="W86">
            <v>12297145564.979342</v>
          </cell>
          <cell r="X86">
            <v>14709248157.818817</v>
          </cell>
          <cell r="AN86">
            <v>8.0334280593546706E-2</v>
          </cell>
          <cell r="AP86">
            <v>0.10235916461188026</v>
          </cell>
          <cell r="AR86">
            <v>7.1278567200551077E-2</v>
          </cell>
        </row>
        <row r="87">
          <cell r="C87">
            <v>2347610125.7888756</v>
          </cell>
          <cell r="D87">
            <v>2216444020.5022745</v>
          </cell>
          <cell r="E87">
            <v>1966550078.6050637</v>
          </cell>
          <cell r="F87">
            <v>1768760011.44923</v>
          </cell>
          <cell r="G87">
            <v>1303683150.4816105</v>
          </cell>
          <cell r="T87">
            <v>7974730288.65415</v>
          </cell>
          <cell r="U87">
            <v>9305962720.7462883</v>
          </cell>
          <cell r="V87">
            <v>11239162243.59099</v>
          </cell>
          <cell r="W87">
            <v>13269941964.81237</v>
          </cell>
          <cell r="X87">
            <v>16630940472.403332</v>
          </cell>
          <cell r="AN87">
            <v>8.0393972846006023E-2</v>
          </cell>
          <cell r="AP87">
            <v>0.10253263451510128</v>
          </cell>
          <cell r="AR87">
            <v>7.1633050026872841E-2</v>
          </cell>
        </row>
        <row r="88">
          <cell r="C88">
            <v>2645153798.6943498</v>
          </cell>
          <cell r="D88">
            <v>2449007800.8596797</v>
          </cell>
          <cell r="E88">
            <v>2158403959.1896863</v>
          </cell>
          <cell r="F88">
            <v>1996748519.6211591</v>
          </cell>
          <cell r="G88">
            <v>1474994653.0357332</v>
          </cell>
          <cell r="T88">
            <v>8723173926.9889374</v>
          </cell>
          <cell r="U88">
            <v>9976823620.2900829</v>
          </cell>
          <cell r="V88">
            <v>11964068215.323854</v>
          </cell>
          <cell r="W88">
            <v>14484646499.441162</v>
          </cell>
          <cell r="X88">
            <v>18259268937.962543</v>
          </cell>
          <cell r="AN88">
            <v>8.0353286091572704E-2</v>
          </cell>
          <cell r="AP88">
            <v>0.10256778039433098</v>
          </cell>
          <cell r="AR88">
            <v>7.2045327947697926E-2</v>
          </cell>
        </row>
        <row r="89">
          <cell r="C89">
            <v>2981709919.0096688</v>
          </cell>
          <cell r="D89">
            <v>2723915744.834168</v>
          </cell>
          <cell r="E89">
            <v>2426865595.3822398</v>
          </cell>
          <cell r="F89">
            <v>2307889336.2687254</v>
          </cell>
          <cell r="G89">
            <v>1658566845.3094876</v>
          </cell>
          <cell r="T89">
            <v>9541806785.4488964</v>
          </cell>
          <cell r="U89">
            <v>10765950693.840595</v>
          </cell>
          <cell r="V89">
            <v>13053541618.881207</v>
          </cell>
          <cell r="W89">
            <v>16215002836.028448</v>
          </cell>
          <cell r="X89">
            <v>20166080052.638222</v>
          </cell>
          <cell r="AN89">
            <v>8.0275546513999207E-2</v>
          </cell>
          <cell r="AP89">
            <v>0.10293931831734401</v>
          </cell>
          <cell r="AR89">
            <v>7.3250090622478323E-2</v>
          </cell>
        </row>
        <row r="90">
          <cell r="C90">
            <v>3358121555.1462908</v>
          </cell>
          <cell r="D90">
            <v>3097138617.9864497</v>
          </cell>
          <cell r="E90">
            <v>2840348467.6452341</v>
          </cell>
          <cell r="F90">
            <v>2641739460.8209147</v>
          </cell>
          <cell r="G90">
            <v>1855214570.0664172</v>
          </cell>
          <cell r="T90">
            <v>10438061559.428017</v>
          </cell>
          <cell r="U90">
            <v>11898785133.927462</v>
          </cell>
          <cell r="V90">
            <v>14872444723.170107</v>
          </cell>
          <cell r="W90">
            <v>18276149884.734245</v>
          </cell>
          <cell r="X90">
            <v>22099946349.136856</v>
          </cell>
          <cell r="AN90">
            <v>8.05781923348588E-2</v>
          </cell>
          <cell r="AP90">
            <v>0.10411623442576325</v>
          </cell>
          <cell r="AR90">
            <v>7.402114863088155E-2</v>
          </cell>
        </row>
        <row r="91">
          <cell r="C91">
            <v>3762829081.5300155</v>
          </cell>
          <cell r="D91">
            <v>3552693807.9632521</v>
          </cell>
          <cell r="E91">
            <v>3219330989.8443356</v>
          </cell>
          <cell r="F91">
            <v>2957057848.1784673</v>
          </cell>
          <cell r="G91">
            <v>1990208840.3193767</v>
          </cell>
          <cell r="T91">
            <v>11421890704.988577</v>
          </cell>
          <cell r="U91">
            <v>13348547683.360924</v>
          </cell>
          <cell r="V91">
            <v>16663999096.415211</v>
          </cell>
          <cell r="W91">
            <v>20226161654.615257</v>
          </cell>
          <cell r="X91">
            <v>22902604568.228096</v>
          </cell>
          <cell r="AN91">
            <v>8.1401017968176198E-2</v>
          </cell>
          <cell r="AP91">
            <v>0.10610868309823936</v>
          </cell>
          <cell r="AR91">
            <v>7.3327492636004743E-2</v>
          </cell>
        </row>
        <row r="92">
          <cell r="C92">
            <v>4200454304.7310047</v>
          </cell>
          <cell r="D92">
            <v>3924758300.5429258</v>
          </cell>
          <cell r="E92">
            <v>3508595812.2151737</v>
          </cell>
          <cell r="F92">
            <v>3134492250.4894633</v>
          </cell>
          <cell r="G92">
            <v>2112789392.8267212</v>
          </cell>
          <cell r="T92">
            <v>12521377802.409832</v>
          </cell>
          <cell r="U92">
            <v>14573574464.544214</v>
          </cell>
          <cell r="V92">
            <v>18013793660.726883</v>
          </cell>
          <cell r="W92">
            <v>20881256466.607925</v>
          </cell>
          <cell r="X92">
            <v>23597022206.512753</v>
          </cell>
          <cell r="AN92">
            <v>8.2867323069753029E-2</v>
          </cell>
          <cell r="AP92">
            <v>0.10758389350587752</v>
          </cell>
          <cell r="AR92">
            <v>7.2748374881912298E-2</v>
          </cell>
        </row>
        <row r="93">
          <cell r="C93">
            <v>4670248664.9510326</v>
          </cell>
          <cell r="D93">
            <v>4310675477.4800482</v>
          </cell>
          <cell r="E93">
            <v>3790755579.6378856</v>
          </cell>
          <cell r="F93">
            <v>3324877440.991004</v>
          </cell>
          <cell r="G93">
            <v>2250278614.6663671</v>
          </cell>
          <cell r="T93">
            <v>13740075171.934998</v>
          </cell>
          <cell r="U93">
            <v>15920554476.34251</v>
          </cell>
          <cell r="V93">
            <v>19178532808.128082</v>
          </cell>
          <cell r="W93">
            <v>21573524119.94381</v>
          </cell>
          <cell r="X93">
            <v>24413065468.086105</v>
          </cell>
          <cell r="AN93">
            <v>8.4913917557936328E-2</v>
          </cell>
          <cell r="AP93">
            <v>0.10800081647935694</v>
          </cell>
          <cell r="AR93">
            <v>7.2128607308689016E-2</v>
          </cell>
        </row>
        <row r="94">
          <cell r="C94">
            <v>5178455194.9823265</v>
          </cell>
          <cell r="D94">
            <v>4735899158.2572813</v>
          </cell>
          <cell r="E94">
            <v>4039797685.5734034</v>
          </cell>
          <cell r="F94">
            <v>3553679913.4267893</v>
          </cell>
          <cell r="G94">
            <v>2655486752.3197165</v>
          </cell>
          <cell r="T94">
            <v>15192063383.821217</v>
          </cell>
          <cell r="U94">
            <v>17360283874.665108</v>
          </cell>
          <cell r="V94">
            <v>19939492522.894474</v>
          </cell>
          <cell r="W94">
            <v>22440951583.177868</v>
          </cell>
          <cell r="X94">
            <v>24975690000</v>
          </cell>
          <cell r="AN94">
            <v>8.833645109511129E-2</v>
          </cell>
          <cell r="AP94">
            <v>0.10688834816546701</v>
          </cell>
          <cell r="AR94">
            <v>5.7194098285386907E-2</v>
          </cell>
        </row>
        <row r="95">
          <cell r="C95">
            <v>5721214513.9635754</v>
          </cell>
          <cell r="D95">
            <v>5061411664.3877649</v>
          </cell>
          <cell r="E95">
            <v>4321360083.4931965</v>
          </cell>
          <cell r="F95">
            <v>3889964744.3882041</v>
          </cell>
          <cell r="G95">
            <v>3738967550.5138249</v>
          </cell>
          <cell r="T95">
            <v>16709259787.518322</v>
          </cell>
          <cell r="U95">
            <v>18159959424.517372</v>
          </cell>
          <cell r="V95">
            <v>20817752627.128151</v>
          </cell>
          <cell r="W95">
            <v>23256508000</v>
          </cell>
          <cell r="X95">
            <v>24975690000</v>
          </cell>
          <cell r="AN95">
            <v>9.1694704057386292E-2</v>
          </cell>
          <cell r="AP95">
            <v>0.10574724211824506</v>
          </cell>
          <cell r="AR95">
            <v>3.2625732921223373E-2</v>
          </cell>
        </row>
        <row r="96">
          <cell r="C96">
            <v>6321490119.4204626</v>
          </cell>
          <cell r="D96">
            <v>5589630696.1488981</v>
          </cell>
          <cell r="E96">
            <v>4993849554.5031443</v>
          </cell>
          <cell r="F96">
            <v>5210645776.9663649</v>
          </cell>
          <cell r="G96">
            <v>5427988723.9299412</v>
          </cell>
          <cell r="T96">
            <v>17961323810.519634</v>
          </cell>
          <cell r="U96">
            <v>19493769179.422215</v>
          </cell>
          <cell r="V96">
            <v>21744239000</v>
          </cell>
          <cell r="W96">
            <v>23256508000</v>
          </cell>
          <cell r="X96">
            <v>24975690000</v>
          </cell>
          <cell r="AN96">
            <v>9.2398487123535156E-2</v>
          </cell>
          <cell r="AP96">
            <v>0.10280085568185221</v>
          </cell>
          <cell r="AR96">
            <v>2.1637687735440111E-2</v>
          </cell>
        </row>
        <row r="97">
          <cell r="C97">
            <v>6961006166.3791523</v>
          </cell>
          <cell r="D97">
            <v>6496022800.0067558</v>
          </cell>
          <cell r="E97">
            <v>6151014562.265708</v>
          </cell>
          <cell r="F97">
            <v>6658835079.5053148</v>
          </cell>
          <cell r="G97">
            <v>7308765032.2363338</v>
          </cell>
          <cell r="T97">
            <v>19303252803.768856</v>
          </cell>
          <cell r="U97">
            <v>19993118000</v>
          </cell>
          <cell r="V97">
            <v>21744239000</v>
          </cell>
          <cell r="W97">
            <v>23256508000</v>
          </cell>
          <cell r="X97">
            <v>24975690000</v>
          </cell>
          <cell r="AN97">
            <v>9.3412436932649195E-2</v>
          </cell>
          <cell r="AP97">
            <v>9.2552530318500109E-2</v>
          </cell>
          <cell r="AR97">
            <v>1.5423142951240537E-2</v>
          </cell>
        </row>
        <row r="98">
          <cell r="C98">
            <v>7265403230.7532568</v>
          </cell>
          <cell r="D98">
            <v>6814876151.3300476</v>
          </cell>
          <cell r="E98">
            <v>6502936365.3170929</v>
          </cell>
          <cell r="F98">
            <v>7084891293.2851658</v>
          </cell>
          <cell r="G98">
            <v>7834322126.2901592</v>
          </cell>
          <cell r="T98">
            <v>19340440000</v>
          </cell>
          <cell r="U98">
            <v>19993118000</v>
          </cell>
          <cell r="V98">
            <v>21744239000</v>
          </cell>
          <cell r="W98">
            <v>23256508000</v>
          </cell>
          <cell r="X98">
            <v>24975690000</v>
          </cell>
          <cell r="AN98">
            <v>8.7776715892869714E-2</v>
          </cell>
          <cell r="AP98">
            <v>8.7220718617096113E-2</v>
          </cell>
          <cell r="AR98">
            <v>1.2290409853528174E-2</v>
          </cell>
        </row>
        <row r="99">
          <cell r="C99">
            <v>7579281912.1466045</v>
          </cell>
          <cell r="D99">
            <v>7139340205.4920292</v>
          </cell>
          <cell r="E99">
            <v>6848522528.3440084</v>
          </cell>
          <cell r="F99">
            <v>7509811042.5945787</v>
          </cell>
          <cell r="G99">
            <v>8362528492.0716228</v>
          </cell>
          <cell r="T99">
            <v>19340440000</v>
          </cell>
          <cell r="U99">
            <v>19993118000</v>
          </cell>
          <cell r="V99">
            <v>21744239000</v>
          </cell>
          <cell r="W99">
            <v>23256508000</v>
          </cell>
          <cell r="X99">
            <v>24975690000</v>
          </cell>
          <cell r="AN99">
            <v>8.2280847630198745E-2</v>
          </cell>
          <cell r="AP99">
            <v>8.2311409333312019E-2</v>
          </cell>
          <cell r="AR99">
            <v>1.0124381240784026E-2</v>
          </cell>
        </row>
        <row r="100">
          <cell r="C100">
            <v>7914265664.6584749</v>
          </cell>
          <cell r="D100">
            <v>7490154900.9681187</v>
          </cell>
          <cell r="E100">
            <v>7219661643.4039221</v>
          </cell>
          <cell r="F100">
            <v>7959212968.1098518</v>
          </cell>
          <cell r="G100">
            <v>8927576579.23242</v>
          </cell>
          <cell r="T100">
            <v>19340440000</v>
          </cell>
          <cell r="U100">
            <v>19993118000</v>
          </cell>
          <cell r="V100">
            <v>21744239000</v>
          </cell>
          <cell r="W100">
            <v>23256508000</v>
          </cell>
          <cell r="X100">
            <v>24975690000</v>
          </cell>
          <cell r="AN100">
            <v>7.7068976151428104E-2</v>
          </cell>
          <cell r="AP100">
            <v>7.7627552651863024E-2</v>
          </cell>
          <cell r="AR100">
            <v>8.5219651274069455E-3</v>
          </cell>
        </row>
        <row r="101">
          <cell r="C101">
            <v>8272035006.6754675</v>
          </cell>
          <cell r="D101">
            <v>7858233899.5581245</v>
          </cell>
          <cell r="E101">
            <v>7615621271.1689529</v>
          </cell>
          <cell r="F101">
            <v>8441825917.1817913</v>
          </cell>
          <cell r="G101">
            <v>9537107976.0661221</v>
          </cell>
          <cell r="T101">
            <v>19340440000</v>
          </cell>
          <cell r="U101">
            <v>19993118000</v>
          </cell>
          <cell r="V101">
            <v>21744239000</v>
          </cell>
          <cell r="W101">
            <v>23256508000</v>
          </cell>
          <cell r="X101">
            <v>24975690000</v>
          </cell>
          <cell r="AN101">
            <v>7.2099888036118928E-2</v>
          </cell>
          <cell r="AP101">
            <v>7.3149411087143582E-2</v>
          </cell>
          <cell r="AR101">
            <v>7.2806369483659986E-3</v>
          </cell>
        </row>
        <row r="102">
          <cell r="C102">
            <v>8654402968.5361805</v>
          </cell>
          <cell r="D102">
            <v>8259261023.5049953</v>
          </cell>
          <cell r="E102">
            <v>8037129345.5841961</v>
          </cell>
          <cell r="F102">
            <v>8957723276.9860744</v>
          </cell>
          <cell r="G102">
            <v>10187144178.94726</v>
          </cell>
          <cell r="T102">
            <v>19340440000</v>
          </cell>
          <cell r="U102">
            <v>19993118000</v>
          </cell>
          <cell r="V102">
            <v>21744239000</v>
          </cell>
          <cell r="W102">
            <v>23256508000</v>
          </cell>
          <cell r="X102">
            <v>24975690000</v>
          </cell>
          <cell r="AN102">
            <v>6.7337400321923466E-2</v>
          </cell>
          <cell r="AP102">
            <v>6.8853346468657137E-2</v>
          </cell>
          <cell r="AR102">
            <v>6.2874100704613687E-3</v>
          </cell>
        </row>
        <row r="103">
          <cell r="C103">
            <v>9063325457.141777</v>
          </cell>
          <cell r="D103">
            <v>8677638341.1221313</v>
          </cell>
          <cell r="E103">
            <v>8489455292.3276196</v>
          </cell>
          <cell r="F103">
            <v>9509340534.1822414</v>
          </cell>
          <cell r="G103">
            <v>10881190092.043556</v>
          </cell>
          <cell r="T103">
            <v>19340440000</v>
          </cell>
          <cell r="U103">
            <v>19993118000</v>
          </cell>
          <cell r="V103">
            <v>21744239000</v>
          </cell>
          <cell r="W103">
            <v>23256508000</v>
          </cell>
          <cell r="X103">
            <v>24975690000</v>
          </cell>
          <cell r="AN103">
            <v>6.2749447163986172E-2</v>
          </cell>
          <cell r="AP103">
            <v>6.4699149142549733E-2</v>
          </cell>
          <cell r="AR103">
            <v>5.4701154826314454E-3</v>
          </cell>
        </row>
        <row r="104">
          <cell r="C104">
            <v>9500912425.7484207</v>
          </cell>
          <cell r="D104">
            <v>9137009400.5389633</v>
          </cell>
          <cell r="E104">
            <v>8972010059.4812317</v>
          </cell>
          <cell r="F104">
            <v>10108141804.960167</v>
          </cell>
          <cell r="G104">
            <v>11638768452.379229</v>
          </cell>
          <cell r="T104">
            <v>19340440000</v>
          </cell>
          <cell r="U104">
            <v>19993118000</v>
          </cell>
          <cell r="V104">
            <v>21744239000</v>
          </cell>
          <cell r="W104">
            <v>23256508000</v>
          </cell>
          <cell r="X104">
            <v>24975690000</v>
          </cell>
          <cell r="AN104">
            <v>5.830734229094247E-2</v>
          </cell>
          <cell r="AP104">
            <v>6.0676089956617697E-2</v>
          </cell>
          <cell r="AR104">
            <v>4.7771773851235776E-3</v>
          </cell>
        </row>
        <row r="105">
          <cell r="C105">
            <v>9969439911.1305599</v>
          </cell>
          <cell r="D105">
            <v>9616575106.6748104</v>
          </cell>
          <cell r="E105">
            <v>9488287145.2634563</v>
          </cell>
          <cell r="F105">
            <v>10742435327.639061</v>
          </cell>
          <cell r="G105">
            <v>12448827283.030323</v>
          </cell>
          <cell r="T105">
            <v>19340440000</v>
          </cell>
          <cell r="U105">
            <v>19993118000</v>
          </cell>
          <cell r="V105">
            <v>21744239000</v>
          </cell>
          <cell r="W105">
            <v>23256508000</v>
          </cell>
          <cell r="X105">
            <v>24975690000</v>
          </cell>
          <cell r="AN105">
            <v>5.3985177758898571E-2</v>
          </cell>
          <cell r="AP105">
            <v>5.6758173499934422E-2</v>
          </cell>
          <cell r="AR105">
            <v>4.1815841051387279E-3</v>
          </cell>
        </row>
      </sheetData>
      <sheetData sheetId="13">
        <row r="6">
          <cell r="C6">
            <v>456728.31866377086</v>
          </cell>
          <cell r="D6">
            <v>475688.04634251364</v>
          </cell>
          <cell r="E6">
            <v>492503.54504710832</v>
          </cell>
          <cell r="F6">
            <v>512765.30811259453</v>
          </cell>
          <cell r="G6">
            <v>531274.51292683464</v>
          </cell>
          <cell r="U6">
            <v>111282.41217860216</v>
          </cell>
          <cell r="V6">
            <v>114289.51779527112</v>
          </cell>
          <cell r="W6">
            <v>117273.34904234091</v>
          </cell>
          <cell r="X6">
            <v>120264.74192712453</v>
          </cell>
          <cell r="Y6">
            <v>133406.57327487911</v>
          </cell>
          <cell r="AO6">
            <v>-0.43089855662531379</v>
          </cell>
          <cell r="AQ6">
            <v>-3.2681288216908442</v>
          </cell>
          <cell r="AS6">
            <v>-1.5672747116017212</v>
          </cell>
        </row>
        <row r="7">
          <cell r="C7">
            <v>871867.63050698477</v>
          </cell>
          <cell r="D7">
            <v>896356.36700282607</v>
          </cell>
          <cell r="E7">
            <v>912482.86351413524</v>
          </cell>
          <cell r="F7">
            <v>918104.98151140031</v>
          </cell>
          <cell r="G7">
            <v>920826.88231800811</v>
          </cell>
          <cell r="U7">
            <v>218704.5683633642</v>
          </cell>
          <cell r="V7">
            <v>225261.63261754357</v>
          </cell>
          <cell r="W7">
            <v>230211.18944146534</v>
          </cell>
          <cell r="X7">
            <v>232428.9865198324</v>
          </cell>
          <cell r="Y7">
            <v>251945.04775046266</v>
          </cell>
          <cell r="AO7">
            <v>-0.39325507795094727</v>
          </cell>
          <cell r="AQ7">
            <v>-2.1726938505040652</v>
          </cell>
          <cell r="AS7">
            <v>-0.97485894698258235</v>
          </cell>
        </row>
        <row r="8">
          <cell r="C8">
            <v>1239605.6379854579</v>
          </cell>
          <cell r="D8">
            <v>1270511.5035618397</v>
          </cell>
          <cell r="E8">
            <v>1282502.6171746447</v>
          </cell>
          <cell r="F8">
            <v>1277272.4460736073</v>
          </cell>
          <cell r="G8">
            <v>1265234.8869827429</v>
          </cell>
          <cell r="U8">
            <v>462555.04105297744</v>
          </cell>
          <cell r="V8">
            <v>474322.55604949407</v>
          </cell>
          <cell r="W8">
            <v>481404.21878293616</v>
          </cell>
          <cell r="X8">
            <v>480241.20173250616</v>
          </cell>
          <cell r="Y8">
            <v>503205.22913981398</v>
          </cell>
          <cell r="AO8">
            <v>-0.30097109205114403</v>
          </cell>
          <cell r="AQ8">
            <v>-1.4814956493830636</v>
          </cell>
          <cell r="AS8">
            <v>-0.64842091645876776</v>
          </cell>
        </row>
        <row r="9">
          <cell r="C9">
            <v>1662114.9577280909</v>
          </cell>
          <cell r="D9">
            <v>1687476.5535164094</v>
          </cell>
          <cell r="E9">
            <v>1690276.8183382738</v>
          </cell>
          <cell r="F9">
            <v>1665621.0454225147</v>
          </cell>
          <cell r="G9">
            <v>1627751.6049725309</v>
          </cell>
          <cell r="U9">
            <v>655331.33718142612</v>
          </cell>
          <cell r="V9">
            <v>674829.47522384138</v>
          </cell>
          <cell r="W9">
            <v>684608.56566346157</v>
          </cell>
          <cell r="X9">
            <v>676891.57681612007</v>
          </cell>
          <cell r="Y9">
            <v>695376.54486204335</v>
          </cell>
          <cell r="AO9">
            <v>-0.28210670785043884</v>
          </cell>
          <cell r="AQ9">
            <v>-1.1458042907153001</v>
          </cell>
          <cell r="AS9">
            <v>-0.48734585885139636</v>
          </cell>
        </row>
        <row r="10">
          <cell r="C10">
            <v>2107020.5713902079</v>
          </cell>
          <cell r="D10">
            <v>2116807.1880467944</v>
          </cell>
          <cell r="E10">
            <v>2104770.5165457265</v>
          </cell>
          <cell r="F10">
            <v>2051157.0309467912</v>
          </cell>
          <cell r="G10">
            <v>1977434.3120281682</v>
          </cell>
          <cell r="U10">
            <v>1085946.0934767812</v>
          </cell>
          <cell r="V10">
            <v>1113407.1396860741</v>
          </cell>
          <cell r="W10">
            <v>1122481.8724235469</v>
          </cell>
          <cell r="X10">
            <v>1100164.0405246955</v>
          </cell>
          <cell r="Y10">
            <v>1109228.7293280617</v>
          </cell>
          <cell r="AO10">
            <v>-0.22069474550065971</v>
          </cell>
          <cell r="AQ10">
            <v>-0.8732943710843436</v>
          </cell>
          <cell r="AS10">
            <v>-0.36402364119328767</v>
          </cell>
        </row>
        <row r="11">
          <cell r="C11">
            <v>2613607.4884420643</v>
          </cell>
          <cell r="D11">
            <v>2598853.7792638168</v>
          </cell>
          <cell r="E11">
            <v>2570178.4530207724</v>
          </cell>
          <cell r="F11">
            <v>2489394.5977969877</v>
          </cell>
          <cell r="G11">
            <v>2374569.877667095</v>
          </cell>
          <cell r="U11">
            <v>1347751.2536109644</v>
          </cell>
          <cell r="V11">
            <v>1382637.6116593536</v>
          </cell>
          <cell r="W11">
            <v>1387608.1695673615</v>
          </cell>
          <cell r="X11">
            <v>1345789.5049953875</v>
          </cell>
          <cell r="Y11">
            <v>1329318.2923605996</v>
          </cell>
          <cell r="AO11">
            <v>-0.21975167259046921</v>
          </cell>
          <cell r="AQ11">
            <v>-0.73665724584145054</v>
          </cell>
          <cell r="AS11">
            <v>-0.30016379824547795</v>
          </cell>
        </row>
        <row r="12">
          <cell r="C12">
            <v>3145241.7487470624</v>
          </cell>
          <cell r="D12">
            <v>3114530.2727095447</v>
          </cell>
          <cell r="E12">
            <v>3054841.8143725987</v>
          </cell>
          <cell r="F12">
            <v>2939912.8113618614</v>
          </cell>
          <cell r="G12">
            <v>2780855.2164656618</v>
          </cell>
          <cell r="U12">
            <v>1629246.1023770764</v>
          </cell>
          <cell r="V12">
            <v>1675170.2847420955</v>
          </cell>
          <cell r="W12">
            <v>1677887.2431937223</v>
          </cell>
          <cell r="X12">
            <v>1610412.9432519325</v>
          </cell>
          <cell r="Y12">
            <v>1563603.9444794855</v>
          </cell>
          <cell r="AO12">
            <v>-0.21733069322606366</v>
          </cell>
          <cell r="AQ12">
            <v>-0.62856522754727107</v>
          </cell>
          <cell r="AS12">
            <v>-0.25349342810687092</v>
          </cell>
        </row>
        <row r="13">
          <cell r="C13">
            <v>3699273.8735723095</v>
          </cell>
          <cell r="D13">
            <v>3648090.8395595234</v>
          </cell>
          <cell r="E13">
            <v>3568324.3973361179</v>
          </cell>
          <cell r="F13">
            <v>3405371.7044987157</v>
          </cell>
          <cell r="G13">
            <v>3184793.9091373733</v>
          </cell>
          <cell r="U13">
            <v>2115137.7150948481</v>
          </cell>
          <cell r="V13">
            <v>2170769.8652148191</v>
          </cell>
          <cell r="W13">
            <v>2170444.7474182304</v>
          </cell>
          <cell r="X13">
            <v>2075268.5893457737</v>
          </cell>
          <cell r="Y13">
            <v>1991402.720738607</v>
          </cell>
          <cell r="AO13">
            <v>-0.19137002800347486</v>
          </cell>
          <cell r="AQ13">
            <v>-0.53026801204752505</v>
          </cell>
          <cell r="AS13">
            <v>-0.21255107063679726</v>
          </cell>
        </row>
        <row r="14">
          <cell r="C14">
            <v>4290761.3762756456</v>
          </cell>
          <cell r="D14">
            <v>4216761.5875210818</v>
          </cell>
          <cell r="E14">
            <v>4092211.9949553511</v>
          </cell>
          <cell r="F14">
            <v>3851334.3797728419</v>
          </cell>
          <cell r="G14">
            <v>3563909.9979808256</v>
          </cell>
          <cell r="U14">
            <v>2478423.9033135176</v>
          </cell>
          <cell r="V14">
            <v>2545660.2361107776</v>
          </cell>
          <cell r="W14">
            <v>2533773.1234332845</v>
          </cell>
          <cell r="X14">
            <v>2399561.9806660106</v>
          </cell>
          <cell r="Y14">
            <v>2277133.4264616366</v>
          </cell>
          <cell r="AO14">
            <v>-0.18734710056576642</v>
          </cell>
          <cell r="AQ14">
            <v>-0.46995728066545411</v>
          </cell>
          <cell r="AS14">
            <v>-0.1887466738194892</v>
          </cell>
        </row>
        <row r="15">
          <cell r="C15">
            <v>4916343.1354290554</v>
          </cell>
          <cell r="D15">
            <v>4788353.328046428</v>
          </cell>
          <cell r="E15">
            <v>4625003.1901147813</v>
          </cell>
          <cell r="F15">
            <v>4337630.6571600186</v>
          </cell>
          <cell r="G15">
            <v>4006412.4090612708</v>
          </cell>
          <cell r="U15">
            <v>3161485.0344594875</v>
          </cell>
          <cell r="V15">
            <v>3268364.895378565</v>
          </cell>
          <cell r="W15">
            <v>3289509.1561905826</v>
          </cell>
          <cell r="X15">
            <v>3109170.3277483098</v>
          </cell>
          <cell r="Y15">
            <v>2910830.1353284246</v>
          </cell>
          <cell r="AO15">
            <v>-0.15710893756263211</v>
          </cell>
          <cell r="AQ15">
            <v>-0.39434077112418681</v>
          </cell>
          <cell r="AS15">
            <v>-0.1547412351986468</v>
          </cell>
        </row>
        <row r="16">
          <cell r="C16">
            <v>5559668.1328543695</v>
          </cell>
          <cell r="D16">
            <v>5429279.6097935177</v>
          </cell>
          <cell r="E16">
            <v>5264061.3915644754</v>
          </cell>
          <cell r="F16">
            <v>4926092.019111339</v>
          </cell>
          <cell r="G16">
            <v>4483427.0635080663</v>
          </cell>
          <cell r="U16">
            <v>3688913.2803578433</v>
          </cell>
          <cell r="V16">
            <v>3857977.3905555205</v>
          </cell>
          <cell r="W16">
            <v>3960573.7065668898</v>
          </cell>
          <cell r="X16">
            <v>3721684.7642687685</v>
          </cell>
          <cell r="Y16">
            <v>3391669.4214928313</v>
          </cell>
          <cell r="AO16">
            <v>-0.15250217321822515</v>
          </cell>
          <cell r="AQ16">
            <v>-0.33385684422887663</v>
          </cell>
          <cell r="AS16">
            <v>-0.1298213736690508</v>
          </cell>
        </row>
        <row r="17">
          <cell r="C17">
            <v>6242023.6372162038</v>
          </cell>
          <cell r="D17">
            <v>6082846.2921879003</v>
          </cell>
          <cell r="E17">
            <v>5881600.8026095685</v>
          </cell>
          <cell r="F17">
            <v>5479352.5857878476</v>
          </cell>
          <cell r="G17">
            <v>4928405.0630240077</v>
          </cell>
          <cell r="U17">
            <v>4607407.1022627456</v>
          </cell>
          <cell r="V17">
            <v>4858981.1528077954</v>
          </cell>
          <cell r="W17">
            <v>4974070.0063623935</v>
          </cell>
          <cell r="X17">
            <v>4654328.8920293264</v>
          </cell>
          <cell r="Y17">
            <v>4184773.390136994</v>
          </cell>
          <cell r="AO17">
            <v>-0.12283246424739154</v>
          </cell>
          <cell r="AQ17">
            <v>-0.27457825958129289</v>
          </cell>
          <cell r="AS17">
            <v>-0.10730836318334508</v>
          </cell>
        </row>
        <row r="18">
          <cell r="C18">
            <v>6979472.8950598976</v>
          </cell>
          <cell r="D18">
            <v>6791262.7989874305</v>
          </cell>
          <cell r="E18">
            <v>6539230.0223585935</v>
          </cell>
          <cell r="F18">
            <v>6062355.7739909729</v>
          </cell>
          <cell r="G18">
            <v>5397758.8592743957</v>
          </cell>
          <cell r="U18">
            <v>5329464.299190959</v>
          </cell>
          <cell r="V18">
            <v>5695849.2785408124</v>
          </cell>
          <cell r="W18">
            <v>5799157.0927980598</v>
          </cell>
          <cell r="X18">
            <v>5377920.2841811702</v>
          </cell>
          <cell r="Y18">
            <v>4755259.2159056002</v>
          </cell>
          <cell r="AO18">
            <v>-0.11319869445518649</v>
          </cell>
          <cell r="AQ18">
            <v>-0.2377249418829768</v>
          </cell>
          <cell r="AS18">
            <v>-9.2757440879162073E-2</v>
          </cell>
        </row>
        <row r="19">
          <cell r="C19">
            <v>7800051.3206991265</v>
          </cell>
          <cell r="D19">
            <v>7527672.444917243</v>
          </cell>
          <cell r="E19">
            <v>7225990.739109803</v>
          </cell>
          <cell r="F19">
            <v>6662887.321824518</v>
          </cell>
          <cell r="G19">
            <v>5864446.3096583104</v>
          </cell>
          <cell r="U19">
            <v>6524692.1631974708</v>
          </cell>
          <cell r="V19">
            <v>7027018.9972101785</v>
          </cell>
          <cell r="W19">
            <v>7238896.8447375251</v>
          </cell>
          <cell r="X19">
            <v>6559786.9174813731</v>
          </cell>
          <cell r="Y19">
            <v>5761191.1148219677</v>
          </cell>
          <cell r="AO19">
            <v>-8.5225471453987831E-2</v>
          </cell>
          <cell r="AQ19">
            <v>-0.19667474341428678</v>
          </cell>
          <cell r="AS19">
            <v>-7.6790029914747079E-2</v>
          </cell>
        </row>
        <row r="20">
          <cell r="C20">
            <v>8693391.2014656179</v>
          </cell>
          <cell r="D20">
            <v>8377791.6509445999</v>
          </cell>
          <cell r="E20">
            <v>7996281.5048133228</v>
          </cell>
          <cell r="F20">
            <v>7355229.0757800201</v>
          </cell>
          <cell r="G20">
            <v>6408993.2412685538</v>
          </cell>
          <cell r="U20">
            <v>7340433.6782110212</v>
          </cell>
          <cell r="V20">
            <v>7939926.3414324978</v>
          </cell>
          <cell r="W20">
            <v>8234208.8802926037</v>
          </cell>
          <cell r="X20">
            <v>7331109.4483023025</v>
          </cell>
          <cell r="Y20">
            <v>6416882.685507088</v>
          </cell>
          <cell r="AO20">
            <v>-8.1414042770501086E-2</v>
          </cell>
          <cell r="AQ20">
            <v>-0.17612349030700508</v>
          </cell>
          <cell r="AS20">
            <v>-6.7130557798863913E-2</v>
          </cell>
        </row>
        <row r="21">
          <cell r="C21">
            <v>9668359.1402573064</v>
          </cell>
          <cell r="D21">
            <v>9313204.7887708675</v>
          </cell>
          <cell r="E21">
            <v>8850673.549820384</v>
          </cell>
          <cell r="F21">
            <v>8105935.2068511294</v>
          </cell>
          <cell r="G21">
            <v>6961311.6353156418</v>
          </cell>
          <cell r="U21">
            <v>8711881.7345613185</v>
          </cell>
          <cell r="V21">
            <v>9407347.8544336017</v>
          </cell>
          <cell r="W21">
            <v>9790548.2259785384</v>
          </cell>
          <cell r="X21">
            <v>8709494.2433156651</v>
          </cell>
          <cell r="Y21">
            <v>7654944.2245874647</v>
          </cell>
          <cell r="AO21">
            <v>-6.0711228835683348E-2</v>
          </cell>
          <cell r="AQ21">
            <v>-0.14667635958811182</v>
          </cell>
          <cell r="AS21">
            <v>-5.4736220688994128E-2</v>
          </cell>
        </row>
        <row r="22">
          <cell r="C22">
            <v>10763158.72790039</v>
          </cell>
          <cell r="D22">
            <v>10313913.568911768</v>
          </cell>
          <cell r="E22">
            <v>9748951.1951534189</v>
          </cell>
          <cell r="F22">
            <v>8839484.164488703</v>
          </cell>
          <cell r="G22">
            <v>7483406.7528156899</v>
          </cell>
          <cell r="U22">
            <v>9784514.7814501282</v>
          </cell>
          <cell r="V22">
            <v>10533645.688789815</v>
          </cell>
          <cell r="W22">
            <v>11005724.357116474</v>
          </cell>
          <cell r="X22">
            <v>9852795.4438607413</v>
          </cell>
          <cell r="Y22">
            <v>8511784.6780398525</v>
          </cell>
          <cell r="AO22">
            <v>-5.6507620429625503E-2</v>
          </cell>
          <cell r="AQ22">
            <v>-0.13040735089824088</v>
          </cell>
          <cell r="AS22">
            <v>-4.7951491993355334E-2</v>
          </cell>
        </row>
        <row r="23">
          <cell r="C23">
            <v>11976710.72360976</v>
          </cell>
          <cell r="D23">
            <v>11465653.75190285</v>
          </cell>
          <cell r="E23">
            <v>10800742.987981295</v>
          </cell>
          <cell r="F23">
            <v>9719382.5983947795</v>
          </cell>
          <cell r="G23">
            <v>8146016.05104037</v>
          </cell>
          <cell r="U23">
            <v>11557529.245610593</v>
          </cell>
          <cell r="V23">
            <v>12447719.019794859</v>
          </cell>
          <cell r="W23">
            <v>12990115.860749319</v>
          </cell>
          <cell r="X23">
            <v>11741281.015952589</v>
          </cell>
          <cell r="Y23">
            <v>10120820.5973766</v>
          </cell>
          <cell r="AO23">
            <v>-3.7576881730869094E-2</v>
          </cell>
          <cell r="AQ23">
            <v>-0.10457537083499062</v>
          </cell>
          <cell r="AS23">
            <v>-3.8130987528715056E-2</v>
          </cell>
        </row>
        <row r="24">
          <cell r="C24">
            <v>13330333.953122985</v>
          </cell>
          <cell r="D24">
            <v>12723941.24647736</v>
          </cell>
          <cell r="E24">
            <v>11949001.208748305</v>
          </cell>
          <cell r="F24">
            <v>10695513.962490885</v>
          </cell>
          <cell r="G24">
            <v>8825138.3837411795</v>
          </cell>
          <cell r="U24">
            <v>12952152.421463527</v>
          </cell>
          <cell r="V24">
            <v>14002626.876495654</v>
          </cell>
          <cell r="W24">
            <v>14582332.576128809</v>
          </cell>
          <cell r="X24">
            <v>13243715.479012802</v>
          </cell>
          <cell r="Y24">
            <v>11356860.853586061</v>
          </cell>
          <cell r="AO24">
            <v>-3.3738906338679139E-2</v>
          </cell>
          <cell r="AQ24">
            <v>-9.0471839378749766E-2</v>
          </cell>
          <cell r="AS24">
            <v>-3.2162131127093825E-2</v>
          </cell>
        </row>
        <row r="25">
          <cell r="C25">
            <v>14838614.73174347</v>
          </cell>
          <cell r="D25">
            <v>14102471.420219284</v>
          </cell>
          <cell r="E25">
            <v>13194946.459568476</v>
          </cell>
          <cell r="F25">
            <v>11690219.367579969</v>
          </cell>
          <cell r="G25">
            <v>9439599.9812338669</v>
          </cell>
          <cell r="U25">
            <v>14497674.803583916</v>
          </cell>
          <cell r="V25">
            <v>15709732.214118136</v>
          </cell>
          <cell r="W25">
            <v>16389060.291920833</v>
          </cell>
          <cell r="X25">
            <v>14909801.476809636</v>
          </cell>
          <cell r="Y25">
            <v>12766558.499848248</v>
          </cell>
          <cell r="AO25">
            <v>-3.0443647438923544E-2</v>
          </cell>
          <cell r="AQ25">
            <v>-7.6954824481552192E-2</v>
          </cell>
          <cell r="AS25">
            <v>-2.6720856131932914E-2</v>
          </cell>
        </row>
        <row r="26">
          <cell r="C26">
            <v>16648508.831572006</v>
          </cell>
          <cell r="D26">
            <v>15787016.497644117</v>
          </cell>
          <cell r="E26">
            <v>14628384.3691108</v>
          </cell>
          <cell r="F26">
            <v>12820376.66788117</v>
          </cell>
          <cell r="G26">
            <v>10293383.417113349</v>
          </cell>
          <cell r="U26">
            <v>16584059.448573083</v>
          </cell>
          <cell r="V26">
            <v>17939210.602643423</v>
          </cell>
          <cell r="W26">
            <v>18813215.970100749</v>
          </cell>
          <cell r="X26">
            <v>17144770.036022086</v>
          </cell>
          <cell r="Y26">
            <v>14725276.927737001</v>
          </cell>
          <cell r="AO26">
            <v>-2.3840394877117373E-2</v>
          </cell>
          <cell r="AQ26">
            <v>-6.0550217719644167E-2</v>
          </cell>
          <cell r="AS26">
            <v>-2.0856843874584158E-2</v>
          </cell>
        </row>
        <row r="27">
          <cell r="C27">
            <v>18663010.599826839</v>
          </cell>
          <cell r="D27">
            <v>17508004.424403064</v>
          </cell>
          <cell r="E27">
            <v>16095321.571994005</v>
          </cell>
          <cell r="F27">
            <v>14133847.30156916</v>
          </cell>
          <cell r="G27">
            <v>11629223.104199806</v>
          </cell>
          <cell r="U27">
            <v>18643066.876514055</v>
          </cell>
          <cell r="V27">
            <v>20198706.847492788</v>
          </cell>
          <cell r="W27">
            <v>21263612.72593708</v>
          </cell>
          <cell r="X27">
            <v>19408432.300725963</v>
          </cell>
          <cell r="Y27">
            <v>16988815.411158253</v>
          </cell>
          <cell r="AO27">
            <v>-2.1452714644508517E-2</v>
          </cell>
          <cell r="AQ27">
            <v>-4.6998026298822118E-2</v>
          </cell>
          <cell r="AS27">
            <v>-1.6169789697475564E-2</v>
          </cell>
        </row>
        <row r="28">
          <cell r="C28">
            <v>20906723.595844463</v>
          </cell>
          <cell r="D28">
            <v>19462882.934813384</v>
          </cell>
          <cell r="E28">
            <v>17921565.496738929</v>
          </cell>
          <cell r="F28">
            <v>16146303.912370522</v>
          </cell>
          <cell r="G28">
            <v>13099289.263136199</v>
          </cell>
          <cell r="U28">
            <v>21043211.880644936</v>
          </cell>
          <cell r="V28">
            <v>22839111.067419093</v>
          </cell>
          <cell r="W28">
            <v>24072418.815339793</v>
          </cell>
          <cell r="X28">
            <v>22297022.396723952</v>
          </cell>
          <cell r="Y28">
            <v>19771317.435463175</v>
          </cell>
          <cell r="AO28">
            <v>-1.8146193278872336E-2</v>
          </cell>
          <cell r="AQ28">
            <v>-3.5448037728262778E-2</v>
          </cell>
          <cell r="AS28">
            <v>-1.1996090777534879E-2</v>
          </cell>
        </row>
        <row r="29">
          <cell r="C29">
            <v>23420929.842877343</v>
          </cell>
          <cell r="D29">
            <v>22045746.701588448</v>
          </cell>
          <cell r="E29">
            <v>20707322.133892201</v>
          </cell>
          <cell r="F29">
            <v>18537983.467718296</v>
          </cell>
          <cell r="G29">
            <v>14907799.960152479</v>
          </cell>
          <cell r="U29">
            <v>23749453.421241157</v>
          </cell>
          <cell r="V29">
            <v>25956250.588372014</v>
          </cell>
          <cell r="W29">
            <v>27632119.927712154</v>
          </cell>
          <cell r="X29">
            <v>25955209.806674153</v>
          </cell>
          <cell r="Y29">
            <v>23349305.26280161</v>
          </cell>
          <cell r="AO29">
            <v>-1.505124292434111E-2</v>
          </cell>
          <cell r="AQ29">
            <v>-2.6974484343630121E-2</v>
          </cell>
          <cell r="AS29">
            <v>-7.5476901523320499E-3</v>
          </cell>
        </row>
        <row r="30">
          <cell r="C30">
            <v>26390745.377480954</v>
          </cell>
          <cell r="D30">
            <v>25089482.175509639</v>
          </cell>
          <cell r="E30">
            <v>23427852.470714051</v>
          </cell>
          <cell r="F30">
            <v>20974867.10655123</v>
          </cell>
          <cell r="G30">
            <v>16706733.954245191</v>
          </cell>
          <cell r="U30">
            <v>27318460.807432406</v>
          </cell>
          <cell r="V30">
            <v>29955873.260725796</v>
          </cell>
          <cell r="W30">
            <v>32085208.771244306</v>
          </cell>
          <cell r="X30">
            <v>30485689.029558081</v>
          </cell>
          <cell r="Y30">
            <v>27764743.637875125</v>
          </cell>
          <cell r="AO30">
            <v>-9.2882201280523238E-3</v>
          </cell>
          <cell r="AQ30">
            <v>-1.4875854773226721E-2</v>
          </cell>
          <cell r="AS30">
            <v>-2.4025504038438666E-3</v>
          </cell>
        </row>
        <row r="31">
          <cell r="C31">
            <v>29780053.028862596</v>
          </cell>
          <cell r="D31">
            <v>28357093.653079581</v>
          </cell>
          <cell r="E31">
            <v>26446655.232147116</v>
          </cell>
          <cell r="F31">
            <v>23489091.063044216</v>
          </cell>
          <cell r="G31">
            <v>18534047.770035136</v>
          </cell>
          <cell r="U31">
            <v>30953717.33117383</v>
          </cell>
          <cell r="V31">
            <v>34119887.655990109</v>
          </cell>
          <cell r="W31">
            <v>36750428.948835045</v>
          </cell>
          <cell r="X31">
            <v>35101665.785222486</v>
          </cell>
          <cell r="Y31">
            <v>32112357.32644473</v>
          </cell>
          <cell r="AO31">
            <v>-6.9700516166573794E-3</v>
          </cell>
          <cell r="AQ31">
            <v>-5.7384086541276995E-3</v>
          </cell>
          <cell r="AS31">
            <v>1.6888122220046055E-3</v>
          </cell>
        </row>
        <row r="32">
          <cell r="C32">
            <v>33579506.189208627</v>
          </cell>
          <cell r="D32">
            <v>31949174.730492856</v>
          </cell>
          <cell r="E32">
            <v>29738412.730555855</v>
          </cell>
          <cell r="F32">
            <v>26141449.029271744</v>
          </cell>
          <cell r="G32">
            <v>20621330.101759639</v>
          </cell>
          <cell r="U32">
            <v>35128164.46091827</v>
          </cell>
          <cell r="V32">
            <v>38797596.640979476</v>
          </cell>
          <cell r="W32">
            <v>41895939.830511101</v>
          </cell>
          <cell r="X32">
            <v>40080855.307712957</v>
          </cell>
          <cell r="Y32">
            <v>37256848.456933677</v>
          </cell>
          <cell r="AO32">
            <v>-4.3204210446516839E-3</v>
          </cell>
          <cell r="AQ32">
            <v>2.3106358936846017E-3</v>
          </cell>
          <cell r="AS32">
            <v>5.7943625945245788E-3</v>
          </cell>
        </row>
        <row r="33">
          <cell r="C33">
            <v>37835343.803681523</v>
          </cell>
          <cell r="D33">
            <v>35942206.28684929</v>
          </cell>
          <cell r="E33">
            <v>33483149.047712196</v>
          </cell>
          <cell r="F33">
            <v>29627162.04484063</v>
          </cell>
          <cell r="G33">
            <v>23102693.667651504</v>
          </cell>
          <cell r="U33">
            <v>39854682.476349369</v>
          </cell>
          <cell r="V33">
            <v>44008142.934853576</v>
          </cell>
          <cell r="W33">
            <v>47706675.867457733</v>
          </cell>
          <cell r="X33">
            <v>46278652.277742743</v>
          </cell>
          <cell r="Y33">
            <v>43172275.189270586</v>
          </cell>
          <cell r="AO33">
            <v>-1.6954619952694178E-3</v>
          </cell>
          <cell r="AQ33">
            <v>9.3632446759113284E-3</v>
          </cell>
          <cell r="AS33">
            <v>9.5504663124318864E-3</v>
          </cell>
        </row>
        <row r="34">
          <cell r="C34">
            <v>42609659.120237291</v>
          </cell>
          <cell r="D34">
            <v>40541440.832154535</v>
          </cell>
          <cell r="E34">
            <v>37941296.97290428</v>
          </cell>
          <cell r="F34">
            <v>33266360.435772367</v>
          </cell>
          <cell r="G34">
            <v>26007613.249251127</v>
          </cell>
          <cell r="U34">
            <v>45153205.592328005</v>
          </cell>
          <cell r="V34">
            <v>49947073.195267498</v>
          </cell>
          <cell r="W34">
            <v>54428292.46318496</v>
          </cell>
          <cell r="X34">
            <v>53009480.919398211</v>
          </cell>
          <cell r="Y34">
            <v>50156125.919736743</v>
          </cell>
          <cell r="AO34">
            <v>6.4769663953004038E-4</v>
          </cell>
          <cell r="AQ34">
            <v>1.5456661867424327E-2</v>
          </cell>
          <cell r="AS34">
            <v>1.3170255108856926E-2</v>
          </cell>
        </row>
        <row r="35">
          <cell r="C35">
            <v>48019209.881849535</v>
          </cell>
          <cell r="D35">
            <v>45600171.747112565</v>
          </cell>
          <cell r="E35">
            <v>42524006.461179011</v>
          </cell>
          <cell r="F35">
            <v>37451088.129351072</v>
          </cell>
          <cell r="G35">
            <v>28892551.526053078</v>
          </cell>
          <cell r="U35">
            <v>51167796.219369695</v>
          </cell>
          <cell r="V35">
            <v>56566633.214776844</v>
          </cell>
          <cell r="W35">
            <v>61725605.786652356</v>
          </cell>
          <cell r="X35">
            <v>60683056.798002668</v>
          </cell>
          <cell r="Y35">
            <v>57456576.192203179</v>
          </cell>
          <cell r="AO35">
            <v>2.8155992615585467E-3</v>
          </cell>
          <cell r="AQ35">
            <v>2.1457042249942198E-2</v>
          </cell>
          <cell r="AS35">
            <v>1.6422776509347783E-2</v>
          </cell>
        </row>
        <row r="36">
          <cell r="C36">
            <v>54283270.611085065</v>
          </cell>
          <cell r="D36">
            <v>51662427.938032791</v>
          </cell>
          <cell r="E36">
            <v>48092539.622067481</v>
          </cell>
          <cell r="F36">
            <v>42230619.266792543</v>
          </cell>
          <cell r="G36">
            <v>32241148.130342904</v>
          </cell>
          <cell r="U36">
            <v>60385309.970921293</v>
          </cell>
          <cell r="V36">
            <v>66650072.863898605</v>
          </cell>
          <cell r="W36">
            <v>72527899.236392081</v>
          </cell>
          <cell r="X36">
            <v>71574205.072140723</v>
          </cell>
          <cell r="Y36">
            <v>68255528.323023185</v>
          </cell>
          <cell r="AO36">
            <v>1.2202715761720167E-2</v>
          </cell>
          <cell r="AQ36">
            <v>3.1765725733750694E-2</v>
          </cell>
          <cell r="AS36">
            <v>2.1474093621402138E-2</v>
          </cell>
        </row>
        <row r="37">
          <cell r="C37">
            <v>61252954.074616879</v>
          </cell>
          <cell r="D37">
            <v>58258306.744252123</v>
          </cell>
          <cell r="E37">
            <v>54067849.189898804</v>
          </cell>
          <cell r="F37">
            <v>47354354.075982109</v>
          </cell>
          <cell r="G37">
            <v>35971120.172167525</v>
          </cell>
          <cell r="U37">
            <v>68429803.678111643</v>
          </cell>
          <cell r="V37">
            <v>75352885.593345493</v>
          </cell>
          <cell r="W37">
            <v>82023521.999405697</v>
          </cell>
          <cell r="X37">
            <v>81236326.066617399</v>
          </cell>
          <cell r="Y37">
            <v>77832734.742880717</v>
          </cell>
          <cell r="AO37">
            <v>1.4564006464481008E-2</v>
          </cell>
          <cell r="AQ37">
            <v>3.6554593029239205E-2</v>
          </cell>
          <cell r="AS37">
            <v>2.4362649812247426E-2</v>
          </cell>
        </row>
        <row r="38">
          <cell r="C38">
            <v>68942084.378895581</v>
          </cell>
          <cell r="D38">
            <v>65530693.854571104</v>
          </cell>
          <cell r="E38">
            <v>60751249.19762715</v>
          </cell>
          <cell r="F38">
            <v>53320624.625460826</v>
          </cell>
          <cell r="G38">
            <v>39203693.538153715</v>
          </cell>
          <cell r="U38">
            <v>77258764.595432162</v>
          </cell>
          <cell r="V38">
            <v>84971411.867059976</v>
          </cell>
          <cell r="W38">
            <v>92487747.307790041</v>
          </cell>
          <cell r="X38">
            <v>92175199.315473154</v>
          </cell>
          <cell r="Y38">
            <v>87096342.482150063</v>
          </cell>
          <cell r="AO38">
            <v>1.6585958675496001E-2</v>
          </cell>
          <cell r="AQ38">
            <v>4.056272970702271E-2</v>
          </cell>
          <cell r="AS38">
            <v>2.7115393498478309E-2</v>
          </cell>
        </row>
        <row r="39">
          <cell r="C39">
            <v>77544810.496224046</v>
          </cell>
          <cell r="D39">
            <v>73617892.264081731</v>
          </cell>
          <cell r="E39">
            <v>68325681.202603295</v>
          </cell>
          <cell r="F39">
            <v>59145101.236625992</v>
          </cell>
          <cell r="G39">
            <v>42962198.451144658</v>
          </cell>
          <cell r="U39">
            <v>87219821.379453361</v>
          </cell>
          <cell r="V39">
            <v>95620135.978295118</v>
          </cell>
          <cell r="W39">
            <v>104290335.470828</v>
          </cell>
          <cell r="X39">
            <v>103438237.11668593</v>
          </cell>
          <cell r="Y39">
            <v>97575018.122194096</v>
          </cell>
          <cell r="AO39">
            <v>1.8631247352968661E-2</v>
          </cell>
          <cell r="AQ39">
            <v>4.412898616949492E-2</v>
          </cell>
          <cell r="AS39">
            <v>2.9584102969056877E-2</v>
          </cell>
        </row>
        <row r="40">
          <cell r="C40">
            <v>87064164.740100369</v>
          </cell>
          <cell r="D40">
            <v>82781058.029679328</v>
          </cell>
          <cell r="E40">
            <v>76429119.795684829</v>
          </cell>
          <cell r="F40">
            <v>64796977.754788987</v>
          </cell>
          <cell r="G40">
            <v>47001856.333655752</v>
          </cell>
          <cell r="U40">
            <v>98151785.531515732</v>
          </cell>
          <cell r="V40">
            <v>107674850.47809549</v>
          </cell>
          <cell r="W40">
            <v>116841775.53529403</v>
          </cell>
          <cell r="X40">
            <v>114966471.94942582</v>
          </cell>
          <cell r="Y40">
            <v>108987187.06173357</v>
          </cell>
          <cell r="AO40">
            <v>2.0299836846050287E-2</v>
          </cell>
          <cell r="AQ40">
            <v>4.74866506831274E-2</v>
          </cell>
          <cell r="AS40">
            <v>3.1838001914719916E-2</v>
          </cell>
        </row>
        <row r="41">
          <cell r="C41">
            <v>97688831.218595043</v>
          </cell>
          <cell r="D41">
            <v>92792154.685645148</v>
          </cell>
          <cell r="E41">
            <v>84241010.088397875</v>
          </cell>
          <cell r="F41">
            <v>71098721.006407797</v>
          </cell>
          <cell r="G41">
            <v>52692541.048645332</v>
          </cell>
          <cell r="U41">
            <v>110462384.02864368</v>
          </cell>
          <cell r="V41">
            <v>120875257.63636728</v>
          </cell>
          <cell r="W41">
            <v>129740181.86406341</v>
          </cell>
          <cell r="X41">
            <v>127683697.14279544</v>
          </cell>
          <cell r="Y41">
            <v>123967701.75196138</v>
          </cell>
          <cell r="AO41">
            <v>2.2009838411134311E-2</v>
          </cell>
          <cell r="AQ41">
            <v>5.128621182111575E-2</v>
          </cell>
          <cell r="AS41">
            <v>3.3870165040621729E-2</v>
          </cell>
        </row>
        <row r="42">
          <cell r="C42">
            <v>109494044.14352675</v>
          </cell>
          <cell r="D42">
            <v>102766904.11677361</v>
          </cell>
          <cell r="E42">
            <v>92569130.690892741</v>
          </cell>
          <cell r="F42">
            <v>79576442.245692983</v>
          </cell>
          <cell r="G42">
            <v>58986000.432806924</v>
          </cell>
          <cell r="U42">
            <v>124053325.33586723</v>
          </cell>
          <cell r="V42">
            <v>134645619.58300748</v>
          </cell>
          <cell r="W42">
            <v>143697502.24534923</v>
          </cell>
          <cell r="X42">
            <v>143442253.79155591</v>
          </cell>
          <cell r="Y42">
            <v>140359157.20383355</v>
          </cell>
          <cell r="AO42">
            <v>2.3419679390143146E-2</v>
          </cell>
          <cell r="AQ42">
            <v>5.4899077409271323E-2</v>
          </cell>
          <cell r="AS42">
            <v>3.5537823652542572E-2</v>
          </cell>
        </row>
        <row r="43">
          <cell r="C43">
            <v>122855764.28194091</v>
          </cell>
          <cell r="D43">
            <v>114334836.04750934</v>
          </cell>
          <cell r="E43">
            <v>103835257.50593492</v>
          </cell>
          <cell r="F43">
            <v>91257985.912214547</v>
          </cell>
          <cell r="G43">
            <v>67136523.320177019</v>
          </cell>
          <cell r="U43">
            <v>139280946.50629079</v>
          </cell>
          <cell r="V43">
            <v>150244606.69831038</v>
          </cell>
          <cell r="W43">
            <v>160863640.89580947</v>
          </cell>
          <cell r="X43">
            <v>163147605.99736354</v>
          </cell>
          <cell r="Y43">
            <v>160679471.04509354</v>
          </cell>
          <cell r="AO43">
            <v>2.4528073869797194E-2</v>
          </cell>
          <cell r="AQ43">
            <v>5.7308489930276305E-2</v>
          </cell>
          <cell r="AS43">
            <v>3.6829288891720491E-2</v>
          </cell>
        </row>
        <row r="44">
          <cell r="C44">
            <v>137893052.61596596</v>
          </cell>
          <cell r="D44">
            <v>129361084.42596123</v>
          </cell>
          <cell r="E44">
            <v>120365443.54347323</v>
          </cell>
          <cell r="F44">
            <v>104785067.02672075</v>
          </cell>
          <cell r="G44">
            <v>76973249.494081974</v>
          </cell>
          <cell r="U44">
            <v>156244271.30501965</v>
          </cell>
          <cell r="V44">
            <v>169005657.93783268</v>
          </cell>
          <cell r="W44">
            <v>183341211.62230259</v>
          </cell>
          <cell r="X44">
            <v>185784959.56911808</v>
          </cell>
          <cell r="Y44">
            <v>184497229.05792105</v>
          </cell>
          <cell r="AO44">
            <v>2.5340306974667246E-2</v>
          </cell>
          <cell r="AQ44">
            <v>5.7868142203905883E-2</v>
          </cell>
          <cell r="AS44">
            <v>3.7720710303956212E-2</v>
          </cell>
        </row>
        <row r="45">
          <cell r="C45">
            <v>154685035.32946187</v>
          </cell>
          <cell r="D45">
            <v>147521567.06426382</v>
          </cell>
          <cell r="E45">
            <v>136808221.34001312</v>
          </cell>
          <cell r="F45">
            <v>119915071.19833687</v>
          </cell>
          <cell r="G45">
            <v>87737912.243360519</v>
          </cell>
          <cell r="U45">
            <v>175220105.21447018</v>
          </cell>
          <cell r="V45">
            <v>190978139.76934421</v>
          </cell>
          <cell r="W45">
            <v>206926582.99324384</v>
          </cell>
          <cell r="X45">
            <v>210892565.27096701</v>
          </cell>
          <cell r="Y45">
            <v>211392850.67540663</v>
          </cell>
          <cell r="AO45">
            <v>2.585398077179878E-2</v>
          </cell>
          <cell r="AQ45">
            <v>5.912059434377754E-2</v>
          </cell>
          <cell r="AS45">
            <v>3.8605687087733299E-2</v>
          </cell>
        </row>
        <row r="46">
          <cell r="C46">
            <v>174428718.15349573</v>
          </cell>
          <cell r="D46">
            <v>166303578.83036491</v>
          </cell>
          <cell r="E46">
            <v>154928702.16211429</v>
          </cell>
          <cell r="F46">
            <v>135525982.38250834</v>
          </cell>
          <cell r="G46">
            <v>99590407.102794364</v>
          </cell>
          <cell r="U46">
            <v>197433255.41005838</v>
          </cell>
          <cell r="V46">
            <v>214781355.75928843</v>
          </cell>
          <cell r="W46">
            <v>233202545.55591327</v>
          </cell>
          <cell r="X46">
            <v>238397307.56047904</v>
          </cell>
          <cell r="Y46">
            <v>240741484.77968392</v>
          </cell>
          <cell r="AO46">
            <v>2.6299038427199394E-2</v>
          </cell>
          <cell r="AQ46">
            <v>6.0502665852841156E-2</v>
          </cell>
          <cell r="AS46">
            <v>3.9439879591415233E-2</v>
          </cell>
        </row>
        <row r="47">
          <cell r="C47">
            <v>196370911.36501613</v>
          </cell>
          <cell r="D47">
            <v>188324889.09441012</v>
          </cell>
          <cell r="E47">
            <v>175359657.10007298</v>
          </cell>
          <cell r="F47">
            <v>153058692.4163554</v>
          </cell>
          <cell r="G47">
            <v>111015573.28520074</v>
          </cell>
          <cell r="U47">
            <v>221949205.86895806</v>
          </cell>
          <cell r="V47">
            <v>242085298.27905586</v>
          </cell>
          <cell r="W47">
            <v>262786387.9530561</v>
          </cell>
          <cell r="X47">
            <v>268880852.39403552</v>
          </cell>
          <cell r="Y47">
            <v>270615266.461905</v>
          </cell>
          <cell r="AO47">
            <v>2.6522083353267934E-2</v>
          </cell>
          <cell r="AQ47">
            <v>6.1643484420880849E-2</v>
          </cell>
          <cell r="AS47">
            <v>4.0339290470371977E-2</v>
          </cell>
        </row>
        <row r="48">
          <cell r="C48">
            <v>220725453.60328123</v>
          </cell>
          <cell r="D48">
            <v>211127364.67722639</v>
          </cell>
          <cell r="E48">
            <v>196113339.87546074</v>
          </cell>
          <cell r="F48">
            <v>170846910.26837841</v>
          </cell>
          <cell r="G48">
            <v>121023347.42595114</v>
          </cell>
          <cell r="U48">
            <v>249466948.42327455</v>
          </cell>
          <cell r="V48">
            <v>271372563.7992239</v>
          </cell>
          <cell r="W48">
            <v>294396744.06985575</v>
          </cell>
          <cell r="X48">
            <v>301379892.88355184</v>
          </cell>
          <cell r="Y48">
            <v>299992145.7623589</v>
          </cell>
          <cell r="AO48">
            <v>2.6896294011407331E-2</v>
          </cell>
          <cell r="AQ48">
            <v>6.3289432934413511E-2</v>
          </cell>
          <cell r="AS48">
            <v>4.1511925140734027E-2</v>
          </cell>
        </row>
        <row r="49">
          <cell r="C49">
            <v>247534975.6661658</v>
          </cell>
          <cell r="D49">
            <v>236663941.36668727</v>
          </cell>
          <cell r="E49">
            <v>219028870.68385085</v>
          </cell>
          <cell r="F49">
            <v>190607293.60159996</v>
          </cell>
          <cell r="G49">
            <v>126720470.69158912</v>
          </cell>
          <cell r="U49">
            <v>279612530.98565722</v>
          </cell>
          <cell r="V49">
            <v>304325172.4499957</v>
          </cell>
          <cell r="W49">
            <v>329083803.98975718</v>
          </cell>
          <cell r="X49">
            <v>337055275.67606252</v>
          </cell>
          <cell r="Y49">
            <v>325029094.40087575</v>
          </cell>
          <cell r="AO49">
            <v>2.7082623262980676E-2</v>
          </cell>
          <cell r="AQ49">
            <v>6.4424330446043163E-2</v>
          </cell>
          <cell r="AS49">
            <v>4.3445210202315183E-2</v>
          </cell>
        </row>
        <row r="50">
          <cell r="C50">
            <v>277251206.94884741</v>
          </cell>
          <cell r="D50">
            <v>264669629.00756058</v>
          </cell>
          <cell r="E50">
            <v>244262256.55730727</v>
          </cell>
          <cell r="F50">
            <v>205038812.4482393</v>
          </cell>
          <cell r="G50">
            <v>133118759.95219585</v>
          </cell>
          <cell r="U50">
            <v>313530493.1801486</v>
          </cell>
          <cell r="V50">
            <v>340493702.38654602</v>
          </cell>
          <cell r="W50">
            <v>367550958.52801245</v>
          </cell>
          <cell r="X50">
            <v>369530170.51884377</v>
          </cell>
          <cell r="Y50">
            <v>352920874.44514596</v>
          </cell>
          <cell r="AO50">
            <v>2.7479701454692234E-2</v>
          </cell>
          <cell r="AQ50">
            <v>6.539101871962183E-2</v>
          </cell>
          <cell r="AS50">
            <v>4.5310895753844324E-2</v>
          </cell>
        </row>
        <row r="51">
          <cell r="C51">
            <v>310019144.42039675</v>
          </cell>
          <cell r="D51">
            <v>295193720.53614855</v>
          </cell>
          <cell r="E51">
            <v>272305216.76286209</v>
          </cell>
          <cell r="F51">
            <v>215653880.36500919</v>
          </cell>
          <cell r="G51">
            <v>140046806.0272274</v>
          </cell>
          <cell r="U51">
            <v>350930348.0594998</v>
          </cell>
          <cell r="V51">
            <v>380326022.31291318</v>
          </cell>
          <cell r="W51">
            <v>409764478.18785506</v>
          </cell>
          <cell r="X51">
            <v>400768569.89915955</v>
          </cell>
          <cell r="Y51">
            <v>383441587.03310639</v>
          </cell>
          <cell r="AO51">
            <v>2.7781275443783823E-2</v>
          </cell>
          <cell r="AQ51">
            <v>6.5987299918932027E-2</v>
          </cell>
          <cell r="AS51">
            <v>4.7116531024346923E-2</v>
          </cell>
        </row>
        <row r="52">
          <cell r="C52">
            <v>346288991.90235978</v>
          </cell>
          <cell r="D52">
            <v>329133685.04585016</v>
          </cell>
          <cell r="E52">
            <v>286736088.46550554</v>
          </cell>
          <cell r="F52">
            <v>227134345.22301757</v>
          </cell>
          <cell r="G52">
            <v>147536717.88888907</v>
          </cell>
          <cell r="U52">
            <v>392395532.22081912</v>
          </cell>
          <cell r="V52">
            <v>424385743.52724898</v>
          </cell>
          <cell r="W52">
            <v>444472533.64838833</v>
          </cell>
          <cell r="X52">
            <v>435008761.91478693</v>
          </cell>
          <cell r="Y52">
            <v>416990528.35968053</v>
          </cell>
          <cell r="AO52">
            <v>2.8035193291587959E-2</v>
          </cell>
          <cell r="AQ52">
            <v>7.0392904452343766E-2</v>
          </cell>
          <cell r="AS52">
            <v>4.88808710510319E-2</v>
          </cell>
        </row>
        <row r="53">
          <cell r="C53">
            <v>386435093.00878036</v>
          </cell>
          <cell r="D53">
            <v>356143645.92157131</v>
          </cell>
          <cell r="E53">
            <v>302377910.71462524</v>
          </cell>
          <cell r="F53">
            <v>239791106.62192833</v>
          </cell>
          <cell r="G53">
            <v>156246021.37220317</v>
          </cell>
          <cell r="U53">
            <v>438351733.1667769</v>
          </cell>
          <cell r="V53">
            <v>466990411.81221825</v>
          </cell>
          <cell r="W53">
            <v>482624864.63432086</v>
          </cell>
          <cell r="X53">
            <v>472780840.26677716</v>
          </cell>
          <cell r="Y53">
            <v>454670542.80896485</v>
          </cell>
          <cell r="AO53">
            <v>2.8239071545567363E-2</v>
          </cell>
          <cell r="AQ53">
            <v>7.4730889463463859E-2</v>
          </cell>
          <cell r="AS53">
            <v>5.0499539537553116E-2</v>
          </cell>
        </row>
        <row r="54">
          <cell r="C54">
            <v>431078555.93341845</v>
          </cell>
          <cell r="D54">
            <v>381500702.40602648</v>
          </cell>
          <cell r="E54">
            <v>324080347.39915061</v>
          </cell>
          <cell r="F54">
            <v>257376320.36281702</v>
          </cell>
          <cell r="G54">
            <v>175345175.6563803</v>
          </cell>
          <cell r="U54">
            <v>489374980.94944435</v>
          </cell>
          <cell r="V54">
            <v>511862993.89972287</v>
          </cell>
          <cell r="W54">
            <v>528111385.95235646</v>
          </cell>
          <cell r="X54">
            <v>517983198.21503484</v>
          </cell>
          <cell r="Y54">
            <v>509853578.08581185</v>
          </cell>
          <cell r="AO54">
            <v>2.8358954184412137E-2</v>
          </cell>
          <cell r="AQ54">
            <v>7.7933455968502943E-2</v>
          </cell>
          <cell r="AS54">
            <v>5.0685675408549562E-2</v>
          </cell>
        </row>
        <row r="55">
          <cell r="C55">
            <v>480181839.86400253</v>
          </cell>
          <cell r="D55">
            <v>425149881.22276169</v>
          </cell>
          <cell r="E55">
            <v>368167792.75571597</v>
          </cell>
          <cell r="F55">
            <v>307491083.19162965</v>
          </cell>
          <cell r="G55">
            <v>218910392.60303971</v>
          </cell>
          <cell r="U55">
            <v>546318124.25042081</v>
          </cell>
          <cell r="V55">
            <v>570660202.80182385</v>
          </cell>
          <cell r="W55">
            <v>593259020.65094447</v>
          </cell>
          <cell r="X55">
            <v>595351223.37929761</v>
          </cell>
          <cell r="Y55">
            <v>602053907.35965884</v>
          </cell>
          <cell r="AO55">
            <v>2.8435829763244297E-2</v>
          </cell>
          <cell r="AQ55">
            <v>7.6792472502477394E-2</v>
          </cell>
          <cell r="AS55">
            <v>4.8218943184801515E-2</v>
          </cell>
        </row>
        <row r="56">
          <cell r="C56">
            <v>535694702.87294942</v>
          </cell>
          <cell r="D56">
            <v>493462616.58058524</v>
          </cell>
          <cell r="E56">
            <v>438327937.97320664</v>
          </cell>
          <cell r="F56">
            <v>391726088.8135581</v>
          </cell>
          <cell r="G56">
            <v>280482581.86938453</v>
          </cell>
          <cell r="U56">
            <v>609656800.4750092</v>
          </cell>
          <cell r="V56">
            <v>647214075.66625345</v>
          </cell>
          <cell r="W56">
            <v>680238093.89824247</v>
          </cell>
          <cell r="X56">
            <v>706411961.31591749</v>
          </cell>
          <cell r="Y56">
            <v>721622361.09189832</v>
          </cell>
          <cell r="AO56">
            <v>2.8012092427738066E-2</v>
          </cell>
          <cell r="AQ56">
            <v>7.2057203650307516E-2</v>
          </cell>
          <cell r="AS56">
            <v>4.5009079949517916E-2</v>
          </cell>
        </row>
        <row r="57">
          <cell r="C57">
            <v>596753315.38782847</v>
          </cell>
          <cell r="D57">
            <v>550085160.29857779</v>
          </cell>
          <cell r="E57">
            <v>515249244.15502238</v>
          </cell>
          <cell r="F57">
            <v>456362555.51420629</v>
          </cell>
          <cell r="G57">
            <v>314145849.0073325</v>
          </cell>
          <cell r="U57">
            <v>679684037.0072304</v>
          </cell>
          <cell r="V57">
            <v>720561017.08513713</v>
          </cell>
          <cell r="W57">
            <v>776223995.28568912</v>
          </cell>
          <cell r="X57">
            <v>803352955.31083846</v>
          </cell>
          <cell r="Y57">
            <v>806194361.27604461</v>
          </cell>
          <cell r="AO57">
            <v>2.764471018304825E-2</v>
          </cell>
          <cell r="AQ57">
            <v>6.7993345425021737E-2</v>
          </cell>
          <cell r="AS57">
            <v>4.4807333410538316E-2</v>
          </cell>
        </row>
        <row r="58">
          <cell r="C58">
            <v>663256290.10664034</v>
          </cell>
          <cell r="D58">
            <v>637249862.90241981</v>
          </cell>
          <cell r="E58">
            <v>599213352.33087754</v>
          </cell>
          <cell r="F58">
            <v>519675816.71233511</v>
          </cell>
          <cell r="G58">
            <v>338132669.70773244</v>
          </cell>
          <cell r="U58">
            <v>755873635.9920243</v>
          </cell>
          <cell r="V58">
            <v>816010576.93562555</v>
          </cell>
          <cell r="W58">
            <v>880182240.68077838</v>
          </cell>
          <cell r="X58">
            <v>901872718.52441382</v>
          </cell>
          <cell r="Y58">
            <v>881665782.82402396</v>
          </cell>
          <cell r="AO58">
            <v>2.7220224434876861E-2</v>
          </cell>
          <cell r="AQ58">
            <v>6.4290263443168447E-2</v>
          </cell>
          <cell r="AS58">
            <v>4.5492938029202443E-2</v>
          </cell>
        </row>
        <row r="59">
          <cell r="C59">
            <v>736193747.29787338</v>
          </cell>
          <cell r="D59">
            <v>718206559.93396902</v>
          </cell>
          <cell r="E59">
            <v>662171239.16618669</v>
          </cell>
          <cell r="F59">
            <v>552921370.5860436</v>
          </cell>
          <cell r="G59">
            <v>358270292.116799</v>
          </cell>
          <cell r="U59">
            <v>839901440.76302481</v>
          </cell>
          <cell r="V59">
            <v>911966594.15182304</v>
          </cell>
          <cell r="W59">
            <v>972949615.98604989</v>
          </cell>
          <cell r="X59">
            <v>979053185.15809298</v>
          </cell>
          <cell r="Y59">
            <v>955784461.37696588</v>
          </cell>
          <cell r="AO59">
            <v>2.6849403701309213E-2</v>
          </cell>
          <cell r="AQ59">
            <v>6.3562514052357411E-2</v>
          </cell>
          <cell r="AS59">
            <v>4.6499987658055145E-2</v>
          </cell>
        </row>
        <row r="60">
          <cell r="C60">
            <v>815881914.13482976</v>
          </cell>
          <cell r="D60">
            <v>783925416.83416677</v>
          </cell>
          <cell r="E60">
            <v>719735342.96862626</v>
          </cell>
          <cell r="F60">
            <v>582557372.02988744</v>
          </cell>
          <cell r="G60">
            <v>377805484.90143126</v>
          </cell>
          <cell r="U60">
            <v>931834891.35313213</v>
          </cell>
          <cell r="V60">
            <v>1003215861.3311362</v>
          </cell>
          <cell r="W60">
            <v>1066047236.5125709</v>
          </cell>
          <cell r="X60">
            <v>1057360747.6528733</v>
          </cell>
          <cell r="Y60">
            <v>1033351855.3793381</v>
          </cell>
          <cell r="AO60">
            <v>2.6463668019126984E-2</v>
          </cell>
          <cell r="AQ60">
            <v>6.3425324726972099E-2</v>
          </cell>
          <cell r="AS60">
            <v>4.7577542526282199E-2</v>
          </cell>
        </row>
        <row r="61">
          <cell r="C61">
            <v>903010496.44264269</v>
          </cell>
          <cell r="D61">
            <v>859404389.52407706</v>
          </cell>
          <cell r="E61">
            <v>762617212.19599807</v>
          </cell>
          <cell r="F61">
            <v>617429117.50199676</v>
          </cell>
          <cell r="G61">
            <v>408236709.163634</v>
          </cell>
          <cell r="U61">
            <v>1032426304.6144885</v>
          </cell>
          <cell r="V61">
            <v>1105050257.7820761</v>
          </cell>
          <cell r="W61">
            <v>1154662348.9548631</v>
          </cell>
          <cell r="X61">
            <v>1145206983.5566905</v>
          </cell>
          <cell r="Y61">
            <v>1132832058.0644333</v>
          </cell>
          <cell r="AO61">
            <v>2.6058165291738062E-2</v>
          </cell>
          <cell r="AQ61">
            <v>6.5216167302329389E-2</v>
          </cell>
          <cell r="AS61">
            <v>4.8005029580947343E-2</v>
          </cell>
        </row>
        <row r="62">
          <cell r="C62">
            <v>998399490.04797983</v>
          </cell>
          <cell r="D62">
            <v>933043940.51883805</v>
          </cell>
          <cell r="E62">
            <v>812859915.10903132</v>
          </cell>
          <cell r="F62">
            <v>657594997.29081297</v>
          </cell>
          <cell r="G62">
            <v>453077500.56536305</v>
          </cell>
          <cell r="U62">
            <v>1142717931.7052903</v>
          </cell>
          <cell r="V62">
            <v>1211928124.4878716</v>
          </cell>
          <cell r="W62">
            <v>1254139460.5657961</v>
          </cell>
          <cell r="X62">
            <v>1243336203.6885931</v>
          </cell>
          <cell r="Y62">
            <v>1259887446.9174888</v>
          </cell>
          <cell r="AO62">
            <v>2.5646908106967521E-2</v>
          </cell>
          <cell r="AQ62">
            <v>6.6504685228874066E-2</v>
          </cell>
          <cell r="AS62">
            <v>4.7710726227980241E-2</v>
          </cell>
        </row>
        <row r="63">
          <cell r="C63">
            <v>1104225206.6568828</v>
          </cell>
          <cell r="D63">
            <v>1001882570.3531995</v>
          </cell>
          <cell r="E63">
            <v>872437428.57160735</v>
          </cell>
          <cell r="F63">
            <v>733866248.49927664</v>
          </cell>
          <cell r="G63">
            <v>506263155.91139722</v>
          </cell>
          <cell r="U63">
            <v>1264688444.2255402</v>
          </cell>
          <cell r="V63">
            <v>1323485913.876312</v>
          </cell>
          <cell r="W63">
            <v>1366934879.0461693</v>
          </cell>
          <cell r="X63">
            <v>1382793951.6059051</v>
          </cell>
          <cell r="Y63">
            <v>1405919174.5730414</v>
          </cell>
          <cell r="AO63">
            <v>2.5199474936832507E-2</v>
          </cell>
          <cell r="AQ63">
            <v>6.7284023485401648E-2</v>
          </cell>
          <cell r="AS63">
            <v>4.7416937776272337E-2</v>
          </cell>
        </row>
        <row r="64">
          <cell r="C64">
            <v>1222013125.1741133</v>
          </cell>
          <cell r="D64">
            <v>1108913017.4217732</v>
          </cell>
          <cell r="E64">
            <v>1006638958.0285512</v>
          </cell>
          <cell r="F64">
            <v>863730715.02305353</v>
          </cell>
          <cell r="G64">
            <v>589242864.99438524</v>
          </cell>
          <cell r="U64">
            <v>1401364091.1308033</v>
          </cell>
          <cell r="V64">
            <v>1464808157.5201149</v>
          </cell>
          <cell r="W64">
            <v>1542128466.1915717</v>
          </cell>
          <cell r="X64">
            <v>1577600930.1530395</v>
          </cell>
          <cell r="Y64">
            <v>1601363262.2324178</v>
          </cell>
          <cell r="AO64">
            <v>2.4834877255742453E-2</v>
          </cell>
          <cell r="AQ64">
            <v>6.307417353960891E-2</v>
          </cell>
          <cell r="AS64">
            <v>4.6039224026709444E-2</v>
          </cell>
        </row>
        <row r="65">
          <cell r="C65">
            <v>1352047819.7946079</v>
          </cell>
          <cell r="D65">
            <v>1280767187.0992663</v>
          </cell>
          <cell r="E65">
            <v>1176590464.6639094</v>
          </cell>
          <cell r="F65">
            <v>1004533865.6418129</v>
          </cell>
          <cell r="G65">
            <v>684378640.7167604</v>
          </cell>
          <cell r="U65">
            <v>1551389821.2010317</v>
          </cell>
          <cell r="V65">
            <v>1653466311.6467805</v>
          </cell>
          <cell r="W65">
            <v>1751178028.7134509</v>
          </cell>
          <cell r="X65">
            <v>1790079597.4743209</v>
          </cell>
          <cell r="Y65">
            <v>1816675642.1800549</v>
          </cell>
          <cell r="AO65">
            <v>2.4410272629280288E-2</v>
          </cell>
          <cell r="AQ65">
            <v>5.8189025340219198E-2</v>
          </cell>
          <cell r="AS65">
            <v>4.4628187320716203E-2</v>
          </cell>
        </row>
        <row r="66">
          <cell r="C66">
            <v>1501666775.6234746</v>
          </cell>
          <cell r="D66">
            <v>1428786502.7469232</v>
          </cell>
          <cell r="E66">
            <v>1310929788.6438138</v>
          </cell>
          <cell r="F66">
            <v>1121885759.2216136</v>
          </cell>
          <cell r="G66">
            <v>739612398.25535667</v>
          </cell>
          <cell r="U66">
            <v>1723846043.596596</v>
          </cell>
          <cell r="V66">
            <v>1838800125.4657564</v>
          </cell>
          <cell r="W66">
            <v>1944982596.8962238</v>
          </cell>
          <cell r="X66">
            <v>1987126494.0668316</v>
          </cell>
          <cell r="Y66">
            <v>1984595663.2366357</v>
          </cell>
          <cell r="AO66">
            <v>2.4072763039877744E-2</v>
          </cell>
          <cell r="AQ66">
            <v>5.6786198938667327E-2</v>
          </cell>
          <cell r="AS66">
            <v>4.5154934394427908E-2</v>
          </cell>
        </row>
        <row r="67">
          <cell r="C67">
            <v>1665268491.8147542</v>
          </cell>
          <cell r="D67">
            <v>1584041612.9424551</v>
          </cell>
          <cell r="E67">
            <v>1452533675.9590247</v>
          </cell>
          <cell r="F67">
            <v>1242398486.4057927</v>
          </cell>
          <cell r="G67">
            <v>785361966.3245486</v>
          </cell>
          <cell r="U67">
            <v>1916868754.4996824</v>
          </cell>
          <cell r="V67">
            <v>2037937987.6936817</v>
          </cell>
          <cell r="W67">
            <v>2151449164.1366329</v>
          </cell>
          <cell r="X67">
            <v>2195574784.0037847</v>
          </cell>
          <cell r="Y67">
            <v>2149225113.9405084</v>
          </cell>
          <cell r="AO67">
            <v>2.4018552004021587E-2</v>
          </cell>
          <cell r="AQ67">
            <v>5.571899641768454E-2</v>
          </cell>
          <cell r="AS67">
            <v>4.6160924567445527E-2</v>
          </cell>
        </row>
        <row r="68">
          <cell r="C68">
            <v>1846212434.4443209</v>
          </cell>
          <cell r="D68">
            <v>1754137768.2566822</v>
          </cell>
          <cell r="E68">
            <v>1614429852.7843153</v>
          </cell>
          <cell r="F68">
            <v>1327605934.8189247</v>
          </cell>
          <cell r="G68">
            <v>835562087.05276871</v>
          </cell>
          <cell r="U68">
            <v>2136591907.9369645</v>
          </cell>
          <cell r="V68">
            <v>2258661015.0790925</v>
          </cell>
          <cell r="W68">
            <v>2381334270.2048059</v>
          </cell>
          <cell r="X68">
            <v>2386349213.4578176</v>
          </cell>
          <cell r="Y68">
            <v>2331227750.7440648</v>
          </cell>
          <cell r="AO68">
            <v>2.4314190552581296E-2</v>
          </cell>
          <cell r="AQ68">
            <v>5.4500701757224816E-2</v>
          </cell>
          <cell r="AS68">
            <v>4.7175368992603203E-2</v>
          </cell>
        </row>
        <row r="69">
          <cell r="C69">
            <v>2045122143.1287241</v>
          </cell>
          <cell r="D69">
            <v>1947393785.1962199</v>
          </cell>
          <cell r="E69">
            <v>1770607660.7240844</v>
          </cell>
          <cell r="F69">
            <v>1412575556.6632507</v>
          </cell>
          <cell r="G69">
            <v>889300693.05770099</v>
          </cell>
          <cell r="U69">
            <v>2373826721.588583</v>
          </cell>
          <cell r="V69">
            <v>2510604797.3133035</v>
          </cell>
          <cell r="W69">
            <v>2618418149.989131</v>
          </cell>
          <cell r="X69">
            <v>2588213014.8448658</v>
          </cell>
          <cell r="Y69">
            <v>2528849959.9142904</v>
          </cell>
          <cell r="AO69">
            <v>2.4387900161950027E-2</v>
          </cell>
          <cell r="AQ69">
            <v>5.4132550880595057E-2</v>
          </cell>
          <cell r="AS69">
            <v>4.8205210711313042E-2</v>
          </cell>
        </row>
        <row r="70">
          <cell r="C70">
            <v>2268131043.0793848</v>
          </cell>
          <cell r="D70">
            <v>2162333558.8291354</v>
          </cell>
          <cell r="E70">
            <v>1888946829.3907349</v>
          </cell>
          <cell r="F70">
            <v>1504828823.1506627</v>
          </cell>
          <cell r="G70">
            <v>963720872.01825762</v>
          </cell>
          <cell r="U70">
            <v>2631743303.295733</v>
          </cell>
          <cell r="V70">
            <v>2802220176.2114391</v>
          </cell>
          <cell r="W70">
            <v>2846383227.9334736</v>
          </cell>
          <cell r="X70">
            <v>2812183882.9765301</v>
          </cell>
          <cell r="Y70">
            <v>2769794211.325346</v>
          </cell>
          <cell r="AO70">
            <v>2.4148173424671012E-2</v>
          </cell>
          <cell r="AQ70">
            <v>5.5758517993073471E-2</v>
          </cell>
          <cell r="AS70">
            <v>4.8841238894836235E-2</v>
          </cell>
        </row>
        <row r="71">
          <cell r="C71">
            <v>2514916282.6597528</v>
          </cell>
          <cell r="D71">
            <v>2320722254.300736</v>
          </cell>
          <cell r="E71">
            <v>2015045751.1692748</v>
          </cell>
          <cell r="F71">
            <v>1611642465.707684</v>
          </cell>
          <cell r="G71">
            <v>1044967225.4210005</v>
          </cell>
          <cell r="U71">
            <v>2913459923.5052862</v>
          </cell>
          <cell r="V71">
            <v>3067374340.6103458</v>
          </cell>
          <cell r="W71">
            <v>3095091167.4196677</v>
          </cell>
          <cell r="X71">
            <v>3063917951.3883948</v>
          </cell>
          <cell r="Y71">
            <v>3034592007.9685841</v>
          </cell>
          <cell r="AO71">
            <v>2.4358254006534172E-2</v>
          </cell>
          <cell r="AQ71">
            <v>5.7512123817594844E-2</v>
          </cell>
          <cell r="AS71">
            <v>4.947054257696664E-2</v>
          </cell>
        </row>
        <row r="72">
          <cell r="C72">
            <v>2789796134.3859367</v>
          </cell>
          <cell r="D72">
            <v>2530290363.9163027</v>
          </cell>
          <cell r="E72">
            <v>2197294253.7938247</v>
          </cell>
          <cell r="F72">
            <v>1797241792.2969334</v>
          </cell>
          <cell r="G72">
            <v>1157118449.1208153</v>
          </cell>
          <cell r="U72">
            <v>3225618747.8536263</v>
          </cell>
          <cell r="V72">
            <v>3374677205.0425572</v>
          </cell>
          <cell r="W72">
            <v>3405703487.9159851</v>
          </cell>
          <cell r="X72">
            <v>3399125577.1968479</v>
          </cell>
          <cell r="Y72">
            <v>3360313751.5345354</v>
          </cell>
          <cell r="AO72">
            <v>2.4575807716069126E-2</v>
          </cell>
          <cell r="AQ72">
            <v>5.815120865942381E-2</v>
          </cell>
          <cell r="AS72">
            <v>4.9561549199929E-2</v>
          </cell>
        </row>
        <row r="73">
          <cell r="C73">
            <v>3095597629.8939481</v>
          </cell>
          <cell r="D73">
            <v>2821517326.4202785</v>
          </cell>
          <cell r="E73">
            <v>2508800743.8144636</v>
          </cell>
          <cell r="F73">
            <v>2035495613.496712</v>
          </cell>
          <cell r="G73">
            <v>1298872515.1036808</v>
          </cell>
          <cell r="U73">
            <v>3571574424.4775314</v>
          </cell>
          <cell r="V73">
            <v>3745300518.1629114</v>
          </cell>
          <cell r="W73">
            <v>3856484672.6075621</v>
          </cell>
          <cell r="X73">
            <v>3799744491.892684</v>
          </cell>
          <cell r="Y73">
            <v>3749972235.1312323</v>
          </cell>
          <cell r="AO73">
            <v>2.4766138289104362E-2</v>
          </cell>
          <cell r="AQ73">
            <v>5.67837585507849E-2</v>
          </cell>
          <cell r="AS73">
            <v>4.9337584233474258E-2</v>
          </cell>
        </row>
        <row r="74">
          <cell r="C74">
            <v>3430310485.753459</v>
          </cell>
          <cell r="D74">
            <v>3178027590.5705943</v>
          </cell>
          <cell r="E74">
            <v>2814161645.9408803</v>
          </cell>
          <cell r="F74">
            <v>2267055975.194972</v>
          </cell>
          <cell r="G74">
            <v>1474147022.6539989</v>
          </cell>
          <cell r="U74">
            <v>3949481732.2111444</v>
          </cell>
          <cell r="V74">
            <v>4168414783.146244</v>
          </cell>
          <cell r="W74">
            <v>4327976586.8111391</v>
          </cell>
          <cell r="X74">
            <v>4219518852.3538556</v>
          </cell>
          <cell r="Y74">
            <v>4204754099.2114124</v>
          </cell>
          <cell r="AO74">
            <v>2.4930337764229864E-2</v>
          </cell>
          <cell r="AQ74">
            <v>5.6474947427159868E-2</v>
          </cell>
          <cell r="AS74">
            <v>4.8401503308693937E-2</v>
          </cell>
        </row>
        <row r="75">
          <cell r="C75">
            <v>3797631657.9546189</v>
          </cell>
          <cell r="D75">
            <v>3509319167.8180408</v>
          </cell>
          <cell r="E75">
            <v>3090474178.288311</v>
          </cell>
          <cell r="F75">
            <v>2513842472.9309916</v>
          </cell>
          <cell r="G75">
            <v>1675809362.1224225</v>
          </cell>
          <cell r="U75">
            <v>4363302026.0058031</v>
          </cell>
          <cell r="V75">
            <v>4599994181.7859545</v>
          </cell>
          <cell r="W75">
            <v>4779363753.5607109</v>
          </cell>
          <cell r="X75">
            <v>4673762124.7632971</v>
          </cell>
          <cell r="Y75">
            <v>4717153086.0979853</v>
          </cell>
          <cell r="AO75">
            <v>2.5070511147039991E-2</v>
          </cell>
          <cell r="AQ75">
            <v>5.6870562888224202E-2</v>
          </cell>
          <cell r="AS75">
            <v>4.7391228695203652E-2</v>
          </cell>
        </row>
        <row r="76">
          <cell r="C76">
            <v>4210828817.1169701</v>
          </cell>
          <cell r="D76">
            <v>3875527628.6149845</v>
          </cell>
          <cell r="E76">
            <v>3427743179.6173797</v>
          </cell>
          <cell r="F76">
            <v>2873554727.1350093</v>
          </cell>
          <cell r="G76">
            <v>1912614820.4959624</v>
          </cell>
          <cell r="U76">
            <v>4824491426.597887</v>
          </cell>
          <cell r="V76">
            <v>5079280493.3353958</v>
          </cell>
          <cell r="W76">
            <v>5288880594.9522343</v>
          </cell>
          <cell r="X76">
            <v>5253647834.4306965</v>
          </cell>
          <cell r="Y76">
            <v>5317758392.9488258</v>
          </cell>
          <cell r="AO76">
            <v>2.5127735792818264E-2</v>
          </cell>
          <cell r="AQ76">
            <v>5.7218382772826586E-2</v>
          </cell>
          <cell r="AS76">
            <v>4.6662892366747796E-2</v>
          </cell>
        </row>
        <row r="77">
          <cell r="C77">
            <v>4664304624.5193024</v>
          </cell>
          <cell r="D77">
            <v>4304096720.5156355</v>
          </cell>
          <cell r="E77">
            <v>3932632767.718214</v>
          </cell>
          <cell r="F77">
            <v>3299333293.8929</v>
          </cell>
          <cell r="G77">
            <v>2186399420.8743477</v>
          </cell>
          <cell r="U77">
            <v>5336156110.7353668</v>
          </cell>
          <cell r="V77">
            <v>5619022757.262104</v>
          </cell>
          <cell r="W77">
            <v>5940236113.0019112</v>
          </cell>
          <cell r="X77">
            <v>5979947227.9639463</v>
          </cell>
          <cell r="Y77">
            <v>6003135780.5774593</v>
          </cell>
          <cell r="AO77">
            <v>2.5337233021438706E-2</v>
          </cell>
          <cell r="AQ77">
            <v>5.5890896466292098E-2</v>
          </cell>
          <cell r="AS77">
            <v>4.5873883622668622E-2</v>
          </cell>
        </row>
        <row r="78">
          <cell r="C78">
            <v>5158310798.0199709</v>
          </cell>
          <cell r="D78">
            <v>4892193021.9101477</v>
          </cell>
          <cell r="E78">
            <v>4478585952.8685656</v>
          </cell>
          <cell r="F78">
            <v>3739803621.8095665</v>
          </cell>
          <cell r="G78">
            <v>2475071164.674932</v>
          </cell>
          <cell r="U78">
            <v>5893341212.7735004</v>
          </cell>
          <cell r="V78">
            <v>6277397823.1849527</v>
          </cell>
          <cell r="W78">
            <v>6656869869.3870258</v>
          </cell>
          <cell r="X78">
            <v>6742072247.4275198</v>
          </cell>
          <cell r="Y78">
            <v>6741785758.0195427</v>
          </cell>
          <cell r="AO78">
            <v>2.553371533348953E-2</v>
          </cell>
          <cell r="AQ78">
            <v>5.4913197173941115E-2</v>
          </cell>
          <cell r="AS78">
            <v>4.5326175764165089E-2</v>
          </cell>
        </row>
        <row r="79">
          <cell r="C79">
            <v>5701147245.5061436</v>
          </cell>
          <cell r="D79">
            <v>5403216912.2846346</v>
          </cell>
          <cell r="E79">
            <v>4937253176.4024553</v>
          </cell>
          <cell r="F79">
            <v>4128017682.8957329</v>
          </cell>
          <cell r="G79">
            <v>2626202645.9622488</v>
          </cell>
          <cell r="U79">
            <v>6508713108.2807808</v>
          </cell>
          <cell r="V79">
            <v>6930180531.989749</v>
          </cell>
          <cell r="W79">
            <v>7349014338.0264511</v>
          </cell>
          <cell r="X79">
            <v>7470762981.5023499</v>
          </cell>
          <cell r="Y79">
            <v>7313042243.400465</v>
          </cell>
          <cell r="AO79">
            <v>2.5808405478532928E-2</v>
          </cell>
          <cell r="AQ79">
            <v>5.5742561505624996E-2</v>
          </cell>
          <cell r="AS79">
            <v>4.6564681338997979E-2</v>
          </cell>
        </row>
        <row r="80">
          <cell r="C80">
            <v>6291279753.0591841</v>
          </cell>
          <cell r="D80">
            <v>5974413874.4402771</v>
          </cell>
          <cell r="E80">
            <v>5445452896.9057026</v>
          </cell>
          <cell r="F80">
            <v>4530143629.6613131</v>
          </cell>
          <cell r="G80">
            <v>2772021616.8025336</v>
          </cell>
          <cell r="U80">
            <v>7176998098.5519314</v>
          </cell>
          <cell r="V80">
            <v>7661785273.3616419</v>
          </cell>
          <cell r="W80">
            <v>8111789477.4863348</v>
          </cell>
          <cell r="X80">
            <v>8234948664.1081839</v>
          </cell>
          <cell r="Y80">
            <v>7906421429.2264271</v>
          </cell>
          <cell r="AO80">
            <v>2.6053861942597917E-2</v>
          </cell>
          <cell r="AQ80">
            <v>5.6493116022757271E-2</v>
          </cell>
          <cell r="AS80">
            <v>4.7961777454480825E-2</v>
          </cell>
        </row>
        <row r="81">
          <cell r="C81">
            <v>6940958278.279232</v>
          </cell>
          <cell r="D81">
            <v>6575826312.1246338</v>
          </cell>
          <cell r="E81">
            <v>5991682151.5294657</v>
          </cell>
          <cell r="F81">
            <v>4778972823.5740232</v>
          </cell>
          <cell r="G81">
            <v>2926072674.7889905</v>
          </cell>
          <cell r="U81">
            <v>7930265995.7314701</v>
          </cell>
          <cell r="V81">
            <v>8452458688.4473152</v>
          </cell>
          <cell r="W81">
            <v>8945637523.7613754</v>
          </cell>
          <cell r="X81">
            <v>8897532080.8396664</v>
          </cell>
          <cell r="Y81">
            <v>8549592351.524725</v>
          </cell>
          <cell r="AO81">
            <v>2.6444343230436606E-2</v>
          </cell>
          <cell r="AQ81">
            <v>5.7406121697322336E-2</v>
          </cell>
          <cell r="AS81">
            <v>4.9404513363170262E-2</v>
          </cell>
        </row>
        <row r="82">
          <cell r="C82">
            <v>7647927851.3756952</v>
          </cell>
          <cell r="D82">
            <v>7241503535.9632521</v>
          </cell>
          <cell r="E82">
            <v>6463328150.0793982</v>
          </cell>
          <cell r="F82">
            <v>5052855409.5981817</v>
          </cell>
          <cell r="G82">
            <v>3093544342.10992</v>
          </cell>
          <cell r="U82">
            <v>8748648206.297451</v>
          </cell>
          <cell r="V82">
            <v>9327459675.7076073</v>
          </cell>
          <cell r="W82">
            <v>9763651671.1994305</v>
          </cell>
          <cell r="X82">
            <v>9618835630.2154884</v>
          </cell>
          <cell r="Y82">
            <v>9247448798.5205402</v>
          </cell>
          <cell r="AO82">
            <v>2.6785877965515233E-2</v>
          </cell>
          <cell r="AQ82">
            <v>5.9452747774363428E-2</v>
          </cell>
          <cell r="AS82">
            <v>5.0807952055071638E-2</v>
          </cell>
        </row>
        <row r="83">
          <cell r="C83">
            <v>8424168671.9032745</v>
          </cell>
          <cell r="D83">
            <v>7953605700.0737047</v>
          </cell>
          <cell r="E83">
            <v>6833439877.9371996</v>
          </cell>
          <cell r="F83">
            <v>5347327605.5107536</v>
          </cell>
          <cell r="G83">
            <v>3425934113.1159949</v>
          </cell>
          <cell r="U83">
            <v>9656267252.1808205</v>
          </cell>
          <cell r="V83">
            <v>10276680811.758385</v>
          </cell>
          <cell r="W83">
            <v>10555800753.705114</v>
          </cell>
          <cell r="X83">
            <v>10403660538.960917</v>
          </cell>
          <cell r="Y83">
            <v>10232324019.549957</v>
          </cell>
          <cell r="AO83">
            <v>2.7274596992565771E-2</v>
          </cell>
          <cell r="AQ83">
            <v>6.2877631885455518E-2</v>
          </cell>
          <cell r="AS83">
            <v>5.0807621523763419E-2</v>
          </cell>
        </row>
        <row r="84">
          <cell r="C84">
            <v>9269975652.879509</v>
          </cell>
          <cell r="D84">
            <v>8424740988.8249397</v>
          </cell>
          <cell r="E84">
            <v>7238567646.8300858</v>
          </cell>
          <cell r="F84">
            <v>5753684207.8067818</v>
          </cell>
          <cell r="G84">
            <v>3798770615.3747287</v>
          </cell>
          <cell r="U84">
            <v>10645476772.894943</v>
          </cell>
          <cell r="V84">
            <v>11131038617.348606</v>
          </cell>
          <cell r="W84">
            <v>11419171113.355078</v>
          </cell>
          <cell r="X84">
            <v>11336637365.394245</v>
          </cell>
          <cell r="Y84">
            <v>11314368417.60498</v>
          </cell>
          <cell r="AO84">
            <v>2.7738793543570433E-2</v>
          </cell>
          <cell r="AQ84">
            <v>6.6268250394952516E-2</v>
          </cell>
          <cell r="AS84">
            <v>5.0678106819387239E-2</v>
          </cell>
        </row>
        <row r="85">
          <cell r="C85">
            <v>10198241061.273621</v>
          </cell>
          <cell r="D85">
            <v>9173680776.2447281</v>
          </cell>
          <cell r="E85">
            <v>8001886821.3789015</v>
          </cell>
          <cell r="F85">
            <v>6689432003.2800741</v>
          </cell>
          <cell r="G85">
            <v>4181674513.3588104</v>
          </cell>
          <cell r="U85">
            <v>11738240249.066019</v>
          </cell>
          <cell r="V85">
            <v>12211301983.573387</v>
          </cell>
          <cell r="W85">
            <v>12604659480.215563</v>
          </cell>
          <cell r="X85">
            <v>12805883393.937199</v>
          </cell>
          <cell r="Y85">
            <v>12496080504.566559</v>
          </cell>
          <cell r="AO85">
            <v>2.8292869126122062E-2</v>
          </cell>
          <cell r="AQ85">
            <v>6.6923373449932905E-2</v>
          </cell>
          <cell r="AS85">
            <v>5.0924851572348953E-2</v>
          </cell>
        </row>
        <row r="86">
          <cell r="C86">
            <v>11235231617.29143</v>
          </cell>
          <cell r="D86">
            <v>10354935746.027962</v>
          </cell>
          <cell r="E86">
            <v>9415320335.2692032</v>
          </cell>
          <cell r="F86">
            <v>7506194640.1747665</v>
          </cell>
          <cell r="G86">
            <v>4686375575.9241495</v>
          </cell>
          <cell r="U86">
            <v>12948257553.325487</v>
          </cell>
          <cell r="V86">
            <v>13615666361.629898</v>
          </cell>
          <cell r="W86">
            <v>14331333091.653492</v>
          </cell>
          <cell r="X86">
            <v>14236316209.67329</v>
          </cell>
          <cell r="Y86">
            <v>13912336695.107517</v>
          </cell>
          <cell r="AO86">
            <v>2.8758224930904162E-2</v>
          </cell>
          <cell r="AQ86">
            <v>6.2992017324821237E-2</v>
          </cell>
          <cell r="AS86">
            <v>5.0822901757383708E-2</v>
          </cell>
        </row>
        <row r="87">
          <cell r="C87">
            <v>12363033629.060314</v>
          </cell>
          <cell r="D87">
            <v>11668147362.201326</v>
          </cell>
          <cell r="E87">
            <v>10240261532.04451</v>
          </cell>
          <cell r="F87">
            <v>8155940570.558773</v>
          </cell>
          <cell r="G87">
            <v>5312876334.1255732</v>
          </cell>
          <cell r="U87">
            <v>14268213679.476128</v>
          </cell>
          <cell r="V87">
            <v>15166189620.251823</v>
          </cell>
          <cell r="W87">
            <v>15698807713.148684</v>
          </cell>
          <cell r="X87">
            <v>15571250803.864662</v>
          </cell>
          <cell r="Y87">
            <v>15587772017.519945</v>
          </cell>
          <cell r="AO87">
            <v>2.9265734735189369E-2</v>
          </cell>
          <cell r="AQ87">
            <v>6.4490138618492829E-2</v>
          </cell>
          <cell r="AS87">
            <v>5.0379287319707797E-2</v>
          </cell>
        </row>
        <row r="88">
          <cell r="C88">
            <v>13586539494.790998</v>
          </cell>
          <cell r="D88">
            <v>12558477987.903839</v>
          </cell>
          <cell r="E88">
            <v>10952173382.053263</v>
          </cell>
          <cell r="F88">
            <v>8926965367.34482</v>
          </cell>
          <cell r="G88">
            <v>5837680996.7641077</v>
          </cell>
          <cell r="U88">
            <v>15703685919.866917</v>
          </cell>
          <cell r="V88">
            <v>16531784450.867287</v>
          </cell>
          <cell r="W88">
            <v>17043804575.727327</v>
          </cell>
          <cell r="X88">
            <v>17092623484.264158</v>
          </cell>
          <cell r="Y88">
            <v>17185424821.418098</v>
          </cell>
          <cell r="AO88">
            <v>2.9798531884688218E-2</v>
          </cell>
          <cell r="AQ88">
            <v>6.7160665731526029E-2</v>
          </cell>
          <cell r="AS88">
            <v>5.0841435951541447E-2</v>
          </cell>
        </row>
        <row r="89">
          <cell r="C89">
            <v>14916242189.905806</v>
          </cell>
          <cell r="D89">
            <v>13599532893.159948</v>
          </cell>
          <cell r="E89">
            <v>11982220657.83519</v>
          </cell>
          <cell r="F89">
            <v>10000523772.293301</v>
          </cell>
          <cell r="G89">
            <v>6403401323.7427034</v>
          </cell>
          <cell r="U89">
            <v>17276398760.069447</v>
          </cell>
          <cell r="V89">
            <v>18070798101.63583</v>
          </cell>
          <cell r="W89">
            <v>18711887151.908604</v>
          </cell>
          <cell r="X89">
            <v>18977048502.794441</v>
          </cell>
          <cell r="Y89">
            <v>19018417220.879242</v>
          </cell>
          <cell r="AO89">
            <v>3.0453900324906247E-2</v>
          </cell>
          <cell r="AQ89">
            <v>6.8236737971032496E-2</v>
          </cell>
          <cell r="AS89">
            <v>5.1863116915315387E-2</v>
          </cell>
        </row>
        <row r="90">
          <cell r="C90">
            <v>16355952879.786533</v>
          </cell>
          <cell r="D90">
            <v>15051649971.917519</v>
          </cell>
          <cell r="E90">
            <v>13621503413.18874</v>
          </cell>
          <cell r="F90">
            <v>11152276881.088924</v>
          </cell>
          <cell r="G90">
            <v>7015909694.2468529</v>
          </cell>
          <cell r="U90">
            <v>18996727799.2962</v>
          </cell>
          <cell r="V90">
            <v>19957592128.161602</v>
          </cell>
          <cell r="W90">
            <v>20947619712.900028</v>
          </cell>
          <cell r="X90">
            <v>21163546576.871231</v>
          </cell>
          <cell r="Y90">
            <v>21026141009.692307</v>
          </cell>
          <cell r="AO90">
            <v>3.1401903400870915E-2</v>
          </cell>
          <cell r="AQ90">
            <v>6.6494961445868556E-2</v>
          </cell>
          <cell r="AS90">
            <v>5.2927154624156557E-2</v>
          </cell>
        </row>
        <row r="91">
          <cell r="C91">
            <v>17911402500.295105</v>
          </cell>
          <cell r="D91">
            <v>16843994828.437712</v>
          </cell>
          <cell r="E91">
            <v>15105992004.921871</v>
          </cell>
          <cell r="F91">
            <v>12234855517.355261</v>
          </cell>
          <cell r="G91">
            <v>7404859791.5148001</v>
          </cell>
          <cell r="U91">
            <v>20864494297.923088</v>
          </cell>
          <cell r="V91">
            <v>22158940678.153839</v>
          </cell>
          <cell r="W91">
            <v>23259068846.904724</v>
          </cell>
          <cell r="X91">
            <v>23374494783.465637</v>
          </cell>
          <cell r="Y91">
            <v>22755509365.310608</v>
          </cell>
          <cell r="AO91">
            <v>3.2537767611314619E-2</v>
          </cell>
          <cell r="AQ91">
            <v>6.7244399390040357E-2</v>
          </cell>
          <cell r="AS91">
            <v>5.5036119062533105E-2</v>
          </cell>
        </row>
        <row r="92">
          <cell r="C92">
            <v>19597299597.978374</v>
          </cell>
          <cell r="D92">
            <v>18282514196.01096</v>
          </cell>
          <cell r="E92">
            <v>16209388172.897099</v>
          </cell>
          <cell r="F92">
            <v>12796528627.844</v>
          </cell>
          <cell r="G92">
            <v>7749732274.3730392</v>
          </cell>
          <cell r="U92">
            <v>22901660253.718895</v>
          </cell>
          <cell r="V92">
            <v>24276784646.758286</v>
          </cell>
          <cell r="W92">
            <v>25357465512.514149</v>
          </cell>
          <cell r="X92">
            <v>25144230835.632401</v>
          </cell>
          <cell r="Y92">
            <v>24488173450.187126</v>
          </cell>
          <cell r="AO92">
            <v>3.3895065263256578E-2</v>
          </cell>
          <cell r="AQ92">
            <v>7.0307650654823098E-2</v>
          </cell>
          <cell r="AS92">
            <v>5.7403139818037699E-2</v>
          </cell>
        </row>
        <row r="93">
          <cell r="C93">
            <v>21415201835.341198</v>
          </cell>
          <cell r="D93">
            <v>19775534669.683346</v>
          </cell>
          <cell r="E93">
            <v>17281368802.710266</v>
          </cell>
          <cell r="F93">
            <v>13406965301.561148</v>
          </cell>
          <cell r="G93">
            <v>8148468312.5379858</v>
          </cell>
          <cell r="U93">
            <v>25133598646.520725</v>
          </cell>
          <cell r="V93">
            <v>26586532875.703896</v>
          </cell>
          <cell r="W93">
            <v>27559226329.37944</v>
          </cell>
          <cell r="X93">
            <v>27076988095.470776</v>
          </cell>
          <cell r="Y93">
            <v>26420575756.41692</v>
          </cell>
          <cell r="AO93">
            <v>3.564042197058466E-2</v>
          </cell>
          <cell r="AQ93">
            <v>7.4049928109053614E-2</v>
          </cell>
          <cell r="AS93">
            <v>5.9727776410025198E-2</v>
          </cell>
        </row>
        <row r="94">
          <cell r="C94">
            <v>23382451866.725731</v>
          </cell>
          <cell r="D94">
            <v>21434259602.490963</v>
          </cell>
          <cell r="E94">
            <v>18209954827.628719</v>
          </cell>
          <cell r="F94">
            <v>14161612395.723574</v>
          </cell>
          <cell r="G94">
            <v>10242259012.88805</v>
          </cell>
          <cell r="U94">
            <v>27662267531.085003</v>
          </cell>
          <cell r="V94">
            <v>29161990608.350605</v>
          </cell>
          <cell r="W94">
            <v>29789508425.04105</v>
          </cell>
          <cell r="X94">
            <v>29308831389.308121</v>
          </cell>
          <cell r="Y94">
            <v>29048151822.645691</v>
          </cell>
          <cell r="AO94">
            <v>3.8404805845883593E-2</v>
          </cell>
          <cell r="AQ94">
            <v>7.9027493324055051E-2</v>
          </cell>
          <cell r="AS94">
            <v>4.8257735353778496E-2</v>
          </cell>
        </row>
        <row r="95">
          <cell r="C95">
            <v>25493719141.751553</v>
          </cell>
          <cell r="D95">
            <v>22670493278.87392</v>
          </cell>
          <cell r="E95">
            <v>19277117458.39185</v>
          </cell>
          <cell r="F95">
            <v>15679617176.37207</v>
          </cell>
          <cell r="G95">
            <v>16612764725.315279</v>
          </cell>
          <cell r="U95">
            <v>30409284853.926888</v>
          </cell>
          <cell r="V95">
            <v>31592883889.258926</v>
          </cell>
          <cell r="W95">
            <v>32288331712.611805</v>
          </cell>
          <cell r="X95">
            <v>32067386672.71756</v>
          </cell>
          <cell r="Y95">
            <v>33443562937.616127</v>
          </cell>
          <cell r="AO95">
            <v>4.1493705471305674E-2</v>
          </cell>
          <cell r="AQ95">
            <v>8.3917118028346949E-2</v>
          </cell>
          <cell r="AS95">
            <v>2.6123629728157408E-2</v>
          </cell>
        </row>
        <row r="96">
          <cell r="C96">
            <v>27855034240.612518</v>
          </cell>
          <cell r="D96">
            <v>24776342489.037254</v>
          </cell>
          <cell r="E96">
            <v>23267655554.371319</v>
          </cell>
          <cell r="F96">
            <v>24411098751.758095</v>
          </cell>
          <cell r="G96">
            <v>26656048906.71991</v>
          </cell>
          <cell r="U96">
            <v>33583448706.266621</v>
          </cell>
          <cell r="V96">
            <v>34927868183.836884</v>
          </cell>
          <cell r="W96">
            <v>36864619479.352425</v>
          </cell>
          <cell r="X96">
            <v>38911478668.090027</v>
          </cell>
          <cell r="Y96">
            <v>41073032709.866478</v>
          </cell>
          <cell r="AO96">
            <v>4.5621826212697641E-2</v>
          </cell>
          <cell r="AQ96">
            <v>8.3714978725353245E-2</v>
          </cell>
          <cell r="AS96">
            <v>1.6324980311232525E-2</v>
          </cell>
        </row>
        <row r="97">
          <cell r="C97">
            <v>30381491362.115376</v>
          </cell>
          <cell r="D97">
            <v>30684699402.291676</v>
          </cell>
          <cell r="E97">
            <v>31821528378.092758</v>
          </cell>
          <cell r="F97">
            <v>33997396502.851154</v>
          </cell>
          <cell r="G97">
            <v>37850158578.121101</v>
          </cell>
          <cell r="U97">
            <v>37053785885.365364</v>
          </cell>
          <cell r="V97">
            <v>40374427889.020935</v>
          </cell>
          <cell r="W97">
            <v>44373823951.452194</v>
          </cell>
          <cell r="X97">
            <v>48226537272.650398</v>
          </cell>
          <cell r="Y97">
            <v>49466849161.948975</v>
          </cell>
          <cell r="AO97">
            <v>5.0338574352446971E-2</v>
          </cell>
          <cell r="AQ97">
            <v>7.4822871773136512E-2</v>
          </cell>
          <cell r="AS97">
            <v>1.0625434283285325E-2</v>
          </cell>
        </row>
        <row r="98">
          <cell r="C98">
            <v>32267235969.319099</v>
          </cell>
          <cell r="D98">
            <v>32794112793.44669</v>
          </cell>
          <cell r="E98">
            <v>34227324215.961288</v>
          </cell>
          <cell r="F98">
            <v>36649714560.953094</v>
          </cell>
          <cell r="G98">
            <v>40833669761.041565</v>
          </cell>
          <cell r="U98">
            <v>39206205033.132614</v>
          </cell>
          <cell r="V98">
            <v>42871611091.741982</v>
          </cell>
          <cell r="W98">
            <v>47642027177.43483</v>
          </cell>
          <cell r="X98">
            <v>51460019986.51725</v>
          </cell>
          <cell r="Y98">
            <v>52396224471.632111</v>
          </cell>
          <cell r="AO98">
            <v>5.008291902626049E-2</v>
          </cell>
          <cell r="AQ98">
            <v>7.6403438590416997E-2</v>
          </cell>
          <cell r="AS98">
            <v>8.6513781115885573E-3</v>
          </cell>
        </row>
        <row r="99">
          <cell r="C99">
            <v>34269232251.965206</v>
          </cell>
          <cell r="D99">
            <v>34942044348.439705</v>
          </cell>
          <cell r="E99">
            <v>36580443528.884521</v>
          </cell>
          <cell r="F99">
            <v>39289031641.56263</v>
          </cell>
          <cell r="G99">
            <v>43827545077.374374</v>
          </cell>
          <cell r="U99">
            <v>41543414947.720276</v>
          </cell>
          <cell r="V99">
            <v>45857200422.141747</v>
          </cell>
          <cell r="W99">
            <v>50922201252.745224</v>
          </cell>
          <cell r="X99">
            <v>54742650861.505714</v>
          </cell>
          <cell r="Y99">
            <v>55392820041.634918</v>
          </cell>
          <cell r="AO99">
            <v>5.0293313292687894E-2</v>
          </cell>
          <cell r="AQ99">
            <v>7.8187925584402324E-2</v>
          </cell>
          <cell r="AS99">
            <v>7.3160748443290976E-3</v>
          </cell>
        </row>
        <row r="100">
          <cell r="C100">
            <v>36420246324.166092</v>
          </cell>
          <cell r="D100">
            <v>37282374807.008507</v>
          </cell>
          <cell r="E100">
            <v>39123001454.111893</v>
          </cell>
          <cell r="F100">
            <v>42088033788.115059</v>
          </cell>
          <cell r="G100">
            <v>47037614424.023598</v>
          </cell>
          <cell r="U100">
            <v>44392480914.730667</v>
          </cell>
          <cell r="V100">
            <v>49087449801.869247</v>
          </cell>
          <cell r="W100">
            <v>54453721075.918777</v>
          </cell>
          <cell r="X100">
            <v>58234391520.884697</v>
          </cell>
          <cell r="Y100">
            <v>58602067805.330376</v>
          </cell>
          <cell r="AO100">
            <v>5.2759119170878568E-2</v>
          </cell>
          <cell r="AQ100">
            <v>8.0141607782021576E-2</v>
          </cell>
          <cell r="AS100">
            <v>6.3366214086885897E-3</v>
          </cell>
        </row>
        <row r="101">
          <cell r="C101">
            <v>38731985130.552322</v>
          </cell>
          <cell r="D101">
            <v>39747198823.836586</v>
          </cell>
          <cell r="E101">
            <v>41848777321.25</v>
          </cell>
          <cell r="F101">
            <v>45104808071.691238</v>
          </cell>
          <cell r="G101">
            <v>50509029620.752953</v>
          </cell>
          <cell r="U101">
            <v>47449897989.883942</v>
          </cell>
          <cell r="V101">
            <v>52511682183.122353</v>
          </cell>
          <cell r="W101">
            <v>58236673162.413101</v>
          </cell>
          <cell r="X101">
            <v>61986880444.825813</v>
          </cell>
          <cell r="Y101">
            <v>62056566091.02124</v>
          </cell>
          <cell r="AO101">
            <v>5.533230224361961E-2</v>
          </cell>
          <cell r="AQ101">
            <v>8.2276213782983304E-2</v>
          </cell>
          <cell r="AS101">
            <v>5.5821635428751635E-3</v>
          </cell>
        </row>
        <row r="102">
          <cell r="C102">
            <v>41217068456.957687</v>
          </cell>
          <cell r="D102">
            <v>42452244366.074104</v>
          </cell>
          <cell r="E102">
            <v>44762631950.137978</v>
          </cell>
          <cell r="F102">
            <v>48339034382.031723</v>
          </cell>
          <cell r="G102">
            <v>54217026958.60305</v>
          </cell>
          <cell r="U102">
            <v>50731324202.762177</v>
          </cell>
          <cell r="V102">
            <v>56232022785.477516</v>
          </cell>
          <cell r="W102">
            <v>62281590768.20755</v>
          </cell>
          <cell r="X102">
            <v>66006049095.459953</v>
          </cell>
          <cell r="Y102">
            <v>65748160883.558411</v>
          </cell>
          <cell r="AO102">
            <v>5.8019206471114283E-2</v>
          </cell>
          <cell r="AQ102">
            <v>8.4599092534529227E-2</v>
          </cell>
          <cell r="AS102">
            <v>4.987181220584452E-3</v>
          </cell>
        </row>
        <row r="103">
          <cell r="C103">
            <v>43889099658.46241</v>
          </cell>
          <cell r="D103">
            <v>45281573352.679291</v>
          </cell>
          <cell r="E103">
            <v>47903658603.064438</v>
          </cell>
          <cell r="F103">
            <v>51806224125.588837</v>
          </cell>
          <cell r="G103">
            <v>58181785330.717209</v>
          </cell>
          <cell r="U103">
            <v>54253591938.813484</v>
          </cell>
          <cell r="V103">
            <v>60160038724.911484</v>
          </cell>
          <cell r="W103">
            <v>66629447350.36412</v>
          </cell>
          <cell r="X103">
            <v>70310755449.872345</v>
          </cell>
          <cell r="Y103">
            <v>69695740284.406677</v>
          </cell>
          <cell r="AO103">
            <v>6.0826385643046529E-2</v>
          </cell>
          <cell r="AQ103">
            <v>8.7100289596941952E-2</v>
          </cell>
          <cell r="AS103">
            <v>4.5055860426304536E-3</v>
          </cell>
        </row>
        <row r="104">
          <cell r="C104">
            <v>46762741837.791245</v>
          </cell>
          <cell r="D104">
            <v>48409308736.986885</v>
          </cell>
          <cell r="E104">
            <v>51266647614.400536</v>
          </cell>
          <cell r="F104">
            <v>55582142350.643906</v>
          </cell>
          <cell r="G104">
            <v>62519079757.259811</v>
          </cell>
          <cell r="U104">
            <v>58034795853.283051</v>
          </cell>
          <cell r="V104">
            <v>64445426108.971519</v>
          </cell>
          <cell r="W104">
            <v>71282907954.683548</v>
          </cell>
          <cell r="X104">
            <v>74966720296.568909</v>
          </cell>
          <cell r="Y104">
            <v>73973877197.892014</v>
          </cell>
          <cell r="AO104">
            <v>6.3760632686657506E-2</v>
          </cell>
          <cell r="AQ104">
            <v>8.9796148638231529E-2</v>
          </cell>
          <cell r="AS104">
            <v>4.0959728972928692E-3</v>
          </cell>
        </row>
        <row r="105">
          <cell r="C105">
            <v>49853799892.099182</v>
          </cell>
          <cell r="D105">
            <v>51681390524.091705</v>
          </cell>
          <cell r="E105">
            <v>54877106093.437035</v>
          </cell>
          <cell r="F105">
            <v>59587697677.98288</v>
          </cell>
          <cell r="G105">
            <v>67161748771.638771</v>
          </cell>
          <cell r="U105">
            <v>62094387355.307388</v>
          </cell>
          <cell r="V105">
            <v>68971091963.113922</v>
          </cell>
          <cell r="W105">
            <v>76271956722.348541</v>
          </cell>
          <cell r="X105">
            <v>79920940605.093323</v>
          </cell>
          <cell r="Y105">
            <v>78551709925.503128</v>
          </cell>
          <cell r="AO105">
            <v>6.6829007071146612E-2</v>
          </cell>
          <cell r="AQ105">
            <v>9.268726880795547E-2</v>
          </cell>
          <cell r="AS105">
            <v>3.7505532579379663E-3</v>
          </cell>
        </row>
      </sheetData>
      <sheetData sheetId="14" refreshError="1"/>
      <sheetData sheetId="15" refreshError="1"/>
      <sheetData sheetId="16" refreshError="1"/>
      <sheetData sheetId="17">
        <row r="6">
          <cell r="C6">
            <v>8031.0074171040887</v>
          </cell>
          <cell r="D6">
            <v>6819.7512737812604</v>
          </cell>
          <cell r="E6">
            <v>5533.8880895308084</v>
          </cell>
          <cell r="F6">
            <v>4157.5342560439676</v>
          </cell>
          <cell r="G6">
            <v>2667.4307145293515</v>
          </cell>
          <cell r="AB6">
            <v>11457.023451816347</v>
          </cell>
          <cell r="AC6">
            <v>12561.48298123707</v>
          </cell>
          <cell r="AD6">
            <v>15667.326502607499</v>
          </cell>
          <cell r="AE6">
            <v>17870.920974410554</v>
          </cell>
          <cell r="AF6">
            <v>20135.190972930166</v>
          </cell>
          <cell r="AR6">
            <v>0.10521361595969347</v>
          </cell>
          <cell r="AT6">
            <v>0.2461998066114659</v>
          </cell>
          <cell r="AV6">
            <v>0.19291548529007269</v>
          </cell>
        </row>
        <row r="7">
          <cell r="C7">
            <v>16617.715769440259</v>
          </cell>
          <cell r="D7">
            <v>14179.847583721816</v>
          </cell>
          <cell r="E7">
            <v>11562.756794270404</v>
          </cell>
          <cell r="F7">
            <v>8723.673115984795</v>
          </cell>
          <cell r="G7">
            <v>5598.7485996654768</v>
          </cell>
          <cell r="AB7">
            <v>3788.557392501476</v>
          </cell>
          <cell r="AC7">
            <v>4183.2037652796353</v>
          </cell>
          <cell r="AD7">
            <v>5245.5210667239262</v>
          </cell>
          <cell r="AE7">
            <v>6021.5520574405055</v>
          </cell>
          <cell r="AF7">
            <v>6850.9830567729841</v>
          </cell>
          <cell r="AR7">
            <v>-1.8237329490117221E-2</v>
          </cell>
          <cell r="AT7">
            <v>0.10851207126715952</v>
          </cell>
          <cell r="AV7">
            <v>0.11010933561509428</v>
          </cell>
        </row>
        <row r="8">
          <cell r="C8">
            <v>25918.912647694066</v>
          </cell>
          <cell r="D8">
            <v>22257.034229220466</v>
          </cell>
          <cell r="E8">
            <v>18267.765328309517</v>
          </cell>
          <cell r="F8">
            <v>13918.573273340015</v>
          </cell>
          <cell r="G8">
            <v>9051.5289507398138</v>
          </cell>
          <cell r="AB8">
            <v>3197.1891492471277</v>
          </cell>
          <cell r="AC8">
            <v>3826.7922042726823</v>
          </cell>
          <cell r="AD8">
            <v>5228.5404598034147</v>
          </cell>
          <cell r="AE8">
            <v>6519.1867352496338</v>
          </cell>
          <cell r="AF8">
            <v>7972.1146809783459</v>
          </cell>
          <cell r="AR8">
            <v>-6.6549978539721749E-2</v>
          </cell>
          <cell r="AT8">
            <v>5.8861036583221844E-2</v>
          </cell>
          <cell r="AV8">
            <v>8.3374505888072728E-2</v>
          </cell>
        </row>
        <row r="9">
          <cell r="C9">
            <v>36049.752009385033</v>
          </cell>
          <cell r="D9">
            <v>31149.321362141363</v>
          </cell>
          <cell r="E9">
            <v>25731.239889726345</v>
          </cell>
          <cell r="F9">
            <v>19747.030071974237</v>
          </cell>
          <cell r="G9">
            <v>12936.666253342215</v>
          </cell>
          <cell r="AB9">
            <v>4994.5779397106453</v>
          </cell>
          <cell r="AC9">
            <v>5925.6173120206222</v>
          </cell>
          <cell r="AD9">
            <v>8009.381645359681</v>
          </cell>
          <cell r="AE9">
            <v>9938.3483848670257</v>
          </cell>
          <cell r="AF9">
            <v>12136.345392079857</v>
          </cell>
          <cell r="AR9">
            <v>-8.0528459803025698E-2</v>
          </cell>
          <cell r="AT9">
            <v>4.469724494447587E-2</v>
          </cell>
          <cell r="AV9">
            <v>7.6037861086301464E-2</v>
          </cell>
        </row>
        <row r="10">
          <cell r="C10">
            <v>46862.00609457754</v>
          </cell>
          <cell r="D10">
            <v>40569.607200476516</v>
          </cell>
          <cell r="E10">
            <v>33614.859352184845</v>
          </cell>
          <cell r="F10">
            <v>25874.462037871202</v>
          </cell>
          <cell r="G10">
            <v>17070.870963141209</v>
          </cell>
          <cell r="AB10">
            <v>6211.0117322691403</v>
          </cell>
          <cell r="AC10">
            <v>7079.2678830460354</v>
          </cell>
          <cell r="AD10">
            <v>9182.0034534405422</v>
          </cell>
          <cell r="AE10">
            <v>10923.584157793375</v>
          </cell>
          <cell r="AF10">
            <v>12922.132233029042</v>
          </cell>
          <cell r="AR10">
            <v>-8.3832563291433168E-2</v>
          </cell>
          <cell r="AT10">
            <v>3.8952889162516879E-2</v>
          </cell>
          <cell r="AV10">
            <v>7.1488743820808553E-2</v>
          </cell>
        </row>
        <row r="11">
          <cell r="C11">
            <v>58349.409812236896</v>
          </cell>
          <cell r="D11">
            <v>50695.631511543426</v>
          </cell>
          <cell r="E11">
            <v>42065.299791197867</v>
          </cell>
          <cell r="F11">
            <v>32670.524711830054</v>
          </cell>
          <cell r="G11">
            <v>21605.775635026515</v>
          </cell>
          <cell r="AB11">
            <v>6311.8529192751121</v>
          </cell>
          <cell r="AC11">
            <v>7220.7848215226404</v>
          </cell>
          <cell r="AD11">
            <v>9397.5216412929803</v>
          </cell>
          <cell r="AE11">
            <v>11451.7949482029</v>
          </cell>
          <cell r="AF11">
            <v>13714.436127627225</v>
          </cell>
          <cell r="AR11">
            <v>-8.6371851497771102E-2</v>
          </cell>
          <cell r="AT11">
            <v>3.3826936875569293E-2</v>
          </cell>
          <cell r="AV11">
            <v>6.7173574349823045E-2</v>
          </cell>
        </row>
        <row r="12">
          <cell r="C12">
            <v>70889.895430298173</v>
          </cell>
          <cell r="D12">
            <v>61930.626928252321</v>
          </cell>
          <cell r="E12">
            <v>51603.249427096642</v>
          </cell>
          <cell r="F12">
            <v>40068.075980128306</v>
          </cell>
          <cell r="G12">
            <v>26471.580429059635</v>
          </cell>
          <cell r="AB12">
            <v>6475.3267160118703</v>
          </cell>
          <cell r="AC12">
            <v>7499.358264721559</v>
          </cell>
          <cell r="AD12">
            <v>9890.6002713501293</v>
          </cell>
          <cell r="AE12">
            <v>11957.906591742918</v>
          </cell>
          <cell r="AF12">
            <v>14352.36106014227</v>
          </cell>
          <cell r="AR12">
            <v>-8.9206453376068251E-2</v>
          </cell>
          <cell r="AT12">
            <v>2.8377676626425243E-2</v>
          </cell>
          <cell r="AV12">
            <v>6.338950348285706E-2</v>
          </cell>
        </row>
        <row r="13">
          <cell r="C13">
            <v>84410.720334146594</v>
          </cell>
          <cell r="D13">
            <v>73760.346555168653</v>
          </cell>
          <cell r="E13">
            <v>61549.57519985798</v>
          </cell>
          <cell r="F13">
            <v>47858.673297241417</v>
          </cell>
          <cell r="G13">
            <v>31516.887513938265</v>
          </cell>
          <cell r="AB13">
            <v>6677.2499331108193</v>
          </cell>
          <cell r="AC13">
            <v>7629.2224037882479</v>
          </cell>
          <cell r="AD13">
            <v>10036.841592986828</v>
          </cell>
          <cell r="AE13">
            <v>12068.513459502094</v>
          </cell>
          <cell r="AF13">
            <v>14613.674504296665</v>
          </cell>
          <cell r="AR13">
            <v>-9.1670452048556145E-2</v>
          </cell>
          <cell r="AT13">
            <v>2.3998276134207224E-2</v>
          </cell>
          <cell r="AV13">
            <v>6.072493696139105E-2</v>
          </cell>
        </row>
        <row r="14">
          <cell r="C14">
            <v>98818.887560904899</v>
          </cell>
          <cell r="D14">
            <v>86469.99926201941</v>
          </cell>
          <cell r="E14">
            <v>71836.493598954185</v>
          </cell>
          <cell r="F14">
            <v>55417.897403819072</v>
          </cell>
          <cell r="G14">
            <v>36373.496201300746</v>
          </cell>
          <cell r="AB14">
            <v>6956.6099015696018</v>
          </cell>
          <cell r="AC14">
            <v>8021.2087381398451</v>
          </cell>
          <cell r="AD14">
            <v>10989.399794160883</v>
          </cell>
          <cell r="AE14">
            <v>13819.951099499332</v>
          </cell>
          <cell r="AF14">
            <v>16735.290660181927</v>
          </cell>
          <cell r="AR14">
            <v>-9.3361344428389392E-2</v>
          </cell>
          <cell r="AT14">
            <v>2.1680596381934914E-2</v>
          </cell>
          <cell r="AV14">
            <v>6.0645597192743844E-2</v>
          </cell>
        </row>
        <row r="15">
          <cell r="C15">
            <v>114346.34592958055</v>
          </cell>
          <cell r="D15">
            <v>99422.085271136515</v>
          </cell>
          <cell r="E15">
            <v>82465.473032498427</v>
          </cell>
          <cell r="F15">
            <v>63993.061867513854</v>
          </cell>
          <cell r="G15">
            <v>42672.177563470352</v>
          </cell>
          <cell r="AB15">
            <v>8480.4846616830109</v>
          </cell>
          <cell r="AC15">
            <v>10192.403204031987</v>
          </cell>
          <cell r="AD15">
            <v>13489.997051748403</v>
          </cell>
          <cell r="AE15">
            <v>16472.67443010796</v>
          </cell>
          <cell r="AF15">
            <v>20718.477662809993</v>
          </cell>
          <cell r="AR15">
            <v>-9.271448792514099E-2</v>
          </cell>
          <cell r="AT15">
            <v>2.2567805952981159E-2</v>
          </cell>
          <cell r="AV15">
            <v>5.9124383646454559E-2</v>
          </cell>
        </row>
        <row r="16">
          <cell r="C16">
            <v>130532.00639848728</v>
          </cell>
          <cell r="D16">
            <v>114552.73993959623</v>
          </cell>
          <cell r="E16">
            <v>96252.407461692739</v>
          </cell>
          <cell r="F16">
            <v>75270.075125326752</v>
          </cell>
          <cell r="G16">
            <v>50031.731007333146</v>
          </cell>
          <cell r="AB16">
            <v>10259.959395648264</v>
          </cell>
          <cell r="AC16">
            <v>11972.953884704388</v>
          </cell>
          <cell r="AD16">
            <v>16205.24076323965</v>
          </cell>
          <cell r="AE16">
            <v>20087.29469085946</v>
          </cell>
          <cell r="AF16">
            <v>29817.208367164829</v>
          </cell>
          <cell r="AR16">
            <v>-9.3230940602395937E-2</v>
          </cell>
          <cell r="AT16">
            <v>2.1749303928541512E-2</v>
          </cell>
          <cell r="AV16">
            <v>5.9372909370464626E-2</v>
          </cell>
        </row>
        <row r="17">
          <cell r="C17">
            <v>148175.0142685039</v>
          </cell>
          <cell r="D17">
            <v>130427.07037924256</v>
          </cell>
          <cell r="E17">
            <v>109845.26744650803</v>
          </cell>
          <cell r="F17">
            <v>86153.87908637822</v>
          </cell>
          <cell r="G17">
            <v>57205.435097963535</v>
          </cell>
          <cell r="AB17">
            <v>9364.5767960686499</v>
          </cell>
          <cell r="AC17">
            <v>10854.254383914711</v>
          </cell>
          <cell r="AD17">
            <v>17175.060659318755</v>
          </cell>
          <cell r="AE17">
            <v>25901.238337227172</v>
          </cell>
          <cell r="AF17">
            <v>32278.905096665228</v>
          </cell>
          <cell r="AR17">
            <v>-9.5973910781994451E-2</v>
          </cell>
          <cell r="AT17">
            <v>2.2277517021290827E-2</v>
          </cell>
          <cell r="AV17">
            <v>6.1078627694236824E-2</v>
          </cell>
        </row>
        <row r="18">
          <cell r="C18">
            <v>167487.45251528342</v>
          </cell>
          <cell r="D18">
            <v>147854.92779539851</v>
          </cell>
          <cell r="E18">
            <v>124447.37817869334</v>
          </cell>
          <cell r="F18">
            <v>97821.809008011725</v>
          </cell>
          <cell r="G18">
            <v>65480.732515260068</v>
          </cell>
          <cell r="AB18">
            <v>10964.822820237285</v>
          </cell>
          <cell r="AC18">
            <v>15775.637261129727</v>
          </cell>
          <cell r="AD18">
            <v>21977.165331479831</v>
          </cell>
          <cell r="AE18">
            <v>29816.848634825146</v>
          </cell>
          <cell r="AF18">
            <v>40665.987158551463</v>
          </cell>
          <cell r="AR18">
            <v>-9.749762291920186E-2</v>
          </cell>
          <cell r="AT18">
            <v>2.5484802111606877E-2</v>
          </cell>
          <cell r="AV18">
            <v>6.3739013298600461E-2</v>
          </cell>
        </row>
        <row r="19">
          <cell r="C19">
            <v>188318.5973301981</v>
          </cell>
          <cell r="D19">
            <v>165760.16759660299</v>
          </cell>
          <cell r="E19">
            <v>139910.38494479004</v>
          </cell>
          <cell r="F19">
            <v>110279.15220845418</v>
          </cell>
          <cell r="G19">
            <v>73642.606447786544</v>
          </cell>
          <cell r="AB19">
            <v>14835.799994131477</v>
          </cell>
          <cell r="AC19">
            <v>17266.417176182993</v>
          </cell>
          <cell r="AD19">
            <v>26057.529031777056</v>
          </cell>
          <cell r="AE19">
            <v>32711.850194554805</v>
          </cell>
          <cell r="AF19">
            <v>55311.987968789967</v>
          </cell>
          <cell r="AR19">
            <v>-9.5517814850115762E-2</v>
          </cell>
          <cell r="AT19">
            <v>3.1060799271981805E-2</v>
          </cell>
          <cell r="AV19">
            <v>6.9820837353333415E-2</v>
          </cell>
        </row>
        <row r="20">
          <cell r="C20">
            <v>210618.74795715528</v>
          </cell>
          <cell r="D20">
            <v>186214.72366817377</v>
          </cell>
          <cell r="E20">
            <v>157290.56282364504</v>
          </cell>
          <cell r="F20">
            <v>124364.69315617879</v>
          </cell>
          <cell r="G20">
            <v>83618.196327446683</v>
          </cell>
          <cell r="AB20">
            <v>17381.519496981462</v>
          </cell>
          <cell r="AC20">
            <v>22292.629262934235</v>
          </cell>
          <cell r="AD20">
            <v>31828.040588578151</v>
          </cell>
          <cell r="AE20">
            <v>58593.747665616393</v>
          </cell>
          <cell r="AF20">
            <v>77190.834430292889</v>
          </cell>
          <cell r="AR20">
            <v>-9.2161560584689398E-2</v>
          </cell>
          <cell r="AT20">
            <v>3.783860389029077E-2</v>
          </cell>
          <cell r="AV20">
            <v>7.7709805627558928E-2</v>
          </cell>
        </row>
        <row r="21">
          <cell r="C21">
            <v>235001.79331082231</v>
          </cell>
          <cell r="D21">
            <v>208056.73888823373</v>
          </cell>
          <cell r="E21">
            <v>175910.1534324961</v>
          </cell>
          <cell r="F21">
            <v>139847.45435627346</v>
          </cell>
          <cell r="G21">
            <v>94221.997161757274</v>
          </cell>
          <cell r="AB21">
            <v>20086.240961369986</v>
          </cell>
          <cell r="AC21">
            <v>29711.61675928405</v>
          </cell>
          <cell r="AD21">
            <v>53039.222866893222</v>
          </cell>
          <cell r="AE21">
            <v>69877.413543479808</v>
          </cell>
          <cell r="AF21">
            <v>102633.40285404399</v>
          </cell>
          <cell r="AR21">
            <v>-8.8195334468811962E-2</v>
          </cell>
          <cell r="AT21">
            <v>5.4465614952213671E-2</v>
          </cell>
          <cell r="AV21">
            <v>8.8121967021553102E-2</v>
          </cell>
        </row>
        <row r="22">
          <cell r="C22">
            <v>261049.98207611259</v>
          </cell>
          <cell r="D22">
            <v>230348.10493588669</v>
          </cell>
          <cell r="E22">
            <v>194740.61505510117</v>
          </cell>
          <cell r="F22">
            <v>155074.79163170795</v>
          </cell>
          <cell r="G22">
            <v>104472.50969112087</v>
          </cell>
          <cell r="AB22">
            <v>31004.921410441224</v>
          </cell>
          <cell r="AC22">
            <v>39868.96290283819</v>
          </cell>
          <cell r="AD22">
            <v>55876.992139050912</v>
          </cell>
          <cell r="AE22">
            <v>78759.09861485596</v>
          </cell>
          <cell r="AF22">
            <v>86711.459512451896</v>
          </cell>
          <cell r="AR22">
            <v>-7.7469914694970304E-2</v>
          </cell>
          <cell r="AT22">
            <v>6.9725522125047498E-2</v>
          </cell>
          <cell r="AV22">
            <v>9.4484316652721806E-2</v>
          </cell>
        </row>
        <row r="23">
          <cell r="C23">
            <v>289163.24435286358</v>
          </cell>
          <cell r="D23">
            <v>256145.81068844494</v>
          </cell>
          <cell r="E23">
            <v>216782.16943366444</v>
          </cell>
          <cell r="F23">
            <v>172736.49476849259</v>
          </cell>
          <cell r="G23">
            <v>117912.75160283979</v>
          </cell>
          <cell r="AB23">
            <v>37904.104012631753</v>
          </cell>
          <cell r="AC23">
            <v>50850.562209677155</v>
          </cell>
          <cell r="AD23">
            <v>76400.715290896129</v>
          </cell>
          <cell r="AE23">
            <v>89325.387852169923</v>
          </cell>
          <cell r="AF23">
            <v>97204.657832185505</v>
          </cell>
          <cell r="AR23">
            <v>-6.4898994449310382E-2</v>
          </cell>
          <cell r="AT23">
            <v>8.964612428953174E-2</v>
          </cell>
          <cell r="AV23">
            <v>9.842764466609466E-2</v>
          </cell>
        </row>
        <row r="24">
          <cell r="C24">
            <v>320284.98255210597</v>
          </cell>
          <cell r="D24">
            <v>283615.90335465531</v>
          </cell>
          <cell r="E24">
            <v>240046.33680237658</v>
          </cell>
          <cell r="F24">
            <v>193064.62747086512</v>
          </cell>
          <cell r="G24">
            <v>131558.77543195014</v>
          </cell>
          <cell r="AB24">
            <v>48673.308844697312</v>
          </cell>
          <cell r="AC24">
            <v>59927.536763796466</v>
          </cell>
          <cell r="AD24">
            <v>74945.658915229258</v>
          </cell>
          <cell r="AE24">
            <v>84057.187295611016</v>
          </cell>
          <cell r="AF24">
            <v>107370.78744633356</v>
          </cell>
          <cell r="AR24">
            <v>-4.9503896482483711E-2</v>
          </cell>
          <cell r="AT24">
            <v>0.10473570542498055</v>
          </cell>
          <cell r="AV24">
            <v>0.10261502077212356</v>
          </cell>
        </row>
        <row r="25">
          <cell r="C25">
            <v>353795.76446618239</v>
          </cell>
          <cell r="D25">
            <v>312511.62172816461</v>
          </cell>
          <cell r="E25">
            <v>264964.79344471346</v>
          </cell>
          <cell r="F25">
            <v>213161.75072093413</v>
          </cell>
          <cell r="G25">
            <v>145790.41295912425</v>
          </cell>
          <cell r="AB25">
            <v>54690.505395497195</v>
          </cell>
          <cell r="AC25">
            <v>57149.18817800231</v>
          </cell>
          <cell r="AD25">
            <v>70251.242681314936</v>
          </cell>
          <cell r="AE25">
            <v>90513.353312949068</v>
          </cell>
          <cell r="AF25">
            <v>110671.80764365068</v>
          </cell>
          <cell r="AR25">
            <v>-3.4527501832294603E-2</v>
          </cell>
          <cell r="AT25">
            <v>0.11459301455041344</v>
          </cell>
          <cell r="AV25">
            <v>0.1072702806042128</v>
          </cell>
        </row>
        <row r="26">
          <cell r="C26">
            <v>389646.47098070453</v>
          </cell>
          <cell r="D26">
            <v>345437.34589236404</v>
          </cell>
          <cell r="E26">
            <v>292030.87861218001</v>
          </cell>
          <cell r="F26">
            <v>234070.98695452156</v>
          </cell>
          <cell r="G26">
            <v>162530.84665321448</v>
          </cell>
          <cell r="AB26">
            <v>51418.671663104091</v>
          </cell>
          <cell r="AC26">
            <v>58547.525311010075</v>
          </cell>
          <cell r="AD26">
            <v>82611.960905464599</v>
          </cell>
          <cell r="AE26">
            <v>107350.72875757935</v>
          </cell>
          <cell r="AF26">
            <v>132761.90601454955</v>
          </cell>
          <cell r="AR26">
            <v>-2.4541803284410458E-2</v>
          </cell>
          <cell r="AT26">
            <v>0.12584936861713952</v>
          </cell>
          <cell r="AV26">
            <v>0.1115303467023054</v>
          </cell>
        </row>
        <row r="27">
          <cell r="C27">
            <v>429535.92326709471</v>
          </cell>
          <cell r="D27">
            <v>378430.72518713283</v>
          </cell>
          <cell r="E27">
            <v>319098.00304214581</v>
          </cell>
          <cell r="F27">
            <v>258673.06222125882</v>
          </cell>
          <cell r="G27">
            <v>182999.55834893271</v>
          </cell>
          <cell r="AB27">
            <v>53158.793795122881</v>
          </cell>
          <cell r="AC27">
            <v>67037.924662006029</v>
          </cell>
          <cell r="AD27">
            <v>94892.99095576792</v>
          </cell>
          <cell r="AE27">
            <v>116670.50204937591</v>
          </cell>
          <cell r="AF27">
            <v>156954.15297003835</v>
          </cell>
          <cell r="AR27">
            <v>-1.7068396935167169E-2</v>
          </cell>
          <cell r="AT27">
            <v>0.13902269155214728</v>
          </cell>
          <cell r="AV27">
            <v>0.11367539834595207</v>
          </cell>
        </row>
        <row r="28">
          <cell r="C28">
            <v>472046.9068405038</v>
          </cell>
          <cell r="D28">
            <v>414366.85107697285</v>
          </cell>
          <cell r="E28">
            <v>351464.73890954547</v>
          </cell>
          <cell r="F28">
            <v>289864.81102933141</v>
          </cell>
          <cell r="G28">
            <v>206011.29896475241</v>
          </cell>
          <cell r="AB28">
            <v>70129.999543043261</v>
          </cell>
          <cell r="AC28">
            <v>82339.657977492083</v>
          </cell>
          <cell r="AD28">
            <v>108060.98884519527</v>
          </cell>
          <cell r="AE28">
            <v>141809.1241955735</v>
          </cell>
          <cell r="AF28">
            <v>172522.52232133271</v>
          </cell>
          <cell r="AR28">
            <v>-5.3024903682763859E-3</v>
          </cell>
          <cell r="AT28">
            <v>0.15065001870561365</v>
          </cell>
          <cell r="AV28">
            <v>0.1198675206849012</v>
          </cell>
        </row>
        <row r="29">
          <cell r="C29">
            <v>517402.8118601091</v>
          </cell>
          <cell r="D29">
            <v>458698.84583139344</v>
          </cell>
          <cell r="E29">
            <v>395326.71535865054</v>
          </cell>
          <cell r="F29">
            <v>326205.99570574262</v>
          </cell>
          <cell r="G29">
            <v>232072.81840518303</v>
          </cell>
          <cell r="AB29">
            <v>79436.528635786963</v>
          </cell>
          <cell r="AC29">
            <v>93552.644264004775</v>
          </cell>
          <cell r="AD29">
            <v>133009.09316679323</v>
          </cell>
          <cell r="AE29">
            <v>167315.66330955969</v>
          </cell>
          <cell r="AF29">
            <v>217215.95569325075</v>
          </cell>
          <cell r="AR29">
            <v>6.7093527283326139E-3</v>
          </cell>
          <cell r="AT29">
            <v>0.15961145157050866</v>
          </cell>
          <cell r="AV29">
            <v>0.1274790188008359</v>
          </cell>
        </row>
        <row r="30">
          <cell r="C30">
            <v>567389.31057925813</v>
          </cell>
          <cell r="D30">
            <v>506653.4532613919</v>
          </cell>
          <cell r="E30">
            <v>436431.63034690445</v>
          </cell>
          <cell r="F30">
            <v>362489.60904570716</v>
          </cell>
          <cell r="G30">
            <v>258115.50172776348</v>
          </cell>
          <cell r="AB30">
            <v>76215.622824884369</v>
          </cell>
          <cell r="AC30">
            <v>91795.493014228414</v>
          </cell>
          <cell r="AD30">
            <v>124250.76500861009</v>
          </cell>
          <cell r="AE30">
            <v>165488.66178798792</v>
          </cell>
          <cell r="AF30">
            <v>205096.21979376068</v>
          </cell>
          <cell r="AR30">
            <v>1.424652275864993E-2</v>
          </cell>
          <cell r="AT30">
            <v>0.16628840274376522</v>
          </cell>
          <cell r="AV30">
            <v>0.13329607140483221</v>
          </cell>
        </row>
        <row r="31">
          <cell r="C31">
            <v>620635.11999493814</v>
          </cell>
          <cell r="D31">
            <v>555718.39944127609</v>
          </cell>
          <cell r="E31">
            <v>481479.89292308636</v>
          </cell>
          <cell r="F31">
            <v>398669.55253006797</v>
          </cell>
          <cell r="G31">
            <v>284044.6936959289</v>
          </cell>
          <cell r="AB31">
            <v>77372.149282060331</v>
          </cell>
          <cell r="AC31">
            <v>95253.424272860866</v>
          </cell>
          <cell r="AD31">
            <v>133427.43041075533</v>
          </cell>
          <cell r="AE31">
            <v>161936.52270761295</v>
          </cell>
          <cell r="AF31">
            <v>199412.15312719275</v>
          </cell>
          <cell r="AR31">
            <v>1.9843627044866596E-2</v>
          </cell>
          <cell r="AT31">
            <v>0.17189451762099098</v>
          </cell>
          <cell r="AV31">
            <v>0.13793974668233597</v>
          </cell>
        </row>
        <row r="32">
          <cell r="C32">
            <v>677877.92707158881</v>
          </cell>
          <cell r="D32">
            <v>609077.60012335377</v>
          </cell>
          <cell r="E32">
            <v>528410.46891890769</v>
          </cell>
          <cell r="F32">
            <v>436011.35120620963</v>
          </cell>
          <cell r="G32">
            <v>311459.05879690731</v>
          </cell>
          <cell r="AB32">
            <v>84393.367427580175</v>
          </cell>
          <cell r="AC32">
            <v>101365.39576987713</v>
          </cell>
          <cell r="AD32">
            <v>137748.92969181039</v>
          </cell>
          <cell r="AE32">
            <v>162724.56583610782</v>
          </cell>
          <cell r="AF32">
            <v>223141.68991418323</v>
          </cell>
          <cell r="AR32">
            <v>2.5120815713135469E-2</v>
          </cell>
          <cell r="AT32">
            <v>0.17630599270774774</v>
          </cell>
          <cell r="AV32">
            <v>0.14253245168732726</v>
          </cell>
        </row>
        <row r="33">
          <cell r="C33">
            <v>741022.00500894862</v>
          </cell>
          <cell r="D33">
            <v>666158.27314345771</v>
          </cell>
          <cell r="E33">
            <v>579202.31435868412</v>
          </cell>
          <cell r="F33">
            <v>480899.14812074316</v>
          </cell>
          <cell r="G33">
            <v>341359.97160551429</v>
          </cell>
          <cell r="AB33">
            <v>91637.655528018135</v>
          </cell>
          <cell r="AC33">
            <v>107598.04804201052</v>
          </cell>
          <cell r="AD33">
            <v>149145.93539613136</v>
          </cell>
          <cell r="AE33">
            <v>210649.2590699275</v>
          </cell>
          <cell r="AF33">
            <v>260149.95044163894</v>
          </cell>
          <cell r="AR33">
            <v>2.9650562509597904E-2</v>
          </cell>
          <cell r="AT33">
            <v>0.17994995326392824</v>
          </cell>
          <cell r="AV33">
            <v>0.14704379055781536</v>
          </cell>
        </row>
        <row r="34">
          <cell r="C34">
            <v>808785.7913925125</v>
          </cell>
          <cell r="D34">
            <v>728658.78958372842</v>
          </cell>
          <cell r="E34">
            <v>636401.86378322542</v>
          </cell>
          <cell r="F34">
            <v>525487.72683068761</v>
          </cell>
          <cell r="G34">
            <v>373707.87033975293</v>
          </cell>
          <cell r="AB34">
            <v>98199.200578587013</v>
          </cell>
          <cell r="AC34">
            <v>118547.12348914728</v>
          </cell>
          <cell r="AD34">
            <v>172710.06534934207</v>
          </cell>
          <cell r="AE34">
            <v>211112.07568537584</v>
          </cell>
          <cell r="AF34">
            <v>295995.11032008147</v>
          </cell>
          <cell r="AR34">
            <v>3.3620619713384189E-2</v>
          </cell>
          <cell r="AT34">
            <v>0.18351570447940696</v>
          </cell>
          <cell r="AV34">
            <v>0.15123979459196013</v>
          </cell>
        </row>
        <row r="35">
          <cell r="C35">
            <v>880672.16140228091</v>
          </cell>
          <cell r="D35">
            <v>795294.41991280834</v>
          </cell>
          <cell r="E35">
            <v>692708.9731068355</v>
          </cell>
          <cell r="F35">
            <v>573713.61626883061</v>
          </cell>
          <cell r="G35">
            <v>405144.6022973315</v>
          </cell>
          <cell r="AB35">
            <v>105223.78031605622</v>
          </cell>
          <cell r="AC35">
            <v>126500.49131027539</v>
          </cell>
          <cell r="AD35">
            <v>172098.60064796335</v>
          </cell>
          <cell r="AE35">
            <v>232556.39621780347</v>
          </cell>
          <cell r="AF35">
            <v>280829.4816431338</v>
          </cell>
          <cell r="AR35">
            <v>3.7235140337984633E-2</v>
          </cell>
          <cell r="AT35">
            <v>0.18640803867488642</v>
          </cell>
          <cell r="AV35">
            <v>0.15430356920272703</v>
          </cell>
        </row>
        <row r="36">
          <cell r="C36">
            <v>958954.55312065838</v>
          </cell>
          <cell r="D36">
            <v>867092.12257565744</v>
          </cell>
          <cell r="E36">
            <v>754994.99063072808</v>
          </cell>
          <cell r="F36">
            <v>623436.93604621035</v>
          </cell>
          <cell r="G36">
            <v>438905.53700879437</v>
          </cell>
          <cell r="AB36">
            <v>113599.09819381265</v>
          </cell>
          <cell r="AC36">
            <v>140526.68735820032</v>
          </cell>
          <cell r="AD36">
            <v>192854.09923673398</v>
          </cell>
          <cell r="AE36">
            <v>240958.72573260125</v>
          </cell>
          <cell r="AF36">
            <v>248965.58304553432</v>
          </cell>
          <cell r="AR36">
            <v>4.0937224771083809E-2</v>
          </cell>
          <cell r="AT36">
            <v>0.18884227666008935</v>
          </cell>
          <cell r="AV36">
            <v>0.15493526794246779</v>
          </cell>
        </row>
        <row r="37">
          <cell r="C37">
            <v>1042370.065324803</v>
          </cell>
          <cell r="D37">
            <v>942546.84702804196</v>
          </cell>
          <cell r="E37">
            <v>819576.88063721743</v>
          </cell>
          <cell r="F37">
            <v>674703.95618061838</v>
          </cell>
          <cell r="G37">
            <v>474755.44372335682</v>
          </cell>
          <cell r="AB37">
            <v>124687.23739027861</v>
          </cell>
          <cell r="AC37">
            <v>148224.98335960438</v>
          </cell>
          <cell r="AD37">
            <v>199609.20085535571</v>
          </cell>
          <cell r="AE37">
            <v>226366.18121485971</v>
          </cell>
          <cell r="AF37">
            <v>272820.00953729078</v>
          </cell>
          <cell r="AR37">
            <v>4.4802927694559527E-2</v>
          </cell>
          <cell r="AT37">
            <v>0.19056969070784632</v>
          </cell>
          <cell r="AV37">
            <v>0.15531278134225754</v>
          </cell>
        </row>
        <row r="38">
          <cell r="C38">
            <v>1131263.8560419781</v>
          </cell>
          <cell r="D38">
            <v>1022394.5000610413</v>
          </cell>
          <cell r="E38">
            <v>888911.98495723004</v>
          </cell>
          <cell r="F38">
            <v>732694.15441342257</v>
          </cell>
          <cell r="G38">
            <v>505755.98654467834</v>
          </cell>
          <cell r="AB38">
            <v>133637.33832471725</v>
          </cell>
          <cell r="AC38">
            <v>157286.31756148743</v>
          </cell>
          <cell r="AD38">
            <v>209693.27212654613</v>
          </cell>
          <cell r="AE38">
            <v>240147.82068272354</v>
          </cell>
          <cell r="AF38">
            <v>271917.50209630514</v>
          </cell>
          <cell r="AR38">
            <v>4.8361570616964479E-2</v>
          </cell>
          <cell r="AT38">
            <v>0.19115302844027562</v>
          </cell>
          <cell r="AV38">
            <v>0.15734172513223643</v>
          </cell>
        </row>
        <row r="39">
          <cell r="C39">
            <v>1227692.9315267527</v>
          </cell>
          <cell r="D39">
            <v>1107809.8074277786</v>
          </cell>
          <cell r="E39">
            <v>963312.08588120365</v>
          </cell>
          <cell r="F39">
            <v>787173.84109949821</v>
          </cell>
          <cell r="G39">
            <v>541150.32976075448</v>
          </cell>
          <cell r="AB39">
            <v>143273.05156267411</v>
          </cell>
          <cell r="AC39">
            <v>169560.27691258327</v>
          </cell>
          <cell r="AD39">
            <v>199320.31256390782</v>
          </cell>
          <cell r="AE39">
            <v>248228.0552833844</v>
          </cell>
          <cell r="AF39">
            <v>318565.87915145699</v>
          </cell>
          <cell r="AR39">
            <v>5.1415998571083726E-2</v>
          </cell>
          <cell r="AT39">
            <v>0.18893139948482132</v>
          </cell>
          <cell r="AV39">
            <v>0.15941943945301223</v>
          </cell>
        </row>
        <row r="40">
          <cell r="C40">
            <v>1330458.8895758551</v>
          </cell>
          <cell r="D40">
            <v>1200008.912469303</v>
          </cell>
          <cell r="E40">
            <v>1041084.0718022184</v>
          </cell>
          <cell r="F40">
            <v>838023.75013598078</v>
          </cell>
          <cell r="G40">
            <v>577886.04108623939</v>
          </cell>
          <cell r="AB40">
            <v>153556.25456146873</v>
          </cell>
          <cell r="AC40">
            <v>158742.52084472356</v>
          </cell>
          <cell r="AD40">
            <v>206762.02496655285</v>
          </cell>
          <cell r="AE40">
            <v>260409.22939264774</v>
          </cell>
          <cell r="AF40">
            <v>322537.65247404017</v>
          </cell>
          <cell r="AR40">
            <v>5.420430447717807E-2</v>
          </cell>
          <cell r="AT40">
            <v>0.1882813914997645</v>
          </cell>
          <cell r="AV40">
            <v>0.16082090309333993</v>
          </cell>
        </row>
        <row r="41">
          <cell r="C41">
            <v>1440045.3625655395</v>
          </cell>
          <cell r="D41">
            <v>1298295.3369886382</v>
          </cell>
          <cell r="E41">
            <v>1111921.9579211057</v>
          </cell>
          <cell r="F41">
            <v>894075.35218657961</v>
          </cell>
          <cell r="G41">
            <v>623221.43074584939</v>
          </cell>
          <cell r="AB41">
            <v>144930.10522237071</v>
          </cell>
          <cell r="AC41">
            <v>165752.79436917696</v>
          </cell>
          <cell r="AD41">
            <v>237333.31743521476</v>
          </cell>
          <cell r="AE41">
            <v>282678.18983818917</v>
          </cell>
          <cell r="AF41">
            <v>392140.80354075506</v>
          </cell>
          <cell r="AR41">
            <v>5.4666911453777882E-2</v>
          </cell>
          <cell r="AT41">
            <v>0.19162049383800561</v>
          </cell>
          <cell r="AV41">
            <v>0.16079649223303752</v>
          </cell>
        </row>
        <row r="42">
          <cell r="C42">
            <v>1558448.2731038001</v>
          </cell>
          <cell r="D42">
            <v>1391069.9299359329</v>
          </cell>
          <cell r="E42">
            <v>1184837.669379513</v>
          </cell>
          <cell r="F42">
            <v>962855.30413839535</v>
          </cell>
          <cell r="G42">
            <v>673908.691668657</v>
          </cell>
          <cell r="AB42">
            <v>150134.22231127857</v>
          </cell>
          <cell r="AC42">
            <v>186220.08944316581</v>
          </cell>
          <cell r="AD42">
            <v>245140.61108559556</v>
          </cell>
          <cell r="AE42">
            <v>326380.26545798779</v>
          </cell>
          <cell r="AF42">
            <v>427309.37837895192</v>
          </cell>
          <cell r="AR42">
            <v>5.4405421593458576E-2</v>
          </cell>
          <cell r="AT42">
            <v>0.19440507873889237</v>
          </cell>
          <cell r="AV42">
            <v>0.16060671356635517</v>
          </cell>
        </row>
        <row r="43">
          <cell r="C43">
            <v>1684644.5829022226</v>
          </cell>
          <cell r="D43">
            <v>1493214.7440208467</v>
          </cell>
          <cell r="E43">
            <v>1278327.9110410765</v>
          </cell>
          <cell r="F43">
            <v>1049686.3431992268</v>
          </cell>
          <cell r="G43">
            <v>734559.64069988241</v>
          </cell>
          <cell r="AB43">
            <v>187475.38538223924</v>
          </cell>
          <cell r="AC43">
            <v>222481.26120813936</v>
          </cell>
          <cell r="AD43">
            <v>300937.3677296713</v>
          </cell>
          <cell r="AE43">
            <v>416335.83337105811</v>
          </cell>
          <cell r="AF43">
            <v>678875.01107896212</v>
          </cell>
          <cell r="AR43">
            <v>5.6448310417663475E-2</v>
          </cell>
          <cell r="AT43">
            <v>0.19611025213133471</v>
          </cell>
          <cell r="AV43">
            <v>0.16335828400997279</v>
          </cell>
        </row>
        <row r="44">
          <cell r="C44">
            <v>1819171.6583522945</v>
          </cell>
          <cell r="D44">
            <v>1619505.8201594655</v>
          </cell>
          <cell r="E44">
            <v>1405060.0605277745</v>
          </cell>
          <cell r="F44">
            <v>1148257.2557709794</v>
          </cell>
          <cell r="G44">
            <v>802550.84012331488</v>
          </cell>
          <cell r="AB44">
            <v>222681.30296747759</v>
          </cell>
          <cell r="AC44">
            <v>264235.60008274112</v>
          </cell>
          <cell r="AD44">
            <v>385690.71218343405</v>
          </cell>
          <cell r="AE44">
            <v>564348.15265020356</v>
          </cell>
          <cell r="AF44">
            <v>825637.36314969882</v>
          </cell>
          <cell r="AR44">
            <v>6.0007641770548882E-2</v>
          </cell>
          <cell r="AT44">
            <v>0.19580407103156641</v>
          </cell>
          <cell r="AV44">
            <v>0.16640329636404086</v>
          </cell>
        </row>
        <row r="45">
          <cell r="C45">
            <v>1964290.1045807891</v>
          </cell>
          <cell r="D45">
            <v>1763696.6697484741</v>
          </cell>
          <cell r="E45">
            <v>1527346.7536652763</v>
          </cell>
          <cell r="F45">
            <v>1254428.1655742873</v>
          </cell>
          <cell r="G45">
            <v>875538.45770772488</v>
          </cell>
          <cell r="AB45">
            <v>227495.5683724382</v>
          </cell>
          <cell r="AC45">
            <v>272837.46218768135</v>
          </cell>
          <cell r="AD45">
            <v>424333.54148899298</v>
          </cell>
          <cell r="AE45">
            <v>642994.70835702494</v>
          </cell>
          <cell r="AF45">
            <v>951645.67180553544</v>
          </cell>
          <cell r="AR45">
            <v>6.1694062309503715E-2</v>
          </cell>
          <cell r="AT45">
            <v>0.19791854093948744</v>
          </cell>
          <cell r="AV45">
            <v>0.17013425275654437</v>
          </cell>
        </row>
        <row r="46">
          <cell r="C46">
            <v>2119130.0664855721</v>
          </cell>
          <cell r="D46">
            <v>1902928.2123503024</v>
          </cell>
          <cell r="E46">
            <v>1654268.9197156203</v>
          </cell>
          <cell r="F46">
            <v>1356155.7787179148</v>
          </cell>
          <cell r="G46">
            <v>948732.84119151812</v>
          </cell>
          <cell r="AB46">
            <v>217969.11672779545</v>
          </cell>
          <cell r="AC46">
            <v>280899.37920968654</v>
          </cell>
          <cell r="AD46">
            <v>481263.99311383907</v>
          </cell>
          <cell r="AE46">
            <v>683774.78118842281</v>
          </cell>
          <cell r="AF46">
            <v>963892.21617725026</v>
          </cell>
          <cell r="AR46">
            <v>6.1411853676628055E-2</v>
          </cell>
          <cell r="AT46">
            <v>0.20149336786807817</v>
          </cell>
          <cell r="AV46">
            <v>0.17313223492111329</v>
          </cell>
        </row>
        <row r="47">
          <cell r="C47">
            <v>2284359.6723866649</v>
          </cell>
          <cell r="D47">
            <v>2061717.0426087556</v>
          </cell>
          <cell r="E47">
            <v>1793268.2003554862</v>
          </cell>
          <cell r="F47">
            <v>1468382.8173146585</v>
          </cell>
          <cell r="G47">
            <v>1018943.7817319349</v>
          </cell>
          <cell r="AB47">
            <v>237014.39909428265</v>
          </cell>
          <cell r="AC47">
            <v>379747.95334394788</v>
          </cell>
          <cell r="AD47">
            <v>561910.50151885394</v>
          </cell>
          <cell r="AE47">
            <v>753193.89154901356</v>
          </cell>
          <cell r="AF47">
            <v>907098.50645626336</v>
          </cell>
          <cell r="AR47">
            <v>6.1271083732187537E-2</v>
          </cell>
          <cell r="AT47">
            <v>0.20588081669598973</v>
          </cell>
          <cell r="AV47">
            <v>0.17533039538239203</v>
          </cell>
        </row>
        <row r="48">
          <cell r="C48">
            <v>2463002.2605010681</v>
          </cell>
          <cell r="D48">
            <v>2223646.339726286</v>
          </cell>
          <cell r="E48">
            <v>1930694.0058899019</v>
          </cell>
          <cell r="F48">
            <v>1578950.5565024309</v>
          </cell>
          <cell r="G48">
            <v>1081612.8833019761</v>
          </cell>
          <cell r="AB48">
            <v>319413.14264772367</v>
          </cell>
          <cell r="AC48">
            <v>386199.1666075252</v>
          </cell>
          <cell r="AD48">
            <v>587331.79421504308</v>
          </cell>
          <cell r="AE48">
            <v>754718.29961826466</v>
          </cell>
          <cell r="AF48">
            <v>755837.26111654751</v>
          </cell>
          <cell r="AR48">
            <v>6.4378708231495135E-2</v>
          </cell>
          <cell r="AT48">
            <v>0.21050756144832189</v>
          </cell>
          <cell r="AV48">
            <v>0.17660648049291081</v>
          </cell>
        </row>
        <row r="49">
          <cell r="C49">
            <v>2654428.3125153971</v>
          </cell>
          <cell r="D49">
            <v>2397505.8742995895</v>
          </cell>
          <cell r="E49">
            <v>2079404.3324538732</v>
          </cell>
          <cell r="F49">
            <v>1698025.9322307808</v>
          </cell>
          <cell r="G49">
            <v>1123835.2969378547</v>
          </cell>
          <cell r="AB49">
            <v>342338.52987514855</v>
          </cell>
          <cell r="AC49">
            <v>466132.5240466604</v>
          </cell>
          <cell r="AD49">
            <v>635759.57865992561</v>
          </cell>
          <cell r="AE49">
            <v>819704.23673691601</v>
          </cell>
          <cell r="AF49">
            <v>370073.8990753144</v>
          </cell>
          <cell r="AR49">
            <v>6.7041942917026864E-2</v>
          </cell>
          <cell r="AT49">
            <v>0.21396892037297763</v>
          </cell>
          <cell r="AV49">
            <v>0.17689535170970125</v>
          </cell>
        </row>
        <row r="50">
          <cell r="C50">
            <v>2859598.5965175238</v>
          </cell>
          <cell r="D50">
            <v>2584506.6817133888</v>
          </cell>
          <cell r="E50">
            <v>2237792.8395533869</v>
          </cell>
          <cell r="F50">
            <v>1787546.1735487999</v>
          </cell>
          <cell r="G50">
            <v>1167656.5583783342</v>
          </cell>
          <cell r="AB50">
            <v>406438.95670359628</v>
          </cell>
          <cell r="AC50">
            <v>497408.31056557223</v>
          </cell>
          <cell r="AD50">
            <v>692297.74195384607</v>
          </cell>
          <cell r="AE50">
            <v>563315.2909922637</v>
          </cell>
          <cell r="AF50">
            <v>416444.89647611603</v>
          </cell>
          <cell r="AR50">
            <v>7.0995346686730895E-2</v>
          </cell>
          <cell r="AT50">
            <v>0.21694705380588564</v>
          </cell>
          <cell r="AV50">
            <v>0.17710881208966306</v>
          </cell>
        </row>
        <row r="51">
          <cell r="C51">
            <v>3081238.8170861555</v>
          </cell>
          <cell r="D51">
            <v>2781603.5775179542</v>
          </cell>
          <cell r="E51">
            <v>2407461.6631111004</v>
          </cell>
          <cell r="F51">
            <v>1856171.1331819608</v>
          </cell>
          <cell r="G51">
            <v>1213161.3752545118</v>
          </cell>
          <cell r="AB51">
            <v>446690.48831623048</v>
          </cell>
          <cell r="AC51">
            <v>536323.36047939677</v>
          </cell>
          <cell r="AD51">
            <v>744382.29221828468</v>
          </cell>
          <cell r="AE51">
            <v>385951.11490496434</v>
          </cell>
          <cell r="AF51">
            <v>446093.69252371788</v>
          </cell>
          <cell r="AR51">
            <v>7.4769416521496573E-2</v>
          </cell>
          <cell r="AT51">
            <v>0.21926534373458537</v>
          </cell>
          <cell r="AV51">
            <v>0.1771969550139571</v>
          </cell>
        </row>
        <row r="52">
          <cell r="C52">
            <v>3318699.107775256</v>
          </cell>
          <cell r="D52">
            <v>2994103.9182206076</v>
          </cell>
          <cell r="E52">
            <v>2499550.5412568622</v>
          </cell>
          <cell r="F52">
            <v>1926990.3549414701</v>
          </cell>
          <cell r="G52">
            <v>1260350.5008657891</v>
          </cell>
          <cell r="AB52">
            <v>486553.172242295</v>
          </cell>
          <cell r="AC52">
            <v>582619.3374196263</v>
          </cell>
          <cell r="AD52">
            <v>352072.48776680604</v>
          </cell>
          <cell r="AE52">
            <v>409033.91250965558</v>
          </cell>
          <cell r="AF52">
            <v>476104.23586585745</v>
          </cell>
          <cell r="AR52">
            <v>7.8290476695201158E-2</v>
          </cell>
          <cell r="AT52">
            <v>0.21972331670031151</v>
          </cell>
          <cell r="AV52">
            <v>0.17715405292299824</v>
          </cell>
        </row>
        <row r="53">
          <cell r="C53">
            <v>3573140.0457440461</v>
          </cell>
          <cell r="D53">
            <v>3161868.1071816552</v>
          </cell>
          <cell r="E53">
            <v>2595970.7747556353</v>
          </cell>
          <cell r="F53">
            <v>2001820.4230810397</v>
          </cell>
          <cell r="G53">
            <v>1310677.7884735921</v>
          </cell>
          <cell r="AB53">
            <v>528978.86515906081</v>
          </cell>
          <cell r="AC53">
            <v>443719.56919111125</v>
          </cell>
          <cell r="AD53">
            <v>372889.69968084805</v>
          </cell>
          <cell r="AE53">
            <v>442270.19845586456</v>
          </cell>
          <cell r="AF53">
            <v>541868.83770223893</v>
          </cell>
          <cell r="AR53">
            <v>8.1541166835926077E-2</v>
          </cell>
          <cell r="AT53">
            <v>0.21999533818236602</v>
          </cell>
          <cell r="AV53">
            <v>0.17690280430187449</v>
          </cell>
        </row>
        <row r="54">
          <cell r="C54">
            <v>3846356.3251934773</v>
          </cell>
          <cell r="D54">
            <v>3315439.9582965197</v>
          </cell>
          <cell r="E54">
            <v>2721236.8811759306</v>
          </cell>
          <cell r="F54">
            <v>2097482.7122545037</v>
          </cell>
          <cell r="G54">
            <v>1400368.7668048583</v>
          </cell>
          <cell r="AB54">
            <v>567057.49904265348</v>
          </cell>
          <cell r="AC54">
            <v>400483.40056415834</v>
          </cell>
          <cell r="AD54">
            <v>513868.51978827082</v>
          </cell>
          <cell r="AE54">
            <v>613975.77113570273</v>
          </cell>
          <cell r="AF54">
            <v>1088363.3587813582</v>
          </cell>
          <cell r="AR54">
            <v>8.4292553861044908E-2</v>
          </cell>
          <cell r="AT54">
            <v>0.220249785803316</v>
          </cell>
          <cell r="AV54">
            <v>0.1751225509092845</v>
          </cell>
        </row>
        <row r="55">
          <cell r="C55">
            <v>4138040.1924566557</v>
          </cell>
          <cell r="D55">
            <v>3564993.4426813656</v>
          </cell>
          <cell r="E55">
            <v>2955923.5331906537</v>
          </cell>
          <cell r="F55">
            <v>2336620.8794138124</v>
          </cell>
          <cell r="G55">
            <v>1581032.2769801323</v>
          </cell>
          <cell r="AB55">
            <v>608110.44626481459</v>
          </cell>
          <cell r="AC55">
            <v>689172.83564867731</v>
          </cell>
          <cell r="AD55">
            <v>991730.77631220222</v>
          </cell>
          <cell r="AE55">
            <v>1530857.9726497307</v>
          </cell>
          <cell r="AF55">
            <v>3031756.9743984677</v>
          </cell>
          <cell r="AR55">
            <v>8.6022274333808338E-2</v>
          </cell>
          <cell r="AT55">
            <v>0.21943844869116233</v>
          </cell>
          <cell r="AV55">
            <v>0.17679249427942345</v>
          </cell>
        </row>
        <row r="56">
          <cell r="C56">
            <v>4449608.178659671</v>
          </cell>
          <cell r="D56">
            <v>3925760.9930570461</v>
          </cell>
          <cell r="E56">
            <v>3301508.179324755</v>
          </cell>
          <cell r="F56">
            <v>2706371.8583060037</v>
          </cell>
          <cell r="G56">
            <v>1818513.37228976</v>
          </cell>
          <cell r="AB56">
            <v>651756.63859772589</v>
          </cell>
          <cell r="AC56">
            <v>913999.69894983154</v>
          </cell>
          <cell r="AD56">
            <v>1359584.5467598159</v>
          </cell>
          <cell r="AE56">
            <v>3160473.759761231</v>
          </cell>
          <cell r="AF56">
            <v>4364371.9203946367</v>
          </cell>
          <cell r="AR56">
            <v>8.6694392227953013E-2</v>
          </cell>
          <cell r="AT56">
            <v>0.21529116570019827</v>
          </cell>
          <cell r="AV56">
            <v>0.17966940465718667</v>
          </cell>
        </row>
        <row r="57">
          <cell r="C57">
            <v>4784023.2847176986</v>
          </cell>
          <cell r="D57">
            <v>4219378.022747091</v>
          </cell>
          <cell r="E57">
            <v>3668745.1728746616</v>
          </cell>
          <cell r="F57">
            <v>2984998.0461575333</v>
          </cell>
          <cell r="G57">
            <v>1952176.4975890466</v>
          </cell>
          <cell r="AB57">
            <v>599140.60603283253</v>
          </cell>
          <cell r="AC57">
            <v>698697.92248870991</v>
          </cell>
          <cell r="AD57">
            <v>1952790.0903900284</v>
          </cell>
          <cell r="AE57">
            <v>2299938.6577094365</v>
          </cell>
          <cell r="AF57">
            <v>2069559.5288110934</v>
          </cell>
          <cell r="AR57">
            <v>8.5045291769790088E-2</v>
          </cell>
          <cell r="AT57">
            <v>0.2193224022207157</v>
          </cell>
          <cell r="AV57">
            <v>0.17939184693449112</v>
          </cell>
        </row>
        <row r="58">
          <cell r="C58">
            <v>5141183.5306869056</v>
          </cell>
          <cell r="D58">
            <v>4655804.4103345675</v>
          </cell>
          <cell r="E58">
            <v>4058291.2319896407</v>
          </cell>
          <cell r="F58">
            <v>3252673.6918016812</v>
          </cell>
          <cell r="G58">
            <v>2049284.7592992776</v>
          </cell>
          <cell r="AB58">
            <v>639439.30944231432</v>
          </cell>
          <cell r="AC58">
            <v>1409567.7702171095</v>
          </cell>
          <cell r="AD58">
            <v>2037923.6752023268</v>
          </cell>
          <cell r="AE58">
            <v>2053918.2224361598</v>
          </cell>
          <cell r="AF58">
            <v>1374754.5497170836</v>
          </cell>
          <cell r="AR58">
            <v>8.3367954208394476E-2</v>
          </cell>
          <cell r="AT58">
            <v>0.22166778241635277</v>
          </cell>
          <cell r="AV58">
            <v>0.17891799586953197</v>
          </cell>
        </row>
        <row r="59">
          <cell r="C59">
            <v>5522786.92730188</v>
          </cell>
          <cell r="D59">
            <v>5053759.9401173461</v>
          </cell>
          <cell r="E59">
            <v>4345704.3799453992</v>
          </cell>
          <cell r="F59">
            <v>3395867.5513346302</v>
          </cell>
          <cell r="G59">
            <v>2132388.2777881152</v>
          </cell>
          <cell r="AB59">
            <v>882077.04901535064</v>
          </cell>
          <cell r="AC59">
            <v>1349051.8153535631</v>
          </cell>
          <cell r="AD59">
            <v>1324097.8048607521</v>
          </cell>
          <cell r="AE59">
            <v>994433.39998371527</v>
          </cell>
          <cell r="AF59">
            <v>1101367.5380435288</v>
          </cell>
          <cell r="AR59">
            <v>8.4906722872986617E-2</v>
          </cell>
          <cell r="AT59">
            <v>0.21982557002521599</v>
          </cell>
          <cell r="AV59">
            <v>0.17837087604636809</v>
          </cell>
        </row>
        <row r="60">
          <cell r="C60">
            <v>5932167.1677599838</v>
          </cell>
          <cell r="D60">
            <v>5369905.2438253183</v>
          </cell>
          <cell r="E60">
            <v>4604626.0178407999</v>
          </cell>
          <cell r="F60">
            <v>3522919.9664795068</v>
          </cell>
          <cell r="G60">
            <v>2217111.1128180325</v>
          </cell>
          <cell r="AB60">
            <v>1032131.4690345041</v>
          </cell>
          <cell r="AC60">
            <v>901985.94382833503</v>
          </cell>
          <cell r="AD60">
            <v>1177947.6923670545</v>
          </cell>
          <cell r="AE60">
            <v>856611.50808477029</v>
          </cell>
          <cell r="AF60">
            <v>1044582.3161728606</v>
          </cell>
          <cell r="AR60">
            <v>8.7323781339805923E-2</v>
          </cell>
          <cell r="AT60">
            <v>0.21671089749504052</v>
          </cell>
          <cell r="AV60">
            <v>0.1777062952184793</v>
          </cell>
        </row>
        <row r="61">
          <cell r="C61">
            <v>6369668.5002739755</v>
          </cell>
          <cell r="D61">
            <v>5725482.497168744</v>
          </cell>
          <cell r="E61">
            <v>4796588.696518763</v>
          </cell>
          <cell r="F61">
            <v>3670895.0811371184</v>
          </cell>
          <cell r="G61">
            <v>2337386.6540653044</v>
          </cell>
          <cell r="AB61">
            <v>1035959.4502434134</v>
          </cell>
          <cell r="AC61">
            <v>1021573.8277383726</v>
          </cell>
          <cell r="AD61">
            <v>830923.83586822078</v>
          </cell>
          <cell r="AE61">
            <v>1007991.6572706811</v>
          </cell>
          <cell r="AF61">
            <v>1752733.071769014</v>
          </cell>
          <cell r="AR61">
            <v>8.8366659489969981E-2</v>
          </cell>
          <cell r="AT61">
            <v>0.21437278200955981</v>
          </cell>
          <cell r="AV61">
            <v>0.17680377666208585</v>
          </cell>
        </row>
        <row r="62">
          <cell r="C62">
            <v>6837296.7378893178</v>
          </cell>
          <cell r="D62">
            <v>6066664.0970220231</v>
          </cell>
          <cell r="E62">
            <v>5015914.2230202602</v>
          </cell>
          <cell r="F62">
            <v>3837122.6359287603</v>
          </cell>
          <cell r="G62">
            <v>2504498.326470485</v>
          </cell>
          <cell r="AB62">
            <v>1013395.3576524835</v>
          </cell>
          <cell r="AC62">
            <v>969639.6721198149</v>
          </cell>
          <cell r="AD62">
            <v>965638.70186270773</v>
          </cell>
          <cell r="AE62">
            <v>1155798.3843988627</v>
          </cell>
          <cell r="AF62">
            <v>2661865.7032066546</v>
          </cell>
          <cell r="AR62">
            <v>8.7977110511520379E-2</v>
          </cell>
          <cell r="AT62">
            <v>0.21170596995270924</v>
          </cell>
          <cell r="AV62">
            <v>0.17572547817825118</v>
          </cell>
        </row>
        <row r="63">
          <cell r="C63">
            <v>7338878.7683665194</v>
          </cell>
          <cell r="D63">
            <v>6376053.8252709582</v>
          </cell>
          <cell r="E63">
            <v>5267771.0309942327</v>
          </cell>
          <cell r="F63">
            <v>4128451.3576212372</v>
          </cell>
          <cell r="G63">
            <v>2696287.1254871078</v>
          </cell>
          <cell r="AB63">
            <v>1085064.5888327211</v>
          </cell>
          <cell r="AC63">
            <v>867881.09898951277</v>
          </cell>
          <cell r="AD63">
            <v>1121685.5399471633</v>
          </cell>
          <cell r="AE63">
            <v>2284834.8835313022</v>
          </cell>
          <cell r="AF63">
            <v>3141399.8867529556</v>
          </cell>
          <cell r="AR63">
            <v>8.7419233022885262E-2</v>
          </cell>
          <cell r="AT63">
            <v>0.20869205531290611</v>
          </cell>
          <cell r="AV63">
            <v>0.17537419138433483</v>
          </cell>
        </row>
        <row r="64">
          <cell r="C64">
            <v>7875134.6456738133</v>
          </cell>
          <cell r="D64">
            <v>6837277.4604931204</v>
          </cell>
          <cell r="E64">
            <v>5802106.6332638636</v>
          </cell>
          <cell r="F64">
            <v>4596968.1240358343</v>
          </cell>
          <cell r="G64">
            <v>2973705.9309795797</v>
          </cell>
          <cell r="AB64">
            <v>1157033.7542194948</v>
          </cell>
          <cell r="AC64">
            <v>1328240.1048032567</v>
          </cell>
          <cell r="AD64">
            <v>2576514.6790738925</v>
          </cell>
          <cell r="AE64">
            <v>3853637.4077112302</v>
          </cell>
          <cell r="AF64">
            <v>4873060.1671479344</v>
          </cell>
          <cell r="AR64">
            <v>8.6686304021747193E-2</v>
          </cell>
          <cell r="AT64">
            <v>0.20338499890172543</v>
          </cell>
          <cell r="AV64">
            <v>0.17470511701036553</v>
          </cell>
        </row>
        <row r="65">
          <cell r="C65">
            <v>8448548.0926457327</v>
          </cell>
          <cell r="D65">
            <v>7543542.9543987969</v>
          </cell>
          <cell r="E65">
            <v>6451335.2699110936</v>
          </cell>
          <cell r="F65">
            <v>5087875.0337541727</v>
          </cell>
          <cell r="G65">
            <v>3273843.8984391396</v>
          </cell>
          <cell r="AB65">
            <v>1240078.0730311722</v>
          </cell>
          <cell r="AC65">
            <v>2132578.9360376522</v>
          </cell>
          <cell r="AD65">
            <v>3225719.9799602591</v>
          </cell>
          <cell r="AE65">
            <v>4122673.6117380671</v>
          </cell>
          <cell r="AF65">
            <v>5310509.0395186469</v>
          </cell>
          <cell r="AR65">
            <v>8.5900706519812464E-2</v>
          </cell>
          <cell r="AT65">
            <v>0.19830827538324361</v>
          </cell>
          <cell r="AV65">
            <v>0.17380477024141741</v>
          </cell>
        </row>
        <row r="66">
          <cell r="C66">
            <v>9063341.5577076804</v>
          </cell>
          <cell r="D66">
            <v>8120949.681360445</v>
          </cell>
          <cell r="E66">
            <v>6938105.6954619698</v>
          </cell>
          <cell r="F66">
            <v>5464297.8354916293</v>
          </cell>
          <cell r="G66">
            <v>3439819.7183930734</v>
          </cell>
          <cell r="AB66">
            <v>1381586.0073320549</v>
          </cell>
          <cell r="AC66">
            <v>1742265.2917824239</v>
          </cell>
          <cell r="AD66">
            <v>2419853.5589896031</v>
          </cell>
          <cell r="AE66">
            <v>3102749.811137788</v>
          </cell>
          <cell r="AF66">
            <v>2447304.229963541</v>
          </cell>
          <cell r="AR66">
            <v>8.5590411512132161E-2</v>
          </cell>
          <cell r="AT66">
            <v>0.19548459849518554</v>
          </cell>
          <cell r="AV66">
            <v>0.17283497748983007</v>
          </cell>
        </row>
        <row r="67">
          <cell r="C67">
            <v>9720629.6337525472</v>
          </cell>
          <cell r="D67">
            <v>8706291.9030360878</v>
          </cell>
          <cell r="E67">
            <v>7431325.5368547319</v>
          </cell>
          <cell r="F67">
            <v>5842307.9568534605</v>
          </cell>
          <cell r="G67">
            <v>3575493.8006641073</v>
          </cell>
          <cell r="AB67">
            <v>1487620.5002043843</v>
          </cell>
          <cell r="AC67">
            <v>1810197.9174642004</v>
          </cell>
          <cell r="AD67">
            <v>2453677.9778393656</v>
          </cell>
          <cell r="AE67">
            <v>3120159.1475888863</v>
          </cell>
          <cell r="AF67">
            <v>1751141.6730817333</v>
          </cell>
          <cell r="AR67">
            <v>8.5367031215968531E-2</v>
          </cell>
          <cell r="AT67">
            <v>0.19304341329068953</v>
          </cell>
          <cell r="AV67">
            <v>0.17174267966839943</v>
          </cell>
        </row>
        <row r="68">
          <cell r="C68">
            <v>10423438.701577406</v>
          </cell>
          <cell r="D68">
            <v>9334549.1743674073</v>
          </cell>
          <cell r="E68">
            <v>7970654.5298547614</v>
          </cell>
          <cell r="F68">
            <v>6099181.8772517545</v>
          </cell>
          <cell r="G68">
            <v>3720853.658865585</v>
          </cell>
          <cell r="AB68">
            <v>1629251.6414266005</v>
          </cell>
          <cell r="AC68">
            <v>1945994.6800310053</v>
          </cell>
          <cell r="AD68">
            <v>2700757.7378702313</v>
          </cell>
          <cell r="AE68">
            <v>1803588.8008773699</v>
          </cell>
          <cell r="AF68">
            <v>1917416.3802504838</v>
          </cell>
          <cell r="AR68">
            <v>8.5408243517294272E-2</v>
          </cell>
          <cell r="AT68">
            <v>0.19076782255984878</v>
          </cell>
          <cell r="AV68">
            <v>0.17063349051992116</v>
          </cell>
        </row>
        <row r="69">
          <cell r="C69">
            <v>11176680.173067028</v>
          </cell>
          <cell r="D69">
            <v>10007937.469865592</v>
          </cell>
          <cell r="E69">
            <v>8475502.0434297435</v>
          </cell>
          <cell r="F69">
            <v>6349717.5473691262</v>
          </cell>
          <cell r="G69">
            <v>3873187.8695008317</v>
          </cell>
          <cell r="AB69">
            <v>1757547.1747366525</v>
          </cell>
          <cell r="AC69">
            <v>2096055.0277625583</v>
          </cell>
          <cell r="AD69">
            <v>2455872.8614592254</v>
          </cell>
          <cell r="AE69">
            <v>1705932.7319107577</v>
          </cell>
          <cell r="AF69">
            <v>2035623.0538861156</v>
          </cell>
          <cell r="AR69">
            <v>8.5517527708880769E-2</v>
          </cell>
          <cell r="AT69">
            <v>0.18857601469629412</v>
          </cell>
          <cell r="AV69">
            <v>0.16954116687297321</v>
          </cell>
        </row>
        <row r="70">
          <cell r="C70">
            <v>11982232.751944268</v>
          </cell>
          <cell r="D70">
            <v>10737162.720476987</v>
          </cell>
          <cell r="E70">
            <v>8842426.3968820628</v>
          </cell>
          <cell r="F70">
            <v>6618081.5825553434</v>
          </cell>
          <cell r="G70">
            <v>4074393.3712910684</v>
          </cell>
          <cell r="AB70">
            <v>1885869.6693696454</v>
          </cell>
          <cell r="AC70">
            <v>2277126.5407587066</v>
          </cell>
          <cell r="AD70">
            <v>1542040.8705544323</v>
          </cell>
          <cell r="AE70">
            <v>1831180.2451091856</v>
          </cell>
          <cell r="AF70">
            <v>3558817.5394571796</v>
          </cell>
          <cell r="AR70">
            <v>8.5641202296493954E-2</v>
          </cell>
          <cell r="AT70">
            <v>0.18616390753516879</v>
          </cell>
          <cell r="AV70">
            <v>0.16986320928377024</v>
          </cell>
        </row>
        <row r="71">
          <cell r="C71">
            <v>12843899.112212893</v>
          </cell>
          <cell r="D71">
            <v>11251203.493282065</v>
          </cell>
          <cell r="E71">
            <v>9225190.8285341896</v>
          </cell>
          <cell r="F71">
            <v>6921389.3727594037</v>
          </cell>
          <cell r="G71">
            <v>4288769.5258044824</v>
          </cell>
          <cell r="AB71">
            <v>2022534.805998642</v>
          </cell>
          <cell r="AC71">
            <v>1407076.5992655158</v>
          </cell>
          <cell r="AD71">
            <v>1614036.1769949347</v>
          </cell>
          <cell r="AE71">
            <v>2274705.982177943</v>
          </cell>
          <cell r="AF71">
            <v>3923048.9137379304</v>
          </cell>
          <cell r="AR71">
            <v>8.7785866174231189E-2</v>
          </cell>
          <cell r="AT71">
            <v>0.18386014126870545</v>
          </cell>
          <cell r="AV71">
            <v>0.17037483877296147</v>
          </cell>
        </row>
        <row r="72">
          <cell r="C72">
            <v>13767276.478912527</v>
          </cell>
          <cell r="D72">
            <v>11908959.430667086</v>
          </cell>
          <cell r="E72">
            <v>9760903.2464465648</v>
          </cell>
          <cell r="F72">
            <v>7428560.7440474406</v>
          </cell>
          <cell r="G72">
            <v>4573415.9054257376</v>
          </cell>
          <cell r="AB72">
            <v>2015147.5357705727</v>
          </cell>
          <cell r="AC72">
            <v>1760964.1006821021</v>
          </cell>
          <cell r="AD72">
            <v>2380495.5967645645</v>
          </cell>
          <cell r="AE72">
            <v>4644386.3590366021</v>
          </cell>
          <cell r="AF72">
            <v>5145132.5236132517</v>
          </cell>
          <cell r="AR72">
            <v>8.9232979901175499E-2</v>
          </cell>
          <cell r="AT72">
            <v>0.1811629437930356</v>
          </cell>
          <cell r="AV72">
            <v>0.17038510842113347</v>
          </cell>
        </row>
        <row r="73">
          <cell r="C73">
            <v>14755132.698026177</v>
          </cell>
          <cell r="D73">
            <v>12798250.24170227</v>
          </cell>
          <cell r="E73">
            <v>10645699.76479606</v>
          </cell>
          <cell r="F73">
            <v>8063857.987968781</v>
          </cell>
          <cell r="G73">
            <v>4920266.7327579875</v>
          </cell>
          <cell r="AB73">
            <v>2004168.6213073246</v>
          </cell>
          <cell r="AC73">
            <v>2572853.9937426299</v>
          </cell>
          <cell r="AD73">
            <v>4977334.8802817091</v>
          </cell>
          <cell r="AE73">
            <v>5599485.980901964</v>
          </cell>
          <cell r="AF73">
            <v>5851886.599865526</v>
          </cell>
          <cell r="AR73">
            <v>8.9866033091836217E-2</v>
          </cell>
          <cell r="AT73">
            <v>0.18122632877520681</v>
          </cell>
          <cell r="AV73">
            <v>0.16926240161444189</v>
          </cell>
        </row>
        <row r="74">
          <cell r="C74">
            <v>15812059.337340483</v>
          </cell>
          <cell r="D74">
            <v>13855140.805699743</v>
          </cell>
          <cell r="E74">
            <v>11491355.569122383</v>
          </cell>
          <cell r="F74">
            <v>8666865.1016306896</v>
          </cell>
          <cell r="G74">
            <v>5338210.7900362127</v>
          </cell>
          <cell r="AB74">
            <v>2366988.7885139771</v>
          </cell>
          <cell r="AC74">
            <v>3660572.6751993746</v>
          </cell>
          <cell r="AD74">
            <v>4533195.0759369135</v>
          </cell>
          <cell r="AE74">
            <v>4777537.4001444504</v>
          </cell>
          <cell r="AF74">
            <v>7244955.550972268</v>
          </cell>
          <cell r="AR74">
            <v>9.1525419275364311E-2</v>
          </cell>
          <cell r="AT74">
            <v>0.18047236054614563</v>
          </cell>
          <cell r="AV74">
            <v>0.16710821418608232</v>
          </cell>
        </row>
        <row r="75">
          <cell r="C75">
            <v>16944674.449329689</v>
          </cell>
          <cell r="D75">
            <v>14818031.468229422</v>
          </cell>
          <cell r="E75">
            <v>12238029.438594375</v>
          </cell>
          <cell r="F75">
            <v>9293045.7538725659</v>
          </cell>
          <cell r="G75">
            <v>5807900.1734682228</v>
          </cell>
          <cell r="AB75">
            <v>2915476.2045930177</v>
          </cell>
          <cell r="AC75">
            <v>3201596.0467531309</v>
          </cell>
          <cell r="AD75">
            <v>3591307.3440170512</v>
          </cell>
          <cell r="AE75">
            <v>5020961.0667002276</v>
          </cell>
          <cell r="AF75">
            <v>8271887.3571185023</v>
          </cell>
          <cell r="AR75">
            <v>9.4830873348497061E-2</v>
          </cell>
          <cell r="AT75">
            <v>0.17855980175093519</v>
          </cell>
          <cell r="AV75">
            <v>0.1652095121904609</v>
          </cell>
        </row>
        <row r="76">
          <cell r="C76">
            <v>18156886.911960974</v>
          </cell>
          <cell r="D76">
            <v>15827075.868692931</v>
          </cell>
          <cell r="E76">
            <v>13103347.370912496</v>
          </cell>
          <cell r="F76">
            <v>10155786.098214347</v>
          </cell>
          <cell r="G76">
            <v>6443929.4951401921</v>
          </cell>
          <cell r="AB76">
            <v>3016836.7353050187</v>
          </cell>
          <cell r="AC76">
            <v>2993899.201320231</v>
          </cell>
          <cell r="AD76">
            <v>4184666.8240060657</v>
          </cell>
          <cell r="AE76">
            <v>7075197.165288955</v>
          </cell>
          <cell r="AF76">
            <v>9010389.2663420141</v>
          </cell>
          <cell r="AR76">
            <v>9.7562411999478349E-2</v>
          </cell>
          <cell r="AT76">
            <v>0.17881671410029307</v>
          </cell>
          <cell r="AV76">
            <v>0.16332404495078282</v>
          </cell>
        </row>
        <row r="77">
          <cell r="C77">
            <v>19454226.684116259</v>
          </cell>
          <cell r="D77">
            <v>16994469.904758681</v>
          </cell>
          <cell r="E77">
            <v>14379204.451761343</v>
          </cell>
          <cell r="F77">
            <v>11153502.764334882</v>
          </cell>
          <cell r="G77">
            <v>7050752.0971187893</v>
          </cell>
          <cell r="AB77">
            <v>2889505.5112982169</v>
          </cell>
          <cell r="AC77">
            <v>3476873.4271729514</v>
          </cell>
          <cell r="AD77">
            <v>6359907.9493969679</v>
          </cell>
          <cell r="AE77">
            <v>8204454.5696048439</v>
          </cell>
          <cell r="AF77">
            <v>10329209.777696162</v>
          </cell>
          <cell r="AR77">
            <v>9.8808821544907832E-2</v>
          </cell>
          <cell r="AT77">
            <v>0.18104415864856493</v>
          </cell>
          <cell r="AV77">
            <v>0.16178968393352769</v>
          </cell>
        </row>
        <row r="78">
          <cell r="C78">
            <v>20849975.440425947</v>
          </cell>
          <cell r="D78">
            <v>18565277.400520135</v>
          </cell>
          <cell r="E78">
            <v>15735063.671359664</v>
          </cell>
          <cell r="F78">
            <v>12297232.769603945</v>
          </cell>
          <cell r="G78">
            <v>7680088.9995515374</v>
          </cell>
          <cell r="AB78">
            <v>3107130.6233231053</v>
          </cell>
          <cell r="AC78">
            <v>4810401.9105092585</v>
          </cell>
          <cell r="AD78">
            <v>6741851.4624355957</v>
          </cell>
          <cell r="AE78">
            <v>8297680.180912599</v>
          </cell>
          <cell r="AF78">
            <v>10718034.692497551</v>
          </cell>
          <cell r="AR78">
            <v>0.10002449483182421</v>
          </cell>
          <cell r="AT78">
            <v>0.18307427419158112</v>
          </cell>
          <cell r="AV78">
            <v>0.1605489625889574</v>
          </cell>
        </row>
        <row r="79">
          <cell r="C79">
            <v>22349967.798466776</v>
          </cell>
          <cell r="D79">
            <v>19910645.204822905</v>
          </cell>
          <cell r="E79">
            <v>16854595.744121529</v>
          </cell>
          <cell r="F79">
            <v>13189964.649798695</v>
          </cell>
          <cell r="G79">
            <v>8017590.720902076</v>
          </cell>
          <cell r="AB79">
            <v>3410968.9182946682</v>
          </cell>
          <cell r="AC79">
            <v>4072471.5890688971</v>
          </cell>
          <cell r="AD79">
            <v>5506586.0035021603</v>
          </cell>
          <cell r="AE79">
            <v>7137981.3543441743</v>
          </cell>
          <cell r="AF79">
            <v>5062654.8711719662</v>
          </cell>
          <cell r="AR79">
            <v>0.1014671925901786</v>
          </cell>
          <cell r="AT79">
            <v>0.18450081440674762</v>
          </cell>
          <cell r="AV79">
            <v>0.15993298879094509</v>
          </cell>
        </row>
        <row r="80">
          <cell r="C80">
            <v>23962047.619714472</v>
          </cell>
          <cell r="D80">
            <v>21384794.613425151</v>
          </cell>
          <cell r="E80">
            <v>18073689.501329113</v>
          </cell>
          <cell r="F80">
            <v>14103778.442379326</v>
          </cell>
          <cell r="G80">
            <v>8339366.1282712445</v>
          </cell>
          <cell r="AB80">
            <v>3655785.9681643471</v>
          </cell>
          <cell r="AC80">
            <v>4459165.991503492</v>
          </cell>
          <cell r="AD80">
            <v>6025659.8026712686</v>
          </cell>
          <cell r="AE80">
            <v>7264260.0318477601</v>
          </cell>
          <cell r="AF80">
            <v>4737787.0609730035</v>
          </cell>
          <cell r="AR80">
            <v>0.10283187965749999</v>
          </cell>
          <cell r="AT80">
            <v>0.1859762792722181</v>
          </cell>
          <cell r="AV80">
            <v>0.15937798763444441</v>
          </cell>
        </row>
        <row r="81">
          <cell r="C81">
            <v>25696419.646220412</v>
          </cell>
          <cell r="D81">
            <v>23049448.697548721</v>
          </cell>
          <cell r="E81">
            <v>19492904.953222036</v>
          </cell>
          <cell r="F81">
            <v>14664952.858594798</v>
          </cell>
          <cell r="G81">
            <v>8674560.9004981183</v>
          </cell>
          <cell r="AB81">
            <v>3923258.6672113538</v>
          </cell>
          <cell r="AC81">
            <v>4623072.3231927976</v>
          </cell>
          <cell r="AD81">
            <v>6384598.933180213</v>
          </cell>
          <cell r="AE81">
            <v>4192082.9927446246</v>
          </cell>
          <cell r="AF81">
            <v>4956534.4315343648</v>
          </cell>
          <cell r="AR81">
            <v>0.10330669647315253</v>
          </cell>
          <cell r="AT81">
            <v>0.18710878984667642</v>
          </cell>
          <cell r="AV81">
            <v>0.15884035560307067</v>
          </cell>
        </row>
        <row r="82">
          <cell r="C82">
            <v>27560566.553959925</v>
          </cell>
          <cell r="D82">
            <v>24726263.920543429</v>
          </cell>
          <cell r="E82">
            <v>20604387.950109474</v>
          </cell>
          <cell r="F82">
            <v>15271174.445530228</v>
          </cell>
          <cell r="G82">
            <v>9186730.619644193</v>
          </cell>
          <cell r="AB82">
            <v>4204914.8209454864</v>
          </cell>
          <cell r="AC82">
            <v>5046219.2084428668</v>
          </cell>
          <cell r="AD82">
            <v>5346259.8991442323</v>
          </cell>
          <cell r="AE82">
            <v>4571835.277219981</v>
          </cell>
          <cell r="AF82">
            <v>5352755.3836856186</v>
          </cell>
          <cell r="AR82">
            <v>0.10373737517154862</v>
          </cell>
          <cell r="AT82">
            <v>0.18810211250134329</v>
          </cell>
          <cell r="AV82">
            <v>0.1581373927284899</v>
          </cell>
        </row>
        <row r="83">
          <cell r="C83">
            <v>29564424.4225122</v>
          </cell>
          <cell r="D83">
            <v>26458917.762714565</v>
          </cell>
          <cell r="E83">
            <v>21443869.939957172</v>
          </cell>
          <cell r="F83">
            <v>15909343.228416696</v>
          </cell>
          <cell r="G83">
            <v>9830559.401026804</v>
          </cell>
          <cell r="AB83">
            <v>4548421.1723493487</v>
          </cell>
          <cell r="AC83">
            <v>5314893.0378754437</v>
          </cell>
          <cell r="AD83">
            <v>4019797.1505268067</v>
          </cell>
          <cell r="AE83">
            <v>4859479.5529581457</v>
          </cell>
          <cell r="AF83">
            <v>11110393.410174042</v>
          </cell>
          <cell r="AR83">
            <v>0.10424225377983688</v>
          </cell>
          <cell r="AT83">
            <v>0.18873970043674193</v>
          </cell>
          <cell r="AV83">
            <v>0.15737760776258469</v>
          </cell>
        </row>
        <row r="84">
          <cell r="C84">
            <v>31711589.248727392</v>
          </cell>
          <cell r="D84">
            <v>27565660.940039027</v>
          </cell>
          <cell r="E84">
            <v>22331647.598430812</v>
          </cell>
          <cell r="F84">
            <v>16735011.52132266</v>
          </cell>
          <cell r="G84">
            <v>10515591.877783816</v>
          </cell>
          <cell r="AB84">
            <v>4882018.8408417329</v>
          </cell>
          <cell r="AC84">
            <v>3335246.8054265827</v>
          </cell>
          <cell r="AD84">
            <v>4351070.5058034062</v>
          </cell>
          <cell r="AE84">
            <v>6723723.7183236033</v>
          </cell>
          <cell r="AF84">
            <v>12277023.721912295</v>
          </cell>
          <cell r="AR84">
            <v>0.10473646180339211</v>
          </cell>
          <cell r="AT84">
            <v>0.18942737941969759</v>
          </cell>
          <cell r="AV84">
            <v>0.15668633949218463</v>
          </cell>
        </row>
        <row r="85">
          <cell r="C85">
            <v>34010709.258070171</v>
          </cell>
          <cell r="D85">
            <v>29310412.031568553</v>
          </cell>
          <cell r="E85">
            <v>23991010.411103364</v>
          </cell>
          <cell r="F85">
            <v>18603021.226987157</v>
          </cell>
          <cell r="G85">
            <v>11201786.869429098</v>
          </cell>
          <cell r="AB85">
            <v>5190869.3449057341</v>
          </cell>
          <cell r="AC85">
            <v>5298963.0635490716</v>
          </cell>
          <cell r="AD85">
            <v>8250735.8265270293</v>
          </cell>
          <cell r="AE85">
            <v>15632856.031514809</v>
          </cell>
          <cell r="AF85">
            <v>12141737.784078211</v>
          </cell>
          <cell r="AR85">
            <v>0.10510373151620385</v>
          </cell>
          <cell r="AT85">
            <v>0.190700543325829</v>
          </cell>
          <cell r="AV85">
            <v>0.15597377192452283</v>
          </cell>
        </row>
        <row r="86">
          <cell r="C86">
            <v>36472957.826300643</v>
          </cell>
          <cell r="D86">
            <v>31958521.50391018</v>
          </cell>
          <cell r="E86">
            <v>26959601.913211994</v>
          </cell>
          <cell r="F86">
            <v>20141921.579630744</v>
          </cell>
          <cell r="G86">
            <v>12041106.833754662</v>
          </cell>
          <cell r="AB86">
            <v>5547505.6539287269</v>
          </cell>
          <cell r="AC86">
            <v>8124090.4887536168</v>
          </cell>
          <cell r="AD86">
            <v>14942407.341585755</v>
          </cell>
          <cell r="AE86">
            <v>12698341.978301138</v>
          </cell>
          <cell r="AF86">
            <v>15009921.969211817</v>
          </cell>
          <cell r="AR86">
            <v>0.10541612282797076</v>
          </cell>
          <cell r="AT86">
            <v>0.19166169639607755</v>
          </cell>
          <cell r="AV86">
            <v>0.15520803374577877</v>
          </cell>
        </row>
        <row r="87">
          <cell r="C87">
            <v>39111349.925904736</v>
          </cell>
          <cell r="D87">
            <v>34863056.701748207</v>
          </cell>
          <cell r="E87">
            <v>28622635.615127362</v>
          </cell>
          <cell r="F87">
            <v>21338766.946358681</v>
          </cell>
          <cell r="G87">
            <v>13050842.56434934</v>
          </cell>
          <cell r="AB87">
            <v>5984547.3391373008</v>
          </cell>
          <cell r="AC87">
            <v>8962765.8895563185</v>
          </cell>
          <cell r="AD87">
            <v>8229833.1380602121</v>
          </cell>
          <cell r="AE87">
            <v>9799411.2995479107</v>
          </cell>
          <cell r="AF87">
            <v>18218214.590951502</v>
          </cell>
          <cell r="AR87">
            <v>0.10579386640133892</v>
          </cell>
          <cell r="AT87">
            <v>0.19166608091281648</v>
          </cell>
          <cell r="AV87">
            <v>0.15419713465055968</v>
          </cell>
        </row>
        <row r="88">
          <cell r="C88">
            <v>41936761.8929886</v>
          </cell>
          <cell r="D88">
            <v>36779572.608095847</v>
          </cell>
          <cell r="E88">
            <v>30032879.049219057</v>
          </cell>
          <cell r="F88">
            <v>22793814.084044568</v>
          </cell>
          <cell r="G88">
            <v>13866196.360827256</v>
          </cell>
          <cell r="AB88">
            <v>6440695.6739923507</v>
          </cell>
          <cell r="AC88">
            <v>5807017.8886229396</v>
          </cell>
          <cell r="AD88">
            <v>6959876.2434693873</v>
          </cell>
          <cell r="AE88">
            <v>11393092.537036747</v>
          </cell>
          <cell r="AF88">
            <v>14678352.055202276</v>
          </cell>
          <cell r="AR88">
            <v>0.1062062296356272</v>
          </cell>
          <cell r="AT88">
            <v>0.1916597333185055</v>
          </cell>
          <cell r="AV88">
            <v>0.1534014434944331</v>
          </cell>
        </row>
        <row r="89">
          <cell r="C89">
            <v>44964734.722161323</v>
          </cell>
          <cell r="D89">
            <v>39012570.776814669</v>
          </cell>
          <cell r="E89">
            <v>32083549.038833316</v>
          </cell>
          <cell r="F89">
            <v>24842914.886596698</v>
          </cell>
          <cell r="G89">
            <v>14741607.896569207</v>
          </cell>
          <cell r="AB89">
            <v>6867068.6692077368</v>
          </cell>
          <cell r="AC89">
            <v>6738468.1537035853</v>
          </cell>
          <cell r="AD89">
            <v>10076163.834347665</v>
          </cell>
          <cell r="AE89">
            <v>15896419.358055413</v>
          </cell>
          <cell r="AF89">
            <v>15367421.653199911</v>
          </cell>
          <cell r="AR89">
            <v>0.10652578752680128</v>
          </cell>
          <cell r="AT89">
            <v>0.19154693182899249</v>
          </cell>
          <cell r="AV89">
            <v>0.15301581904047334</v>
          </cell>
        </row>
        <row r="90">
          <cell r="C90">
            <v>48210525.353860512</v>
          </cell>
          <cell r="D90">
            <v>42128191.864199847</v>
          </cell>
          <cell r="E90">
            <v>35374010.456998095</v>
          </cell>
          <cell r="F90">
            <v>26973584.932989955</v>
          </cell>
          <cell r="G90">
            <v>15691188.051047398</v>
          </cell>
          <cell r="AB90">
            <v>7318824.1089503765</v>
          </cell>
          <cell r="AC90">
            <v>9371160.2993823737</v>
          </cell>
          <cell r="AD90">
            <v>15953945.829607964</v>
          </cell>
          <cell r="AE90">
            <v>16381594.93312043</v>
          </cell>
          <cell r="AF90">
            <v>13593254.240757614</v>
          </cell>
          <cell r="AR90">
            <v>0.10721894873066677</v>
          </cell>
          <cell r="AT90">
            <v>0.19114148996834951</v>
          </cell>
          <cell r="AV90">
            <v>0.15087313123456517</v>
          </cell>
        </row>
        <row r="91">
          <cell r="C91">
            <v>51692875.361010373</v>
          </cell>
          <cell r="D91">
            <v>45963239.455774643</v>
          </cell>
          <cell r="E91">
            <v>38316787.158573754</v>
          </cell>
          <cell r="F91">
            <v>28892803.407956015</v>
          </cell>
          <cell r="G91">
            <v>16257873.178431351</v>
          </cell>
          <cell r="AB91">
            <v>7792079.8078800142</v>
          </cell>
          <cell r="AC91">
            <v>11359132.528985888</v>
          </cell>
          <cell r="AD91">
            <v>13874865.409365684</v>
          </cell>
          <cell r="AE91">
            <v>15198775.018557519</v>
          </cell>
          <cell r="AF91">
            <v>0</v>
          </cell>
          <cell r="AR91">
            <v>0.10822594082077901</v>
          </cell>
          <cell r="AT91">
            <v>0.19039665913399925</v>
          </cell>
          <cell r="AV91">
            <v>0.14502233333452613</v>
          </cell>
        </row>
        <row r="92">
          <cell r="C92">
            <v>55429222.447185427</v>
          </cell>
          <cell r="D92">
            <v>49022546.067459583</v>
          </cell>
          <cell r="E92">
            <v>40473892.465822868</v>
          </cell>
          <cell r="F92">
            <v>29832221.85049</v>
          </cell>
          <cell r="G92">
            <v>16749319.077818431</v>
          </cell>
          <cell r="AB92">
            <v>8250504.8347092718</v>
          </cell>
          <cell r="AC92">
            <v>8808205.7347943485</v>
          </cell>
          <cell r="AD92">
            <v>10020769.806242049</v>
          </cell>
          <cell r="AE92">
            <v>445295.53343236446</v>
          </cell>
          <cell r="AF92">
            <v>0</v>
          </cell>
          <cell r="AR92">
            <v>0.10944491450024935</v>
          </cell>
          <cell r="AT92">
            <v>0.1898000710600343</v>
          </cell>
          <cell r="AV92">
            <v>0.14029477354882791</v>
          </cell>
        </row>
        <row r="93">
          <cell r="C93">
            <v>59439778.506621227</v>
          </cell>
          <cell r="D93">
            <v>52163757.626666568</v>
          </cell>
          <cell r="E93">
            <v>42563620.282563947</v>
          </cell>
          <cell r="F93">
            <v>30856394.828434508</v>
          </cell>
          <cell r="G93">
            <v>17327709.753662787</v>
          </cell>
          <cell r="AB93">
            <v>8776453.0282527953</v>
          </cell>
          <cell r="AC93">
            <v>8893775.0646990836</v>
          </cell>
          <cell r="AD93">
            <v>6455283.5041831732</v>
          </cell>
          <cell r="AE93">
            <v>0</v>
          </cell>
          <cell r="AF93">
            <v>0</v>
          </cell>
          <cell r="AR93">
            <v>0.1109136544240146</v>
          </cell>
          <cell r="AT93">
            <v>0.18568266203226641</v>
          </cell>
          <cell r="AV93">
            <v>0.13509667420204571</v>
          </cell>
        </row>
        <row r="94">
          <cell r="C94">
            <v>63740930.383217447</v>
          </cell>
          <cell r="D94">
            <v>55645336.854685396</v>
          </cell>
          <cell r="E94">
            <v>44407055.603246592</v>
          </cell>
          <cell r="F94">
            <v>32141164.609194752</v>
          </cell>
          <cell r="G94">
            <v>18831879.769924711</v>
          </cell>
          <cell r="AB94">
            <v>9166741.4217201769</v>
          </cell>
          <cell r="AC94">
            <v>8494477.012785852</v>
          </cell>
          <cell r="AD94">
            <v>0</v>
          </cell>
          <cell r="AE94">
            <v>0</v>
          </cell>
          <cell r="AF94">
            <v>0</v>
          </cell>
          <cell r="AR94">
            <v>0.11237986550062733</v>
          </cell>
          <cell r="AT94">
            <v>0.17646046486006045</v>
          </cell>
          <cell r="AV94">
            <v>0.10582444556925577</v>
          </cell>
        </row>
        <row r="95">
          <cell r="C95">
            <v>68353007.719342589</v>
          </cell>
          <cell r="D95">
            <v>58226061.448433369</v>
          </cell>
          <cell r="E95">
            <v>46584782.266714737</v>
          </cell>
          <cell r="F95">
            <v>33904721.834763825</v>
          </cell>
          <cell r="G95">
            <v>22696359.142461356</v>
          </cell>
          <cell r="AB95">
            <v>8836949.044906497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R95">
            <v>0.11284307189240235</v>
          </cell>
          <cell r="AT95">
            <v>0.16661876645864299</v>
          </cell>
          <cell r="AV95">
            <v>6.2034198844246331E-2</v>
          </cell>
        </row>
        <row r="96">
          <cell r="C96">
            <v>73300931.037849337</v>
          </cell>
          <cell r="D96">
            <v>62435991.685752943</v>
          </cell>
          <cell r="E96">
            <v>50900839.005178139</v>
          </cell>
          <cell r="F96">
            <v>39828398.635118753</v>
          </cell>
          <cell r="G96">
            <v>28748475.078743406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R96">
            <v>0.10141902027486835</v>
          </cell>
          <cell r="AT96">
            <v>0.15546455681987734</v>
          </cell>
          <cell r="AV96">
            <v>4.3069162184596742E-2</v>
          </cell>
        </row>
        <row r="97">
          <cell r="C97">
            <v>78606782.694772214</v>
          </cell>
          <cell r="D97">
            <v>67978522.722027138</v>
          </cell>
          <cell r="E97">
            <v>57189552.692888804</v>
          </cell>
          <cell r="F97">
            <v>46336987.762656718</v>
          </cell>
          <cell r="G97">
            <v>35498444.61607644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R97">
            <v>9.0528251723839687E-2</v>
          </cell>
          <cell r="AT97">
            <v>0.14331173748577972</v>
          </cell>
          <cell r="AV97">
            <v>3.2486811030625458E-2</v>
          </cell>
        </row>
        <row r="98">
          <cell r="C98">
            <v>80194980.214437589</v>
          </cell>
          <cell r="D98">
            <v>69550225.625104263</v>
          </cell>
          <cell r="E98">
            <v>58894335.887404539</v>
          </cell>
          <cell r="F98">
            <v>48078564.066574983</v>
          </cell>
          <cell r="G98">
            <v>37244129.371855885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R98">
            <v>8.4937380030617238E-2</v>
          </cell>
          <cell r="AT98">
            <v>0.13629048142237568</v>
          </cell>
          <cell r="AV98">
            <v>2.6348968585730524E-2</v>
          </cell>
        </row>
        <row r="99">
          <cell r="C99">
            <v>81789286.666121528</v>
          </cell>
          <cell r="D99">
            <v>71152182.140349239</v>
          </cell>
          <cell r="E99">
            <v>60559986.435458884</v>
          </cell>
          <cell r="F99">
            <v>49811340.061619774</v>
          </cell>
          <cell r="G99">
            <v>38995959.057021685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R99">
            <v>7.9779512035718841E-2</v>
          </cell>
          <cell r="AT99">
            <v>0.12981891026146483</v>
          </cell>
          <cell r="AV99">
            <v>2.2107178577206069E-2</v>
          </cell>
        </row>
        <row r="100">
          <cell r="C100">
            <v>83505943.427642986</v>
          </cell>
          <cell r="D100">
            <v>72905913.408314615</v>
          </cell>
          <cell r="E100">
            <v>62367063.886132315</v>
          </cell>
          <cell r="F100">
            <v>51654062.632277809</v>
          </cell>
          <cell r="G100">
            <v>40879344.93271441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R100">
            <v>7.4878086568917535E-2</v>
          </cell>
          <cell r="AT100">
            <v>0.12368472415694647</v>
          </cell>
          <cell r="AV100">
            <v>1.8989620030901294E-2</v>
          </cell>
        </row>
        <row r="101">
          <cell r="C101">
            <v>85354527.4888383</v>
          </cell>
          <cell r="D101">
            <v>74757768.041447878</v>
          </cell>
          <cell r="E101">
            <v>64310950.948535986</v>
          </cell>
          <cell r="F101">
            <v>53646694.779176481</v>
          </cell>
          <cell r="G101">
            <v>42921771.986767448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R101">
            <v>7.0194929365885964E-2</v>
          </cell>
          <cell r="AT101">
            <v>0.11785713598559155</v>
          </cell>
          <cell r="AV101">
            <v>1.6596161247355853E-2</v>
          </cell>
        </row>
        <row r="102">
          <cell r="C102">
            <v>87346960.307938859</v>
          </cell>
          <cell r="D102">
            <v>76799103.768124729</v>
          </cell>
          <cell r="E102">
            <v>66395294.666279912</v>
          </cell>
          <cell r="F102">
            <v>55789037.703061201</v>
          </cell>
          <cell r="G102">
            <v>45108127.028621718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R102">
            <v>6.569485154727453E-2</v>
          </cell>
          <cell r="AT102">
            <v>0.11230284729328033</v>
          </cell>
          <cell r="AV102">
            <v>1.4698476840950428E-2</v>
          </cell>
        </row>
        <row r="103">
          <cell r="C103">
            <v>89492765.342528179</v>
          </cell>
          <cell r="D103">
            <v>78938352.102036908</v>
          </cell>
          <cell r="E103">
            <v>68649279.476061612</v>
          </cell>
          <cell r="F103">
            <v>58091781.455057174</v>
          </cell>
          <cell r="G103">
            <v>47450676.986183941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R103">
            <v>6.1349809220079161E-2</v>
          </cell>
          <cell r="AT103">
            <v>0.10697313568687487</v>
          </cell>
          <cell r="AV103">
            <v>1.315380327187105E-2</v>
          </cell>
        </row>
        <row r="104">
          <cell r="C104">
            <v>91803930.003813729</v>
          </cell>
          <cell r="D104">
            <v>81312950.821288943</v>
          </cell>
          <cell r="E104">
            <v>71069044.623446405</v>
          </cell>
          <cell r="F104">
            <v>60607065.10396985</v>
          </cell>
          <cell r="G104">
            <v>50019909.924398333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R104">
            <v>5.7133101574239967E-2</v>
          </cell>
          <cell r="AT104">
            <v>0.10185000169787412</v>
          </cell>
          <cell r="AV104">
            <v>1.186595228363967E-2</v>
          </cell>
        </row>
        <row r="105">
          <cell r="C105">
            <v>94249639.039467663</v>
          </cell>
          <cell r="D105">
            <v>83801250.96247372</v>
          </cell>
          <cell r="E105">
            <v>73673645.936871067</v>
          </cell>
          <cell r="F105">
            <v>63280509.136091694</v>
          </cell>
          <cell r="G105">
            <v>52774885.444033235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R105">
            <v>5.3060867929778217E-2</v>
          </cell>
          <cell r="AT105">
            <v>9.6901008204397024E-2</v>
          </cell>
          <cell r="AV105">
            <v>1.0775220305280626E-2</v>
          </cell>
        </row>
      </sheetData>
      <sheetData sheetId="18">
        <row r="6">
          <cell r="D6">
            <v>38890.640396720337</v>
          </cell>
          <cell r="E6">
            <v>49271.900994222269</v>
          </cell>
          <cell r="F6">
            <v>58703.026440645219</v>
          </cell>
          <cell r="G6">
            <v>68489.009344734863</v>
          </cell>
          <cell r="H6">
            <v>84933.165673813914</v>
          </cell>
          <cell r="AJ6">
            <v>4547.5481108185368</v>
          </cell>
          <cell r="AK6">
            <v>4760.0101749797286</v>
          </cell>
          <cell r="AL6">
            <v>4998.7444298705332</v>
          </cell>
          <cell r="AM6">
            <v>5250.0436455450626</v>
          </cell>
          <cell r="AN6">
            <v>5507.0542070303763</v>
          </cell>
          <cell r="BH6">
            <v>-1.0546830154986884</v>
          </cell>
          <cell r="BJ6">
            <v>-1.3047875070911816</v>
          </cell>
          <cell r="BL6">
            <v>-0.87718898196744211</v>
          </cell>
        </row>
        <row r="7">
          <cell r="D7">
            <v>66147.898988666071</v>
          </cell>
          <cell r="E7">
            <v>80925.185354440997</v>
          </cell>
          <cell r="F7">
            <v>93553.606221218579</v>
          </cell>
          <cell r="G7">
            <v>106741.31061858781</v>
          </cell>
          <cell r="H7">
            <v>126351.60353625812</v>
          </cell>
          <cell r="AJ7">
            <v>7967.6704800736979</v>
          </cell>
          <cell r="AK7">
            <v>8442.3492024635889</v>
          </cell>
          <cell r="AL7">
            <v>9019.9067802491736</v>
          </cell>
          <cell r="AM7">
            <v>9641.0294839773014</v>
          </cell>
          <cell r="AN7">
            <v>10327.00437949339</v>
          </cell>
          <cell r="BH7">
            <v>-0.78655429778600905</v>
          </cell>
          <cell r="BJ7">
            <v>-0.91192173807115307</v>
          </cell>
          <cell r="BL7">
            <v>-0.56732193705103107</v>
          </cell>
        </row>
        <row r="8">
          <cell r="D8">
            <v>94158.713311917207</v>
          </cell>
          <cell r="E8">
            <v>113135.18451078977</v>
          </cell>
          <cell r="F8">
            <v>128681.5877349386</v>
          </cell>
          <cell r="G8">
            <v>145191.74728584886</v>
          </cell>
          <cell r="H8">
            <v>166745.07970149626</v>
          </cell>
          <cell r="AJ8">
            <v>10759.911334201146</v>
          </cell>
          <cell r="AK8">
            <v>11454.968410574184</v>
          </cell>
          <cell r="AL8">
            <v>12199.747105435641</v>
          </cell>
          <cell r="AM8">
            <v>13018.484924198976</v>
          </cell>
          <cell r="AN8">
            <v>13847.964962006157</v>
          </cell>
          <cell r="BH8">
            <v>-0.66092458224342099</v>
          </cell>
          <cell r="BJ8">
            <v>-0.74004018733042098</v>
          </cell>
          <cell r="BL8">
            <v>-0.43960291112246497</v>
          </cell>
        </row>
        <row r="9">
          <cell r="D9">
            <v>123757.19362356277</v>
          </cell>
          <cell r="E9">
            <v>146483.49777679378</v>
          </cell>
          <cell r="F9">
            <v>164080.63464228145</v>
          </cell>
          <cell r="G9">
            <v>182714.60253152816</v>
          </cell>
          <cell r="H9">
            <v>203168.64712495208</v>
          </cell>
          <cell r="AJ9">
            <v>14147.018522796243</v>
          </cell>
          <cell r="AK9">
            <v>18254.739258309055</v>
          </cell>
          <cell r="AL9">
            <v>22896.80752319314</v>
          </cell>
          <cell r="AM9">
            <v>28122.006771434033</v>
          </cell>
          <cell r="AN9">
            <v>33641.279312498096</v>
          </cell>
          <cell r="BH9">
            <v>-0.57555842485651754</v>
          </cell>
          <cell r="BJ9">
            <v>-0.58912131308598747</v>
          </cell>
          <cell r="BL9">
            <v>-0.31534031910391419</v>
          </cell>
        </row>
        <row r="10">
          <cell r="D10">
            <v>153168.3229155459</v>
          </cell>
          <cell r="E10">
            <v>178918.81606866702</v>
          </cell>
          <cell r="F10">
            <v>197999.3792087021</v>
          </cell>
          <cell r="G10">
            <v>218333.5720642005</v>
          </cell>
          <cell r="H10">
            <v>236983.61970654322</v>
          </cell>
          <cell r="AJ10">
            <v>33379.941101354554</v>
          </cell>
          <cell r="AK10">
            <v>36397.90841650193</v>
          </cell>
          <cell r="AL10">
            <v>41901.757949911567</v>
          </cell>
          <cell r="AM10">
            <v>48066.757913160931</v>
          </cell>
          <cell r="AN10">
            <v>54982.369217547857</v>
          </cell>
          <cell r="BH10">
            <v>-0.42523166378399097</v>
          </cell>
          <cell r="BJ10">
            <v>-0.42340614777444707</v>
          </cell>
          <cell r="BL10">
            <v>-0.20708068073309441</v>
          </cell>
        </row>
        <row r="11">
          <cell r="D11">
            <v>183908.85708082881</v>
          </cell>
          <cell r="E11">
            <v>213102.01334525441</v>
          </cell>
          <cell r="F11">
            <v>233631.24192656646</v>
          </cell>
          <cell r="G11">
            <v>257090.55744888663</v>
          </cell>
          <cell r="H11">
            <v>273825.16796564352</v>
          </cell>
          <cell r="AJ11">
            <v>47116.095299214969</v>
          </cell>
          <cell r="AK11">
            <v>51813.004695035503</v>
          </cell>
          <cell r="AL11">
            <v>55169.282835176025</v>
          </cell>
          <cell r="AM11">
            <v>64481.676115209484</v>
          </cell>
          <cell r="AN11">
            <v>74173.949545030977</v>
          </cell>
          <cell r="BH11">
            <v>-0.28129750368523992</v>
          </cell>
          <cell r="BJ11">
            <v>-0.28456015198132661</v>
          </cell>
          <cell r="BL11">
            <v>-0.11879112757957198</v>
          </cell>
        </row>
        <row r="12">
          <cell r="D12">
            <v>217718.49775521396</v>
          </cell>
          <cell r="E12">
            <v>251067.33306601379</v>
          </cell>
          <cell r="F12">
            <v>273752.51303789491</v>
          </cell>
          <cell r="G12">
            <v>299325.05322173843</v>
          </cell>
          <cell r="H12">
            <v>314107.26297636452</v>
          </cell>
          <cell r="AJ12">
            <v>56766.642150360334</v>
          </cell>
          <cell r="AK12">
            <v>64738.295868499728</v>
          </cell>
          <cell r="AL12">
            <v>73204.417210910324</v>
          </cell>
          <cell r="AM12">
            <v>78371.110919340601</v>
          </cell>
          <cell r="AN12">
            <v>79157.806935447355</v>
          </cell>
          <cell r="BH12">
            <v>-0.16461687906457226</v>
          </cell>
          <cell r="BJ12">
            <v>-0.15918038348219812</v>
          </cell>
          <cell r="BL12">
            <v>-6.0119354737938342E-2</v>
          </cell>
        </row>
        <row r="13">
          <cell r="D13">
            <v>254282.29452852588</v>
          </cell>
          <cell r="E13">
            <v>291215.45982047898</v>
          </cell>
          <cell r="F13">
            <v>316015.81512952421</v>
          </cell>
          <cell r="G13">
            <v>344523.92122739088</v>
          </cell>
          <cell r="H13">
            <v>354868.94529266446</v>
          </cell>
          <cell r="AJ13">
            <v>65894.779085131304</v>
          </cell>
          <cell r="AK13">
            <v>65886.485046888614</v>
          </cell>
          <cell r="AL13">
            <v>65497.345602473768</v>
          </cell>
          <cell r="AM13">
            <v>64880.83499789171</v>
          </cell>
          <cell r="AN13">
            <v>68379.423346442054</v>
          </cell>
          <cell r="BH13">
            <v>-6.8005849305141905E-2</v>
          </cell>
          <cell r="BJ13">
            <v>-9.1916396191070115E-2</v>
          </cell>
          <cell r="BL13">
            <v>-2.9566174898120384E-2</v>
          </cell>
        </row>
        <row r="14">
          <cell r="D14">
            <v>293462.75720329757</v>
          </cell>
          <cell r="E14">
            <v>334765.06137597654</v>
          </cell>
          <cell r="F14">
            <v>359156.8644690045</v>
          </cell>
          <cell r="G14">
            <v>385513.80233753129</v>
          </cell>
          <cell r="H14">
            <v>389285.4919164555</v>
          </cell>
          <cell r="AJ14">
            <v>57018.146069713461</v>
          </cell>
          <cell r="AK14">
            <v>59707.876027640334</v>
          </cell>
          <cell r="AL14">
            <v>62641.687094849709</v>
          </cell>
          <cell r="AM14">
            <v>64702.914026668295</v>
          </cell>
          <cell r="AN14">
            <v>67535.489027371455</v>
          </cell>
          <cell r="BH14">
            <v>-2.248216825883945E-2</v>
          </cell>
          <cell r="BJ14">
            <v>-4.9750251860493269E-2</v>
          </cell>
          <cell r="BL14">
            <v>-4.3761576084570993E-3</v>
          </cell>
        </row>
        <row r="15">
          <cell r="D15">
            <v>335268.20648144727</v>
          </cell>
          <cell r="E15">
            <v>377439.18970113248</v>
          </cell>
          <cell r="F15">
            <v>401833.12725710694</v>
          </cell>
          <cell r="G15">
            <v>430628.69463323388</v>
          </cell>
          <cell r="H15">
            <v>431207.29498873337</v>
          </cell>
          <cell r="AJ15">
            <v>62136.221067571314</v>
          </cell>
          <cell r="AK15">
            <v>64417.913220586721</v>
          </cell>
          <cell r="AL15">
            <v>68048.829145472031</v>
          </cell>
          <cell r="AM15">
            <v>71418.23890415713</v>
          </cell>
          <cell r="AN15">
            <v>74985.244747405872</v>
          </cell>
          <cell r="BH15">
            <v>1.4737992707451138E-2</v>
          </cell>
          <cell r="BJ15">
            <v>-1.1188616469984999E-2</v>
          </cell>
          <cell r="BL15">
            <v>1.388621959053152E-2</v>
          </cell>
        </row>
        <row r="16">
          <cell r="D16">
            <v>378533.2927319922</v>
          </cell>
          <cell r="E16">
            <v>426845.14032648993</v>
          </cell>
          <cell r="F16">
            <v>455635.22966141655</v>
          </cell>
          <cell r="G16">
            <v>488190.42156446696</v>
          </cell>
          <cell r="H16">
            <v>484379.22700395313</v>
          </cell>
          <cell r="AJ16">
            <v>69007.005341384676</v>
          </cell>
          <cell r="AK16">
            <v>70402.735471400432</v>
          </cell>
          <cell r="AL16">
            <v>72186.844613957917</v>
          </cell>
          <cell r="AM16">
            <v>76358.086320168106</v>
          </cell>
          <cell r="AN16">
            <v>84496.056809353409</v>
          </cell>
          <cell r="BH16">
            <v>5.1693168453020646E-2</v>
          </cell>
          <cell r="BJ16">
            <v>9.7807696569185143E-3</v>
          </cell>
          <cell r="BL16">
            <v>2.5240568616610715E-2</v>
          </cell>
        </row>
        <row r="17">
          <cell r="D17">
            <v>424691.08866972878</v>
          </cell>
          <cell r="E17">
            <v>477543.31162438658</v>
          </cell>
          <cell r="F17">
            <v>509207.53067465639</v>
          </cell>
          <cell r="G17">
            <v>547448.45195140899</v>
          </cell>
          <cell r="H17">
            <v>535840.89773739723</v>
          </cell>
          <cell r="AJ17">
            <v>54274.86949388741</v>
          </cell>
          <cell r="AK17">
            <v>57171.060907649342</v>
          </cell>
          <cell r="AL17">
            <v>62709.520517350233</v>
          </cell>
          <cell r="AM17">
            <v>69860.349260622519</v>
          </cell>
          <cell r="AN17">
            <v>76140.332459572237</v>
          </cell>
          <cell r="BH17">
            <v>5.7857817179850467E-2</v>
          </cell>
          <cell r="BJ17">
            <v>1.6744926697575904E-2</v>
          </cell>
          <cell r="BL17">
            <v>3.1113066754248759E-2</v>
          </cell>
        </row>
        <row r="18">
          <cell r="D18">
            <v>475992.9696798537</v>
          </cell>
          <cell r="E18">
            <v>535154.93156784575</v>
          </cell>
          <cell r="F18">
            <v>568684.41849057982</v>
          </cell>
          <cell r="G18">
            <v>607051.78190286574</v>
          </cell>
          <cell r="H18">
            <v>584310.04032725608</v>
          </cell>
          <cell r="AJ18">
            <v>56337.887659069849</v>
          </cell>
          <cell r="AK18">
            <v>62037.03445429256</v>
          </cell>
          <cell r="AL18">
            <v>66685.96223293501</v>
          </cell>
          <cell r="AM18">
            <v>73955.378408753546</v>
          </cell>
          <cell r="AN18">
            <v>84347.272857067408</v>
          </cell>
          <cell r="BH18">
            <v>5.8780651770233575E-2</v>
          </cell>
          <cell r="BJ18">
            <v>2.0439641078751729E-2</v>
          </cell>
          <cell r="BL18">
            <v>3.8533495917082522E-2</v>
          </cell>
        </row>
        <row r="19">
          <cell r="D19">
            <v>532531.33938597352</v>
          </cell>
          <cell r="E19">
            <v>594345.38756488287</v>
          </cell>
          <cell r="F19">
            <v>627244.04237118142</v>
          </cell>
          <cell r="G19">
            <v>666380.76496469614</v>
          </cell>
          <cell r="H19">
            <v>634062.96740135597</v>
          </cell>
          <cell r="AJ19">
            <v>60022.275131598231</v>
          </cell>
          <cell r="AK19">
            <v>63056.191137710819</v>
          </cell>
          <cell r="AL19">
            <v>69452.088518139324</v>
          </cell>
          <cell r="AM19">
            <v>75388.017981219571</v>
          </cell>
          <cell r="AN19">
            <v>94605.397818392841</v>
          </cell>
          <cell r="BH19">
            <v>5.7451392883628168E-2</v>
          </cell>
          <cell r="BJ19">
            <v>2.6577647459297412E-2</v>
          </cell>
          <cell r="BL19">
            <v>4.6651605179477015E-2</v>
          </cell>
        </row>
        <row r="20">
          <cell r="D20">
            <v>591670.08795692353</v>
          </cell>
          <cell r="E20">
            <v>658649.27695601003</v>
          </cell>
          <cell r="F20">
            <v>692210.14116811519</v>
          </cell>
          <cell r="G20">
            <v>736196.31664966559</v>
          </cell>
          <cell r="H20">
            <v>696271.6448685996</v>
          </cell>
          <cell r="AJ20">
            <v>64568.10257850308</v>
          </cell>
          <cell r="AK20">
            <v>71135.708791232319</v>
          </cell>
          <cell r="AL20">
            <v>79622.74776899803</v>
          </cell>
          <cell r="AM20">
            <v>106364.07189515186</v>
          </cell>
          <cell r="AN20">
            <v>122391.03317052498</v>
          </cell>
          <cell r="BH20">
            <v>5.7716383345486698E-2</v>
          </cell>
          <cell r="BJ20">
            <v>3.3812716657209523E-2</v>
          </cell>
          <cell r="BL20">
            <v>5.5496853871507067E-2</v>
          </cell>
        </row>
        <row r="21">
          <cell r="D21">
            <v>655632.61387017416</v>
          </cell>
          <cell r="E21">
            <v>727799.06456172001</v>
          </cell>
          <cell r="F21">
            <v>763716.64429316972</v>
          </cell>
          <cell r="G21">
            <v>811626.89720284624</v>
          </cell>
          <cell r="H21">
            <v>750826.28939319414</v>
          </cell>
          <cell r="AJ21">
            <v>69436.391663789167</v>
          </cell>
          <cell r="AK21">
            <v>83584.650343174813</v>
          </cell>
          <cell r="AL21">
            <v>105121.37440201803</v>
          </cell>
          <cell r="AM21">
            <v>115389.18118604482</v>
          </cell>
          <cell r="AN21">
            <v>117587.2329241538</v>
          </cell>
          <cell r="BH21">
            <v>5.7525306142781209E-2</v>
          </cell>
          <cell r="BJ21">
            <v>5.0279554696580159E-2</v>
          </cell>
          <cell r="BL21">
            <v>6.2386621338519729E-2</v>
          </cell>
        </row>
        <row r="22">
          <cell r="D22">
            <v>724416.51483007695</v>
          </cell>
          <cell r="E22">
            <v>799281.83780906443</v>
          </cell>
          <cell r="F22">
            <v>834616.08707376581</v>
          </cell>
          <cell r="G22">
            <v>879387.47741312522</v>
          </cell>
          <cell r="H22">
            <v>802228.21327281336</v>
          </cell>
          <cell r="AJ22">
            <v>87458.312705743709</v>
          </cell>
          <cell r="AK22">
            <v>97253.546449167188</v>
          </cell>
          <cell r="AL22">
            <v>100487.40183519991</v>
          </cell>
          <cell r="AM22">
            <v>100073.69190917525</v>
          </cell>
          <cell r="AN22">
            <v>102143.68155470281</v>
          </cell>
          <cell r="BH22">
            <v>6.663866986315517E-2</v>
          </cell>
          <cell r="BJ22">
            <v>6.2014983687171073E-2</v>
          </cell>
          <cell r="BL22">
            <v>6.6279592830283757E-2</v>
          </cell>
        </row>
        <row r="23">
          <cell r="D23">
            <v>799162.02477341483</v>
          </cell>
          <cell r="E23">
            <v>880445.10866156733</v>
          </cell>
          <cell r="F23">
            <v>913374.36179398187</v>
          </cell>
          <cell r="G23">
            <v>958363.22800288873</v>
          </cell>
          <cell r="H23">
            <v>869945.42466800357</v>
          </cell>
          <cell r="AJ23">
            <v>100165.65839170106</v>
          </cell>
          <cell r="AK23">
            <v>104736.27983695804</v>
          </cell>
          <cell r="AL23">
            <v>109211.69109846861</v>
          </cell>
          <cell r="AM23">
            <v>120245.72419235879</v>
          </cell>
          <cell r="AN23">
            <v>134958.40900250082</v>
          </cell>
          <cell r="BH23">
            <v>7.8061373008890697E-2</v>
          </cell>
          <cell r="BJ23">
            <v>7.1516531090826327E-2</v>
          </cell>
          <cell r="BL23">
            <v>7.0384520283411675E-2</v>
          </cell>
        </row>
        <row r="24">
          <cell r="D24">
            <v>881058.97108210356</v>
          </cell>
          <cell r="E24">
            <v>964775.77041219419</v>
          </cell>
          <cell r="F24">
            <v>996618.93367403897</v>
          </cell>
          <cell r="G24">
            <v>1048647.0765551401</v>
          </cell>
          <cell r="H24">
            <v>936918.83888061426</v>
          </cell>
          <cell r="AJ24">
            <v>99542.322918717749</v>
          </cell>
          <cell r="AK24">
            <v>105432.56316860055</v>
          </cell>
          <cell r="AL24">
            <v>115878.93143286626</v>
          </cell>
          <cell r="AM24">
            <v>129671.70407530596</v>
          </cell>
          <cell r="AN24">
            <v>137013.5521197191</v>
          </cell>
          <cell r="BH24">
            <v>8.2322274497883596E-2</v>
          </cell>
          <cell r="BJ24">
            <v>7.9994442561302448E-2</v>
          </cell>
          <cell r="BL24">
            <v>7.3799555205410067E-2</v>
          </cell>
        </row>
        <row r="25">
          <cell r="D25">
            <v>968699.24925108638</v>
          </cell>
          <cell r="E25">
            <v>1053617.4800276663</v>
          </cell>
          <cell r="F25">
            <v>1086191.4368145519</v>
          </cell>
          <cell r="G25">
            <v>1136326.2227429829</v>
          </cell>
          <cell r="H25">
            <v>1001188.5511356225</v>
          </cell>
          <cell r="AJ25">
            <v>104237.11450921255</v>
          </cell>
          <cell r="AK25">
            <v>112083.43412339967</v>
          </cell>
          <cell r="AL25">
            <v>121920.54570943094</v>
          </cell>
          <cell r="AM25">
            <v>126139.89655078901</v>
          </cell>
          <cell r="AN25">
            <v>120370.63308064686</v>
          </cell>
          <cell r="BH25">
            <v>8.4684522919475883E-2</v>
          </cell>
          <cell r="BJ25">
            <v>8.6670621521923771E-2</v>
          </cell>
          <cell r="BL25">
            <v>7.5484536838268973E-2</v>
          </cell>
        </row>
        <row r="26">
          <cell r="D26">
            <v>1062320.2897538636</v>
          </cell>
          <cell r="E26">
            <v>1155854.2442779306</v>
          </cell>
          <cell r="F26">
            <v>1182695.1741760306</v>
          </cell>
          <cell r="G26">
            <v>1225139.2284082144</v>
          </cell>
          <cell r="H26">
            <v>1077777.6984657671</v>
          </cell>
          <cell r="AJ26">
            <v>114155.30265577883</v>
          </cell>
          <cell r="AK26">
            <v>125057.01559864823</v>
          </cell>
          <cell r="AL26">
            <v>128291.54627362546</v>
          </cell>
          <cell r="AM26">
            <v>129731.675998135</v>
          </cell>
          <cell r="AN26">
            <v>147240.04224658431</v>
          </cell>
          <cell r="BH26">
            <v>8.788097930770572E-2</v>
          </cell>
          <cell r="BJ26">
            <v>9.171407322741762E-2</v>
          </cell>
          <cell r="BL26">
            <v>7.7252966495253872E-2</v>
          </cell>
        </row>
        <row r="27">
          <cell r="D27">
            <v>1168428.9123304209</v>
          </cell>
          <cell r="E27">
            <v>1257636.6405789773</v>
          </cell>
          <cell r="F27">
            <v>1277542.8230981564</v>
          </cell>
          <cell r="G27">
            <v>1330078.3239912891</v>
          </cell>
          <cell r="H27">
            <v>1178444.977308589</v>
          </cell>
          <cell r="AJ27">
            <v>123008.95853961026</v>
          </cell>
          <cell r="AK27">
            <v>124041.55921060476</v>
          </cell>
          <cell r="AL27">
            <v>129011.28163823276</v>
          </cell>
          <cell r="AM27">
            <v>146219.4201293292</v>
          </cell>
          <cell r="AN27">
            <v>207211.33041636436</v>
          </cell>
          <cell r="BH27">
            <v>8.836096917669832E-2</v>
          </cell>
          <cell r="BJ27">
            <v>9.6597072704525805E-2</v>
          </cell>
          <cell r="BL27">
            <v>7.991113810808971E-2</v>
          </cell>
        </row>
        <row r="28">
          <cell r="D28">
            <v>1279912.2282962832</v>
          </cell>
          <cell r="E28">
            <v>1367074.1074739778</v>
          </cell>
          <cell r="F28">
            <v>1391859.8759407112</v>
          </cell>
          <cell r="G28">
            <v>1467669.2255485107</v>
          </cell>
          <cell r="H28">
            <v>1287277.1331626105</v>
          </cell>
          <cell r="AJ28">
            <v>133768.53995868564</v>
          </cell>
          <cell r="AK28">
            <v>137777.79919286165</v>
          </cell>
          <cell r="AL28">
            <v>154479.45836471464</v>
          </cell>
          <cell r="AM28">
            <v>208018.68807407259</v>
          </cell>
          <cell r="AN28">
            <v>226893.88237646245</v>
          </cell>
          <cell r="BH28">
            <v>9.0174654321030279E-2</v>
          </cell>
          <cell r="BJ28">
            <v>0.10120311573262142</v>
          </cell>
          <cell r="BL28">
            <v>8.5415520230040565E-2</v>
          </cell>
        </row>
        <row r="29">
          <cell r="D29">
            <v>1398051.164239089</v>
          </cell>
          <cell r="E29">
            <v>1503396.2986721804</v>
          </cell>
          <cell r="F29">
            <v>1548929.7345617281</v>
          </cell>
          <cell r="G29">
            <v>1624516.5909336698</v>
          </cell>
          <cell r="H29">
            <v>1405613.2616293156</v>
          </cell>
          <cell r="AJ29">
            <v>143996.70288219023</v>
          </cell>
          <cell r="AK29">
            <v>171186.13330391422</v>
          </cell>
          <cell r="AL29">
            <v>219498.7408028841</v>
          </cell>
          <cell r="AM29">
            <v>244263.37442949647</v>
          </cell>
          <cell r="AN29">
            <v>284082.10597067047</v>
          </cell>
          <cell r="BH29">
            <v>9.2262850298246282E-2</v>
          </cell>
          <cell r="BJ29">
            <v>0.10785236967118975</v>
          </cell>
          <cell r="BL29">
            <v>9.3220182410575364E-2</v>
          </cell>
        </row>
        <row r="30">
          <cell r="D30">
            <v>1530863.582522759</v>
          </cell>
          <cell r="E30">
            <v>1652269.3226594285</v>
          </cell>
          <cell r="F30">
            <v>1693723.430465434</v>
          </cell>
          <cell r="G30">
            <v>1777319.3692872645</v>
          </cell>
          <cell r="H30">
            <v>1525330.4367289755</v>
          </cell>
          <cell r="AJ30">
            <v>157441.39171746583</v>
          </cell>
          <cell r="AK30">
            <v>186444.11930068373</v>
          </cell>
          <cell r="AL30">
            <v>204020.99248936307</v>
          </cell>
          <cell r="AM30">
            <v>240479.4057751745</v>
          </cell>
          <cell r="AN30">
            <v>273668.13748200517</v>
          </cell>
          <cell r="BH30">
            <v>9.2977367321532722E-2</v>
          </cell>
          <cell r="BJ30">
            <v>0.11304117761612574</v>
          </cell>
          <cell r="BL30">
            <v>9.9170391529212171E-2</v>
          </cell>
        </row>
        <row r="31">
          <cell r="D31">
            <v>1672124.3642687658</v>
          </cell>
          <cell r="E31">
            <v>1802736.2686048038</v>
          </cell>
          <cell r="F31">
            <v>1850616.3902127375</v>
          </cell>
          <cell r="G31">
            <v>1930752.4805781043</v>
          </cell>
          <cell r="H31">
            <v>1644797.1158243041</v>
          </cell>
          <cell r="AJ31">
            <v>170244.89515493251</v>
          </cell>
          <cell r="AK31">
            <v>192484.78701626207</v>
          </cell>
          <cell r="AL31">
            <v>218125.92740004789</v>
          </cell>
          <cell r="AM31">
            <v>239611.93334451364</v>
          </cell>
          <cell r="AN31">
            <v>267444.45141257392</v>
          </cell>
          <cell r="BH31">
            <v>9.4125537160460321E-2</v>
          </cell>
          <cell r="BJ31">
            <v>0.11708308269691584</v>
          </cell>
          <cell r="BL31">
            <v>0.10390564029194922</v>
          </cell>
        </row>
        <row r="32">
          <cell r="D32">
            <v>1822787.9897538701</v>
          </cell>
          <cell r="E32">
            <v>1966259.2708759122</v>
          </cell>
          <cell r="F32">
            <v>2014798.7777981523</v>
          </cell>
          <cell r="G32">
            <v>2089378.0273056226</v>
          </cell>
          <cell r="H32">
            <v>1765463.3208330062</v>
          </cell>
          <cell r="AJ32">
            <v>184689.23152122484</v>
          </cell>
          <cell r="AK32">
            <v>203952.25862776209</v>
          </cell>
          <cell r="AL32">
            <v>228262.78998323996</v>
          </cell>
          <cell r="AM32">
            <v>242489.30089380406</v>
          </cell>
          <cell r="AN32">
            <v>293796.0260180356</v>
          </cell>
          <cell r="BH32">
            <v>9.568164140269067E-2</v>
          </cell>
          <cell r="BJ32">
            <v>0.12048918854909434</v>
          </cell>
          <cell r="BL32">
            <v>0.10896108434031766</v>
          </cell>
        </row>
        <row r="33">
          <cell r="D33">
            <v>1990189.8128829198</v>
          </cell>
          <cell r="E33">
            <v>2141759.7022098852</v>
          </cell>
          <cell r="F33">
            <v>2192975.5797749255</v>
          </cell>
          <cell r="G33">
            <v>2277375.9866392994</v>
          </cell>
          <cell r="H33">
            <v>1897100.1361330538</v>
          </cell>
          <cell r="AJ33">
            <v>199744.52065096889</v>
          </cell>
          <cell r="AK33">
            <v>218869.74525165372</v>
          </cell>
          <cell r="AL33">
            <v>250036.49631494144</v>
          </cell>
          <cell r="AM33">
            <v>309593.74303493463</v>
          </cell>
          <cell r="AN33">
            <v>341703.21363446862</v>
          </cell>
          <cell r="BH33">
            <v>9.5948057479856283E-2</v>
          </cell>
          <cell r="BJ33">
            <v>0.12373651755627725</v>
          </cell>
          <cell r="BL33">
            <v>0.11433924014588391</v>
          </cell>
        </row>
        <row r="34">
          <cell r="D34">
            <v>2169931.9790974366</v>
          </cell>
          <cell r="E34">
            <v>2333928.8061271496</v>
          </cell>
          <cell r="F34">
            <v>2391218.276789905</v>
          </cell>
          <cell r="G34">
            <v>2462304.7995929969</v>
          </cell>
          <cell r="H34">
            <v>2043007.4610272632</v>
          </cell>
          <cell r="AJ34">
            <v>216313.76466914779</v>
          </cell>
          <cell r="AK34">
            <v>244601.79128347291</v>
          </cell>
          <cell r="AL34">
            <v>286590.60582853341</v>
          </cell>
          <cell r="AM34">
            <v>308102.96812055679</v>
          </cell>
          <cell r="AN34">
            <v>403843.45487699891</v>
          </cell>
          <cell r="BH34">
            <v>9.6364777881306055E-2</v>
          </cell>
          <cell r="BJ34">
            <v>0.12749501104847988</v>
          </cell>
          <cell r="BL34">
            <v>0.12032689823399399</v>
          </cell>
        </row>
        <row r="35">
          <cell r="D35">
            <v>2359683.9018710423</v>
          </cell>
          <cell r="E35">
            <v>2538259.078425121</v>
          </cell>
          <cell r="F35">
            <v>2584318.6539515192</v>
          </cell>
          <cell r="G35">
            <v>2663925.4538534228</v>
          </cell>
          <cell r="H35">
            <v>2184380.0613858374</v>
          </cell>
          <cell r="AJ35">
            <v>235203.95456401864</v>
          </cell>
          <cell r="AK35">
            <v>259340.19463040913</v>
          </cell>
          <cell r="AL35">
            <v>282561.29207199579</v>
          </cell>
          <cell r="AM35">
            <v>348865.71710583754</v>
          </cell>
          <cell r="AN35">
            <v>386641.91189690167</v>
          </cell>
          <cell r="BH35">
            <v>9.7664782606171202E-2</v>
          </cell>
          <cell r="BJ35">
            <v>0.1306990449881355</v>
          </cell>
          <cell r="BL35">
            <v>0.12497088301489738</v>
          </cell>
        </row>
        <row r="36">
          <cell r="D36">
            <v>2567248.240506595</v>
          </cell>
          <cell r="E36">
            <v>2755485.3960590195</v>
          </cell>
          <cell r="F36">
            <v>2798010.5346669494</v>
          </cell>
          <cell r="G36">
            <v>2872636.1832281807</v>
          </cell>
          <cell r="H36">
            <v>2330139.4521016846</v>
          </cell>
          <cell r="AJ36">
            <v>252684.76610390469</v>
          </cell>
          <cell r="AK36">
            <v>283968.89261624031</v>
          </cell>
          <cell r="AL36">
            <v>321532.46710825199</v>
          </cell>
          <cell r="AM36">
            <v>365900.577849722</v>
          </cell>
          <cell r="AN36">
            <v>408542.17161085457</v>
          </cell>
          <cell r="BH36">
            <v>9.9516120362610025E-2</v>
          </cell>
          <cell r="BJ36">
            <v>0.13435280325101812</v>
          </cell>
          <cell r="BL36">
            <v>0.12929983798220041</v>
          </cell>
        </row>
        <row r="37">
          <cell r="D37">
            <v>2785931.4998097019</v>
          </cell>
          <cell r="E37">
            <v>2983286.9199920865</v>
          </cell>
          <cell r="F37">
            <v>3020453.976772802</v>
          </cell>
          <cell r="G37">
            <v>3085714.3947509555</v>
          </cell>
          <cell r="H37">
            <v>2485381.1934175435</v>
          </cell>
          <cell r="AJ37">
            <v>272958.15127091575</v>
          </cell>
          <cell r="AK37">
            <v>301327.15756762354</v>
          </cell>
          <cell r="AL37">
            <v>340999.3223088989</v>
          </cell>
          <cell r="AM37">
            <v>383139.00515983813</v>
          </cell>
          <cell r="AN37">
            <v>447686.29379135557</v>
          </cell>
          <cell r="BH37">
            <v>0.10194967837324205</v>
          </cell>
          <cell r="BJ37">
            <v>0.13801216021960466</v>
          </cell>
          <cell r="BL37">
            <v>0.1333493139015772</v>
          </cell>
        </row>
        <row r="38">
          <cell r="D38">
            <v>3017836.1667786525</v>
          </cell>
          <cell r="E38">
            <v>3224655.7363135</v>
          </cell>
          <cell r="F38">
            <v>3258208.5100107817</v>
          </cell>
          <cell r="G38">
            <v>3325401.7789744437</v>
          </cell>
          <cell r="H38">
            <v>2616508.7593020122</v>
          </cell>
          <cell r="AJ38">
            <v>292795.49147357186</v>
          </cell>
          <cell r="AK38">
            <v>330704.82780027529</v>
          </cell>
          <cell r="AL38">
            <v>371949.26101513579</v>
          </cell>
          <cell r="AM38">
            <v>437858.43350167572</v>
          </cell>
          <cell r="AN38">
            <v>362458.05404112488</v>
          </cell>
          <cell r="BH38">
            <v>0.10439385856064161</v>
          </cell>
          <cell r="BJ38">
            <v>0.14161274049408587</v>
          </cell>
          <cell r="BL38">
            <v>0.13598746062318517</v>
          </cell>
        </row>
        <row r="39">
          <cell r="D39">
            <v>3272769.196192597</v>
          </cell>
          <cell r="E39">
            <v>3482125.6559119127</v>
          </cell>
          <cell r="F39">
            <v>3510490.7457623053</v>
          </cell>
          <cell r="G39">
            <v>3549795.7312542573</v>
          </cell>
          <cell r="H39">
            <v>2766126.9710606178</v>
          </cell>
          <cell r="AJ39">
            <v>326344.43221150432</v>
          </cell>
          <cell r="AK39">
            <v>356511.63462595362</v>
          </cell>
          <cell r="AL39">
            <v>408845.43329690024</v>
          </cell>
          <cell r="AM39">
            <v>408230.76879268326</v>
          </cell>
          <cell r="AN39">
            <v>416228.35993239749</v>
          </cell>
          <cell r="BH39">
            <v>0.10723966228908605</v>
          </cell>
          <cell r="BJ39">
            <v>0.14561327971599025</v>
          </cell>
          <cell r="BL39">
            <v>0.13852300382416097</v>
          </cell>
        </row>
        <row r="40">
          <cell r="D40">
            <v>3544011.3189202282</v>
          </cell>
          <cell r="E40">
            <v>3757989.8916740268</v>
          </cell>
          <cell r="F40">
            <v>3774656.7717743241</v>
          </cell>
          <cell r="G40">
            <v>3758103.2748289583</v>
          </cell>
          <cell r="H40">
            <v>2921084.9221974704</v>
          </cell>
          <cell r="AJ40">
            <v>349767.30209076544</v>
          </cell>
          <cell r="AK40">
            <v>396120.94119111262</v>
          </cell>
          <cell r="AL40">
            <v>422765.53380620293</v>
          </cell>
          <cell r="AM40">
            <v>378047.41518482845</v>
          </cell>
          <cell r="AN40">
            <v>435379.95398581866</v>
          </cell>
          <cell r="BH40">
            <v>0.10989943530162288</v>
          </cell>
          <cell r="BJ40">
            <v>0.14988193560290552</v>
          </cell>
          <cell r="BL40">
            <v>0.14074416071658846</v>
          </cell>
        </row>
        <row r="41">
          <cell r="D41">
            <v>3830765.2635941114</v>
          </cell>
          <cell r="E41">
            <v>4054777.844200823</v>
          </cell>
          <cell r="F41">
            <v>4014594.6993002682</v>
          </cell>
          <cell r="G41">
            <v>3987720.8269130723</v>
          </cell>
          <cell r="H41">
            <v>3111451.9014091827</v>
          </cell>
          <cell r="AJ41">
            <v>381478.59877257422</v>
          </cell>
          <cell r="AK41">
            <v>418451.45349493064</v>
          </cell>
          <cell r="AL41">
            <v>387615.4978387095</v>
          </cell>
          <cell r="AM41">
            <v>410376.23453936726</v>
          </cell>
          <cell r="AN41">
            <v>617232.0991886463</v>
          </cell>
          <cell r="BH41">
            <v>0.11326006468170935</v>
          </cell>
          <cell r="BJ41">
            <v>0.15366703375931387</v>
          </cell>
          <cell r="BL41">
            <v>0.14423622100581912</v>
          </cell>
        </row>
        <row r="42">
          <cell r="D42">
            <v>4141321.3966154312</v>
          </cell>
          <cell r="E42">
            <v>4335025.4392458303</v>
          </cell>
          <cell r="F42">
            <v>4262352.9654369093</v>
          </cell>
          <cell r="G42">
            <v>4268713.0319939423</v>
          </cell>
          <cell r="H42">
            <v>3324402.4716608888</v>
          </cell>
          <cell r="AJ42">
            <v>410606.69555102475</v>
          </cell>
          <cell r="AK42">
            <v>398157.35862698406</v>
          </cell>
          <cell r="AL42">
            <v>400366.4594304869</v>
          </cell>
          <cell r="AM42">
            <v>543191.26887580566</v>
          </cell>
          <cell r="AN42">
            <v>662468.488195532</v>
          </cell>
          <cell r="BH42">
            <v>0.11600433235850598</v>
          </cell>
          <cell r="BJ42">
            <v>0.15689774036182111</v>
          </cell>
          <cell r="BL42">
            <v>0.14696186163251715</v>
          </cell>
        </row>
        <row r="43">
          <cell r="D43">
            <v>4470602.1887759333</v>
          </cell>
          <cell r="E43">
            <v>4641939.0490430631</v>
          </cell>
          <cell r="F43">
            <v>4580343.9132411936</v>
          </cell>
          <cell r="G43">
            <v>4623518.9914560905</v>
          </cell>
          <cell r="H43">
            <v>3589116.4885048242</v>
          </cell>
          <cell r="AJ43">
            <v>447086.56659641303</v>
          </cell>
          <cell r="AK43">
            <v>447211.01434589829</v>
          </cell>
          <cell r="AL43">
            <v>529989.20902449172</v>
          </cell>
          <cell r="AM43">
            <v>728128.03201401886</v>
          </cell>
          <cell r="AN43">
            <v>855956.53910712432</v>
          </cell>
          <cell r="BH43">
            <v>0.11923803395101951</v>
          </cell>
          <cell r="BJ43">
            <v>0.16107748143909645</v>
          </cell>
          <cell r="BL43">
            <v>0.15007564979303989</v>
          </cell>
        </row>
        <row r="44">
          <cell r="D44">
            <v>4819912.6564473063</v>
          </cell>
          <cell r="E44">
            <v>5019459.736254286</v>
          </cell>
          <cell r="F44">
            <v>5007175.1162167611</v>
          </cell>
          <cell r="G44">
            <v>5031386.1541053895</v>
          </cell>
          <cell r="H44">
            <v>3883431.3620570842</v>
          </cell>
          <cell r="AJ44">
            <v>484914.21287095081</v>
          </cell>
          <cell r="AK44">
            <v>564481.29374144599</v>
          </cell>
          <cell r="AL44">
            <v>758849.51836504042</v>
          </cell>
          <cell r="AM44">
            <v>827369.5495129237</v>
          </cell>
          <cell r="AN44">
            <v>1003242.3795950115</v>
          </cell>
          <cell r="BH44">
            <v>0.12273136006953241</v>
          </cell>
          <cell r="BJ44">
            <v>0.16755515350301575</v>
          </cell>
          <cell r="BL44">
            <v>0.15314204444584401</v>
          </cell>
        </row>
        <row r="45">
          <cell r="D45">
            <v>5200035.374571736</v>
          </cell>
          <cell r="E45">
            <v>5448157.7983385613</v>
          </cell>
          <cell r="F45">
            <v>5421849.7427319856</v>
          </cell>
          <cell r="G45">
            <v>5475238.4965162631</v>
          </cell>
          <cell r="H45">
            <v>4190657.4700614102</v>
          </cell>
          <cell r="AJ45">
            <v>524084.53222324792</v>
          </cell>
          <cell r="AK45">
            <v>660689.05706567131</v>
          </cell>
          <cell r="AL45">
            <v>735568.31209455524</v>
          </cell>
          <cell r="AM45">
            <v>900796.68773513474</v>
          </cell>
          <cell r="AN45">
            <v>1071960.2509345934</v>
          </cell>
          <cell r="BH45">
            <v>0.12442109119855474</v>
          </cell>
          <cell r="BJ45">
            <v>0.1725490092314409</v>
          </cell>
          <cell r="BL45">
            <v>0.15575428410729122</v>
          </cell>
        </row>
        <row r="46">
          <cell r="D46">
            <v>5604600.490542178</v>
          </cell>
          <cell r="E46">
            <v>5865125.5766714634</v>
          </cell>
          <cell r="F46">
            <v>5855637.917791524</v>
          </cell>
          <cell r="G46">
            <v>5895299.8838609643</v>
          </cell>
          <cell r="H46">
            <v>4502316.8034462286</v>
          </cell>
          <cell r="AJ46">
            <v>571807.94186430518</v>
          </cell>
          <cell r="AK46">
            <v>637238.94439634401</v>
          </cell>
          <cell r="AL46">
            <v>758499.45722682308</v>
          </cell>
          <cell r="AM46">
            <v>860075.74977080524</v>
          </cell>
          <cell r="AN46">
            <v>1078841.8796502929</v>
          </cell>
          <cell r="BH46">
            <v>0.12643538332743495</v>
          </cell>
          <cell r="BJ46">
            <v>0.1763966133656826</v>
          </cell>
          <cell r="BL46">
            <v>0.15768504156110633</v>
          </cell>
        </row>
        <row r="47">
          <cell r="D47">
            <v>6034852.0864579175</v>
          </cell>
          <cell r="E47">
            <v>6346135.414059611</v>
          </cell>
          <cell r="F47">
            <v>6328356.2673571166</v>
          </cell>
          <cell r="G47">
            <v>6358325.3730929503</v>
          </cell>
          <cell r="H47">
            <v>4803569.3987929579</v>
          </cell>
          <cell r="AJ47">
            <v>613557.1517940769</v>
          </cell>
          <cell r="AK47">
            <v>736620.79758118838</v>
          </cell>
          <cell r="AL47">
            <v>836516.98549921624</v>
          </cell>
          <cell r="AM47">
            <v>942687.36184297875</v>
          </cell>
          <cell r="AN47">
            <v>1009812.4761527181</v>
          </cell>
          <cell r="BH47">
            <v>0.12821829145220973</v>
          </cell>
          <cell r="BJ47">
            <v>0.17996753513767277</v>
          </cell>
          <cell r="BL47">
            <v>0.15886254786002216</v>
          </cell>
        </row>
        <row r="48">
          <cell r="D48">
            <v>6503668.8857570337</v>
          </cell>
          <cell r="E48">
            <v>6838152.4834970944</v>
          </cell>
          <cell r="F48">
            <v>6795749.0675250571</v>
          </cell>
          <cell r="G48">
            <v>6818054.3916312372</v>
          </cell>
          <cell r="H48">
            <v>5070375.5754522467</v>
          </cell>
          <cell r="AJ48">
            <v>671217.73439940717</v>
          </cell>
          <cell r="AK48">
            <v>741112.14923478663</v>
          </cell>
          <cell r="AL48">
            <v>826983.66125348955</v>
          </cell>
          <cell r="AM48">
            <v>934951.11631448753</v>
          </cell>
          <cell r="AN48">
            <v>844395.05959109589</v>
          </cell>
          <cell r="BH48">
            <v>0.12986729375285916</v>
          </cell>
          <cell r="BJ48">
            <v>0.18272422395665286</v>
          </cell>
          <cell r="BL48">
            <v>0.1593028436707315</v>
          </cell>
        </row>
        <row r="49">
          <cell r="D49">
            <v>7005315.9055206003</v>
          </cell>
          <cell r="E49">
            <v>7361949.4049321683</v>
          </cell>
          <cell r="F49">
            <v>7306241.2094008774</v>
          </cell>
          <cell r="G49">
            <v>7313926.2122579915</v>
          </cell>
          <cell r="H49">
            <v>5245424.1653341195</v>
          </cell>
          <cell r="AJ49">
            <v>719393.35531301796</v>
          </cell>
          <cell r="AK49">
            <v>807791.82719553076</v>
          </cell>
          <cell r="AL49">
            <v>892248.50319527648</v>
          </cell>
          <cell r="AM49">
            <v>1013913.6048996951</v>
          </cell>
          <cell r="AN49">
            <v>418586.24283457175</v>
          </cell>
          <cell r="BH49">
            <v>0.13112032279377725</v>
          </cell>
          <cell r="BJ49">
            <v>0.18430464194765875</v>
          </cell>
          <cell r="BL49">
            <v>0.15886174725955313</v>
          </cell>
        </row>
        <row r="50">
          <cell r="D50">
            <v>7540173.8338661091</v>
          </cell>
          <cell r="E50">
            <v>7927004.5540351188</v>
          </cell>
          <cell r="F50">
            <v>7852897.4618431842</v>
          </cell>
          <cell r="G50">
            <v>7684373.5762480674</v>
          </cell>
          <cell r="H50">
            <v>5428719.3420319185</v>
          </cell>
          <cell r="AJ50">
            <v>780080.79860853031</v>
          </cell>
          <cell r="AK50">
            <v>861991.70262958668</v>
          </cell>
          <cell r="AL50">
            <v>963361.3274379503</v>
          </cell>
          <cell r="AM50">
            <v>701192.51950888149</v>
          </cell>
          <cell r="AN50">
            <v>471035.93363144435</v>
          </cell>
          <cell r="BH50">
            <v>0.13248541163110564</v>
          </cell>
          <cell r="BJ50">
            <v>0.18550884193646502</v>
          </cell>
          <cell r="BL50">
            <v>0.15845725713131076</v>
          </cell>
        </row>
        <row r="51">
          <cell r="D51">
            <v>8118997.6937400242</v>
          </cell>
          <cell r="E51">
            <v>8525506.965788139</v>
          </cell>
          <cell r="F51">
            <v>8438565.0247464348</v>
          </cell>
          <cell r="G51">
            <v>7967635.4593306547</v>
          </cell>
          <cell r="H51">
            <v>5619697.1979835499</v>
          </cell>
          <cell r="AJ51">
            <v>838607.72647499107</v>
          </cell>
          <cell r="AK51">
            <v>920264.3710071668</v>
          </cell>
          <cell r="AL51">
            <v>1035839.1623939704</v>
          </cell>
          <cell r="AM51">
            <v>485049.75030227564</v>
          </cell>
          <cell r="AN51">
            <v>504571.33878469467</v>
          </cell>
          <cell r="BH51">
            <v>0.13332382817998595</v>
          </cell>
          <cell r="BJ51">
            <v>0.18631134484058484</v>
          </cell>
          <cell r="BL51">
            <v>0.1579980349512925</v>
          </cell>
        </row>
        <row r="52">
          <cell r="D52">
            <v>8739719.5071472507</v>
          </cell>
          <cell r="E52">
            <v>9171023.6295410991</v>
          </cell>
          <cell r="F52">
            <v>8761375.6866519414</v>
          </cell>
          <cell r="G52">
            <v>8261175.1714867167</v>
          </cell>
          <cell r="H52">
            <v>5818080.6646655053</v>
          </cell>
          <cell r="AJ52">
            <v>907724.84874651954</v>
          </cell>
          <cell r="AK52">
            <v>997832.89854187705</v>
          </cell>
          <cell r="AL52">
            <v>497726.77883825079</v>
          </cell>
          <cell r="AM52">
            <v>514059.39629640244</v>
          </cell>
          <cell r="AN52">
            <v>538515.91205613688</v>
          </cell>
          <cell r="BH52">
            <v>0.13410510196821948</v>
          </cell>
          <cell r="BJ52">
            <v>0.18546220291921398</v>
          </cell>
          <cell r="BL52">
            <v>0.15748035767265944</v>
          </cell>
        </row>
        <row r="53">
          <cell r="D53">
            <v>9405793.1643076837</v>
          </cell>
          <cell r="E53">
            <v>9685783.2775086984</v>
          </cell>
          <cell r="F53">
            <v>9098799.4819134474</v>
          </cell>
          <cell r="G53">
            <v>8571658.6652538199</v>
          </cell>
          <cell r="H53">
            <v>6030598.2689566808</v>
          </cell>
          <cell r="AJ53">
            <v>981461.68590802141</v>
          </cell>
          <cell r="AK53">
            <v>764464.76506509446</v>
          </cell>
          <cell r="AL53">
            <v>527213.95230494067</v>
          </cell>
          <cell r="AM53">
            <v>555829.58836633526</v>
          </cell>
          <cell r="AN53">
            <v>623393.51055284031</v>
          </cell>
          <cell r="BH53">
            <v>0.13478035279015071</v>
          </cell>
          <cell r="BJ53">
            <v>0.18458831976102053</v>
          </cell>
          <cell r="BL53">
            <v>0.15697913901233701</v>
          </cell>
        </row>
        <row r="54">
          <cell r="D54">
            <v>10121656.04985665</v>
          </cell>
          <cell r="E54">
            <v>10158284.897312816</v>
          </cell>
          <cell r="F54">
            <v>9533619.0767249987</v>
          </cell>
          <cell r="G54">
            <v>8970145.8178321123</v>
          </cell>
          <cell r="H54">
            <v>6415272.7121099252</v>
          </cell>
          <cell r="AJ54">
            <v>1056394.2010248434</v>
          </cell>
          <cell r="AK54">
            <v>696895.49689578637</v>
          </cell>
          <cell r="AL54">
            <v>726538.31284302473</v>
          </cell>
          <cell r="AM54">
            <v>771623.09676019289</v>
          </cell>
          <cell r="AN54">
            <v>1465939.0744808298</v>
          </cell>
          <cell r="BH54">
            <v>0.1351851283327164</v>
          </cell>
          <cell r="BJ54">
            <v>0.18399197046140614</v>
          </cell>
          <cell r="BL54">
            <v>0.15728605832058976</v>
          </cell>
        </row>
        <row r="55">
          <cell r="D55">
            <v>10883681.71670156</v>
          </cell>
          <cell r="E55">
            <v>10913579.679268219</v>
          </cell>
          <cell r="F55">
            <v>10337667.019769477</v>
          </cell>
          <cell r="G55">
            <v>9972859.1963736266</v>
          </cell>
          <cell r="H55">
            <v>7189309.6264984235</v>
          </cell>
          <cell r="AJ55">
            <v>1146377.6449625622</v>
          </cell>
          <cell r="AK55">
            <v>1199254.3138364591</v>
          </cell>
          <cell r="AL55">
            <v>1492114.1606868021</v>
          </cell>
          <cell r="AM55">
            <v>2277166.9504684135</v>
          </cell>
          <cell r="AN55">
            <v>3410532.7981188856</v>
          </cell>
          <cell r="BH55">
            <v>0.13480687379101863</v>
          </cell>
          <cell r="BJ55">
            <v>0.18449052171247424</v>
          </cell>
          <cell r="BL55">
            <v>0.15940887704993226</v>
          </cell>
        </row>
        <row r="56">
          <cell r="D56">
            <v>11696690.137245797</v>
          </cell>
          <cell r="E56">
            <v>11996245.467111595</v>
          </cell>
          <cell r="F56">
            <v>11515051.344955139</v>
          </cell>
          <cell r="G56">
            <v>11515476.335511398</v>
          </cell>
          <cell r="H56">
            <v>8185308.4588116091</v>
          </cell>
          <cell r="AJ56">
            <v>1228657.1379157156</v>
          </cell>
          <cell r="AK56">
            <v>1799267.5390293915</v>
          </cell>
          <cell r="AL56">
            <v>2289065.6140647307</v>
          </cell>
          <cell r="AM56">
            <v>3690718.7269670144</v>
          </cell>
          <cell r="AN56">
            <v>4664749.1158131137</v>
          </cell>
          <cell r="BH56">
            <v>0.13318187025202655</v>
          </cell>
          <cell r="BJ56">
            <v>0.18576827041718691</v>
          </cell>
          <cell r="BL56">
            <v>0.16164513440496867</v>
          </cell>
        </row>
        <row r="57">
          <cell r="D57">
            <v>12569360.818193965</v>
          </cell>
          <cell r="E57">
            <v>12881462.890234459</v>
          </cell>
          <cell r="F57">
            <v>12758813.219082786</v>
          </cell>
          <cell r="G57">
            <v>12668529.810690502</v>
          </cell>
          <cell r="H57">
            <v>8739385.7125342488</v>
          </cell>
          <cell r="AJ57">
            <v>1338771.8611660004</v>
          </cell>
          <cell r="AK57">
            <v>1447831.7764159366</v>
          </cell>
          <cell r="AL57">
            <v>2469592.8667956591</v>
          </cell>
          <cell r="AM57">
            <v>2751866.8213722371</v>
          </cell>
          <cell r="AN57">
            <v>2407071.1179151125</v>
          </cell>
          <cell r="BH57">
            <v>0.13185669339385803</v>
          </cell>
          <cell r="BJ57">
            <v>0.18696090133818047</v>
          </cell>
          <cell r="BL57">
            <v>0.16208329512253225</v>
          </cell>
        </row>
        <row r="58">
          <cell r="D58">
            <v>13499290.256312711</v>
          </cell>
          <cell r="E58">
            <v>14182435.258594226</v>
          </cell>
          <cell r="F58">
            <v>14075125.054812022</v>
          </cell>
          <cell r="G58">
            <v>13772741.199686317</v>
          </cell>
          <cell r="H58">
            <v>9142300.2203529831</v>
          </cell>
          <cell r="AJ58">
            <v>1435456.6758539714</v>
          </cell>
          <cell r="AK58">
            <v>2232146.128765054</v>
          </cell>
          <cell r="AL58">
            <v>2633712.6305587441</v>
          </cell>
          <cell r="AM58">
            <v>2640820.1114602089</v>
          </cell>
          <cell r="AN58">
            <v>1628687.9676833749</v>
          </cell>
          <cell r="BH58">
            <v>0.13048821613080996</v>
          </cell>
          <cell r="BJ58">
            <v>0.18772257392530911</v>
          </cell>
          <cell r="BL58">
            <v>0.16206475646207935</v>
          </cell>
        </row>
        <row r="59">
          <cell r="D59">
            <v>14489063.57838404</v>
          </cell>
          <cell r="E59">
            <v>15370904.455923852</v>
          </cell>
          <cell r="F59">
            <v>15047328.793245094</v>
          </cell>
          <cell r="G59">
            <v>14362481.432713127</v>
          </cell>
          <cell r="H59">
            <v>9486138.1328061707</v>
          </cell>
          <cell r="AJ59">
            <v>1555033.2810434587</v>
          </cell>
          <cell r="AK59">
            <v>2023836.6759618111</v>
          </cell>
          <cell r="AL59">
            <v>1915262.2941471227</v>
          </cell>
          <cell r="AM59">
            <v>1304266.8248192184</v>
          </cell>
          <cell r="AN59">
            <v>1304803.1429157332</v>
          </cell>
          <cell r="BH59">
            <v>0.12935810039232529</v>
          </cell>
          <cell r="BJ59">
            <v>0.18699324999773129</v>
          </cell>
          <cell r="BL59">
            <v>0.16177691487342452</v>
          </cell>
        </row>
        <row r="60">
          <cell r="D60">
            <v>15550264.917944014</v>
          </cell>
          <cell r="E60">
            <v>16317203.067332307</v>
          </cell>
          <cell r="F60">
            <v>15924919.937517801</v>
          </cell>
          <cell r="G60">
            <v>14885358.677843247</v>
          </cell>
          <cell r="H60">
            <v>9835819.0255177841</v>
          </cell>
          <cell r="AJ60">
            <v>1673939.8788127825</v>
          </cell>
          <cell r="AK60">
            <v>1605774.6343076527</v>
          </cell>
          <cell r="AL60">
            <v>1705891.3111320063</v>
          </cell>
          <cell r="AM60">
            <v>1127597.5340744667</v>
          </cell>
          <cell r="AN60">
            <v>1237529.0192388818</v>
          </cell>
          <cell r="BH60">
            <v>0.12816196028686477</v>
          </cell>
          <cell r="BJ60">
            <v>0.18488375164892931</v>
          </cell>
          <cell r="BL60">
            <v>0.16126160525005806</v>
          </cell>
        </row>
        <row r="61">
          <cell r="D61">
            <v>16681217.433917714</v>
          </cell>
          <cell r="E61">
            <v>17378848.885556381</v>
          </cell>
          <cell r="F61">
            <v>16581182.800277326</v>
          </cell>
          <cell r="G61">
            <v>15494659.216592222</v>
          </cell>
          <cell r="H61">
            <v>10333688.328980807</v>
          </cell>
          <cell r="AJ61">
            <v>1806976.6582348943</v>
          </cell>
          <cell r="AK61">
            <v>1818672.841721192</v>
          </cell>
          <cell r="AL61">
            <v>1230506.6146338582</v>
          </cell>
          <cell r="AM61">
            <v>1326866.258950118</v>
          </cell>
          <cell r="AN61">
            <v>2042920.1730753407</v>
          </cell>
          <cell r="BH61">
            <v>0.12706217881191004</v>
          </cell>
          <cell r="BJ61">
            <v>0.18320300104831286</v>
          </cell>
          <cell r="BL61">
            <v>0.16074012983329347</v>
          </cell>
        </row>
        <row r="62">
          <cell r="D62">
            <v>17886482.102941021</v>
          </cell>
          <cell r="E62">
            <v>18400526.30701689</v>
          </cell>
          <cell r="F62">
            <v>17328812.250051726</v>
          </cell>
          <cell r="G62">
            <v>16179632.643309221</v>
          </cell>
          <cell r="H62">
            <v>11026666.517543091</v>
          </cell>
          <cell r="AJ62">
            <v>1954455.7413109988</v>
          </cell>
          <cell r="AK62">
            <v>1742159.2393805683</v>
          </cell>
          <cell r="AL62">
            <v>1430004.4825973101</v>
          </cell>
          <cell r="AM62">
            <v>1521431.1223173998</v>
          </cell>
          <cell r="AN62">
            <v>3078462.947144784</v>
          </cell>
          <cell r="BH62">
            <v>0.12608757487747838</v>
          </cell>
          <cell r="BJ62">
            <v>0.18136832348835474</v>
          </cell>
          <cell r="BL62">
            <v>0.16025717598626013</v>
          </cell>
        </row>
        <row r="63">
          <cell r="D63">
            <v>19179516.153890692</v>
          </cell>
          <cell r="E63">
            <v>19330125.947598454</v>
          </cell>
          <cell r="F63">
            <v>18185604.476434723</v>
          </cell>
          <cell r="G63">
            <v>17381924.851132728</v>
          </cell>
          <cell r="H63">
            <v>11817805.414129293</v>
          </cell>
          <cell r="AJ63">
            <v>2100703.8687151484</v>
          </cell>
          <cell r="AK63">
            <v>1581829.2280666344</v>
          </cell>
          <cell r="AL63">
            <v>1661092.6499682553</v>
          </cell>
          <cell r="AM63">
            <v>2942778.4483944662</v>
          </cell>
          <cell r="AN63">
            <v>3602237.6755673513</v>
          </cell>
          <cell r="BH63">
            <v>0.12498938541311386</v>
          </cell>
          <cell r="BJ63">
            <v>0.17932855359098721</v>
          </cell>
          <cell r="BL63">
            <v>0.16040175874380505</v>
          </cell>
        </row>
        <row r="64">
          <cell r="D64">
            <v>20560360.633546401</v>
          </cell>
          <cell r="E64">
            <v>20703836.705407523</v>
          </cell>
          <cell r="F64">
            <v>19987206.343361538</v>
          </cell>
          <cell r="G64">
            <v>19315132.642424442</v>
          </cell>
          <cell r="H64">
            <v>12959913.077146409</v>
          </cell>
          <cell r="AJ64">
            <v>2284585.9455282688</v>
          </cell>
          <cell r="AK64">
            <v>2420895.0075239167</v>
          </cell>
          <cell r="AL64">
            <v>3747431.9370897412</v>
          </cell>
          <cell r="AM64">
            <v>4928065.4876650274</v>
          </cell>
          <cell r="AN64">
            <v>5561302.1390680224</v>
          </cell>
          <cell r="BH64">
            <v>0.12409321475527336</v>
          </cell>
          <cell r="BJ64">
            <v>0.17629225873003204</v>
          </cell>
          <cell r="BL64">
            <v>0.16051972923617125</v>
          </cell>
        </row>
        <row r="65">
          <cell r="D65">
            <v>22034502.524528068</v>
          </cell>
          <cell r="E65">
            <v>22797647.025974959</v>
          </cell>
          <cell r="F65">
            <v>22169480.836677507</v>
          </cell>
          <cell r="G65">
            <v>21335178.376023017</v>
          </cell>
          <cell r="H65">
            <v>14199443.161888776</v>
          </cell>
          <cell r="AJ65">
            <v>2448558.5893005393</v>
          </cell>
          <cell r="AK65">
            <v>3810450.5403180756</v>
          </cell>
          <cell r="AL65">
            <v>4641583.6152375937</v>
          </cell>
          <cell r="AM65">
            <v>5220658.8972011954</v>
          </cell>
          <cell r="AN65">
            <v>6124478.8457470909</v>
          </cell>
          <cell r="BH65">
            <v>0.12313919794063827</v>
          </cell>
          <cell r="BJ65">
            <v>0.17345768963202476</v>
          </cell>
          <cell r="BL65">
            <v>0.1605383266576873</v>
          </cell>
        </row>
        <row r="66">
          <cell r="D66">
            <v>23614135.729085222</v>
          </cell>
          <cell r="E66">
            <v>24514792.71983904</v>
          </cell>
          <cell r="F66">
            <v>23807909.552038949</v>
          </cell>
          <cell r="G66">
            <v>22884829.005509473</v>
          </cell>
          <cell r="H66">
            <v>14879673.107611489</v>
          </cell>
          <cell r="AJ66">
            <v>2669821.1840687431</v>
          </cell>
          <cell r="AK66">
            <v>3096028.7545214072</v>
          </cell>
          <cell r="AL66">
            <v>3447370.5907206535</v>
          </cell>
          <cell r="AM66">
            <v>3973848.5329793766</v>
          </cell>
          <cell r="AN66">
            <v>3053497.0609807298</v>
          </cell>
          <cell r="BH66">
            <v>0.12262344436550841</v>
          </cell>
          <cell r="BJ66">
            <v>0.17174335187727133</v>
          </cell>
          <cell r="BL66">
            <v>0.16040767145627163</v>
          </cell>
        </row>
        <row r="67">
          <cell r="D67">
            <v>25300015.818868309</v>
          </cell>
          <cell r="E67">
            <v>26252998.005567685</v>
          </cell>
          <cell r="F67">
            <v>25468373.652566619</v>
          </cell>
          <cell r="G67">
            <v>24441124.68799549</v>
          </cell>
          <cell r="H67">
            <v>15432883.177959464</v>
          </cell>
          <cell r="AJ67">
            <v>2867402.7292056307</v>
          </cell>
          <cell r="AK67">
            <v>3173960.9472162277</v>
          </cell>
          <cell r="AL67">
            <v>3512183.433907032</v>
          </cell>
          <cell r="AM67">
            <v>3998224.935284704</v>
          </cell>
          <cell r="AN67">
            <v>2367567.6331551522</v>
          </cell>
          <cell r="BH67">
            <v>0.12224451481969308</v>
          </cell>
          <cell r="BJ67">
            <v>0.17036654917719521</v>
          </cell>
          <cell r="BL67">
            <v>0.16027057051303847</v>
          </cell>
        </row>
        <row r="68">
          <cell r="D68">
            <v>27098177.754470881</v>
          </cell>
          <cell r="E68">
            <v>28117281.642887652</v>
          </cell>
          <cell r="F68">
            <v>27282937.353588358</v>
          </cell>
          <cell r="G68">
            <v>25494581.368905604</v>
          </cell>
          <cell r="H68">
            <v>16025915.235848736</v>
          </cell>
          <cell r="AJ68">
            <v>3105165.8411596119</v>
          </cell>
          <cell r="AK68">
            <v>3412063.9838992134</v>
          </cell>
          <cell r="AL68">
            <v>3893396.4498470351</v>
          </cell>
          <cell r="AM68">
            <v>2632891.7980574667</v>
          </cell>
          <cell r="AN68">
            <v>2592373.3247542158</v>
          </cell>
          <cell r="BH68">
            <v>0.12217066641517235</v>
          </cell>
          <cell r="BJ68">
            <v>0.16930060207265191</v>
          </cell>
          <cell r="BL68">
            <v>0.16016441978865878</v>
          </cell>
        </row>
        <row r="69">
          <cell r="D69">
            <v>29024289.659839451</v>
          </cell>
          <cell r="E69">
            <v>30113924.591493391</v>
          </cell>
          <cell r="F69">
            <v>28981238.198134724</v>
          </cell>
          <cell r="G69">
            <v>26521374.759411499</v>
          </cell>
          <cell r="H69">
            <v>16647609.880498856</v>
          </cell>
          <cell r="AJ69">
            <v>3338447.9924320579</v>
          </cell>
          <cell r="AK69">
            <v>3717007.4893167168</v>
          </cell>
          <cell r="AL69">
            <v>3644307.0573308319</v>
          </cell>
          <cell r="AM69">
            <v>2562716.1363718882</v>
          </cell>
          <cell r="AN69">
            <v>2752190.3737255484</v>
          </cell>
          <cell r="BH69">
            <v>0.12217487714375387</v>
          </cell>
          <cell r="BJ69">
            <v>0.16845984189952248</v>
          </cell>
          <cell r="BL69">
            <v>0.1600798703403547</v>
          </cell>
        </row>
        <row r="70">
          <cell r="D70">
            <v>31081489.175872497</v>
          </cell>
          <cell r="E70">
            <v>32273467.455812603</v>
          </cell>
          <cell r="F70">
            <v>30218947.179774456</v>
          </cell>
          <cell r="G70">
            <v>27621323.423369937</v>
          </cell>
          <cell r="H70">
            <v>17469637.854694165</v>
          </cell>
          <cell r="AJ70">
            <v>3609551.6201765984</v>
          </cell>
          <cell r="AK70">
            <v>4040236.567265138</v>
          </cell>
          <cell r="AL70">
            <v>2606075.5893197358</v>
          </cell>
          <cell r="AM70">
            <v>2750867.6485095024</v>
          </cell>
          <cell r="AN70">
            <v>3920855.4154764041</v>
          </cell>
          <cell r="BH70">
            <v>0.12240367175225057</v>
          </cell>
          <cell r="BJ70">
            <v>0.16787390717139455</v>
          </cell>
          <cell r="BL70">
            <v>0.1602074558121635</v>
          </cell>
        </row>
        <row r="71">
          <cell r="D71">
            <v>33279180.835147984</v>
          </cell>
          <cell r="E71">
            <v>33804326.552629024</v>
          </cell>
          <cell r="F71">
            <v>31509109.006366711</v>
          </cell>
          <cell r="G71">
            <v>28864894.798400246</v>
          </cell>
          <cell r="H71">
            <v>18345717.643911485</v>
          </cell>
          <cell r="AJ71">
            <v>3887565.6871896535</v>
          </cell>
          <cell r="AK71">
            <v>2814769.3683006689</v>
          </cell>
          <cell r="AL71">
            <v>2727748.8952890635</v>
          </cell>
          <cell r="AM71">
            <v>3164663.6419026181</v>
          </cell>
          <cell r="AN71">
            <v>4238221.6968278438</v>
          </cell>
          <cell r="BH71">
            <v>0.12563864160586849</v>
          </cell>
          <cell r="BJ71">
            <v>0.16733793391063298</v>
          </cell>
          <cell r="BL71">
            <v>0.16037081562691782</v>
          </cell>
        </row>
        <row r="72">
          <cell r="D72">
            <v>35632413.542909704</v>
          </cell>
          <cell r="E72">
            <v>35752772.430937022</v>
          </cell>
          <cell r="F72">
            <v>33304237.462020732</v>
          </cell>
          <cell r="G72">
            <v>30946774.443157535</v>
          </cell>
          <cell r="H72">
            <v>19510442.353143021</v>
          </cell>
          <cell r="AJ72">
            <v>4190714.7010258362</v>
          </cell>
          <cell r="AK72">
            <v>3662842.6006182507</v>
          </cell>
          <cell r="AL72">
            <v>3942512.1682874858</v>
          </cell>
          <cell r="AM72">
            <v>5575011.6436195374</v>
          </cell>
          <cell r="AN72">
            <v>5904291.4392368793</v>
          </cell>
          <cell r="BH72">
            <v>0.12915558173817346</v>
          </cell>
          <cell r="BJ72">
            <v>0.16695865720212719</v>
          </cell>
          <cell r="BL72">
            <v>0.16074301616554088</v>
          </cell>
        </row>
        <row r="73">
          <cell r="D73">
            <v>38145655.329383917</v>
          </cell>
          <cell r="E73">
            <v>38371876.525507979</v>
          </cell>
          <cell r="F73">
            <v>36256792.823857881</v>
          </cell>
          <cell r="G73">
            <v>33555300.567890443</v>
          </cell>
          <cell r="H73">
            <v>20930724.802811693</v>
          </cell>
          <cell r="AJ73">
            <v>4516105.9135799184</v>
          </cell>
          <cell r="AK73">
            <v>5046891.9013315663</v>
          </cell>
          <cell r="AL73">
            <v>6721509.5789770409</v>
          </cell>
          <cell r="AM73">
            <v>7060709.5263728797</v>
          </cell>
          <cell r="AN73">
            <v>7412650.7705473751</v>
          </cell>
          <cell r="BH73">
            <v>0.13272936633294358</v>
          </cell>
          <cell r="BJ73">
            <v>0.16700617652215038</v>
          </cell>
          <cell r="BL73">
            <v>0.16131677108694953</v>
          </cell>
        </row>
        <row r="74">
          <cell r="D74">
            <v>40831178.921451554</v>
          </cell>
          <cell r="E74">
            <v>41478099.003156155</v>
          </cell>
          <cell r="F74">
            <v>39079442.648035683</v>
          </cell>
          <cell r="G74">
            <v>36030915.169893436</v>
          </cell>
          <cell r="H74">
            <v>22642524.574344773</v>
          </cell>
          <cell r="AJ74">
            <v>4862329.3208881542</v>
          </cell>
          <cell r="AK74">
            <v>6084089.92243696</v>
          </cell>
          <cell r="AL74">
            <v>6437333.0394572914</v>
          </cell>
          <cell r="AM74">
            <v>6724178.3551599532</v>
          </cell>
          <cell r="AN74">
            <v>9088152.8577318192</v>
          </cell>
          <cell r="BH74">
            <v>0.13632758470624073</v>
          </cell>
          <cell r="BJ74">
            <v>0.16711426447045796</v>
          </cell>
          <cell r="BL74">
            <v>0.16088535141511498</v>
          </cell>
        </row>
        <row r="75">
          <cell r="D75">
            <v>43707883.162234463</v>
          </cell>
          <cell r="E75">
            <v>44310739.898801245</v>
          </cell>
          <cell r="F75">
            <v>41574916.179700576</v>
          </cell>
          <cell r="G75">
            <v>38601664.47614041</v>
          </cell>
          <cell r="H75">
            <v>24566120.521640271</v>
          </cell>
          <cell r="AJ75">
            <v>5249503.1197211072</v>
          </cell>
          <cell r="AK75">
            <v>5542543.3634201884</v>
          </cell>
          <cell r="AL75">
            <v>5686436.9072685391</v>
          </cell>
          <cell r="AM75">
            <v>7022518.9496209621</v>
          </cell>
          <cell r="AN75">
            <v>10315706.138865575</v>
          </cell>
          <cell r="BH75">
            <v>0.13997883550088033</v>
          </cell>
          <cell r="BJ75">
            <v>0.16727382064886462</v>
          </cell>
          <cell r="BL75">
            <v>0.16055022730238055</v>
          </cell>
        </row>
        <row r="76">
          <cell r="D76">
            <v>46783559.675361931</v>
          </cell>
          <cell r="E76">
            <v>47282869.402377672</v>
          </cell>
          <cell r="F76">
            <v>44466343.173837706</v>
          </cell>
          <cell r="G76">
            <v>42144291.932627566</v>
          </cell>
          <cell r="H76">
            <v>27146439.959373053</v>
          </cell>
          <cell r="AJ76">
            <v>5642758.4242803305</v>
          </cell>
          <cell r="AK76">
            <v>5834470.6033297479</v>
          </cell>
          <cell r="AL76">
            <v>6607537.2033188045</v>
          </cell>
          <cell r="AM76">
            <v>9800994.3746088296</v>
          </cell>
          <cell r="AN76">
            <v>11341729.352418333</v>
          </cell>
          <cell r="BH76">
            <v>0.14359852286865218</v>
          </cell>
          <cell r="BJ76">
            <v>0.1694928087355454</v>
          </cell>
          <cell r="BL76">
            <v>0.15967991846661109</v>
          </cell>
        </row>
        <row r="77">
          <cell r="D77">
            <v>50071707.982735395</v>
          </cell>
          <cell r="E77">
            <v>50720395.776740976</v>
          </cell>
          <cell r="F77">
            <v>48723022.901322432</v>
          </cell>
          <cell r="G77">
            <v>46234434.149344176</v>
          </cell>
          <cell r="H77">
            <v>29618371.09998088</v>
          </cell>
          <cell r="AJ77">
            <v>6100282.0455992818</v>
          </cell>
          <cell r="AK77">
            <v>6762677.4778018743</v>
          </cell>
          <cell r="AL77">
            <v>9911398.6721795499</v>
          </cell>
          <cell r="AM77">
            <v>11445720.333672807</v>
          </cell>
          <cell r="AN77">
            <v>13006195.901784673</v>
          </cell>
          <cell r="BH77">
            <v>0.14732521034999474</v>
          </cell>
          <cell r="BJ77">
            <v>0.17412971475400793</v>
          </cell>
          <cell r="BL77">
            <v>0.15962051205434474</v>
          </cell>
        </row>
        <row r="78">
          <cell r="D78">
            <v>53616263.950301677</v>
          </cell>
          <cell r="E78">
            <v>55339149.832581535</v>
          </cell>
          <cell r="F78">
            <v>53245293.638994701</v>
          </cell>
          <cell r="G78">
            <v>50907618.049390651</v>
          </cell>
          <cell r="H78">
            <v>32185301.436644029</v>
          </cell>
          <cell r="AJ78">
            <v>6547066.8489697576</v>
          </cell>
          <cell r="AK78">
            <v>9226608.8392518312</v>
          </cell>
          <cell r="AL78">
            <v>10564298.18879503</v>
          </cell>
          <cell r="AM78">
            <v>11606361.40521954</v>
          </cell>
          <cell r="AN78">
            <v>13500527.625496313</v>
          </cell>
          <cell r="BH78">
            <v>0.15085979794705218</v>
          </cell>
          <cell r="BJ78">
            <v>0.17849838849694799</v>
          </cell>
          <cell r="BL78">
            <v>0.15964911073288898</v>
          </cell>
        </row>
        <row r="79">
          <cell r="D79">
            <v>57430569.342455491</v>
          </cell>
          <cell r="E79">
            <v>59310156.23474247</v>
          </cell>
          <cell r="F79">
            <v>56984794.009273075</v>
          </cell>
          <cell r="G79">
            <v>54565228.506774187</v>
          </cell>
          <cell r="H79">
            <v>33554752.131885208</v>
          </cell>
          <cell r="AJ79">
            <v>7087623.0865022838</v>
          </cell>
          <cell r="AK79">
            <v>7833092.0821012855</v>
          </cell>
          <cell r="AL79">
            <v>8664193.9462082684</v>
          </cell>
          <cell r="AM79">
            <v>9990068.8916054666</v>
          </cell>
          <cell r="AN79">
            <v>6483605.3669373691</v>
          </cell>
          <cell r="BH79">
            <v>0.15444818987165052</v>
          </cell>
          <cell r="BJ79">
            <v>0.18160311141895291</v>
          </cell>
          <cell r="BL79">
            <v>0.15954638279964189</v>
          </cell>
        </row>
        <row r="80">
          <cell r="D80">
            <v>61535557.71718809</v>
          </cell>
          <cell r="E80">
            <v>63660199.668531939</v>
          </cell>
          <cell r="F80">
            <v>61059764.755659766</v>
          </cell>
          <cell r="G80">
            <v>58308404.986615941</v>
          </cell>
          <cell r="H80">
            <v>34858982.388727903</v>
          </cell>
          <cell r="AJ80">
            <v>7596326.3365727216</v>
          </cell>
          <cell r="AK80">
            <v>8635271.7305089086</v>
          </cell>
          <cell r="AL80">
            <v>9485021.4784957021</v>
          </cell>
          <cell r="AM80">
            <v>10178945.459679052</v>
          </cell>
          <cell r="AN80">
            <v>6097999.8978207409</v>
          </cell>
          <cell r="BH80">
            <v>0.15782363988480227</v>
          </cell>
          <cell r="BJ80">
            <v>0.18475057496113148</v>
          </cell>
          <cell r="BL80">
            <v>0.15945210641490976</v>
          </cell>
        </row>
        <row r="81">
          <cell r="D81">
            <v>65957896.681151815</v>
          </cell>
          <cell r="E81">
            <v>68718309.303599864</v>
          </cell>
          <cell r="F81">
            <v>65891672.247932322</v>
          </cell>
          <cell r="G81">
            <v>60600891.129079483</v>
          </cell>
          <cell r="H81">
            <v>36217709.122383542</v>
          </cell>
          <cell r="AJ81">
            <v>8229600.1591555476</v>
          </cell>
          <cell r="AK81">
            <v>8953806.8327586651</v>
          </cell>
          <cell r="AL81">
            <v>10052618.874177679</v>
          </cell>
          <cell r="AM81">
            <v>5995138.7365792394</v>
          </cell>
          <cell r="AN81">
            <v>6379549.3693703711</v>
          </cell>
          <cell r="BH81">
            <v>0.15998332468675888</v>
          </cell>
          <cell r="BJ81">
            <v>0.18655395568760189</v>
          </cell>
          <cell r="BL81">
            <v>0.15936702168373559</v>
          </cell>
        </row>
        <row r="82">
          <cell r="D82">
            <v>70717935.377743185</v>
          </cell>
          <cell r="E82">
            <v>73694951.659607708</v>
          </cell>
          <cell r="F82">
            <v>69625435.90164727</v>
          </cell>
          <cell r="G82">
            <v>63077913.515458032</v>
          </cell>
          <cell r="H82">
            <v>38285828.723481782</v>
          </cell>
          <cell r="AJ82">
            <v>8821484.555109486</v>
          </cell>
          <cell r="AK82">
            <v>9778862.4906106293</v>
          </cell>
          <cell r="AL82">
            <v>8483836.0485844612</v>
          </cell>
          <cell r="AM82">
            <v>6538226.1790041327</v>
          </cell>
          <cell r="AN82">
            <v>6889524.8694589436</v>
          </cell>
          <cell r="BH82">
            <v>0.16195625076788825</v>
          </cell>
          <cell r="BJ82">
            <v>0.18873073672733495</v>
          </cell>
          <cell r="BL82">
            <v>0.15862309913090034</v>
          </cell>
        </row>
        <row r="83">
          <cell r="D83">
            <v>75843546.061479688</v>
          </cell>
          <cell r="E83">
            <v>78801515.021387547</v>
          </cell>
          <cell r="F83">
            <v>72441805.505351126</v>
          </cell>
          <cell r="G83">
            <v>65685998.105709545</v>
          </cell>
          <cell r="H83">
            <v>40901174.507697202</v>
          </cell>
          <cell r="AJ83">
            <v>9547817.0054396838</v>
          </cell>
          <cell r="AK83">
            <v>10306553.413317561</v>
          </cell>
          <cell r="AL83">
            <v>6467344.9591829181</v>
          </cell>
          <cell r="AM83">
            <v>6949589.0606116056</v>
          </cell>
          <cell r="AN83">
            <v>14303688.269682109</v>
          </cell>
          <cell r="BH83">
            <v>0.16400382857395412</v>
          </cell>
          <cell r="BJ83">
            <v>0.1903699473644033</v>
          </cell>
          <cell r="BL83">
            <v>0.15907127199475171</v>
          </cell>
        </row>
        <row r="84">
          <cell r="D84">
            <v>81334297.000219584</v>
          </cell>
          <cell r="E84">
            <v>82068682.819147825</v>
          </cell>
          <cell r="F84">
            <v>75406421.279689789</v>
          </cell>
          <cell r="G84">
            <v>69065007.26865831</v>
          </cell>
          <cell r="H84">
            <v>43685553.15950419</v>
          </cell>
          <cell r="AJ84">
            <v>10249054.066338181</v>
          </cell>
          <cell r="AK84">
            <v>6604295.4773720503</v>
          </cell>
          <cell r="AL84">
            <v>7000321.8692438602</v>
          </cell>
          <cell r="AM84">
            <v>9616855.1276440322</v>
          </cell>
          <cell r="AN84">
            <v>15807620.176579237</v>
          </cell>
          <cell r="BH84">
            <v>0.16597572606847538</v>
          </cell>
          <cell r="BJ84">
            <v>0.19220117215125954</v>
          </cell>
          <cell r="BL84">
            <v>0.15960366228974532</v>
          </cell>
        </row>
        <row r="85">
          <cell r="D85">
            <v>87207798.569861025</v>
          </cell>
          <cell r="E85">
            <v>87204844.783052146</v>
          </cell>
          <cell r="F85">
            <v>80936273.044108674</v>
          </cell>
          <cell r="G85">
            <v>76714229.242613941</v>
          </cell>
          <cell r="H85">
            <v>46474663.853679538</v>
          </cell>
          <cell r="AJ85">
            <v>11072104.058738291</v>
          </cell>
          <cell r="AK85">
            <v>10492752.062131912</v>
          </cell>
          <cell r="AL85">
            <v>13275625.996199697</v>
          </cell>
          <cell r="AM85">
            <v>22362472.788101733</v>
          </cell>
          <cell r="AN85">
            <v>15983967.145709485</v>
          </cell>
          <cell r="BH85">
            <v>0.16806909515946677</v>
          </cell>
          <cell r="BJ85">
            <v>0.19557436996712371</v>
          </cell>
          <cell r="BL85">
            <v>0.16021698420522715</v>
          </cell>
        </row>
        <row r="86">
          <cell r="D86">
            <v>93493718.62944752</v>
          </cell>
          <cell r="E86">
            <v>94987562.921549425</v>
          </cell>
          <cell r="F86">
            <v>90818947.69600074</v>
          </cell>
          <cell r="G86">
            <v>83014988.317119673</v>
          </cell>
          <cell r="H86">
            <v>49887008.196864098</v>
          </cell>
          <cell r="AJ86">
            <v>11900312.837849766</v>
          </cell>
          <cell r="AK86">
            <v>16089119.224147111</v>
          </cell>
          <cell r="AL86">
            <v>24046650.465067595</v>
          </cell>
          <cell r="AM86">
            <v>18520948.933546096</v>
          </cell>
          <cell r="AN86">
            <v>19806292.399383694</v>
          </cell>
          <cell r="BH86">
            <v>0.17013132699739483</v>
          </cell>
          <cell r="BJ86">
            <v>0.19987616708563744</v>
          </cell>
          <cell r="BL86">
            <v>0.16091678164889198</v>
          </cell>
        </row>
        <row r="87">
          <cell r="D87">
            <v>100227370.94804905</v>
          </cell>
          <cell r="E87">
            <v>103521157.88578334</v>
          </cell>
          <cell r="F87">
            <v>96361838.409790009</v>
          </cell>
          <cell r="G87">
            <v>87914278.212021038</v>
          </cell>
          <cell r="H87">
            <v>53993863.378204443</v>
          </cell>
          <cell r="AJ87">
            <v>12839870.473229259</v>
          </cell>
          <cell r="AK87">
            <v>17752221.260199934</v>
          </cell>
          <cell r="AL87">
            <v>13531293.709798634</v>
          </cell>
          <cell r="AM87">
            <v>14333795.544733435</v>
          </cell>
          <cell r="AN87">
            <v>24756155.71291095</v>
          </cell>
          <cell r="BH87">
            <v>0.17225648980618624</v>
          </cell>
          <cell r="BJ87">
            <v>0.20177332927760727</v>
          </cell>
          <cell r="BL87">
            <v>0.16193914183245611</v>
          </cell>
        </row>
        <row r="88">
          <cell r="D88">
            <v>107433889.49564755</v>
          </cell>
          <cell r="E88">
            <v>109171781.53714067</v>
          </cell>
          <cell r="F88">
            <v>101063750.49653864</v>
          </cell>
          <cell r="G88">
            <v>93866430.51184544</v>
          </cell>
          <cell r="H88">
            <v>57307640.29763674</v>
          </cell>
          <cell r="AJ88">
            <v>13819920.185001105</v>
          </cell>
          <cell r="AK88">
            <v>11690617.666429043</v>
          </cell>
          <cell r="AL88">
            <v>11452894.469490528</v>
          </cell>
          <cell r="AM88">
            <v>17076674.190766513</v>
          </cell>
          <cell r="AN88">
            <v>20220616.932949156</v>
          </cell>
          <cell r="BH88">
            <v>0.17438760401966252</v>
          </cell>
          <cell r="BJ88">
            <v>0.20320580925469062</v>
          </cell>
          <cell r="BL88">
            <v>0.1627186903242735</v>
          </cell>
        </row>
        <row r="89">
          <cell r="D89">
            <v>115155802.21508877</v>
          </cell>
          <cell r="E89">
            <v>115757569.27796544</v>
          </cell>
          <cell r="F89">
            <v>107896485.68581998</v>
          </cell>
          <cell r="G89">
            <v>102248053.44482014</v>
          </cell>
          <cell r="H89">
            <v>60858666.090948805</v>
          </cell>
          <cell r="AJ89">
            <v>14894436.178341001</v>
          </cell>
          <cell r="AK89">
            <v>13647451.26991719</v>
          </cell>
          <cell r="AL89">
            <v>16796112.710544556</v>
          </cell>
          <cell r="AM89">
            <v>24001268.433919132</v>
          </cell>
          <cell r="AN89">
            <v>21863306.315377951</v>
          </cell>
          <cell r="BH89">
            <v>0.17654385301298814</v>
          </cell>
          <cell r="BJ89">
            <v>0.20524512041817325</v>
          </cell>
          <cell r="BL89">
            <v>0.16420407517123251</v>
          </cell>
        </row>
        <row r="90">
          <cell r="D90">
            <v>123432957.34397979</v>
          </cell>
          <cell r="E90">
            <v>124934819.41736346</v>
          </cell>
          <cell r="F90">
            <v>118865439.78617093</v>
          </cell>
          <cell r="G90">
            <v>110960002.340315</v>
          </cell>
          <cell r="H90">
            <v>64710821.465798326</v>
          </cell>
          <cell r="AJ90">
            <v>16058086.327655286</v>
          </cell>
          <cell r="AK90">
            <v>19199014.737802029</v>
          </cell>
          <cell r="AL90">
            <v>27099140.617028803</v>
          </cell>
          <cell r="AM90">
            <v>25747604.459479451</v>
          </cell>
          <cell r="AN90">
            <v>23733025.196445465</v>
          </cell>
          <cell r="BH90">
            <v>0.1795102865748531</v>
          </cell>
          <cell r="BJ90">
            <v>0.20826527926132835</v>
          </cell>
          <cell r="BL90">
            <v>0.16571262030933573</v>
          </cell>
        </row>
        <row r="91">
          <cell r="D91">
            <v>132317669.93456391</v>
          </cell>
          <cell r="E91">
            <v>136244708.72834048</v>
          </cell>
          <cell r="F91">
            <v>128677278.29007398</v>
          </cell>
          <cell r="G91">
            <v>118812236.10885859</v>
          </cell>
          <cell r="H91">
            <v>67009942.984277941</v>
          </cell>
          <cell r="AJ91">
            <v>17290275.485007942</v>
          </cell>
          <cell r="AK91">
            <v>23747024.60950473</v>
          </cell>
          <cell r="AL91">
            <v>24376344.824681967</v>
          </cell>
          <cell r="AM91">
            <v>24025968.799322784</v>
          </cell>
          <cell r="AN91">
            <v>14266991.615450084</v>
          </cell>
          <cell r="BH91">
            <v>0.1831743075028632</v>
          </cell>
          <cell r="BJ91">
            <v>0.21076309520087702</v>
          </cell>
          <cell r="BL91">
            <v>0.16660302840400623</v>
          </cell>
        </row>
        <row r="92">
          <cell r="D92">
            <v>141855289.53789753</v>
          </cell>
          <cell r="E92">
            <v>145303102.05242839</v>
          </cell>
          <cell r="F92">
            <v>135876306.7626906</v>
          </cell>
          <cell r="G92">
            <v>122655478.56268741</v>
          </cell>
          <cell r="H92">
            <v>69003602.150652349</v>
          </cell>
          <cell r="AJ92">
            <v>18685583.538615406</v>
          </cell>
          <cell r="AK92">
            <v>18829858.422976941</v>
          </cell>
          <cell r="AL92">
            <v>17820748.068051815</v>
          </cell>
          <cell r="AM92">
            <v>11867753.866274595</v>
          </cell>
          <cell r="AN92">
            <v>12343050.11446172</v>
          </cell>
          <cell r="BH92">
            <v>0.18760739823662054</v>
          </cell>
          <cell r="BJ92">
            <v>0.21236951941157717</v>
          </cell>
          <cell r="BL92">
            <v>0.16731981445775815</v>
          </cell>
        </row>
        <row r="93">
          <cell r="D93">
            <v>152100214.85005936</v>
          </cell>
          <cell r="E93">
            <v>154600100.87697458</v>
          </cell>
          <cell r="F93">
            <v>142860670.76688716</v>
          </cell>
          <cell r="G93">
            <v>126845329.32757393</v>
          </cell>
          <cell r="H93">
            <v>71350064.456656396</v>
          </cell>
          <cell r="AJ93">
            <v>20084669.806568444</v>
          </cell>
          <cell r="AK93">
            <v>19466488.456276417</v>
          </cell>
          <cell r="AL93">
            <v>17207878.131046414</v>
          </cell>
          <cell r="AM93">
            <v>12924482.478541732</v>
          </cell>
          <cell r="AN93">
            <v>14504906.439372122</v>
          </cell>
          <cell r="BH93">
            <v>0.19261525052277839</v>
          </cell>
          <cell r="BJ93">
            <v>0.21377546395603522</v>
          </cell>
          <cell r="BL93">
            <v>0.16810590411627668</v>
          </cell>
        </row>
        <row r="94">
          <cell r="D94">
            <v>163092932.5122855</v>
          </cell>
          <cell r="E94">
            <v>164902316.07980949</v>
          </cell>
          <cell r="F94">
            <v>149065780.71499532</v>
          </cell>
          <cell r="G94">
            <v>132101488.39903244</v>
          </cell>
          <cell r="H94">
            <v>89411367.965082705</v>
          </cell>
          <cell r="AJ94">
            <v>21735946.790527403</v>
          </cell>
          <cell r="AK94">
            <v>21645337.507736444</v>
          </cell>
          <cell r="AL94">
            <v>14764584.851371467</v>
          </cell>
          <cell r="AM94">
            <v>16194677.009608805</v>
          </cell>
          <cell r="AN94">
            <v>10000470.048821092</v>
          </cell>
          <cell r="BH94">
            <v>0.19841358639481788</v>
          </cell>
          <cell r="BJ94">
            <v>0.21472033621346967</v>
          </cell>
          <cell r="BL94">
            <v>0.12902943232144606</v>
          </cell>
        </row>
        <row r="95">
          <cell r="D95">
            <v>174889481.97388563</v>
          </cell>
          <cell r="E95">
            <v>172588038.39444274</v>
          </cell>
          <cell r="F95">
            <v>156428976.1564784</v>
          </cell>
          <cell r="G95">
            <v>145474007.3157317</v>
          </cell>
          <cell r="H95">
            <v>146653553.92858297</v>
          </cell>
          <cell r="AJ95">
            <v>23325814.085835993</v>
          </cell>
          <cell r="AK95">
            <v>15932688.067432761</v>
          </cell>
          <cell r="AL95">
            <v>17040515.521262825</v>
          </cell>
          <cell r="AM95">
            <v>15226256.157841384</v>
          </cell>
          <cell r="AN95">
            <v>0</v>
          </cell>
          <cell r="BH95">
            <v>0.20473291065104357</v>
          </cell>
          <cell r="BJ95">
            <v>0.2155145426145392</v>
          </cell>
          <cell r="BL95">
            <v>6.2232884988139753E-2</v>
          </cell>
        </row>
        <row r="96">
          <cell r="D96">
            <v>187558391.65578672</v>
          </cell>
          <cell r="E96">
            <v>185033828.89571035</v>
          </cell>
          <cell r="F96">
            <v>190118713.57687962</v>
          </cell>
          <cell r="G96">
            <v>235122533.60494903</v>
          </cell>
          <cell r="H96">
            <v>235886798.65651801</v>
          </cell>
          <cell r="AJ96">
            <v>25285769.240825772</v>
          </cell>
          <cell r="AK96">
            <v>26574746.183153629</v>
          </cell>
          <cell r="AL96">
            <v>17976229.75364089</v>
          </cell>
          <cell r="AM96">
            <v>0</v>
          </cell>
          <cell r="AN96">
            <v>0</v>
          </cell>
          <cell r="BH96">
            <v>0.21189293539636836</v>
          </cell>
          <cell r="BJ96">
            <v>0.19102501777413752</v>
          </cell>
          <cell r="BL96">
            <v>2.8098183298893045E-2</v>
          </cell>
        </row>
        <row r="97">
          <cell r="D97">
            <v>201154663.46148634</v>
          </cell>
          <cell r="E97">
            <v>234874867.31436154</v>
          </cell>
          <cell r="F97">
            <v>268827273.46972501</v>
          </cell>
          <cell r="G97">
            <v>333165608.44240385</v>
          </cell>
          <cell r="H97">
            <v>334952027.30569226</v>
          </cell>
          <cell r="AJ97">
            <v>27100616.452133238</v>
          </cell>
          <cell r="AK97">
            <v>9948996.1854855418</v>
          </cell>
          <cell r="AL97">
            <v>0</v>
          </cell>
          <cell r="AM97">
            <v>0</v>
          </cell>
          <cell r="AN97">
            <v>0</v>
          </cell>
          <cell r="BH97">
            <v>0.21953855962780375</v>
          </cell>
          <cell r="BJ97">
            <v>0.10838414736639754</v>
          </cell>
          <cell r="BL97">
            <v>7.8415709797444982E-3</v>
          </cell>
        </row>
        <row r="98">
          <cell r="D98">
            <v>215748354.74660507</v>
          </cell>
          <cell r="E98">
            <v>252641302.72493762</v>
          </cell>
          <cell r="F98">
            <v>290058626.90060753</v>
          </cell>
          <cell r="G98">
            <v>359262522.22385418</v>
          </cell>
          <cell r="H98">
            <v>360439213.24433845</v>
          </cell>
          <cell r="AJ98">
            <v>751005.41612881422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BH98">
            <v>0.19413437493425981</v>
          </cell>
          <cell r="BJ98">
            <v>8.477595318369488E-2</v>
          </cell>
          <cell r="BL98">
            <v>3.4704291736904151E-3</v>
          </cell>
        </row>
        <row r="99">
          <cell r="D99">
            <v>231424991.99080649</v>
          </cell>
          <cell r="E99">
            <v>270673618.08274949</v>
          </cell>
          <cell r="F99">
            <v>310712647.65049195</v>
          </cell>
          <cell r="G99">
            <v>385108229.69163269</v>
          </cell>
          <cell r="H99">
            <v>385899943.68206483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BH99">
            <v>0.16864048144557542</v>
          </cell>
          <cell r="BJ99">
            <v>6.3410018611896365E-2</v>
          </cell>
          <cell r="BL99">
            <v>4.5259013717088338E-4</v>
          </cell>
        </row>
        <row r="100">
          <cell r="D100">
            <v>248258546.02889067</v>
          </cell>
          <cell r="E100">
            <v>290333228.47389066</v>
          </cell>
          <cell r="F100">
            <v>333025837.92070246</v>
          </cell>
          <cell r="G100">
            <v>412470044.2459985</v>
          </cell>
          <cell r="H100">
            <v>413150841.33669221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BH100">
            <v>0.14380900471228339</v>
          </cell>
          <cell r="BJ100">
            <v>4.2141413788150804E-2</v>
          </cell>
          <cell r="BL100">
            <v>-1.9086432371032747E-3</v>
          </cell>
        </row>
        <row r="101">
          <cell r="D101">
            <v>266335234.72284868</v>
          </cell>
          <cell r="E101">
            <v>311007588.81103462</v>
          </cell>
          <cell r="F101">
            <v>356927646.78633565</v>
          </cell>
          <cell r="G101">
            <v>441925830.15937775</v>
          </cell>
          <cell r="H101">
            <v>442572486.90835637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BH101">
            <v>0.11947642112771058</v>
          </cell>
          <cell r="BJ101">
            <v>2.1018258570223724E-2</v>
          </cell>
          <cell r="BL101">
            <v>-3.874110165726891E-3</v>
          </cell>
        </row>
        <row r="102">
          <cell r="D102">
            <v>285754092.46785438</v>
          </cell>
          <cell r="E102">
            <v>333705189.2479682</v>
          </cell>
          <cell r="F102">
            <v>382449759.14044392</v>
          </cell>
          <cell r="G102">
            <v>473454285.27163446</v>
          </cell>
          <cell r="H102">
            <v>473929125.80220574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BH102">
            <v>9.5489169602149024E-2</v>
          </cell>
          <cell r="BJ102">
            <v>9.0378499786429646E-7</v>
          </cell>
          <cell r="BL102">
            <v>-5.5534539395400324E-3</v>
          </cell>
        </row>
        <row r="103">
          <cell r="D103">
            <v>306608247.12059933</v>
          </cell>
          <cell r="E103">
            <v>357395277.4452439</v>
          </cell>
          <cell r="F103">
            <v>409935136.50717551</v>
          </cell>
          <cell r="G103">
            <v>507194128.01966286</v>
          </cell>
          <cell r="H103">
            <v>507379429.21059197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BH103">
            <v>7.1720383482231934E-2</v>
          </cell>
          <cell r="BJ103">
            <v>-2.118516210669651E-2</v>
          </cell>
          <cell r="BL103">
            <v>-7.038198657168513E-3</v>
          </cell>
        </row>
        <row r="104">
          <cell r="D104">
            <v>329004632.33489895</v>
          </cell>
          <cell r="E104">
            <v>383587024.6795879</v>
          </cell>
          <cell r="F104">
            <v>439321025.79441154</v>
          </cell>
          <cell r="G104">
            <v>543887341.0227468</v>
          </cell>
          <cell r="H104">
            <v>543908315.32821417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BH104">
            <v>4.8046741144619126E-2</v>
          </cell>
          <cell r="BJ104">
            <v>-4.2477379398357822E-2</v>
          </cell>
          <cell r="BL104">
            <v>-8.4333915930122766E-3</v>
          </cell>
        </row>
        <row r="105">
          <cell r="D105">
            <v>352883204.59698731</v>
          </cell>
          <cell r="E105">
            <v>410923682.03695929</v>
          </cell>
          <cell r="F105">
            <v>470822857.20154709</v>
          </cell>
          <cell r="G105">
            <v>582718256.74794757</v>
          </cell>
          <cell r="H105">
            <v>582909693.39233947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BH105">
            <v>2.451448378076776E-2</v>
          </cell>
          <cell r="BJ105">
            <v>-6.4022245243659209E-2</v>
          </cell>
          <cell r="BL105">
            <v>-9.7299167618433331E-3</v>
          </cell>
        </row>
      </sheetData>
      <sheetData sheetId="19">
        <row r="6">
          <cell r="D6">
            <v>17762.06792426531</v>
          </cell>
          <cell r="E6">
            <v>19716.212034348537</v>
          </cell>
          <cell r="F6">
            <v>21518.920594077244</v>
          </cell>
          <cell r="G6">
            <v>25537.636154974909</v>
          </cell>
          <cell r="H6">
            <v>29229.126886137004</v>
          </cell>
          <cell r="AC6">
            <v>4942.1115683144426</v>
          </cell>
          <cell r="AD6">
            <v>5066.3181270241339</v>
          </cell>
          <cell r="AE6">
            <v>5184.0690702835072</v>
          </cell>
          <cell r="AF6">
            <v>5297.9116032581314</v>
          </cell>
          <cell r="AG6">
            <v>6112.4293060511227</v>
          </cell>
          <cell r="AS6">
            <v>-0.39370334259639012</v>
          </cell>
          <cell r="AU6">
            <v>-0.39686798520384814</v>
          </cell>
          <cell r="AW6">
            <v>-0.25530284741693576</v>
          </cell>
        </row>
        <row r="7">
          <cell r="D7">
            <v>22780.64040143913</v>
          </cell>
          <cell r="E7">
            <v>24439.007517947037</v>
          </cell>
          <cell r="F7">
            <v>25741.704659634572</v>
          </cell>
          <cell r="G7">
            <v>29207.111053638291</v>
          </cell>
          <cell r="H7">
            <v>31883.544190172859</v>
          </cell>
          <cell r="AC7">
            <v>4955.7952053434337</v>
          </cell>
          <cell r="AD7">
            <v>5114.6307727089325</v>
          </cell>
          <cell r="AE7">
            <v>5153.7232840154356</v>
          </cell>
          <cell r="AF7">
            <v>4999.3714838766591</v>
          </cell>
          <cell r="AG7">
            <v>5340.6979521125868</v>
          </cell>
          <cell r="AS7">
            <v>-0.19093509681711573</v>
          </cell>
          <cell r="AU7">
            <v>-0.17864639919356415</v>
          </cell>
          <cell r="AW7">
            <v>-0.10616612386885348</v>
          </cell>
        </row>
        <row r="8">
          <cell r="D8">
            <v>28776.738186277769</v>
          </cell>
          <cell r="E8">
            <v>30141.583729271959</v>
          </cell>
          <cell r="F8">
            <v>30907.871551326247</v>
          </cell>
          <cell r="G8">
            <v>33788.359702260772</v>
          </cell>
          <cell r="H8">
            <v>35266.219124107847</v>
          </cell>
          <cell r="AC8">
            <v>6399.503090734308</v>
          </cell>
          <cell r="AD8">
            <v>6643.315701263462</v>
          </cell>
          <cell r="AE8">
            <v>6658.9509920488435</v>
          </cell>
          <cell r="AF8">
            <v>6292.0988224293105</v>
          </cell>
          <cell r="AG8">
            <v>6401.3250009507283</v>
          </cell>
          <cell r="AS8">
            <v>-0.11920833108840516</v>
          </cell>
          <cell r="AU8">
            <v>-0.10341788766279407</v>
          </cell>
          <cell r="AW8">
            <v>-5.7700910781986338E-2</v>
          </cell>
        </row>
        <row r="9">
          <cell r="D9">
            <v>35980.83682696629</v>
          </cell>
          <cell r="E9">
            <v>37073.885723574196</v>
          </cell>
          <cell r="F9">
            <v>37124.794675991718</v>
          </cell>
          <cell r="G9">
            <v>39316.632895576564</v>
          </cell>
          <cell r="H9">
            <v>39315.303842443456</v>
          </cell>
          <cell r="AC9">
            <v>8025.2427462448741</v>
          </cell>
          <cell r="AD9">
            <v>8407.7210157220507</v>
          </cell>
          <cell r="AE9">
            <v>8421.106531182937</v>
          </cell>
          <cell r="AF9">
            <v>7800.5013153856562</v>
          </cell>
          <cell r="AG9">
            <v>7342.6532664936167</v>
          </cell>
          <cell r="AS9">
            <v>-8.1062696628940098E-2</v>
          </cell>
          <cell r="AU9">
            <v>-6.3296810978380344E-2</v>
          </cell>
          <cell r="AW9">
            <v>-3.3701769903822579E-2</v>
          </cell>
        </row>
        <row r="10">
          <cell r="D10">
            <v>44181.008755246279</v>
          </cell>
          <cell r="E10">
            <v>44935.712303666121</v>
          </cell>
          <cell r="F10">
            <v>44271.957761939368</v>
          </cell>
          <cell r="G10">
            <v>45562.523640022497</v>
          </cell>
          <cell r="H10">
            <v>43906.962474781001</v>
          </cell>
          <cell r="AC10">
            <v>9860.5773477458279</v>
          </cell>
          <cell r="AD10">
            <v>10211.247536608033</v>
          </cell>
          <cell r="AE10">
            <v>9945.8159808706259</v>
          </cell>
          <cell r="AF10">
            <v>8751.0660174702352</v>
          </cell>
          <cell r="AG10">
            <v>7946.4305244056122</v>
          </cell>
          <cell r="AS10">
            <v>-5.4692070098009436E-2</v>
          </cell>
          <cell r="AU10">
            <v>-3.8531055528013627E-2</v>
          </cell>
          <cell r="AW10">
            <v>-2.0436392649247702E-2</v>
          </cell>
        </row>
        <row r="11">
          <cell r="D11">
            <v>53413.721305171639</v>
          </cell>
          <cell r="E11">
            <v>53915.536292081284</v>
          </cell>
          <cell r="F11">
            <v>52430.597641937828</v>
          </cell>
          <cell r="G11">
            <v>52959.58462546071</v>
          </cell>
          <cell r="H11">
            <v>49226.651854461932</v>
          </cell>
          <cell r="AC11">
            <v>7988.1066162485586</v>
          </cell>
          <cell r="AD11">
            <v>8332.0816005856759</v>
          </cell>
          <cell r="AE11">
            <v>7871.5707459606419</v>
          </cell>
          <cell r="AF11">
            <v>6401.392508719633</v>
          </cell>
          <cell r="AG11">
            <v>4598.9745589342201</v>
          </cell>
          <cell r="AS11">
            <v>-4.8506110299670238E-2</v>
          </cell>
          <cell r="AU11">
            <v>-3.1650029360970458E-2</v>
          </cell>
          <cell r="AW11">
            <v>-1.6946025508893663E-2</v>
          </cell>
        </row>
        <row r="12">
          <cell r="D12">
            <v>64103.990676393318</v>
          </cell>
          <cell r="E12">
            <v>64426.934947105867</v>
          </cell>
          <cell r="F12">
            <v>62095.737752716435</v>
          </cell>
          <cell r="G12">
            <v>61516.281814232738</v>
          </cell>
          <cell r="H12">
            <v>55258.021479543393</v>
          </cell>
          <cell r="AC12">
            <v>8781.1709128714792</v>
          </cell>
          <cell r="AD12">
            <v>9348.0459071273508</v>
          </cell>
          <cell r="AE12">
            <v>8988.8623493549749</v>
          </cell>
          <cell r="AF12">
            <v>7099.2680912046635</v>
          </cell>
          <cell r="AG12">
            <v>4988.7534868671573</v>
          </cell>
          <cell r="AS12">
            <v>-4.5684539730281748E-2</v>
          </cell>
          <cell r="AU12">
            <v>-2.731556866808536E-2</v>
          </cell>
          <cell r="AW12">
            <v>-1.472994427097586E-2</v>
          </cell>
        </row>
        <row r="13">
          <cell r="D13">
            <v>76230.892689881483</v>
          </cell>
          <cell r="E13">
            <v>76141.653683203098</v>
          </cell>
          <cell r="F13">
            <v>72792.069322627416</v>
          </cell>
          <cell r="G13">
            <v>71060.6470788281</v>
          </cell>
          <cell r="H13">
            <v>61855.673582393974</v>
          </cell>
          <cell r="AC13">
            <v>9651.5585427890328</v>
          </cell>
          <cell r="AD13">
            <v>10097.037009726933</v>
          </cell>
          <cell r="AE13">
            <v>9665.7555494225817</v>
          </cell>
          <cell r="AF13">
            <v>7642.1409686334446</v>
          </cell>
          <cell r="AG13">
            <v>5111.2109896092952</v>
          </cell>
          <cell r="AS13">
            <v>-4.4464699177001916E-2</v>
          </cell>
          <cell r="AU13">
            <v>-2.4796822033126296E-2</v>
          </cell>
          <cell r="AW13">
            <v>-1.3547861893706577E-2</v>
          </cell>
        </row>
        <row r="14">
          <cell r="D14">
            <v>89758.396203951517</v>
          </cell>
          <cell r="E14">
            <v>89340.925023319593</v>
          </cell>
          <cell r="F14">
            <v>84498.019140596705</v>
          </cell>
          <cell r="G14">
            <v>80969.313509629559</v>
          </cell>
          <cell r="H14">
            <v>68608.054255095165</v>
          </cell>
          <cell r="AC14">
            <v>10685.332338786378</v>
          </cell>
          <cell r="AD14">
            <v>11224.8337416469</v>
          </cell>
          <cell r="AE14">
            <v>10203.567471914052</v>
          </cell>
          <cell r="AF14">
            <v>7453.1704034927825</v>
          </cell>
          <cell r="AG14">
            <v>4855.6748707401421</v>
          </cell>
          <cell r="AS14">
            <v>-4.3738913857559555E-2</v>
          </cell>
          <cell r="AU14">
            <v>-2.3566890243643168E-2</v>
          </cell>
          <cell r="AW14">
            <v>-1.3043035843307243E-2</v>
          </cell>
        </row>
        <row r="15">
          <cell r="D15">
            <v>104990.49549777817</v>
          </cell>
          <cell r="E15">
            <v>103556.05933914834</v>
          </cell>
          <cell r="F15">
            <v>97231.3629942072</v>
          </cell>
          <cell r="G15">
            <v>92594.189267214882</v>
          </cell>
          <cell r="H15">
            <v>77541.978699656232</v>
          </cell>
          <cell r="AC15">
            <v>15180.205232616208</v>
          </cell>
          <cell r="AD15">
            <v>17476.582231424967</v>
          </cell>
          <cell r="AE15">
            <v>19219.891632051877</v>
          </cell>
          <cell r="AF15">
            <v>15501.629741046338</v>
          </cell>
          <cell r="AG15">
            <v>9613.2998694839334</v>
          </cell>
          <cell r="AS15">
            <v>-3.7968103594185489E-2</v>
          </cell>
          <cell r="AU15">
            <v>-1.2332755013580395E-2</v>
          </cell>
          <cell r="AW15">
            <v>-1.0703538780728394E-2</v>
          </cell>
        </row>
        <row r="16">
          <cell r="D16">
            <v>121550.72000485974</v>
          </cell>
          <cell r="E16">
            <v>120511.52642038508</v>
          </cell>
          <cell r="F16">
            <v>113818.82961753874</v>
          </cell>
          <cell r="G16">
            <v>108054.41728163307</v>
          </cell>
          <cell r="H16">
            <v>88434.457355287726</v>
          </cell>
          <cell r="AC16">
            <v>18350.279323441588</v>
          </cell>
          <cell r="AD16">
            <v>21533.173617989654</v>
          </cell>
          <cell r="AE16">
            <v>25528.328709091453</v>
          </cell>
          <cell r="AF16">
            <v>20629.113808693437</v>
          </cell>
          <cell r="AG16">
            <v>12280.189846535264</v>
          </cell>
          <cell r="AS16">
            <v>-3.1910086276161799E-2</v>
          </cell>
          <cell r="AU16">
            <v>-1.1095574277378839E-3</v>
          </cell>
          <cell r="AW16">
            <v>-8.3837916353791658E-3</v>
          </cell>
        </row>
        <row r="17">
          <cell r="D17">
            <v>140318.77646476054</v>
          </cell>
          <cell r="E17">
            <v>139192.68196744812</v>
          </cell>
          <cell r="F17">
            <v>131197.7949549944</v>
          </cell>
          <cell r="G17">
            <v>123932.64306340927</v>
          </cell>
          <cell r="H17">
            <v>99590.077333615074</v>
          </cell>
          <cell r="AC17">
            <v>21558.860898220475</v>
          </cell>
          <cell r="AD17">
            <v>26233.220920059044</v>
          </cell>
          <cell r="AE17">
            <v>26476.296014108346</v>
          </cell>
          <cell r="AF17">
            <v>21002.899005283864</v>
          </cell>
          <cell r="AG17">
            <v>11901.140367429442</v>
          </cell>
          <cell r="AS17">
            <v>-2.5443794546679638E-2</v>
          </cell>
          <cell r="AU17">
            <v>7.1575648204045359E-3</v>
          </cell>
          <cell r="AW17">
            <v>-7.0478299680593439E-3</v>
          </cell>
        </row>
        <row r="18">
          <cell r="D18">
            <v>161773.94930714599</v>
          </cell>
          <cell r="E18">
            <v>160426.0200872678</v>
          </cell>
          <cell r="F18">
            <v>150625.27711790829</v>
          </cell>
          <cell r="G18">
            <v>141653.61590171949</v>
          </cell>
          <cell r="H18">
            <v>112693.41877971629</v>
          </cell>
          <cell r="AC18">
            <v>24910.470144239604</v>
          </cell>
          <cell r="AD18">
            <v>31951.963437177648</v>
          </cell>
          <cell r="AE18">
            <v>30427.701321197499</v>
          </cell>
          <cell r="AF18">
            <v>23187.332549563289</v>
          </cell>
          <cell r="AG18">
            <v>13176.286539269771</v>
          </cell>
          <cell r="AS18">
            <v>-1.9226052860370688E-2</v>
          </cell>
          <cell r="AU18">
            <v>1.4841115775681877E-2</v>
          </cell>
          <cell r="AW18">
            <v>-6.1621725876533596E-3</v>
          </cell>
        </row>
        <row r="19">
          <cell r="D19">
            <v>185851.4828614984</v>
          </cell>
          <cell r="E19">
            <v>183277.15960102715</v>
          </cell>
          <cell r="F19">
            <v>172019.71289999946</v>
          </cell>
          <cell r="G19">
            <v>161201.97239521312</v>
          </cell>
          <cell r="H19">
            <v>126267.41994830559</v>
          </cell>
          <cell r="AC19">
            <v>28299.176595952798</v>
          </cell>
          <cell r="AD19">
            <v>36260.751703852642</v>
          </cell>
          <cell r="AE19">
            <v>41936.113388077851</v>
          </cell>
          <cell r="AF19">
            <v>24968.092226549052</v>
          </cell>
          <cell r="AG19">
            <v>13695.80922464469</v>
          </cell>
          <cell r="AS19">
            <v>-1.3224975855599678E-2</v>
          </cell>
          <cell r="AU19">
            <v>2.8083601515152049E-2</v>
          </cell>
          <cell r="AW19">
            <v>-5.4786477972849149E-3</v>
          </cell>
        </row>
        <row r="20">
          <cell r="D20">
            <v>212506.71125039115</v>
          </cell>
          <cell r="E20">
            <v>210192.50483697918</v>
          </cell>
          <cell r="F20">
            <v>196666.25053411603</v>
          </cell>
          <cell r="G20">
            <v>183954.79085710819</v>
          </cell>
          <cell r="H20">
            <v>142931.19975943258</v>
          </cell>
          <cell r="AC20">
            <v>23354.579259444959</v>
          </cell>
          <cell r="AD20">
            <v>28782.015993974521</v>
          </cell>
          <cell r="AE20">
            <v>33007.22155612256</v>
          </cell>
          <cell r="AF20">
            <v>18239.27444311406</v>
          </cell>
          <cell r="AG20">
            <v>10743.197699294193</v>
          </cell>
          <cell r="AS20">
            <v>-1.5181409160825715E-2</v>
          </cell>
          <cell r="AU20">
            <v>3.1269269105655299E-2</v>
          </cell>
          <cell r="AW20">
            <v>-6.2489519147324833E-3</v>
          </cell>
        </row>
        <row r="21">
          <cell r="D21">
            <v>242483.96461411184</v>
          </cell>
          <cell r="E21">
            <v>239924.22936527891</v>
          </cell>
          <cell r="F21">
            <v>224018.54240252401</v>
          </cell>
          <cell r="G21">
            <v>209613.64440939066</v>
          </cell>
          <cell r="H21">
            <v>161279.47009685132</v>
          </cell>
          <cell r="AC21">
            <v>25345.07426164666</v>
          </cell>
          <cell r="AD21">
            <v>30558.585399538395</v>
          </cell>
          <cell r="AE21">
            <v>34732.330882896902</v>
          </cell>
          <cell r="AF21">
            <v>22390.044750416972</v>
          </cell>
          <cell r="AG21">
            <v>11202.793847042994</v>
          </cell>
          <cell r="AS21">
            <v>-1.7761201012984004E-2</v>
          </cell>
          <cell r="AU21">
            <v>3.3149277760941176E-2</v>
          </cell>
          <cell r="AW21">
            <v>-7.0344826125781504E-3</v>
          </cell>
        </row>
        <row r="22">
          <cell r="D22">
            <v>275508.79268982529</v>
          </cell>
          <cell r="E22">
            <v>271557.73337069544</v>
          </cell>
          <cell r="F22">
            <v>253080.56442153835</v>
          </cell>
          <cell r="G22">
            <v>235957.59053952931</v>
          </cell>
          <cell r="H22">
            <v>179506.2305987656</v>
          </cell>
          <cell r="AC22">
            <v>29017.069913054642</v>
          </cell>
          <cell r="AD22">
            <v>31299.212678162381</v>
          </cell>
          <cell r="AE22">
            <v>34805.983667436172</v>
          </cell>
          <cell r="AF22">
            <v>27549.094368538819</v>
          </cell>
          <cell r="AG22">
            <v>10322.975242702407</v>
          </cell>
          <cell r="AS22">
            <v>-1.9282260544244881E-2</v>
          </cell>
          <cell r="AU22">
            <v>3.3867449134523601E-2</v>
          </cell>
          <cell r="AW22">
            <v>-7.8670443730719259E-3</v>
          </cell>
        </row>
        <row r="23">
          <cell r="D23">
            <v>312138.31972564169</v>
          </cell>
          <cell r="E23">
            <v>308563.7838470696</v>
          </cell>
          <cell r="F23">
            <v>287444.10923024878</v>
          </cell>
          <cell r="G23">
            <v>267066.03350513568</v>
          </cell>
          <cell r="H23">
            <v>202997.88894695678</v>
          </cell>
          <cell r="AC23">
            <v>30956.581863598258</v>
          </cell>
          <cell r="AD23">
            <v>37214.038546070631</v>
          </cell>
          <cell r="AE23">
            <v>38495.836312578002</v>
          </cell>
          <cell r="AF23">
            <v>30584.041469824588</v>
          </cell>
          <cell r="AG23">
            <v>12362.5297858509</v>
          </cell>
          <cell r="AS23">
            <v>-2.1481981949405246E-2</v>
          </cell>
          <cell r="AU23">
            <v>3.3317633611876847E-2</v>
          </cell>
          <cell r="AW23">
            <v>-8.8511549612648715E-3</v>
          </cell>
        </row>
        <row r="24">
          <cell r="D24">
            <v>353488.49788121635</v>
          </cell>
          <cell r="E24">
            <v>349148.51047665044</v>
          </cell>
          <cell r="F24">
            <v>324880.99713910476</v>
          </cell>
          <cell r="G24">
            <v>302744.35369969491</v>
          </cell>
          <cell r="H24">
            <v>227741.62125266215</v>
          </cell>
          <cell r="AC24">
            <v>32979.024753819511</v>
          </cell>
          <cell r="AD24">
            <v>40561.544134027616</v>
          </cell>
          <cell r="AE24">
            <v>40116.7461078419</v>
          </cell>
          <cell r="AF24">
            <v>31872.927666932403</v>
          </cell>
          <cell r="AG24">
            <v>12615.380522261257</v>
          </cell>
          <cell r="AS24">
            <v>-2.4720568473595547E-2</v>
          </cell>
          <cell r="AU24">
            <v>3.2080209796722207E-2</v>
          </cell>
          <cell r="AW24">
            <v>-9.7433744835261921E-3</v>
          </cell>
        </row>
        <row r="25">
          <cell r="D25">
            <v>399132.5281964126</v>
          </cell>
          <cell r="E25">
            <v>393170.65877317783</v>
          </cell>
          <cell r="F25">
            <v>365868.26582867233</v>
          </cell>
          <cell r="G25">
            <v>339640.07753194874</v>
          </cell>
          <cell r="H25">
            <v>253166.33168829518</v>
          </cell>
          <cell r="AC25">
            <v>35258.91721131769</v>
          </cell>
          <cell r="AD25">
            <v>42263.717024222482</v>
          </cell>
          <cell r="AE25">
            <v>45104.452398132358</v>
          </cell>
          <cell r="AF25">
            <v>31560.380150664481</v>
          </cell>
          <cell r="AG25">
            <v>11483.409893722303</v>
          </cell>
          <cell r="AS25">
            <v>-2.8272145111340706E-2</v>
          </cell>
          <cell r="AU25">
            <v>3.1440339447479954E-2</v>
          </cell>
          <cell r="AW25">
            <v>-1.0785520405378252E-2</v>
          </cell>
        </row>
        <row r="26">
          <cell r="D26">
            <v>449257.82701655326</v>
          </cell>
          <cell r="E26">
            <v>443781.31561015721</v>
          </cell>
          <cell r="F26">
            <v>411094.1851323208</v>
          </cell>
          <cell r="G26">
            <v>379037.78236359416</v>
          </cell>
          <cell r="H26">
            <v>283402.75611803652</v>
          </cell>
          <cell r="AC26">
            <v>39759.990961202246</v>
          </cell>
          <cell r="AD26">
            <v>45684.450607384788</v>
          </cell>
          <cell r="AE26">
            <v>50325.842119882174</v>
          </cell>
          <cell r="AF26">
            <v>32108.447019940824</v>
          </cell>
          <cell r="AG26">
            <v>13397.939077695162</v>
          </cell>
          <cell r="AS26">
            <v>-3.0994374544541209E-2</v>
          </cell>
          <cell r="AU26">
            <v>3.1086921102584861E-2</v>
          </cell>
          <cell r="AW26">
            <v>-1.1792407485318413E-2</v>
          </cell>
        </row>
        <row r="27">
          <cell r="D27">
            <v>505796.15965964057</v>
          </cell>
          <cell r="E27">
            <v>496362.41366739955</v>
          </cell>
          <cell r="F27">
            <v>458085.07029947307</v>
          </cell>
          <cell r="G27">
            <v>424973.90966470615</v>
          </cell>
          <cell r="H27">
            <v>321596.35217604146</v>
          </cell>
          <cell r="AC27">
            <v>42426.475978554459</v>
          </cell>
          <cell r="AD27">
            <v>46984.14686477097</v>
          </cell>
          <cell r="AE27">
            <v>50588.369018572615</v>
          </cell>
          <cell r="AF27">
            <v>34696.038885836839</v>
          </cell>
          <cell r="AG27">
            <v>17099.000834158622</v>
          </cell>
          <cell r="AS27">
            <v>-3.4610828004726223E-2</v>
          </cell>
          <cell r="AU27">
            <v>3.0275328639083603E-2</v>
          </cell>
          <cell r="AW27">
            <v>-1.2669926061104789E-2</v>
          </cell>
        </row>
        <row r="28">
          <cell r="D28">
            <v>567585.87701904878</v>
          </cell>
          <cell r="E28">
            <v>554870.32059448899</v>
          </cell>
          <cell r="F28">
            <v>514150.01453647169</v>
          </cell>
          <cell r="G28">
            <v>484240.34901083796</v>
          </cell>
          <cell r="H28">
            <v>364937.9694587923</v>
          </cell>
          <cell r="AC28">
            <v>45213.876537562115</v>
          </cell>
          <cell r="AD28">
            <v>53928.924758731446</v>
          </cell>
          <cell r="AE28">
            <v>56415.311806706362</v>
          </cell>
          <cell r="AF28">
            <v>43330.758752457041</v>
          </cell>
          <cell r="AG28">
            <v>24314.400075680052</v>
          </cell>
          <cell r="AS28">
            <v>-3.8299379524256792E-2</v>
          </cell>
          <cell r="AU28">
            <v>2.830043165019494E-2</v>
          </cell>
          <cell r="AW28">
            <v>-1.3570058894995395E-2</v>
          </cell>
        </row>
        <row r="29">
          <cell r="D29">
            <v>635129.59645833517</v>
          </cell>
          <cell r="E29">
            <v>626587.76728419121</v>
          </cell>
          <cell r="F29">
            <v>589133.64756634866</v>
          </cell>
          <cell r="G29">
            <v>554167.39654639049</v>
          </cell>
          <cell r="H29">
            <v>416390.79235945916</v>
          </cell>
          <cell r="AC29">
            <v>49109.156332654704</v>
          </cell>
          <cell r="AD29">
            <v>62482.766108185519</v>
          </cell>
          <cell r="AE29">
            <v>70777.792020643596</v>
          </cell>
          <cell r="AF29">
            <v>56980.593254070904</v>
          </cell>
          <cell r="AG29">
            <v>28954.197304942849</v>
          </cell>
          <cell r="AS29">
            <v>-4.1726346616869851E-2</v>
          </cell>
          <cell r="AU29">
            <v>2.4797780167939418E-2</v>
          </cell>
          <cell r="AW29">
            <v>-1.4500938093882082E-2</v>
          </cell>
        </row>
        <row r="30">
          <cell r="D30">
            <v>711684.9373929695</v>
          </cell>
          <cell r="E30">
            <v>705793.29027599865</v>
          </cell>
          <cell r="F30">
            <v>662721.88356963114</v>
          </cell>
          <cell r="G30">
            <v>626283.34940427693</v>
          </cell>
          <cell r="H30">
            <v>468812.52457075595</v>
          </cell>
          <cell r="AC30">
            <v>52608.598687694757</v>
          </cell>
          <cell r="AD30">
            <v>66567.118951502023</v>
          </cell>
          <cell r="AE30">
            <v>74893.886262815213</v>
          </cell>
          <cell r="AF30">
            <v>57226.216014995822</v>
          </cell>
          <cell r="AG30">
            <v>28115.236152909813</v>
          </cell>
          <cell r="AS30">
            <v>-4.5972535819232038E-2</v>
          </cell>
          <cell r="AU30">
            <v>2.3252373351586378E-2</v>
          </cell>
          <cell r="AW30">
            <v>-1.5452953419249581E-2</v>
          </cell>
        </row>
        <row r="31">
          <cell r="D31">
            <v>795127.73731356603</v>
          </cell>
          <cell r="E31">
            <v>789442.36897565483</v>
          </cell>
          <cell r="F31">
            <v>744200.04432236648</v>
          </cell>
          <cell r="G31">
            <v>700581.35130708013</v>
          </cell>
          <cell r="H31">
            <v>522647.39847493934</v>
          </cell>
          <cell r="AC31">
            <v>56285.448659116752</v>
          </cell>
          <cell r="AD31">
            <v>69890.251808151137</v>
          </cell>
          <cell r="AE31">
            <v>78253.118348163785</v>
          </cell>
          <cell r="AF31">
            <v>56959.375555005856</v>
          </cell>
          <cell r="AG31">
            <v>27918.686399023572</v>
          </cell>
          <cell r="AS31">
            <v>-5.0072491797773601E-2</v>
          </cell>
          <cell r="AU31">
            <v>2.0917144998885782E-2</v>
          </cell>
          <cell r="AW31">
            <v>-1.6384337726202895E-2</v>
          </cell>
        </row>
        <row r="32">
          <cell r="D32">
            <v>886566.4357233831</v>
          </cell>
          <cell r="E32">
            <v>882577.20518793631</v>
          </cell>
          <cell r="F32">
            <v>831249.41425190284</v>
          </cell>
          <cell r="G32">
            <v>778928.80956314155</v>
          </cell>
          <cell r="H32">
            <v>581598.54756850656</v>
          </cell>
          <cell r="AC32">
            <v>60470.638824613881</v>
          </cell>
          <cell r="AD32">
            <v>73063.219097223482</v>
          </cell>
          <cell r="AE32">
            <v>80550.674290909665</v>
          </cell>
          <cell r="AF32">
            <v>57643.137399573461</v>
          </cell>
          <cell r="AG32">
            <v>29596.087237539818</v>
          </cell>
          <cell r="AS32">
            <v>-5.408801527115302E-2</v>
          </cell>
          <cell r="AU32">
            <v>1.8282915574418652E-2</v>
          </cell>
          <cell r="AW32">
            <v>-1.7309149002321458E-2</v>
          </cell>
        </row>
        <row r="33">
          <cell r="D33">
            <v>988311.84318589838</v>
          </cell>
          <cell r="E33">
            <v>984102.02358886064</v>
          </cell>
          <cell r="F33">
            <v>927279.90697434207</v>
          </cell>
          <cell r="G33">
            <v>874786.85505927785</v>
          </cell>
          <cell r="H33">
            <v>648628.09650570317</v>
          </cell>
          <cell r="AC33">
            <v>64683.422145898105</v>
          </cell>
          <cell r="AD33">
            <v>77361.675411389908</v>
          </cell>
          <cell r="AE33">
            <v>87730.596281563514</v>
          </cell>
          <cell r="AF33">
            <v>70978.435088996775</v>
          </cell>
          <cell r="AG33">
            <v>33040.2973385558</v>
          </cell>
          <cell r="AS33">
            <v>-5.842568548912757E-2</v>
          </cell>
          <cell r="AU33">
            <v>1.564498937307527E-2</v>
          </cell>
          <cell r="AW33">
            <v>-1.819857225706116E-2</v>
          </cell>
        </row>
        <row r="34">
          <cell r="D34">
            <v>1099589.8956226604</v>
          </cell>
          <cell r="E34">
            <v>1097242.2133096803</v>
          </cell>
          <cell r="F34">
            <v>1038284.2249952396</v>
          </cell>
          <cell r="G34">
            <v>973805.34160160134</v>
          </cell>
          <cell r="H34">
            <v>724173.34815154667</v>
          </cell>
          <cell r="AC34">
            <v>68957.482545030653</v>
          </cell>
          <cell r="AD34">
            <v>84279.762813916663</v>
          </cell>
          <cell r="AE34">
            <v>97067.454029230867</v>
          </cell>
          <cell r="AF34">
            <v>73723.781231271103</v>
          </cell>
          <cell r="AG34">
            <v>36323.76933377661</v>
          </cell>
          <cell r="AS34">
            <v>-6.2704858264437058E-2</v>
          </cell>
          <cell r="AU34">
            <v>1.2442820534667593E-2</v>
          </cell>
          <cell r="AW34">
            <v>-1.9057247433303479E-2</v>
          </cell>
        </row>
        <row r="35">
          <cell r="D35">
            <v>1220402.5175145869</v>
          </cell>
          <cell r="E35">
            <v>1220125.1576980688</v>
          </cell>
          <cell r="F35">
            <v>1151580.2831997154</v>
          </cell>
          <cell r="G35">
            <v>1084098.5958009847</v>
          </cell>
          <cell r="H35">
            <v>800087.37998729234</v>
          </cell>
          <cell r="AC35">
            <v>73835.96302371507</v>
          </cell>
          <cell r="AD35">
            <v>88705.897150457837</v>
          </cell>
          <cell r="AE35">
            <v>96752.999462042702</v>
          </cell>
          <cell r="AF35">
            <v>78956.580094618606</v>
          </cell>
          <cell r="AG35">
            <v>36983.5235033317</v>
          </cell>
          <cell r="AS35">
            <v>-6.6697486668598135E-2</v>
          </cell>
          <cell r="AU35">
            <v>9.4068417987277272E-3</v>
          </cell>
          <cell r="AW35">
            <v>-1.9796760469139571E-2</v>
          </cell>
        </row>
        <row r="36">
          <cell r="D36">
            <v>1353563.0658039532</v>
          </cell>
          <cell r="E36">
            <v>1355289.5135783616</v>
          </cell>
          <cell r="F36">
            <v>1279163.3216343559</v>
          </cell>
          <cell r="G36">
            <v>1201510.2651526683</v>
          </cell>
          <cell r="H36">
            <v>882050.64412993798</v>
          </cell>
          <cell r="AC36">
            <v>78243.093750163214</v>
          </cell>
          <cell r="AD36">
            <v>95090.356172573753</v>
          </cell>
          <cell r="AE36">
            <v>106026.96472090646</v>
          </cell>
          <cell r="AF36">
            <v>81766.391764926375</v>
          </cell>
          <cell r="AG36">
            <v>38928.167610249366</v>
          </cell>
          <cell r="AS36">
            <v>-7.1948746935041066E-2</v>
          </cell>
          <cell r="AU36">
            <v>6.1664585777086185E-3</v>
          </cell>
          <cell r="AW36">
            <v>-2.0543230015380554E-2</v>
          </cell>
        </row>
        <row r="37">
          <cell r="D37">
            <v>1498390.2218031578</v>
          </cell>
          <cell r="E37">
            <v>1500738.9295704924</v>
          </cell>
          <cell r="F37">
            <v>1414893.0902620764</v>
          </cell>
          <cell r="G37">
            <v>1326164.8692445017</v>
          </cell>
          <cell r="H37">
            <v>972108.19115995918</v>
          </cell>
          <cell r="AC37">
            <v>84089.613632773049</v>
          </cell>
          <cell r="AD37">
            <v>99642.957521689124</v>
          </cell>
          <cell r="AE37">
            <v>109467.77179100201</v>
          </cell>
          <cell r="AF37">
            <v>85269.736909631407</v>
          </cell>
          <cell r="AG37">
            <v>41839.694836627401</v>
          </cell>
          <cell r="AS37">
            <v>-7.6958760034438703E-2</v>
          </cell>
          <cell r="AU37">
            <v>2.9083891681811725E-3</v>
          </cell>
          <cell r="AW37">
            <v>-2.125579684419221E-2</v>
          </cell>
        </row>
        <row r="38">
          <cell r="D38">
            <v>1655932.4781602575</v>
          </cell>
          <cell r="E38">
            <v>1657997.2500751521</v>
          </cell>
          <cell r="F38">
            <v>1563948.6164379523</v>
          </cell>
          <cell r="G38">
            <v>1469735.7370104787</v>
          </cell>
          <cell r="H38">
            <v>1052071.1044924546</v>
          </cell>
          <cell r="AC38">
            <v>90766.700907978229</v>
          </cell>
          <cell r="AD38">
            <v>103829.10164941917</v>
          </cell>
          <cell r="AE38">
            <v>116253.9378839212</v>
          </cell>
          <cell r="AF38">
            <v>93459.868965482572</v>
          </cell>
          <cell r="AG38">
            <v>35950.933436558116</v>
          </cell>
          <cell r="AS38">
            <v>-8.1678796641558873E-2</v>
          </cell>
          <cell r="AU38">
            <v>-4.9494547501096936E-4</v>
          </cell>
          <cell r="AW38">
            <v>-2.1937585563169798E-2</v>
          </cell>
        </row>
        <row r="39">
          <cell r="D39">
            <v>1834103.584035727</v>
          </cell>
          <cell r="E39">
            <v>1829784.6981704633</v>
          </cell>
          <cell r="F39">
            <v>1727339.8382393641</v>
          </cell>
          <cell r="G39">
            <v>1609799.176431848</v>
          </cell>
          <cell r="H39">
            <v>1143483.1716174642</v>
          </cell>
          <cell r="AC39">
            <v>97679.789343621815</v>
          </cell>
          <cell r="AD39">
            <v>112302.69745586696</v>
          </cell>
          <cell r="AE39">
            <v>123813.94424680434</v>
          </cell>
          <cell r="AF39">
            <v>88156.81034992449</v>
          </cell>
          <cell r="AG39">
            <v>39546.152881085291</v>
          </cell>
          <cell r="AS39">
            <v>-8.701101496362891E-2</v>
          </cell>
          <cell r="AU39">
            <v>-3.9513868292377378E-3</v>
          </cell>
          <cell r="AW39">
            <v>-2.2646201484839115E-2</v>
          </cell>
        </row>
        <row r="40">
          <cell r="D40">
            <v>2029433.6105622863</v>
          </cell>
          <cell r="E40">
            <v>2021644.4922525682</v>
          </cell>
          <cell r="F40">
            <v>1901525.0344046101</v>
          </cell>
          <cell r="G40">
            <v>1745527.5797803036</v>
          </cell>
          <cell r="H40">
            <v>1240571.0144126185</v>
          </cell>
          <cell r="AC40">
            <v>105201.37797000934</v>
          </cell>
          <cell r="AD40">
            <v>122127.59322171658</v>
          </cell>
          <cell r="AE40">
            <v>122734.21448609396</v>
          </cell>
          <cell r="AF40">
            <v>81082.290703297127</v>
          </cell>
          <cell r="AG40">
            <v>40926.144793997402</v>
          </cell>
          <cell r="AS40">
            <v>-9.2210524381970416E-2</v>
          </cell>
          <cell r="AU40">
            <v>-7.8667914886487601E-3</v>
          </cell>
          <cell r="AW40">
            <v>-2.3332004173389573E-2</v>
          </cell>
        </row>
        <row r="41">
          <cell r="D41">
            <v>2241736.2691011126</v>
          </cell>
          <cell r="E41">
            <v>2234197.3035254083</v>
          </cell>
          <cell r="F41">
            <v>2067250.5686426591</v>
          </cell>
          <cell r="G41">
            <v>1895404.0405600495</v>
          </cell>
          <cell r="H41">
            <v>1365181.24495338</v>
          </cell>
          <cell r="AC41">
            <v>113066.55521959811</v>
          </cell>
          <cell r="AD41">
            <v>129031.40143693727</v>
          </cell>
          <cell r="AE41">
            <v>112157.92903458932</v>
          </cell>
          <cell r="AF41">
            <v>86378.222022259142</v>
          </cell>
          <cell r="AG41">
            <v>58354.704698156565</v>
          </cell>
          <cell r="AS41">
            <v>-9.7105536655430744E-2</v>
          </cell>
          <cell r="AU41">
            <v>-1.1476321169399143E-2</v>
          </cell>
          <cell r="AW41">
            <v>-2.3782492416330916E-2</v>
          </cell>
        </row>
        <row r="42">
          <cell r="D42">
            <v>2474058.8820007807</v>
          </cell>
          <cell r="E42">
            <v>2442637.7169112815</v>
          </cell>
          <cell r="F42">
            <v>2244061.3718341067</v>
          </cell>
          <cell r="G42">
            <v>2081314.6954916685</v>
          </cell>
          <cell r="H42">
            <v>1503425.3097175579</v>
          </cell>
          <cell r="AC42">
            <v>121613.43804635457</v>
          </cell>
          <cell r="AD42">
            <v>122150.21381714032</v>
          </cell>
          <cell r="AE42">
            <v>117362.33128151624</v>
          </cell>
          <cell r="AF42">
            <v>108677.34588138526</v>
          </cell>
          <cell r="AG42">
            <v>62751.975765482872</v>
          </cell>
          <cell r="AS42">
            <v>-0.10184602583040245</v>
          </cell>
          <cell r="AU42">
            <v>-1.5024805206263378E-2</v>
          </cell>
          <cell r="AW42">
            <v>-2.4267512611288546E-2</v>
          </cell>
        </row>
        <row r="43">
          <cell r="D43">
            <v>2726460.281829183</v>
          </cell>
          <cell r="E43">
            <v>2675329.3151550186</v>
          </cell>
          <cell r="F43">
            <v>2472552.4654226755</v>
          </cell>
          <cell r="G43">
            <v>2319273.9089549654</v>
          </cell>
          <cell r="H43">
            <v>1673490.4198828461</v>
          </cell>
          <cell r="AC43">
            <v>130633.53094917606</v>
          </cell>
          <cell r="AD43">
            <v>135072.27240222739</v>
          </cell>
          <cell r="AE43">
            <v>147780.74574142601</v>
          </cell>
          <cell r="AF43">
            <v>140869.11015738384</v>
          </cell>
          <cell r="AG43">
            <v>74397.534860737389</v>
          </cell>
          <cell r="AS43">
            <v>-0.10628611949698652</v>
          </cell>
          <cell r="AU43">
            <v>-1.9224525174091088E-2</v>
          </cell>
          <cell r="AW43">
            <v>-2.4735879395290896E-2</v>
          </cell>
        </row>
        <row r="44">
          <cell r="D44">
            <v>3000644.4871006175</v>
          </cell>
          <cell r="E44">
            <v>2961282.7152046366</v>
          </cell>
          <cell r="F44">
            <v>2782235.4288229253</v>
          </cell>
          <cell r="G44">
            <v>2590506.2698797355</v>
          </cell>
          <cell r="H44">
            <v>1870636.6766480519</v>
          </cell>
          <cell r="AC44">
            <v>140165.99298946303</v>
          </cell>
          <cell r="AD44">
            <v>168187.42108447524</v>
          </cell>
          <cell r="AE44">
            <v>209078.2104653609</v>
          </cell>
          <cell r="AF44">
            <v>153967.77391640353</v>
          </cell>
          <cell r="AG44">
            <v>86350.634056646959</v>
          </cell>
          <cell r="AS44">
            <v>-0.11044542816293744</v>
          </cell>
          <cell r="AU44">
            <v>-2.3436580778671522E-2</v>
          </cell>
          <cell r="AW44">
            <v>-2.5114966072164263E-2</v>
          </cell>
        </row>
        <row r="45">
          <cell r="D45">
            <v>3248060.7279979256</v>
          </cell>
          <cell r="E45">
            <v>3233661.3464860548</v>
          </cell>
          <cell r="F45">
            <v>3036771.2915701312</v>
          </cell>
          <cell r="G45">
            <v>2842447.0573085914</v>
          </cell>
          <cell r="H45">
            <v>2051606.7514665271</v>
          </cell>
          <cell r="AC45">
            <v>150794.94820560608</v>
          </cell>
          <cell r="AD45">
            <v>193148.67992622266</v>
          </cell>
          <cell r="AE45">
            <v>200772.74414947676</v>
          </cell>
          <cell r="AF45">
            <v>164986.8247111442</v>
          </cell>
          <cell r="AG45">
            <v>92688.239457992604</v>
          </cell>
          <cell r="AS45">
            <v>-0.10960325076755528</v>
          </cell>
          <cell r="AU45">
            <v>-2.4588013335191818E-2</v>
          </cell>
          <cell r="AW45">
            <v>-2.4848608046354418E-2</v>
          </cell>
        </row>
        <row r="46">
          <cell r="D46">
            <v>3514326.4059556494</v>
          </cell>
          <cell r="E46">
            <v>3498740.1074809879</v>
          </cell>
          <cell r="F46">
            <v>3299153.5195642938</v>
          </cell>
          <cell r="G46">
            <v>3084422.8208886706</v>
          </cell>
          <cell r="H46">
            <v>2232697.7987956293</v>
          </cell>
          <cell r="AC46">
            <v>162651.69518165011</v>
          </cell>
          <cell r="AD46">
            <v>185446.39595803851</v>
          </cell>
          <cell r="AE46">
            <v>204635.02981219161</v>
          </cell>
          <cell r="AF46">
            <v>157064.73648797697</v>
          </cell>
          <cell r="AG46">
            <v>92388.609779491904</v>
          </cell>
          <cell r="AS46">
            <v>-0.10854940331884748</v>
          </cell>
          <cell r="AU46">
            <v>-2.5667603866488035E-2</v>
          </cell>
          <cell r="AW46">
            <v>-2.4588150047656923E-2</v>
          </cell>
        </row>
        <row r="47">
          <cell r="D47">
            <v>3799460.7839872111</v>
          </cell>
          <cell r="E47">
            <v>3805457.1606467227</v>
          </cell>
          <cell r="F47">
            <v>3586937.668317371</v>
          </cell>
          <cell r="G47">
            <v>3352959.9958507637</v>
          </cell>
          <cell r="H47">
            <v>2403256.5414495752</v>
          </cell>
          <cell r="AC47">
            <v>175535.49889424024</v>
          </cell>
          <cell r="AD47">
            <v>210510.91104510706</v>
          </cell>
          <cell r="AE47">
            <v>221613.37397521175</v>
          </cell>
          <cell r="AF47">
            <v>170301.89348891703</v>
          </cell>
          <cell r="AG47">
            <v>79571.764289021026</v>
          </cell>
          <cell r="AS47">
            <v>-0.10729175368202257</v>
          </cell>
          <cell r="AU47">
            <v>-2.6742394012181547E-2</v>
          </cell>
          <cell r="AW47">
            <v>-2.4472118431394838E-2</v>
          </cell>
        </row>
        <row r="48">
          <cell r="D48">
            <v>4111282.7080920632</v>
          </cell>
          <cell r="E48">
            <v>4116639.4813693902</v>
          </cell>
          <cell r="F48">
            <v>3873520.8017510944</v>
          </cell>
          <cell r="G48">
            <v>3616588.217908836</v>
          </cell>
          <cell r="H48">
            <v>2549712.2788451044</v>
          </cell>
          <cell r="AC48">
            <v>189013.89066920243</v>
          </cell>
          <cell r="AD48">
            <v>213254.26032527164</v>
          </cell>
          <cell r="AE48">
            <v>217219.50685017556</v>
          </cell>
          <cell r="AF48">
            <v>167760.55211259099</v>
          </cell>
          <cell r="AG48">
            <v>69413.84330926952</v>
          </cell>
          <cell r="AS48">
            <v>-0.10621988610784101</v>
          </cell>
          <cell r="AU48">
            <v>-2.7760951448939392E-2</v>
          </cell>
          <cell r="AW48">
            <v>-2.437067903020218E-2</v>
          </cell>
        </row>
        <row r="49">
          <cell r="D49">
            <v>4451773.8555908212</v>
          </cell>
          <cell r="E49">
            <v>4452308.522283691</v>
          </cell>
          <cell r="F49">
            <v>4186476.891269906</v>
          </cell>
          <cell r="G49">
            <v>3901661.6117850957</v>
          </cell>
          <cell r="H49">
            <v>2633035.6796608544</v>
          </cell>
          <cell r="AC49">
            <v>203793.09351551859</v>
          </cell>
          <cell r="AD49">
            <v>229812.02164731501</v>
          </cell>
          <cell r="AE49">
            <v>231629.29914587177</v>
          </cell>
          <cell r="AF49">
            <v>179516.31729974691</v>
          </cell>
          <cell r="AG49">
            <v>42145.097466001287</v>
          </cell>
          <cell r="AS49">
            <v>-0.10527732304250689</v>
          </cell>
          <cell r="AU49">
            <v>-2.8811100207808363E-2</v>
          </cell>
          <cell r="AW49">
            <v>-2.4355914149689201E-2</v>
          </cell>
        </row>
        <row r="50">
          <cell r="D50">
            <v>4820520.1444056621</v>
          </cell>
          <cell r="E50">
            <v>4817489.1954407934</v>
          </cell>
          <cell r="F50">
            <v>4520299.7363605313</v>
          </cell>
          <cell r="G50">
            <v>4105500.9587142318</v>
          </cell>
          <cell r="H50">
            <v>2724568.7083942476</v>
          </cell>
          <cell r="AC50">
            <v>219430.40491316281</v>
          </cell>
          <cell r="AD50">
            <v>246244.43685880164</v>
          </cell>
          <cell r="AE50">
            <v>246951.53908916004</v>
          </cell>
          <cell r="AF50">
            <v>120734.20874319971</v>
          </cell>
          <cell r="AG50">
            <v>44390.355789676076</v>
          </cell>
          <cell r="AS50">
            <v>-0.10433243816479394</v>
          </cell>
          <cell r="AU50">
            <v>-2.9684239942299896E-2</v>
          </cell>
          <cell r="AW50">
            <v>-2.4332390468785981E-2</v>
          </cell>
        </row>
        <row r="51">
          <cell r="D51">
            <v>5221186.334556004</v>
          </cell>
          <cell r="E51">
            <v>5206988.7227512896</v>
          </cell>
          <cell r="F51">
            <v>4879108.496158082</v>
          </cell>
          <cell r="G51">
            <v>4254305.3457285557</v>
          </cell>
          <cell r="H51">
            <v>2821717.0428515226</v>
          </cell>
          <cell r="AC51">
            <v>236245.73398381937</v>
          </cell>
          <cell r="AD51">
            <v>259651.1308039031</v>
          </cell>
          <cell r="AE51">
            <v>266117.17122001573</v>
          </cell>
          <cell r="AF51">
            <v>88592.99785862444</v>
          </cell>
          <cell r="AG51">
            <v>44978.253748146351</v>
          </cell>
          <cell r="AS51">
            <v>-0.10343719739032209</v>
          </cell>
          <cell r="AU51">
            <v>-3.0403365917112245E-2</v>
          </cell>
          <cell r="AW51">
            <v>-2.4310090164450026E-2</v>
          </cell>
        </row>
        <row r="52">
          <cell r="D52">
            <v>5655613.0234159585</v>
          </cell>
          <cell r="E52">
            <v>5630948.2859611101</v>
          </cell>
          <cell r="F52">
            <v>5061099.1597026652</v>
          </cell>
          <cell r="G52">
            <v>4411347.1969673708</v>
          </cell>
          <cell r="H52">
            <v>2924138.3690533792</v>
          </cell>
          <cell r="AC52">
            <v>254177.11537085567</v>
          </cell>
          <cell r="AD52">
            <v>281001.32487605326</v>
          </cell>
          <cell r="AE52">
            <v>127182.69874645211</v>
          </cell>
          <cell r="AF52">
            <v>91963.51631491445</v>
          </cell>
          <cell r="AG52">
            <v>47332.733832667582</v>
          </cell>
          <cell r="AS52">
            <v>-0.10255966493963212</v>
          </cell>
          <cell r="AU52">
            <v>-3.0971903358513839E-2</v>
          </cell>
          <cell r="AW52">
            <v>-2.4261652422290138E-2</v>
          </cell>
        </row>
        <row r="53">
          <cell r="D53">
            <v>6128674.3505416783</v>
          </cell>
          <cell r="E53">
            <v>5961803.0148974806</v>
          </cell>
          <cell r="F53">
            <v>5253690.1182504334</v>
          </cell>
          <cell r="G53">
            <v>4579556.2244138988</v>
          </cell>
          <cell r="H53">
            <v>3038419.3709975877</v>
          </cell>
          <cell r="AC53">
            <v>274322.6339637721</v>
          </cell>
          <cell r="AD53">
            <v>214925.59010654315</v>
          </cell>
          <cell r="AE53">
            <v>135358.79475931264</v>
          </cell>
          <cell r="AF53">
            <v>98159.17384037748</v>
          </cell>
          <cell r="AG53">
            <v>52907.594296189258</v>
          </cell>
          <cell r="AS53">
            <v>-0.10173460594285481</v>
          </cell>
          <cell r="AU53">
            <v>-3.147275150605925E-2</v>
          </cell>
          <cell r="AW53">
            <v>-2.4163903735992306E-2</v>
          </cell>
        </row>
        <row r="54">
          <cell r="D54">
            <v>6639872.3693140987</v>
          </cell>
          <cell r="E54">
            <v>6264265.5237521911</v>
          </cell>
          <cell r="F54">
            <v>5513913.4143601367</v>
          </cell>
          <cell r="G54">
            <v>4805049.2169276802</v>
          </cell>
          <cell r="H54">
            <v>3276499.1768142339</v>
          </cell>
          <cell r="AC54">
            <v>296348.57906991383</v>
          </cell>
          <cell r="AD54">
            <v>194884.74517861102</v>
          </cell>
          <cell r="AE54">
            <v>184126.98938769661</v>
          </cell>
          <cell r="AF54">
            <v>138754.54872156726</v>
          </cell>
          <cell r="AG54">
            <v>114634.71980100404</v>
          </cell>
          <cell r="AS54">
            <v>-0.10083601817262271</v>
          </cell>
          <cell r="AU54">
            <v>-3.1992661004459327E-2</v>
          </cell>
          <cell r="AW54">
            <v>-2.3795308253646969E-2</v>
          </cell>
        </row>
        <row r="55">
          <cell r="D55">
            <v>7189738.3098691581</v>
          </cell>
          <cell r="E55">
            <v>6777120.3268793309</v>
          </cell>
          <cell r="F55">
            <v>6031073.8140379004</v>
          </cell>
          <cell r="G55">
            <v>5421612.1939794337</v>
          </cell>
          <cell r="H55">
            <v>3800229.3925775448</v>
          </cell>
          <cell r="AC55">
            <v>319819.34696376789</v>
          </cell>
          <cell r="AD55">
            <v>333587.9654069785</v>
          </cell>
          <cell r="AE55">
            <v>377024.26322833914</v>
          </cell>
          <cell r="AF55">
            <v>377129.06540884404</v>
          </cell>
          <cell r="AG55">
            <v>256564.57139356132</v>
          </cell>
          <cell r="AS55">
            <v>-9.9103551586426947E-2</v>
          </cell>
          <cell r="AU55">
            <v>-3.2512581849052737E-2</v>
          </cell>
          <cell r="AW55">
            <v>-2.303394050669821E-2</v>
          </cell>
        </row>
        <row r="56">
          <cell r="D56">
            <v>7781705.9420829676</v>
          </cell>
          <cell r="E56">
            <v>7537787.0718724085</v>
          </cell>
          <cell r="F56">
            <v>6814894.6840643315</v>
          </cell>
          <cell r="G56">
            <v>6398300.8300763546</v>
          </cell>
          <cell r="H56">
            <v>4504593.650644809</v>
          </cell>
          <cell r="AC56">
            <v>345530.40154271945</v>
          </cell>
          <cell r="AD56">
            <v>498333.39659798238</v>
          </cell>
          <cell r="AE56">
            <v>568517.59044367075</v>
          </cell>
          <cell r="AF56">
            <v>614674.3303071931</v>
          </cell>
          <cell r="AG56">
            <v>346654.43643954839</v>
          </cell>
          <cell r="AS56">
            <v>-9.656078431128709E-2</v>
          </cell>
          <cell r="AU56">
            <v>-3.3094269176817584E-2</v>
          </cell>
          <cell r="AW56">
            <v>-2.2178834634075231E-2</v>
          </cell>
        </row>
        <row r="57">
          <cell r="D57">
            <v>8420795.270257052</v>
          </cell>
          <cell r="E57">
            <v>8155077.1921772398</v>
          </cell>
          <cell r="F57">
            <v>7662575.7859956771</v>
          </cell>
          <cell r="G57">
            <v>7135474.283103046</v>
          </cell>
          <cell r="H57">
            <v>4876970.0755899893</v>
          </cell>
          <cell r="AC57">
            <v>372617.11766385287</v>
          </cell>
          <cell r="AD57">
            <v>403559.1957836682</v>
          </cell>
          <cell r="AE57">
            <v>605721.5634209048</v>
          </cell>
          <cell r="AF57">
            <v>455500.28174064122</v>
          </cell>
          <cell r="AG57">
            <v>181566.84952000203</v>
          </cell>
          <cell r="AS57">
            <v>-9.4146966643059687E-2</v>
          </cell>
          <cell r="AU57">
            <v>-3.3685519618434301E-2</v>
          </cell>
          <cell r="AW57">
            <v>-2.1846925024593764E-2</v>
          </cell>
        </row>
        <row r="58">
          <cell r="D58">
            <v>9109167.933678126</v>
          </cell>
          <cell r="E58">
            <v>9091609.9394314047</v>
          </cell>
          <cell r="F58">
            <v>8571367.3510035127</v>
          </cell>
          <cell r="G58">
            <v>7845550.8236071859</v>
          </cell>
          <cell r="H58">
            <v>5133715.0835999027</v>
          </cell>
          <cell r="AC58">
            <v>402220.65018736012</v>
          </cell>
          <cell r="AD58">
            <v>617226.66762131918</v>
          </cell>
          <cell r="AE58">
            <v>644254.37784195226</v>
          </cell>
          <cell r="AF58">
            <v>430794.89798022155</v>
          </cell>
          <cell r="AG58">
            <v>119337.84192825574</v>
          </cell>
          <cell r="AS58">
            <v>-9.1812020080650633E-2</v>
          </cell>
          <cell r="AU58">
            <v>-3.4206021026632498E-2</v>
          </cell>
          <cell r="AW58">
            <v>-2.1684876772378202E-2</v>
          </cell>
        </row>
        <row r="59">
          <cell r="D59">
            <v>9854097.6294988897</v>
          </cell>
          <cell r="E59">
            <v>9947430.0904407706</v>
          </cell>
          <cell r="F59">
            <v>9235314.0699313972</v>
          </cell>
          <cell r="G59">
            <v>8205417.4028728222</v>
          </cell>
          <cell r="H59">
            <v>5344960.58735641</v>
          </cell>
          <cell r="AC59">
            <v>433749.48703548871</v>
          </cell>
          <cell r="AD59">
            <v>562331.08038677182</v>
          </cell>
          <cell r="AE59">
            <v>467694.06284325942</v>
          </cell>
          <cell r="AF59">
            <v>213937.05919125117</v>
          </cell>
          <cell r="AG59">
            <v>99079.32695852546</v>
          </cell>
          <cell r="AS59">
            <v>-8.961270454132142E-2</v>
          </cell>
          <cell r="AU59">
            <v>-3.4384539221263916E-2</v>
          </cell>
          <cell r="AW59">
            <v>-2.1558059127168787E-2</v>
          </cell>
        </row>
        <row r="60">
          <cell r="D60">
            <v>10665112.702789778</v>
          </cell>
          <cell r="E60">
            <v>10624515.964579351</v>
          </cell>
          <cell r="F60">
            <v>9831572.6470870283</v>
          </cell>
          <cell r="G60">
            <v>8520346.820975773</v>
          </cell>
          <cell r="H60">
            <v>5551455.1508470643</v>
          </cell>
          <cell r="AC60">
            <v>468382.61791521218</v>
          </cell>
          <cell r="AD60">
            <v>441437.55714085978</v>
          </cell>
          <cell r="AE60">
            <v>417146.06729113311</v>
          </cell>
          <cell r="AF60">
            <v>183719.274173568</v>
          </cell>
          <cell r="AG60">
            <v>94657.715877494309</v>
          </cell>
          <cell r="AS60">
            <v>-8.759591877618686E-2</v>
          </cell>
          <cell r="AU60">
            <v>-3.4307655129339025E-2</v>
          </cell>
          <cell r="AW60">
            <v>-2.1456628123891812E-2</v>
          </cell>
        </row>
        <row r="61">
          <cell r="D61">
            <v>11539669.892135527</v>
          </cell>
          <cell r="E61">
            <v>11396601.708494682</v>
          </cell>
          <cell r="F61">
            <v>10264026.408917017</v>
          </cell>
          <cell r="G61">
            <v>8890820.7376209553</v>
          </cell>
          <cell r="H61">
            <v>5870521.094242801</v>
          </cell>
          <cell r="AC61">
            <v>506150.60118349269</v>
          </cell>
          <cell r="AD61">
            <v>501909.57189390715</v>
          </cell>
          <cell r="AE61">
            <v>298646.86760261841</v>
          </cell>
          <cell r="AF61">
            <v>214400.42875283305</v>
          </cell>
          <cell r="AG61">
            <v>147489.5774841425</v>
          </cell>
          <cell r="AS61">
            <v>-8.5626753022833735E-2</v>
          </cell>
          <cell r="AU61">
            <v>-3.4289533062797375E-2</v>
          </cell>
          <cell r="AW61">
            <v>-2.1228335244507401E-2</v>
          </cell>
        </row>
        <row r="62">
          <cell r="D62">
            <v>12482499.925337708</v>
          </cell>
          <cell r="E62">
            <v>12142186.152430773</v>
          </cell>
          <cell r="F62">
            <v>10764332.644217206</v>
          </cell>
          <cell r="G62">
            <v>9314571.4602937046</v>
          </cell>
          <cell r="H62">
            <v>6335821.2386759473</v>
          </cell>
          <cell r="AC62">
            <v>546714.20383975282</v>
          </cell>
          <cell r="AD62">
            <v>480519.05237408075</v>
          </cell>
          <cell r="AE62">
            <v>346562.71131661627</v>
          </cell>
          <cell r="AF62">
            <v>246941.8411359787</v>
          </cell>
          <cell r="AG62">
            <v>220099.98289123364</v>
          </cell>
          <cell r="AS62">
            <v>-8.3702506775031688E-2</v>
          </cell>
          <cell r="AU62">
            <v>-3.4205593521966837E-2</v>
          </cell>
          <cell r="AW62">
            <v>-2.0868646934149547E-2</v>
          </cell>
        </row>
        <row r="63">
          <cell r="D63">
            <v>13504464.797275255</v>
          </cell>
          <cell r="E63">
            <v>12817957.344954027</v>
          </cell>
          <cell r="F63">
            <v>11344591.499519132</v>
          </cell>
          <cell r="G63">
            <v>10104177.793911358</v>
          </cell>
          <cell r="H63">
            <v>6874466.0908890786</v>
          </cell>
          <cell r="AC63">
            <v>590856.0289472919</v>
          </cell>
          <cell r="AD63">
            <v>434595.58558733575</v>
          </cell>
          <cell r="AE63">
            <v>403797.66162419599</v>
          </cell>
          <cell r="AF63">
            <v>467442.51410475466</v>
          </cell>
          <cell r="AG63">
            <v>257658.23126378609</v>
          </cell>
          <cell r="AS63">
            <v>-8.1875262414901173E-2</v>
          </cell>
          <cell r="AU63">
            <v>-3.404811317958506E-2</v>
          </cell>
          <cell r="AW63">
            <v>-2.0560920835918241E-2</v>
          </cell>
        </row>
        <row r="64">
          <cell r="D64">
            <v>14612426.040269399</v>
          </cell>
          <cell r="E64">
            <v>13846316.146954816</v>
          </cell>
          <cell r="F64">
            <v>12621773.916546931</v>
          </cell>
          <cell r="G64">
            <v>11409321.86064456</v>
          </cell>
          <cell r="H64">
            <v>7684425.7555086343</v>
          </cell>
          <cell r="AC64">
            <v>637887.61027867533</v>
          </cell>
          <cell r="AD64">
            <v>668406.81888479367</v>
          </cell>
          <cell r="AE64">
            <v>899678.79734228365</v>
          </cell>
          <cell r="AF64">
            <v>783960.68327921629</v>
          </cell>
          <cell r="AG64">
            <v>392956.02834235225</v>
          </cell>
          <cell r="AS64">
            <v>-8.0144099745500144E-2</v>
          </cell>
          <cell r="AU64">
            <v>-3.3535942678593222E-2</v>
          </cell>
          <cell r="AW64">
            <v>-2.0070728141612159E-2</v>
          </cell>
        </row>
        <row r="65">
          <cell r="D65">
            <v>15834150.979694888</v>
          </cell>
          <cell r="E65">
            <v>15453756.26015283</v>
          </cell>
          <cell r="F65">
            <v>14206481.05975382</v>
          </cell>
          <cell r="G65">
            <v>12786396.065576851</v>
          </cell>
          <cell r="H65">
            <v>8576197.8161816187</v>
          </cell>
          <cell r="AC65">
            <v>689197.07958566211</v>
          </cell>
          <cell r="AD65">
            <v>1046106.3702018075</v>
          </cell>
          <cell r="AE65">
            <v>1114704.7474621926</v>
          </cell>
          <cell r="AF65">
            <v>830588.71133140102</v>
          </cell>
          <cell r="AG65">
            <v>428890.96534071444</v>
          </cell>
          <cell r="AS65">
            <v>-7.8705438793248678E-2</v>
          </cell>
          <cell r="AU65">
            <v>-3.3011757270662426E-2</v>
          </cell>
          <cell r="AW65">
            <v>-1.9628454238730199E-2</v>
          </cell>
        </row>
        <row r="66">
          <cell r="D66">
            <v>17161097.891172912</v>
          </cell>
          <cell r="E66">
            <v>16776333.584612317</v>
          </cell>
          <cell r="F66">
            <v>15388632.112884527</v>
          </cell>
          <cell r="G66">
            <v>13833306.794085301</v>
          </cell>
          <cell r="H66">
            <v>9037917.1698035952</v>
          </cell>
          <cell r="AC66">
            <v>752198.38704403117</v>
          </cell>
          <cell r="AD66">
            <v>853933.82092234865</v>
          </cell>
          <cell r="AE66">
            <v>827760.30343616009</v>
          </cell>
          <cell r="AF66">
            <v>627639.59981744736</v>
          </cell>
          <cell r="AG66">
            <v>216709.26862761471</v>
          </cell>
          <cell r="AS66">
            <v>-7.7415166155117066E-2</v>
          </cell>
          <cell r="AU66">
            <v>-3.2750232763415682E-2</v>
          </cell>
          <cell r="AW66">
            <v>-1.948261506401015E-2</v>
          </cell>
        </row>
        <row r="67">
          <cell r="D67">
            <v>18595059.853108622</v>
          </cell>
          <cell r="E67">
            <v>18151630.380679615</v>
          </cell>
          <cell r="F67">
            <v>16593568.721865078</v>
          </cell>
          <cell r="G67">
            <v>14890524.966549233</v>
          </cell>
          <cell r="H67">
            <v>9402857.3529246747</v>
          </cell>
          <cell r="AC67">
            <v>916036.13678965718</v>
          </cell>
          <cell r="AD67">
            <v>870798.09760382958</v>
          </cell>
          <cell r="AE67">
            <v>844532.27481070347</v>
          </cell>
          <cell r="AF67">
            <v>633170.88173175603</v>
          </cell>
          <cell r="AG67">
            <v>168104.08200496435</v>
          </cell>
          <cell r="AS67">
            <v>-7.5513128554588388E-2</v>
          </cell>
          <cell r="AU67">
            <v>-3.2530990348555638E-2</v>
          </cell>
          <cell r="AW67">
            <v>-1.9400487646097708E-2</v>
          </cell>
        </row>
        <row r="68">
          <cell r="D68">
            <v>20148085.279221077</v>
          </cell>
          <cell r="E68">
            <v>19647858.309477702</v>
          </cell>
          <cell r="F68">
            <v>17936679.001741339</v>
          </cell>
          <cell r="G68">
            <v>15594339.641931834</v>
          </cell>
          <cell r="H68">
            <v>9800638.7500147037</v>
          </cell>
          <cell r="AC68">
            <v>1124949.9962045122</v>
          </cell>
          <cell r="AD68">
            <v>971354.78457724303</v>
          </cell>
          <cell r="AE68">
            <v>934671.83070725389</v>
          </cell>
          <cell r="AF68">
            <v>415776.98684156127</v>
          </cell>
          <cell r="AG68">
            <v>182981.55695090722</v>
          </cell>
          <cell r="AS68">
            <v>-7.2902962315950642E-2</v>
          </cell>
          <cell r="AU68">
            <v>-3.2390663151651053E-2</v>
          </cell>
          <cell r="AW68">
            <v>-1.9314492380156336E-2</v>
          </cell>
        </row>
        <row r="69">
          <cell r="D69">
            <v>21832983.149920657</v>
          </cell>
          <cell r="E69">
            <v>21264620.386071119</v>
          </cell>
          <cell r="F69">
            <v>19203884.450152621</v>
          </cell>
          <cell r="G69">
            <v>16282974.414417446</v>
          </cell>
          <cell r="H69">
            <v>10222561.10981195</v>
          </cell>
          <cell r="AC69">
            <v>1137530.7845649719</v>
          </cell>
          <cell r="AD69">
            <v>1266772.0298433658</v>
          </cell>
          <cell r="AE69">
            <v>878559.76221388765</v>
          </cell>
          <cell r="AF69">
            <v>404804.04475426674</v>
          </cell>
          <cell r="AG69">
            <v>194551.75624775235</v>
          </cell>
          <cell r="AS69">
            <v>-7.1052774934997551E-2</v>
          </cell>
          <cell r="AU69">
            <v>-3.2313900645146491E-2</v>
          </cell>
          <cell r="AW69">
            <v>-1.9227663963175271E-2</v>
          </cell>
        </row>
        <row r="70">
          <cell r="D70">
            <v>23645557.823584739</v>
          </cell>
          <cell r="E70">
            <v>23037649.272275541</v>
          </cell>
          <cell r="F70">
            <v>20124612.233677771</v>
          </cell>
          <cell r="G70">
            <v>17026266.695420209</v>
          </cell>
          <cell r="H70">
            <v>10806630.639611606</v>
          </cell>
          <cell r="AC70">
            <v>1110922.7161622904</v>
          </cell>
          <cell r="AD70">
            <v>1610427.608673811</v>
          </cell>
          <cell r="AE70">
            <v>625897.3870805949</v>
          </cell>
          <cell r="AF70">
            <v>436348.45571910776</v>
          </cell>
          <cell r="AG70">
            <v>272674.4245330561</v>
          </cell>
          <cell r="AS70">
            <v>-7.0015281070852073E-2</v>
          </cell>
          <cell r="AU70">
            <v>-3.2360807978451415E-2</v>
          </cell>
          <cell r="AW70">
            <v>-1.9092694558511689E-2</v>
          </cell>
        </row>
        <row r="71">
          <cell r="D71">
            <v>25616335.443474419</v>
          </cell>
          <cell r="E71">
            <v>24281735.857191302</v>
          </cell>
          <cell r="F71">
            <v>21090564.340486217</v>
          </cell>
          <cell r="G71">
            <v>17876993.847343925</v>
          </cell>
          <cell r="H71">
            <v>11438734.669859266</v>
          </cell>
          <cell r="AC71">
            <v>1157010.3739172183</v>
          </cell>
          <cell r="AD71">
            <v>1033583.8598981109</v>
          </cell>
          <cell r="AE71">
            <v>657483.28435799479</v>
          </cell>
          <cell r="AF71">
            <v>502230.77299516462</v>
          </cell>
          <cell r="AG71">
            <v>295403.48383667879</v>
          </cell>
          <cell r="AS71">
            <v>-7.1020597206632341E-2</v>
          </cell>
          <cell r="AU71">
            <v>-3.2405129899645779E-2</v>
          </cell>
          <cell r="AW71">
            <v>-1.8961683066998084E-2</v>
          </cell>
        </row>
        <row r="72">
          <cell r="D72">
            <v>27734356.456547424</v>
          </cell>
          <cell r="E72">
            <v>25897317.692417458</v>
          </cell>
          <cell r="F72">
            <v>22486899.390244447</v>
          </cell>
          <cell r="G72">
            <v>19348911.191219244</v>
          </cell>
          <cell r="H72">
            <v>12309883.44925515</v>
          </cell>
          <cell r="AC72">
            <v>1224869.6065072753</v>
          </cell>
          <cell r="AD72">
            <v>1180756.5427239686</v>
          </cell>
          <cell r="AE72">
            <v>1066624.1791527215</v>
          </cell>
          <cell r="AF72">
            <v>881458.38137470372</v>
          </cell>
          <cell r="AG72">
            <v>410139.12956814189</v>
          </cell>
          <cell r="AS72">
            <v>-7.2243332049381687E-2</v>
          </cell>
          <cell r="AU72">
            <v>-3.1950003485590885E-2</v>
          </cell>
          <cell r="AW72">
            <v>-1.8786641306619497E-2</v>
          </cell>
        </row>
        <row r="73">
          <cell r="D73">
            <v>30009387.545649752</v>
          </cell>
          <cell r="E73">
            <v>28115167.199228287</v>
          </cell>
          <cell r="F73">
            <v>24844704.601704143</v>
          </cell>
          <cell r="G73">
            <v>21219947.992337812</v>
          </cell>
          <cell r="H73">
            <v>13392173.668051433</v>
          </cell>
          <cell r="AC73">
            <v>1312007.4188971668</v>
          </cell>
          <cell r="AD73">
            <v>1536549.1434043348</v>
          </cell>
          <cell r="AE73">
            <v>2362154.02136291</v>
          </cell>
          <cell r="AF73">
            <v>1121324.3413885012</v>
          </cell>
          <cell r="AG73">
            <v>514065.55836499669</v>
          </cell>
          <cell r="AS73">
            <v>-7.3456453919030315E-2</v>
          </cell>
          <cell r="AU73">
            <v>-2.9035306805401874E-2</v>
          </cell>
          <cell r="AW73">
            <v>-1.8583623964469449E-2</v>
          </cell>
        </row>
        <row r="74">
          <cell r="D74">
            <v>32453659.343681041</v>
          </cell>
          <cell r="E74">
            <v>30787361.521786403</v>
          </cell>
          <cell r="F74">
            <v>27121523.920833491</v>
          </cell>
          <cell r="G74">
            <v>23008917.070400909</v>
          </cell>
          <cell r="H74">
            <v>14711416.609399712</v>
          </cell>
          <cell r="AC74">
            <v>1408043.0751772225</v>
          </cell>
          <cell r="AD74">
            <v>1786042.7600229904</v>
          </cell>
          <cell r="AE74">
            <v>2349588.3327494785</v>
          </cell>
          <cell r="AF74">
            <v>1067497.1009689532</v>
          </cell>
          <cell r="AG74">
            <v>630348.05442430358</v>
          </cell>
          <cell r="AS74">
            <v>-7.4648640051049625E-2</v>
          </cell>
          <cell r="AU74">
            <v>-2.6453543910979278E-2</v>
          </cell>
          <cell r="AW74">
            <v>-1.8234029979535892E-2</v>
          </cell>
        </row>
        <row r="75">
          <cell r="D75">
            <v>35082234.194235772</v>
          </cell>
          <cell r="E75">
            <v>33224023.992331427</v>
          </cell>
          <cell r="F75">
            <v>29134601.004193719</v>
          </cell>
          <cell r="G75">
            <v>24905942.520956352</v>
          </cell>
          <cell r="H75">
            <v>16207143.888312761</v>
          </cell>
          <cell r="AC75">
            <v>1503231.7196744159</v>
          </cell>
          <cell r="AD75">
            <v>1607402.5535253659</v>
          </cell>
          <cell r="AE75">
            <v>1675970.2722700685</v>
          </cell>
          <cell r="AF75">
            <v>1117486.6422836445</v>
          </cell>
          <cell r="AG75">
            <v>717300.8257782599</v>
          </cell>
          <cell r="AS75">
            <v>-7.5865453359709234E-2</v>
          </cell>
          <cell r="AU75">
            <v>-2.5896356854887469E-2</v>
          </cell>
          <cell r="AW75">
            <v>-1.7903226843276547E-2</v>
          </cell>
        </row>
        <row r="76">
          <cell r="D76">
            <v>37923562.004240617</v>
          </cell>
          <cell r="E76">
            <v>35778748.400251701</v>
          </cell>
          <cell r="F76">
            <v>31484403.465565622</v>
          </cell>
          <cell r="G76">
            <v>27560769.320932746</v>
          </cell>
          <cell r="H76">
            <v>17969182.946894173</v>
          </cell>
          <cell r="AC76">
            <v>1622318.4075454734</v>
          </cell>
          <cell r="AD76">
            <v>1672947.5688570887</v>
          </cell>
          <cell r="AE76">
            <v>1805098.0977931172</v>
          </cell>
          <cell r="AF76">
            <v>1698276.4910562187</v>
          </cell>
          <cell r="AG76">
            <v>785188.84172741417</v>
          </cell>
          <cell r="AS76">
            <v>-7.7092661811918803E-2</v>
          </cell>
          <cell r="AU76">
            <v>-2.6140078298930856E-2</v>
          </cell>
          <cell r="AW76">
            <v>-1.7805946642164661E-2</v>
          </cell>
        </row>
        <row r="77">
          <cell r="D77">
            <v>41004425.621166527</v>
          </cell>
          <cell r="E77">
            <v>38744988.536094256</v>
          </cell>
          <cell r="F77">
            <v>34997116.642536119</v>
          </cell>
          <cell r="G77">
            <v>30665433.608819649</v>
          </cell>
          <cell r="H77">
            <v>19881221.291290421</v>
          </cell>
          <cell r="AC77">
            <v>1753750.9294589013</v>
          </cell>
          <cell r="AD77">
            <v>1921529.4824240841</v>
          </cell>
          <cell r="AE77">
            <v>2576351.9380455837</v>
          </cell>
          <cell r="AF77">
            <v>2687163.7158926837</v>
          </cell>
          <cell r="AG77">
            <v>901772.11952008121</v>
          </cell>
          <cell r="AS77">
            <v>-7.8356131632145151E-2</v>
          </cell>
          <cell r="AU77">
            <v>-2.7049396706455675E-2</v>
          </cell>
          <cell r="AW77">
            <v>-1.7569082593411178E-2</v>
          </cell>
        </row>
        <row r="78">
          <cell r="D78">
            <v>44394611.182008088</v>
          </cell>
          <cell r="E78">
            <v>42790759.844732925</v>
          </cell>
          <cell r="F78">
            <v>38736041.895492822</v>
          </cell>
          <cell r="G78">
            <v>33972749.881375864</v>
          </cell>
          <cell r="H78">
            <v>21871178.593241576</v>
          </cell>
          <cell r="AC78">
            <v>1896835.7356731109</v>
          </cell>
          <cell r="AD78">
            <v>2605108.7753584422</v>
          </cell>
          <cell r="AE78">
            <v>2690110.8031071685</v>
          </cell>
          <cell r="AF78">
            <v>2544472.0895775892</v>
          </cell>
          <cell r="AG78">
            <v>939543.45957326517</v>
          </cell>
          <cell r="AS78">
            <v>-7.9840459033408556E-2</v>
          </cell>
          <cell r="AU78">
            <v>-2.8037121766546658E-2</v>
          </cell>
          <cell r="AW78">
            <v>-1.7376660532003766E-2</v>
          </cell>
        </row>
        <row r="79">
          <cell r="D79">
            <v>48083401.988342308</v>
          </cell>
          <cell r="E79">
            <v>46270403.472294278</v>
          </cell>
          <cell r="F79">
            <v>41811041.711915992</v>
          </cell>
          <cell r="G79">
            <v>36716411.868965082</v>
          </cell>
          <cell r="H79">
            <v>22860205.331699781</v>
          </cell>
          <cell r="AC79">
            <v>2050165.7188753746</v>
          </cell>
          <cell r="AD79">
            <v>2225166.2945024185</v>
          </cell>
          <cell r="AE79">
            <v>2170470.1836988367</v>
          </cell>
          <cell r="AF79">
            <v>1840675.1835657284</v>
          </cell>
          <cell r="AG79">
            <v>451369.37842429429</v>
          </cell>
          <cell r="AS79">
            <v>-8.1401069711305549E-2</v>
          </cell>
          <cell r="AU79">
            <v>-2.8871629714002006E-2</v>
          </cell>
          <cell r="AW79">
            <v>-1.7342189116967485E-2</v>
          </cell>
        </row>
        <row r="80">
          <cell r="D80">
            <v>52060574.601178356</v>
          </cell>
          <cell r="E80">
            <v>50156362.292292804</v>
          </cell>
          <cell r="F80">
            <v>45167102.214754388</v>
          </cell>
          <cell r="G80">
            <v>39547325.439297311</v>
          </cell>
          <cell r="H80">
            <v>23796362.929897662</v>
          </cell>
          <cell r="AC80">
            <v>2217431.1971965358</v>
          </cell>
          <cell r="AD80">
            <v>2455412.0936691947</v>
          </cell>
          <cell r="AE80">
            <v>2333586.926951535</v>
          </cell>
          <cell r="AF80">
            <v>1785747.5413340479</v>
          </cell>
          <cell r="AG80">
            <v>425281.06741989776</v>
          </cell>
          <cell r="AS80">
            <v>-8.2905955582836033E-2</v>
          </cell>
          <cell r="AU80">
            <v>-2.9777410014644966E-2</v>
          </cell>
          <cell r="AW80">
            <v>-1.7319888955426833E-2</v>
          </cell>
        </row>
        <row r="81">
          <cell r="D81">
            <v>56373904.480240472</v>
          </cell>
          <cell r="E81">
            <v>54368478.243618622</v>
          </cell>
          <cell r="F81">
            <v>48888587.260563895</v>
          </cell>
          <cell r="G81">
            <v>41228971.780576952</v>
          </cell>
          <cell r="H81">
            <v>24777558.736415088</v>
          </cell>
          <cell r="AC81">
            <v>2396355.6360333487</v>
          </cell>
          <cell r="AD81">
            <v>2563348.7129703388</v>
          </cell>
          <cell r="AE81">
            <v>2484016.4975427836</v>
          </cell>
          <cell r="AF81">
            <v>1019001.4279604703</v>
          </cell>
          <cell r="AG81">
            <v>446454.48387805559</v>
          </cell>
          <cell r="AS81">
            <v>-8.3775208131617873E-2</v>
          </cell>
          <cell r="AU81">
            <v>-3.1000642338733227E-2</v>
          </cell>
          <cell r="AW81">
            <v>-1.7298536796885353E-2</v>
          </cell>
        </row>
        <row r="82">
          <cell r="D82">
            <v>61052763.108928576</v>
          </cell>
          <cell r="E82">
            <v>58826188.337943099</v>
          </cell>
          <cell r="F82">
            <v>51960971.467796303</v>
          </cell>
          <cell r="G82">
            <v>43060314.138690397</v>
          </cell>
          <cell r="H82">
            <v>25996367.27905092</v>
          </cell>
          <cell r="AC82">
            <v>2591444.625264708</v>
          </cell>
          <cell r="AD82">
            <v>2796804.0195617378</v>
          </cell>
          <cell r="AE82">
            <v>2103154.2748673037</v>
          </cell>
          <cell r="AF82">
            <v>1103039.6629129127</v>
          </cell>
          <cell r="AG82">
            <v>483798.54557552189</v>
          </cell>
          <cell r="AS82">
            <v>-8.4690560050944844E-2</v>
          </cell>
          <cell r="AU82">
            <v>-3.1766680994164291E-2</v>
          </cell>
          <cell r="AW82">
            <v>-1.7449875913630591E-2</v>
          </cell>
        </row>
        <row r="83">
          <cell r="D83">
            <v>66082400.190404601</v>
          </cell>
          <cell r="E83">
            <v>63533211.849822648</v>
          </cell>
          <cell r="F83">
            <v>54316212.151328243</v>
          </cell>
          <cell r="G83">
            <v>45004813.442156315</v>
          </cell>
          <cell r="H83">
            <v>28111485.340641811</v>
          </cell>
          <cell r="AC83">
            <v>2800686.4518253654</v>
          </cell>
          <cell r="AD83">
            <v>2972811.2027441487</v>
          </cell>
          <cell r="AE83">
            <v>1600568.4763842076</v>
          </cell>
          <cell r="AF83">
            <v>1169650.7814070843</v>
          </cell>
          <cell r="AG83">
            <v>996596.90823641233</v>
          </cell>
          <cell r="AS83">
            <v>-8.5527338482282236E-2</v>
          </cell>
          <cell r="AU83">
            <v>-3.2347085236167201E-2</v>
          </cell>
          <cell r="AW83">
            <v>-1.7328978328543385E-2</v>
          </cell>
        </row>
        <row r="84">
          <cell r="D84">
            <v>71548585.174816102</v>
          </cell>
          <cell r="E84">
            <v>66544017.282054894</v>
          </cell>
          <cell r="F84">
            <v>56851830.542425126</v>
          </cell>
          <cell r="G84">
            <v>47635553.314497575</v>
          </cell>
          <cell r="H84">
            <v>30453261.036658533</v>
          </cell>
          <cell r="AC84">
            <v>3028201.098187387</v>
          </cell>
          <cell r="AD84">
            <v>1895334.1534167379</v>
          </cell>
          <cell r="AE84">
            <v>1741026.5612987503</v>
          </cell>
          <cell r="AF84">
            <v>1603240.4740775935</v>
          </cell>
          <cell r="AG84">
            <v>1108940.0066545308</v>
          </cell>
          <cell r="AS84">
            <v>-8.6441757426976851E-2</v>
          </cell>
          <cell r="AU84">
            <v>-3.2886511392407843E-2</v>
          </cell>
          <cell r="AW84">
            <v>-1.7211808609091144E-2</v>
          </cell>
        </row>
        <row r="85">
          <cell r="D85">
            <v>77420806.326395169</v>
          </cell>
          <cell r="E85">
            <v>71337548.231171727</v>
          </cell>
          <cell r="F85">
            <v>61681661.309138857</v>
          </cell>
          <cell r="G85">
            <v>53703184.514222495</v>
          </cell>
          <cell r="H85">
            <v>32819880.055049412</v>
          </cell>
          <cell r="AC85">
            <v>3272868.4085660055</v>
          </cell>
          <cell r="AD85">
            <v>3032539.3102836236</v>
          </cell>
          <cell r="AE85">
            <v>3316036.815824531</v>
          </cell>
          <cell r="AF85">
            <v>3666599.8975423053</v>
          </cell>
          <cell r="AG85">
            <v>1198748.352271542</v>
          </cell>
          <cell r="AS85">
            <v>-8.7266730304386683E-2</v>
          </cell>
          <cell r="AU85">
            <v>-3.3834469430396766E-2</v>
          </cell>
          <cell r="AW85">
            <v>-1.7054109734027132E-2</v>
          </cell>
        </row>
        <row r="86">
          <cell r="D86">
            <v>83730937.79018636</v>
          </cell>
          <cell r="E86">
            <v>78727434.144688502</v>
          </cell>
          <cell r="F86">
            <v>70478448.56516856</v>
          </cell>
          <cell r="G86">
            <v>58745827.402540334</v>
          </cell>
          <cell r="H86">
            <v>35760227.458627135</v>
          </cell>
          <cell r="AC86">
            <v>3538212.1854254603</v>
          </cell>
          <cell r="AD86">
            <v>4672081.9440509677</v>
          </cell>
          <cell r="AE86">
            <v>6051762.208545126</v>
          </cell>
          <cell r="AF86">
            <v>3013825.7413020208</v>
          </cell>
          <cell r="AG86">
            <v>1823384.3782436699</v>
          </cell>
          <cell r="AS86">
            <v>-8.8008706967721104E-2</v>
          </cell>
          <cell r="AU86">
            <v>-3.5097265239546968E-2</v>
          </cell>
          <cell r="AW86">
            <v>-1.6620641017827984E-2</v>
          </cell>
        </row>
        <row r="87">
          <cell r="D87">
            <v>90514610.642047122</v>
          </cell>
          <cell r="E87">
            <v>86864438.725340545</v>
          </cell>
          <cell r="F87">
            <v>75426314.149237603</v>
          </cell>
          <cell r="G87">
            <v>62683017.094148673</v>
          </cell>
          <cell r="H87">
            <v>39401913.203694306</v>
          </cell>
          <cell r="AC87">
            <v>3824274.6459698007</v>
          </cell>
          <cell r="AD87">
            <v>5184896.5730605721</v>
          </cell>
          <cell r="AE87">
            <v>3393538.3882725835</v>
          </cell>
          <cell r="AF87">
            <v>2347466.2982977554</v>
          </cell>
          <cell r="AG87">
            <v>2271077.2810342759</v>
          </cell>
          <cell r="AS87">
            <v>-8.8680050164508639E-2</v>
          </cell>
          <cell r="AU87">
            <v>-3.5682049686324949E-2</v>
          </cell>
          <cell r="AW87">
            <v>-1.6164214370605202E-2</v>
          </cell>
        </row>
        <row r="88">
          <cell r="D88">
            <v>97807377.247687072</v>
          </cell>
          <cell r="E88">
            <v>92210181.173514649</v>
          </cell>
          <cell r="F88">
            <v>79621951.884510636</v>
          </cell>
          <cell r="G88">
            <v>67429355.124114126</v>
          </cell>
          <cell r="H88">
            <v>42369043.995825261</v>
          </cell>
          <cell r="AC88">
            <v>4133753.3911413178</v>
          </cell>
          <cell r="AD88">
            <v>3408776.4911337569</v>
          </cell>
          <cell r="AE88">
            <v>2888845.8161686882</v>
          </cell>
          <cell r="AF88">
            <v>2790059.2201120704</v>
          </cell>
          <cell r="AG88">
            <v>1600770.3060353361</v>
          </cell>
          <cell r="AS88">
            <v>-8.9283867099540989E-2</v>
          </cell>
          <cell r="AU88">
            <v>-3.6114231921070619E-2</v>
          </cell>
          <cell r="AW88">
            <v>-1.6021038279163742E-2</v>
          </cell>
        </row>
        <row r="89">
          <cell r="D89">
            <v>105722948.09874052</v>
          </cell>
          <cell r="E89">
            <v>98448485.269948021</v>
          </cell>
          <cell r="F89">
            <v>85797170.479074687</v>
          </cell>
          <cell r="G89">
            <v>74158906.389630795</v>
          </cell>
          <cell r="H89">
            <v>45581111.21016673</v>
          </cell>
          <cell r="AC89">
            <v>4468187.991827853</v>
          </cell>
          <cell r="AD89">
            <v>3995021.9606679454</v>
          </cell>
          <cell r="AE89">
            <v>4247557.6897895262</v>
          </cell>
          <cell r="AF89">
            <v>3947626.6572658569</v>
          </cell>
          <cell r="AG89">
            <v>1642805.2088736482</v>
          </cell>
          <cell r="AS89">
            <v>-8.9965614192474772E-2</v>
          </cell>
          <cell r="AU89">
            <v>-3.670963115064857E-2</v>
          </cell>
          <cell r="AW89">
            <v>-1.6016677857384382E-2</v>
          </cell>
        </row>
        <row r="90">
          <cell r="D90">
            <v>114299172.30068117</v>
          </cell>
          <cell r="E90">
            <v>107197338.17116416</v>
          </cell>
          <cell r="F90">
            <v>95734809.46344313</v>
          </cell>
          <cell r="G90">
            <v>81312654.37431252</v>
          </cell>
          <cell r="H90">
            <v>49069407.652022868</v>
          </cell>
          <cell r="AC90">
            <v>4816938.5756387562</v>
          </cell>
          <cell r="AD90">
            <v>5630693.4717115387</v>
          </cell>
          <cell r="AE90">
            <v>6866156.3731881902</v>
          </cell>
          <cell r="AF90">
            <v>4217686.7261002958</v>
          </cell>
          <cell r="AG90">
            <v>1740150.1019510999</v>
          </cell>
          <cell r="AS90">
            <v>-9.111432394490418E-2</v>
          </cell>
          <cell r="AU90">
            <v>-3.7501344383212988E-2</v>
          </cell>
          <cell r="AW90">
            <v>-1.604857399666201E-2</v>
          </cell>
        </row>
        <row r="91">
          <cell r="D91">
            <v>123641930.03848796</v>
          </cell>
          <cell r="E91">
            <v>118090199.72651762</v>
          </cell>
          <cell r="F91">
            <v>104623916.1969863</v>
          </cell>
          <cell r="G91">
            <v>87963268.942003086</v>
          </cell>
          <cell r="H91">
            <v>51148703.195953868</v>
          </cell>
          <cell r="AC91">
            <v>5192724.7387667</v>
          </cell>
          <cell r="AD91">
            <v>6961745.3262045234</v>
          </cell>
          <cell r="AE91">
            <v>6161944.2598752677</v>
          </cell>
          <cell r="AF91">
            <v>3958031.2443002388</v>
          </cell>
          <cell r="AG91">
            <v>1029694.7636033371</v>
          </cell>
          <cell r="AS91">
            <v>-9.2780611010477979E-2</v>
          </cell>
          <cell r="AU91">
            <v>-3.8081591817246692E-2</v>
          </cell>
          <cell r="AW91">
            <v>-1.607120827590703E-2</v>
          </cell>
        </row>
        <row r="92">
          <cell r="D92">
            <v>133781258.72936413</v>
          </cell>
          <cell r="E92">
            <v>126782253.439253</v>
          </cell>
          <cell r="F92">
            <v>111125363.31328997</v>
          </cell>
          <cell r="G92">
            <v>91223105.975572407</v>
          </cell>
          <cell r="H92">
            <v>52950397.83821971</v>
          </cell>
          <cell r="AC92">
            <v>5596629.3450643867</v>
          </cell>
          <cell r="AD92">
            <v>5514711.9976229072</v>
          </cell>
          <cell r="AE92">
            <v>4510795.3210599422</v>
          </cell>
          <cell r="AF92">
            <v>1936344.7706912532</v>
          </cell>
          <cell r="AG92">
            <v>887830.79873165861</v>
          </cell>
          <cell r="AS92">
            <v>-9.4883174241879129E-2</v>
          </cell>
          <cell r="AU92">
            <v>-3.8456368659988208E-2</v>
          </cell>
          <cell r="AW92">
            <v>-1.609276432990939E-2</v>
          </cell>
        </row>
        <row r="93">
          <cell r="D93">
            <v>144670276.73283023</v>
          </cell>
          <cell r="E93">
            <v>135838305.80775833</v>
          </cell>
          <cell r="F93">
            <v>117403107.882533</v>
          </cell>
          <cell r="G93">
            <v>94772056.579482824</v>
          </cell>
          <cell r="H93">
            <v>55070710.83434698</v>
          </cell>
          <cell r="AC93">
            <v>6034186.7998073399</v>
          </cell>
          <cell r="AD93">
            <v>5692296.603143543</v>
          </cell>
          <cell r="AE93">
            <v>4355242.8016882092</v>
          </cell>
          <cell r="AF93">
            <v>2110848.2741556913</v>
          </cell>
          <cell r="AG93">
            <v>1040216.6955889761</v>
          </cell>
          <cell r="AS93">
            <v>-9.723452705965123E-2</v>
          </cell>
          <cell r="AU93">
            <v>-3.8791155028215674E-2</v>
          </cell>
          <cell r="AW93">
            <v>-1.6119819044063642E-2</v>
          </cell>
        </row>
        <row r="94">
          <cell r="D94">
            <v>156377868.02625042</v>
          </cell>
          <cell r="E94">
            <v>146004555.15508404</v>
          </cell>
          <cell r="F94">
            <v>122818934.75628455</v>
          </cell>
          <cell r="G94">
            <v>99224834.329477891</v>
          </cell>
          <cell r="H94">
            <v>71739412.335892066</v>
          </cell>
          <cell r="AC94">
            <v>6520582.2926011384</v>
          </cell>
          <cell r="AD94">
            <v>6372760.6879006177</v>
          </cell>
          <cell r="AE94">
            <v>3724338.7398633212</v>
          </cell>
          <cell r="AF94">
            <v>2658774.2836808711</v>
          </cell>
          <cell r="AG94">
            <v>7868999.3488477059</v>
          </cell>
          <cell r="AS94">
            <v>-9.9826533957091582E-2</v>
          </cell>
          <cell r="AU94">
            <v>-3.9112317631692088E-2</v>
          </cell>
          <cell r="AW94">
            <v>-1.6474449788651202E-2</v>
          </cell>
        </row>
        <row r="95">
          <cell r="D95">
            <v>168970757.88045725</v>
          </cell>
          <cell r="E95">
            <v>153458285.98851591</v>
          </cell>
          <cell r="F95">
            <v>129182629.63567674</v>
          </cell>
          <cell r="G95">
            <v>110674267.9082408</v>
          </cell>
          <cell r="H95">
            <v>127152614.83706158</v>
          </cell>
          <cell r="AC95">
            <v>7056128.163192302</v>
          </cell>
          <cell r="AD95">
            <v>4667161.2706679851</v>
          </cell>
          <cell r="AE95">
            <v>4324087.0801490247</v>
          </cell>
          <cell r="AF95">
            <v>6793873.4638082832</v>
          </cell>
          <cell r="AG95">
            <v>24833626.463664301</v>
          </cell>
          <cell r="AS95">
            <v>-0.10264923882768891</v>
          </cell>
          <cell r="AU95">
            <v>-3.9543763077596841E-2</v>
          </cell>
          <cell r="AW95">
            <v>-1.7613751101399219E-2</v>
          </cell>
        </row>
        <row r="96">
          <cell r="D96">
            <v>182520062.55054063</v>
          </cell>
          <cell r="E96">
            <v>165830702.56795165</v>
          </cell>
          <cell r="F96">
            <v>161038263.45407805</v>
          </cell>
          <cell r="G96">
            <v>190865279.71136162</v>
          </cell>
          <cell r="H96">
            <v>216899643.87377274</v>
          </cell>
          <cell r="AC96">
            <v>7630527.8077135235</v>
          </cell>
          <cell r="AD96">
            <v>7856468.8001303971</v>
          </cell>
          <cell r="AE96">
            <v>21523769.911825582</v>
          </cell>
          <cell r="AF96">
            <v>45477572.075103462</v>
          </cell>
          <cell r="AG96">
            <v>38643732.845376074</v>
          </cell>
          <cell r="AS96">
            <v>-0.10571343007119305</v>
          </cell>
          <cell r="AU96">
            <v>-4.8175541727517396E-2</v>
          </cell>
          <cell r="AW96">
            <v>-2.1825601819264635E-2</v>
          </cell>
        </row>
        <row r="97">
          <cell r="D97">
            <v>197099740.08541018</v>
          </cell>
          <cell r="E97">
            <v>216400519.82271531</v>
          </cell>
          <cell r="F97">
            <v>236815569.13652745</v>
          </cell>
          <cell r="G97">
            <v>279235357.52832705</v>
          </cell>
          <cell r="H97">
            <v>317205259.04722023</v>
          </cell>
          <cell r="AC97">
            <v>8256911.771509707</v>
          </cell>
          <cell r="AD97">
            <v>32048002.73363696</v>
          </cell>
          <cell r="AE97">
            <v>50818088.942171693</v>
          </cell>
          <cell r="AF97">
            <v>49652304.692410365</v>
          </cell>
          <cell r="AG97">
            <v>42827419.155157074</v>
          </cell>
          <cell r="AS97">
            <v>-0.109015333476634</v>
          </cell>
          <cell r="AU97">
            <v>-7.0076787661677339E-2</v>
          </cell>
          <cell r="AW97">
            <v>-2.5053149256056204E-2</v>
          </cell>
        </row>
        <row r="98">
          <cell r="D98">
            <v>212733999.2382603</v>
          </cell>
          <cell r="E98">
            <v>234397210.61846521</v>
          </cell>
          <cell r="F98">
            <v>257226519.51596597</v>
          </cell>
          <cell r="G98">
            <v>302728750.98425996</v>
          </cell>
          <cell r="H98">
            <v>342974389.81822336</v>
          </cell>
          <cell r="AC98">
            <v>8849563.3228782862</v>
          </cell>
          <cell r="AD98">
            <v>11396644.651315749</v>
          </cell>
          <cell r="AE98">
            <v>13678756.058152199</v>
          </cell>
          <cell r="AF98">
            <v>13193899.551218957</v>
          </cell>
          <cell r="AG98">
            <v>11000161.640973181</v>
          </cell>
          <cell r="AS98">
            <v>-0.11259443730681234</v>
          </cell>
          <cell r="AU98">
            <v>-7.3585641742365135E-2</v>
          </cell>
          <cell r="AW98">
            <v>-2.2177547164129098E-2</v>
          </cell>
        </row>
        <row r="99">
          <cell r="D99">
            <v>229499277.34445384</v>
          </cell>
          <cell r="E99">
            <v>252631411.60298151</v>
          </cell>
          <cell r="F99">
            <v>277052196.3726331</v>
          </cell>
          <cell r="G99">
            <v>325967754.35211927</v>
          </cell>
          <cell r="H99">
            <v>368683412.13675123</v>
          </cell>
          <cell r="AC99">
            <v>9484470.3833378553</v>
          </cell>
          <cell r="AD99">
            <v>11540416.650485873</v>
          </cell>
          <cell r="AE99">
            <v>13279478.685458571</v>
          </cell>
          <cell r="AF99">
            <v>13044968.345313847</v>
          </cell>
          <cell r="AG99">
            <v>10969835.210093766</v>
          </cell>
          <cell r="AS99">
            <v>-0.11645695348895969</v>
          </cell>
          <cell r="AU99">
            <v>-7.6672674837461596E-2</v>
          </cell>
          <cell r="AW99">
            <v>-2.0187630486638682E-2</v>
          </cell>
        </row>
        <row r="100">
          <cell r="D100">
            <v>247475778.92616892</v>
          </cell>
          <cell r="E100">
            <v>272476964.23856366</v>
          </cell>
          <cell r="F100">
            <v>298438457.14785647</v>
          </cell>
          <cell r="G100">
            <v>350540441.19082475</v>
          </cell>
          <cell r="H100">
            <v>396164827.39789069</v>
          </cell>
          <cell r="AC100">
            <v>10165007.997698218</v>
          </cell>
          <cell r="AD100">
            <v>12552911.848764479</v>
          </cell>
          <cell r="AE100">
            <v>14317008.211890638</v>
          </cell>
          <cell r="AF100">
            <v>13787070.122151762</v>
          </cell>
          <cell r="AG100">
            <v>11720902.113371313</v>
          </cell>
          <cell r="AS100">
            <v>-0.12060858302719957</v>
          </cell>
          <cell r="AU100">
            <v>-7.9987222721308787E-2</v>
          </cell>
          <cell r="AW100">
            <v>-1.881655153511139E-2</v>
          </cell>
        </row>
        <row r="101">
          <cell r="D101">
            <v>266751233.17060596</v>
          </cell>
          <cell r="E101">
            <v>293310891.88787037</v>
          </cell>
          <cell r="F101">
            <v>321313089.88068676</v>
          </cell>
          <cell r="G101">
            <v>376962038.98060584</v>
          </cell>
          <cell r="H101">
            <v>425797463.55256832</v>
          </cell>
          <cell r="AC101">
            <v>10894390.153027445</v>
          </cell>
          <cell r="AD101">
            <v>13170471.307567239</v>
          </cell>
          <cell r="AE101">
            <v>15305120.045122087</v>
          </cell>
          <cell r="AF101">
            <v>14817383.046463102</v>
          </cell>
          <cell r="AG101">
            <v>12632790.665081203</v>
          </cell>
          <cell r="AS101">
            <v>-0.12505874672939907</v>
          </cell>
          <cell r="AU101">
            <v>-8.3487189132685533E-2</v>
          </cell>
          <cell r="AW101">
            <v>-1.78614155721777E-2</v>
          </cell>
        </row>
        <row r="102">
          <cell r="D102">
            <v>287421322.9871698</v>
          </cell>
          <cell r="E102">
            <v>316144566.07146442</v>
          </cell>
          <cell r="F102">
            <v>345701930.7078796</v>
          </cell>
          <cell r="G102">
            <v>405209033.26413858</v>
          </cell>
          <cell r="H102">
            <v>457338632.42168665</v>
          </cell>
          <cell r="AC102">
            <v>11676122.591156691</v>
          </cell>
          <cell r="AD102">
            <v>14426235.953089058</v>
          </cell>
          <cell r="AE102">
            <v>16309454.071560383</v>
          </cell>
          <cell r="AF102">
            <v>15833556.827508658</v>
          </cell>
          <cell r="AG102">
            <v>13440510.388485819</v>
          </cell>
          <cell r="AS102">
            <v>-0.12982007053827974</v>
          </cell>
          <cell r="AU102">
            <v>-8.7161848147152624E-2</v>
          </cell>
          <cell r="AW102">
            <v>-1.7181262658783773E-2</v>
          </cell>
        </row>
        <row r="103">
          <cell r="D103">
            <v>309585345.13399601</v>
          </cell>
          <cell r="E103">
            <v>339935760.49580729</v>
          </cell>
          <cell r="F103">
            <v>371927770.14231801</v>
          </cell>
          <cell r="G103">
            <v>435401215.05121386</v>
          </cell>
          <cell r="H103">
            <v>490942887.0148074</v>
          </cell>
          <cell r="AC103">
            <v>12513962.673147827</v>
          </cell>
          <cell r="AD103">
            <v>15022537.937809974</v>
          </cell>
          <cell r="AE103">
            <v>17528440.155354738</v>
          </cell>
          <cell r="AF103">
            <v>16915891.901554257</v>
          </cell>
          <cell r="AG103">
            <v>14313359.300758421</v>
          </cell>
          <cell r="AS103">
            <v>-0.13490332224258805</v>
          </cell>
          <cell r="AU103">
            <v>-9.1077790031095812E-2</v>
          </cell>
          <cell r="AW103">
            <v>-1.6702705233973599E-2</v>
          </cell>
        </row>
        <row r="104">
          <cell r="D104">
            <v>333351503.66346675</v>
          </cell>
          <cell r="E104">
            <v>366194538.86266774</v>
          </cell>
          <cell r="F104">
            <v>399925345.72606355</v>
          </cell>
          <cell r="G104">
            <v>468197209.42088652</v>
          </cell>
          <cell r="H104">
            <v>527593298.3527751</v>
          </cell>
          <cell r="AC104">
            <v>13411937.438874692</v>
          </cell>
          <cell r="AD104">
            <v>16571018.021758169</v>
          </cell>
          <cell r="AE104">
            <v>18702536.153243899</v>
          </cell>
          <cell r="AF104">
            <v>18366013.832061052</v>
          </cell>
          <cell r="AG104">
            <v>15603928.533959419</v>
          </cell>
          <cell r="AS104">
            <v>-0.1403224982760459</v>
          </cell>
          <cell r="AU104">
            <v>-9.5197361684790122E-2</v>
          </cell>
          <cell r="AW104">
            <v>-1.6404114252664418E-2</v>
          </cell>
        </row>
        <row r="105">
          <cell r="D105">
            <v>358792105.7659204</v>
          </cell>
          <cell r="E105">
            <v>393554339.1948086</v>
          </cell>
          <cell r="F105">
            <v>429894383.89587927</v>
          </cell>
          <cell r="G105">
            <v>502862563.0412938</v>
          </cell>
          <cell r="H105">
            <v>566674698.9827286</v>
          </cell>
          <cell r="AC105">
            <v>14374362.962808192</v>
          </cell>
          <cell r="AD105">
            <v>17255913.28862235</v>
          </cell>
          <cell r="AE105">
            <v>20008718.374568522</v>
          </cell>
          <cell r="AF105">
            <v>19403723.592272341</v>
          </cell>
          <cell r="AG105">
            <v>16631654.474310279</v>
          </cell>
          <cell r="AS105">
            <v>-0.14605275884505986</v>
          </cell>
          <cell r="AU105">
            <v>-9.9551199963588285E-2</v>
          </cell>
          <cell r="AW105">
            <v>-1.6224381214929626E-2</v>
          </cell>
        </row>
      </sheetData>
      <sheetData sheetId="20">
        <row r="5">
          <cell r="AV5">
            <v>-0.2456686063519411</v>
          </cell>
          <cell r="AX5">
            <v>-0.13137510128742502</v>
          </cell>
          <cell r="AZ5">
            <v>-2.6867318902182278E-2</v>
          </cell>
        </row>
        <row r="6">
          <cell r="AV6">
            <v>-0.23777542424171783</v>
          </cell>
          <cell r="AX6">
            <v>-0.12584126218823871</v>
          </cell>
          <cell r="AZ6">
            <v>-2.4715697641155585E-2</v>
          </cell>
        </row>
        <row r="7">
          <cell r="AV7">
            <v>-0.23410638857118848</v>
          </cell>
          <cell r="AX7">
            <v>-0.12413900087935371</v>
          </cell>
          <cell r="AZ7">
            <v>-2.4675571271136749E-2</v>
          </cell>
        </row>
        <row r="8">
          <cell r="AV8">
            <v>-0.23180436444600816</v>
          </cell>
          <cell r="AX8">
            <v>-0.1230595306223911</v>
          </cell>
          <cell r="AZ8">
            <v>-2.4536967300907125E-2</v>
          </cell>
        </row>
        <row r="9">
          <cell r="AV9">
            <v>-0.22896937026825723</v>
          </cell>
          <cell r="AX9">
            <v>-0.12161377024067634</v>
          </cell>
          <cell r="AZ9">
            <v>-2.4371509519829696E-2</v>
          </cell>
        </row>
        <row r="10">
          <cell r="AV10">
            <v>-0.22566861935135107</v>
          </cell>
          <cell r="AX10">
            <v>-0.12018161067484794</v>
          </cell>
          <cell r="AZ10">
            <v>-2.4057644232002892E-2</v>
          </cell>
        </row>
        <row r="11">
          <cell r="AV11">
            <v>-0.22309471045690576</v>
          </cell>
          <cell r="AX11">
            <v>-0.11866252479836574</v>
          </cell>
          <cell r="AZ11">
            <v>-2.3699307022829443E-2</v>
          </cell>
        </row>
        <row r="12">
          <cell r="AV12">
            <v>-0.22055106842645347</v>
          </cell>
          <cell r="AX12">
            <v>-0.11725647172966573</v>
          </cell>
          <cell r="AZ12">
            <v>-2.3524930852347022E-2</v>
          </cell>
        </row>
        <row r="13">
          <cell r="AV13">
            <v>-0.21767834710654749</v>
          </cell>
          <cell r="AX13">
            <v>-0.11600239017733187</v>
          </cell>
          <cell r="AZ13">
            <v>-2.3401448660567495E-2</v>
          </cell>
        </row>
        <row r="14">
          <cell r="AV14">
            <v>-0.2148563271038117</v>
          </cell>
          <cell r="AX14">
            <v>-0.11466353183670121</v>
          </cell>
          <cell r="AZ14">
            <v>-1.3758244325905699E-2</v>
          </cell>
        </row>
        <row r="15">
          <cell r="AV15">
            <v>-0.22042741305479865</v>
          </cell>
          <cell r="AX15">
            <v>-9.3133610518365259E-2</v>
          </cell>
          <cell r="AZ15">
            <v>-3.8712980202987297E-3</v>
          </cell>
        </row>
        <row r="16">
          <cell r="AV16">
            <v>-0.20435779674848334</v>
          </cell>
          <cell r="AX16">
            <v>-7.7716269711270936E-2</v>
          </cell>
          <cell r="AZ16">
            <v>8.4924934178430664E-4</v>
          </cell>
        </row>
        <row r="17">
          <cell r="AV17">
            <v>-0.19085961285530437</v>
          </cell>
          <cell r="AX17">
            <v>-6.9208788121657719E-2</v>
          </cell>
          <cell r="AZ17">
            <v>5.9434367206900951E-3</v>
          </cell>
        </row>
        <row r="18">
          <cell r="AV18">
            <v>-0.18410086054493124</v>
          </cell>
          <cell r="AX18">
            <v>-6.2539411302769951E-2</v>
          </cell>
          <cell r="AZ18">
            <v>1.0143774488099231E-2</v>
          </cell>
        </row>
        <row r="19">
          <cell r="AV19">
            <v>-0.17610456117827067</v>
          </cell>
          <cell r="AX19">
            <v>-5.5597137876281788E-2</v>
          </cell>
          <cell r="AZ19">
            <v>1.4237194276775989E-2</v>
          </cell>
        </row>
        <row r="20">
          <cell r="AV20">
            <v>-0.16765447191593932</v>
          </cell>
          <cell r="AX20">
            <v>-4.7789077275263422E-2</v>
          </cell>
          <cell r="AZ20">
            <v>1.9381655999727056E-2</v>
          </cell>
        </row>
        <row r="21">
          <cell r="AV21">
            <v>-0.15861766468693259</v>
          </cell>
          <cell r="AX21">
            <v>-4.058757060233982E-2</v>
          </cell>
          <cell r="AZ21">
            <v>2.2833144004838806E-2</v>
          </cell>
        </row>
        <row r="22">
          <cell r="AV22">
            <v>-0.14991588538255762</v>
          </cell>
          <cell r="AX22">
            <v>-3.098707263524501E-2</v>
          </cell>
          <cell r="AZ22">
            <v>2.7122703341415696E-2</v>
          </cell>
        </row>
        <row r="23">
          <cell r="AV23">
            <v>-0.13958420789439918</v>
          </cell>
          <cell r="AX23">
            <v>-2.1723423747257723E-2</v>
          </cell>
          <cell r="AZ23">
            <v>3.1144054229474926E-2</v>
          </cell>
        </row>
        <row r="24">
          <cell r="AV24">
            <v>-0.12940772316036903</v>
          </cell>
          <cell r="AX24">
            <v>-1.2846017504595854E-2</v>
          </cell>
          <cell r="AZ24">
            <v>3.4759211227416029E-2</v>
          </cell>
        </row>
        <row r="25">
          <cell r="AV25">
            <v>-0.11841077927909283</v>
          </cell>
          <cell r="AX25">
            <v>-3.6004813833253775E-3</v>
          </cell>
          <cell r="AZ25">
            <v>3.8499514580156886E-2</v>
          </cell>
        </row>
        <row r="26">
          <cell r="AV26">
            <v>-0.10860927018867444</v>
          </cell>
          <cell r="AX26">
            <v>6.3725900544326962E-3</v>
          </cell>
          <cell r="AZ26">
            <v>4.389942614617677E-2</v>
          </cell>
        </row>
        <row r="27">
          <cell r="AV27">
            <v>-9.6065689769011184E-2</v>
          </cell>
          <cell r="AX27">
            <v>1.7004212332813511E-2</v>
          </cell>
          <cell r="AZ27">
            <v>5.0982884028715446E-2</v>
          </cell>
        </row>
        <row r="28">
          <cell r="AV28">
            <v>-8.360523365955129E-2</v>
          </cell>
          <cell r="AX28">
            <v>3.1661217331128734E-2</v>
          </cell>
          <cell r="AZ28">
            <v>6.0123609010073319E-2</v>
          </cell>
        </row>
        <row r="29">
          <cell r="AV29">
            <v>-7.0968644031166234E-2</v>
          </cell>
          <cell r="AX29">
            <v>4.4335075612330029E-2</v>
          </cell>
          <cell r="AZ29">
            <v>6.8109596394946056E-2</v>
          </cell>
        </row>
        <row r="30">
          <cell r="AV30">
            <v>-5.8685934533758491E-2</v>
          </cell>
          <cell r="AX30">
            <v>5.6707877471951537E-2</v>
          </cell>
          <cell r="AZ30">
            <v>7.48700901319551E-2</v>
          </cell>
        </row>
        <row r="31">
          <cell r="AV31">
            <v>-4.5725355495818659E-2</v>
          </cell>
          <cell r="AX31">
            <v>6.8148815683430994E-2</v>
          </cell>
          <cell r="AZ31">
            <v>8.1534124492897667E-2</v>
          </cell>
        </row>
        <row r="32">
          <cell r="AV32">
            <v>-3.3053430134429775E-2</v>
          </cell>
          <cell r="AX32">
            <v>7.9203532394924253E-2</v>
          </cell>
          <cell r="AZ32">
            <v>8.8221490621136905E-2</v>
          </cell>
        </row>
        <row r="33">
          <cell r="AV33">
            <v>-2.0927398426614889E-2</v>
          </cell>
          <cell r="AX33">
            <v>8.9926649511210835E-2</v>
          </cell>
          <cell r="AZ33">
            <v>9.4645297945365706E-2</v>
          </cell>
        </row>
        <row r="34">
          <cell r="AV34">
            <v>-8.8961267874141381E-3</v>
          </cell>
          <cell r="AX34">
            <v>9.8775829254291014E-2</v>
          </cell>
          <cell r="AZ34">
            <v>9.9763829283570901E-2</v>
          </cell>
        </row>
        <row r="35">
          <cell r="AV35">
            <v>1.8584498634374364E-3</v>
          </cell>
          <cell r="AX35">
            <v>0.10694251762815113</v>
          </cell>
          <cell r="AZ35">
            <v>0.10518604946697124</v>
          </cell>
        </row>
        <row r="36">
          <cell r="AV36">
            <v>1.2259763002641684E-2</v>
          </cell>
          <cell r="AX36">
            <v>0.11373004238158256</v>
          </cell>
          <cell r="AZ36">
            <v>0.11017794105113592</v>
          </cell>
        </row>
        <row r="37">
          <cell r="AV37">
            <v>2.1904936061218294E-2</v>
          </cell>
          <cell r="AX37">
            <v>0.12021810732684944</v>
          </cell>
          <cell r="AZ37">
            <v>0.11374175777203588</v>
          </cell>
        </row>
        <row r="38">
          <cell r="AV38">
            <v>3.0478152434575585E-2</v>
          </cell>
          <cell r="AX38">
            <v>0.12746208059939343</v>
          </cell>
          <cell r="AZ38">
            <v>0.1172325014975938</v>
          </cell>
        </row>
        <row r="39">
          <cell r="AV39">
            <v>3.8387313768342569E-2</v>
          </cell>
          <cell r="AX39">
            <v>0.13465965860145201</v>
          </cell>
          <cell r="AZ39">
            <v>0.120731658779242</v>
          </cell>
        </row>
        <row r="40">
          <cell r="AV40">
            <v>4.7336201514566002E-2</v>
          </cell>
          <cell r="AX40">
            <v>0.1408813813459821</v>
          </cell>
          <cell r="AZ40">
            <v>0.12745125409274757</v>
          </cell>
        </row>
        <row r="41">
          <cell r="AV41">
            <v>5.5791096399369702E-2</v>
          </cell>
          <cell r="AX41">
            <v>0.14635874330030654</v>
          </cell>
          <cell r="AZ41">
            <v>0.13343145171810689</v>
          </cell>
        </row>
        <row r="42">
          <cell r="AV42">
            <v>6.4063614283843287E-2</v>
          </cell>
          <cell r="AX42">
            <v>0.15482390260471135</v>
          </cell>
          <cell r="AZ42">
            <v>0.1416621593942187</v>
          </cell>
        </row>
        <row r="43">
          <cell r="AV43">
            <v>7.2003735157161283E-2</v>
          </cell>
          <cell r="AX43">
            <v>0.16893487493673395</v>
          </cell>
          <cell r="AZ43">
            <v>0.14969701059082399</v>
          </cell>
        </row>
        <row r="44">
          <cell r="AV44">
            <v>8.0232708172217726E-2</v>
          </cell>
          <cell r="AX44">
            <v>0.18191710004963033</v>
          </cell>
          <cell r="AZ44">
            <v>0.15707210380646111</v>
          </cell>
        </row>
        <row r="45">
          <cell r="AV45">
            <v>9.1413067010158222E-2</v>
          </cell>
          <cell r="AX45">
            <v>0.194327471526509</v>
          </cell>
          <cell r="AZ45">
            <v>0.16301309045896731</v>
          </cell>
        </row>
        <row r="46">
          <cell r="AV46">
            <v>0.10149478801935465</v>
          </cell>
          <cell r="AX46">
            <v>0.2062737085895518</v>
          </cell>
          <cell r="AZ46">
            <v>0.16746187455234066</v>
          </cell>
        </row>
        <row r="47">
          <cell r="AV47">
            <v>0.11347798901267186</v>
          </cell>
          <cell r="AX47">
            <v>0.21659875559716271</v>
          </cell>
          <cell r="AZ47">
            <v>0.17032952988246169</v>
          </cell>
        </row>
        <row r="48">
          <cell r="AV48">
            <v>0.12402173543365042</v>
          </cell>
          <cell r="AX48">
            <v>0.22519458321897731</v>
          </cell>
          <cell r="AZ48">
            <v>0.17125299030794103</v>
          </cell>
        </row>
        <row r="49">
          <cell r="AV49">
            <v>0.1344582501595048</v>
          </cell>
          <cell r="AX49">
            <v>0.23264250707040748</v>
          </cell>
          <cell r="AZ49">
            <v>0.17212998199601184</v>
          </cell>
        </row>
        <row r="50">
          <cell r="AV50">
            <v>0.14381324111743946</v>
          </cell>
          <cell r="AX50">
            <v>0.23900791964765722</v>
          </cell>
          <cell r="AZ50">
            <v>0.17287621138491188</v>
          </cell>
        </row>
        <row r="51">
          <cell r="AV51">
            <v>0.15219353285422785</v>
          </cell>
          <cell r="AX51">
            <v>0.24095809583471228</v>
          </cell>
          <cell r="AZ51">
            <v>0.17348189706234105</v>
          </cell>
        </row>
        <row r="52">
          <cell r="AV52">
            <v>0.15964837019917197</v>
          </cell>
          <cell r="AX52">
            <v>0.24265234708295255</v>
          </cell>
          <cell r="AZ52">
            <v>0.17398541838504525</v>
          </cell>
        </row>
        <row r="53">
          <cell r="AV53">
            <v>0.16593517445934666</v>
          </cell>
          <cell r="AX53">
            <v>0.24464664807454317</v>
          </cell>
          <cell r="AZ53">
            <v>0.17494737066587215</v>
          </cell>
        </row>
        <row r="54">
          <cell r="AV54">
            <v>0.16981920728804142</v>
          </cell>
          <cell r="AX54">
            <v>0.24770737084341782</v>
          </cell>
          <cell r="AZ54">
            <v>0.17670886827538798</v>
          </cell>
        </row>
        <row r="55">
          <cell r="AV55">
            <v>0.17153384488319459</v>
          </cell>
          <cell r="AX55">
            <v>0.25014926141242794</v>
          </cell>
          <cell r="AZ55">
            <v>0.17608462051883433</v>
          </cell>
        </row>
        <row r="56">
          <cell r="AV56">
            <v>0.17194411422250536</v>
          </cell>
          <cell r="AX56">
            <v>0.25008213939751928</v>
          </cell>
          <cell r="AZ56">
            <v>0.1752243460783233</v>
          </cell>
        </row>
        <row r="57">
          <cell r="AV57">
            <v>0.17190176192225931</v>
          </cell>
          <cell r="AX57">
            <v>0.24848135825603715</v>
          </cell>
          <cell r="AZ57">
            <v>0.17479876222633717</v>
          </cell>
        </row>
        <row r="58">
          <cell r="AV58">
            <v>0.17080725055010035</v>
          </cell>
          <cell r="AX58">
            <v>0.24528310706921941</v>
          </cell>
          <cell r="AZ58">
            <v>0.1742909452410901</v>
          </cell>
        </row>
        <row r="59">
          <cell r="AV59">
            <v>0.1691724398693151</v>
          </cell>
          <cell r="AX59">
            <v>0.24099712504863796</v>
          </cell>
          <cell r="AZ59">
            <v>0.17366422520825295</v>
          </cell>
        </row>
        <row r="60">
          <cell r="AV60">
            <v>0.16691838392860769</v>
          </cell>
          <cell r="AX60">
            <v>0.23849485501919815</v>
          </cell>
          <cell r="AZ60">
            <v>0.17307351386199485</v>
          </cell>
        </row>
        <row r="61">
          <cell r="AV61">
            <v>0.16401727846475406</v>
          </cell>
          <cell r="AX61">
            <v>0.23562512114334566</v>
          </cell>
          <cell r="AZ61">
            <v>0.17256901766553795</v>
          </cell>
        </row>
        <row r="62">
          <cell r="AV62">
            <v>0.16121473595115612</v>
          </cell>
          <cell r="AX62">
            <v>0.23236857443711417</v>
          </cell>
          <cell r="AZ62">
            <v>0.17305658986619643</v>
          </cell>
        </row>
        <row r="63">
          <cell r="AV63">
            <v>0.15911044344115033</v>
          </cell>
          <cell r="AX63">
            <v>0.22741977684210832</v>
          </cell>
          <cell r="AZ63">
            <v>0.17378579470938846</v>
          </cell>
        </row>
        <row r="64">
          <cell r="AV64">
            <v>0.15697765664763449</v>
          </cell>
          <cell r="AX64">
            <v>0.2233129724418178</v>
          </cell>
          <cell r="AZ64">
            <v>0.1745206745176649</v>
          </cell>
        </row>
        <row r="65">
          <cell r="AV65">
            <v>0.15625128702500399</v>
          </cell>
          <cell r="AX65">
            <v>0.22161201120008336</v>
          </cell>
          <cell r="AZ65">
            <v>0.17476467240743471</v>
          </cell>
        </row>
        <row r="66">
          <cell r="AV66">
            <v>0.15574644306279939</v>
          </cell>
          <cell r="AX66">
            <v>0.22034214599427804</v>
          </cell>
          <cell r="AZ66">
            <v>0.1749008671057693</v>
          </cell>
        </row>
        <row r="67">
          <cell r="AV67">
            <v>0.15614648332239869</v>
          </cell>
          <cell r="AX67">
            <v>0.21947513514885214</v>
          </cell>
          <cell r="AZ67">
            <v>0.17504890782996052</v>
          </cell>
        </row>
        <row r="68">
          <cell r="AV68">
            <v>0.15677439981335148</v>
          </cell>
          <cell r="AX68">
            <v>0.21875648352024857</v>
          </cell>
          <cell r="AZ68">
            <v>0.17520064213491646</v>
          </cell>
        </row>
        <row r="69">
          <cell r="AV69">
            <v>0.15768690928505086</v>
          </cell>
          <cell r="AX69">
            <v>0.21822323125523405</v>
          </cell>
          <cell r="AZ69">
            <v>0.1752443629602492</v>
          </cell>
        </row>
        <row r="70">
          <cell r="AV70">
            <v>0.16244691022845148</v>
          </cell>
          <cell r="AX70">
            <v>0.21771941446113258</v>
          </cell>
          <cell r="AZ70">
            <v>0.17527332500377071</v>
          </cell>
        </row>
        <row r="71">
          <cell r="AV71">
            <v>0.16734986933843932</v>
          </cell>
          <cell r="AX71">
            <v>0.21711464635266126</v>
          </cell>
          <cell r="AZ71">
            <v>0.17531313335956941</v>
          </cell>
        </row>
        <row r="72">
          <cell r="AV72">
            <v>0.17208333008651167</v>
          </cell>
          <cell r="AX72">
            <v>0.21586724180814529</v>
          </cell>
          <cell r="AZ72">
            <v>0.17533062902689117</v>
          </cell>
        </row>
        <row r="73">
          <cell r="AV73">
            <v>0.17652132526180861</v>
          </cell>
          <cell r="AX73">
            <v>0.21484491286219093</v>
          </cell>
          <cell r="AZ73">
            <v>0.17387673311004564</v>
          </cell>
        </row>
        <row r="74">
          <cell r="AV74">
            <v>0.18056309207311635</v>
          </cell>
          <cell r="AX74">
            <v>0.21402034952486426</v>
          </cell>
          <cell r="AZ74">
            <v>0.17234318394233641</v>
          </cell>
        </row>
        <row r="75">
          <cell r="AV75">
            <v>0.18445378282395908</v>
          </cell>
          <cell r="AX75">
            <v>0.21568448011287575</v>
          </cell>
          <cell r="AZ75">
            <v>0.17056605860187754</v>
          </cell>
        </row>
        <row r="76">
          <cell r="AV76">
            <v>0.18816952545574461</v>
          </cell>
          <cell r="AX76">
            <v>0.2191835399486729</v>
          </cell>
          <cell r="AZ76">
            <v>0.16884055692530342</v>
          </cell>
        </row>
        <row r="77">
          <cell r="AV77">
            <v>0.19167128806952374</v>
          </cell>
          <cell r="AX77">
            <v>0.2221983805208807</v>
          </cell>
          <cell r="AZ77">
            <v>0.16714804040175357</v>
          </cell>
        </row>
        <row r="78">
          <cell r="AV78">
            <v>0.19466248748697576</v>
          </cell>
          <cell r="AX78">
            <v>0.22422896912804957</v>
          </cell>
          <cell r="AZ78">
            <v>0.16647731835477281</v>
          </cell>
        </row>
        <row r="79">
          <cell r="AV79">
            <v>0.19750964302705309</v>
          </cell>
          <cell r="AX79">
            <v>0.22587769250548279</v>
          </cell>
          <cell r="AZ79">
            <v>0.16591135072001226</v>
          </cell>
        </row>
        <row r="80">
          <cell r="AV80">
            <v>0.19840915142185339</v>
          </cell>
          <cell r="AX80">
            <v>0.22692661870653524</v>
          </cell>
          <cell r="AZ80">
            <v>0.16536316355051725</v>
          </cell>
        </row>
        <row r="81">
          <cell r="AV81">
            <v>0.19923720135449824</v>
          </cell>
          <cell r="AX81">
            <v>0.22799728423101337</v>
          </cell>
          <cell r="AZ81">
            <v>0.16464971991372201</v>
          </cell>
        </row>
        <row r="82">
          <cell r="AV82">
            <v>0.19954712515399803</v>
          </cell>
          <cell r="AX82">
            <v>0.22886982091859473</v>
          </cell>
          <cell r="AZ82">
            <v>0.16368523531265766</v>
          </cell>
        </row>
        <row r="83">
          <cell r="AV83">
            <v>0.19976806348172899</v>
          </cell>
          <cell r="AX83">
            <v>0.22979536339356668</v>
          </cell>
          <cell r="AZ83">
            <v>0.16279300326599055</v>
          </cell>
        </row>
        <row r="84">
          <cell r="AV84">
            <v>0.20024922683552501</v>
          </cell>
          <cell r="AX84">
            <v>0.23137759150195764</v>
          </cell>
          <cell r="AZ84">
            <v>0.16244980696860956</v>
          </cell>
        </row>
        <row r="85">
          <cell r="AV85">
            <v>0.2008019609173978</v>
          </cell>
          <cell r="AX85">
            <v>0.23227300583219121</v>
          </cell>
          <cell r="AZ85">
            <v>0.16210237583699164</v>
          </cell>
        </row>
        <row r="86">
          <cell r="AV86">
            <v>0.20126820698637782</v>
          </cell>
          <cell r="AX86">
            <v>0.23295860746721112</v>
          </cell>
          <cell r="AZ86">
            <v>0.16188806897164848</v>
          </cell>
        </row>
        <row r="87">
          <cell r="AV87">
            <v>0.20167614597908176</v>
          </cell>
          <cell r="AX87">
            <v>0.23349600665131576</v>
          </cell>
          <cell r="AZ87">
            <v>0.16234747103217256</v>
          </cell>
        </row>
        <row r="88">
          <cell r="AV88">
            <v>0.2024464782347698</v>
          </cell>
          <cell r="AX88">
            <v>0.23428558321491721</v>
          </cell>
          <cell r="AZ88">
            <v>0.16481950682835084</v>
          </cell>
        </row>
        <row r="89">
          <cell r="AV89">
            <v>0.20447253284460806</v>
          </cell>
          <cell r="AX89">
            <v>0.23551848170527412</v>
          </cell>
          <cell r="AZ89">
            <v>0.16746816095175776</v>
          </cell>
        </row>
        <row r="90">
          <cell r="AV90">
            <v>0.20731195922926135</v>
          </cell>
          <cell r="AX90">
            <v>0.23941653770229501</v>
          </cell>
          <cell r="AZ90">
            <v>0.16948474840002617</v>
          </cell>
        </row>
        <row r="91">
          <cell r="AV91">
            <v>0.21097345219981375</v>
          </cell>
          <cell r="AX91">
            <v>0.24262852464630838</v>
          </cell>
          <cell r="AZ91">
            <v>0.1711133875396029</v>
          </cell>
        </row>
        <row r="92">
          <cell r="AV92">
            <v>0.21615229236340533</v>
          </cell>
          <cell r="AX92">
            <v>0.24592799685497813</v>
          </cell>
          <cell r="AZ92">
            <v>0.17290352291208616</v>
          </cell>
        </row>
        <row r="93">
          <cell r="AV93">
            <v>0.22496637709842107</v>
          </cell>
          <cell r="AX93">
            <v>0.24930246720651611</v>
          </cell>
          <cell r="AZ93">
            <v>0.13995407707121044</v>
          </cell>
        </row>
        <row r="94">
          <cell r="AV94">
            <v>0.23453204475261863</v>
          </cell>
          <cell r="AX94">
            <v>0.25283186432290028</v>
          </cell>
          <cell r="AZ94">
            <v>8.2264367123920573E-2</v>
          </cell>
        </row>
        <row r="95">
          <cell r="AV95">
            <v>0.2469370117378715</v>
          </cell>
          <cell r="AX95">
            <v>0.25460756193025547</v>
          </cell>
          <cell r="AZ95">
            <v>5.736829283059227E-2</v>
          </cell>
        </row>
        <row r="96">
          <cell r="AV96">
            <v>0.25984624807305029</v>
          </cell>
          <cell r="AX96">
            <v>0.23793401619928412</v>
          </cell>
          <cell r="AZ96">
            <v>4.349843082856681E-2</v>
          </cell>
        </row>
        <row r="97">
          <cell r="AV97">
            <v>0.24794297281878097</v>
          </cell>
          <cell r="AX97">
            <v>0.22715561889896327</v>
          </cell>
          <cell r="AZ97">
            <v>3.532942689951913E-2</v>
          </cell>
        </row>
        <row r="98">
          <cell r="AV98">
            <v>0.23618625100020874</v>
          </cell>
          <cell r="AX98">
            <v>0.21720688140512573</v>
          </cell>
          <cell r="AZ98">
            <v>2.9684167699109715E-2</v>
          </cell>
        </row>
        <row r="99">
          <cell r="AV99">
            <v>0.22517278544679531</v>
          </cell>
          <cell r="AX99">
            <v>0.20783071090910907</v>
          </cell>
          <cell r="AZ99">
            <v>2.553783839412322E-2</v>
          </cell>
        </row>
        <row r="100">
          <cell r="AV100">
            <v>0.21481024488887454</v>
          </cell>
          <cell r="AX100">
            <v>0.19897270966130831</v>
          </cell>
          <cell r="AZ100">
            <v>2.2357449327459571E-2</v>
          </cell>
        </row>
        <row r="101">
          <cell r="AV101">
            <v>0.20501684574305179</v>
          </cell>
          <cell r="AX101">
            <v>0.19057844628825971</v>
          </cell>
          <cell r="AZ101">
            <v>1.9838184744483317E-2</v>
          </cell>
        </row>
        <row r="102">
          <cell r="AV102">
            <v>0.19572422202202283</v>
          </cell>
          <cell r="AX102">
            <v>0.18257888747585371</v>
          </cell>
          <cell r="AZ102">
            <v>1.7789854589530321E-2</v>
          </cell>
        </row>
        <row r="103">
          <cell r="AV103">
            <v>0.18687058786098634</v>
          </cell>
          <cell r="AX103">
            <v>0.17494062637366115</v>
          </cell>
          <cell r="AZ103">
            <v>1.608509032449576E-2</v>
          </cell>
        </row>
        <row r="104">
          <cell r="AV104">
            <v>0.17844139647171384</v>
          </cell>
          <cell r="AX104">
            <v>0.16761609375055622</v>
          </cell>
          <cell r="AZ104">
            <v>1.4643522440787113E-2</v>
          </cell>
        </row>
        <row r="105">
          <cell r="AV105" t="e">
            <v>#DIV/0!</v>
          </cell>
          <cell r="AX105" t="e">
            <v>#DIV/0!</v>
          </cell>
          <cell r="AZ105" t="e">
            <v>#DIV/0!</v>
          </cell>
        </row>
        <row r="106">
          <cell r="AV106" t="e">
            <v>#DIV/0!</v>
          </cell>
          <cell r="AX106" t="e">
            <v>#DIV/0!</v>
          </cell>
          <cell r="AZ106" t="e">
            <v>#DIV/0!</v>
          </cell>
        </row>
        <row r="107">
          <cell r="AV107" t="e">
            <v>#DIV/0!</v>
          </cell>
          <cell r="AX107" t="e">
            <v>#DIV/0!</v>
          </cell>
          <cell r="AZ107" t="e">
            <v>#DIV/0!</v>
          </cell>
        </row>
        <row r="108">
          <cell r="AV108" t="e">
            <v>#DIV/0!</v>
          </cell>
          <cell r="AX108" t="e">
            <v>#DIV/0!</v>
          </cell>
          <cell r="AZ108" t="e">
            <v>#DIV/0!</v>
          </cell>
        </row>
        <row r="109">
          <cell r="AV109" t="e">
            <v>#DIV/0!</v>
          </cell>
          <cell r="AX109" t="e">
            <v>#DIV/0!</v>
          </cell>
          <cell r="AZ109" t="e">
            <v>#DIV/0!</v>
          </cell>
        </row>
        <row r="110">
          <cell r="AV110" t="e">
            <v>#DIV/0!</v>
          </cell>
          <cell r="AX110" t="e">
            <v>#DIV/0!</v>
          </cell>
          <cell r="AZ110" t="e">
            <v>#DIV/0!</v>
          </cell>
        </row>
        <row r="111">
          <cell r="AV111" t="e">
            <v>#DIV/0!</v>
          </cell>
          <cell r="AX111" t="e">
            <v>#DIV/0!</v>
          </cell>
          <cell r="AZ111" t="e">
            <v>#DIV/0!</v>
          </cell>
        </row>
        <row r="112">
          <cell r="AV112" t="e">
            <v>#DIV/0!</v>
          </cell>
          <cell r="AX112" t="e">
            <v>#DIV/0!</v>
          </cell>
          <cell r="AZ112" t="e">
            <v>#DIV/0!</v>
          </cell>
        </row>
        <row r="113">
          <cell r="AV113" t="e">
            <v>#DIV/0!</v>
          </cell>
          <cell r="AX113" t="e">
            <v>#DIV/0!</v>
          </cell>
          <cell r="AZ113" t="e">
            <v>#DIV/0!</v>
          </cell>
        </row>
        <row r="114">
          <cell r="AV114" t="e">
            <v>#DIV/0!</v>
          </cell>
          <cell r="AX114" t="e">
            <v>#DIV/0!</v>
          </cell>
          <cell r="AZ114" t="e">
            <v>#DIV/0!</v>
          </cell>
        </row>
      </sheetData>
      <sheetData sheetId="21" refreshError="1"/>
      <sheetData sheetId="22" refreshError="1"/>
      <sheetData sheetId="23">
        <row r="4">
          <cell r="K4">
            <v>1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D3">
            <v>2</v>
          </cell>
        </row>
      </sheetData>
      <sheetData sheetId="35" refreshError="1"/>
      <sheetData sheetId="36"/>
      <sheetData sheetId="37">
        <row r="4">
          <cell r="N4">
            <v>3.1580323515968978</v>
          </cell>
        </row>
      </sheetData>
      <sheetData sheetId="38">
        <row r="6">
          <cell r="C6">
            <v>81.020618142211035</v>
          </cell>
          <cell r="D6">
            <v>109.37859721359985</v>
          </cell>
          <cell r="E6">
            <v>138.26811235388311</v>
          </cell>
          <cell r="F6">
            <v>184.40307232564044</v>
          </cell>
          <cell r="G6">
            <v>195.22050451840846</v>
          </cell>
          <cell r="S6">
            <v>120</v>
          </cell>
          <cell r="T6">
            <v>120</v>
          </cell>
          <cell r="U6">
            <v>120</v>
          </cell>
          <cell r="V6">
            <v>120</v>
          </cell>
          <cell r="W6">
            <v>120</v>
          </cell>
        </row>
        <row r="7">
          <cell r="C7">
            <v>166.46663946001729</v>
          </cell>
          <cell r="D7">
            <v>224.31992244767167</v>
          </cell>
          <cell r="E7">
            <v>282.79895203949877</v>
          </cell>
          <cell r="F7">
            <v>373.51404408517823</v>
          </cell>
          <cell r="G7">
            <v>392.05775040095818</v>
          </cell>
          <cell r="S7">
            <v>240</v>
          </cell>
          <cell r="T7">
            <v>240</v>
          </cell>
          <cell r="U7">
            <v>240</v>
          </cell>
          <cell r="V7">
            <v>240</v>
          </cell>
          <cell r="W7">
            <v>240</v>
          </cell>
        </row>
        <row r="8">
          <cell r="C8">
            <v>259.14276223039735</v>
          </cell>
          <cell r="D8">
            <v>347.77185713976138</v>
          </cell>
          <cell r="E8">
            <v>435.02460888057016</v>
          </cell>
          <cell r="F8">
            <v>569.5202025797588</v>
          </cell>
          <cell r="G8">
            <v>592.83453618028125</v>
          </cell>
          <cell r="S8">
            <v>360</v>
          </cell>
          <cell r="T8">
            <v>360</v>
          </cell>
          <cell r="U8">
            <v>360</v>
          </cell>
          <cell r="V8">
            <v>360</v>
          </cell>
          <cell r="W8">
            <v>360</v>
          </cell>
        </row>
        <row r="9">
          <cell r="C9">
            <v>359.65536491336832</v>
          </cell>
          <cell r="D9">
            <v>479.15606189797842</v>
          </cell>
          <cell r="E9">
            <v>596.903138025678</v>
          </cell>
          <cell r="F9">
            <v>774.58034358680072</v>
          </cell>
          <cell r="G9">
            <v>799.37343073168131</v>
          </cell>
          <cell r="S9">
            <v>480</v>
          </cell>
          <cell r="T9">
            <v>480</v>
          </cell>
          <cell r="U9">
            <v>480</v>
          </cell>
          <cell r="V9">
            <v>480</v>
          </cell>
          <cell r="W9">
            <v>480</v>
          </cell>
        </row>
        <row r="10">
          <cell r="C10">
            <v>468.66401386783025</v>
          </cell>
          <cell r="D10">
            <v>618.34500397783574</v>
          </cell>
          <cell r="E10">
            <v>766.90748735925354</v>
          </cell>
          <cell r="F10">
            <v>986.2109224406779</v>
          </cell>
          <cell r="G10">
            <v>1009.7959699662163</v>
          </cell>
          <cell r="S10">
            <v>600</v>
          </cell>
          <cell r="T10">
            <v>600</v>
          </cell>
          <cell r="U10">
            <v>600</v>
          </cell>
          <cell r="V10">
            <v>600</v>
          </cell>
          <cell r="W10">
            <v>600</v>
          </cell>
        </row>
        <row r="11">
          <cell r="C11">
            <v>595.51177286065501</v>
          </cell>
          <cell r="D11">
            <v>776.92615179467111</v>
          </cell>
          <cell r="E11">
            <v>956.05072463621195</v>
          </cell>
          <cell r="F11">
            <v>1218.1308371169559</v>
          </cell>
          <cell r="G11">
            <v>1236.8706629001292</v>
          </cell>
          <cell r="S11">
            <v>720</v>
          </cell>
          <cell r="T11">
            <v>720</v>
          </cell>
          <cell r="U11">
            <v>720</v>
          </cell>
          <cell r="V11">
            <v>720</v>
          </cell>
          <cell r="W11">
            <v>720</v>
          </cell>
        </row>
        <row r="12">
          <cell r="C12">
            <v>726.62005871236693</v>
          </cell>
          <cell r="D12">
            <v>949.37895917955348</v>
          </cell>
          <cell r="E12">
            <v>1162.0866864314064</v>
          </cell>
          <cell r="F12">
            <v>1461.8370768555333</v>
          </cell>
          <cell r="G12">
            <v>1470.4586267933348</v>
          </cell>
          <cell r="S12">
            <v>840</v>
          </cell>
          <cell r="T12">
            <v>840</v>
          </cell>
          <cell r="U12">
            <v>840</v>
          </cell>
          <cell r="V12">
            <v>840</v>
          </cell>
          <cell r="W12">
            <v>840</v>
          </cell>
        </row>
        <row r="13">
          <cell r="C13">
            <v>867.38215191311679</v>
          </cell>
          <cell r="D13">
            <v>1126.3161911828297</v>
          </cell>
          <cell r="E13">
            <v>1378.9049617682317</v>
          </cell>
          <cell r="F13">
            <v>1713.3168169687206</v>
          </cell>
          <cell r="G13">
            <v>1705.8574528675331</v>
          </cell>
          <cell r="S13">
            <v>960</v>
          </cell>
          <cell r="T13">
            <v>960</v>
          </cell>
          <cell r="U13">
            <v>960</v>
          </cell>
          <cell r="V13">
            <v>960</v>
          </cell>
          <cell r="W13">
            <v>960</v>
          </cell>
        </row>
        <row r="14">
          <cell r="C14">
            <v>1019.1240776976874</v>
          </cell>
          <cell r="D14">
            <v>1316.3536793832029</v>
          </cell>
          <cell r="E14">
            <v>1598.0859107640949</v>
          </cell>
          <cell r="F14">
            <v>1963.3657185355185</v>
          </cell>
          <cell r="G14">
            <v>1939.5875291105631</v>
          </cell>
          <cell r="S14">
            <v>1080</v>
          </cell>
          <cell r="T14">
            <v>1080</v>
          </cell>
          <cell r="U14">
            <v>1080</v>
          </cell>
          <cell r="V14">
            <v>1080</v>
          </cell>
          <cell r="W14">
            <v>1080</v>
          </cell>
        </row>
        <row r="15">
          <cell r="C15">
            <v>1183.1188523496633</v>
          </cell>
          <cell r="D15">
            <v>1513.1059972777082</v>
          </cell>
          <cell r="E15">
            <v>1826.995992545787</v>
          </cell>
          <cell r="F15">
            <v>2235.1024393255339</v>
          </cell>
          <cell r="G15">
            <v>2198.3321786154897</v>
          </cell>
          <cell r="S15">
            <v>1200</v>
          </cell>
          <cell r="T15">
            <v>1200</v>
          </cell>
          <cell r="U15">
            <v>1200</v>
          </cell>
          <cell r="V15">
            <v>1200</v>
          </cell>
          <cell r="W15">
            <v>1200</v>
          </cell>
        </row>
        <row r="16">
          <cell r="C16">
            <v>1412.538402707007</v>
          </cell>
          <cell r="D16">
            <v>1817.1924416439667</v>
          </cell>
          <cell r="E16">
            <v>2181.5572718405006</v>
          </cell>
          <cell r="F16">
            <v>2528.8187957819591</v>
          </cell>
          <cell r="G16">
            <v>2308.9515976553857</v>
          </cell>
          <cell r="S16">
            <v>1770</v>
          </cell>
          <cell r="T16">
            <v>1770</v>
          </cell>
          <cell r="U16">
            <v>1770</v>
          </cell>
          <cell r="V16">
            <v>1770</v>
          </cell>
          <cell r="W16">
            <v>1770</v>
          </cell>
        </row>
        <row r="17">
          <cell r="C17">
            <v>1657.231868826761</v>
          </cell>
          <cell r="D17">
            <v>2130.2582439276216</v>
          </cell>
          <cell r="E17">
            <v>2532.7138961761088</v>
          </cell>
          <cell r="F17">
            <v>2814.5456387183017</v>
          </cell>
          <cell r="G17">
            <v>2413.55692788643</v>
          </cell>
          <cell r="S17">
            <v>2340</v>
          </cell>
          <cell r="T17">
            <v>2340</v>
          </cell>
          <cell r="U17">
            <v>2340</v>
          </cell>
          <cell r="V17">
            <v>2340</v>
          </cell>
          <cell r="W17">
            <v>2340</v>
          </cell>
        </row>
        <row r="18">
          <cell r="C18">
            <v>1918.986673088526</v>
          </cell>
          <cell r="D18">
            <v>2467.5563846873661</v>
          </cell>
          <cell r="E18">
            <v>2905.7351851371045</v>
          </cell>
          <cell r="F18">
            <v>3117.13457908907</v>
          </cell>
          <cell r="G18">
            <v>2532.860034417195</v>
          </cell>
          <cell r="S18">
            <v>2910</v>
          </cell>
          <cell r="T18">
            <v>2910</v>
          </cell>
          <cell r="U18">
            <v>2910</v>
          </cell>
          <cell r="V18">
            <v>2910</v>
          </cell>
          <cell r="W18">
            <v>2910</v>
          </cell>
        </row>
        <row r="19">
          <cell r="C19">
            <v>2204.854515439014</v>
          </cell>
          <cell r="D19">
            <v>2816.7215380149869</v>
          </cell>
          <cell r="E19">
            <v>3295.8912485823475</v>
          </cell>
          <cell r="F19">
            <v>3430.8595885855493</v>
          </cell>
          <cell r="G19">
            <v>2652.8370469078636</v>
          </cell>
          <cell r="S19">
            <v>3480</v>
          </cell>
          <cell r="T19">
            <v>3480</v>
          </cell>
          <cell r="U19">
            <v>3480</v>
          </cell>
          <cell r="V19">
            <v>3480</v>
          </cell>
          <cell r="W19">
            <v>3480</v>
          </cell>
        </row>
        <row r="20">
          <cell r="C20">
            <v>2512.3920427381277</v>
          </cell>
          <cell r="D20">
            <v>3206.3567576109613</v>
          </cell>
          <cell r="E20">
            <v>3724.2418550985913</v>
          </cell>
          <cell r="F20">
            <v>3785.7103162713925</v>
          </cell>
          <cell r="G20">
            <v>2802.5954435228705</v>
          </cell>
          <cell r="S20">
            <v>4050</v>
          </cell>
          <cell r="T20">
            <v>4050</v>
          </cell>
          <cell r="U20">
            <v>4050</v>
          </cell>
          <cell r="V20">
            <v>4050</v>
          </cell>
          <cell r="W20">
            <v>4050</v>
          </cell>
        </row>
        <row r="21">
          <cell r="C21">
            <v>2844.1396077898216</v>
          </cell>
          <cell r="D21">
            <v>3625.0789988122901</v>
          </cell>
          <cell r="E21">
            <v>4185.9921425359371</v>
          </cell>
          <cell r="F21">
            <v>4168.3554739880956</v>
          </cell>
          <cell r="G21">
            <v>2964.1232961625906</v>
          </cell>
          <cell r="S21">
            <v>4620</v>
          </cell>
          <cell r="T21">
            <v>4620</v>
          </cell>
          <cell r="U21">
            <v>4620</v>
          </cell>
          <cell r="V21">
            <v>4620</v>
          </cell>
          <cell r="W21">
            <v>4620</v>
          </cell>
        </row>
        <row r="22">
          <cell r="C22">
            <v>3202.9433805949802</v>
          </cell>
          <cell r="D22">
            <v>4060.5118465985133</v>
          </cell>
          <cell r="E22">
            <v>4659.6068309606562</v>
          </cell>
          <cell r="F22">
            <v>4546.3660873811596</v>
          </cell>
          <cell r="G22">
            <v>3110.7703107008847</v>
          </cell>
          <cell r="S22">
            <v>5190</v>
          </cell>
          <cell r="T22">
            <v>5190</v>
          </cell>
          <cell r="U22">
            <v>5190</v>
          </cell>
          <cell r="V22">
            <v>5190</v>
          </cell>
          <cell r="W22">
            <v>5190</v>
          </cell>
        </row>
        <row r="23">
          <cell r="C23">
            <v>3591.9927785397126</v>
          </cell>
          <cell r="D23">
            <v>4549.0516660051389</v>
          </cell>
          <cell r="E23">
            <v>5201.7834472601953</v>
          </cell>
          <cell r="F23">
            <v>4987.9190754864603</v>
          </cell>
          <cell r="G23">
            <v>3306.6882636100167</v>
          </cell>
          <cell r="S23">
            <v>5760</v>
          </cell>
          <cell r="T23">
            <v>5760</v>
          </cell>
          <cell r="U23">
            <v>5760</v>
          </cell>
          <cell r="V23">
            <v>5760</v>
          </cell>
          <cell r="W23">
            <v>5760</v>
          </cell>
        </row>
        <row r="24">
          <cell r="C24">
            <v>4014.8625237625879</v>
          </cell>
          <cell r="D24">
            <v>5074.0544010000931</v>
          </cell>
          <cell r="E24">
            <v>5780.3662627824569</v>
          </cell>
          <cell r="F24">
            <v>5463.8525844258029</v>
          </cell>
          <cell r="G24">
            <v>3513.0598612540139</v>
          </cell>
          <cell r="S24">
            <v>6330</v>
          </cell>
          <cell r="T24">
            <v>6330</v>
          </cell>
          <cell r="U24">
            <v>6330</v>
          </cell>
          <cell r="V24">
            <v>6330</v>
          </cell>
          <cell r="W24">
            <v>6330</v>
          </cell>
        </row>
        <row r="25">
          <cell r="C25">
            <v>4475.5599030978683</v>
          </cell>
          <cell r="D25">
            <v>5634.5013450741972</v>
          </cell>
          <cell r="E25">
            <v>6393.2510376032997</v>
          </cell>
          <cell r="F25">
            <v>5946.7632562524823</v>
          </cell>
          <cell r="G25">
            <v>3700.7597205248353</v>
          </cell>
          <cell r="S25">
            <v>6900</v>
          </cell>
          <cell r="T25">
            <v>6900</v>
          </cell>
          <cell r="U25">
            <v>6900</v>
          </cell>
          <cell r="V25">
            <v>6900</v>
          </cell>
          <cell r="W25">
            <v>6900</v>
          </cell>
        </row>
        <row r="26">
          <cell r="C26">
            <v>5234.4689708988972</v>
          </cell>
          <cell r="D26">
            <v>6605.6689986517213</v>
          </cell>
          <cell r="E26">
            <v>7454.4650745479139</v>
          </cell>
          <cell r="F26">
            <v>6802.0647782481392</v>
          </cell>
          <cell r="G26">
            <v>4101.2013566770001</v>
          </cell>
          <cell r="S26">
            <v>9050</v>
          </cell>
          <cell r="T26">
            <v>9050</v>
          </cell>
          <cell r="U26">
            <v>9050</v>
          </cell>
          <cell r="V26">
            <v>9050</v>
          </cell>
          <cell r="W26">
            <v>9050</v>
          </cell>
        </row>
        <row r="27">
          <cell r="C27">
            <v>6042.3168474944659</v>
          </cell>
          <cell r="D27">
            <v>7588.5596075773356</v>
          </cell>
          <cell r="E27">
            <v>8535.1320323799864</v>
          </cell>
          <cell r="F27">
            <v>7723.7020339930277</v>
          </cell>
          <cell r="G27">
            <v>4602.3906065886995</v>
          </cell>
          <cell r="S27">
            <v>11200</v>
          </cell>
          <cell r="T27">
            <v>11200</v>
          </cell>
          <cell r="U27">
            <v>11200</v>
          </cell>
          <cell r="V27">
            <v>11200</v>
          </cell>
          <cell r="W27">
            <v>11200</v>
          </cell>
        </row>
        <row r="28">
          <cell r="C28">
            <v>6907.0909251091953</v>
          </cell>
          <cell r="D28">
            <v>8646.067454221462</v>
          </cell>
          <cell r="E28">
            <v>9739.6882455139184</v>
          </cell>
          <cell r="F28">
            <v>8850.9770863771264</v>
          </cell>
          <cell r="G28">
            <v>5148.7423667721496</v>
          </cell>
          <cell r="S28">
            <v>13350</v>
          </cell>
          <cell r="T28">
            <v>13350</v>
          </cell>
          <cell r="U28">
            <v>13350</v>
          </cell>
          <cell r="V28">
            <v>13350</v>
          </cell>
          <cell r="W28">
            <v>13350</v>
          </cell>
        </row>
        <row r="29">
          <cell r="C29">
            <v>7831.6078027181438</v>
          </cell>
          <cell r="D29">
            <v>9866.6312912081448</v>
          </cell>
          <cell r="E29">
            <v>11233.697459232195</v>
          </cell>
          <cell r="F29">
            <v>10119.868990305828</v>
          </cell>
          <cell r="G29">
            <v>5805.9929471851874</v>
          </cell>
          <cell r="S29">
            <v>15500</v>
          </cell>
          <cell r="T29">
            <v>15500</v>
          </cell>
          <cell r="U29">
            <v>15500</v>
          </cell>
          <cell r="V29">
            <v>15500</v>
          </cell>
          <cell r="W29">
            <v>15500</v>
          </cell>
        </row>
        <row r="30">
          <cell r="C30">
            <v>8823.0070143120756</v>
          </cell>
          <cell r="D30">
            <v>11178.531844784886</v>
          </cell>
          <cell r="E30">
            <v>12691.65375891485</v>
          </cell>
          <cell r="F30">
            <v>11403.92376359156</v>
          </cell>
          <cell r="G30">
            <v>6457.5889697471785</v>
          </cell>
          <cell r="S30">
            <v>17650</v>
          </cell>
          <cell r="T30">
            <v>17650</v>
          </cell>
          <cell r="U30">
            <v>17650</v>
          </cell>
          <cell r="V30">
            <v>17650</v>
          </cell>
          <cell r="W30">
            <v>17650</v>
          </cell>
        </row>
        <row r="31">
          <cell r="C31">
            <v>9889.2980039149843</v>
          </cell>
          <cell r="D31">
            <v>12544.85111810562</v>
          </cell>
          <cell r="E31">
            <v>14246.610309592084</v>
          </cell>
          <cell r="F31">
            <v>12707.479006238795</v>
          </cell>
          <cell r="G31">
            <v>7117.753748530713</v>
          </cell>
          <cell r="S31">
            <v>19800</v>
          </cell>
          <cell r="T31">
            <v>19800</v>
          </cell>
          <cell r="U31">
            <v>19800</v>
          </cell>
          <cell r="V31">
            <v>19800</v>
          </cell>
          <cell r="W31">
            <v>19800</v>
          </cell>
        </row>
        <row r="32">
          <cell r="C32">
            <v>11039.467376615614</v>
          </cell>
          <cell r="D32">
            <v>13995.67297050315</v>
          </cell>
          <cell r="E32">
            <v>15883.930317778693</v>
          </cell>
          <cell r="F32">
            <v>14054.015968035304</v>
          </cell>
          <cell r="G32">
            <v>7850.3242894522609</v>
          </cell>
          <cell r="S32">
            <v>21950</v>
          </cell>
          <cell r="T32">
            <v>21950</v>
          </cell>
          <cell r="U32">
            <v>21950</v>
          </cell>
          <cell r="V32">
            <v>21950</v>
          </cell>
          <cell r="W32">
            <v>21950</v>
          </cell>
        </row>
        <row r="33">
          <cell r="C33">
            <v>12283.599465427838</v>
          </cell>
          <cell r="D33">
            <v>15551.87806837788</v>
          </cell>
          <cell r="E33">
            <v>17663.118331797938</v>
          </cell>
          <cell r="F33">
            <v>15687.763401190488</v>
          </cell>
          <cell r="G33">
            <v>8704.6194312630578</v>
          </cell>
          <cell r="S33">
            <v>24100</v>
          </cell>
          <cell r="T33">
            <v>24100</v>
          </cell>
          <cell r="U33">
            <v>24100</v>
          </cell>
          <cell r="V33">
            <v>24100</v>
          </cell>
          <cell r="W33">
            <v>24100</v>
          </cell>
        </row>
        <row r="34">
          <cell r="C34">
            <v>13633.011873993997</v>
          </cell>
          <cell r="D34">
            <v>17270.410603250784</v>
          </cell>
          <cell r="E34">
            <v>19676.166139930825</v>
          </cell>
          <cell r="F34">
            <v>17365.700038616003</v>
          </cell>
          <cell r="G34">
            <v>9689.6423021439332</v>
          </cell>
          <cell r="S34">
            <v>26250</v>
          </cell>
          <cell r="T34">
            <v>26250</v>
          </cell>
          <cell r="U34">
            <v>26250</v>
          </cell>
          <cell r="V34">
            <v>26250</v>
          </cell>
          <cell r="W34">
            <v>26250</v>
          </cell>
        </row>
        <row r="35">
          <cell r="C35">
            <v>15124.047940706399</v>
          </cell>
          <cell r="D35">
            <v>19118.018260966728</v>
          </cell>
          <cell r="E35">
            <v>21727.030225915249</v>
          </cell>
          <cell r="F35">
            <v>19232.56650540694</v>
          </cell>
          <cell r="G35">
            <v>10674.413944007381</v>
          </cell>
          <cell r="S35">
            <v>28400</v>
          </cell>
          <cell r="T35">
            <v>28400</v>
          </cell>
          <cell r="U35">
            <v>28400</v>
          </cell>
          <cell r="V35">
            <v>28400</v>
          </cell>
          <cell r="W35">
            <v>28400</v>
          </cell>
        </row>
        <row r="36">
          <cell r="C36">
            <v>17411.31874283322</v>
          </cell>
          <cell r="D36">
            <v>22029.073395467727</v>
          </cell>
          <cell r="E36">
            <v>25009.884983839234</v>
          </cell>
          <cell r="F36">
            <v>22038.966733245277</v>
          </cell>
          <cell r="G36">
            <v>12141.027189740471</v>
          </cell>
          <cell r="S36">
            <v>32664</v>
          </cell>
          <cell r="T36">
            <v>32664</v>
          </cell>
          <cell r="U36">
            <v>32664</v>
          </cell>
          <cell r="V36">
            <v>32664</v>
          </cell>
          <cell r="W36">
            <v>32664</v>
          </cell>
        </row>
        <row r="37">
          <cell r="C37">
            <v>19848.707570526316</v>
          </cell>
          <cell r="D37">
            <v>25107.231262401147</v>
          </cell>
          <cell r="E37">
            <v>28437.140094381393</v>
          </cell>
          <cell r="F37">
            <v>24969.322972994578</v>
          </cell>
          <cell r="G37">
            <v>13738.119372959343</v>
          </cell>
          <cell r="S37">
            <v>36928</v>
          </cell>
          <cell r="T37">
            <v>36928</v>
          </cell>
          <cell r="U37">
            <v>36928</v>
          </cell>
          <cell r="V37">
            <v>36928</v>
          </cell>
          <cell r="W37">
            <v>36928</v>
          </cell>
        </row>
        <row r="38">
          <cell r="C38">
            <v>22454.324333168352</v>
          </cell>
          <cell r="D38">
            <v>28373.602136601578</v>
          </cell>
          <cell r="E38">
            <v>32121.136777612079</v>
          </cell>
          <cell r="F38">
            <v>28205.846136173295</v>
          </cell>
          <cell r="G38">
            <v>15159.678669872763</v>
          </cell>
          <cell r="S38">
            <v>41192</v>
          </cell>
          <cell r="T38">
            <v>41192</v>
          </cell>
          <cell r="U38">
            <v>41192</v>
          </cell>
          <cell r="V38">
            <v>41192</v>
          </cell>
          <cell r="W38">
            <v>41192</v>
          </cell>
        </row>
        <row r="39">
          <cell r="C39">
            <v>25249.432722926795</v>
          </cell>
          <cell r="D39">
            <v>31883.582072487738</v>
          </cell>
          <cell r="E39">
            <v>36107.921024800162</v>
          </cell>
          <cell r="F39">
            <v>31374.081306665728</v>
          </cell>
          <cell r="G39">
            <v>16748.730424593785</v>
          </cell>
          <cell r="S39">
            <v>45456</v>
          </cell>
          <cell r="T39">
            <v>45456</v>
          </cell>
          <cell r="U39">
            <v>45456</v>
          </cell>
          <cell r="V39">
            <v>45456</v>
          </cell>
          <cell r="W39">
            <v>45456</v>
          </cell>
        </row>
        <row r="40">
          <cell r="C40">
            <v>28267.614657182574</v>
          </cell>
          <cell r="D40">
            <v>35692.454848741923</v>
          </cell>
          <cell r="E40">
            <v>40296.635828714338</v>
          </cell>
          <cell r="F40">
            <v>34456.593821293267</v>
          </cell>
          <cell r="G40">
            <v>18428.816414043802</v>
          </cell>
          <cell r="S40">
            <v>49720</v>
          </cell>
          <cell r="T40">
            <v>49720</v>
          </cell>
          <cell r="U40">
            <v>49720</v>
          </cell>
          <cell r="V40">
            <v>49720</v>
          </cell>
          <cell r="W40">
            <v>49720</v>
          </cell>
        </row>
        <row r="41">
          <cell r="C41">
            <v>31523.709393849829</v>
          </cell>
          <cell r="D41">
            <v>39759.190891271108</v>
          </cell>
          <cell r="E41">
            <v>44310.279597766428</v>
          </cell>
          <cell r="F41">
            <v>37784.775916985956</v>
          </cell>
          <cell r="G41">
            <v>20607.268805923755</v>
          </cell>
          <cell r="S41">
            <v>53984</v>
          </cell>
          <cell r="T41">
            <v>53984</v>
          </cell>
          <cell r="U41">
            <v>53984</v>
          </cell>
          <cell r="V41">
            <v>53984</v>
          </cell>
          <cell r="W41">
            <v>53984</v>
          </cell>
        </row>
        <row r="42">
          <cell r="C42">
            <v>35046.557817673369</v>
          </cell>
          <cell r="D42">
            <v>43767.717153795478</v>
          </cell>
          <cell r="E42">
            <v>48524.743451568873</v>
          </cell>
          <cell r="F42">
            <v>41846.315708134134</v>
          </cell>
          <cell r="G42">
            <v>22982.201700197136</v>
          </cell>
          <cell r="S42">
            <v>58248</v>
          </cell>
          <cell r="T42">
            <v>58248</v>
          </cell>
          <cell r="U42">
            <v>58248</v>
          </cell>
          <cell r="V42">
            <v>58248</v>
          </cell>
          <cell r="W42">
            <v>58248</v>
          </cell>
        </row>
        <row r="43">
          <cell r="C43">
            <v>38875.692533376954</v>
          </cell>
          <cell r="D43">
            <v>48215.842847866894</v>
          </cell>
          <cell r="E43">
            <v>53729.045361815784</v>
          </cell>
          <cell r="F43">
            <v>47024.742872227667</v>
          </cell>
          <cell r="G43">
            <v>25948.012876137273</v>
          </cell>
          <cell r="S43">
            <v>62512</v>
          </cell>
          <cell r="T43">
            <v>62512</v>
          </cell>
          <cell r="U43">
            <v>62512</v>
          </cell>
          <cell r="V43">
            <v>62512</v>
          </cell>
          <cell r="W43">
            <v>62512</v>
          </cell>
        </row>
        <row r="44">
          <cell r="C44">
            <v>43049.851904710216</v>
          </cell>
          <cell r="D44">
            <v>53621.041372060296</v>
          </cell>
          <cell r="E44">
            <v>60686.906238035357</v>
          </cell>
          <cell r="F44">
            <v>52871.775710279762</v>
          </cell>
          <cell r="G44">
            <v>29444.648481973592</v>
          </cell>
          <cell r="S44">
            <v>66776</v>
          </cell>
          <cell r="T44">
            <v>66776</v>
          </cell>
          <cell r="U44">
            <v>66776</v>
          </cell>
          <cell r="V44">
            <v>66776</v>
          </cell>
          <cell r="W44">
            <v>66776</v>
          </cell>
        </row>
        <row r="45">
          <cell r="C45">
            <v>47601.564937737807</v>
          </cell>
          <cell r="D45">
            <v>59863.109512935203</v>
          </cell>
          <cell r="E45">
            <v>67669.297321766629</v>
          </cell>
          <cell r="F45">
            <v>59333.871711012653</v>
          </cell>
          <cell r="G45">
            <v>33257.511664428042</v>
          </cell>
          <cell r="S45">
            <v>71040</v>
          </cell>
          <cell r="T45">
            <v>71040</v>
          </cell>
          <cell r="U45">
            <v>71040</v>
          </cell>
          <cell r="V45">
            <v>71040</v>
          </cell>
          <cell r="W45">
            <v>71040</v>
          </cell>
        </row>
        <row r="46">
          <cell r="C46">
            <v>54282.815493816837</v>
          </cell>
          <cell r="D46">
            <v>67913.967093627813</v>
          </cell>
          <cell r="E46">
            <v>76695.730271244844</v>
          </cell>
          <cell r="F46">
            <v>66964.965846131512</v>
          </cell>
          <cell r="G46">
            <v>37934.398619543565</v>
          </cell>
          <cell r="S46">
            <v>75404</v>
          </cell>
          <cell r="T46">
            <v>75404</v>
          </cell>
          <cell r="U46">
            <v>75404</v>
          </cell>
          <cell r="V46">
            <v>75404</v>
          </cell>
          <cell r="W46">
            <v>75404</v>
          </cell>
        </row>
        <row r="47">
          <cell r="C47">
            <v>61492.426495028922</v>
          </cell>
          <cell r="D47">
            <v>76902.28371915521</v>
          </cell>
          <cell r="E47">
            <v>86579.92316824077</v>
          </cell>
          <cell r="F47">
            <v>75349.727776025014</v>
          </cell>
          <cell r="G47">
            <v>42519.06741179018</v>
          </cell>
          <cell r="S47">
            <v>79768</v>
          </cell>
          <cell r="T47">
            <v>79768</v>
          </cell>
          <cell r="U47">
            <v>79768</v>
          </cell>
          <cell r="V47">
            <v>79768</v>
          </cell>
          <cell r="W47">
            <v>79768</v>
          </cell>
        </row>
        <row r="48">
          <cell r="C48">
            <v>69239.188892679667</v>
          </cell>
          <cell r="D48">
            <v>86199.596389683342</v>
          </cell>
          <cell r="E48">
            <v>96661.90838791753</v>
          </cell>
          <cell r="F48">
            <v>83877.567543196739</v>
          </cell>
          <cell r="G48">
            <v>46687.961002440556</v>
          </cell>
          <cell r="S48">
            <v>84132</v>
          </cell>
          <cell r="T48">
            <v>84132</v>
          </cell>
          <cell r="U48">
            <v>84132</v>
          </cell>
          <cell r="V48">
            <v>84132</v>
          </cell>
          <cell r="W48">
            <v>84132</v>
          </cell>
        </row>
        <row r="49">
          <cell r="C49">
            <v>77588.548961409484</v>
          </cell>
          <cell r="D49">
            <v>96320.090251533999</v>
          </cell>
          <cell r="E49">
            <v>107598.64593581996</v>
          </cell>
          <cell r="F49">
            <v>93206.754409955378</v>
          </cell>
          <cell r="G49">
            <v>49461.254495182322</v>
          </cell>
          <cell r="S49">
            <v>88496</v>
          </cell>
          <cell r="T49">
            <v>88496</v>
          </cell>
          <cell r="U49">
            <v>88496</v>
          </cell>
          <cell r="V49">
            <v>88496</v>
          </cell>
          <cell r="W49">
            <v>88496</v>
          </cell>
        </row>
        <row r="50">
          <cell r="C50">
            <v>86624.478602878255</v>
          </cell>
          <cell r="D50">
            <v>107255.85124035715</v>
          </cell>
          <cell r="E50">
            <v>119430.8257634117</v>
          </cell>
          <cell r="F50">
            <v>100631.26702673655</v>
          </cell>
          <cell r="G50">
            <v>52498.777777711919</v>
          </cell>
          <cell r="S50">
            <v>92860</v>
          </cell>
          <cell r="T50">
            <v>92860</v>
          </cell>
          <cell r="U50">
            <v>92860</v>
          </cell>
          <cell r="V50">
            <v>92860</v>
          </cell>
          <cell r="W50">
            <v>92860</v>
          </cell>
        </row>
        <row r="51">
          <cell r="C51">
            <v>96435.716772868516</v>
          </cell>
          <cell r="D51">
            <v>118971.86133276937</v>
          </cell>
          <cell r="E51">
            <v>132404.60424121071</v>
          </cell>
          <cell r="F51">
            <v>106673.62147583631</v>
          </cell>
          <cell r="G51">
            <v>55749.796632864702</v>
          </cell>
          <cell r="S51">
            <v>97224</v>
          </cell>
          <cell r="T51">
            <v>97224</v>
          </cell>
          <cell r="U51">
            <v>97224</v>
          </cell>
          <cell r="V51">
            <v>97224</v>
          </cell>
          <cell r="W51">
            <v>97224</v>
          </cell>
        </row>
        <row r="52">
          <cell r="C52">
            <v>107100.37814592343</v>
          </cell>
          <cell r="D52">
            <v>131833.23882674647</v>
          </cell>
          <cell r="E52">
            <v>140450.87817865686</v>
          </cell>
          <cell r="F52">
            <v>113105.37368720536</v>
          </cell>
          <cell r="G52">
            <v>59232.735806774435</v>
          </cell>
          <cell r="S52">
            <v>101588</v>
          </cell>
          <cell r="T52">
            <v>101588</v>
          </cell>
          <cell r="U52">
            <v>101588</v>
          </cell>
          <cell r="V52">
            <v>101588</v>
          </cell>
          <cell r="W52">
            <v>101588</v>
          </cell>
        </row>
        <row r="53">
          <cell r="C53">
            <v>118722.84883391751</v>
          </cell>
          <cell r="D53">
            <v>142726.48408980429</v>
          </cell>
          <cell r="E53">
            <v>149027.18982373539</v>
          </cell>
          <cell r="F53">
            <v>120061.31668586505</v>
          </cell>
          <cell r="G53">
            <v>63187.082239926247</v>
          </cell>
          <cell r="S53">
            <v>105952</v>
          </cell>
          <cell r="T53">
            <v>105952</v>
          </cell>
          <cell r="U53">
            <v>105952</v>
          </cell>
          <cell r="V53">
            <v>105952</v>
          </cell>
          <cell r="W53">
            <v>105952</v>
          </cell>
        </row>
        <row r="54">
          <cell r="C54">
            <v>131506.10965894145</v>
          </cell>
          <cell r="D54">
            <v>153188.34106735533</v>
          </cell>
          <cell r="E54">
            <v>159985.08500980359</v>
          </cell>
          <cell r="F54">
            <v>129037.58333953671</v>
          </cell>
          <cell r="G54">
            <v>70929.64642432658</v>
          </cell>
          <cell r="S54">
            <v>110316</v>
          </cell>
          <cell r="T54">
            <v>110316</v>
          </cell>
          <cell r="U54">
            <v>110316</v>
          </cell>
          <cell r="V54">
            <v>110316</v>
          </cell>
          <cell r="W54">
            <v>110316</v>
          </cell>
        </row>
        <row r="55">
          <cell r="C55">
            <v>145543.21704236575</v>
          </cell>
          <cell r="D55">
            <v>169528.52236651286</v>
          </cell>
          <cell r="E55">
            <v>179762.14011880811</v>
          </cell>
          <cell r="F55">
            <v>151189.74801827458</v>
          </cell>
          <cell r="G55">
            <v>87820.518861033706</v>
          </cell>
          <cell r="S55">
            <v>114680</v>
          </cell>
          <cell r="T55">
            <v>114680</v>
          </cell>
          <cell r="U55">
            <v>114680</v>
          </cell>
          <cell r="V55">
            <v>114680</v>
          </cell>
          <cell r="W55">
            <v>114680</v>
          </cell>
        </row>
        <row r="56">
          <cell r="C56">
            <v>165624.51020508938</v>
          </cell>
          <cell r="D56">
            <v>199888.74338486843</v>
          </cell>
          <cell r="E56">
            <v>217534.9657235737</v>
          </cell>
          <cell r="F56">
            <v>194095.16912292008</v>
          </cell>
          <cell r="G56">
            <v>115210.66294589281</v>
          </cell>
          <cell r="S56">
            <v>129276</v>
          </cell>
          <cell r="T56">
            <v>129276</v>
          </cell>
          <cell r="U56">
            <v>129276</v>
          </cell>
          <cell r="V56">
            <v>129276</v>
          </cell>
          <cell r="W56">
            <v>129276</v>
          </cell>
        </row>
        <row r="57">
          <cell r="C57">
            <v>187237.41820726389</v>
          </cell>
          <cell r="D57">
            <v>226979.69377266165</v>
          </cell>
          <cell r="E57">
            <v>258377.66335326535</v>
          </cell>
          <cell r="F57">
            <v>229436.49768020469</v>
          </cell>
          <cell r="G57">
            <v>132384.00360250691</v>
          </cell>
          <cell r="S57">
            <v>143872</v>
          </cell>
          <cell r="T57">
            <v>143872</v>
          </cell>
          <cell r="U57">
            <v>143872</v>
          </cell>
          <cell r="V57">
            <v>143872</v>
          </cell>
          <cell r="W57">
            <v>143872</v>
          </cell>
        </row>
        <row r="58">
          <cell r="C58">
            <v>210616.27659060998</v>
          </cell>
          <cell r="D58">
            <v>264378.87368752545</v>
          </cell>
          <cell r="E58">
            <v>302528.38687168545</v>
          </cell>
          <cell r="F58">
            <v>264775.24002408161</v>
          </cell>
          <cell r="G58">
            <v>146021.34590592218</v>
          </cell>
          <cell r="S58">
            <v>158468</v>
          </cell>
          <cell r="T58">
            <v>158468</v>
          </cell>
          <cell r="U58">
            <v>158468</v>
          </cell>
          <cell r="V58">
            <v>158468</v>
          </cell>
          <cell r="W58">
            <v>158468</v>
          </cell>
        </row>
        <row r="59">
          <cell r="C59">
            <v>235973.25061803934</v>
          </cell>
          <cell r="D59">
            <v>300297.81864790065</v>
          </cell>
          <cell r="E59">
            <v>338681.00892904372</v>
          </cell>
          <cell r="F59">
            <v>287636.54998084524</v>
          </cell>
          <cell r="G59">
            <v>158340.49239898249</v>
          </cell>
          <cell r="S59">
            <v>173064</v>
          </cell>
          <cell r="T59">
            <v>173064</v>
          </cell>
          <cell r="U59">
            <v>173064</v>
          </cell>
          <cell r="V59">
            <v>173064</v>
          </cell>
          <cell r="W59">
            <v>173064</v>
          </cell>
        </row>
        <row r="60">
          <cell r="C60">
            <v>263504.55262285477</v>
          </cell>
          <cell r="D60">
            <v>331521.89229143399</v>
          </cell>
          <cell r="E60">
            <v>373165.02964998182</v>
          </cell>
          <cell r="F60">
            <v>309247.77538834314</v>
          </cell>
          <cell r="G60">
            <v>170623.0922424439</v>
          </cell>
          <cell r="S60">
            <v>187660</v>
          </cell>
          <cell r="T60">
            <v>187660</v>
          </cell>
          <cell r="U60">
            <v>187660</v>
          </cell>
          <cell r="V60">
            <v>187660</v>
          </cell>
          <cell r="W60">
            <v>187660</v>
          </cell>
        </row>
        <row r="61">
          <cell r="C61">
            <v>293493.96122296748</v>
          </cell>
          <cell r="D61">
            <v>366744.21448889159</v>
          </cell>
          <cell r="E61">
            <v>401726.82889246137</v>
          </cell>
          <cell r="F61">
            <v>333611.09752758266</v>
          </cell>
          <cell r="G61">
            <v>187805.80705906267</v>
          </cell>
          <cell r="S61">
            <v>202256</v>
          </cell>
          <cell r="T61">
            <v>202256</v>
          </cell>
          <cell r="U61">
            <v>202256</v>
          </cell>
          <cell r="V61">
            <v>202256</v>
          </cell>
          <cell r="W61">
            <v>202256</v>
          </cell>
        </row>
        <row r="62">
          <cell r="C62">
            <v>326324.07692244661</v>
          </cell>
          <cell r="D62">
            <v>401877.44679857272</v>
          </cell>
          <cell r="E62">
            <v>434035.6642373497</v>
          </cell>
          <cell r="F62">
            <v>360913.01625769271</v>
          </cell>
          <cell r="G62">
            <v>211718.27191565582</v>
          </cell>
          <cell r="S62">
            <v>216852</v>
          </cell>
          <cell r="T62">
            <v>216852</v>
          </cell>
          <cell r="U62">
            <v>216852</v>
          </cell>
          <cell r="V62">
            <v>216852</v>
          </cell>
          <cell r="W62">
            <v>216852</v>
          </cell>
        </row>
        <row r="63">
          <cell r="C63">
            <v>362347.83440363058</v>
          </cell>
          <cell r="D63">
            <v>435515.63468215527</v>
          </cell>
          <cell r="E63">
            <v>470902.60539589409</v>
          </cell>
          <cell r="F63">
            <v>405559.68475267314</v>
          </cell>
          <cell r="G63">
            <v>239666.19915068999</v>
          </cell>
          <cell r="S63">
            <v>231448</v>
          </cell>
          <cell r="T63">
            <v>231448</v>
          </cell>
          <cell r="U63">
            <v>231448</v>
          </cell>
          <cell r="V63">
            <v>231448</v>
          </cell>
          <cell r="W63">
            <v>231448</v>
          </cell>
        </row>
        <row r="64">
          <cell r="C64">
            <v>401845.98382455372</v>
          </cell>
          <cell r="D64">
            <v>483653.70763192698</v>
          </cell>
          <cell r="E64">
            <v>541819.90469832346</v>
          </cell>
          <cell r="F64">
            <v>476327.11599632073</v>
          </cell>
          <cell r="G64">
            <v>281400.8035773767</v>
          </cell>
          <cell r="S64">
            <v>246044</v>
          </cell>
          <cell r="T64">
            <v>246044</v>
          </cell>
          <cell r="U64">
            <v>246044</v>
          </cell>
          <cell r="V64">
            <v>246044</v>
          </cell>
          <cell r="W64">
            <v>246044</v>
          </cell>
        </row>
        <row r="65">
          <cell r="C65">
            <v>445379.18543977896</v>
          </cell>
          <cell r="D65">
            <v>555878.43291417917</v>
          </cell>
          <cell r="E65">
            <v>629799.22534232517</v>
          </cell>
          <cell r="F65">
            <v>553266.90650232893</v>
          </cell>
          <cell r="G65">
            <v>328278.87224506738</v>
          </cell>
          <cell r="S65">
            <v>260640</v>
          </cell>
          <cell r="T65">
            <v>260640</v>
          </cell>
          <cell r="U65">
            <v>260640</v>
          </cell>
          <cell r="V65">
            <v>260640</v>
          </cell>
          <cell r="W65">
            <v>260640</v>
          </cell>
        </row>
        <row r="66">
          <cell r="C66">
            <v>501998.24492222001</v>
          </cell>
          <cell r="D66">
            <v>628020.47025888879</v>
          </cell>
          <cell r="E66">
            <v>709219.75233929441</v>
          </cell>
          <cell r="F66">
            <v>622476.08643245848</v>
          </cell>
          <cell r="G66">
            <v>359093.84329948371</v>
          </cell>
          <cell r="S66">
            <v>291096</v>
          </cell>
          <cell r="T66">
            <v>291096</v>
          </cell>
          <cell r="U66">
            <v>291096</v>
          </cell>
          <cell r="V66">
            <v>291096</v>
          </cell>
          <cell r="W66">
            <v>291096</v>
          </cell>
        </row>
        <row r="67">
          <cell r="C67">
            <v>563559.62555957795</v>
          </cell>
          <cell r="D67">
            <v>703640.30087610334</v>
          </cell>
          <cell r="E67">
            <v>792471.25097902399</v>
          </cell>
          <cell r="F67">
            <v>694650.32535821339</v>
          </cell>
          <cell r="G67">
            <v>385789.66304481897</v>
          </cell>
          <cell r="S67">
            <v>321552</v>
          </cell>
          <cell r="T67">
            <v>321552</v>
          </cell>
          <cell r="U67">
            <v>321552</v>
          </cell>
          <cell r="V67">
            <v>321552</v>
          </cell>
          <cell r="W67">
            <v>321552</v>
          </cell>
        </row>
        <row r="68">
          <cell r="C68">
            <v>631008.65558662731</v>
          </cell>
          <cell r="D68">
            <v>786377.40139937133</v>
          </cell>
          <cell r="E68">
            <v>885342.98739918217</v>
          </cell>
          <cell r="F68">
            <v>749196.69287993235</v>
          </cell>
          <cell r="G68">
            <v>415090.88648086466</v>
          </cell>
          <cell r="S68">
            <v>352008</v>
          </cell>
          <cell r="T68">
            <v>352008</v>
          </cell>
          <cell r="U68">
            <v>352008</v>
          </cell>
          <cell r="V68">
            <v>352008</v>
          </cell>
          <cell r="W68">
            <v>352008</v>
          </cell>
        </row>
        <row r="69">
          <cell r="C69">
            <v>705032.36314882035</v>
          </cell>
          <cell r="D69">
            <v>877153.29619354114</v>
          </cell>
          <cell r="E69">
            <v>976752.82281684875</v>
          </cell>
          <cell r="F69">
            <v>804464.25834782317</v>
          </cell>
          <cell r="G69">
            <v>446673.42976221815</v>
          </cell>
          <cell r="S69">
            <v>382464</v>
          </cell>
          <cell r="T69">
            <v>382464</v>
          </cell>
          <cell r="U69">
            <v>382464</v>
          </cell>
          <cell r="V69">
            <v>382464</v>
          </cell>
          <cell r="W69">
            <v>382464</v>
          </cell>
        </row>
        <row r="70">
          <cell r="C70">
            <v>786121.37314004533</v>
          </cell>
          <cell r="D70">
            <v>978218.95893069531</v>
          </cell>
          <cell r="E70">
            <v>1049931.2557370905</v>
          </cell>
          <cell r="F70">
            <v>864629.84350820747</v>
          </cell>
          <cell r="G70">
            <v>488949.75362922385</v>
          </cell>
          <cell r="S70">
            <v>412920</v>
          </cell>
          <cell r="T70">
            <v>412920</v>
          </cell>
          <cell r="U70">
            <v>412920</v>
          </cell>
          <cell r="V70">
            <v>412920</v>
          </cell>
          <cell r="W70">
            <v>412920</v>
          </cell>
        </row>
        <row r="71">
          <cell r="C71">
            <v>875142.63565109111</v>
          </cell>
          <cell r="D71">
            <v>1056740.7310451057</v>
          </cell>
          <cell r="E71">
            <v>1128345.7927446805</v>
          </cell>
          <cell r="F71">
            <v>933654.16230051918</v>
          </cell>
          <cell r="G71">
            <v>535611.64431590412</v>
          </cell>
          <cell r="S71">
            <v>443376</v>
          </cell>
          <cell r="T71">
            <v>443376</v>
          </cell>
          <cell r="U71">
            <v>443376</v>
          </cell>
          <cell r="V71">
            <v>443376</v>
          </cell>
          <cell r="W71">
            <v>443376</v>
          </cell>
        </row>
        <row r="72">
          <cell r="C72">
            <v>973224.36461229203</v>
          </cell>
          <cell r="D72">
            <v>1156743.4979541209</v>
          </cell>
          <cell r="E72">
            <v>1236656.6584553525</v>
          </cell>
          <cell r="F72">
            <v>1046673.0166461682</v>
          </cell>
          <cell r="G72">
            <v>599296.91043917311</v>
          </cell>
          <cell r="S72">
            <v>473832</v>
          </cell>
          <cell r="T72">
            <v>473832</v>
          </cell>
          <cell r="U72">
            <v>473832</v>
          </cell>
          <cell r="V72">
            <v>473832</v>
          </cell>
          <cell r="W72">
            <v>473832</v>
          </cell>
        </row>
        <row r="73">
          <cell r="C73">
            <v>1081756.6628615453</v>
          </cell>
          <cell r="D73">
            <v>1292258.8925589565</v>
          </cell>
          <cell r="E73">
            <v>1412701.893109157</v>
          </cell>
          <cell r="F73">
            <v>1191102.9805131357</v>
          </cell>
          <cell r="G73">
            <v>679888.67406282923</v>
          </cell>
          <cell r="S73">
            <v>504288</v>
          </cell>
          <cell r="T73">
            <v>504288</v>
          </cell>
          <cell r="U73">
            <v>504288</v>
          </cell>
          <cell r="V73">
            <v>504288</v>
          </cell>
          <cell r="W73">
            <v>504288</v>
          </cell>
        </row>
        <row r="74">
          <cell r="C74">
            <v>1201558.7216388118</v>
          </cell>
          <cell r="D74">
            <v>1457132.534595011</v>
          </cell>
          <cell r="E74">
            <v>1589344.0522268852</v>
          </cell>
          <cell r="F74">
            <v>1334413.4688279047</v>
          </cell>
          <cell r="G74">
            <v>780291.77899330342</v>
          </cell>
          <cell r="S74">
            <v>534744</v>
          </cell>
          <cell r="T74">
            <v>534744</v>
          </cell>
          <cell r="U74">
            <v>534744</v>
          </cell>
          <cell r="V74">
            <v>534744</v>
          </cell>
          <cell r="W74">
            <v>534744</v>
          </cell>
        </row>
        <row r="75">
          <cell r="C75">
            <v>1334019.1596273237</v>
          </cell>
          <cell r="D75">
            <v>1615502.3042054391</v>
          </cell>
          <cell r="E75">
            <v>1753490.2268888368</v>
          </cell>
          <cell r="F75">
            <v>1489497.5188427537</v>
          </cell>
          <cell r="G75">
            <v>897584.3030294393</v>
          </cell>
          <cell r="S75">
            <v>565200</v>
          </cell>
          <cell r="T75">
            <v>565200</v>
          </cell>
          <cell r="U75">
            <v>565200</v>
          </cell>
          <cell r="V75">
            <v>565200</v>
          </cell>
          <cell r="W75">
            <v>565200</v>
          </cell>
        </row>
        <row r="76">
          <cell r="C76">
            <v>1496264.5704001631</v>
          </cell>
          <cell r="D76">
            <v>1805217.0095921727</v>
          </cell>
          <cell r="E76">
            <v>1968954.6600739665</v>
          </cell>
          <cell r="F76">
            <v>1726492.3788450889</v>
          </cell>
          <cell r="G76">
            <v>1039384.1648800762</v>
          </cell>
          <cell r="S76">
            <v>677736</v>
          </cell>
          <cell r="T76">
            <v>677736</v>
          </cell>
          <cell r="U76">
            <v>677736</v>
          </cell>
          <cell r="V76">
            <v>677736</v>
          </cell>
          <cell r="W76">
            <v>677736</v>
          </cell>
        </row>
        <row r="77">
          <cell r="C77">
            <v>1675187.451211147</v>
          </cell>
          <cell r="D77">
            <v>2027348.1231101395</v>
          </cell>
          <cell r="E77">
            <v>2282321.4008235363</v>
          </cell>
          <cell r="F77">
            <v>2007266.5677210633</v>
          </cell>
          <cell r="G77">
            <v>1205473.0141196975</v>
          </cell>
          <cell r="S77">
            <v>790272</v>
          </cell>
          <cell r="T77">
            <v>790272</v>
          </cell>
          <cell r="U77">
            <v>790272</v>
          </cell>
          <cell r="V77">
            <v>790272</v>
          </cell>
          <cell r="W77">
            <v>790272</v>
          </cell>
        </row>
        <row r="78">
          <cell r="C78">
            <v>1872409.2126787701</v>
          </cell>
          <cell r="D78">
            <v>2326204.8626078465</v>
          </cell>
          <cell r="E78">
            <v>2626509.4931387696</v>
          </cell>
          <cell r="F78">
            <v>2303001.9917475102</v>
          </cell>
          <cell r="G78">
            <v>1383833.1840758624</v>
          </cell>
          <cell r="S78">
            <v>902808</v>
          </cell>
          <cell r="T78">
            <v>902808</v>
          </cell>
          <cell r="U78">
            <v>902808</v>
          </cell>
          <cell r="V78">
            <v>902808</v>
          </cell>
          <cell r="W78">
            <v>902808</v>
          </cell>
        </row>
        <row r="79">
          <cell r="C79">
            <v>2089871.5813074731</v>
          </cell>
          <cell r="D79">
            <v>2596328.6161917197</v>
          </cell>
          <cell r="E79">
            <v>2926962.9080107715</v>
          </cell>
          <cell r="F79">
            <v>2571177.5280504837</v>
          </cell>
          <cell r="G79">
            <v>1482214.3810701487</v>
          </cell>
          <cell r="S79">
            <v>1015344</v>
          </cell>
          <cell r="T79">
            <v>1015344</v>
          </cell>
          <cell r="U79">
            <v>1015344</v>
          </cell>
          <cell r="V79">
            <v>1015344</v>
          </cell>
          <cell r="W79">
            <v>1015344</v>
          </cell>
        </row>
        <row r="80">
          <cell r="C80">
            <v>2330073.7045480642</v>
          </cell>
          <cell r="D80">
            <v>2900733.1157015329</v>
          </cell>
          <cell r="E80">
            <v>3263781.1890608771</v>
          </cell>
          <cell r="F80">
            <v>2855222.5519546461</v>
          </cell>
          <cell r="G80">
            <v>1579403.9161887981</v>
          </cell>
          <cell r="S80">
            <v>1127880</v>
          </cell>
          <cell r="T80">
            <v>1127880</v>
          </cell>
          <cell r="U80">
            <v>1127880</v>
          </cell>
          <cell r="V80">
            <v>1127880</v>
          </cell>
          <cell r="W80">
            <v>1127880</v>
          </cell>
        </row>
        <row r="81">
          <cell r="C81">
            <v>2596293.316443061</v>
          </cell>
          <cell r="D81">
            <v>3227689.2219883529</v>
          </cell>
          <cell r="E81">
            <v>3632376.1510404288</v>
          </cell>
          <cell r="F81">
            <v>3042648.839456094</v>
          </cell>
          <cell r="G81">
            <v>1684295.9919311309</v>
          </cell>
          <cell r="S81">
            <v>1240416</v>
          </cell>
          <cell r="T81">
            <v>1240416</v>
          </cell>
          <cell r="U81">
            <v>1240416</v>
          </cell>
          <cell r="V81">
            <v>1240416</v>
          </cell>
          <cell r="W81">
            <v>1240416</v>
          </cell>
        </row>
        <row r="82">
          <cell r="C82">
            <v>2892377.9066754808</v>
          </cell>
          <cell r="D82">
            <v>3593473.7116326555</v>
          </cell>
          <cell r="E82">
            <v>3962815.5994253517</v>
          </cell>
          <cell r="F82">
            <v>3252330.6502204523</v>
          </cell>
          <cell r="G82">
            <v>1800712.0353344087</v>
          </cell>
          <cell r="S82">
            <v>1352952</v>
          </cell>
          <cell r="T82">
            <v>1352952</v>
          </cell>
          <cell r="U82">
            <v>1352952</v>
          </cell>
          <cell r="V82">
            <v>1352952</v>
          </cell>
          <cell r="W82">
            <v>1352952</v>
          </cell>
        </row>
        <row r="83">
          <cell r="C83">
            <v>3220839.3895998276</v>
          </cell>
          <cell r="D83">
            <v>3994160.8367306003</v>
          </cell>
          <cell r="E83">
            <v>4233524.8589923577</v>
          </cell>
          <cell r="F83">
            <v>3482066.5929253954</v>
          </cell>
          <cell r="G83">
            <v>2030518.0673401952</v>
          </cell>
          <cell r="S83">
            <v>1465488</v>
          </cell>
          <cell r="T83">
            <v>1465488</v>
          </cell>
          <cell r="U83">
            <v>1465488</v>
          </cell>
          <cell r="V83">
            <v>1465488</v>
          </cell>
          <cell r="W83">
            <v>1465488</v>
          </cell>
        </row>
        <row r="84">
          <cell r="C84">
            <v>3585679.8710168768</v>
          </cell>
          <cell r="D84">
            <v>4273650.216723456</v>
          </cell>
          <cell r="E84">
            <v>4535360.4954353841</v>
          </cell>
          <cell r="F84">
            <v>3798155.8762082113</v>
          </cell>
          <cell r="G84">
            <v>2294194.7063163174</v>
          </cell>
          <cell r="S84">
            <v>1578024</v>
          </cell>
          <cell r="T84">
            <v>1578024</v>
          </cell>
          <cell r="U84">
            <v>1578024</v>
          </cell>
          <cell r="V84">
            <v>1578024</v>
          </cell>
          <cell r="W84">
            <v>1578024</v>
          </cell>
        </row>
        <row r="85">
          <cell r="C85">
            <v>3991399.0975052011</v>
          </cell>
          <cell r="D85">
            <v>4714148.5313471016</v>
          </cell>
          <cell r="E85">
            <v>5093639.9687582226</v>
          </cell>
          <cell r="F85">
            <v>4514567.4912019176</v>
          </cell>
          <cell r="G85">
            <v>2569894.6327705672</v>
          </cell>
          <cell r="S85">
            <v>1690560</v>
          </cell>
          <cell r="T85">
            <v>1690560</v>
          </cell>
          <cell r="U85">
            <v>1690560</v>
          </cell>
          <cell r="V85">
            <v>1690560</v>
          </cell>
          <cell r="W85">
            <v>1690560</v>
          </cell>
        </row>
        <row r="86">
          <cell r="C86">
            <v>4468204.3181733945</v>
          </cell>
          <cell r="D86">
            <v>5434681.8732678294</v>
          </cell>
          <cell r="E86">
            <v>6150838.1034437437</v>
          </cell>
          <cell r="F86">
            <v>5168031.0289723985</v>
          </cell>
          <cell r="G86">
            <v>3003659.3445097799</v>
          </cell>
          <cell r="S86">
            <v>1877760</v>
          </cell>
          <cell r="T86">
            <v>1877760</v>
          </cell>
          <cell r="U86">
            <v>1877760</v>
          </cell>
          <cell r="V86">
            <v>1877760</v>
          </cell>
          <cell r="W86">
            <v>1877760</v>
          </cell>
        </row>
        <row r="87">
          <cell r="C87">
            <v>4992001.6163101001</v>
          </cell>
          <cell r="D87">
            <v>6252314.3921145247</v>
          </cell>
          <cell r="E87">
            <v>6802148.5719281361</v>
          </cell>
          <cell r="F87">
            <v>5711381.3874177188</v>
          </cell>
          <cell r="G87">
            <v>3537250.8747718469</v>
          </cell>
          <cell r="S87">
            <v>2064960</v>
          </cell>
          <cell r="T87">
            <v>2064960</v>
          </cell>
          <cell r="U87">
            <v>2064960</v>
          </cell>
          <cell r="V87">
            <v>2064960</v>
          </cell>
          <cell r="W87">
            <v>2064960</v>
          </cell>
        </row>
        <row r="88">
          <cell r="C88">
            <v>5572928.2969800942</v>
          </cell>
          <cell r="D88">
            <v>6829883.3526914027</v>
          </cell>
          <cell r="E88">
            <v>7389071.9358790545</v>
          </cell>
          <cell r="F88">
            <v>6367763.2181341695</v>
          </cell>
          <cell r="G88">
            <v>4007383.681804202</v>
          </cell>
          <cell r="S88">
            <v>2252160</v>
          </cell>
          <cell r="T88">
            <v>2252160</v>
          </cell>
          <cell r="U88">
            <v>2252160</v>
          </cell>
          <cell r="V88">
            <v>2252160</v>
          </cell>
          <cell r="W88">
            <v>2252160</v>
          </cell>
        </row>
        <row r="89">
          <cell r="C89">
            <v>6218113.963090349</v>
          </cell>
          <cell r="D89">
            <v>7515147.161781624</v>
          </cell>
          <cell r="E89">
            <v>8244963.6586120268</v>
          </cell>
          <cell r="F89">
            <v>7301106.3187831482</v>
          </cell>
          <cell r="G89">
            <v>4523737.7326597068</v>
          </cell>
          <cell r="S89">
            <v>2439360</v>
          </cell>
          <cell r="T89">
            <v>2439360</v>
          </cell>
          <cell r="U89">
            <v>2439360</v>
          </cell>
          <cell r="V89">
            <v>2439360</v>
          </cell>
          <cell r="W89">
            <v>2439360</v>
          </cell>
        </row>
        <row r="90">
          <cell r="C90">
            <v>6935579.6844907766</v>
          </cell>
          <cell r="D90">
            <v>8486166.2103140466</v>
          </cell>
          <cell r="E90">
            <v>9628382.7622732986</v>
          </cell>
          <cell r="F90">
            <v>8332461.4735573828</v>
          </cell>
          <cell r="G90">
            <v>5097147.3315392658</v>
          </cell>
          <cell r="S90">
            <v>2626560</v>
          </cell>
          <cell r="T90">
            <v>2626560</v>
          </cell>
          <cell r="U90">
            <v>2626560</v>
          </cell>
          <cell r="V90">
            <v>2626560</v>
          </cell>
          <cell r="W90">
            <v>2626560</v>
          </cell>
        </row>
        <row r="91">
          <cell r="C91">
            <v>7734349.5879965592</v>
          </cell>
          <cell r="D91">
            <v>9714326.7176323198</v>
          </cell>
          <cell r="E91">
            <v>10915727.451135671</v>
          </cell>
          <cell r="F91">
            <v>9343775.9041888043</v>
          </cell>
          <cell r="G91">
            <v>5492768.3138603438</v>
          </cell>
          <cell r="S91">
            <v>2813760</v>
          </cell>
          <cell r="T91">
            <v>2813760</v>
          </cell>
          <cell r="U91">
            <v>2813760</v>
          </cell>
          <cell r="V91">
            <v>2813760</v>
          </cell>
          <cell r="W91">
            <v>2813760</v>
          </cell>
        </row>
        <row r="92">
          <cell r="C92">
            <v>8624576.4246470388</v>
          </cell>
          <cell r="D92">
            <v>10743296.85699892</v>
          </cell>
          <cell r="E92">
            <v>11917124.336677508</v>
          </cell>
          <cell r="F92">
            <v>9894617.0865738988</v>
          </cell>
          <cell r="G92">
            <v>5861102.5110813314</v>
          </cell>
          <cell r="S92">
            <v>3000960</v>
          </cell>
          <cell r="T92">
            <v>3000960</v>
          </cell>
          <cell r="U92">
            <v>3000960</v>
          </cell>
          <cell r="V92">
            <v>3000960</v>
          </cell>
          <cell r="W92">
            <v>3000960</v>
          </cell>
        </row>
        <row r="93">
          <cell r="C93">
            <v>9617682.865561191</v>
          </cell>
          <cell r="D93">
            <v>11846608.906347003</v>
          </cell>
          <cell r="E93">
            <v>12927093.324017085</v>
          </cell>
          <cell r="F93">
            <v>10514002.846088957</v>
          </cell>
          <cell r="G93">
            <v>6292155.0200190442</v>
          </cell>
          <cell r="S93">
            <v>3188160</v>
          </cell>
          <cell r="T93">
            <v>3188160</v>
          </cell>
          <cell r="U93">
            <v>3188160</v>
          </cell>
          <cell r="V93">
            <v>3188160</v>
          </cell>
          <cell r="W93">
            <v>3188160</v>
          </cell>
        </row>
        <row r="94">
          <cell r="C94">
            <v>10726520.497242436</v>
          </cell>
          <cell r="D94">
            <v>13119276.911432454</v>
          </cell>
          <cell r="E94">
            <v>13837546.434019422</v>
          </cell>
          <cell r="F94">
            <v>11307121.596282482</v>
          </cell>
          <cell r="G94">
            <v>9080751.5906418674</v>
          </cell>
          <cell r="S94">
            <v>3375360</v>
          </cell>
          <cell r="T94">
            <v>3375360</v>
          </cell>
          <cell r="U94">
            <v>3375360</v>
          </cell>
          <cell r="V94">
            <v>3375360</v>
          </cell>
          <cell r="W94">
            <v>3375360</v>
          </cell>
        </row>
        <row r="95">
          <cell r="C95">
            <v>11965548.734190671</v>
          </cell>
          <cell r="D95">
            <v>14109876.452359976</v>
          </cell>
          <cell r="E95">
            <v>14923702.196939575</v>
          </cell>
          <cell r="F95">
            <v>13311845.263772473</v>
          </cell>
          <cell r="G95">
            <v>18128454.117753875</v>
          </cell>
          <cell r="S95">
            <v>3562560</v>
          </cell>
          <cell r="T95">
            <v>3562560</v>
          </cell>
          <cell r="U95">
            <v>3562560</v>
          </cell>
          <cell r="V95">
            <v>3562560</v>
          </cell>
          <cell r="W95">
            <v>3562560</v>
          </cell>
        </row>
        <row r="96">
          <cell r="C96">
            <v>13415680.423465714</v>
          </cell>
          <cell r="D96">
            <v>15923268.826027393</v>
          </cell>
          <cell r="E96">
            <v>20484406.816856656</v>
          </cell>
          <cell r="F96">
            <v>27258352.213615928</v>
          </cell>
          <cell r="G96">
            <v>33080892.030389216</v>
          </cell>
          <cell r="S96">
            <v>3890160</v>
          </cell>
          <cell r="T96">
            <v>3890160</v>
          </cell>
          <cell r="U96">
            <v>3890160</v>
          </cell>
          <cell r="V96">
            <v>3890160</v>
          </cell>
          <cell r="W96">
            <v>3890160</v>
          </cell>
        </row>
        <row r="97">
          <cell r="C97">
            <v>15030575.555718562</v>
          </cell>
          <cell r="D97">
            <v>22967338.356371257</v>
          </cell>
          <cell r="E97">
            <v>33778629.670065373</v>
          </cell>
          <cell r="F97">
            <v>43172575.940452844</v>
          </cell>
          <cell r="G97">
            <v>50399194.692748167</v>
          </cell>
          <cell r="S97">
            <v>4217760</v>
          </cell>
          <cell r="T97">
            <v>4217760</v>
          </cell>
          <cell r="U97">
            <v>4217760</v>
          </cell>
          <cell r="V97">
            <v>4217760</v>
          </cell>
          <cell r="W97">
            <v>4217760</v>
          </cell>
        </row>
        <row r="98">
          <cell r="C98">
            <v>16830829.031557258</v>
          </cell>
          <cell r="D98">
            <v>25729773.054985553</v>
          </cell>
          <cell r="E98">
            <v>37771740.738166489</v>
          </cell>
          <cell r="F98">
            <v>47917911.576345883</v>
          </cell>
          <cell r="G98">
            <v>55379110.674331568</v>
          </cell>
          <cell r="S98">
            <v>4545360</v>
          </cell>
          <cell r="T98">
            <v>4545360</v>
          </cell>
          <cell r="U98">
            <v>4545360</v>
          </cell>
          <cell r="V98">
            <v>4545360</v>
          </cell>
          <cell r="W98">
            <v>4545360</v>
          </cell>
        </row>
        <row r="99">
          <cell r="C99">
            <v>18839613.251803692</v>
          </cell>
          <cell r="D99">
            <v>28652488.446618225</v>
          </cell>
          <cell r="E99">
            <v>41834730.183431722</v>
          </cell>
          <cell r="F99">
            <v>52826982.894271106</v>
          </cell>
          <cell r="G99">
            <v>60572480.003880955</v>
          </cell>
          <cell r="S99">
            <v>4872960</v>
          </cell>
          <cell r="T99">
            <v>4872960</v>
          </cell>
          <cell r="U99">
            <v>4872960</v>
          </cell>
          <cell r="V99">
            <v>4872960</v>
          </cell>
          <cell r="W99">
            <v>4872960</v>
          </cell>
        </row>
        <row r="100">
          <cell r="C100">
            <v>21083000.928327333</v>
          </cell>
          <cell r="D100">
            <v>31959311.632047307</v>
          </cell>
          <cell r="E100">
            <v>46389526.081430681</v>
          </cell>
          <cell r="F100">
            <v>58226998.444347247</v>
          </cell>
          <cell r="G100">
            <v>66345893.870890349</v>
          </cell>
          <cell r="S100">
            <v>5200560</v>
          </cell>
          <cell r="T100">
            <v>5200560</v>
          </cell>
          <cell r="U100">
            <v>5200560</v>
          </cell>
          <cell r="V100">
            <v>5200560</v>
          </cell>
          <cell r="W100">
            <v>5200560</v>
          </cell>
        </row>
        <row r="101">
          <cell r="C101">
            <v>23590328.340877391</v>
          </cell>
          <cell r="D101">
            <v>35579568.061813466</v>
          </cell>
          <cell r="E101">
            <v>51460567.752273627</v>
          </cell>
          <cell r="F101">
            <v>64264965.55533836</v>
          </cell>
          <cell r="G101">
            <v>72822392.059217125</v>
          </cell>
          <cell r="S101">
            <v>5528160</v>
          </cell>
          <cell r="T101">
            <v>5528160</v>
          </cell>
          <cell r="U101">
            <v>5528160</v>
          </cell>
          <cell r="V101">
            <v>5528160</v>
          </cell>
          <cell r="W101">
            <v>5528160</v>
          </cell>
        </row>
        <row r="102">
          <cell r="C102">
            <v>26394604.108713035</v>
          </cell>
          <cell r="D102">
            <v>39710156.311573438</v>
          </cell>
          <cell r="E102">
            <v>57094103.393068433</v>
          </cell>
          <cell r="F102">
            <v>70986510.857830092</v>
          </cell>
          <cell r="G102">
            <v>80006412.277851671</v>
          </cell>
          <cell r="S102">
            <v>5855760</v>
          </cell>
          <cell r="T102">
            <v>5855760</v>
          </cell>
          <cell r="U102">
            <v>5855760</v>
          </cell>
          <cell r="V102">
            <v>5855760</v>
          </cell>
          <cell r="W102">
            <v>5855760</v>
          </cell>
        </row>
        <row r="103">
          <cell r="C103">
            <v>29532969.181152027</v>
          </cell>
          <cell r="D103">
            <v>44205422.307221726</v>
          </cell>
          <cell r="E103">
            <v>63407718.152305566</v>
          </cell>
          <cell r="F103">
            <v>78473481.729824394</v>
          </cell>
          <cell r="G103">
            <v>87987875.338244975</v>
          </cell>
          <cell r="S103">
            <v>6183360</v>
          </cell>
          <cell r="T103">
            <v>6183360</v>
          </cell>
          <cell r="U103">
            <v>6183360</v>
          </cell>
          <cell r="V103">
            <v>6183360</v>
          </cell>
          <cell r="W103">
            <v>6183360</v>
          </cell>
        </row>
        <row r="104">
          <cell r="C104">
            <v>33047214.466115132</v>
          </cell>
          <cell r="D104">
            <v>49376963.211881109</v>
          </cell>
          <cell r="E104">
            <v>70439957.804544926</v>
          </cell>
          <cell r="F104">
            <v>86947776.579608992</v>
          </cell>
          <cell r="G104">
            <v>97061059.278013572</v>
          </cell>
          <cell r="S104">
            <v>6510960</v>
          </cell>
          <cell r="T104">
            <v>6510960</v>
          </cell>
          <cell r="U104">
            <v>6510960</v>
          </cell>
          <cell r="V104">
            <v>6510960</v>
          </cell>
          <cell r="W104">
            <v>6510960</v>
          </cell>
        </row>
        <row r="105">
          <cell r="C105">
            <v>36984363.320322894</v>
          </cell>
          <cell r="D105">
            <v>55010206.063384622</v>
          </cell>
          <cell r="E105">
            <v>78297313.761629805</v>
          </cell>
          <cell r="F105">
            <v>96300540.499607161</v>
          </cell>
          <cell r="G105">
            <v>107163129.34440807</v>
          </cell>
          <cell r="S105">
            <v>6838560</v>
          </cell>
          <cell r="T105">
            <v>6838560</v>
          </cell>
          <cell r="U105">
            <v>6838560</v>
          </cell>
          <cell r="V105">
            <v>6838560</v>
          </cell>
          <cell r="W105">
            <v>6838560</v>
          </cell>
        </row>
        <row r="106"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</row>
        <row r="107"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</row>
        <row r="108"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</row>
        <row r="109"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</row>
        <row r="110"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</row>
        <row r="111"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</row>
        <row r="112"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</row>
        <row r="113"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</row>
        <row r="114"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</row>
        <row r="115"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</row>
      </sheetData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Sheet1"/>
      <sheetName val="Sheet2"/>
      <sheetName val="士兵相关信息"/>
      <sheetName val="兵营招募"/>
      <sheetName val="兵营招募（备份啊）"/>
      <sheetName val="士兵治疗"/>
      <sheetName val="属性汇总"/>
      <sheetName val="不同付费层特产兵分布"/>
      <sheetName val="不同付费层特殊兵种分布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/>
      <sheetData sheetId="2">
        <row r="4">
          <cell r="CM4">
            <v>24</v>
          </cell>
        </row>
      </sheetData>
      <sheetData sheetId="3">
        <row r="6">
          <cell r="AT6">
            <v>2653.3044637363546</v>
          </cell>
        </row>
      </sheetData>
      <sheetData sheetId="4"/>
      <sheetData sheetId="5"/>
      <sheetData sheetId="6">
        <row r="7">
          <cell r="H7">
            <v>1.8</v>
          </cell>
        </row>
      </sheetData>
      <sheetData sheetId="7">
        <row r="5">
          <cell r="AS5">
            <v>1860.3681489407181</v>
          </cell>
        </row>
      </sheetData>
      <sheetData sheetId="8"/>
      <sheetData sheetId="9">
        <row r="5">
          <cell r="M5">
            <v>6201.2271631357262</v>
          </cell>
          <cell r="BX5">
            <v>-0.20609637879264286</v>
          </cell>
          <cell r="BZ5">
            <v>-0.10807072130595644</v>
          </cell>
          <cell r="CB5">
            <v>-2.1992498317338832E-2</v>
          </cell>
        </row>
        <row r="6">
          <cell r="BX6">
            <v>-0.20057152013983512</v>
          </cell>
          <cell r="BZ6">
            <v>-0.10438736670362936</v>
          </cell>
          <cell r="CB6">
            <v>-2.1495889024037658E-2</v>
          </cell>
        </row>
        <row r="7">
          <cell r="BX7">
            <v>-0.19373218962409477</v>
          </cell>
          <cell r="BZ7">
            <v>-9.9752686888034986E-2</v>
          </cell>
          <cell r="CB7">
            <v>-2.0718031874050278E-2</v>
          </cell>
        </row>
        <row r="8">
          <cell r="BX8">
            <v>-0.18616065697939219</v>
          </cell>
          <cell r="BZ8">
            <v>-9.4417805875079849E-2</v>
          </cell>
          <cell r="CB8">
            <v>-1.9799184386531957E-2</v>
          </cell>
        </row>
        <row r="9">
          <cell r="BX9">
            <v>-0.17804796916763643</v>
          </cell>
          <cell r="BZ9">
            <v>-8.9283570168653598E-2</v>
          </cell>
          <cell r="CB9">
            <v>-1.8999611915829821E-2</v>
          </cell>
        </row>
        <row r="10">
          <cell r="BX10">
            <v>-0.17091588534706642</v>
          </cell>
          <cell r="BZ10">
            <v>-8.4839409693345927E-2</v>
          </cell>
          <cell r="CB10">
            <v>-1.8113190303340621E-2</v>
          </cell>
        </row>
        <row r="11">
          <cell r="BX11">
            <v>-0.16462544523694186</v>
          </cell>
          <cell r="BZ11">
            <v>-8.0688184305811914E-2</v>
          </cell>
          <cell r="CB11">
            <v>-1.7307771820660938E-2</v>
          </cell>
        </row>
        <row r="12">
          <cell r="BX12">
            <v>-0.15893031300968413</v>
          </cell>
          <cell r="BZ12">
            <v>-7.7212160936967311E-2</v>
          </cell>
          <cell r="CB12">
            <v>-1.6685235177714072E-2</v>
          </cell>
        </row>
        <row r="13">
          <cell r="BX13">
            <v>-0.15361271332858337</v>
          </cell>
          <cell r="BZ13">
            <v>-7.4208588011058507E-2</v>
          </cell>
          <cell r="CB13">
            <v>-1.6238049730288209E-2</v>
          </cell>
        </row>
        <row r="14">
          <cell r="BX14">
            <v>-0.14409548588556184</v>
          </cell>
          <cell r="BZ14">
            <v>-6.3047531651560088E-2</v>
          </cell>
          <cell r="CB14">
            <v>-1.4049441065255904E-2</v>
          </cell>
        </row>
        <row r="15">
          <cell r="BX15">
            <v>-0.13874806998834838</v>
          </cell>
          <cell r="BZ15">
            <v>-5.1997137315170389E-2</v>
          </cell>
          <cell r="CB15">
            <v>-1.1892665530067124E-2</v>
          </cell>
        </row>
        <row r="16">
          <cell r="BX16">
            <v>-0.13196474684438084</v>
          </cell>
          <cell r="BZ16">
            <v>-4.2643959179912677E-2</v>
          </cell>
          <cell r="CB16">
            <v>-1.017633665828043E-2</v>
          </cell>
        </row>
        <row r="17">
          <cell r="BX17">
            <v>-0.12421521014249627</v>
          </cell>
          <cell r="BZ17">
            <v>-3.3909079504518352E-2</v>
          </cell>
          <cell r="CB17">
            <v>-8.6637426174603141E-3</v>
          </cell>
        </row>
        <row r="18">
          <cell r="BX18">
            <v>-0.11591885281078637</v>
          </cell>
          <cell r="BZ18">
            <v>-2.1909623354144103E-2</v>
          </cell>
          <cell r="CB18">
            <v>-7.3456019963800273E-3</v>
          </cell>
        </row>
        <row r="19">
          <cell r="BX19">
            <v>-0.11365508419053363</v>
          </cell>
          <cell r="BZ19">
            <v>-1.7582584295741808E-2</v>
          </cell>
          <cell r="CB19">
            <v>-7.1278312685394305E-3</v>
          </cell>
        </row>
        <row r="20">
          <cell r="BX20">
            <v>-0.11130124753041433</v>
          </cell>
          <cell r="BZ20">
            <v>-1.4094363472623193E-2</v>
          </cell>
          <cell r="CB20">
            <v>-6.9378608765894093E-3</v>
          </cell>
        </row>
        <row r="21">
          <cell r="BX21">
            <v>-0.10791169379812275</v>
          </cell>
          <cell r="BZ21">
            <v>-1.1076661428105121E-2</v>
          </cell>
          <cell r="CB21">
            <v>-6.7816013776790668E-3</v>
          </cell>
        </row>
        <row r="22">
          <cell r="BX22">
            <v>-0.10494839325146064</v>
          </cell>
          <cell r="BZ22">
            <v>-8.8891392465469347E-3</v>
          </cell>
          <cell r="CB22">
            <v>-6.6279390569625053E-3</v>
          </cell>
        </row>
        <row r="23">
          <cell r="BX23">
            <v>-0.10234011232033098</v>
          </cell>
          <cell r="BZ23">
            <v>-7.1565277776313328E-3</v>
          </cell>
          <cell r="CB23">
            <v>-6.4909420135857232E-3</v>
          </cell>
        </row>
        <row r="24">
          <cell r="BX24">
            <v>-0.10002809022147338</v>
          </cell>
          <cell r="BZ24">
            <v>-4.5872326176891473E-3</v>
          </cell>
          <cell r="CB24">
            <v>-6.3776116266948393E-3</v>
          </cell>
        </row>
        <row r="25">
          <cell r="BX25">
            <v>-9.7097173511605392E-2</v>
          </cell>
          <cell r="BZ25">
            <v>-1.463139547221187E-3</v>
          </cell>
          <cell r="CB25">
            <v>-6.2654617259110656E-3</v>
          </cell>
        </row>
        <row r="26">
          <cell r="BX26">
            <v>-9.4520362366685651E-2</v>
          </cell>
          <cell r="BZ26">
            <v>1.2041611580299531E-3</v>
          </cell>
          <cell r="CB26">
            <v>-6.1493496544189653E-3</v>
          </cell>
        </row>
        <row r="27">
          <cell r="BX27">
            <v>-9.2249228292874075E-2</v>
          </cell>
          <cell r="BZ27">
            <v>3.0135907010304065E-3</v>
          </cell>
          <cell r="CB27">
            <v>-5.8513044383656041E-3</v>
          </cell>
        </row>
        <row r="28">
          <cell r="BX28">
            <v>-8.9995091763510199E-2</v>
          </cell>
          <cell r="BZ28">
            <v>3.521488654620692E-3</v>
          </cell>
          <cell r="CB28">
            <v>-5.6293300092487147E-3</v>
          </cell>
        </row>
        <row r="29">
          <cell r="BX29">
            <v>-8.7951792308973945E-2</v>
          </cell>
          <cell r="BZ29">
            <v>5.5460058391510123E-3</v>
          </cell>
          <cell r="CB29">
            <v>-5.4305605798047711E-3</v>
          </cell>
        </row>
        <row r="30">
          <cell r="BX30">
            <v>-8.6212622310729778E-2</v>
          </cell>
          <cell r="BZ30">
            <v>6.9774717029476895E-3</v>
          </cell>
          <cell r="CB30">
            <v>-5.2563171139114089E-3</v>
          </cell>
        </row>
        <row r="31">
          <cell r="BX31">
            <v>-8.4715242543423816E-2</v>
          </cell>
          <cell r="BZ31">
            <v>7.9875674494255342E-3</v>
          </cell>
          <cell r="CB31">
            <v>-5.131374096945202E-3</v>
          </cell>
        </row>
        <row r="32">
          <cell r="BX32">
            <v>-8.3516412203499063E-2</v>
          </cell>
          <cell r="BZ32">
            <v>8.8346425916211672E-3</v>
          </cell>
          <cell r="CB32">
            <v>-5.0636429580038396E-3</v>
          </cell>
        </row>
        <row r="33">
          <cell r="BX33">
            <v>-8.2437894417475704E-2</v>
          </cell>
          <cell r="BZ33">
            <v>9.2177797547586642E-3</v>
          </cell>
          <cell r="CB33">
            <v>-5.0285025708083362E-3</v>
          </cell>
        </row>
        <row r="34">
          <cell r="BX34">
            <v>-8.1383240100443496E-2</v>
          </cell>
          <cell r="BZ34">
            <v>9.6114963414180906E-3</v>
          </cell>
          <cell r="CB34">
            <v>-4.9201292315089401E-3</v>
          </cell>
        </row>
        <row r="35">
          <cell r="BX35">
            <v>-8.1716805791842539E-2</v>
          </cell>
          <cell r="BZ35">
            <v>9.6869523921751625E-3</v>
          </cell>
          <cell r="CB35">
            <v>-4.7967193022132306E-3</v>
          </cell>
        </row>
        <row r="36">
          <cell r="BX36">
            <v>-8.1959399584805651E-2</v>
          </cell>
          <cell r="BZ36">
            <v>9.6386199698053482E-3</v>
          </cell>
          <cell r="CB36">
            <v>-4.7090515304751765E-3</v>
          </cell>
        </row>
        <row r="37">
          <cell r="BX37">
            <v>-8.2084791329589485E-2</v>
          </cell>
          <cell r="BZ37">
            <v>9.3066515934269768E-3</v>
          </cell>
          <cell r="CB37">
            <v>-4.5843465701958736E-3</v>
          </cell>
        </row>
        <row r="38">
          <cell r="BX38">
            <v>-8.216129386965805E-2</v>
          </cell>
          <cell r="BZ38">
            <v>8.7536272892814078E-3</v>
          </cell>
          <cell r="CB38">
            <v>-4.505002184113629E-3</v>
          </cell>
        </row>
        <row r="39">
          <cell r="BX39">
            <v>-8.2221832405595746E-2</v>
          </cell>
          <cell r="BZ39">
            <v>7.8010055198220254E-3</v>
          </cell>
          <cell r="CB39">
            <v>-4.4512949788229495E-3</v>
          </cell>
        </row>
        <row r="40">
          <cell r="BX40">
            <v>-8.2283936119799464E-2</v>
          </cell>
          <cell r="BZ40">
            <v>7.0778039801527061E-3</v>
          </cell>
          <cell r="CB40">
            <v>-4.3260678028717589E-3</v>
          </cell>
        </row>
        <row r="41">
          <cell r="BX41">
            <v>-8.2486291741961593E-2</v>
          </cell>
          <cell r="BZ41">
            <v>6.3676523780186968E-3</v>
          </cell>
          <cell r="CB41">
            <v>-4.2250733490901901E-3</v>
          </cell>
        </row>
        <row r="42">
          <cell r="BX42">
            <v>-8.2838481418303647E-2</v>
          </cell>
          <cell r="BZ42">
            <v>5.0679159689035738E-3</v>
          </cell>
          <cell r="CB42">
            <v>-4.2250435564065254E-3</v>
          </cell>
        </row>
        <row r="43">
          <cell r="BX43">
            <v>-8.3350404053613741E-2</v>
          </cell>
          <cell r="BZ43">
            <v>3.3044672053457714E-3</v>
          </cell>
          <cell r="CB43">
            <v>-4.2516224019664758E-3</v>
          </cell>
        </row>
        <row r="44">
          <cell r="BX44">
            <v>-8.2949390809447757E-2</v>
          </cell>
          <cell r="BZ44">
            <v>1.7728013310844787E-3</v>
          </cell>
          <cell r="CB44">
            <v>-4.2501365219492406E-3</v>
          </cell>
        </row>
        <row r="45">
          <cell r="BX45">
            <v>-8.2394454596443803E-2</v>
          </cell>
          <cell r="BZ45">
            <v>3.5050458000775018E-4</v>
          </cell>
          <cell r="CB45">
            <v>-4.2500646053820253E-3</v>
          </cell>
        </row>
        <row r="46">
          <cell r="BX46">
            <v>-8.1761283943534185E-2</v>
          </cell>
          <cell r="BZ46">
            <v>-1.1165570185838055E-3</v>
          </cell>
          <cell r="CB46">
            <v>-4.3364957754801134E-3</v>
          </cell>
        </row>
        <row r="47">
          <cell r="BX47">
            <v>-8.108914777417027E-2</v>
          </cell>
          <cell r="BZ47">
            <v>-2.4077460601049441E-3</v>
          </cell>
          <cell r="CB47">
            <v>-4.3684585848985319E-3</v>
          </cell>
        </row>
        <row r="48">
          <cell r="BX48">
            <v>-8.0432213273976913E-2</v>
          </cell>
          <cell r="BZ48">
            <v>-3.6814840483960806E-3</v>
          </cell>
          <cell r="CB48">
            <v>-4.3088198770508991E-3</v>
          </cell>
        </row>
        <row r="49">
          <cell r="BX49">
            <v>-7.9826578542023477E-2</v>
          </cell>
          <cell r="BZ49">
            <v>-4.8699506192923982E-3</v>
          </cell>
          <cell r="CB49">
            <v>-4.2730868343656917E-3</v>
          </cell>
        </row>
        <row r="50">
          <cell r="BX50">
            <v>-7.9179560798541701E-2</v>
          </cell>
          <cell r="BZ50">
            <v>-5.9817558173209202E-3</v>
          </cell>
          <cell r="CB50">
            <v>-4.2598726684166636E-3</v>
          </cell>
        </row>
        <row r="51">
          <cell r="BX51">
            <v>-7.8482267062213881E-2</v>
          </cell>
          <cell r="BZ51">
            <v>-6.4657325291331549E-3</v>
          </cell>
          <cell r="CB51">
            <v>-4.2491949407815876E-3</v>
          </cell>
        </row>
        <row r="52">
          <cell r="BX52">
            <v>-7.7717814076940908E-2</v>
          </cell>
          <cell r="BZ52">
            <v>-6.9265044531267323E-3</v>
          </cell>
          <cell r="CB52">
            <v>-4.246668889870556E-3</v>
          </cell>
        </row>
        <row r="53">
          <cell r="BX53">
            <v>-7.6890061095445786E-2</v>
          </cell>
          <cell r="BZ53">
            <v>-7.5410074835315878E-3</v>
          </cell>
          <cell r="CB53">
            <v>-4.2643053481910007E-3</v>
          </cell>
        </row>
        <row r="54">
          <cell r="BX54">
            <v>-7.5476266752890236E-2</v>
          </cell>
          <cell r="BZ54">
            <v>-8.576149103809317E-3</v>
          </cell>
          <cell r="CB54">
            <v>-4.3414888439250853E-3</v>
          </cell>
        </row>
        <row r="55">
          <cell r="BX55">
            <v>-7.3494185285469193E-2</v>
          </cell>
          <cell r="BZ55">
            <v>-9.9629528574546808E-3</v>
          </cell>
          <cell r="CB55">
            <v>-4.4002143005005189E-3</v>
          </cell>
        </row>
        <row r="56">
          <cell r="BX56">
            <v>-7.1619008905291007E-2</v>
          </cell>
          <cell r="BZ56">
            <v>-1.1187436116001828E-2</v>
          </cell>
          <cell r="CB56">
            <v>-4.406523128526697E-3</v>
          </cell>
        </row>
        <row r="57">
          <cell r="BX57">
            <v>-6.9832931088265493E-2</v>
          </cell>
          <cell r="BZ57">
            <v>-1.2226510855063917E-2</v>
          </cell>
          <cell r="CB57">
            <v>-4.424476782628175E-3</v>
          </cell>
        </row>
        <row r="58">
          <cell r="BX58">
            <v>-6.813181624079874E-2</v>
          </cell>
          <cell r="BZ58">
            <v>-1.2770411640831618E-2</v>
          </cell>
          <cell r="CB58">
            <v>-4.4224584007064721E-3</v>
          </cell>
        </row>
        <row r="59">
          <cell r="BX59">
            <v>-6.6501420106551953E-2</v>
          </cell>
          <cell r="BZ59">
            <v>-1.3108472693867586E-2</v>
          </cell>
          <cell r="CB59">
            <v>-4.4161122184417159E-3</v>
          </cell>
        </row>
        <row r="60">
          <cell r="BX60">
            <v>-6.4932100798424333E-2</v>
          </cell>
          <cell r="BZ60">
            <v>-1.3299914486625496E-2</v>
          </cell>
          <cell r="CB60">
            <v>-4.4190914868633691E-3</v>
          </cell>
        </row>
        <row r="61">
          <cell r="BX61">
            <v>-6.3403900026816618E-2</v>
          </cell>
          <cell r="BZ61">
            <v>-1.3487691221845973E-2</v>
          </cell>
          <cell r="CB61">
            <v>-4.4181389092225031E-3</v>
          </cell>
        </row>
        <row r="62">
          <cell r="BX62">
            <v>-6.1915714232710917E-2</v>
          </cell>
          <cell r="BZ62">
            <v>-1.3655350643783841E-2</v>
          </cell>
          <cell r="CB62">
            <v>-4.4248908622037553E-3</v>
          </cell>
        </row>
        <row r="63">
          <cell r="BX63">
            <v>-6.0465866079472394E-2</v>
          </cell>
          <cell r="BZ63">
            <v>-1.3918380043125341E-2</v>
          </cell>
          <cell r="CB63">
            <v>-4.4289709545113796E-3</v>
          </cell>
        </row>
        <row r="64">
          <cell r="BX64">
            <v>-5.9076036612184114E-2</v>
          </cell>
          <cell r="BZ64">
            <v>-1.4118161225487839E-2</v>
          </cell>
          <cell r="CB64">
            <v>-4.4275859065481087E-3</v>
          </cell>
        </row>
        <row r="65">
          <cell r="BX65">
            <v>-5.77511904400572E-2</v>
          </cell>
          <cell r="BZ65">
            <v>-1.4226428636128387E-2</v>
          </cell>
          <cell r="CB65">
            <v>-4.4256230021096432E-3</v>
          </cell>
        </row>
        <row r="66">
          <cell r="BX66">
            <v>-5.582642246281317E-2</v>
          </cell>
          <cell r="BZ66">
            <v>-1.431105334730041E-2</v>
          </cell>
          <cell r="CB66">
            <v>-4.426202484085838E-3</v>
          </cell>
        </row>
        <row r="67">
          <cell r="BX67">
            <v>-5.3184929162239415E-2</v>
          </cell>
          <cell r="BZ67">
            <v>-1.4380854609726513E-2</v>
          </cell>
          <cell r="CB67">
            <v>-4.4300089347357159E-3</v>
          </cell>
        </row>
        <row r="68">
          <cell r="BX68">
            <v>-5.1214811865568227E-2</v>
          </cell>
          <cell r="BZ68">
            <v>-1.4431784114519064E-2</v>
          </cell>
          <cell r="CB68">
            <v>-4.4342694749645853E-3</v>
          </cell>
        </row>
        <row r="69">
          <cell r="BX69">
            <v>-5.0058253181199636E-2</v>
          </cell>
          <cell r="BZ69">
            <v>-1.446377855316797E-2</v>
          </cell>
          <cell r="CB69">
            <v>-4.4407054885920736E-3</v>
          </cell>
        </row>
        <row r="70">
          <cell r="BX70">
            <v>-5.035221915978947E-2</v>
          </cell>
          <cell r="BZ70">
            <v>-1.4492791586399241E-2</v>
          </cell>
          <cell r="CB70">
            <v>-4.4470697167728265E-3</v>
          </cell>
        </row>
        <row r="71">
          <cell r="BX71">
            <v>-5.0843238589676321E-2</v>
          </cell>
          <cell r="BZ71">
            <v>-1.4041713365006659E-2</v>
          </cell>
          <cell r="CB71">
            <v>-4.4543022702544051E-3</v>
          </cell>
        </row>
        <row r="72">
          <cell r="BX72">
            <v>-5.1354604929297741E-2</v>
          </cell>
          <cell r="BZ72">
            <v>-1.1235094084471995E-2</v>
          </cell>
          <cell r="CB72">
            <v>-4.4602599911749957E-3</v>
          </cell>
        </row>
        <row r="73">
          <cell r="BX73">
            <v>-5.1873770165036151E-2</v>
          </cell>
          <cell r="BZ73">
            <v>-8.6810674712585797E-3</v>
          </cell>
          <cell r="CB73">
            <v>-4.4314091753694029E-3</v>
          </cell>
        </row>
        <row r="74">
          <cell r="BX74">
            <v>-5.2434345062117138E-2</v>
          </cell>
          <cell r="BZ74">
            <v>-8.0553240625464619E-3</v>
          </cell>
          <cell r="CB74">
            <v>-4.4029853402526237E-3</v>
          </cell>
        </row>
        <row r="75">
          <cell r="BX75">
            <v>-5.2964877617487575E-2</v>
          </cell>
          <cell r="BZ75">
            <v>-7.9722245401291168E-3</v>
          </cell>
          <cell r="CB75">
            <v>-4.3780016521546804E-3</v>
          </cell>
        </row>
        <row r="76">
          <cell r="BX76">
            <v>-5.3451609553409295E-2</v>
          </cell>
          <cell r="BZ76">
            <v>-8.2760842062242455E-3</v>
          </cell>
          <cell r="CB76">
            <v>-4.3542980000071882E-3</v>
          </cell>
        </row>
        <row r="77">
          <cell r="BX77">
            <v>-5.3893732663062535E-2</v>
          </cell>
          <cell r="BZ77">
            <v>-8.7024353523734374E-3</v>
          </cell>
          <cell r="CB77">
            <v>-4.3318910416165922E-3</v>
          </cell>
        </row>
        <row r="78">
          <cell r="BX78">
            <v>-5.429446826588568E-2</v>
          </cell>
          <cell r="BZ78">
            <v>-9.1049712302247385E-3</v>
          </cell>
          <cell r="CB78">
            <v>-4.3242785303356747E-3</v>
          </cell>
        </row>
        <row r="79">
          <cell r="BX79">
            <v>-5.4651243847803108E-2</v>
          </cell>
          <cell r="BZ79">
            <v>-9.5855473980775499E-3</v>
          </cell>
          <cell r="CB79">
            <v>-4.3183124151306785E-3</v>
          </cell>
        </row>
        <row r="80">
          <cell r="BX80">
            <v>-5.4535415723116584E-2</v>
          </cell>
          <cell r="BZ80">
            <v>-1.0015757661054867E-2</v>
          </cell>
          <cell r="CB80">
            <v>-4.3129323577317958E-3</v>
          </cell>
        </row>
        <row r="81">
          <cell r="BX81">
            <v>-5.440254431731182E-2</v>
          </cell>
          <cell r="BZ81">
            <v>-1.0329251678501723E-2</v>
          </cell>
          <cell r="CB81">
            <v>-4.307867940947686E-3</v>
          </cell>
        </row>
        <row r="82">
          <cell r="BX82">
            <v>-5.4256629216905529E-2</v>
          </cell>
          <cell r="BZ82">
            <v>-1.0544545293739863E-2</v>
          </cell>
          <cell r="CB82">
            <v>-4.2967897179630333E-3</v>
          </cell>
        </row>
        <row r="83">
          <cell r="BX83">
            <v>-5.4096752129215421E-2</v>
          </cell>
          <cell r="BZ83">
            <v>-1.0757325982218322E-2</v>
          </cell>
          <cell r="CB83">
            <v>-4.2868166164851031E-3</v>
          </cell>
        </row>
        <row r="84">
          <cell r="BX84">
            <v>-5.3926253197624716E-2</v>
          </cell>
          <cell r="BZ84">
            <v>-1.1096440556014903E-2</v>
          </cell>
          <cell r="CB84">
            <v>-4.2084805400757087E-3</v>
          </cell>
        </row>
        <row r="85">
          <cell r="BX85">
            <v>-5.374533470670452E-2</v>
          </cell>
          <cell r="BZ85">
            <v>-1.1473493741254394E-2</v>
          </cell>
          <cell r="CB85">
            <v>-3.8644138098816094E-3</v>
          </cell>
        </row>
        <row r="86">
          <cell r="BX86">
            <v>-5.3555979196782275E-2</v>
          </cell>
          <cell r="BZ86">
            <v>-1.1623673923262759E-2</v>
          </cell>
          <cell r="CB86">
            <v>-3.5026580968439535E-3</v>
          </cell>
        </row>
        <row r="87">
          <cell r="BX87">
            <v>-5.3359124784119916E-2</v>
          </cell>
          <cell r="BZ87">
            <v>-1.1729352451581791E-2</v>
          </cell>
          <cell r="CB87">
            <v>-3.4242499445095533E-3</v>
          </cell>
        </row>
        <row r="88">
          <cell r="BX88">
            <v>-5.3152862875316224E-2</v>
          </cell>
          <cell r="BZ88">
            <v>-1.1847905426124749E-2</v>
          </cell>
          <cell r="CB88">
            <v>-3.4145916039068341E-3</v>
          </cell>
        </row>
        <row r="89">
          <cell r="BX89">
            <v>-5.3162678251239666E-2</v>
          </cell>
          <cell r="BZ89">
            <v>-1.196378778605052E-2</v>
          </cell>
          <cell r="CB89">
            <v>-3.4332209688915732E-3</v>
          </cell>
        </row>
        <row r="90">
          <cell r="BX90">
            <v>-5.3366775428910815E-2</v>
          </cell>
          <cell r="BZ90">
            <v>-1.2024276941557235E-2</v>
          </cell>
          <cell r="CB90">
            <v>-3.4481048995169514E-3</v>
          </cell>
        </row>
        <row r="91">
          <cell r="BX91">
            <v>-5.3745909057300506E-2</v>
          </cell>
          <cell r="BZ91">
            <v>-1.2051301959615904E-2</v>
          </cell>
          <cell r="CB91">
            <v>-3.462577063781086E-3</v>
          </cell>
        </row>
        <row r="92">
          <cell r="BX92">
            <v>-5.4282955587663474E-2</v>
          </cell>
          <cell r="BZ92">
            <v>-1.2064790993277372E-2</v>
          </cell>
          <cell r="CB92">
            <v>-3.4804197054504101E-3</v>
          </cell>
        </row>
        <row r="93">
          <cell r="BX93">
            <v>-5.4952856837259832E-2</v>
          </cell>
          <cell r="BZ93">
            <v>-1.2065957158115948E-2</v>
          </cell>
          <cell r="CB93">
            <v>-3.6423831878721995E-3</v>
          </cell>
        </row>
        <row r="94">
          <cell r="BX94">
            <v>-5.5739203059276238E-2</v>
          </cell>
          <cell r="BZ94">
            <v>-1.2054466975925915E-2</v>
          </cell>
          <cell r="CB94">
            <v>-3.8801174562844657E-3</v>
          </cell>
        </row>
        <row r="95">
          <cell r="BX95">
            <v>-5.663889345536452E-2</v>
          </cell>
          <cell r="BZ95">
            <v>-1.3898673621048012E-2</v>
          </cell>
          <cell r="CB95">
            <v>-4.6584535603310384E-3</v>
          </cell>
        </row>
        <row r="96">
          <cell r="BX96">
            <v>-5.7643261575143982E-2</v>
          </cell>
          <cell r="BZ96">
            <v>-1.8656290422977371E-2</v>
          </cell>
          <cell r="CB96">
            <v>-5.2480695593534908E-3</v>
          </cell>
        </row>
        <row r="97">
          <cell r="BX97">
            <v>-5.8799445776573395E-2</v>
          </cell>
          <cell r="BZ97">
            <v>-1.932073408930135E-2</v>
          </cell>
          <cell r="CB97">
            <v>-4.631468650633002E-3</v>
          </cell>
        </row>
        <row r="98">
          <cell r="BX98">
            <v>-6.0107060314003889E-2</v>
          </cell>
          <cell r="BZ98">
            <v>-1.9897794290407601E-2</v>
          </cell>
          <cell r="CB98">
            <v>-4.2046051017994596E-3</v>
          </cell>
        </row>
        <row r="99">
          <cell r="BX99">
            <v>-6.1565647349203861E-2</v>
          </cell>
          <cell r="BZ99">
            <v>-2.0530867930688455E-2</v>
          </cell>
          <cell r="CB99">
            <v>-3.9091156530313672E-3</v>
          </cell>
        </row>
        <row r="100">
          <cell r="BX100">
            <v>-6.3175973521094816E-2</v>
          </cell>
          <cell r="BZ100">
            <v>-2.1209757058332012E-2</v>
          </cell>
          <cell r="CB100">
            <v>-3.7017148004034875E-3</v>
          </cell>
        </row>
        <row r="101">
          <cell r="BX101">
            <v>-6.4939894650934513E-2</v>
          </cell>
          <cell r="BZ101">
            <v>-2.1931333995730991E-2</v>
          </cell>
          <cell r="CB101">
            <v>-3.5526304321263787E-3</v>
          </cell>
        </row>
        <row r="102">
          <cell r="BX102">
            <v>-6.686025360256391E-2</v>
          </cell>
          <cell r="BZ102">
            <v>-2.2709616521578019E-2</v>
          </cell>
          <cell r="CB102">
            <v>-3.4462160075000455E-3</v>
          </cell>
        </row>
        <row r="103">
          <cell r="BX103">
            <v>-6.8940804052974911E-2</v>
          </cell>
          <cell r="BZ103">
            <v>-2.3535660853131732E-2</v>
          </cell>
          <cell r="CB103">
            <v>-3.3775157416503949E-3</v>
          </cell>
        </row>
        <row r="104">
          <cell r="BX104">
            <v>-7.1186154800165866E-2</v>
          </cell>
          <cell r="BZ104">
            <v>-2.441563557829142E-2</v>
          </cell>
          <cell r="CB104">
            <v>-3.3338682975483053E-3</v>
          </cell>
        </row>
      </sheetData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</sheetNames>
    <sheetDataSet>
      <sheetData sheetId="0" refreshError="1"/>
      <sheetData sheetId="1" refreshError="1"/>
      <sheetData sheetId="2" refreshError="1"/>
      <sheetData sheetId="3">
        <row r="5">
          <cell r="C5">
            <v>1</v>
          </cell>
        </row>
      </sheetData>
      <sheetData sheetId="4" refreshError="1"/>
      <sheetData sheetId="5">
        <row r="4">
          <cell r="AL4">
            <v>0.2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武将羁绊"/>
      <sheetName val="武将进阶"/>
      <sheetName val="武将觉醒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祈愿验证"/>
      <sheetName val="武将战力价值情况"/>
      <sheetName val="各r阵容卡情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4">
          <cell r="CW4">
            <v>0.12112499999999998</v>
          </cell>
          <cell r="CY4">
            <v>0.12112499999999998</v>
          </cell>
          <cell r="DA4">
            <v>0.12112499999999998</v>
          </cell>
        </row>
        <row r="5">
          <cell r="CW5">
            <v>0.24224999999999997</v>
          </cell>
          <cell r="CY5">
            <v>0.24224999999999997</v>
          </cell>
          <cell r="DA5">
            <v>0.24224999999999997</v>
          </cell>
        </row>
        <row r="6">
          <cell r="CW6">
            <v>0.363375</v>
          </cell>
          <cell r="CY6">
            <v>0.363375</v>
          </cell>
          <cell r="DA6">
            <v>0.363375</v>
          </cell>
        </row>
        <row r="7">
          <cell r="CW7">
            <v>0.48449999999999999</v>
          </cell>
          <cell r="CY7">
            <v>0.48449999999999999</v>
          </cell>
          <cell r="DA7">
            <v>0.48449999999999999</v>
          </cell>
        </row>
        <row r="8">
          <cell r="CW8">
            <v>0.60562499999999997</v>
          </cell>
          <cell r="CY8">
            <v>0.60562499999999997</v>
          </cell>
          <cell r="DA8">
            <v>0.60562499999999997</v>
          </cell>
        </row>
        <row r="9">
          <cell r="CW9">
            <v>0.60562499999999997</v>
          </cell>
          <cell r="CY9">
            <v>0.60562499999999997</v>
          </cell>
          <cell r="DA9">
            <v>0.60562499999999997</v>
          </cell>
        </row>
        <row r="10">
          <cell r="CW10">
            <v>0.60562499999999997</v>
          </cell>
          <cell r="CY10">
            <v>0.60562499999999997</v>
          </cell>
          <cell r="DA10">
            <v>0.60562499999999997</v>
          </cell>
        </row>
        <row r="11">
          <cell r="CW11">
            <v>0.60562499999999997</v>
          </cell>
          <cell r="CY11">
            <v>0.60562499999999997</v>
          </cell>
          <cell r="DA11">
            <v>0.60562499999999997</v>
          </cell>
        </row>
        <row r="12">
          <cell r="CW12">
            <v>0.60562499999999997</v>
          </cell>
          <cell r="CY12">
            <v>0.60562499999999997</v>
          </cell>
          <cell r="DA12">
            <v>0.60562499999999997</v>
          </cell>
        </row>
        <row r="13">
          <cell r="CW13">
            <v>0.60562499999999997</v>
          </cell>
          <cell r="CY13">
            <v>0.60562499999999997</v>
          </cell>
          <cell r="DA13">
            <v>0.60562499999999997</v>
          </cell>
        </row>
        <row r="14">
          <cell r="CW14">
            <v>0.60040949999999993</v>
          </cell>
          <cell r="CY14">
            <v>0.60040949999999993</v>
          </cell>
          <cell r="DA14">
            <v>0.60040949999999993</v>
          </cell>
        </row>
        <row r="15">
          <cell r="CW15">
            <v>0.595194</v>
          </cell>
          <cell r="CY15">
            <v>0.595194</v>
          </cell>
          <cell r="DA15">
            <v>0.595194</v>
          </cell>
        </row>
        <row r="16">
          <cell r="CW16">
            <v>0.58997849999999996</v>
          </cell>
          <cell r="CY16">
            <v>0.58997849999999996</v>
          </cell>
          <cell r="DA16">
            <v>0.58997849999999996</v>
          </cell>
        </row>
        <row r="17">
          <cell r="CW17">
            <v>0.58476300000000003</v>
          </cell>
          <cell r="CY17">
            <v>0.58476300000000003</v>
          </cell>
          <cell r="DA17">
            <v>0.58476300000000003</v>
          </cell>
        </row>
        <row r="18">
          <cell r="CW18">
            <v>0.57954749999999999</v>
          </cell>
          <cell r="CY18">
            <v>0.57954749999999999</v>
          </cell>
          <cell r="DA18">
            <v>0.57954749999999999</v>
          </cell>
        </row>
        <row r="19">
          <cell r="CW19">
            <v>0.57449216999999997</v>
          </cell>
          <cell r="CY19">
            <v>0.57449216999999997</v>
          </cell>
          <cell r="DA19">
            <v>0.57449216999999997</v>
          </cell>
        </row>
        <row r="20">
          <cell r="CW20">
            <v>0.56943684000000006</v>
          </cell>
          <cell r="CY20">
            <v>0.56943684000000006</v>
          </cell>
          <cell r="DA20">
            <v>0.56943684000000006</v>
          </cell>
        </row>
        <row r="21">
          <cell r="CW21">
            <v>0.56438151000000003</v>
          </cell>
          <cell r="CY21">
            <v>0.56438151000000003</v>
          </cell>
          <cell r="DA21">
            <v>0.56438151000000003</v>
          </cell>
        </row>
        <row r="22">
          <cell r="CW22">
            <v>0.55932618000000012</v>
          </cell>
          <cell r="CY22">
            <v>0.55932618000000012</v>
          </cell>
          <cell r="DA22">
            <v>0.55932618000000012</v>
          </cell>
        </row>
        <row r="23">
          <cell r="CW23">
            <v>0.55427085000000009</v>
          </cell>
          <cell r="CY23">
            <v>0.55427085000000009</v>
          </cell>
          <cell r="DA23">
            <v>0.55427085000000009</v>
          </cell>
        </row>
        <row r="24">
          <cell r="CW24">
            <v>0.54937136940000009</v>
          </cell>
          <cell r="CY24">
            <v>0.54937136940000009</v>
          </cell>
          <cell r="DA24">
            <v>0.54937136940000009</v>
          </cell>
        </row>
        <row r="25">
          <cell r="CW25">
            <v>0.54447188880000008</v>
          </cell>
          <cell r="CY25">
            <v>0.54447188880000008</v>
          </cell>
          <cell r="DA25">
            <v>0.54447188880000008</v>
          </cell>
        </row>
        <row r="26">
          <cell r="CW26">
            <v>0.53957240820000019</v>
          </cell>
          <cell r="CY26">
            <v>0.53957240820000019</v>
          </cell>
          <cell r="DA26">
            <v>0.53957240820000019</v>
          </cell>
        </row>
        <row r="27">
          <cell r="CW27">
            <v>0.53467292760000018</v>
          </cell>
          <cell r="CY27">
            <v>0.53467292760000018</v>
          </cell>
          <cell r="DA27">
            <v>0.53467292760000018</v>
          </cell>
        </row>
        <row r="28">
          <cell r="CW28">
            <v>0.52977344700000017</v>
          </cell>
          <cell r="CY28">
            <v>0.52977344700000017</v>
          </cell>
          <cell r="DA28">
            <v>0.52977344700000017</v>
          </cell>
        </row>
        <row r="29">
          <cell r="CW29">
            <v>0.52502560395600018</v>
          </cell>
          <cell r="CY29">
            <v>0.52502560395600018</v>
          </cell>
          <cell r="DA29">
            <v>0.52502560395600018</v>
          </cell>
        </row>
        <row r="30">
          <cell r="CW30">
            <v>0.52027776091200018</v>
          </cell>
          <cell r="CY30">
            <v>0.52027776091200018</v>
          </cell>
          <cell r="DA30">
            <v>0.52027776091200018</v>
          </cell>
        </row>
        <row r="31">
          <cell r="CW31">
            <v>0.51552991786800006</v>
          </cell>
          <cell r="CY31">
            <v>0.51552991786800006</v>
          </cell>
          <cell r="DA31">
            <v>0.51552991786800006</v>
          </cell>
        </row>
        <row r="32">
          <cell r="CW32">
            <v>0.51078207482400007</v>
          </cell>
          <cell r="CY32">
            <v>0.51078207482400007</v>
          </cell>
          <cell r="DA32">
            <v>0.51078207482400007</v>
          </cell>
        </row>
        <row r="33">
          <cell r="CW33">
            <v>0.50603423178000007</v>
          </cell>
          <cell r="CY33">
            <v>0.50603423178000007</v>
          </cell>
          <cell r="DA33">
            <v>0.50603423178000007</v>
          </cell>
        </row>
        <row r="34">
          <cell r="CW34">
            <v>0.50143392058200009</v>
          </cell>
          <cell r="CY34">
            <v>0.50143392058200009</v>
          </cell>
          <cell r="DA34">
            <v>0.50143392058200009</v>
          </cell>
        </row>
        <row r="35">
          <cell r="CW35">
            <v>0.49683360938400006</v>
          </cell>
          <cell r="CY35">
            <v>0.49683360938400006</v>
          </cell>
          <cell r="DA35">
            <v>0.49683360938400006</v>
          </cell>
        </row>
        <row r="36">
          <cell r="CW36">
            <v>0.49223329818600003</v>
          </cell>
          <cell r="CY36">
            <v>0.49223329818600003</v>
          </cell>
          <cell r="DA36">
            <v>0.49223329818600003</v>
          </cell>
        </row>
        <row r="37">
          <cell r="CW37">
            <v>0.48763298698800006</v>
          </cell>
          <cell r="CY37">
            <v>0.48763298698800006</v>
          </cell>
          <cell r="DA37">
            <v>0.48763298698800006</v>
          </cell>
        </row>
        <row r="38">
          <cell r="CW38">
            <v>0.48303267579000003</v>
          </cell>
          <cell r="CY38">
            <v>0.48303267579000003</v>
          </cell>
          <cell r="DA38">
            <v>0.48303267579000003</v>
          </cell>
        </row>
        <row r="39">
          <cell r="CW39">
            <v>0.47857589430137765</v>
          </cell>
          <cell r="CY39">
            <v>0.47857589430137765</v>
          </cell>
          <cell r="DA39">
            <v>0.47857589430137765</v>
          </cell>
        </row>
        <row r="40">
          <cell r="CW40">
            <v>0.47411911281275521</v>
          </cell>
          <cell r="CY40">
            <v>0.47411911281275521</v>
          </cell>
          <cell r="DA40">
            <v>0.47411911281275521</v>
          </cell>
        </row>
        <row r="41">
          <cell r="CW41">
            <v>0.46966233132413282</v>
          </cell>
          <cell r="CY41">
            <v>0.46966233132413282</v>
          </cell>
          <cell r="DA41">
            <v>0.46966233132413282</v>
          </cell>
        </row>
        <row r="42">
          <cell r="CW42">
            <v>0.46520554983551038</v>
          </cell>
          <cell r="CY42">
            <v>0.46520554983551038</v>
          </cell>
          <cell r="DA42">
            <v>0.46520554983551038</v>
          </cell>
        </row>
        <row r="43">
          <cell r="CW43">
            <v>0.46074876834688799</v>
          </cell>
          <cell r="CY43">
            <v>0.46074876834688799</v>
          </cell>
          <cell r="DA43">
            <v>0.46074876834688799</v>
          </cell>
        </row>
        <row r="44">
          <cell r="CW44">
            <v>0.45643161550374728</v>
          </cell>
          <cell r="CY44">
            <v>0.45643161550374728</v>
          </cell>
          <cell r="DA44">
            <v>0.45643161550374728</v>
          </cell>
        </row>
        <row r="45">
          <cell r="CW45">
            <v>0.45211446266060656</v>
          </cell>
          <cell r="CY45">
            <v>0.45211446266060656</v>
          </cell>
          <cell r="DA45">
            <v>0.45211446266060656</v>
          </cell>
        </row>
        <row r="46">
          <cell r="CW46">
            <v>0.44779730981746585</v>
          </cell>
          <cell r="CY46">
            <v>0.44779730981746585</v>
          </cell>
          <cell r="DA46">
            <v>0.44779730981746585</v>
          </cell>
        </row>
        <row r="47">
          <cell r="CW47">
            <v>0.44348015697432513</v>
          </cell>
          <cell r="CY47">
            <v>0.44348015697432513</v>
          </cell>
          <cell r="DA47">
            <v>0.44348015697432513</v>
          </cell>
        </row>
        <row r="48">
          <cell r="CW48">
            <v>0.43916300413118442</v>
          </cell>
          <cell r="CY48">
            <v>0.43916300413118442</v>
          </cell>
          <cell r="DA48">
            <v>0.43916300413118442</v>
          </cell>
        </row>
        <row r="49">
          <cell r="CW49">
            <v>0.43498167750030159</v>
          </cell>
          <cell r="CY49">
            <v>0.43498167750030159</v>
          </cell>
          <cell r="DA49">
            <v>0.43498167750030159</v>
          </cell>
        </row>
        <row r="50">
          <cell r="CW50">
            <v>0.43080035086941881</v>
          </cell>
          <cell r="CY50">
            <v>0.43080035086941881</v>
          </cell>
          <cell r="DA50">
            <v>0.43080035086941881</v>
          </cell>
        </row>
        <row r="51">
          <cell r="CW51">
            <v>0.42661902423853598</v>
          </cell>
          <cell r="CY51">
            <v>0.42661902423853598</v>
          </cell>
          <cell r="DA51">
            <v>0.42661902423853598</v>
          </cell>
        </row>
        <row r="52">
          <cell r="CW52">
            <v>0.42243769760765321</v>
          </cell>
          <cell r="CY52">
            <v>0.42243769760765321</v>
          </cell>
          <cell r="DA52">
            <v>0.42243769760765321</v>
          </cell>
        </row>
        <row r="53">
          <cell r="CW53">
            <v>0.41825637097677038</v>
          </cell>
          <cell r="CY53">
            <v>0.41825637097677038</v>
          </cell>
          <cell r="DA53">
            <v>0.41825637097677038</v>
          </cell>
        </row>
        <row r="54">
          <cell r="CW54">
            <v>0.41420716437079241</v>
          </cell>
          <cell r="CY54">
            <v>0.41420716437079241</v>
          </cell>
          <cell r="DA54">
            <v>0.41420716437079241</v>
          </cell>
        </row>
        <row r="55">
          <cell r="CW55">
            <v>0.4101579577648144</v>
          </cell>
          <cell r="CY55">
            <v>0.4101579577648144</v>
          </cell>
          <cell r="DA55">
            <v>0.4101579577648144</v>
          </cell>
        </row>
        <row r="56">
          <cell r="CW56">
            <v>0.40610875115883643</v>
          </cell>
          <cell r="CY56">
            <v>0.40610875115883643</v>
          </cell>
          <cell r="DA56">
            <v>0.40610875115883643</v>
          </cell>
        </row>
        <row r="57">
          <cell r="CW57">
            <v>0.40205954455285842</v>
          </cell>
          <cell r="CY57">
            <v>0.40205954455285842</v>
          </cell>
          <cell r="DA57">
            <v>0.40205954455285842</v>
          </cell>
        </row>
        <row r="58">
          <cell r="CW58">
            <v>0.39801033794688045</v>
          </cell>
          <cell r="CY58">
            <v>0.39801033794688045</v>
          </cell>
          <cell r="DA58">
            <v>0.39801033794688045</v>
          </cell>
        </row>
        <row r="59">
          <cell r="CW59">
            <v>0.39408963909546341</v>
          </cell>
          <cell r="CY59">
            <v>0.39408963909546341</v>
          </cell>
          <cell r="DA59">
            <v>0.39408963909546341</v>
          </cell>
        </row>
        <row r="60">
          <cell r="CW60">
            <v>0.39016894024404636</v>
          </cell>
          <cell r="CY60">
            <v>0.39016894024404636</v>
          </cell>
          <cell r="DA60">
            <v>0.39016894024404636</v>
          </cell>
        </row>
        <row r="61">
          <cell r="CW61">
            <v>0.38624824139262931</v>
          </cell>
          <cell r="CY61">
            <v>0.38624824139262931</v>
          </cell>
          <cell r="DA61">
            <v>0.38624824139262931</v>
          </cell>
        </row>
        <row r="62">
          <cell r="CW62">
            <v>0.38232754254121226</v>
          </cell>
          <cell r="CY62">
            <v>0.38232754254121226</v>
          </cell>
          <cell r="DA62">
            <v>0.38232754254121226</v>
          </cell>
        </row>
        <row r="63">
          <cell r="CW63">
            <v>0.37840684368979521</v>
          </cell>
          <cell r="CY63">
            <v>0.37840684368979521</v>
          </cell>
          <cell r="DA63">
            <v>0.37840684368979521</v>
          </cell>
        </row>
        <row r="64">
          <cell r="CW64">
            <v>0.37461113196539908</v>
          </cell>
          <cell r="CY64">
            <v>0.37461113196539908</v>
          </cell>
          <cell r="DA64">
            <v>0.37461113196539908</v>
          </cell>
        </row>
        <row r="65">
          <cell r="CW65">
            <v>0.370815420241003</v>
          </cell>
          <cell r="CY65">
            <v>0.370815420241003</v>
          </cell>
          <cell r="DA65">
            <v>0.370815420241003</v>
          </cell>
        </row>
        <row r="66">
          <cell r="CW66">
            <v>0.36701970851660687</v>
          </cell>
          <cell r="CY66">
            <v>0.36701970851660687</v>
          </cell>
          <cell r="DA66">
            <v>0.36701970851660687</v>
          </cell>
        </row>
        <row r="67">
          <cell r="CW67">
            <v>0.36322399679221079</v>
          </cell>
          <cell r="CY67">
            <v>0.36322399679221079</v>
          </cell>
          <cell r="DA67">
            <v>0.36322399679221079</v>
          </cell>
        </row>
        <row r="68">
          <cell r="CW68">
            <v>0.35942828506781466</v>
          </cell>
          <cell r="CY68">
            <v>0.35942828506781466</v>
          </cell>
          <cell r="DA68">
            <v>0.35942828506781466</v>
          </cell>
        </row>
        <row r="69">
          <cell r="CW69">
            <v>0.35575412926489924</v>
          </cell>
          <cell r="CY69">
            <v>0.35575412926489924</v>
          </cell>
          <cell r="DA69">
            <v>0.35575412926489924</v>
          </cell>
        </row>
        <row r="70">
          <cell r="CW70">
            <v>0.35207997346198378</v>
          </cell>
          <cell r="CY70">
            <v>0.35207997346198378</v>
          </cell>
          <cell r="DA70">
            <v>0.35207997346198378</v>
          </cell>
        </row>
        <row r="71">
          <cell r="CW71">
            <v>0.34840581765906836</v>
          </cell>
          <cell r="CY71">
            <v>0.34840581765906836</v>
          </cell>
          <cell r="DA71">
            <v>0.34840581765906836</v>
          </cell>
        </row>
        <row r="72">
          <cell r="CW72">
            <v>0.34473166185615289</v>
          </cell>
          <cell r="CY72">
            <v>0.34473166185615289</v>
          </cell>
          <cell r="DA72">
            <v>0.34473166185615289</v>
          </cell>
        </row>
        <row r="73">
          <cell r="CW73">
            <v>0.34105750605323748</v>
          </cell>
          <cell r="CY73">
            <v>0.34105750605323748</v>
          </cell>
          <cell r="DA73">
            <v>0.34105750605323748</v>
          </cell>
        </row>
        <row r="74">
          <cell r="CW74">
            <v>0.33750156221963323</v>
          </cell>
          <cell r="CY74">
            <v>0.33750156221963323</v>
          </cell>
          <cell r="DA74">
            <v>0.33750156221963323</v>
          </cell>
        </row>
        <row r="75">
          <cell r="CW75">
            <v>0.33394561838602899</v>
          </cell>
          <cell r="CY75">
            <v>0.33394561838602899</v>
          </cell>
          <cell r="DA75">
            <v>0.33394561838602899</v>
          </cell>
        </row>
        <row r="76">
          <cell r="CW76">
            <v>0.33038967455242479</v>
          </cell>
          <cell r="CY76">
            <v>0.33038967455242479</v>
          </cell>
          <cell r="DA76">
            <v>0.33038967455242479</v>
          </cell>
        </row>
        <row r="77">
          <cell r="CW77">
            <v>0.32683373071882055</v>
          </cell>
          <cell r="CY77">
            <v>0.32683373071882055</v>
          </cell>
          <cell r="DA77">
            <v>0.32683373071882055</v>
          </cell>
        </row>
        <row r="78">
          <cell r="CW78">
            <v>0.3232777868852163</v>
          </cell>
          <cell r="CY78">
            <v>0.3232777868852163</v>
          </cell>
          <cell r="DA78">
            <v>0.3232777868852163</v>
          </cell>
        </row>
        <row r="79">
          <cell r="CW79">
            <v>0.31983679620447197</v>
          </cell>
          <cell r="CY79">
            <v>0.31983679620447197</v>
          </cell>
          <cell r="DA79">
            <v>0.31983679620447197</v>
          </cell>
        </row>
        <row r="80">
          <cell r="CW80">
            <v>0.31639580552372765</v>
          </cell>
          <cell r="CY80">
            <v>0.31639580552372765</v>
          </cell>
          <cell r="DA80">
            <v>0.31639580552372765</v>
          </cell>
        </row>
        <row r="81">
          <cell r="CW81">
            <v>0.31295481484298326</v>
          </cell>
          <cell r="CY81">
            <v>0.31295481484298326</v>
          </cell>
          <cell r="DA81">
            <v>0.31295481484298326</v>
          </cell>
        </row>
        <row r="82">
          <cell r="CW82">
            <v>0.30951382416223894</v>
          </cell>
          <cell r="CY82">
            <v>0.30951382416223894</v>
          </cell>
          <cell r="DA82">
            <v>0.30951382416223894</v>
          </cell>
        </row>
        <row r="83">
          <cell r="CW83">
            <v>0.30607283348149461</v>
          </cell>
          <cell r="CY83">
            <v>0.30607283348149461</v>
          </cell>
          <cell r="DA83">
            <v>0.30607283348149461</v>
          </cell>
        </row>
        <row r="84">
          <cell r="CW84">
            <v>0.30274362020502926</v>
          </cell>
          <cell r="CY84">
            <v>0.30274362020502926</v>
          </cell>
          <cell r="DA84">
            <v>0.30274362020502926</v>
          </cell>
        </row>
        <row r="85">
          <cell r="CW85">
            <v>0.29941440692856386</v>
          </cell>
          <cell r="CY85">
            <v>0.29941440692856386</v>
          </cell>
          <cell r="DA85">
            <v>0.29941440692856386</v>
          </cell>
        </row>
        <row r="86">
          <cell r="CW86">
            <v>0.29608519365209851</v>
          </cell>
          <cell r="CY86">
            <v>0.29608519365209851</v>
          </cell>
          <cell r="DA86">
            <v>0.29608519365209851</v>
          </cell>
        </row>
        <row r="87">
          <cell r="CW87">
            <v>0.29275598037563311</v>
          </cell>
          <cell r="CY87">
            <v>0.29275598037563311</v>
          </cell>
          <cell r="DA87">
            <v>0.29275598037563311</v>
          </cell>
        </row>
        <row r="88">
          <cell r="CW88">
            <v>0.28942676709916776</v>
          </cell>
          <cell r="CY88">
            <v>0.28942676709916776</v>
          </cell>
          <cell r="DA88">
            <v>0.28942676709916776</v>
          </cell>
        </row>
        <row r="89">
          <cell r="CW89">
            <v>0.28620623652708249</v>
          </cell>
          <cell r="CY89">
            <v>0.28620623652708249</v>
          </cell>
          <cell r="DA89">
            <v>0.28620623652708249</v>
          </cell>
        </row>
        <row r="90">
          <cell r="CW90">
            <v>0.28298570595499722</v>
          </cell>
          <cell r="CY90">
            <v>0.28298570595499722</v>
          </cell>
          <cell r="DA90">
            <v>0.28298570595499722</v>
          </cell>
        </row>
        <row r="91">
          <cell r="CW91">
            <v>0.2797651753829119</v>
          </cell>
          <cell r="CY91">
            <v>0.2797651753829119</v>
          </cell>
          <cell r="DA91">
            <v>0.2797651753829119</v>
          </cell>
        </row>
        <row r="92">
          <cell r="CW92">
            <v>0.27654464481082663</v>
          </cell>
          <cell r="CY92">
            <v>0.27654464481082663</v>
          </cell>
          <cell r="DA92">
            <v>0.27654464481082663</v>
          </cell>
        </row>
        <row r="93">
          <cell r="CW93">
            <v>0.27332411423874137</v>
          </cell>
          <cell r="CY93">
            <v>0.27332411423874137</v>
          </cell>
          <cell r="DA93">
            <v>0.27332411423874137</v>
          </cell>
        </row>
        <row r="94">
          <cell r="CW94">
            <v>0.27020925074817154</v>
          </cell>
          <cell r="CY94">
            <v>0.27020925074817154</v>
          </cell>
          <cell r="DA94">
            <v>0.27020925074817154</v>
          </cell>
        </row>
        <row r="95">
          <cell r="CW95">
            <v>0.26709438725760171</v>
          </cell>
          <cell r="CY95">
            <v>0.26709438725760171</v>
          </cell>
          <cell r="DA95">
            <v>0.26709438725760171</v>
          </cell>
        </row>
        <row r="96">
          <cell r="CW96">
            <v>0.26397952376703193</v>
          </cell>
          <cell r="CY96">
            <v>0.26397952376703193</v>
          </cell>
          <cell r="DA96">
            <v>0.26397952376703193</v>
          </cell>
        </row>
        <row r="97">
          <cell r="CW97">
            <v>0.2608646602764621</v>
          </cell>
          <cell r="CY97">
            <v>0.2608646602764621</v>
          </cell>
          <cell r="DA97">
            <v>0.2608646602764621</v>
          </cell>
        </row>
        <row r="98">
          <cell r="CW98">
            <v>0.25774979678589227</v>
          </cell>
          <cell r="CY98">
            <v>0.25774979678589227</v>
          </cell>
          <cell r="DA98">
            <v>0.25774979678589227</v>
          </cell>
        </row>
        <row r="99">
          <cell r="CW99">
            <v>0.25774979678589227</v>
          </cell>
          <cell r="CY99">
            <v>0.25774979678589227</v>
          </cell>
          <cell r="DA99">
            <v>0.25774979678589227</v>
          </cell>
        </row>
        <row r="100">
          <cell r="CW100">
            <v>0.25774979678589227</v>
          </cell>
          <cell r="CY100">
            <v>0.25774979678589227</v>
          </cell>
          <cell r="DA100">
            <v>0.25774979678589227</v>
          </cell>
        </row>
        <row r="101">
          <cell r="CW101">
            <v>0.25774979678589227</v>
          </cell>
          <cell r="CY101">
            <v>0.25774979678589227</v>
          </cell>
          <cell r="DA101">
            <v>0.25774979678589227</v>
          </cell>
        </row>
        <row r="102">
          <cell r="CW102">
            <v>0.25774979678589227</v>
          </cell>
          <cell r="CY102">
            <v>0.25774979678589227</v>
          </cell>
          <cell r="DA102">
            <v>0.25774979678589227</v>
          </cell>
        </row>
        <row r="103">
          <cell r="CW103">
            <v>0.25774979678589227</v>
          </cell>
          <cell r="CY103">
            <v>0.25774979678589227</v>
          </cell>
          <cell r="DA103">
            <v>0.25774979678589227</v>
          </cell>
        </row>
      </sheetData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BN363"/>
  <sheetViews>
    <sheetView workbookViewId="0">
      <selection activeCell="B23" sqref="B23"/>
    </sheetView>
  </sheetViews>
  <sheetFormatPr defaultColWidth="6.625" defaultRowHeight="11.25" x14ac:dyDescent="0.15"/>
  <cols>
    <col min="1" max="12" width="6.625" style="23"/>
    <col min="13" max="13" width="6.625" style="6"/>
    <col min="14" max="14" width="10.5" style="23" bestFit="1" customWidth="1"/>
    <col min="15" max="35" width="6.625" style="23"/>
    <col min="36" max="36" width="6.625" style="6"/>
    <col min="37" max="43" width="6.625" style="23"/>
    <col min="44" max="44" width="6.625" style="7"/>
    <col min="45" max="50" width="6.625" style="23"/>
    <col min="51" max="51" width="6.625" style="7"/>
    <col min="52" max="58" width="6.625" style="23"/>
    <col min="59" max="59" width="6.625" style="6"/>
    <col min="60" max="60" width="6.625" style="23"/>
    <col min="61" max="66" width="6.625" style="24"/>
    <col min="67" max="16384" width="6.625" style="23"/>
  </cols>
  <sheetData>
    <row r="1" spans="2:66" x14ac:dyDescent="0.15">
      <c r="F1" s="41" t="s">
        <v>48</v>
      </c>
      <c r="G1" s="41" t="s">
        <v>9</v>
      </c>
      <c r="H1" s="25"/>
      <c r="I1" s="41" t="s">
        <v>5</v>
      </c>
      <c r="J1" s="41" t="s">
        <v>9</v>
      </c>
      <c r="K1" s="41" t="s">
        <v>10</v>
      </c>
      <c r="P1" s="23" t="s">
        <v>11</v>
      </c>
      <c r="AM1" s="23">
        <v>1</v>
      </c>
      <c r="AN1" s="23">
        <v>0.8</v>
      </c>
      <c r="AO1" s="23">
        <v>0.6</v>
      </c>
      <c r="AP1" s="23">
        <v>0.4</v>
      </c>
      <c r="AQ1" s="23">
        <v>0.2</v>
      </c>
    </row>
    <row r="2" spans="2:66" x14ac:dyDescent="0.15">
      <c r="F2" s="41"/>
      <c r="G2" s="41"/>
      <c r="H2" s="25"/>
      <c r="I2" s="41"/>
      <c r="J2" s="41"/>
      <c r="K2" s="41"/>
      <c r="P2" s="39" t="s">
        <v>49</v>
      </c>
      <c r="Q2" s="39"/>
      <c r="R2" s="39"/>
      <c r="S2" s="39"/>
      <c r="T2" s="39"/>
      <c r="W2" s="39" t="s">
        <v>50</v>
      </c>
      <c r="X2" s="39"/>
      <c r="Y2" s="39"/>
      <c r="Z2" s="39"/>
      <c r="AA2" s="39"/>
      <c r="AD2" s="39" t="s">
        <v>51</v>
      </c>
      <c r="AE2" s="39"/>
      <c r="AF2" s="39"/>
      <c r="AG2" s="39"/>
      <c r="AH2" s="39"/>
      <c r="AM2" s="39" t="s">
        <v>6</v>
      </c>
      <c r="AN2" s="39"/>
      <c r="AO2" s="39"/>
      <c r="AP2" s="39"/>
      <c r="AQ2" s="39"/>
      <c r="AT2" s="39" t="s">
        <v>7</v>
      </c>
      <c r="AU2" s="39"/>
      <c r="AV2" s="39"/>
      <c r="AW2" s="39"/>
      <c r="AX2" s="39"/>
      <c r="BA2" s="39" t="s">
        <v>12</v>
      </c>
      <c r="BB2" s="39"/>
      <c r="BC2" s="39"/>
      <c r="BD2" s="39"/>
      <c r="BE2" s="39"/>
      <c r="BJ2" s="40" t="s">
        <v>13</v>
      </c>
      <c r="BK2" s="40"/>
      <c r="BL2" s="40"/>
      <c r="BM2" s="40"/>
      <c r="BN2" s="40"/>
    </row>
    <row r="3" spans="2:66" x14ac:dyDescent="0.15">
      <c r="F3" s="23">
        <v>1</v>
      </c>
      <c r="G3" s="23">
        <v>7.1773462536293131E-2</v>
      </c>
      <c r="I3" s="23">
        <v>1</v>
      </c>
      <c r="J3" s="23">
        <v>7.4349177498517554E-3</v>
      </c>
      <c r="K3" s="1">
        <v>0.1</v>
      </c>
      <c r="N3" s="35" t="str">
        <f>[1]节奏总纲!N3</f>
        <v>对应玩家等级</v>
      </c>
      <c r="O3" s="23" t="s">
        <v>48</v>
      </c>
      <c r="P3" s="23" t="s">
        <v>0</v>
      </c>
      <c r="Q3" s="23" t="s">
        <v>1</v>
      </c>
      <c r="R3" s="23" t="s">
        <v>2</v>
      </c>
      <c r="S3" s="23" t="s">
        <v>3</v>
      </c>
      <c r="T3" s="23" t="s">
        <v>4</v>
      </c>
      <c r="V3" s="23" t="s">
        <v>48</v>
      </c>
      <c r="W3" s="23" t="s">
        <v>0</v>
      </c>
      <c r="X3" s="23" t="s">
        <v>1</v>
      </c>
      <c r="Y3" s="23" t="s">
        <v>2</v>
      </c>
      <c r="Z3" s="23" t="s">
        <v>3</v>
      </c>
      <c r="AA3" s="23" t="s">
        <v>4</v>
      </c>
      <c r="AC3" s="23" t="s">
        <v>14</v>
      </c>
      <c r="AD3" s="23" t="s">
        <v>0</v>
      </c>
      <c r="AE3" s="23" t="s">
        <v>1</v>
      </c>
      <c r="AF3" s="23" t="s">
        <v>2</v>
      </c>
      <c r="AG3" s="23" t="s">
        <v>3</v>
      </c>
      <c r="AH3" s="23" t="s">
        <v>4</v>
      </c>
      <c r="AL3" s="23" t="s">
        <v>5</v>
      </c>
      <c r="AM3" s="23" t="s">
        <v>0</v>
      </c>
      <c r="AN3" s="23" t="s">
        <v>1</v>
      </c>
      <c r="AO3" s="23" t="s">
        <v>2</v>
      </c>
      <c r="AP3" s="23" t="s">
        <v>3</v>
      </c>
      <c r="AQ3" s="23" t="s">
        <v>4</v>
      </c>
      <c r="AS3" s="23" t="s">
        <v>5</v>
      </c>
      <c r="AT3" s="23" t="s">
        <v>0</v>
      </c>
      <c r="AU3" s="23" t="s">
        <v>1</v>
      </c>
      <c r="AV3" s="23" t="s">
        <v>2</v>
      </c>
      <c r="AW3" s="23" t="s">
        <v>3</v>
      </c>
      <c r="AX3" s="23" t="s">
        <v>4</v>
      </c>
      <c r="AZ3" s="23" t="s">
        <v>14</v>
      </c>
      <c r="BA3" s="23" t="s">
        <v>0</v>
      </c>
      <c r="BB3" s="23" t="s">
        <v>1</v>
      </c>
      <c r="BC3" s="23" t="s">
        <v>2</v>
      </c>
      <c r="BD3" s="23" t="s">
        <v>3</v>
      </c>
      <c r="BE3" s="23" t="s">
        <v>4</v>
      </c>
      <c r="BI3" s="24" t="s">
        <v>15</v>
      </c>
      <c r="BJ3" s="24" t="s">
        <v>0</v>
      </c>
      <c r="BK3" s="24" t="s">
        <v>1</v>
      </c>
      <c r="BL3" s="24" t="s">
        <v>2</v>
      </c>
      <c r="BM3" s="24" t="s">
        <v>3</v>
      </c>
      <c r="BN3" s="24" t="s">
        <v>4</v>
      </c>
    </row>
    <row r="4" spans="2:66" x14ac:dyDescent="0.15">
      <c r="F4" s="23">
        <v>2</v>
      </c>
      <c r="G4" s="23">
        <v>0.1486983549970351</v>
      </c>
      <c r="I4" s="23">
        <v>2</v>
      </c>
      <c r="J4" s="23">
        <v>2.3963093307967063E-2</v>
      </c>
      <c r="K4" s="1">
        <v>0.15</v>
      </c>
      <c r="N4" s="35">
        <f>[1]节奏总纲!N4</f>
        <v>2</v>
      </c>
      <c r="O4" s="23">
        <v>1</v>
      </c>
      <c r="P4" s="23">
        <f>[1]节奏总纲!P4</f>
        <v>7.1773462536293131E-2</v>
      </c>
      <c r="Q4" s="23">
        <f>[1]节奏总纲!Q4</f>
        <v>5.9198751899934572E-2</v>
      </c>
      <c r="R4" s="23">
        <f>[1]节奏总纲!R4</f>
        <v>4.5899129291959453E-2</v>
      </c>
      <c r="S4" s="23">
        <f>[1]节奏总纲!S4</f>
        <v>3.1652096978505274E-2</v>
      </c>
      <c r="T4" s="23">
        <f>[1]节奏总纲!T4</f>
        <v>1.6364349458274835E-2</v>
      </c>
      <c r="V4" s="23">
        <v>1</v>
      </c>
      <c r="W4" s="23">
        <f>[1]节奏总纲!W4</f>
        <v>7.1773462536293131E-2</v>
      </c>
      <c r="X4" s="23">
        <f>[1]节奏总纲!X4</f>
        <v>5.9198751899934572E-2</v>
      </c>
      <c r="Y4" s="23">
        <f>[1]节奏总纲!Y4</f>
        <v>4.5899129291959453E-2</v>
      </c>
      <c r="Z4" s="23">
        <f>[1]节奏总纲!Z4</f>
        <v>3.1652096978505274E-2</v>
      </c>
      <c r="AA4" s="23">
        <f>[1]节奏总纲!AA4</f>
        <v>1.6364349458274835E-2</v>
      </c>
      <c r="AC4" s="23">
        <v>1</v>
      </c>
      <c r="AD4" s="23">
        <f>[1]节奏总纲!AD4</f>
        <v>10</v>
      </c>
      <c r="AE4" s="23">
        <f>[1]节奏总纲!AE4</f>
        <v>11.183833372338139</v>
      </c>
      <c r="AF4" s="23">
        <f>[1]节奏总纲!AF4</f>
        <v>12.874130786064232</v>
      </c>
      <c r="AG4" s="23">
        <f>[1]节奏总纲!AG4</f>
        <v>15.670601846495588</v>
      </c>
      <c r="AH4" s="23">
        <f>[1]节奏总纲!AH4</f>
        <v>22.133339311557481</v>
      </c>
      <c r="AL4" s="23">
        <v>1</v>
      </c>
      <c r="AM4" s="23">
        <f>[1]节奏总纲!AM4</f>
        <v>7.4349177498517554E-3</v>
      </c>
      <c r="AN4" s="23">
        <f>[1]节奏总纲!AN4</f>
        <v>5.947934199881405E-3</v>
      </c>
      <c r="AO4" s="23">
        <f>[1]节奏总纲!AO4</f>
        <v>4.4609506499110529E-3</v>
      </c>
      <c r="AP4" s="23">
        <f>[1]节奏总纲!AP4</f>
        <v>2.9739670999407025E-3</v>
      </c>
      <c r="AQ4" s="23">
        <f>[1]节奏总纲!AQ4</f>
        <v>1.4869835499703513E-3</v>
      </c>
      <c r="AS4" s="23">
        <v>1</v>
      </c>
      <c r="AT4" s="23">
        <f>[1]节奏总纲!AT4</f>
        <v>7.4349177498517554E-3</v>
      </c>
      <c r="AU4" s="23">
        <f>[1]节奏总纲!AU4</f>
        <v>5.947934199881405E-3</v>
      </c>
      <c r="AV4" s="23">
        <f>[1]节奏总纲!AV4</f>
        <v>4.4609506499110529E-3</v>
      </c>
      <c r="AW4" s="23">
        <f>[1]节奏总纲!AW4</f>
        <v>2.9739670999407025E-3</v>
      </c>
      <c r="AX4" s="23">
        <f>[1]节奏总纲!AX4</f>
        <v>1.4869835499703513E-3</v>
      </c>
      <c r="AY4" s="23"/>
      <c r="AZ4" s="23">
        <v>1</v>
      </c>
      <c r="BA4" s="23">
        <f>[1]节奏总纲!BA4</f>
        <v>11.296493250964016</v>
      </c>
      <c r="BB4" s="23">
        <f>[1]节奏总纲!BB4</f>
        <v>12.361596792946616</v>
      </c>
      <c r="BC4" s="23">
        <f>[1]节奏总纲!BC4</f>
        <v>13.798091195443488</v>
      </c>
      <c r="BD4" s="23">
        <f>[1]节奏总纲!BD4</f>
        <v>15.911635365458322</v>
      </c>
      <c r="BE4" s="23">
        <f>[1]节奏总纲!BE4</f>
        <v>19.707330185578734</v>
      </c>
      <c r="BI4" s="24">
        <v>1</v>
      </c>
      <c r="BJ4" s="23">
        <f>[1]节奏总纲!BJ4</f>
        <v>0.3</v>
      </c>
      <c r="BK4" s="23">
        <f>[1]节奏总纲!BK4</f>
        <v>0.30599999999999999</v>
      </c>
      <c r="BL4" s="23">
        <f>[1]节奏总纲!BL4</f>
        <v>0.318</v>
      </c>
      <c r="BM4" s="23">
        <f>[1]节奏总纲!BM4</f>
        <v>0.34199999999999997</v>
      </c>
      <c r="BN4" s="23">
        <f>[1]节奏总纲!BN4</f>
        <v>0.42</v>
      </c>
    </row>
    <row r="5" spans="2:66" x14ac:dyDescent="0.15">
      <c r="F5" s="23">
        <v>3</v>
      </c>
      <c r="G5" s="23">
        <v>0.23114441334491631</v>
      </c>
      <c r="I5" s="23">
        <v>3</v>
      </c>
      <c r="J5" s="23">
        <v>5.1571656651039799E-2</v>
      </c>
      <c r="K5" s="1">
        <v>0.2</v>
      </c>
      <c r="N5" s="35">
        <f>[1]节奏总纲!N5</f>
        <v>4</v>
      </c>
      <c r="O5" s="23">
        <v>2</v>
      </c>
      <c r="P5" s="23">
        <f>[1]节奏总纲!P5</f>
        <v>0.1486983549970351</v>
      </c>
      <c r="Q5" s="23">
        <f>[1]节奏总纲!Q5</f>
        <v>0.12338989497653972</v>
      </c>
      <c r="R5" s="23">
        <f>[1]节奏总纲!R5</f>
        <v>9.6326794367079346E-2</v>
      </c>
      <c r="S5" s="23">
        <f>[1]节奏总纲!S5</f>
        <v>6.69142597486658E-2</v>
      </c>
      <c r="T5" s="23">
        <f>[1]节奏总纲!T5</f>
        <v>3.4914373753303841E-2</v>
      </c>
      <c r="V5" s="23">
        <v>2</v>
      </c>
      <c r="W5" s="23">
        <f>[1]节奏总纲!W5</f>
        <v>7.6924892460741967E-2</v>
      </c>
      <c r="X5" s="23">
        <f>[1]节奏总纲!X5</f>
        <v>6.4191143076605145E-2</v>
      </c>
      <c r="Y5" s="23">
        <f>[1]节奏总纲!Y5</f>
        <v>5.0427665075119893E-2</v>
      </c>
      <c r="Z5" s="23">
        <f>[1]节奏总纲!Z5</f>
        <v>3.5262162770160525E-2</v>
      </c>
      <c r="AA5" s="23">
        <f>[1]节奏总纲!AA5</f>
        <v>1.8550024295029006E-2</v>
      </c>
      <c r="AC5" s="23">
        <v>2</v>
      </c>
      <c r="AD5" s="23">
        <f>[1]节奏总纲!AD5</f>
        <v>15.845161563010114</v>
      </c>
      <c r="AE5" s="23">
        <f>[1]节奏总纲!AE5</f>
        <v>17.346925352696559</v>
      </c>
      <c r="AF5" s="23">
        <f>[1]节奏总纲!AF5</f>
        <v>19.496136817742748</v>
      </c>
      <c r="AG5" s="23">
        <f>[1]节奏总纲!AG5</f>
        <v>23.06484143491593</v>
      </c>
      <c r="AH5" s="23">
        <f>[1]节奏总纲!AH5</f>
        <v>29.389886110615148</v>
      </c>
      <c r="AL5" s="23">
        <v>2</v>
      </c>
      <c r="AM5" s="23">
        <f>[1]节奏总纲!AM5</f>
        <v>2.3963093307967063E-2</v>
      </c>
      <c r="AN5" s="23">
        <f>[1]节奏总纲!AN5</f>
        <v>1.9170474646373652E-2</v>
      </c>
      <c r="AO5" s="23">
        <f>[1]节奏总纲!AO5</f>
        <v>1.4377855984780237E-2</v>
      </c>
      <c r="AP5" s="23">
        <f>[1]节奏总纲!AP5</f>
        <v>9.5852373231868262E-3</v>
      </c>
      <c r="AQ5" s="23">
        <f>[1]节奏总纲!AQ5</f>
        <v>4.7926186615934131E-3</v>
      </c>
      <c r="AS5" s="23">
        <v>2</v>
      </c>
      <c r="AT5" s="23">
        <f>[1]节奏总纲!AT5</f>
        <v>1.6528175558115307E-2</v>
      </c>
      <c r="AU5" s="23">
        <f>[1]节奏总纲!AU5</f>
        <v>1.3222540446492247E-2</v>
      </c>
      <c r="AV5" s="23">
        <f>[1]节奏总纲!AV5</f>
        <v>9.9169053348691846E-3</v>
      </c>
      <c r="AW5" s="23">
        <f>[1]节奏总纲!AW5</f>
        <v>6.6112702232461237E-3</v>
      </c>
      <c r="AX5" s="23">
        <f>[1]节奏总纲!AX5</f>
        <v>3.3056351116230618E-3</v>
      </c>
      <c r="AY5" s="23"/>
      <c r="AZ5" s="23">
        <v>2</v>
      </c>
      <c r="BA5" s="23">
        <f>[1]节奏总纲!BA5</f>
        <v>14.729965238833779</v>
      </c>
      <c r="BB5" s="23">
        <f>[1]节奏总纲!BB5</f>
        <v>15.911635365458322</v>
      </c>
      <c r="BC5" s="23">
        <f>[1]节奏总纲!BC5</f>
        <v>17.448850811924295</v>
      </c>
      <c r="BD5" s="23">
        <f>[1]节奏总纲!BD5</f>
        <v>19.707330185578734</v>
      </c>
      <c r="BE5" s="23">
        <f>[1]节奏总纲!BE5</f>
        <v>23.710496742673982</v>
      </c>
      <c r="BI5" s="24">
        <v>2</v>
      </c>
      <c r="BJ5" s="23">
        <f>[1]节奏总纲!BJ5</f>
        <v>0.47499999999999998</v>
      </c>
      <c r="BK5" s="23">
        <f>[1]节奏总纲!BK5</f>
        <v>0.48449999999999999</v>
      </c>
      <c r="BL5" s="23">
        <f>[1]节奏总纲!BL5</f>
        <v>0.50349999999999995</v>
      </c>
      <c r="BM5" s="23">
        <f>[1]节奏总纲!BM5</f>
        <v>0.54149999999999998</v>
      </c>
      <c r="BN5" s="23">
        <f>[1]节奏总纲!BN5</f>
        <v>0.66499999999999992</v>
      </c>
    </row>
    <row r="6" spans="2:66" x14ac:dyDescent="0.15">
      <c r="B6" s="39" t="s">
        <v>52</v>
      </c>
      <c r="C6" s="39"/>
      <c r="D6" s="39"/>
      <c r="F6" s="23">
        <v>4</v>
      </c>
      <c r="G6" s="23">
        <v>0.3195079107728942</v>
      </c>
      <c r="I6" s="23">
        <v>4</v>
      </c>
      <c r="J6" s="23">
        <v>9.2637640824031031E-2</v>
      </c>
      <c r="K6" s="1">
        <v>0.25</v>
      </c>
      <c r="N6" s="35">
        <f>[1]节奏总纲!N6</f>
        <v>6</v>
      </c>
      <c r="O6" s="23">
        <v>3</v>
      </c>
      <c r="P6" s="23">
        <f>[1]节奏总纲!P6</f>
        <v>0.23114441334491631</v>
      </c>
      <c r="Q6" s="23">
        <f>[1]节奏总纲!Q6</f>
        <v>0.19277444072966018</v>
      </c>
      <c r="R6" s="23">
        <f>[1]节奏总纲!R6</f>
        <v>0.15123778965157875</v>
      </c>
      <c r="S6" s="23">
        <f>[1]节奏总纲!S6</f>
        <v>0.10563299689862676</v>
      </c>
      <c r="T6" s="23">
        <f>[1]节奏总纲!T6</f>
        <v>5.5335972554772968E-2</v>
      </c>
      <c r="V6" s="23">
        <v>3</v>
      </c>
      <c r="W6" s="23">
        <f>[1]节奏总纲!W6</f>
        <v>8.2446058347881213E-2</v>
      </c>
      <c r="X6" s="23">
        <f>[1]节奏总纲!X6</f>
        <v>6.9384545753120461E-2</v>
      </c>
      <c r="Y6" s="23">
        <f>[1]节奏总纲!Y6</f>
        <v>5.49109952844994E-2</v>
      </c>
      <c r="Z6" s="23">
        <f>[1]节奏总纲!Z6</f>
        <v>3.8718737149960963E-2</v>
      </c>
      <c r="AA6" s="23">
        <f>[1]节奏总纲!AA6</f>
        <v>2.0421598801469126E-2</v>
      </c>
      <c r="AC6" s="23">
        <v>3</v>
      </c>
      <c r="AD6" s="23">
        <f>[1]节奏总纲!AD6</f>
        <v>20</v>
      </c>
      <c r="AE6" s="23">
        <f>[1]节奏总纲!AE6</f>
        <v>21.702036938281466</v>
      </c>
      <c r="AF6" s="23">
        <f>[1]节奏总纲!AF6</f>
        <v>23.958553703766697</v>
      </c>
      <c r="AG6" s="23">
        <f>[1]节奏总纲!AG6</f>
        <v>27.42487403740024</v>
      </c>
      <c r="AH6" s="23">
        <f>[1]节奏总纲!AH6</f>
        <v>35.140403177407869</v>
      </c>
      <c r="AL6" s="23">
        <v>3</v>
      </c>
      <c r="AM6" s="23">
        <f>[1]节奏总纲!AM6</f>
        <v>5.1571656651039799E-2</v>
      </c>
      <c r="AN6" s="23">
        <f>[1]节奏总纲!AN6</f>
        <v>4.1257325320831845E-2</v>
      </c>
      <c r="AO6" s="23">
        <f>[1]节奏总纲!AO6</f>
        <v>3.0942993990623877E-2</v>
      </c>
      <c r="AP6" s="23">
        <f>[1]节奏总纲!AP6</f>
        <v>2.0628662660415922E-2</v>
      </c>
      <c r="AQ6" s="23">
        <f>[1]节奏总纲!AQ6</f>
        <v>1.0314331330207961E-2</v>
      </c>
      <c r="AS6" s="23">
        <v>3</v>
      </c>
      <c r="AT6" s="23">
        <f>[1]节奏总纲!AT6</f>
        <v>2.7608563343072736E-2</v>
      </c>
      <c r="AU6" s="23">
        <f>[1]节奏总纲!AU6</f>
        <v>2.2086850674458192E-2</v>
      </c>
      <c r="AV6" s="23">
        <f>[1]节奏总纲!AV6</f>
        <v>1.6565138005843638E-2</v>
      </c>
      <c r="AW6" s="23">
        <f>[1]节奏总纲!AW6</f>
        <v>1.1043425337229096E-2</v>
      </c>
      <c r="AX6" s="23">
        <f>[1]节奏总纲!AX6</f>
        <v>5.5217126686145481E-3</v>
      </c>
      <c r="AY6" s="23"/>
      <c r="AZ6" s="23">
        <v>3</v>
      </c>
      <c r="BA6" s="23">
        <f>[1]节奏总纲!BA6</f>
        <v>16.888397947066121</v>
      </c>
      <c r="BB6" s="23">
        <f>[1]节奏总纲!BB6</f>
        <v>18.108391417375849</v>
      </c>
      <c r="BC6" s="23">
        <f>[1]节奏总纲!BC6</f>
        <v>19.707330185578734</v>
      </c>
      <c r="BD6" s="23">
        <f>[1]节奏总纲!BD6</f>
        <v>22.041972908628715</v>
      </c>
      <c r="BE6" s="23">
        <f>[1]节奏总纲!BE6</f>
        <v>26.127796402772656</v>
      </c>
      <c r="BI6" s="24">
        <v>3</v>
      </c>
      <c r="BJ6" s="23">
        <f>[1]节奏总纲!BJ6</f>
        <v>0.65</v>
      </c>
      <c r="BK6" s="23">
        <f>[1]节奏总纲!BK6</f>
        <v>0.66300000000000003</v>
      </c>
      <c r="BL6" s="23">
        <f>[1]节奏总纲!BL6</f>
        <v>0.68900000000000006</v>
      </c>
      <c r="BM6" s="23">
        <f>[1]节奏总纲!BM6</f>
        <v>0.74099999999999999</v>
      </c>
      <c r="BN6" s="23">
        <f>[1]节奏总纲!BN6</f>
        <v>0.90999999999999992</v>
      </c>
    </row>
    <row r="7" spans="2:66" x14ac:dyDescent="0.15">
      <c r="B7" s="23" t="s">
        <v>48</v>
      </c>
      <c r="C7" s="23" t="s">
        <v>16</v>
      </c>
      <c r="D7" s="23" t="s">
        <v>17</v>
      </c>
      <c r="F7" s="23">
        <v>5</v>
      </c>
      <c r="G7" s="23">
        <v>0.41421356237309515</v>
      </c>
      <c r="I7" s="23">
        <v>5</v>
      </c>
      <c r="J7" s="23">
        <v>0.15</v>
      </c>
      <c r="K7" s="1">
        <v>0.3</v>
      </c>
      <c r="N7" s="35">
        <f>[1]节奏总纲!N7</f>
        <v>8</v>
      </c>
      <c r="O7" s="23">
        <v>4</v>
      </c>
      <c r="P7" s="23">
        <f>[1]节奏总纲!P7</f>
        <v>0.3195079107728942</v>
      </c>
      <c r="Q7" s="23">
        <f>[1]节奏总纲!Q7</f>
        <v>0.2680671371384582</v>
      </c>
      <c r="R7" s="23">
        <f>[1]节奏总纲!R7</f>
        <v>0.21161008930488784</v>
      </c>
      <c r="S7" s="23">
        <f>[1]节奏总纲!S7</f>
        <v>0.14892263721124599</v>
      </c>
      <c r="T7" s="23">
        <f>[1]节奏总纲!T7</f>
        <v>7.8598946050131971E-2</v>
      </c>
      <c r="V7" s="23">
        <v>4</v>
      </c>
      <c r="W7" s="23">
        <f>[1]节奏总纲!W7</f>
        <v>8.8363497427977888E-2</v>
      </c>
      <c r="X7" s="23">
        <f>[1]节奏总纲!X7</f>
        <v>7.5292696408798016E-2</v>
      </c>
      <c r="Y7" s="23">
        <f>[1]节奏总纲!Y7</f>
        <v>6.0372299653309092E-2</v>
      </c>
      <c r="Z7" s="23">
        <f>[1]节奏总纲!Z7</f>
        <v>4.3289640312619226E-2</v>
      </c>
      <c r="AA7" s="23">
        <f>[1]节奏总纲!AA7</f>
        <v>2.3262973495359003E-2</v>
      </c>
      <c r="AC7" s="23">
        <v>4</v>
      </c>
      <c r="AD7" s="23">
        <f>[1]节奏总纲!AD7</f>
        <v>23.213386604241784</v>
      </c>
      <c r="AE7" s="23">
        <f>[1]节奏总纲!AE7</f>
        <v>24.912927634186268</v>
      </c>
      <c r="AF7" s="23">
        <f>[1]节奏总纲!AF7</f>
        <v>27.225813547181609</v>
      </c>
      <c r="AG7" s="23">
        <f>[1]节奏总纲!AG7</f>
        <v>30.804322869749544</v>
      </c>
      <c r="AH7" s="23">
        <f>[1]节奏总纲!AH7</f>
        <v>38.470574747660741</v>
      </c>
      <c r="AL7" s="23">
        <v>4</v>
      </c>
      <c r="AM7" s="23">
        <f>[1]节奏总纲!AM7</f>
        <v>9.2637640824031031E-2</v>
      </c>
      <c r="AN7" s="23">
        <f>[1]节奏总纲!AN7</f>
        <v>7.4110112659224833E-2</v>
      </c>
      <c r="AO7" s="23">
        <f>[1]节奏总纲!AO7</f>
        <v>5.5582584494418615E-2</v>
      </c>
      <c r="AP7" s="23">
        <f>[1]节奏总纲!AP7</f>
        <v>3.7055056329612417E-2</v>
      </c>
      <c r="AQ7" s="23">
        <f>[1]节奏总纲!AQ7</f>
        <v>1.8527528164806208E-2</v>
      </c>
      <c r="AS7" s="23">
        <v>4</v>
      </c>
      <c r="AT7" s="23">
        <f>[1]节奏总纲!AT7</f>
        <v>4.1065984172991232E-2</v>
      </c>
      <c r="AU7" s="23">
        <f>[1]节奏总纲!AU7</f>
        <v>3.2852787338392989E-2</v>
      </c>
      <c r="AV7" s="23">
        <f>[1]节奏总纲!AV7</f>
        <v>2.4639590503794738E-2</v>
      </c>
      <c r="AW7" s="23">
        <f>[1]节奏总纲!AW7</f>
        <v>1.6426393669196494E-2</v>
      </c>
      <c r="AX7" s="23">
        <f>[1]节奏总纲!AX7</f>
        <v>8.2131968345982471E-3</v>
      </c>
      <c r="AY7" s="23"/>
      <c r="AZ7" s="23">
        <v>4</v>
      </c>
      <c r="BA7" s="23">
        <f>[1]节奏总纲!BA7</f>
        <v>18.453550676044042</v>
      </c>
      <c r="BB7" s="23">
        <f>[1]节奏总纲!BB7</f>
        <v>19.707330185578734</v>
      </c>
      <c r="BC7" s="23">
        <f>[1]节奏总纲!BC7</f>
        <v>21.34613466141565</v>
      </c>
      <c r="BD7" s="23">
        <f>[1]节奏总纲!BD7</f>
        <v>23.710496742673982</v>
      </c>
      <c r="BE7" s="23">
        <f>[1]节奏总纲!BE7</f>
        <v>27.863030247590562</v>
      </c>
      <c r="BI7" s="24">
        <v>4</v>
      </c>
      <c r="BJ7" s="23">
        <f>[1]节奏总纲!BJ7</f>
        <v>0.82499999999999996</v>
      </c>
      <c r="BK7" s="23">
        <f>[1]节奏总纲!BK7</f>
        <v>0.84149999999999991</v>
      </c>
      <c r="BL7" s="23">
        <f>[1]节奏总纲!BL7</f>
        <v>0.87449999999999994</v>
      </c>
      <c r="BM7" s="23">
        <f>[1]节奏总纲!BM7</f>
        <v>0.94049999999999989</v>
      </c>
      <c r="BN7" s="23">
        <f>[1]节奏总纲!BN7</f>
        <v>1.1549999999999998</v>
      </c>
    </row>
    <row r="8" spans="2:66" x14ac:dyDescent="0.15">
      <c r="B8" s="23">
        <v>10</v>
      </c>
      <c r="C8" s="23">
        <v>1</v>
      </c>
      <c r="D8" s="23">
        <v>1</v>
      </c>
      <c r="F8" s="23">
        <v>6</v>
      </c>
      <c r="G8" s="23">
        <v>0.51571656651039799</v>
      </c>
      <c r="I8" s="23">
        <v>6</v>
      </c>
      <c r="J8" s="23">
        <v>0.22055744069899194</v>
      </c>
      <c r="K8" s="1">
        <v>0.34</v>
      </c>
      <c r="N8" s="35">
        <f>[1]节奏总纲!N8</f>
        <v>10</v>
      </c>
      <c r="O8" s="23">
        <v>5</v>
      </c>
      <c r="P8" s="23">
        <f>[1]节奏总纲!P8</f>
        <v>0.41421356237309515</v>
      </c>
      <c r="Q8" s="23">
        <f>[1]节奏总纲!Q8</f>
        <v>0.34818792053082376</v>
      </c>
      <c r="R8" s="23">
        <f>[1]节奏总纲!R8</f>
        <v>0.27578338982800671</v>
      </c>
      <c r="S8" s="23">
        <f>[1]节奏总纲!S8</f>
        <v>0.19476321702782934</v>
      </c>
      <c r="T8" s="23">
        <f>[1]节奏总纲!T8</f>
        <v>0.10330486245584994</v>
      </c>
      <c r="V8" s="23">
        <v>5</v>
      </c>
      <c r="W8" s="23">
        <f>[1]节奏总纲!W8</f>
        <v>9.4705651600200946E-2</v>
      </c>
      <c r="X8" s="23">
        <f>[1]节奏总纲!X8</f>
        <v>8.0120783392365558E-2</v>
      </c>
      <c r="Y8" s="23">
        <f>[1]节奏总纲!Y8</f>
        <v>6.417330052311887E-2</v>
      </c>
      <c r="Z8" s="23">
        <f>[1]节奏总纲!Z8</f>
        <v>4.5840579816583349E-2</v>
      </c>
      <c r="AA8" s="23">
        <f>[1]节奏总纲!AA8</f>
        <v>2.4705916405717968E-2</v>
      </c>
      <c r="AC8" s="23">
        <v>5</v>
      </c>
      <c r="AD8" s="23">
        <f>[1]节奏总纲!AD8</f>
        <v>25.845161563010112</v>
      </c>
      <c r="AE8" s="23">
        <f>[1]节奏总纲!AE8</f>
        <v>27.556225045875266</v>
      </c>
      <c r="AF8" s="23">
        <f>[1]节奏总纲!AF8</f>
        <v>29.904507749301924</v>
      </c>
      <c r="AG8" s="23">
        <f>[1]节奏总纲!AG8</f>
        <v>33.699093452437232</v>
      </c>
      <c r="AH8" s="23">
        <f>[1]节奏总纲!AH8</f>
        <v>40.911336203628196</v>
      </c>
      <c r="AL8" s="23">
        <v>5</v>
      </c>
      <c r="AM8" s="23">
        <f>[1]节奏总纲!AM8</f>
        <v>0.15</v>
      </c>
      <c r="AN8" s="23">
        <f>[1]节奏总纲!AN8</f>
        <v>0.12</v>
      </c>
      <c r="AO8" s="23">
        <f>[1]节奏总纲!AO8</f>
        <v>0.09</v>
      </c>
      <c r="AP8" s="23">
        <f>[1]节奏总纲!AP8</f>
        <v>0.06</v>
      </c>
      <c r="AQ8" s="23">
        <f>[1]节奏总纲!AQ8</f>
        <v>0.03</v>
      </c>
      <c r="AS8" s="23">
        <v>5</v>
      </c>
      <c r="AT8" s="23">
        <f>[1]节奏总纲!AT8</f>
        <v>5.7362359175968963E-2</v>
      </c>
      <c r="AU8" s="23">
        <f>[1]节奏总纲!AU8</f>
        <v>4.5889887340775162E-2</v>
      </c>
      <c r="AV8" s="23">
        <f>[1]节奏总纲!AV8</f>
        <v>3.4417415505581382E-2</v>
      </c>
      <c r="AW8" s="23">
        <f>[1]节奏总纲!AW8</f>
        <v>2.2944943670387581E-2</v>
      </c>
      <c r="AX8" s="23">
        <f>[1]节奏总纲!AX8</f>
        <v>1.1472471835193791E-2</v>
      </c>
      <c r="AY8" s="23"/>
      <c r="AZ8" s="23">
        <v>5</v>
      </c>
      <c r="BA8" s="23">
        <f>[1]节奏总纲!BA8</f>
        <v>19.707330185578734</v>
      </c>
      <c r="BB8" s="23">
        <f>[1]节奏总纲!BB8</f>
        <v>20.993539484876777</v>
      </c>
      <c r="BC8" s="23">
        <f>[1]节奏总纲!BC8</f>
        <v>22.639743033177162</v>
      </c>
      <c r="BD8" s="23">
        <f>[1]节奏总纲!BD8</f>
        <v>25.044229735272328</v>
      </c>
      <c r="BE8" s="23">
        <f>[1]节奏总纲!BE8</f>
        <v>29.216428548527322</v>
      </c>
      <c r="BI8" s="24">
        <v>5</v>
      </c>
      <c r="BJ8" s="23">
        <f>[1]节奏总纲!BJ8</f>
        <v>1</v>
      </c>
      <c r="BK8" s="23">
        <f>[1]节奏总纲!BK8</f>
        <v>1.02</v>
      </c>
      <c r="BL8" s="23">
        <f>[1]节奏总纲!BL8</f>
        <v>1.06</v>
      </c>
      <c r="BM8" s="23">
        <f>[1]节奏总纲!BM8</f>
        <v>1.1399999999999999</v>
      </c>
      <c r="BN8" s="23">
        <f>[1]节奏总纲!BN8</f>
        <v>1.4</v>
      </c>
    </row>
    <row r="9" spans="2:66" x14ac:dyDescent="0.15">
      <c r="B9" s="23">
        <v>20</v>
      </c>
      <c r="C9" s="23">
        <v>3</v>
      </c>
      <c r="D9" s="23">
        <v>2</v>
      </c>
      <c r="F9" s="23">
        <v>7</v>
      </c>
      <c r="G9" s="23">
        <v>0.62450479271247095</v>
      </c>
      <c r="I9" s="23">
        <v>7</v>
      </c>
      <c r="J9" s="23">
        <v>0.31141300609369982</v>
      </c>
      <c r="K9" s="1">
        <v>0.38</v>
      </c>
      <c r="N9" s="35">
        <f>[1]节奏总纲!N9</f>
        <v>12</v>
      </c>
      <c r="O9" s="23">
        <v>6</v>
      </c>
      <c r="P9" s="23">
        <f>[1]节奏总纲!P9</f>
        <v>0.51571656651039799</v>
      </c>
      <c r="Q9" s="23">
        <f>[1]节奏总纲!Q9</f>
        <v>0.43459435059831236</v>
      </c>
      <c r="R9" s="23">
        <f>[1]节奏总纲!R9</f>
        <v>0.34444709477229485</v>
      </c>
      <c r="S9" s="23">
        <f>[1]节奏总纲!S9</f>
        <v>0.24548108565894944</v>
      </c>
      <c r="T9" s="23">
        <f>[1]节奏总纲!T9</f>
        <v>0.13119829452024526</v>
      </c>
      <c r="V9" s="23">
        <v>6</v>
      </c>
      <c r="W9" s="23">
        <f>[1]节奏总纲!W9</f>
        <v>0.10150300413730284</v>
      </c>
      <c r="X9" s="23">
        <f>[1]节奏总纲!X9</f>
        <v>8.6406430067488604E-2</v>
      </c>
      <c r="Y9" s="23">
        <f>[1]节奏总纲!Y9</f>
        <v>6.866370494428814E-2</v>
      </c>
      <c r="Z9" s="23">
        <f>[1]节奏总纲!Z9</f>
        <v>5.07178686311201E-2</v>
      </c>
      <c r="AA9" s="23">
        <f>[1]节奏总纲!AA9</f>
        <v>2.7893432064395318E-2</v>
      </c>
      <c r="AC9" s="23">
        <v>6</v>
      </c>
      <c r="AD9" s="23">
        <f>[1]节奏总纲!AD9</f>
        <v>28.071211008105138</v>
      </c>
      <c r="AE9" s="23">
        <f>[1]节奏总纲!AE9</f>
        <v>29.795583728079247</v>
      </c>
      <c r="AF9" s="23">
        <f>[1]节奏总纲!AF9</f>
        <v>32.191286239727027</v>
      </c>
      <c r="AG9" s="23">
        <f>[1]节奏总纲!AG9</f>
        <v>36.562071848084436</v>
      </c>
      <c r="AH9" s="23">
        <f>[1]节奏总纲!AH9</f>
        <v>44.585591286903316</v>
      </c>
      <c r="AL9" s="23">
        <v>6</v>
      </c>
      <c r="AM9" s="23">
        <f>[1]节奏总纲!AM9</f>
        <v>0.22055744069899194</v>
      </c>
      <c r="AN9" s="23">
        <f>[1]节奏总纲!AN9</f>
        <v>0.17644595255919357</v>
      </c>
      <c r="AO9" s="23">
        <f>[1]节奏总纲!AO9</f>
        <v>0.13233446441939517</v>
      </c>
      <c r="AP9" s="23">
        <f>[1]节奏总纲!AP9</f>
        <v>8.8222976279596785E-2</v>
      </c>
      <c r="AQ9" s="23">
        <f>[1]节奏总纲!AQ9</f>
        <v>4.4111488139798392E-2</v>
      </c>
      <c r="AS9" s="23">
        <v>6</v>
      </c>
      <c r="AT9" s="23">
        <f>[1]节奏总纲!AT9</f>
        <v>7.0557440698991947E-2</v>
      </c>
      <c r="AU9" s="23">
        <f>[1]节奏总纲!AU9</f>
        <v>5.6445952559193574E-2</v>
      </c>
      <c r="AV9" s="23">
        <f>[1]节奏总纲!AV9</f>
        <v>4.2334464419395174E-2</v>
      </c>
      <c r="AW9" s="23">
        <f>[1]节奏总纲!AW9</f>
        <v>2.8222976279596787E-2</v>
      </c>
      <c r="AX9" s="23">
        <f>[1]节奏总纲!AX9</f>
        <v>1.4111488139798394E-2</v>
      </c>
      <c r="AY9" s="23"/>
      <c r="AZ9" s="23">
        <v>6</v>
      </c>
      <c r="BA9" s="23">
        <f>[1]节奏总纲!BA9</f>
        <v>20.745154613657583</v>
      </c>
      <c r="BB9" s="23">
        <f>[1]节奏总纲!BB9</f>
        <v>22.041972908628715</v>
      </c>
      <c r="BC9" s="23">
        <f>[1]节奏总纲!BC9</f>
        <v>23.710496742673982</v>
      </c>
      <c r="BD9" s="23">
        <f>[1]节奏总纲!BD9</f>
        <v>26.127796402772656</v>
      </c>
      <c r="BE9" s="23">
        <f>[1]节奏总纲!BE9</f>
        <v>30.329493925593439</v>
      </c>
      <c r="BI9" s="24">
        <v>6</v>
      </c>
      <c r="BJ9" s="23">
        <f>[1]节奏总纲!BJ9</f>
        <v>1.0333333333333334</v>
      </c>
      <c r="BK9" s="23">
        <f>[1]节奏总纲!BK9</f>
        <v>1.054</v>
      </c>
      <c r="BL9" s="23">
        <f>[1]节奏总纲!BL9</f>
        <v>1.0953333333333335</v>
      </c>
      <c r="BM9" s="23">
        <f>[1]节奏总纲!BM9</f>
        <v>1.1779999999999999</v>
      </c>
      <c r="BN9" s="23">
        <f>[1]节奏总纲!BN9</f>
        <v>1.4466666666666668</v>
      </c>
    </row>
    <row r="10" spans="2:66" x14ac:dyDescent="0.15">
      <c r="B10" s="23">
        <v>30</v>
      </c>
      <c r="C10" s="23">
        <v>7</v>
      </c>
      <c r="D10" s="23">
        <v>4</v>
      </c>
      <c r="F10" s="23">
        <v>8</v>
      </c>
      <c r="G10" s="23">
        <v>0.74110112659224825</v>
      </c>
      <c r="I10" s="23">
        <v>8</v>
      </c>
      <c r="J10" s="23">
        <v>0.42660095793436714</v>
      </c>
      <c r="K10" s="1">
        <v>0.42</v>
      </c>
      <c r="N10" s="35">
        <f>[1]节奏总纲!N10</f>
        <v>14</v>
      </c>
      <c r="O10" s="23">
        <v>7</v>
      </c>
      <c r="P10" s="23">
        <f>[1]节奏总纲!P10</f>
        <v>0.62450479271247095</v>
      </c>
      <c r="Q10" s="23">
        <f>[1]节奏总纲!Q10</f>
        <v>0.52958006422017534</v>
      </c>
      <c r="R10" s="23">
        <f>[1]节奏总纲!R10</f>
        <v>0.42216523987363042</v>
      </c>
      <c r="S10" s="23">
        <f>[1]节奏总纲!S10</f>
        <v>0.30119866152522473</v>
      </c>
      <c r="T10" s="23">
        <f>[1]节奏总纲!T10</f>
        <v>0.16162184035398747</v>
      </c>
      <c r="V10" s="23">
        <v>7</v>
      </c>
      <c r="W10" s="23">
        <f>[1]节奏总纲!W10</f>
        <v>0.10878822620207296</v>
      </c>
      <c r="X10" s="23">
        <f>[1]节奏总纲!X10</f>
        <v>9.4985713621862977E-2</v>
      </c>
      <c r="Y10" s="23">
        <f>[1]节奏总纲!Y10</f>
        <v>7.7718145101335567E-2</v>
      </c>
      <c r="Z10" s="23">
        <f>[1]节奏总纲!Z10</f>
        <v>5.5717575866275293E-2</v>
      </c>
      <c r="AA10" s="23">
        <f>[1]节奏总纲!AA10</f>
        <v>3.042354583374221E-2</v>
      </c>
      <c r="AC10" s="23">
        <v>7</v>
      </c>
      <c r="AD10" s="23">
        <f>[1]节奏总纲!AD10</f>
        <v>30</v>
      </c>
      <c r="AE10" s="23">
        <f>[1]节奏总纲!AE10</f>
        <v>31.724755342187414</v>
      </c>
      <c r="AF10" s="23">
        <f>[1]节奏总纲!AF10</f>
        <v>34.169250928926282</v>
      </c>
      <c r="AG10" s="23">
        <f>[1]节奏总纲!AG10</f>
        <v>38.340762588878064</v>
      </c>
      <c r="AH10" s="23">
        <f>[1]节奏总纲!AH10</f>
        <v>48.564888834015079</v>
      </c>
      <c r="AL10" s="23">
        <v>7</v>
      </c>
      <c r="AM10" s="23">
        <f>[1]节奏总纲!AM10</f>
        <v>0.31141300609369982</v>
      </c>
      <c r="AN10" s="23">
        <f>[1]节奏总纲!AN10</f>
        <v>0.24913040487495985</v>
      </c>
      <c r="AO10" s="23">
        <f>[1]节奏总纲!AO10</f>
        <v>0.18684780365621989</v>
      </c>
      <c r="AP10" s="23">
        <f>[1]节奏总纲!AP10</f>
        <v>0.12456520243747993</v>
      </c>
      <c r="AQ10" s="23">
        <f>[1]节奏总纲!AQ10</f>
        <v>6.2282601218739964E-2</v>
      </c>
      <c r="AS10" s="23">
        <v>7</v>
      </c>
      <c r="AT10" s="23">
        <f>[1]节奏总纲!AT10</f>
        <v>9.0855565394707877E-2</v>
      </c>
      <c r="AU10" s="23">
        <f>[1]节奏总纲!AU10</f>
        <v>7.2684452315766285E-2</v>
      </c>
      <c r="AV10" s="23">
        <f>[1]节奏总纲!AV10</f>
        <v>5.451333923682472E-2</v>
      </c>
      <c r="AW10" s="23">
        <f>[1]节奏总纲!AW10</f>
        <v>3.6342226157883142E-2</v>
      </c>
      <c r="AX10" s="23">
        <f>[1]节奏总纲!AX10</f>
        <v>1.8171113078941571E-2</v>
      </c>
      <c r="AY10" s="23"/>
      <c r="AZ10" s="23">
        <v>7</v>
      </c>
      <c r="BA10" s="23">
        <f>[1]节奏总纲!BA10</f>
        <v>21.627432338833255</v>
      </c>
      <c r="BB10" s="23">
        <f>[1]节奏总纲!BB10</f>
        <v>22.938628095451385</v>
      </c>
      <c r="BC10" s="23">
        <f>[1]节奏总纲!BC10</f>
        <v>24.619152272059132</v>
      </c>
      <c r="BD10" s="23">
        <f>[1]节奏总纲!BD10</f>
        <v>27.059707353051884</v>
      </c>
      <c r="BE10" s="23">
        <f>[1]节奏总纲!BE10</f>
        <v>31.280110398778046</v>
      </c>
      <c r="BI10" s="24">
        <v>7</v>
      </c>
      <c r="BJ10" s="23">
        <f>[1]节奏总纲!BJ10</f>
        <v>1.0666666666666669</v>
      </c>
      <c r="BK10" s="23">
        <f>[1]节奏总纲!BK10</f>
        <v>1.0880000000000003</v>
      </c>
      <c r="BL10" s="23">
        <f>[1]节奏总纲!BL10</f>
        <v>1.1306666666666669</v>
      </c>
      <c r="BM10" s="23">
        <f>[1]节奏总纲!BM10</f>
        <v>1.2160000000000002</v>
      </c>
      <c r="BN10" s="23">
        <f>[1]节奏总纲!BN10</f>
        <v>1.4933333333333336</v>
      </c>
    </row>
    <row r="11" spans="2:66" x14ac:dyDescent="0.15">
      <c r="B11" s="23">
        <v>40</v>
      </c>
      <c r="C11" s="23">
        <v>15</v>
      </c>
      <c r="D11" s="23">
        <v>8</v>
      </c>
      <c r="F11" s="23">
        <v>9</v>
      </c>
      <c r="G11" s="23">
        <v>0.86606598307361482</v>
      </c>
      <c r="I11" s="23">
        <v>9</v>
      </c>
      <c r="J11" s="23">
        <v>0.57090651823243421</v>
      </c>
      <c r="K11" s="1">
        <v>0.46</v>
      </c>
      <c r="N11" s="35">
        <f>[1]节奏总纲!N11</f>
        <v>16</v>
      </c>
      <c r="O11" s="23">
        <v>8</v>
      </c>
      <c r="P11" s="23">
        <f>[1]节奏总纲!P11</f>
        <v>0.74110112659224825</v>
      </c>
      <c r="Q11" s="23">
        <f>[1]节奏总纲!Q11</f>
        <v>0.62882430591352267</v>
      </c>
      <c r="R11" s="23">
        <f>[1]节奏总纲!R11</f>
        <v>0.50261478405486282</v>
      </c>
      <c r="S11" s="23">
        <f>[1]节奏总纲!S11</f>
        <v>0.35913760594660349</v>
      </c>
      <c r="T11" s="23">
        <f>[1]节奏总纲!T11</f>
        <v>0.19179697156207381</v>
      </c>
      <c r="V11" s="23">
        <v>8</v>
      </c>
      <c r="W11" s="23">
        <f>[1]节奏总纲!W11</f>
        <v>0.1165963338797773</v>
      </c>
      <c r="X11" s="23">
        <f>[1]节奏总纲!X11</f>
        <v>9.9244241693347335E-2</v>
      </c>
      <c r="Y11" s="23">
        <f>[1]节奏总纲!Y11</f>
        <v>8.0449544181232402E-2</v>
      </c>
      <c r="Z11" s="23">
        <f>[1]节奏总纲!Z11</f>
        <v>5.7938944421378757E-2</v>
      </c>
      <c r="AA11" s="23">
        <f>[1]节奏总纲!AA11</f>
        <v>3.0175131208086348E-2</v>
      </c>
      <c r="AC11" s="23">
        <v>8</v>
      </c>
      <c r="AD11" s="23">
        <f>[1]节奏总纲!AD11</f>
        <v>31.691928656135214</v>
      </c>
      <c r="AE11" s="23">
        <f>[1]节奏总纲!AE11</f>
        <v>33.450348816719846</v>
      </c>
      <c r="AF11" s="23">
        <f>[1]节奏总纲!AF11</f>
        <v>36.14947720061452</v>
      </c>
      <c r="AG11" s="23">
        <f>[1]节奏总纲!AG11</f>
        <v>39.803708465145405</v>
      </c>
      <c r="AH11" s="23">
        <f>[1]节奏总纲!AH11</f>
        <v>49.615364868460929</v>
      </c>
      <c r="AL11" s="23">
        <v>8</v>
      </c>
      <c r="AM11" s="23">
        <f>[1]节奏总纲!AM11</f>
        <v>0.42660095793436714</v>
      </c>
      <c r="AN11" s="23">
        <f>[1]节奏总纲!AN11</f>
        <v>0.34128076634749371</v>
      </c>
      <c r="AO11" s="23">
        <f>[1]节奏总纲!AO11</f>
        <v>0.25596057476062029</v>
      </c>
      <c r="AP11" s="23">
        <f>[1]节奏总纲!AP11</f>
        <v>0.17064038317374686</v>
      </c>
      <c r="AQ11" s="23">
        <f>[1]节奏总纲!AQ11</f>
        <v>8.5320191586873428E-2</v>
      </c>
      <c r="AS11" s="23">
        <v>8</v>
      </c>
      <c r="AT11" s="23">
        <f>[1]节奏总纲!AT11</f>
        <v>0.11518795184066732</v>
      </c>
      <c r="AU11" s="23">
        <f>[1]节奏总纲!AU11</f>
        <v>9.2150361472533859E-2</v>
      </c>
      <c r="AV11" s="23">
        <f>[1]节奏总纲!AV11</f>
        <v>6.9112771104400395E-2</v>
      </c>
      <c r="AW11" s="23">
        <f>[1]节奏总纲!AW11</f>
        <v>4.607518073626693E-2</v>
      </c>
      <c r="AX11" s="23">
        <f>[1]节奏总纲!AX11</f>
        <v>2.3037590368133465E-2</v>
      </c>
      <c r="AY11" s="23"/>
      <c r="AZ11" s="23">
        <v>8</v>
      </c>
      <c r="BA11" s="23">
        <f>[1]节奏总纲!BA11</f>
        <v>22.400634983357783</v>
      </c>
      <c r="BB11" s="23">
        <f>[1]节奏总纲!BB11</f>
        <v>23.710496742673982</v>
      </c>
      <c r="BC11" s="23">
        <f>[1]节奏总纲!BC11</f>
        <v>25.412810862541733</v>
      </c>
      <c r="BD11" s="23">
        <f>[1]节奏总纲!BD11</f>
        <v>27.863030247590562</v>
      </c>
      <c r="BE11" s="23">
        <f>[1]节奏总纲!BE11</f>
        <v>32.113552950216736</v>
      </c>
      <c r="BI11" s="24">
        <v>8</v>
      </c>
      <c r="BJ11" s="23">
        <f>[1]节奏总纲!BJ11</f>
        <v>1.1000000000000003</v>
      </c>
      <c r="BK11" s="23">
        <f>[1]节奏总纲!BK11</f>
        <v>1.1220000000000003</v>
      </c>
      <c r="BL11" s="23">
        <f>[1]节奏总纲!BL11</f>
        <v>1.1660000000000004</v>
      </c>
      <c r="BM11" s="23">
        <f>[1]节奏总纲!BM11</f>
        <v>1.2540000000000002</v>
      </c>
      <c r="BN11" s="23">
        <f>[1]节奏总纲!BN11</f>
        <v>1.5400000000000003</v>
      </c>
    </row>
    <row r="12" spans="2:66" x14ac:dyDescent="0.15">
      <c r="B12" s="23">
        <v>50</v>
      </c>
      <c r="C12" s="23">
        <v>31</v>
      </c>
      <c r="D12" s="23">
        <v>16</v>
      </c>
      <c r="F12" s="23">
        <v>10</v>
      </c>
      <c r="G12" s="23">
        <v>1</v>
      </c>
      <c r="I12" s="23">
        <v>10</v>
      </c>
      <c r="J12" s="23">
        <v>0.75</v>
      </c>
      <c r="K12" s="1">
        <v>0.5</v>
      </c>
      <c r="N12" s="35">
        <f>[1]节奏总纲!N12</f>
        <v>18</v>
      </c>
      <c r="O12" s="23">
        <v>9</v>
      </c>
      <c r="P12" s="23">
        <f>[1]节奏总纲!P12</f>
        <v>0.86606598307361482</v>
      </c>
      <c r="Q12" s="23">
        <f>[1]节奏总纲!Q12</f>
        <v>0.7354632328261137</v>
      </c>
      <c r="R12" s="23">
        <f>[1]节奏总纲!R12</f>
        <v>0.5847677517713048</v>
      </c>
      <c r="S12" s="23">
        <f>[1]节奏总纲!S12</f>
        <v>0.41397953990918784</v>
      </c>
      <c r="T12" s="23">
        <f>[1]节奏总纲!T12</f>
        <v>0.21989415310239083</v>
      </c>
      <c r="V12" s="23">
        <v>9</v>
      </c>
      <c r="W12" s="23">
        <f>[1]节奏总纲!W12</f>
        <v>0.12496485648136657</v>
      </c>
      <c r="X12" s="23">
        <f>[1]节奏总纲!X12</f>
        <v>0.10663892691259103</v>
      </c>
      <c r="Y12" s="23">
        <f>[1]节奏总纲!Y12</f>
        <v>8.2152967716441982E-2</v>
      </c>
      <c r="Z12" s="23">
        <f>[1]节奏总纲!Z12</f>
        <v>5.4841933962584355E-2</v>
      </c>
      <c r="AA12" s="23">
        <f>[1]节奏总纲!AA12</f>
        <v>2.8097181540317012E-2</v>
      </c>
      <c r="AC12" s="23">
        <v>9</v>
      </c>
      <c r="AD12" s="23">
        <f>[1]节奏总纲!AD12</f>
        <v>33.213386604241784</v>
      </c>
      <c r="AE12" s="23">
        <f>[1]节奏总纲!AE12</f>
        <v>34.981981072715584</v>
      </c>
      <c r="AF12" s="23">
        <f>[1]节奏总纲!AF12</f>
        <v>37.892711451771461</v>
      </c>
      <c r="AG12" s="23">
        <f>[1]节奏总纲!AG12</f>
        <v>41.2660631640329</v>
      </c>
      <c r="AH12" s="23">
        <f>[1]节奏总纲!AH12</f>
        <v>50.311588960916467</v>
      </c>
      <c r="AL12" s="23">
        <v>9</v>
      </c>
      <c r="AM12" s="23">
        <f>[1]节奏总纲!AM12</f>
        <v>0.57090651823243421</v>
      </c>
      <c r="AN12" s="23">
        <f>[1]节奏总纲!AN12</f>
        <v>0.45672521458594739</v>
      </c>
      <c r="AO12" s="23">
        <f>[1]节奏总纲!AO12</f>
        <v>0.34254391093946052</v>
      </c>
      <c r="AP12" s="23">
        <f>[1]节奏总纲!AP12</f>
        <v>0.2283626072929737</v>
      </c>
      <c r="AQ12" s="23">
        <f>[1]节奏总纲!AQ12</f>
        <v>0.11418130364648685</v>
      </c>
      <c r="AS12" s="23">
        <v>9</v>
      </c>
      <c r="AT12" s="23">
        <f>[1]节奏总纲!AT12</f>
        <v>0.14430556029806707</v>
      </c>
      <c r="AU12" s="23">
        <f>[1]节奏总纲!AU12</f>
        <v>0.11544444823845368</v>
      </c>
      <c r="AV12" s="23">
        <f>[1]节奏总纲!AV12</f>
        <v>8.6583336178840231E-2</v>
      </c>
      <c r="AW12" s="23">
        <f>[1]节奏总纲!AW12</f>
        <v>5.7722224119226839E-2</v>
      </c>
      <c r="AX12" s="23">
        <f>[1]节奏总纲!AX12</f>
        <v>2.886111205961342E-2</v>
      </c>
      <c r="AY12" s="23"/>
      <c r="AZ12" s="23">
        <v>9</v>
      </c>
      <c r="BA12" s="23">
        <f>[1]节奏总纲!BA12</f>
        <v>23.100336713798686</v>
      </c>
      <c r="BB12" s="23">
        <f>[1]节奏总纲!BB12</f>
        <v>24.402761517547276</v>
      </c>
      <c r="BC12" s="23">
        <f>[1]节奏总纲!BC12</f>
        <v>26.127796402772656</v>
      </c>
      <c r="BD12" s="23">
        <f>[1]节奏总纲!BD12</f>
        <v>28.568390277483555</v>
      </c>
      <c r="BE12" s="23">
        <f>[1]节奏总纲!BE12</f>
        <v>32.842201900114915</v>
      </c>
      <c r="BI12" s="24">
        <v>9</v>
      </c>
      <c r="BJ12" s="23">
        <f>[1]节奏总纲!BJ12</f>
        <v>1.1333333333333337</v>
      </c>
      <c r="BK12" s="23">
        <f>[1]节奏总纲!BK12</f>
        <v>1.1560000000000004</v>
      </c>
      <c r="BL12" s="23">
        <f>[1]节奏总纲!BL12</f>
        <v>1.2013333333333338</v>
      </c>
      <c r="BM12" s="23">
        <f>[1]节奏总纲!BM12</f>
        <v>1.2920000000000003</v>
      </c>
      <c r="BN12" s="23">
        <f>[1]节奏总纲!BN12</f>
        <v>1.5866666666666671</v>
      </c>
    </row>
    <row r="13" spans="2:66" x14ac:dyDescent="0.15">
      <c r="B13" s="23">
        <v>60</v>
      </c>
      <c r="C13" s="23">
        <v>63</v>
      </c>
      <c r="D13" s="23">
        <v>32</v>
      </c>
      <c r="F13" s="23">
        <v>11</v>
      </c>
      <c r="G13" s="23">
        <v>1.1435469250725863</v>
      </c>
      <c r="I13" s="23">
        <v>11</v>
      </c>
      <c r="J13" s="23">
        <v>0.93464628919691628</v>
      </c>
      <c r="K13" s="1">
        <v>0.52</v>
      </c>
      <c r="N13" s="35">
        <f>[1]节奏总纲!N13</f>
        <v>20</v>
      </c>
      <c r="O13" s="23">
        <v>10</v>
      </c>
      <c r="P13" s="23">
        <f>[1]节奏总纲!P13</f>
        <v>1</v>
      </c>
      <c r="Q13" s="23">
        <f>[1]节奏总纲!Q13</f>
        <v>0.84350000000000003</v>
      </c>
      <c r="R13" s="23">
        <f>[1]节奏总纲!R13</f>
        <v>0.66969999999999996</v>
      </c>
      <c r="S13" s="23">
        <f>[1]节奏总纲!S13</f>
        <v>0.47799999999999998</v>
      </c>
      <c r="T13" s="23">
        <f>[1]节奏总纲!T13</f>
        <v>0.25919999999999999</v>
      </c>
      <c r="V13" s="23">
        <v>10</v>
      </c>
      <c r="W13" s="23">
        <f>[1]节奏总纲!W13</f>
        <v>0.13393401692638518</v>
      </c>
      <c r="X13" s="23">
        <f>[1]节奏总纲!X13</f>
        <v>0.10803676717388633</v>
      </c>
      <c r="Y13" s="23">
        <f>[1]节奏总纲!Y13</f>
        <v>8.4932248228695162E-2</v>
      </c>
      <c r="Z13" s="23">
        <f>[1]节奏总纲!Z13</f>
        <v>6.4020460090812137E-2</v>
      </c>
      <c r="AA13" s="23">
        <f>[1]节奏总纲!AA13</f>
        <v>3.9305846897609159E-2</v>
      </c>
      <c r="AC13" s="23">
        <v>10</v>
      </c>
      <c r="AD13" s="23">
        <f>[1]节奏总纲!AD13</f>
        <v>34.585942742481357</v>
      </c>
      <c r="AE13" s="23">
        <f>[1]节奏总纲!AE13</f>
        <v>36.420378366486965</v>
      </c>
      <c r="AF13" s="23">
        <f>[1]节奏总纲!AF13</f>
        <v>39.018299834725916</v>
      </c>
      <c r="AG13" s="23">
        <f>[1]节奏总纲!AG13</f>
        <v>42.651211016367654</v>
      </c>
      <c r="AH13" s="23">
        <f>[1]节奏总纲!AH13</f>
        <v>50.909074983766843</v>
      </c>
      <c r="AL13" s="23">
        <v>10</v>
      </c>
      <c r="AM13" s="23">
        <f>[1]节奏总纲!AM13</f>
        <v>0.75</v>
      </c>
      <c r="AN13" s="23">
        <f>[1]节奏总纲!AN13</f>
        <v>0.60000000000000009</v>
      </c>
      <c r="AO13" s="23">
        <f>[1]节奏总纲!AO13</f>
        <v>0.44999999999999996</v>
      </c>
      <c r="AP13" s="23">
        <f>[1]节奏总纲!AP13</f>
        <v>0.30000000000000004</v>
      </c>
      <c r="AQ13" s="23">
        <f>[1]节奏总纲!AQ13</f>
        <v>0.15000000000000002</v>
      </c>
      <c r="AS13" s="23">
        <v>10</v>
      </c>
      <c r="AT13" s="23">
        <f>[1]节奏总纲!AT13</f>
        <v>0.17909348176756579</v>
      </c>
      <c r="AU13" s="23">
        <f>[1]节奏总纲!AU13</f>
        <v>0.1432747854140527</v>
      </c>
      <c r="AV13" s="23">
        <f>[1]节奏总纲!AV13</f>
        <v>0.10745608906053944</v>
      </c>
      <c r="AW13" s="23">
        <f>[1]节奏总纲!AW13</f>
        <v>7.1637392707026348E-2</v>
      </c>
      <c r="AX13" s="23">
        <f>[1]节奏总纲!AX13</f>
        <v>3.5818696353513174E-2</v>
      </c>
      <c r="AY13" s="23"/>
      <c r="AZ13" s="23">
        <v>10</v>
      </c>
      <c r="BA13" s="23">
        <f>[1]节奏总纲!BA13</f>
        <v>23.710496742673982</v>
      </c>
      <c r="BB13" s="23">
        <f>[1]节奏总纲!BB13</f>
        <v>25.044229735272328</v>
      </c>
      <c r="BC13" s="23">
        <f>[1]节奏总纲!BC13</f>
        <v>26.755953543357073</v>
      </c>
      <c r="BD13" s="23">
        <f>[1]节奏总纲!BD13</f>
        <v>29.216428548527322</v>
      </c>
      <c r="BE13" s="23">
        <f>[1]节奏总纲!BE13</f>
        <v>33.487933395889513</v>
      </c>
      <c r="BI13" s="24">
        <v>10</v>
      </c>
      <c r="BJ13" s="23">
        <f>[1]节奏总纲!BJ13</f>
        <v>1.1666666666666672</v>
      </c>
      <c r="BK13" s="23">
        <f>[1]节奏总纲!BK13</f>
        <v>1.1900000000000006</v>
      </c>
      <c r="BL13" s="23">
        <f>[1]节奏总纲!BL13</f>
        <v>1.2366666666666672</v>
      </c>
      <c r="BM13" s="23">
        <f>[1]节奏总纲!BM13</f>
        <v>1.3300000000000005</v>
      </c>
      <c r="BN13" s="23">
        <f>[1]节奏总纲!BN13</f>
        <v>1.633333333333334</v>
      </c>
    </row>
    <row r="14" spans="2:66" x14ac:dyDescent="0.15">
      <c r="B14" s="23">
        <v>70</v>
      </c>
      <c r="C14" s="23">
        <v>127</v>
      </c>
      <c r="D14" s="23">
        <v>64</v>
      </c>
      <c r="F14" s="23">
        <v>12</v>
      </c>
      <c r="G14" s="23">
        <v>1.2973967099940702</v>
      </c>
      <c r="I14" s="23">
        <v>12</v>
      </c>
      <c r="J14" s="23">
        <v>1.1550685436347259</v>
      </c>
      <c r="K14" s="1">
        <v>0.54</v>
      </c>
      <c r="N14" s="35">
        <f>[1]节奏总纲!N14</f>
        <v>21</v>
      </c>
      <c r="O14" s="23">
        <v>11</v>
      </c>
      <c r="P14" s="23">
        <f>[1]节奏总纲!P14</f>
        <v>1.1435469250725863</v>
      </c>
      <c r="Q14" s="23">
        <f>[1]节奏总纲!Q14</f>
        <v>0.97544552708691601</v>
      </c>
      <c r="R14" s="23">
        <f>[1]节奏总纲!R14</f>
        <v>0.78676028444993928</v>
      </c>
      <c r="S14" s="23">
        <f>[1]节奏总纲!S14</f>
        <v>0.56719927483600274</v>
      </c>
      <c r="T14" s="23">
        <f>[1]节奏总纲!T14</f>
        <v>0.30875766976959829</v>
      </c>
      <c r="V14" s="23">
        <v>11</v>
      </c>
      <c r="W14" s="23">
        <f>[1]节奏总纲!W14</f>
        <v>0.14354692507258626</v>
      </c>
      <c r="X14" s="23">
        <f>[1]节奏总纲!X14</f>
        <v>0.13194552708691598</v>
      </c>
      <c r="Y14" s="23">
        <f>[1]节奏总纲!Y14</f>
        <v>0.11706028444993932</v>
      </c>
      <c r="Z14" s="23">
        <f>[1]节奏总纲!Z14</f>
        <v>8.9199274836002762E-2</v>
      </c>
      <c r="AA14" s="23">
        <f>[1]节奏总纲!AA14</f>
        <v>4.95576697695983E-2</v>
      </c>
      <c r="AC14" s="23">
        <v>11</v>
      </c>
      <c r="AD14" s="23">
        <f>[1]节奏总纲!AD14</f>
        <v>35.845161563010116</v>
      </c>
      <c r="AE14" s="23">
        <f>[1]节奏总纲!AE14</f>
        <v>37.835462257348986</v>
      </c>
      <c r="AF14" s="23">
        <f>[1]节奏总纲!AF14</f>
        <v>40.156529087505227</v>
      </c>
      <c r="AG14" s="23">
        <f>[1]节奏总纲!AG14</f>
        <v>43.974789987631326</v>
      </c>
      <c r="AH14" s="23">
        <f>[1]节奏总纲!AH14</f>
        <v>51.992485346749106</v>
      </c>
      <c r="AL14" s="23">
        <v>11</v>
      </c>
      <c r="AM14" s="23">
        <f>[1]节奏总纲!AM14</f>
        <v>0.93464628919691628</v>
      </c>
      <c r="AN14" s="23">
        <f>[1]节奏总纲!AN14</f>
        <v>0.74771703135753309</v>
      </c>
      <c r="AO14" s="23">
        <f>[1]节奏总纲!AO14</f>
        <v>0.56078777351814979</v>
      </c>
      <c r="AP14" s="23">
        <f>[1]节奏总纲!AP14</f>
        <v>0.37385851567876655</v>
      </c>
      <c r="AQ14" s="23">
        <f>[1]节奏总纲!AQ14</f>
        <v>0.18692925783938327</v>
      </c>
      <c r="AS14" s="23">
        <v>11</v>
      </c>
      <c r="AT14" s="23">
        <f>[1]节奏总纲!AT14</f>
        <v>0.18464628919691628</v>
      </c>
      <c r="AU14" s="23">
        <f>[1]节奏总纲!AU14</f>
        <v>0.147717031357533</v>
      </c>
      <c r="AV14" s="23">
        <f>[1]节奏总纲!AV14</f>
        <v>0.11078777351814983</v>
      </c>
      <c r="AW14" s="23">
        <f>[1]节奏总纲!AW14</f>
        <v>7.3858515678766501E-2</v>
      </c>
      <c r="AX14" s="23">
        <f>[1]节奏总纲!AX14</f>
        <v>3.692925783938325E-2</v>
      </c>
      <c r="AY14" s="23"/>
      <c r="AZ14" s="23">
        <v>11</v>
      </c>
      <c r="BA14" s="23">
        <f>[1]节奏总纲!BA14</f>
        <v>24.272927064840161</v>
      </c>
      <c r="BB14" s="23">
        <f>[1]节奏总纲!BB14</f>
        <v>25.597101426176433</v>
      </c>
      <c r="BC14" s="23">
        <f>[1]节奏总纲!BC14</f>
        <v>27.327481651231444</v>
      </c>
      <c r="BD14" s="23">
        <f>[1]节奏总纲!BD14</f>
        <v>29.80118336305917</v>
      </c>
      <c r="BE14" s="23">
        <f>[1]节奏总纲!BE14</f>
        <v>34.09469189131628</v>
      </c>
      <c r="BI14" s="24">
        <v>11</v>
      </c>
      <c r="BJ14" s="23">
        <f>[1]节奏总纲!BJ14</f>
        <v>1.2000000000000006</v>
      </c>
      <c r="BK14" s="23">
        <f>[1]节奏总纲!BK14</f>
        <v>1.2240000000000006</v>
      </c>
      <c r="BL14" s="23">
        <f>[1]节奏总纲!BL14</f>
        <v>1.2720000000000007</v>
      </c>
      <c r="BM14" s="23">
        <f>[1]节奏总纲!BM14</f>
        <v>1.3680000000000005</v>
      </c>
      <c r="BN14" s="23">
        <f>[1]节奏总纲!BN14</f>
        <v>1.6800000000000008</v>
      </c>
    </row>
    <row r="15" spans="2:66" x14ac:dyDescent="0.15">
      <c r="B15" s="23">
        <v>80</v>
      </c>
      <c r="C15" s="23">
        <v>255</v>
      </c>
      <c r="D15" s="23">
        <v>128</v>
      </c>
      <c r="F15" s="23">
        <v>13</v>
      </c>
      <c r="G15" s="23">
        <v>1.4622888266898326</v>
      </c>
      <c r="I15" s="23">
        <v>13</v>
      </c>
      <c r="J15" s="23">
        <v>1.417602554491646</v>
      </c>
      <c r="K15" s="1">
        <v>0.56000000000000005</v>
      </c>
      <c r="N15" s="35">
        <f>[1]节奏总纲!N15</f>
        <v>22</v>
      </c>
      <c r="O15" s="23">
        <v>12</v>
      </c>
      <c r="P15" s="23">
        <f>[1]节奏总纲!P15</f>
        <v>1.2973967099940702</v>
      </c>
      <c r="Q15" s="23">
        <f>[1]节奏总纲!Q15</f>
        <v>1.1090147077029313</v>
      </c>
      <c r="R15" s="23">
        <f>[1]节奏总纲!R15</f>
        <v>0.89702008528990018</v>
      </c>
      <c r="S15" s="23">
        <f>[1]节奏总纲!S15</f>
        <v>0.64947679302303163</v>
      </c>
      <c r="T15" s="23">
        <f>[1]节奏总纲!T15</f>
        <v>0.35354060347338417</v>
      </c>
      <c r="V15" s="23">
        <v>12</v>
      </c>
      <c r="W15" s="23">
        <f>[1]节奏总纲!W15</f>
        <v>0.15384978492148393</v>
      </c>
      <c r="X15" s="23">
        <f>[1]节奏总纲!X15</f>
        <v>0.1335691806160153</v>
      </c>
      <c r="Y15" s="23">
        <f>[1]节奏总纲!Y15</f>
        <v>0.1102598008399609</v>
      </c>
      <c r="Z15" s="23">
        <f>[1]节奏总纲!Z15</f>
        <v>8.2277518187028886E-2</v>
      </c>
      <c r="AA15" s="23">
        <f>[1]节奏总纲!AA15</f>
        <v>4.4782933703785888E-2</v>
      </c>
      <c r="AC15" s="23">
        <v>12</v>
      </c>
      <c r="AD15" s="23">
        <f>[1]节奏总纲!AD15</f>
        <v>37.004247194324648</v>
      </c>
      <c r="AE15" s="23">
        <f>[1]节奏总纲!AE15</f>
        <v>38.952312700618464</v>
      </c>
      <c r="AF15" s="23">
        <f>[1]节奏总纲!AF15</f>
        <v>41.250784240188885</v>
      </c>
      <c r="AG15" s="23">
        <f>[1]节奏总纲!AG15</f>
        <v>46.229656396965908</v>
      </c>
      <c r="AH15" s="23">
        <f>[1]节奏总纲!AH15</f>
        <v>53.926967851226287</v>
      </c>
      <c r="AL15" s="23">
        <v>12</v>
      </c>
      <c r="AM15" s="23">
        <f>[1]节奏总纲!AM15</f>
        <v>1.1550685436347259</v>
      </c>
      <c r="AN15" s="23">
        <f>[1]节奏总纲!AN15</f>
        <v>0.92405483490778073</v>
      </c>
      <c r="AO15" s="23">
        <f>[1]节奏总纲!AO15</f>
        <v>0.69304112618083547</v>
      </c>
      <c r="AP15" s="23">
        <f>[1]节奏总纲!AP15</f>
        <v>0.46202741745389037</v>
      </c>
      <c r="AQ15" s="23">
        <f>[1]节奏总纲!AQ15</f>
        <v>0.23101370872694518</v>
      </c>
      <c r="AS15" s="23">
        <v>12</v>
      </c>
      <c r="AT15" s="23">
        <f>[1]节奏总纲!AT15</f>
        <v>0.22042225443780961</v>
      </c>
      <c r="AU15" s="23">
        <f>[1]节奏总纲!AU15</f>
        <v>0.17633780355024764</v>
      </c>
      <c r="AV15" s="23">
        <f>[1]节奏总纲!AV15</f>
        <v>0.13225335266268567</v>
      </c>
      <c r="AW15" s="23">
        <f>[1]节奏总纲!AW15</f>
        <v>8.816890177512382E-2</v>
      </c>
      <c r="AX15" s="23">
        <f>[1]节奏总纲!AX15</f>
        <v>4.408445088756191E-2</v>
      </c>
      <c r="AY15" s="23"/>
      <c r="AZ15" s="23">
        <v>12</v>
      </c>
      <c r="BA15" s="23">
        <f>[1]节奏总纲!BA15</f>
        <v>24.792264875668618</v>
      </c>
      <c r="BB15" s="23">
        <f>[1]节奏总纲!BB15</f>
        <v>26.127796402772656</v>
      </c>
      <c r="BC15" s="23">
        <f>[1]节奏总纲!BC15</f>
        <v>27.863030247590562</v>
      </c>
      <c r="BD15" s="23">
        <f>[1]节奏总纲!BD15</f>
        <v>30.329493925593439</v>
      </c>
      <c r="BE15" s="23">
        <f>[1]节奏总纲!BE15</f>
        <v>34.627226072894942</v>
      </c>
      <c r="BI15" s="24">
        <v>12</v>
      </c>
      <c r="BJ15" s="23">
        <f>[1]节奏总纲!BJ15</f>
        <v>1.2333333333333341</v>
      </c>
      <c r="BK15" s="23">
        <f>[1]节奏总纲!BK15</f>
        <v>1.2580000000000007</v>
      </c>
      <c r="BL15" s="23">
        <f>[1]节奏总纲!BL15</f>
        <v>1.3073333333333341</v>
      </c>
      <c r="BM15" s="23">
        <f>[1]节奏总纲!BM15</f>
        <v>1.4060000000000008</v>
      </c>
      <c r="BN15" s="23">
        <f>[1]节奏总纲!BN15</f>
        <v>1.7266666666666677</v>
      </c>
    </row>
    <row r="16" spans="2:66" x14ac:dyDescent="0.15">
      <c r="B16" s="23">
        <v>90</v>
      </c>
      <c r="C16" s="23">
        <v>511</v>
      </c>
      <c r="D16" s="23">
        <v>256</v>
      </c>
      <c r="F16" s="23">
        <v>14</v>
      </c>
      <c r="G16" s="23">
        <v>1.6390158215457884</v>
      </c>
      <c r="I16" s="23">
        <v>14</v>
      </c>
      <c r="J16" s="23">
        <v>1.7296773068470075</v>
      </c>
      <c r="K16" s="1">
        <v>0.57999999999999996</v>
      </c>
      <c r="N16" s="35">
        <f>[1]节奏总纲!N16</f>
        <v>23</v>
      </c>
      <c r="O16" s="23">
        <v>13</v>
      </c>
      <c r="P16" s="23">
        <f>[1]节奏总纲!P16</f>
        <v>1.4622888266898326</v>
      </c>
      <c r="Q16" s="23">
        <f>[1]节奏总纲!Q16</f>
        <v>1.2549362710652143</v>
      </c>
      <c r="R16" s="23">
        <f>[1]节奏总纲!R16</f>
        <v>1.0148284457227437</v>
      </c>
      <c r="S16" s="23">
        <f>[1]节奏总纲!S16</f>
        <v>0.73626242423833066</v>
      </c>
      <c r="T16" s="23">
        <f>[1]节奏总纲!T16</f>
        <v>0.4028605717530489</v>
      </c>
      <c r="V16" s="23">
        <v>13</v>
      </c>
      <c r="W16" s="23">
        <f>[1]节奏总纲!W16</f>
        <v>0.16489211669576243</v>
      </c>
      <c r="X16" s="23">
        <f>[1]节奏总纲!X16</f>
        <v>0.14592156336228301</v>
      </c>
      <c r="Y16" s="23">
        <f>[1]节奏总纲!Y16</f>
        <v>0.11780836043284348</v>
      </c>
      <c r="Z16" s="23">
        <f>[1]节奏总纲!Z16</f>
        <v>8.6785631215299031E-2</v>
      </c>
      <c r="AA16" s="23">
        <f>[1]节奏总纲!AA16</f>
        <v>4.9319968279664728E-2</v>
      </c>
      <c r="AC16" s="23">
        <v>13</v>
      </c>
      <c r="AD16" s="23">
        <f>[1]节奏总纲!AD16</f>
        <v>38.071211008105138</v>
      </c>
      <c r="AE16" s="23">
        <f>[1]节奏总纲!AE16</f>
        <v>39.900612524117953</v>
      </c>
      <c r="AF16" s="23">
        <f>[1]节奏总纲!AF16</f>
        <v>42.277108242340987</v>
      </c>
      <c r="AG16" s="23">
        <f>[1]节奏总纲!AG16</f>
        <v>48.4996665519486</v>
      </c>
      <c r="AH16" s="23">
        <f>[1]节奏总纲!AH16</f>
        <v>55.75556877794282</v>
      </c>
      <c r="AL16" s="23">
        <v>13</v>
      </c>
      <c r="AM16" s="23">
        <f>[1]节奏总纲!AM16</f>
        <v>1.417602554491646</v>
      </c>
      <c r="AN16" s="23">
        <f>[1]节奏总纲!AN16</f>
        <v>1.1340820435933168</v>
      </c>
      <c r="AO16" s="23">
        <f>[1]节奏总纲!AO16</f>
        <v>0.85056153269498758</v>
      </c>
      <c r="AP16" s="23">
        <f>[1]节奏总纲!AP16</f>
        <v>0.56704102179665838</v>
      </c>
      <c r="AQ16" s="23">
        <f>[1]节奏总纲!AQ16</f>
        <v>0.28352051089832919</v>
      </c>
      <c r="AS16" s="23">
        <v>13</v>
      </c>
      <c r="AT16" s="23">
        <f>[1]节奏总纲!AT16</f>
        <v>0.26253401085692007</v>
      </c>
      <c r="AU16" s="23">
        <f>[1]节奏总纲!AU16</f>
        <v>0.21002720868553604</v>
      </c>
      <c r="AV16" s="23">
        <f>[1]节奏总纲!AV16</f>
        <v>0.15752040651415211</v>
      </c>
      <c r="AW16" s="23">
        <f>[1]节奏总纲!AW16</f>
        <v>0.10501360434276802</v>
      </c>
      <c r="AX16" s="23">
        <f>[1]节奏总纲!AX16</f>
        <v>5.2506802171384009E-2</v>
      </c>
      <c r="AY16" s="23"/>
      <c r="AZ16" s="23">
        <v>13</v>
      </c>
      <c r="BA16" s="23">
        <f>[1]节奏总纲!BA16</f>
        <v>25.265378411633971</v>
      </c>
      <c r="BB16" s="23">
        <f>[1]节奏总纲!BB16</f>
        <v>26.598914258210968</v>
      </c>
      <c r="BC16" s="23">
        <f>[1]节奏总纲!BC16</f>
        <v>28.339982398803929</v>
      </c>
      <c r="BD16" s="23">
        <f>[1]节奏总纲!BD16</f>
        <v>30.828727146189561</v>
      </c>
      <c r="BE16" s="23">
        <f>[1]节奏总纲!BE16</f>
        <v>35.146386283795508</v>
      </c>
      <c r="BI16" s="24">
        <v>13</v>
      </c>
      <c r="BJ16" s="23">
        <f>[1]节奏总纲!BJ16</f>
        <v>1.2666666666666675</v>
      </c>
      <c r="BK16" s="23">
        <f>[1]节奏总纲!BK16</f>
        <v>1.2920000000000009</v>
      </c>
      <c r="BL16" s="23">
        <f>[1]节奏总纲!BL16</f>
        <v>1.3426666666666676</v>
      </c>
      <c r="BM16" s="23">
        <f>[1]节奏总纲!BM16</f>
        <v>1.4440000000000008</v>
      </c>
      <c r="BN16" s="23">
        <f>[1]节奏总纲!BN16</f>
        <v>1.7733333333333343</v>
      </c>
    </row>
    <row r="17" spans="2:66" x14ac:dyDescent="0.15">
      <c r="B17" s="23">
        <v>100</v>
      </c>
      <c r="C17" s="23">
        <v>1023</v>
      </c>
      <c r="D17" s="23">
        <v>512</v>
      </c>
      <c r="F17" s="23">
        <v>15</v>
      </c>
      <c r="G17" s="23">
        <v>1.8284271247461898</v>
      </c>
      <c r="I17" s="23">
        <v>15</v>
      </c>
      <c r="J17" s="23">
        <v>2.1</v>
      </c>
      <c r="K17" s="1">
        <v>0.6</v>
      </c>
      <c r="N17" s="35">
        <f>[1]节奏总纲!N17</f>
        <v>24</v>
      </c>
      <c r="O17" s="23">
        <v>14</v>
      </c>
      <c r="P17" s="23">
        <f>[1]节奏总纲!P17</f>
        <v>1.6390158215457884</v>
      </c>
      <c r="Q17" s="23">
        <f>[1]节奏总纲!Q17</f>
        <v>1.4033253464075039</v>
      </c>
      <c r="R17" s="23">
        <f>[1]节奏总纲!R17</f>
        <v>1.1368213738241588</v>
      </c>
      <c r="S17" s="23">
        <f>[1]节奏总纲!S17</f>
        <v>0.82442495823753159</v>
      </c>
      <c r="T17" s="23">
        <f>[1]节奏总纲!T17</f>
        <v>0.45040154776078262</v>
      </c>
      <c r="V17" s="23">
        <v>14</v>
      </c>
      <c r="W17" s="23">
        <f>[1]节奏总纲!W17</f>
        <v>0.17672699485595578</v>
      </c>
      <c r="X17" s="23">
        <f>[1]节奏总纲!X17</f>
        <v>0.14838907534228962</v>
      </c>
      <c r="Y17" s="23">
        <f>[1]节奏总纲!Y17</f>
        <v>0.12199292810141515</v>
      </c>
      <c r="Z17" s="23">
        <f>[1]节奏总纲!Z17</f>
        <v>8.8162533999200932E-2</v>
      </c>
      <c r="AA17" s="23">
        <f>[1]节奏总纲!AA17</f>
        <v>4.7540976007733715E-2</v>
      </c>
      <c r="AC17" s="23">
        <v>14</v>
      </c>
      <c r="AD17" s="23">
        <f>[1]节奏总纲!AD17</f>
        <v>39.066704614192943</v>
      </c>
      <c r="AE17" s="23">
        <f>[1]节奏总纲!AE17</f>
        <v>40.878796672110767</v>
      </c>
      <c r="AF17" s="23">
        <f>[1]节奏总纲!AF17</f>
        <v>43.296044807815257</v>
      </c>
      <c r="AG17" s="23">
        <f>[1]节奏总纲!AG17</f>
        <v>49.424665590895735</v>
      </c>
      <c r="AH17" s="23">
        <f>[1]节奏总纲!AH17</f>
        <v>56.782731988307333</v>
      </c>
      <c r="AL17" s="23">
        <v>14</v>
      </c>
      <c r="AM17" s="23">
        <f>[1]节奏总纲!AM17</f>
        <v>1.7296773068470075</v>
      </c>
      <c r="AN17" s="23">
        <f>[1]节奏总纲!AN17</f>
        <v>1.383741845477606</v>
      </c>
      <c r="AO17" s="23">
        <f>[1]节奏总纲!AO17</f>
        <v>1.0378063841082044</v>
      </c>
      <c r="AP17" s="23">
        <f>[1]节奏总纲!AP17</f>
        <v>0.69187092273880302</v>
      </c>
      <c r="AQ17" s="23">
        <f>[1]节奏总纲!AQ17</f>
        <v>0.34593546136940151</v>
      </c>
      <c r="AS17" s="23">
        <v>14</v>
      </c>
      <c r="AT17" s="23">
        <f>[1]节奏总纲!AT17</f>
        <v>0.31207475235536153</v>
      </c>
      <c r="AU17" s="23">
        <f>[1]节奏总纲!AU17</f>
        <v>0.24965980188428927</v>
      </c>
      <c r="AV17" s="23">
        <f>[1]节奏总纲!AV17</f>
        <v>0.18724485141321678</v>
      </c>
      <c r="AW17" s="23">
        <f>[1]节奏总纲!AW17</f>
        <v>0.12482990094214463</v>
      </c>
      <c r="AX17" s="23">
        <f>[1]节奏总纲!AX17</f>
        <v>6.2414950471072317E-2</v>
      </c>
      <c r="AY17" s="23"/>
      <c r="AZ17" s="23">
        <v>14</v>
      </c>
      <c r="BA17" s="23">
        <f>[1]节奏总纲!BA17</f>
        <v>25.707675764357255</v>
      </c>
      <c r="BB17" s="23">
        <f>[1]节奏总纲!BB17</f>
        <v>27.059707353051884</v>
      </c>
      <c r="BC17" s="23">
        <f>[1]节奏总纲!BC17</f>
        <v>28.796798156163181</v>
      </c>
      <c r="BD17" s="23">
        <f>[1]节奏总纲!BD17</f>
        <v>31.280110398778046</v>
      </c>
      <c r="BE17" s="23">
        <f>[1]节奏总纲!BE17</f>
        <v>35.634340563113874</v>
      </c>
      <c r="BI17" s="24">
        <v>14</v>
      </c>
      <c r="BJ17" s="23">
        <f>[1]节奏总纲!BJ17</f>
        <v>1.3000000000000009</v>
      </c>
      <c r="BK17" s="23">
        <f>[1]节奏总纲!BK17</f>
        <v>1.326000000000001</v>
      </c>
      <c r="BL17" s="23">
        <f>[1]节奏总纲!BL17</f>
        <v>1.378000000000001</v>
      </c>
      <c r="BM17" s="23">
        <f>[1]节奏总纲!BM17</f>
        <v>1.4820000000000009</v>
      </c>
      <c r="BN17" s="23">
        <f>[1]节奏总纲!BN17</f>
        <v>1.8200000000000012</v>
      </c>
    </row>
    <row r="18" spans="2:66" x14ac:dyDescent="0.15">
      <c r="F18" s="23">
        <v>16</v>
      </c>
      <c r="G18" s="23">
        <v>2.031433133020796</v>
      </c>
      <c r="I18" s="23">
        <v>16</v>
      </c>
      <c r="J18" s="23">
        <v>2.5387719203926467</v>
      </c>
      <c r="K18" s="1">
        <v>0.62</v>
      </c>
      <c r="N18" s="35">
        <f>[1]节奏总纲!N18</f>
        <v>25</v>
      </c>
      <c r="O18" s="23">
        <v>15</v>
      </c>
      <c r="P18" s="23">
        <f>[1]节奏总纲!P18</f>
        <v>1.8284271247461898</v>
      </c>
      <c r="Q18" s="23">
        <f>[1]节奏总纲!Q18</f>
        <v>1.569704686594604</v>
      </c>
      <c r="R18" s="23">
        <f>[1]节奏总纲!R18</f>
        <v>1.2731338069607721</v>
      </c>
      <c r="S18" s="23">
        <f>[1]节奏总纲!S18</f>
        <v>0.9266468668213691</v>
      </c>
      <c r="T18" s="23">
        <f>[1]节奏总纲!T18</f>
        <v>0.50738852711706772</v>
      </c>
      <c r="V18" s="23">
        <v>15</v>
      </c>
      <c r="W18" s="23">
        <f>[1]节奏总纲!W18</f>
        <v>0.18941130320040145</v>
      </c>
      <c r="X18" s="23">
        <f>[1]节奏总纲!X18</f>
        <v>0.1663793401871001</v>
      </c>
      <c r="Y18" s="23">
        <f>[1]节奏总纲!Y18</f>
        <v>0.13631243313661323</v>
      </c>
      <c r="Z18" s="23">
        <f>[1]节奏总纲!Z18</f>
        <v>0.10222190858383751</v>
      </c>
      <c r="AA18" s="23">
        <f>[1]节奏总纲!AA18</f>
        <v>5.6986979356285106E-2</v>
      </c>
      <c r="AC18" s="23">
        <v>15</v>
      </c>
      <c r="AD18" s="23">
        <f>[1]节奏总纲!AD18</f>
        <v>40</v>
      </c>
      <c r="AE18" s="23">
        <f>[1]节奏总纲!AE18</f>
        <v>41.756931085981428</v>
      </c>
      <c r="AF18" s="23">
        <f>[1]节奏总纲!AF18</f>
        <v>44.249299559281241</v>
      </c>
      <c r="AG18" s="23">
        <f>[1]节奏总纲!AG18</f>
        <v>50.013526717322804</v>
      </c>
      <c r="AH18" s="23">
        <f>[1]节奏总纲!AH18</f>
        <v>57.627617111982929</v>
      </c>
      <c r="AL18" s="23">
        <v>15</v>
      </c>
      <c r="AM18" s="23">
        <f>[1]节奏总纲!AM18</f>
        <v>2.1</v>
      </c>
      <c r="AN18" s="23">
        <f>[1]节奏总纲!AN18</f>
        <v>1.6800000000000002</v>
      </c>
      <c r="AO18" s="23">
        <f>[1]节奏总纲!AO18</f>
        <v>1.26</v>
      </c>
      <c r="AP18" s="23">
        <f>[1]节奏总纲!AP18</f>
        <v>0.84000000000000008</v>
      </c>
      <c r="AQ18" s="23">
        <f>[1]节奏总纲!AQ18</f>
        <v>0.42000000000000004</v>
      </c>
      <c r="AS18" s="23">
        <v>15</v>
      </c>
      <c r="AT18" s="23">
        <f>[1]节奏总纲!AT18</f>
        <v>0.3703226931529926</v>
      </c>
      <c r="AU18" s="23">
        <f>[1]节奏总纲!AU18</f>
        <v>0.29625815452239412</v>
      </c>
      <c r="AV18" s="23">
        <f>[1]节奏总纲!AV18</f>
        <v>0.22219361589179565</v>
      </c>
      <c r="AW18" s="23">
        <f>[1]节奏总纲!AW18</f>
        <v>0.14812907726119706</v>
      </c>
      <c r="AX18" s="23">
        <f>[1]节奏总纲!AX18</f>
        <v>7.4064538630598531E-2</v>
      </c>
      <c r="AY18" s="23"/>
      <c r="AZ18" s="23">
        <v>15</v>
      </c>
      <c r="BA18" s="23">
        <f>[1]节奏总纲!BA18</f>
        <v>26.127796402772656</v>
      </c>
      <c r="BB18" s="23">
        <f>[1]节奏总纲!BB18</f>
        <v>27.461368800321225</v>
      </c>
      <c r="BC18" s="23">
        <f>[1]节奏总纲!BC18</f>
        <v>29.216428548527322</v>
      </c>
      <c r="BD18" s="23">
        <f>[1]节奏总纲!BD18</f>
        <v>31.706504654507764</v>
      </c>
      <c r="BE18" s="23">
        <f>[1]节奏总纲!BE18</f>
        <v>36.105477566569242</v>
      </c>
      <c r="BI18" s="24">
        <v>15</v>
      </c>
      <c r="BJ18" s="23">
        <f>[1]节奏总纲!BJ18</f>
        <v>1.3333333333333344</v>
      </c>
      <c r="BK18" s="23">
        <f>[1]节奏总纲!BK18</f>
        <v>1.360000000000001</v>
      </c>
      <c r="BL18" s="23">
        <f>[1]节奏总纲!BL18</f>
        <v>1.4133333333333344</v>
      </c>
      <c r="BM18" s="23">
        <f>[1]节奏总纲!BM18</f>
        <v>1.5200000000000011</v>
      </c>
      <c r="BN18" s="23">
        <f>[1]节奏总纲!BN18</f>
        <v>1.866666666666668</v>
      </c>
    </row>
    <row r="19" spans="2:66" x14ac:dyDescent="0.15">
      <c r="F19" s="23">
        <v>17</v>
      </c>
      <c r="G19" s="23">
        <v>2.2490095854249419</v>
      </c>
      <c r="I19" s="23">
        <v>17</v>
      </c>
      <c r="J19" s="23">
        <v>3.0579402515786085</v>
      </c>
      <c r="K19" s="1">
        <v>0.64</v>
      </c>
      <c r="N19" s="35">
        <f>[1]节奏总纲!N19</f>
        <v>26</v>
      </c>
      <c r="O19" s="23">
        <v>16</v>
      </c>
      <c r="P19" s="23">
        <f>[1]节奏总纲!P19</f>
        <v>2.031433133020796</v>
      </c>
      <c r="Q19" s="23">
        <f>[1]节奏总纲!Q19</f>
        <v>1.747845067651093</v>
      </c>
      <c r="R19" s="23">
        <f>[1]节奏总纲!R19</f>
        <v>1.4199717599815362</v>
      </c>
      <c r="S19" s="23">
        <f>[1]节奏总纲!S19</f>
        <v>1.0360308978406059</v>
      </c>
      <c r="T19" s="23">
        <f>[1]节奏总纲!T19</f>
        <v>0.56778556067931252</v>
      </c>
      <c r="V19" s="23">
        <v>16</v>
      </c>
      <c r="W19" s="23">
        <f>[1]节奏总纲!W19</f>
        <v>0.20300600827460613</v>
      </c>
      <c r="X19" s="23">
        <f>[1]节奏总纲!X19</f>
        <v>0.17814038105648899</v>
      </c>
      <c r="Y19" s="23">
        <f>[1]节奏总纲!Y19</f>
        <v>0.14683795302076419</v>
      </c>
      <c r="Z19" s="23">
        <f>[1]节奏总纲!Z19</f>
        <v>0.10938403101923677</v>
      </c>
      <c r="AA19" s="23">
        <f>[1]节奏总纲!AA19</f>
        <v>6.0397033562244795E-2</v>
      </c>
      <c r="AC19" s="23">
        <v>16</v>
      </c>
      <c r="AD19" s="23">
        <f>[1]节奏总纲!AD19</f>
        <v>40.870795385807064</v>
      </c>
      <c r="AE19" s="23">
        <f>[1]节奏总纲!AE19</f>
        <v>42.617443736929005</v>
      </c>
      <c r="AF19" s="23">
        <f>[1]节奏总纲!AF19</f>
        <v>45.148322162881371</v>
      </c>
      <c r="AG19" s="23">
        <f>[1]节奏总纲!AG19</f>
        <v>50.386163558171489</v>
      </c>
      <c r="AH19" s="23">
        <f>[1]节奏总纲!AH19</f>
        <v>58.288613224494391</v>
      </c>
      <c r="AL19" s="23">
        <v>16</v>
      </c>
      <c r="AM19" s="23">
        <f>[1]节奏总纲!AM19</f>
        <v>2.5387719203926467</v>
      </c>
      <c r="AN19" s="23">
        <f>[1]节奏总纲!AN19</f>
        <v>2.0310175363141174</v>
      </c>
      <c r="AO19" s="23">
        <f>[1]节奏总纲!AO19</f>
        <v>1.5232631522355879</v>
      </c>
      <c r="AP19" s="23">
        <f>[1]节奏总纲!AP19</f>
        <v>1.0155087681570587</v>
      </c>
      <c r="AQ19" s="23">
        <f>[1]节奏总纲!AQ19</f>
        <v>0.50775438407852935</v>
      </c>
      <c r="AS19" s="23">
        <v>16</v>
      </c>
      <c r="AT19" s="23">
        <f>[1]节奏总纲!AT19</f>
        <v>0.43877192039264656</v>
      </c>
      <c r="AU19" s="23">
        <f>[1]节奏总纲!AU19</f>
        <v>0.35101753631411725</v>
      </c>
      <c r="AV19" s="23">
        <f>[1]节奏总纲!AV19</f>
        <v>0.26326315223558794</v>
      </c>
      <c r="AW19" s="23">
        <f>[1]节奏总纲!AW19</f>
        <v>0.17550876815705863</v>
      </c>
      <c r="AX19" s="23">
        <f>[1]节奏总纲!AX19</f>
        <v>8.7754384078529313E-2</v>
      </c>
      <c r="AY19" s="23"/>
      <c r="AZ19" s="23">
        <v>16</v>
      </c>
      <c r="BA19" s="23">
        <f>[1]节奏总纲!BA19</f>
        <v>26.504690687123308</v>
      </c>
      <c r="BB19" s="23">
        <f>[1]节奏总纲!BB19</f>
        <v>27.863030247590562</v>
      </c>
      <c r="BC19" s="23">
        <f>[1]节奏总纲!BC19</f>
        <v>29.606265091548554</v>
      </c>
      <c r="BD19" s="23">
        <f>[1]节奏总纲!BD19</f>
        <v>32.113552950216736</v>
      </c>
      <c r="BE19" s="23">
        <f>[1]节奏总纲!BE19</f>
        <v>36.526331209747774</v>
      </c>
      <c r="BI19" s="24">
        <v>16</v>
      </c>
      <c r="BJ19" s="23">
        <f>[1]节奏总纲!BJ19</f>
        <v>1.3666666666666678</v>
      </c>
      <c r="BK19" s="23">
        <f>[1]节奏总纲!BK19</f>
        <v>1.3940000000000012</v>
      </c>
      <c r="BL19" s="23">
        <f>[1]节奏总纲!BL19</f>
        <v>1.4486666666666679</v>
      </c>
      <c r="BM19" s="23">
        <f>[1]节奏总纲!BM19</f>
        <v>1.5580000000000012</v>
      </c>
      <c r="BN19" s="23">
        <f>[1]节奏总纲!BN19</f>
        <v>1.9133333333333349</v>
      </c>
    </row>
    <row r="20" spans="2:66" x14ac:dyDescent="0.15">
      <c r="F20" s="23">
        <v>18</v>
      </c>
      <c r="G20" s="23">
        <v>2.4822022531844965</v>
      </c>
      <c r="I20" s="23">
        <v>18</v>
      </c>
      <c r="J20" s="23">
        <v>3.671491735587451</v>
      </c>
      <c r="K20" s="1">
        <v>0.66</v>
      </c>
      <c r="N20" s="35">
        <f>[1]节奏总纲!N20</f>
        <v>27</v>
      </c>
      <c r="O20" s="23">
        <v>17</v>
      </c>
      <c r="P20" s="23">
        <f>[1]节奏总纲!P20</f>
        <v>2.2490095854249419</v>
      </c>
      <c r="Q20" s="23">
        <f>[1]节奏总纲!Q20</f>
        <v>1.9289755214189728</v>
      </c>
      <c r="R20" s="23">
        <f>[1]节奏总纲!R20</f>
        <v>1.564186166663047</v>
      </c>
      <c r="S20" s="23">
        <f>[1]节奏总纲!S20</f>
        <v>1.1388984540591904</v>
      </c>
      <c r="T20" s="23">
        <f>[1]节奏总纲!T20</f>
        <v>0.62005194270165653</v>
      </c>
      <c r="V20" s="23">
        <v>17</v>
      </c>
      <c r="W20" s="23">
        <f>[1]节奏总纲!W20</f>
        <v>0.21757645240414591</v>
      </c>
      <c r="X20" s="23">
        <f>[1]节奏总纲!X20</f>
        <v>0.18113045376787973</v>
      </c>
      <c r="Y20" s="23">
        <f>[1]节奏总纲!Y20</f>
        <v>0.14421440668151075</v>
      </c>
      <c r="Z20" s="23">
        <f>[1]节奏总纲!Z20</f>
        <v>0.10286755621858457</v>
      </c>
      <c r="AA20" s="23">
        <f>[1]节奏总纲!AA20</f>
        <v>5.2266382022344016E-2</v>
      </c>
      <c r="AC20" s="23">
        <v>17</v>
      </c>
      <c r="AD20" s="23">
        <f>[1]节奏总纲!AD20</f>
        <v>41.691928656135218</v>
      </c>
      <c r="AE20" s="23">
        <f>[1]节奏总纲!AE20</f>
        <v>43.443338070136875</v>
      </c>
      <c r="AF20" s="23">
        <f>[1]节奏总纲!AF20</f>
        <v>45.994818134337102</v>
      </c>
      <c r="AG20" s="23">
        <f>[1]节奏总纲!AG20</f>
        <v>50.758800399020174</v>
      </c>
      <c r="AH20" s="23">
        <f>[1]节奏总纲!AH20</f>
        <v>58.820182335441885</v>
      </c>
      <c r="AL20" s="23">
        <v>17</v>
      </c>
      <c r="AM20" s="23">
        <f>[1]节奏总纲!AM20</f>
        <v>3.0579402515786085</v>
      </c>
      <c r="AN20" s="23">
        <f>[1]节奏总纲!AN20</f>
        <v>2.4463522012628869</v>
      </c>
      <c r="AO20" s="23">
        <f>[1]节奏总纲!AO20</f>
        <v>1.8347641509471651</v>
      </c>
      <c r="AP20" s="23">
        <f>[1]节奏总纲!AP20</f>
        <v>1.2231761006314434</v>
      </c>
      <c r="AQ20" s="23">
        <f>[1]节奏总纲!AQ20</f>
        <v>0.61158805031572172</v>
      </c>
      <c r="AS20" s="23">
        <v>17</v>
      </c>
      <c r="AT20" s="23">
        <f>[1]节奏总纲!AT20</f>
        <v>0.51916833118596184</v>
      </c>
      <c r="AU20" s="23">
        <f>[1]节奏总纲!AU20</f>
        <v>0.41533466494876947</v>
      </c>
      <c r="AV20" s="23">
        <f>[1]节奏总纲!AV20</f>
        <v>0.3115009987115771</v>
      </c>
      <c r="AW20" s="23">
        <f>[1]节奏总纲!AW20</f>
        <v>0.20766733247438474</v>
      </c>
      <c r="AX20" s="23">
        <f>[1]节奏总纲!AX20</f>
        <v>0.10383366623719237</v>
      </c>
      <c r="AY20" s="23"/>
      <c r="AZ20" s="23">
        <v>17</v>
      </c>
      <c r="BA20" s="23">
        <f>[1]节奏总纲!BA20</f>
        <v>26.881584971473956</v>
      </c>
      <c r="BB20" s="23">
        <f>[1]节奏总纲!BB20</f>
        <v>28.225778459464117</v>
      </c>
      <c r="BC20" s="23">
        <f>[1]节奏总纲!BC20</f>
        <v>29.996101634569786</v>
      </c>
      <c r="BD20" s="23">
        <f>[1]节奏总纲!BD20</f>
        <v>32.477877425165822</v>
      </c>
      <c r="BE20" s="23">
        <f>[1]节奏总纲!BE20</f>
        <v>36.947184852926306</v>
      </c>
      <c r="BI20" s="24">
        <v>17</v>
      </c>
      <c r="BJ20" s="23">
        <f>[1]节奏总纲!BJ20</f>
        <v>1.4000000000000012</v>
      </c>
      <c r="BK20" s="23">
        <f>[1]节奏总纲!BK20</f>
        <v>1.4280000000000013</v>
      </c>
      <c r="BL20" s="23">
        <f>[1]节奏总纲!BL20</f>
        <v>1.4840000000000013</v>
      </c>
      <c r="BM20" s="23">
        <f>[1]节奏总纲!BM20</f>
        <v>1.5960000000000012</v>
      </c>
      <c r="BN20" s="23">
        <f>[1]节奏总纲!BN20</f>
        <v>1.9600000000000015</v>
      </c>
    </row>
    <row r="21" spans="2:66" x14ac:dyDescent="0.15">
      <c r="F21" s="23">
        <v>19</v>
      </c>
      <c r="G21" s="23">
        <v>2.7321319661472296</v>
      </c>
      <c r="I21" s="23">
        <v>19</v>
      </c>
      <c r="J21" s="23">
        <v>4.3957950643309154</v>
      </c>
      <c r="K21" s="1">
        <v>0.68</v>
      </c>
      <c r="N21" s="35">
        <f>[1]节奏总纲!N21</f>
        <v>28</v>
      </c>
      <c r="O21" s="23">
        <v>18</v>
      </c>
      <c r="P21" s="23">
        <f>[1]节奏总纲!P21</f>
        <v>2.4822022531844965</v>
      </c>
      <c r="Q21" s="23">
        <f>[1]节奏总纲!Q21</f>
        <v>2.1337010568373933</v>
      </c>
      <c r="R21" s="23">
        <f>[1]节奏总纲!R21</f>
        <v>1.7325771727227783</v>
      </c>
      <c r="S21" s="23">
        <f>[1]节奏总纲!S21</f>
        <v>1.2614551850683611</v>
      </c>
      <c r="T21" s="23">
        <f>[1]节奏总纲!T21</f>
        <v>0.68757002413210555</v>
      </c>
      <c r="V21" s="23">
        <v>18</v>
      </c>
      <c r="W21" s="23">
        <f>[1]节奏总纲!W21</f>
        <v>0.23319266775955461</v>
      </c>
      <c r="X21" s="23">
        <f>[1]节奏总纲!X21</f>
        <v>0.20472553541842053</v>
      </c>
      <c r="Y21" s="23">
        <f>[1]节奏总纲!Y21</f>
        <v>0.16839100605973134</v>
      </c>
      <c r="Z21" s="23">
        <f>[1]节奏总纲!Z21</f>
        <v>0.12255673100917064</v>
      </c>
      <c r="AA21" s="23">
        <f>[1]节奏总纲!AA21</f>
        <v>6.7518081430449017E-2</v>
      </c>
      <c r="AC21" s="23">
        <v>18</v>
      </c>
      <c r="AD21" s="23">
        <f>[1]节奏总纲!AD21</f>
        <v>42.470630686057078</v>
      </c>
      <c r="AE21" s="23">
        <f>[1]节奏总纲!AE21</f>
        <v>44.227141424919743</v>
      </c>
      <c r="AF21" s="23">
        <f>[1]节奏总纲!AF21</f>
        <v>47.736605839367648</v>
      </c>
      <c r="AG21" s="23">
        <f>[1]节奏总纲!AG21</f>
        <v>51.178744844016215</v>
      </c>
      <c r="AH21" s="23">
        <f>[1]节奏总纲!AH21</f>
        <v>59.323292694625067</v>
      </c>
      <c r="AL21" s="23">
        <v>18</v>
      </c>
      <c r="AM21" s="23">
        <f>[1]节奏总纲!AM21</f>
        <v>3.671491735587451</v>
      </c>
      <c r="AN21" s="23">
        <f>[1]节奏总纲!AN21</f>
        <v>2.9371933884699608</v>
      </c>
      <c r="AO21" s="23">
        <f>[1]节奏总纲!AO21</f>
        <v>2.2028950413524706</v>
      </c>
      <c r="AP21" s="23">
        <f>[1]节奏总纲!AP21</f>
        <v>1.4685966942349804</v>
      </c>
      <c r="AQ21" s="23">
        <f>[1]节奏总纲!AQ21</f>
        <v>0.7342983471174902</v>
      </c>
      <c r="AS21" s="23">
        <v>18</v>
      </c>
      <c r="AT21" s="23">
        <f>[1]节奏总纲!AT21</f>
        <v>0.61355148400884252</v>
      </c>
      <c r="AU21" s="23">
        <f>[1]节奏总纲!AU21</f>
        <v>0.49084118720707393</v>
      </c>
      <c r="AV21" s="23">
        <f>[1]节奏总纲!AV21</f>
        <v>0.36813089040530556</v>
      </c>
      <c r="AW21" s="23">
        <f>[1]节奏总纲!AW21</f>
        <v>0.24542059360353696</v>
      </c>
      <c r="AX21" s="23">
        <f>[1]节奏总纲!AX21</f>
        <v>0.12271029680176848</v>
      </c>
      <c r="AY21" s="23"/>
      <c r="AZ21" s="23">
        <v>18</v>
      </c>
      <c r="BA21" s="23">
        <f>[1]节奏总纲!BA21</f>
        <v>27.220371931959619</v>
      </c>
      <c r="BB21" s="23">
        <f>[1]节奏总纲!BB21</f>
        <v>28.568390277483555</v>
      </c>
      <c r="BC21" s="23">
        <f>[1]节奏总纲!BC21</f>
        <v>30.329493925593439</v>
      </c>
      <c r="BD21" s="23">
        <f>[1]节奏总纲!BD21</f>
        <v>32.842201900114915</v>
      </c>
      <c r="BE21" s="23">
        <f>[1]节奏总纲!BE21</f>
        <v>37.317457773889828</v>
      </c>
      <c r="BI21" s="24">
        <v>18</v>
      </c>
      <c r="BJ21" s="23">
        <f>[1]节奏总纲!BJ21</f>
        <v>1.4333333333333347</v>
      </c>
      <c r="BK21" s="23">
        <f>[1]节奏总纲!BK21</f>
        <v>1.4620000000000013</v>
      </c>
      <c r="BL21" s="23">
        <f>[1]节奏总纲!BL21</f>
        <v>1.5193333333333348</v>
      </c>
      <c r="BM21" s="23">
        <f>[1]节奏总纲!BM21</f>
        <v>1.6340000000000015</v>
      </c>
      <c r="BN21" s="23">
        <f>[1]节奏总纲!BN21</f>
        <v>2.0066666666666686</v>
      </c>
    </row>
    <row r="22" spans="2:66" x14ac:dyDescent="0.15">
      <c r="B22" s="39" t="s">
        <v>8</v>
      </c>
      <c r="C22" s="39"/>
      <c r="D22" s="39"/>
      <c r="F22" s="23">
        <v>20</v>
      </c>
      <c r="G22" s="23">
        <v>3</v>
      </c>
      <c r="I22" s="23">
        <v>20</v>
      </c>
      <c r="J22" s="23">
        <v>5.25</v>
      </c>
      <c r="K22" s="1">
        <v>0.7</v>
      </c>
      <c r="N22" s="35">
        <f>[1]节奏总纲!N22</f>
        <v>29</v>
      </c>
      <c r="O22" s="23">
        <v>19</v>
      </c>
      <c r="P22" s="23">
        <f>[1]节奏总纲!P22</f>
        <v>2.7321319661472296</v>
      </c>
      <c r="Q22" s="23">
        <f>[1]节奏总纲!Q22</f>
        <v>2.3504531304764615</v>
      </c>
      <c r="R22" s="23">
        <f>[1]节奏总纲!R22</f>
        <v>1.9092138179436839</v>
      </c>
      <c r="S22" s="23">
        <f>[1]节奏总纲!S22</f>
        <v>1.3912015971621694</v>
      </c>
      <c r="T22" s="23">
        <f>[1]节奏总纲!T22</f>
        <v>0.75570770183632374</v>
      </c>
      <c r="V22" s="23">
        <v>19</v>
      </c>
      <c r="W22" s="23">
        <f>[1]节奏总纲!W22</f>
        <v>0.24992971296273314</v>
      </c>
      <c r="X22" s="23">
        <f>[1]节奏总纲!X22</f>
        <v>0.21675207363906823</v>
      </c>
      <c r="Y22" s="23">
        <f>[1]节奏总纲!Y22</f>
        <v>0.17663664522090561</v>
      </c>
      <c r="Z22" s="23">
        <f>[1]节奏总纲!Z22</f>
        <v>0.12974641209380833</v>
      </c>
      <c r="AA22" s="23">
        <f>[1]节奏总纲!AA22</f>
        <v>6.8137677704218191E-2</v>
      </c>
      <c r="AC22" s="23">
        <v>19</v>
      </c>
      <c r="AD22" s="23">
        <f>[1]节奏总纲!AD22</f>
        <v>43.213386604241784</v>
      </c>
      <c r="AE22" s="23">
        <f>[1]节奏总纲!AE22</f>
        <v>44.975943274275792</v>
      </c>
      <c r="AF22" s="23">
        <f>[1]节奏总纲!AF22</f>
        <v>49.017662096142061</v>
      </c>
      <c r="AG22" s="23">
        <f>[1]节奏总纲!AG22</f>
        <v>51.685503157403261</v>
      </c>
      <c r="AH22" s="23">
        <f>[1]节奏总纲!AH22</f>
        <v>59.81185475178696</v>
      </c>
      <c r="AL22" s="23">
        <v>19</v>
      </c>
      <c r="AM22" s="23">
        <f>[1]节奏总纲!AM22</f>
        <v>4.3957950643309154</v>
      </c>
      <c r="AN22" s="23">
        <f>[1]节奏总纲!AN22</f>
        <v>3.5166360514647326</v>
      </c>
      <c r="AO22" s="23">
        <f>[1]节奏总纲!AO22</f>
        <v>2.6374770385985493</v>
      </c>
      <c r="AP22" s="23">
        <f>[1]节奏总纲!AP22</f>
        <v>1.7583180257323663</v>
      </c>
      <c r="AQ22" s="23">
        <f>[1]节奏总纲!AQ22</f>
        <v>0.87915901286618314</v>
      </c>
      <c r="AS22" s="23">
        <v>19</v>
      </c>
      <c r="AT22" s="23">
        <f>[1]节奏总纲!AT22</f>
        <v>0.72430332874346437</v>
      </c>
      <c r="AU22" s="23">
        <f>[1]节奏总纲!AU22</f>
        <v>0.57944266299477176</v>
      </c>
      <c r="AV22" s="23">
        <f>[1]节奏总纲!AV22</f>
        <v>0.43458199724607871</v>
      </c>
      <c r="AW22" s="23">
        <f>[1]节奏总纲!AW22</f>
        <v>0.28972133149738588</v>
      </c>
      <c r="AX22" s="23">
        <f>[1]节奏总纲!AX22</f>
        <v>0.14486066574869294</v>
      </c>
      <c r="AY22" s="23"/>
      <c r="AZ22" s="23">
        <v>19</v>
      </c>
      <c r="BA22" s="23">
        <f>[1]节奏总纲!BA22</f>
        <v>27.541701089775092</v>
      </c>
      <c r="BB22" s="23">
        <f>[1]节奏总纲!BB22</f>
        <v>28.911002095502997</v>
      </c>
      <c r="BC22" s="23">
        <f>[1]节奏总纲!BC22</f>
        <v>30.662316072657521</v>
      </c>
      <c r="BD22" s="23">
        <f>[1]节奏总纲!BD22</f>
        <v>33.176527924103851</v>
      </c>
      <c r="BE22" s="23">
        <f>[1]节奏总纲!BE22</f>
        <v>37.680472138177471</v>
      </c>
      <c r="BI22" s="24">
        <v>19</v>
      </c>
      <c r="BJ22" s="23">
        <f>[1]节奏总纲!BJ22</f>
        <v>1.4666666666666681</v>
      </c>
      <c r="BK22" s="23">
        <f>[1]节奏总纲!BK22</f>
        <v>1.4960000000000016</v>
      </c>
      <c r="BL22" s="23">
        <f>[1]节奏总纲!BL22</f>
        <v>1.5546666666666682</v>
      </c>
      <c r="BM22" s="23">
        <f>[1]节奏总纲!BM22</f>
        <v>1.6720000000000015</v>
      </c>
      <c r="BN22" s="23">
        <f>[1]节奏总纲!BN22</f>
        <v>2.0533333333333355</v>
      </c>
    </row>
    <row r="23" spans="2:66" x14ac:dyDescent="0.15">
      <c r="B23" s="23" t="s">
        <v>48</v>
      </c>
      <c r="C23" s="23" t="s">
        <v>16</v>
      </c>
      <c r="D23" s="23" t="s">
        <v>17</v>
      </c>
      <c r="F23" s="23">
        <v>21</v>
      </c>
      <c r="G23" s="23">
        <v>3.2870938501451725</v>
      </c>
      <c r="I23" s="23">
        <v>21</v>
      </c>
      <c r="J23" s="23">
        <v>6.2565025247829205</v>
      </c>
      <c r="K23" s="1">
        <v>0.72</v>
      </c>
      <c r="N23" s="35">
        <f>[1]节奏总纲!N23</f>
        <v>30</v>
      </c>
      <c r="O23" s="23">
        <v>20</v>
      </c>
      <c r="P23" s="23">
        <f>[1]节奏总纲!P23</f>
        <v>3</v>
      </c>
      <c r="Q23" s="23">
        <f>[1]节奏总纲!Q23</f>
        <v>2.5773000000000001</v>
      </c>
      <c r="R23" s="23">
        <f>[1]节奏总纲!R23</f>
        <v>2.0922000000000001</v>
      </c>
      <c r="S23" s="23">
        <f>[1]节奏总纲!S23</f>
        <v>1.5164999999999997</v>
      </c>
      <c r="T23" s="23">
        <f>[1]节奏总纲!T23</f>
        <v>0.81479999999999997</v>
      </c>
      <c r="V23" s="23">
        <v>20</v>
      </c>
      <c r="W23" s="23">
        <f>[1]节奏总纲!W23</f>
        <v>0.26786803385277036</v>
      </c>
      <c r="X23" s="23">
        <f>[1]节奏总纲!X23</f>
        <v>0.22684686952353861</v>
      </c>
      <c r="Y23" s="23">
        <f>[1]节奏总纲!Y23</f>
        <v>0.18298618205631612</v>
      </c>
      <c r="Z23" s="23">
        <f>[1]节奏总纲!Z23</f>
        <v>0.12529840283783034</v>
      </c>
      <c r="AA23" s="23">
        <f>[1]节奏总纲!AA23</f>
        <v>5.9092298163676227E-2</v>
      </c>
      <c r="AC23" s="23">
        <v>20</v>
      </c>
      <c r="AD23" s="23">
        <f>[1]节奏总纲!AD23</f>
        <v>43.920692243099523</v>
      </c>
      <c r="AE23" s="23">
        <f>[1]节奏总纲!AE23</f>
        <v>45.689571752526476</v>
      </c>
      <c r="AF23" s="23">
        <f>[1]节奏总纲!AF23</f>
        <v>49.618995289003188</v>
      </c>
      <c r="AG23" s="23">
        <f>[1]节奏总纲!AG23</f>
        <v>52.201644571375347</v>
      </c>
      <c r="AH23" s="23">
        <f>[1]节奏总纲!AH23</f>
        <v>60.606040426168505</v>
      </c>
      <c r="AL23" s="23">
        <v>20</v>
      </c>
      <c r="AM23" s="23">
        <f>[1]节奏总纲!AM23</f>
        <v>5.25</v>
      </c>
      <c r="AN23" s="23">
        <f>[1]节奏总纲!AN23</f>
        <v>4.2</v>
      </c>
      <c r="AO23" s="23">
        <f>[1]节奏总纲!AO23</f>
        <v>3.15</v>
      </c>
      <c r="AP23" s="23">
        <f>[1]节奏总纲!AP23</f>
        <v>2.1</v>
      </c>
      <c r="AQ23" s="23">
        <f>[1]节奏总纲!AQ23</f>
        <v>1.05</v>
      </c>
      <c r="AS23" s="23">
        <v>20</v>
      </c>
      <c r="AT23" s="23">
        <f>[1]节奏总纲!AT23</f>
        <v>0.85420493566908462</v>
      </c>
      <c r="AU23" s="23">
        <f>[1]节奏总纲!AU23</f>
        <v>0.68336394853526761</v>
      </c>
      <c r="AV23" s="23">
        <f>[1]节奏总纲!AV23</f>
        <v>0.51252296140145059</v>
      </c>
      <c r="AW23" s="23">
        <f>[1]节奏总纲!AW23</f>
        <v>0.3416819742676338</v>
      </c>
      <c r="AX23" s="23">
        <f>[1]节奏总纲!AX23</f>
        <v>0.1708409871338169</v>
      </c>
      <c r="AY23" s="23"/>
      <c r="AZ23" s="23">
        <v>20</v>
      </c>
      <c r="BA23" s="23">
        <f>[1]节奏总纲!BA23</f>
        <v>27.863030247590562</v>
      </c>
      <c r="BB23" s="23">
        <f>[1]节奏总纲!BB23</f>
        <v>29.216428548527322</v>
      </c>
      <c r="BC23" s="23">
        <f>[1]节奏总纲!BC23</f>
        <v>30.995138219721603</v>
      </c>
      <c r="BD23" s="23">
        <f>[1]节奏总纲!BD23</f>
        <v>33.487933395889513</v>
      </c>
      <c r="BE23" s="23">
        <f>[1]节奏总纲!BE23</f>
        <v>38.037513426486328</v>
      </c>
      <c r="BI23" s="24">
        <v>20</v>
      </c>
      <c r="BJ23" s="23">
        <f>[1]节奏总纲!BJ23</f>
        <v>1.5000000000000016</v>
      </c>
      <c r="BK23" s="23">
        <f>[1]节奏总纲!BK23</f>
        <v>1.5300000000000016</v>
      </c>
      <c r="BL23" s="23">
        <f>[1]节奏总纲!BL23</f>
        <v>1.5900000000000016</v>
      </c>
      <c r="BM23" s="23">
        <f>[1]节奏总纲!BM23</f>
        <v>1.7100000000000015</v>
      </c>
      <c r="BN23" s="23">
        <f>[1]节奏总纲!BN23</f>
        <v>2.1000000000000019</v>
      </c>
    </row>
    <row r="24" spans="2:66" x14ac:dyDescent="0.15">
      <c r="B24" s="23">
        <v>5</v>
      </c>
      <c r="C24" s="23">
        <v>0.5</v>
      </c>
      <c r="D24" s="23">
        <v>0.5</v>
      </c>
      <c r="F24" s="23">
        <v>22</v>
      </c>
      <c r="G24" s="23">
        <v>3.5947934199881395</v>
      </c>
      <c r="I24" s="23">
        <v>22</v>
      </c>
      <c r="J24" s="23">
        <v>7.4414868317755332</v>
      </c>
      <c r="K24" s="1">
        <v>0.74</v>
      </c>
      <c r="N24" s="35">
        <f>[1]节奏总纲!N24</f>
        <v>31</v>
      </c>
      <c r="O24" s="23">
        <v>21</v>
      </c>
      <c r="P24" s="23">
        <f>[1]节奏总纲!P24</f>
        <v>3.2870938501451725</v>
      </c>
      <c r="Q24" s="23">
        <f>[1]节奏总纲!Q24</f>
        <v>2.8275581298948773</v>
      </c>
      <c r="R24" s="23">
        <f>[1]节奏总纲!R24</f>
        <v>2.283215388310837</v>
      </c>
      <c r="S24" s="23">
        <f>[1]节奏总纲!S24</f>
        <v>1.6438756344576007</v>
      </c>
      <c r="T24" s="23">
        <f>[1]节奏总纲!T24</f>
        <v>0.88685792076916747</v>
      </c>
      <c r="V24" s="23">
        <v>21</v>
      </c>
      <c r="W24" s="23">
        <f>[1]节奏总纲!W24</f>
        <v>0.28709385014517252</v>
      </c>
      <c r="X24" s="23">
        <f>[1]节奏总纲!X24</f>
        <v>0.25025812989487717</v>
      </c>
      <c r="Y24" s="23">
        <f>[1]节奏总纲!Y24</f>
        <v>0.19101538831083698</v>
      </c>
      <c r="Z24" s="23">
        <f>[1]节奏总纲!Z24</f>
        <v>0.12737563445760092</v>
      </c>
      <c r="AA24" s="23">
        <f>[1]节奏总纲!AA24</f>
        <v>7.2057920769167505E-2</v>
      </c>
      <c r="AC24" s="23">
        <v>21</v>
      </c>
      <c r="AD24" s="23">
        <f>[1]节奏总纲!AD24</f>
        <v>44.585942742481357</v>
      </c>
      <c r="AE24" s="23">
        <f>[1]节奏总纲!AE24</f>
        <v>46.371895553182263</v>
      </c>
      <c r="AF24" s="23">
        <f>[1]节奏总纲!AF24</f>
        <v>50.145149714792119</v>
      </c>
      <c r="AG24" s="23">
        <f>[1]节奏总纲!AG24</f>
        <v>52.733134643066698</v>
      </c>
      <c r="AH24" s="23">
        <f>[1]节奏总纲!AH24</f>
        <v>61.767222999726627</v>
      </c>
      <c r="AL24" s="23">
        <v>21</v>
      </c>
      <c r="AM24" s="23">
        <f>[1]节奏总纲!AM24</f>
        <v>6.2565025247829205</v>
      </c>
      <c r="AN24" s="23">
        <f>[1]节奏总纲!AN24</f>
        <v>5.0052020198263367</v>
      </c>
      <c r="AO24" s="23">
        <f>[1]节奏总纲!AO24</f>
        <v>3.7539015148697521</v>
      </c>
      <c r="AP24" s="23">
        <f>[1]节奏总纲!AP24</f>
        <v>2.5026010099131684</v>
      </c>
      <c r="AQ24" s="23">
        <f>[1]节奏总纲!AQ24</f>
        <v>1.2513005049565842</v>
      </c>
      <c r="AS24" s="23">
        <v>21</v>
      </c>
      <c r="AT24" s="23">
        <f>[1]节奏总纲!AT24</f>
        <v>1.0065025247829205</v>
      </c>
      <c r="AU24" s="23">
        <f>[1]节奏总纲!AU24</f>
        <v>0.80520201982633655</v>
      </c>
      <c r="AV24" s="23">
        <f>[1]节奏总纲!AV24</f>
        <v>0.60390151486975219</v>
      </c>
      <c r="AW24" s="23">
        <f>[1]节奏总纲!AW24</f>
        <v>0.40260100991316827</v>
      </c>
      <c r="AX24" s="23">
        <f>[1]节奏总纲!AX24</f>
        <v>0.20130050495658414</v>
      </c>
      <c r="AY24" s="23"/>
      <c r="AZ24" s="23">
        <v>21</v>
      </c>
      <c r="BA24" s="23">
        <f>[1]节奏总纲!BA24</f>
        <v>28.157256095860227</v>
      </c>
      <c r="BB24" s="23">
        <f>[1]节奏总纲!BB24</f>
        <v>29.508805955793246</v>
      </c>
      <c r="BC24" s="23">
        <f>[1]节奏总纲!BC24</f>
        <v>31.280110398778046</v>
      </c>
      <c r="BD24" s="23">
        <f>[1]节奏总纲!BD24</f>
        <v>33.799338867675175</v>
      </c>
      <c r="BE24" s="23">
        <f>[1]节奏总纲!BE24</f>
        <v>38.35066605767593</v>
      </c>
      <c r="BI24" s="24">
        <v>21</v>
      </c>
      <c r="BJ24" s="23">
        <f>[1]节奏总纲!BJ24</f>
        <v>1.533333333333335</v>
      </c>
      <c r="BK24" s="23">
        <f>[1]节奏总纲!BK24</f>
        <v>1.5640000000000016</v>
      </c>
      <c r="BL24" s="23">
        <f>[1]节奏总纲!BL24</f>
        <v>1.6253333333333351</v>
      </c>
      <c r="BM24" s="23">
        <f>[1]节奏总纲!BM24</f>
        <v>1.7480000000000018</v>
      </c>
      <c r="BN24" s="23">
        <f>[1]节奏总纲!BN24</f>
        <v>2.1466666666666687</v>
      </c>
    </row>
    <row r="25" spans="2:66" x14ac:dyDescent="0.15">
      <c r="B25" s="23">
        <v>10</v>
      </c>
      <c r="C25" s="23">
        <v>1.5</v>
      </c>
      <c r="D25" s="23">
        <v>1</v>
      </c>
      <c r="F25" s="23">
        <v>23</v>
      </c>
      <c r="G25" s="23">
        <v>3.9245776533796644</v>
      </c>
      <c r="I25" s="23">
        <v>23</v>
      </c>
      <c r="J25" s="23">
        <v>8.8355567243832152</v>
      </c>
      <c r="K25" s="1">
        <v>0.76</v>
      </c>
      <c r="N25" s="35">
        <f>[1]节奏总纲!N25</f>
        <v>32</v>
      </c>
      <c r="O25" s="23">
        <v>22</v>
      </c>
      <c r="P25" s="23">
        <f>[1]节奏总纲!P25</f>
        <v>3.5947934199881395</v>
      </c>
      <c r="Q25" s="23">
        <f>[1]节奏总纲!Q25</f>
        <v>3.0731888947478603</v>
      </c>
      <c r="R25" s="23">
        <f>[1]节奏总纲!R25</f>
        <v>2.4732178729518397</v>
      </c>
      <c r="S25" s="23">
        <f>[1]节奏总纲!S25</f>
        <v>1.7866123297341052</v>
      </c>
      <c r="T25" s="23">
        <f>[1]节奏总纲!T25</f>
        <v>0.98569235576074787</v>
      </c>
      <c r="V25" s="23">
        <v>22</v>
      </c>
      <c r="W25" s="23">
        <f>[1]节奏总纲!W25</f>
        <v>0.30769956984296698</v>
      </c>
      <c r="X25" s="23">
        <f>[1]节奏总纲!X25</f>
        <v>0.24563076485298296</v>
      </c>
      <c r="Y25" s="23">
        <f>[1]节奏总纲!Y25</f>
        <v>0.19000248464100267</v>
      </c>
      <c r="Z25" s="23">
        <f>[1]节奏总纲!Z25</f>
        <v>0.14273669527650457</v>
      </c>
      <c r="AA25" s="23">
        <f>[1]节奏总纲!AA25</f>
        <v>9.88344349915804E-2</v>
      </c>
      <c r="AC25" s="23">
        <v>22</v>
      </c>
      <c r="AD25" s="23">
        <f>[1]节奏总纲!AD25</f>
        <v>45.229416240679988</v>
      </c>
      <c r="AE25" s="23">
        <f>[1]节奏总纲!AE25</f>
        <v>47.040648918273938</v>
      </c>
      <c r="AF25" s="23">
        <f>[1]节奏总纲!AF25</f>
        <v>50.541300683111224</v>
      </c>
      <c r="AG25" s="23">
        <f>[1]节奏总纲!AG25</f>
        <v>53.543763470137222</v>
      </c>
      <c r="AH25" s="23">
        <f>[1]节奏总纲!AH25</f>
        <v>62.954680016506323</v>
      </c>
      <c r="AL25" s="23">
        <v>22</v>
      </c>
      <c r="AM25" s="23">
        <f>[1]节奏总纲!AM25</f>
        <v>7.4414868317755332</v>
      </c>
      <c r="AN25" s="23">
        <f>[1]节奏总纲!AN25</f>
        <v>5.9531894654204267</v>
      </c>
      <c r="AO25" s="23">
        <f>[1]节奏总纲!AO25</f>
        <v>4.4648920990653194</v>
      </c>
      <c r="AP25" s="23">
        <f>[1]节奏总纲!AP25</f>
        <v>2.9765947327102134</v>
      </c>
      <c r="AQ25" s="23">
        <f>[1]节奏总纲!AQ25</f>
        <v>1.4882973663551067</v>
      </c>
      <c r="AS25" s="23">
        <v>22</v>
      </c>
      <c r="AT25" s="23">
        <f>[1]节奏总纲!AT25</f>
        <v>1.1849843069926127</v>
      </c>
      <c r="AU25" s="23">
        <f>[1]节奏总纲!AU25</f>
        <v>0.94798744559408998</v>
      </c>
      <c r="AV25" s="23">
        <f>[1]节奏总纲!AV25</f>
        <v>0.71099058419556727</v>
      </c>
      <c r="AW25" s="23">
        <f>[1]节奏总纲!AW25</f>
        <v>0.47399372279704499</v>
      </c>
      <c r="AX25" s="23">
        <f>[1]节奏总纲!AX25</f>
        <v>0.2369968613985225</v>
      </c>
      <c r="AY25" s="23"/>
      <c r="AZ25" s="23">
        <v>22</v>
      </c>
      <c r="BA25" s="23">
        <f>[1]节奏总纲!BA25</f>
        <v>28.431345550275779</v>
      </c>
      <c r="BB25" s="23">
        <f>[1]节奏总纲!BB25</f>
        <v>29.80118336305917</v>
      </c>
      <c r="BC25" s="23">
        <f>[1]节奏总纲!BC25</f>
        <v>31.564373235931193</v>
      </c>
      <c r="BD25" s="23">
        <f>[1]节奏总纲!BD25</f>
        <v>34.09469189131628</v>
      </c>
      <c r="BE25" s="23">
        <f>[1]节奏总纲!BE25</f>
        <v>38.663818688865533</v>
      </c>
      <c r="BI25" s="24">
        <v>22</v>
      </c>
      <c r="BJ25" s="23">
        <f>[1]节奏总纲!BJ25</f>
        <v>1.5666666666666684</v>
      </c>
      <c r="BK25" s="23">
        <f>[1]节奏总纲!BK25</f>
        <v>1.5980000000000019</v>
      </c>
      <c r="BL25" s="23">
        <f>[1]节奏总纲!BL25</f>
        <v>1.6606666666666685</v>
      </c>
      <c r="BM25" s="23">
        <f>[1]节奏总纲!BM25</f>
        <v>1.7860000000000018</v>
      </c>
      <c r="BN25" s="23">
        <f>[1]节奏总纲!BN25</f>
        <v>2.1933333333333356</v>
      </c>
    </row>
    <row r="26" spans="2:66" x14ac:dyDescent="0.15">
      <c r="B26" s="23">
        <v>15</v>
      </c>
      <c r="C26" s="23">
        <v>3.5</v>
      </c>
      <c r="D26" s="23">
        <v>2</v>
      </c>
      <c r="F26" s="23">
        <v>24</v>
      </c>
      <c r="G26" s="23">
        <v>4.2780316430915768</v>
      </c>
      <c r="I26" s="23">
        <v>24</v>
      </c>
      <c r="J26" s="23">
        <v>10.47447102993563</v>
      </c>
      <c r="K26" s="1">
        <v>0.78</v>
      </c>
      <c r="N26" s="35">
        <f>[1]节奏总纲!N26</f>
        <v>33</v>
      </c>
      <c r="O26" s="23">
        <v>23</v>
      </c>
      <c r="P26" s="23">
        <f>[1]节奏总纲!P26</f>
        <v>3.9245776533796644</v>
      </c>
      <c r="Q26" s="23">
        <f>[1]节奏总纲!Q26</f>
        <v>3.3437401606794741</v>
      </c>
      <c r="R26" s="23">
        <f>[1]节奏总纲!R26</f>
        <v>2.6989320522291953</v>
      </c>
      <c r="S26" s="23">
        <f>[1]节奏总纲!S26</f>
        <v>1.9850513770794342</v>
      </c>
      <c r="T26" s="23">
        <f>[1]节奏总纲!T26</f>
        <v>1.0929948764662367</v>
      </c>
      <c r="V26" s="23">
        <v>23</v>
      </c>
      <c r="W26" s="23">
        <f>[1]节奏总纲!W26</f>
        <v>0.32978423339152485</v>
      </c>
      <c r="X26" s="23">
        <f>[1]节奏总纲!X26</f>
        <v>0.27055126593161383</v>
      </c>
      <c r="Y26" s="23">
        <f>[1]节奏总纲!Y26</f>
        <v>0.2257141792773556</v>
      </c>
      <c r="Z26" s="23">
        <f>[1]节奏总纲!Z26</f>
        <v>0.19843904734532902</v>
      </c>
      <c r="AA26" s="23">
        <f>[1]节奏总纲!AA26</f>
        <v>0.10730252070548885</v>
      </c>
      <c r="AC26" s="23">
        <v>23</v>
      </c>
      <c r="AD26" s="23">
        <f>[1]节奏总纲!AD26</f>
        <v>45.845161563010116</v>
      </c>
      <c r="AE26" s="23">
        <f>[1]节奏总纲!AE26</f>
        <v>47.906259132172586</v>
      </c>
      <c r="AF26" s="23">
        <f>[1]节奏总纲!AF26</f>
        <v>50.937451651430329</v>
      </c>
      <c r="AG26" s="23">
        <f>[1]节奏总纲!AG26</f>
        <v>54.737506523817103</v>
      </c>
      <c r="AH26" s="23">
        <f>[1]节奏总纲!AH26</f>
        <v>64.040299279363822</v>
      </c>
      <c r="AL26" s="23">
        <v>23</v>
      </c>
      <c r="AM26" s="23">
        <f>[1]节奏总纲!AM26</f>
        <v>8.8355567243832152</v>
      </c>
      <c r="AN26" s="23">
        <f>[1]节奏总纲!AN26</f>
        <v>7.0684453795065725</v>
      </c>
      <c r="AO26" s="23">
        <f>[1]节奏总纲!AO26</f>
        <v>5.3013340346299289</v>
      </c>
      <c r="AP26" s="23">
        <f>[1]节奏总纲!AP26</f>
        <v>3.5342226897532862</v>
      </c>
      <c r="AQ26" s="23">
        <f>[1]节奏总纲!AQ26</f>
        <v>1.7671113448766431</v>
      </c>
      <c r="AS26" s="23">
        <v>23</v>
      </c>
      <c r="AT26" s="23">
        <f>[1]节奏总纲!AT26</f>
        <v>1.394069892607682</v>
      </c>
      <c r="AU26" s="23">
        <f>[1]节奏总纲!AU26</f>
        <v>1.1152559140861458</v>
      </c>
      <c r="AV26" s="23">
        <f>[1]节奏总纲!AV26</f>
        <v>0.83644193556460955</v>
      </c>
      <c r="AW26" s="23">
        <f>[1]节奏总纲!AW26</f>
        <v>0.55762795704307289</v>
      </c>
      <c r="AX26" s="23">
        <f>[1]节奏总纲!AX26</f>
        <v>0.27881397852153644</v>
      </c>
      <c r="AY26" s="23"/>
      <c r="AZ26" s="23">
        <v>23</v>
      </c>
      <c r="BA26" s="23">
        <f>[1]节奏总纲!BA26</f>
        <v>28.705435004691331</v>
      </c>
      <c r="BB26" s="23">
        <f>[1]节奏总纲!BB26</f>
        <v>30.079877315295377</v>
      </c>
      <c r="BC26" s="23">
        <f>[1]节奏总纲!BC26</f>
        <v>31.848636073084339</v>
      </c>
      <c r="BD26" s="23">
        <f>[1]节奏总纲!BD26</f>
        <v>34.360958982105608</v>
      </c>
      <c r="BE26" s="23">
        <f>[1]节奏总纲!BE26</f>
        <v>38.976971320055128</v>
      </c>
      <c r="BI26" s="24">
        <v>23</v>
      </c>
      <c r="BJ26" s="23">
        <f>[1]节奏总纲!BJ26</f>
        <v>1.6000000000000019</v>
      </c>
      <c r="BK26" s="23">
        <f>[1]节奏总纲!BK26</f>
        <v>1.6320000000000019</v>
      </c>
      <c r="BL26" s="23">
        <f>[1]节奏总纲!BL26</f>
        <v>1.6960000000000022</v>
      </c>
      <c r="BM26" s="23">
        <f>[1]节奏总纲!BM26</f>
        <v>1.8240000000000021</v>
      </c>
      <c r="BN26" s="23">
        <f>[1]节奏总纲!BN26</f>
        <v>2.2400000000000024</v>
      </c>
    </row>
    <row r="27" spans="2:66" x14ac:dyDescent="0.15">
      <c r="B27" s="23">
        <v>20</v>
      </c>
      <c r="C27" s="23">
        <v>7.5</v>
      </c>
      <c r="D27" s="23">
        <v>4</v>
      </c>
      <c r="F27" s="23">
        <v>25</v>
      </c>
      <c r="G27" s="23">
        <v>4.6568542494923806</v>
      </c>
      <c r="I27" s="23">
        <v>25</v>
      </c>
      <c r="J27" s="23">
        <v>12.4</v>
      </c>
      <c r="K27" s="1">
        <v>0.8</v>
      </c>
      <c r="N27" s="35">
        <f>[1]节奏总纲!N27</f>
        <v>34</v>
      </c>
      <c r="O27" s="23">
        <v>24</v>
      </c>
      <c r="P27" s="23">
        <f>[1]节奏总纲!P27</f>
        <v>4.2780316430915768</v>
      </c>
      <c r="Q27" s="23">
        <f>[1]节奏总纲!Q27</f>
        <v>3.6752569845799736</v>
      </c>
      <c r="R27" s="23">
        <f>[1]节奏总纲!R27</f>
        <v>3.0130176862293978</v>
      </c>
      <c r="S27" s="23">
        <f>[1]节奏总纲!S27</f>
        <v>2.2155925879571279</v>
      </c>
      <c r="T27" s="23">
        <f>[1]节奏总纲!T27</f>
        <v>1.2256560657457367</v>
      </c>
      <c r="V27" s="23">
        <v>24</v>
      </c>
      <c r="W27" s="23">
        <f>[1]节奏总纲!W27</f>
        <v>0.35345398971191244</v>
      </c>
      <c r="X27" s="23">
        <f>[1]节奏总纲!X27</f>
        <v>0.33151682390049952</v>
      </c>
      <c r="Y27" s="23">
        <f>[1]节奏总纲!Y27</f>
        <v>0.31408563400020251</v>
      </c>
      <c r="Z27" s="23">
        <f>[1]节奏总纲!Z27</f>
        <v>0.23054121087769364</v>
      </c>
      <c r="AA27" s="23">
        <f>[1]节奏总纲!AA27</f>
        <v>0.13266118927949999</v>
      </c>
      <c r="AC27" s="23">
        <v>24</v>
      </c>
      <c r="AD27" s="23">
        <f>[1]节奏总纲!AD27</f>
        <v>46.430041330048923</v>
      </c>
      <c r="AE27" s="23">
        <f>[1]节奏总纲!AE27</f>
        <v>48.855619369731947</v>
      </c>
      <c r="AF27" s="23">
        <f>[1]节奏总纲!AF27</f>
        <v>51.313256549759295</v>
      </c>
      <c r="AG27" s="23">
        <f>[1]节奏总纲!AG27</f>
        <v>55.853349587197073</v>
      </c>
      <c r="AH27" s="23">
        <f>[1]节奏总纲!AH27</f>
        <v>64.8203743547854</v>
      </c>
      <c r="AL27" s="23">
        <v>24</v>
      </c>
      <c r="AM27" s="23">
        <f>[1]节奏总纲!AM27</f>
        <v>10.47447102993563</v>
      </c>
      <c r="AN27" s="23">
        <f>[1]节奏总纲!AN27</f>
        <v>8.3795768239485042</v>
      </c>
      <c r="AO27" s="23">
        <f>[1]节奏总纲!AO27</f>
        <v>6.2846826179613782</v>
      </c>
      <c r="AP27" s="23">
        <f>[1]节奏总纲!AP27</f>
        <v>4.1897884119742521</v>
      </c>
      <c r="AQ27" s="23">
        <f>[1]节奏总纲!AQ27</f>
        <v>2.0948942059871261</v>
      </c>
      <c r="AS27" s="23">
        <v>24</v>
      </c>
      <c r="AT27" s="23">
        <f>[1]节奏总纲!AT27</f>
        <v>1.6389143055524151</v>
      </c>
      <c r="AU27" s="23">
        <f>[1]节奏总纲!AU27</f>
        <v>1.3111314444419317</v>
      </c>
      <c r="AV27" s="23">
        <f>[1]节奏总纲!AV27</f>
        <v>0.98334858333144926</v>
      </c>
      <c r="AW27" s="23">
        <f>[1]节奏总纲!AW27</f>
        <v>0.65556572222096587</v>
      </c>
      <c r="AX27" s="23">
        <f>[1]节奏总纲!AX27</f>
        <v>0.32778286111048294</v>
      </c>
      <c r="AY27" s="23"/>
      <c r="AZ27" s="23">
        <v>24</v>
      </c>
      <c r="BA27" s="23">
        <f>[1]节奏总纲!BA27</f>
        <v>28.979524459106884</v>
      </c>
      <c r="BB27" s="23">
        <f>[1]节奏总纲!BB27</f>
        <v>30.329493925593439</v>
      </c>
      <c r="BC27" s="23">
        <f>[1]节奏总纲!BC27</f>
        <v>32.113552950216736</v>
      </c>
      <c r="BD27" s="23">
        <f>[1]节奏总纲!BD27</f>
        <v>34.627226072894942</v>
      </c>
      <c r="BE27" s="23">
        <f>[1]节奏总纲!BE27</f>
        <v>39.250296194358178</v>
      </c>
      <c r="BI27" s="24">
        <v>24</v>
      </c>
      <c r="BJ27" s="23">
        <f>[1]节奏总纲!BJ27</f>
        <v>1.6333333333333353</v>
      </c>
      <c r="BK27" s="23">
        <f>[1]节奏总纲!BK27</f>
        <v>1.6660000000000021</v>
      </c>
      <c r="BL27" s="23">
        <f>[1]节奏总纲!BL27</f>
        <v>1.7313333333333356</v>
      </c>
      <c r="BM27" s="23">
        <f>[1]节奏总纲!BM27</f>
        <v>1.8620000000000021</v>
      </c>
      <c r="BN27" s="23">
        <f>[1]节奏总纲!BN27</f>
        <v>2.2866666666666693</v>
      </c>
    </row>
    <row r="28" spans="2:66" x14ac:dyDescent="0.15">
      <c r="B28" s="23">
        <v>25</v>
      </c>
      <c r="C28" s="23">
        <v>15.5</v>
      </c>
      <c r="D28" s="23">
        <v>8</v>
      </c>
      <c r="F28" s="23">
        <v>26</v>
      </c>
      <c r="G28" s="23">
        <v>5.062866266041592</v>
      </c>
      <c r="I28" s="23">
        <v>26</v>
      </c>
      <c r="J28" s="23">
        <v>14.6609224175611</v>
      </c>
      <c r="K28" s="1">
        <v>0.82</v>
      </c>
      <c r="N28" s="35">
        <f>[1]节奏总纲!N28</f>
        <v>35</v>
      </c>
      <c r="O28" s="23">
        <v>25</v>
      </c>
      <c r="P28" s="23">
        <f>[1]节奏总纲!P28</f>
        <v>4.6568542494923806</v>
      </c>
      <c r="Q28" s="23">
        <f>[1]节奏总纲!Q28</f>
        <v>4.0309730383606048</v>
      </c>
      <c r="R28" s="23">
        <f>[1]节奏总纲!R28</f>
        <v>3.3017096628900977</v>
      </c>
      <c r="S28" s="23">
        <f>[1]节奏总纲!S28</f>
        <v>2.4401916267340074</v>
      </c>
      <c r="T28" s="23">
        <f>[1]节奏总纲!T28</f>
        <v>1.3509534177777398</v>
      </c>
      <c r="V28" s="23">
        <v>25</v>
      </c>
      <c r="W28" s="23">
        <f>[1]节奏总纲!W28</f>
        <v>0.37882260640080379</v>
      </c>
      <c r="X28" s="23">
        <f>[1]节奏总纲!X28</f>
        <v>0.3557160537806312</v>
      </c>
      <c r="Y28" s="23">
        <f>[1]节奏总纲!Y28</f>
        <v>0.2886919766606999</v>
      </c>
      <c r="Z28" s="23">
        <f>[1]节奏总纲!Z28</f>
        <v>0.22459903877687948</v>
      </c>
      <c r="AA28" s="23">
        <f>[1]节奏总纲!AA28</f>
        <v>0.1252973520320031</v>
      </c>
      <c r="AC28" s="23">
        <v>25</v>
      </c>
      <c r="AD28" s="23">
        <f>[1]节奏总纲!AD28</f>
        <v>47.004247194324648</v>
      </c>
      <c r="AE28" s="23">
        <f>[1]节奏总纲!AE28</f>
        <v>49.473690097584367</v>
      </c>
      <c r="AF28" s="23">
        <f>[1]节奏总纲!AF28</f>
        <v>51.685246690642039</v>
      </c>
      <c r="AG28" s="23">
        <f>[1]节奏总纲!AG28</f>
        <v>56.810869626688635</v>
      </c>
      <c r="AH28" s="23">
        <f>[1]节奏总纲!AH28</f>
        <v>65.556126639416846</v>
      </c>
      <c r="AL28" s="23">
        <v>25</v>
      </c>
      <c r="AM28" s="23">
        <f>[1]节奏总纲!AM28</f>
        <v>12.4</v>
      </c>
      <c r="AN28" s="23">
        <f>[1]节奏总纲!AN28</f>
        <v>9.9200000000000017</v>
      </c>
      <c r="AO28" s="23">
        <f>[1]节奏总纲!AO28</f>
        <v>7.4399999999999995</v>
      </c>
      <c r="AP28" s="23">
        <f>[1]节奏总纲!AP28</f>
        <v>4.9600000000000009</v>
      </c>
      <c r="AQ28" s="23">
        <f>[1]节奏总纲!AQ28</f>
        <v>2.4800000000000004</v>
      </c>
      <c r="AS28" s="23">
        <v>25</v>
      </c>
      <c r="AT28" s="23">
        <f>[1]节奏总纲!AT28</f>
        <v>1.9255289700643701</v>
      </c>
      <c r="AU28" s="23">
        <f>[1]节奏总纲!AU28</f>
        <v>1.5404231760514975</v>
      </c>
      <c r="AV28" s="23">
        <f>[1]节奏总纲!AV28</f>
        <v>1.1553173820386213</v>
      </c>
      <c r="AW28" s="23">
        <f>[1]节奏总纲!AW28</f>
        <v>0.77021158802574874</v>
      </c>
      <c r="AX28" s="23">
        <f>[1]节奏总纲!AX28</f>
        <v>0.38510579401287437</v>
      </c>
      <c r="AY28" s="23"/>
      <c r="AZ28" s="23">
        <v>25</v>
      </c>
      <c r="BA28" s="23">
        <f>[1]节奏总纲!BA28</f>
        <v>29.216428548527322</v>
      </c>
      <c r="BB28" s="23">
        <f>[1]节奏总纲!BB28</f>
        <v>30.579110535891502</v>
      </c>
      <c r="BC28" s="23">
        <f>[1]节奏总纲!BC28</f>
        <v>32.356435933516131</v>
      </c>
      <c r="BD28" s="23">
        <f>[1]节奏总纲!BD28</f>
        <v>34.893493163684269</v>
      </c>
      <c r="BE28" s="23">
        <f>[1]节奏总纲!BE28</f>
        <v>39.520459727922798</v>
      </c>
      <c r="BI28" s="24">
        <v>25</v>
      </c>
      <c r="BJ28" s="23">
        <f>[1]节奏总纲!BJ28</f>
        <v>1.6666666666666687</v>
      </c>
      <c r="BK28" s="23">
        <f>[1]节奏总纲!BK28</f>
        <v>1.7000000000000022</v>
      </c>
      <c r="BL28" s="23">
        <f>[1]节奏总纲!BL28</f>
        <v>1.766666666666669</v>
      </c>
      <c r="BM28" s="23">
        <f>[1]节奏总纲!BM28</f>
        <v>1.9000000000000021</v>
      </c>
      <c r="BN28" s="23">
        <f>[1]节奏总纲!BN28</f>
        <v>2.3333333333333361</v>
      </c>
    </row>
    <row r="29" spans="2:66" x14ac:dyDescent="0.15">
      <c r="B29" s="23">
        <v>30</v>
      </c>
      <c r="C29" s="23">
        <v>31.5</v>
      </c>
      <c r="D29" s="23">
        <v>16</v>
      </c>
      <c r="F29" s="23">
        <v>27</v>
      </c>
      <c r="G29" s="23">
        <v>5.4980191708498847</v>
      </c>
      <c r="I29" s="23">
        <v>27</v>
      </c>
      <c r="J29" s="23">
        <v>17.314186320787698</v>
      </c>
      <c r="K29" s="1">
        <v>0.84</v>
      </c>
      <c r="N29" s="35">
        <f>[1]节奏总纲!N29</f>
        <v>36</v>
      </c>
      <c r="O29" s="23">
        <v>26</v>
      </c>
      <c r="P29" s="23">
        <f>[1]节奏总纲!P29</f>
        <v>5.062866266041592</v>
      </c>
      <c r="Q29" s="23">
        <f>[1]节奏总纲!Q29</f>
        <v>4.3940616322974977</v>
      </c>
      <c r="R29" s="23">
        <f>[1]节奏总纲!R29</f>
        <v>3.6072922145546342</v>
      </c>
      <c r="S29" s="23">
        <f>[1]节奏总纲!S29</f>
        <v>2.6600299361782525</v>
      </c>
      <c r="T29" s="23">
        <f>[1]节奏总纲!T29</f>
        <v>1.4727877967914991</v>
      </c>
      <c r="V29" s="23">
        <v>26</v>
      </c>
      <c r="W29" s="23">
        <f>[1]节奏总纲!W29</f>
        <v>0.40601201654921137</v>
      </c>
      <c r="X29" s="23">
        <f>[1]节奏总纲!X29</f>
        <v>0.36308859393689286</v>
      </c>
      <c r="Y29" s="23">
        <f>[1]节奏总纲!Y29</f>
        <v>0.30558255166453652</v>
      </c>
      <c r="Z29" s="23">
        <f>[1]节奏总纲!Z29</f>
        <v>0.21983830944424509</v>
      </c>
      <c r="AA29" s="23">
        <f>[1]节奏总纲!AA29</f>
        <v>0.12183437901375926</v>
      </c>
      <c r="AC29" s="23">
        <v>26</v>
      </c>
      <c r="AD29" s="23">
        <f>[1]节奏总纲!AD29</f>
        <v>47.540284631526092</v>
      </c>
      <c r="AE29" s="23">
        <f>[1]节奏总纲!AE29</f>
        <v>50.021106023833781</v>
      </c>
      <c r="AF29" s="23">
        <f>[1]节奏总纲!AF29</f>
        <v>52.054105542885111</v>
      </c>
      <c r="AG29" s="23">
        <f>[1]节奏总纲!AG29</f>
        <v>57.394369520378234</v>
      </c>
      <c r="AH29" s="23">
        <f>[1]节奏总纲!AH29</f>
        <v>66.200919129886117</v>
      </c>
      <c r="AL29" s="23">
        <v>26</v>
      </c>
      <c r="AM29" s="23">
        <f>[1]节奏总纲!AM29</f>
        <v>14.6609224175611</v>
      </c>
      <c r="AN29" s="23">
        <f>[1]节奏总纲!AN29</f>
        <v>11.72873793404888</v>
      </c>
      <c r="AO29" s="23">
        <f>[1]节奏总纲!AO29</f>
        <v>8.7965534505366598</v>
      </c>
      <c r="AP29" s="23">
        <f>[1]节奏总纲!AP29</f>
        <v>5.8643689670244399</v>
      </c>
      <c r="AQ29" s="23">
        <f>[1]节奏总纲!AQ29</f>
        <v>2.9321844835122199</v>
      </c>
      <c r="AS29" s="23">
        <v>26</v>
      </c>
      <c r="AT29" s="23">
        <f>[1]节奏总纲!AT29</f>
        <v>2.2609224175610994</v>
      </c>
      <c r="AU29" s="23">
        <f>[1]节奏总纲!AU29</f>
        <v>1.8087379340488781</v>
      </c>
      <c r="AV29" s="23">
        <f>[1]节奏总纲!AV29</f>
        <v>1.3565534505366603</v>
      </c>
      <c r="AW29" s="23">
        <f>[1]节奏总纲!AW29</f>
        <v>0.90436896702443903</v>
      </c>
      <c r="AX29" s="23">
        <f>[1]节奏总纲!AX29</f>
        <v>0.45218448351221951</v>
      </c>
      <c r="AY29" s="23"/>
      <c r="AZ29" s="23">
        <v>26</v>
      </c>
      <c r="BA29" s="23">
        <f>[1]节奏总纲!BA29</f>
        <v>29.45033047434006</v>
      </c>
      <c r="BB29" s="23">
        <f>[1]节奏总纲!BB29</f>
        <v>30.828727146189561</v>
      </c>
      <c r="BC29" s="23">
        <f>[1]节奏总纲!BC29</f>
        <v>32.59931891681552</v>
      </c>
      <c r="BD29" s="23">
        <f>[1]节奏总纲!BD29</f>
        <v>35.146386283795508</v>
      </c>
      <c r="BE29" s="23">
        <f>[1]节奏总纲!BE29</f>
        <v>39.790623261487418</v>
      </c>
      <c r="BI29" s="24">
        <v>26</v>
      </c>
      <c r="BJ29" s="23">
        <f>[1]节奏总纲!BJ29</f>
        <v>1.7000000000000022</v>
      </c>
      <c r="BK29" s="23">
        <f>[1]节奏总纲!BK29</f>
        <v>1.7340000000000022</v>
      </c>
      <c r="BL29" s="23">
        <f>[1]节奏总纲!BL29</f>
        <v>1.8020000000000025</v>
      </c>
      <c r="BM29" s="23">
        <f>[1]节奏总纲!BM29</f>
        <v>1.9380000000000024</v>
      </c>
      <c r="BN29" s="23">
        <f>[1]节奏总纲!BN29</f>
        <v>2.380000000000003</v>
      </c>
    </row>
    <row r="30" spans="2:66" x14ac:dyDescent="0.15">
      <c r="B30" s="23">
        <v>35</v>
      </c>
      <c r="C30" s="23">
        <v>63.5</v>
      </c>
      <c r="D30" s="23">
        <v>32</v>
      </c>
      <c r="F30" s="23">
        <v>28</v>
      </c>
      <c r="G30" s="23">
        <v>5.9644045063689921</v>
      </c>
      <c r="I30" s="23">
        <v>28</v>
      </c>
      <c r="J30" s="23">
        <v>20.42625995518307</v>
      </c>
      <c r="K30" s="1">
        <v>0.86</v>
      </c>
      <c r="N30" s="35">
        <f>[1]节奏总纲!N30</f>
        <v>37</v>
      </c>
      <c r="O30" s="23">
        <v>27</v>
      </c>
      <c r="P30" s="23">
        <f>[1]节奏总纲!P30</f>
        <v>5.4980191708498847</v>
      </c>
      <c r="Q30" s="23">
        <f>[1]节奏总纲!Q30</f>
        <v>4.7750296498831251</v>
      </c>
      <c r="R30" s="23">
        <f>[1]节奏总纲!R30</f>
        <v>3.9228366784013931</v>
      </c>
      <c r="S30" s="23">
        <f>[1]节奏总纲!S30</f>
        <v>2.8809620455253397</v>
      </c>
      <c r="T30" s="23">
        <f>[1]节奏总纲!T30</f>
        <v>1.6054215978881663</v>
      </c>
      <c r="V30" s="23">
        <v>27</v>
      </c>
      <c r="W30" s="23">
        <f>[1]节奏总纲!W30</f>
        <v>0.43515290480829272</v>
      </c>
      <c r="X30" s="23">
        <f>[1]节奏总纲!X30</f>
        <v>0.38096801758562737</v>
      </c>
      <c r="Y30" s="23">
        <f>[1]节奏总纲!Y30</f>
        <v>0.31554446384675883</v>
      </c>
      <c r="Z30" s="23">
        <f>[1]节奏总纲!Z30</f>
        <v>0.22093210934708729</v>
      </c>
      <c r="AA30" s="23">
        <f>[1]节奏总纲!AA30</f>
        <v>0.13263380109666723</v>
      </c>
      <c r="AC30" s="23">
        <v>27</v>
      </c>
      <c r="AD30" s="23">
        <f>[1]节奏总纲!AD30</f>
        <v>48.071211008105138</v>
      </c>
      <c r="AE30" s="23">
        <f>[1]节奏总纲!AE30</f>
        <v>50.397327482546444</v>
      </c>
      <c r="AF30" s="23">
        <f>[1]节奏总纲!AF30</f>
        <v>52.40574500272578</v>
      </c>
      <c r="AG30" s="23">
        <f>[1]节奏总纲!AG30</f>
        <v>57.888237056129611</v>
      </c>
      <c r="AH30" s="23">
        <f>[1]节奏总纲!AH30</f>
        <v>66.721925669649451</v>
      </c>
      <c r="AL30" s="23">
        <v>27</v>
      </c>
      <c r="AM30" s="23">
        <f>[1]节奏总纲!AM30</f>
        <v>17.314186320787698</v>
      </c>
      <c r="AN30" s="23">
        <f>[1]节奏总纲!AN30</f>
        <v>13.851349056630159</v>
      </c>
      <c r="AO30" s="23">
        <f>[1]节奏总纲!AO30</f>
        <v>10.388511792472618</v>
      </c>
      <c r="AP30" s="23">
        <f>[1]节奏总纲!AP30</f>
        <v>6.9256745283150796</v>
      </c>
      <c r="AQ30" s="23">
        <f>[1]节奏总纲!AQ30</f>
        <v>3.4628372641575398</v>
      </c>
      <c r="AS30" s="23">
        <v>27</v>
      </c>
      <c r="AT30" s="23">
        <f>[1]节奏总纲!AT30</f>
        <v>2.6532639032265983</v>
      </c>
      <c r="AU30" s="23">
        <f>[1]节奏总纲!AU30</f>
        <v>2.1226111225812794</v>
      </c>
      <c r="AV30" s="23">
        <f>[1]节奏总纲!AV30</f>
        <v>1.5919583419359586</v>
      </c>
      <c r="AW30" s="23">
        <f>[1]节奏总纲!AW30</f>
        <v>1.0613055612906397</v>
      </c>
      <c r="AX30" s="23">
        <f>[1]节奏总纲!AX30</f>
        <v>0.53065278064531984</v>
      </c>
      <c r="AY30" s="23"/>
      <c r="AZ30" s="23">
        <v>27</v>
      </c>
      <c r="BA30" s="23">
        <f>[1]节奏总纲!BA30</f>
        <v>29.684232400152801</v>
      </c>
      <c r="BB30" s="23">
        <f>[1]节奏总纲!BB30</f>
        <v>31.066913270913183</v>
      </c>
      <c r="BC30" s="23">
        <f>[1]节奏总纲!BC30</f>
        <v>32.842201900114915</v>
      </c>
      <c r="BD30" s="23">
        <f>[1]节奏总纲!BD30</f>
        <v>35.390363423454687</v>
      </c>
      <c r="BE30" s="23">
        <f>[1]节奏总纲!BE30</f>
        <v>40.052446592012309</v>
      </c>
      <c r="BI30" s="24">
        <v>27</v>
      </c>
      <c r="BJ30" s="23">
        <f>[1]节奏总纲!BJ30</f>
        <v>1.7333333333333356</v>
      </c>
      <c r="BK30" s="23">
        <f>[1]节奏总纲!BK30</f>
        <v>1.7680000000000025</v>
      </c>
      <c r="BL30" s="23">
        <f>[1]节奏总纲!BL30</f>
        <v>1.8373333333333359</v>
      </c>
      <c r="BM30" s="23">
        <f>[1]节奏总纲!BM30</f>
        <v>1.9760000000000024</v>
      </c>
      <c r="BN30" s="23">
        <f>[1]节奏总纲!BN30</f>
        <v>2.4266666666666699</v>
      </c>
    </row>
    <row r="31" spans="2:66" x14ac:dyDescent="0.15">
      <c r="B31" s="23">
        <v>40</v>
      </c>
      <c r="C31" s="23">
        <v>127.5</v>
      </c>
      <c r="D31" s="23">
        <v>64</v>
      </c>
      <c r="F31" s="23">
        <v>29</v>
      </c>
      <c r="G31" s="23">
        <v>6.4642639322944575</v>
      </c>
      <c r="I31" s="23">
        <v>29</v>
      </c>
      <c r="J31" s="23">
        <v>24.074703862418847</v>
      </c>
      <c r="K31" s="1">
        <v>0.88</v>
      </c>
      <c r="N31" s="35">
        <f>[1]节奏总纲!N31</f>
        <v>38</v>
      </c>
      <c r="O31" s="23">
        <v>28</v>
      </c>
      <c r="P31" s="23">
        <f>[1]节奏总纲!P31</f>
        <v>5.9644045063689921</v>
      </c>
      <c r="Q31" s="23">
        <f>[1]节奏总纲!Q31</f>
        <v>5.1794888733308326</v>
      </c>
      <c r="R31" s="23">
        <f>[1]节奏总纲!R31</f>
        <v>4.2645492220538292</v>
      </c>
      <c r="S31" s="23">
        <f>[1]节奏总纲!S31</f>
        <v>3.161134388375566</v>
      </c>
      <c r="T31" s="23">
        <f>[1]节奏总纲!T31</f>
        <v>1.7594993293788526</v>
      </c>
      <c r="V31" s="23">
        <v>28</v>
      </c>
      <c r="W31" s="23">
        <f>[1]节奏总纲!W31</f>
        <v>0.46638533551910744</v>
      </c>
      <c r="X31" s="23">
        <f>[1]节奏总纲!X31</f>
        <v>0.40445922344770757</v>
      </c>
      <c r="Y31" s="23">
        <f>[1]节奏总纲!Y31</f>
        <v>0.3417125436524362</v>
      </c>
      <c r="Z31" s="23">
        <f>[1]节奏总纲!Z31</f>
        <v>0.2801723428502263</v>
      </c>
      <c r="AA31" s="23">
        <f>[1]节奏总纲!AA31</f>
        <v>0.15407773149068626</v>
      </c>
      <c r="AC31" s="23">
        <v>28</v>
      </c>
      <c r="AD31" s="23">
        <f>[1]节奏总纲!AD31</f>
        <v>48.571351621712928</v>
      </c>
      <c r="AE31" s="23">
        <f>[1]节奏总纲!AE31</f>
        <v>50.773548941259108</v>
      </c>
      <c r="AF31" s="23">
        <f>[1]节奏总纲!AF31</f>
        <v>52.757384462566456</v>
      </c>
      <c r="AG31" s="23">
        <f>[1]节奏总纲!AG31</f>
        <v>58.229609889772782</v>
      </c>
      <c r="AH31" s="23">
        <f>[1]节奏总纲!AH31</f>
        <v>67.194854947539284</v>
      </c>
      <c r="AL31" s="23">
        <v>28</v>
      </c>
      <c r="AM31" s="23">
        <f>[1]节奏总纲!AM31</f>
        <v>20.42625995518307</v>
      </c>
      <c r="AN31" s="23">
        <f>[1]节奏总纲!AN31</f>
        <v>16.341007964146456</v>
      </c>
      <c r="AO31" s="23">
        <f>[1]节奏总纲!AO31</f>
        <v>12.255755973109842</v>
      </c>
      <c r="AP31" s="23">
        <f>[1]节奏总纲!AP31</f>
        <v>8.1705039820732281</v>
      </c>
      <c r="AQ31" s="23">
        <f>[1]节奏总纲!AQ31</f>
        <v>4.0852519910366141</v>
      </c>
      <c r="AS31" s="23">
        <v>28</v>
      </c>
      <c r="AT31" s="23">
        <f>[1]节奏总纲!AT31</f>
        <v>3.1120736343953723</v>
      </c>
      <c r="AU31" s="23">
        <f>[1]节奏总纲!AU31</f>
        <v>2.4896589075162971</v>
      </c>
      <c r="AV31" s="23">
        <f>[1]节奏总纲!AV31</f>
        <v>1.8672441806372237</v>
      </c>
      <c r="AW31" s="23">
        <f>[1]节奏总纲!AW31</f>
        <v>1.2448294537581486</v>
      </c>
      <c r="AX31" s="23">
        <f>[1]节奏总纲!AX31</f>
        <v>0.62241472687907429</v>
      </c>
      <c r="AY31" s="23"/>
      <c r="AZ31" s="23">
        <v>28</v>
      </c>
      <c r="BA31" s="23">
        <f>[1]节奏总纲!BA31</f>
        <v>29.918134325965539</v>
      </c>
      <c r="BB31" s="23">
        <f>[1]节奏总纲!BB31</f>
        <v>31.280110398778046</v>
      </c>
      <c r="BC31" s="23">
        <f>[1]节奏总纲!BC31</f>
        <v>33.072726100175295</v>
      </c>
      <c r="BD31" s="23">
        <f>[1]节奏总纲!BD31</f>
        <v>35.634340563113874</v>
      </c>
      <c r="BE31" s="23">
        <f>[1]节奏总纲!BE31</f>
        <v>40.28554255651148</v>
      </c>
      <c r="BI31" s="24">
        <v>28</v>
      </c>
      <c r="BJ31" s="23">
        <f>[1]节奏总纲!BJ31</f>
        <v>1.766666666666669</v>
      </c>
      <c r="BK31" s="23">
        <f>[1]节奏总纲!BK31</f>
        <v>1.8020000000000025</v>
      </c>
      <c r="BL31" s="23">
        <f>[1]节奏总纲!BL31</f>
        <v>1.8726666666666694</v>
      </c>
      <c r="BM31" s="23">
        <f>[1]节奏总纲!BM31</f>
        <v>2.0140000000000025</v>
      </c>
      <c r="BN31" s="23">
        <f>[1]节奏总纲!BN31</f>
        <v>2.4733333333333367</v>
      </c>
    </row>
    <row r="32" spans="2:66" x14ac:dyDescent="0.15">
      <c r="B32" s="23">
        <v>45</v>
      </c>
      <c r="C32" s="23">
        <v>255.5</v>
      </c>
      <c r="D32" s="23">
        <v>128</v>
      </c>
      <c r="F32" s="23">
        <v>30</v>
      </c>
      <c r="G32" s="23">
        <v>7</v>
      </c>
      <c r="I32" s="23">
        <v>30</v>
      </c>
      <c r="J32" s="23">
        <v>28.35</v>
      </c>
      <c r="K32" s="1">
        <v>0.9</v>
      </c>
      <c r="N32" s="35">
        <f>[1]节奏总纲!N32</f>
        <v>39</v>
      </c>
      <c r="O32" s="23">
        <v>29</v>
      </c>
      <c r="P32" s="23">
        <f>[1]节奏总纲!P32</f>
        <v>6.4642639322944575</v>
      </c>
      <c r="Q32" s="23">
        <f>[1]节奏总纲!Q32</f>
        <v>5.6252024738826369</v>
      </c>
      <c r="R32" s="23">
        <f>[1]节奏总纲!R32</f>
        <v>4.6542700312520093</v>
      </c>
      <c r="S32" s="23">
        <f>[1]节奏总纲!S32</f>
        <v>3.4389884119806515</v>
      </c>
      <c r="T32" s="23">
        <f>[1]节奏总纲!T32</f>
        <v>1.9347541949357312</v>
      </c>
      <c r="V32" s="23">
        <v>29</v>
      </c>
      <c r="W32" s="23">
        <f>[1]节奏总纲!W32</f>
        <v>0.49985942592546539</v>
      </c>
      <c r="X32" s="23">
        <f>[1]节奏总纲!X32</f>
        <v>0.44571360055180431</v>
      </c>
      <c r="Y32" s="23">
        <f>[1]节奏总纲!Y32</f>
        <v>0.38972080919818008</v>
      </c>
      <c r="Z32" s="23">
        <f>[1]节奏总纲!Z32</f>
        <v>0.27785402360508549</v>
      </c>
      <c r="AA32" s="23">
        <f>[1]节奏总纲!AA32</f>
        <v>0.17525486555687864</v>
      </c>
      <c r="AC32" s="23">
        <v>29</v>
      </c>
      <c r="AD32" s="23">
        <f>[1]节奏总纲!AD32</f>
        <v>49.066704614192936</v>
      </c>
      <c r="AE32" s="23">
        <f>[1]节奏总纲!AE32</f>
        <v>51.187001267089649</v>
      </c>
      <c r="AF32" s="23">
        <f>[1]节奏总纲!AF32</f>
        <v>53.151474195897926</v>
      </c>
      <c r="AG32" s="23">
        <f>[1]节奏总纲!AG32</f>
        <v>58.526379080344434</v>
      </c>
      <c r="AH32" s="23">
        <f>[1]节奏总纲!AH32</f>
        <v>67.612752196399768</v>
      </c>
      <c r="AL32" s="23">
        <v>29</v>
      </c>
      <c r="AM32" s="23">
        <f>[1]节奏总纲!AM32</f>
        <v>24.074703862418847</v>
      </c>
      <c r="AN32" s="23">
        <f>[1]节奏总纲!AN32</f>
        <v>19.259763089935078</v>
      </c>
      <c r="AO32" s="23">
        <f>[1]节奏总纲!AO32</f>
        <v>14.444822317451308</v>
      </c>
      <c r="AP32" s="23">
        <f>[1]节奏总纲!AP32</f>
        <v>9.6298815449675388</v>
      </c>
      <c r="AQ32" s="23">
        <f>[1]节奏总纲!AQ32</f>
        <v>4.8149407724837694</v>
      </c>
      <c r="AS32" s="23">
        <v>29</v>
      </c>
      <c r="AT32" s="23">
        <f>[1]节奏总纲!AT32</f>
        <v>3.6484439072357766</v>
      </c>
      <c r="AU32" s="23">
        <f>[1]节奏总纲!AU32</f>
        <v>2.9187551257886213</v>
      </c>
      <c r="AV32" s="23">
        <f>[1]节奏总纲!AV32</f>
        <v>2.189066344341466</v>
      </c>
      <c r="AW32" s="23">
        <f>[1]节奏总纲!AW32</f>
        <v>1.4593775628943106</v>
      </c>
      <c r="AX32" s="23">
        <f>[1]节奏总纲!AX32</f>
        <v>0.72968878144715532</v>
      </c>
      <c r="AY32" s="23"/>
      <c r="AZ32" s="23">
        <v>29</v>
      </c>
      <c r="BA32" s="23">
        <f>[1]节奏总纲!BA32</f>
        <v>30.12980063735499</v>
      </c>
      <c r="BB32" s="23">
        <f>[1]节奏总纲!BB32</f>
        <v>31.493307526642905</v>
      </c>
      <c r="BC32" s="23">
        <f>[1]节奏总纲!BC32</f>
        <v>33.280329748032408</v>
      </c>
      <c r="BD32" s="23">
        <f>[1]节奏总纲!BD32</f>
        <v>35.878317702773053</v>
      </c>
      <c r="BE32" s="23">
        <f>[1]节奏总纲!BE32</f>
        <v>40.518638521010644</v>
      </c>
      <c r="BI32" s="24">
        <v>29</v>
      </c>
      <c r="BJ32" s="23">
        <f>[1]节奏总纲!BJ32</f>
        <v>1.8000000000000025</v>
      </c>
      <c r="BK32" s="23">
        <f>[1]节奏总纲!BK32</f>
        <v>1.8360000000000025</v>
      </c>
      <c r="BL32" s="23">
        <f>[1]节奏总纲!BL32</f>
        <v>1.9080000000000028</v>
      </c>
      <c r="BM32" s="23">
        <f>[1]节奏总纲!BM32</f>
        <v>2.0520000000000027</v>
      </c>
      <c r="BN32" s="23">
        <f>[1]节奏总纲!BN32</f>
        <v>2.5200000000000031</v>
      </c>
    </row>
    <row r="33" spans="2:66" x14ac:dyDescent="0.15">
      <c r="B33" s="23">
        <v>50</v>
      </c>
      <c r="C33" s="23">
        <v>511.5</v>
      </c>
      <c r="D33" s="23">
        <v>256</v>
      </c>
      <c r="F33" s="23">
        <v>31</v>
      </c>
      <c r="G33" s="23">
        <v>7.5741877002903433</v>
      </c>
      <c r="I33" s="23">
        <v>31</v>
      </c>
      <c r="J33" s="23">
        <v>33.357679571112705</v>
      </c>
      <c r="K33" s="1">
        <v>0.92</v>
      </c>
      <c r="N33" s="35">
        <f>[1]节奏总纲!N33</f>
        <v>40</v>
      </c>
      <c r="O33" s="23">
        <v>30</v>
      </c>
      <c r="P33" s="23">
        <f>[1]节奏总纲!P33</f>
        <v>7</v>
      </c>
      <c r="Q33" s="23">
        <f>[1]节奏总纲!Q33</f>
        <v>6.0963000000000003</v>
      </c>
      <c r="R33" s="23">
        <f>[1]节奏总纲!R33</f>
        <v>5.0365000000000002</v>
      </c>
      <c r="S33" s="23">
        <f>[1]节奏总纲!S33</f>
        <v>3.7450000000000001</v>
      </c>
      <c r="T33" s="23">
        <f>[1]节奏总纲!T33</f>
        <v>2.1021000000000001</v>
      </c>
      <c r="V33" s="23">
        <v>30</v>
      </c>
      <c r="W33" s="23">
        <f>[1]节奏总纲!W33</f>
        <v>0.5357360677055425</v>
      </c>
      <c r="X33" s="23">
        <f>[1]节奏总纲!X33</f>
        <v>0.47109752611736333</v>
      </c>
      <c r="Y33" s="23">
        <f>[1]节奏总纲!Y33</f>
        <v>0.38222996874799087</v>
      </c>
      <c r="Z33" s="23">
        <f>[1]节奏总纲!Z33</f>
        <v>0.30601158801934858</v>
      </c>
      <c r="AA33" s="23">
        <f>[1]节奏总纲!AA33</f>
        <v>0.16734580506426888</v>
      </c>
      <c r="AC33" s="23">
        <v>30</v>
      </c>
      <c r="AD33" s="23">
        <f>[1]节奏总纲!AD33</f>
        <v>49.533352307096472</v>
      </c>
      <c r="AE33" s="23">
        <f>[1]节奏总纲!AE33</f>
        <v>51.656746220023251</v>
      </c>
      <c r="AF33" s="23">
        <f>[1]节奏总纲!AF33</f>
        <v>53.640030315044328</v>
      </c>
      <c r="AG33" s="23">
        <f>[1]节奏总纲!AG33</f>
        <v>58.823148270916079</v>
      </c>
      <c r="AH33" s="23">
        <f>[1]节奏总纲!AH33</f>
        <v>68.025173281460795</v>
      </c>
      <c r="AL33" s="23">
        <v>30</v>
      </c>
      <c r="AM33" s="23">
        <f>[1]节奏总纲!AM33</f>
        <v>28.35</v>
      </c>
      <c r="AN33" s="23">
        <f>[1]节奏总纲!AN33</f>
        <v>22.680000000000003</v>
      </c>
      <c r="AO33" s="23">
        <f>[1]节奏总纲!AO33</f>
        <v>17.010000000000002</v>
      </c>
      <c r="AP33" s="23">
        <f>[1]节奏总纲!AP33</f>
        <v>11.340000000000002</v>
      </c>
      <c r="AQ33" s="23">
        <f>[1]节奏总纲!AQ33</f>
        <v>5.6700000000000008</v>
      </c>
      <c r="AS33" s="23">
        <v>30</v>
      </c>
      <c r="AT33" s="23">
        <f>[1]节奏总纲!AT33</f>
        <v>4.2752961375811545</v>
      </c>
      <c r="AU33" s="23">
        <f>[1]节奏总纲!AU33</f>
        <v>3.4202369100649257</v>
      </c>
      <c r="AV33" s="23">
        <f>[1]节奏总纲!AV33</f>
        <v>2.5651776825486934</v>
      </c>
      <c r="AW33" s="23">
        <f>[1]节奏总纲!AW33</f>
        <v>1.7101184550324628</v>
      </c>
      <c r="AX33" s="23">
        <f>[1]节奏总纲!AX33</f>
        <v>0.85505922751623142</v>
      </c>
      <c r="AY33" s="23"/>
      <c r="AZ33" s="23">
        <v>30</v>
      </c>
      <c r="BA33" s="23">
        <f>[1]节奏总纲!BA33</f>
        <v>30.329493925593439</v>
      </c>
      <c r="BB33" s="23">
        <f>[1]节奏总纲!BB33</f>
        <v>31.706504654507764</v>
      </c>
      <c r="BC33" s="23">
        <f>[1]节奏总纲!BC33</f>
        <v>33.487933395889513</v>
      </c>
      <c r="BD33" s="23">
        <f>[1]节奏总纲!BD33</f>
        <v>36.105477566569242</v>
      </c>
      <c r="BE33" s="23">
        <f>[1]节奏总纲!BE33</f>
        <v>40.751734485509814</v>
      </c>
      <c r="BI33" s="24">
        <v>30</v>
      </c>
      <c r="BJ33" s="23">
        <f>[1]节奏总纲!BJ33</f>
        <v>1.8333333333333359</v>
      </c>
      <c r="BK33" s="23">
        <f>[1]节奏总纲!BK33</f>
        <v>1.8700000000000028</v>
      </c>
      <c r="BL33" s="23">
        <f>[1]节奏总纲!BL33</f>
        <v>1.9433333333333362</v>
      </c>
      <c r="BM33" s="23">
        <f>[1]节奏总纲!BM33</f>
        <v>2.090000000000003</v>
      </c>
      <c r="BN33" s="23">
        <f>[1]节奏总纲!BN33</f>
        <v>2.56666666666667</v>
      </c>
    </row>
    <row r="34" spans="2:66" x14ac:dyDescent="0.15">
      <c r="B34" s="23">
        <v>55</v>
      </c>
      <c r="C34" s="23">
        <v>1023.5</v>
      </c>
      <c r="D34" s="23">
        <v>512</v>
      </c>
      <c r="F34" s="23">
        <v>32</v>
      </c>
      <c r="G34" s="23">
        <v>8.189586839976279</v>
      </c>
      <c r="I34" s="23">
        <v>32</v>
      </c>
      <c r="J34" s="23">
        <v>39.220797956048642</v>
      </c>
      <c r="K34" s="1">
        <v>0.94</v>
      </c>
      <c r="N34" s="35">
        <f>[1]节奏总纲!N34</f>
        <v>41</v>
      </c>
      <c r="O34" s="23">
        <v>31</v>
      </c>
      <c r="P34" s="23">
        <f>[1]节奏总纲!P34</f>
        <v>7.5741877002903433</v>
      </c>
      <c r="Q34" s="23">
        <f>[1]节奏总纲!Q34</f>
        <v>6.6084787685033248</v>
      </c>
      <c r="R34" s="23">
        <f>[1]节奏总纲!R34</f>
        <v>5.4647764257594833</v>
      </c>
      <c r="S34" s="23">
        <f>[1]节奏总纲!S34</f>
        <v>4.0620368636657114</v>
      </c>
      <c r="T34" s="23">
        <f>[1]节奏总纲!T34</f>
        <v>2.2752859851672191</v>
      </c>
      <c r="V34" s="23">
        <v>31</v>
      </c>
      <c r="W34" s="23">
        <f>[1]节奏总纲!W34</f>
        <v>0.57418770029034327</v>
      </c>
      <c r="X34" s="23">
        <f>[1]节奏总纲!X34</f>
        <v>0.51217876850332456</v>
      </c>
      <c r="Y34" s="23">
        <f>[1]节奏总纲!Y34</f>
        <v>0.4282764257594831</v>
      </c>
      <c r="Z34" s="23">
        <f>[1]节奏总纲!Z34</f>
        <v>0.31703686366571127</v>
      </c>
      <c r="AA34" s="23">
        <f>[1]节奏总纲!AA34</f>
        <v>0.17318598516721906</v>
      </c>
      <c r="AC34" s="23">
        <v>31</v>
      </c>
      <c r="AD34" s="23">
        <f>[1]节奏总纲!AD34</f>
        <v>50</v>
      </c>
      <c r="AE34" s="23">
        <f>[1]节奏总纲!AE34</f>
        <v>52.083043150292518</v>
      </c>
      <c r="AF34" s="23">
        <f>[1]节奏总纲!AF34</f>
        <v>54.144496295105839</v>
      </c>
      <c r="AG34" s="23">
        <f>[1]节奏总纲!AG34</f>
        <v>59.114227336033103</v>
      </c>
      <c r="AH34" s="23">
        <f>[1]节奏总纲!AH34</f>
        <v>68.368404455073616</v>
      </c>
      <c r="AL34" s="23">
        <v>31</v>
      </c>
      <c r="AM34" s="23">
        <f>[1]节奏总纲!AM34</f>
        <v>33.357679571112705</v>
      </c>
      <c r="AN34" s="23">
        <f>[1]节奏总纲!AN34</f>
        <v>26.686143656890167</v>
      </c>
      <c r="AO34" s="23">
        <f>[1]节奏总纲!AO34</f>
        <v>20.014607742667621</v>
      </c>
      <c r="AP34" s="23">
        <f>[1]节奏总纲!AP34</f>
        <v>13.343071828445083</v>
      </c>
      <c r="AQ34" s="23">
        <f>[1]节奏总纲!AQ34</f>
        <v>6.6715359142225417</v>
      </c>
      <c r="AS34" s="23">
        <v>31</v>
      </c>
      <c r="AT34" s="23">
        <f>[1]节奏总纲!AT34</f>
        <v>5.0076795711127033</v>
      </c>
      <c r="AU34" s="23">
        <f>[1]节奏总纲!AU34</f>
        <v>4.0061436568901634</v>
      </c>
      <c r="AV34" s="23">
        <f>[1]节奏总纲!AV34</f>
        <v>3.0046077426676199</v>
      </c>
      <c r="AW34" s="23">
        <f>[1]节奏总纲!AW34</f>
        <v>2.0030718284450817</v>
      </c>
      <c r="AX34" s="23">
        <f>[1]节奏总纲!AX34</f>
        <v>1.0015359142225408</v>
      </c>
      <c r="AY34" s="23"/>
      <c r="AZ34" s="23">
        <v>31</v>
      </c>
      <c r="BA34" s="23">
        <f>[1]节奏总纲!BA34</f>
        <v>30.529187213831889</v>
      </c>
      <c r="BB34" s="23">
        <f>[1]节奏总纲!BB34</f>
        <v>31.919701782372627</v>
      </c>
      <c r="BC34" s="23">
        <f>[1]节奏总纲!BC34</f>
        <v>33.695537043746626</v>
      </c>
      <c r="BD34" s="23">
        <f>[1]节奏总纲!BD34</f>
        <v>36.315904388158508</v>
      </c>
      <c r="BE34" s="23">
        <f>[1]节奏总纲!BE34</f>
        <v>40.984830450008978</v>
      </c>
      <c r="BI34" s="24">
        <v>31</v>
      </c>
      <c r="BJ34" s="23">
        <f>[1]节奏总纲!BJ34</f>
        <v>1.8666666666666694</v>
      </c>
      <c r="BK34" s="23">
        <f>[1]节奏总纲!BK34</f>
        <v>1.9040000000000028</v>
      </c>
      <c r="BL34" s="23">
        <f>[1]节奏总纲!BL34</f>
        <v>1.9786666666666697</v>
      </c>
      <c r="BM34" s="23">
        <f>[1]节奏总纲!BM34</f>
        <v>2.1280000000000028</v>
      </c>
      <c r="BN34" s="23">
        <f>[1]节奏总纲!BN34</f>
        <v>2.6133333333333368</v>
      </c>
    </row>
    <row r="35" spans="2:66" x14ac:dyDescent="0.15">
      <c r="B35" s="23">
        <v>60</v>
      </c>
      <c r="C35" s="23">
        <v>2047.5</v>
      </c>
      <c r="D35" s="23">
        <v>1024</v>
      </c>
      <c r="F35" s="23">
        <v>33</v>
      </c>
      <c r="G35" s="23">
        <v>8.8491553067593287</v>
      </c>
      <c r="I35" s="23">
        <v>33</v>
      </c>
      <c r="J35" s="23">
        <v>46.082812923199413</v>
      </c>
      <c r="K35" s="1">
        <v>0.96</v>
      </c>
      <c r="N35" s="35">
        <f>[1]节奏总纲!N35</f>
        <v>42</v>
      </c>
      <c r="O35" s="23">
        <v>32</v>
      </c>
      <c r="P35" s="23">
        <f>[1]节奏总纲!P35</f>
        <v>8.189586839976279</v>
      </c>
      <c r="Q35" s="23">
        <f>[1]节奏总纲!Q35</f>
        <v>7.1486903526152936</v>
      </c>
      <c r="R35" s="23">
        <f>[1]节奏总纲!R35</f>
        <v>5.9079679463588883</v>
      </c>
      <c r="S35" s="23">
        <f>[1]节奏总纲!S35</f>
        <v>4.3896185462272861</v>
      </c>
      <c r="T35" s="23">
        <f>[1]节奏总纲!T35</f>
        <v>2.46506563883286</v>
      </c>
      <c r="V35" s="23">
        <v>32</v>
      </c>
      <c r="W35" s="23">
        <f>[1]节奏总纲!W35</f>
        <v>0.61539913968593574</v>
      </c>
      <c r="X35" s="23">
        <f>[1]节奏总纲!X35</f>
        <v>0.54021158411196879</v>
      </c>
      <c r="Y35" s="23">
        <f>[1]节奏总纲!Y35</f>
        <v>0.44319152059940503</v>
      </c>
      <c r="Z35" s="23">
        <f>[1]节奏总纲!Z35</f>
        <v>0.32758168256157472</v>
      </c>
      <c r="AA35" s="23">
        <f>[1]节奏总纲!AA35</f>
        <v>0.18977965366564087</v>
      </c>
      <c r="AC35" s="23">
        <v>32</v>
      </c>
      <c r="AD35" s="23">
        <f>[1]节奏总纲!AD35</f>
        <v>50.435397692903535</v>
      </c>
      <c r="AE35" s="23">
        <f>[1]节奏总纲!AE35</f>
        <v>52.391437007458528</v>
      </c>
      <c r="AF35" s="23">
        <f>[1]节奏总纲!AF35</f>
        <v>54.69350093632039</v>
      </c>
      <c r="AG35" s="23">
        <f>[1]节奏总纲!AG35</f>
        <v>59.396914724801505</v>
      </c>
      <c r="AH35" s="23">
        <f>[1]节奏总纲!AH35</f>
        <v>68.711635628686437</v>
      </c>
      <c r="AL35" s="23">
        <v>32</v>
      </c>
      <c r="AM35" s="23">
        <f>[1]节奏总纲!AM35</f>
        <v>39.220797956048642</v>
      </c>
      <c r="AN35" s="23">
        <f>[1]节奏总纲!AN35</f>
        <v>31.376638364838914</v>
      </c>
      <c r="AO35" s="23">
        <f>[1]节奏总纲!AO35</f>
        <v>23.532478773629183</v>
      </c>
      <c r="AP35" s="23">
        <f>[1]节奏总纲!AP35</f>
        <v>15.688319182419457</v>
      </c>
      <c r="AQ35" s="23">
        <f>[1]节奏总纲!AQ35</f>
        <v>7.8441595912097286</v>
      </c>
      <c r="AS35" s="23">
        <v>32</v>
      </c>
      <c r="AT35" s="23">
        <f>[1]节奏总纲!AT35</f>
        <v>5.8631183849359374</v>
      </c>
      <c r="AU35" s="23">
        <f>[1]节奏总纲!AU35</f>
        <v>4.6904947079487478</v>
      </c>
      <c r="AV35" s="23">
        <f>[1]节奏总纲!AV35</f>
        <v>3.5178710309615617</v>
      </c>
      <c r="AW35" s="23">
        <f>[1]节奏总纲!AW35</f>
        <v>2.3452473539743739</v>
      </c>
      <c r="AX35" s="23">
        <f>[1]节奏总纲!AX35</f>
        <v>1.1726236769871869</v>
      </c>
      <c r="AY35" s="23"/>
      <c r="AZ35" s="23">
        <v>32</v>
      </c>
      <c r="BA35" s="23">
        <f>[1]节奏总纲!BA35</f>
        <v>30.728880502070336</v>
      </c>
      <c r="BB35" s="23">
        <f>[1]节奏总纲!BB35</f>
        <v>32.113552950216736</v>
      </c>
      <c r="BC35" s="23">
        <f>[1]节奏总纲!BC35</f>
        <v>33.903140691603731</v>
      </c>
      <c r="BD35" s="23">
        <f>[1]节奏总纲!BD35</f>
        <v>36.526331209747774</v>
      </c>
      <c r="BE35" s="23">
        <f>[1]节奏总纲!BE35</f>
        <v>41.188041754455355</v>
      </c>
      <c r="BI35" s="24">
        <v>32</v>
      </c>
      <c r="BJ35" s="23">
        <f>[1]节奏总纲!BJ35</f>
        <v>1.9000000000000028</v>
      </c>
      <c r="BK35" s="23">
        <f>[1]节奏总纲!BK35</f>
        <v>1.9380000000000028</v>
      </c>
      <c r="BL35" s="23">
        <f>[1]节奏总纲!BL35</f>
        <v>2.0140000000000029</v>
      </c>
      <c r="BM35" s="23">
        <f>[1]节奏总纲!BM35</f>
        <v>2.166000000000003</v>
      </c>
      <c r="BN35" s="23">
        <f>[1]节奏总纲!BN35</f>
        <v>2.6600000000000037</v>
      </c>
    </row>
    <row r="36" spans="2:66" x14ac:dyDescent="0.15">
      <c r="F36" s="23">
        <v>34</v>
      </c>
      <c r="G36" s="23">
        <v>9.5560632861831518</v>
      </c>
      <c r="I36" s="23">
        <v>34</v>
      </c>
      <c r="J36" s="23">
        <v>54.110931329932889</v>
      </c>
      <c r="K36" s="1">
        <v>0.98</v>
      </c>
      <c r="N36" s="35">
        <f>[1]节奏总纲!N36</f>
        <v>43</v>
      </c>
      <c r="O36" s="23">
        <v>33</v>
      </c>
      <c r="P36" s="23">
        <f>[1]节奏总纲!P36</f>
        <v>8.8491553067593287</v>
      </c>
      <c r="Q36" s="23">
        <f>[1]节奏总纲!Q36</f>
        <v>7.7217729206781902</v>
      </c>
      <c r="R36" s="23">
        <f>[1]节奏总纲!R36</f>
        <v>6.3890901314802351</v>
      </c>
      <c r="S36" s="23">
        <f>[1]节奏总纲!S36</f>
        <v>4.7608455550365187</v>
      </c>
      <c r="T36" s="23">
        <f>[1]节奏总纲!T36</f>
        <v>2.6149253931473817</v>
      </c>
      <c r="V36" s="23">
        <v>33</v>
      </c>
      <c r="W36" s="23">
        <f>[1]节奏总纲!W36</f>
        <v>0.6595684667830497</v>
      </c>
      <c r="X36" s="23">
        <f>[1]节奏总纲!X36</f>
        <v>0.57308256806289659</v>
      </c>
      <c r="Y36" s="23">
        <f>[1]节奏总纲!Y36</f>
        <v>0.48112218512134675</v>
      </c>
      <c r="Z36" s="23">
        <f>[1]节奏总纲!Z36</f>
        <v>0.37122700880923265</v>
      </c>
      <c r="AA36" s="23">
        <f>[1]节奏总纲!AA36</f>
        <v>0.1498597543145217</v>
      </c>
      <c r="AC36" s="23">
        <v>33</v>
      </c>
      <c r="AD36" s="23">
        <f>[1]节奏总纲!AD36</f>
        <v>50.870795385807064</v>
      </c>
      <c r="AE36" s="23">
        <f>[1]节奏总纲!AE36</f>
        <v>52.699830864624531</v>
      </c>
      <c r="AF36" s="23">
        <f>[1]节奏总纲!AF36</f>
        <v>55.341806360797882</v>
      </c>
      <c r="AG36" s="23">
        <f>[1]节奏总纲!AG36</f>
        <v>59.679602113569899</v>
      </c>
      <c r="AH36" s="23">
        <f>[1]节奏总纲!AH36</f>
        <v>69.048567791744219</v>
      </c>
      <c r="AL36" s="23">
        <v>33</v>
      </c>
      <c r="AM36" s="23">
        <f>[1]节奏总纲!AM36</f>
        <v>46.082812923199413</v>
      </c>
      <c r="AN36" s="23">
        <f>[1]节奏总纲!AN36</f>
        <v>36.866250338559531</v>
      </c>
      <c r="AO36" s="23">
        <f>[1]节奏总纲!AO36</f>
        <v>27.649687753919647</v>
      </c>
      <c r="AP36" s="23">
        <f>[1]节奏总纲!AP36</f>
        <v>18.433125169279766</v>
      </c>
      <c r="AQ36" s="23">
        <f>[1]节奏总纲!AQ36</f>
        <v>9.2165625846398829</v>
      </c>
      <c r="AS36" s="23">
        <v>33</v>
      </c>
      <c r="AT36" s="23">
        <f>[1]节奏总纲!AT36</f>
        <v>6.8620149671507704</v>
      </c>
      <c r="AU36" s="23">
        <f>[1]节奏总纲!AU36</f>
        <v>5.489611973720617</v>
      </c>
      <c r="AV36" s="23">
        <f>[1]节奏总纲!AV36</f>
        <v>4.1172089802904637</v>
      </c>
      <c r="AW36" s="23">
        <f>[1]节奏总纲!AW36</f>
        <v>2.7448059868603085</v>
      </c>
      <c r="AX36" s="23">
        <f>[1]节奏总纲!AX36</f>
        <v>1.3724029934301543</v>
      </c>
      <c r="AY36" s="23"/>
      <c r="AZ36" s="23">
        <v>33</v>
      </c>
      <c r="BA36" s="23">
        <f>[1]节奏总纲!BA36</f>
        <v>30.928573790308786</v>
      </c>
      <c r="BB36" s="23">
        <f>[1]节奏总纲!BB36</f>
        <v>32.295715187691279</v>
      </c>
      <c r="BC36" s="23">
        <f>[1]节奏总纲!BC36</f>
        <v>34.09469189131628</v>
      </c>
      <c r="BD36" s="23">
        <f>[1]节奏总纲!BD36</f>
        <v>36.73675803133704</v>
      </c>
      <c r="BE36" s="23">
        <f>[1]节奏总纲!BE36</f>
        <v>41.389172829914081</v>
      </c>
      <c r="BI36" s="24">
        <v>33</v>
      </c>
      <c r="BJ36" s="23">
        <f>[1]节奏总纲!BJ36</f>
        <v>1.9333333333333362</v>
      </c>
      <c r="BK36" s="23">
        <f>[1]节奏总纲!BK36</f>
        <v>1.9720000000000031</v>
      </c>
      <c r="BL36" s="23">
        <f>[1]节奏总纲!BL36</f>
        <v>2.0493333333333363</v>
      </c>
      <c r="BM36" s="23">
        <f>[1]节奏总纲!BM36</f>
        <v>2.2040000000000033</v>
      </c>
      <c r="BN36" s="23">
        <f>[1]节奏总纲!BN36</f>
        <v>2.7066666666666706</v>
      </c>
    </row>
    <row r="37" spans="2:66" x14ac:dyDescent="0.15">
      <c r="F37" s="23">
        <v>35</v>
      </c>
      <c r="G37" s="23">
        <v>10.313708498984759</v>
      </c>
      <c r="I37" s="23">
        <v>35</v>
      </c>
      <c r="J37" s="23">
        <v>63.5</v>
      </c>
      <c r="K37" s="1">
        <v>1</v>
      </c>
      <c r="N37" s="35">
        <f>[1]节奏总纲!N37</f>
        <v>44</v>
      </c>
      <c r="O37" s="23">
        <v>34</v>
      </c>
      <c r="P37" s="23">
        <f>[1]节奏总纲!P37</f>
        <v>9.5560632861831518</v>
      </c>
      <c r="Q37" s="23">
        <f>[1]节奏总纲!Q37</f>
        <v>8.3395764298520376</v>
      </c>
      <c r="R37" s="23">
        <f>[1]节奏总纲!R37</f>
        <v>6.9090337559104187</v>
      </c>
      <c r="S37" s="23">
        <f>[1]节奏总纲!S37</f>
        <v>5.1029377948218038</v>
      </c>
      <c r="T37" s="23">
        <f>[1]节奏总纲!T37</f>
        <v>2.7865480542510075</v>
      </c>
      <c r="V37" s="23">
        <v>34</v>
      </c>
      <c r="W37" s="23">
        <f>[1]节奏总纲!W37</f>
        <v>0.70690797942382311</v>
      </c>
      <c r="X37" s="23">
        <f>[1]节奏总纲!X37</f>
        <v>0.61780350917384741</v>
      </c>
      <c r="Y37" s="23">
        <f>[1]节奏总纲!Y37</f>
        <v>0.5199436244301836</v>
      </c>
      <c r="Z37" s="23">
        <f>[1]节奏总纲!Z37</f>
        <v>0.34209223978528502</v>
      </c>
      <c r="AA37" s="23">
        <f>[1]节奏总纲!AA37</f>
        <v>0.17162266110362578</v>
      </c>
      <c r="AC37" s="23">
        <v>34</v>
      </c>
      <c r="AD37" s="23">
        <f>[1]节奏总纲!AD37</f>
        <v>51.285688244217212</v>
      </c>
      <c r="AE37" s="23">
        <f>[1]节奏总纲!AE37</f>
        <v>53.009100302884853</v>
      </c>
      <c r="AF37" s="23">
        <f>[1]节奏总纲!AF37</f>
        <v>56.0994870217868</v>
      </c>
      <c r="AG37" s="23">
        <f>[1]节奏总纲!AG37</f>
        <v>59.962289502338301</v>
      </c>
      <c r="AH37" s="23">
        <f>[1]节奏总纲!AH37</f>
        <v>69.352394139582572</v>
      </c>
      <c r="AL37" s="23">
        <v>34</v>
      </c>
      <c r="AM37" s="23">
        <f>[1]节奏总纲!AM37</f>
        <v>54.110931329932889</v>
      </c>
      <c r="AN37" s="23">
        <f>[1]节奏总纲!AN37</f>
        <v>43.288745063946315</v>
      </c>
      <c r="AO37" s="23">
        <f>[1]节奏总纲!AO37</f>
        <v>32.466558797959735</v>
      </c>
      <c r="AP37" s="23">
        <f>[1]节奏总纲!AP37</f>
        <v>21.644372531973158</v>
      </c>
      <c r="AQ37" s="23">
        <f>[1]节奏总纲!AQ37</f>
        <v>10.822186265986579</v>
      </c>
      <c r="AS37" s="23">
        <v>34</v>
      </c>
      <c r="AT37" s="23">
        <f>[1]节奏总纲!AT37</f>
        <v>8.0281184067334763</v>
      </c>
      <c r="AU37" s="23">
        <f>[1]节奏总纲!AU37</f>
        <v>6.4224947253867839</v>
      </c>
      <c r="AV37" s="23">
        <f>[1]节奏总纲!AV37</f>
        <v>4.8168710440400879</v>
      </c>
      <c r="AW37" s="23">
        <f>[1]节奏总纲!AW37</f>
        <v>3.2112473626933919</v>
      </c>
      <c r="AX37" s="23">
        <f>[1]节奏总纲!AX37</f>
        <v>1.605623681346696</v>
      </c>
      <c r="AY37" s="23"/>
      <c r="AZ37" s="23">
        <v>34</v>
      </c>
      <c r="BA37" s="23">
        <f>[1]节奏总纲!BA37</f>
        <v>31.109552696486158</v>
      </c>
      <c r="BB37" s="23">
        <f>[1]节奏总纲!BB37</f>
        <v>32.477877425165822</v>
      </c>
      <c r="BC37" s="23">
        <f>[1]节奏总纲!BC37</f>
        <v>34.272203285175834</v>
      </c>
      <c r="BD37" s="23">
        <f>[1]节奏总纲!BD37</f>
        <v>36.947184852926306</v>
      </c>
      <c r="BE37" s="23">
        <f>[1]节奏总纲!BE37</f>
        <v>41.590303905372799</v>
      </c>
      <c r="BI37" s="24">
        <v>34</v>
      </c>
      <c r="BJ37" s="23">
        <f>[1]节奏总纲!BJ37</f>
        <v>1.9666666666666697</v>
      </c>
      <c r="BK37" s="23">
        <f>[1]节奏总纲!BK37</f>
        <v>2.0060000000000029</v>
      </c>
      <c r="BL37" s="23">
        <f>[1]节奏总纲!BL37</f>
        <v>2.0846666666666698</v>
      </c>
      <c r="BM37" s="23">
        <f>[1]节奏总纲!BM37</f>
        <v>2.2420000000000031</v>
      </c>
      <c r="BN37" s="23">
        <f>[1]节奏总纲!BN37</f>
        <v>2.7533333333333374</v>
      </c>
    </row>
    <row r="38" spans="2:66" x14ac:dyDescent="0.15">
      <c r="F38" s="23">
        <v>36</v>
      </c>
      <c r="G38" s="23">
        <v>11.125732532083184</v>
      </c>
      <c r="I38" s="23">
        <v>36</v>
      </c>
      <c r="J38" s="23">
        <v>73.746861667008318</v>
      </c>
      <c r="K38" s="1">
        <v>1.01</v>
      </c>
      <c r="N38" s="35">
        <f>[1]节奏总纲!N38</f>
        <v>45</v>
      </c>
      <c r="O38" s="23">
        <v>35</v>
      </c>
      <c r="P38" s="23">
        <f>[1]节奏总纲!P38</f>
        <v>10.313708498984759</v>
      </c>
      <c r="Q38" s="23">
        <f>[1]节奏总纲!Q38</f>
        <v>9.0121184864128825</v>
      </c>
      <c r="R38" s="23">
        <f>[1]节奏总纲!R38</f>
        <v>7.4464975362669961</v>
      </c>
      <c r="S38" s="23">
        <f>[1]节奏总纲!S38</f>
        <v>5.4146969619669987</v>
      </c>
      <c r="T38" s="23">
        <f>[1]节奏总纲!T38</f>
        <v>2.9651911934581179</v>
      </c>
      <c r="V38" s="23">
        <v>35</v>
      </c>
      <c r="W38" s="23">
        <f>[1]节奏总纲!W38</f>
        <v>0.75764521280160757</v>
      </c>
      <c r="X38" s="23">
        <f>[1]节奏总纲!X38</f>
        <v>0.67254205656084487</v>
      </c>
      <c r="Y38" s="23">
        <f>[1]节奏总纲!Y38</f>
        <v>0.53746378035657738</v>
      </c>
      <c r="Z38" s="23">
        <f>[1]节奏总纲!Z38</f>
        <v>0.31175916714519492</v>
      </c>
      <c r="AA38" s="23">
        <f>[1]节奏总纲!AA38</f>
        <v>0.17864313920711039</v>
      </c>
      <c r="AC38" s="23">
        <v>35</v>
      </c>
      <c r="AD38" s="23">
        <f>[1]节奏总纲!AD38</f>
        <v>51.691928656135211</v>
      </c>
      <c r="AE38" s="23">
        <f>[1]节奏总纲!AE38</f>
        <v>53.350324915645452</v>
      </c>
      <c r="AF38" s="23">
        <f>[1]节奏总纲!AF38</f>
        <v>56.765344035139712</v>
      </c>
      <c r="AG38" s="23">
        <f>[1]节奏总纲!AG38</f>
        <v>60.326066149129588</v>
      </c>
      <c r="AH38" s="23">
        <f>[1]节奏总纲!AH38</f>
        <v>69.65622048742091</v>
      </c>
      <c r="AL38" s="23">
        <v>35</v>
      </c>
      <c r="AM38" s="23">
        <f>[1]节奏总纲!AM38</f>
        <v>63.5</v>
      </c>
      <c r="AN38" s="23">
        <f>[1]节奏总纲!AN38</f>
        <v>50.800000000000004</v>
      </c>
      <c r="AO38" s="23">
        <f>[1]节奏总纲!AO38</f>
        <v>38.1</v>
      </c>
      <c r="AP38" s="23">
        <f>[1]节奏总纲!AP38</f>
        <v>25.400000000000002</v>
      </c>
      <c r="AQ38" s="23">
        <f>[1]节奏总纲!AQ38</f>
        <v>12.700000000000001</v>
      </c>
      <c r="AS38" s="23">
        <v>35</v>
      </c>
      <c r="AT38" s="23">
        <f>[1]节奏总纲!AT38</f>
        <v>9.3890686700671111</v>
      </c>
      <c r="AU38" s="23">
        <f>[1]节奏总纲!AU38</f>
        <v>7.5112549360536889</v>
      </c>
      <c r="AV38" s="23">
        <f>[1]节奏总纲!AV38</f>
        <v>5.6334412020402667</v>
      </c>
      <c r="AW38" s="23">
        <f>[1]节奏总纲!AW38</f>
        <v>3.7556274680268444</v>
      </c>
      <c r="AX38" s="23">
        <f>[1]节奏总纲!AX38</f>
        <v>1.8778137340134222</v>
      </c>
      <c r="AY38" s="23"/>
      <c r="AZ38" s="23">
        <v>35</v>
      </c>
      <c r="BA38" s="23">
        <f>[1]节奏总纲!BA38</f>
        <v>31.280110398778046</v>
      </c>
      <c r="BB38" s="23">
        <f>[1]节奏总纲!BB38</f>
        <v>32.660039662640372</v>
      </c>
      <c r="BC38" s="23">
        <f>[1]节奏总纲!BC38</f>
        <v>34.449714679035388</v>
      </c>
      <c r="BD38" s="23">
        <f>[1]节奏总纲!BD38</f>
        <v>37.135950591746003</v>
      </c>
      <c r="BE38" s="23">
        <f>[1]节奏总纲!BE38</f>
        <v>41.791434980831518</v>
      </c>
      <c r="BI38" s="24">
        <v>35</v>
      </c>
      <c r="BJ38" s="23">
        <f>[1]节奏总纲!BJ38</f>
        <v>2.0000000000000031</v>
      </c>
      <c r="BK38" s="23">
        <f>[1]节奏总纲!BK38</f>
        <v>2.0400000000000031</v>
      </c>
      <c r="BL38" s="23">
        <f>[1]节奏总纲!BL38</f>
        <v>2.1200000000000032</v>
      </c>
      <c r="BM38" s="23">
        <f>[1]节奏总纲!BM38</f>
        <v>2.2800000000000034</v>
      </c>
      <c r="BN38" s="23">
        <f>[1]节奏总纲!BN38</f>
        <v>2.8000000000000043</v>
      </c>
    </row>
    <row r="39" spans="2:66" x14ac:dyDescent="0.15">
      <c r="F39" s="23">
        <v>37</v>
      </c>
      <c r="G39" s="23">
        <v>11.996038341699768</v>
      </c>
      <c r="I39" s="23">
        <v>37</v>
      </c>
      <c r="J39" s="23">
        <v>85.62747641525452</v>
      </c>
      <c r="K39" s="1">
        <v>1.02</v>
      </c>
      <c r="N39" s="35">
        <f>[1]节奏总纲!N39</f>
        <v>46</v>
      </c>
      <c r="O39" s="23">
        <v>36</v>
      </c>
      <c r="P39" s="23">
        <f>[1]节奏总纲!P39</f>
        <v>11.125732532083184</v>
      </c>
      <c r="Q39" s="23">
        <f>[1]节奏总纲!Q39</f>
        <v>9.7216650865342871</v>
      </c>
      <c r="R39" s="23">
        <f>[1]节奏总纲!R39</f>
        <v>7.9259718558560603</v>
      </c>
      <c r="S39" s="23">
        <f>[1]节奏总纲!S39</f>
        <v>5.7531162923402146</v>
      </c>
      <c r="T39" s="23">
        <f>[1]节奏总纲!T39</f>
        <v>3.2131115552656233</v>
      </c>
      <c r="V39" s="23">
        <v>36</v>
      </c>
      <c r="W39" s="23">
        <f>[1]节奏总纲!W39</f>
        <v>0.81202403309842452</v>
      </c>
      <c r="X39" s="23">
        <f>[1]节奏总纲!X39</f>
        <v>0.70954660012140458</v>
      </c>
      <c r="Y39" s="23">
        <f>[1]节奏总纲!Y39</f>
        <v>0.47947431958906428</v>
      </c>
      <c r="Z39" s="23">
        <f>[1]节奏总纲!Z39</f>
        <v>0.33841933037321592</v>
      </c>
      <c r="AA39" s="23">
        <f>[1]节奏总纲!AA39</f>
        <v>0.24792036180750543</v>
      </c>
      <c r="AC39" s="23">
        <v>36</v>
      </c>
      <c r="AD39" s="23">
        <f>[1]节奏总纲!AD39</f>
        <v>52.091594979242075</v>
      </c>
      <c r="AE39" s="23">
        <f>[1]节奏总纲!AE39</f>
        <v>53.69154952840605</v>
      </c>
      <c r="AF39" s="23">
        <f>[1]节奏总纲!AF39</f>
        <v>57.371213148319512</v>
      </c>
      <c r="AG39" s="23">
        <f>[1]节奏总纲!AG39</f>
        <v>60.702325264211048</v>
      </c>
      <c r="AH39" s="23">
        <f>[1]节奏总纲!AH39</f>
        <v>69.960046835259263</v>
      </c>
      <c r="AL39" s="23">
        <v>36</v>
      </c>
      <c r="AM39" s="23">
        <f>[1]节奏总纲!AM39</f>
        <v>73.746861667008318</v>
      </c>
      <c r="AN39" s="23">
        <f>[1]节奏总纲!AN39</f>
        <v>58.997489333606659</v>
      </c>
      <c r="AO39" s="23">
        <f>[1]节奏总纲!AO39</f>
        <v>44.248117000204992</v>
      </c>
      <c r="AP39" s="23">
        <f>[1]节奏总纲!AP39</f>
        <v>29.498744666803329</v>
      </c>
      <c r="AQ39" s="23">
        <f>[1]节奏总纲!AQ39</f>
        <v>14.749372333401665</v>
      </c>
      <c r="AS39" s="23">
        <v>36</v>
      </c>
      <c r="AT39" s="23">
        <f>[1]节奏总纲!AT39</f>
        <v>10.246861667008318</v>
      </c>
      <c r="AU39" s="23">
        <f>[1]节奏总纲!AU39</f>
        <v>8.1974893336066543</v>
      </c>
      <c r="AV39" s="23">
        <f>[1]节奏总纲!AV39</f>
        <v>6.1481170002049907</v>
      </c>
      <c r="AW39" s="23">
        <f>[1]节奏总纲!AW39</f>
        <v>4.0987446668033272</v>
      </c>
      <c r="AX39" s="23">
        <f>[1]节奏总纲!AX39</f>
        <v>2.0493723334016636</v>
      </c>
      <c r="AY39" s="23"/>
      <c r="AZ39" s="23">
        <v>36</v>
      </c>
      <c r="BA39" s="23">
        <f>[1]节奏总纲!BA39</f>
        <v>31.450668101069933</v>
      </c>
      <c r="BB39" s="23">
        <f>[1]节奏总纲!BB39</f>
        <v>32.842201900114915</v>
      </c>
      <c r="BC39" s="23">
        <f>[1]节奏总纲!BC39</f>
        <v>34.627226072894942</v>
      </c>
      <c r="BD39" s="23">
        <f>[1]节奏总纲!BD39</f>
        <v>37.317457773889828</v>
      </c>
      <c r="BE39" s="23">
        <f>[1]节奏总纲!BE39</f>
        <v>41.992566056290244</v>
      </c>
      <c r="BI39" s="24">
        <v>36</v>
      </c>
      <c r="BJ39" s="23">
        <f>[1]节奏总纲!BJ39</f>
        <v>2.0333333333333363</v>
      </c>
      <c r="BK39" s="23">
        <f>[1]节奏总纲!BK39</f>
        <v>2.074000000000003</v>
      </c>
      <c r="BL39" s="23">
        <f>[1]节奏总纲!BL39</f>
        <v>2.1553333333333367</v>
      </c>
      <c r="BM39" s="23">
        <f>[1]节奏总纲!BM39</f>
        <v>2.3180000000000032</v>
      </c>
      <c r="BN39" s="23">
        <f>[1]节奏总纲!BN39</f>
        <v>2.8466666666666707</v>
      </c>
    </row>
    <row r="40" spans="2:66" x14ac:dyDescent="0.15">
      <c r="F40" s="23">
        <v>38</v>
      </c>
      <c r="G40" s="23">
        <v>12.928809012737984</v>
      </c>
      <c r="I40" s="23">
        <v>38</v>
      </c>
      <c r="J40" s="23">
        <v>99.401036064365428</v>
      </c>
      <c r="K40" s="1">
        <v>1.03</v>
      </c>
      <c r="N40" s="35">
        <f>[1]节奏总纲!N40</f>
        <v>47</v>
      </c>
      <c r="O40" s="23">
        <v>37</v>
      </c>
      <c r="P40" s="23">
        <f>[1]节奏总纲!P40</f>
        <v>11.996038341699768</v>
      </c>
      <c r="Q40" s="23">
        <f>[1]节奏总纲!Q40</f>
        <v>10.383770788575319</v>
      </c>
      <c r="R40" s="23">
        <f>[1]节奏总纲!R40</f>
        <v>8.4212189158732365</v>
      </c>
      <c r="S40" s="23">
        <f>[1]节奏总纲!S40</f>
        <v>6.1923549919854199</v>
      </c>
      <c r="T40" s="23">
        <f>[1]节奏总纲!T40</f>
        <v>3.4788511190929325</v>
      </c>
      <c r="V40" s="23">
        <v>37</v>
      </c>
      <c r="W40" s="23">
        <f>[1]节奏总纲!W40</f>
        <v>0.87030580961658366</v>
      </c>
      <c r="X40" s="23">
        <f>[1]节奏总纲!X40</f>
        <v>0.66210570204103192</v>
      </c>
      <c r="Y40" s="23">
        <f>[1]节奏总纲!Y40</f>
        <v>0.49524706001717611</v>
      </c>
      <c r="Z40" s="23">
        <f>[1]节奏总纲!Z40</f>
        <v>0.43923869964520534</v>
      </c>
      <c r="AA40" s="23">
        <f>[1]节奏总纲!AA40</f>
        <v>0.26573956382730923</v>
      </c>
      <c r="AC40" s="23">
        <v>37</v>
      </c>
      <c r="AD40" s="23">
        <f>[1]节奏总纲!AD40</f>
        <v>52.470630686057078</v>
      </c>
      <c r="AE40" s="23">
        <f>[1]节奏总纲!AE40</f>
        <v>54.04197689939673</v>
      </c>
      <c r="AF40" s="23">
        <f>[1]节奏总纲!AF40</f>
        <v>57.944437353412297</v>
      </c>
      <c r="AG40" s="23">
        <f>[1]节奏总纲!AG40</f>
        <v>61.078152136114454</v>
      </c>
      <c r="AH40" s="23">
        <f>[1]节奏总纲!AH40</f>
        <v>70.242555071979652</v>
      </c>
      <c r="AL40" s="23">
        <v>37</v>
      </c>
      <c r="AM40" s="23">
        <f>[1]节奏总纲!AM40</f>
        <v>85.62747641525452</v>
      </c>
      <c r="AN40" s="23">
        <f>[1]节奏总纲!AN40</f>
        <v>68.501981132203625</v>
      </c>
      <c r="AO40" s="23">
        <f>[1]节奏总纲!AO40</f>
        <v>51.376485849152708</v>
      </c>
      <c r="AP40" s="23">
        <f>[1]节奏总纲!AP40</f>
        <v>34.250990566101812</v>
      </c>
      <c r="AQ40" s="23">
        <f>[1]节奏总纲!AQ40</f>
        <v>17.125495283050906</v>
      </c>
      <c r="AS40" s="23">
        <v>37</v>
      </c>
      <c r="AT40" s="23">
        <f>[1]节奏总纲!AT40</f>
        <v>11.880614748246202</v>
      </c>
      <c r="AU40" s="23">
        <f>[1]节奏总纲!AU40</f>
        <v>9.5044917985969661</v>
      </c>
      <c r="AV40" s="23">
        <f>[1]节奏总纲!AV40</f>
        <v>7.1283688489477157</v>
      </c>
      <c r="AW40" s="23">
        <f>[1]节奏总纲!AW40</f>
        <v>4.7522458992984831</v>
      </c>
      <c r="AX40" s="23">
        <f>[1]节奏总纲!AX40</f>
        <v>2.3761229496492415</v>
      </c>
      <c r="AY40" s="23"/>
      <c r="AZ40" s="23">
        <v>37</v>
      </c>
      <c r="BA40" s="23">
        <f>[1]节奏总纲!BA40</f>
        <v>31.621225803361821</v>
      </c>
      <c r="BB40" s="23">
        <f>[1]节奏总纲!BB40</f>
        <v>33.02082518821102</v>
      </c>
      <c r="BC40" s="23">
        <f>[1]节奏总纲!BC40</f>
        <v>34.804737466754489</v>
      </c>
      <c r="BD40" s="23">
        <f>[1]节奏总纲!BD40</f>
        <v>37.498964956033646</v>
      </c>
      <c r="BE40" s="23">
        <f>[1]节奏总纲!BE40</f>
        <v>42.167148737437564</v>
      </c>
      <c r="BI40" s="24">
        <v>37</v>
      </c>
      <c r="BJ40" s="23">
        <f>[1]节奏总纲!BJ40</f>
        <v>2.0666666666666695</v>
      </c>
      <c r="BK40" s="23">
        <f>[1]节奏总纲!BK40</f>
        <v>2.1080000000000028</v>
      </c>
      <c r="BL40" s="23">
        <f>[1]节奏总纲!BL40</f>
        <v>2.1906666666666696</v>
      </c>
      <c r="BM40" s="23">
        <f>[1]节奏总纲!BM40</f>
        <v>2.356000000000003</v>
      </c>
      <c r="BN40" s="23">
        <f>[1]节奏总纲!BN40</f>
        <v>2.8933333333333371</v>
      </c>
    </row>
    <row r="41" spans="2:66" x14ac:dyDescent="0.15">
      <c r="F41" s="23">
        <v>39</v>
      </c>
      <c r="G41" s="23">
        <v>13.928527864588917</v>
      </c>
      <c r="I41" s="23">
        <v>39</v>
      </c>
      <c r="J41" s="23">
        <v>115.36769098598003</v>
      </c>
      <c r="K41" s="1">
        <v>1.04</v>
      </c>
      <c r="N41" s="35">
        <f>[1]节奏总纲!N41</f>
        <v>48</v>
      </c>
      <c r="O41" s="23">
        <v>38</v>
      </c>
      <c r="P41" s="23">
        <f>[1]节奏总纲!P41</f>
        <v>12.928809012737984</v>
      </c>
      <c r="Q41" s="23">
        <f>[1]节奏总纲!Q41</f>
        <v>11.121361512757213</v>
      </c>
      <c r="R41" s="23">
        <f>[1]节奏总纲!R41</f>
        <v>9.0695595224356964</v>
      </c>
      <c r="S41" s="23">
        <f>[1]节奏总纲!S41</f>
        <v>6.7772816844772512</v>
      </c>
      <c r="T41" s="23">
        <f>[1]节奏总纲!T41</f>
        <v>3.8152915396589786</v>
      </c>
      <c r="V41" s="23">
        <v>38</v>
      </c>
      <c r="W41" s="23">
        <f>[1]节奏总纲!W41</f>
        <v>0.93277067103821665</v>
      </c>
      <c r="X41" s="23">
        <f>[1]节奏总纲!X41</f>
        <v>0.73759072418189398</v>
      </c>
      <c r="Y41" s="23">
        <f>[1]节奏总纲!Y41</f>
        <v>0.64834060656245995</v>
      </c>
      <c r="Z41" s="23">
        <f>[1]节奏总纲!Z41</f>
        <v>0.58492669249183127</v>
      </c>
      <c r="AA41" s="23">
        <f>[1]节奏总纲!AA41</f>
        <v>0.33644042056604606</v>
      </c>
      <c r="AC41" s="23">
        <v>38</v>
      </c>
      <c r="AD41" s="23">
        <f>[1]节奏总纲!AD41</f>
        <v>52.849666392872081</v>
      </c>
      <c r="AE41" s="23">
        <f>[1]节奏总纲!AE41</f>
        <v>54.479015086567088</v>
      </c>
      <c r="AF41" s="23">
        <f>[1]节奏总纲!AF41</f>
        <v>58.232771085759644</v>
      </c>
      <c r="AG41" s="23">
        <f>[1]节奏总纲!AG41</f>
        <v>61.452341686771838</v>
      </c>
      <c r="AH41" s="23">
        <f>[1]节奏总纲!AH41</f>
        <v>70.521835523309122</v>
      </c>
      <c r="AL41" s="23">
        <v>38</v>
      </c>
      <c r="AM41" s="23">
        <f>[1]节奏总纲!AM41</f>
        <v>99.401036064365428</v>
      </c>
      <c r="AN41" s="23">
        <f>[1]节奏总纲!AN41</f>
        <v>79.520828851492354</v>
      </c>
      <c r="AO41" s="23">
        <f>[1]节奏总纲!AO41</f>
        <v>59.640621638619251</v>
      </c>
      <c r="AP41" s="23">
        <f>[1]节奏总纲!AP41</f>
        <v>39.760414425746177</v>
      </c>
      <c r="AQ41" s="23">
        <f>[1]节奏总纲!AQ41</f>
        <v>19.880207212873088</v>
      </c>
      <c r="AS41" s="23">
        <v>38</v>
      </c>
      <c r="AT41" s="23">
        <f>[1]节奏总纲!AT41</f>
        <v>13.773559649110908</v>
      </c>
      <c r="AU41" s="23">
        <f>[1]节奏总纲!AU41</f>
        <v>11.018847719288729</v>
      </c>
      <c r="AV41" s="23">
        <f>[1]节奏总纲!AV41</f>
        <v>8.2641357894665433</v>
      </c>
      <c r="AW41" s="23">
        <f>[1]节奏总纲!AW41</f>
        <v>5.5094238596443645</v>
      </c>
      <c r="AX41" s="23">
        <f>[1]节奏总纲!AX41</f>
        <v>2.7547119298221823</v>
      </c>
      <c r="AY41" s="23"/>
      <c r="AZ41" s="23">
        <v>38</v>
      </c>
      <c r="BA41" s="23">
        <f>[1]节奏总纲!BA41</f>
        <v>31.791783505653711</v>
      </c>
      <c r="BB41" s="23">
        <f>[1]节奏总纲!BB41</f>
        <v>33.176527924103851</v>
      </c>
      <c r="BC41" s="23">
        <f>[1]节奏总纲!BC41</f>
        <v>34.982248860614042</v>
      </c>
      <c r="BD41" s="23">
        <f>[1]节奏总纲!BD41</f>
        <v>37.680472138177471</v>
      </c>
      <c r="BE41" s="23">
        <f>[1]节奏总纲!BE41</f>
        <v>42.340712512072891</v>
      </c>
      <c r="BI41" s="24">
        <v>38</v>
      </c>
      <c r="BJ41" s="23">
        <f>[1]节奏总纲!BJ41</f>
        <v>2.1000000000000028</v>
      </c>
      <c r="BK41" s="23">
        <f>[1]节奏总纲!BK41</f>
        <v>2.142000000000003</v>
      </c>
      <c r="BL41" s="23">
        <f>[1]节奏总纲!BL41</f>
        <v>2.2260000000000031</v>
      </c>
      <c r="BM41" s="23">
        <f>[1]节奏总纲!BM41</f>
        <v>2.3940000000000028</v>
      </c>
      <c r="BN41" s="23">
        <f>[1]节奏总纲!BN41</f>
        <v>2.9400000000000035</v>
      </c>
    </row>
    <row r="42" spans="2:66" x14ac:dyDescent="0.15">
      <c r="F42" s="23">
        <v>40</v>
      </c>
      <c r="G42" s="23">
        <v>15</v>
      </c>
      <c r="I42" s="23">
        <v>40</v>
      </c>
      <c r="J42" s="23">
        <v>133.875</v>
      </c>
      <c r="K42" s="1">
        <v>1.05</v>
      </c>
      <c r="N42" s="35">
        <f>[1]节奏总纲!N42</f>
        <v>49</v>
      </c>
      <c r="O42" s="23">
        <v>39</v>
      </c>
      <c r="P42" s="23">
        <f>[1]节奏总纲!P42</f>
        <v>13.928527864588917</v>
      </c>
      <c r="Q42" s="23">
        <f>[1]节奏总纲!Q42</f>
        <v>12.043998044510037</v>
      </c>
      <c r="R42" s="23">
        <f>[1]节奏总纲!R42</f>
        <v>9.9839687733373346</v>
      </c>
      <c r="S42" s="23">
        <f>[1]节奏总纲!S42</f>
        <v>7.4308696157581871</v>
      </c>
      <c r="T42" s="23">
        <f>[1]节奏总纲!T42</f>
        <v>4.2078082678923119</v>
      </c>
      <c r="V42" s="23">
        <v>39</v>
      </c>
      <c r="W42" s="23">
        <f>[1]节奏总纲!W42</f>
        <v>0.99971885185093257</v>
      </c>
      <c r="X42" s="23">
        <f>[1]节奏总纲!X42</f>
        <v>0.92263653175282379</v>
      </c>
      <c r="Y42" s="23">
        <f>[1]节奏总纲!Y42</f>
        <v>0.91440925090163816</v>
      </c>
      <c r="Z42" s="23">
        <f>[1]节奏总纲!Z42</f>
        <v>0.65358793128093584</v>
      </c>
      <c r="AA42" s="23">
        <f>[1]节奏总纲!AA42</f>
        <v>0.39251672823333328</v>
      </c>
      <c r="AC42" s="23">
        <v>39</v>
      </c>
      <c r="AD42" s="23">
        <f>[1]节奏总纲!AD42</f>
        <v>53.213386604241784</v>
      </c>
      <c r="AE42" s="23">
        <f>[1]节奏总纲!AE42</f>
        <v>54.916053273737454</v>
      </c>
      <c r="AF42" s="23">
        <f>[1]节奏总纲!AF42</f>
        <v>58.490526405641766</v>
      </c>
      <c r="AG42" s="23">
        <f>[1]节奏总纲!AG42</f>
        <v>61.826531237429229</v>
      </c>
      <c r="AH42" s="23">
        <f>[1]节奏总纲!AH42</f>
        <v>70.801115974638606</v>
      </c>
      <c r="AL42" s="23">
        <v>39</v>
      </c>
      <c r="AM42" s="23">
        <f>[1]节奏总纲!AM42</f>
        <v>115.36769098598003</v>
      </c>
      <c r="AN42" s="23">
        <f>[1]节奏总纲!AN42</f>
        <v>92.294152788784032</v>
      </c>
      <c r="AO42" s="23">
        <f>[1]节奏总纲!AO42</f>
        <v>69.220614591588017</v>
      </c>
      <c r="AP42" s="23">
        <f>[1]节奏总纲!AP42</f>
        <v>46.147076394392016</v>
      </c>
      <c r="AQ42" s="23">
        <f>[1]节奏总纲!AQ42</f>
        <v>23.073538197196008</v>
      </c>
      <c r="AS42" s="23">
        <v>39</v>
      </c>
      <c r="AT42" s="23">
        <f>[1]节奏总纲!AT42</f>
        <v>15.966654921614605</v>
      </c>
      <c r="AU42" s="23">
        <f>[1]节奏总纲!AU42</f>
        <v>12.773323937291678</v>
      </c>
      <c r="AV42" s="23">
        <f>[1]节奏总纲!AV42</f>
        <v>9.579992952968766</v>
      </c>
      <c r="AW42" s="23">
        <f>[1]节奏总纲!AW42</f>
        <v>6.3866619686458392</v>
      </c>
      <c r="AX42" s="23">
        <f>[1]节奏总纲!AX42</f>
        <v>3.1933309843229196</v>
      </c>
      <c r="AY42" s="23"/>
      <c r="AZ42" s="23">
        <v>39</v>
      </c>
      <c r="BA42" s="23">
        <f>[1]节奏总纲!BA42</f>
        <v>31.962341207945599</v>
      </c>
      <c r="BB42" s="23">
        <f>[1]节奏总纲!BB42</f>
        <v>33.332230659996682</v>
      </c>
      <c r="BC42" s="23">
        <f>[1]节奏总纲!BC42</f>
        <v>35.146386283795508</v>
      </c>
      <c r="BD42" s="23">
        <f>[1]节奏总纲!BD42</f>
        <v>37.861979320321296</v>
      </c>
      <c r="BE42" s="23">
        <f>[1]节奏总纲!BE42</f>
        <v>42.51427628670821</v>
      </c>
      <c r="BI42" s="24">
        <v>39</v>
      </c>
      <c r="BJ42" s="23">
        <f>[1]节奏总纲!BJ42</f>
        <v>2.133333333333336</v>
      </c>
      <c r="BK42" s="23">
        <f>[1]节奏总纲!BK42</f>
        <v>2.1760000000000028</v>
      </c>
      <c r="BL42" s="23">
        <f>[1]节奏总纲!BL42</f>
        <v>2.2613333333333361</v>
      </c>
      <c r="BM42" s="23">
        <f>[1]节奏总纲!BM42</f>
        <v>2.4320000000000026</v>
      </c>
      <c r="BN42" s="23">
        <f>[1]节奏总纲!BN42</f>
        <v>2.9866666666666704</v>
      </c>
    </row>
    <row r="43" spans="2:66" x14ac:dyDescent="0.15">
      <c r="F43" s="23">
        <v>41</v>
      </c>
      <c r="G43" s="23">
        <v>16.148375400580683</v>
      </c>
      <c r="I43" s="23">
        <v>41</v>
      </c>
      <c r="J43" s="23">
        <v>155.32539280599755</v>
      </c>
      <c r="K43" s="1">
        <v>1.06</v>
      </c>
      <c r="N43" s="35">
        <f>[1]节奏总纲!N43</f>
        <v>50</v>
      </c>
      <c r="O43" s="23">
        <v>40</v>
      </c>
      <c r="P43" s="23">
        <f>[1]节奏总纲!P43</f>
        <v>15</v>
      </c>
      <c r="Q43" s="23">
        <f>[1]节奏总纲!Q43</f>
        <v>13.105500000000001</v>
      </c>
      <c r="R43" s="23">
        <f>[1]节奏总纲!R43</f>
        <v>10.86</v>
      </c>
      <c r="S43" s="23">
        <f>[1]节奏总纲!S43</f>
        <v>8.1389999999999993</v>
      </c>
      <c r="T43" s="23">
        <f>[1]节奏总纲!T43</f>
        <v>4.6229999999999993</v>
      </c>
      <c r="V43" s="23">
        <v>40</v>
      </c>
      <c r="W43" s="23">
        <f>[1]节奏总纲!W43</f>
        <v>1.0714721354110832</v>
      </c>
      <c r="X43" s="23">
        <f>[1]节奏总纲!X43</f>
        <v>1.0615019554899643</v>
      </c>
      <c r="Y43" s="23">
        <f>[1]节奏总纲!Y43</f>
        <v>0.87603122666266486</v>
      </c>
      <c r="Z43" s="23">
        <f>[1]节奏总纲!Z43</f>
        <v>0.70813038424181229</v>
      </c>
      <c r="AA43" s="23">
        <f>[1]节奏总纲!AA43</f>
        <v>0.41519173210768745</v>
      </c>
      <c r="AC43" s="23">
        <v>40</v>
      </c>
      <c r="AD43" s="23">
        <f>[1]节奏总纲!AD43</f>
        <v>53.567039423670657</v>
      </c>
      <c r="AE43" s="23">
        <f>[1]节奏总纲!AE43</f>
        <v>55.311757727123592</v>
      </c>
      <c r="AF43" s="23">
        <f>[1]节奏总纲!AF43</f>
        <v>58.748281725523888</v>
      </c>
      <c r="AG43" s="23">
        <f>[1]节奏总纲!AG43</f>
        <v>62.307666298472036</v>
      </c>
      <c r="AH43" s="23">
        <f>[1]节奏总纲!AH43</f>
        <v>71.070499605404166</v>
      </c>
      <c r="AL43" s="23">
        <v>40</v>
      </c>
      <c r="AM43" s="23">
        <f>[1]节奏总纲!AM43</f>
        <v>133.875</v>
      </c>
      <c r="AN43" s="23">
        <f>[1]节奏总纲!AN43</f>
        <v>107.10000000000001</v>
      </c>
      <c r="AO43" s="23">
        <f>[1]节奏总纲!AO43</f>
        <v>80.325000000000003</v>
      </c>
      <c r="AP43" s="23">
        <f>[1]节奏总纲!AP43</f>
        <v>53.550000000000004</v>
      </c>
      <c r="AQ43" s="23">
        <f>[1]节奏总纲!AQ43</f>
        <v>26.775000000000002</v>
      </c>
      <c r="AS43" s="23">
        <v>40</v>
      </c>
      <c r="AT43" s="23">
        <f>[1]节奏总纲!AT43</f>
        <v>18.507309014019967</v>
      </c>
      <c r="AU43" s="23">
        <f>[1]节奏总纲!AU43</f>
        <v>14.805847211215976</v>
      </c>
      <c r="AV43" s="23">
        <f>[1]节奏总纲!AV43</f>
        <v>11.104385408411986</v>
      </c>
      <c r="AW43" s="23">
        <f>[1]节奏总纲!AW43</f>
        <v>7.4029236056079881</v>
      </c>
      <c r="AX43" s="23">
        <f>[1]节奏总纲!AX43</f>
        <v>3.7014618028039941</v>
      </c>
      <c r="AY43" s="23"/>
      <c r="AZ43" s="23">
        <v>40</v>
      </c>
      <c r="BA43" s="23">
        <f>[1]节奏总纲!BA43</f>
        <v>32.113552950216736</v>
      </c>
      <c r="BB43" s="23">
        <f>[1]节奏总纲!BB43</f>
        <v>33.487933395889513</v>
      </c>
      <c r="BC43" s="23">
        <f>[1]节奏总纲!BC43</f>
        <v>35.309037710234961</v>
      </c>
      <c r="BD43" s="23">
        <f>[1]节奏总纲!BD43</f>
        <v>38.037513426486328</v>
      </c>
      <c r="BE43" s="23">
        <f>[1]节奏总纲!BE43</f>
        <v>42.687840061343536</v>
      </c>
      <c r="BI43" s="24">
        <v>40</v>
      </c>
      <c r="BJ43" s="23">
        <f>[1]节奏总纲!BJ43</f>
        <v>2.1666666666666692</v>
      </c>
      <c r="BK43" s="23">
        <f>[1]节奏总纲!BK43</f>
        <v>2.2100000000000026</v>
      </c>
      <c r="BL43" s="23">
        <f>[1]节奏总纲!BL43</f>
        <v>2.2966666666666695</v>
      </c>
      <c r="BM43" s="23">
        <f>[1]节奏总纲!BM43</f>
        <v>2.4700000000000029</v>
      </c>
      <c r="BN43" s="23">
        <f>[1]节奏总纲!BN43</f>
        <v>3.0333333333333368</v>
      </c>
    </row>
    <row r="44" spans="2:66" x14ac:dyDescent="0.15">
      <c r="F44" s="23">
        <v>42</v>
      </c>
      <c r="G44" s="23">
        <v>17.379173679952558</v>
      </c>
      <c r="I44" s="23">
        <v>42</v>
      </c>
      <c r="J44" s="23">
        <v>180.18480345945557</v>
      </c>
      <c r="K44" s="1">
        <v>1.07</v>
      </c>
      <c r="N44" s="35">
        <f>[1]节奏总纲!N44</f>
        <v>51</v>
      </c>
      <c r="O44" s="23">
        <v>41</v>
      </c>
      <c r="P44" s="23">
        <f>[1]节奏总纲!P44</f>
        <v>16.148375400580683</v>
      </c>
      <c r="Q44" s="23">
        <f>[1]节奏总纲!Q44</f>
        <v>14.123369125347866</v>
      </c>
      <c r="R44" s="23">
        <f>[1]节奏总纲!R44</f>
        <v>11.75440245408268</v>
      </c>
      <c r="S44" s="23">
        <f>[1]节奏总纲!S44</f>
        <v>8.8057091059366464</v>
      </c>
      <c r="T44" s="23">
        <f>[1]节奏总纲!T44</f>
        <v>5.0366782874411156</v>
      </c>
      <c r="V44" s="23">
        <v>41</v>
      </c>
      <c r="W44" s="23">
        <f>[1]节奏总纲!W44</f>
        <v>1.148375400580683</v>
      </c>
      <c r="X44" s="23">
        <f>[1]节奏总纲!X44</f>
        <v>1.0178691253478647</v>
      </c>
      <c r="Y44" s="23">
        <f>[1]节奏总纲!Y44</f>
        <v>0.89440245408268026</v>
      </c>
      <c r="Z44" s="23">
        <f>[1]节奏总纲!Z44</f>
        <v>0.66670910593664701</v>
      </c>
      <c r="AA44" s="23">
        <f>[1]节奏总纲!AA44</f>
        <v>0.41367828744111623</v>
      </c>
      <c r="AC44" s="23">
        <v>41</v>
      </c>
      <c r="AD44" s="23">
        <f>[1]节奏总纲!AD44</f>
        <v>53.920692243099523</v>
      </c>
      <c r="AE44" s="23">
        <f>[1]节奏总纲!AE44</f>
        <v>55.697635175272978</v>
      </c>
      <c r="AF44" s="23">
        <f>[1]节奏总纲!AF44</f>
        <v>59.004919037866458</v>
      </c>
      <c r="AG44" s="23">
        <f>[1]节奏总纲!AG44</f>
        <v>62.881226790512336</v>
      </c>
      <c r="AH44" s="23">
        <f>[1]节奏总纲!AH44</f>
        <v>71.315400561867619</v>
      </c>
      <c r="AL44" s="23">
        <v>41</v>
      </c>
      <c r="AM44" s="23">
        <f>[1]节奏总纲!AM44</f>
        <v>155.32539280599755</v>
      </c>
      <c r="AN44" s="23">
        <f>[1]节奏总纲!AN44</f>
        <v>124.26031424479805</v>
      </c>
      <c r="AO44" s="23">
        <f>[1]节奏总纲!AO44</f>
        <v>93.195235683598526</v>
      </c>
      <c r="AP44" s="23">
        <f>[1]节奏总纲!AP44</f>
        <v>62.130157122399027</v>
      </c>
      <c r="AQ44" s="23">
        <f>[1]节奏总纲!AQ44</f>
        <v>31.065078561199513</v>
      </c>
      <c r="AS44" s="23">
        <v>41</v>
      </c>
      <c r="AT44" s="23">
        <f>[1]节奏总纲!AT44</f>
        <v>21.450392805997552</v>
      </c>
      <c r="AU44" s="23">
        <f>[1]节奏总纲!AU44</f>
        <v>17.160314244798045</v>
      </c>
      <c r="AV44" s="23">
        <f>[1]节奏总纲!AV44</f>
        <v>12.870235683598523</v>
      </c>
      <c r="AW44" s="23">
        <f>[1]节奏总纲!AW44</f>
        <v>8.5801571223990223</v>
      </c>
      <c r="AX44" s="23">
        <f>[1]节奏总纲!AX44</f>
        <v>4.2900785611995111</v>
      </c>
      <c r="AY44" s="23"/>
      <c r="AZ44" s="23">
        <v>41</v>
      </c>
      <c r="BA44" s="23">
        <f>[1]节奏总纲!BA44</f>
        <v>32.259282740196369</v>
      </c>
      <c r="BB44" s="23">
        <f>[1]节奏总纲!BB44</f>
        <v>33.643636131782344</v>
      </c>
      <c r="BC44" s="23">
        <f>[1]节奏总纲!BC44</f>
        <v>35.471689136674414</v>
      </c>
      <c r="BD44" s="23">
        <f>[1]节奏总纲!BD44</f>
        <v>38.194089742081125</v>
      </c>
      <c r="BE44" s="23">
        <f>[1]节奏总纲!BE44</f>
        <v>42.861403835978855</v>
      </c>
      <c r="BI44" s="24">
        <v>41</v>
      </c>
      <c r="BJ44" s="23">
        <f>[1]节奏总纲!BJ44</f>
        <v>2.2000000000000024</v>
      </c>
      <c r="BK44" s="23">
        <f>[1]节奏总纲!BK44</f>
        <v>2.2440000000000024</v>
      </c>
      <c r="BL44" s="23">
        <f>[1]节奏总纲!BL44</f>
        <v>2.3320000000000025</v>
      </c>
      <c r="BM44" s="23">
        <f>[1]节奏总纲!BM44</f>
        <v>2.5080000000000027</v>
      </c>
      <c r="BN44" s="23">
        <f>[1]节奏总纲!BN44</f>
        <v>3.0800000000000032</v>
      </c>
    </row>
    <row r="45" spans="2:66" x14ac:dyDescent="0.15">
      <c r="F45" s="23">
        <v>43</v>
      </c>
      <c r="G45" s="23">
        <v>18.698310613518661</v>
      </c>
      <c r="I45" s="23">
        <v>43</v>
      </c>
      <c r="J45" s="23">
        <v>208.99265815439742</v>
      </c>
      <c r="K45" s="1">
        <v>1.08</v>
      </c>
      <c r="N45" s="35">
        <f>[1]节奏总纲!N45</f>
        <v>52</v>
      </c>
      <c r="O45" s="23">
        <v>42</v>
      </c>
      <c r="P45" s="23">
        <f>[1]节奏总纲!P45</f>
        <v>17.379173679952558</v>
      </c>
      <c r="Q45" s="23">
        <f>[1]节奏总纲!Q45</f>
        <v>15.281507416782285</v>
      </c>
      <c r="R45" s="23">
        <f>[1]节奏总纲!R45</f>
        <v>12.73372055530124</v>
      </c>
      <c r="S45" s="23">
        <f>[1]节奏总纲!S45</f>
        <v>9.5359525981899687</v>
      </c>
      <c r="T45" s="23">
        <f>[1]节奏总纲!T45</f>
        <v>5.420564270777203</v>
      </c>
      <c r="V45" s="23">
        <v>42</v>
      </c>
      <c r="W45" s="23">
        <f>[1]节奏总纲!W45</f>
        <v>1.230798279371875</v>
      </c>
      <c r="X45" s="23">
        <f>[1]节奏总纲!X45</f>
        <v>1.1581382914344189</v>
      </c>
      <c r="Y45" s="23">
        <f>[1]节奏总纲!Y45</f>
        <v>0.97931810121855989</v>
      </c>
      <c r="Z45" s="23">
        <f>[1]节奏总纲!Z45</f>
        <v>0.7302434922533223</v>
      </c>
      <c r="AA45" s="23">
        <f>[1]节奏总纲!AA45</f>
        <v>0.38388598333608748</v>
      </c>
      <c r="AC45" s="23">
        <v>42</v>
      </c>
      <c r="AD45" s="23">
        <f>[1]节奏总纲!AD45</f>
        <v>54.255972994404218</v>
      </c>
      <c r="AE45" s="23">
        <f>[1]节奏总纲!AE45</f>
        <v>56.087777964022685</v>
      </c>
      <c r="AF45" s="23">
        <f>[1]节奏总纲!AF45</f>
        <v>59.214940346885776</v>
      </c>
      <c r="AG45" s="23">
        <f>[1]节奏总纲!AG45</f>
        <v>63.468131470397843</v>
      </c>
      <c r="AH45" s="23">
        <f>[1]节奏总纲!AH45</f>
        <v>71.560301518331073</v>
      </c>
      <c r="AL45" s="23">
        <v>42</v>
      </c>
      <c r="AM45" s="23">
        <f>[1]节奏总纲!AM45</f>
        <v>180.18480345945557</v>
      </c>
      <c r="AN45" s="23">
        <f>[1]节奏总纲!AN45</f>
        <v>144.14784276756447</v>
      </c>
      <c r="AO45" s="23">
        <f>[1]节奏总纲!AO45</f>
        <v>108.11088207567333</v>
      </c>
      <c r="AP45" s="23">
        <f>[1]节奏总纲!AP45</f>
        <v>72.073921383782235</v>
      </c>
      <c r="AQ45" s="23">
        <f>[1]节奏总纲!AQ45</f>
        <v>36.036960691891117</v>
      </c>
      <c r="AS45" s="23">
        <v>42</v>
      </c>
      <c r="AT45" s="23">
        <f>[1]节奏总纲!AT45</f>
        <v>24.859410653458013</v>
      </c>
      <c r="AU45" s="23">
        <f>[1]节奏总纲!AU45</f>
        <v>19.887528522766416</v>
      </c>
      <c r="AV45" s="23">
        <f>[1]节奏总纲!AV45</f>
        <v>14.915646392074805</v>
      </c>
      <c r="AW45" s="23">
        <f>[1]节奏总纲!AW45</f>
        <v>9.9437642613832082</v>
      </c>
      <c r="AX45" s="23">
        <f>[1]节奏总纲!AX45</f>
        <v>4.9718821306916041</v>
      </c>
      <c r="AY45" s="23"/>
      <c r="AZ45" s="23">
        <v>42</v>
      </c>
      <c r="BA45" s="23">
        <f>[1]节奏总纲!BA45</f>
        <v>32.405012530176009</v>
      </c>
      <c r="BB45" s="23">
        <f>[1]节奏总纲!BB45</f>
        <v>33.799338867675175</v>
      </c>
      <c r="BC45" s="23">
        <f>[1]节奏总纲!BC45</f>
        <v>35.634340563113874</v>
      </c>
      <c r="BD45" s="23">
        <f>[1]节奏总纲!BD45</f>
        <v>38.35066605767593</v>
      </c>
      <c r="BE45" s="23">
        <f>[1]节奏总纲!BE45</f>
        <v>43.030177309109042</v>
      </c>
      <c r="BI45" s="24">
        <v>42</v>
      </c>
      <c r="BJ45" s="23">
        <f>[1]节奏总纲!BJ45</f>
        <v>2.2333333333333356</v>
      </c>
      <c r="BK45" s="23">
        <f>[1]节奏总纲!BK45</f>
        <v>2.2780000000000022</v>
      </c>
      <c r="BL45" s="23">
        <f>[1]节奏总纲!BL45</f>
        <v>2.367333333333336</v>
      </c>
      <c r="BM45" s="23">
        <f>[1]节奏总纲!BM45</f>
        <v>2.5460000000000025</v>
      </c>
      <c r="BN45" s="23">
        <f>[1]节奏总纲!BN45</f>
        <v>3.1266666666666696</v>
      </c>
    </row>
    <row r="46" spans="2:66" x14ac:dyDescent="0.15">
      <c r="F46" s="23">
        <v>44</v>
      </c>
      <c r="G46" s="23">
        <v>20.112126572366307</v>
      </c>
      <c r="I46" s="23">
        <v>44</v>
      </c>
      <c r="J46" s="23">
        <v>242.37342918215046</v>
      </c>
      <c r="K46" s="1">
        <v>1.0900000000000001</v>
      </c>
      <c r="N46" s="35">
        <f>[1]节奏总纲!N46</f>
        <v>53</v>
      </c>
      <c r="O46" s="23">
        <v>43</v>
      </c>
      <c r="P46" s="23">
        <f>[1]节奏总纲!P46</f>
        <v>18.698310613518661</v>
      </c>
      <c r="Q46" s="23">
        <f>[1]节奏总纲!Q46</f>
        <v>16.445164184589661</v>
      </c>
      <c r="R46" s="23">
        <f>[1]节奏总纲!R46</f>
        <v>13.694642693341068</v>
      </c>
      <c r="S46" s="23">
        <f>[1]节奏总纲!S46</f>
        <v>10.248544047269579</v>
      </c>
      <c r="T46" s="23">
        <f>[1]节奏总纲!T46</f>
        <v>5.7403813583502288</v>
      </c>
      <c r="V46" s="23">
        <v>43</v>
      </c>
      <c r="W46" s="23">
        <f>[1]节奏总纲!W46</f>
        <v>1.319136933566103</v>
      </c>
      <c r="X46" s="23">
        <f>[1]节奏总纲!X46</f>
        <v>1.1636567678073764</v>
      </c>
      <c r="Y46" s="23">
        <f>[1]节奏总纲!Y46</f>
        <v>0.96092213803982851</v>
      </c>
      <c r="Z46" s="23">
        <f>[1]节奏总纲!Z46</f>
        <v>0.71259144907961058</v>
      </c>
      <c r="AA46" s="23">
        <f>[1]节奏总纲!AA46</f>
        <v>0.31981708757302574</v>
      </c>
      <c r="AC46" s="23">
        <v>43</v>
      </c>
      <c r="AD46" s="23">
        <f>[1]节奏总纲!AD46</f>
        <v>54.585942742481357</v>
      </c>
      <c r="AE46" s="23">
        <f>[1]节奏总纲!AE46</f>
        <v>56.493363794915794</v>
      </c>
      <c r="AF46" s="23">
        <f>[1]节奏总纲!AF46</f>
        <v>59.424961655905101</v>
      </c>
      <c r="AG46" s="23">
        <f>[1]节奏总纲!AG46</f>
        <v>64.054518466880793</v>
      </c>
      <c r="AH46" s="23">
        <f>[1]节奏总纲!AH46</f>
        <v>71.805202474794527</v>
      </c>
      <c r="AL46" s="23">
        <v>43</v>
      </c>
      <c r="AM46" s="23">
        <f>[1]节奏总纲!AM46</f>
        <v>208.99265815439742</v>
      </c>
      <c r="AN46" s="23">
        <f>[1]节奏总纲!AN46</f>
        <v>167.19412652351795</v>
      </c>
      <c r="AO46" s="23">
        <f>[1]节奏总纲!AO46</f>
        <v>125.39559489263844</v>
      </c>
      <c r="AP46" s="23">
        <f>[1]节奏总纲!AP46</f>
        <v>83.597063261758976</v>
      </c>
      <c r="AQ46" s="23">
        <f>[1]节奏总纲!AQ46</f>
        <v>41.798531630879488</v>
      </c>
      <c r="AS46" s="23">
        <v>43</v>
      </c>
      <c r="AT46" s="23">
        <f>[1]节奏总纲!AT46</f>
        <v>28.807854694941852</v>
      </c>
      <c r="AU46" s="23">
        <f>[1]节奏总纲!AU46</f>
        <v>23.046283755953482</v>
      </c>
      <c r="AV46" s="23">
        <f>[1]节奏总纲!AV46</f>
        <v>17.284712816965111</v>
      </c>
      <c r="AW46" s="23">
        <f>[1]节奏总纲!AW46</f>
        <v>11.523141877976741</v>
      </c>
      <c r="AX46" s="23">
        <f>[1]节奏总纲!AX46</f>
        <v>5.7615709389883705</v>
      </c>
      <c r="AY46" s="23"/>
      <c r="AZ46" s="23">
        <v>43</v>
      </c>
      <c r="BA46" s="23">
        <f>[1]节奏总纲!BA46</f>
        <v>32.550742320155642</v>
      </c>
      <c r="BB46" s="23">
        <f>[1]节奏总纲!BB46</f>
        <v>33.955041603568006</v>
      </c>
      <c r="BC46" s="23">
        <f>[1]节奏总纲!BC46</f>
        <v>35.796991989553327</v>
      </c>
      <c r="BD46" s="23">
        <f>[1]节奏总纲!BD46</f>
        <v>38.507242373270728</v>
      </c>
      <c r="BE46" s="23">
        <f>[1]节奏总纲!BE46</f>
        <v>43.179964142847631</v>
      </c>
      <c r="BI46" s="24">
        <v>43</v>
      </c>
      <c r="BJ46" s="23">
        <f>[1]节奏总纲!BJ46</f>
        <v>2.2666666666666688</v>
      </c>
      <c r="BK46" s="23">
        <f>[1]节奏总纲!BK46</f>
        <v>2.3120000000000021</v>
      </c>
      <c r="BL46" s="23">
        <f>[1]节奏总纲!BL46</f>
        <v>2.4026666666666689</v>
      </c>
      <c r="BM46" s="23">
        <f>[1]节奏总纲!BM46</f>
        <v>2.5840000000000023</v>
      </c>
      <c r="BN46" s="23">
        <f>[1]节奏总纲!BN46</f>
        <v>3.173333333333336</v>
      </c>
    </row>
    <row r="47" spans="2:66" x14ac:dyDescent="0.15">
      <c r="F47" s="23">
        <v>45</v>
      </c>
      <c r="G47" s="23">
        <v>21.627416997969519</v>
      </c>
      <c r="I47" s="23">
        <v>45</v>
      </c>
      <c r="J47" s="23">
        <v>281.05</v>
      </c>
      <c r="K47" s="1">
        <v>1.1000000000000001</v>
      </c>
      <c r="N47" s="35">
        <f>[1]节奏总纲!N47</f>
        <v>54</v>
      </c>
      <c r="O47" s="23">
        <v>44</v>
      </c>
      <c r="P47" s="23">
        <f>[1]节奏总纲!P47</f>
        <v>20.112126572366307</v>
      </c>
      <c r="Q47" s="23">
        <f>[1]节奏总纲!Q47</f>
        <v>17.696660171025115</v>
      </c>
      <c r="R47" s="23">
        <f>[1]节奏总纲!R47</f>
        <v>14.726099076286609</v>
      </c>
      <c r="S47" s="23">
        <f>[1]节奏总纲!S47</f>
        <v>11.019434148999501</v>
      </c>
      <c r="T47" s="23">
        <f>[1]节奏总纲!T47</f>
        <v>5.8968755110178019</v>
      </c>
      <c r="V47" s="23">
        <v>44</v>
      </c>
      <c r="W47" s="23">
        <f>[1]节奏总纲!W47</f>
        <v>1.4138159588476462</v>
      </c>
      <c r="X47" s="23">
        <f>[1]节奏总纲!X47</f>
        <v>1.2514959864354545</v>
      </c>
      <c r="Y47" s="23">
        <f>[1]节奏总纲!Y47</f>
        <v>1.0314563829455405</v>
      </c>
      <c r="Z47" s="23">
        <f>[1]节奏总纲!Z47</f>
        <v>0.77089010172992189</v>
      </c>
      <c r="AA47" s="23">
        <f>[1]节奏总纲!AA47</f>
        <v>0.15649415266757316</v>
      </c>
      <c r="AC47" s="23">
        <v>44</v>
      </c>
      <c r="AD47" s="23">
        <f>[1]节奏总纲!AD47</f>
        <v>54.915912490558505</v>
      </c>
      <c r="AE47" s="23">
        <f>[1]节奏总纲!AE47</f>
        <v>56.898949625808903</v>
      </c>
      <c r="AF47" s="23">
        <f>[1]节奏总纲!AF47</f>
        <v>59.634982964924419</v>
      </c>
      <c r="AG47" s="23">
        <f>[1]节奏总纲!AG47</f>
        <v>64.604527170806747</v>
      </c>
      <c r="AH47" s="23">
        <f>[1]节奏总纲!AH47</f>
        <v>72.048549210274331</v>
      </c>
      <c r="AL47" s="23">
        <v>44</v>
      </c>
      <c r="AM47" s="23">
        <f>[1]节奏总纲!AM47</f>
        <v>242.37342918215046</v>
      </c>
      <c r="AN47" s="23">
        <f>[1]节奏总纲!AN47</f>
        <v>193.89874334572039</v>
      </c>
      <c r="AO47" s="23">
        <f>[1]节奏总纲!AO47</f>
        <v>145.42405750929026</v>
      </c>
      <c r="AP47" s="23">
        <f>[1]节奏总纲!AP47</f>
        <v>96.949371672860195</v>
      </c>
      <c r="AQ47" s="23">
        <f>[1]节奏总纲!AQ47</f>
        <v>48.474685836430098</v>
      </c>
      <c r="AS47" s="23">
        <v>44</v>
      </c>
      <c r="AT47" s="23">
        <f>[1]节奏总纲!AT47</f>
        <v>33.380771027753042</v>
      </c>
      <c r="AU47" s="23">
        <f>[1]节奏总纲!AU47</f>
        <v>26.704616822202439</v>
      </c>
      <c r="AV47" s="23">
        <f>[1]节奏总纲!AV47</f>
        <v>20.028462616651822</v>
      </c>
      <c r="AW47" s="23">
        <f>[1]节奏总纲!AW47</f>
        <v>13.35230841110122</v>
      </c>
      <c r="AX47" s="23">
        <f>[1]节奏总纲!AX47</f>
        <v>6.6761542055506098</v>
      </c>
      <c r="AY47" s="23"/>
      <c r="AZ47" s="23">
        <v>44</v>
      </c>
      <c r="BA47" s="23">
        <f>[1]节奏总纲!BA47</f>
        <v>32.696472110135275</v>
      </c>
      <c r="BB47" s="23">
        <f>[1]节奏总纲!BB47</f>
        <v>34.09469189131628</v>
      </c>
      <c r="BC47" s="23">
        <f>[1]节奏总纲!BC47</f>
        <v>35.95964341599278</v>
      </c>
      <c r="BD47" s="23">
        <f>[1]节奏总纲!BD47</f>
        <v>38.663818688865533</v>
      </c>
      <c r="BE47" s="23">
        <f>[1]节奏总纲!BE47</f>
        <v>43.329750976586219</v>
      </c>
      <c r="BI47" s="24">
        <v>44</v>
      </c>
      <c r="BJ47" s="23">
        <f>[1]节奏总纲!BJ47</f>
        <v>2.300000000000002</v>
      </c>
      <c r="BK47" s="23">
        <f>[1]节奏总纲!BK47</f>
        <v>2.3460000000000023</v>
      </c>
      <c r="BL47" s="23">
        <f>[1]节奏总纲!BL47</f>
        <v>2.4380000000000024</v>
      </c>
      <c r="BM47" s="23">
        <f>[1]节奏总纲!BM47</f>
        <v>2.6220000000000021</v>
      </c>
      <c r="BN47" s="23">
        <f>[1]节奏总纲!BN47</f>
        <v>3.2200000000000029</v>
      </c>
    </row>
    <row r="48" spans="2:66" x14ac:dyDescent="0.15">
      <c r="F48" s="23">
        <v>46</v>
      </c>
      <c r="G48" s="23">
        <v>23.251465064166357</v>
      </c>
      <c r="I48" s="23">
        <v>46</v>
      </c>
      <c r="J48" s="23">
        <v>325.85912455595718</v>
      </c>
      <c r="K48" s="1">
        <v>1.1100000000000001</v>
      </c>
      <c r="N48" s="35">
        <f>[1]节奏总纲!N48</f>
        <v>55</v>
      </c>
      <c r="O48" s="23">
        <v>45</v>
      </c>
      <c r="P48" s="23">
        <f>[1]节奏总纲!P48</f>
        <v>21.627416997969519</v>
      </c>
      <c r="Q48" s="23">
        <f>[1]节奏总纲!Q48</f>
        <v>19.032126958213176</v>
      </c>
      <c r="R48" s="23">
        <f>[1]节奏总纲!R48</f>
        <v>15.824781017414297</v>
      </c>
      <c r="S48" s="23">
        <f>[1]节奏总纲!S48</f>
        <v>11.549040676915723</v>
      </c>
      <c r="T48" s="23">
        <f>[1]节奏总纲!T48</f>
        <v>6.0729786930298406</v>
      </c>
      <c r="V48" s="23">
        <v>45</v>
      </c>
      <c r="W48" s="23">
        <f>[1]节奏总纲!W48</f>
        <v>1.5152904256032116</v>
      </c>
      <c r="X48" s="23">
        <f>[1]节奏总纲!X48</f>
        <v>1.3354667871880608</v>
      </c>
      <c r="Y48" s="23">
        <f>[1]节奏总纲!Y48</f>
        <v>1.0986819411276887</v>
      </c>
      <c r="Z48" s="23">
        <f>[1]节奏总纲!Z48</f>
        <v>0.52960652791622209</v>
      </c>
      <c r="AA48" s="23">
        <f>[1]节奏总纲!AA48</f>
        <v>0.17610318201203867</v>
      </c>
      <c r="AC48" s="23">
        <v>45</v>
      </c>
      <c r="AD48" s="23">
        <f>[1]节奏总纲!AD48</f>
        <v>55.229416240679981</v>
      </c>
      <c r="AE48" s="23">
        <f>[1]节奏总纲!AE48</f>
        <v>57.338980826721098</v>
      </c>
      <c r="AF48" s="23">
        <f>[1]节奏总纲!AF48</f>
        <v>59.845004273943744</v>
      </c>
      <c r="AG48" s="23">
        <f>[1]节奏总纲!AG48</f>
        <v>65.134833604446982</v>
      </c>
      <c r="AH48" s="23">
        <f>[1]节奏总纲!AH48</f>
        <v>72.285853277744508</v>
      </c>
      <c r="AL48" s="23">
        <v>45</v>
      </c>
      <c r="AM48" s="23">
        <f>[1]节奏总纲!AM48</f>
        <v>281.05</v>
      </c>
      <c r="AN48" s="23">
        <f>[1]节奏总纲!AN48</f>
        <v>224.84000000000003</v>
      </c>
      <c r="AO48" s="23">
        <f>[1]节奏总纲!AO48</f>
        <v>168.63</v>
      </c>
      <c r="AP48" s="23">
        <f>[1]节奏总纲!AP48</f>
        <v>112.42000000000002</v>
      </c>
      <c r="AQ48" s="23">
        <f>[1]节奏总纲!AQ48</f>
        <v>56.210000000000008</v>
      </c>
      <c r="AS48" s="23">
        <v>45</v>
      </c>
      <c r="AT48" s="23">
        <f>[1]节奏总纲!AT48</f>
        <v>38.676570817849552</v>
      </c>
      <c r="AU48" s="23">
        <f>[1]节奏总纲!AU48</f>
        <v>30.941256654279641</v>
      </c>
      <c r="AV48" s="23">
        <f>[1]节奏总纲!AV48</f>
        <v>23.205942490709731</v>
      </c>
      <c r="AW48" s="23">
        <f>[1]节奏总纲!AW48</f>
        <v>15.470628327139821</v>
      </c>
      <c r="AX48" s="23">
        <f>[1]节奏总纲!AX48</f>
        <v>7.7353141635699103</v>
      </c>
      <c r="AY48" s="23"/>
      <c r="AZ48" s="23">
        <v>45</v>
      </c>
      <c r="BA48" s="23">
        <f>[1]节奏总纲!BA48</f>
        <v>32.842201900114915</v>
      </c>
      <c r="BB48" s="23">
        <f>[1]节奏总纲!BB48</f>
        <v>34.227825436710944</v>
      </c>
      <c r="BC48" s="23">
        <f>[1]节奏总纲!BC48</f>
        <v>36.105477566569242</v>
      </c>
      <c r="BD48" s="23">
        <f>[1]节奏总纲!BD48</f>
        <v>38.82039500446033</v>
      </c>
      <c r="BE48" s="23">
        <f>[1]节奏总纲!BE48</f>
        <v>43.479537810324807</v>
      </c>
      <c r="BI48" s="24">
        <v>45</v>
      </c>
      <c r="BJ48" s="23">
        <f>[1]节奏总纲!BJ48</f>
        <v>2.3333333333333353</v>
      </c>
      <c r="BK48" s="23">
        <f>[1]节奏总纲!BK48</f>
        <v>2.3800000000000021</v>
      </c>
      <c r="BL48" s="23">
        <f>[1]节奏总纲!BL48</f>
        <v>2.4733333333333354</v>
      </c>
      <c r="BM48" s="23">
        <f>[1]节奏总纲!BM48</f>
        <v>2.6600000000000019</v>
      </c>
      <c r="BN48" s="23">
        <f>[1]节奏总纲!BN48</f>
        <v>3.2666666666666693</v>
      </c>
    </row>
    <row r="49" spans="6:66" x14ac:dyDescent="0.15">
      <c r="F49" s="23">
        <v>47</v>
      </c>
      <c r="G49" s="23">
        <v>24.992076683399535</v>
      </c>
      <c r="I49" s="23">
        <v>47</v>
      </c>
      <c r="J49" s="23">
        <v>377.76930817680426</v>
      </c>
      <c r="K49" s="1">
        <v>1.1200000000000001</v>
      </c>
      <c r="N49" s="35">
        <f>[1]节奏总纲!N49</f>
        <v>56</v>
      </c>
      <c r="O49" s="23">
        <v>46</v>
      </c>
      <c r="P49" s="23">
        <f>[1]节奏总纲!P49</f>
        <v>23.251465064166357</v>
      </c>
      <c r="Q49" s="23">
        <f>[1]节奏总纲!Q49</f>
        <v>20.435712644895812</v>
      </c>
      <c r="R49" s="23">
        <f>[1]节奏总纲!R49</f>
        <v>17.006121547931276</v>
      </c>
      <c r="S49" s="23">
        <f>[1]节奏总纲!S49</f>
        <v>11.911725552372424</v>
      </c>
      <c r="T49" s="23">
        <f>[1]节奏总纲!T49</f>
        <v>6.26161954178</v>
      </c>
      <c r="V49" s="23">
        <v>46</v>
      </c>
      <c r="W49" s="23">
        <f>[1]节奏总纲!W49</f>
        <v>1.6240480661968384</v>
      </c>
      <c r="X49" s="23">
        <f>[1]节奏总纲!X49</f>
        <v>1.4035856866826357</v>
      </c>
      <c r="Y49" s="23">
        <f>[1]节奏总纲!Y49</f>
        <v>1.1813405305169784</v>
      </c>
      <c r="Z49" s="23">
        <f>[1]节奏总纲!Z49</f>
        <v>0.36268487545670069</v>
      </c>
      <c r="AA49" s="23">
        <f>[1]节奏总纲!AA49</f>
        <v>0.18864084875015941</v>
      </c>
      <c r="AC49" s="23">
        <v>46</v>
      </c>
      <c r="AD49" s="23">
        <f>[1]节奏总纲!AD49</f>
        <v>55.537288901845052</v>
      </c>
      <c r="AE49" s="23">
        <f>[1]节奏总纲!AE49</f>
        <v>57.790441624591473</v>
      </c>
      <c r="AF49" s="23">
        <f>[1]节奏总纲!AF49</f>
        <v>60.074774550791737</v>
      </c>
      <c r="AG49" s="23">
        <f>[1]节奏总纲!AG49</f>
        <v>65.614719948998498</v>
      </c>
      <c r="AH49" s="23">
        <f>[1]节奏总纲!AH49</f>
        <v>72.52315734521467</v>
      </c>
      <c r="AL49" s="23">
        <v>46</v>
      </c>
      <c r="AM49" s="23">
        <f>[1]节奏总纲!AM49</f>
        <v>325.85912455595718</v>
      </c>
      <c r="AN49" s="23">
        <f>[1]节奏总纲!AN49</f>
        <v>260.68729964476574</v>
      </c>
      <c r="AO49" s="23">
        <f>[1]节奏总纲!AO49</f>
        <v>195.51547473357431</v>
      </c>
      <c r="AP49" s="23">
        <f>[1]节奏总纲!AP49</f>
        <v>130.34364982238287</v>
      </c>
      <c r="AQ49" s="23">
        <f>[1]节奏总纲!AQ49</f>
        <v>65.171824911191436</v>
      </c>
      <c r="AS49" s="23">
        <v>46</v>
      </c>
      <c r="AT49" s="23">
        <f>[1]节奏总纲!AT49</f>
        <v>44.809124555957169</v>
      </c>
      <c r="AU49" s="23">
        <f>[1]节奏总纲!AU49</f>
        <v>35.847299644765712</v>
      </c>
      <c r="AV49" s="23">
        <f>[1]节奏总纲!AV49</f>
        <v>26.885474733574313</v>
      </c>
      <c r="AW49" s="23">
        <f>[1]节奏总纲!AW49</f>
        <v>17.923649822382856</v>
      </c>
      <c r="AX49" s="23">
        <f>[1]节奏总纲!AX49</f>
        <v>8.9618249111914281</v>
      </c>
      <c r="AY49" s="23"/>
      <c r="AZ49" s="23">
        <v>46</v>
      </c>
      <c r="BA49" s="23">
        <f>[1]节奏总纲!BA49</f>
        <v>32.987931690094548</v>
      </c>
      <c r="BB49" s="23">
        <f>[1]节奏总纲!BB49</f>
        <v>34.360958982105608</v>
      </c>
      <c r="BC49" s="23">
        <f>[1]节奏总纲!BC49</f>
        <v>36.245762114295424</v>
      </c>
      <c r="BD49" s="23">
        <f>[1]节奏总纲!BD49</f>
        <v>38.976971320055128</v>
      </c>
      <c r="BE49" s="23">
        <f>[1]节奏总纲!BE49</f>
        <v>43.629324644063402</v>
      </c>
      <c r="BI49" s="24">
        <v>46</v>
      </c>
      <c r="BJ49" s="23">
        <f>[1]节奏总纲!BJ49</f>
        <v>2.3666666666666685</v>
      </c>
      <c r="BK49" s="23">
        <f>[1]节奏总纲!BK49</f>
        <v>2.4140000000000019</v>
      </c>
      <c r="BL49" s="23">
        <f>[1]节奏总纲!BL49</f>
        <v>2.5086666666666688</v>
      </c>
      <c r="BM49" s="23">
        <f>[1]节奏总纲!BM49</f>
        <v>2.6980000000000017</v>
      </c>
      <c r="BN49" s="23">
        <f>[1]节奏总纲!BN49</f>
        <v>3.3133333333333357</v>
      </c>
    </row>
    <row r="50" spans="6:66" x14ac:dyDescent="0.15">
      <c r="F50" s="23">
        <v>48</v>
      </c>
      <c r="G50" s="23">
        <v>26.857618025475972</v>
      </c>
      <c r="I50" s="23">
        <v>48</v>
      </c>
      <c r="J50" s="23">
        <v>437.90148836012787</v>
      </c>
      <c r="K50" s="1">
        <v>1.1299999999999999</v>
      </c>
      <c r="N50" s="35">
        <f>[1]节奏总纲!N50</f>
        <v>57</v>
      </c>
      <c r="O50" s="23">
        <v>47</v>
      </c>
      <c r="P50" s="23">
        <f>[1]节奏总纲!P50</f>
        <v>24.992076683399535</v>
      </c>
      <c r="Q50" s="23">
        <f>[1]节奏总纲!Q50</f>
        <v>21.953040158698151</v>
      </c>
      <c r="R50" s="23">
        <f>[1]节奏总纲!R50</f>
        <v>17.564431493093192</v>
      </c>
      <c r="S50" s="23">
        <f>[1]节奏总纲!S50</f>
        <v>12.296101728232571</v>
      </c>
      <c r="T50" s="23">
        <f>[1]节奏总纲!T50</f>
        <v>6.4629510303271198</v>
      </c>
      <c r="V50" s="23">
        <v>47</v>
      </c>
      <c r="W50" s="23">
        <f>[1]节奏总纲!W50</f>
        <v>1.740611619233178</v>
      </c>
      <c r="X50" s="23">
        <f>[1]节奏总纲!X50</f>
        <v>1.5173275138023392</v>
      </c>
      <c r="Y50" s="23">
        <f>[1]节奏总纲!Y50</f>
        <v>0.55830994516191623</v>
      </c>
      <c r="Z50" s="23">
        <f>[1]节奏总纲!Z50</f>
        <v>0.38437617586014738</v>
      </c>
      <c r="AA50" s="23">
        <f>[1]节奏总纲!AA50</f>
        <v>0.2013314885471198</v>
      </c>
      <c r="AC50" s="23">
        <v>47</v>
      </c>
      <c r="AD50" s="23">
        <f>[1]节奏总纲!AD50</f>
        <v>55.845161563010116</v>
      </c>
      <c r="AE50" s="23">
        <f>[1]节奏总纲!AE50</f>
        <v>58.158060684581955</v>
      </c>
      <c r="AF50" s="23">
        <f>[1]节奏总纲!AF50</f>
        <v>60.360173599615166</v>
      </c>
      <c r="AG50" s="23">
        <f>[1]节奏总纲!AG50</f>
        <v>66.054140616396438</v>
      </c>
      <c r="AH50" s="23">
        <f>[1]节奏总纲!AH50</f>
        <v>72.760461412684833</v>
      </c>
      <c r="AL50" s="23">
        <v>47</v>
      </c>
      <c r="AM50" s="23">
        <f>[1]节奏总纲!AM50</f>
        <v>377.76930817680426</v>
      </c>
      <c r="AN50" s="23">
        <f>[1]节奏总纲!AN50</f>
        <v>302.21544654144344</v>
      </c>
      <c r="AO50" s="23">
        <f>[1]节奏总纲!AO50</f>
        <v>226.66158490608254</v>
      </c>
      <c r="AP50" s="23">
        <f>[1]节奏总纲!AP50</f>
        <v>151.10772327072172</v>
      </c>
      <c r="AQ50" s="23">
        <f>[1]节奏总纲!AQ50</f>
        <v>75.55386163536086</v>
      </c>
      <c r="AS50" s="23">
        <v>47</v>
      </c>
      <c r="AT50" s="23">
        <f>[1]节奏总纲!AT50</f>
        <v>51.910183620847079</v>
      </c>
      <c r="AU50" s="23">
        <f>[1]节奏总纲!AU50</f>
        <v>41.528146896677697</v>
      </c>
      <c r="AV50" s="23">
        <f>[1]节奏总纲!AV50</f>
        <v>31.14611017250823</v>
      </c>
      <c r="AW50" s="23">
        <f>[1]节奏总纲!AW50</f>
        <v>20.764073448338848</v>
      </c>
      <c r="AX50" s="23">
        <f>[1]节奏总纲!AX50</f>
        <v>10.382036724169424</v>
      </c>
      <c r="AY50" s="23"/>
      <c r="AZ50" s="23">
        <v>47</v>
      </c>
      <c r="BA50" s="23">
        <f>[1]节奏总纲!BA50</f>
        <v>33.114246829746719</v>
      </c>
      <c r="BB50" s="23">
        <f>[1]节奏总纲!BB50</f>
        <v>34.494092527500278</v>
      </c>
      <c r="BC50" s="23">
        <f>[1]节奏总纲!BC50</f>
        <v>36.386046662021599</v>
      </c>
      <c r="BD50" s="23">
        <f>[1]节奏总纲!BD50</f>
        <v>39.115214427575864</v>
      </c>
      <c r="BE50" s="23">
        <f>[1]节奏总纲!BE50</f>
        <v>43.77911147780199</v>
      </c>
      <c r="BI50" s="24">
        <v>47</v>
      </c>
      <c r="BJ50" s="23">
        <f>[1]节奏总纲!BJ50</f>
        <v>2.4000000000000017</v>
      </c>
      <c r="BK50" s="23">
        <f>[1]节奏总纲!BK50</f>
        <v>2.4480000000000017</v>
      </c>
      <c r="BL50" s="23">
        <f>[1]节奏总纲!BL50</f>
        <v>2.5440000000000018</v>
      </c>
      <c r="BM50" s="23">
        <f>[1]节奏总纲!BM50</f>
        <v>2.7360000000000015</v>
      </c>
      <c r="BN50" s="23">
        <f>[1]节奏总纲!BN50</f>
        <v>3.3600000000000021</v>
      </c>
    </row>
    <row r="51" spans="6:66" x14ac:dyDescent="0.15">
      <c r="F51" s="23">
        <v>49</v>
      </c>
      <c r="G51" s="23">
        <v>28.857055729177837</v>
      </c>
      <c r="I51" s="23">
        <v>49</v>
      </c>
      <c r="J51" s="23">
        <v>507.55295278468168</v>
      </c>
      <c r="K51" s="1">
        <v>1.1399999999999999</v>
      </c>
      <c r="N51" s="35">
        <f>[1]节奏总纲!N51</f>
        <v>58</v>
      </c>
      <c r="O51" s="23">
        <v>48</v>
      </c>
      <c r="P51" s="23">
        <f>[1]节奏总纲!P51</f>
        <v>26.857618025475972</v>
      </c>
      <c r="Q51" s="23">
        <f>[1]节奏总纲!Q51</f>
        <v>23.108294549119528</v>
      </c>
      <c r="R51" s="23">
        <f>[1]节奏总纲!R51</f>
        <v>18.155749785221758</v>
      </c>
      <c r="S51" s="23">
        <f>[1]节奏总纲!S51</f>
        <v>12.711710611457777</v>
      </c>
      <c r="T51" s="23">
        <f>[1]节奏总纲!T51</f>
        <v>6.6956041737511596</v>
      </c>
      <c r="V51" s="23">
        <v>48</v>
      </c>
      <c r="W51" s="23">
        <f>[1]节奏总纲!W51</f>
        <v>1.8655413420764368</v>
      </c>
      <c r="X51" s="23">
        <f>[1]节奏总纲!X51</f>
        <v>1.1552543904213763</v>
      </c>
      <c r="Y51" s="23">
        <f>[1]节奏总纲!Y51</f>
        <v>0.59131829212856601</v>
      </c>
      <c r="Z51" s="23">
        <f>[1]节奏总纲!Z51</f>
        <v>0.41560888322520562</v>
      </c>
      <c r="AA51" s="23">
        <f>[1]节奏总纲!AA51</f>
        <v>0.23265314342403975</v>
      </c>
      <c r="AC51" s="23">
        <v>48</v>
      </c>
      <c r="AD51" s="23">
        <f>[1]节奏总纲!AD51</f>
        <v>56.142785979989682</v>
      </c>
      <c r="AE51" s="23">
        <f>[1]节奏总纲!AE51</f>
        <v>58.453048233888381</v>
      </c>
      <c r="AF51" s="23">
        <f>[1]节奏总纲!AF51</f>
        <v>60.645572648438595</v>
      </c>
      <c r="AG51" s="23">
        <f>[1]节奏总纲!AG51</f>
        <v>66.328766558491026</v>
      </c>
      <c r="AH51" s="23">
        <f>[1]节奏总纲!AH51</f>
        <v>72.997765480154996</v>
      </c>
      <c r="AL51" s="23">
        <v>48</v>
      </c>
      <c r="AM51" s="23">
        <f>[1]节奏总纲!AM51</f>
        <v>437.90148836012787</v>
      </c>
      <c r="AN51" s="23">
        <f>[1]节奏总纲!AN51</f>
        <v>350.32119068810232</v>
      </c>
      <c r="AO51" s="23">
        <f>[1]节奏总纲!AO51</f>
        <v>262.74089301607671</v>
      </c>
      <c r="AP51" s="23">
        <f>[1]节奏总纲!AP51</f>
        <v>175.16059534405116</v>
      </c>
      <c r="AQ51" s="23">
        <f>[1]节奏总纲!AQ51</f>
        <v>87.58029767202558</v>
      </c>
      <c r="AS51" s="23">
        <v>48</v>
      </c>
      <c r="AT51" s="23">
        <f>[1]节奏总纲!AT51</f>
        <v>60.132180183323612</v>
      </c>
      <c r="AU51" s="23">
        <f>[1]节奏总纲!AU51</f>
        <v>48.105744146658878</v>
      </c>
      <c r="AV51" s="23">
        <f>[1]节奏总纲!AV51</f>
        <v>36.079308109994173</v>
      </c>
      <c r="AW51" s="23">
        <f>[1]节奏总纲!AW51</f>
        <v>24.052872073329439</v>
      </c>
      <c r="AX51" s="23">
        <f>[1]节奏总纲!AX51</f>
        <v>12.02643603666472</v>
      </c>
      <c r="AY51" s="23"/>
      <c r="AZ51" s="23">
        <v>48</v>
      </c>
      <c r="BA51" s="23">
        <f>[1]节奏总纲!BA51</f>
        <v>33.238809018460984</v>
      </c>
      <c r="BB51" s="23">
        <f>[1]节奏总纲!BB51</f>
        <v>34.627226072894942</v>
      </c>
      <c r="BC51" s="23">
        <f>[1]节奏总纲!BC51</f>
        <v>36.526331209747774</v>
      </c>
      <c r="BD51" s="23">
        <f>[1]节奏总纲!BD51</f>
        <v>39.250296194358178</v>
      </c>
      <c r="BE51" s="23">
        <f>[1]节奏总纲!BE51</f>
        <v>43.928898311540578</v>
      </c>
      <c r="BI51" s="24">
        <v>48</v>
      </c>
      <c r="BJ51" s="23">
        <f>[1]节奏总纲!BJ51</f>
        <v>2.4333333333333349</v>
      </c>
      <c r="BK51" s="23">
        <f>[1]节奏总纲!BK51</f>
        <v>2.4820000000000015</v>
      </c>
      <c r="BL51" s="23">
        <f>[1]节奏总纲!BL51</f>
        <v>2.5793333333333353</v>
      </c>
      <c r="BM51" s="23">
        <f>[1]节奏总纲!BM51</f>
        <v>2.7740000000000014</v>
      </c>
      <c r="BN51" s="23">
        <f>[1]节奏总纲!BN51</f>
        <v>3.4066666666666685</v>
      </c>
    </row>
    <row r="52" spans="6:66" x14ac:dyDescent="0.15">
      <c r="F52" s="23">
        <v>50</v>
      </c>
      <c r="G52" s="23">
        <v>31</v>
      </c>
      <c r="I52" s="23">
        <v>50</v>
      </c>
      <c r="J52" s="23">
        <v>588.22499999999991</v>
      </c>
      <c r="K52" s="1">
        <v>1.1499999999999999</v>
      </c>
      <c r="N52" s="35">
        <f>[1]节奏总纲!N52</f>
        <v>59</v>
      </c>
      <c r="O52" s="23">
        <v>49</v>
      </c>
      <c r="P52" s="23">
        <f>[1]节奏总纲!P52</f>
        <v>28.857055729177837</v>
      </c>
      <c r="Q52" s="23">
        <f>[1]节奏总纲!Q52</f>
        <v>24.15046993974893</v>
      </c>
      <c r="R52" s="23">
        <f>[1]节奏总纲!R52</f>
        <v>18.970628436361508</v>
      </c>
      <c r="S52" s="23">
        <f>[1]节奏总纲!S52</f>
        <v>13.288674163286395</v>
      </c>
      <c r="T52" s="23">
        <f>[1]节奏总纲!T52</f>
        <v>7.2344638713048832</v>
      </c>
      <c r="V52" s="23">
        <v>49</v>
      </c>
      <c r="W52" s="23">
        <f>[1]节奏总纲!W52</f>
        <v>1.9994377037018651</v>
      </c>
      <c r="X52" s="23">
        <f>[1]节奏总纲!X52</f>
        <v>1.0421753906294029</v>
      </c>
      <c r="Y52" s="23">
        <f>[1]节奏总纲!Y52</f>
        <v>0.81487865113975033</v>
      </c>
      <c r="Z52" s="23">
        <f>[1]节奏总纲!Z52</f>
        <v>0.57696355182861758</v>
      </c>
      <c r="AA52" s="23">
        <f>[1]节奏总纲!AA52</f>
        <v>0.53885969755372365</v>
      </c>
      <c r="AC52" s="23">
        <v>49</v>
      </c>
      <c r="AD52" s="23">
        <f>[1]节奏总纲!AD52</f>
        <v>56.430041330048923</v>
      </c>
      <c r="AE52" s="23">
        <f>[1]节奏总纲!AE52</f>
        <v>58.748035783194808</v>
      </c>
      <c r="AF52" s="23">
        <f>[1]节奏总纲!AF52</f>
        <v>60.930971697262024</v>
      </c>
      <c r="AG52" s="23">
        <f>[1]节奏总纲!AG52</f>
        <v>66.603392500585613</v>
      </c>
      <c r="AH52" s="23">
        <f>[1]节奏总纲!AH52</f>
        <v>73.493538869182444</v>
      </c>
      <c r="AL52" s="23">
        <v>49</v>
      </c>
      <c r="AM52" s="23">
        <f>[1]节奏总纲!AM52</f>
        <v>507.55295278468168</v>
      </c>
      <c r="AN52" s="23">
        <f>[1]节奏总纲!AN52</f>
        <v>406.04236222774534</v>
      </c>
      <c r="AO52" s="23">
        <f>[1]节奏总纲!AO52</f>
        <v>304.53177167080901</v>
      </c>
      <c r="AP52" s="23">
        <f>[1]节奏总纲!AP52</f>
        <v>203.02118111387267</v>
      </c>
      <c r="AQ52" s="23">
        <f>[1]节奏总纲!AQ52</f>
        <v>101.51059055693634</v>
      </c>
      <c r="AS52" s="23">
        <v>49</v>
      </c>
      <c r="AT52" s="23">
        <f>[1]节奏总纲!AT52</f>
        <v>69.651464424553808</v>
      </c>
      <c r="AU52" s="23">
        <f>[1]节奏总纲!AU52</f>
        <v>55.721171539643024</v>
      </c>
      <c r="AV52" s="23">
        <f>[1]节奏总纲!AV52</f>
        <v>41.790878654732296</v>
      </c>
      <c r="AW52" s="23">
        <f>[1]节奏总纲!AW52</f>
        <v>27.860585769821512</v>
      </c>
      <c r="AX52" s="23">
        <f>[1]节奏总纲!AX52</f>
        <v>13.930292884910756</v>
      </c>
      <c r="AY52" s="23"/>
      <c r="AZ52" s="23">
        <v>49</v>
      </c>
      <c r="BA52" s="23">
        <f>[1]节奏总纲!BA52</f>
        <v>33.363371207175248</v>
      </c>
      <c r="BB52" s="23">
        <f>[1]节奏总纲!BB52</f>
        <v>34.760359618289606</v>
      </c>
      <c r="BC52" s="23">
        <f>[1]节奏总纲!BC52</f>
        <v>36.666615757473956</v>
      </c>
      <c r="BD52" s="23">
        <f>[1]节奏总纲!BD52</f>
        <v>39.385377961140485</v>
      </c>
      <c r="BE52" s="23">
        <f>[1]节奏总纲!BE52</f>
        <v>44.067911160744309</v>
      </c>
      <c r="BI52" s="24">
        <v>49</v>
      </c>
      <c r="BJ52" s="23">
        <f>[1]节奏总纲!BJ52</f>
        <v>2.4666666666666681</v>
      </c>
      <c r="BK52" s="23">
        <f>[1]节奏总纲!BK52</f>
        <v>2.5160000000000013</v>
      </c>
      <c r="BL52" s="23">
        <f>[1]节奏总纲!BL52</f>
        <v>2.6146666666666682</v>
      </c>
      <c r="BM52" s="23">
        <f>[1]节奏总纲!BM52</f>
        <v>2.8120000000000016</v>
      </c>
      <c r="BN52" s="23">
        <f>[1]节奏总纲!BN52</f>
        <v>3.4533333333333354</v>
      </c>
    </row>
    <row r="53" spans="6:66" x14ac:dyDescent="0.15">
      <c r="F53" s="23">
        <v>51</v>
      </c>
      <c r="G53" s="23">
        <v>33.296750801161366</v>
      </c>
      <c r="K53" s="1"/>
      <c r="N53" s="35">
        <f>[1]节奏总纲!N53</f>
        <v>60</v>
      </c>
      <c r="O53" s="23">
        <v>50</v>
      </c>
      <c r="P53" s="23">
        <f>[1]节奏总纲!P53</f>
        <v>31</v>
      </c>
      <c r="Q53" s="23">
        <f>[1]节奏总纲!Q53</f>
        <v>25.943899999999999</v>
      </c>
      <c r="R53" s="23">
        <f>[1]节奏总纲!R53</f>
        <v>20.633599999999998</v>
      </c>
      <c r="S53" s="23">
        <f>[1]节奏总纲!S53</f>
        <v>14.963700000000001</v>
      </c>
      <c r="T53" s="23">
        <f>[1]节奏总纲!T53</f>
        <v>8.4785000000000004</v>
      </c>
      <c r="V53" s="23">
        <v>50</v>
      </c>
      <c r="W53" s="23">
        <f>[1]节奏总纲!W53</f>
        <v>2.1429442708221629</v>
      </c>
      <c r="X53" s="23">
        <f>[1]节奏总纲!X53</f>
        <v>1.7934300602510689</v>
      </c>
      <c r="Y53" s="23">
        <f>[1]节奏总纲!Y53</f>
        <v>1.6629715636384894</v>
      </c>
      <c r="Z53" s="23">
        <f>[1]节奏总纲!Z53</f>
        <v>1.6750258367136066</v>
      </c>
      <c r="AA53" s="23">
        <f>[1]节奏总纲!AA53</f>
        <v>1.2440361286951171</v>
      </c>
      <c r="AC53" s="23">
        <v>50</v>
      </c>
      <c r="AD53" s="23">
        <f>[1]节奏总纲!AD53</f>
        <v>56.717296680108156</v>
      </c>
      <c r="AE53" s="23">
        <f>[1]节奏总纲!AE53</f>
        <v>59.027770260063747</v>
      </c>
      <c r="AF53" s="23">
        <f>[1]节奏总纲!AF53</f>
        <v>61.213541582301438</v>
      </c>
      <c r="AG53" s="23">
        <f>[1]节奏总纲!AG53</f>
        <v>66.878018442680201</v>
      </c>
      <c r="AH53" s="23">
        <f>[1]节奏总纲!AH53</f>
        <v>73.991769211201799</v>
      </c>
      <c r="AL53" s="23">
        <v>50</v>
      </c>
      <c r="AM53" s="23">
        <f>[1]节奏总纲!AM53</f>
        <v>588.22499999999991</v>
      </c>
      <c r="AN53" s="23">
        <f>[1]节奏总纲!AN53</f>
        <v>470.57999999999993</v>
      </c>
      <c r="AO53" s="23">
        <f>[1]节奏总纲!AO53</f>
        <v>352.93499999999995</v>
      </c>
      <c r="AP53" s="23">
        <f>[1]节奏总纲!AP53</f>
        <v>235.28999999999996</v>
      </c>
      <c r="AQ53" s="23">
        <f>[1]节奏总纲!AQ53</f>
        <v>117.64499999999998</v>
      </c>
      <c r="AS53" s="23">
        <v>50</v>
      </c>
      <c r="AT53" s="23">
        <f>[1]节奏总纲!AT53</f>
        <v>80.67204721531823</v>
      </c>
      <c r="AU53" s="23">
        <f>[1]节奏总纲!AU53</f>
        <v>64.537637772254584</v>
      </c>
      <c r="AV53" s="23">
        <f>[1]节奏总纲!AV53</f>
        <v>48.403228329190938</v>
      </c>
      <c r="AW53" s="23">
        <f>[1]节奏总纲!AW53</f>
        <v>32.268818886127292</v>
      </c>
      <c r="AX53" s="23">
        <f>[1]节奏总纲!AX53</f>
        <v>16.134409443063646</v>
      </c>
      <c r="AY53" s="23"/>
      <c r="AZ53" s="23">
        <v>50</v>
      </c>
      <c r="BA53" s="23">
        <f>[1]节奏总纲!BA53</f>
        <v>33.487933395889513</v>
      </c>
      <c r="BB53" s="23">
        <f>[1]节奏总纲!BB53</f>
        <v>34.893493163684269</v>
      </c>
      <c r="BC53" s="23">
        <f>[1]节奏总纲!BC53</f>
        <v>36.806900305200131</v>
      </c>
      <c r="BD53" s="23">
        <f>[1]节奏总纲!BD53</f>
        <v>39.520459727922798</v>
      </c>
      <c r="BE53" s="23">
        <f>[1]节奏总纲!BE53</f>
        <v>44.197188392263818</v>
      </c>
      <c r="BI53" s="24">
        <v>50</v>
      </c>
      <c r="BJ53" s="23">
        <f>[1]节奏总纲!BJ53</f>
        <v>2.5000000000000013</v>
      </c>
      <c r="BK53" s="23">
        <f>[1]节奏总纲!BK53</f>
        <v>2.5500000000000016</v>
      </c>
      <c r="BL53" s="23">
        <f>[1]节奏总纲!BL53</f>
        <v>2.6500000000000017</v>
      </c>
      <c r="BM53" s="23">
        <f>[1]节奏总纲!BM53</f>
        <v>2.8500000000000014</v>
      </c>
      <c r="BN53" s="23">
        <f>[1]节奏总纲!BN53</f>
        <v>3.5000000000000018</v>
      </c>
    </row>
    <row r="54" spans="6:66" x14ac:dyDescent="0.15">
      <c r="F54" s="23">
        <v>52</v>
      </c>
      <c r="G54" s="23">
        <v>35.758347359905123</v>
      </c>
      <c r="K54" s="1"/>
      <c r="N54" s="35">
        <f>[1]节奏总纲!N54</f>
        <v>61</v>
      </c>
      <c r="O54" s="23">
        <v>51</v>
      </c>
      <c r="P54" s="23">
        <f>[1]节奏总纲!P54</f>
        <v>33.296750801161366</v>
      </c>
      <c r="Q54" s="23">
        <f>[1]节奏总纲!Q54</f>
        <v>28.601908938197614</v>
      </c>
      <c r="R54" s="23">
        <f>[1]节奏总纲!R54</f>
        <v>23.15789018220773</v>
      </c>
      <c r="S54" s="23">
        <f>[1]节奏总纲!S54</f>
        <v>17.647277924615526</v>
      </c>
      <c r="T54" s="23">
        <f>[1]节奏总纲!T54</f>
        <v>10.152179319274101</v>
      </c>
      <c r="V54" s="23">
        <v>51</v>
      </c>
      <c r="W54" s="23">
        <f>[1]节奏总纲!W54</f>
        <v>2.296750801161366</v>
      </c>
      <c r="X54" s="23">
        <f>[1]节奏总纲!X54</f>
        <v>2.6580089381976144</v>
      </c>
      <c r="Y54" s="23">
        <f>[1]节奏总纲!Y54</f>
        <v>2.5242901822077322</v>
      </c>
      <c r="Z54" s="23">
        <f>[1]节奏总纲!Z54</f>
        <v>2.6835779246155251</v>
      </c>
      <c r="AA54" s="23">
        <f>[1]节奏总纲!AA54</f>
        <v>1.6736793192741004</v>
      </c>
      <c r="AC54" s="23">
        <v>51</v>
      </c>
      <c r="AD54" s="23">
        <f>[1]节奏总纲!AD54</f>
        <v>57.004247194324648</v>
      </c>
      <c r="AE54" s="23">
        <f>[1]节奏总纲!AE54</f>
        <v>59.218175802441735</v>
      </c>
      <c r="AF54" s="23">
        <f>[1]节奏总纲!AF54</f>
        <v>61.495208885186315</v>
      </c>
      <c r="AG54" s="23">
        <f>[1]节奏总纲!AG54</f>
        <v>67.12097982274932</v>
      </c>
      <c r="AH54" s="23">
        <f>[1]节奏总纲!AH54</f>
        <v>74.522279065175425</v>
      </c>
      <c r="AZ54" s="23">
        <v>51</v>
      </c>
      <c r="BA54" s="23">
        <v>33.612495584603778</v>
      </c>
      <c r="BB54" s="23">
        <v>35.024397713965918</v>
      </c>
      <c r="BC54" s="23">
        <v>36.947184852926306</v>
      </c>
      <c r="BD54" s="23">
        <v>39.655541494705105</v>
      </c>
      <c r="BE54" s="23">
        <v>44.326465623783335</v>
      </c>
      <c r="BI54" s="24">
        <v>51</v>
      </c>
      <c r="BJ54" s="23">
        <f>[1]节奏总纲!BJ54</f>
        <v>2.5333333333333345</v>
      </c>
      <c r="BK54" s="23">
        <f>[1]节奏总纲!BK54</f>
        <v>2.5840000000000014</v>
      </c>
      <c r="BL54" s="23">
        <f>[1]节奏总纲!BL54</f>
        <v>2.6853333333333347</v>
      </c>
      <c r="BM54" s="23">
        <f>[1]节奏总纲!BM54</f>
        <v>2.8880000000000012</v>
      </c>
      <c r="BN54" s="23">
        <f>[1]节奏总纲!BN54</f>
        <v>3.5466666666666682</v>
      </c>
    </row>
    <row r="55" spans="6:66" x14ac:dyDescent="0.15">
      <c r="F55" s="23">
        <v>53</v>
      </c>
      <c r="G55" s="23">
        <v>38.396621227037308</v>
      </c>
      <c r="K55" s="1"/>
      <c r="N55" s="35">
        <f>[1]节奏总纲!N55</f>
        <v>62</v>
      </c>
      <c r="O55" s="23">
        <v>52</v>
      </c>
      <c r="P55" s="23">
        <f>[1]节奏总纲!P55</f>
        <v>35.758347359905123</v>
      </c>
      <c r="Q55" s="23">
        <f>[1]节奏总纲!Q55</f>
        <v>30.730723721102464</v>
      </c>
      <c r="R55" s="23">
        <f>[1]节奏总纲!R55</f>
        <v>25.846133471739424</v>
      </c>
      <c r="S55" s="23">
        <f>[1]节奏总纲!S55</f>
        <v>19.620605196379941</v>
      </c>
      <c r="T55" s="23">
        <f>[1]节奏总纲!T55</f>
        <v>11.006419317378798</v>
      </c>
      <c r="V55" s="23">
        <v>52</v>
      </c>
      <c r="W55" s="23">
        <f>[1]节奏总纲!W55</f>
        <v>2.4615965587437572</v>
      </c>
      <c r="X55" s="23">
        <f>[1]节奏总纲!X55</f>
        <v>2.1288147829048505</v>
      </c>
      <c r="Y55" s="23">
        <f>[1]节奏总纲!Y55</f>
        <v>2.6882432895316946</v>
      </c>
      <c r="Z55" s="23">
        <f>[1]节奏总纲!Z55</f>
        <v>1.9733272717644148</v>
      </c>
      <c r="AA55" s="23">
        <f>[1]节奏总纲!AA55</f>
        <v>0.85423999810469731</v>
      </c>
      <c r="AC55" s="23">
        <v>52</v>
      </c>
      <c r="AD55" s="23">
        <f>[1]节奏总纲!AD55</f>
        <v>57.27226591292537</v>
      </c>
      <c r="AE55" s="23">
        <f>[1]节奏总纲!AE55</f>
        <v>59.408581344819723</v>
      </c>
      <c r="AF55" s="23">
        <f>[1]节奏总纲!AF55</f>
        <v>61.776876188071199</v>
      </c>
      <c r="AG55" s="23">
        <f>[1]节奏总纲!AG55</f>
        <v>67.338637339899307</v>
      </c>
      <c r="AH55" s="23">
        <f>[1]节奏总纲!AH55</f>
        <v>75.050977465796123</v>
      </c>
      <c r="AZ55" s="23">
        <v>52</v>
      </c>
      <c r="BA55" s="23">
        <v>33.737057773318043</v>
      </c>
      <c r="BB55" s="23">
        <v>35.146386283795508</v>
      </c>
      <c r="BC55" s="23">
        <v>37.075448197698059</v>
      </c>
      <c r="BD55" s="23">
        <v>39.790623261487418</v>
      </c>
      <c r="BE55" s="23">
        <v>44.455742855302844</v>
      </c>
      <c r="BI55" s="24">
        <v>52</v>
      </c>
      <c r="BJ55" s="23">
        <f>[1]节奏总纲!BJ55</f>
        <v>2.5666666666666678</v>
      </c>
      <c r="BK55" s="23">
        <f>[1]节奏总纲!BK55</f>
        <v>2.6180000000000012</v>
      </c>
      <c r="BL55" s="23">
        <f>[1]节奏总纲!BL55</f>
        <v>2.7206666666666681</v>
      </c>
      <c r="BM55" s="23">
        <f>[1]节奏总纲!BM55</f>
        <v>2.926000000000001</v>
      </c>
      <c r="BN55" s="23">
        <f>[1]节奏总纲!BN55</f>
        <v>3.5933333333333346</v>
      </c>
    </row>
    <row r="56" spans="6:66" x14ac:dyDescent="0.15">
      <c r="F56" s="23">
        <v>54</v>
      </c>
      <c r="G56" s="23">
        <v>41.224253144732614</v>
      </c>
      <c r="K56" s="1"/>
      <c r="N56" s="35">
        <f>[1]节奏总纲!N56</f>
        <v>63</v>
      </c>
      <c r="O56" s="23">
        <v>53</v>
      </c>
      <c r="P56" s="23">
        <f>[1]节奏总纲!P56</f>
        <v>38.396621227037308</v>
      </c>
      <c r="Q56" s="23">
        <f>[1]节奏总纲!Q56</f>
        <v>33.973330461682615</v>
      </c>
      <c r="R56" s="23">
        <f>[1]节奏总纲!R56</f>
        <v>28.689955380842274</v>
      </c>
      <c r="S56" s="23">
        <f>[1]节奏总纲!S56</f>
        <v>21.502107887140895</v>
      </c>
      <c r="T56" s="23">
        <f>[1]节奏总纲!T56</f>
        <v>11.576581299951748</v>
      </c>
      <c r="V56" s="23">
        <v>53</v>
      </c>
      <c r="W56" s="23">
        <f>[1]节奏总纲!W56</f>
        <v>2.6382738671321846</v>
      </c>
      <c r="X56" s="23">
        <f>[1]节奏总纲!X56</f>
        <v>3.2426067405801504</v>
      </c>
      <c r="Y56" s="23">
        <f>[1]节奏总纲!Y56</f>
        <v>2.84382190910285</v>
      </c>
      <c r="Z56" s="23">
        <f>[1]节奏总纲!Z56</f>
        <v>1.8815026907609536</v>
      </c>
      <c r="AA56" s="23">
        <f>[1]节奏总纲!AA56</f>
        <v>0.57016198257294981</v>
      </c>
      <c r="AC56" s="23">
        <v>53</v>
      </c>
      <c r="AD56" s="23">
        <f>[1]节奏总纲!AD56</f>
        <v>57.540284631526099</v>
      </c>
      <c r="AE56" s="23">
        <f>[1]节奏总纲!AE56</f>
        <v>59.598986887197718</v>
      </c>
      <c r="AF56" s="23">
        <f>[1]节奏总纲!AF56</f>
        <v>62.053245286966117</v>
      </c>
      <c r="AG56" s="23">
        <f>[1]节奏总纲!AG56</f>
        <v>67.556294857049295</v>
      </c>
      <c r="AH56" s="23">
        <f>[1]节奏总纲!AH56</f>
        <v>75.55859254705355</v>
      </c>
      <c r="AZ56" s="23">
        <v>53</v>
      </c>
      <c r="BA56" s="23">
        <v>33.861619962032307</v>
      </c>
      <c r="BB56" s="23">
        <v>35.268374853625097</v>
      </c>
      <c r="BC56" s="23">
        <v>37.196452985793947</v>
      </c>
      <c r="BD56" s="23">
        <v>39.925705028269732</v>
      </c>
      <c r="BE56" s="23">
        <v>44.585020086822361</v>
      </c>
      <c r="BI56" s="24">
        <v>53</v>
      </c>
      <c r="BJ56" s="23">
        <f>[1]节奏总纲!BJ56</f>
        <v>2.600000000000001</v>
      </c>
      <c r="BK56" s="23">
        <f>[1]节奏总纲!BK56</f>
        <v>2.652000000000001</v>
      </c>
      <c r="BL56" s="23">
        <f>[1]节奏总纲!BL56</f>
        <v>2.7560000000000011</v>
      </c>
      <c r="BM56" s="23">
        <f>[1]节奏总纲!BM56</f>
        <v>2.9640000000000009</v>
      </c>
      <c r="BN56" s="23">
        <f>[1]节奏总纲!BN56</f>
        <v>3.640000000000001</v>
      </c>
    </row>
    <row r="57" spans="6:66" x14ac:dyDescent="0.15">
      <c r="F57" s="23">
        <v>55</v>
      </c>
      <c r="G57" s="23">
        <v>44.254833995939045</v>
      </c>
      <c r="K57" s="1"/>
      <c r="N57" s="35">
        <f>[1]节奏总纲!N57</f>
        <v>64</v>
      </c>
      <c r="O57" s="23">
        <v>54</v>
      </c>
      <c r="P57" s="23">
        <f>[1]节奏总纲!P57</f>
        <v>41.224253144732614</v>
      </c>
      <c r="Q57" s="23">
        <f>[1]节奏总纲!Q57</f>
        <v>36.903951415164634</v>
      </c>
      <c r="R57" s="23">
        <f>[1]节奏总纲!R57</f>
        <v>30.736803144712638</v>
      </c>
      <c r="S57" s="23">
        <f>[1]节奏总纲!S57</f>
        <v>22.417748860105593</v>
      </c>
      <c r="T57" s="23">
        <f>[1]节奏总纲!T57</f>
        <v>12.033359492947449</v>
      </c>
      <c r="V57" s="23">
        <v>54</v>
      </c>
      <c r="W57" s="23">
        <f>[1]节奏总纲!W57</f>
        <v>2.8276319176953066</v>
      </c>
      <c r="X57" s="23">
        <f>[1]节奏总纲!X57</f>
        <v>2.9306209534820198</v>
      </c>
      <c r="Y57" s="23">
        <f>[1]节奏总纲!Y57</f>
        <v>2.0468477638703639</v>
      </c>
      <c r="Z57" s="23">
        <f>[1]节奏总纲!Z57</f>
        <v>0.91564097296469882</v>
      </c>
      <c r="AA57" s="23">
        <f>[1]节奏总纲!AA57</f>
        <v>0.4567781929957011</v>
      </c>
      <c r="AC57" s="23">
        <v>54</v>
      </c>
      <c r="AD57" s="23">
        <f>[1]节奏总纲!AD57</f>
        <v>57.80830335012682</v>
      </c>
      <c r="AE57" s="23">
        <f>[1]节奏总纲!AE57</f>
        <v>59.789392429575706</v>
      </c>
      <c r="AF57" s="23">
        <f>[1]节奏总纲!AF57</f>
        <v>62.309421612056276</v>
      </c>
      <c r="AG57" s="23">
        <f>[1]节奏总纲!AG57</f>
        <v>67.773952374199283</v>
      </c>
      <c r="AH57" s="23">
        <f>[1]节奏总纲!AH57</f>
        <v>76.06130681599123</v>
      </c>
      <c r="AZ57" s="23">
        <v>54</v>
      </c>
      <c r="BA57" s="23">
        <v>33.986182150746572</v>
      </c>
      <c r="BB57" s="23">
        <v>35.390363423454687</v>
      </c>
      <c r="BC57" s="23">
        <v>37.317457773889828</v>
      </c>
      <c r="BD57" s="23">
        <v>40.052446592012309</v>
      </c>
      <c r="BE57" s="23">
        <v>44.71429731834187</v>
      </c>
      <c r="BI57" s="24">
        <v>54</v>
      </c>
      <c r="BJ57" s="23">
        <f>[1]节奏总纲!BJ57</f>
        <v>2.6333333333333342</v>
      </c>
      <c r="BK57" s="23">
        <f>[1]节奏总纲!BK57</f>
        <v>2.6860000000000008</v>
      </c>
      <c r="BL57" s="23">
        <f>[1]节奏总纲!BL57</f>
        <v>2.7913333333333346</v>
      </c>
      <c r="BM57" s="23">
        <f>[1]节奏总纲!BM57</f>
        <v>3.0020000000000007</v>
      </c>
      <c r="BN57" s="23">
        <f>[1]节奏总纲!BN57</f>
        <v>3.6866666666666674</v>
      </c>
    </row>
    <row r="58" spans="6:66" x14ac:dyDescent="0.15">
      <c r="F58" s="23">
        <v>56</v>
      </c>
      <c r="G58" s="23">
        <v>47.502930128332721</v>
      </c>
      <c r="K58" s="1"/>
      <c r="N58" s="35">
        <f>[1]节奏总纲!N58</f>
        <v>65</v>
      </c>
      <c r="O58" s="23">
        <v>55</v>
      </c>
      <c r="P58" s="23">
        <f>[1]节奏总纲!P58</f>
        <v>44.254833995939045</v>
      </c>
      <c r="Q58" s="23">
        <f>[1]节奏总纲!Q58</f>
        <v>39.192080986803617</v>
      </c>
      <c r="R58" s="23">
        <f>[1]节奏总纲!R58</f>
        <v>32.55828137081236</v>
      </c>
      <c r="S58" s="23">
        <f>[1]节奏总纲!S58</f>
        <v>23.207234947470432</v>
      </c>
      <c r="T58" s="23">
        <f>[1]节奏总纲!T58</f>
        <v>12.46658673665603</v>
      </c>
      <c r="V58" s="23">
        <v>55</v>
      </c>
      <c r="W58" s="23">
        <f>[1]节奏总纲!W58</f>
        <v>3.0305808512064303</v>
      </c>
      <c r="X58" s="23">
        <f>[1]节奏总纲!X58</f>
        <v>2.2881295716389829</v>
      </c>
      <c r="Y58" s="23">
        <f>[1]节奏总纲!Y58</f>
        <v>1.8214782260997211</v>
      </c>
      <c r="Z58" s="23">
        <f>[1]节奏总纲!Z58</f>
        <v>0.78948608736483905</v>
      </c>
      <c r="AA58" s="23">
        <f>[1]节奏总纲!AA58</f>
        <v>0.4332272437085809</v>
      </c>
      <c r="AC58" s="23">
        <v>55</v>
      </c>
      <c r="AD58" s="23">
        <f>[1]节奏总纲!AD58</f>
        <v>58.071211008105138</v>
      </c>
      <c r="AE58" s="23">
        <f>[1]节奏总纲!AE58</f>
        <v>59.979797971953694</v>
      </c>
      <c r="AF58" s="23">
        <f>[1]节奏总纲!AF58</f>
        <v>62.565597937146443</v>
      </c>
      <c r="AG58" s="23">
        <f>[1]节奏总纲!AG58</f>
        <v>67.99160989134927</v>
      </c>
      <c r="AH58" s="23">
        <f>[1]节奏总纲!AH58</f>
        <v>76.531347280737108</v>
      </c>
      <c r="AZ58" s="23">
        <v>55</v>
      </c>
      <c r="BA58" s="23">
        <v>34.09469189131628</v>
      </c>
      <c r="BB58" s="23">
        <v>35.512351993284277</v>
      </c>
      <c r="BC58" s="23">
        <v>37.438462561985709</v>
      </c>
      <c r="BD58" s="23">
        <v>40.168994574261895</v>
      </c>
      <c r="BE58" s="23">
        <v>44.843574549861387</v>
      </c>
      <c r="BI58" s="24">
        <v>55</v>
      </c>
      <c r="BJ58" s="23">
        <f>[1]节奏总纲!BJ58</f>
        <v>2.6666666666666674</v>
      </c>
      <c r="BK58" s="23">
        <f>[1]节奏总纲!BK58</f>
        <v>2.7200000000000006</v>
      </c>
      <c r="BL58" s="23">
        <f>[1]节奏总纲!BL58</f>
        <v>2.8266666666666675</v>
      </c>
      <c r="BM58" s="23">
        <f>[1]节奏总纲!BM58</f>
        <v>3.0400000000000005</v>
      </c>
      <c r="BN58" s="23">
        <f>[1]节奏总纲!BN58</f>
        <v>3.7333333333333343</v>
      </c>
    </row>
    <row r="59" spans="6:66" x14ac:dyDescent="0.15">
      <c r="F59" s="23">
        <v>57</v>
      </c>
      <c r="G59" s="23">
        <v>50.984153366799077</v>
      </c>
      <c r="K59" s="1"/>
      <c r="N59" s="35">
        <f>[1]节奏总纲!N59</f>
        <v>66</v>
      </c>
      <c r="O59" s="23">
        <v>56</v>
      </c>
      <c r="P59" s="23">
        <f>[1]节奏总纲!P59</f>
        <v>47.502930128332721</v>
      </c>
      <c r="Q59" s="23">
        <f>[1]节奏总纲!Q59</f>
        <v>41.783577340881465</v>
      </c>
      <c r="R59" s="23">
        <f>[1]节奏总纲!R59</f>
        <v>33.850588009449901</v>
      </c>
      <c r="S59" s="23">
        <f>[1]节奏总纲!S59</f>
        <v>24.136238798205856</v>
      </c>
      <c r="T59" s="23">
        <f>[1]节奏总纲!T59</f>
        <v>13.172562524586663</v>
      </c>
      <c r="V59" s="23">
        <v>56</v>
      </c>
      <c r="W59" s="23">
        <f>[1]节奏总纲!W59</f>
        <v>3.2480961323936768</v>
      </c>
      <c r="X59" s="23">
        <f>[1]节奏总纲!X59</f>
        <v>2.5914963540778473</v>
      </c>
      <c r="Y59" s="23">
        <f>[1]节奏总纲!Y59</f>
        <v>1.292306638637541</v>
      </c>
      <c r="Z59" s="23">
        <f>[1]节奏总纲!Z59</f>
        <v>0.92900385073542324</v>
      </c>
      <c r="AA59" s="23">
        <f>[1]节奏总纲!AA59</f>
        <v>0.7059757879306332</v>
      </c>
      <c r="AC59" s="23">
        <v>56</v>
      </c>
      <c r="AD59" s="23">
        <f>[1]节奏总纲!AD59</f>
        <v>58.321281314909029</v>
      </c>
      <c r="AE59" s="23">
        <f>[1]节奏总纲!AE59</f>
        <v>60.210440635483401</v>
      </c>
      <c r="AF59" s="23">
        <f>[1]节奏总纲!AF59</f>
        <v>62.821774262236602</v>
      </c>
      <c r="AG59" s="23">
        <f>[1]节奏总纲!AG59</f>
        <v>68.221463295042724</v>
      </c>
      <c r="AH59" s="23">
        <f>[1]节奏总纲!AH59</f>
        <v>77.000675402153561</v>
      </c>
      <c r="AZ59" s="23">
        <v>56</v>
      </c>
      <c r="BA59" s="23">
        <v>34.201198727632011</v>
      </c>
      <c r="BB59" s="23">
        <v>35.634340563113874</v>
      </c>
      <c r="BC59" s="23">
        <v>37.55946735008159</v>
      </c>
      <c r="BD59" s="23">
        <v>40.28554255651148</v>
      </c>
      <c r="BE59" s="23">
        <v>44.972851781380903</v>
      </c>
      <c r="BI59" s="24">
        <v>56</v>
      </c>
      <c r="BJ59" s="23">
        <f>[1]节奏总纲!BJ59</f>
        <v>2.7000000000000006</v>
      </c>
      <c r="BK59" s="23">
        <f>[1]节奏总纲!BK59</f>
        <v>2.7540000000000009</v>
      </c>
      <c r="BL59" s="23">
        <f>[1]节奏总纲!BL59</f>
        <v>2.862000000000001</v>
      </c>
      <c r="BM59" s="23">
        <f>[1]节奏总纲!BM59</f>
        <v>3.0780000000000003</v>
      </c>
      <c r="BN59" s="23">
        <f>[1]节奏总纲!BN59</f>
        <v>3.7800000000000007</v>
      </c>
    </row>
    <row r="60" spans="6:66" x14ac:dyDescent="0.15">
      <c r="F60" s="23">
        <v>58</v>
      </c>
      <c r="G60" s="23">
        <v>54.715236050951923</v>
      </c>
      <c r="K60" s="1"/>
      <c r="N60" s="35">
        <f>[1]节奏总纲!N60</f>
        <v>67</v>
      </c>
      <c r="O60" s="23">
        <v>57</v>
      </c>
      <c r="P60" s="23">
        <f>[1]节奏总纲!P60</f>
        <v>50.984153366799077</v>
      </c>
      <c r="Q60" s="23">
        <f>[1]节奏总纲!Q60</f>
        <v>44.249146707044922</v>
      </c>
      <c r="R60" s="23">
        <f>[1]节奏总纲!R60</f>
        <v>35.352411944538481</v>
      </c>
      <c r="S60" s="23">
        <f>[1]节奏总纲!S60</f>
        <v>25.201467009208784</v>
      </c>
      <c r="T60" s="23">
        <f>[1]节奏总纲!T60</f>
        <v>14.229677204673623</v>
      </c>
      <c r="V60" s="23">
        <v>57</v>
      </c>
      <c r="W60" s="23">
        <f>[1]节奏总纲!W60</f>
        <v>3.481223238466356</v>
      </c>
      <c r="X60" s="23">
        <f>[1]节奏总纲!X60</f>
        <v>2.4655693661634572</v>
      </c>
      <c r="Y60" s="23">
        <f>[1]节奏总纲!Y60</f>
        <v>1.5018239350885807</v>
      </c>
      <c r="Z60" s="23">
        <f>[1]节奏总纲!Z60</f>
        <v>1.0652282110029283</v>
      </c>
      <c r="AA60" s="23">
        <f>[1]节奏总纲!AA60</f>
        <v>1.0571146800869595</v>
      </c>
      <c r="AC60" s="23">
        <v>57</v>
      </c>
      <c r="AD60" s="23">
        <f>[1]节奏总纲!AD60</f>
        <v>58.571351621712921</v>
      </c>
      <c r="AE60" s="23">
        <f>[1]节奏总纲!AE60</f>
        <v>60.445859178366725</v>
      </c>
      <c r="AF60" s="23">
        <f>[1]节奏总纲!AF60</f>
        <v>63.083459479519668</v>
      </c>
      <c r="AG60" s="23">
        <f>[1]节奏总纲!AG60</f>
        <v>68.451805665527161</v>
      </c>
      <c r="AH60" s="23">
        <f>[1]节奏总纲!AH60</f>
        <v>77.229439499056227</v>
      </c>
      <c r="AZ60" s="23">
        <v>57</v>
      </c>
      <c r="BA60" s="23">
        <v>34.307705563947749</v>
      </c>
      <c r="BB60" s="23">
        <v>35.756329132943463</v>
      </c>
      <c r="BC60" s="23">
        <v>37.680472138177478</v>
      </c>
      <c r="BD60" s="23">
        <v>40.402090538761065</v>
      </c>
      <c r="BE60" s="23">
        <v>45.088151688727308</v>
      </c>
      <c r="BI60" s="24">
        <v>57</v>
      </c>
      <c r="BJ60" s="23">
        <f>[1]节奏总纲!BJ60</f>
        <v>2.7333333333333338</v>
      </c>
      <c r="BK60" s="23">
        <f>[1]节奏总纲!BK60</f>
        <v>2.7880000000000007</v>
      </c>
      <c r="BL60" s="23">
        <f>[1]节奏总纲!BL60</f>
        <v>2.897333333333334</v>
      </c>
      <c r="BM60" s="23">
        <f>[1]节奏总纲!BM60</f>
        <v>3.1160000000000001</v>
      </c>
      <c r="BN60" s="23">
        <f>[1]节奏总纲!BN60</f>
        <v>3.8266666666666671</v>
      </c>
    </row>
    <row r="61" spans="6:66" x14ac:dyDescent="0.15">
      <c r="F61" s="23">
        <v>59</v>
      </c>
      <c r="G61" s="23">
        <v>58.714111458355703</v>
      </c>
      <c r="K61" s="1"/>
      <c r="N61" s="35">
        <f>[1]节奏总纲!N61</f>
        <v>68</v>
      </c>
      <c r="O61" s="23">
        <v>58</v>
      </c>
      <c r="P61" s="23">
        <f>[1]节奏总纲!P61</f>
        <v>54.715236050951923</v>
      </c>
      <c r="Q61" s="23">
        <f>[1]节奏总纲!Q61</f>
        <v>46.464178454468367</v>
      </c>
      <c r="R61" s="23">
        <f>[1]节奏总纲!R61</f>
        <v>37.096930042545409</v>
      </c>
      <c r="S61" s="23">
        <f>[1]节奏总纲!S61</f>
        <v>27.226301458953674</v>
      </c>
      <c r="T61" s="23">
        <f>[1]节奏总纲!T61</f>
        <v>15.457054184393916</v>
      </c>
      <c r="V61" s="23">
        <v>58</v>
      </c>
      <c r="W61" s="23">
        <f>[1]节奏总纲!W61</f>
        <v>3.7310826841528453</v>
      </c>
      <c r="X61" s="23">
        <f>[1]节奏总纲!X61</f>
        <v>2.2150317474234456</v>
      </c>
      <c r="Y61" s="23">
        <f>[1]节奏总纲!Y61</f>
        <v>1.7445180980069281</v>
      </c>
      <c r="Z61" s="23">
        <f>[1]节奏总纲!Z61</f>
        <v>2.0248344497448905</v>
      </c>
      <c r="AA61" s="23">
        <f>[1]节奏总纲!AA61</f>
        <v>1.2273769797202938</v>
      </c>
      <c r="AC61" s="23">
        <v>58</v>
      </c>
      <c r="AD61" s="23">
        <f>[1]节奏总纲!AD61</f>
        <v>58.821421928516813</v>
      </c>
      <c r="AE61" s="23">
        <f>[1]节奏总纲!AE61</f>
        <v>60.681277721250048</v>
      </c>
      <c r="AF61" s="23">
        <f>[1]节奏总纲!AF61</f>
        <v>63.357740193629766</v>
      </c>
      <c r="AG61" s="23">
        <f>[1]节奏总纲!AG61</f>
        <v>68.682148036011597</v>
      </c>
      <c r="AH61" s="23">
        <f>[1]节奏总纲!AH61</f>
        <v>77.458203595958892</v>
      </c>
      <c r="AZ61" s="23">
        <v>58</v>
      </c>
      <c r="BA61" s="23">
        <v>34.41421240026348</v>
      </c>
      <c r="BB61" s="23">
        <v>35.878317702773053</v>
      </c>
      <c r="BC61" s="23">
        <v>37.801476926273359</v>
      </c>
      <c r="BD61" s="23">
        <v>40.518638521010644</v>
      </c>
      <c r="BE61" s="23">
        <v>45.199736104837825</v>
      </c>
      <c r="BI61" s="24">
        <v>58</v>
      </c>
      <c r="BJ61" s="23">
        <f>[1]节奏总纲!BJ61</f>
        <v>2.7666666666666671</v>
      </c>
      <c r="BK61" s="23">
        <f>[1]节奏总纲!BK61</f>
        <v>2.8220000000000005</v>
      </c>
      <c r="BL61" s="23">
        <f>[1]节奏总纲!BL61</f>
        <v>2.9326666666666674</v>
      </c>
      <c r="BM61" s="23">
        <f>[1]节奏总纲!BM61</f>
        <v>3.1540000000000004</v>
      </c>
      <c r="BN61" s="23">
        <f>[1]节奏总纲!BN61</f>
        <v>3.8733333333333335</v>
      </c>
    </row>
    <row r="62" spans="6:66" x14ac:dyDescent="0.15">
      <c r="F62" s="23">
        <v>60</v>
      </c>
      <c r="G62" s="23">
        <v>63</v>
      </c>
      <c r="K62" s="1"/>
      <c r="N62" s="35">
        <f>[1]节奏总纲!N62</f>
        <v>69</v>
      </c>
      <c r="O62" s="23">
        <v>59</v>
      </c>
      <c r="P62" s="23">
        <f>[1]节奏总纲!P62</f>
        <v>58.714111458355703</v>
      </c>
      <c r="Q62" s="23">
        <f>[1]节奏总纲!Q62</f>
        <v>49.854152039289822</v>
      </c>
      <c r="R62" s="23">
        <f>[1]节奏总纲!R62</f>
        <v>40.976578386786443</v>
      </c>
      <c r="S62" s="23">
        <f>[1]节奏总纲!S62</f>
        <v>30.595923480949157</v>
      </c>
      <c r="T62" s="23">
        <f>[1]节奏总纲!T62</f>
        <v>17.338277113652438</v>
      </c>
      <c r="V62" s="23">
        <v>59</v>
      </c>
      <c r="W62" s="23">
        <f>[1]节奏总纲!W62</f>
        <v>3.99887540740378</v>
      </c>
      <c r="X62" s="23">
        <f>[1]节奏总纲!X62</f>
        <v>3.3899735848214547</v>
      </c>
      <c r="Y62" s="23">
        <f>[1]节奏总纲!Y62</f>
        <v>3.8796483442410334</v>
      </c>
      <c r="Z62" s="23">
        <f>[1]节奏总纲!Z62</f>
        <v>3.3696220219954824</v>
      </c>
      <c r="AA62" s="23">
        <f>[1]节奏总纲!AA62</f>
        <v>1.8812229292585219</v>
      </c>
      <c r="AC62" s="23">
        <v>59</v>
      </c>
      <c r="AD62" s="23">
        <f>[1]节奏总纲!AD62</f>
        <v>59.066704614192936</v>
      </c>
      <c r="AE62" s="23">
        <f>[1]节奏总纲!AE62</f>
        <v>60.916696264133364</v>
      </c>
      <c r="AF62" s="23">
        <f>[1]节奏总纲!AF62</f>
        <v>63.632020907739872</v>
      </c>
      <c r="AG62" s="23">
        <f>[1]节奏总纲!AG62</f>
        <v>68.912490406496033</v>
      </c>
      <c r="AH62" s="23">
        <f>[1]节奏总纲!AH62</f>
        <v>77.686967692861558</v>
      </c>
      <c r="AZ62" s="23">
        <v>59</v>
      </c>
      <c r="BA62" s="23">
        <v>34.520719236579211</v>
      </c>
      <c r="BB62" s="23">
        <v>36.000264155774609</v>
      </c>
      <c r="BC62" s="23">
        <v>37.922481714369241</v>
      </c>
      <c r="BD62" s="23">
        <v>40.635186503260229</v>
      </c>
      <c r="BE62" s="23">
        <v>45.31132052094835</v>
      </c>
      <c r="BI62" s="24">
        <v>59</v>
      </c>
      <c r="BJ62" s="23">
        <f>[1]节奏总纲!BJ62</f>
        <v>2.8000000000000003</v>
      </c>
      <c r="BK62" s="23">
        <f>[1]节奏总纲!BK62</f>
        <v>2.8560000000000003</v>
      </c>
      <c r="BL62" s="23">
        <f>[1]节奏总纲!BL62</f>
        <v>2.9680000000000004</v>
      </c>
      <c r="BM62" s="23">
        <f>[1]节奏总纲!BM62</f>
        <v>3.1920000000000002</v>
      </c>
      <c r="BN62" s="23">
        <f>[1]节奏总纲!BN62</f>
        <v>3.92</v>
      </c>
    </row>
    <row r="63" spans="6:66" x14ac:dyDescent="0.15">
      <c r="F63" s="23">
        <v>61</v>
      </c>
      <c r="G63" s="23">
        <v>67.593501602322732</v>
      </c>
      <c r="N63" s="35">
        <f>[1]节奏总纲!N63</f>
        <v>70</v>
      </c>
      <c r="O63" s="23">
        <v>60</v>
      </c>
      <c r="P63" s="23">
        <f>[1]节奏总纲!P63</f>
        <v>63</v>
      </c>
      <c r="Q63" s="23">
        <f>[1]节奏总纲!Q63</f>
        <v>55.106100000000005</v>
      </c>
      <c r="R63" s="23">
        <f>[1]节奏总纲!R63</f>
        <v>45.738</v>
      </c>
      <c r="S63" s="23">
        <f>[1]节奏总纲!S63</f>
        <v>34.133399999999995</v>
      </c>
      <c r="T63" s="23">
        <f>[1]节奏总纲!T63</f>
        <v>19.385099999999998</v>
      </c>
      <c r="V63" s="23">
        <v>60</v>
      </c>
      <c r="W63" s="23">
        <f>[1]节奏总纲!W63</f>
        <v>4.2858885416442973</v>
      </c>
      <c r="X63" s="23">
        <f>[1]节奏总纲!X63</f>
        <v>5.2519479607101829</v>
      </c>
      <c r="Y63" s="23">
        <f>[1]节奏总纲!Y63</f>
        <v>4.7614216132135567</v>
      </c>
      <c r="Z63" s="23">
        <f>[1]节奏总纲!Z63</f>
        <v>3.5374765190508377</v>
      </c>
      <c r="AA63" s="23">
        <f>[1]节奏总纲!AA63</f>
        <v>2.0468228863475595</v>
      </c>
      <c r="AC63" s="23">
        <v>60</v>
      </c>
      <c r="AD63" s="23">
        <f>[1]节奏总纲!AD63</f>
        <v>59.300028460644697</v>
      </c>
      <c r="AE63" s="23">
        <f>[1]节奏总纲!AE63</f>
        <v>61.150221122126098</v>
      </c>
      <c r="AF63" s="23">
        <f>[1]节奏总纲!AF63</f>
        <v>63.90630162184997</v>
      </c>
      <c r="AG63" s="23">
        <f>[1]节奏总纲!AG63</f>
        <v>69.137376608764825</v>
      </c>
      <c r="AH63" s="23">
        <f>[1]节奏总纲!AH63</f>
        <v>77.915731789764223</v>
      </c>
      <c r="AZ63" s="23">
        <v>60</v>
      </c>
      <c r="BA63" s="23">
        <v>34.627226072894942</v>
      </c>
      <c r="BB63" s="23">
        <v>36.105477566569242</v>
      </c>
      <c r="BC63" s="23">
        <v>38.037513426486328</v>
      </c>
      <c r="BD63" s="23">
        <v>40.751734485509814</v>
      </c>
      <c r="BE63" s="23">
        <v>45.422904937058867</v>
      </c>
      <c r="BI63" s="24">
        <v>60</v>
      </c>
      <c r="BJ63" s="23">
        <f>[1]节奏总纲!BJ63</f>
        <v>2.8333333333333335</v>
      </c>
      <c r="BK63" s="23">
        <f>[1]节奏总纲!BK63</f>
        <v>2.89</v>
      </c>
      <c r="BL63" s="23">
        <f>[1]节奏总纲!BL63</f>
        <v>3.0033333333333339</v>
      </c>
      <c r="BM63" s="23">
        <f>[1]节奏总纲!BM63</f>
        <v>3.23</v>
      </c>
      <c r="BN63" s="23">
        <f>[1]节奏总纲!BN63</f>
        <v>3.9666666666666668</v>
      </c>
    </row>
    <row r="64" spans="6:66" x14ac:dyDescent="0.15">
      <c r="F64" s="23">
        <v>62</v>
      </c>
      <c r="G64" s="23">
        <v>72.516694719810218</v>
      </c>
      <c r="N64" s="35">
        <f>[1]节奏总纲!N64</f>
        <v>71</v>
      </c>
      <c r="O64" s="23">
        <v>61</v>
      </c>
      <c r="P64" s="23">
        <f>[1]节奏总纲!P64</f>
        <v>67.593501602322732</v>
      </c>
      <c r="Q64" s="23">
        <f>[1]节奏总纲!Q64</f>
        <v>59.353853756999591</v>
      </c>
      <c r="R64" s="23">
        <f>[1]节奏总纲!R64</f>
        <v>49.24186591729211</v>
      </c>
      <c r="S64" s="23">
        <f>[1]节奏总纲!S64</f>
        <v>36.79114292214426</v>
      </c>
      <c r="T64" s="23">
        <f>[1]节奏总纲!T64</f>
        <v>20.399718783581001</v>
      </c>
      <c r="V64" s="23">
        <v>61</v>
      </c>
      <c r="W64" s="23">
        <f>[1]节奏总纲!W64</f>
        <v>4.593501602322732</v>
      </c>
      <c r="X64" s="23">
        <f>[1]节奏总纲!X64</f>
        <v>4.247753756999586</v>
      </c>
      <c r="Y64" s="23">
        <f>[1]节奏总纲!Y64</f>
        <v>3.5038659172921101</v>
      </c>
      <c r="Z64" s="23">
        <f>[1]节奏总纲!Z64</f>
        <v>2.6577429221442657</v>
      </c>
      <c r="AA64" s="23">
        <f>[1]节奏总纲!AA64</f>
        <v>1.0146187835810032</v>
      </c>
      <c r="AC64" s="23">
        <v>61</v>
      </c>
      <c r="AD64" s="23">
        <f>[1]节奏总纲!AD64</f>
        <v>59.533352307096465</v>
      </c>
      <c r="AE64" s="23">
        <f>[1]节奏总纲!AE64</f>
        <v>61.382708927717204</v>
      </c>
      <c r="AF64" s="23">
        <f>[1]节奏总纲!AF64</f>
        <v>64.254824385678546</v>
      </c>
      <c r="AG64" s="23">
        <f>[1]节奏总纲!AG64</f>
        <v>69.35891997143662</v>
      </c>
      <c r="AH64" s="23">
        <f>[1]节奏总纲!AH64</f>
        <v>78.130825487512283</v>
      </c>
      <c r="AZ64" s="23">
        <v>61</v>
      </c>
      <c r="BA64" s="23">
        <v>34.733732909210673</v>
      </c>
      <c r="BB64" s="23">
        <v>36.210690977363875</v>
      </c>
      <c r="BC64" s="23">
        <v>38.14189763688286</v>
      </c>
      <c r="BD64" s="23">
        <v>40.8682824677594</v>
      </c>
      <c r="BE64" s="23">
        <v>45.534489353169384</v>
      </c>
      <c r="BI64" s="24">
        <v>61</v>
      </c>
      <c r="BJ64" s="23">
        <f>[1]节奏总纲!BJ64</f>
        <v>2.8666666666666667</v>
      </c>
      <c r="BK64" s="23">
        <f>[1]节奏总纲!BK64</f>
        <v>2.9239999999999999</v>
      </c>
      <c r="BL64" s="23">
        <f>[1]节奏总纲!BL64</f>
        <v>3.0386666666666668</v>
      </c>
      <c r="BM64" s="23">
        <f>[1]节奏总纲!BM64</f>
        <v>3.2679999999999998</v>
      </c>
      <c r="BN64" s="23">
        <f>[1]节奏总纲!BN64</f>
        <v>4.0133333333333328</v>
      </c>
    </row>
    <row r="65" spans="6:66" x14ac:dyDescent="0.15">
      <c r="F65" s="23">
        <v>63</v>
      </c>
      <c r="G65" s="23">
        <v>77.793242454074615</v>
      </c>
      <c r="N65" s="35">
        <f>[1]节奏总纲!N65</f>
        <v>72</v>
      </c>
      <c r="O65" s="23">
        <v>62</v>
      </c>
      <c r="P65" s="23">
        <f>[1]节奏总纲!P65</f>
        <v>72.516694719810218</v>
      </c>
      <c r="Q65" s="23">
        <f>[1]节奏总纲!Q65</f>
        <v>63.655154625049413</v>
      </c>
      <c r="R65" s="23">
        <f>[1]节奏总纲!R65</f>
        <v>52.79215375602184</v>
      </c>
      <c r="S65" s="23">
        <f>[1]节奏总纲!S65</f>
        <v>39.463585266520724</v>
      </c>
      <c r="T65" s="23">
        <f>[1]节奏总纲!T65</f>
        <v>21.182126527656568</v>
      </c>
      <c r="V65" s="23">
        <v>62</v>
      </c>
      <c r="W65" s="23">
        <f>[1]节奏总纲!W65</f>
        <v>4.9231931174874859</v>
      </c>
      <c r="X65" s="23">
        <f>[1]节奏总纲!X65</f>
        <v>4.3013008680498217</v>
      </c>
      <c r="Y65" s="23">
        <f>[1]节奏总纲!Y65</f>
        <v>3.5502878387297301</v>
      </c>
      <c r="Z65" s="23">
        <f>[1]节奏总纲!Z65</f>
        <v>2.6724423443764636</v>
      </c>
      <c r="AA65" s="23">
        <f>[1]节奏总纲!AA65</f>
        <v>0.78240774407556657</v>
      </c>
      <c r="AC65" s="23">
        <v>62</v>
      </c>
      <c r="AD65" s="23">
        <f>[1]节奏总纲!AD65</f>
        <v>59.766676153548232</v>
      </c>
      <c r="AE65" s="23">
        <f>[1]节奏总纲!AE65</f>
        <v>61.615196733308302</v>
      </c>
      <c r="AF65" s="23">
        <f>[1]节奏总纲!AF65</f>
        <v>64.641868966229509</v>
      </c>
      <c r="AG65" s="23">
        <f>[1]节奏总纲!AG65</f>
        <v>69.580463334108416</v>
      </c>
      <c r="AH65" s="23">
        <f>[1]节奏总纲!AH65</f>
        <v>78.337946777903028</v>
      </c>
      <c r="AZ65" s="23">
        <v>62</v>
      </c>
      <c r="BA65" s="23">
        <v>34.840239745526404</v>
      </c>
      <c r="BB65" s="23">
        <v>36.315904388158508</v>
      </c>
      <c r="BC65" s="23">
        <v>38.246281847279398</v>
      </c>
      <c r="BD65" s="23">
        <v>40.984830450008978</v>
      </c>
      <c r="BE65" s="23">
        <v>45.646073769279901</v>
      </c>
      <c r="BI65" s="24">
        <v>62</v>
      </c>
      <c r="BJ65" s="23">
        <f>[1]节奏总纲!BJ65</f>
        <v>2.9</v>
      </c>
      <c r="BK65" s="23">
        <f>[1]节奏总纲!BK65</f>
        <v>2.9579999999999997</v>
      </c>
      <c r="BL65" s="23">
        <f>[1]节奏总纲!BL65</f>
        <v>3.0739999999999998</v>
      </c>
      <c r="BM65" s="23">
        <f>[1]节奏总纲!BM65</f>
        <v>3.3059999999999996</v>
      </c>
      <c r="BN65" s="23">
        <f>[1]节奏总纲!BN65</f>
        <v>4.0599999999999996</v>
      </c>
    </row>
    <row r="66" spans="6:66" x14ac:dyDescent="0.15">
      <c r="F66" s="23">
        <v>64</v>
      </c>
      <c r="G66" s="23">
        <v>83.4485062894652</v>
      </c>
      <c r="N66" s="35">
        <f>[1]节奏总纲!N66</f>
        <v>73</v>
      </c>
      <c r="O66" s="23">
        <v>63</v>
      </c>
      <c r="P66" s="23">
        <f>[1]节奏总纲!P66</f>
        <v>77.793242454074615</v>
      </c>
      <c r="Q66" s="23">
        <f>[1]节奏总纲!Q66</f>
        <v>68.279128901941291</v>
      </c>
      <c r="R66" s="23">
        <f>[1]节奏总纲!R66</f>
        <v>56.695715100529583</v>
      </c>
      <c r="S66" s="23">
        <f>[1]节奏总纲!S66</f>
        <v>41.207080527923317</v>
      </c>
      <c r="T66" s="23">
        <f>[1]节奏总纲!T66</f>
        <v>22.038825587239337</v>
      </c>
      <c r="V66" s="23">
        <v>63</v>
      </c>
      <c r="W66" s="23">
        <f>[1]节奏总纲!W66</f>
        <v>5.2765477342643976</v>
      </c>
      <c r="X66" s="23">
        <f>[1]节奏总纲!X66</f>
        <v>4.6239742768918788</v>
      </c>
      <c r="Y66" s="23">
        <f>[1]节奏总纲!Y66</f>
        <v>3.9035613445077431</v>
      </c>
      <c r="Z66" s="23">
        <f>[1]节奏总纲!Z66</f>
        <v>1.7434952614025931</v>
      </c>
      <c r="AA66" s="23">
        <f>[1]节奏总纲!AA66</f>
        <v>0.85669905958276971</v>
      </c>
      <c r="AC66" s="23">
        <v>63</v>
      </c>
      <c r="AD66" s="23">
        <f>[1]节奏总纲!AD66</f>
        <v>60</v>
      </c>
      <c r="AE66" s="23">
        <f>[1]节奏总纲!AE66</f>
        <v>61.847684538899401</v>
      </c>
      <c r="AF66" s="23">
        <f>[1]节奏总纲!AF66</f>
        <v>65.027623836121933</v>
      </c>
      <c r="AG66" s="23">
        <f>[1]节奏总纲!AG66</f>
        <v>69.802006696780211</v>
      </c>
      <c r="AH66" s="23">
        <f>[1]节奏总纲!AH66</f>
        <v>78.545068068293759</v>
      </c>
      <c r="AZ66" s="23">
        <v>63</v>
      </c>
      <c r="BA66" s="23">
        <v>34.946746581842135</v>
      </c>
      <c r="BB66" s="23">
        <v>36.421117798953141</v>
      </c>
      <c r="BC66" s="23">
        <v>38.35066605767593</v>
      </c>
      <c r="BD66" s="23">
        <v>41.087476216725996</v>
      </c>
      <c r="BE66" s="23">
        <v>45.757658185390426</v>
      </c>
      <c r="BI66" s="24">
        <v>63</v>
      </c>
      <c r="BJ66" s="23">
        <f>[1]节奏总纲!BJ66</f>
        <v>2.9333333333333331</v>
      </c>
      <c r="BK66" s="23">
        <f>[1]节奏总纲!BK66</f>
        <v>2.992</v>
      </c>
      <c r="BL66" s="23">
        <f>[1]节奏总纲!BL66</f>
        <v>3.1093333333333333</v>
      </c>
      <c r="BM66" s="23">
        <f>[1]节奏总纲!BM66</f>
        <v>3.3439999999999994</v>
      </c>
      <c r="BN66" s="23">
        <f>[1]节奏总纲!BN66</f>
        <v>4.1066666666666665</v>
      </c>
    </row>
    <row r="67" spans="6:66" x14ac:dyDescent="0.15">
      <c r="F67" s="23">
        <v>65</v>
      </c>
      <c r="G67" s="23">
        <v>89.509667991878061</v>
      </c>
      <c r="N67" s="35">
        <f>[1]节奏总纲!N67</f>
        <v>74</v>
      </c>
      <c r="O67" s="23">
        <v>64</v>
      </c>
      <c r="P67" s="23">
        <f>[1]节奏总纲!P67</f>
        <v>83.4485062894652</v>
      </c>
      <c r="Q67" s="23">
        <f>[1]节奏总纲!Q67</f>
        <v>73.251098820892551</v>
      </c>
      <c r="R67" s="23">
        <f>[1]节奏总纲!R67</f>
        <v>60.341614897912287</v>
      </c>
      <c r="S67" s="23">
        <f>[1]节奏总纲!S67</f>
        <v>42.900877083414059</v>
      </c>
      <c r="T67" s="23">
        <f>[1]节奏总纲!T67</f>
        <v>22.948339229602933</v>
      </c>
      <c r="V67" s="23">
        <v>64</v>
      </c>
      <c r="W67" s="23">
        <f>[1]节奏总纲!W67</f>
        <v>5.6552638353905849</v>
      </c>
      <c r="X67" s="23">
        <f>[1]节奏总纲!X67</f>
        <v>4.9719699189512596</v>
      </c>
      <c r="Y67" s="23">
        <f>[1]节奏总纲!Y67</f>
        <v>3.6458997973827039</v>
      </c>
      <c r="Z67" s="23">
        <f>[1]节奏总纲!Z67</f>
        <v>1.6937965554907422</v>
      </c>
      <c r="AA67" s="23">
        <f>[1]节奏总纲!AA67</f>
        <v>0.90951364236359566</v>
      </c>
      <c r="AC67" s="23">
        <v>64</v>
      </c>
      <c r="AD67" s="23">
        <f>[1]节奏总纲!AD67</f>
        <v>60.217698846451768</v>
      </c>
      <c r="AE67" s="23">
        <f>[1]节奏总纲!AE67</f>
        <v>62.074577701842749</v>
      </c>
      <c r="AF67" s="23">
        <f>[1]节奏总纲!AF67</f>
        <v>65.397403999939201</v>
      </c>
      <c r="AG67" s="23">
        <f>[1]节奏总纲!AG67</f>
        <v>70.016991075934925</v>
      </c>
      <c r="AH67" s="23">
        <f>[1]节奏总纲!AH67</f>
        <v>78.752189358684504</v>
      </c>
      <c r="AZ67" s="23">
        <v>64</v>
      </c>
      <c r="BA67" s="23">
        <v>35.048795427931836</v>
      </c>
      <c r="BB67" s="23">
        <v>36.526331209747774</v>
      </c>
      <c r="BC67" s="23">
        <v>38.455050268072462</v>
      </c>
      <c r="BD67" s="23">
        <v>41.188041754455355</v>
      </c>
      <c r="BE67" s="23">
        <v>45.869242601500943</v>
      </c>
      <c r="BI67" s="24">
        <v>64</v>
      </c>
      <c r="BJ67" s="23">
        <f>[1]节奏总纲!BJ67</f>
        <v>2.9666666666666663</v>
      </c>
      <c r="BK67" s="23">
        <f>[1]节奏总纲!BK67</f>
        <v>3.0259999999999998</v>
      </c>
      <c r="BL67" s="23">
        <f>[1]节奏总纲!BL67</f>
        <v>3.1446666666666663</v>
      </c>
      <c r="BM67" s="23">
        <f>[1]节奏总纲!BM67</f>
        <v>3.3819999999999992</v>
      </c>
      <c r="BN67" s="23">
        <f>[1]节奏总纲!BN67</f>
        <v>4.1533333333333324</v>
      </c>
    </row>
    <row r="68" spans="6:66" x14ac:dyDescent="0.15">
      <c r="F68" s="23">
        <v>66</v>
      </c>
      <c r="G68" s="23">
        <v>96.005860256665443</v>
      </c>
      <c r="N68" s="35">
        <f>[1]节奏总纲!N68</f>
        <v>75</v>
      </c>
      <c r="O68" s="23">
        <v>65</v>
      </c>
      <c r="P68" s="23">
        <f>[1]节奏总纲!P68</f>
        <v>89.509667991878061</v>
      </c>
      <c r="Q68" s="23">
        <f>[1]节奏总纲!Q68</f>
        <v>78.652145264463257</v>
      </c>
      <c r="R68" s="23">
        <f>[1]节奏总纲!R68</f>
        <v>62.925296598290274</v>
      </c>
      <c r="S68" s="23">
        <f>[1]节奏总纲!S68</f>
        <v>44.719030128742276</v>
      </c>
      <c r="T68" s="23">
        <f>[1]节奏总纲!T68</f>
        <v>24.23026712540139</v>
      </c>
      <c r="V68" s="23">
        <v>65</v>
      </c>
      <c r="W68" s="23">
        <f>[1]节奏总纲!W68</f>
        <v>6.0611617024128606</v>
      </c>
      <c r="X68" s="23">
        <f>[1]节奏总纲!X68</f>
        <v>5.4010464435707064</v>
      </c>
      <c r="Y68" s="23">
        <f>[1]节奏总纲!Y68</f>
        <v>2.5836817003779871</v>
      </c>
      <c r="Z68" s="23">
        <f>[1]节奏总纲!Z68</f>
        <v>1.8181530453282164</v>
      </c>
      <c r="AA68" s="23">
        <f>[1]节奏总纲!AA68</f>
        <v>1.2819278957984572</v>
      </c>
      <c r="AC68" s="23">
        <v>65</v>
      </c>
      <c r="AD68" s="23">
        <f>[1]节奏总纲!AD68</f>
        <v>60.435397692903535</v>
      </c>
      <c r="AE68" s="23">
        <f>[1]节奏总纲!AE68</f>
        <v>62.290841880689385</v>
      </c>
      <c r="AF68" s="23">
        <f>[1]节奏总纲!AF68</f>
        <v>65.767184163756468</v>
      </c>
      <c r="AG68" s="23">
        <f>[1]节奏总纲!AG68</f>
        <v>70.176831865539171</v>
      </c>
      <c r="AH68" s="23">
        <f>[1]节奏总纲!AH68</f>
        <v>78.959310649075235</v>
      </c>
      <c r="AZ68" s="23">
        <v>65</v>
      </c>
      <c r="BA68" s="23">
        <v>35.146386283795508</v>
      </c>
      <c r="BB68" s="23">
        <v>36.631544620542407</v>
      </c>
      <c r="BC68" s="23">
        <v>38.559434478468994</v>
      </c>
      <c r="BD68" s="23">
        <v>41.288607292184714</v>
      </c>
      <c r="BE68" s="23">
        <v>45.98082701761146</v>
      </c>
      <c r="BI68" s="24">
        <v>65</v>
      </c>
      <c r="BJ68" s="23">
        <f>[1]节奏总纲!BJ68</f>
        <v>2.9999999999999996</v>
      </c>
      <c r="BK68" s="23">
        <f>[1]节奏总纲!BK68</f>
        <v>3.0599999999999996</v>
      </c>
      <c r="BL68" s="23">
        <f>[1]节奏总纲!BL68</f>
        <v>3.1799999999999997</v>
      </c>
      <c r="BM68" s="23">
        <f>[1]节奏总纲!BM68</f>
        <v>3.419999999999999</v>
      </c>
      <c r="BN68" s="23">
        <f>[1]节奏总纲!BN68</f>
        <v>4.1999999999999993</v>
      </c>
    </row>
    <row r="69" spans="6:66" x14ac:dyDescent="0.15">
      <c r="F69" s="23">
        <v>67</v>
      </c>
      <c r="G69" s="23">
        <v>102.96830673359811</v>
      </c>
      <c r="N69" s="35">
        <f>[1]节奏总纲!N69</f>
        <v>76</v>
      </c>
      <c r="O69" s="23">
        <v>66</v>
      </c>
      <c r="P69" s="23">
        <f>[1]节奏总纲!P69</f>
        <v>96.005860256665443</v>
      </c>
      <c r="Q69" s="23">
        <f>[1]节奏总纲!Q69</f>
        <v>82.382628686244615</v>
      </c>
      <c r="R69" s="23">
        <f>[1]节奏总纲!R69</f>
        <v>65.629606071456493</v>
      </c>
      <c r="S69" s="23">
        <f>[1]节奏总纲!S69</f>
        <v>46.802856875124405</v>
      </c>
      <c r="T69" s="23">
        <f>[1]节奏总纲!T69</f>
        <v>25.614363516478338</v>
      </c>
      <c r="V69" s="23">
        <v>66</v>
      </c>
      <c r="W69" s="23">
        <f>[1]节奏总纲!W69</f>
        <v>6.496192264787382</v>
      </c>
      <c r="X69" s="23">
        <f>[1]节奏总纲!X69</f>
        <v>3.7304834217813578</v>
      </c>
      <c r="Y69" s="23">
        <f>[1]节奏总纲!Y69</f>
        <v>2.7043094731662194</v>
      </c>
      <c r="Z69" s="23">
        <f>[1]节奏总纲!Z69</f>
        <v>2.0838267463821296</v>
      </c>
      <c r="AA69" s="23">
        <f>[1]节奏总纲!AA69</f>
        <v>1.3840963910769482</v>
      </c>
      <c r="AC69" s="23">
        <v>66</v>
      </c>
      <c r="AD69" s="23">
        <f>[1]节奏总纲!AD69</f>
        <v>60.653096539355303</v>
      </c>
      <c r="AE69" s="23">
        <f>[1]节奏总纲!AE69</f>
        <v>62.507106059536028</v>
      </c>
      <c r="AF69" s="23">
        <f>[1]节奏总纲!AF69</f>
        <v>66.094853834426118</v>
      </c>
      <c r="AG69" s="23">
        <f>[1]节奏总纲!AG69</f>
        <v>70.336672655143403</v>
      </c>
      <c r="AH69" s="23">
        <f>[1]节奏总纲!AH69</f>
        <v>79.166485066397655</v>
      </c>
      <c r="AZ69" s="23">
        <v>66</v>
      </c>
      <c r="BA69" s="23">
        <v>35.243977139659179</v>
      </c>
      <c r="BB69" s="23">
        <v>36.73675803133704</v>
      </c>
      <c r="BC69" s="23">
        <v>38.663818688865533</v>
      </c>
      <c r="BD69" s="23">
        <v>41.389172829914081</v>
      </c>
      <c r="BE69" s="23">
        <v>46.079770001861057</v>
      </c>
      <c r="BI69" s="24">
        <v>66</v>
      </c>
      <c r="BJ69" s="23">
        <f>[1]节奏总纲!BJ69</f>
        <v>3.0333333333333328</v>
      </c>
      <c r="BK69" s="23">
        <f>[1]节奏总纲!BK69</f>
        <v>3.0939999999999994</v>
      </c>
      <c r="BL69" s="23">
        <f>[1]节奏总纲!BL69</f>
        <v>3.2153333333333327</v>
      </c>
      <c r="BM69" s="23">
        <f>[1]节奏总纲!BM69</f>
        <v>3.4579999999999989</v>
      </c>
      <c r="BN69" s="23">
        <f>[1]节奏总纲!BN69</f>
        <v>4.2466666666666653</v>
      </c>
    </row>
    <row r="70" spans="6:66" x14ac:dyDescent="0.15">
      <c r="F70" s="23">
        <v>68</v>
      </c>
      <c r="G70" s="23">
        <v>110.43047210190386</v>
      </c>
      <c r="N70" s="35">
        <f>[1]节奏总纲!N70</f>
        <v>77</v>
      </c>
      <c r="O70" s="23">
        <v>67</v>
      </c>
      <c r="P70" s="23">
        <f>[1]节奏总纲!P70</f>
        <v>102.96830673359811</v>
      </c>
      <c r="Q70" s="23">
        <f>[1]节奏总纲!Q70</f>
        <v>87.224452634030953</v>
      </c>
      <c r="R70" s="23">
        <f>[1]节奏总纲!R70</f>
        <v>69.534497537198803</v>
      </c>
      <c r="S70" s="23">
        <f>[1]节奏总纲!S70</f>
        <v>50.444173468789714</v>
      </c>
      <c r="T70" s="23">
        <f>[1]节奏总纲!T70</f>
        <v>27.533725220564136</v>
      </c>
      <c r="V70" s="23">
        <v>67</v>
      </c>
      <c r="W70" s="23">
        <f>[1]节奏总纲!W70</f>
        <v>6.9624464769326693</v>
      </c>
      <c r="X70" s="23">
        <f>[1]节奏总纲!X70</f>
        <v>4.8418239477863381</v>
      </c>
      <c r="Y70" s="23">
        <f>[1]节奏总纲!Y70</f>
        <v>3.9048914657423097</v>
      </c>
      <c r="Z70" s="23">
        <f>[1]节奏总纲!Z70</f>
        <v>3.6413165936653087</v>
      </c>
      <c r="AA70" s="23">
        <f>[1]节奏总纲!AA70</f>
        <v>1.919361704085798</v>
      </c>
      <c r="AC70" s="23">
        <v>67</v>
      </c>
      <c r="AD70" s="23">
        <f>[1]节奏总纲!AD70</f>
        <v>60.870795385807064</v>
      </c>
      <c r="AE70" s="23">
        <f>[1]节奏总纲!AE70</f>
        <v>62.723370238382664</v>
      </c>
      <c r="AF70" s="23">
        <f>[1]节奏总纲!AF70</f>
        <v>66.350942898302293</v>
      </c>
      <c r="AG70" s="23">
        <f>[1]节奏总纲!AG70</f>
        <v>70.496513444747649</v>
      </c>
      <c r="AH70" s="23">
        <f>[1]节奏总纲!AH70</f>
        <v>79.373672472214793</v>
      </c>
      <c r="AZ70" s="23">
        <v>67</v>
      </c>
      <c r="BA70" s="23">
        <v>35.341567995522851</v>
      </c>
      <c r="BB70" s="23">
        <v>36.841971442131673</v>
      </c>
      <c r="BC70" s="23">
        <v>38.768202899262064</v>
      </c>
      <c r="BD70" s="23">
        <v>41.48973836764344</v>
      </c>
      <c r="BE70" s="23">
        <v>46.176090215954694</v>
      </c>
      <c r="BI70" s="24">
        <v>67</v>
      </c>
      <c r="BJ70" s="23">
        <f>[1]节奏总纲!BJ70</f>
        <v>3.066666666666666</v>
      </c>
      <c r="BK70" s="23">
        <f>[1]节奏总纲!BK70</f>
        <v>3.1279999999999992</v>
      </c>
      <c r="BL70" s="23">
        <f>[1]节奏总纲!BL70</f>
        <v>3.2506666666666661</v>
      </c>
      <c r="BM70" s="23">
        <f>[1]节奏总纲!BM70</f>
        <v>3.4959999999999991</v>
      </c>
      <c r="BN70" s="23">
        <f>[1]节奏总纲!BN70</f>
        <v>4.2933333333333321</v>
      </c>
    </row>
    <row r="71" spans="6:66" x14ac:dyDescent="0.15">
      <c r="F71" s="23">
        <v>69</v>
      </c>
      <c r="G71" s="23">
        <v>118.42822291671132</v>
      </c>
      <c r="N71" s="35">
        <f>[1]节奏总纲!N71</f>
        <v>78</v>
      </c>
      <c r="O71" s="23">
        <v>68</v>
      </c>
      <c r="P71" s="23">
        <f>[1]节奏总纲!P71</f>
        <v>110.43047210190386</v>
      </c>
      <c r="Q71" s="23">
        <f>[1]节奏总纲!Q71</f>
        <v>93.876944333828462</v>
      </c>
      <c r="R71" s="23">
        <f>[1]节奏总纲!R71</f>
        <v>76.119724419842328</v>
      </c>
      <c r="S71" s="23">
        <f>[1]节奏总纲!S71</f>
        <v>55.038547295588884</v>
      </c>
      <c r="T71" s="23">
        <f>[1]节奏总纲!T71</f>
        <v>29.926657939615946</v>
      </c>
      <c r="V71" s="23">
        <v>68</v>
      </c>
      <c r="W71" s="23">
        <f>[1]节奏总纲!W71</f>
        <v>7.4621653683057474</v>
      </c>
      <c r="X71" s="23">
        <f>[1]节奏总纲!X71</f>
        <v>6.6524916997975083</v>
      </c>
      <c r="Y71" s="23">
        <f>[1]节奏总纲!Y71</f>
        <v>6.585226882643525</v>
      </c>
      <c r="Z71" s="23">
        <f>[1]节奏总纲!Z71</f>
        <v>4.5943738267991705</v>
      </c>
      <c r="AA71" s="23">
        <f>[1]节奏总纲!AA71</f>
        <v>2.3929327190518102</v>
      </c>
      <c r="AC71" s="23">
        <v>68</v>
      </c>
      <c r="AD71" s="23">
        <f>[1]节奏总纲!AD71</f>
        <v>61.082568038258209</v>
      </c>
      <c r="AE71" s="23">
        <f>[1]节奏总纲!AE71</f>
        <v>62.9396344172293</v>
      </c>
      <c r="AF71" s="23">
        <f>[1]节奏总纲!AF71</f>
        <v>66.607031962178468</v>
      </c>
      <c r="AG71" s="23">
        <f>[1]节奏总纲!AG71</f>
        <v>70.65635423435188</v>
      </c>
      <c r="AH71" s="23">
        <f>[1]节奏总纲!AH71</f>
        <v>79.58085987803193</v>
      </c>
      <c r="AZ71" s="23">
        <v>68</v>
      </c>
      <c r="BA71" s="23">
        <v>35.439158851386523</v>
      </c>
      <c r="BB71" s="23">
        <v>36.947184852926306</v>
      </c>
      <c r="BC71" s="23">
        <v>38.872587109658596</v>
      </c>
      <c r="BD71" s="23">
        <v>41.590303905372799</v>
      </c>
      <c r="BE71" s="23">
        <v>46.272410430048332</v>
      </c>
      <c r="BI71" s="24">
        <v>68</v>
      </c>
      <c r="BJ71" s="23">
        <f>[1]节奏总纲!BJ71</f>
        <v>3.0999999999999992</v>
      </c>
      <c r="BK71" s="23">
        <f>[1]节奏总纲!BK71</f>
        <v>3.161999999999999</v>
      </c>
      <c r="BL71" s="23">
        <f>[1]节奏总纲!BL71</f>
        <v>3.2859999999999991</v>
      </c>
      <c r="BM71" s="23">
        <f>[1]节奏总纲!BM71</f>
        <v>3.5339999999999989</v>
      </c>
      <c r="BN71" s="23">
        <f>[1]节奏总纲!BN71</f>
        <v>4.339999999999999</v>
      </c>
    </row>
    <row r="72" spans="6:66" x14ac:dyDescent="0.15">
      <c r="F72" s="23">
        <v>70</v>
      </c>
      <c r="G72" s="23">
        <v>127</v>
      </c>
      <c r="N72" s="35">
        <f>[1]节奏总纲!N72</f>
        <v>79</v>
      </c>
      <c r="O72" s="23">
        <v>69</v>
      </c>
      <c r="P72" s="23">
        <f>[1]节奏总纲!P72</f>
        <v>118.42822291671132</v>
      </c>
      <c r="Q72" s="23">
        <f>[1]节奏总纲!Q72</f>
        <v>101.82458606378839</v>
      </c>
      <c r="R72" s="23">
        <f>[1]节奏总纲!R72</f>
        <v>82.402357505447739</v>
      </c>
      <c r="S72" s="23">
        <f>[1]节奏总纲!S72</f>
        <v>59.379910970439049</v>
      </c>
      <c r="T72" s="23">
        <f>[1]节奏总纲!T72</f>
        <v>32.840146214804051</v>
      </c>
      <c r="V72" s="23">
        <v>69</v>
      </c>
      <c r="W72" s="23">
        <f>[1]节奏总纲!W72</f>
        <v>7.9977508148074605</v>
      </c>
      <c r="X72" s="23">
        <f>[1]节奏总纲!X72</f>
        <v>7.9476417299599262</v>
      </c>
      <c r="Y72" s="23">
        <f>[1]节奏总纲!Y72</f>
        <v>6.2826330856054113</v>
      </c>
      <c r="Z72" s="23">
        <f>[1]节奏总纲!Z72</f>
        <v>4.3413636748501645</v>
      </c>
      <c r="AA72" s="23">
        <f>[1]节奏总纲!AA72</f>
        <v>2.9134882751881044</v>
      </c>
      <c r="AC72" s="23">
        <v>69</v>
      </c>
      <c r="AD72" s="23">
        <f>[1]节奏总纲!AD72</f>
        <v>61.285688244217212</v>
      </c>
      <c r="AE72" s="23">
        <f>[1]节奏总纲!AE72</f>
        <v>63.144987019191532</v>
      </c>
      <c r="AF72" s="23">
        <f>[1]节奏总纲!AF72</f>
        <v>66.863121026054642</v>
      </c>
      <c r="AG72" s="23">
        <f>[1]节奏总纲!AG72</f>
        <v>70.816195023956126</v>
      </c>
      <c r="AH72" s="23">
        <f>[1]节奏总纲!AH72</f>
        <v>79.788047283849068</v>
      </c>
      <c r="AZ72" s="23">
        <v>69</v>
      </c>
      <c r="BA72" s="23">
        <v>35.536749707250202</v>
      </c>
      <c r="BB72" s="23">
        <v>37.045197000674086</v>
      </c>
      <c r="BC72" s="23">
        <v>38.976971320055128</v>
      </c>
      <c r="BD72" s="23">
        <v>41.690869443102159</v>
      </c>
      <c r="BE72" s="23">
        <v>46.368730644141969</v>
      </c>
      <c r="BI72" s="24">
        <v>69</v>
      </c>
      <c r="BJ72" s="23">
        <f>[1]节奏总纲!BJ72</f>
        <v>3.1333333333333324</v>
      </c>
      <c r="BK72" s="23">
        <f>[1]节奏总纲!BK72</f>
        <v>3.1959999999999993</v>
      </c>
      <c r="BL72" s="23">
        <f>[1]节奏总纲!BL72</f>
        <v>3.3213333333333326</v>
      </c>
      <c r="BM72" s="23">
        <f>[1]节奏总纲!BM72</f>
        <v>3.5719999999999987</v>
      </c>
      <c r="BN72" s="23">
        <f>[1]节奏总纲!BN72</f>
        <v>4.3866666666666649</v>
      </c>
    </row>
    <row r="73" spans="6:66" x14ac:dyDescent="0.15">
      <c r="F73" s="23">
        <v>71</v>
      </c>
      <c r="G73" s="23">
        <v>136.18700320464549</v>
      </c>
      <c r="N73" s="35">
        <f>[1]节奏总纲!N73</f>
        <v>80</v>
      </c>
      <c r="O73" s="23">
        <v>70</v>
      </c>
      <c r="P73" s="23">
        <f>[1]节奏总纲!P73</f>
        <v>127</v>
      </c>
      <c r="Q73" s="23">
        <f>[1]节奏总纲!Q73</f>
        <v>109.04220000000001</v>
      </c>
      <c r="R73" s="23">
        <f>[1]节奏总纲!R73</f>
        <v>87.909400000000005</v>
      </c>
      <c r="S73" s="23">
        <f>[1]节奏总纲!S73</f>
        <v>63.893699999999995</v>
      </c>
      <c r="T73" s="23">
        <f>[1]节奏总纲!T73</f>
        <v>36.131499999999996</v>
      </c>
      <c r="V73" s="23">
        <v>70</v>
      </c>
      <c r="W73" s="23">
        <f>[1]节奏总纲!W73</f>
        <v>8.5717770832886799</v>
      </c>
      <c r="X73" s="23">
        <f>[1]节奏总纲!X73</f>
        <v>7.2176139362116203</v>
      </c>
      <c r="Y73" s="23">
        <f>[1]节奏总纲!Y73</f>
        <v>5.507042494552266</v>
      </c>
      <c r="Z73" s="23">
        <f>[1]节奏总纲!Z73</f>
        <v>4.5137890295609466</v>
      </c>
      <c r="AA73" s="23">
        <f>[1]节奏总纲!AA73</f>
        <v>3.2913537851959447</v>
      </c>
      <c r="AC73" s="23">
        <v>70</v>
      </c>
      <c r="AD73" s="23">
        <f>[1]节奏总纲!AD73</f>
        <v>61.488808450176215</v>
      </c>
      <c r="AE73" s="23">
        <f>[1]节奏总纲!AE73</f>
        <v>63.346114543352201</v>
      </c>
      <c r="AF73" s="23">
        <f>[1]节奏总纲!AF73</f>
        <v>67.070688902766292</v>
      </c>
      <c r="AG73" s="23">
        <f>[1]节奏总纲!AG73</f>
        <v>70.976035813560358</v>
      </c>
      <c r="AH73" s="23">
        <f>[1]节奏总纲!AH73</f>
        <v>79.995234689666205</v>
      </c>
      <c r="AZ73" s="23">
        <v>70</v>
      </c>
      <c r="BA73" s="23">
        <v>35.634340563113874</v>
      </c>
      <c r="BB73" s="23">
        <v>37.135950591746003</v>
      </c>
      <c r="BC73" s="23">
        <v>39.070187171981765</v>
      </c>
      <c r="BD73" s="23">
        <v>41.791434980831518</v>
      </c>
      <c r="BE73" s="23">
        <v>46.465050858235607</v>
      </c>
      <c r="BI73" s="24">
        <v>70</v>
      </c>
      <c r="BJ73" s="23">
        <f>[1]节奏总纲!BJ73</f>
        <v>3.1666666666666656</v>
      </c>
      <c r="BK73" s="23">
        <f>[1]节奏总纲!BK73</f>
        <v>3.2299999999999991</v>
      </c>
      <c r="BL73" s="23">
        <f>[1]节奏总纲!BL73</f>
        <v>3.3566666666666656</v>
      </c>
      <c r="BM73" s="23">
        <f>[1]节奏总纲!BM73</f>
        <v>3.6099999999999985</v>
      </c>
      <c r="BN73" s="23">
        <f>[1]节奏总纲!BN73</f>
        <v>4.4333333333333318</v>
      </c>
    </row>
    <row r="74" spans="6:66" x14ac:dyDescent="0.15">
      <c r="F74" s="23">
        <v>72</v>
      </c>
      <c r="G74" s="23">
        <v>146.03338943962044</v>
      </c>
      <c r="N74" s="35">
        <f>[1]节奏总纲!N74</f>
        <v>81</v>
      </c>
      <c r="O74" s="23">
        <v>71</v>
      </c>
      <c r="P74" s="23">
        <f>[1]节奏总纲!P74</f>
        <v>136.18700320464549</v>
      </c>
      <c r="Q74" s="23">
        <f>[1]节奏总纲!Q74</f>
        <v>116.57607474317653</v>
      </c>
      <c r="R74" s="23">
        <f>[1]节奏总纲!R74</f>
        <v>94.295881018896537</v>
      </c>
      <c r="S74" s="23">
        <f>[1]节奏总纲!S74</f>
        <v>70.149925350712891</v>
      </c>
      <c r="T74" s="23">
        <f>[1]节奏总纲!T74</f>
        <v>39.712130134474627</v>
      </c>
      <c r="V74" s="23">
        <v>71</v>
      </c>
      <c r="W74" s="23">
        <f>[1]节奏总纲!W74</f>
        <v>9.1870032046454924</v>
      </c>
      <c r="X74" s="23">
        <f>[1]节奏总纲!X74</f>
        <v>7.5338747431765256</v>
      </c>
      <c r="Y74" s="23">
        <f>[1]节奏总纲!Y74</f>
        <v>6.3864810188965322</v>
      </c>
      <c r="Z74" s="23">
        <f>[1]节奏总纲!Z74</f>
        <v>6.2562253507128958</v>
      </c>
      <c r="AA74" s="23">
        <f>[1]节奏总纲!AA74</f>
        <v>3.5806301344746316</v>
      </c>
      <c r="AC74" s="23">
        <v>71</v>
      </c>
      <c r="AD74" s="23">
        <f>[1]节奏总纲!AD74</f>
        <v>61.691928656135218</v>
      </c>
      <c r="AE74" s="23">
        <f>[1]节奏总纲!AE74</f>
        <v>63.547242067512876</v>
      </c>
      <c r="AF74" s="23">
        <f>[1]节奏总纲!AF74</f>
        <v>67.22254395921631</v>
      </c>
      <c r="AG74" s="23">
        <f>[1]节奏总纲!AG74</f>
        <v>71.117287734829731</v>
      </c>
      <c r="AH74" s="23">
        <f>[1]节奏总纲!AH74</f>
        <v>80.163515361854607</v>
      </c>
      <c r="AZ74" s="23">
        <v>71</v>
      </c>
      <c r="BA74" s="23">
        <v>35.731931418977545</v>
      </c>
      <c r="BB74" s="23">
        <v>37.226704182817912</v>
      </c>
      <c r="BC74" s="23">
        <v>39.160241683169971</v>
      </c>
      <c r="BD74" s="23">
        <v>41.892000518560877</v>
      </c>
      <c r="BE74" s="23">
        <v>46.561371072329244</v>
      </c>
      <c r="BI74" s="24">
        <v>71</v>
      </c>
      <c r="BJ74" s="23">
        <f>[1]节奏总纲!BJ74</f>
        <v>3.1999999999999988</v>
      </c>
      <c r="BK74" s="23">
        <f>[1]节奏总纲!BK74</f>
        <v>3.2639999999999989</v>
      </c>
      <c r="BL74" s="23">
        <f>[1]节奏总纲!BL74</f>
        <v>3.391999999999999</v>
      </c>
      <c r="BM74" s="23">
        <f>[1]节奏总纲!BM74</f>
        <v>3.6479999999999984</v>
      </c>
      <c r="BN74" s="23">
        <f>[1]节奏总纲!BN74</f>
        <v>4.4799999999999978</v>
      </c>
    </row>
    <row r="75" spans="6:66" x14ac:dyDescent="0.15">
      <c r="F75" s="23">
        <v>73</v>
      </c>
      <c r="G75" s="23">
        <v>156.58648490814926</v>
      </c>
      <c r="N75" s="35">
        <f>[1]节奏总纲!N75</f>
        <v>82</v>
      </c>
      <c r="O75" s="23">
        <v>72</v>
      </c>
      <c r="P75" s="23">
        <f>[1]节奏总纲!P75</f>
        <v>146.03338943962044</v>
      </c>
      <c r="Q75" s="23">
        <f>[1]节奏总纲!Q75</f>
        <v>125.29664813919433</v>
      </c>
      <c r="R75" s="23">
        <f>[1]节奏总纲!R75</f>
        <v>103.78592987473824</v>
      </c>
      <c r="S75" s="23">
        <f>[1]节奏总纲!S75</f>
        <v>77.397696402998832</v>
      </c>
      <c r="T75" s="23">
        <f>[1]节奏总纲!T75</f>
        <v>43.795413492942167</v>
      </c>
      <c r="V75" s="23">
        <v>72</v>
      </c>
      <c r="W75" s="23">
        <f>[1]节奏总纲!W75</f>
        <v>9.8463862349749434</v>
      </c>
      <c r="X75" s="23">
        <f>[1]节奏总纲!X75</f>
        <v>8.720573396017798</v>
      </c>
      <c r="Y75" s="23">
        <f>[1]节奏总纲!Y75</f>
        <v>9.4900488558417067</v>
      </c>
      <c r="Z75" s="23">
        <f>[1]节奏总纲!Z75</f>
        <v>7.2477710522859411</v>
      </c>
      <c r="AA75" s="23">
        <f>[1]节奏总纲!AA75</f>
        <v>4.0832833584675399</v>
      </c>
      <c r="AC75" s="23">
        <v>72</v>
      </c>
      <c r="AD75" s="23">
        <f>[1]节奏总纲!AD75</f>
        <v>61.895048862094221</v>
      </c>
      <c r="AE75" s="23">
        <f>[1]节奏总纲!AE75</f>
        <v>63.748369591673544</v>
      </c>
      <c r="AF75" s="23">
        <f>[1]节奏总纲!AF75</f>
        <v>67.374399015666327</v>
      </c>
      <c r="AG75" s="23">
        <f>[1]节奏总纲!AG75</f>
        <v>71.255261188017741</v>
      </c>
      <c r="AH75" s="23">
        <f>[1]节奏总纲!AH75</f>
        <v>80.330880112985213</v>
      </c>
      <c r="AZ75" s="23">
        <v>72</v>
      </c>
      <c r="BA75" s="23">
        <v>35.829522274841217</v>
      </c>
      <c r="BB75" s="23">
        <v>37.317457773889828</v>
      </c>
      <c r="BC75" s="23">
        <v>39.250296194358178</v>
      </c>
      <c r="BD75" s="23">
        <v>41.992566056290244</v>
      </c>
      <c r="BE75" s="23">
        <v>46.657691286422882</v>
      </c>
      <c r="BI75" s="24">
        <v>72</v>
      </c>
      <c r="BJ75" s="23">
        <f>[1]节奏总纲!BJ75</f>
        <v>3.2333333333333321</v>
      </c>
      <c r="BK75" s="23">
        <f>[1]节奏总纲!BK75</f>
        <v>3.2979999999999987</v>
      </c>
      <c r="BL75" s="23">
        <f>[1]节奏总纲!BL75</f>
        <v>3.427333333333332</v>
      </c>
      <c r="BM75" s="23">
        <f>[1]节奏总纲!BM75</f>
        <v>3.6859999999999982</v>
      </c>
      <c r="BN75" s="23">
        <f>[1]节奏总纲!BN75</f>
        <v>4.5266666666666646</v>
      </c>
    </row>
    <row r="76" spans="6:66" x14ac:dyDescent="0.15">
      <c r="F76" s="23">
        <v>74</v>
      </c>
      <c r="G76" s="23">
        <v>167.89701257893043</v>
      </c>
      <c r="N76" s="35">
        <f>[1]节奏总纲!N76</f>
        <v>83</v>
      </c>
      <c r="O76" s="23">
        <v>73</v>
      </c>
      <c r="P76" s="23">
        <f>[1]节奏总纲!P76</f>
        <v>156.58648490814926</v>
      </c>
      <c r="Q76" s="23">
        <f>[1]节奏总纲!Q76</f>
        <v>137.07580888859385</v>
      </c>
      <c r="R76" s="23">
        <f>[1]节奏总纲!R76</f>
        <v>113.83837452822451</v>
      </c>
      <c r="S76" s="23">
        <f>[1]节奏总纲!S76</f>
        <v>84.713288335308761</v>
      </c>
      <c r="T76" s="23">
        <f>[1]节奏总纲!T76</f>
        <v>48.009416272838557</v>
      </c>
      <c r="V76" s="23">
        <v>73</v>
      </c>
      <c r="W76" s="23">
        <f>[1]节奏总纲!W76</f>
        <v>10.553095468528824</v>
      </c>
      <c r="X76" s="23">
        <f>[1]节奏总纲!X76</f>
        <v>11.779160749399523</v>
      </c>
      <c r="Y76" s="23">
        <f>[1]节奏总纲!Y76</f>
        <v>10.052444653486262</v>
      </c>
      <c r="Z76" s="23">
        <f>[1]节奏总纲!Z76</f>
        <v>7.3155919323099283</v>
      </c>
      <c r="AA76" s="23">
        <f>[1]节奏总纲!AA76</f>
        <v>4.2140027798963899</v>
      </c>
      <c r="AC76" s="23">
        <v>73</v>
      </c>
      <c r="AD76" s="23">
        <f>[1]节奏总纲!AD76</f>
        <v>62.091594979242075</v>
      </c>
      <c r="AE76" s="23">
        <f>[1]节奏总纲!AE76</f>
        <v>63.94949711583422</v>
      </c>
      <c r="AF76" s="23">
        <f>[1]节奏总纲!AF76</f>
        <v>67.526254072116345</v>
      </c>
      <c r="AG76" s="23">
        <f>[1]节奏总纲!AG76</f>
        <v>71.393234641205751</v>
      </c>
      <c r="AH76" s="23">
        <f>[1]节奏总纲!AH76</f>
        <v>80.498244864115819</v>
      </c>
      <c r="AZ76" s="23">
        <v>73</v>
      </c>
      <c r="BA76" s="23">
        <v>35.927113130704889</v>
      </c>
      <c r="BB76" s="23">
        <v>37.408211364961737</v>
      </c>
      <c r="BC76" s="23">
        <v>39.340350705546385</v>
      </c>
      <c r="BD76" s="23">
        <v>42.080366850119908</v>
      </c>
      <c r="BE76" s="23">
        <v>46.754011500516519</v>
      </c>
      <c r="BI76" s="24">
        <v>73</v>
      </c>
      <c r="BJ76" s="23">
        <f>[1]节奏总纲!BJ76</f>
        <v>3.2666666666666653</v>
      </c>
      <c r="BK76" s="23">
        <f>[1]节奏总纲!BK76</f>
        <v>3.3319999999999985</v>
      </c>
      <c r="BL76" s="23">
        <f>[1]节奏总纲!BL76</f>
        <v>3.4626666666666654</v>
      </c>
      <c r="BM76" s="23">
        <f>[1]节奏总纲!BM76</f>
        <v>3.723999999999998</v>
      </c>
      <c r="BN76" s="23">
        <f>[1]节奏总纲!BN76</f>
        <v>4.5733333333333315</v>
      </c>
    </row>
    <row r="77" spans="6:66" x14ac:dyDescent="0.15">
      <c r="F77" s="23">
        <v>75</v>
      </c>
      <c r="G77" s="23">
        <v>180.01933598375612</v>
      </c>
      <c r="N77" s="35">
        <f>[1]节奏总纲!N77</f>
        <v>84</v>
      </c>
      <c r="O77" s="23">
        <v>74</v>
      </c>
      <c r="P77" s="23">
        <f>[1]节奏总纲!P77</f>
        <v>167.89701257893043</v>
      </c>
      <c r="Q77" s="23">
        <f>[1]节奏总纲!Q77</f>
        <v>147.04420361662727</v>
      </c>
      <c r="R77" s="23">
        <f>[1]节奏总纲!R77</f>
        <v>122.04433844362453</v>
      </c>
      <c r="S77" s="23">
        <f>[1]节奏总纲!S77</f>
        <v>90.9498117140066</v>
      </c>
      <c r="T77" s="23">
        <f>[1]节奏总纲!T77</f>
        <v>50.016520047263377</v>
      </c>
      <c r="V77" s="23">
        <v>74</v>
      </c>
      <c r="W77" s="23">
        <f>[1]节奏总纲!W77</f>
        <v>11.31052767078117</v>
      </c>
      <c r="X77" s="23">
        <f>[1]节奏总纲!X77</f>
        <v>9.9683947280334166</v>
      </c>
      <c r="Y77" s="23">
        <f>[1]节奏总纲!Y77</f>
        <v>8.2059639154000195</v>
      </c>
      <c r="Z77" s="23">
        <f>[1]节奏总纲!Z77</f>
        <v>6.2365233786978393</v>
      </c>
      <c r="AA77" s="23">
        <f>[1]节奏总纲!AA77</f>
        <v>2.0071037744248201</v>
      </c>
      <c r="AC77" s="23">
        <v>74</v>
      </c>
      <c r="AD77" s="23">
        <f>[1]节奏总纲!AD77</f>
        <v>62.281112832649576</v>
      </c>
      <c r="AE77" s="23">
        <f>[1]节奏总纲!AE77</f>
        <v>64.138658533477141</v>
      </c>
      <c r="AF77" s="23">
        <f>[1]节奏总纲!AF77</f>
        <v>67.678109128566362</v>
      </c>
      <c r="AG77" s="23">
        <f>[1]节奏总纲!AG77</f>
        <v>71.531208094393762</v>
      </c>
      <c r="AH77" s="23">
        <f>[1]节奏总纲!AH77</f>
        <v>80.665609615246424</v>
      </c>
      <c r="AZ77" s="23">
        <v>74</v>
      </c>
      <c r="BA77" s="23">
        <v>36.021306837933537</v>
      </c>
      <c r="BB77" s="23">
        <v>37.498964956033646</v>
      </c>
      <c r="BC77" s="23">
        <v>39.430405216734592</v>
      </c>
      <c r="BD77" s="23">
        <v>42.167148737437564</v>
      </c>
      <c r="BE77" s="23">
        <v>46.850331714610157</v>
      </c>
      <c r="BI77" s="24">
        <v>74</v>
      </c>
      <c r="BJ77" s="23">
        <f>[1]节奏总纲!BJ77</f>
        <v>3.2999999999999985</v>
      </c>
      <c r="BK77" s="23">
        <f>[1]节奏总纲!BK77</f>
        <v>3.3659999999999983</v>
      </c>
      <c r="BL77" s="23">
        <f>[1]节奏总纲!BL77</f>
        <v>3.4979999999999984</v>
      </c>
      <c r="BM77" s="23">
        <f>[1]节奏总纲!BM77</f>
        <v>3.7619999999999978</v>
      </c>
      <c r="BN77" s="23">
        <f>[1]节奏总纲!BN77</f>
        <v>4.6199999999999974</v>
      </c>
    </row>
    <row r="78" spans="6:66" x14ac:dyDescent="0.15">
      <c r="F78" s="23">
        <v>76</v>
      </c>
      <c r="G78" s="23">
        <v>193.01172051333091</v>
      </c>
      <c r="N78" s="35">
        <f>[1]节奏总纲!N78</f>
        <v>85</v>
      </c>
      <c r="O78" s="23">
        <v>75</v>
      </c>
      <c r="P78" s="23">
        <f>[1]节奏总纲!P78</f>
        <v>180.01933598375612</v>
      </c>
      <c r="Q78" s="23">
        <f>[1]节奏总纲!Q78</f>
        <v>157.94896539214761</v>
      </c>
      <c r="R78" s="23">
        <f>[1]节奏总纲!R78</f>
        <v>130.96406692818258</v>
      </c>
      <c r="S78" s="23">
        <f>[1]节奏总纲!S78</f>
        <v>97.300451099220183</v>
      </c>
      <c r="T78" s="23">
        <f>[1]节奏总纲!T78</f>
        <v>51.89957456411689</v>
      </c>
      <c r="V78" s="23">
        <v>75</v>
      </c>
      <c r="W78" s="23">
        <f>[1]节奏总纲!W78</f>
        <v>12.122323404825693</v>
      </c>
      <c r="X78" s="23">
        <f>[1]节奏总纲!X78</f>
        <v>10.904761775520342</v>
      </c>
      <c r="Y78" s="23">
        <f>[1]节奏总纲!Y78</f>
        <v>8.9197284845580498</v>
      </c>
      <c r="Z78" s="23">
        <f>[1]节奏总纲!Z78</f>
        <v>6.350639385213583</v>
      </c>
      <c r="AA78" s="23">
        <f>[1]节奏总纲!AA78</f>
        <v>1.8830545168535124</v>
      </c>
      <c r="AC78" s="23">
        <v>75</v>
      </c>
      <c r="AD78" s="23">
        <f>[1]节奏总纲!AD78</f>
        <v>62.470630686057078</v>
      </c>
      <c r="AE78" s="23">
        <f>[1]节奏总纲!AE78</f>
        <v>64.323807839347367</v>
      </c>
      <c r="AF78" s="23">
        <f>[1]节奏总纲!AF78</f>
        <v>67.829964185016379</v>
      </c>
      <c r="AG78" s="23">
        <f>[1]节奏总纲!AG78</f>
        <v>71.669181547581772</v>
      </c>
      <c r="AH78" s="23">
        <f>[1]节奏总纲!AH78</f>
        <v>80.83297436637703</v>
      </c>
      <c r="AZ78" s="23">
        <v>75</v>
      </c>
      <c r="BA78" s="23">
        <v>36.105477566569242</v>
      </c>
      <c r="BB78" s="23">
        <v>37.589718547105562</v>
      </c>
      <c r="BC78" s="23">
        <v>39.520459727922798</v>
      </c>
      <c r="BD78" s="23">
        <v>42.253930624755228</v>
      </c>
      <c r="BE78" s="23">
        <v>46.946651928703787</v>
      </c>
      <c r="BI78" s="24">
        <v>75</v>
      </c>
      <c r="BJ78" s="23">
        <f>[1]节奏总纲!BJ78</f>
        <v>3.3333333333333317</v>
      </c>
      <c r="BK78" s="23">
        <f>[1]节奏总纲!BK78</f>
        <v>3.3999999999999986</v>
      </c>
      <c r="BL78" s="23">
        <f>[1]节奏总纲!BL78</f>
        <v>3.5333333333333319</v>
      </c>
      <c r="BM78" s="23">
        <f>[1]节奏总纲!BM78</f>
        <v>3.7999999999999976</v>
      </c>
      <c r="BN78" s="23">
        <f>[1]节奏总纲!BN78</f>
        <v>4.6666666666666643</v>
      </c>
    </row>
    <row r="79" spans="6:66" x14ac:dyDescent="0.15">
      <c r="F79" s="23">
        <v>77</v>
      </c>
      <c r="G79" s="23">
        <v>206.93661346719625</v>
      </c>
      <c r="N79" s="35">
        <f>[1]节奏总纲!N79</f>
        <v>86</v>
      </c>
      <c r="O79" s="23">
        <v>76</v>
      </c>
      <c r="P79" s="23">
        <f>[1]节奏总纲!P79</f>
        <v>193.01172051333091</v>
      </c>
      <c r="Q79" s="23">
        <f>[1]节奏总纲!Q79</f>
        <v>169.23267654608856</v>
      </c>
      <c r="R79" s="23">
        <f>[1]节奏总纲!R79</f>
        <v>140.37742432934556</v>
      </c>
      <c r="S79" s="23">
        <f>[1]节奏总纲!S79</f>
        <v>101.00303334462606</v>
      </c>
      <c r="T79" s="23">
        <f>[1]节奏总纲!T79</f>
        <v>53.869571195270659</v>
      </c>
      <c r="V79" s="23">
        <v>76</v>
      </c>
      <c r="W79" s="23">
        <f>[1]节奏总纲!W79</f>
        <v>12.992384529574792</v>
      </c>
      <c r="X79" s="23">
        <f>[1]节奏总纲!X79</f>
        <v>11.283711153940942</v>
      </c>
      <c r="Y79" s="23">
        <f>[1]节奏总纲!Y79</f>
        <v>9.4133574011629833</v>
      </c>
      <c r="Z79" s="23">
        <f>[1]节奏总纲!Z79</f>
        <v>3.7025822454058783</v>
      </c>
      <c r="AA79" s="23">
        <f>[1]节奏总纲!AA79</f>
        <v>1.9699966311537693</v>
      </c>
      <c r="AC79" s="23">
        <v>76</v>
      </c>
      <c r="AD79" s="23">
        <f>[1]节奏总纲!AD79</f>
        <v>62.660148539464579</v>
      </c>
      <c r="AE79" s="23">
        <f>[1]节奏总纲!AE79</f>
        <v>64.508957145217607</v>
      </c>
      <c r="AF79" s="23">
        <f>[1]节奏总纲!AF79</f>
        <v>67.981819241466397</v>
      </c>
      <c r="AG79" s="23">
        <f>[1]节奏总纲!AG79</f>
        <v>71.807155000769782</v>
      </c>
      <c r="AH79" s="23">
        <f>[1]节奏总纲!AH79</f>
        <v>81.000274572993447</v>
      </c>
      <c r="AZ79" s="23">
        <v>76</v>
      </c>
      <c r="BA79" s="23">
        <v>36.189648295204947</v>
      </c>
      <c r="BB79" s="23">
        <v>37.680472138177471</v>
      </c>
      <c r="BC79" s="23">
        <v>39.610514239111005</v>
      </c>
      <c r="BD79" s="23">
        <v>42.340712512072891</v>
      </c>
      <c r="BE79" s="23">
        <v>47.037096473408994</v>
      </c>
      <c r="BI79" s="24">
        <v>76</v>
      </c>
      <c r="BJ79" s="23">
        <f>[1]节奏总纲!BJ79</f>
        <v>3.3666666666666649</v>
      </c>
      <c r="BK79" s="23">
        <f>[1]节奏总纲!BK79</f>
        <v>3.4339999999999984</v>
      </c>
      <c r="BL79" s="23">
        <f>[1]节奏总纲!BL79</f>
        <v>3.5686666666666649</v>
      </c>
      <c r="BM79" s="23">
        <f>[1]节奏总纲!BM79</f>
        <v>3.8379999999999979</v>
      </c>
      <c r="BN79" s="23">
        <f>[1]节奏总纲!BN79</f>
        <v>4.7133333333333303</v>
      </c>
    </row>
    <row r="80" spans="6:66" x14ac:dyDescent="0.15">
      <c r="F80" s="23">
        <v>78</v>
      </c>
      <c r="G80" s="23">
        <v>221.86094420380775</v>
      </c>
      <c r="N80" s="35">
        <f>[1]节奏总纲!N80</f>
        <v>87</v>
      </c>
      <c r="O80" s="23">
        <v>77</v>
      </c>
      <c r="P80" s="23">
        <f>[1]节奏总纲!P80</f>
        <v>206.93661346719625</v>
      </c>
      <c r="Q80" s="23">
        <f>[1]节奏总纲!Q80</f>
        <v>181.44202268803767</v>
      </c>
      <c r="R80" s="23">
        <f>[1]节奏总纲!R80</f>
        <v>148.29077721059284</v>
      </c>
      <c r="S80" s="23">
        <f>[1]节奏总纲!S80</f>
        <v>105.04102499594883</v>
      </c>
      <c r="T80" s="23">
        <f>[1]节奏总纲!T80</f>
        <v>55.997047604223305</v>
      </c>
      <c r="V80" s="23">
        <v>77</v>
      </c>
      <c r="W80" s="23">
        <f>[1]节奏总纲!W80</f>
        <v>13.924892953865339</v>
      </c>
      <c r="X80" s="23">
        <f>[1]节奏总纲!X80</f>
        <v>12.209346141949112</v>
      </c>
      <c r="Y80" s="23">
        <f>[1]节奏总纲!Y80</f>
        <v>7.9133528812472775</v>
      </c>
      <c r="Z80" s="23">
        <f>[1]节奏总纲!Z80</f>
        <v>4.0379916513227698</v>
      </c>
      <c r="AA80" s="23">
        <f>[1]节奏总纲!AA80</f>
        <v>2.1274764089526457</v>
      </c>
      <c r="AC80" s="23">
        <v>77</v>
      </c>
      <c r="AD80" s="23">
        <f>[1]节奏总纲!AD80</f>
        <v>62.849666392872081</v>
      </c>
      <c r="AE80" s="23">
        <f>[1]节奏总纲!AE80</f>
        <v>64.694106451087833</v>
      </c>
      <c r="AF80" s="23">
        <f>[1]节奏总纲!AF80</f>
        <v>68.140112524185838</v>
      </c>
      <c r="AG80" s="23">
        <f>[1]节奏总纲!AG80</f>
        <v>71.945128453957807</v>
      </c>
      <c r="AH80" s="23">
        <f>[1]节奏总纲!AH80</f>
        <v>81.135784653362236</v>
      </c>
      <c r="AZ80" s="23">
        <v>77</v>
      </c>
      <c r="BA80" s="23">
        <v>36.273819023840659</v>
      </c>
      <c r="BB80" s="23">
        <v>37.771225729249387</v>
      </c>
      <c r="BC80" s="23">
        <v>39.700568750299212</v>
      </c>
      <c r="BD80" s="23">
        <v>42.427494399390554</v>
      </c>
      <c r="BE80" s="23">
        <v>47.12024662670057</v>
      </c>
      <c r="BI80" s="24">
        <v>77</v>
      </c>
      <c r="BJ80" s="23">
        <f>[1]节奏总纲!BJ80</f>
        <v>3.3999999999999981</v>
      </c>
      <c r="BK80" s="23">
        <f>[1]节奏总纲!BK80</f>
        <v>3.4679999999999982</v>
      </c>
      <c r="BL80" s="23">
        <f>[1]节奏总纲!BL80</f>
        <v>3.6039999999999983</v>
      </c>
      <c r="BM80" s="23">
        <f>[1]节奏总纲!BM80</f>
        <v>3.8759999999999977</v>
      </c>
      <c r="BN80" s="23">
        <f>[1]节奏总纲!BN80</f>
        <v>4.7599999999999971</v>
      </c>
    </row>
    <row r="81" spans="6:66" x14ac:dyDescent="0.15">
      <c r="F81" s="23">
        <v>79</v>
      </c>
      <c r="G81" s="23">
        <v>237.85644583342264</v>
      </c>
      <c r="N81" s="35">
        <f>[1]节奏总纲!N81</f>
        <v>88</v>
      </c>
      <c r="O81" s="23">
        <v>78</v>
      </c>
      <c r="P81" s="23">
        <f>[1]节奏总纲!P81</f>
        <v>221.86094420380775</v>
      </c>
      <c r="Q81" s="23">
        <f>[1]节奏总纲!Q81</f>
        <v>194.30581493369482</v>
      </c>
      <c r="R81" s="23">
        <f>[1]节奏总纲!R81</f>
        <v>154.28210059932792</v>
      </c>
      <c r="S81" s="23">
        <f>[1]节奏总纲!S81</f>
        <v>109.33307330363647</v>
      </c>
      <c r="T81" s="23">
        <f>[1]节奏总纲!T81</f>
        <v>60.368362917856089</v>
      </c>
      <c r="V81" s="23">
        <v>78</v>
      </c>
      <c r="W81" s="23">
        <f>[1]节奏总纲!W81</f>
        <v>14.924330736611495</v>
      </c>
      <c r="X81" s="23">
        <f>[1]节奏总纲!X81</f>
        <v>12.863792245657152</v>
      </c>
      <c r="Y81" s="23">
        <f>[1]节奏总纲!Y81</f>
        <v>5.9913233887350827</v>
      </c>
      <c r="Z81" s="23">
        <f>[1]节奏总纲!Z81</f>
        <v>4.2920483076876366</v>
      </c>
      <c r="AA81" s="23">
        <f>[1]节奏总纲!AA81</f>
        <v>4.3713153136327847</v>
      </c>
      <c r="AC81" s="23">
        <v>78</v>
      </c>
      <c r="AD81" s="23">
        <f>[1]节奏总纲!AD81</f>
        <v>63.036560194527354</v>
      </c>
      <c r="AE81" s="23">
        <f>[1]节奏总纲!AE81</f>
        <v>64.879255756958074</v>
      </c>
      <c r="AF81" s="23">
        <f>[1]节奏总纲!AF81</f>
        <v>68.299281456443111</v>
      </c>
      <c r="AG81" s="23">
        <f>[1]节奏总纲!AG81</f>
        <v>72.082331491774582</v>
      </c>
      <c r="AH81" s="23">
        <f>[1]节奏总纲!AH81</f>
        <v>81.271294733731025</v>
      </c>
      <c r="AZ81" s="23">
        <v>78</v>
      </c>
      <c r="BA81" s="23">
        <v>36.357989752476364</v>
      </c>
      <c r="BB81" s="23">
        <v>37.861979320321296</v>
      </c>
      <c r="BC81" s="23">
        <v>39.790623261487418</v>
      </c>
      <c r="BD81" s="23">
        <v>42.51427628670821</v>
      </c>
      <c r="BE81" s="23">
        <v>47.203396779992147</v>
      </c>
      <c r="BI81" s="24">
        <v>78</v>
      </c>
      <c r="BJ81" s="23">
        <f>[1]节奏总纲!BJ81</f>
        <v>3.4333333333333313</v>
      </c>
      <c r="BK81" s="23">
        <f>[1]节奏总纲!BK81</f>
        <v>3.501999999999998</v>
      </c>
      <c r="BL81" s="23">
        <f>[1]节奏总纲!BL81</f>
        <v>3.6393333333333313</v>
      </c>
      <c r="BM81" s="23">
        <f>[1]节奏总纲!BM81</f>
        <v>3.9139999999999975</v>
      </c>
      <c r="BN81" s="23">
        <f>[1]节奏总纲!BN81</f>
        <v>4.806666666666664</v>
      </c>
    </row>
    <row r="82" spans="6:66" x14ac:dyDescent="0.15">
      <c r="F82" s="23">
        <v>80</v>
      </c>
      <c r="G82" s="23">
        <v>255</v>
      </c>
      <c r="N82" s="35">
        <f>[1]节奏总纲!N82</f>
        <v>89</v>
      </c>
      <c r="O82" s="23">
        <v>79</v>
      </c>
      <c r="P82" s="23">
        <f>[1]节奏总纲!P82</f>
        <v>237.85644583342264</v>
      </c>
      <c r="Q82" s="23">
        <f>[1]节奏总纲!Q82</f>
        <v>202.46340669340935</v>
      </c>
      <c r="R82" s="23">
        <f>[1]节奏总纲!R82</f>
        <v>160.76717173881036</v>
      </c>
      <c r="S82" s="23">
        <f>[1]节奏总纲!S82</f>
        <v>115.24144800629327</v>
      </c>
      <c r="T82" s="23">
        <f>[1]节奏总纲!T82</f>
        <v>65.196451802941155</v>
      </c>
      <c r="V82" s="23">
        <v>79</v>
      </c>
      <c r="W82" s="23">
        <f>[1]节奏总纲!W82</f>
        <v>15.995501629614893</v>
      </c>
      <c r="X82" s="23">
        <f>[1]节奏总纲!X82</f>
        <v>8.1575917597145349</v>
      </c>
      <c r="Y82" s="23">
        <f>[1]节奏总纲!Y82</f>
        <v>6.485071139482443</v>
      </c>
      <c r="Z82" s="23">
        <f>[1]节奏总纲!Z82</f>
        <v>5.9083747026568005</v>
      </c>
      <c r="AA82" s="23">
        <f>[1]节奏总纲!AA82</f>
        <v>4.8280888850850658</v>
      </c>
      <c r="AC82" s="23">
        <v>79</v>
      </c>
      <c r="AD82" s="23">
        <f>[1]节奏总纲!AD82</f>
        <v>63.213386604241791</v>
      </c>
      <c r="AE82" s="23">
        <f>[1]节奏总纲!AE82</f>
        <v>65.093246557136723</v>
      </c>
      <c r="AF82" s="23">
        <f>[1]节奏总纲!AF82</f>
        <v>68.458450388700385</v>
      </c>
      <c r="AG82" s="23">
        <f>[1]节奏总纲!AG82</f>
        <v>72.219025830285105</v>
      </c>
      <c r="AH82" s="23">
        <f>[1]节奏总纲!AH82</f>
        <v>81.406804814099814</v>
      </c>
      <c r="AZ82" s="23">
        <v>79</v>
      </c>
      <c r="BA82" s="23">
        <v>36.442160481112069</v>
      </c>
      <c r="BB82" s="23">
        <v>37.952732911393213</v>
      </c>
      <c r="BC82" s="23">
        <v>39.880677772675625</v>
      </c>
      <c r="BD82" s="23">
        <v>42.601058174025873</v>
      </c>
      <c r="BE82" s="23">
        <v>47.286546933283724</v>
      </c>
      <c r="BI82" s="24">
        <v>79</v>
      </c>
      <c r="BJ82" s="23">
        <f>[1]节奏总纲!BJ82</f>
        <v>3.4666666666666646</v>
      </c>
      <c r="BK82" s="23">
        <f>[1]节奏总纲!BK82</f>
        <v>3.5359999999999978</v>
      </c>
      <c r="BL82" s="23">
        <f>[1]节奏总纲!BL82</f>
        <v>3.6746666666666647</v>
      </c>
      <c r="BM82" s="23">
        <f>[1]节奏总纲!BM82</f>
        <v>3.9519999999999973</v>
      </c>
      <c r="BN82" s="23">
        <f>[1]节奏总纲!BN82</f>
        <v>4.8533333333333299</v>
      </c>
    </row>
    <row r="83" spans="6:66" x14ac:dyDescent="0.15">
      <c r="F83" s="23">
        <v>81</v>
      </c>
      <c r="G83" s="23">
        <v>273.37400640929098</v>
      </c>
      <c r="N83" s="35">
        <f>[1]节奏总纲!N83</f>
        <v>90</v>
      </c>
      <c r="O83" s="23">
        <v>80</v>
      </c>
      <c r="P83" s="23">
        <f>[1]节奏总纲!P83</f>
        <v>255</v>
      </c>
      <c r="Q83" s="23">
        <f>[1]节奏总纲!Q83</f>
        <v>215.42400000000001</v>
      </c>
      <c r="R83" s="23">
        <f>[1]节奏总纲!R83</f>
        <v>173.01749999999998</v>
      </c>
      <c r="S83" s="23">
        <f>[1]节奏总纲!S83</f>
        <v>128.90249999999997</v>
      </c>
      <c r="T83" s="23">
        <f>[1]节奏总纲!T83</f>
        <v>70.022999999999996</v>
      </c>
      <c r="V83" s="23">
        <v>80</v>
      </c>
      <c r="W83" s="23">
        <f>[1]节奏总纲!W83</f>
        <v>17.14355416657736</v>
      </c>
      <c r="X83" s="23">
        <f>[1]节奏总纲!X83</f>
        <v>12.960593306590653</v>
      </c>
      <c r="Y83" s="23">
        <f>[1]节奏总纲!Y83</f>
        <v>12.250328261189622</v>
      </c>
      <c r="Z83" s="23">
        <f>[1]节奏总纲!Z83</f>
        <v>13.661051993706707</v>
      </c>
      <c r="AA83" s="23">
        <f>[1]节奏总纲!AA83</f>
        <v>4.8265481970588411</v>
      </c>
      <c r="AC83" s="23">
        <v>80</v>
      </c>
      <c r="AD83" s="23">
        <f>[1]节奏总纲!AD83</f>
        <v>63.39021301395622</v>
      </c>
      <c r="AE83" s="23">
        <f>[1]节奏总纲!AE83</f>
        <v>65.361308330085848</v>
      </c>
      <c r="AF83" s="23">
        <f>[1]节奏总纲!AF83</f>
        <v>68.617619320957644</v>
      </c>
      <c r="AG83" s="23">
        <f>[1]节奏总纲!AG83</f>
        <v>72.355720168795614</v>
      </c>
      <c r="AH83" s="23">
        <f>[1]节奏总纲!AH83</f>
        <v>81.542314894468603</v>
      </c>
      <c r="AZ83" s="23">
        <v>80</v>
      </c>
      <c r="BA83" s="23">
        <v>36.526331209747774</v>
      </c>
      <c r="BB83" s="23">
        <v>38.037513426486328</v>
      </c>
      <c r="BC83" s="23">
        <v>39.970732283863832</v>
      </c>
      <c r="BD83" s="23">
        <v>42.687840061343536</v>
      </c>
      <c r="BE83" s="23">
        <v>47.3696970865753</v>
      </c>
      <c r="BI83" s="9">
        <v>80</v>
      </c>
      <c r="BJ83" s="23">
        <f>[1]节奏总纲!BJ83</f>
        <v>3.4999999999999978</v>
      </c>
      <c r="BK83" s="23">
        <f>[1]节奏总纲!BK83</f>
        <v>3.5699999999999976</v>
      </c>
      <c r="BL83" s="23">
        <f>[1]节奏总纲!BL83</f>
        <v>3.7099999999999977</v>
      </c>
      <c r="BM83" s="23">
        <f>[1]节奏总纲!BM83</f>
        <v>3.9899999999999971</v>
      </c>
      <c r="BN83" s="23">
        <f>[1]节奏总纲!BN83</f>
        <v>4.8999999999999968</v>
      </c>
    </row>
    <row r="84" spans="6:66" x14ac:dyDescent="0.15">
      <c r="F84" s="23">
        <v>82</v>
      </c>
      <c r="G84" s="23">
        <v>293.06677887924064</v>
      </c>
      <c r="N84" s="35">
        <f>[1]节奏总纲!N84</f>
        <v>91</v>
      </c>
      <c r="O84" s="23">
        <v>81</v>
      </c>
      <c r="P84" s="23">
        <f>[1]节奏总纲!P84</f>
        <v>273.37400640929098</v>
      </c>
      <c r="Q84" s="23">
        <f>[1]节奏总纲!Q84</f>
        <v>235.18365771391302</v>
      </c>
      <c r="R84" s="23">
        <f>[1]节奏总纲!R84</f>
        <v>195.05235357302914</v>
      </c>
      <c r="S84" s="23">
        <f>[1]节奏总纲!S84</f>
        <v>140.10417828476162</v>
      </c>
      <c r="T84" s="23">
        <f>[1]节奏总纲!T84</f>
        <v>75.997973781782903</v>
      </c>
      <c r="V84" s="23">
        <v>81</v>
      </c>
      <c r="W84" s="23">
        <f>[1]节奏总纲!W84</f>
        <v>18.374006409290985</v>
      </c>
      <c r="X84" s="23">
        <f>[1]节奏总纲!X84</f>
        <v>19.759657713913015</v>
      </c>
      <c r="Y84" s="23">
        <f>[1]节奏总纲!Y84</f>
        <v>22.034853573029153</v>
      </c>
      <c r="Z84" s="23">
        <f>[1]节奏总纲!Z84</f>
        <v>11.201678284761641</v>
      </c>
      <c r="AA84" s="23">
        <f>[1]节奏总纲!AA84</f>
        <v>5.9749737817829072</v>
      </c>
      <c r="AC84" s="23">
        <v>81</v>
      </c>
      <c r="AD84" s="23">
        <f>[1]节奏总纲!AD84</f>
        <v>63.567039423670657</v>
      </c>
      <c r="AE84" s="23">
        <f>[1]节奏总纲!AE84</f>
        <v>65.629370103034958</v>
      </c>
      <c r="AF84" s="23">
        <f>[1]节奏总纲!AF84</f>
        <v>68.776788253214917</v>
      </c>
      <c r="AG84" s="23">
        <f>[1]节奏总纲!AG84</f>
        <v>72.492414507306137</v>
      </c>
      <c r="AH84" s="23">
        <f>[1]节奏总纲!AH84</f>
        <v>81.677824974837392</v>
      </c>
      <c r="AZ84" s="23">
        <v>81</v>
      </c>
      <c r="BA84" s="23">
        <v>36.610501938383479</v>
      </c>
      <c r="BB84" s="23">
        <v>38.11580158428373</v>
      </c>
      <c r="BC84" s="23">
        <v>40.052446592012309</v>
      </c>
      <c r="BD84" s="23">
        <v>42.774621948661192</v>
      </c>
      <c r="BE84" s="23">
        <v>47.452847239866877</v>
      </c>
      <c r="BI84" s="24">
        <v>81</v>
      </c>
      <c r="BJ84" s="23">
        <f>[1]节奏总纲!BJ84</f>
        <v>3.533333333333331</v>
      </c>
      <c r="BK84" s="23">
        <f>[1]节奏总纲!BK84</f>
        <v>3.6039999999999979</v>
      </c>
      <c r="BL84" s="23">
        <f>[1]节奏总纲!BL84</f>
        <v>3.7453333333333312</v>
      </c>
      <c r="BM84" s="23">
        <f>[1]节奏总纲!BM84</f>
        <v>4.0279999999999969</v>
      </c>
      <c r="BN84" s="23">
        <f>[1]节奏总纲!BN84</f>
        <v>4.9466666666666628</v>
      </c>
    </row>
    <row r="85" spans="6:66" x14ac:dyDescent="0.15">
      <c r="F85" s="23">
        <v>83</v>
      </c>
      <c r="G85" s="23">
        <v>314.1729698162988</v>
      </c>
      <c r="N85" s="35">
        <f>[1]节奏总纲!N85</f>
        <v>92</v>
      </c>
      <c r="O85" s="23">
        <v>82</v>
      </c>
      <c r="P85" s="23">
        <f>[1]节奏总纲!P85</f>
        <v>293.06677887924064</v>
      </c>
      <c r="Q85" s="23">
        <f>[1]节奏总纲!Q85</f>
        <v>256.87303168765442</v>
      </c>
      <c r="R85" s="23">
        <f>[1]节奏总纲!R85</f>
        <v>207.31543937917485</v>
      </c>
      <c r="S85" s="23">
        <f>[1]节奏总纲!S85</f>
        <v>148.76069695910257</v>
      </c>
      <c r="T85" s="23">
        <f>[1]节奏总纲!T85</f>
        <v>83.377498591143961</v>
      </c>
      <c r="V85" s="23">
        <v>82</v>
      </c>
      <c r="W85" s="23">
        <f>[1]节奏总纲!W85</f>
        <v>19.692772469949659</v>
      </c>
      <c r="X85" s="23">
        <f>[1]节奏总纲!X85</f>
        <v>21.689373973741397</v>
      </c>
      <c r="Y85" s="23">
        <f>[1]节奏总纲!Y85</f>
        <v>12.26308580614571</v>
      </c>
      <c r="Z85" s="23">
        <f>[1]节奏总纲!Z85</f>
        <v>8.6565186743409583</v>
      </c>
      <c r="AA85" s="23">
        <f>[1]节奏总纲!AA85</f>
        <v>7.3795248093610581</v>
      </c>
      <c r="AC85" s="23">
        <v>82</v>
      </c>
      <c r="AD85" s="23">
        <f>[1]节奏总纲!AD85</f>
        <v>63.743865833385094</v>
      </c>
      <c r="AE85" s="23">
        <f>[1]节奏总纲!AE85</f>
        <v>65.897431875984083</v>
      </c>
      <c r="AF85" s="23">
        <f>[1]节奏总纲!AF85</f>
        <v>68.935957185472191</v>
      </c>
      <c r="AG85" s="23">
        <f>[1]节奏总纲!AG85</f>
        <v>72.62910884581666</v>
      </c>
      <c r="AH85" s="23">
        <f>[1]节奏总纲!AH85</f>
        <v>81.813335055206181</v>
      </c>
      <c r="AZ85" s="23">
        <v>82</v>
      </c>
      <c r="BA85" s="23">
        <v>36.694672667019191</v>
      </c>
      <c r="BB85" s="23">
        <v>38.194089742081125</v>
      </c>
      <c r="BC85" s="23">
        <v>40.130145246845366</v>
      </c>
      <c r="BD85" s="23">
        <v>42.861403835978855</v>
      </c>
      <c r="BE85" s="23">
        <v>47.535997393158453</v>
      </c>
      <c r="BI85" s="24">
        <v>82</v>
      </c>
      <c r="BJ85" s="23">
        <f>[1]节奏总纲!BJ85</f>
        <v>3.5666666666666642</v>
      </c>
      <c r="BK85" s="23">
        <f>[1]节奏总纲!BK85</f>
        <v>3.6379999999999977</v>
      </c>
      <c r="BL85" s="23">
        <f>[1]节奏总纲!BL85</f>
        <v>3.7806666666666642</v>
      </c>
      <c r="BM85" s="23">
        <f>[1]节奏总纲!BM85</f>
        <v>4.0659999999999972</v>
      </c>
      <c r="BN85" s="23">
        <f>[1]节奏总纲!BN85</f>
        <v>4.9933333333333296</v>
      </c>
    </row>
    <row r="86" spans="6:66" x14ac:dyDescent="0.15">
      <c r="F86" s="23">
        <v>84</v>
      </c>
      <c r="G86" s="23">
        <v>336.79402515786086</v>
      </c>
      <c r="N86" s="35">
        <f>[1]节奏总纲!N86</f>
        <v>93</v>
      </c>
      <c r="O86" s="23">
        <v>83</v>
      </c>
      <c r="P86" s="23">
        <f>[1]节奏总纲!P86</f>
        <v>314.1729698162988</v>
      </c>
      <c r="Q86" s="23">
        <f>[1]节奏总纲!Q86</f>
        <v>271.037021060521</v>
      </c>
      <c r="R86" s="23">
        <f>[1]节奏总纲!R86</f>
        <v>217.69045078571344</v>
      </c>
      <c r="S86" s="23">
        <f>[1]节奏总纲!S86</f>
        <v>158.97152272704719</v>
      </c>
      <c r="T86" s="23">
        <f>[1]节奏总纲!T86</f>
        <v>89.382209912736997</v>
      </c>
      <c r="V86" s="23">
        <v>83</v>
      </c>
      <c r="W86" s="23">
        <f>[1]节奏总纲!W86</f>
        <v>21.106190937058159</v>
      </c>
      <c r="X86" s="23">
        <f>[1]节奏总纲!X86</f>
        <v>14.163989372866581</v>
      </c>
      <c r="Y86" s="23">
        <f>[1]节奏总纲!Y86</f>
        <v>10.37501140653859</v>
      </c>
      <c r="Z86" s="23">
        <f>[1]节奏总纲!Z86</f>
        <v>10.210825767944613</v>
      </c>
      <c r="AA86" s="23">
        <f>[1]节奏总纲!AA86</f>
        <v>6.0047113215930352</v>
      </c>
      <c r="AC86" s="23">
        <v>83</v>
      </c>
      <c r="AD86" s="23">
        <f>[1]节奏总纲!AD86</f>
        <v>63.920692243099523</v>
      </c>
      <c r="AE86" s="23">
        <f>[1]节奏总纲!AE86</f>
        <v>66.127508005332913</v>
      </c>
      <c r="AF86" s="23">
        <f>[1]节奏总纲!AF86</f>
        <v>69.10852331267526</v>
      </c>
      <c r="AG86" s="23">
        <f>[1]节奏总纲!AG86</f>
        <v>72.765803184327183</v>
      </c>
      <c r="AH86" s="23">
        <f>[1]节奏总纲!AH86</f>
        <v>81.94884513557497</v>
      </c>
      <c r="AZ86" s="23">
        <v>83</v>
      </c>
      <c r="BA86" s="23">
        <v>36.778843395654896</v>
      </c>
      <c r="BB86" s="23">
        <v>38.272377899878528</v>
      </c>
      <c r="BC86" s="23">
        <v>40.207843901678423</v>
      </c>
      <c r="BD86" s="23">
        <v>42.948185723296518</v>
      </c>
      <c r="BE86" s="23">
        <v>47.619147546450023</v>
      </c>
      <c r="BI86" s="24">
        <v>83</v>
      </c>
      <c r="BJ86" s="23">
        <f>[1]节奏总纲!BJ86</f>
        <v>3.5999999999999974</v>
      </c>
      <c r="BK86" s="23">
        <f>[1]节奏总纲!BK86</f>
        <v>3.6719999999999975</v>
      </c>
      <c r="BL86" s="23">
        <f>[1]节奏总纲!BL86</f>
        <v>3.8159999999999976</v>
      </c>
      <c r="BM86" s="23">
        <f>[1]节奏总纲!BM86</f>
        <v>4.1039999999999965</v>
      </c>
      <c r="BN86" s="23">
        <f>[1]节奏总纲!BN86</f>
        <v>5.0399999999999965</v>
      </c>
    </row>
    <row r="87" spans="6:66" x14ac:dyDescent="0.15">
      <c r="F87" s="23">
        <v>85</v>
      </c>
      <c r="G87" s="23">
        <v>361.0386719675123</v>
      </c>
      <c r="N87" s="35">
        <f>[1]节奏总纲!N87</f>
        <v>94</v>
      </c>
      <c r="O87" s="23">
        <v>84</v>
      </c>
      <c r="P87" s="23">
        <f>[1]节奏总纲!P87</f>
        <v>336.79402515786086</v>
      </c>
      <c r="Q87" s="23">
        <f>[1]节奏总纲!Q87</f>
        <v>287.52105927726581</v>
      </c>
      <c r="R87" s="23">
        <f>[1]节奏总纲!R87</f>
        <v>232.82570959162922</v>
      </c>
      <c r="S87" s="23">
        <f>[1]节奏总纲!S87</f>
        <v>173.2805259437194</v>
      </c>
      <c r="T87" s="23">
        <f>[1]节奏总纲!T87</f>
        <v>95.817900157411401</v>
      </c>
      <c r="V87" s="23">
        <v>84</v>
      </c>
      <c r="W87" s="23">
        <f>[1]节奏总纲!W87</f>
        <v>22.621055341562055</v>
      </c>
      <c r="X87" s="23">
        <f>[1]节奏总纲!X87</f>
        <v>16.484038216744807</v>
      </c>
      <c r="Y87" s="23">
        <f>[1]节奏总纲!Y87</f>
        <v>15.135258805915782</v>
      </c>
      <c r="Z87" s="23">
        <f>[1]节奏总纲!Z87</f>
        <v>14.30900321667221</v>
      </c>
      <c r="AA87" s="23">
        <f>[1]节奏总纲!AA87</f>
        <v>6.4356902446744044</v>
      </c>
      <c r="AC87" s="23">
        <v>84</v>
      </c>
      <c r="AD87" s="23">
        <f>[1]节奏总纲!AD87</f>
        <v>64.090988120365651</v>
      </c>
      <c r="AE87" s="23">
        <f>[1]节奏总纲!AE87</f>
        <v>66.334041743606733</v>
      </c>
      <c r="AF87" s="23">
        <f>[1]节奏总纲!AF87</f>
        <v>69.290108982477022</v>
      </c>
      <c r="AG87" s="23">
        <f>[1]节奏总纲!AG87</f>
        <v>72.902497522837706</v>
      </c>
      <c r="AH87" s="23">
        <f>[1]节奏总纲!AH87</f>
        <v>82.103668831941604</v>
      </c>
      <c r="AZ87" s="23">
        <v>84</v>
      </c>
      <c r="BA87" s="23">
        <v>36.863014124290601</v>
      </c>
      <c r="BB87" s="23">
        <v>38.35066605767593</v>
      </c>
      <c r="BC87" s="23">
        <v>40.28554255651148</v>
      </c>
      <c r="BD87" s="23">
        <v>43.030177309109042</v>
      </c>
      <c r="BE87" s="23">
        <v>47.7022976997416</v>
      </c>
      <c r="BI87" s="24">
        <v>84</v>
      </c>
      <c r="BJ87" s="23">
        <f>[1]节奏总纲!BJ87</f>
        <v>3.6333333333333306</v>
      </c>
      <c r="BK87" s="23">
        <f>[1]节奏总纲!BK87</f>
        <v>3.7059999999999973</v>
      </c>
      <c r="BL87" s="23">
        <f>[1]节奏总纲!BL87</f>
        <v>3.8513333333333306</v>
      </c>
      <c r="BM87" s="23">
        <f>[1]节奏总纲!BM87</f>
        <v>4.1419999999999968</v>
      </c>
      <c r="BN87" s="23">
        <f>[1]节奏总纲!BN87</f>
        <v>5.0866666666666625</v>
      </c>
    </row>
    <row r="88" spans="6:66" x14ac:dyDescent="0.15">
      <c r="F88" s="23">
        <v>86</v>
      </c>
      <c r="G88" s="23">
        <v>387.02344102666189</v>
      </c>
      <c r="N88" s="35">
        <f>[1]节奏总纲!N88</f>
        <v>95</v>
      </c>
      <c r="O88" s="23">
        <v>85</v>
      </c>
      <c r="P88" s="23">
        <f>[1]节奏总纲!P88</f>
        <v>361.0386719675123</v>
      </c>
      <c r="Q88" s="23">
        <f>[1]节奏总纲!Q88</f>
        <v>310.6015694936508</v>
      </c>
      <c r="R88" s="23">
        <f>[1]节奏总纲!R88</f>
        <v>257.05953444086873</v>
      </c>
      <c r="S88" s="23">
        <f>[1]节奏总纲!S88</f>
        <v>188.46218676704143</v>
      </c>
      <c r="T88" s="23">
        <f>[1]节奏总纲!T88</f>
        <v>102.78770990915075</v>
      </c>
      <c r="V88" s="23">
        <v>85</v>
      </c>
      <c r="W88" s="23">
        <f>[1]节奏总纲!W88</f>
        <v>24.244646809651442</v>
      </c>
      <c r="X88" s="23">
        <f>[1]节奏总纲!X88</f>
        <v>23.080510216384994</v>
      </c>
      <c r="Y88" s="23">
        <f>[1]节奏总纲!Y88</f>
        <v>24.233824849239511</v>
      </c>
      <c r="Z88" s="23">
        <f>[1]节奏总纲!Z88</f>
        <v>15.181660823322034</v>
      </c>
      <c r="AA88" s="23">
        <f>[1]节奏总纲!AA88</f>
        <v>6.9698097517393478</v>
      </c>
      <c r="AC88" s="23">
        <v>85</v>
      </c>
      <c r="AD88" s="23">
        <f>[1]节奏总纲!AD88</f>
        <v>64.255972994404218</v>
      </c>
      <c r="AE88" s="23">
        <f>[1]节奏总纲!AE88</f>
        <v>66.540575481880552</v>
      </c>
      <c r="AF88" s="23">
        <f>[1]节奏总纲!AF88</f>
        <v>69.471694652278771</v>
      </c>
      <c r="AG88" s="23">
        <f>[1]节奏总纲!AG88</f>
        <v>73.04597299605588</v>
      </c>
      <c r="AH88" s="23">
        <f>[1]节奏总纲!AH88</f>
        <v>82.270204731245201</v>
      </c>
      <c r="AZ88" s="23">
        <v>85</v>
      </c>
      <c r="BA88" s="23">
        <v>36.947184852926306</v>
      </c>
      <c r="BB88" s="23">
        <v>38.428954215473325</v>
      </c>
      <c r="BC88" s="23">
        <v>40.363241211344537</v>
      </c>
      <c r="BD88" s="23">
        <v>43.105070725978337</v>
      </c>
      <c r="BE88" s="23">
        <v>47.785447853033176</v>
      </c>
      <c r="BI88" s="24">
        <v>85</v>
      </c>
      <c r="BJ88" s="23">
        <f>[1]节奏总纲!BJ88</f>
        <v>3.6666666666666639</v>
      </c>
      <c r="BK88" s="23">
        <f>[1]节奏总纲!BK88</f>
        <v>3.7399999999999971</v>
      </c>
      <c r="BL88" s="23">
        <f>[1]节奏总纲!BL88</f>
        <v>3.886666666666664</v>
      </c>
      <c r="BM88" s="23">
        <f>[1]节奏总纲!BM88</f>
        <v>4.1799999999999962</v>
      </c>
      <c r="BN88" s="23">
        <f>[1]节奏总纲!BN88</f>
        <v>5.1333333333333293</v>
      </c>
    </row>
    <row r="89" spans="6:66" x14ac:dyDescent="0.15">
      <c r="F89" s="23">
        <v>87</v>
      </c>
      <c r="G89" s="23">
        <v>414.87322693439216</v>
      </c>
      <c r="N89" s="35">
        <f>[1]节奏总纲!N89</f>
        <v>96</v>
      </c>
      <c r="O89" s="23">
        <v>86</v>
      </c>
      <c r="P89" s="23">
        <f>[1]节奏总纲!P89</f>
        <v>387.02344102666189</v>
      </c>
      <c r="Q89" s="23">
        <f>[1]节奏总纲!Q89</f>
        <v>338.91642730704785</v>
      </c>
      <c r="R89" s="23">
        <f>[1]节奏总纲!R89</f>
        <v>278.65687753919656</v>
      </c>
      <c r="S89" s="23">
        <f>[1]节奏总纲!S89</f>
        <v>202.60677137745748</v>
      </c>
      <c r="T89" s="23">
        <f>[1]节奏总纲!T89</f>
        <v>106.93457675566667</v>
      </c>
      <c r="V89" s="23">
        <v>86</v>
      </c>
      <c r="W89" s="23">
        <f>[1]节奏总纲!W89</f>
        <v>25.984769059149585</v>
      </c>
      <c r="X89" s="23">
        <f>[1]节奏总纲!X89</f>
        <v>28.314857813397055</v>
      </c>
      <c r="Y89" s="23">
        <f>[1]节奏总纲!Y89</f>
        <v>21.597343098327826</v>
      </c>
      <c r="Z89" s="23">
        <f>[1]节奏总纲!Z89</f>
        <v>14.144584610416047</v>
      </c>
      <c r="AA89" s="23">
        <f>[1]节奏总纲!AA89</f>
        <v>4.1468668465159197</v>
      </c>
      <c r="AC89" s="23">
        <v>86</v>
      </c>
      <c r="AD89" s="23">
        <f>[1]节奏总纲!AD89</f>
        <v>64.420957868442798</v>
      </c>
      <c r="AE89" s="23">
        <f>[1]节奏总纲!AE89</f>
        <v>66.747109220154371</v>
      </c>
      <c r="AF89" s="23">
        <f>[1]节奏总纲!AF89</f>
        <v>69.653280322080533</v>
      </c>
      <c r="AG89" s="23">
        <f>[1]节奏总纲!AG89</f>
        <v>73.206318743081482</v>
      </c>
      <c r="AH89" s="23">
        <f>[1]节奏总纲!AH89</f>
        <v>82.436740630548798</v>
      </c>
      <c r="AZ89" s="23">
        <v>86</v>
      </c>
      <c r="BA89" s="23">
        <v>37.027046282459708</v>
      </c>
      <c r="BB89" s="23">
        <v>38.507242373270728</v>
      </c>
      <c r="BC89" s="23">
        <v>40.440939866177594</v>
      </c>
      <c r="BD89" s="23">
        <v>43.179964142847631</v>
      </c>
      <c r="BE89" s="23">
        <v>47.868598006324753</v>
      </c>
      <c r="BI89" s="24">
        <v>86</v>
      </c>
      <c r="BJ89" s="23">
        <f>[1]节奏总纲!BJ89</f>
        <v>3.6999999999999971</v>
      </c>
      <c r="BK89" s="23">
        <f>[1]节奏总纲!BK89</f>
        <v>3.7739999999999969</v>
      </c>
      <c r="BL89" s="23">
        <f>[1]节奏总纲!BL89</f>
        <v>3.921999999999997</v>
      </c>
      <c r="BM89" s="23">
        <f>[1]节奏总纲!BM89</f>
        <v>4.2179999999999964</v>
      </c>
      <c r="BN89" s="23">
        <f>[1]节奏总纲!BN89</f>
        <v>5.1799999999999953</v>
      </c>
    </row>
    <row r="90" spans="6:66" x14ac:dyDescent="0.15">
      <c r="F90" s="23">
        <v>88</v>
      </c>
      <c r="G90" s="23">
        <v>444.72188840761549</v>
      </c>
      <c r="N90" s="35">
        <f>[1]节奏总纲!N90</f>
        <v>97</v>
      </c>
      <c r="O90" s="23">
        <v>87</v>
      </c>
      <c r="P90" s="23">
        <f>[1]节奏总纲!P90</f>
        <v>414.87322693439216</v>
      </c>
      <c r="Q90" s="23">
        <f>[1]节奏总纲!Q90</f>
        <v>361.23011869177526</v>
      </c>
      <c r="R90" s="23">
        <f>[1]节奏总纲!R90</f>
        <v>294.39404183264469</v>
      </c>
      <c r="S90" s="23">
        <f>[1]节奏总纲!S90</f>
        <v>209.51097960186806</v>
      </c>
      <c r="T90" s="23">
        <f>[1]节奏总纲!T90</f>
        <v>110.52222765532208</v>
      </c>
      <c r="V90" s="23">
        <v>87</v>
      </c>
      <c r="W90" s="23">
        <f>[1]节奏总纲!W90</f>
        <v>27.849785907730279</v>
      </c>
      <c r="X90" s="23">
        <f>[1]节奏总纲!X90</f>
        <v>22.313691384727406</v>
      </c>
      <c r="Y90" s="23">
        <f>[1]节奏总纲!Y90</f>
        <v>15.737164293448132</v>
      </c>
      <c r="Z90" s="23">
        <f>[1]节奏总纲!Z90</f>
        <v>6.9042082244105814</v>
      </c>
      <c r="AA90" s="23">
        <f>[1]节奏总纲!AA90</f>
        <v>3.5876508996554151</v>
      </c>
      <c r="AC90" s="23">
        <v>87</v>
      </c>
      <c r="AD90" s="23">
        <f>[1]节奏总纲!AD90</f>
        <v>64.585942742481365</v>
      </c>
      <c r="AE90" s="23">
        <f>[1]节奏总纲!AE90</f>
        <v>66.953642958428176</v>
      </c>
      <c r="AF90" s="23">
        <f>[1]节奏总纲!AF90</f>
        <v>69.834865991882282</v>
      </c>
      <c r="AG90" s="23">
        <f>[1]节奏总纲!AG90</f>
        <v>73.366664490107098</v>
      </c>
      <c r="AH90" s="23">
        <f>[1]节奏总纲!AH90</f>
        <v>82.603276529852394</v>
      </c>
      <c r="AZ90" s="23">
        <v>87</v>
      </c>
      <c r="BA90" s="23">
        <v>37.099649155317238</v>
      </c>
      <c r="BB90" s="23">
        <v>38.58553053106813</v>
      </c>
      <c r="BC90" s="23">
        <v>40.518638521010651</v>
      </c>
      <c r="BD90" s="23">
        <v>43.254857559716925</v>
      </c>
      <c r="BE90" s="23">
        <v>47.951748159616329</v>
      </c>
      <c r="BI90" s="24">
        <v>87</v>
      </c>
      <c r="BJ90" s="23">
        <f>[1]节奏总纲!BJ90</f>
        <v>3.7333333333333303</v>
      </c>
      <c r="BK90" s="23">
        <f>[1]节奏总纲!BK90</f>
        <v>3.8079999999999972</v>
      </c>
      <c r="BL90" s="23">
        <f>[1]节奏总纲!BL90</f>
        <v>3.9573333333333305</v>
      </c>
      <c r="BM90" s="23">
        <f>[1]节奏总纲!BM90</f>
        <v>4.2559999999999958</v>
      </c>
      <c r="BN90" s="23">
        <f>[1]节奏总纲!BN90</f>
        <v>5.2266666666666621</v>
      </c>
    </row>
    <row r="91" spans="6:66" x14ac:dyDescent="0.15">
      <c r="F91" s="23">
        <v>89</v>
      </c>
      <c r="G91" s="23">
        <v>476.71289166684534</v>
      </c>
      <c r="N91" s="35">
        <f>[1]节奏总纲!N91</f>
        <v>98</v>
      </c>
      <c r="O91" s="23">
        <v>88</v>
      </c>
      <c r="P91" s="23">
        <f>[1]节奏总纲!P91</f>
        <v>444.72188840761549</v>
      </c>
      <c r="Q91" s="23">
        <f>[1]节奏总纲!Q91</f>
        <v>384.15076720649824</v>
      </c>
      <c r="R91" s="23">
        <f>[1]节奏总纲!R91</f>
        <v>309.52643433170039</v>
      </c>
      <c r="S91" s="23">
        <f>[1]节奏总纲!S91</f>
        <v>217.02428154291636</v>
      </c>
      <c r="T91" s="23">
        <f>[1]节奏总纲!T91</f>
        <v>114.7382472091648</v>
      </c>
      <c r="V91" s="23">
        <v>88</v>
      </c>
      <c r="W91" s="23">
        <f>[1]节奏总纲!W91</f>
        <v>29.848661473223331</v>
      </c>
      <c r="X91" s="23">
        <f>[1]节奏总纲!X91</f>
        <v>22.920648514722984</v>
      </c>
      <c r="Y91" s="23">
        <f>[1]节奏总纲!Y91</f>
        <v>15.132392499055697</v>
      </c>
      <c r="Z91" s="23">
        <f>[1]节奏总纲!Z91</f>
        <v>7.5133019410482973</v>
      </c>
      <c r="AA91" s="23">
        <f>[1]节奏总纲!AA91</f>
        <v>4.2160195538427132</v>
      </c>
      <c r="AC91" s="23">
        <v>88</v>
      </c>
      <c r="AD91" s="23">
        <f>[1]节奏总纲!AD91</f>
        <v>64.750927616519931</v>
      </c>
      <c r="AE91" s="23">
        <f>[1]节奏总纲!AE91</f>
        <v>67.116579982503794</v>
      </c>
      <c r="AF91" s="23">
        <f>[1]节奏总纲!AF91</f>
        <v>70.014186216123079</v>
      </c>
      <c r="AG91" s="23">
        <f>[1]节奏总纲!AG91</f>
        <v>73.527010237132714</v>
      </c>
      <c r="AH91" s="23">
        <f>[1]节奏总纲!AH91</f>
        <v>82.769812429155991</v>
      </c>
      <c r="AZ91" s="23">
        <v>88</v>
      </c>
      <c r="BA91" s="23">
        <v>37.172252028174768</v>
      </c>
      <c r="BB91" s="23">
        <v>38.663818688865533</v>
      </c>
      <c r="BC91" s="23">
        <v>40.596337175843701</v>
      </c>
      <c r="BD91" s="23">
        <v>43.329750976586219</v>
      </c>
      <c r="BE91" s="23">
        <v>48.030128751164234</v>
      </c>
      <c r="BI91" s="24">
        <v>88</v>
      </c>
      <c r="BJ91" s="23">
        <f>[1]节奏总纲!BJ91</f>
        <v>3.7666666666666635</v>
      </c>
      <c r="BK91" s="23">
        <f>[1]节奏总纲!BK91</f>
        <v>3.841999999999997</v>
      </c>
      <c r="BL91" s="23">
        <f>[1]节奏总纲!BL91</f>
        <v>3.9926666666666635</v>
      </c>
      <c r="BM91" s="23">
        <f>[1]节奏总纲!BM91</f>
        <v>4.293999999999996</v>
      </c>
      <c r="BN91" s="23">
        <f>[1]节奏总纲!BN91</f>
        <v>5.273333333333329</v>
      </c>
    </row>
    <row r="92" spans="6:66" x14ac:dyDescent="0.15">
      <c r="F92" s="23">
        <v>90</v>
      </c>
      <c r="G92" s="23">
        <v>511</v>
      </c>
      <c r="N92" s="35">
        <f>[1]节奏总纲!N92</f>
        <v>99</v>
      </c>
      <c r="O92" s="23">
        <v>89</v>
      </c>
      <c r="P92" s="23">
        <f>[1]节奏总纲!P92</f>
        <v>476.71289166684534</v>
      </c>
      <c r="Q92" s="23">
        <f>[1]节奏总纲!Q92</f>
        <v>409.59171652015351</v>
      </c>
      <c r="R92" s="23">
        <f>[1]节奏总纲!R92</f>
        <v>322.40092863428748</v>
      </c>
      <c r="S92" s="23">
        <f>[1]节奏总纲!S92</f>
        <v>226.43862354175153</v>
      </c>
      <c r="T92" s="23">
        <f>[1]节奏总纲!T92</f>
        <v>147.30428352505521</v>
      </c>
      <c r="V92" s="23">
        <v>89</v>
      </c>
      <c r="W92" s="23">
        <f>[1]节奏总纲!W92</f>
        <v>31.991003259229842</v>
      </c>
      <c r="X92" s="23">
        <f>[1]节奏总纲!X92</f>
        <v>25.440949313655267</v>
      </c>
      <c r="Y92" s="23">
        <f>[1]节奏总纲!Y92</f>
        <v>12.874494302587095</v>
      </c>
      <c r="Z92" s="23">
        <f>[1]节奏总纲!Z92</f>
        <v>9.4143419988351695</v>
      </c>
      <c r="AA92" s="23">
        <f>[1]节奏总纲!AA92</f>
        <v>32.566036315890415</v>
      </c>
      <c r="AC92" s="23">
        <v>89</v>
      </c>
      <c r="AD92" s="23">
        <f>[1]节奏总纲!AD92</f>
        <v>64.915912490558512</v>
      </c>
      <c r="AE92" s="23">
        <f>[1]节奏总纲!AE92</f>
        <v>67.266899598841007</v>
      </c>
      <c r="AF92" s="23">
        <f>[1]节奏总纲!AF92</f>
        <v>70.170766968033433</v>
      </c>
      <c r="AG92" s="23">
        <f>[1]节奏总纲!AG92</f>
        <v>73.687355984158316</v>
      </c>
      <c r="AH92" s="23">
        <f>[1]节奏总纲!AH92</f>
        <v>82.936348328459587</v>
      </c>
      <c r="AZ92" s="23">
        <v>89</v>
      </c>
      <c r="BA92" s="23">
        <v>37.244854901032298</v>
      </c>
      <c r="BB92" s="23">
        <v>38.742106846662928</v>
      </c>
      <c r="BC92" s="23">
        <v>40.674035830676758</v>
      </c>
      <c r="BD92" s="23">
        <v>43.404644393455513</v>
      </c>
      <c r="BE92" s="23">
        <v>48.101914750802706</v>
      </c>
      <c r="BI92" s="24">
        <v>89</v>
      </c>
      <c r="BJ92" s="23">
        <f>[1]节奏总纲!BJ92</f>
        <v>3.7999999999999967</v>
      </c>
      <c r="BK92" s="23">
        <f>[1]节奏总纲!BK92</f>
        <v>3.8759999999999968</v>
      </c>
      <c r="BL92" s="23">
        <f>[1]节奏总纲!BL92</f>
        <v>4.0279999999999969</v>
      </c>
      <c r="BM92" s="23">
        <f>[1]节奏总纲!BM92</f>
        <v>4.3319999999999963</v>
      </c>
      <c r="BN92" s="23">
        <f>[1]节奏总纲!BN92</f>
        <v>5.319999999999995</v>
      </c>
    </row>
    <row r="93" spans="6:66" x14ac:dyDescent="0.15">
      <c r="F93" s="23">
        <v>91</v>
      </c>
      <c r="G93" s="23">
        <v>547.74801281858208</v>
      </c>
      <c r="N93" s="35">
        <f>[1]节奏总纲!N93</f>
        <v>100</v>
      </c>
      <c r="O93" s="23">
        <v>90</v>
      </c>
      <c r="P93" s="23">
        <f>[1]节奏总纲!P93</f>
        <v>511</v>
      </c>
      <c r="Q93" s="23">
        <f>[1]节奏总纲!Q93</f>
        <v>428.11579999999998</v>
      </c>
      <c r="R93" s="23">
        <f>[1]节奏总纲!R93</f>
        <v>337.26</v>
      </c>
      <c r="S93" s="23">
        <f>[1]节奏总纲!S93</f>
        <v>250.39</v>
      </c>
      <c r="T93" s="23">
        <f>[1]节奏总纲!T93</f>
        <v>250.39</v>
      </c>
      <c r="V93" s="23">
        <v>90</v>
      </c>
      <c r="W93" s="23">
        <f>[1]节奏总纲!W93</f>
        <v>34.287108333154663</v>
      </c>
      <c r="X93" s="23">
        <f>[1]节奏总纲!X93</f>
        <v>18.524083479846468</v>
      </c>
      <c r="Y93" s="23">
        <f>[1]节奏总纲!Y93</f>
        <v>14.859071365712509</v>
      </c>
      <c r="Z93" s="23">
        <f>[1]节奏总纲!Z93</f>
        <v>23.951376458248461</v>
      </c>
      <c r="AA93" s="23">
        <f>[1]节奏总纲!AA93</f>
        <v>103.08571647494477</v>
      </c>
      <c r="AC93" s="23">
        <v>90</v>
      </c>
      <c r="AD93" s="23">
        <f>[1]节奏总纲!AD93</f>
        <v>65.075479910097457</v>
      </c>
      <c r="AE93" s="23">
        <f>[1]节奏总纲!AE93</f>
        <v>67.417219215178207</v>
      </c>
      <c r="AF93" s="23">
        <f>[1]节奏总纲!AF93</f>
        <v>70.327347719943774</v>
      </c>
      <c r="AG93" s="23">
        <f>[1]节奏总纲!AG93</f>
        <v>73.847701731183932</v>
      </c>
      <c r="AH93" s="23">
        <f>[1]节奏总纲!AH93</f>
        <v>83.095994378811852</v>
      </c>
      <c r="AZ93" s="23">
        <v>90</v>
      </c>
      <c r="BA93" s="23">
        <v>37.317457773889828</v>
      </c>
      <c r="BB93" s="23">
        <v>38.82039500446033</v>
      </c>
      <c r="BC93" s="23">
        <v>40.751734485509814</v>
      </c>
      <c r="BD93" s="23">
        <v>43.479537810324807</v>
      </c>
      <c r="BE93" s="23">
        <v>48.173700750441178</v>
      </c>
      <c r="BI93" s="24">
        <v>90</v>
      </c>
      <c r="BJ93" s="23">
        <f>[1]节奏总纲!BJ93</f>
        <v>3.8333333333333299</v>
      </c>
      <c r="BK93" s="23">
        <f>[1]节奏总纲!BK93</f>
        <v>3.9099999999999966</v>
      </c>
      <c r="BL93" s="23">
        <f>[1]节奏总纲!BL93</f>
        <v>4.0633333333333299</v>
      </c>
      <c r="BM93" s="23">
        <f>[1]节奏总纲!BM93</f>
        <v>4.3699999999999957</v>
      </c>
      <c r="BN93" s="23">
        <f>[1]节奏总纲!BN93</f>
        <v>5.3666666666666618</v>
      </c>
    </row>
    <row r="94" spans="6:66" x14ac:dyDescent="0.15">
      <c r="F94" s="23">
        <v>92</v>
      </c>
      <c r="G94" s="23">
        <v>587.1335577584814</v>
      </c>
      <c r="N94" s="35">
        <f>[1]节奏总纲!N94</f>
        <v>101</v>
      </c>
      <c r="O94" s="23">
        <v>91</v>
      </c>
      <c r="P94" s="23">
        <f>[1]节奏总纲!P94</f>
        <v>547.74801281858208</v>
      </c>
      <c r="Q94" s="23">
        <f>[1]节奏总纲!Q94</f>
        <v>459.01283474197174</v>
      </c>
      <c r="R94" s="23">
        <f>[1]节奏总纲!R94</f>
        <v>410.81100961393656</v>
      </c>
      <c r="S94" s="23">
        <f>[1]节奏总纲!S94</f>
        <v>410.81100961393656</v>
      </c>
      <c r="T94" s="23">
        <f>[1]节奏总纲!T94</f>
        <v>410.81100961393656</v>
      </c>
      <c r="V94" s="23">
        <v>91</v>
      </c>
      <c r="W94" s="23">
        <f>[1]节奏总纲!W94</f>
        <v>36.748012818582083</v>
      </c>
      <c r="X94" s="23">
        <f>[1]节奏总纲!X94</f>
        <v>30.897034741971765</v>
      </c>
      <c r="Y94" s="23">
        <f>[1]节奏总纲!Y94</f>
        <v>73.551009613936571</v>
      </c>
      <c r="Z94" s="23">
        <f>[1]节奏总纲!Z94</f>
        <v>160.42100961393658</v>
      </c>
      <c r="AA94" s="23">
        <f>[1]节奏总纲!AA94</f>
        <v>160.42100961393658</v>
      </c>
      <c r="AC94" s="23">
        <v>91</v>
      </c>
      <c r="AD94" s="23">
        <f>[1]节奏总纲!AD94</f>
        <v>65.229416240679981</v>
      </c>
      <c r="AE94" s="23">
        <f>[1]节奏总纲!AE94</f>
        <v>67.567538831515407</v>
      </c>
      <c r="AF94" s="23">
        <f>[1]节奏总纲!AF94</f>
        <v>70.483928471854128</v>
      </c>
      <c r="AG94" s="23">
        <f>[1]节奏总纲!AG94</f>
        <v>74.007902871340832</v>
      </c>
      <c r="AH94" s="23">
        <f>[1]节奏总纲!AH94</f>
        <v>83.251377867137364</v>
      </c>
      <c r="AZ94" s="23">
        <v>91</v>
      </c>
      <c r="BA94" s="23">
        <v>37.390060646747358</v>
      </c>
      <c r="BB94" s="23">
        <v>38.898683162257733</v>
      </c>
      <c r="BC94" s="23">
        <v>40.829433140342871</v>
      </c>
      <c r="BD94" s="23">
        <v>43.554431227194108</v>
      </c>
      <c r="BE94" s="23">
        <v>48.24548675007965</v>
      </c>
      <c r="BI94" s="24">
        <v>91</v>
      </c>
      <c r="BJ94" s="23">
        <f>[1]节奏总纲!BJ94</f>
        <v>3.8666666666666631</v>
      </c>
      <c r="BK94" s="23">
        <f>[1]节奏总纲!BK94</f>
        <v>3.9439999999999964</v>
      </c>
      <c r="BL94" s="23">
        <f>[1]节奏总纲!BL94</f>
        <v>4.0986666666666629</v>
      </c>
      <c r="BM94" s="23">
        <f>[1]节奏总纲!BM94</f>
        <v>4.4079999999999959</v>
      </c>
      <c r="BN94" s="23">
        <f>[1]节奏总纲!BN94</f>
        <v>5.4133333333333278</v>
      </c>
    </row>
    <row r="95" spans="6:66" x14ac:dyDescent="0.15">
      <c r="F95" s="23">
        <v>93</v>
      </c>
      <c r="G95" s="23">
        <v>629.34593963259704</v>
      </c>
      <c r="N95" s="35">
        <f>[1]节奏总纲!N95</f>
        <v>102</v>
      </c>
      <c r="O95" s="23">
        <v>92</v>
      </c>
      <c r="P95" s="23">
        <f>[1]节奏总纲!P95</f>
        <v>587.1335577584814</v>
      </c>
      <c r="Q95" s="23">
        <f>[1]节奏总纲!Q95</f>
        <v>584.66759681589576</v>
      </c>
      <c r="R95" s="23">
        <f>[1]节奏总纲!R95</f>
        <v>584.49145674856823</v>
      </c>
      <c r="S95" s="23">
        <f>[1]节奏总纲!S95</f>
        <v>585.95929064296445</v>
      </c>
      <c r="T95" s="23">
        <f>[1]节奏总纲!T95</f>
        <v>588.60139165287762</v>
      </c>
      <c r="V95" s="23">
        <v>92</v>
      </c>
      <c r="W95" s="23">
        <f>[1]节奏总纲!W95</f>
        <v>39.385544939899319</v>
      </c>
      <c r="X95" s="23">
        <f>[1]节奏总纲!X95</f>
        <v>125.65476207392402</v>
      </c>
      <c r="Y95" s="23">
        <f>[1]节奏总纲!Y95</f>
        <v>173.68044713463166</v>
      </c>
      <c r="Z95" s="23">
        <f>[1]节奏总纲!Z95</f>
        <v>175.14828102902788</v>
      </c>
      <c r="AA95" s="23">
        <f>[1]节奏总纲!AA95</f>
        <v>177.79038203894106</v>
      </c>
      <c r="AC95" s="23">
        <v>92</v>
      </c>
      <c r="AD95" s="23">
        <f>[1]节奏总纲!AD95</f>
        <v>65.38335257126252</v>
      </c>
      <c r="AE95" s="23">
        <f>[1]节奏总纲!AE95</f>
        <v>67.71785844785262</v>
      </c>
      <c r="AF95" s="23">
        <f>[1]节奏总纲!AF95</f>
        <v>70.640509223764482</v>
      </c>
      <c r="AG95" s="23">
        <f>[1]节奏总纲!AG95</f>
        <v>74.165367331112932</v>
      </c>
      <c r="AH95" s="23">
        <f>[1]节奏总纲!AH95</f>
        <v>83.406761355462876</v>
      </c>
      <c r="AZ95" s="23">
        <v>92</v>
      </c>
      <c r="BA95" s="23">
        <v>37.462663519604888</v>
      </c>
      <c r="BB95" s="23">
        <v>38.976971320055128</v>
      </c>
      <c r="BC95" s="23">
        <v>40.907131795175928</v>
      </c>
      <c r="BD95" s="23">
        <v>43.629324644063402</v>
      </c>
      <c r="BE95" s="23">
        <v>48.317272749718121</v>
      </c>
      <c r="BI95" s="24">
        <v>92</v>
      </c>
      <c r="BJ95" s="23">
        <f>[1]节奏总纲!BJ95</f>
        <v>3.8999999999999964</v>
      </c>
      <c r="BK95" s="23">
        <f>[1]节奏总纲!BK95</f>
        <v>3.9779999999999962</v>
      </c>
      <c r="BL95" s="23">
        <f>[1]节奏总纲!BL95</f>
        <v>4.1339999999999968</v>
      </c>
      <c r="BM95" s="23">
        <f>[1]节奏总纲!BM95</f>
        <v>4.4459999999999953</v>
      </c>
      <c r="BN95" s="23">
        <f>[1]节奏总纲!BN95</f>
        <v>5.4599999999999946</v>
      </c>
    </row>
    <row r="96" spans="6:66" x14ac:dyDescent="0.15">
      <c r="F96" s="23">
        <v>94</v>
      </c>
      <c r="G96" s="23">
        <v>674.58805031572183</v>
      </c>
      <c r="N96" s="35">
        <f>[1]节奏总纲!N96</f>
        <v>103</v>
      </c>
      <c r="O96" s="23">
        <v>93</v>
      </c>
      <c r="P96" s="23">
        <f>[1]节奏总纲!P96</f>
        <v>629.34593963259704</v>
      </c>
      <c r="Q96" s="23">
        <f>[1]节奏总纲!Q96</f>
        <v>629.34593963259704</v>
      </c>
      <c r="R96" s="23">
        <f>[1]节奏总纲!R96</f>
        <v>631.23397745149475</v>
      </c>
      <c r="S96" s="23">
        <f>[1]节奏总纲!S96</f>
        <v>632.49266933076001</v>
      </c>
      <c r="T96" s="23">
        <f>[1]节奏总纲!T96</f>
        <v>634.25483796173137</v>
      </c>
      <c r="V96" s="23">
        <v>93</v>
      </c>
      <c r="W96" s="23">
        <f>[1]节奏总纲!W96</f>
        <v>42.212381874115636</v>
      </c>
      <c r="X96" s="23">
        <f>[1]节奏总纲!X96</f>
        <v>44.678342816701274</v>
      </c>
      <c r="Y96" s="23">
        <f>[1]节奏总纲!Y96</f>
        <v>46.742520702926527</v>
      </c>
      <c r="Z96" s="23">
        <f>[1]节奏总纲!Z96</f>
        <v>46.533378687795562</v>
      </c>
      <c r="AA96" s="23">
        <f>[1]节奏总纲!AA96</f>
        <v>45.653446308853745</v>
      </c>
      <c r="AC96" s="23">
        <v>93</v>
      </c>
      <c r="AD96" s="23">
        <f>[1]节奏总纲!AD96</f>
        <v>65.537288901845059</v>
      </c>
      <c r="AE96" s="23">
        <f>[1]节奏总纲!AE96</f>
        <v>67.86817806418982</v>
      </c>
      <c r="AF96" s="23">
        <f>[1]节奏总纲!AF96</f>
        <v>70.797089975674822</v>
      </c>
      <c r="AG96" s="23">
        <f>[1]节奏总纲!AG96</f>
        <v>74.322831790885019</v>
      </c>
      <c r="AH96" s="23">
        <f>[1]节奏总纲!AH96</f>
        <v>83.562144843788403</v>
      </c>
      <c r="AZ96" s="23">
        <v>93</v>
      </c>
      <c r="BA96" s="23">
        <v>37.535266392462418</v>
      </c>
      <c r="BB96" s="23">
        <v>39.047673544184711</v>
      </c>
      <c r="BC96" s="23">
        <v>40.984830450008985</v>
      </c>
      <c r="BD96" s="23">
        <v>43.704218060932696</v>
      </c>
      <c r="BE96" s="23">
        <v>48.389058749356593</v>
      </c>
      <c r="BI96" s="24">
        <v>93</v>
      </c>
      <c r="BJ96" s="23">
        <f>[1]节奏总纲!BJ96</f>
        <v>3.9333333333333296</v>
      </c>
      <c r="BK96" s="23">
        <f>[1]节奏总纲!BK96</f>
        <v>4.011999999999996</v>
      </c>
      <c r="BL96" s="23">
        <f>[1]节奏总纲!BL96</f>
        <v>4.1693333333333298</v>
      </c>
      <c r="BM96" s="23">
        <f>[1]节奏总纲!BM96</f>
        <v>4.4839999999999955</v>
      </c>
      <c r="BN96" s="23">
        <f>[1]节奏总纲!BN96</f>
        <v>5.5066666666666615</v>
      </c>
    </row>
    <row r="97" spans="6:66" x14ac:dyDescent="0.15">
      <c r="F97" s="23">
        <v>95</v>
      </c>
      <c r="G97" s="23">
        <v>723.0773439350246</v>
      </c>
      <c r="N97" s="35">
        <f>[1]节奏总纲!N97</f>
        <v>104</v>
      </c>
      <c r="O97" s="23">
        <v>94</v>
      </c>
      <c r="P97" s="23">
        <f>[1]节奏总纲!P97</f>
        <v>674.58805031572183</v>
      </c>
      <c r="Q97" s="23">
        <f>[1]节奏总纲!Q97</f>
        <v>674.58805031572183</v>
      </c>
      <c r="R97" s="23">
        <f>[1]节奏总纲!R97</f>
        <v>676.61181446666887</v>
      </c>
      <c r="S97" s="23">
        <f>[1]节奏总纲!S97</f>
        <v>678.50066100755305</v>
      </c>
      <c r="T97" s="23">
        <f>[1]节奏总纲!T97</f>
        <v>679.78237830315288</v>
      </c>
      <c r="V97" s="23">
        <v>94</v>
      </c>
      <c r="W97" s="23">
        <f>[1]节奏总纲!W97</f>
        <v>45.242110683124793</v>
      </c>
      <c r="X97" s="23">
        <f>[1]节奏总纲!X97</f>
        <v>45.242110683124793</v>
      </c>
      <c r="Y97" s="23">
        <f>[1]节奏总纲!Y97</f>
        <v>45.377837015174123</v>
      </c>
      <c r="Z97" s="23">
        <f>[1]节奏总纲!Z97</f>
        <v>46.00799167679304</v>
      </c>
      <c r="AA97" s="23">
        <f>[1]节奏总纲!AA97</f>
        <v>45.527540341421513</v>
      </c>
      <c r="AC97" s="23">
        <v>94</v>
      </c>
      <c r="AD97" s="23">
        <f>[1]节奏总纲!AD97</f>
        <v>65.691225232427584</v>
      </c>
      <c r="AE97" s="23">
        <f>[1]节奏总纲!AE97</f>
        <v>68.015483293076443</v>
      </c>
      <c r="AF97" s="23">
        <f>[1]节奏总纲!AF97</f>
        <v>70.953670727585177</v>
      </c>
      <c r="AG97" s="23">
        <f>[1]节奏总纲!AG97</f>
        <v>74.480296250657105</v>
      </c>
      <c r="AH97" s="23">
        <f>[1]节奏总纲!AH97</f>
        <v>83.717528332113915</v>
      </c>
      <c r="AZ97" s="23">
        <v>94</v>
      </c>
      <c r="BA97" s="23">
        <v>37.607869265319941</v>
      </c>
      <c r="BB97" s="23">
        <v>39.115214427575864</v>
      </c>
      <c r="BC97" s="23">
        <v>41.053954370816207</v>
      </c>
      <c r="BD97" s="23">
        <v>43.77911147780199</v>
      </c>
      <c r="BE97" s="23">
        <v>48.460844748995065</v>
      </c>
      <c r="BI97" s="24">
        <v>94</v>
      </c>
      <c r="BJ97" s="23">
        <f>[1]节奏总纲!BJ97</f>
        <v>3.9666666666666628</v>
      </c>
      <c r="BK97" s="23">
        <f>[1]节奏总纲!BK97</f>
        <v>4.0459999999999958</v>
      </c>
      <c r="BL97" s="23">
        <f>[1]节奏总纲!BL97</f>
        <v>4.2046666666666628</v>
      </c>
      <c r="BM97" s="23">
        <f>[1]节奏总纲!BM97</f>
        <v>4.5219999999999949</v>
      </c>
      <c r="BN97" s="23">
        <f>[1]节奏总纲!BN97</f>
        <v>5.5533333333333275</v>
      </c>
    </row>
    <row r="98" spans="6:66" x14ac:dyDescent="0.15">
      <c r="F98" s="23">
        <v>96</v>
      </c>
      <c r="G98" s="23">
        <v>775.04688205332377</v>
      </c>
      <c r="N98" s="35">
        <f>[1]节奏总纲!N98</f>
        <v>105</v>
      </c>
      <c r="O98" s="23">
        <v>95</v>
      </c>
      <c r="P98" s="23">
        <f>[1]节奏总纲!P98</f>
        <v>723.0773439350246</v>
      </c>
      <c r="Q98" s="23">
        <f>[1]节奏总纲!Q98</f>
        <v>723.80042127895956</v>
      </c>
      <c r="R98" s="23">
        <f>[1]节奏总纲!R98</f>
        <v>725.53580690440378</v>
      </c>
      <c r="S98" s="23">
        <f>[1]节奏总纲!S98</f>
        <v>727.12657706106074</v>
      </c>
      <c r="T98" s="23">
        <f>[1]节奏总纲!T98</f>
        <v>728.42811628014385</v>
      </c>
      <c r="V98" s="23">
        <v>95</v>
      </c>
      <c r="W98" s="23">
        <f>[1]节奏总纲!W98</f>
        <v>48.489293619302771</v>
      </c>
      <c r="X98" s="23">
        <f>[1]节奏总纲!X98</f>
        <v>49.212370963237731</v>
      </c>
      <c r="Y98" s="23">
        <f>[1]节奏总纲!Y98</f>
        <v>48.92399243773491</v>
      </c>
      <c r="Z98" s="23">
        <f>[1]节奏总纲!Z98</f>
        <v>48.625916053507694</v>
      </c>
      <c r="AA98" s="23">
        <f>[1]节奏总纲!AA98</f>
        <v>48.645737976990972</v>
      </c>
      <c r="AC98" s="23">
        <v>95</v>
      </c>
      <c r="AD98" s="23">
        <f>[1]节奏总纲!AD98</f>
        <v>65.845161563010123</v>
      </c>
      <c r="AE98" s="23">
        <f>[1]节奏总纲!AE98</f>
        <v>68.141306780593538</v>
      </c>
      <c r="AF98" s="23">
        <f>[1]节奏总纲!AF98</f>
        <v>71.074195506450948</v>
      </c>
      <c r="AG98" s="23">
        <f>[1]节奏总纲!AG98</f>
        <v>74.637760710429191</v>
      </c>
      <c r="AH98" s="23">
        <f>[1]节奏总纲!AH98</f>
        <v>83.872911820439427</v>
      </c>
      <c r="AZ98" s="23">
        <v>95</v>
      </c>
      <c r="BA98" s="23">
        <v>37.680472138177471</v>
      </c>
      <c r="BB98" s="23">
        <v>39.182755310967018</v>
      </c>
      <c r="BC98" s="23">
        <v>41.120998062635785</v>
      </c>
      <c r="BD98" s="23">
        <v>43.854004894671284</v>
      </c>
      <c r="BE98" s="23">
        <v>48.532630748633537</v>
      </c>
      <c r="BI98" s="24">
        <v>95</v>
      </c>
      <c r="BJ98" s="23">
        <f>[1]节奏总纲!BJ98</f>
        <v>3.999999999999996</v>
      </c>
      <c r="BK98" s="23">
        <f>[1]节奏总纲!BK98</f>
        <v>4.0799999999999956</v>
      </c>
      <c r="BL98" s="23">
        <f>[1]节奏总纲!BL98</f>
        <v>4.2399999999999958</v>
      </c>
      <c r="BM98" s="23">
        <f>[1]节奏总纲!BM98</f>
        <v>4.5599999999999952</v>
      </c>
      <c r="BN98" s="23">
        <f>[1]节奏总纲!BN98</f>
        <v>5.5999999999999943</v>
      </c>
    </row>
    <row r="99" spans="6:66" x14ac:dyDescent="0.15">
      <c r="F99" s="23">
        <v>97</v>
      </c>
      <c r="G99" s="23">
        <v>830.74645386878444</v>
      </c>
      <c r="N99" s="35">
        <f>[1]节奏总纲!N99</f>
        <v>106</v>
      </c>
      <c r="O99" s="23">
        <v>96</v>
      </c>
      <c r="P99" s="23">
        <f>[1]节奏总纲!P99</f>
        <v>775.04688205332377</v>
      </c>
      <c r="Q99" s="23">
        <f>[1]节奏总纲!Q99</f>
        <v>775.43440549435036</v>
      </c>
      <c r="R99" s="23">
        <f>[1]节奏总纲!R99</f>
        <v>777.83705082871575</v>
      </c>
      <c r="S99" s="23">
        <f>[1]节奏总纲!S99</f>
        <v>779.38714459282244</v>
      </c>
      <c r="T99" s="23">
        <f>[1]节奏总纲!T99</f>
        <v>780.85973366872372</v>
      </c>
      <c r="V99" s="23">
        <v>96</v>
      </c>
      <c r="W99" s="23">
        <f>[1]节奏总纲!W99</f>
        <v>51.96953811829917</v>
      </c>
      <c r="X99" s="23">
        <f>[1]节奏总纲!X99</f>
        <v>51.633984215390797</v>
      </c>
      <c r="Y99" s="23">
        <f>[1]节奏总纲!Y99</f>
        <v>52.301243924311962</v>
      </c>
      <c r="Z99" s="23">
        <f>[1]节奏总纲!Z99</f>
        <v>52.260567531761694</v>
      </c>
      <c r="AA99" s="23">
        <f>[1]节奏总纲!AA99</f>
        <v>52.431617388579866</v>
      </c>
      <c r="AC99" s="23">
        <v>96</v>
      </c>
      <c r="AD99" s="23">
        <f>[1]节奏总纲!AD99</f>
        <v>65.999097893592648</v>
      </c>
      <c r="AE99" s="23">
        <f>[1]节奏总纲!AE99</f>
        <v>68.267130268110648</v>
      </c>
      <c r="AF99" s="23">
        <f>[1]节奏总纲!AF99</f>
        <v>71.179569041950131</v>
      </c>
      <c r="AG99" s="23">
        <f>[1]节奏总纲!AG99</f>
        <v>74.795225170201277</v>
      </c>
      <c r="AH99" s="23">
        <f>[1]节奏总纲!AH99</f>
        <v>84.026126945938969</v>
      </c>
      <c r="AZ99" s="23">
        <v>96</v>
      </c>
      <c r="BA99" s="23">
        <v>37.753075011035001</v>
      </c>
      <c r="BB99" s="23">
        <v>39.250296194358178</v>
      </c>
      <c r="BC99" s="23">
        <v>41.188041754455355</v>
      </c>
      <c r="BD99" s="23">
        <v>43.928898311540578</v>
      </c>
      <c r="BE99" s="23">
        <v>48.604416748272008</v>
      </c>
      <c r="BI99" s="24">
        <v>96</v>
      </c>
      <c r="BJ99" s="23">
        <f>[1]节奏总纲!BJ99</f>
        <v>4.0333333333333297</v>
      </c>
      <c r="BK99" s="23">
        <f>[1]节奏总纲!BK99</f>
        <v>4.1139999999999963</v>
      </c>
      <c r="BL99" s="23">
        <f>[1]节奏总纲!BL99</f>
        <v>4.2753333333333297</v>
      </c>
      <c r="BM99" s="23">
        <f>[1]节奏总纲!BM99</f>
        <v>4.5979999999999954</v>
      </c>
      <c r="BN99" s="23">
        <f>[1]节奏总纲!BN99</f>
        <v>5.6466666666666612</v>
      </c>
    </row>
    <row r="100" spans="6:66" x14ac:dyDescent="0.15">
      <c r="F100" s="23">
        <v>98</v>
      </c>
      <c r="G100" s="23">
        <v>890.4437768152311</v>
      </c>
      <c r="N100" s="35">
        <f>[1]节奏总纲!N100</f>
        <v>107</v>
      </c>
      <c r="O100" s="23">
        <v>97</v>
      </c>
      <c r="P100" s="23">
        <f>[1]节奏总纲!P100</f>
        <v>830.74645386878444</v>
      </c>
      <c r="Q100" s="23">
        <f>[1]节奏总纲!Q100</f>
        <v>831.99257354958763</v>
      </c>
      <c r="R100" s="23">
        <f>[1]节奏总纲!R100</f>
        <v>833.57099181193837</v>
      </c>
      <c r="S100" s="23">
        <f>[1]节奏总纲!S100</f>
        <v>835.23248471967588</v>
      </c>
      <c r="T100" s="23">
        <f>[1]节奏总纲!T100</f>
        <v>836.64475369125284</v>
      </c>
      <c r="V100" s="23">
        <v>97</v>
      </c>
      <c r="W100" s="23">
        <f>[1]节奏总纲!W100</f>
        <v>55.699571815460672</v>
      </c>
      <c r="X100" s="23">
        <f>[1]节奏总纲!X100</f>
        <v>56.558168055237275</v>
      </c>
      <c r="Y100" s="23">
        <f>[1]节奏总纲!Y100</f>
        <v>55.733940983222624</v>
      </c>
      <c r="Z100" s="23">
        <f>[1]节奏总纲!Z100</f>
        <v>55.845340126853444</v>
      </c>
      <c r="AA100" s="23">
        <f>[1]节奏总纲!AA100</f>
        <v>55.785020022529125</v>
      </c>
      <c r="AC100" s="23">
        <v>97</v>
      </c>
      <c r="AD100" s="23">
        <f>[1]节奏总纲!AD100</f>
        <v>66.142785979989682</v>
      </c>
      <c r="AE100" s="23">
        <f>[1]节奏总纲!AE100</f>
        <v>68.392953755627744</v>
      </c>
      <c r="AF100" s="23">
        <f>[1]节奏总纲!AF100</f>
        <v>71.284942577449314</v>
      </c>
      <c r="AG100" s="23">
        <f>[1]节奏总纲!AG100</f>
        <v>74.952689629973364</v>
      </c>
      <c r="AH100" s="23">
        <f>[1]节奏总纲!AH100</f>
        <v>84.169602885113704</v>
      </c>
      <c r="AZ100" s="23">
        <v>97</v>
      </c>
      <c r="BA100" s="23">
        <v>37.825677883892531</v>
      </c>
      <c r="BB100" s="23">
        <v>39.317837077749331</v>
      </c>
      <c r="BC100" s="23">
        <v>41.255085446274933</v>
      </c>
      <c r="BD100" s="23">
        <v>44.003272544984547</v>
      </c>
      <c r="BE100" s="23">
        <v>48.67620274791048</v>
      </c>
      <c r="BI100" s="24">
        <v>97</v>
      </c>
      <c r="BJ100" s="23">
        <f>[1]节奏总纲!BJ100</f>
        <v>4.0666666666666629</v>
      </c>
      <c r="BK100" s="23">
        <f>[1]节奏总纲!BK100</f>
        <v>4.1479999999999961</v>
      </c>
      <c r="BL100" s="23">
        <f>[1]节奏总纲!BL100</f>
        <v>4.3106666666666626</v>
      </c>
      <c r="BM100" s="23">
        <f>[1]节奏总纲!BM100</f>
        <v>4.6359999999999957</v>
      </c>
      <c r="BN100" s="23">
        <f>[1]节奏总纲!BN100</f>
        <v>5.693333333333328</v>
      </c>
    </row>
    <row r="101" spans="6:66" x14ac:dyDescent="0.15">
      <c r="F101" s="23">
        <v>99</v>
      </c>
      <c r="G101" s="23">
        <v>954.42578333369079</v>
      </c>
      <c r="N101" s="35">
        <f>[1]节奏总纲!N101</f>
        <v>108</v>
      </c>
      <c r="O101" s="23">
        <v>98</v>
      </c>
      <c r="P101" s="23">
        <f>[1]节奏总纲!P101</f>
        <v>890.4437768152311</v>
      </c>
      <c r="Q101" s="23">
        <f>[1]节奏总纲!Q101</f>
        <v>890.88899870363866</v>
      </c>
      <c r="R101" s="23">
        <f>[1]节奏总纲!R101</f>
        <v>893.47128565640298</v>
      </c>
      <c r="S101" s="23">
        <f>[1]节奏总纲!S101</f>
        <v>894.89599569930715</v>
      </c>
      <c r="T101" s="23">
        <f>[1]节奏总纲!T101</f>
        <v>896.05357260916708</v>
      </c>
      <c r="V101" s="23">
        <v>98</v>
      </c>
      <c r="W101" s="23">
        <f>[1]节奏总纲!W101</f>
        <v>59.697322946446661</v>
      </c>
      <c r="X101" s="23">
        <f>[1]节奏总纲!X101</f>
        <v>58.89642515405103</v>
      </c>
      <c r="Y101" s="23">
        <f>[1]节奏总纲!Y101</f>
        <v>59.900293844464613</v>
      </c>
      <c r="Z101" s="23">
        <f>[1]节奏总纲!Z101</f>
        <v>59.663510979631269</v>
      </c>
      <c r="AA101" s="23">
        <f>[1]节奏总纲!AA101</f>
        <v>59.408818917914232</v>
      </c>
      <c r="AC101" s="23">
        <v>98</v>
      </c>
      <c r="AD101" s="23">
        <f>[1]节奏总纲!AD101</f>
        <v>66.286413655019302</v>
      </c>
      <c r="AE101" s="23">
        <f>[1]节奏总纲!AE101</f>
        <v>68.518777243144839</v>
      </c>
      <c r="AF101" s="23">
        <f>[1]节奏总纲!AF101</f>
        <v>71.390316112948497</v>
      </c>
      <c r="AG101" s="23">
        <f>[1]节奏总纲!AG101</f>
        <v>75.188935411670542</v>
      </c>
      <c r="AH101" s="23">
        <f>[1]节奏总纲!AH101</f>
        <v>84.313078824288425</v>
      </c>
      <c r="AZ101" s="23">
        <v>98</v>
      </c>
      <c r="BA101" s="23">
        <v>37.898280756750061</v>
      </c>
      <c r="BB101" s="23">
        <v>39.385377961140485</v>
      </c>
      <c r="BC101" s="23">
        <v>41.322129138094503</v>
      </c>
      <c r="BD101" s="23">
        <v>44.067911160744309</v>
      </c>
      <c r="BE101" s="23">
        <v>48.747988747548945</v>
      </c>
      <c r="BI101" s="24">
        <v>98</v>
      </c>
      <c r="BJ101" s="23">
        <f>[1]节奏总纲!BJ101</f>
        <v>4.0999999999999961</v>
      </c>
      <c r="BK101" s="23">
        <f>[1]节奏总纲!BK101</f>
        <v>4.1819999999999959</v>
      </c>
      <c r="BL101" s="23">
        <f>[1]节奏总纲!BL101</f>
        <v>4.3459999999999956</v>
      </c>
      <c r="BM101" s="23">
        <f>[1]节奏总纲!BM101</f>
        <v>4.673999999999995</v>
      </c>
      <c r="BN101" s="23">
        <f>[1]节奏总纲!BN101</f>
        <v>5.739999999999994</v>
      </c>
    </row>
    <row r="102" spans="6:66" x14ac:dyDescent="0.15">
      <c r="F102" s="23">
        <v>100</v>
      </c>
      <c r="G102" s="23">
        <v>1023</v>
      </c>
      <c r="N102" s="35">
        <f>[1]节奏总纲!N102</f>
        <v>109</v>
      </c>
      <c r="O102" s="23">
        <v>99</v>
      </c>
      <c r="P102" s="23">
        <f>[1]节奏总纲!P102</f>
        <v>954.42578333369079</v>
      </c>
      <c r="Q102" s="23">
        <f>[1]节奏总纲!Q102</f>
        <v>955.8574220086914</v>
      </c>
      <c r="R102" s="23">
        <f>[1]节奏总纲!R102</f>
        <v>957.38450326202531</v>
      </c>
      <c r="S102" s="23">
        <f>[1]节奏总纲!S102</f>
        <v>959.6751251420261</v>
      </c>
      <c r="T102" s="23">
        <f>[1]节奏总纲!T102</f>
        <v>960.8204360820265</v>
      </c>
      <c r="V102" s="23">
        <v>99</v>
      </c>
      <c r="W102" s="23">
        <f>[1]节奏总纲!W102</f>
        <v>63.982006518459684</v>
      </c>
      <c r="X102" s="23">
        <f>[1]节奏总纲!X102</f>
        <v>64.968423305052738</v>
      </c>
      <c r="Y102" s="23">
        <f>[1]节奏总纲!Y102</f>
        <v>63.913217605622322</v>
      </c>
      <c r="Z102" s="23">
        <f>[1]节奏总纲!Z102</f>
        <v>64.779129442718954</v>
      </c>
      <c r="AA102" s="23">
        <f>[1]节奏总纲!AA102</f>
        <v>64.766863472859427</v>
      </c>
      <c r="AC102" s="23">
        <v>99</v>
      </c>
      <c r="AD102" s="23">
        <f>[1]节奏总纲!AD102</f>
        <v>66.430041330048923</v>
      </c>
      <c r="AE102" s="23">
        <f>[1]节奏总纲!AE102</f>
        <v>68.644600730661949</v>
      </c>
      <c r="AF102" s="23">
        <f>[1]节奏总纲!AF102</f>
        <v>71.49568964844768</v>
      </c>
      <c r="AG102" s="23">
        <f>[1]节奏总纲!AG102</f>
        <v>75.459017190742642</v>
      </c>
      <c r="AH102" s="23">
        <f>[1]节奏总纲!AH102</f>
        <v>84.45655476346316</v>
      </c>
      <c r="AZ102" s="23">
        <v>99</v>
      </c>
      <c r="BA102" s="23">
        <v>37.970883629607592</v>
      </c>
      <c r="BB102" s="23">
        <v>39.452918844531645</v>
      </c>
      <c r="BC102" s="23">
        <v>41.389172829914081</v>
      </c>
      <c r="BD102" s="23">
        <v>44.132549776504064</v>
      </c>
      <c r="BE102" s="23">
        <v>48.819774747187417</v>
      </c>
      <c r="BI102" s="24">
        <v>99</v>
      </c>
      <c r="BJ102" s="23">
        <f>[1]节奏总纲!BJ102</f>
        <v>4.1333333333333293</v>
      </c>
      <c r="BK102" s="23">
        <f>[1]节奏总纲!BK102</f>
        <v>4.2159999999999958</v>
      </c>
      <c r="BL102" s="23">
        <f>[1]节奏总纲!BL102</f>
        <v>4.3813333333333295</v>
      </c>
      <c r="BM102" s="23">
        <f>[1]节奏总纲!BM102</f>
        <v>4.7119999999999953</v>
      </c>
      <c r="BN102" s="23">
        <f>[1]节奏总纲!BN102</f>
        <v>5.7866666666666609</v>
      </c>
    </row>
    <row r="103" spans="6:66" x14ac:dyDescent="0.15">
      <c r="F103" s="23">
        <v>101</v>
      </c>
      <c r="G103" s="23">
        <v>1096.4960256371633</v>
      </c>
      <c r="N103" s="35">
        <f>[1]节奏总纲!N103</f>
        <v>110</v>
      </c>
      <c r="O103" s="23">
        <v>100</v>
      </c>
      <c r="P103" s="23">
        <f>[1]节奏总纲!P103</f>
        <v>1023</v>
      </c>
      <c r="Q103" s="23">
        <f>[1]节奏总纲!Q103</f>
        <v>1023.5115</v>
      </c>
      <c r="R103" s="23">
        <f>[1]节奏总纲!R103</f>
        <v>1025.7620999999999</v>
      </c>
      <c r="S103" s="23">
        <f>[1]节奏总纲!S103</f>
        <v>1028.1149999999998</v>
      </c>
      <c r="T103" s="23">
        <f>[1]节奏总纲!T103</f>
        <v>1029.8541</v>
      </c>
      <c r="V103" s="23">
        <v>100</v>
      </c>
      <c r="W103" s="23">
        <f>[1]节奏总纲!W103</f>
        <v>68.574216666309212</v>
      </c>
      <c r="X103" s="23">
        <f>[1]节奏总纲!X103</f>
        <v>67.654077991308554</v>
      </c>
      <c r="Y103" s="23">
        <f>[1]节奏总纲!Y103</f>
        <v>68.377596737974613</v>
      </c>
      <c r="Z103" s="23">
        <f>[1]节奏总纲!Z103</f>
        <v>68.439874857973678</v>
      </c>
      <c r="AA103" s="23">
        <f>[1]节奏总纲!AA103</f>
        <v>69.033663917973513</v>
      </c>
      <c r="AC103" s="23">
        <v>100</v>
      </c>
      <c r="AD103" s="23">
        <f>[1]节奏总纲!AD103</f>
        <v>66.573669005078543</v>
      </c>
      <c r="AE103" s="23">
        <f>[1]节奏总纲!AE103</f>
        <v>68.770424218179045</v>
      </c>
      <c r="AF103" s="23">
        <f>[1]节奏总纲!AF103</f>
        <v>71.601063183946863</v>
      </c>
      <c r="AG103" s="23">
        <f>[1]节奏总纲!AG103</f>
        <v>75.729098969814757</v>
      </c>
      <c r="AH103" s="23">
        <f>[1]节奏总纲!AH103</f>
        <v>84.600030702637895</v>
      </c>
      <c r="AZ103" s="23">
        <v>100</v>
      </c>
      <c r="BA103" s="23">
        <v>38.037513426486328</v>
      </c>
      <c r="BB103" s="23">
        <v>39.520459727922798</v>
      </c>
      <c r="BC103" s="23">
        <v>41.456216521733651</v>
      </c>
      <c r="BD103" s="23">
        <v>44.197188392263818</v>
      </c>
      <c r="BE103" s="23">
        <v>48.891560746825888</v>
      </c>
      <c r="BI103" s="24">
        <v>100</v>
      </c>
      <c r="BJ103" s="23">
        <f>[1]节奏总纲!BJ103</f>
        <v>4.1666666666666625</v>
      </c>
      <c r="BK103" s="23">
        <f>[1]节奏总纲!BK103</f>
        <v>4.2499999999999956</v>
      </c>
      <c r="BL103" s="23">
        <f>[1]节奏总纲!BL103</f>
        <v>4.4166666666666625</v>
      </c>
      <c r="BM103" s="23">
        <f>[1]节奏总纲!BM103</f>
        <v>4.7499999999999947</v>
      </c>
      <c r="BN103" s="23">
        <f>[1]节奏总纲!BN103</f>
        <v>5.8333333333333268</v>
      </c>
    </row>
    <row r="104" spans="6:66" x14ac:dyDescent="0.15">
      <c r="F104" s="23">
        <v>102</v>
      </c>
      <c r="G104" s="23">
        <v>1175.2671155169628</v>
      </c>
      <c r="N104" s="35">
        <f>[1]节奏总纲!N104</f>
        <v>111</v>
      </c>
      <c r="O104" s="23">
        <v>101</v>
      </c>
      <c r="P104" s="23">
        <f>[1]节奏总纲!P104</f>
        <v>1096.4960256371633</v>
      </c>
      <c r="Q104" s="23">
        <f>[1]节奏总纲!Q104</f>
        <v>1097.0442736499817</v>
      </c>
      <c r="R104" s="23">
        <f>[1]节奏总纲!R104</f>
        <v>1099.4565649063836</v>
      </c>
      <c r="S104" s="23">
        <f>[1]节奏总纲!S104</f>
        <v>1101.3206081499668</v>
      </c>
      <c r="T104" s="23">
        <f>[1]节奏总纲!T104</f>
        <v>1103.6232498038048</v>
      </c>
      <c r="V104" s="23">
        <v>101</v>
      </c>
      <c r="W104" s="23">
        <f>[1]节奏总纲!W104</f>
        <v>73.496025637163257</v>
      </c>
      <c r="X104" s="23">
        <f>[1]节奏总纲!X104</f>
        <v>73.532773649981777</v>
      </c>
      <c r="Y104" s="23">
        <f>[1]节奏总纲!Y104</f>
        <v>73.694464906383701</v>
      </c>
      <c r="Z104" s="23">
        <f>[1]节奏总纲!Z104</f>
        <v>73.20560814996702</v>
      </c>
      <c r="AA104" s="23">
        <f>[1]节奏总纲!AA104</f>
        <v>73.769149803804794</v>
      </c>
      <c r="AC104" s="23">
        <v>101</v>
      </c>
      <c r="AD104" s="23">
        <f>[1]节奏总纲!AD104</f>
        <v>66.717296680108163</v>
      </c>
      <c r="AE104" s="23">
        <f>[1]节奏总纲!AE104</f>
        <v>68.89624770569614</v>
      </c>
      <c r="AF104" s="23">
        <f>[1]节奏总纲!AF104</f>
        <v>71.706436719446046</v>
      </c>
      <c r="AG104" s="23">
        <f>[1]节奏总纲!AG104</f>
        <v>75.999180748886857</v>
      </c>
      <c r="AH104" s="23">
        <f>[1]节奏总纲!AH104</f>
        <v>84.74350664181263</v>
      </c>
      <c r="AZ104" s="23">
        <v>101</v>
      </c>
      <c r="BA104" s="23">
        <v>38.100143952724252</v>
      </c>
      <c r="BB104" s="23">
        <v>39.588000611313952</v>
      </c>
      <c r="BC104" s="23">
        <v>41.523260213553229</v>
      </c>
      <c r="BD104" s="23">
        <v>44.261827008023573</v>
      </c>
      <c r="BE104" s="23">
        <v>48.96334674646436</v>
      </c>
    </row>
    <row r="105" spans="6:66" x14ac:dyDescent="0.15">
      <c r="F105" s="23">
        <v>103</v>
      </c>
      <c r="G105" s="23">
        <v>1259.6918792651943</v>
      </c>
      <c r="N105" s="35">
        <f>[1]节奏总纲!N105</f>
        <v>112</v>
      </c>
      <c r="O105" s="23">
        <v>102</v>
      </c>
      <c r="P105" s="23">
        <f>[1]节奏总纲!P105</f>
        <v>1175.2671155169628</v>
      </c>
      <c r="Q105" s="23">
        <f>[1]节奏总纲!Q105</f>
        <v>1175.8547490747212</v>
      </c>
      <c r="R105" s="23">
        <f>[1]节奏总纲!R105</f>
        <v>1178.4403367288585</v>
      </c>
      <c r="S105" s="23">
        <f>[1]节奏总纲!S105</f>
        <v>1180.4382908252373</v>
      </c>
      <c r="T105" s="23">
        <f>[1]节奏总纲!T105</f>
        <v>1181.7310846523062</v>
      </c>
      <c r="V105" s="23">
        <v>102</v>
      </c>
      <c r="W105" s="23">
        <f>[1]节奏总纲!W105</f>
        <v>78.771089879799547</v>
      </c>
      <c r="X105" s="23">
        <f>[1]节奏总纲!X105</f>
        <v>78.810475424739479</v>
      </c>
      <c r="Y105" s="23">
        <f>[1]节奏总纲!Y105</f>
        <v>78.983771822474864</v>
      </c>
      <c r="Z105" s="23">
        <f>[1]节奏总纲!Z105</f>
        <v>79.117682675270544</v>
      </c>
      <c r="AA105" s="23">
        <f>[1]节奏总纲!AA105</f>
        <v>78.107834848501398</v>
      </c>
      <c r="AC105" s="23">
        <v>102</v>
      </c>
      <c r="AD105" s="23">
        <f>[1]节奏总纲!AD105</f>
        <v>66.860924355137783</v>
      </c>
      <c r="AE105" s="23">
        <f>[1]节奏总纲!AE105</f>
        <v>69.024303590876698</v>
      </c>
      <c r="AF105" s="23">
        <f>[1]节奏总纲!AF105</f>
        <v>71.811810254945215</v>
      </c>
      <c r="AG105" s="23">
        <f>[1]节奏总纲!AG105</f>
        <v>76.246896660880253</v>
      </c>
      <c r="AH105" s="23">
        <f>[1]节奏总纲!AH105</f>
        <v>84.88698258098735</v>
      </c>
      <c r="AZ105" s="23">
        <v>102</v>
      </c>
      <c r="BA105" s="23">
        <v>38.16277447896217</v>
      </c>
      <c r="BB105" s="23">
        <v>39.655541494705105</v>
      </c>
      <c r="BC105" s="23">
        <v>41.590303905372799</v>
      </c>
      <c r="BD105" s="23">
        <v>44.326465623783335</v>
      </c>
      <c r="BE105" s="23">
        <v>49.030333272797542</v>
      </c>
    </row>
    <row r="106" spans="6:66" x14ac:dyDescent="0.15">
      <c r="F106" s="23">
        <v>104</v>
      </c>
      <c r="G106" s="23">
        <v>1350.1761006314437</v>
      </c>
      <c r="N106" s="35">
        <f>[1]节奏总纲!N106</f>
        <v>113</v>
      </c>
      <c r="O106" s="23">
        <v>103</v>
      </c>
      <c r="P106" s="23">
        <f>[1]节奏总纲!P106</f>
        <v>1259.6918792651943</v>
      </c>
      <c r="Q106" s="23">
        <f>[1]节奏总纲!Q106</f>
        <v>1260.3217252048269</v>
      </c>
      <c r="R106" s="23">
        <f>[1]节奏总纲!R106</f>
        <v>1263.0930473392102</v>
      </c>
      <c r="S106" s="23">
        <f>[1]节奏总纲!S106</f>
        <v>1264.6046775943287</v>
      </c>
      <c r="T106" s="23">
        <f>[1]节奏总纲!T106</f>
        <v>1267.2500305407855</v>
      </c>
      <c r="V106" s="23">
        <v>103</v>
      </c>
      <c r="W106" s="23">
        <f>[1]节奏总纲!W106</f>
        <v>84.424763748231499</v>
      </c>
      <c r="X106" s="23">
        <f>[1]节奏总纲!X106</f>
        <v>84.46697613010565</v>
      </c>
      <c r="Y106" s="23">
        <f>[1]节奏总纲!Y106</f>
        <v>84.652710610351733</v>
      </c>
      <c r="Z106" s="23">
        <f>[1]节奏总纲!Z106</f>
        <v>84.166386769091332</v>
      </c>
      <c r="AA106" s="23">
        <f>[1]节奏总纲!AA106</f>
        <v>85.518945888479266</v>
      </c>
      <c r="AC106" s="23">
        <v>103</v>
      </c>
      <c r="AD106" s="23">
        <f>[1]节奏总纲!AD106</f>
        <v>67.004247194324648</v>
      </c>
      <c r="AE106" s="23">
        <f>[1]节奏总纲!AE106</f>
        <v>69.162853533951775</v>
      </c>
      <c r="AF106" s="23">
        <f>[1]节奏总纲!AF106</f>
        <v>71.917183790444398</v>
      </c>
      <c r="AG106" s="23">
        <f>[1]节奏总纲!AG106</f>
        <v>76.494544523072449</v>
      </c>
      <c r="AH106" s="23">
        <f>[1]节奏总纲!AH106</f>
        <v>85.051192888198855</v>
      </c>
      <c r="AZ106" s="23">
        <v>103</v>
      </c>
      <c r="BA106" s="23">
        <v>38.225405005200088</v>
      </c>
      <c r="BB106" s="23">
        <v>39.723082378096265</v>
      </c>
      <c r="BC106" s="23">
        <v>41.657347597192377</v>
      </c>
      <c r="BD106" s="23">
        <v>44.39110423954309</v>
      </c>
      <c r="BE106" s="23">
        <v>49.09231260978715</v>
      </c>
    </row>
    <row r="107" spans="6:66" x14ac:dyDescent="0.15">
      <c r="F107" s="23">
        <v>105</v>
      </c>
      <c r="G107" s="23">
        <v>1447.1546878700494</v>
      </c>
      <c r="N107" s="35">
        <f>[1]节奏总纲!N107</f>
        <v>114</v>
      </c>
      <c r="O107" s="23">
        <v>104</v>
      </c>
      <c r="P107" s="23">
        <f>[1]节奏总纲!P107</f>
        <v>1350.1761006314437</v>
      </c>
      <c r="Q107" s="23">
        <f>[1]节奏总纲!Q107</f>
        <v>1350.8511886817594</v>
      </c>
      <c r="R107" s="23">
        <f>[1]节奏总纲!R107</f>
        <v>1353.8215761031483</v>
      </c>
      <c r="S107" s="23">
        <f>[1]节奏总纲!S107</f>
        <v>1355.4417874239064</v>
      </c>
      <c r="T107" s="23">
        <f>[1]节奏总纲!T107</f>
        <v>1358.2771572352324</v>
      </c>
      <c r="V107" s="23">
        <v>104</v>
      </c>
      <c r="W107" s="23">
        <f>[1]节奏总纲!W107</f>
        <v>90.484221366249358</v>
      </c>
      <c r="X107" s="23">
        <f>[1]节奏总纲!X107</f>
        <v>90.529463476932506</v>
      </c>
      <c r="Y107" s="23">
        <f>[1]节奏总纲!Y107</f>
        <v>90.728528763938129</v>
      </c>
      <c r="Z107" s="23">
        <f>[1]节奏总纲!Z107</f>
        <v>90.837109829577685</v>
      </c>
      <c r="AA107" s="23">
        <f>[1]节奏总纲!AA107</f>
        <v>91.027126694446906</v>
      </c>
      <c r="AC107" s="23">
        <v>104</v>
      </c>
      <c r="AD107" s="23">
        <f>[1]节奏总纲!AD107</f>
        <v>67.138256553625013</v>
      </c>
      <c r="AE107" s="23">
        <f>[1]节奏总纲!AE107</f>
        <v>69.301403477026852</v>
      </c>
      <c r="AF107" s="23">
        <f>[1]节奏总纲!AF107</f>
        <v>72.021295329906394</v>
      </c>
      <c r="AG107" s="23">
        <f>[1]节奏总纲!AG107</f>
        <v>76.742192385264644</v>
      </c>
      <c r="AH107" s="23">
        <f>[1]节奏总纲!AH107</f>
        <v>85.292338803178069</v>
      </c>
      <c r="AZ107" s="23">
        <v>104</v>
      </c>
      <c r="BA107" s="23">
        <v>38.288035531438013</v>
      </c>
      <c r="BB107" s="23">
        <v>39.790623261487418</v>
      </c>
      <c r="BC107" s="23">
        <v>41.724391289011947</v>
      </c>
      <c r="BD107" s="23">
        <v>44.455742855302844</v>
      </c>
      <c r="BE107" s="23">
        <v>49.154291946776759</v>
      </c>
    </row>
    <row r="108" spans="6:66" x14ac:dyDescent="0.15">
      <c r="F108" s="23">
        <v>106</v>
      </c>
      <c r="G108" s="23">
        <v>1551.0937641066464</v>
      </c>
      <c r="N108" s="35">
        <f>[1]节奏总纲!N108</f>
        <v>115</v>
      </c>
      <c r="O108" s="23">
        <v>105</v>
      </c>
      <c r="P108" s="23">
        <f>[1]节奏总纲!P108</f>
        <v>1447.1546878700494</v>
      </c>
      <c r="Q108" s="23">
        <f>[1]节奏总纲!Q108</f>
        <v>1447.8782652139844</v>
      </c>
      <c r="R108" s="23">
        <f>[1]节奏总纲!R108</f>
        <v>1451.0620055272984</v>
      </c>
      <c r="S108" s="23">
        <f>[1]节奏总纲!S108</f>
        <v>1453.6668839654646</v>
      </c>
      <c r="T108" s="23">
        <f>[1]节奏总纲!T108</f>
        <v>1455.1140386533348</v>
      </c>
      <c r="V108" s="23">
        <v>105</v>
      </c>
      <c r="W108" s="23">
        <f>[1]节奏总纲!W108</f>
        <v>96.978587238605769</v>
      </c>
      <c r="X108" s="23">
        <f>[1]节奏总纲!X108</f>
        <v>97.02707653222501</v>
      </c>
      <c r="Y108" s="23">
        <f>[1]节奏总纲!Y108</f>
        <v>97.240429424150079</v>
      </c>
      <c r="Z108" s="23">
        <f>[1]节奏总纲!Z108</f>
        <v>98.225096541558287</v>
      </c>
      <c r="AA108" s="23">
        <f>[1]节奏总纲!AA108</f>
        <v>96.836881418102394</v>
      </c>
      <c r="AC108" s="23">
        <v>105</v>
      </c>
      <c r="AD108" s="23">
        <f>[1]节奏总纲!AD108</f>
        <v>67.272265912925377</v>
      </c>
      <c r="AE108" s="23">
        <f>[1]节奏总纲!AE108</f>
        <v>69.439953420101929</v>
      </c>
      <c r="AF108" s="23">
        <f>[1]节奏总纲!AF108</f>
        <v>72.120773619463876</v>
      </c>
      <c r="AG108" s="23">
        <f>[1]节奏总纲!AG108</f>
        <v>76.989840247456826</v>
      </c>
      <c r="AH108" s="23">
        <f>[1]节奏总纲!AH108</f>
        <v>85.533484718157268</v>
      </c>
      <c r="AZ108" s="23">
        <v>105</v>
      </c>
      <c r="BA108" s="23">
        <v>38.35066605767593</v>
      </c>
      <c r="BB108" s="23">
        <v>39.858164144878572</v>
      </c>
      <c r="BC108" s="23">
        <v>41.791434980831518</v>
      </c>
      <c r="BD108" s="23">
        <v>44.520381471062606</v>
      </c>
      <c r="BE108" s="23">
        <v>49.216271283766375</v>
      </c>
    </row>
    <row r="109" spans="6:66" x14ac:dyDescent="0.15">
      <c r="F109" s="23">
        <v>107</v>
      </c>
      <c r="G109" s="23">
        <v>1662.4929077375689</v>
      </c>
      <c r="N109" s="35">
        <f>[1]节奏总纲!N109</f>
        <v>116</v>
      </c>
      <c r="O109" s="23">
        <v>106</v>
      </c>
      <c r="P109" s="23">
        <f>[1]节奏总纲!P109</f>
        <v>1551.0937641066464</v>
      </c>
      <c r="Q109" s="23">
        <f>[1]节奏总纲!Q109</f>
        <v>1551.8693109886997</v>
      </c>
      <c r="R109" s="23">
        <f>[1]节奏总纲!R109</f>
        <v>1555.2817172697341</v>
      </c>
      <c r="S109" s="23">
        <f>[1]节奏总纲!S109</f>
        <v>1557.763467292305</v>
      </c>
      <c r="T109" s="23">
        <f>[1]节奏总纲!T109</f>
        <v>1559.6247798092331</v>
      </c>
      <c r="V109" s="23">
        <v>106</v>
      </c>
      <c r="W109" s="23">
        <f>[1]节奏总纲!W109</f>
        <v>103.93907623659697</v>
      </c>
      <c r="X109" s="23">
        <f>[1]节奏总纲!X109</f>
        <v>103.9910457747153</v>
      </c>
      <c r="Y109" s="23">
        <f>[1]节奏总纲!Y109</f>
        <v>104.21971174243572</v>
      </c>
      <c r="Z109" s="23">
        <f>[1]节奏总纲!Z109</f>
        <v>104.09658332684035</v>
      </c>
      <c r="AA109" s="23">
        <f>[1]节奏总纲!AA109</f>
        <v>104.51074115589836</v>
      </c>
      <c r="AC109" s="23">
        <v>106</v>
      </c>
      <c r="AD109" s="23">
        <f>[1]节奏总纲!AD109</f>
        <v>67.406275272225741</v>
      </c>
      <c r="AE109" s="23">
        <f>[1]节奏总纲!AE109</f>
        <v>69.578503363177006</v>
      </c>
      <c r="AF109" s="23">
        <f>[1]节奏总纲!AF109</f>
        <v>72.220251909021343</v>
      </c>
      <c r="AG109" s="23">
        <f>[1]节奏总纲!AG109</f>
        <v>77.223430617575644</v>
      </c>
      <c r="AH109" s="23">
        <f>[1]节奏总纲!AH109</f>
        <v>85.774630633136468</v>
      </c>
      <c r="AZ109" s="23">
        <v>106</v>
      </c>
      <c r="BA109" s="23">
        <v>38.413296583913848</v>
      </c>
      <c r="BB109" s="23">
        <v>39.925705028269732</v>
      </c>
      <c r="BC109" s="23">
        <v>41.858478672651096</v>
      </c>
      <c r="BD109" s="23">
        <v>44.585020086822361</v>
      </c>
      <c r="BE109" s="23">
        <v>49.278250620755983</v>
      </c>
    </row>
    <row r="110" spans="6:66" x14ac:dyDescent="0.15">
      <c r="F110" s="23">
        <v>108</v>
      </c>
      <c r="G110" s="23">
        <v>1781.8875536304624</v>
      </c>
      <c r="N110" s="35">
        <f>[1]节奏总纲!N110</f>
        <v>117</v>
      </c>
      <c r="O110" s="23">
        <v>107</v>
      </c>
      <c r="P110" s="23">
        <f>[1]节奏总纲!P110</f>
        <v>1662.4929077375689</v>
      </c>
      <c r="Q110" s="23">
        <f>[1]节奏总纲!Q110</f>
        <v>1663.3241541914376</v>
      </c>
      <c r="R110" s="23">
        <f>[1]节奏总纲!R110</f>
        <v>1666.9816385884601</v>
      </c>
      <c r="S110" s="23">
        <f>[1]节奏总纲!S110</f>
        <v>1669.3091286592928</v>
      </c>
      <c r="T110" s="23">
        <f>[1]节奏总纲!T110</f>
        <v>1671.6366187301255</v>
      </c>
      <c r="V110" s="23">
        <v>107</v>
      </c>
      <c r="W110" s="23">
        <f>[1]节奏总纲!W110</f>
        <v>111.39914363092248</v>
      </c>
      <c r="X110" s="23">
        <f>[1]节奏总纲!X110</f>
        <v>111.45484320273795</v>
      </c>
      <c r="Y110" s="23">
        <f>[1]节奏总纲!Y110</f>
        <v>111.69992131872596</v>
      </c>
      <c r="Z110" s="23">
        <f>[1]节奏总纲!Z110</f>
        <v>111.54566136698782</v>
      </c>
      <c r="AA110" s="23">
        <f>[1]节奏总纲!AA110</f>
        <v>112.01183892089239</v>
      </c>
      <c r="AC110" s="23">
        <v>107</v>
      </c>
      <c r="AD110" s="23">
        <f>[1]节奏总纲!AD110</f>
        <v>67.540284631526106</v>
      </c>
      <c r="AE110" s="23">
        <f>[1]节奏总纲!AE110</f>
        <v>69.717053306252083</v>
      </c>
      <c r="AF110" s="23">
        <f>[1]节奏总纲!AF110</f>
        <v>72.319730198578824</v>
      </c>
      <c r="AG110" s="23">
        <f>[1]节奏总纲!AG110</f>
        <v>77.456419607519877</v>
      </c>
      <c r="AH110" s="23">
        <f>[1]节奏总纲!AH110</f>
        <v>86.01823567737307</v>
      </c>
      <c r="AZ110" s="23">
        <v>107</v>
      </c>
      <c r="BA110" s="23">
        <v>38.475927110151773</v>
      </c>
      <c r="BB110" s="23">
        <v>39.993245911660885</v>
      </c>
      <c r="BC110" s="23">
        <v>41.925522364470666</v>
      </c>
      <c r="BD110" s="23">
        <v>44.649658702582116</v>
      </c>
      <c r="BE110" s="23">
        <v>49.340229957745592</v>
      </c>
    </row>
    <row r="111" spans="6:66" x14ac:dyDescent="0.15">
      <c r="F111" s="23">
        <v>109</v>
      </c>
      <c r="G111" s="23">
        <v>1909.8515666673818</v>
      </c>
      <c r="N111" s="35">
        <f>[1]节奏总纲!N111</f>
        <v>118</v>
      </c>
      <c r="O111" s="23">
        <v>108</v>
      </c>
      <c r="P111" s="23">
        <f>[1]节奏总纲!P111</f>
        <v>1781.8875536304624</v>
      </c>
      <c r="Q111" s="23">
        <f>[1]节奏总纲!Q111</f>
        <v>1782.7784974072777</v>
      </c>
      <c r="R111" s="23">
        <f>[1]节奏总纲!R111</f>
        <v>1786.6986500252644</v>
      </c>
      <c r="S111" s="23">
        <f>[1]节奏总纲!S111</f>
        <v>1789.1932926003474</v>
      </c>
      <c r="T111" s="23">
        <f>[1]节奏总纲!T111</f>
        <v>1790.7969913986146</v>
      </c>
      <c r="V111" s="23">
        <v>108</v>
      </c>
      <c r="W111" s="23">
        <f>[1]节奏总纲!W111</f>
        <v>119.39464589289355</v>
      </c>
      <c r="X111" s="23">
        <f>[1]节奏总纲!X111</f>
        <v>119.45434321584003</v>
      </c>
      <c r="Y111" s="23">
        <f>[1]节奏总纲!Y111</f>
        <v>119.71701143680434</v>
      </c>
      <c r="Z111" s="23">
        <f>[1]节奏总纲!Z111</f>
        <v>119.88416394105457</v>
      </c>
      <c r="AA111" s="23">
        <f>[1]节奏总纲!AA111</f>
        <v>119.16037266848912</v>
      </c>
      <c r="AC111" s="23">
        <v>108</v>
      </c>
      <c r="AD111" s="23">
        <f>[1]节奏总纲!AD111</f>
        <v>67.674293990826456</v>
      </c>
      <c r="AE111" s="23">
        <f>[1]节奏总纲!AE111</f>
        <v>69.85560324932716</v>
      </c>
      <c r="AF111" s="23">
        <f>[1]节奏总纲!AF111</f>
        <v>72.419208488136292</v>
      </c>
      <c r="AG111" s="23">
        <f>[1]节奏总纲!AG111</f>
        <v>77.689408597464123</v>
      </c>
      <c r="AH111" s="23">
        <f>[1]节奏总纲!AH111</f>
        <v>86.296969597692922</v>
      </c>
      <c r="AZ111" s="23">
        <v>108</v>
      </c>
      <c r="BA111" s="23">
        <v>38.53855763638969</v>
      </c>
      <c r="BB111" s="23">
        <v>40.052446592012309</v>
      </c>
      <c r="BC111" s="23">
        <v>41.992566056290244</v>
      </c>
      <c r="BD111" s="23">
        <v>44.71429731834187</v>
      </c>
      <c r="BE111" s="23">
        <v>49.402209294735208</v>
      </c>
    </row>
    <row r="112" spans="6:66" x14ac:dyDescent="0.15">
      <c r="F112" s="23">
        <v>110</v>
      </c>
      <c r="G112" s="23">
        <v>2047</v>
      </c>
      <c r="N112" s="35">
        <f>[1]节奏总纲!N112</f>
        <v>119</v>
      </c>
      <c r="O112" s="23">
        <v>109</v>
      </c>
      <c r="P112" s="23">
        <f>[1]节奏总纲!P112</f>
        <v>1909.8515666673818</v>
      </c>
      <c r="Q112" s="23">
        <f>[1]节奏总纲!Q112</f>
        <v>1910.8064924507155</v>
      </c>
      <c r="R112" s="23">
        <f>[1]节奏总纲!R112</f>
        <v>1915.0081658973836</v>
      </c>
      <c r="S112" s="23">
        <f>[1]节奏总纲!S112</f>
        <v>1917.2999877773846</v>
      </c>
      <c r="T112" s="23">
        <f>[1]节奏总纲!T112</f>
        <v>1918.445898717385</v>
      </c>
      <c r="V112" s="23">
        <v>109</v>
      </c>
      <c r="W112" s="23">
        <f>[1]节奏总纲!W112</f>
        <v>127.96401303691937</v>
      </c>
      <c r="X112" s="23">
        <f>[1]节奏总纲!X112</f>
        <v>128.02799504343784</v>
      </c>
      <c r="Y112" s="23">
        <f>[1]节奏总纲!Y112</f>
        <v>128.30951587211916</v>
      </c>
      <c r="Z112" s="23">
        <f>[1]节奏总纲!Z112</f>
        <v>128.10669517703718</v>
      </c>
      <c r="AA112" s="23">
        <f>[1]节奏总纲!AA112</f>
        <v>127.6489073187704</v>
      </c>
      <c r="AC112" s="23">
        <v>109</v>
      </c>
      <c r="AD112" s="23">
        <f>[1]节奏总纲!AD112</f>
        <v>67.80830335012682</v>
      </c>
      <c r="AE112" s="23">
        <f>[1]节奏总纲!AE112</f>
        <v>69.994153192402237</v>
      </c>
      <c r="AF112" s="23">
        <f>[1]节奏总纲!AF112</f>
        <v>72.518686777693773</v>
      </c>
      <c r="AG112" s="23">
        <f>[1]节奏总纲!AG112</f>
        <v>77.922397587408355</v>
      </c>
      <c r="AH112" s="23">
        <f>[1]节奏总纲!AH112</f>
        <v>86.575703518012773</v>
      </c>
      <c r="AZ112" s="23">
        <v>109</v>
      </c>
      <c r="BA112" s="23">
        <v>38.601188162627608</v>
      </c>
      <c r="BB112" s="23">
        <v>40.110720583137102</v>
      </c>
      <c r="BC112" s="23">
        <v>42.051439554347354</v>
      </c>
      <c r="BD112" s="23">
        <v>44.778935934101632</v>
      </c>
      <c r="BE112" s="23">
        <v>49.464188631724817</v>
      </c>
    </row>
    <row r="113" spans="6:57" x14ac:dyDescent="0.15">
      <c r="F113" s="23">
        <v>111</v>
      </c>
      <c r="G113" s="23">
        <v>2193.9920512743265</v>
      </c>
      <c r="N113" s="35">
        <f>[1]节奏总纲!N113</f>
        <v>120</v>
      </c>
      <c r="O113" s="23">
        <v>110</v>
      </c>
      <c r="P113" s="23">
        <f>[1]节奏总纲!P113</f>
        <v>2047</v>
      </c>
      <c r="Q113" s="23">
        <f>[1]节奏总纲!Q113</f>
        <v>2048.0234999999998</v>
      </c>
      <c r="R113" s="23">
        <f>[1]节奏总纲!R113</f>
        <v>2052.5268999999998</v>
      </c>
      <c r="S113" s="23">
        <f>[1]节奏总纲!S113</f>
        <v>2054.5738999999999</v>
      </c>
      <c r="T113" s="23">
        <f>[1]节奏总纲!T113</f>
        <v>2056.2114999999999</v>
      </c>
      <c r="V113" s="23">
        <v>110</v>
      </c>
      <c r="W113" s="23">
        <f>[1]节奏总纲!W113</f>
        <v>137.1484333326182</v>
      </c>
      <c r="X113" s="23">
        <f>[1]节奏总纲!X113</f>
        <v>137.21700754928429</v>
      </c>
      <c r="Y113" s="23">
        <f>[1]节奏总纲!Y113</f>
        <v>137.51873410261624</v>
      </c>
      <c r="Z113" s="23">
        <f>[1]节奏总纲!Z113</f>
        <v>137.27391222261531</v>
      </c>
      <c r="AA113" s="23">
        <f>[1]节奏总纲!AA113</f>
        <v>137.76560128261485</v>
      </c>
      <c r="AC113" s="23">
        <v>110</v>
      </c>
      <c r="AD113" s="23">
        <f>[1]节奏总纲!AD113</f>
        <v>67.942312709427185</v>
      </c>
      <c r="AE113" s="23">
        <f>[1]节奏总纲!AE113</f>
        <v>70.127132456093392</v>
      </c>
      <c r="AF113" s="23">
        <f>[1]节奏总纲!AF113</f>
        <v>72.61816506725124</v>
      </c>
      <c r="AG113" s="23">
        <f>[1]节奏总纲!AG113</f>
        <v>78.112878199154096</v>
      </c>
      <c r="AH113" s="23">
        <f>[1]节奏总纲!AH113</f>
        <v>86.854437438332624</v>
      </c>
      <c r="AZ113" s="23">
        <v>110</v>
      </c>
      <c r="BA113" s="23">
        <v>38.663818688865533</v>
      </c>
      <c r="BB113" s="23">
        <v>40.168994574261895</v>
      </c>
      <c r="BC113" s="23">
        <v>42.109294145892463</v>
      </c>
      <c r="BD113" s="23">
        <v>44.843574549861387</v>
      </c>
      <c r="BE113" s="23">
        <v>49.526167968714425</v>
      </c>
    </row>
    <row r="114" spans="6:57" x14ac:dyDescent="0.15">
      <c r="F114" s="23">
        <v>112</v>
      </c>
      <c r="G114" s="23">
        <v>2351.5342310339256</v>
      </c>
      <c r="AC114" s="23">
        <v>111</v>
      </c>
      <c r="AD114" s="23">
        <f>[1]节奏总纲!AD114</f>
        <v>68.071211008105138</v>
      </c>
      <c r="AE114" s="23">
        <f>[1]节奏总纲!AE114</f>
        <v>70.259866279536055</v>
      </c>
      <c r="AF114" s="23">
        <f>[1]节奏总纲!AF114</f>
        <v>72.717643356808722</v>
      </c>
      <c r="AG114" s="23">
        <f>[1]节奏总纲!AG114</f>
        <v>78.282129482345454</v>
      </c>
      <c r="AH114" s="23">
        <f>[1]节奏总纲!AH114</f>
        <v>87.113323085573086</v>
      </c>
      <c r="AZ114" s="23">
        <v>111</v>
      </c>
      <c r="BA114" s="23">
        <v>38.72644921510345</v>
      </c>
      <c r="BB114" s="23">
        <v>40.227268565386687</v>
      </c>
      <c r="BC114" s="23">
        <v>42.167148737437572</v>
      </c>
      <c r="BD114" s="23">
        <v>44.908213165621142</v>
      </c>
      <c r="BE114" s="23">
        <v>49.588147305704041</v>
      </c>
    </row>
    <row r="115" spans="6:57" x14ac:dyDescent="0.15">
      <c r="F115" s="23">
        <v>113</v>
      </c>
      <c r="G115" s="23">
        <v>2520.3837585303886</v>
      </c>
      <c r="AC115" s="23">
        <v>112</v>
      </c>
      <c r="AD115" s="23">
        <f>[1]节奏总纲!AD115</f>
        <v>68.196246161507091</v>
      </c>
      <c r="AE115" s="23">
        <f>[1]节奏总纲!AE115</f>
        <v>70.392600102978733</v>
      </c>
      <c r="AF115" s="23">
        <f>[1]节奏总纲!AF115</f>
        <v>72.817121646366189</v>
      </c>
      <c r="AG115" s="23">
        <f>[1]节奏总纲!AG115</f>
        <v>78.451380765536811</v>
      </c>
      <c r="AH115" s="23">
        <f>[1]节奏总纲!AH115</f>
        <v>87.350513636335251</v>
      </c>
      <c r="AZ115" s="23">
        <v>112</v>
      </c>
      <c r="BA115" s="23">
        <v>38.789079741341368</v>
      </c>
      <c r="BB115" s="23">
        <v>40.28554255651148</v>
      </c>
      <c r="BC115" s="23">
        <v>42.225003328982673</v>
      </c>
      <c r="BD115" s="23">
        <v>44.972851781380903</v>
      </c>
      <c r="BE115" s="23">
        <v>49.65012664269365</v>
      </c>
    </row>
    <row r="116" spans="6:57" x14ac:dyDescent="0.15">
      <c r="F116" s="23">
        <v>114</v>
      </c>
      <c r="G116" s="23">
        <v>2701.3522012628878</v>
      </c>
      <c r="AC116" s="23">
        <v>113</v>
      </c>
      <c r="AD116" s="23">
        <f>[1]节奏总纲!AD116</f>
        <v>68.321281314909029</v>
      </c>
      <c r="AE116" s="23">
        <f>[1]节奏总纲!AE116</f>
        <v>70.525333926421411</v>
      </c>
      <c r="AF116" s="23">
        <f>[1]节奏总纲!AF116</f>
        <v>72.916599935923671</v>
      </c>
      <c r="AG116" s="23">
        <f>[1]节奏总纲!AG116</f>
        <v>78.620632048728169</v>
      </c>
      <c r="AH116" s="23">
        <f>[1]节奏总纲!AH116</f>
        <v>87.587704187097415</v>
      </c>
      <c r="AZ116" s="23">
        <v>113</v>
      </c>
      <c r="BA116" s="23">
        <v>38.851710267579293</v>
      </c>
      <c r="BB116" s="23">
        <v>40.343816547636273</v>
      </c>
      <c r="BC116" s="23">
        <v>42.282857920527782</v>
      </c>
      <c r="BD116" s="23">
        <v>45.032359480672049</v>
      </c>
      <c r="BE116" s="23">
        <v>49.712105979683258</v>
      </c>
    </row>
    <row r="117" spans="6:57" x14ac:dyDescent="0.15">
      <c r="F117" s="23">
        <v>115</v>
      </c>
      <c r="G117" s="23">
        <v>2895.3093757400989</v>
      </c>
      <c r="AC117" s="23">
        <v>114</v>
      </c>
      <c r="AD117" s="23">
        <f>[1]节奏总纲!AD117</f>
        <v>68.446316468310982</v>
      </c>
      <c r="AE117" s="23">
        <f>[1]节奏总纲!AE117</f>
        <v>70.658067749864074</v>
      </c>
      <c r="AF117" s="23">
        <f>[1]节奏总纲!AF117</f>
        <v>73.019696098281912</v>
      </c>
      <c r="AG117" s="23">
        <f>[1]节奏总纲!AG117</f>
        <v>78.789883331919512</v>
      </c>
      <c r="AH117" s="23">
        <f>[1]节奏总纲!AH117</f>
        <v>87.824894737859566</v>
      </c>
      <c r="AZ117" s="23">
        <v>114</v>
      </c>
      <c r="BA117" s="23">
        <v>38.91434079381721</v>
      </c>
      <c r="BB117" s="23">
        <v>40.402090538761065</v>
      </c>
      <c r="BC117" s="23">
        <v>42.340712512072891</v>
      </c>
      <c r="BD117" s="23">
        <v>45.088151688727308</v>
      </c>
      <c r="BE117" s="23">
        <v>49.774085316672867</v>
      </c>
    </row>
    <row r="118" spans="6:57" x14ac:dyDescent="0.15">
      <c r="F118" s="23">
        <v>116</v>
      </c>
      <c r="G118" s="23">
        <v>3103.1875282132928</v>
      </c>
      <c r="AC118" s="23">
        <v>115</v>
      </c>
      <c r="AD118" s="23">
        <f>[1]节奏总纲!AD118</f>
        <v>68.571351621712935</v>
      </c>
      <c r="AE118" s="23">
        <f>[1]节奏总纲!AE118</f>
        <v>70.790801573306751</v>
      </c>
      <c r="AF118" s="23">
        <f>[1]节奏总纲!AF118</f>
        <v>73.141558686310518</v>
      </c>
      <c r="AG118" s="23">
        <f>[1]节奏总纲!AG118</f>
        <v>78.95913461511087</v>
      </c>
      <c r="AH118" s="23">
        <f>[1]节奏总纲!AH118</f>
        <v>88.008037600532532</v>
      </c>
      <c r="AZ118" s="23">
        <v>115</v>
      </c>
      <c r="BA118" s="23">
        <v>38.976971320055128</v>
      </c>
      <c r="BB118" s="23">
        <v>40.460364529885858</v>
      </c>
      <c r="BC118" s="23">
        <v>42.398567103617999</v>
      </c>
      <c r="BD118" s="23">
        <v>45.143943896782567</v>
      </c>
      <c r="BE118" s="23">
        <v>49.836064653662483</v>
      </c>
    </row>
    <row r="119" spans="6:57" x14ac:dyDescent="0.15">
      <c r="F119" s="23">
        <v>117</v>
      </c>
      <c r="G119" s="23">
        <v>3325.985815475135</v>
      </c>
      <c r="AC119" s="23">
        <v>116</v>
      </c>
      <c r="AD119" s="23">
        <f>[1]节奏总纲!AD119</f>
        <v>68.696386775114874</v>
      </c>
      <c r="AE119" s="23">
        <f>[1]节奏总纲!AE119</f>
        <v>70.923535396749429</v>
      </c>
      <c r="AF119" s="23">
        <f>[1]节奏总纲!AF119</f>
        <v>73.263421274339123</v>
      </c>
      <c r="AG119" s="23">
        <f>[1]节奏总纲!AG119</f>
        <v>79.055526616402318</v>
      </c>
      <c r="AH119" s="23">
        <f>[1]节奏总纲!AH119</f>
        <v>88.038744438487882</v>
      </c>
      <c r="AZ119" s="23">
        <v>116</v>
      </c>
      <c r="BA119" s="23">
        <v>39.034165367506482</v>
      </c>
      <c r="BB119" s="23">
        <v>40.518638521010644</v>
      </c>
      <c r="BC119" s="23">
        <v>42.456421695163108</v>
      </c>
      <c r="BD119" s="23">
        <v>45.199736104837825</v>
      </c>
      <c r="BE119" s="23">
        <v>49.898043990652091</v>
      </c>
    </row>
    <row r="120" spans="6:57" x14ac:dyDescent="0.15">
      <c r="F120" s="23">
        <v>118</v>
      </c>
      <c r="G120" s="23">
        <v>3564.7751072609281</v>
      </c>
      <c r="AC120" s="23">
        <v>117</v>
      </c>
      <c r="AD120" s="23">
        <f>[1]节奏总纲!AD120</f>
        <v>68.821421928516827</v>
      </c>
      <c r="AE120" s="23">
        <f>[1]节奏总纲!AE120</f>
        <v>71.048612085188921</v>
      </c>
      <c r="AF120" s="23">
        <f>[1]节奏总纲!AF120</f>
        <v>73.385283862367729</v>
      </c>
      <c r="AG120" s="23">
        <f>[1]节奏总纲!AG120</f>
        <v>79.128727421176407</v>
      </c>
      <c r="AH120" s="23">
        <f>[1]节奏总纲!AH120</f>
        <v>88.069451276443232</v>
      </c>
      <c r="AZ120" s="23">
        <v>117</v>
      </c>
      <c r="BA120" s="23">
        <v>39.088198074219406</v>
      </c>
      <c r="BB120" s="23">
        <v>40.576912512135436</v>
      </c>
      <c r="BC120" s="23">
        <v>42.51427628670821</v>
      </c>
      <c r="BD120" s="23">
        <v>45.255528312893091</v>
      </c>
      <c r="BE120" s="23">
        <v>49.9600233276417</v>
      </c>
    </row>
    <row r="121" spans="6:57" x14ac:dyDescent="0.15">
      <c r="F121" s="23">
        <v>119</v>
      </c>
      <c r="G121" s="23">
        <v>3820.7031333347636</v>
      </c>
      <c r="AC121" s="23">
        <v>118</v>
      </c>
      <c r="AD121" s="23">
        <f>[1]节奏总纲!AD121</f>
        <v>68.946457081918766</v>
      </c>
      <c r="AE121" s="23">
        <f>[1]节奏总纲!AE121</f>
        <v>71.163283443893008</v>
      </c>
      <c r="AF121" s="23">
        <f>[1]节奏总纲!AF121</f>
        <v>73.507146450396334</v>
      </c>
      <c r="AG121" s="23">
        <f>[1]节奏总纲!AG121</f>
        <v>79.201928225950496</v>
      </c>
      <c r="AH121" s="23">
        <f>[1]节奏总纲!AH121</f>
        <v>88.100158114398582</v>
      </c>
      <c r="AZ121" s="23">
        <v>118</v>
      </c>
      <c r="BA121" s="23">
        <v>39.14223078093233</v>
      </c>
      <c r="BB121" s="23">
        <v>40.635186503260229</v>
      </c>
      <c r="BC121" s="23">
        <v>42.572130878253319</v>
      </c>
      <c r="BD121" s="23">
        <v>45.31132052094835</v>
      </c>
      <c r="BE121" s="23">
        <v>50</v>
      </c>
    </row>
    <row r="122" spans="6:57" x14ac:dyDescent="0.15">
      <c r="F122" s="23">
        <v>120</v>
      </c>
      <c r="G122" s="23">
        <v>4095</v>
      </c>
      <c r="AC122" s="23">
        <v>119</v>
      </c>
      <c r="AD122" s="23">
        <f>[1]节奏总纲!AD122</f>
        <v>69.066704614192943</v>
      </c>
      <c r="AE122" s="23">
        <f>[1]节奏总纲!AE122</f>
        <v>71.27795480259708</v>
      </c>
      <c r="AF122" s="23">
        <f>[1]节奏总纲!AF122</f>
        <v>73.62900903842494</v>
      </c>
      <c r="AG122" s="23">
        <f>[1]节奏总纲!AG122</f>
        <v>79.275129030724585</v>
      </c>
      <c r="AH122" s="23">
        <f>[1]节奏总纲!AH122</f>
        <v>88.130864952353932</v>
      </c>
      <c r="AZ122" s="23">
        <v>119</v>
      </c>
      <c r="BA122" s="23">
        <v>39.196263487645254</v>
      </c>
      <c r="BB122" s="23">
        <v>40.693460494385022</v>
      </c>
      <c r="BC122" s="23">
        <v>42.629985469798427</v>
      </c>
      <c r="BD122" s="23">
        <v>45.367112729003608</v>
      </c>
      <c r="BE122" s="23">
        <v>50</v>
      </c>
    </row>
    <row r="123" spans="6:57" x14ac:dyDescent="0.15">
      <c r="F123" s="23">
        <v>121</v>
      </c>
      <c r="G123" s="23">
        <v>4388.9841025486576</v>
      </c>
      <c r="AC123" s="23">
        <v>120</v>
      </c>
      <c r="AD123" s="23">
        <f>[1]节奏总纲!AD123</f>
        <v>69.18336653741882</v>
      </c>
      <c r="AE123" s="23">
        <f>[1]节奏总纲!AE123</f>
        <v>71.392626161301152</v>
      </c>
      <c r="AF123" s="23">
        <f>[1]节奏总纲!AF123</f>
        <v>73.750871626453545</v>
      </c>
      <c r="AG123" s="23">
        <f>[1]节奏总纲!AG123</f>
        <v>79.348329835498674</v>
      </c>
      <c r="AH123" s="23">
        <f>[1]节奏总纲!AH123</f>
        <v>88.161571790309267</v>
      </c>
      <c r="AZ123" s="23">
        <v>120</v>
      </c>
      <c r="BA123" s="23">
        <v>39.250296194358178</v>
      </c>
      <c r="BB123" s="23">
        <v>40.751734485509814</v>
      </c>
      <c r="BC123" s="23">
        <v>42.687840061343536</v>
      </c>
      <c r="BD123" s="23">
        <v>45.422904937058867</v>
      </c>
      <c r="BE123" s="23">
        <v>50</v>
      </c>
    </row>
    <row r="124" spans="6:57" x14ac:dyDescent="0.15">
      <c r="F124" s="23">
        <v>122</v>
      </c>
      <c r="G124" s="23">
        <v>4704.0684620678521</v>
      </c>
      <c r="AC124" s="23">
        <v>121</v>
      </c>
      <c r="AD124" s="23">
        <f>[1]节奏总纲!AD124</f>
        <v>69.300028460644711</v>
      </c>
      <c r="AE124" s="23">
        <f>[1]节奏总纲!AE124</f>
        <v>71.507297520005238</v>
      </c>
      <c r="AF124" s="23">
        <f>[1]节奏总纲!AF124</f>
        <v>73.872734214482151</v>
      </c>
      <c r="AG124" s="23">
        <f>[1]节奏总纲!AG124</f>
        <v>79.421530640272763</v>
      </c>
      <c r="AH124" s="23">
        <f>[1]节奏总纲!AH124</f>
        <v>88.192278628264617</v>
      </c>
      <c r="AZ124" s="23">
        <v>121</v>
      </c>
      <c r="BA124" s="23">
        <v>39.304328901071102</v>
      </c>
      <c r="BB124" s="23">
        <v>40.810008476634607</v>
      </c>
      <c r="BC124" s="23">
        <v>42.745694652888645</v>
      </c>
      <c r="BD124" s="23">
        <v>45.478697145114126</v>
      </c>
      <c r="BE124" s="23">
        <v>50</v>
      </c>
    </row>
    <row r="125" spans="6:57" x14ac:dyDescent="0.15">
      <c r="F125" s="23">
        <v>123</v>
      </c>
      <c r="G125" s="23">
        <v>5041.7675170607781</v>
      </c>
      <c r="AC125" s="23">
        <v>122</v>
      </c>
      <c r="AD125" s="23">
        <f>[1]节奏总纲!AD125</f>
        <v>69.416690383870588</v>
      </c>
      <c r="AE125" s="23">
        <f>[1]节奏总纲!AE125</f>
        <v>71.621968878709311</v>
      </c>
      <c r="AF125" s="23">
        <f>[1]节奏总纲!AF125</f>
        <v>73.994596802510756</v>
      </c>
      <c r="AG125" s="23">
        <f>[1]节奏总纲!AG125</f>
        <v>79.494731445046853</v>
      </c>
      <c r="AH125" s="23">
        <f>[1]节奏总纲!AH125</f>
        <v>88.222985466219967</v>
      </c>
      <c r="AZ125" s="23">
        <v>122</v>
      </c>
      <c r="BA125" s="23">
        <v>39.358361607784026</v>
      </c>
      <c r="BB125" s="23">
        <v>40.8682824677594</v>
      </c>
      <c r="BC125" s="23">
        <v>42.803549244433754</v>
      </c>
      <c r="BD125" s="23">
        <v>45.534489353169384</v>
      </c>
      <c r="BE125" s="23">
        <v>50</v>
      </c>
    </row>
    <row r="126" spans="6:57" x14ac:dyDescent="0.15">
      <c r="F126" s="23">
        <v>124</v>
      </c>
      <c r="G126" s="23">
        <v>5403.704402525771</v>
      </c>
      <c r="AC126" s="23">
        <v>123</v>
      </c>
      <c r="AD126" s="23">
        <f>[1]节奏总纲!AD126</f>
        <v>69.533352307096465</v>
      </c>
      <c r="AE126" s="23">
        <f>[1]节奏总纲!AE126</f>
        <v>71.736640237413397</v>
      </c>
      <c r="AF126" s="23">
        <f>[1]节奏总纲!AF126</f>
        <v>74.107140207017508</v>
      </c>
      <c r="AG126" s="23">
        <f>[1]节奏总纲!AG126</f>
        <v>79.567932249820942</v>
      </c>
      <c r="AH126" s="23">
        <f>[1]节奏总纲!AH126</f>
        <v>88.253692304175317</v>
      </c>
      <c r="AZ126" s="23">
        <v>123</v>
      </c>
      <c r="BA126" s="23">
        <v>39.41239431449695</v>
      </c>
      <c r="BB126" s="23">
        <v>40.926556458884193</v>
      </c>
      <c r="BC126" s="23">
        <v>42.861403835978855</v>
      </c>
      <c r="BD126" s="23">
        <v>45.590281561224643</v>
      </c>
      <c r="BE126" s="23">
        <v>50</v>
      </c>
    </row>
    <row r="127" spans="6:57" x14ac:dyDescent="0.15">
      <c r="F127" s="23">
        <v>125</v>
      </c>
      <c r="G127" s="23">
        <v>5791.6187514801986</v>
      </c>
      <c r="AC127" s="23">
        <v>124</v>
      </c>
      <c r="AD127" s="23">
        <f>[1]节奏总纲!AD127</f>
        <v>69.650014230322356</v>
      </c>
      <c r="AE127" s="23">
        <f>[1]节奏总纲!AE127</f>
        <v>71.851311596117469</v>
      </c>
      <c r="AF127" s="23">
        <f>[1]节奏总纲!AF127</f>
        <v>74.219251242878201</v>
      </c>
      <c r="AG127" s="23">
        <f>[1]节奏总纲!AG127</f>
        <v>79.641133054595031</v>
      </c>
      <c r="AH127" s="23">
        <f>[1]节奏总纲!AH127</f>
        <v>88.284399142130667</v>
      </c>
      <c r="AZ127" s="23">
        <v>124</v>
      </c>
      <c r="BA127" s="23">
        <v>39.466427021209874</v>
      </c>
      <c r="BB127" s="23">
        <v>40.984830450008978</v>
      </c>
      <c r="BC127" s="23">
        <v>42.919258427523964</v>
      </c>
      <c r="BD127" s="23">
        <v>45.646073769279901</v>
      </c>
      <c r="BE127" s="23">
        <v>50</v>
      </c>
    </row>
    <row r="128" spans="6:57" x14ac:dyDescent="0.15">
      <c r="F128" s="23">
        <v>126</v>
      </c>
      <c r="G128" s="23">
        <v>6207.3750564265865</v>
      </c>
      <c r="AC128" s="23">
        <v>125</v>
      </c>
      <c r="AD128" s="23">
        <f>[1]节奏总纲!AD128</f>
        <v>69.766676153548232</v>
      </c>
      <c r="AE128" s="23">
        <f>[1]节奏总纲!AE128</f>
        <v>71.965982954821555</v>
      </c>
      <c r="AF128" s="23">
        <f>[1]节奏总纲!AF128</f>
        <v>74.331362278738908</v>
      </c>
      <c r="AG128" s="23">
        <f>[1]节奏总纲!AG128</f>
        <v>79.71433385936912</v>
      </c>
      <c r="AH128" s="23">
        <f>[1]节奏总纲!AH128</f>
        <v>88.315105980086003</v>
      </c>
      <c r="AZ128" s="23">
        <v>125</v>
      </c>
      <c r="BA128" s="23">
        <v>39.520459727922798</v>
      </c>
      <c r="BB128" s="23">
        <v>41.037193447861313</v>
      </c>
      <c r="BC128" s="23">
        <v>42.977113019069073</v>
      </c>
      <c r="BD128" s="23">
        <v>45.701865977335167</v>
      </c>
      <c r="BE128" s="23">
        <v>50</v>
      </c>
    </row>
    <row r="129" spans="6:57" x14ac:dyDescent="0.15">
      <c r="F129" s="23">
        <v>127</v>
      </c>
      <c r="G129" s="23">
        <v>6652.971630950271</v>
      </c>
      <c r="AC129" s="23">
        <v>126</v>
      </c>
      <c r="AD129" s="23">
        <f>[1]节奏总纲!AD129</f>
        <v>69.883338076774123</v>
      </c>
      <c r="AE129" s="23">
        <f>[1]节奏总纲!AE129</f>
        <v>72.05971154276348</v>
      </c>
      <c r="AF129" s="23">
        <f>[1]节奏总纲!AF129</f>
        <v>74.443473314599601</v>
      </c>
      <c r="AG129" s="23">
        <f>[1]节奏总纲!AG129</f>
        <v>79.787534664143209</v>
      </c>
      <c r="AH129" s="23">
        <f>[1]节奏总纲!AH129</f>
        <v>88.345812818041352</v>
      </c>
      <c r="AZ129" s="23">
        <v>126</v>
      </c>
      <c r="BA129" s="23">
        <v>39.574492434635722</v>
      </c>
      <c r="BB129" s="23">
        <v>41.087476216725996</v>
      </c>
      <c r="BC129" s="23">
        <v>43.030177309109042</v>
      </c>
      <c r="BD129" s="23">
        <v>45.757658185390426</v>
      </c>
      <c r="BE129" s="23">
        <v>50</v>
      </c>
    </row>
    <row r="130" spans="6:57" x14ac:dyDescent="0.15">
      <c r="F130" s="23">
        <v>128</v>
      </c>
      <c r="G130" s="23">
        <v>7130.5502145218443</v>
      </c>
      <c r="AC130" s="23">
        <v>127</v>
      </c>
      <c r="AD130" s="23">
        <f>[1]节奏总纲!AD130</f>
        <v>70</v>
      </c>
      <c r="AE130" s="23">
        <f>[1]节奏总纲!AE130</f>
        <v>72.14460723450884</v>
      </c>
      <c r="AF130" s="23">
        <f>[1]节奏总纲!AF130</f>
        <v>74.555584350460308</v>
      </c>
      <c r="AG130" s="23">
        <f>[1]节奏总纲!AG130</f>
        <v>79.860735468917298</v>
      </c>
      <c r="AH130" s="23">
        <f>[1]节奏总纲!AH130</f>
        <v>88.376519655996702</v>
      </c>
      <c r="AZ130" s="23">
        <v>127</v>
      </c>
      <c r="BA130" s="23">
        <v>39.628525141348646</v>
      </c>
      <c r="BB130" s="23">
        <v>41.137758985590679</v>
      </c>
      <c r="BC130" s="23">
        <v>43.080106253688569</v>
      </c>
      <c r="BD130" s="23">
        <v>45.813450393445684</v>
      </c>
      <c r="BE130" s="23">
        <v>50</v>
      </c>
    </row>
    <row r="131" spans="6:57" x14ac:dyDescent="0.15">
      <c r="F131" s="23">
        <v>129</v>
      </c>
      <c r="G131" s="23">
        <v>7642.4062666695281</v>
      </c>
      <c r="AC131" s="23">
        <v>128</v>
      </c>
      <c r="AD131" s="23">
        <f>[1]节奏总纲!AD131</f>
        <v>70.108849423225877</v>
      </c>
      <c r="AE131" s="23">
        <f>[1]节奏总纲!AE131</f>
        <v>72.229502926254185</v>
      </c>
      <c r="AF131" s="23">
        <f>[1]节奏总纲!AF131</f>
        <v>74.667695386321</v>
      </c>
      <c r="AG131" s="23">
        <f>[1]节奏总纲!AG131</f>
        <v>79.933936273691387</v>
      </c>
      <c r="AH131" s="23">
        <f>[1]节奏总纲!AH131</f>
        <v>88.407226493952052</v>
      </c>
      <c r="AZ131" s="23">
        <v>128</v>
      </c>
      <c r="BA131" s="23">
        <v>39.68255784806157</v>
      </c>
      <c r="BB131" s="23">
        <v>41.188041754455355</v>
      </c>
      <c r="BC131" s="23">
        <v>43.130035198268104</v>
      </c>
      <c r="BD131" s="23">
        <v>45.869242601500943</v>
      </c>
      <c r="BE131" s="23">
        <v>50</v>
      </c>
    </row>
    <row r="132" spans="6:57" x14ac:dyDescent="0.15">
      <c r="F132" s="23">
        <v>130</v>
      </c>
      <c r="G132" s="23">
        <v>8191</v>
      </c>
      <c r="AC132" s="23">
        <v>129</v>
      </c>
      <c r="AD132" s="23">
        <f>[1]节奏总纲!AD132</f>
        <v>70.217698846451768</v>
      </c>
      <c r="AE132" s="23">
        <f>[1]节奏总纲!AE132</f>
        <v>72.314398617999544</v>
      </c>
      <c r="AF132" s="23">
        <f>[1]节奏总纲!AF132</f>
        <v>74.779806422181707</v>
      </c>
      <c r="AG132" s="23">
        <f>[1]节奏总纲!AG132</f>
        <v>80.008704052867927</v>
      </c>
      <c r="AH132" s="23">
        <f>[1]节奏总纲!AH132</f>
        <v>88.437933331907402</v>
      </c>
      <c r="AZ132" s="23">
        <v>129</v>
      </c>
      <c r="BA132" s="23">
        <v>39.736590554774494</v>
      </c>
      <c r="BB132" s="23">
        <v>41.238324523320038</v>
      </c>
      <c r="BC132" s="23">
        <v>43.179964142847631</v>
      </c>
      <c r="BD132" s="23">
        <v>45.925034809556202</v>
      </c>
      <c r="BE132" s="23">
        <v>50</v>
      </c>
    </row>
    <row r="133" spans="6:57" x14ac:dyDescent="0.15">
      <c r="F133" s="23">
        <v>131</v>
      </c>
      <c r="G133" s="23">
        <v>8778.9682050973151</v>
      </c>
      <c r="AC133" s="23">
        <v>130</v>
      </c>
      <c r="AD133" s="23">
        <f>[1]节奏总纲!AD133</f>
        <v>70.326548269677644</v>
      </c>
      <c r="AE133" s="23">
        <f>[1]节奏总纲!AE133</f>
        <v>72.399294309744903</v>
      </c>
      <c r="AF133" s="23">
        <f>[1]节奏总纲!AF133</f>
        <v>74.891917458042414</v>
      </c>
      <c r="AG133" s="23">
        <f>[1]节奏总纲!AG133</f>
        <v>80.097976389974804</v>
      </c>
      <c r="AH133" s="23">
        <f>[1]节奏总纲!AH133</f>
        <v>88.468640169862738</v>
      </c>
      <c r="AZ133" s="23">
        <v>130</v>
      </c>
      <c r="BA133" s="23">
        <v>39.790623261487418</v>
      </c>
      <c r="BB133" s="23">
        <v>41.288607292184714</v>
      </c>
      <c r="BC133" s="23">
        <v>43.229893087427158</v>
      </c>
      <c r="BD133" s="23">
        <v>45.98082701761146</v>
      </c>
      <c r="BE133" s="23">
        <v>50</v>
      </c>
    </row>
    <row r="134" spans="6:57" x14ac:dyDescent="0.15">
      <c r="F134" s="23">
        <v>132</v>
      </c>
      <c r="G134" s="23">
        <v>9409.1369241357042</v>
      </c>
      <c r="AC134" s="23">
        <v>131</v>
      </c>
      <c r="AD134" s="23">
        <f>[1]节奏总纲!AD134</f>
        <v>70.435397692903535</v>
      </c>
      <c r="AE134" s="23">
        <f>[1]节奏总纲!AE134</f>
        <v>72.484190001490248</v>
      </c>
      <c r="AF134" s="23">
        <f>[1]节奏总纲!AF134</f>
        <v>75.003817242911964</v>
      </c>
      <c r="AG134" s="23">
        <f>[1]节奏总纲!AG134</f>
        <v>80.187248727081666</v>
      </c>
      <c r="AH134" s="23">
        <f>[1]节奏总纲!AH134</f>
        <v>88.499347007818088</v>
      </c>
      <c r="AZ134" s="23">
        <v>131</v>
      </c>
      <c r="BA134" s="23">
        <v>39.844655968200342</v>
      </c>
      <c r="BB134" s="23">
        <v>41.338890061049398</v>
      </c>
      <c r="BC134" s="23">
        <v>43.279822032006692</v>
      </c>
      <c r="BD134" s="23">
        <v>46.031609894814238</v>
      </c>
      <c r="BE134" s="23">
        <v>50</v>
      </c>
    </row>
    <row r="135" spans="6:57" x14ac:dyDescent="0.15">
      <c r="F135" s="23">
        <v>133</v>
      </c>
      <c r="G135" s="23">
        <v>10084.535034121556</v>
      </c>
      <c r="AC135" s="23">
        <v>132</v>
      </c>
      <c r="AD135" s="23">
        <f>[1]节奏总纲!AD135</f>
        <v>70.544247116129412</v>
      </c>
      <c r="AE135" s="23">
        <f>[1]节奏总纲!AE135</f>
        <v>72.569085693235607</v>
      </c>
      <c r="AF135" s="23">
        <f>[1]节奏总纲!AF135</f>
        <v>75.110049265917539</v>
      </c>
      <c r="AG135" s="23">
        <f>[1]节奏总纲!AG135</f>
        <v>80.276521064188543</v>
      </c>
      <c r="AH135" s="23">
        <f>[1]节奏总纲!AH135</f>
        <v>88.530053845773438</v>
      </c>
      <c r="AZ135" s="23">
        <v>132</v>
      </c>
      <c r="BA135" s="23">
        <v>39.898688674913267</v>
      </c>
      <c r="BB135" s="23">
        <v>41.389172829914081</v>
      </c>
      <c r="BC135" s="23">
        <v>43.329750976586219</v>
      </c>
      <c r="BD135" s="23">
        <v>46.079770001861057</v>
      </c>
      <c r="BE135" s="23">
        <v>50</v>
      </c>
    </row>
    <row r="136" spans="6:57" x14ac:dyDescent="0.15">
      <c r="F136" s="23">
        <v>134</v>
      </c>
      <c r="G136" s="23">
        <v>10808.408805051544</v>
      </c>
      <c r="AC136" s="23">
        <v>133</v>
      </c>
      <c r="AD136" s="23">
        <f>[1]节奏总纲!AD136</f>
        <v>70.653096539355303</v>
      </c>
      <c r="AE136" s="23">
        <f>[1]节奏总纲!AE136</f>
        <v>72.653981384980966</v>
      </c>
      <c r="AF136" s="23">
        <f>[1]节奏总纲!AF136</f>
        <v>75.216281288923113</v>
      </c>
      <c r="AG136" s="23">
        <f>[1]节奏总纲!AG136</f>
        <v>80.36579340129542</v>
      </c>
      <c r="AH136" s="23">
        <f>[1]节奏总纲!AH136</f>
        <v>88.560760683728788</v>
      </c>
      <c r="AZ136" s="23">
        <v>133</v>
      </c>
      <c r="BA136" s="23">
        <v>39.952721381626191</v>
      </c>
      <c r="BB136" s="23">
        <v>41.439455598778757</v>
      </c>
      <c r="BC136" s="23">
        <v>43.379679921165753</v>
      </c>
      <c r="BD136" s="23">
        <v>46.127930108907876</v>
      </c>
      <c r="BE136" s="23">
        <v>50</v>
      </c>
    </row>
    <row r="137" spans="6:57" x14ac:dyDescent="0.15">
      <c r="F137" s="23">
        <v>135</v>
      </c>
      <c r="G137" s="23">
        <v>11584.237502960397</v>
      </c>
      <c r="AC137" s="23">
        <v>134</v>
      </c>
      <c r="AD137" s="23">
        <f>[1]节奏总纲!AD137</f>
        <v>70.76194596258118</v>
      </c>
      <c r="AE137" s="23">
        <f>[1]节奏总纲!AE137</f>
        <v>72.738877076726311</v>
      </c>
      <c r="AF137" s="23">
        <f>[1]节奏总纲!AF137</f>
        <v>75.322513311928674</v>
      </c>
      <c r="AG137" s="23">
        <f>[1]节奏总纲!AG137</f>
        <v>80.455065738402297</v>
      </c>
      <c r="AH137" s="23">
        <f>[1]节奏总纲!AH137</f>
        <v>88.591467521684137</v>
      </c>
      <c r="AZ137" s="23">
        <v>134</v>
      </c>
      <c r="BA137" s="23">
        <v>40.005827399112476</v>
      </c>
      <c r="BB137" s="23">
        <v>41.48973836764344</v>
      </c>
      <c r="BC137" s="23">
        <v>43.42960886574528</v>
      </c>
      <c r="BD137" s="23">
        <v>46.176090215954694</v>
      </c>
      <c r="BE137" s="23">
        <v>50</v>
      </c>
    </row>
    <row r="138" spans="6:57" x14ac:dyDescent="0.15">
      <c r="F138" s="23">
        <v>136</v>
      </c>
      <c r="G138" s="23">
        <v>12415.750112853173</v>
      </c>
      <c r="AC138" s="23">
        <v>135</v>
      </c>
      <c r="AD138" s="23">
        <f>[1]节奏总纲!AD138</f>
        <v>70.870795385807057</v>
      </c>
      <c r="AE138" s="23">
        <f>[1]节奏总纲!AE138</f>
        <v>72.82377276847167</v>
      </c>
      <c r="AF138" s="23">
        <f>[1]节奏总纲!AF138</f>
        <v>75.428745334934248</v>
      </c>
      <c r="AG138" s="23">
        <f>[1]节奏总纲!AG138</f>
        <v>80.544338075509174</v>
      </c>
      <c r="AH138" s="23">
        <f>[1]节奏总纲!AH138</f>
        <v>88.622174359639487</v>
      </c>
      <c r="AZ138" s="23">
        <v>135</v>
      </c>
      <c r="BA138" s="23">
        <v>40.052446592012309</v>
      </c>
      <c r="BB138" s="23">
        <v>41.540021136508116</v>
      </c>
      <c r="BC138" s="23">
        <v>43.479537810324814</v>
      </c>
      <c r="BD138" s="23">
        <v>46.224250323001513</v>
      </c>
      <c r="BE138" s="23">
        <v>50</v>
      </c>
    </row>
    <row r="139" spans="6:57" x14ac:dyDescent="0.15">
      <c r="F139" s="23">
        <v>137</v>
      </c>
      <c r="G139" s="23">
        <v>13306.943261900544</v>
      </c>
      <c r="AC139" s="23">
        <v>136</v>
      </c>
      <c r="AD139" s="23">
        <f>[1]节奏总纲!AD139</f>
        <v>70.979644809032948</v>
      </c>
      <c r="AE139" s="23">
        <f>[1]节奏总纲!AE139</f>
        <v>72.908668460217029</v>
      </c>
      <c r="AF139" s="23">
        <f>[1]节奏总纲!AF139</f>
        <v>75.534977357939823</v>
      </c>
      <c r="AG139" s="23">
        <f>[1]节奏总纲!AG139</f>
        <v>80.633610412616051</v>
      </c>
      <c r="AH139" s="23">
        <f>[1]节奏总纲!AH139</f>
        <v>88.652881197594823</v>
      </c>
      <c r="AZ139" s="23">
        <v>136</v>
      </c>
      <c r="BA139" s="23">
        <v>40.099065784912149</v>
      </c>
      <c r="BB139" s="23">
        <v>41.590303905372799</v>
      </c>
      <c r="BC139" s="23">
        <v>43.529466754904341</v>
      </c>
      <c r="BD139" s="23">
        <v>46.272410430048332</v>
      </c>
      <c r="BE139" s="23">
        <v>50</v>
      </c>
    </row>
    <row r="140" spans="6:57" x14ac:dyDescent="0.15">
      <c r="F140" s="23">
        <v>138</v>
      </c>
      <c r="G140" s="23">
        <v>14262.10042904369</v>
      </c>
      <c r="AC140" s="23">
        <v>137</v>
      </c>
      <c r="AD140" s="23">
        <f>[1]节奏总纲!AD140</f>
        <v>71.082568038258202</v>
      </c>
      <c r="AE140" s="23">
        <f>[1]节奏总纲!AE140</f>
        <v>72.993564151962374</v>
      </c>
      <c r="AF140" s="23">
        <f>[1]节奏总纲!AF140</f>
        <v>75.641209380945384</v>
      </c>
      <c r="AG140" s="23">
        <f>[1]节奏总纲!AG140</f>
        <v>80.722882749722928</v>
      </c>
      <c r="AH140" s="23">
        <f>[1]节奏总纲!AH140</f>
        <v>88.683588035550173</v>
      </c>
      <c r="AZ140" s="23">
        <v>137</v>
      </c>
      <c r="BA140" s="23">
        <v>40.145684977811982</v>
      </c>
      <c r="BB140" s="23">
        <v>41.640586674237483</v>
      </c>
      <c r="BC140" s="23">
        <v>43.579395699483875</v>
      </c>
      <c r="BD140" s="23">
        <v>46.320570537095151</v>
      </c>
      <c r="BE140" s="23">
        <v>50</v>
      </c>
    </row>
    <row r="141" spans="6:57" x14ac:dyDescent="0.15">
      <c r="F141" s="23">
        <v>139</v>
      </c>
      <c r="G141" s="23">
        <v>15285.812533339058</v>
      </c>
      <c r="AC141" s="23">
        <v>138</v>
      </c>
      <c r="AD141" s="23">
        <f>[1]节奏总纲!AD141</f>
        <v>71.184128141237707</v>
      </c>
      <c r="AE141" s="23">
        <f>[1]节奏总纲!AE141</f>
        <v>73.092712130350051</v>
      </c>
      <c r="AF141" s="23">
        <f>[1]节奏总纲!AF141</f>
        <v>75.747441403950958</v>
      </c>
      <c r="AG141" s="23">
        <f>[1]节奏总纲!AG141</f>
        <v>80.81215508682979</v>
      </c>
      <c r="AH141" s="23">
        <f>[1]节奏总纲!AH141</f>
        <v>88.714294873505523</v>
      </c>
      <c r="AZ141" s="23">
        <v>138</v>
      </c>
      <c r="BA141" s="23">
        <v>40.192304170711814</v>
      </c>
      <c r="BB141" s="23">
        <v>41.690869443102159</v>
      </c>
      <c r="BC141" s="23">
        <v>43.629324644063402</v>
      </c>
      <c r="BD141" s="23">
        <v>46.368730644141969</v>
      </c>
      <c r="BE141" s="23">
        <v>50</v>
      </c>
    </row>
    <row r="142" spans="6:57" x14ac:dyDescent="0.15">
      <c r="F142" s="23">
        <v>140</v>
      </c>
      <c r="G142" s="23">
        <v>16383</v>
      </c>
      <c r="AC142" s="23">
        <v>139</v>
      </c>
      <c r="AD142" s="23">
        <f>[1]节奏总纲!AD142</f>
        <v>71.285688244217212</v>
      </c>
      <c r="AE142" s="23">
        <f>[1]节奏总纲!AE142</f>
        <v>73.193029185129973</v>
      </c>
      <c r="AF142" s="23">
        <f>[1]节奏总纲!AF142</f>
        <v>75.853673426956533</v>
      </c>
      <c r="AG142" s="23">
        <f>[1]节奏总纲!AG142</f>
        <v>80.901427423936667</v>
      </c>
      <c r="AH142" s="23">
        <f>[1]节奏总纲!AH142</f>
        <v>88.745001711460873</v>
      </c>
      <c r="AZ142" s="23">
        <v>139</v>
      </c>
      <c r="BA142" s="23">
        <v>40.238923363611647</v>
      </c>
      <c r="BB142" s="23">
        <v>41.741152211966842</v>
      </c>
      <c r="BC142" s="23">
        <v>43.679253588642929</v>
      </c>
      <c r="BD142" s="23">
        <v>46.416890751188788</v>
      </c>
      <c r="BE142" s="23">
        <v>50</v>
      </c>
    </row>
    <row r="143" spans="6:57" x14ac:dyDescent="0.15">
      <c r="F143" s="23">
        <v>141</v>
      </c>
      <c r="G143" s="23">
        <v>17558.936410194601</v>
      </c>
      <c r="AC143" s="23">
        <v>140</v>
      </c>
      <c r="AD143" s="23">
        <f>[1]节奏总纲!AD143</f>
        <v>71.387248347196717</v>
      </c>
      <c r="AE143" s="23">
        <f>[1]节奏总纲!AE143</f>
        <v>73.29334623990988</v>
      </c>
      <c r="AF143" s="23">
        <f>[1]节奏总纲!AF143</f>
        <v>75.959905449962108</v>
      </c>
      <c r="AG143" s="23">
        <f>[1]节奏总纲!AG143</f>
        <v>80.990699761043544</v>
      </c>
      <c r="AH143" s="23">
        <f>[1]节奏总纲!AH143</f>
        <v>88.775708549416223</v>
      </c>
      <c r="AZ143" s="23">
        <v>140</v>
      </c>
      <c r="BA143" s="23">
        <v>40.28554255651148</v>
      </c>
      <c r="BB143" s="23">
        <v>41.791434980831518</v>
      </c>
      <c r="BC143" s="23">
        <v>43.729182533222463</v>
      </c>
      <c r="BD143" s="23">
        <v>46.465050858235607</v>
      </c>
      <c r="BE143" s="23">
        <v>50</v>
      </c>
    </row>
    <row r="144" spans="6:57" x14ac:dyDescent="0.15">
      <c r="F144" s="23">
        <v>142</v>
      </c>
      <c r="G144" s="23">
        <v>18819.273848271412</v>
      </c>
      <c r="AC144" s="23">
        <v>141</v>
      </c>
      <c r="AD144" s="23">
        <f>[1]节奏总纲!AD144</f>
        <v>71.488808450176208</v>
      </c>
      <c r="AE144" s="23">
        <f>[1]节奏总纲!AE144</f>
        <v>73.393663294689802</v>
      </c>
      <c r="AF144" s="23">
        <f>[1]节奏总纲!AF144</f>
        <v>76.078674069006809</v>
      </c>
      <c r="AG144" s="23">
        <f>[1]节奏总纲!AG144</f>
        <v>81.103485217203271</v>
      </c>
      <c r="AH144" s="23">
        <f>[1]节奏总纲!AH144</f>
        <v>88.806415387371558</v>
      </c>
      <c r="AZ144" s="23">
        <v>141</v>
      </c>
      <c r="BA144" s="23">
        <v>40.332161749411313</v>
      </c>
      <c r="BB144" s="23">
        <v>41.841717749696201</v>
      </c>
      <c r="BC144" s="23">
        <v>43.77911147780199</v>
      </c>
      <c r="BD144" s="23">
        <v>46.513210965282425</v>
      </c>
      <c r="BE144" s="23">
        <v>50</v>
      </c>
    </row>
    <row r="145" spans="6:57" x14ac:dyDescent="0.15">
      <c r="F145" s="23">
        <v>143</v>
      </c>
      <c r="G145" s="23">
        <v>20170.070068243116</v>
      </c>
      <c r="AC145" s="23">
        <v>142</v>
      </c>
      <c r="AD145" s="23">
        <f>[1]节奏总纲!AD145</f>
        <v>71.590368553155713</v>
      </c>
      <c r="AE145" s="23">
        <f>[1]节奏总纲!AE145</f>
        <v>73.493980349469723</v>
      </c>
      <c r="AF145" s="23">
        <f>[1]节奏总纲!AF145</f>
        <v>76.205042754317148</v>
      </c>
      <c r="AG145" s="23">
        <f>[1]节奏总纲!AG145</f>
        <v>81.219005097379139</v>
      </c>
      <c r="AH145" s="23">
        <f>[1]节奏总纲!AH145</f>
        <v>88.837122225326908</v>
      </c>
      <c r="AZ145" s="23">
        <v>142</v>
      </c>
      <c r="BA145" s="23">
        <v>40.378780942311145</v>
      </c>
      <c r="BB145" s="23">
        <v>41.892000518560877</v>
      </c>
      <c r="BC145" s="23">
        <v>43.829040422381524</v>
      </c>
      <c r="BD145" s="23">
        <v>46.561371072329244</v>
      </c>
      <c r="BE145" s="23">
        <v>50</v>
      </c>
    </row>
    <row r="146" spans="6:57" x14ac:dyDescent="0.15">
      <c r="F146" s="23">
        <v>144</v>
      </c>
      <c r="G146" s="23">
        <v>21617.817610103088</v>
      </c>
      <c r="AC146" s="23">
        <v>143</v>
      </c>
      <c r="AD146" s="23">
        <f>[1]节奏总纲!AD146</f>
        <v>71.691928656135218</v>
      </c>
      <c r="AE146" s="23">
        <f>[1]节奏总纲!AE146</f>
        <v>73.594297404249645</v>
      </c>
      <c r="AF146" s="23">
        <f>[1]节奏总纲!AF146</f>
        <v>76.331411439627487</v>
      </c>
      <c r="AG146" s="23">
        <f>[1]节奏总纲!AG146</f>
        <v>81.334524977555006</v>
      </c>
      <c r="AH146" s="23">
        <f>[1]节奏总纲!AH146</f>
        <v>88.867829063282258</v>
      </c>
      <c r="AZ146" s="23">
        <v>143</v>
      </c>
      <c r="BA146" s="23">
        <v>40.425400135210978</v>
      </c>
      <c r="BB146" s="23">
        <v>41.94228328742556</v>
      </c>
      <c r="BC146" s="23">
        <v>43.878969366961051</v>
      </c>
      <c r="BD146" s="23">
        <v>46.609531179376063</v>
      </c>
      <c r="BE146" s="23">
        <v>50</v>
      </c>
    </row>
    <row r="147" spans="6:57" x14ac:dyDescent="0.15">
      <c r="F147" s="23">
        <v>145</v>
      </c>
      <c r="G147" s="23">
        <v>23169.475005920798</v>
      </c>
      <c r="AC147" s="23">
        <v>144</v>
      </c>
      <c r="AD147" s="23">
        <f>[1]节奏总纲!AD147</f>
        <v>71.793488759114723</v>
      </c>
      <c r="AE147" s="23">
        <f>[1]节奏总纲!AE147</f>
        <v>73.694614459029566</v>
      </c>
      <c r="AF147" s="23">
        <f>[1]节奏总纲!AF147</f>
        <v>76.457780124937827</v>
      </c>
      <c r="AG147" s="23">
        <f>[1]节奏总纲!AG147</f>
        <v>81.450044857730873</v>
      </c>
      <c r="AH147" s="23">
        <f>[1]节奏总纲!AH147</f>
        <v>88.898535901237608</v>
      </c>
      <c r="AZ147" s="23">
        <v>144</v>
      </c>
      <c r="BA147" s="23">
        <v>40.472019328110811</v>
      </c>
      <c r="BB147" s="23">
        <v>41.992566056290244</v>
      </c>
      <c r="BC147" s="23">
        <v>43.928898311540586</v>
      </c>
      <c r="BD147" s="23">
        <v>46.657691286422882</v>
      </c>
      <c r="BE147" s="23">
        <v>50</v>
      </c>
    </row>
    <row r="148" spans="6:57" x14ac:dyDescent="0.15">
      <c r="F148" s="23">
        <v>146</v>
      </c>
      <c r="G148" s="23">
        <v>24832.50022570635</v>
      </c>
      <c r="AC148" s="23">
        <v>145</v>
      </c>
      <c r="AD148" s="23">
        <f>[1]节奏总纲!AD148</f>
        <v>71.895048862094214</v>
      </c>
      <c r="AE148" s="23">
        <f>[1]节奏总纲!AE148</f>
        <v>73.794931513809487</v>
      </c>
      <c r="AF148" s="23">
        <f>[1]节奏总纲!AF148</f>
        <v>76.584148810248166</v>
      </c>
      <c r="AG148" s="23">
        <f>[1]节奏总纲!AG148</f>
        <v>81.565564737906726</v>
      </c>
      <c r="AH148" s="23">
        <f>[1]节奏总纲!AH148</f>
        <v>88.929242739192958</v>
      </c>
      <c r="AZ148" s="23">
        <v>145</v>
      </c>
      <c r="BA148" s="23">
        <v>40.518638521010651</v>
      </c>
      <c r="BB148" s="23">
        <v>42.036975906461073</v>
      </c>
      <c r="BC148" s="23">
        <v>43.978827256120113</v>
      </c>
      <c r="BD148" s="23">
        <v>46.7058513934697</v>
      </c>
      <c r="BE148" s="23">
        <v>50</v>
      </c>
    </row>
    <row r="149" spans="6:57" x14ac:dyDescent="0.15">
      <c r="F149" s="23">
        <v>147</v>
      </c>
      <c r="G149" s="23">
        <v>26614.886523801088</v>
      </c>
      <c r="AC149" s="23">
        <v>146</v>
      </c>
      <c r="AD149" s="23">
        <f>[1]节奏总纲!AD149</f>
        <v>71.996608965073719</v>
      </c>
      <c r="AE149" s="23">
        <f>[1]节奏总纲!AE149</f>
        <v>73.895248568589409</v>
      </c>
      <c r="AF149" s="23">
        <f>[1]节奏总纲!AF149</f>
        <v>76.710517495558491</v>
      </c>
      <c r="AG149" s="23">
        <f>[1]节奏总纲!AG149</f>
        <v>81.681084618082593</v>
      </c>
      <c r="AH149" s="23">
        <f>[1]节奏总纲!AH149</f>
        <v>88.959949577148294</v>
      </c>
      <c r="AZ149" s="23">
        <v>146</v>
      </c>
      <c r="BA149" s="23">
        <v>40.565257713910484</v>
      </c>
      <c r="BB149" s="23">
        <v>42.080366850119908</v>
      </c>
      <c r="BC149" s="23">
        <v>44.024818750237806</v>
      </c>
      <c r="BD149" s="23">
        <v>46.754011500516519</v>
      </c>
      <c r="BE149" s="23">
        <v>50</v>
      </c>
    </row>
    <row r="150" spans="6:57" x14ac:dyDescent="0.15">
      <c r="F150" s="23">
        <v>148</v>
      </c>
      <c r="G150" s="23">
        <v>28525.200858087381</v>
      </c>
      <c r="AC150" s="23">
        <v>147</v>
      </c>
      <c r="AD150" s="23">
        <f>[1]节奏总纲!AD150</f>
        <v>72.091594979242075</v>
      </c>
      <c r="AE150" s="23">
        <f>[1]节奏总纲!AE150</f>
        <v>73.99556562336933</v>
      </c>
      <c r="AF150" s="23">
        <f>[1]节奏总纲!AF150</f>
        <v>76.836886180868831</v>
      </c>
      <c r="AG150" s="23">
        <f>[1]节奏总纲!AG150</f>
        <v>81.796604498258461</v>
      </c>
      <c r="AH150" s="23">
        <f>[1]节奏总纲!AH150</f>
        <v>88.990656415103643</v>
      </c>
      <c r="AZ150" s="23">
        <v>147</v>
      </c>
      <c r="BA150" s="23">
        <v>40.611876906810316</v>
      </c>
      <c r="BB150" s="23">
        <v>42.123757793778736</v>
      </c>
      <c r="BC150" s="23">
        <v>44.067911160744309</v>
      </c>
      <c r="BD150" s="23">
        <v>46.802171607563338</v>
      </c>
      <c r="BE150" s="23">
        <v>50</v>
      </c>
    </row>
    <row r="151" spans="6:57" x14ac:dyDescent="0.15">
      <c r="F151" s="23">
        <v>149</v>
      </c>
      <c r="G151" s="23">
        <v>30572.62506667812</v>
      </c>
      <c r="AC151" s="23">
        <v>148</v>
      </c>
      <c r="AD151" s="23">
        <f>[1]节奏总纲!AD151</f>
        <v>72.186353905945822</v>
      </c>
      <c r="AE151" s="23">
        <f>[1]节奏总纲!AE151</f>
        <v>74.087649451042424</v>
      </c>
      <c r="AF151" s="23">
        <f>[1]节奏总纲!AF151</f>
        <v>76.96325486617917</v>
      </c>
      <c r="AG151" s="23">
        <f>[1]节奏总纲!AG151</f>
        <v>81.912124378434328</v>
      </c>
      <c r="AH151" s="23">
        <f>[1]节奏总纲!AH151</f>
        <v>89.006748912446213</v>
      </c>
      <c r="AZ151" s="23">
        <v>148</v>
      </c>
      <c r="BA151" s="23">
        <v>40.658496099710149</v>
      </c>
      <c r="BB151" s="23">
        <v>42.167148737437564</v>
      </c>
      <c r="BC151" s="23">
        <v>44.111003571250812</v>
      </c>
      <c r="BD151" s="23">
        <v>46.850331714610157</v>
      </c>
      <c r="BE151" s="23">
        <v>50</v>
      </c>
    </row>
    <row r="152" spans="6:57" x14ac:dyDescent="0.15">
      <c r="F152" s="23">
        <v>150</v>
      </c>
      <c r="G152" s="23">
        <v>32767</v>
      </c>
      <c r="AC152" s="23">
        <v>149</v>
      </c>
      <c r="AD152" s="23">
        <f>[1]节奏总纲!AD152</f>
        <v>72.281112832649583</v>
      </c>
      <c r="AE152" s="23">
        <f>[1]节奏总纲!AE152</f>
        <v>74.179352508897836</v>
      </c>
      <c r="AF152" s="23">
        <f>[1]节奏总纲!AF152</f>
        <v>77.118374980516094</v>
      </c>
      <c r="AG152" s="23">
        <f>[1]节奏总纲!AG152</f>
        <v>82.023436208425835</v>
      </c>
      <c r="AH152" s="23">
        <f>[1]节奏总纲!AH152</f>
        <v>89.016449577428673</v>
      </c>
      <c r="AZ152" s="23">
        <v>149</v>
      </c>
      <c r="BA152" s="23">
        <v>40.705115292609982</v>
      </c>
      <c r="BB152" s="23">
        <v>42.2105396810964</v>
      </c>
      <c r="BC152" s="23">
        <v>44.154095981757315</v>
      </c>
      <c r="BD152" s="23">
        <v>46.898491821656968</v>
      </c>
      <c r="BE152" s="23">
        <v>50</v>
      </c>
    </row>
    <row r="153" spans="6:57" x14ac:dyDescent="0.15">
      <c r="AC153" s="23">
        <v>150</v>
      </c>
      <c r="AD153" s="23">
        <f>[1]节奏总纲!AD153</f>
        <v>72.375871759353331</v>
      </c>
      <c r="AE153" s="23">
        <f>[1]节奏总纲!AE153</f>
        <v>74.271055566753233</v>
      </c>
      <c r="AF153" s="23">
        <f>[1]节奏总纲!AF153</f>
        <v>77.285283013202204</v>
      </c>
      <c r="AG153" s="23">
        <f>[1]节奏总纲!AG153</f>
        <v>82.121371480530797</v>
      </c>
      <c r="AH153" s="23">
        <f>[1]节奏总纲!AH153</f>
        <v>89.026150242411134</v>
      </c>
      <c r="AZ153" s="23">
        <v>150</v>
      </c>
      <c r="BA153" s="23">
        <v>40.751734485509814</v>
      </c>
      <c r="BB153" s="23">
        <v>42.253930624755228</v>
      </c>
      <c r="BC153" s="23">
        <v>44.197188392263818</v>
      </c>
      <c r="BD153" s="23">
        <v>46.946651928703787</v>
      </c>
      <c r="BE153" s="23">
        <v>50</v>
      </c>
    </row>
    <row r="154" spans="6:57" x14ac:dyDescent="0.15">
      <c r="AC154" s="23">
        <v>151</v>
      </c>
      <c r="AD154" s="23">
        <f>[1]节奏总纲!AD154</f>
        <v>72.470630686057078</v>
      </c>
      <c r="AE154" s="23">
        <f>[1]节奏总纲!AE154</f>
        <v>74.362758624608645</v>
      </c>
      <c r="AF154" s="23">
        <f>[1]节奏总纲!AF154</f>
        <v>77.452191045888299</v>
      </c>
      <c r="AG154" s="23">
        <f>[1]节奏总纲!AG154</f>
        <v>82.219306752635759</v>
      </c>
      <c r="AH154" s="23">
        <f>[1]节奏总纲!AH154</f>
        <v>89.035850907393581</v>
      </c>
      <c r="AZ154" s="23">
        <v>151</v>
      </c>
      <c r="BA154" s="23">
        <v>40.798353678409647</v>
      </c>
      <c r="BB154" s="23">
        <v>42.297321568414056</v>
      </c>
      <c r="BC154" s="23">
        <v>44.240280802770329</v>
      </c>
      <c r="BD154" s="23">
        <v>46.994812035750606</v>
      </c>
      <c r="BE154" s="23">
        <v>50</v>
      </c>
    </row>
    <row r="155" spans="6:57" x14ac:dyDescent="0.15">
      <c r="AC155" s="23">
        <v>152</v>
      </c>
      <c r="AD155" s="23">
        <f>[1]节奏总纲!AD155</f>
        <v>72.565389612760825</v>
      </c>
      <c r="AE155" s="23">
        <f>[1]节奏总纲!AE155</f>
        <v>74.454461682464057</v>
      </c>
      <c r="AF155" s="23">
        <f>[1]节奏总纲!AF155</f>
        <v>77.619099078574408</v>
      </c>
      <c r="AG155" s="23">
        <f>[1]节奏总纲!AG155</f>
        <v>82.317242024740722</v>
      </c>
      <c r="AH155" s="23">
        <f>[1]节奏总纲!AH155</f>
        <v>89.045551572376041</v>
      </c>
      <c r="AZ155" s="23">
        <v>152</v>
      </c>
      <c r="BA155" s="23">
        <v>40.84497287130948</v>
      </c>
      <c r="BB155" s="23">
        <v>42.340712512072891</v>
      </c>
      <c r="BC155" s="23">
        <v>44.283373213276832</v>
      </c>
      <c r="BD155" s="23">
        <v>47.037096473408994</v>
      </c>
      <c r="BE155" s="23">
        <v>50</v>
      </c>
    </row>
    <row r="156" spans="6:57" x14ac:dyDescent="0.15">
      <c r="AC156" s="23">
        <v>153</v>
      </c>
      <c r="AD156" s="23">
        <f>[1]节奏总纲!AD156</f>
        <v>72.660148539464572</v>
      </c>
      <c r="AE156" s="23">
        <f>[1]节奏总纲!AE156</f>
        <v>74.546164740319469</v>
      </c>
      <c r="AF156" s="23">
        <f>[1]节奏总纲!AF156</f>
        <v>77.786007111260503</v>
      </c>
      <c r="AG156" s="23">
        <f>[1]节奏总纲!AG156</f>
        <v>82.41517729684567</v>
      </c>
      <c r="AH156" s="23">
        <f>[1]节奏总纲!AH156</f>
        <v>89.055252237358502</v>
      </c>
      <c r="AZ156" s="23">
        <v>153</v>
      </c>
      <c r="BA156" s="23">
        <v>40.891592064209313</v>
      </c>
      <c r="BB156" s="23">
        <v>42.384103455731719</v>
      </c>
      <c r="BC156" s="23">
        <v>44.326465623783335</v>
      </c>
      <c r="BD156" s="23">
        <v>47.078671550054786</v>
      </c>
      <c r="BE156" s="23">
        <v>50</v>
      </c>
    </row>
    <row r="157" spans="6:57" x14ac:dyDescent="0.15">
      <c r="AC157" s="23">
        <v>154</v>
      </c>
      <c r="AD157" s="23">
        <f>[1]节奏总纲!AD157</f>
        <v>72.754907466168333</v>
      </c>
      <c r="AE157" s="23">
        <f>[1]节奏总纲!AE157</f>
        <v>74.637867798174881</v>
      </c>
      <c r="AF157" s="23">
        <f>[1]节奏总纲!AF157</f>
        <v>77.952915143946612</v>
      </c>
      <c r="AG157" s="23">
        <f>[1]节奏总纲!AG157</f>
        <v>82.513112568950632</v>
      </c>
      <c r="AH157" s="23">
        <f>[1]节奏总纲!AH157</f>
        <v>89.064952902340963</v>
      </c>
      <c r="AZ157" s="23">
        <v>154</v>
      </c>
      <c r="BA157" s="23">
        <v>40.938211257109145</v>
      </c>
      <c r="BB157" s="23">
        <v>42.427494399390554</v>
      </c>
      <c r="BC157" s="23">
        <v>44.369558034289838</v>
      </c>
      <c r="BD157" s="23">
        <v>47.12024662670057</v>
      </c>
      <c r="BE157" s="23">
        <v>50</v>
      </c>
    </row>
    <row r="158" spans="6:57" x14ac:dyDescent="0.15">
      <c r="AC158" s="23">
        <v>155</v>
      </c>
      <c r="AD158" s="23">
        <f>[1]节奏总纲!AD158</f>
        <v>72.849666392872081</v>
      </c>
      <c r="AE158" s="23">
        <f>[1]节奏总纲!AE158</f>
        <v>74.729570856030293</v>
      </c>
      <c r="AF158" s="23">
        <f>[1]节奏总纲!AF158</f>
        <v>78.11070031233757</v>
      </c>
      <c r="AG158" s="23">
        <f>[1]节奏总纲!AG158</f>
        <v>82.611047841055594</v>
      </c>
      <c r="AH158" s="23">
        <f>[1]节奏总纲!AH158</f>
        <v>89.074653567323409</v>
      </c>
      <c r="AZ158" s="23">
        <v>155</v>
      </c>
      <c r="BA158" s="23">
        <v>40.984830450008985</v>
      </c>
      <c r="BB158" s="23">
        <v>42.470885343049382</v>
      </c>
      <c r="BC158" s="23">
        <v>44.412650444796341</v>
      </c>
      <c r="BD158" s="23">
        <v>47.161821703346362</v>
      </c>
      <c r="BE158" s="23">
        <v>50</v>
      </c>
    </row>
    <row r="159" spans="6:57" x14ac:dyDescent="0.15">
      <c r="AC159" s="23">
        <v>156</v>
      </c>
      <c r="AD159" s="23">
        <f>[1]节奏总纲!AD159</f>
        <v>72.944425319575828</v>
      </c>
      <c r="AE159" s="23">
        <f>[1]节奏总纲!AE159</f>
        <v>74.82127391388569</v>
      </c>
      <c r="AF159" s="23">
        <f>[1]节奏总纲!AF159</f>
        <v>78.264900625409211</v>
      </c>
      <c r="AG159" s="23">
        <f>[1]节奏总纲!AG159</f>
        <v>82.708983113160556</v>
      </c>
      <c r="AH159" s="23">
        <f>[1]节奏总纲!AH159</f>
        <v>89.08435423230587</v>
      </c>
      <c r="AZ159" s="23">
        <v>156</v>
      </c>
      <c r="BA159" s="23">
        <v>41.027136894088379</v>
      </c>
      <c r="BB159" s="23">
        <v>42.51427628670821</v>
      </c>
      <c r="BC159" s="23">
        <v>44.455742855302844</v>
      </c>
      <c r="BD159" s="23">
        <v>47.203396779992147</v>
      </c>
      <c r="BE159" s="23">
        <v>50</v>
      </c>
    </row>
    <row r="160" spans="6:57" x14ac:dyDescent="0.15">
      <c r="AC160" s="23">
        <v>157</v>
      </c>
      <c r="AD160" s="23">
        <f>[1]节奏总纲!AD160</f>
        <v>73.036560194527354</v>
      </c>
      <c r="AE160" s="23">
        <f>[1]节奏总纲!AE160</f>
        <v>74.912976971741102</v>
      </c>
      <c r="AF160" s="23">
        <f>[1]节奏总纲!AF160</f>
        <v>78.419100938480838</v>
      </c>
      <c r="AG160" s="23">
        <f>[1]节奏总纲!AG160</f>
        <v>82.806918385265519</v>
      </c>
      <c r="AH160" s="23">
        <f>[1]节奏总纲!AH160</f>
        <v>89.094054897288331</v>
      </c>
      <c r="AZ160" s="23">
        <v>157</v>
      </c>
      <c r="BA160" s="23">
        <v>41.067363109180121</v>
      </c>
      <c r="BB160" s="23">
        <v>42.557667230367045</v>
      </c>
      <c r="BC160" s="23">
        <v>44.498835265809355</v>
      </c>
      <c r="BD160" s="23">
        <v>47.244971856637939</v>
      </c>
      <c r="BE160" s="23">
        <v>50</v>
      </c>
    </row>
    <row r="161" spans="29:57" x14ac:dyDescent="0.15">
      <c r="AC161" s="23">
        <v>158</v>
      </c>
      <c r="AD161" s="23">
        <f>[1]节奏总纲!AD161</f>
        <v>73.124973399384572</v>
      </c>
      <c r="AE161" s="23">
        <f>[1]节奏总纲!AE161</f>
        <v>75.004522856634324</v>
      </c>
      <c r="AF161" s="23">
        <f>[1]节奏总纲!AF161</f>
        <v>78.573301251552465</v>
      </c>
      <c r="AG161" s="23">
        <f>[1]节奏总纲!AG161</f>
        <v>82.904853657370481</v>
      </c>
      <c r="AH161" s="23">
        <f>[1]节奏总纲!AH161</f>
        <v>89.103755562270791</v>
      </c>
      <c r="AZ161" s="23">
        <v>158</v>
      </c>
      <c r="BA161" s="23">
        <v>41.107589324271871</v>
      </c>
      <c r="BB161" s="23">
        <v>42.601058174025873</v>
      </c>
      <c r="BC161" s="23">
        <v>44.541927676315858</v>
      </c>
      <c r="BD161" s="23">
        <v>47.286546933283724</v>
      </c>
      <c r="BE161" s="23">
        <v>50</v>
      </c>
    </row>
    <row r="162" spans="29:57" x14ac:dyDescent="0.15">
      <c r="AC162" s="23">
        <v>159</v>
      </c>
      <c r="AD162" s="23">
        <f>[1]节奏总纲!AD162</f>
        <v>73.213386604241791</v>
      </c>
      <c r="AE162" s="23">
        <f>[1]节奏总纲!AE162</f>
        <v>75.093146181563256</v>
      </c>
      <c r="AF162" s="23">
        <f>[1]节奏总纲!AF162</f>
        <v>78.727501564624106</v>
      </c>
      <c r="AG162" s="23">
        <f>[1]节奏总纲!AG162</f>
        <v>83.001990164690127</v>
      </c>
      <c r="AH162" s="23">
        <f>[1]节奏总纲!AH162</f>
        <v>89.113456227253238</v>
      </c>
      <c r="AZ162" s="23">
        <v>159</v>
      </c>
      <c r="BA162" s="23">
        <v>41.147815539363613</v>
      </c>
      <c r="BB162" s="23">
        <v>42.644449117684701</v>
      </c>
      <c r="BC162" s="23">
        <v>44.585020086822361</v>
      </c>
      <c r="BD162" s="23">
        <v>47.328122009929508</v>
      </c>
      <c r="BE162" s="23">
        <v>50</v>
      </c>
    </row>
    <row r="163" spans="29:57" x14ac:dyDescent="0.15">
      <c r="AC163" s="23">
        <v>160</v>
      </c>
      <c r="AD163" s="23">
        <f>[1]节奏总纲!AD163</f>
        <v>73.301799809099009</v>
      </c>
      <c r="AE163" s="23">
        <f>[1]节奏总纲!AE163</f>
        <v>75.181769506492202</v>
      </c>
      <c r="AF163" s="23">
        <f>[1]节奏总纲!AF163</f>
        <v>78.881701877695733</v>
      </c>
      <c r="AG163" s="23">
        <f>[1]节奏总纲!AG163</f>
        <v>83.071876234660039</v>
      </c>
      <c r="AH163" s="23">
        <f>[1]节奏总纲!AH163</f>
        <v>89.123156892235698</v>
      </c>
      <c r="AZ163" s="23">
        <v>160</v>
      </c>
      <c r="BA163" s="23">
        <v>41.188041754455355</v>
      </c>
      <c r="BB163" s="23">
        <v>42.687840061343536</v>
      </c>
      <c r="BC163" s="23">
        <v>44.628112497328864</v>
      </c>
      <c r="BD163" s="23">
        <v>47.3696970865753</v>
      </c>
      <c r="BE163" s="23">
        <v>50</v>
      </c>
    </row>
    <row r="164" spans="29:57" x14ac:dyDescent="0.15">
      <c r="AC164" s="23">
        <v>161</v>
      </c>
      <c r="AD164" s="23">
        <f>[1]节奏总纲!AD164</f>
        <v>73.390213013956213</v>
      </c>
      <c r="AE164" s="23">
        <f>[1]节奏总纲!AE164</f>
        <v>75.270392831421134</v>
      </c>
      <c r="AF164" s="23">
        <f>[1]节奏总纲!AF164</f>
        <v>79.019005879371193</v>
      </c>
      <c r="AG164" s="23">
        <f>[1]节奏总纲!AG164</f>
        <v>83.14176230462995</v>
      </c>
      <c r="AH164" s="23">
        <f>[1]节奏总纲!AH164</f>
        <v>89.132857557218159</v>
      </c>
      <c r="AZ164" s="23">
        <v>161</v>
      </c>
      <c r="BA164" s="23">
        <v>41.228267969547105</v>
      </c>
      <c r="BB164" s="23">
        <v>42.731231005002364</v>
      </c>
      <c r="BC164" s="23">
        <v>44.671204907835367</v>
      </c>
      <c r="BD164" s="23">
        <v>47.411272163221085</v>
      </c>
      <c r="BE164" s="23">
        <v>50</v>
      </c>
    </row>
    <row r="165" spans="29:57" x14ac:dyDescent="0.15">
      <c r="AC165" s="23">
        <v>162</v>
      </c>
      <c r="AD165" s="23">
        <f>[1]节奏总纲!AD165</f>
        <v>73.478626218813432</v>
      </c>
      <c r="AE165" s="23">
        <f>[1]节奏总纲!AE165</f>
        <v>75.35901615635008</v>
      </c>
      <c r="AF165" s="23">
        <f>[1]节奏总纲!AF165</f>
        <v>79.100636344994555</v>
      </c>
      <c r="AG165" s="23">
        <f>[1]节奏总纲!AG165</f>
        <v>83.211648374599861</v>
      </c>
      <c r="AH165" s="23">
        <f>[1]节奏总纲!AH165</f>
        <v>89.14255822220062</v>
      </c>
      <c r="AZ165" s="23">
        <v>162</v>
      </c>
      <c r="BA165" s="23">
        <v>41.268494184638847</v>
      </c>
      <c r="BB165" s="23">
        <v>42.774621948661192</v>
      </c>
      <c r="BC165" s="23">
        <v>44.714297318341877</v>
      </c>
      <c r="BD165" s="23">
        <v>47.452847239866877</v>
      </c>
      <c r="BE165" s="23">
        <v>50</v>
      </c>
    </row>
    <row r="166" spans="29:57" x14ac:dyDescent="0.15">
      <c r="AC166" s="23">
        <v>163</v>
      </c>
      <c r="AD166" s="23">
        <f>[1]节奏总纲!AD166</f>
        <v>73.56703942367065</v>
      </c>
      <c r="AE166" s="23">
        <f>[1]节奏总纲!AE166</f>
        <v>75.447639481279012</v>
      </c>
      <c r="AF166" s="23">
        <f>[1]节奏总纲!AF166</f>
        <v>79.182266810617918</v>
      </c>
      <c r="AG166" s="23">
        <f>[1]节奏总纲!AG166</f>
        <v>83.281534444569772</v>
      </c>
      <c r="AH166" s="23">
        <f>[1]节奏总纲!AH166</f>
        <v>89.152258887183066</v>
      </c>
      <c r="AZ166" s="23">
        <v>163</v>
      </c>
      <c r="BA166" s="23">
        <v>41.308720399730589</v>
      </c>
      <c r="BB166" s="23">
        <v>42.818012892320027</v>
      </c>
      <c r="BC166" s="23">
        <v>44.757389728848381</v>
      </c>
      <c r="BD166" s="23">
        <v>47.494422316512662</v>
      </c>
      <c r="BE166" s="23">
        <v>50</v>
      </c>
    </row>
    <row r="167" spans="29:57" x14ac:dyDescent="0.15">
      <c r="AC167" s="23">
        <v>164</v>
      </c>
      <c r="AD167" s="23">
        <f>[1]节奏总纲!AD167</f>
        <v>73.655452628527868</v>
      </c>
      <c r="AE167" s="23">
        <f>[1]节奏总纲!AE167</f>
        <v>75.536262806207958</v>
      </c>
      <c r="AF167" s="23">
        <f>[1]节奏总纲!AF167</f>
        <v>79.263897276241295</v>
      </c>
      <c r="AG167" s="23">
        <f>[1]节奏总纲!AG167</f>
        <v>83.351420514539669</v>
      </c>
      <c r="AH167" s="23">
        <f>[1]节奏总纲!AH167</f>
        <v>89.161959552165527</v>
      </c>
      <c r="AZ167" s="23">
        <v>164</v>
      </c>
      <c r="BA167" s="23">
        <v>41.348946614822331</v>
      </c>
      <c r="BB167" s="23">
        <v>42.861403835978855</v>
      </c>
      <c r="BC167" s="23">
        <v>44.800482139354884</v>
      </c>
      <c r="BD167" s="23">
        <v>47.535997393158453</v>
      </c>
      <c r="BE167" s="23">
        <v>50</v>
      </c>
    </row>
    <row r="168" spans="29:57" x14ac:dyDescent="0.15">
      <c r="AC168" s="23">
        <v>165</v>
      </c>
      <c r="AD168" s="23">
        <f>[1]节奏总纲!AD168</f>
        <v>73.743865833385087</v>
      </c>
      <c r="AE168" s="23">
        <f>[1]节奏总纲!AE168</f>
        <v>75.62488613113689</v>
      </c>
      <c r="AF168" s="23">
        <f>[1]节奏总纲!AF168</f>
        <v>79.345527741864657</v>
      </c>
      <c r="AG168" s="23">
        <f>[1]节奏总纲!AG168</f>
        <v>83.42130658450958</v>
      </c>
      <c r="AH168" s="23">
        <f>[1]节奏总纲!AH168</f>
        <v>89.171660217147988</v>
      </c>
      <c r="AZ168" s="23">
        <v>165</v>
      </c>
      <c r="BA168" s="23">
        <v>41.389172829914081</v>
      </c>
      <c r="BB168" s="23">
        <v>42.904794779637683</v>
      </c>
      <c r="BC168" s="23">
        <v>44.843574549861387</v>
      </c>
      <c r="BD168" s="23">
        <v>47.577572469804238</v>
      </c>
      <c r="BE168" s="23">
        <v>50</v>
      </c>
    </row>
    <row r="169" spans="29:57" x14ac:dyDescent="0.15">
      <c r="AC169" s="23">
        <v>166</v>
      </c>
      <c r="AD169" s="23">
        <f>[1]节奏总纲!AD169</f>
        <v>73.832279038242305</v>
      </c>
      <c r="AE169" s="23">
        <f>[1]节奏总纲!AE169</f>
        <v>75.713509456065836</v>
      </c>
      <c r="AF169" s="23">
        <f>[1]节奏总纲!AF169</f>
        <v>79.42715820748802</v>
      </c>
      <c r="AG169" s="23">
        <f>[1]节奏总纲!AG169</f>
        <v>83.491192654479491</v>
      </c>
      <c r="AH169" s="23">
        <f>[1]节奏总纲!AH169</f>
        <v>89.181360882130448</v>
      </c>
      <c r="AZ169" s="23">
        <v>166</v>
      </c>
      <c r="BA169" s="23">
        <v>41.429399045005823</v>
      </c>
      <c r="BB169" s="23">
        <v>42.948185723296518</v>
      </c>
      <c r="BC169" s="23">
        <v>44.88666696036789</v>
      </c>
      <c r="BD169" s="23">
        <v>47.619147546450023</v>
      </c>
      <c r="BE169" s="23">
        <v>50</v>
      </c>
    </row>
    <row r="170" spans="29:57" x14ac:dyDescent="0.15">
      <c r="AC170" s="23">
        <v>167</v>
      </c>
      <c r="AD170" s="23">
        <f>[1]节奏总纲!AD170</f>
        <v>73.920692243099523</v>
      </c>
      <c r="AE170" s="23">
        <f>[1]节奏总纲!AE170</f>
        <v>75.802132780994768</v>
      </c>
      <c r="AF170" s="23">
        <f>[1]节奏总纲!AF170</f>
        <v>79.508788673111397</v>
      </c>
      <c r="AG170" s="23">
        <f>[1]节奏总纲!AG170</f>
        <v>83.561078724449402</v>
      </c>
      <c r="AH170" s="23">
        <f>[1]节奏总纲!AH170</f>
        <v>89.191061547112895</v>
      </c>
      <c r="AZ170" s="23">
        <v>167</v>
      </c>
      <c r="BA170" s="23">
        <v>41.469625260097565</v>
      </c>
      <c r="BB170" s="23">
        <v>42.991576666955346</v>
      </c>
      <c r="BC170" s="23">
        <v>44.9297593708744</v>
      </c>
      <c r="BD170" s="23">
        <v>47.660722623095815</v>
      </c>
      <c r="BE170" s="23">
        <v>50</v>
      </c>
    </row>
    <row r="171" spans="29:57" x14ac:dyDescent="0.15">
      <c r="AC171" s="23">
        <v>168</v>
      </c>
      <c r="AD171" s="23">
        <f>[1]节奏总纲!AD171</f>
        <v>74.008495683346354</v>
      </c>
      <c r="AE171" s="23">
        <f>[1]节奏总纲!AE171</f>
        <v>75.890756105923714</v>
      </c>
      <c r="AF171" s="23">
        <f>[1]节奏总纲!AF171</f>
        <v>79.590419138734759</v>
      </c>
      <c r="AG171" s="23">
        <f>[1]节奏总纲!AG171</f>
        <v>83.630964794419313</v>
      </c>
      <c r="AH171" s="23">
        <f>[1]节奏总纲!AH171</f>
        <v>89.200762212095356</v>
      </c>
      <c r="AZ171" s="23">
        <v>168</v>
      </c>
      <c r="BA171" s="23">
        <v>41.509851475189308</v>
      </c>
      <c r="BB171" s="23">
        <v>43.030177309109042</v>
      </c>
      <c r="BC171" s="23">
        <v>44.972851781380903</v>
      </c>
      <c r="BD171" s="23">
        <v>47.7022976997416</v>
      </c>
      <c r="BE171" s="23">
        <v>50</v>
      </c>
    </row>
    <row r="172" spans="29:57" x14ac:dyDescent="0.15">
      <c r="AC172" s="23">
        <v>169</v>
      </c>
      <c r="AD172" s="23">
        <f>[1]节奏总纲!AD172</f>
        <v>74.090988120365651</v>
      </c>
      <c r="AE172" s="23">
        <f>[1]节奏总纲!AE172</f>
        <v>75.979379430852646</v>
      </c>
      <c r="AF172" s="23">
        <f>[1]节奏总纲!AF172</f>
        <v>79.672049604358122</v>
      </c>
      <c r="AG172" s="23">
        <f>[1]节奏总纲!AG172</f>
        <v>83.700850864389224</v>
      </c>
      <c r="AH172" s="23">
        <f>[1]节奏总纲!AH172</f>
        <v>89.210462877077816</v>
      </c>
      <c r="AZ172" s="23">
        <v>169</v>
      </c>
      <c r="BA172" s="23">
        <v>41.550077690281057</v>
      </c>
      <c r="BB172" s="23">
        <v>43.067624017543686</v>
      </c>
      <c r="BC172" s="23">
        <v>45.013762077986961</v>
      </c>
      <c r="BD172" s="23">
        <v>47.743872776387391</v>
      </c>
      <c r="BE172" s="23">
        <v>50</v>
      </c>
    </row>
    <row r="173" spans="29:57" x14ac:dyDescent="0.15">
      <c r="AC173" s="23">
        <v>170</v>
      </c>
      <c r="AD173" s="23">
        <f>[1]节奏总纲!AD173</f>
        <v>74.173480557384934</v>
      </c>
      <c r="AE173" s="23">
        <f>[1]节奏总纲!AE173</f>
        <v>76.06284721925239</v>
      </c>
      <c r="AF173" s="23">
        <f>[1]节奏总纲!AF173</f>
        <v>79.753680069981485</v>
      </c>
      <c r="AG173" s="23">
        <f>[1]节奏总纲!AG173</f>
        <v>83.770736934359121</v>
      </c>
      <c r="AH173" s="23">
        <f>[1]节奏总纲!AH173</f>
        <v>89.220163542060277</v>
      </c>
      <c r="AZ173" s="23">
        <v>170</v>
      </c>
      <c r="BA173" s="23">
        <v>41.590303905372799</v>
      </c>
      <c r="BB173" s="23">
        <v>43.105070725978337</v>
      </c>
      <c r="BC173" s="23">
        <v>45.050956883357138</v>
      </c>
      <c r="BD173" s="23">
        <v>47.785447853033176</v>
      </c>
      <c r="BE173" s="23">
        <v>50</v>
      </c>
    </row>
    <row r="174" spans="29:57" x14ac:dyDescent="0.15">
      <c r="AC174" s="23">
        <v>171</v>
      </c>
      <c r="AD174" s="23">
        <f>[1]节奏总纲!AD174</f>
        <v>74.255972994404218</v>
      </c>
      <c r="AE174" s="23">
        <f>[1]节奏总纲!AE174</f>
        <v>76.144751687220932</v>
      </c>
      <c r="AF174" s="23">
        <f>[1]节奏总纲!AF174</f>
        <v>79.835310535604862</v>
      </c>
      <c r="AG174" s="23">
        <f>[1]节奏总纲!AG174</f>
        <v>83.840623004329032</v>
      </c>
      <c r="AH174" s="23">
        <f>[1]节奏总纲!AH174</f>
        <v>89.229864207042723</v>
      </c>
      <c r="AZ174" s="23">
        <v>171</v>
      </c>
      <c r="BA174" s="23">
        <v>41.630530120464542</v>
      </c>
      <c r="BB174" s="23">
        <v>43.14251743441298</v>
      </c>
      <c r="BC174" s="23">
        <v>45.088151688727308</v>
      </c>
      <c r="BD174" s="23">
        <v>47.827022929678968</v>
      </c>
      <c r="BE174" s="23">
        <v>50</v>
      </c>
    </row>
    <row r="175" spans="29:57" x14ac:dyDescent="0.15">
      <c r="AC175" s="23">
        <v>172</v>
      </c>
      <c r="AD175" s="23">
        <f>[1]节奏总纲!AD175</f>
        <v>74.338465431423501</v>
      </c>
      <c r="AE175" s="23">
        <f>[1]节奏总纲!AE175</f>
        <v>76.22665615518946</v>
      </c>
      <c r="AF175" s="23">
        <f>[1]节奏总纲!AF175</f>
        <v>79.916941001228224</v>
      </c>
      <c r="AG175" s="23">
        <f>[1]节奏总纲!AG175</f>
        <v>83.910509074298943</v>
      </c>
      <c r="AH175" s="23">
        <f>[1]节奏总纲!AH175</f>
        <v>89.239564872025184</v>
      </c>
      <c r="AZ175" s="23">
        <v>172</v>
      </c>
      <c r="BA175" s="23">
        <v>41.670756335556291</v>
      </c>
      <c r="BB175" s="23">
        <v>43.179964142847631</v>
      </c>
      <c r="BC175" s="23">
        <v>45.125346494097485</v>
      </c>
      <c r="BD175" s="23">
        <v>47.868598006324753</v>
      </c>
      <c r="BE175" s="23">
        <v>50</v>
      </c>
    </row>
    <row r="176" spans="29:57" x14ac:dyDescent="0.15">
      <c r="AC176" s="23">
        <v>173</v>
      </c>
      <c r="AD176" s="23">
        <f>[1]节奏总纲!AD176</f>
        <v>74.420957868442784</v>
      </c>
      <c r="AE176" s="23">
        <f>[1]节奏总纲!AE176</f>
        <v>76.308560623157987</v>
      </c>
      <c r="AF176" s="23">
        <f>[1]节奏总纲!AF176</f>
        <v>79.998571466851587</v>
      </c>
      <c r="AG176" s="23">
        <f>[1]节奏总纲!AG176</f>
        <v>83.980395144268854</v>
      </c>
      <c r="AH176" s="23">
        <f>[1]节奏总纲!AH176</f>
        <v>89.249265537007645</v>
      </c>
      <c r="AZ176" s="23">
        <v>173</v>
      </c>
      <c r="BA176" s="23">
        <v>41.710982550648033</v>
      </c>
      <c r="BB176" s="23">
        <v>43.217410851282274</v>
      </c>
      <c r="BC176" s="23">
        <v>45.162541299467655</v>
      </c>
      <c r="BD176" s="23">
        <v>47.910173082970537</v>
      </c>
      <c r="BE176" s="23">
        <v>50</v>
      </c>
    </row>
    <row r="177" spans="29:57" x14ac:dyDescent="0.15">
      <c r="AC177" s="23">
        <v>174</v>
      </c>
      <c r="AD177" s="23">
        <f>[1]节奏总纲!AD177</f>
        <v>74.503450305462081</v>
      </c>
      <c r="AE177" s="23">
        <f>[1]节奏总纲!AE177</f>
        <v>76.390465091126529</v>
      </c>
      <c r="AF177" s="23">
        <f>[1]节奏总纲!AF177</f>
        <v>80.044588451506783</v>
      </c>
      <c r="AG177" s="23">
        <f>[1]节奏总纲!AG177</f>
        <v>84.047390997905538</v>
      </c>
      <c r="AH177" s="23">
        <f>[1]节奏总纲!AH177</f>
        <v>89.258966201990106</v>
      </c>
      <c r="AZ177" s="23">
        <v>174</v>
      </c>
      <c r="BA177" s="23">
        <v>41.751208765739776</v>
      </c>
      <c r="BB177" s="23">
        <v>43.254857559716925</v>
      </c>
      <c r="BC177" s="23">
        <v>45.199736104837832</v>
      </c>
      <c r="BD177" s="23">
        <v>47.951748159616329</v>
      </c>
      <c r="BE177" s="23">
        <v>50</v>
      </c>
    </row>
    <row r="178" spans="29:57" x14ac:dyDescent="0.15">
      <c r="AC178" s="23">
        <v>175</v>
      </c>
      <c r="AD178" s="23">
        <f>[1]节奏总纲!AD178</f>
        <v>74.585942742481365</v>
      </c>
      <c r="AE178" s="23">
        <f>[1]节奏总纲!AE178</f>
        <v>76.472369559095057</v>
      </c>
      <c r="AF178" s="23">
        <f>[1]节奏总纲!AF178</f>
        <v>80.089971099350834</v>
      </c>
      <c r="AG178" s="23">
        <f>[1]节奏总纲!AG178</f>
        <v>84.113259944105664</v>
      </c>
      <c r="AH178" s="23">
        <f>[1]节奏总纲!AH178</f>
        <v>89.268666866972552</v>
      </c>
      <c r="AZ178" s="23">
        <v>175</v>
      </c>
      <c r="BA178" s="23">
        <v>41.791434980831518</v>
      </c>
      <c r="BB178" s="23">
        <v>43.292304268151575</v>
      </c>
      <c r="BC178" s="23">
        <v>45.236930910208002</v>
      </c>
      <c r="BD178" s="23">
        <v>47.993323236262114</v>
      </c>
      <c r="BE178" s="23">
        <v>50</v>
      </c>
    </row>
    <row r="179" spans="29:57" x14ac:dyDescent="0.15">
      <c r="AC179" s="23">
        <v>176</v>
      </c>
      <c r="AD179" s="23">
        <f>[1]节奏总纲!AD179</f>
        <v>74.668435179500648</v>
      </c>
      <c r="AE179" s="23">
        <f>[1]节奏总纲!AE179</f>
        <v>76.554274027063585</v>
      </c>
      <c r="AF179" s="23">
        <f>[1]节奏总纲!AF179</f>
        <v>80.135353747194884</v>
      </c>
      <c r="AG179" s="23">
        <f>[1]节奏总纲!AG179</f>
        <v>84.17912889030579</v>
      </c>
      <c r="AH179" s="23">
        <f>[1]节奏总纲!AH179</f>
        <v>89.278367531955013</v>
      </c>
      <c r="AZ179" s="23">
        <v>176</v>
      </c>
      <c r="BA179" s="23">
        <v>41.831661195923267</v>
      </c>
      <c r="BB179" s="23">
        <v>43.329750976586219</v>
      </c>
      <c r="BC179" s="23">
        <v>45.274125715578172</v>
      </c>
      <c r="BD179" s="23">
        <v>48.030128751164234</v>
      </c>
      <c r="BE179" s="23">
        <v>50</v>
      </c>
    </row>
    <row r="180" spans="29:57" x14ac:dyDescent="0.15">
      <c r="AC180" s="23">
        <v>177</v>
      </c>
      <c r="AD180" s="23">
        <f>[1]节奏总纲!AD180</f>
        <v>74.750927616519931</v>
      </c>
      <c r="AE180" s="23">
        <f>[1]节奏总纲!AE180</f>
        <v>76.636178495032127</v>
      </c>
      <c r="AF180" s="23">
        <f>[1]节奏总纲!AF180</f>
        <v>80.180736395038934</v>
      </c>
      <c r="AG180" s="23">
        <f>[1]节奏总纲!AG180</f>
        <v>84.244997836505917</v>
      </c>
      <c r="AH180" s="23">
        <f>[1]节奏总纲!AH180</f>
        <v>89.288068196937473</v>
      </c>
      <c r="AZ180" s="23">
        <v>177</v>
      </c>
      <c r="BA180" s="23">
        <v>41.87188741101501</v>
      </c>
      <c r="BB180" s="23">
        <v>43.367197685020869</v>
      </c>
      <c r="BC180" s="23">
        <v>45.31132052094835</v>
      </c>
      <c r="BD180" s="23">
        <v>48.066021750983474</v>
      </c>
      <c r="BE180" s="23">
        <v>50</v>
      </c>
    </row>
    <row r="181" spans="29:57" x14ac:dyDescent="0.15">
      <c r="AC181" s="23">
        <v>178</v>
      </c>
      <c r="AD181" s="23">
        <f>[1]节奏总纲!AD181</f>
        <v>74.833420053539214</v>
      </c>
      <c r="AE181" s="23">
        <f>[1]节奏总纲!AE181</f>
        <v>76.718082963000654</v>
      </c>
      <c r="AF181" s="23">
        <f>[1]节奏总纲!AF181</f>
        <v>80.226119042882985</v>
      </c>
      <c r="AG181" s="23">
        <f>[1]节奏总纲!AG181</f>
        <v>84.310866782706057</v>
      </c>
      <c r="AH181" s="23">
        <f>[1]节奏总纲!AH181</f>
        <v>89.297768861919934</v>
      </c>
      <c r="AZ181" s="23">
        <v>178</v>
      </c>
      <c r="BA181" s="23">
        <v>41.912113626106752</v>
      </c>
      <c r="BB181" s="23">
        <v>43.404644393455513</v>
      </c>
      <c r="BC181" s="23">
        <v>45.34851532631852</v>
      </c>
      <c r="BD181" s="23">
        <v>48.101914750802706</v>
      </c>
      <c r="BE181" s="23">
        <v>50</v>
      </c>
    </row>
    <row r="182" spans="29:57" x14ac:dyDescent="0.15">
      <c r="AC182" s="23">
        <v>179</v>
      </c>
      <c r="AD182" s="23">
        <f>[1]节奏总纲!AD182</f>
        <v>74.915912490558512</v>
      </c>
      <c r="AE182" s="23">
        <f>[1]节奏总纲!AE182</f>
        <v>76.799987430969182</v>
      </c>
      <c r="AF182" s="23">
        <f>[1]节奏总纲!AF182</f>
        <v>80.271501690727035</v>
      </c>
      <c r="AG182" s="23">
        <f>[1]节奏总纲!AG182</f>
        <v>84.376735728906183</v>
      </c>
      <c r="AH182" s="23">
        <f>[1]节奏总纲!AH182</f>
        <v>89.307469526902381</v>
      </c>
      <c r="AZ182" s="23">
        <v>179</v>
      </c>
      <c r="BA182" s="23">
        <v>41.952339841198494</v>
      </c>
      <c r="BB182" s="23">
        <v>43.442091101890163</v>
      </c>
      <c r="BC182" s="23">
        <v>45.385710131688697</v>
      </c>
      <c r="BD182" s="23">
        <v>48.137807750621946</v>
      </c>
      <c r="BE182" s="23">
        <v>50</v>
      </c>
    </row>
    <row r="183" spans="29:57" x14ac:dyDescent="0.15">
      <c r="AC183" s="23">
        <v>180</v>
      </c>
      <c r="AD183" s="23">
        <f>[1]节奏总纲!AD183</f>
        <v>74.998404927577795</v>
      </c>
      <c r="AE183" s="23">
        <f>[1]节奏总纲!AE183</f>
        <v>76.881891898937724</v>
      </c>
      <c r="AF183" s="23">
        <f>[1]节奏总纲!AF183</f>
        <v>80.316884338571086</v>
      </c>
      <c r="AG183" s="23">
        <f>[1]节奏总纲!AG183</f>
        <v>84.44260467510631</v>
      </c>
      <c r="AH183" s="23">
        <f>[1]节奏总纲!AH183</f>
        <v>89.317170191884841</v>
      </c>
      <c r="AZ183" s="23">
        <v>180</v>
      </c>
      <c r="BA183" s="23">
        <v>41.992566056290244</v>
      </c>
      <c r="BB183" s="23">
        <v>43.479537810324807</v>
      </c>
      <c r="BC183" s="23">
        <v>45.422904937058867</v>
      </c>
      <c r="BD183" s="23">
        <v>48.173700750441178</v>
      </c>
      <c r="BE183" s="23">
        <v>50</v>
      </c>
    </row>
    <row r="184" spans="29:57" x14ac:dyDescent="0.15">
      <c r="AC184" s="23">
        <v>181</v>
      </c>
      <c r="AD184" s="23">
        <f>[1]节奏总纲!AD184</f>
        <v>75.075479910097457</v>
      </c>
      <c r="AE184" s="23">
        <f>[1]节奏总纲!AE184</f>
        <v>76.963796366906251</v>
      </c>
      <c r="AF184" s="23">
        <f>[1]节奏总纲!AF184</f>
        <v>80.362266986415136</v>
      </c>
      <c r="AG184" s="23">
        <f>[1]节奏总纲!AG184</f>
        <v>84.508473621306436</v>
      </c>
      <c r="AH184" s="23">
        <f>[1]节奏总纲!AH184</f>
        <v>89.326870856867302</v>
      </c>
      <c r="AZ184" s="23">
        <v>181</v>
      </c>
      <c r="BA184" s="23">
        <v>42.028297717729309</v>
      </c>
      <c r="BB184" s="23">
        <v>43.516984518759458</v>
      </c>
      <c r="BC184" s="23">
        <v>45.460099742429037</v>
      </c>
      <c r="BD184" s="23">
        <v>48.209593750260417</v>
      </c>
      <c r="BE184" s="23">
        <v>50</v>
      </c>
    </row>
    <row r="185" spans="29:57" x14ac:dyDescent="0.15">
      <c r="AC185" s="23">
        <v>182</v>
      </c>
      <c r="AD185" s="23">
        <f>[1]节奏总纲!AD185</f>
        <v>75.152448075388719</v>
      </c>
      <c r="AE185" s="23">
        <f>[1]节奏总纲!AE185</f>
        <v>77.043375802508834</v>
      </c>
      <c r="AF185" s="23">
        <f>[1]节奏总纲!AF185</f>
        <v>80.407649634259187</v>
      </c>
      <c r="AG185" s="23">
        <f>[1]节奏总纲!AG185</f>
        <v>84.574342567506562</v>
      </c>
      <c r="AH185" s="23">
        <f>[1]节奏总纲!AH185</f>
        <v>89.336571521849763</v>
      </c>
      <c r="AZ185" s="23">
        <v>182</v>
      </c>
      <c r="BA185" s="23">
        <v>42.063010472656373</v>
      </c>
      <c r="BB185" s="23">
        <v>43.554431227194108</v>
      </c>
      <c r="BC185" s="23">
        <v>45.497294547799214</v>
      </c>
      <c r="BD185" s="23">
        <v>48.24548675007965</v>
      </c>
      <c r="BE185" s="23">
        <v>50</v>
      </c>
    </row>
    <row r="186" spans="29:57" x14ac:dyDescent="0.15">
      <c r="AC186" s="23">
        <v>183</v>
      </c>
      <c r="AD186" s="23">
        <f>[1]节奏总纲!AD186</f>
        <v>75.229416240679981</v>
      </c>
      <c r="AE186" s="23">
        <f>[1]节奏总纲!AE186</f>
        <v>77.121113376383107</v>
      </c>
      <c r="AF186" s="23">
        <f>[1]节奏总纲!AF186</f>
        <v>80.453032282103237</v>
      </c>
      <c r="AG186" s="23">
        <f>[1]节奏总纲!AG186</f>
        <v>84.640211513706689</v>
      </c>
      <c r="AH186" s="23">
        <f>[1]节奏总纲!AH186</f>
        <v>89.346272186832209</v>
      </c>
      <c r="AZ186" s="23">
        <v>183</v>
      </c>
      <c r="BA186" s="23">
        <v>42.097723227583437</v>
      </c>
      <c r="BB186" s="23">
        <v>43.591877935628752</v>
      </c>
      <c r="BC186" s="23">
        <v>45.534489353169384</v>
      </c>
      <c r="BD186" s="23">
        <v>48.281379749898889</v>
      </c>
      <c r="BE186" s="23">
        <v>50</v>
      </c>
    </row>
    <row r="187" spans="29:57" x14ac:dyDescent="0.15">
      <c r="AC187" s="23">
        <v>184</v>
      </c>
      <c r="AD187" s="23">
        <f>[1]节奏总纲!AD187</f>
        <v>75.306384405971258</v>
      </c>
      <c r="AE187" s="23">
        <f>[1]节奏总纲!AE187</f>
        <v>77.198850950257366</v>
      </c>
      <c r="AF187" s="23">
        <f>[1]节奏总纲!AF187</f>
        <v>80.498414929947288</v>
      </c>
      <c r="AG187" s="23">
        <f>[1]节奏总纲!AG187</f>
        <v>84.706080459906815</v>
      </c>
      <c r="AH187" s="23">
        <f>[1]节奏总纲!AH187</f>
        <v>89.35597285181467</v>
      </c>
      <c r="AZ187" s="23">
        <v>184</v>
      </c>
      <c r="BA187" s="23">
        <v>42.132435982510501</v>
      </c>
      <c r="BB187" s="23">
        <v>43.629324644063402</v>
      </c>
      <c r="BC187" s="23">
        <v>45.571684158539561</v>
      </c>
      <c r="BD187" s="23">
        <v>48.317272749718121</v>
      </c>
      <c r="BE187" s="23">
        <v>50</v>
      </c>
    </row>
    <row r="188" spans="29:57" x14ac:dyDescent="0.15">
      <c r="AC188" s="23">
        <v>185</v>
      </c>
      <c r="AD188" s="23">
        <f>[1]节奏总纲!AD188</f>
        <v>75.38335257126252</v>
      </c>
      <c r="AE188" s="23">
        <f>[1]节奏总纲!AE188</f>
        <v>77.27658852413164</v>
      </c>
      <c r="AF188" s="23">
        <f>[1]节奏总纲!AF188</f>
        <v>80.543797577791338</v>
      </c>
      <c r="AG188" s="23">
        <f>[1]节奏总纲!AG188</f>
        <v>84.771949406106955</v>
      </c>
      <c r="AH188" s="23">
        <f>[1]节奏总纲!AH188</f>
        <v>89.365673516797131</v>
      </c>
      <c r="AZ188" s="23">
        <v>185</v>
      </c>
      <c r="BA188" s="23">
        <v>42.167148737437564</v>
      </c>
      <c r="BB188" s="23">
        <v>43.666771352498046</v>
      </c>
      <c r="BC188" s="23">
        <v>45.608878963909731</v>
      </c>
      <c r="BD188" s="23">
        <v>48.353165749537354</v>
      </c>
      <c r="BE188" s="23">
        <v>50</v>
      </c>
    </row>
    <row r="189" spans="29:57" x14ac:dyDescent="0.15">
      <c r="AC189" s="23">
        <v>186</v>
      </c>
      <c r="AD189" s="23">
        <f>[1]节奏总纲!AD189</f>
        <v>75.460320736553783</v>
      </c>
      <c r="AE189" s="23">
        <f>[1]节奏总纲!AE189</f>
        <v>77.354326098005913</v>
      </c>
      <c r="AF189" s="23">
        <f>[1]节奏总纲!AF189</f>
        <v>80.589180225635388</v>
      </c>
      <c r="AG189" s="23">
        <f>[1]节奏总纲!AG189</f>
        <v>84.837818352307082</v>
      </c>
      <c r="AH189" s="23">
        <f>[1]节奏总纲!AH189</f>
        <v>89.375374181779591</v>
      </c>
      <c r="AZ189" s="23">
        <v>186</v>
      </c>
      <c r="BA189" s="23">
        <v>42.201861492364635</v>
      </c>
      <c r="BB189" s="23">
        <v>43.704218060932696</v>
      </c>
      <c r="BC189" s="23">
        <v>45.646073769279901</v>
      </c>
      <c r="BD189" s="23">
        <v>48.389058749356593</v>
      </c>
      <c r="BE189" s="23">
        <v>50</v>
      </c>
    </row>
    <row r="190" spans="29:57" x14ac:dyDescent="0.15">
      <c r="AC190" s="23">
        <v>187</v>
      </c>
      <c r="AD190" s="23">
        <f>[1]节奏总纲!AD190</f>
        <v>75.537288901845045</v>
      </c>
      <c r="AE190" s="23">
        <f>[1]节奏总纲!AE190</f>
        <v>77.432063671880172</v>
      </c>
      <c r="AF190" s="23">
        <f>[1]节奏总纲!AF190</f>
        <v>80.634562873479439</v>
      </c>
      <c r="AG190" s="23">
        <f>[1]节奏总纲!AG190</f>
        <v>84.903687298507208</v>
      </c>
      <c r="AH190" s="23">
        <f>[1]节奏总纲!AH190</f>
        <v>89.385074846762038</v>
      </c>
      <c r="AZ190" s="23">
        <v>187</v>
      </c>
      <c r="BA190" s="23">
        <v>42.236574247291699</v>
      </c>
      <c r="BB190" s="23">
        <v>43.741664769367347</v>
      </c>
      <c r="BC190" s="23">
        <v>45.683268574650079</v>
      </c>
      <c r="BD190" s="23">
        <v>48.424951749175825</v>
      </c>
      <c r="BE190" s="23">
        <v>50</v>
      </c>
    </row>
    <row r="191" spans="29:57" x14ac:dyDescent="0.15">
      <c r="AC191" s="23">
        <v>188</v>
      </c>
      <c r="AD191" s="23">
        <f>[1]节奏总纲!AD191</f>
        <v>75.614257067136322</v>
      </c>
      <c r="AE191" s="23">
        <f>[1]节奏总纲!AE191</f>
        <v>77.509801245754446</v>
      </c>
      <c r="AF191" s="23">
        <f>[1]节奏总纲!AF191</f>
        <v>80.679945521323489</v>
      </c>
      <c r="AG191" s="23">
        <f>[1]节奏总纲!AG191</f>
        <v>84.969556244707334</v>
      </c>
      <c r="AH191" s="23">
        <f>[1]节奏总纲!AH191</f>
        <v>89.394775511744498</v>
      </c>
      <c r="AZ191" s="23">
        <v>188</v>
      </c>
      <c r="BA191" s="23">
        <v>42.271287002218763</v>
      </c>
      <c r="BB191" s="23">
        <v>43.77911147780199</v>
      </c>
      <c r="BC191" s="23">
        <v>45.720463380020249</v>
      </c>
      <c r="BD191" s="23">
        <v>48.460844748995065</v>
      </c>
      <c r="BE191" s="23">
        <v>50</v>
      </c>
    </row>
    <row r="192" spans="29:57" x14ac:dyDescent="0.15">
      <c r="AC192" s="23">
        <v>189</v>
      </c>
      <c r="AD192" s="23">
        <f>[1]节奏总纲!AD192</f>
        <v>75.691225232427584</v>
      </c>
      <c r="AE192" s="23">
        <f>[1]节奏总纲!AE192</f>
        <v>77.587538819628705</v>
      </c>
      <c r="AF192" s="23">
        <f>[1]节奏总纲!AF192</f>
        <v>80.72532816916754</v>
      </c>
      <c r="AG192" s="23">
        <f>[1]节奏总纲!AG192</f>
        <v>85.038022554056667</v>
      </c>
      <c r="AH192" s="23">
        <f>[1]节奏总纲!AH192</f>
        <v>89.404476176726959</v>
      </c>
      <c r="AZ192" s="23">
        <v>189</v>
      </c>
      <c r="BA192" s="23">
        <v>42.305999757145827</v>
      </c>
      <c r="BB192" s="23">
        <v>43.816558186236641</v>
      </c>
      <c r="BC192" s="23">
        <v>45.757658185390426</v>
      </c>
      <c r="BD192" s="23">
        <v>48.496737748814297</v>
      </c>
      <c r="BE192" s="23">
        <v>50</v>
      </c>
    </row>
    <row r="193" spans="29:57" x14ac:dyDescent="0.15">
      <c r="AC193" s="23">
        <v>190</v>
      </c>
      <c r="AD193" s="23">
        <f>[1]节奏总纲!AD193</f>
        <v>75.768193397718846</v>
      </c>
      <c r="AE193" s="23">
        <f>[1]节奏总纲!AE193</f>
        <v>77.665276393502978</v>
      </c>
      <c r="AF193" s="23">
        <f>[1]节奏总纲!AF193</f>
        <v>80.77071081701159</v>
      </c>
      <c r="AG193" s="23">
        <f>[1]节奏总纲!AG193</f>
        <v>85.10872098936197</v>
      </c>
      <c r="AH193" s="23">
        <f>[1]节奏总纲!AH193</f>
        <v>89.41417684170942</v>
      </c>
      <c r="AZ193" s="23">
        <v>190</v>
      </c>
      <c r="BA193" s="23">
        <v>42.340712512072891</v>
      </c>
      <c r="BB193" s="23">
        <v>43.854004894671284</v>
      </c>
      <c r="BC193" s="23">
        <v>45.794852990760596</v>
      </c>
      <c r="BD193" s="23">
        <v>48.532630748633537</v>
      </c>
      <c r="BE193" s="23">
        <v>50</v>
      </c>
    </row>
    <row r="194" spans="29:57" x14ac:dyDescent="0.15">
      <c r="AC194" s="23">
        <v>191</v>
      </c>
      <c r="AD194" s="23">
        <f>[1]节奏总纲!AD194</f>
        <v>75.845161563010109</v>
      </c>
      <c r="AE194" s="23">
        <f>[1]节奏总纲!AE194</f>
        <v>77.743013967377237</v>
      </c>
      <c r="AF194" s="23">
        <f>[1]节奏总纲!AF194</f>
        <v>80.816093464855641</v>
      </c>
      <c r="AG194" s="23">
        <f>[1]节奏总纲!AG194</f>
        <v>85.179419424667287</v>
      </c>
      <c r="AH194" s="23">
        <f>[1]节奏总纲!AH194</f>
        <v>89.423877506691866</v>
      </c>
      <c r="AZ194" s="23">
        <v>191</v>
      </c>
      <c r="BA194" s="23">
        <v>42.375425266999954</v>
      </c>
      <c r="BB194" s="23">
        <v>43.891451603105935</v>
      </c>
      <c r="BC194" s="23">
        <v>45.832047796130773</v>
      </c>
      <c r="BD194" s="23">
        <v>48.568523748452769</v>
      </c>
      <c r="BE194" s="23">
        <v>50</v>
      </c>
    </row>
    <row r="195" spans="29:57" x14ac:dyDescent="0.15">
      <c r="AC195" s="23">
        <v>192</v>
      </c>
      <c r="AD195" s="23">
        <f>[1]节奏总纲!AD195</f>
        <v>75.922129728301385</v>
      </c>
      <c r="AE195" s="23">
        <f>[1]节奏总纲!AE195</f>
        <v>77.820751541251511</v>
      </c>
      <c r="AF195" s="23">
        <f>[1]节奏总纲!AF195</f>
        <v>80.861476112699691</v>
      </c>
      <c r="AG195" s="23">
        <f>[1]节奏总纲!AG195</f>
        <v>85.25011785997259</v>
      </c>
      <c r="AH195" s="23">
        <f>[1]节奏总纲!AH195</f>
        <v>89.433578171674327</v>
      </c>
      <c r="AZ195" s="23">
        <v>192</v>
      </c>
      <c r="BA195" s="23">
        <v>42.410138021927018</v>
      </c>
      <c r="BB195" s="23">
        <v>43.928898311540578</v>
      </c>
      <c r="BC195" s="23">
        <v>45.869242601500943</v>
      </c>
      <c r="BD195" s="23">
        <v>48.604416748272008</v>
      </c>
      <c r="BE195" s="23">
        <v>50</v>
      </c>
    </row>
    <row r="196" spans="29:57" x14ac:dyDescent="0.15">
      <c r="AC196" s="23">
        <v>193</v>
      </c>
      <c r="AD196" s="23">
        <f>[1]节奏总纲!AD196</f>
        <v>75.999097893592648</v>
      </c>
      <c r="AE196" s="23">
        <f>[1]节奏总纲!AE196</f>
        <v>77.898489115125784</v>
      </c>
      <c r="AF196" s="23">
        <f>[1]节奏总纲!AF196</f>
        <v>80.906858760543741</v>
      </c>
      <c r="AG196" s="23">
        <f>[1]节奏总纲!AG196</f>
        <v>85.320816295277908</v>
      </c>
      <c r="AH196" s="23">
        <f>[1]节奏总纲!AH196</f>
        <v>89.443278836656788</v>
      </c>
      <c r="AZ196" s="23">
        <v>193</v>
      </c>
      <c r="BA196" s="23">
        <v>42.444850776854082</v>
      </c>
      <c r="BB196" s="23">
        <v>43.966345019975229</v>
      </c>
      <c r="BC196" s="23">
        <v>45.906437406871113</v>
      </c>
      <c r="BD196" s="23">
        <v>48.640309748091241</v>
      </c>
      <c r="BE196" s="23">
        <v>50</v>
      </c>
    </row>
    <row r="197" spans="29:57" x14ac:dyDescent="0.15">
      <c r="AC197" s="23">
        <v>194</v>
      </c>
      <c r="AD197" s="23">
        <f>[1]节奏总纲!AD197</f>
        <v>76.070972142474872</v>
      </c>
      <c r="AE197" s="23">
        <f>[1]节奏总纲!AE197</f>
        <v>77.976226689000043</v>
      </c>
      <c r="AF197" s="23">
        <f>[1]节奏总纲!AF197</f>
        <v>80.952241408387792</v>
      </c>
      <c r="AG197" s="23">
        <f>[1]节奏总纲!AG197</f>
        <v>85.391514730583225</v>
      </c>
      <c r="AH197" s="23">
        <f>[1]节奏总纲!AH197</f>
        <v>89.452979501639248</v>
      </c>
      <c r="AZ197" s="23">
        <v>194</v>
      </c>
      <c r="BA197" s="23">
        <v>42.479563531781146</v>
      </c>
      <c r="BB197" s="23">
        <v>44.003272544984547</v>
      </c>
      <c r="BC197" s="23">
        <v>45.94363221224129</v>
      </c>
      <c r="BD197" s="23">
        <v>48.67620274791048</v>
      </c>
      <c r="BE197" s="23">
        <v>50</v>
      </c>
    </row>
    <row r="198" spans="29:57" x14ac:dyDescent="0.15">
      <c r="AC198" s="23">
        <v>195</v>
      </c>
      <c r="AD198" s="23">
        <f>[1]节奏总纲!AD198</f>
        <v>76.142785979989682</v>
      </c>
      <c r="AE198" s="23">
        <f>[1]节奏总纲!AE198</f>
        <v>78.085096813710805</v>
      </c>
      <c r="AF198" s="23">
        <f>[1]节奏总纲!AF198</f>
        <v>80.997624056231842</v>
      </c>
      <c r="AG198" s="23">
        <f>[1]节奏总纲!AG198</f>
        <v>85.462213165888528</v>
      </c>
      <c r="AH198" s="23">
        <f>[1]节奏总纲!AH198</f>
        <v>89.462680166621695</v>
      </c>
      <c r="AZ198" s="23">
        <v>195</v>
      </c>
      <c r="BA198" s="23">
        <v>42.51427628670821</v>
      </c>
      <c r="BB198" s="23">
        <v>44.035591852864428</v>
      </c>
      <c r="BC198" s="23">
        <v>45.98082701761146</v>
      </c>
      <c r="BD198" s="23">
        <v>48.712095747729713</v>
      </c>
      <c r="BE198" s="23">
        <v>50</v>
      </c>
    </row>
    <row r="199" spans="29:57" x14ac:dyDescent="0.15">
      <c r="AC199" s="23">
        <v>196</v>
      </c>
      <c r="AD199" s="23">
        <f>[1]节奏总纲!AD199</f>
        <v>76.214599817504492</v>
      </c>
      <c r="AE199" s="23">
        <f>[1]节奏总纲!AE199</f>
        <v>78.207682011579905</v>
      </c>
      <c r="AF199" s="23">
        <f>[1]节奏总纲!AF199</f>
        <v>81.077276343161188</v>
      </c>
      <c r="AG199" s="23">
        <f>[1]节奏总纲!AG199</f>
        <v>85.532911601193845</v>
      </c>
      <c r="AH199" s="23">
        <f>[1]节奏总纲!AH199</f>
        <v>89.472380831604156</v>
      </c>
      <c r="AZ199" s="23">
        <v>196</v>
      </c>
      <c r="BA199" s="23">
        <v>42.548989041635274</v>
      </c>
      <c r="BB199" s="23">
        <v>44.067911160744309</v>
      </c>
      <c r="BC199" s="23">
        <v>46.01555652579863</v>
      </c>
      <c r="BD199" s="23">
        <v>48.747988747548945</v>
      </c>
      <c r="BE199" s="23">
        <v>50</v>
      </c>
    </row>
    <row r="200" spans="29:57" x14ac:dyDescent="0.15">
      <c r="AC200" s="23">
        <v>197</v>
      </c>
      <c r="AD200" s="23">
        <f>[1]节奏总纲!AD200</f>
        <v>76.286413655019302</v>
      </c>
      <c r="AE200" s="23">
        <f>[1]节奏总纲!AE200</f>
        <v>78.330267209449019</v>
      </c>
      <c r="AF200" s="23">
        <f>[1]节奏总纲!AF200</f>
        <v>81.158821886901805</v>
      </c>
      <c r="AG200" s="23">
        <f>[1]节奏总纲!AG200</f>
        <v>85.603610036499148</v>
      </c>
      <c r="AH200" s="23">
        <f>[1]节奏总纲!AH200</f>
        <v>89.482081496586616</v>
      </c>
      <c r="AZ200" s="23">
        <v>197</v>
      </c>
      <c r="BA200" s="23">
        <v>42.583701796562345</v>
      </c>
      <c r="BB200" s="23">
        <v>44.100230468624183</v>
      </c>
      <c r="BC200" s="23">
        <v>46.047663263829847</v>
      </c>
      <c r="BD200" s="23">
        <v>48.783881747368184</v>
      </c>
      <c r="BE200" s="23">
        <v>50</v>
      </c>
    </row>
    <row r="201" spans="29:57" x14ac:dyDescent="0.15">
      <c r="AC201" s="23">
        <v>198</v>
      </c>
      <c r="AD201" s="23">
        <f>[1]节奏总纲!AD201</f>
        <v>76.358227492534112</v>
      </c>
      <c r="AE201" s="23">
        <f>[1]节奏总纲!AE201</f>
        <v>78.452852407318119</v>
      </c>
      <c r="AF201" s="23">
        <f>[1]节奏总纲!AF201</f>
        <v>81.240367430642422</v>
      </c>
      <c r="AG201" s="23">
        <f>[1]节奏总纲!AG201</f>
        <v>85.674308471804466</v>
      </c>
      <c r="AH201" s="23">
        <f>[1]节奏总纲!AH201</f>
        <v>89.491782161569077</v>
      </c>
      <c r="AZ201" s="23">
        <v>198</v>
      </c>
      <c r="BA201" s="23">
        <v>42.618414551489408</v>
      </c>
      <c r="BB201" s="23">
        <v>44.132549776504064</v>
      </c>
      <c r="BC201" s="23">
        <v>46.079770001861057</v>
      </c>
      <c r="BD201" s="23">
        <v>48.819774747187417</v>
      </c>
      <c r="BE201" s="23">
        <v>50</v>
      </c>
    </row>
    <row r="202" spans="29:57" x14ac:dyDescent="0.15">
      <c r="AC202" s="23">
        <v>199</v>
      </c>
      <c r="AD202" s="23">
        <f>[1]节奏总纲!AD202</f>
        <v>76.430041330048923</v>
      </c>
      <c r="AE202" s="23">
        <f>[1]节奏总纲!AE202</f>
        <v>78.575437605187233</v>
      </c>
      <c r="AF202" s="23">
        <f>[1]节奏总纲!AF202</f>
        <v>81.321912974383039</v>
      </c>
      <c r="AG202" s="23">
        <f>[1]节奏总纲!AG202</f>
        <v>85.745006907109769</v>
      </c>
      <c r="AH202" s="23">
        <f>[1]节奏总纲!AH202</f>
        <v>89.501482826551523</v>
      </c>
      <c r="AZ202" s="23">
        <v>199</v>
      </c>
      <c r="BA202" s="23">
        <v>42.653127306416472</v>
      </c>
      <c r="BB202" s="23">
        <v>44.164869084383938</v>
      </c>
      <c r="BC202" s="23">
        <v>46.111876739892267</v>
      </c>
      <c r="BD202" s="23">
        <v>48.855667747006656</v>
      </c>
      <c r="BE202" s="23">
        <v>50</v>
      </c>
    </row>
    <row r="203" spans="29:57" x14ac:dyDescent="0.15">
      <c r="AC203" s="23">
        <v>200</v>
      </c>
      <c r="AD203" s="23">
        <f>[1]节奏总纲!AD203</f>
        <v>76.501855167563733</v>
      </c>
      <c r="AE203" s="23">
        <f>[1]节奏总纲!AE203</f>
        <v>78.698022803056332</v>
      </c>
      <c r="AF203" s="23">
        <f>[1]节奏总纲!AF203</f>
        <v>81.403458518123657</v>
      </c>
      <c r="AG203" s="23">
        <f>[1]节奏总纲!AG203</f>
        <v>85.815705342415086</v>
      </c>
      <c r="AH203" s="23">
        <f>[1]节奏总纲!AH203</f>
        <v>89.511183491533984</v>
      </c>
      <c r="AZ203" s="23">
        <v>200</v>
      </c>
      <c r="BA203" s="23">
        <v>42.687840061343536</v>
      </c>
      <c r="BB203" s="23">
        <v>44.197188392263818</v>
      </c>
      <c r="BC203" s="23">
        <v>46.143983477923484</v>
      </c>
      <c r="BD203" s="23">
        <v>48.891560746825888</v>
      </c>
      <c r="BE203" s="23">
        <v>50</v>
      </c>
    </row>
    <row r="204" spans="29:57" x14ac:dyDescent="0.15">
      <c r="AC204" s="23">
        <v>201</v>
      </c>
      <c r="AD204" s="23">
        <f>[1]节奏总纲!AD204</f>
        <v>76.573669005078543</v>
      </c>
      <c r="AE204" s="23">
        <f>[1]节奏总纲!AE204</f>
        <v>78.820608000925432</v>
      </c>
      <c r="AF204" s="23">
        <f>[1]节奏总纲!AF204</f>
        <v>81.485004061864274</v>
      </c>
      <c r="AG204" s="23">
        <f>[1]节奏总纲!AG204</f>
        <v>85.886403777720403</v>
      </c>
      <c r="AH204" s="23">
        <f>[1]节奏总纲!AH204</f>
        <v>89.520884156516445</v>
      </c>
      <c r="AZ204" s="23">
        <v>201</v>
      </c>
      <c r="BA204" s="23">
        <v>42.7225528162706</v>
      </c>
      <c r="BB204" s="23">
        <v>44.229507700143699</v>
      </c>
      <c r="BC204" s="23">
        <v>46.176090215954694</v>
      </c>
      <c r="BD204" s="23">
        <v>48.927453746645128</v>
      </c>
      <c r="BE204" s="23">
        <v>50</v>
      </c>
    </row>
    <row r="205" spans="29:57" x14ac:dyDescent="0.15">
      <c r="AC205" s="23">
        <v>202</v>
      </c>
      <c r="AD205" s="23">
        <f>[1]节奏总纲!AD205</f>
        <v>76.645482842593353</v>
      </c>
      <c r="AE205" s="23">
        <f>[1]节奏总纲!AE205</f>
        <v>78.943193198794546</v>
      </c>
      <c r="AF205" s="23">
        <f>[1]节奏总纲!AF205</f>
        <v>81.566549605604891</v>
      </c>
      <c r="AG205" s="23">
        <f>[1]节奏总纲!AG205</f>
        <v>85.957102213025706</v>
      </c>
      <c r="AH205" s="23">
        <f>[1]节奏总纲!AH205</f>
        <v>89.530584821498906</v>
      </c>
      <c r="AZ205" s="23">
        <v>202</v>
      </c>
      <c r="BA205" s="23">
        <v>42.757265571197664</v>
      </c>
      <c r="BB205" s="23">
        <v>44.261827008023573</v>
      </c>
      <c r="BC205" s="23">
        <v>46.208196953985905</v>
      </c>
      <c r="BD205" s="23">
        <v>48.96334674646436</v>
      </c>
      <c r="BE205" s="23">
        <v>50</v>
      </c>
    </row>
    <row r="206" spans="29:57" x14ac:dyDescent="0.15">
      <c r="AC206" s="23">
        <v>203</v>
      </c>
      <c r="AD206" s="23">
        <f>[1]节奏总纲!AD206</f>
        <v>76.717296680108163</v>
      </c>
      <c r="AE206" s="23">
        <f>[1]节奏总纲!AE206</f>
        <v>79.041401909148547</v>
      </c>
      <c r="AF206" s="23">
        <f>[1]节奏总纲!AF206</f>
        <v>81.648095149345508</v>
      </c>
      <c r="AG206" s="23">
        <f>[1]节奏总纲!AG206</f>
        <v>86.056954919342118</v>
      </c>
      <c r="AH206" s="23">
        <f>[1]节奏总纲!AH206</f>
        <v>89.540285486481352</v>
      </c>
      <c r="AZ206" s="23">
        <v>203</v>
      </c>
      <c r="BA206" s="23">
        <v>42.791978326124728</v>
      </c>
      <c r="BB206" s="23">
        <v>44.294146315903454</v>
      </c>
      <c r="BC206" s="23">
        <v>46.240303692017122</v>
      </c>
      <c r="BD206" s="23">
        <v>48.9992397462836</v>
      </c>
      <c r="BE206" s="23">
        <v>50</v>
      </c>
    </row>
    <row r="207" spans="29:57" x14ac:dyDescent="0.15">
      <c r="AC207" s="23">
        <v>204</v>
      </c>
      <c r="AD207" s="23">
        <f>[1]节奏总纲!AD207</f>
        <v>76.789110517622973</v>
      </c>
      <c r="AE207" s="23">
        <f>[1]节奏总纲!AE207</f>
        <v>79.118558870743158</v>
      </c>
      <c r="AF207" s="23">
        <f>[1]节奏总纲!AF207</f>
        <v>81.729640693086125</v>
      </c>
      <c r="AG207" s="23">
        <f>[1]节奏总纲!AG207</f>
        <v>86.201794119942178</v>
      </c>
      <c r="AH207" s="23">
        <f>[1]节奏总纲!AH207</f>
        <v>89.549986151463813</v>
      </c>
      <c r="AZ207" s="23">
        <v>204</v>
      </c>
      <c r="BA207" s="23">
        <v>42.826691081051791</v>
      </c>
      <c r="BB207" s="23">
        <v>44.326465623783335</v>
      </c>
      <c r="BC207" s="23">
        <v>46.272410430048332</v>
      </c>
      <c r="BD207" s="23">
        <v>49.030333272797542</v>
      </c>
      <c r="BE207" s="23">
        <v>50</v>
      </c>
    </row>
    <row r="208" spans="29:57" x14ac:dyDescent="0.15">
      <c r="AC208" s="23">
        <v>205</v>
      </c>
      <c r="AD208" s="23">
        <f>[1]节奏总纲!AD208</f>
        <v>76.860924355137783</v>
      </c>
      <c r="AE208" s="23">
        <f>[1]节奏总纲!AE208</f>
        <v>79.195715832337768</v>
      </c>
      <c r="AF208" s="23">
        <f>[1]节奏总纲!AF208</f>
        <v>81.811186236826742</v>
      </c>
      <c r="AG208" s="23">
        <f>[1]节奏总纲!AG208</f>
        <v>86.346633320542253</v>
      </c>
      <c r="AH208" s="23">
        <f>[1]节奏总纲!AH208</f>
        <v>89.559686816446273</v>
      </c>
      <c r="AZ208" s="23">
        <v>205</v>
      </c>
      <c r="BA208" s="23">
        <v>42.861403835978855</v>
      </c>
      <c r="BB208" s="23">
        <v>44.358784931663209</v>
      </c>
      <c r="BC208" s="23">
        <v>46.304517168079542</v>
      </c>
      <c r="BD208" s="23">
        <v>49.061322941292346</v>
      </c>
      <c r="BE208" s="23">
        <v>50</v>
      </c>
    </row>
    <row r="209" spans="29:57" x14ac:dyDescent="0.15">
      <c r="AC209" s="23">
        <v>206</v>
      </c>
      <c r="AD209" s="23">
        <f>[1]节奏总纲!AD209</f>
        <v>76.932738192652593</v>
      </c>
      <c r="AE209" s="23">
        <f>[1]节奏总纲!AE209</f>
        <v>79.272872793932379</v>
      </c>
      <c r="AF209" s="23">
        <f>[1]节奏总纲!AF209</f>
        <v>81.892731780567374</v>
      </c>
      <c r="AG209" s="23">
        <f>[1]节奏总纲!AG209</f>
        <v>86.491472521142313</v>
      </c>
      <c r="AH209" s="23">
        <f>[1]节奏总纲!AH209</f>
        <v>89.569387481428734</v>
      </c>
      <c r="AZ209" s="23">
        <v>206</v>
      </c>
      <c r="BA209" s="23">
        <v>42.896116590905919</v>
      </c>
      <c r="BB209" s="23">
        <v>44.39110423954309</v>
      </c>
      <c r="BC209" s="23">
        <v>46.336623906110759</v>
      </c>
      <c r="BD209" s="23">
        <v>49.09231260978715</v>
      </c>
      <c r="BE209" s="23">
        <v>50</v>
      </c>
    </row>
    <row r="210" spans="29:57" x14ac:dyDescent="0.15">
      <c r="AC210" s="23">
        <v>207</v>
      </c>
      <c r="AD210" s="23">
        <f>[1]节奏总纲!AD210</f>
        <v>77.004247194324648</v>
      </c>
      <c r="AE210" s="23">
        <f>[1]节奏总纲!AE210</f>
        <v>79.35002975552699</v>
      </c>
      <c r="AF210" s="23">
        <f>[1]节奏总纲!AF210</f>
        <v>81.974277324307991</v>
      </c>
      <c r="AG210" s="23">
        <f>[1]节奏总纲!AG210</f>
        <v>86.636311721742373</v>
      </c>
      <c r="AH210" s="23">
        <f>[1]节奏总纲!AH210</f>
        <v>89.579088146411181</v>
      </c>
      <c r="AZ210" s="23">
        <v>207</v>
      </c>
      <c r="BA210" s="23">
        <v>42.930829345832983</v>
      </c>
      <c r="BB210" s="23">
        <v>44.423423547422971</v>
      </c>
      <c r="BC210" s="23">
        <v>46.368730644141969</v>
      </c>
      <c r="BD210" s="23">
        <v>49.123302278281955</v>
      </c>
      <c r="BE210" s="23">
        <v>50</v>
      </c>
    </row>
    <row r="211" spans="29:57" x14ac:dyDescent="0.15">
      <c r="AC211" s="23">
        <v>208</v>
      </c>
      <c r="AD211" s="23">
        <f>[1]节奏总纲!AD211</f>
        <v>77.07125187397483</v>
      </c>
      <c r="AE211" s="23">
        <f>[1]节奏总纲!AE211</f>
        <v>79.4271867171216</v>
      </c>
      <c r="AF211" s="23">
        <f>[1]节奏总纲!AF211</f>
        <v>82.065981674043627</v>
      </c>
      <c r="AG211" s="23">
        <f>[1]节奏总纲!AG211</f>
        <v>86.781150922342434</v>
      </c>
      <c r="AH211" s="23">
        <f>[1]节奏总纲!AH211</f>
        <v>89.588788811393641</v>
      </c>
      <c r="AZ211" s="23">
        <v>208</v>
      </c>
      <c r="BA211" s="23">
        <v>42.965542100760054</v>
      </c>
      <c r="BB211" s="23">
        <v>44.455742855302844</v>
      </c>
      <c r="BC211" s="23">
        <v>46.400837382173179</v>
      </c>
      <c r="BD211" s="23">
        <v>49.154291946776759</v>
      </c>
      <c r="BE211" s="23">
        <v>50</v>
      </c>
    </row>
    <row r="212" spans="29:57" x14ac:dyDescent="0.15">
      <c r="AC212" s="23">
        <v>209</v>
      </c>
      <c r="AD212" s="23">
        <f>[1]节奏总纲!AD212</f>
        <v>77.138256553625013</v>
      </c>
      <c r="AE212" s="23">
        <f>[1]节奏总纲!AE212</f>
        <v>79.504343678716211</v>
      </c>
      <c r="AF212" s="23">
        <f>[1]节奏总纲!AF212</f>
        <v>82.162367110243707</v>
      </c>
      <c r="AG212" s="23">
        <f>[1]节奏总纲!AG212</f>
        <v>86.925990122942494</v>
      </c>
      <c r="AH212" s="23">
        <f>[1]节奏总纲!AH212</f>
        <v>89.598489476376102</v>
      </c>
      <c r="AZ212" s="23">
        <v>209</v>
      </c>
      <c r="BA212" s="23">
        <v>43.000219942361319</v>
      </c>
      <c r="BB212" s="23">
        <v>44.488062163182725</v>
      </c>
      <c r="BC212" s="23">
        <v>46.432944120204397</v>
      </c>
      <c r="BD212" s="23">
        <v>49.18528161527157</v>
      </c>
      <c r="BE212" s="23">
        <v>50</v>
      </c>
    </row>
    <row r="213" spans="29:57" x14ac:dyDescent="0.15">
      <c r="AC213" s="23">
        <v>210</v>
      </c>
      <c r="AD213" s="23">
        <f>[1]节奏总纲!AD213</f>
        <v>77.205261233275195</v>
      </c>
      <c r="AE213" s="23">
        <f>[1]节奏总纲!AE213</f>
        <v>79.581500640310821</v>
      </c>
      <c r="AF213" s="23">
        <f>[1]节奏总纲!AF213</f>
        <v>82.258752546443787</v>
      </c>
      <c r="AG213" s="23">
        <f>[1]节奏总纲!AG213</f>
        <v>87.065087281460123</v>
      </c>
      <c r="AH213" s="23">
        <f>[1]节奏总纲!AH213</f>
        <v>89.608190141358563</v>
      </c>
      <c r="AZ213" s="23">
        <v>210</v>
      </c>
      <c r="BA213" s="23">
        <v>43.030177309109042</v>
      </c>
      <c r="BB213" s="23">
        <v>44.520381471062606</v>
      </c>
      <c r="BC213" s="23">
        <v>46.465050858235607</v>
      </c>
      <c r="BD213" s="23">
        <v>49.216271283766375</v>
      </c>
      <c r="BE213" s="23">
        <v>50</v>
      </c>
    </row>
    <row r="214" spans="29:57" x14ac:dyDescent="0.15">
      <c r="AC214" s="23">
        <v>211</v>
      </c>
      <c r="AD214" s="23">
        <f>[1]节奏总纲!AD214</f>
        <v>77.272265912925377</v>
      </c>
      <c r="AE214" s="23">
        <f>[1]节奏总纲!AE214</f>
        <v>79.658657601905432</v>
      </c>
      <c r="AF214" s="23">
        <f>[1]节奏总纲!AF214</f>
        <v>82.355137982643853</v>
      </c>
      <c r="AG214" s="23">
        <f>[1]节奏总纲!AG214</f>
        <v>87.198184554516146</v>
      </c>
      <c r="AH214" s="23">
        <f>[1]节奏总纲!AH214</f>
        <v>89.617890806341009</v>
      </c>
      <c r="AZ214" s="23">
        <v>211</v>
      </c>
      <c r="BA214" s="23">
        <v>43.060134675856759</v>
      </c>
      <c r="BB214" s="23">
        <v>44.55270077894248</v>
      </c>
      <c r="BC214" s="23">
        <v>46.497157596266817</v>
      </c>
      <c r="BD214" s="23">
        <v>49.247260952261179</v>
      </c>
      <c r="BE214" s="23">
        <v>50</v>
      </c>
    </row>
    <row r="215" spans="29:57" x14ac:dyDescent="0.15">
      <c r="AC215" s="23">
        <v>212</v>
      </c>
      <c r="AD215" s="23">
        <f>[1]节奏总纲!AD215</f>
        <v>77.339270592575559</v>
      </c>
      <c r="AE215" s="23">
        <f>[1]节奏总纲!AE215</f>
        <v>79.735814563500043</v>
      </c>
      <c r="AF215" s="23">
        <f>[1]节奏总纲!AF215</f>
        <v>82.451523418843934</v>
      </c>
      <c r="AG215" s="23">
        <f>[1]节奏总纲!AG215</f>
        <v>87.331281827572155</v>
      </c>
      <c r="AH215" s="23">
        <f>[1]节奏总纲!AH215</f>
        <v>89.62759147132347</v>
      </c>
      <c r="AZ215" s="23">
        <v>212</v>
      </c>
      <c r="BA215" s="23">
        <v>43.090092042604475</v>
      </c>
      <c r="BB215" s="23">
        <v>44.585020086822361</v>
      </c>
      <c r="BC215" s="23">
        <v>46.529264334298034</v>
      </c>
      <c r="BD215" s="23">
        <v>49.278250620755983</v>
      </c>
      <c r="BE215" s="23">
        <v>50</v>
      </c>
    </row>
    <row r="216" spans="29:57" x14ac:dyDescent="0.15">
      <c r="AC216" s="23">
        <v>213</v>
      </c>
      <c r="AD216" s="23">
        <f>[1]节奏总纲!AD216</f>
        <v>77.406275272225741</v>
      </c>
      <c r="AE216" s="23">
        <f>[1]节奏总纲!AE216</f>
        <v>79.812971525094653</v>
      </c>
      <c r="AF216" s="23">
        <f>[1]节奏总纲!AF216</f>
        <v>82.547908855044014</v>
      </c>
      <c r="AG216" s="23">
        <f>[1]节奏总纲!AG216</f>
        <v>87.464379100628179</v>
      </c>
      <c r="AH216" s="23">
        <f>[1]节奏总纲!AH216</f>
        <v>89.637292136305931</v>
      </c>
      <c r="AZ216" s="23">
        <v>213</v>
      </c>
      <c r="BA216" s="23">
        <v>43.120049409352191</v>
      </c>
      <c r="BB216" s="23">
        <v>44.617339394702242</v>
      </c>
      <c r="BC216" s="23">
        <v>46.561371072329244</v>
      </c>
      <c r="BD216" s="23">
        <v>49.309240289250788</v>
      </c>
      <c r="BE216" s="23">
        <v>50</v>
      </c>
    </row>
    <row r="217" spans="29:57" x14ac:dyDescent="0.15">
      <c r="AC217" s="23">
        <v>214</v>
      </c>
      <c r="AD217" s="23">
        <f>[1]节奏总纲!AD217</f>
        <v>77.473279951875909</v>
      </c>
      <c r="AE217" s="23">
        <f>[1]节奏总纲!AE217</f>
        <v>79.890128486689278</v>
      </c>
      <c r="AF217" s="23">
        <f>[1]节奏总纲!AF217</f>
        <v>82.644294291244094</v>
      </c>
      <c r="AG217" s="23">
        <f>[1]节奏总纲!AG217</f>
        <v>87.597476373684188</v>
      </c>
      <c r="AH217" s="23">
        <f>[1]节奏总纲!AH217</f>
        <v>89.646992801288391</v>
      </c>
      <c r="AZ217" s="23">
        <v>214</v>
      </c>
      <c r="BA217" s="23">
        <v>43.150006776099914</v>
      </c>
      <c r="BB217" s="23">
        <v>44.649658702582116</v>
      </c>
      <c r="BC217" s="23">
        <v>46.593477810360454</v>
      </c>
      <c r="BD217" s="23">
        <v>49.340229957745592</v>
      </c>
      <c r="BE217" s="23">
        <v>50</v>
      </c>
    </row>
    <row r="218" spans="29:57" x14ac:dyDescent="0.15">
      <c r="AC218" s="23">
        <v>215</v>
      </c>
      <c r="AD218" s="23">
        <f>[1]节奏总纲!AD218</f>
        <v>77.540284631526092</v>
      </c>
      <c r="AE218" s="23">
        <f>[1]节奏总纲!AE218</f>
        <v>79.967285448283889</v>
      </c>
      <c r="AF218" s="23">
        <f>[1]节奏总纲!AF218</f>
        <v>82.740679727444174</v>
      </c>
      <c r="AG218" s="23">
        <f>[1]节奏总纲!AG218</f>
        <v>87.730573646740211</v>
      </c>
      <c r="AH218" s="23">
        <f>[1]节奏总纲!AH218</f>
        <v>89.656693466270838</v>
      </c>
      <c r="AZ218" s="23">
        <v>215</v>
      </c>
      <c r="BA218" s="23">
        <v>43.179964142847631</v>
      </c>
      <c r="BB218" s="23">
        <v>44.681978010461997</v>
      </c>
      <c r="BC218" s="23">
        <v>46.625584548391664</v>
      </c>
      <c r="BD218" s="23">
        <v>49.371219626240396</v>
      </c>
      <c r="BE218" s="23">
        <v>50</v>
      </c>
    </row>
    <row r="219" spans="29:57" x14ac:dyDescent="0.15">
      <c r="AC219" s="23">
        <v>216</v>
      </c>
      <c r="AD219" s="23">
        <f>[1]节奏总纲!AD219</f>
        <v>77.607289311176274</v>
      </c>
      <c r="AE219" s="23">
        <f>[1]节奏总纲!AE219</f>
        <v>80.029150302517351</v>
      </c>
      <c r="AF219" s="23">
        <f>[1]节奏总纲!AF219</f>
        <v>82.83706516364424</v>
      </c>
      <c r="AG219" s="23">
        <f>[1]节奏总纲!AG219</f>
        <v>87.86367091979622</v>
      </c>
      <c r="AH219" s="23">
        <f>[1]节奏总纲!AH219</f>
        <v>89.666394131253298</v>
      </c>
      <c r="AZ219" s="23">
        <v>216</v>
      </c>
      <c r="BA219" s="23">
        <v>43.209921509595347</v>
      </c>
      <c r="BB219" s="23">
        <v>44.71429731834187</v>
      </c>
      <c r="BC219" s="23">
        <v>46.657691286422882</v>
      </c>
      <c r="BD219" s="23">
        <v>49.402209294735208</v>
      </c>
      <c r="BE219" s="23">
        <v>50</v>
      </c>
    </row>
    <row r="220" spans="29:57" x14ac:dyDescent="0.15">
      <c r="AC220" s="23">
        <v>217</v>
      </c>
      <c r="AD220" s="23">
        <f>[1]节奏总纲!AD220</f>
        <v>77.674293990826456</v>
      </c>
      <c r="AE220" s="23">
        <f>[1]节奏总纲!AE220</f>
        <v>80.079758466609988</v>
      </c>
      <c r="AF220" s="23">
        <f>[1]节奏总纲!AF220</f>
        <v>82.933450599844321</v>
      </c>
      <c r="AG220" s="23">
        <f>[1]节奏总纲!AG220</f>
        <v>87.996768192852244</v>
      </c>
      <c r="AH220" s="23">
        <f>[1]节奏总纲!AH220</f>
        <v>89.676094796235759</v>
      </c>
      <c r="AZ220" s="23">
        <v>217</v>
      </c>
      <c r="BA220" s="23">
        <v>43.239878876343063</v>
      </c>
      <c r="BB220" s="23">
        <v>44.746616626221751</v>
      </c>
      <c r="BC220" s="23">
        <v>46.689798024454092</v>
      </c>
      <c r="BD220" s="23">
        <v>49.433198963230012</v>
      </c>
      <c r="BE220" s="23">
        <v>50</v>
      </c>
    </row>
    <row r="221" spans="29:57" x14ac:dyDescent="0.15">
      <c r="AC221" s="23">
        <v>218</v>
      </c>
      <c r="AD221" s="23">
        <f>[1]节奏总纲!AD221</f>
        <v>77.741298670476638</v>
      </c>
      <c r="AE221" s="23">
        <f>[1]节奏总纲!AE221</f>
        <v>80.130366630702625</v>
      </c>
      <c r="AF221" s="23">
        <f>[1]节奏总纲!AF221</f>
        <v>83.020452191684072</v>
      </c>
      <c r="AG221" s="23">
        <f>[1]节奏总纲!AG221</f>
        <v>88.103641705092542</v>
      </c>
      <c r="AH221" s="23">
        <f>[1]节奏总纲!AH221</f>
        <v>89.68579546121822</v>
      </c>
      <c r="AZ221" s="23">
        <v>218</v>
      </c>
      <c r="BA221" s="23">
        <v>43.269836243090786</v>
      </c>
      <c r="BB221" s="23">
        <v>44.778935934101632</v>
      </c>
      <c r="BC221" s="23">
        <v>46.721904762485302</v>
      </c>
      <c r="BD221" s="23">
        <v>49.464188631724817</v>
      </c>
      <c r="BE221" s="23">
        <v>50</v>
      </c>
    </row>
    <row r="222" spans="29:57" x14ac:dyDescent="0.15">
      <c r="AC222" s="23">
        <v>219</v>
      </c>
      <c r="AD222" s="23">
        <f>[1]节奏总纲!AD222</f>
        <v>77.80830335012682</v>
      </c>
      <c r="AE222" s="23">
        <f>[1]节奏总纲!AE222</f>
        <v>80.180974794795262</v>
      </c>
      <c r="AF222" s="23">
        <f>[1]节奏总纲!AF222</f>
        <v>83.086523080383316</v>
      </c>
      <c r="AG222" s="23">
        <f>[1]节奏总纲!AG222</f>
        <v>88.209862617836492</v>
      </c>
      <c r="AH222" s="23">
        <f>[1]节奏总纲!AH222</f>
        <v>89.695496126200666</v>
      </c>
      <c r="AZ222" s="23">
        <v>219</v>
      </c>
      <c r="BA222" s="23">
        <v>43.299793609838503</v>
      </c>
      <c r="BB222" s="23">
        <v>44.811255241981506</v>
      </c>
      <c r="BC222" s="23">
        <v>46.754011500516519</v>
      </c>
      <c r="BD222" s="23">
        <v>49.495178300219621</v>
      </c>
      <c r="BE222" s="23">
        <v>50</v>
      </c>
    </row>
    <row r="223" spans="29:57" x14ac:dyDescent="0.15">
      <c r="AC223" s="23">
        <v>220</v>
      </c>
      <c r="AD223" s="23">
        <f>[1]节奏总纲!AD223</f>
        <v>77.875308029777003</v>
      </c>
      <c r="AE223" s="23">
        <f>[1]节奏总纲!AE223</f>
        <v>80.231582958887898</v>
      </c>
      <c r="AF223" s="23">
        <f>[1]节奏总纲!AF223</f>
        <v>83.152593969082574</v>
      </c>
      <c r="AG223" s="23">
        <f>[1]节奏总纲!AG223</f>
        <v>88.316083530580457</v>
      </c>
      <c r="AH223" s="23">
        <f>[1]节奏总纲!AH223</f>
        <v>89.705196791183127</v>
      </c>
      <c r="AZ223" s="23">
        <v>220</v>
      </c>
      <c r="BA223" s="23">
        <v>43.329750976586219</v>
      </c>
      <c r="BB223" s="23">
        <v>44.843574549861387</v>
      </c>
      <c r="BC223" s="23">
        <v>46.786118238547729</v>
      </c>
      <c r="BD223" s="23">
        <v>49.526167968714425</v>
      </c>
      <c r="BE223" s="23">
        <v>50</v>
      </c>
    </row>
    <row r="224" spans="29:57" x14ac:dyDescent="0.15">
      <c r="AC224" s="23">
        <v>221</v>
      </c>
      <c r="AD224" s="23">
        <f>[1]节奏总纲!AD224</f>
        <v>77.942312709427185</v>
      </c>
      <c r="AE224" s="23">
        <f>[1]节奏总纲!AE224</f>
        <v>80.282191122980535</v>
      </c>
      <c r="AF224" s="23">
        <f>[1]节奏总纲!AF224</f>
        <v>83.218664857781818</v>
      </c>
      <c r="AG224" s="23">
        <f>[1]节奏总纲!AG224</f>
        <v>88.422304443324407</v>
      </c>
      <c r="AH224" s="23">
        <f>[1]节奏总纲!AH224</f>
        <v>89.714897456165588</v>
      </c>
      <c r="AZ224" s="23">
        <v>221</v>
      </c>
      <c r="BA224" s="23">
        <v>43.359708343333942</v>
      </c>
      <c r="BB224" s="23">
        <v>44.875893857741268</v>
      </c>
      <c r="BC224" s="23">
        <v>46.818224976578939</v>
      </c>
      <c r="BD224" s="23">
        <v>49.55715763720923</v>
      </c>
      <c r="BE224" s="23">
        <v>50</v>
      </c>
    </row>
    <row r="225" spans="29:57" x14ac:dyDescent="0.15">
      <c r="AC225" s="23">
        <v>222</v>
      </c>
      <c r="AD225" s="23">
        <f>[1]节奏总纲!AD225</f>
        <v>78.008693431404168</v>
      </c>
      <c r="AE225" s="23">
        <f>[1]节奏总纲!AE225</f>
        <v>80.332799287073158</v>
      </c>
      <c r="AF225" s="23">
        <f>[1]节奏总纲!AF225</f>
        <v>83.284735746481061</v>
      </c>
      <c r="AG225" s="23">
        <f>[1]节奏总纲!AG225</f>
        <v>88.528525356068357</v>
      </c>
      <c r="AH225" s="23">
        <f>[1]节奏总纲!AH225</f>
        <v>89.724598121148048</v>
      </c>
      <c r="AZ225" s="23">
        <v>222</v>
      </c>
      <c r="BA225" s="23">
        <v>43.389665710081658</v>
      </c>
      <c r="BB225" s="23">
        <v>44.908213165621142</v>
      </c>
      <c r="BC225" s="23">
        <v>46.850331714610157</v>
      </c>
      <c r="BD225" s="23">
        <v>49.588147305704041</v>
      </c>
      <c r="BE225" s="23">
        <v>50</v>
      </c>
    </row>
    <row r="226" spans="29:57" x14ac:dyDescent="0.15">
      <c r="AC226" s="23">
        <v>223</v>
      </c>
      <c r="AD226" s="23">
        <f>[1]节奏总纲!AD226</f>
        <v>78.071211008105138</v>
      </c>
      <c r="AE226" s="23">
        <f>[1]节奏总纲!AE226</f>
        <v>80.383407451165795</v>
      </c>
      <c r="AF226" s="23">
        <f>[1]节奏总纲!AF226</f>
        <v>83.350806635180319</v>
      </c>
      <c r="AG226" s="23">
        <f>[1]节奏总纲!AG226</f>
        <v>88.634746268812307</v>
      </c>
      <c r="AH226" s="23">
        <f>[1]节奏总纲!AH226</f>
        <v>89.734298786130495</v>
      </c>
      <c r="AZ226" s="23">
        <v>223</v>
      </c>
      <c r="BA226" s="23">
        <v>43.419623076829374</v>
      </c>
      <c r="BB226" s="23">
        <v>44.940532473501023</v>
      </c>
      <c r="BC226" s="23">
        <v>46.882438452641367</v>
      </c>
      <c r="BD226" s="23">
        <v>49.619136974198845</v>
      </c>
      <c r="BE226" s="23">
        <v>50</v>
      </c>
    </row>
    <row r="227" spans="29:57" x14ac:dyDescent="0.15">
      <c r="AC227" s="23">
        <v>224</v>
      </c>
      <c r="AD227" s="23">
        <f>[1]节奏总纲!AD227</f>
        <v>78.133728584806107</v>
      </c>
      <c r="AE227" s="23">
        <f>[1]节奏总纲!AE227</f>
        <v>80.434015615258431</v>
      </c>
      <c r="AF227" s="23">
        <f>[1]节奏总纲!AF227</f>
        <v>83.416877523879563</v>
      </c>
      <c r="AG227" s="23">
        <f>[1]节奏总纲!AG227</f>
        <v>88.740967181556258</v>
      </c>
      <c r="AH227" s="23">
        <f>[1]节奏总纲!AH227</f>
        <v>89.743999451112956</v>
      </c>
      <c r="AZ227" s="23">
        <v>224</v>
      </c>
      <c r="BA227" s="23">
        <v>43.449580443577091</v>
      </c>
      <c r="BB227" s="23">
        <v>44.972851781380903</v>
      </c>
      <c r="BC227" s="23">
        <v>46.914545190672577</v>
      </c>
      <c r="BD227" s="23">
        <v>49.65012664269365</v>
      </c>
      <c r="BE227" s="23">
        <v>50</v>
      </c>
    </row>
    <row r="228" spans="29:57" x14ac:dyDescent="0.15">
      <c r="AC228" s="23">
        <v>225</v>
      </c>
      <c r="AD228" s="23">
        <f>[1]节奏总纲!AD228</f>
        <v>78.196246161507091</v>
      </c>
      <c r="AE228" s="23">
        <f>[1]节奏总纲!AE228</f>
        <v>80.484623779351068</v>
      </c>
      <c r="AF228" s="23">
        <f>[1]节奏总纲!AF228</f>
        <v>83.482948412578821</v>
      </c>
      <c r="AG228" s="23">
        <f>[1]节奏总纲!AG228</f>
        <v>88.847188094300222</v>
      </c>
      <c r="AH228" s="23">
        <f>[1]节奏总纲!AH228</f>
        <v>89.753700116095416</v>
      </c>
      <c r="AZ228" s="23">
        <v>225</v>
      </c>
      <c r="BA228" s="23">
        <v>43.479537810324814</v>
      </c>
      <c r="BB228" s="23">
        <v>45.004463376644416</v>
      </c>
      <c r="BC228" s="23">
        <v>46.946651928703794</v>
      </c>
      <c r="BD228" s="23">
        <v>49.681116311188454</v>
      </c>
      <c r="BE228" s="23">
        <v>50</v>
      </c>
    </row>
    <row r="229" spans="29:57" x14ac:dyDescent="0.15">
      <c r="AC229" s="23">
        <v>226</v>
      </c>
      <c r="AD229" s="23">
        <f>[1]节奏总纲!AD229</f>
        <v>78.25876373820806</v>
      </c>
      <c r="AE229" s="23">
        <f>[1]节奏总纲!AE229</f>
        <v>80.535231943443705</v>
      </c>
      <c r="AF229" s="23">
        <f>[1]节奏总纲!AF229</f>
        <v>83.549019301278065</v>
      </c>
      <c r="AG229" s="23">
        <f>[1]节奏总纲!AG229</f>
        <v>88.953409007044172</v>
      </c>
      <c r="AH229" s="23">
        <f>[1]节奏总纲!AH229</f>
        <v>89.763400781077877</v>
      </c>
      <c r="AZ229" s="23">
        <v>226</v>
      </c>
      <c r="BA229" s="23">
        <v>43.50949517707253</v>
      </c>
      <c r="BB229" s="23">
        <v>45.032359480672049</v>
      </c>
      <c r="BC229" s="23">
        <v>46.978758666735004</v>
      </c>
      <c r="BD229" s="23">
        <v>49.712105979683258</v>
      </c>
      <c r="BE229" s="23">
        <v>50</v>
      </c>
    </row>
    <row r="230" spans="29:57" x14ac:dyDescent="0.15">
      <c r="AC230" s="23">
        <v>227</v>
      </c>
      <c r="AD230" s="23">
        <f>[1]节奏总纲!AD230</f>
        <v>78.321281314909029</v>
      </c>
      <c r="AE230" s="23">
        <f>[1]节奏总纲!AE230</f>
        <v>80.585840107536342</v>
      </c>
      <c r="AF230" s="23">
        <f>[1]节奏总纲!AF230</f>
        <v>83.615090189977309</v>
      </c>
      <c r="AG230" s="23">
        <f>[1]节奏总纲!AG230</f>
        <v>89.023438171047374</v>
      </c>
      <c r="AH230" s="23">
        <f>[1]节奏总纲!AH230</f>
        <v>89.773101446060323</v>
      </c>
      <c r="AZ230" s="23">
        <v>227</v>
      </c>
      <c r="BA230" s="23">
        <v>43.539452543820246</v>
      </c>
      <c r="BB230" s="23">
        <v>45.060255584699682</v>
      </c>
      <c r="BC230" s="23">
        <v>47.009379755645142</v>
      </c>
      <c r="BD230" s="23">
        <v>49.743095648178063</v>
      </c>
      <c r="BE230" s="23">
        <v>50</v>
      </c>
    </row>
    <row r="231" spans="29:57" x14ac:dyDescent="0.15">
      <c r="AC231" s="23">
        <v>228</v>
      </c>
      <c r="AD231" s="23">
        <f>[1]节奏总纲!AD231</f>
        <v>78.383798891610013</v>
      </c>
      <c r="AE231" s="23">
        <f>[1]节奏总纲!AE231</f>
        <v>80.636448271628964</v>
      </c>
      <c r="AF231" s="23">
        <f>[1]节奏总纲!AF231</f>
        <v>83.681161078676567</v>
      </c>
      <c r="AG231" s="23">
        <f>[1]节奏总纲!AG231</f>
        <v>89.065189424957282</v>
      </c>
      <c r="AH231" s="23">
        <f>[1]节奏总纲!AH231</f>
        <v>89.782802111042784</v>
      </c>
      <c r="AZ231" s="23">
        <v>228</v>
      </c>
      <c r="BA231" s="23">
        <v>43.569409910567963</v>
      </c>
      <c r="BB231" s="23">
        <v>45.088151688727308</v>
      </c>
      <c r="BC231" s="23">
        <v>47.037096473409001</v>
      </c>
      <c r="BD231" s="23">
        <v>49.774085316672867</v>
      </c>
      <c r="BE231" s="23">
        <v>50</v>
      </c>
    </row>
    <row r="232" spans="29:57" x14ac:dyDescent="0.15">
      <c r="AC232" s="23">
        <v>229</v>
      </c>
      <c r="AD232" s="23">
        <f>[1]节奏总纲!AD232</f>
        <v>78.446316468310982</v>
      </c>
      <c r="AE232" s="23">
        <f>[1]节奏总纲!AE232</f>
        <v>80.687056435721601</v>
      </c>
      <c r="AF232" s="23">
        <f>[1]节奏总纲!AF232</f>
        <v>83.747231967375811</v>
      </c>
      <c r="AG232" s="23">
        <f>[1]节奏总纲!AG232</f>
        <v>89.106940678867176</v>
      </c>
      <c r="AH232" s="23">
        <f>[1]节奏总纲!AH232</f>
        <v>89.792502776025245</v>
      </c>
      <c r="AZ232" s="23">
        <v>229</v>
      </c>
      <c r="BA232" s="23">
        <v>43.599367277315686</v>
      </c>
      <c r="BB232" s="23">
        <v>45.116047792754941</v>
      </c>
      <c r="BC232" s="23">
        <v>47.06481319117286</v>
      </c>
      <c r="BD232" s="23">
        <v>49.805074985167678</v>
      </c>
      <c r="BE232" s="23">
        <v>50</v>
      </c>
    </row>
    <row r="233" spans="29:57" x14ac:dyDescent="0.15">
      <c r="AC233" s="23">
        <v>230</v>
      </c>
      <c r="AD233" s="23">
        <f>[1]节奏总纲!AD233</f>
        <v>78.508834045011952</v>
      </c>
      <c r="AE233" s="23">
        <f>[1]节奏总纲!AE233</f>
        <v>80.737664599814238</v>
      </c>
      <c r="AF233" s="23">
        <f>[1]节奏总纲!AF233</f>
        <v>83.813302856075069</v>
      </c>
      <c r="AG233" s="23">
        <f>[1]节奏总纲!AG233</f>
        <v>89.148691932777083</v>
      </c>
      <c r="AH233" s="23">
        <f>[1]节奏总纲!AH233</f>
        <v>89.802203441007705</v>
      </c>
      <c r="AZ233" s="23">
        <v>230</v>
      </c>
      <c r="BA233" s="23">
        <v>43.629324644063402</v>
      </c>
      <c r="BB233" s="23">
        <v>45.143943896782567</v>
      </c>
      <c r="BC233" s="23">
        <v>47.092529908936719</v>
      </c>
      <c r="BD233" s="23">
        <v>49.836064653662483</v>
      </c>
      <c r="BE233" s="23">
        <v>50</v>
      </c>
    </row>
    <row r="234" spans="29:57" x14ac:dyDescent="0.15">
      <c r="AC234" s="23">
        <v>231</v>
      </c>
      <c r="AD234" s="23">
        <f>[1]节奏总纲!AD234</f>
        <v>78.571351621712921</v>
      </c>
      <c r="AE234" s="23">
        <f>[1]节奏总纲!AE234</f>
        <v>80.788272763906875</v>
      </c>
      <c r="AF234" s="23">
        <f>[1]节奏总纲!AF234</f>
        <v>83.879373744774313</v>
      </c>
      <c r="AG234" s="23">
        <f>[1]节奏总纲!AG234</f>
        <v>89.190443186686991</v>
      </c>
      <c r="AH234" s="23">
        <f>[1]节奏总纲!AH234</f>
        <v>89.811904105990152</v>
      </c>
      <c r="AZ234" s="23">
        <v>231</v>
      </c>
      <c r="BA234" s="23">
        <v>43.659282010811118</v>
      </c>
      <c r="BB234" s="23">
        <v>45.171840000810199</v>
      </c>
      <c r="BC234" s="23">
        <v>47.120246626700578</v>
      </c>
      <c r="BD234" s="23">
        <v>49.867054322157287</v>
      </c>
      <c r="BE234" s="23">
        <v>50</v>
      </c>
    </row>
    <row r="235" spans="29:57" x14ac:dyDescent="0.15">
      <c r="AC235" s="23">
        <v>232</v>
      </c>
      <c r="AD235" s="23">
        <f>[1]节奏总纲!AD235</f>
        <v>78.633869198413905</v>
      </c>
      <c r="AE235" s="23">
        <f>[1]节奏总纲!AE235</f>
        <v>80.838880927999512</v>
      </c>
      <c r="AF235" s="23">
        <f>[1]节奏总纲!AF235</f>
        <v>83.945444633473556</v>
      </c>
      <c r="AG235" s="23">
        <f>[1]节奏总纲!AG235</f>
        <v>89.232194440596885</v>
      </c>
      <c r="AH235" s="23">
        <f>[1]节奏总纲!AH235</f>
        <v>89.821604770972613</v>
      </c>
      <c r="AZ235" s="23">
        <v>232</v>
      </c>
      <c r="BA235" s="23">
        <v>43.689239377558835</v>
      </c>
      <c r="BB235" s="23">
        <v>45.199736104837825</v>
      </c>
      <c r="BC235" s="23">
        <v>47.147963344464429</v>
      </c>
      <c r="BD235" s="23">
        <v>49.898043990652091</v>
      </c>
      <c r="BE235" s="23">
        <v>50</v>
      </c>
    </row>
    <row r="236" spans="29:57" x14ac:dyDescent="0.15">
      <c r="AC236" s="23">
        <v>233</v>
      </c>
      <c r="AD236" s="23">
        <f>[1]节奏总纲!AD236</f>
        <v>78.696386775114874</v>
      </c>
      <c r="AE236" s="23">
        <f>[1]节奏总纲!AE236</f>
        <v>80.889489092092148</v>
      </c>
      <c r="AF236" s="23">
        <f>[1]节奏总纲!AF236</f>
        <v>84.007192030538107</v>
      </c>
      <c r="AG236" s="23">
        <f>[1]节奏总纲!AG236</f>
        <v>89.273945694506793</v>
      </c>
      <c r="AH236" s="23">
        <f>[1]节奏总纲!AH236</f>
        <v>89.831305435955073</v>
      </c>
      <c r="AZ236" s="23">
        <v>233</v>
      </c>
      <c r="BA236" s="23">
        <v>43.719196744306558</v>
      </c>
      <c r="BB236" s="23">
        <v>45.227632208865458</v>
      </c>
      <c r="BC236" s="23">
        <v>47.175680062228288</v>
      </c>
      <c r="BD236" s="23">
        <v>49.929033659146896</v>
      </c>
      <c r="BE236" s="23">
        <v>50</v>
      </c>
    </row>
    <row r="237" spans="29:57" x14ac:dyDescent="0.15">
      <c r="AC237" s="23">
        <v>234</v>
      </c>
      <c r="AD237" s="23">
        <f>[1]节奏总纲!AD237</f>
        <v>78.758904351815843</v>
      </c>
      <c r="AE237" s="23">
        <f>[1]节奏总纲!AE237</f>
        <v>80.940097256184771</v>
      </c>
      <c r="AF237" s="23">
        <f>[1]节奏总纲!AF237</f>
        <v>84.048456668135387</v>
      </c>
      <c r="AG237" s="23">
        <f>[1]节奏总纲!AG237</f>
        <v>89.315696948416701</v>
      </c>
      <c r="AH237" s="23">
        <f>[1]节奏总纲!AH237</f>
        <v>89.841006100937534</v>
      </c>
      <c r="AZ237" s="23">
        <v>234</v>
      </c>
      <c r="BA237" s="23">
        <v>43.749154111054274</v>
      </c>
      <c r="BB237" s="23">
        <v>45.255528312893091</v>
      </c>
      <c r="BC237" s="23">
        <v>47.203396779992147</v>
      </c>
      <c r="BD237" s="23">
        <v>49.9600233276417</v>
      </c>
      <c r="BE237" s="23">
        <v>50</v>
      </c>
    </row>
    <row r="238" spans="29:57" x14ac:dyDescent="0.15">
      <c r="AC238" s="23">
        <v>235</v>
      </c>
      <c r="AD238" s="23">
        <f>[1]节奏总纲!AD238</f>
        <v>78.821421928516827</v>
      </c>
      <c r="AE238" s="23">
        <f>[1]节奏总纲!AE238</f>
        <v>80.990705420277408</v>
      </c>
      <c r="AF238" s="23">
        <f>[1]节奏总纲!AF238</f>
        <v>84.089721305732681</v>
      </c>
      <c r="AG238" s="23">
        <f>[1]节奏总纲!AG238</f>
        <v>89.357448202326594</v>
      </c>
      <c r="AH238" s="23">
        <f>[1]节奏总纲!AH238</f>
        <v>89.850706765919981</v>
      </c>
      <c r="AZ238" s="23">
        <v>235</v>
      </c>
      <c r="BA238" s="23">
        <v>43.77911147780199</v>
      </c>
      <c r="BB238" s="23">
        <v>45.283424416920717</v>
      </c>
      <c r="BC238" s="23">
        <v>47.231113497756006</v>
      </c>
      <c r="BD238" s="23">
        <v>49.991012996136504</v>
      </c>
      <c r="BE238" s="23">
        <v>50</v>
      </c>
    </row>
    <row r="239" spans="29:57" x14ac:dyDescent="0.15">
      <c r="AC239" s="23">
        <v>236</v>
      </c>
      <c r="AD239" s="23">
        <f>[1]节奏总纲!AD239</f>
        <v>78.883939505217796</v>
      </c>
      <c r="AE239" s="23">
        <f>[1]节奏总纲!AE239</f>
        <v>81.037637890659056</v>
      </c>
      <c r="AF239" s="23">
        <f>[1]节奏总纲!AF239</f>
        <v>84.130985943329961</v>
      </c>
      <c r="AG239" s="23">
        <f>[1]节奏总纲!AG239</f>
        <v>89.399199456236502</v>
      </c>
      <c r="AH239" s="23">
        <f>[1]节奏总纲!AH239</f>
        <v>89.860407430902441</v>
      </c>
      <c r="AZ239" s="23">
        <v>236</v>
      </c>
      <c r="BA239" s="23">
        <v>43.809068844549707</v>
      </c>
      <c r="BB239" s="23">
        <v>45.31132052094835</v>
      </c>
      <c r="BC239" s="23">
        <v>47.258830215519865</v>
      </c>
      <c r="BD239" s="23">
        <v>50</v>
      </c>
      <c r="BE239" s="23">
        <v>50</v>
      </c>
    </row>
    <row r="240" spans="29:57" x14ac:dyDescent="0.15">
      <c r="AC240" s="23">
        <v>237</v>
      </c>
      <c r="AD240" s="23">
        <f>[1]节奏总纲!AD240</f>
        <v>78.946457081918766</v>
      </c>
      <c r="AE240" s="23">
        <f>[1]节奏总纲!AE240</f>
        <v>81.083743416858681</v>
      </c>
      <c r="AF240" s="23">
        <f>[1]节奏总纲!AF240</f>
        <v>84.172250580927255</v>
      </c>
      <c r="AG240" s="23">
        <f>[1]节奏总纲!AG240</f>
        <v>89.440950710146396</v>
      </c>
      <c r="AH240" s="23">
        <f>[1]节奏总纲!AH240</f>
        <v>89.870108095884902</v>
      </c>
      <c r="AZ240" s="23">
        <v>237</v>
      </c>
      <c r="BA240" s="23">
        <v>43.83902621129743</v>
      </c>
      <c r="BB240" s="23">
        <v>45.339216624975975</v>
      </c>
      <c r="BC240" s="23">
        <v>47.286546933283724</v>
      </c>
      <c r="BD240" s="23">
        <v>50</v>
      </c>
      <c r="BE240" s="23">
        <v>50</v>
      </c>
    </row>
    <row r="241" spans="29:57" x14ac:dyDescent="0.15">
      <c r="AC241" s="23">
        <v>238</v>
      </c>
      <c r="AD241" s="23">
        <f>[1]节奏总纲!AD241</f>
        <v>79.008373652580005</v>
      </c>
      <c r="AE241" s="23">
        <f>[1]节奏总纲!AE241</f>
        <v>81.12984894305832</v>
      </c>
      <c r="AF241" s="23">
        <f>[1]节奏总纲!AF241</f>
        <v>84.213515218524535</v>
      </c>
      <c r="AG241" s="23">
        <f>[1]节奏总纲!AG241</f>
        <v>89.482701964056304</v>
      </c>
      <c r="AH241" s="23">
        <f>[1]节奏总纲!AH241</f>
        <v>89.879808760867363</v>
      </c>
      <c r="AZ241" s="23">
        <v>238</v>
      </c>
      <c r="BA241" s="23">
        <v>43.868983578045146</v>
      </c>
      <c r="BB241" s="23">
        <v>45.367112729003608</v>
      </c>
      <c r="BC241" s="23">
        <v>47.314263651047582</v>
      </c>
      <c r="BD241" s="23">
        <v>50</v>
      </c>
      <c r="BE241" s="23">
        <v>50</v>
      </c>
    </row>
    <row r="242" spans="29:57" x14ac:dyDescent="0.15">
      <c r="AC242" s="23">
        <v>239</v>
      </c>
      <c r="AD242" s="23">
        <f>[1]节奏总纲!AD242</f>
        <v>79.066704614192943</v>
      </c>
      <c r="AE242" s="23">
        <f>[1]节奏总纲!AE242</f>
        <v>81.17595446925796</v>
      </c>
      <c r="AF242" s="23">
        <f>[1]节奏总纲!AF242</f>
        <v>84.254779856121829</v>
      </c>
      <c r="AG242" s="23">
        <f>[1]节奏总纲!AG242</f>
        <v>89.524453217966212</v>
      </c>
      <c r="AH242" s="23">
        <f>[1]节奏总纲!AH242</f>
        <v>89.889509425849809</v>
      </c>
      <c r="AZ242" s="23">
        <v>239</v>
      </c>
      <c r="BA242" s="23">
        <v>43.898940944792862</v>
      </c>
      <c r="BB242" s="23">
        <v>45.395008833031234</v>
      </c>
      <c r="BC242" s="23">
        <v>47.341980368811441</v>
      </c>
      <c r="BD242" s="23">
        <v>50</v>
      </c>
      <c r="BE242" s="23">
        <v>50</v>
      </c>
    </row>
    <row r="243" spans="29:57" x14ac:dyDescent="0.15">
      <c r="AC243" s="23">
        <v>240</v>
      </c>
      <c r="AD243" s="23">
        <f>[1]节奏总纲!AD243</f>
        <v>79.125035575805882</v>
      </c>
      <c r="AE243" s="23">
        <f>[1]节奏总纲!AE243</f>
        <v>81.222059995457585</v>
      </c>
      <c r="AF243" s="23">
        <f>[1]节奏总纲!AF243</f>
        <v>84.296044493719108</v>
      </c>
      <c r="AG243" s="23">
        <f>[1]节奏总纲!AG243</f>
        <v>89.566204471876105</v>
      </c>
      <c r="AH243" s="23">
        <f>[1]节奏总纲!AH243</f>
        <v>89.89921009083227</v>
      </c>
      <c r="AZ243" s="23">
        <v>240</v>
      </c>
      <c r="BA243" s="23">
        <v>43.928898311540586</v>
      </c>
      <c r="BB243" s="23">
        <v>45.422904937058867</v>
      </c>
      <c r="BC243" s="23">
        <v>47.3696970865753</v>
      </c>
      <c r="BD243" s="23">
        <v>50</v>
      </c>
      <c r="BE243" s="23">
        <v>50</v>
      </c>
    </row>
    <row r="244" spans="29:57" x14ac:dyDescent="0.15">
      <c r="AC244" s="23">
        <v>241</v>
      </c>
      <c r="AD244" s="23">
        <f>[1]节奏总纲!AD244</f>
        <v>79.18336653741882</v>
      </c>
      <c r="AE244" s="23">
        <f>[1]节奏总纲!AE244</f>
        <v>81.268165521657224</v>
      </c>
      <c r="AF244" s="23">
        <f>[1]节奏总纲!AF244</f>
        <v>84.337309131316402</v>
      </c>
      <c r="AG244" s="23">
        <f>[1]节奏总纲!AG244</f>
        <v>89.607955725786013</v>
      </c>
      <c r="AH244" s="23">
        <f>[1]节奏总纲!AH244</f>
        <v>89.90891075581473</v>
      </c>
      <c r="AZ244" s="23">
        <v>241</v>
      </c>
      <c r="BA244" s="23">
        <v>43.958855678288302</v>
      </c>
      <c r="BB244" s="23">
        <v>45.450801041086493</v>
      </c>
      <c r="BC244" s="23">
        <v>47.397413804339159</v>
      </c>
      <c r="BD244" s="23">
        <v>50</v>
      </c>
      <c r="BE244" s="23">
        <v>50</v>
      </c>
    </row>
    <row r="245" spans="29:57" x14ac:dyDescent="0.15">
      <c r="AC245" s="23">
        <v>242</v>
      </c>
      <c r="AD245" s="23">
        <f>[1]节奏总纲!AD245</f>
        <v>79.241697499031773</v>
      </c>
      <c r="AE245" s="23">
        <f>[1]节奏总纲!AE245</f>
        <v>81.314271047856863</v>
      </c>
      <c r="AF245" s="23">
        <f>[1]节奏总纲!AF245</f>
        <v>84.378573768913682</v>
      </c>
      <c r="AG245" s="23">
        <f>[1]节奏总纲!AG245</f>
        <v>89.649706979695921</v>
      </c>
      <c r="AH245" s="23">
        <f>[1]节奏总纲!AH245</f>
        <v>89.918611420797191</v>
      </c>
      <c r="AZ245" s="23">
        <v>242</v>
      </c>
      <c r="BA245" s="23">
        <v>43.988813045036018</v>
      </c>
      <c r="BB245" s="23">
        <v>45.478697145114126</v>
      </c>
      <c r="BC245" s="23">
        <v>47.425130522103018</v>
      </c>
      <c r="BD245" s="23">
        <v>50</v>
      </c>
      <c r="BE245" s="23">
        <v>50</v>
      </c>
    </row>
    <row r="246" spans="29:57" x14ac:dyDescent="0.15">
      <c r="AC246" s="23">
        <v>243</v>
      </c>
      <c r="AD246" s="23">
        <f>[1]节奏总纲!AD246</f>
        <v>79.300028460644711</v>
      </c>
      <c r="AE246" s="23">
        <f>[1]节奏总纲!AE246</f>
        <v>81.360376574056488</v>
      </c>
      <c r="AF246" s="23">
        <f>[1]节奏总纲!AF246</f>
        <v>84.419838406510976</v>
      </c>
      <c r="AG246" s="23">
        <f>[1]节奏总纲!AG246</f>
        <v>89.691458233605815</v>
      </c>
      <c r="AH246" s="23">
        <f>[1]节奏总纲!AH246</f>
        <v>89.928312085779638</v>
      </c>
      <c r="AZ246" s="23">
        <v>243</v>
      </c>
      <c r="BA246" s="23">
        <v>44.016200268136501</v>
      </c>
      <c r="BB246" s="23">
        <v>45.506593249141758</v>
      </c>
      <c r="BC246" s="23">
        <v>47.452847239866877</v>
      </c>
      <c r="BD246" s="23">
        <v>50</v>
      </c>
      <c r="BE246" s="23">
        <v>50</v>
      </c>
    </row>
    <row r="247" spans="29:57" x14ac:dyDescent="0.15">
      <c r="AC247" s="23">
        <v>244</v>
      </c>
      <c r="AD247" s="23">
        <f>[1]节奏总纲!AD247</f>
        <v>79.358359422257649</v>
      </c>
      <c r="AE247" s="23">
        <f>[1]节奏总纲!AE247</f>
        <v>81.406482100256127</v>
      </c>
      <c r="AF247" s="23">
        <f>[1]节奏总纲!AF247</f>
        <v>84.461103044108256</v>
      </c>
      <c r="AG247" s="23">
        <f>[1]节奏总纲!AG247</f>
        <v>89.733209487515722</v>
      </c>
      <c r="AH247" s="23">
        <f>[1]节奏总纲!AH247</f>
        <v>89.938012750762098</v>
      </c>
      <c r="AZ247" s="23">
        <v>244</v>
      </c>
      <c r="BA247" s="23">
        <v>44.042055714440401</v>
      </c>
      <c r="BB247" s="23">
        <v>45.534489353169384</v>
      </c>
      <c r="BC247" s="23">
        <v>47.480563957630736</v>
      </c>
      <c r="BD247" s="23">
        <v>50</v>
      </c>
      <c r="BE247" s="23">
        <v>50</v>
      </c>
    </row>
    <row r="248" spans="29:57" x14ac:dyDescent="0.15">
      <c r="AC248" s="23">
        <v>245</v>
      </c>
      <c r="AD248" s="23">
        <f>[1]节奏总纲!AD248</f>
        <v>79.416690383870588</v>
      </c>
      <c r="AE248" s="23">
        <f>[1]节奏总纲!AE248</f>
        <v>81.452587626455767</v>
      </c>
      <c r="AF248" s="23">
        <f>[1]节奏总纲!AF248</f>
        <v>84.50236768170555</v>
      </c>
      <c r="AG248" s="23">
        <f>[1]节奏总纲!AG248</f>
        <v>89.77496074142563</v>
      </c>
      <c r="AH248" s="23">
        <f>[1]节奏总纲!AH248</f>
        <v>89.947713415744559</v>
      </c>
      <c r="AZ248" s="23">
        <v>245</v>
      </c>
      <c r="BA248" s="23">
        <v>44.067911160744309</v>
      </c>
      <c r="BB248" s="23">
        <v>45.562385457197017</v>
      </c>
      <c r="BC248" s="23">
        <v>47.508280675394595</v>
      </c>
      <c r="BD248" s="23">
        <v>50</v>
      </c>
      <c r="BE248" s="23">
        <v>50</v>
      </c>
    </row>
    <row r="249" spans="29:57" x14ac:dyDescent="0.15">
      <c r="AC249" s="23">
        <v>246</v>
      </c>
      <c r="AD249" s="23">
        <f>[1]节奏总纲!AD249</f>
        <v>79.475021345483526</v>
      </c>
      <c r="AE249" s="23">
        <f>[1]节奏总纲!AE249</f>
        <v>81.498693152655392</v>
      </c>
      <c r="AF249" s="23">
        <f>[1]节奏总纲!AF249</f>
        <v>84.54363231930283</v>
      </c>
      <c r="AG249" s="23">
        <f>[1]节奏总纲!AG249</f>
        <v>89.816711995335524</v>
      </c>
      <c r="AH249" s="23">
        <f>[1]节奏总纲!AH249</f>
        <v>89.95741408072702</v>
      </c>
      <c r="AZ249" s="23">
        <v>246</v>
      </c>
      <c r="BA249" s="23">
        <v>44.093766607048209</v>
      </c>
      <c r="BB249" s="23">
        <v>45.590281561224643</v>
      </c>
      <c r="BC249" s="23">
        <v>47.535997393158453</v>
      </c>
      <c r="BD249" s="23">
        <v>50</v>
      </c>
      <c r="BE249" s="23">
        <v>50</v>
      </c>
    </row>
    <row r="250" spans="29:57" x14ac:dyDescent="0.15">
      <c r="AC250" s="23">
        <v>247</v>
      </c>
      <c r="AD250" s="23">
        <f>[1]节奏总纲!AD250</f>
        <v>79.533352307096465</v>
      </c>
      <c r="AE250" s="23">
        <f>[1]节奏总纲!AE250</f>
        <v>81.544798678855031</v>
      </c>
      <c r="AF250" s="23">
        <f>[1]节奏总纲!AF250</f>
        <v>84.584896956900124</v>
      </c>
      <c r="AG250" s="23">
        <f>[1]节奏总纲!AG250</f>
        <v>89.858463249245432</v>
      </c>
      <c r="AH250" s="23">
        <f>[1]节奏总纲!AH250</f>
        <v>89.967114745709466</v>
      </c>
      <c r="AZ250" s="23">
        <v>247</v>
      </c>
      <c r="BA250" s="23">
        <v>44.11962205335211</v>
      </c>
      <c r="BB250" s="23">
        <v>45.618177665252276</v>
      </c>
      <c r="BC250" s="23">
        <v>47.563714110922312</v>
      </c>
      <c r="BD250" s="23">
        <v>50</v>
      </c>
      <c r="BE250" s="23">
        <v>50</v>
      </c>
    </row>
    <row r="251" spans="29:57" x14ac:dyDescent="0.15">
      <c r="AC251" s="23">
        <v>248</v>
      </c>
      <c r="AD251" s="23">
        <f>[1]节奏总纲!AD251</f>
        <v>79.591683268709417</v>
      </c>
      <c r="AE251" s="23">
        <f>[1]节奏总纲!AE251</f>
        <v>81.59090420505467</v>
      </c>
      <c r="AF251" s="23">
        <f>[1]节奏总纲!AF251</f>
        <v>84.626161594497404</v>
      </c>
      <c r="AG251" s="23">
        <f>[1]节奏总纲!AG251</f>
        <v>89.90021450315534</v>
      </c>
      <c r="AH251" s="23">
        <f>[1]节奏总纲!AH251</f>
        <v>89.976815410691927</v>
      </c>
      <c r="AZ251" s="23">
        <v>248</v>
      </c>
      <c r="BA251" s="23">
        <v>44.145477499656018</v>
      </c>
      <c r="BB251" s="23">
        <v>45.646073769279901</v>
      </c>
      <c r="BC251" s="23">
        <v>47.591430828686171</v>
      </c>
      <c r="BD251" s="23">
        <v>50</v>
      </c>
      <c r="BE251" s="23">
        <v>50</v>
      </c>
    </row>
    <row r="252" spans="29:57" x14ac:dyDescent="0.15">
      <c r="AC252" s="23">
        <v>249</v>
      </c>
      <c r="AD252" s="23">
        <f>[1]节奏总纲!AD252</f>
        <v>79.650014230322356</v>
      </c>
      <c r="AE252" s="23">
        <f>[1]节奏总纲!AE252</f>
        <v>81.637009731254295</v>
      </c>
      <c r="AF252" s="23">
        <f>[1]节奏总纲!AF252</f>
        <v>84.667426232094698</v>
      </c>
      <c r="AG252" s="23">
        <f>[1]节奏总纲!AG252</f>
        <v>89.941965757065233</v>
      </c>
      <c r="AH252" s="23">
        <f>[1]节奏总纲!AH252</f>
        <v>89.986516075674388</v>
      </c>
      <c r="AZ252" s="23">
        <v>249</v>
      </c>
      <c r="BA252" s="23">
        <v>44.171332945959918</v>
      </c>
      <c r="BB252" s="23">
        <v>45.673969873307534</v>
      </c>
      <c r="BC252" s="23">
        <v>47.61914754645003</v>
      </c>
      <c r="BD252" s="23">
        <v>50</v>
      </c>
      <c r="BE252" s="23">
        <v>50</v>
      </c>
    </row>
    <row r="253" spans="29:57" x14ac:dyDescent="0.15">
      <c r="AC253" s="23">
        <v>250</v>
      </c>
      <c r="AD253" s="23">
        <f>[1]节奏总纲!AD253</f>
        <v>79.708345191935294</v>
      </c>
      <c r="AE253" s="23">
        <f>[1]节奏总纲!AE253</f>
        <v>81.683115257453935</v>
      </c>
      <c r="AF253" s="23">
        <f>[1]节奏总纲!AF253</f>
        <v>84.708690869691978</v>
      </c>
      <c r="AG253" s="23">
        <f>[1]节奏总纲!AG253</f>
        <v>89.983717010975141</v>
      </c>
      <c r="AH253" s="23">
        <f>[1]节奏总纲!AH253</f>
        <v>89.996216740656848</v>
      </c>
      <c r="AZ253" s="23">
        <v>250</v>
      </c>
      <c r="BA253" s="23">
        <v>44.197188392263818</v>
      </c>
      <c r="BB253" s="23">
        <v>45.701865977335167</v>
      </c>
      <c r="BC253" s="23">
        <v>47.646864264213889</v>
      </c>
      <c r="BD253" s="23">
        <v>50</v>
      </c>
      <c r="BE253" s="23">
        <v>50</v>
      </c>
    </row>
    <row r="254" spans="29:57" x14ac:dyDescent="0.15">
      <c r="AC254" s="23">
        <v>251</v>
      </c>
      <c r="AD254" s="23">
        <f>[1]节奏总纲!AD254</f>
        <v>79.766676153548232</v>
      </c>
      <c r="AE254" s="23">
        <f>[1]节奏总纲!AE254</f>
        <v>81.729220783653574</v>
      </c>
      <c r="AF254" s="23">
        <f>[1]节奏总纲!AF254</f>
        <v>84.749955507289272</v>
      </c>
      <c r="AG254" s="23">
        <f>[1]节奏总纲!AG254</f>
        <v>90.003802494457972</v>
      </c>
      <c r="AH254" s="23">
        <f>[1]节奏总纲!AH254</f>
        <v>90.003802494457972</v>
      </c>
      <c r="AZ254" s="23">
        <v>251</v>
      </c>
      <c r="BA254" s="23">
        <v>44.223043838567726</v>
      </c>
      <c r="BB254" s="23">
        <v>45.729762081362793</v>
      </c>
      <c r="BC254" s="23">
        <v>47.674580981977748</v>
      </c>
      <c r="BD254" s="23">
        <v>50</v>
      </c>
      <c r="BE254" s="23">
        <v>50</v>
      </c>
    </row>
    <row r="255" spans="29:57" x14ac:dyDescent="0.15">
      <c r="AC255" s="23">
        <v>252</v>
      </c>
      <c r="AD255" s="23">
        <f>[1]节奏总纲!AD255</f>
        <v>79.825007115161171</v>
      </c>
      <c r="AE255" s="23">
        <f>[1]节奏总纲!AE255</f>
        <v>81.775326309853199</v>
      </c>
      <c r="AF255" s="23">
        <f>[1]节奏总纲!AF255</f>
        <v>84.791220144886566</v>
      </c>
      <c r="AG255" s="23">
        <f>[1]节奏总纲!AG255</f>
        <v>90.010036091930075</v>
      </c>
      <c r="AH255" s="23">
        <f>[1]节奏总纲!AH255</f>
        <v>90.010036091930075</v>
      </c>
      <c r="AZ255" s="23">
        <v>252</v>
      </c>
      <c r="BA255" s="23">
        <v>44.248899284871626</v>
      </c>
      <c r="BB255" s="23">
        <v>45.757658185390426</v>
      </c>
      <c r="BC255" s="23">
        <v>47.7022976997416</v>
      </c>
      <c r="BD255" s="23">
        <v>50</v>
      </c>
      <c r="BE255" s="23">
        <v>50</v>
      </c>
    </row>
    <row r="256" spans="29:57" x14ac:dyDescent="0.15">
      <c r="AC256" s="23">
        <v>253</v>
      </c>
      <c r="AD256" s="23">
        <f>[1]节奏总纲!AD256</f>
        <v>79.883338076774123</v>
      </c>
      <c r="AE256" s="23">
        <f>[1]节奏总纲!AE256</f>
        <v>81.821431836052838</v>
      </c>
      <c r="AF256" s="23">
        <f>[1]节奏总纲!AF256</f>
        <v>84.832484782483846</v>
      </c>
      <c r="AG256" s="23">
        <f>[1]节奏总纲!AG256</f>
        <v>90.016269689402165</v>
      </c>
      <c r="AH256" s="23">
        <f>[1]节奏总纲!AH256</f>
        <v>90.016269689402165</v>
      </c>
      <c r="AZ256" s="23">
        <v>253</v>
      </c>
      <c r="BA256" s="23">
        <v>44.274754731175527</v>
      </c>
      <c r="BB256" s="23">
        <v>45.785554289418052</v>
      </c>
      <c r="BC256" s="23">
        <v>47.730014417505458</v>
      </c>
      <c r="BD256" s="23">
        <v>50</v>
      </c>
      <c r="BE256" s="23">
        <v>50</v>
      </c>
    </row>
    <row r="257" spans="29:57" x14ac:dyDescent="0.15">
      <c r="AC257" s="23">
        <v>254</v>
      </c>
      <c r="AD257" s="23">
        <f>[1]节奏总纲!AD257</f>
        <v>79.941669038387062</v>
      </c>
      <c r="AE257" s="23">
        <f>[1]节奏总纲!AE257</f>
        <v>81.867537362252463</v>
      </c>
      <c r="AF257" s="23">
        <f>[1]节奏总纲!AF257</f>
        <v>84.87374942008114</v>
      </c>
      <c r="AG257" s="23">
        <f>[1]节奏总纲!AG257</f>
        <v>90.022503286874255</v>
      </c>
      <c r="AH257" s="23">
        <f>[1]节奏总纲!AH257</f>
        <v>90.022503286874255</v>
      </c>
      <c r="AZ257" s="23">
        <v>254</v>
      </c>
      <c r="BA257" s="23">
        <v>44.300610177479435</v>
      </c>
      <c r="BB257" s="23">
        <v>45.813450393445684</v>
      </c>
      <c r="BC257" s="23">
        <v>47.757731135269317</v>
      </c>
      <c r="BD257" s="23">
        <v>50</v>
      </c>
      <c r="BE257" s="23">
        <v>50</v>
      </c>
    </row>
    <row r="258" spans="29:57" x14ac:dyDescent="0.15">
      <c r="AC258" s="23">
        <v>255</v>
      </c>
      <c r="AD258" s="23">
        <f>[1]节奏总纲!AD258</f>
        <v>80</v>
      </c>
      <c r="AE258" s="23">
        <f>[1]节奏总纲!AE258</f>
        <v>81.913642888452102</v>
      </c>
      <c r="AF258" s="23">
        <f>[1]节奏总纲!AF258</f>
        <v>84.91501405767842</v>
      </c>
      <c r="AG258" s="23">
        <f>[1]节奏总纲!AG258</f>
        <v>90.028736884346344</v>
      </c>
      <c r="AH258" s="23">
        <f>[1]节奏总纲!AH258</f>
        <v>90.028736884346344</v>
      </c>
      <c r="AZ258" s="23">
        <v>255</v>
      </c>
      <c r="BA258" s="23">
        <v>44.326465623783335</v>
      </c>
      <c r="BB258" s="23">
        <v>45.84134649747331</v>
      </c>
      <c r="BC258" s="23">
        <v>47.785447853033176</v>
      </c>
      <c r="BD258" s="23">
        <v>50</v>
      </c>
      <c r="BE258" s="23">
        <v>50</v>
      </c>
    </row>
    <row r="259" spans="29:57" x14ac:dyDescent="0.15">
      <c r="AC259" s="23">
        <v>256</v>
      </c>
      <c r="AD259" s="23">
        <f>[1]节奏总纲!AD259</f>
        <v>80.054424711612938</v>
      </c>
      <c r="AE259" s="23">
        <f>[1]节奏总纲!AE259</f>
        <v>81.959748414651742</v>
      </c>
      <c r="AF259" s="23">
        <f>[1]节奏总纲!AF259</f>
        <v>84.956278695275714</v>
      </c>
      <c r="AG259" s="23">
        <f>[1]节奏总纲!AG259</f>
        <v>90.034970481818434</v>
      </c>
      <c r="AH259" s="23">
        <f>[1]节奏总纲!AH259</f>
        <v>90.034970481818434</v>
      </c>
      <c r="AZ259" s="23">
        <v>256</v>
      </c>
      <c r="BA259" s="23">
        <v>44.352321070087235</v>
      </c>
      <c r="BB259" s="23">
        <v>45.869242601500943</v>
      </c>
      <c r="BC259" s="23">
        <v>47.813164570797035</v>
      </c>
      <c r="BD259" s="23">
        <v>50</v>
      </c>
      <c r="BE259" s="23">
        <v>50</v>
      </c>
    </row>
    <row r="260" spans="29:57" x14ac:dyDescent="0.15">
      <c r="AC260" s="23">
        <v>257</v>
      </c>
      <c r="AD260" s="23">
        <f>[1]节奏总纲!AD260</f>
        <v>80.108849423225877</v>
      </c>
      <c r="AE260" s="23">
        <f>[1]节奏总纲!AE260</f>
        <v>82.008964163203117</v>
      </c>
      <c r="AF260" s="23">
        <f>[1]节奏总纲!AF260</f>
        <v>84.997543332872993</v>
      </c>
      <c r="AG260" s="23">
        <f>[1]节奏总纲!AG260</f>
        <v>90.041204079290537</v>
      </c>
      <c r="AH260" s="23">
        <f>[1]节奏总纲!AH260</f>
        <v>90.041204079290537</v>
      </c>
      <c r="AZ260" s="23">
        <v>257</v>
      </c>
      <c r="BA260" s="23">
        <v>44.378176516391136</v>
      </c>
      <c r="BB260" s="23">
        <v>45.897138705528576</v>
      </c>
      <c r="BC260" s="23">
        <v>47.840881288560894</v>
      </c>
      <c r="BD260" s="23">
        <v>50</v>
      </c>
      <c r="BE260" s="23">
        <v>50</v>
      </c>
    </row>
    <row r="261" spans="29:57" x14ac:dyDescent="0.15">
      <c r="AC261" s="23">
        <v>258</v>
      </c>
      <c r="AD261" s="23">
        <f>[1]节奏总纲!AD261</f>
        <v>80.163274134838829</v>
      </c>
      <c r="AE261" s="23">
        <f>[1]节奏总纲!AE261</f>
        <v>82.079565741167841</v>
      </c>
      <c r="AF261" s="23">
        <f>[1]节奏总纲!AF261</f>
        <v>85.043545428474673</v>
      </c>
      <c r="AG261" s="23">
        <f>[1]节奏总纲!AG261</f>
        <v>90.047437676762627</v>
      </c>
      <c r="AH261" s="23">
        <f>[1]节奏总纲!AH261</f>
        <v>90.047437676762627</v>
      </c>
      <c r="AZ261" s="23">
        <v>258</v>
      </c>
      <c r="BA261" s="23">
        <v>44.404031962695043</v>
      </c>
      <c r="BB261" s="23">
        <v>45.925034809556202</v>
      </c>
      <c r="BC261" s="23">
        <v>47.868598006324753</v>
      </c>
      <c r="BD261" s="23">
        <v>50</v>
      </c>
      <c r="BE261" s="23">
        <v>50</v>
      </c>
    </row>
    <row r="262" spans="29:57" x14ac:dyDescent="0.15">
      <c r="AC262" s="23">
        <v>259</v>
      </c>
      <c r="AD262" s="23">
        <f>[1]节奏总纲!AD262</f>
        <v>80.217698846451768</v>
      </c>
      <c r="AE262" s="23">
        <f>[1]节奏总纲!AE262</f>
        <v>82.150167319132564</v>
      </c>
      <c r="AF262" s="23">
        <f>[1]节奏总纲!AF262</f>
        <v>85.089847420133893</v>
      </c>
      <c r="AG262" s="23">
        <f>[1]节奏总纲!AG262</f>
        <v>90.053671274234716</v>
      </c>
      <c r="AH262" s="23">
        <f>[1]节奏总纲!AH262</f>
        <v>90.053671274234716</v>
      </c>
      <c r="AZ262" s="23">
        <v>259</v>
      </c>
      <c r="BA262" s="23">
        <v>44.429887408998944</v>
      </c>
      <c r="BB262" s="23">
        <v>45.952930913583835</v>
      </c>
      <c r="BC262" s="23">
        <v>47.896314724088612</v>
      </c>
      <c r="BD262" s="23">
        <v>50</v>
      </c>
      <c r="BE262" s="23">
        <v>50</v>
      </c>
    </row>
    <row r="263" spans="29:57" x14ac:dyDescent="0.15">
      <c r="AC263" s="23">
        <v>260</v>
      </c>
      <c r="AD263" s="23">
        <f>[1]节奏总纲!AD263</f>
        <v>80.272123558064706</v>
      </c>
      <c r="AE263" s="23">
        <f>[1]节奏总纲!AE263</f>
        <v>82.220768897097301</v>
      </c>
      <c r="AF263" s="23">
        <f>[1]节奏总纲!AF263</f>
        <v>85.136149411793113</v>
      </c>
      <c r="AG263" s="23">
        <f>[1]节奏总纲!AG263</f>
        <v>90.059904871706806</v>
      </c>
      <c r="AH263" s="23">
        <f>[1]节奏总纲!AH263</f>
        <v>90.059904871706806</v>
      </c>
      <c r="AZ263" s="23">
        <v>260</v>
      </c>
      <c r="BA263" s="23">
        <v>44.455742855302844</v>
      </c>
      <c r="BB263" s="23">
        <v>45.98082701761146</v>
      </c>
      <c r="BC263" s="23">
        <v>47.92403144185247</v>
      </c>
      <c r="BD263" s="23">
        <v>50</v>
      </c>
      <c r="BE263" s="23">
        <v>50</v>
      </c>
    </row>
    <row r="264" spans="29:57" x14ac:dyDescent="0.15">
      <c r="AC264" s="23">
        <v>261</v>
      </c>
      <c r="AD264" s="23">
        <f>[1]节奏总纲!AD264</f>
        <v>80.326548269677644</v>
      </c>
      <c r="AE264" s="23">
        <f>[1]节奏总纲!AE264</f>
        <v>82.291370475062024</v>
      </c>
      <c r="AF264" s="23">
        <f>[1]节奏总纲!AF264</f>
        <v>85.182451403452319</v>
      </c>
      <c r="AG264" s="23">
        <f>[1]节奏总纲!AG264</f>
        <v>90.06613846917891</v>
      </c>
      <c r="AH264" s="23">
        <f>[1]节奏总纲!AH264</f>
        <v>90.06613846917891</v>
      </c>
      <c r="AZ264" s="23">
        <v>261</v>
      </c>
      <c r="BA264" s="23">
        <v>44.481598301606752</v>
      </c>
      <c r="BB264" s="23">
        <v>46.007529841290832</v>
      </c>
      <c r="BC264" s="23">
        <v>47.951748159616329</v>
      </c>
      <c r="BD264" s="23">
        <v>50</v>
      </c>
      <c r="BE264" s="23">
        <v>50</v>
      </c>
    </row>
    <row r="265" spans="29:57" x14ac:dyDescent="0.15">
      <c r="AC265" s="23">
        <v>262</v>
      </c>
      <c r="AD265" s="23">
        <f>[1]节奏总纲!AD265</f>
        <v>80.380972981290597</v>
      </c>
      <c r="AE265" s="23">
        <f>[1]节奏总纲!AE265</f>
        <v>82.361972053026747</v>
      </c>
      <c r="AF265" s="23">
        <f>[1]节奏总纲!AF265</f>
        <v>85.228753395111539</v>
      </c>
      <c r="AG265" s="23">
        <f>[1]节奏总纲!AG265</f>
        <v>90.072372066650999</v>
      </c>
      <c r="AH265" s="23">
        <f>[1]节奏总纲!AH265</f>
        <v>90.072372066650999</v>
      </c>
      <c r="AZ265" s="23">
        <v>262</v>
      </c>
      <c r="BA265" s="23">
        <v>44.507453747910652</v>
      </c>
      <c r="BB265" s="23">
        <v>46.031609894814238</v>
      </c>
      <c r="BC265" s="23">
        <v>47.979464877380188</v>
      </c>
      <c r="BD265" s="23">
        <v>50</v>
      </c>
      <c r="BE265" s="23">
        <v>50</v>
      </c>
    </row>
    <row r="266" spans="29:57" x14ac:dyDescent="0.15">
      <c r="AC266" s="23">
        <v>263</v>
      </c>
      <c r="AD266" s="23">
        <f>[1]节奏总纲!AD266</f>
        <v>80.435397692903535</v>
      </c>
      <c r="AE266" s="23">
        <f>[1]节奏总纲!AE266</f>
        <v>82.43257363099147</v>
      </c>
      <c r="AF266" s="23">
        <f>[1]节奏总纲!AF266</f>
        <v>85.275055386770759</v>
      </c>
      <c r="AG266" s="23">
        <f>[1]节奏总纲!AG266</f>
        <v>90.078605664123089</v>
      </c>
      <c r="AH266" s="23">
        <f>[1]节奏总纲!AH266</f>
        <v>90.078605664123089</v>
      </c>
      <c r="AZ266" s="23">
        <v>263</v>
      </c>
      <c r="BA266" s="23">
        <v>44.533309194214553</v>
      </c>
      <c r="BB266" s="23">
        <v>46.055689948337651</v>
      </c>
      <c r="BC266" s="23">
        <v>48.006200084618079</v>
      </c>
      <c r="BD266" s="23">
        <v>50</v>
      </c>
      <c r="BE266" s="23">
        <v>50</v>
      </c>
    </row>
    <row r="267" spans="29:57" x14ac:dyDescent="0.15">
      <c r="AC267" s="23">
        <v>264</v>
      </c>
      <c r="AD267" s="23">
        <f>[1]节奏总纲!AD267</f>
        <v>80.489822404516474</v>
      </c>
      <c r="AE267" s="23">
        <f>[1]节奏总纲!AE267</f>
        <v>82.503175208956208</v>
      </c>
      <c r="AF267" s="23">
        <f>[1]节奏总纲!AF267</f>
        <v>85.321357378429965</v>
      </c>
      <c r="AG267" s="23">
        <f>[1]节奏总纲!AG267</f>
        <v>90.084839261595178</v>
      </c>
      <c r="AH267" s="23">
        <f>[1]节奏总纲!AH267</f>
        <v>90.084839261595178</v>
      </c>
      <c r="AZ267" s="23">
        <v>264</v>
      </c>
      <c r="BA267" s="23">
        <v>44.55916464051846</v>
      </c>
      <c r="BB267" s="23">
        <v>46.079770001861057</v>
      </c>
      <c r="BC267" s="23">
        <v>48.030128751164241</v>
      </c>
      <c r="BD267" s="23">
        <v>50</v>
      </c>
      <c r="BE267" s="23">
        <v>50</v>
      </c>
    </row>
    <row r="268" spans="29:57" x14ac:dyDescent="0.15">
      <c r="AC268" s="23">
        <v>265</v>
      </c>
      <c r="AD268" s="23">
        <f>[1]节奏总纲!AD268</f>
        <v>80.544247116129412</v>
      </c>
      <c r="AE268" s="23">
        <f>[1]节奏总纲!AE268</f>
        <v>82.573776786920931</v>
      </c>
      <c r="AF268" s="23">
        <f>[1]节奏总纲!AF268</f>
        <v>85.367659370089186</v>
      </c>
      <c r="AG268" s="23">
        <f>[1]节奏总纲!AG268</f>
        <v>90.091072859067282</v>
      </c>
      <c r="AH268" s="23">
        <f>[1]节奏总纲!AH268</f>
        <v>90.091072859067282</v>
      </c>
      <c r="AZ268" s="23">
        <v>265</v>
      </c>
      <c r="BA268" s="23">
        <v>44.585020086822361</v>
      </c>
      <c r="BB268" s="23">
        <v>46.10385005538447</v>
      </c>
      <c r="BC268" s="23">
        <v>48.054057417710396</v>
      </c>
      <c r="BD268" s="23">
        <v>50</v>
      </c>
      <c r="BE268" s="23">
        <v>50</v>
      </c>
    </row>
    <row r="269" spans="29:57" x14ac:dyDescent="0.15">
      <c r="AC269" s="23">
        <v>266</v>
      </c>
      <c r="AD269" s="23">
        <f>[1]节奏总纲!AD269</f>
        <v>80.598671827742351</v>
      </c>
      <c r="AE269" s="23">
        <f>[1]节奏总纲!AE269</f>
        <v>82.644378364885654</v>
      </c>
      <c r="AF269" s="23">
        <f>[1]节奏总纲!AF269</f>
        <v>85.413961361748406</v>
      </c>
      <c r="AG269" s="23">
        <f>[1]节奏总纲!AG269</f>
        <v>90.097306456539371</v>
      </c>
      <c r="AH269" s="23">
        <f>[1]节奏总纲!AH269</f>
        <v>90.097306456539371</v>
      </c>
      <c r="AZ269" s="23">
        <v>266</v>
      </c>
      <c r="BA269" s="23">
        <v>44.610875533126261</v>
      </c>
      <c r="BB269" s="23">
        <v>46.127930108907876</v>
      </c>
      <c r="BC269" s="23">
        <v>48.077986084256551</v>
      </c>
      <c r="BD269" s="23">
        <v>50</v>
      </c>
      <c r="BE269" s="23">
        <v>50</v>
      </c>
    </row>
    <row r="270" spans="29:57" x14ac:dyDescent="0.15">
      <c r="AC270" s="23">
        <v>267</v>
      </c>
      <c r="AD270" s="23">
        <f>[1]节奏总纲!AD270</f>
        <v>80.653096539355303</v>
      </c>
      <c r="AE270" s="23">
        <f>[1]节奏总纲!AE270</f>
        <v>82.714979942850377</v>
      </c>
      <c r="AF270" s="23">
        <f>[1]节奏总纲!AF270</f>
        <v>85.460263353407626</v>
      </c>
      <c r="AG270" s="23">
        <f>[1]节奏总纲!AG270</f>
        <v>90.103540054011461</v>
      </c>
      <c r="AH270" s="23">
        <f>[1]节奏总纲!AH270</f>
        <v>90.103540054011461</v>
      </c>
      <c r="AZ270" s="23">
        <v>267</v>
      </c>
      <c r="BA270" s="23">
        <v>44.636730979430169</v>
      </c>
      <c r="BB270" s="23">
        <v>46.152010162431289</v>
      </c>
      <c r="BC270" s="23">
        <v>48.101914750802706</v>
      </c>
      <c r="BD270" s="23">
        <v>50</v>
      </c>
      <c r="BE270" s="23">
        <v>50</v>
      </c>
    </row>
    <row r="271" spans="29:57" x14ac:dyDescent="0.15">
      <c r="AC271" s="23">
        <v>268</v>
      </c>
      <c r="AD271" s="23">
        <f>[1]节奏总纲!AD271</f>
        <v>80.707521250968242</v>
      </c>
      <c r="AE271" s="23">
        <f>[1]节奏总纲!AE271</f>
        <v>82.785581520815114</v>
      </c>
      <c r="AF271" s="23">
        <f>[1]节奏总纲!AF271</f>
        <v>85.506565345066832</v>
      </c>
      <c r="AG271" s="23">
        <f>[1]节奏总纲!AG271</f>
        <v>90.10977365148355</v>
      </c>
      <c r="AH271" s="23">
        <f>[1]节奏总纲!AH271</f>
        <v>90.10977365148355</v>
      </c>
      <c r="AZ271" s="23">
        <v>268</v>
      </c>
      <c r="BA271" s="23">
        <v>44.662586425734069</v>
      </c>
      <c r="BB271" s="23">
        <v>46.176090215954694</v>
      </c>
      <c r="BC271" s="23">
        <v>48.125843417348868</v>
      </c>
      <c r="BD271" s="23">
        <v>50</v>
      </c>
      <c r="BE271" s="23">
        <v>50</v>
      </c>
    </row>
    <row r="272" spans="29:57" x14ac:dyDescent="0.15">
      <c r="AC272" s="23">
        <v>269</v>
      </c>
      <c r="AD272" s="23">
        <f>[1]节奏总纲!AD272</f>
        <v>80.76194596258118</v>
      </c>
      <c r="AE272" s="23">
        <f>[1]节奏总纲!AE272</f>
        <v>82.856183098779837</v>
      </c>
      <c r="AF272" s="23">
        <f>[1]节奏总纲!AF272</f>
        <v>85.552867336726052</v>
      </c>
      <c r="AG272" s="23">
        <f>[1]节奏总纲!AG272</f>
        <v>90.11600724895564</v>
      </c>
      <c r="AH272" s="23">
        <f>[1]节奏总纲!AH272</f>
        <v>90.11600724895564</v>
      </c>
      <c r="AZ272" s="23">
        <v>269</v>
      </c>
      <c r="BA272" s="23">
        <v>44.68844187203797</v>
      </c>
      <c r="BB272" s="23">
        <v>46.200170269478107</v>
      </c>
      <c r="BC272" s="23">
        <v>48.149772083895023</v>
      </c>
      <c r="BD272" s="23">
        <v>50</v>
      </c>
      <c r="BE272" s="23">
        <v>50</v>
      </c>
    </row>
    <row r="273" spans="29:57" x14ac:dyDescent="0.15">
      <c r="AC273" s="23">
        <v>270</v>
      </c>
      <c r="AD273" s="23">
        <f>[1]节奏总纲!AD273</f>
        <v>80.816370674194118</v>
      </c>
      <c r="AE273" s="23">
        <f>[1]节奏总纲!AE273</f>
        <v>82.92678467674456</v>
      </c>
      <c r="AF273" s="23">
        <f>[1]节奏总纲!AF273</f>
        <v>85.599169328385273</v>
      </c>
      <c r="AG273" s="23">
        <f>[1]节奏总纲!AG273</f>
        <v>90.122240846427744</v>
      </c>
      <c r="AH273" s="23">
        <f>[1]节奏总纲!AH273</f>
        <v>90.122240846427744</v>
      </c>
      <c r="AZ273" s="23">
        <v>270</v>
      </c>
      <c r="BA273" s="23">
        <v>44.714297318341877</v>
      </c>
      <c r="BB273" s="23">
        <v>46.224250323001513</v>
      </c>
      <c r="BC273" s="23">
        <v>48.173700750441178</v>
      </c>
      <c r="BD273" s="23">
        <v>50</v>
      </c>
      <c r="BE273" s="23">
        <v>50</v>
      </c>
    </row>
    <row r="274" spans="29:57" x14ac:dyDescent="0.15">
      <c r="AC274" s="23">
        <v>271</v>
      </c>
      <c r="AD274" s="23">
        <f>[1]节奏总纲!AD274</f>
        <v>80.870795385807057</v>
      </c>
      <c r="AE274" s="23">
        <f>[1]节奏总纲!AE274</f>
        <v>82.997386254709284</v>
      </c>
      <c r="AF274" s="23">
        <f>[1]节奏总纲!AF274</f>
        <v>85.645471320044479</v>
      </c>
      <c r="AG274" s="23">
        <f>[1]节奏总纲!AG274</f>
        <v>90.128474443899833</v>
      </c>
      <c r="AH274" s="23">
        <f>[1]节奏总纲!AH274</f>
        <v>90.128474443899833</v>
      </c>
      <c r="AZ274" s="23">
        <v>271</v>
      </c>
      <c r="BA274" s="23">
        <v>44.740152764645778</v>
      </c>
      <c r="BB274" s="23">
        <v>46.248330376524919</v>
      </c>
      <c r="BC274" s="23">
        <v>48.19762941698734</v>
      </c>
      <c r="BD274" s="23">
        <v>50</v>
      </c>
      <c r="BE274" s="23">
        <v>50</v>
      </c>
    </row>
    <row r="275" spans="29:57" x14ac:dyDescent="0.15">
      <c r="AC275" s="23">
        <v>272</v>
      </c>
      <c r="AD275" s="23">
        <f>[1]节奏总纲!AD275</f>
        <v>80.925220097420009</v>
      </c>
      <c r="AE275" s="23">
        <f>[1]节奏总纲!AE275</f>
        <v>83.058418873264969</v>
      </c>
      <c r="AF275" s="23">
        <f>[1]节奏总纲!AF275</f>
        <v>85.691773311703699</v>
      </c>
      <c r="AG275" s="23">
        <f>[1]节奏总纲!AG275</f>
        <v>90.134708041371923</v>
      </c>
      <c r="AH275" s="23">
        <f>[1]节奏总纲!AH275</f>
        <v>90.134708041371923</v>
      </c>
      <c r="AZ275" s="23">
        <v>272</v>
      </c>
      <c r="BA275" s="23">
        <v>44.766008210949678</v>
      </c>
      <c r="BB275" s="23">
        <v>46.272410430048332</v>
      </c>
      <c r="BC275" s="23">
        <v>48.221558083533495</v>
      </c>
      <c r="BD275" s="23">
        <v>50</v>
      </c>
      <c r="BE275" s="23">
        <v>50</v>
      </c>
    </row>
    <row r="276" spans="29:57" x14ac:dyDescent="0.15">
      <c r="AC276" s="23">
        <v>273</v>
      </c>
      <c r="AD276" s="23">
        <f>[1]节奏总纲!AD276</f>
        <v>80.979644809032948</v>
      </c>
      <c r="AE276" s="23">
        <f>[1]节奏总纲!AE276</f>
        <v>83.119083619782259</v>
      </c>
      <c r="AF276" s="23">
        <f>[1]节奏总纲!AF276</f>
        <v>85.738075303362919</v>
      </c>
      <c r="AG276" s="23">
        <f>[1]节奏总纲!AG276</f>
        <v>90.140941638844012</v>
      </c>
      <c r="AH276" s="23">
        <f>[1]节奏总纲!AH276</f>
        <v>90.140941638844012</v>
      </c>
      <c r="AZ276" s="23">
        <v>273</v>
      </c>
      <c r="BA276" s="23">
        <v>44.791863657253586</v>
      </c>
      <c r="BB276" s="23">
        <v>46.296490483571738</v>
      </c>
      <c r="BC276" s="23">
        <v>48.24548675007965</v>
      </c>
      <c r="BD276" s="23">
        <v>50</v>
      </c>
      <c r="BE276" s="23">
        <v>50</v>
      </c>
    </row>
    <row r="277" spans="29:57" x14ac:dyDescent="0.15">
      <c r="AC277" s="23">
        <v>274</v>
      </c>
      <c r="AD277" s="23">
        <f>[1]节奏总纲!AD277</f>
        <v>81.031787986768464</v>
      </c>
      <c r="AE277" s="23">
        <f>[1]节奏总纲!AE277</f>
        <v>83.179748366299535</v>
      </c>
      <c r="AF277" s="23">
        <f>[1]节奏总纲!AF277</f>
        <v>85.784377295022125</v>
      </c>
      <c r="AG277" s="23">
        <f>[1]节奏总纲!AG277</f>
        <v>90.147175236316116</v>
      </c>
      <c r="AH277" s="23">
        <f>[1]节奏总纲!AH277</f>
        <v>90.147175236316116</v>
      </c>
      <c r="AZ277" s="23">
        <v>274</v>
      </c>
      <c r="BA277" s="23">
        <v>44.817719103557486</v>
      </c>
      <c r="BB277" s="23">
        <v>46.320570537095151</v>
      </c>
      <c r="BC277" s="23">
        <v>48.269415416625804</v>
      </c>
      <c r="BD277" s="23">
        <v>50</v>
      </c>
      <c r="BE277" s="23">
        <v>50</v>
      </c>
    </row>
    <row r="278" spans="29:57" x14ac:dyDescent="0.15">
      <c r="AC278" s="23">
        <v>275</v>
      </c>
      <c r="AD278" s="23">
        <f>[1]节奏总纲!AD278</f>
        <v>81.082568038258216</v>
      </c>
      <c r="AE278" s="23">
        <f>[1]节奏总纲!AE278</f>
        <v>83.240413112816825</v>
      </c>
      <c r="AF278" s="23">
        <f>[1]节奏总纲!AF278</f>
        <v>85.830679286681345</v>
      </c>
      <c r="AG278" s="23">
        <f>[1]节奏总纲!AG278</f>
        <v>90.153408833788205</v>
      </c>
      <c r="AH278" s="23">
        <f>[1]节奏总纲!AH278</f>
        <v>90.153408833788205</v>
      </c>
      <c r="AZ278" s="23">
        <v>275</v>
      </c>
      <c r="BA278" s="23">
        <v>44.843574549861387</v>
      </c>
      <c r="BB278" s="23">
        <v>46.344650590618556</v>
      </c>
      <c r="BC278" s="23">
        <v>48.293344083171966</v>
      </c>
      <c r="BD278" s="23">
        <v>50</v>
      </c>
      <c r="BE278" s="23">
        <v>50</v>
      </c>
    </row>
    <row r="279" spans="29:57" x14ac:dyDescent="0.15">
      <c r="AC279" s="23">
        <v>276</v>
      </c>
      <c r="AD279" s="23">
        <f>[1]节奏总纲!AD279</f>
        <v>81.133348089747955</v>
      </c>
      <c r="AE279" s="23">
        <f>[1]节奏总纲!AE279</f>
        <v>83.3010778593341</v>
      </c>
      <c r="AF279" s="23">
        <f>[1]节奏总纲!AF279</f>
        <v>85.876981278340565</v>
      </c>
      <c r="AG279" s="23">
        <f>[1]节奏总纲!AG279</f>
        <v>90.159642431260295</v>
      </c>
      <c r="AH279" s="23">
        <f>[1]节奏总纲!AH279</f>
        <v>90.159642431260295</v>
      </c>
      <c r="AZ279" s="23">
        <v>276</v>
      </c>
      <c r="BA279" s="23">
        <v>44.869429996165294</v>
      </c>
      <c r="BB279" s="23">
        <v>46.368730644141969</v>
      </c>
      <c r="BC279" s="23">
        <v>48.317272749718121</v>
      </c>
      <c r="BD279" s="23">
        <v>50</v>
      </c>
      <c r="BE279" s="23">
        <v>50</v>
      </c>
    </row>
    <row r="280" spans="29:57" x14ac:dyDescent="0.15">
      <c r="AC280" s="23">
        <v>277</v>
      </c>
      <c r="AD280" s="23">
        <f>[1]节奏总纲!AD280</f>
        <v>81.184128141237707</v>
      </c>
      <c r="AE280" s="23">
        <f>[1]节奏总纲!AE280</f>
        <v>83.361742605851376</v>
      </c>
      <c r="AF280" s="23">
        <f>[1]节奏总纲!AF280</f>
        <v>85.923283269999786</v>
      </c>
      <c r="AG280" s="23">
        <f>[1]节奏总纲!AG280</f>
        <v>90.165876028732384</v>
      </c>
      <c r="AH280" s="23">
        <f>[1]节奏总纲!AH280</f>
        <v>90.165876028732384</v>
      </c>
      <c r="AZ280" s="23">
        <v>277</v>
      </c>
      <c r="BA280" s="23">
        <v>44.895285442469195</v>
      </c>
      <c r="BB280" s="23">
        <v>46.392810697665375</v>
      </c>
      <c r="BC280" s="23">
        <v>48.341201416264276</v>
      </c>
      <c r="BD280" s="23">
        <v>50</v>
      </c>
      <c r="BE280" s="23">
        <v>50</v>
      </c>
    </row>
    <row r="281" spans="29:57" x14ac:dyDescent="0.15">
      <c r="AC281" s="23">
        <v>278</v>
      </c>
      <c r="AD281" s="23">
        <f>[1]节奏总纲!AD281</f>
        <v>81.23490819272746</v>
      </c>
      <c r="AE281" s="23">
        <f>[1]节奏总纲!AE281</f>
        <v>83.422407352368666</v>
      </c>
      <c r="AF281" s="23">
        <f>[1]节奏总纲!AF281</f>
        <v>85.969585261658992</v>
      </c>
      <c r="AG281" s="23">
        <f>[1]节奏总纲!AG281</f>
        <v>90.172109626204474</v>
      </c>
      <c r="AH281" s="23">
        <f>[1]节奏总纲!AH281</f>
        <v>90.172109626204474</v>
      </c>
      <c r="AZ281" s="23">
        <v>278</v>
      </c>
      <c r="BA281" s="23">
        <v>44.921140888773095</v>
      </c>
      <c r="BB281" s="23">
        <v>46.416890751188788</v>
      </c>
      <c r="BC281" s="23">
        <v>48.365130082810438</v>
      </c>
      <c r="BD281" s="23">
        <v>50</v>
      </c>
      <c r="BE281" s="23">
        <v>50</v>
      </c>
    </row>
    <row r="282" spans="29:57" x14ac:dyDescent="0.15">
      <c r="AC282" s="23">
        <v>279</v>
      </c>
      <c r="AD282" s="23">
        <f>[1]节奏总纲!AD282</f>
        <v>81.285688244217212</v>
      </c>
      <c r="AE282" s="23">
        <f>[1]节奏总纲!AE282</f>
        <v>83.483072098885941</v>
      </c>
      <c r="AF282" s="23">
        <f>[1]节奏总纲!AF282</f>
        <v>86.021803322022024</v>
      </c>
      <c r="AG282" s="23">
        <f>[1]节奏总纲!AG282</f>
        <v>90.178343223676578</v>
      </c>
      <c r="AH282" s="23">
        <f>[1]节奏总纲!AH282</f>
        <v>90.178343223676578</v>
      </c>
      <c r="AZ282" s="23">
        <v>279</v>
      </c>
      <c r="BA282" s="23">
        <v>44.946996335076996</v>
      </c>
      <c r="BB282" s="23">
        <v>46.440970804712194</v>
      </c>
      <c r="BC282" s="23">
        <v>48.389058749356593</v>
      </c>
      <c r="BD282" s="23">
        <v>50</v>
      </c>
      <c r="BE282" s="23">
        <v>50</v>
      </c>
    </row>
    <row r="283" spans="29:57" x14ac:dyDescent="0.15">
      <c r="AC283" s="23">
        <v>280</v>
      </c>
      <c r="AD283" s="23">
        <f>[1]节奏总纲!AD283</f>
        <v>81.336468295706965</v>
      </c>
      <c r="AE283" s="23">
        <f>[1]节奏总纲!AE283</f>
        <v>83.543736845403217</v>
      </c>
      <c r="AF283" s="23">
        <f>[1]节奏总纲!AF283</f>
        <v>86.085347171558894</v>
      </c>
      <c r="AG283" s="23">
        <f>[1]节奏总纲!AG283</f>
        <v>90.184576821148667</v>
      </c>
      <c r="AH283" s="23">
        <f>[1]节奏总纲!AH283</f>
        <v>90.184576821148667</v>
      </c>
      <c r="AZ283" s="23">
        <v>280</v>
      </c>
      <c r="BA283" s="23">
        <v>44.972851781380903</v>
      </c>
      <c r="BB283" s="23">
        <v>46.465050858235607</v>
      </c>
      <c r="BC283" s="23">
        <v>48.412987415902748</v>
      </c>
      <c r="BD283" s="23">
        <v>50</v>
      </c>
      <c r="BE283" s="23">
        <v>50</v>
      </c>
    </row>
    <row r="284" spans="29:57" x14ac:dyDescent="0.15">
      <c r="AC284" s="23">
        <v>281</v>
      </c>
      <c r="AD284" s="23">
        <f>[1]节奏总纲!AD284</f>
        <v>81.387248347196717</v>
      </c>
      <c r="AE284" s="23">
        <f>[1]节奏总纲!AE284</f>
        <v>83.604401591920507</v>
      </c>
      <c r="AF284" s="23">
        <f>[1]节奏总纲!AF284</f>
        <v>86.148891021095778</v>
      </c>
      <c r="AG284" s="23">
        <f>[1]节奏总纲!AG284</f>
        <v>90.190810418620757</v>
      </c>
      <c r="AH284" s="23">
        <f>[1]节奏总纲!AH284</f>
        <v>90.190810418620757</v>
      </c>
      <c r="AZ284" s="23">
        <v>281</v>
      </c>
      <c r="BA284" s="23">
        <v>44.998707227684804</v>
      </c>
      <c r="BB284" s="23">
        <v>46.489130911759013</v>
      </c>
      <c r="BC284" s="23">
        <v>48.43691608244891</v>
      </c>
      <c r="BD284" s="23">
        <v>50</v>
      </c>
      <c r="BE284" s="23">
        <v>50</v>
      </c>
    </row>
    <row r="285" spans="29:57" x14ac:dyDescent="0.15">
      <c r="AC285" s="23">
        <v>282</v>
      </c>
      <c r="AD285" s="23">
        <f>[1]节奏总纲!AD285</f>
        <v>81.43802839868647</v>
      </c>
      <c r="AE285" s="23">
        <f>[1]节奏总纲!AE285</f>
        <v>83.665066338437782</v>
      </c>
      <c r="AF285" s="23">
        <f>[1]节奏总纲!AF285</f>
        <v>86.212434870632649</v>
      </c>
      <c r="AG285" s="23">
        <f>[1]节奏总纲!AG285</f>
        <v>90.197044016092846</v>
      </c>
      <c r="AH285" s="23">
        <f>[1]节奏总纲!AH285</f>
        <v>90.197044016092846</v>
      </c>
      <c r="AZ285" s="23">
        <v>282</v>
      </c>
      <c r="BA285" s="23">
        <v>45.021201039060998</v>
      </c>
      <c r="BB285" s="23">
        <v>46.513210965282425</v>
      </c>
      <c r="BC285" s="23">
        <v>48.460844748995065</v>
      </c>
      <c r="BD285" s="23">
        <v>50</v>
      </c>
      <c r="BE285" s="23">
        <v>50</v>
      </c>
    </row>
    <row r="286" spans="29:57" x14ac:dyDescent="0.15">
      <c r="AC286" s="23">
        <v>283</v>
      </c>
      <c r="AD286" s="23">
        <f>[1]节奏总纲!AD286</f>
        <v>81.488808450176222</v>
      </c>
      <c r="AE286" s="23">
        <f>[1]节奏总纲!AE286</f>
        <v>83.725731084955072</v>
      </c>
      <c r="AF286" s="23">
        <f>[1]节奏总纲!AF286</f>
        <v>86.275978720169533</v>
      </c>
      <c r="AG286" s="23">
        <f>[1]节奏总纲!AG286</f>
        <v>90.20327761356495</v>
      </c>
      <c r="AH286" s="23">
        <f>[1]节奏总纲!AH286</f>
        <v>90.20327761356495</v>
      </c>
      <c r="AZ286" s="23">
        <v>283</v>
      </c>
      <c r="BA286" s="23">
        <v>45.043517922283101</v>
      </c>
      <c r="BB286" s="23">
        <v>46.537291018805831</v>
      </c>
      <c r="BC286" s="23">
        <v>48.48477341554122</v>
      </c>
      <c r="BD286" s="23">
        <v>50</v>
      </c>
      <c r="BE286" s="23">
        <v>50</v>
      </c>
    </row>
    <row r="287" spans="29:57" x14ac:dyDescent="0.15">
      <c r="AC287" s="23">
        <v>284</v>
      </c>
      <c r="AD287" s="23">
        <f>[1]节奏总纲!AD287</f>
        <v>81.539588501665975</v>
      </c>
      <c r="AE287" s="23">
        <f>[1]节奏总纲!AE287</f>
        <v>83.786395831472348</v>
      </c>
      <c r="AF287" s="23">
        <f>[1]节奏总纲!AF287</f>
        <v>86.339522569706403</v>
      </c>
      <c r="AG287" s="23">
        <f>[1]节奏总纲!AG287</f>
        <v>90.209511211037039</v>
      </c>
      <c r="AH287" s="23">
        <f>[1]节奏总纲!AH287</f>
        <v>90.209511211037039</v>
      </c>
      <c r="AZ287" s="23">
        <v>284</v>
      </c>
      <c r="BA287" s="23">
        <v>45.065834805505204</v>
      </c>
      <c r="BB287" s="23">
        <v>46.561371072329244</v>
      </c>
      <c r="BC287" s="23">
        <v>48.508702082087382</v>
      </c>
      <c r="BD287" s="23">
        <v>50</v>
      </c>
      <c r="BE287" s="23">
        <v>50</v>
      </c>
    </row>
    <row r="288" spans="29:57" x14ac:dyDescent="0.15">
      <c r="AC288" s="23">
        <v>285</v>
      </c>
      <c r="AD288" s="23">
        <f>[1]节奏总纲!AD288</f>
        <v>81.590368553155727</v>
      </c>
      <c r="AE288" s="23">
        <f>[1]节奏总纲!AE288</f>
        <v>83.847060577989623</v>
      </c>
      <c r="AF288" s="23">
        <f>[1]节奏总纲!AF288</f>
        <v>86.403066419243288</v>
      </c>
      <c r="AG288" s="23">
        <f>[1]节奏总纲!AG288</f>
        <v>90.215744808509129</v>
      </c>
      <c r="AH288" s="23">
        <f>[1]节奏总纲!AH288</f>
        <v>90.215744808509129</v>
      </c>
      <c r="AZ288" s="23">
        <v>285</v>
      </c>
      <c r="BA288" s="23">
        <v>45.088151688727308</v>
      </c>
      <c r="BB288" s="23">
        <v>46.58545112585265</v>
      </c>
      <c r="BC288" s="23">
        <v>48.532630748633537</v>
      </c>
      <c r="BD288" s="23">
        <v>50</v>
      </c>
      <c r="BE288" s="23">
        <v>50</v>
      </c>
    </row>
    <row r="289" spans="29:57" x14ac:dyDescent="0.15">
      <c r="AC289" s="23">
        <v>286</v>
      </c>
      <c r="AD289" s="23">
        <f>[1]节奏总纲!AD289</f>
        <v>81.64114860464548</v>
      </c>
      <c r="AE289" s="23">
        <f>[1]节奏总纲!AE289</f>
        <v>83.907725324506913</v>
      </c>
      <c r="AF289" s="23">
        <f>[1]节奏总纲!AF289</f>
        <v>86.466610268780158</v>
      </c>
      <c r="AG289" s="23">
        <f>[1]节奏总纲!AG289</f>
        <v>90.221978405981218</v>
      </c>
      <c r="AH289" s="23">
        <f>[1]节奏总纲!AH289</f>
        <v>90.221978405981218</v>
      </c>
      <c r="AZ289" s="23">
        <v>286</v>
      </c>
      <c r="BA289" s="23">
        <v>45.110468571949411</v>
      </c>
      <c r="BB289" s="23">
        <v>46.609531179376063</v>
      </c>
      <c r="BC289" s="23">
        <v>48.556559415179692</v>
      </c>
      <c r="BD289" s="23">
        <v>50</v>
      </c>
      <c r="BE289" s="23">
        <v>50</v>
      </c>
    </row>
    <row r="290" spans="29:57" x14ac:dyDescent="0.15">
      <c r="AC290" s="23">
        <v>287</v>
      </c>
      <c r="AD290" s="23">
        <f>[1]节奏总纲!AD290</f>
        <v>81.691928656135218</v>
      </c>
      <c r="AE290" s="23">
        <f>[1]节奏总纲!AE290</f>
        <v>83.968390071024189</v>
      </c>
      <c r="AF290" s="23">
        <f>[1]节奏总纲!AF290</f>
        <v>86.530154118317043</v>
      </c>
      <c r="AG290" s="23">
        <f>[1]节奏总纲!AG290</f>
        <v>90.228212003453322</v>
      </c>
      <c r="AH290" s="23">
        <f>[1]节奏总纲!AH290</f>
        <v>90.228212003453322</v>
      </c>
      <c r="AZ290" s="23">
        <v>287</v>
      </c>
      <c r="BA290" s="23">
        <v>45.132785455171515</v>
      </c>
      <c r="BB290" s="23">
        <v>46.633611232899469</v>
      </c>
      <c r="BC290" s="23">
        <v>48.580488081725846</v>
      </c>
      <c r="BD290" s="23">
        <v>50</v>
      </c>
      <c r="BE290" s="23">
        <v>50</v>
      </c>
    </row>
    <row r="291" spans="29:57" x14ac:dyDescent="0.15">
      <c r="AC291" s="23">
        <v>288</v>
      </c>
      <c r="AD291" s="23">
        <f>[1]节奏总纲!AD291</f>
        <v>81.742708707624971</v>
      </c>
      <c r="AE291" s="23">
        <f>[1]节奏总纲!AE291</f>
        <v>84.020750872413302</v>
      </c>
      <c r="AF291" s="23">
        <f>[1]节奏总纲!AF291</f>
        <v>86.593697967853927</v>
      </c>
      <c r="AG291" s="23">
        <f>[1]节奏总纲!AG291</f>
        <v>90.234445600925412</v>
      </c>
      <c r="AH291" s="23">
        <f>[1]节奏总纲!AH291</f>
        <v>90.234445600925412</v>
      </c>
      <c r="AZ291" s="23">
        <v>288</v>
      </c>
      <c r="BA291" s="23">
        <v>45.155102338393618</v>
      </c>
      <c r="BB291" s="23">
        <v>46.657691286422882</v>
      </c>
      <c r="BC291" s="23">
        <v>48.604416748272008</v>
      </c>
      <c r="BD291" s="23">
        <v>50</v>
      </c>
      <c r="BE291" s="23">
        <v>50</v>
      </c>
    </row>
    <row r="292" spans="29:57" x14ac:dyDescent="0.15">
      <c r="AC292" s="23">
        <v>289</v>
      </c>
      <c r="AD292" s="23">
        <f>[1]节奏总纲!AD292</f>
        <v>81.793488759114723</v>
      </c>
      <c r="AE292" s="23">
        <f>[1]节奏总纲!AE292</f>
        <v>84.064077470942749</v>
      </c>
      <c r="AF292" s="23">
        <f>[1]节奏总纲!AF292</f>
        <v>86.657241817390798</v>
      </c>
      <c r="AG292" s="23">
        <f>[1]节奏总纲!AG292</f>
        <v>90.240679198397501</v>
      </c>
      <c r="AH292" s="23">
        <f>[1]节奏总纲!AH292</f>
        <v>90.240679198397501</v>
      </c>
      <c r="AZ292" s="23">
        <v>289</v>
      </c>
      <c r="BA292" s="23">
        <v>45.177419221615722</v>
      </c>
      <c r="BB292" s="23">
        <v>46.681771339946287</v>
      </c>
      <c r="BC292" s="23">
        <v>48.628345414818163</v>
      </c>
      <c r="BD292" s="23">
        <v>50</v>
      </c>
      <c r="BE292" s="23">
        <v>50</v>
      </c>
    </row>
    <row r="293" spans="29:57" x14ac:dyDescent="0.15">
      <c r="AC293" s="23">
        <v>290</v>
      </c>
      <c r="AD293" s="23">
        <f>[1]节奏总纲!AD293</f>
        <v>81.844268810604476</v>
      </c>
      <c r="AE293" s="23">
        <f>[1]节奏总纲!AE293</f>
        <v>84.107404069472196</v>
      </c>
      <c r="AF293" s="23">
        <f>[1]节奏总纲!AF293</f>
        <v>86.720785666927682</v>
      </c>
      <c r="AG293" s="23">
        <f>[1]节奏总纲!AG293</f>
        <v>90.246912795869591</v>
      </c>
      <c r="AH293" s="23">
        <f>[1]节奏总纲!AH293</f>
        <v>90.246912795869591</v>
      </c>
      <c r="AZ293" s="23">
        <v>290</v>
      </c>
      <c r="BA293" s="23">
        <v>45.199736104837825</v>
      </c>
      <c r="BB293" s="23">
        <v>46.7058513934697</v>
      </c>
      <c r="BC293" s="23">
        <v>48.652274081364318</v>
      </c>
      <c r="BD293" s="23">
        <v>50</v>
      </c>
      <c r="BE293" s="23">
        <v>50</v>
      </c>
    </row>
    <row r="294" spans="29:57" x14ac:dyDescent="0.15">
      <c r="AC294" s="23">
        <v>291</v>
      </c>
      <c r="AD294" s="23">
        <f>[1]节奏总纲!AD294</f>
        <v>81.895048862094228</v>
      </c>
      <c r="AE294" s="23">
        <f>[1]节奏总纲!AE294</f>
        <v>84.150730668001628</v>
      </c>
      <c r="AF294" s="23">
        <f>[1]节奏总纲!AF294</f>
        <v>86.784329516464553</v>
      </c>
      <c r="AG294" s="23">
        <f>[1]节奏总纲!AG294</f>
        <v>90.25314639334168</v>
      </c>
      <c r="AH294" s="23">
        <f>[1]节奏总纲!AH294</f>
        <v>90.25314639334168</v>
      </c>
      <c r="AZ294" s="23">
        <v>291</v>
      </c>
      <c r="BA294" s="23">
        <v>45.222052988059936</v>
      </c>
      <c r="BB294" s="23">
        <v>46.729931446993106</v>
      </c>
      <c r="BC294" s="23">
        <v>48.67620274791048</v>
      </c>
      <c r="BD294" s="23">
        <v>50</v>
      </c>
      <c r="BE294" s="23">
        <v>50</v>
      </c>
    </row>
    <row r="295" spans="29:57" x14ac:dyDescent="0.15">
      <c r="AC295" s="23">
        <v>292</v>
      </c>
      <c r="AD295" s="23">
        <f>[1]节奏总纲!AD295</f>
        <v>81.945828913583981</v>
      </c>
      <c r="AE295" s="23">
        <f>[1]节奏总纲!AE295</f>
        <v>84.194057266531075</v>
      </c>
      <c r="AF295" s="23">
        <f>[1]节奏总纲!AF295</f>
        <v>86.847873366001437</v>
      </c>
      <c r="AG295" s="23">
        <f>[1]节奏总纲!AG295</f>
        <v>90.259379990813784</v>
      </c>
      <c r="AH295" s="23">
        <f>[1]节奏总纲!AH295</f>
        <v>90.259379990813784</v>
      </c>
      <c r="AZ295" s="23">
        <v>292</v>
      </c>
      <c r="BA295" s="23">
        <v>45.244369871282039</v>
      </c>
      <c r="BB295" s="23">
        <v>46.754011500516519</v>
      </c>
      <c r="BC295" s="23">
        <v>48.700131414456635</v>
      </c>
      <c r="BD295" s="23">
        <v>50</v>
      </c>
      <c r="BE295" s="23">
        <v>50</v>
      </c>
    </row>
    <row r="296" spans="29:57" x14ac:dyDescent="0.15">
      <c r="AC296" s="23">
        <v>293</v>
      </c>
      <c r="AD296" s="23">
        <f>[1]节奏总纲!AD296</f>
        <v>81.996608965073733</v>
      </c>
      <c r="AE296" s="23">
        <f>[1]节奏总纲!AE296</f>
        <v>84.237383865060522</v>
      </c>
      <c r="AF296" s="23">
        <f>[1]节奏总纲!AF296</f>
        <v>86.911417215538307</v>
      </c>
      <c r="AG296" s="23">
        <f>[1]节奏总纲!AG296</f>
        <v>90.265613588285873</v>
      </c>
      <c r="AH296" s="23">
        <f>[1]节奏总纲!AH296</f>
        <v>90.265613588285873</v>
      </c>
      <c r="AZ296" s="23">
        <v>293</v>
      </c>
      <c r="BA296" s="23">
        <v>45.266686754504143</v>
      </c>
      <c r="BB296" s="23">
        <v>46.778091554039925</v>
      </c>
      <c r="BC296" s="23">
        <v>48.72406008100279</v>
      </c>
      <c r="BD296" s="23">
        <v>50</v>
      </c>
      <c r="BE296" s="23">
        <v>50</v>
      </c>
    </row>
    <row r="297" spans="29:57" x14ac:dyDescent="0.15">
      <c r="AC297" s="23">
        <v>294</v>
      </c>
      <c r="AD297" s="23">
        <f>[1]节奏总纲!AD297</f>
        <v>82.044215515890215</v>
      </c>
      <c r="AE297" s="23">
        <f>[1]节奏总纲!AE297</f>
        <v>84.280710463589955</v>
      </c>
      <c r="AF297" s="23">
        <f>[1]节奏总纲!AF297</f>
        <v>86.974961065075192</v>
      </c>
      <c r="AG297" s="23">
        <f>[1]节奏总纲!AG297</f>
        <v>90.271847185757963</v>
      </c>
      <c r="AH297" s="23">
        <f>[1]节奏总纲!AH297</f>
        <v>90.271847185757963</v>
      </c>
      <c r="AZ297" s="23">
        <v>294</v>
      </c>
      <c r="BA297" s="23">
        <v>45.289003637726246</v>
      </c>
      <c r="BB297" s="23">
        <v>46.802171607563338</v>
      </c>
      <c r="BC297" s="23">
        <v>48.747988747548945</v>
      </c>
      <c r="BD297" s="23">
        <v>50</v>
      </c>
      <c r="BE297" s="23">
        <v>50</v>
      </c>
    </row>
    <row r="298" spans="29:57" x14ac:dyDescent="0.15">
      <c r="AC298" s="23">
        <v>295</v>
      </c>
      <c r="AD298" s="23">
        <f>[1]节奏总纲!AD298</f>
        <v>82.091594979242089</v>
      </c>
      <c r="AE298" s="23">
        <f>[1]节奏总纲!AE298</f>
        <v>84.324037062119402</v>
      </c>
      <c r="AF298" s="23">
        <f>[1]节奏总纲!AF298</f>
        <v>87.04004377810007</v>
      </c>
      <c r="AG298" s="23">
        <f>[1]节奏总纲!AG298</f>
        <v>90.278080783230052</v>
      </c>
      <c r="AH298" s="23">
        <f>[1]节奏总纲!AH298</f>
        <v>90.278080783230052</v>
      </c>
      <c r="AZ298" s="23">
        <v>295</v>
      </c>
      <c r="BA298" s="23">
        <v>45.31132052094835</v>
      </c>
      <c r="BB298" s="23">
        <v>46.826251661086744</v>
      </c>
      <c r="BC298" s="23">
        <v>48.771917414095107</v>
      </c>
      <c r="BD298" s="23">
        <v>50</v>
      </c>
      <c r="BE298" s="23">
        <v>50</v>
      </c>
    </row>
    <row r="299" spans="29:57" x14ac:dyDescent="0.15">
      <c r="AC299" s="23">
        <v>296</v>
      </c>
      <c r="AD299" s="23">
        <f>[1]节奏总纲!AD299</f>
        <v>82.138974442593963</v>
      </c>
      <c r="AE299" s="23">
        <f>[1]节奏总纲!AE299</f>
        <v>84.367363660648849</v>
      </c>
      <c r="AF299" s="23">
        <f>[1]节奏总纲!AF299</f>
        <v>87.106127181637376</v>
      </c>
      <c r="AG299" s="23">
        <f>[1]节奏总纲!AG299</f>
        <v>90.284314380702156</v>
      </c>
      <c r="AH299" s="23">
        <f>[1]节奏总纲!AH299</f>
        <v>90.284314380702156</v>
      </c>
      <c r="AZ299" s="23">
        <v>296</v>
      </c>
      <c r="BA299" s="23">
        <v>45.333637404170453</v>
      </c>
      <c r="BB299" s="23">
        <v>46.850331714610157</v>
      </c>
      <c r="BC299" s="23">
        <v>48.795846080641262</v>
      </c>
      <c r="BD299" s="23">
        <v>50</v>
      </c>
      <c r="BE299" s="23">
        <v>50</v>
      </c>
    </row>
    <row r="300" spans="29:57" x14ac:dyDescent="0.15">
      <c r="AC300" s="23">
        <v>297</v>
      </c>
      <c r="AD300" s="23">
        <f>[1]节奏总纲!AD300</f>
        <v>82.186353905945836</v>
      </c>
      <c r="AE300" s="23">
        <f>[1]节奏总纲!AE300</f>
        <v>84.410690259178281</v>
      </c>
      <c r="AF300" s="23">
        <f>[1]节奏总纲!AF300</f>
        <v>87.172210585174682</v>
      </c>
      <c r="AG300" s="23">
        <f>[1]节奏总纲!AG300</f>
        <v>90.290547978174246</v>
      </c>
      <c r="AH300" s="23">
        <f>[1]节奏总纲!AH300</f>
        <v>90.290547978174246</v>
      </c>
      <c r="AZ300" s="23">
        <v>297</v>
      </c>
      <c r="BA300" s="23">
        <v>45.355954287392557</v>
      </c>
      <c r="BB300" s="23">
        <v>46.874411768133562</v>
      </c>
      <c r="BC300" s="23">
        <v>48.819774747187417</v>
      </c>
      <c r="BD300" s="23">
        <v>50</v>
      </c>
      <c r="BE300" s="23">
        <v>50</v>
      </c>
    </row>
    <row r="301" spans="29:57" x14ac:dyDescent="0.15">
      <c r="AC301" s="23">
        <v>298</v>
      </c>
      <c r="AD301" s="23">
        <f>[1]节奏总纲!AD301</f>
        <v>82.23373336929771</v>
      </c>
      <c r="AE301" s="23">
        <f>[1]节奏总纲!AE301</f>
        <v>84.454016857707728</v>
      </c>
      <c r="AF301" s="23">
        <f>[1]节奏总纲!AF301</f>
        <v>87.238293988711987</v>
      </c>
      <c r="AG301" s="23">
        <f>[1]节奏总纲!AG301</f>
        <v>90.296781575646335</v>
      </c>
      <c r="AH301" s="23">
        <f>[1]节奏总纲!AH301</f>
        <v>90.296781575646335</v>
      </c>
      <c r="AZ301" s="23">
        <v>298</v>
      </c>
      <c r="BA301" s="23">
        <v>45.37827117061466</v>
      </c>
      <c r="BB301" s="23">
        <v>46.898491821656968</v>
      </c>
      <c r="BC301" s="23">
        <v>48.843703413733579</v>
      </c>
      <c r="BD301" s="23">
        <v>50</v>
      </c>
      <c r="BE301" s="23">
        <v>50</v>
      </c>
    </row>
    <row r="302" spans="29:57" x14ac:dyDescent="0.15">
      <c r="AC302" s="23">
        <v>299</v>
      </c>
      <c r="AD302" s="23">
        <f>[1]节奏总纲!AD302</f>
        <v>82.281112832649583</v>
      </c>
      <c r="AE302" s="23">
        <f>[1]节奏总纲!AE302</f>
        <v>84.497343456237175</v>
      </c>
      <c r="AF302" s="23">
        <f>[1]节奏总纲!AF302</f>
        <v>87.304377392249293</v>
      </c>
      <c r="AG302" s="23">
        <f>[1]节奏总纲!AG302</f>
        <v>90.303015173118425</v>
      </c>
      <c r="AH302" s="23">
        <f>[1]节奏总纲!AH302</f>
        <v>90.303015173118425</v>
      </c>
      <c r="AZ302" s="23">
        <v>299</v>
      </c>
      <c r="BA302" s="23">
        <v>45.400588053836763</v>
      </c>
      <c r="BB302" s="23">
        <v>46.922571875180381</v>
      </c>
      <c r="BC302" s="23">
        <v>48.867632080279733</v>
      </c>
      <c r="BD302" s="23">
        <v>50</v>
      </c>
      <c r="BE302" s="23">
        <v>50</v>
      </c>
    </row>
    <row r="303" spans="29:57" x14ac:dyDescent="0.15">
      <c r="AC303" s="23">
        <v>300</v>
      </c>
      <c r="AD303" s="23">
        <f>[1]节奏总纲!AD303</f>
        <v>82.328492296001457</v>
      </c>
      <c r="AE303" s="23">
        <f>[1]节奏总纲!AE303</f>
        <v>84.540670054766608</v>
      </c>
      <c r="AF303" s="23">
        <f>[1]节奏总纲!AF303</f>
        <v>87.370460795786599</v>
      </c>
      <c r="AG303" s="23">
        <f>[1]节奏总纲!AG303</f>
        <v>90.309248770590514</v>
      </c>
      <c r="AH303" s="23">
        <f>[1]节奏总纲!AH303</f>
        <v>90.309248770590514</v>
      </c>
      <c r="AZ303" s="23">
        <v>300</v>
      </c>
      <c r="BA303" s="23">
        <v>45.422904937058867</v>
      </c>
      <c r="BB303" s="23">
        <v>46.946651928703787</v>
      </c>
      <c r="BC303" s="23">
        <v>48.891560746825888</v>
      </c>
      <c r="BD303" s="23">
        <v>50</v>
      </c>
      <c r="BE303" s="23">
        <v>50</v>
      </c>
    </row>
    <row r="304" spans="29:57" x14ac:dyDescent="0.15">
      <c r="AC304" s="23">
        <v>301</v>
      </c>
      <c r="AD304" s="23">
        <f>[1]节奏总纲!AD304</f>
        <v>82.375871759353331</v>
      </c>
      <c r="AE304" s="23">
        <f>[1]节奏总纲!AE304</f>
        <v>84.583996653296055</v>
      </c>
      <c r="AF304" s="23">
        <f>[1]节奏总纲!AF304</f>
        <v>87.436544199323905</v>
      </c>
      <c r="AG304" s="23">
        <f>[1]节奏总纲!AG304</f>
        <v>90.315482368062618</v>
      </c>
      <c r="AH304" s="23">
        <f>[1]节奏总纲!AH304</f>
        <v>90.315482368062618</v>
      </c>
      <c r="AZ304" s="23">
        <v>301</v>
      </c>
      <c r="BA304" s="23">
        <v>45.44522182028097</v>
      </c>
      <c r="BB304" s="23">
        <v>46.9707319822272</v>
      </c>
      <c r="BC304" s="23">
        <v>48.91548941337205</v>
      </c>
      <c r="BD304" s="23">
        <v>50</v>
      </c>
      <c r="BE304" s="23">
        <v>50</v>
      </c>
    </row>
    <row r="305" spans="29:57" x14ac:dyDescent="0.15">
      <c r="AC305" s="23">
        <v>302</v>
      </c>
      <c r="AD305" s="23">
        <f>[1]节奏总纲!AD305</f>
        <v>82.423251222705204</v>
      </c>
      <c r="AE305" s="23">
        <f>[1]节奏总纲!AE305</f>
        <v>84.627323251825501</v>
      </c>
      <c r="AF305" s="23">
        <f>[1]节奏总纲!AF305</f>
        <v>87.50262760286121</v>
      </c>
      <c r="AG305" s="23">
        <f>[1]节奏总纲!AG305</f>
        <v>90.321715965534707</v>
      </c>
      <c r="AH305" s="23">
        <f>[1]节奏总纲!AH305</f>
        <v>90.321715965534707</v>
      </c>
      <c r="AZ305" s="23">
        <v>302</v>
      </c>
      <c r="BA305" s="23">
        <v>45.467538703503074</v>
      </c>
      <c r="BB305" s="23">
        <v>46.994812035750606</v>
      </c>
      <c r="BC305" s="23">
        <v>48.939418079918205</v>
      </c>
      <c r="BD305" s="23">
        <v>50</v>
      </c>
      <c r="BE305" s="23">
        <v>50</v>
      </c>
    </row>
    <row r="306" spans="29:57" x14ac:dyDescent="0.15">
      <c r="AC306" s="23">
        <v>303</v>
      </c>
      <c r="AD306" s="23">
        <f>[1]节奏总纲!AD306</f>
        <v>82.470630686057078</v>
      </c>
      <c r="AE306" s="23">
        <f>[1]节奏总纲!AE306</f>
        <v>84.670649850354934</v>
      </c>
      <c r="AF306" s="23">
        <f>[1]节奏总纲!AF306</f>
        <v>87.568711006398516</v>
      </c>
      <c r="AG306" s="23">
        <f>[1]节奏总纲!AG306</f>
        <v>90.327949563006797</v>
      </c>
      <c r="AH306" s="23">
        <f>[1]节奏总纲!AH306</f>
        <v>90.327949563006797</v>
      </c>
      <c r="AZ306" s="23">
        <v>303</v>
      </c>
      <c r="BA306" s="23">
        <v>45.489855586725177</v>
      </c>
      <c r="BB306" s="23">
        <v>47.016308935086101</v>
      </c>
      <c r="BC306" s="23">
        <v>48.96334674646436</v>
      </c>
      <c r="BD306" s="23">
        <v>50</v>
      </c>
      <c r="BE306" s="23">
        <v>50</v>
      </c>
    </row>
    <row r="307" spans="29:57" x14ac:dyDescent="0.15">
      <c r="AC307" s="23">
        <v>304</v>
      </c>
      <c r="AD307" s="23">
        <f>[1]节奏总纲!AD307</f>
        <v>82.518010149408951</v>
      </c>
      <c r="AE307" s="23">
        <f>[1]节奏总纲!AE307</f>
        <v>84.713976448884381</v>
      </c>
      <c r="AF307" s="23">
        <f>[1]节奏总纲!AF307</f>
        <v>87.634794409935822</v>
      </c>
      <c r="AG307" s="23">
        <f>[1]节奏总纲!AG307</f>
        <v>90.334183160478887</v>
      </c>
      <c r="AH307" s="23">
        <f>[1]节奏总纲!AH307</f>
        <v>90.334183160478887</v>
      </c>
      <c r="AZ307" s="23">
        <v>304</v>
      </c>
      <c r="BA307" s="23">
        <v>45.512172469947281</v>
      </c>
      <c r="BB307" s="23">
        <v>47.037096473408994</v>
      </c>
      <c r="BC307" s="23">
        <v>48.987275413010522</v>
      </c>
      <c r="BD307" s="23">
        <v>50</v>
      </c>
      <c r="BE307" s="23">
        <v>50</v>
      </c>
    </row>
    <row r="308" spans="29:57" x14ac:dyDescent="0.15">
      <c r="AC308" s="23">
        <v>305</v>
      </c>
      <c r="AD308" s="23">
        <f>[1]节奏总纲!AD308</f>
        <v>82.565389612760825</v>
      </c>
      <c r="AE308" s="23">
        <f>[1]节奏总纲!AE308</f>
        <v>84.757303047413828</v>
      </c>
      <c r="AF308" s="23">
        <f>[1]节奏总纲!AF308</f>
        <v>87.700877813473127</v>
      </c>
      <c r="AG308" s="23">
        <f>[1]节奏总纲!AG308</f>
        <v>90.34041675795099</v>
      </c>
      <c r="AH308" s="23">
        <f>[1]节奏总纲!AH308</f>
        <v>90.34041675795099</v>
      </c>
      <c r="AZ308" s="23">
        <v>305</v>
      </c>
      <c r="BA308" s="23">
        <v>45.534489353169384</v>
      </c>
      <c r="BB308" s="23">
        <v>47.057884011731893</v>
      </c>
      <c r="BC308" s="23">
        <v>49.009673493801003</v>
      </c>
      <c r="BD308" s="23">
        <v>50</v>
      </c>
      <c r="BE308" s="23">
        <v>50</v>
      </c>
    </row>
    <row r="309" spans="29:57" x14ac:dyDescent="0.15">
      <c r="AC309" s="23">
        <v>306</v>
      </c>
      <c r="AD309" s="23">
        <f>[1]节奏总纲!AD309</f>
        <v>82.612769076112698</v>
      </c>
      <c r="AE309" s="23">
        <f>[1]节奏总纲!AE309</f>
        <v>84.80062964594326</v>
      </c>
      <c r="AF309" s="23">
        <f>[1]节奏总纲!AF309</f>
        <v>87.766961217010433</v>
      </c>
      <c r="AG309" s="23">
        <f>[1]节奏总纲!AG309</f>
        <v>90.34665035542308</v>
      </c>
      <c r="AH309" s="23">
        <f>[1]节奏总纲!AH309</f>
        <v>90.34665035542308</v>
      </c>
      <c r="AZ309" s="23">
        <v>306</v>
      </c>
      <c r="BA309" s="23">
        <v>45.556806236391488</v>
      </c>
      <c r="BB309" s="23">
        <v>47.078671550054786</v>
      </c>
      <c r="BC309" s="23">
        <v>49.030333272797542</v>
      </c>
      <c r="BD309" s="23">
        <v>50</v>
      </c>
      <c r="BE309" s="23">
        <v>50</v>
      </c>
    </row>
    <row r="310" spans="29:57" x14ac:dyDescent="0.15">
      <c r="AC310" s="23">
        <v>307</v>
      </c>
      <c r="AD310" s="23">
        <f>[1]节奏总纲!AD310</f>
        <v>82.660148539464572</v>
      </c>
      <c r="AE310" s="23">
        <f>[1]节奏总纲!AE310</f>
        <v>84.843956244472707</v>
      </c>
      <c r="AF310" s="23">
        <f>[1]节奏总纲!AF310</f>
        <v>87.833044620547739</v>
      </c>
      <c r="AG310" s="23">
        <f>[1]节奏总纲!AG310</f>
        <v>90.352883952895169</v>
      </c>
      <c r="AH310" s="23">
        <f>[1]节奏总纲!AH310</f>
        <v>90.352883952895169</v>
      </c>
      <c r="AZ310" s="23">
        <v>307</v>
      </c>
      <c r="BA310" s="23">
        <v>45.579123119613591</v>
      </c>
      <c r="BB310" s="23">
        <v>47.099459088377678</v>
      </c>
      <c r="BC310" s="23">
        <v>49.05099305179408</v>
      </c>
      <c r="BD310" s="23">
        <v>50</v>
      </c>
      <c r="BE310" s="23">
        <v>50</v>
      </c>
    </row>
    <row r="311" spans="29:57" x14ac:dyDescent="0.15">
      <c r="AC311" s="23">
        <v>308</v>
      </c>
      <c r="AD311" s="23">
        <f>[1]节奏总纲!AD311</f>
        <v>82.707528002816446</v>
      </c>
      <c r="AE311" s="23">
        <f>[1]节奏总纲!AE311</f>
        <v>84.887282843002154</v>
      </c>
      <c r="AF311" s="23">
        <f>[1]节奏总纲!AF311</f>
        <v>87.899128024085044</v>
      </c>
      <c r="AG311" s="23">
        <f>[1]节奏总纲!AG311</f>
        <v>90.359117550367259</v>
      </c>
      <c r="AH311" s="23">
        <f>[1]节奏总纲!AH311</f>
        <v>90.359117550367259</v>
      </c>
      <c r="AZ311" s="23">
        <v>308</v>
      </c>
      <c r="BA311" s="23">
        <v>45.601440002835695</v>
      </c>
      <c r="BB311" s="23">
        <v>47.12024662670057</v>
      </c>
      <c r="BC311" s="23">
        <v>49.071652830790612</v>
      </c>
      <c r="BD311" s="23">
        <v>50</v>
      </c>
      <c r="BE311" s="23">
        <v>50</v>
      </c>
    </row>
    <row r="312" spans="29:57" x14ac:dyDescent="0.15">
      <c r="AC312" s="23">
        <v>309</v>
      </c>
      <c r="AD312" s="23">
        <f>[1]节奏总纲!AD312</f>
        <v>82.754907466168319</v>
      </c>
      <c r="AE312" s="23">
        <f>[1]节奏总纲!AE312</f>
        <v>84.930609441531587</v>
      </c>
      <c r="AF312" s="23">
        <f>[1]节奏总纲!AF312</f>
        <v>87.96521142762235</v>
      </c>
      <c r="AG312" s="23">
        <f>[1]节奏总纲!AG312</f>
        <v>90.365351147839363</v>
      </c>
      <c r="AH312" s="23">
        <f>[1]节奏总纲!AH312</f>
        <v>90.365351147839363</v>
      </c>
      <c r="AZ312" s="23">
        <v>309</v>
      </c>
      <c r="BA312" s="23">
        <v>45.623756886057798</v>
      </c>
      <c r="BB312" s="23">
        <v>47.14103416502347</v>
      </c>
      <c r="BC312" s="23">
        <v>49.09231260978715</v>
      </c>
      <c r="BD312" s="23">
        <v>50</v>
      </c>
      <c r="BE312" s="23">
        <v>50</v>
      </c>
    </row>
    <row r="313" spans="29:57" x14ac:dyDescent="0.15">
      <c r="AC313" s="23">
        <v>310</v>
      </c>
      <c r="AD313" s="23">
        <f>[1]节奏总纲!AD313</f>
        <v>82.802286929520193</v>
      </c>
      <c r="AE313" s="23">
        <f>[1]节奏总纲!AE313</f>
        <v>84.973936040061034</v>
      </c>
      <c r="AF313" s="23">
        <f>[1]节奏总纲!AF313</f>
        <v>88.036783244232311</v>
      </c>
      <c r="AG313" s="23">
        <f>[1]节奏总纲!AG313</f>
        <v>90.371584745311452</v>
      </c>
      <c r="AH313" s="23">
        <f>[1]节奏总纲!AH313</f>
        <v>90.371584745311452</v>
      </c>
      <c r="AZ313" s="23">
        <v>310</v>
      </c>
      <c r="BA313" s="23">
        <v>45.646073769279901</v>
      </c>
      <c r="BB313" s="23">
        <v>47.161821703346362</v>
      </c>
      <c r="BC313" s="23">
        <v>49.112972388783689</v>
      </c>
      <c r="BD313" s="23">
        <v>50</v>
      </c>
      <c r="BE313" s="23">
        <v>50</v>
      </c>
    </row>
    <row r="314" spans="29:57" x14ac:dyDescent="0.15">
      <c r="AC314" s="23">
        <v>311</v>
      </c>
      <c r="AD314" s="23">
        <f>[1]节奏总纲!AD314</f>
        <v>82.849666392872066</v>
      </c>
      <c r="AE314" s="23">
        <f>[1]节奏总纲!AE314</f>
        <v>85.014071428822817</v>
      </c>
      <c r="AF314" s="23">
        <f>[1]节奏总纲!AF314</f>
        <v>88.114456197941962</v>
      </c>
      <c r="AG314" s="23">
        <f>[1]节奏总纲!AG314</f>
        <v>90.377818342783542</v>
      </c>
      <c r="AH314" s="23">
        <f>[1]节奏总纲!AH314</f>
        <v>90.377818342783542</v>
      </c>
      <c r="AZ314" s="23">
        <v>311</v>
      </c>
      <c r="BA314" s="23">
        <v>45.668390652502012</v>
      </c>
      <c r="BB314" s="23">
        <v>47.182609241669255</v>
      </c>
      <c r="BC314" s="23">
        <v>49.133632167780227</v>
      </c>
      <c r="BD314" s="23">
        <v>50</v>
      </c>
      <c r="BE314" s="23">
        <v>50</v>
      </c>
    </row>
    <row r="315" spans="29:57" x14ac:dyDescent="0.15">
      <c r="AC315" s="23">
        <v>312</v>
      </c>
      <c r="AD315" s="23">
        <f>[1]节奏总纲!AD315</f>
        <v>82.89704585622394</v>
      </c>
      <c r="AE315" s="23">
        <f>[1]节奏总纲!AE315</f>
        <v>85.049388575975385</v>
      </c>
      <c r="AF315" s="23">
        <f>[1]节奏总纲!AF315</f>
        <v>88.192129151651613</v>
      </c>
      <c r="AG315" s="23">
        <f>[1]节奏总纲!AG315</f>
        <v>90.384051940255631</v>
      </c>
      <c r="AH315" s="23">
        <f>[1]节奏总纲!AH315</f>
        <v>90.384051940255631</v>
      </c>
      <c r="AZ315" s="23">
        <v>312</v>
      </c>
      <c r="BA315" s="23">
        <v>45.690707535724115</v>
      </c>
      <c r="BB315" s="23">
        <v>47.203396779992147</v>
      </c>
      <c r="BC315" s="23">
        <v>49.154291946776759</v>
      </c>
      <c r="BD315" s="23">
        <v>50</v>
      </c>
      <c r="BE315" s="23">
        <v>50</v>
      </c>
    </row>
    <row r="316" spans="29:57" x14ac:dyDescent="0.15">
      <c r="AC316" s="23">
        <v>313</v>
      </c>
      <c r="AD316" s="23">
        <f>[1]节奏总纲!AD316</f>
        <v>82.944425319575814</v>
      </c>
      <c r="AE316" s="23">
        <f>[1]节奏总纲!AE316</f>
        <v>85.084705723127968</v>
      </c>
      <c r="AF316" s="23">
        <f>[1]节奏总纲!AF316</f>
        <v>88.269802105361265</v>
      </c>
      <c r="AG316" s="23">
        <f>[1]节奏总纲!AG316</f>
        <v>90.390285537727721</v>
      </c>
      <c r="AH316" s="23">
        <f>[1]节奏总纲!AH316</f>
        <v>90.390285537727721</v>
      </c>
      <c r="AZ316" s="23">
        <v>313</v>
      </c>
      <c r="BA316" s="23">
        <v>45.713024418946219</v>
      </c>
      <c r="BB316" s="23">
        <v>47.224184318315039</v>
      </c>
      <c r="BC316" s="23">
        <v>49.174951725773298</v>
      </c>
      <c r="BD316" s="23">
        <v>50</v>
      </c>
      <c r="BE316" s="23">
        <v>50</v>
      </c>
    </row>
    <row r="317" spans="29:57" x14ac:dyDescent="0.15">
      <c r="AC317" s="23">
        <v>314</v>
      </c>
      <c r="AD317" s="23">
        <f>[1]节奏总纲!AD317</f>
        <v>82.991804782927687</v>
      </c>
      <c r="AE317" s="23">
        <f>[1]节奏总纲!AE317</f>
        <v>85.120022870280536</v>
      </c>
      <c r="AF317" s="23">
        <f>[1]节奏总纲!AF317</f>
        <v>88.347475059070916</v>
      </c>
      <c r="AG317" s="23">
        <f>[1]节奏总纲!AG317</f>
        <v>90.396519135199824</v>
      </c>
      <c r="AH317" s="23">
        <f>[1]节奏总纲!AH317</f>
        <v>90.396519135199824</v>
      </c>
      <c r="AZ317" s="23">
        <v>314</v>
      </c>
      <c r="BA317" s="23">
        <v>45.735341302168322</v>
      </c>
      <c r="BB317" s="23">
        <v>47.244971856637939</v>
      </c>
      <c r="BC317" s="23">
        <v>49.195611504769836</v>
      </c>
      <c r="BD317" s="23">
        <v>50</v>
      </c>
      <c r="BE317" s="23">
        <v>50</v>
      </c>
    </row>
    <row r="318" spans="29:57" x14ac:dyDescent="0.15">
      <c r="AC318" s="23">
        <v>315</v>
      </c>
      <c r="AD318" s="23">
        <f>[1]节奏总纲!AD318</f>
        <v>83.03656019452734</v>
      </c>
      <c r="AE318" s="23">
        <f>[1]节奏总纲!AE318</f>
        <v>85.155340017433119</v>
      </c>
      <c r="AF318" s="23">
        <f>[1]节奏总纲!AF318</f>
        <v>88.425148012780568</v>
      </c>
      <c r="AG318" s="23">
        <f>[1]节奏总纲!AG318</f>
        <v>90.402752732671914</v>
      </c>
      <c r="AH318" s="23">
        <f>[1]节奏总纲!AH318</f>
        <v>90.402752732671914</v>
      </c>
      <c r="AZ318" s="23">
        <v>315</v>
      </c>
      <c r="BA318" s="23">
        <v>45.757658185390426</v>
      </c>
      <c r="BB318" s="23">
        <v>47.265759394960831</v>
      </c>
      <c r="BC318" s="23">
        <v>49.216271283766375</v>
      </c>
      <c r="BD318" s="23">
        <v>50</v>
      </c>
      <c r="BE318" s="23">
        <v>50</v>
      </c>
    </row>
    <row r="319" spans="29:57" x14ac:dyDescent="0.15">
      <c r="AC319" s="23">
        <v>316</v>
      </c>
      <c r="AD319" s="23">
        <f>[1]节奏总纲!AD319</f>
        <v>83.080766796955942</v>
      </c>
      <c r="AE319" s="23">
        <f>[1]节奏总纲!AE319</f>
        <v>85.190657164585687</v>
      </c>
      <c r="AF319" s="23">
        <f>[1]节奏总纲!AF319</f>
        <v>88.502820966490219</v>
      </c>
      <c r="AG319" s="23">
        <f>[1]节奏总纲!AG319</f>
        <v>90.408986330144003</v>
      </c>
      <c r="AH319" s="23">
        <f>[1]节奏总纲!AH319</f>
        <v>90.408986330144003</v>
      </c>
      <c r="AZ319" s="23">
        <v>316</v>
      </c>
      <c r="BA319" s="23">
        <v>45.779975068612529</v>
      </c>
      <c r="BB319" s="23">
        <v>47.286546933283724</v>
      </c>
      <c r="BC319" s="23">
        <v>49.236931062762913</v>
      </c>
      <c r="BD319" s="23">
        <v>50</v>
      </c>
      <c r="BE319" s="23">
        <v>50</v>
      </c>
    </row>
    <row r="320" spans="29:57" x14ac:dyDescent="0.15">
      <c r="AC320" s="23">
        <v>317</v>
      </c>
      <c r="AD320" s="23">
        <f>[1]节奏总纲!AD320</f>
        <v>83.124973399384558</v>
      </c>
      <c r="AE320" s="23">
        <f>[1]节奏总纲!AE320</f>
        <v>85.22597431173827</v>
      </c>
      <c r="AF320" s="23">
        <f>[1]节奏总纲!AF320</f>
        <v>88.580493920199871</v>
      </c>
      <c r="AG320" s="23">
        <f>[1]节奏总纲!AG320</f>
        <v>90.415219927616093</v>
      </c>
      <c r="AH320" s="23">
        <f>[1]节奏总纲!AH320</f>
        <v>90.415219927616093</v>
      </c>
      <c r="AZ320" s="23">
        <v>317</v>
      </c>
      <c r="BA320" s="23">
        <v>45.802291951834633</v>
      </c>
      <c r="BB320" s="23">
        <v>47.307334471606616</v>
      </c>
      <c r="BC320" s="23">
        <v>49.257590841759445</v>
      </c>
      <c r="BD320" s="23">
        <v>50</v>
      </c>
      <c r="BE320" s="23">
        <v>50</v>
      </c>
    </row>
    <row r="321" spans="29:57" x14ac:dyDescent="0.15">
      <c r="AC321" s="23">
        <v>318</v>
      </c>
      <c r="AD321" s="23">
        <f>[1]节奏总纲!AD321</f>
        <v>83.16918000181316</v>
      </c>
      <c r="AE321" s="23">
        <f>[1]节奏总纲!AE321</f>
        <v>85.261291458890838</v>
      </c>
      <c r="AF321" s="23">
        <f>[1]节奏总纲!AF321</f>
        <v>88.658166873909522</v>
      </c>
      <c r="AG321" s="23">
        <f>[1]节奏总纲!AG321</f>
        <v>90.421453525088197</v>
      </c>
      <c r="AH321" s="23">
        <f>[1]节奏总纲!AH321</f>
        <v>90.421453525088197</v>
      </c>
      <c r="AZ321" s="23">
        <v>318</v>
      </c>
      <c r="BA321" s="23">
        <v>45.824608835056736</v>
      </c>
      <c r="BB321" s="23">
        <v>47.328122009929508</v>
      </c>
      <c r="BC321" s="23">
        <v>49.278250620755983</v>
      </c>
      <c r="BD321" s="23">
        <v>50</v>
      </c>
      <c r="BE321" s="23">
        <v>50</v>
      </c>
    </row>
    <row r="322" spans="29:57" x14ac:dyDescent="0.15">
      <c r="AC322" s="23">
        <v>319</v>
      </c>
      <c r="AD322" s="23">
        <f>[1]节奏总纲!AD322</f>
        <v>83.213386604241776</v>
      </c>
      <c r="AE322" s="23">
        <f>[1]节奏总纲!AE322</f>
        <v>85.296608606043421</v>
      </c>
      <c r="AF322" s="23">
        <f>[1]节奏总纲!AF322</f>
        <v>88.735839827619159</v>
      </c>
      <c r="AG322" s="23">
        <f>[1]节奏总纲!AG322</f>
        <v>90.427687122560286</v>
      </c>
      <c r="AH322" s="23">
        <f>[1]节奏总纲!AH322</f>
        <v>90.427687122560286</v>
      </c>
      <c r="AZ322" s="23">
        <v>319</v>
      </c>
      <c r="BA322" s="23">
        <v>45.84692571827884</v>
      </c>
      <c r="BB322" s="23">
        <v>47.348909548252408</v>
      </c>
      <c r="BC322" s="23">
        <v>49.298910399752522</v>
      </c>
      <c r="BD322" s="23">
        <v>50</v>
      </c>
      <c r="BE322" s="23">
        <v>50</v>
      </c>
    </row>
    <row r="323" spans="29:57" x14ac:dyDescent="0.15">
      <c r="AC323" s="23">
        <v>320</v>
      </c>
      <c r="AD323" s="23">
        <f>[1]节奏总纲!AD323</f>
        <v>83.257593206670379</v>
      </c>
      <c r="AE323" s="23">
        <f>[1]节奏总纲!AE323</f>
        <v>85.331925753195989</v>
      </c>
      <c r="AF323" s="23">
        <f>[1]节奏总纲!AF323</f>
        <v>88.813512781328811</v>
      </c>
      <c r="AG323" s="23">
        <f>[1]节奏总纲!AG323</f>
        <v>90.433920720032376</v>
      </c>
      <c r="AH323" s="23">
        <f>[1]节奏总纲!AH323</f>
        <v>90.433920720032376</v>
      </c>
      <c r="AZ323" s="23">
        <v>320</v>
      </c>
      <c r="BA323" s="23">
        <v>45.869242601500943</v>
      </c>
      <c r="BB323" s="23">
        <v>47.3696970865753</v>
      </c>
      <c r="BC323" s="23">
        <v>49.319570178749061</v>
      </c>
      <c r="BD323" s="23">
        <v>50</v>
      </c>
      <c r="BE323" s="23">
        <v>50</v>
      </c>
    </row>
    <row r="324" spans="29:57" x14ac:dyDescent="0.15">
      <c r="AC324" s="23">
        <v>321</v>
      </c>
      <c r="AD324" s="23">
        <f>[1]节奏总纲!AD324</f>
        <v>83.301799809098995</v>
      </c>
      <c r="AE324" s="23">
        <f>[1]节奏总纲!AE324</f>
        <v>85.367242900348572</v>
      </c>
      <c r="AF324" s="23">
        <f>[1]节奏总纲!AF324</f>
        <v>88.891185735038462</v>
      </c>
      <c r="AG324" s="23">
        <f>[1]节奏总纲!AG324</f>
        <v>90.440154317504465</v>
      </c>
      <c r="AH324" s="23">
        <f>[1]节奏总纲!AH324</f>
        <v>90.440154317504465</v>
      </c>
      <c r="AZ324" s="23">
        <v>321</v>
      </c>
      <c r="BA324" s="23">
        <v>45.891559484723047</v>
      </c>
      <c r="BB324" s="23">
        <v>47.390484624898193</v>
      </c>
      <c r="BC324" s="23">
        <v>49.340229957745592</v>
      </c>
      <c r="BD324" s="23">
        <v>50</v>
      </c>
      <c r="BE324" s="23">
        <v>50</v>
      </c>
    </row>
    <row r="325" spans="29:57" x14ac:dyDescent="0.15">
      <c r="AC325" s="23">
        <v>322</v>
      </c>
      <c r="AD325" s="23">
        <f>[1]节奏总纲!AD325</f>
        <v>83.346006411527597</v>
      </c>
      <c r="AE325" s="23">
        <f>[1]节奏总纲!AE325</f>
        <v>85.40256004750114</v>
      </c>
      <c r="AF325" s="23">
        <f>[1]节奏总纲!AF325</f>
        <v>88.968858688748114</v>
      </c>
      <c r="AG325" s="23">
        <f>[1]节奏总纲!AG325</f>
        <v>90.446387914976555</v>
      </c>
      <c r="AH325" s="23">
        <f>[1]节奏总纲!AH325</f>
        <v>90.446387914976555</v>
      </c>
      <c r="AZ325" s="23">
        <v>322</v>
      </c>
      <c r="BA325" s="23">
        <v>45.91387636794515</v>
      </c>
      <c r="BB325" s="23">
        <v>47.411272163221085</v>
      </c>
      <c r="BC325" s="23">
        <v>49.360889736742131</v>
      </c>
      <c r="BD325" s="23">
        <v>50</v>
      </c>
      <c r="BE325" s="23">
        <v>50</v>
      </c>
    </row>
    <row r="326" spans="29:57" x14ac:dyDescent="0.15">
      <c r="AC326" s="23">
        <v>323</v>
      </c>
      <c r="AD326" s="23">
        <f>[1]节奏总纲!AD326</f>
        <v>83.390213013956213</v>
      </c>
      <c r="AE326" s="23">
        <f>[1]节奏总纲!AE326</f>
        <v>85.437877194653723</v>
      </c>
      <c r="AF326" s="23">
        <f>[1]节奏总纲!AF326</f>
        <v>89.040316877883427</v>
      </c>
      <c r="AG326" s="23">
        <f>[1]节奏总纲!AG326</f>
        <v>90.452621512448658</v>
      </c>
      <c r="AH326" s="23">
        <f>[1]节奏总纲!AH326</f>
        <v>90.452621512448658</v>
      </c>
      <c r="AZ326" s="23">
        <v>323</v>
      </c>
      <c r="BA326" s="23">
        <v>45.936193251167253</v>
      </c>
      <c r="BB326" s="23">
        <v>47.432059701543984</v>
      </c>
      <c r="BC326" s="23">
        <v>49.381549515738669</v>
      </c>
      <c r="BD326" s="23">
        <v>50</v>
      </c>
      <c r="BE326" s="23">
        <v>50</v>
      </c>
    </row>
    <row r="327" spans="29:57" x14ac:dyDescent="0.15">
      <c r="AC327" s="23">
        <v>324</v>
      </c>
      <c r="AD327" s="23">
        <f>[1]节奏总纲!AD327</f>
        <v>83.434419616384815</v>
      </c>
      <c r="AE327" s="23">
        <f>[1]节奏总纲!AE327</f>
        <v>85.473194341806291</v>
      </c>
      <c r="AF327" s="23">
        <f>[1]节奏总纲!AF327</f>
        <v>89.107615834553584</v>
      </c>
      <c r="AG327" s="23">
        <f>[1]节奏总纲!AG327</f>
        <v>90.458855109920748</v>
      </c>
      <c r="AH327" s="23">
        <f>[1]节奏总纲!AH327</f>
        <v>90.458855109920748</v>
      </c>
      <c r="AZ327" s="23">
        <v>324</v>
      </c>
      <c r="BA327" s="23">
        <v>45.958510134389357</v>
      </c>
      <c r="BB327" s="23">
        <v>47.452847239866877</v>
      </c>
      <c r="BC327" s="23">
        <v>49.402209294735208</v>
      </c>
      <c r="BD327" s="23">
        <v>50</v>
      </c>
      <c r="BE327" s="23">
        <v>50</v>
      </c>
    </row>
    <row r="328" spans="29:57" x14ac:dyDescent="0.15">
      <c r="AC328" s="23">
        <v>325</v>
      </c>
      <c r="AD328" s="23">
        <f>[1]节奏总纲!AD328</f>
        <v>83.478626218813432</v>
      </c>
      <c r="AE328" s="23">
        <f>[1]节奏总纲!AE328</f>
        <v>85.508511488958874</v>
      </c>
      <c r="AF328" s="23">
        <f>[1]节奏总纲!AF328</f>
        <v>89.174914791223756</v>
      </c>
      <c r="AG328" s="23">
        <f>[1]节奏总纲!AG328</f>
        <v>90.465088707392837</v>
      </c>
      <c r="AH328" s="23">
        <f>[1]节奏总纲!AH328</f>
        <v>90.465088707392837</v>
      </c>
      <c r="AZ328" s="23">
        <v>325</v>
      </c>
      <c r="BA328" s="23">
        <v>45.98082701761146</v>
      </c>
      <c r="BB328" s="23">
        <v>47.473634778189769</v>
      </c>
      <c r="BC328" s="23">
        <v>49.422869073731739</v>
      </c>
      <c r="BD328" s="23">
        <v>50</v>
      </c>
      <c r="BE328" s="23">
        <v>50</v>
      </c>
    </row>
    <row r="329" spans="29:57" x14ac:dyDescent="0.15">
      <c r="AC329" s="23">
        <v>326</v>
      </c>
      <c r="AD329" s="23">
        <f>[1]节奏总纲!AD329</f>
        <v>83.522832821242034</v>
      </c>
      <c r="AE329" s="23">
        <f>[1]节奏总纲!AE329</f>
        <v>85.543828636111442</v>
      </c>
      <c r="AF329" s="23">
        <f>[1]节奏总纲!AF329</f>
        <v>89.242213747893928</v>
      </c>
      <c r="AG329" s="23">
        <f>[1]节奏总纲!AG329</f>
        <v>90.471322304864927</v>
      </c>
      <c r="AH329" s="23">
        <f>[1]节奏总纲!AH329</f>
        <v>90.471322304864927</v>
      </c>
      <c r="AZ329" s="23">
        <v>326</v>
      </c>
      <c r="BA329" s="23">
        <v>46.002713830586146</v>
      </c>
      <c r="BB329" s="23">
        <v>47.494422316512662</v>
      </c>
      <c r="BC329" s="23">
        <v>49.443528852728278</v>
      </c>
      <c r="BD329" s="23">
        <v>50</v>
      </c>
      <c r="BE329" s="23">
        <v>50</v>
      </c>
    </row>
    <row r="330" spans="29:57" x14ac:dyDescent="0.15">
      <c r="AC330" s="23">
        <v>327</v>
      </c>
      <c r="AD330" s="23">
        <f>[1]节奏总纲!AD330</f>
        <v>83.56703942367065</v>
      </c>
      <c r="AE330" s="23">
        <f>[1]节奏总纲!AE330</f>
        <v>85.579145783264025</v>
      </c>
      <c r="AF330" s="23">
        <f>[1]节奏总纲!AF330</f>
        <v>89.309512704564085</v>
      </c>
      <c r="AG330" s="23">
        <f>[1]节奏总纲!AG330</f>
        <v>90.477555902337031</v>
      </c>
      <c r="AH330" s="23">
        <f>[1]节奏总纲!AH330</f>
        <v>90.477555902337031</v>
      </c>
      <c r="AZ330" s="23">
        <v>327</v>
      </c>
      <c r="BA330" s="23">
        <v>46.021977873404879</v>
      </c>
      <c r="BB330" s="23">
        <v>47.515209854835554</v>
      </c>
      <c r="BC330" s="23">
        <v>49.464188631724817</v>
      </c>
      <c r="BD330" s="23">
        <v>50</v>
      </c>
      <c r="BE330" s="23">
        <v>50</v>
      </c>
    </row>
    <row r="331" spans="29:57" x14ac:dyDescent="0.15">
      <c r="AC331" s="23">
        <v>328</v>
      </c>
      <c r="AD331" s="23">
        <f>[1]节奏总纲!AD331</f>
        <v>83.611246026099252</v>
      </c>
      <c r="AE331" s="23">
        <f>[1]节奏总纲!AE331</f>
        <v>85.614462930416593</v>
      </c>
      <c r="AF331" s="23">
        <f>[1]节奏总纲!AF331</f>
        <v>89.376811661234257</v>
      </c>
      <c r="AG331" s="23">
        <f>[1]节奏总纲!AG331</f>
        <v>90.48378949980912</v>
      </c>
      <c r="AH331" s="23">
        <f>[1]节奏总纲!AH331</f>
        <v>90.48378949980912</v>
      </c>
      <c r="AZ331" s="23">
        <v>328</v>
      </c>
      <c r="BA331" s="23">
        <v>46.041241916223605</v>
      </c>
      <c r="BB331" s="23">
        <v>47.535997393158453</v>
      </c>
      <c r="BC331" s="23">
        <v>49.484848410721355</v>
      </c>
      <c r="BD331" s="23">
        <v>50</v>
      </c>
      <c r="BE331" s="23">
        <v>50</v>
      </c>
    </row>
    <row r="332" spans="29:57" x14ac:dyDescent="0.15">
      <c r="AC332" s="23">
        <v>329</v>
      </c>
      <c r="AD332" s="23">
        <f>[1]节奏总纲!AD332</f>
        <v>83.655452628527868</v>
      </c>
      <c r="AE332" s="23">
        <f>[1]节奏总纲!AE332</f>
        <v>85.649780077569176</v>
      </c>
      <c r="AF332" s="23">
        <f>[1]节奏总纲!AF332</f>
        <v>89.444110617904428</v>
      </c>
      <c r="AG332" s="23">
        <f>[1]节奏总纲!AG332</f>
        <v>90.49002309728121</v>
      </c>
      <c r="AH332" s="23">
        <f>[1]节奏总纲!AH332</f>
        <v>90.49002309728121</v>
      </c>
      <c r="AZ332" s="23">
        <v>329</v>
      </c>
      <c r="BA332" s="23">
        <v>46.060505959042331</v>
      </c>
      <c r="BB332" s="23">
        <v>47.556784931481346</v>
      </c>
      <c r="BC332" s="23">
        <v>49.505508189717887</v>
      </c>
      <c r="BD332" s="23">
        <v>50</v>
      </c>
      <c r="BE332" s="23">
        <v>50</v>
      </c>
    </row>
    <row r="333" spans="29:57" x14ac:dyDescent="0.15">
      <c r="AC333" s="23">
        <v>330</v>
      </c>
      <c r="AD333" s="23">
        <f>[1]节奏总纲!AD333</f>
        <v>83.69965923095647</v>
      </c>
      <c r="AE333" s="23">
        <f>[1]节奏总纲!AE333</f>
        <v>85.685097224721744</v>
      </c>
      <c r="AF333" s="23">
        <f>[1]节奏总纲!AF333</f>
        <v>89.511409574574586</v>
      </c>
      <c r="AG333" s="23">
        <f>[1]节奏总纲!AG333</f>
        <v>90.496256694753299</v>
      </c>
      <c r="AH333" s="23">
        <f>[1]节奏总纲!AH333</f>
        <v>90.496256694753299</v>
      </c>
      <c r="AZ333" s="23">
        <v>330</v>
      </c>
      <c r="BA333" s="23">
        <v>46.079770001861057</v>
      </c>
      <c r="BB333" s="23">
        <v>47.577572469804238</v>
      </c>
      <c r="BC333" s="23">
        <v>49.526167968714425</v>
      </c>
      <c r="BD333" s="23">
        <v>50</v>
      </c>
      <c r="BE333" s="23">
        <v>50</v>
      </c>
    </row>
    <row r="334" spans="29:57" x14ac:dyDescent="0.15">
      <c r="AC334" s="23">
        <v>331</v>
      </c>
      <c r="AD334" s="23">
        <f>[1]节奏总纲!AD334</f>
        <v>83.743865833385087</v>
      </c>
      <c r="AE334" s="23">
        <f>[1]节奏总纲!AE334</f>
        <v>85.720414371874327</v>
      </c>
      <c r="AF334" s="23">
        <f>[1]节奏总纲!AF334</f>
        <v>89.578708531244757</v>
      </c>
      <c r="AG334" s="23">
        <f>[1]节奏总纲!AG334</f>
        <v>90.502490292225389</v>
      </c>
      <c r="AH334" s="23">
        <f>[1]节奏总纲!AH334</f>
        <v>90.502490292225389</v>
      </c>
      <c r="AZ334" s="23">
        <v>331</v>
      </c>
      <c r="BA334" s="23">
        <v>46.099034044679783</v>
      </c>
      <c r="BB334" s="23">
        <v>47.598360008127131</v>
      </c>
      <c r="BC334" s="23">
        <v>49.546827747710964</v>
      </c>
      <c r="BD334" s="23">
        <v>50</v>
      </c>
      <c r="BE334" s="23">
        <v>50</v>
      </c>
    </row>
    <row r="335" spans="29:57" x14ac:dyDescent="0.15">
      <c r="AC335" s="23">
        <v>332</v>
      </c>
      <c r="AD335" s="23">
        <f>[1]节奏总纲!AD335</f>
        <v>83.788072435813689</v>
      </c>
      <c r="AE335" s="23">
        <f>[1]节奏总纲!AE335</f>
        <v>85.755731519026895</v>
      </c>
      <c r="AF335" s="23">
        <f>[1]节奏总纲!AF335</f>
        <v>89.646007487914929</v>
      </c>
      <c r="AG335" s="23">
        <f>[1]节奏总纲!AG335</f>
        <v>90.508723889697492</v>
      </c>
      <c r="AH335" s="23">
        <f>[1]节奏总纲!AH335</f>
        <v>90.508723889697492</v>
      </c>
      <c r="AZ335" s="23">
        <v>332</v>
      </c>
      <c r="BA335" s="23">
        <v>46.118298087498509</v>
      </c>
      <c r="BB335" s="23">
        <v>47.619147546450023</v>
      </c>
      <c r="BC335" s="23">
        <v>49.567487526707502</v>
      </c>
      <c r="BD335" s="23">
        <v>50</v>
      </c>
      <c r="BE335" s="23">
        <v>50</v>
      </c>
    </row>
    <row r="336" spans="29:57" x14ac:dyDescent="0.15">
      <c r="AC336" s="23">
        <v>333</v>
      </c>
      <c r="AD336" s="23">
        <f>[1]节奏总纲!AD336</f>
        <v>83.832279038242305</v>
      </c>
      <c r="AE336" s="23">
        <f>[1]节奏总纲!AE336</f>
        <v>85.791048666179478</v>
      </c>
      <c r="AF336" s="23">
        <f>[1]节奏总纲!AF336</f>
        <v>89.713306444585086</v>
      </c>
      <c r="AG336" s="23">
        <f>[1]节奏总纲!AG336</f>
        <v>90.514957487169582</v>
      </c>
      <c r="AH336" s="23">
        <f>[1]节奏总纲!AH336</f>
        <v>90.514957487169582</v>
      </c>
      <c r="AZ336" s="23">
        <v>333</v>
      </c>
      <c r="BA336" s="23">
        <v>46.137562130317242</v>
      </c>
      <c r="BB336" s="23">
        <v>47.639935084772922</v>
      </c>
      <c r="BC336" s="23">
        <v>49.588147305704041</v>
      </c>
      <c r="BD336" s="23">
        <v>50</v>
      </c>
      <c r="BE336" s="23">
        <v>50</v>
      </c>
    </row>
    <row r="337" spans="29:57" x14ac:dyDescent="0.15">
      <c r="AC337" s="23">
        <v>334</v>
      </c>
      <c r="AD337" s="23">
        <f>[1]节奏总纲!AD337</f>
        <v>83.876485640670907</v>
      </c>
      <c r="AE337" s="23">
        <f>[1]节奏总纲!AE337</f>
        <v>85.826365813332046</v>
      </c>
      <c r="AF337" s="23">
        <f>[1]节奏总纲!AF337</f>
        <v>89.780605401255258</v>
      </c>
      <c r="AG337" s="23">
        <f>[1]节奏总纲!AG337</f>
        <v>90.521191084641671</v>
      </c>
      <c r="AH337" s="23">
        <f>[1]节奏总纲!AH337</f>
        <v>90.521191084641671</v>
      </c>
      <c r="AZ337" s="23">
        <v>334</v>
      </c>
      <c r="BA337" s="23">
        <v>46.156826173135968</v>
      </c>
      <c r="BB337" s="23">
        <v>47.660722623095815</v>
      </c>
      <c r="BC337" s="23">
        <v>49.608807084700572</v>
      </c>
      <c r="BD337" s="23">
        <v>50</v>
      </c>
      <c r="BE337" s="23">
        <v>50</v>
      </c>
    </row>
    <row r="338" spans="29:57" x14ac:dyDescent="0.15">
      <c r="AC338" s="23">
        <v>335</v>
      </c>
      <c r="AD338" s="23">
        <f>[1]节奏总纲!AD338</f>
        <v>83.920692243099523</v>
      </c>
      <c r="AE338" s="23">
        <f>[1]节奏总纲!AE338</f>
        <v>85.861682960484629</v>
      </c>
      <c r="AF338" s="23">
        <f>[1]节奏总纲!AF338</f>
        <v>89.84790435792543</v>
      </c>
      <c r="AG338" s="23">
        <f>[1]节奏总纲!AG338</f>
        <v>90.527424682113761</v>
      </c>
      <c r="AH338" s="23">
        <f>[1]节奏总纲!AH338</f>
        <v>90.527424682113761</v>
      </c>
      <c r="AZ338" s="23">
        <v>335</v>
      </c>
      <c r="BA338" s="23">
        <v>46.176090215954694</v>
      </c>
      <c r="BB338" s="23">
        <v>47.681510161418707</v>
      </c>
      <c r="BC338" s="23">
        <v>49.629466863697111</v>
      </c>
      <c r="BD338" s="23">
        <v>50</v>
      </c>
      <c r="BE338" s="23">
        <v>50</v>
      </c>
    </row>
    <row r="339" spans="29:57" x14ac:dyDescent="0.15">
      <c r="AC339" s="23">
        <v>336</v>
      </c>
      <c r="AD339" s="23">
        <f>[1]节奏总纲!AD339</f>
        <v>83.964898845528126</v>
      </c>
      <c r="AE339" s="23">
        <f>[1]节奏总纲!AE339</f>
        <v>85.897000107637197</v>
      </c>
      <c r="AF339" s="23">
        <f>[1]节奏总纲!AF339</f>
        <v>89.915203314595587</v>
      </c>
      <c r="AG339" s="23">
        <f>[1]节奏总纲!AG339</f>
        <v>90.533658279585865</v>
      </c>
      <c r="AH339" s="23">
        <f>[1]节奏总纲!AH339</f>
        <v>90.533658279585865</v>
      </c>
      <c r="AZ339" s="23">
        <v>336</v>
      </c>
      <c r="BA339" s="23">
        <v>46.19535425877342</v>
      </c>
      <c r="BB339" s="23">
        <v>47.7022976997416</v>
      </c>
      <c r="BC339" s="23">
        <v>49.65012664269365</v>
      </c>
      <c r="BD339" s="23">
        <v>50</v>
      </c>
      <c r="BE339" s="23">
        <v>50</v>
      </c>
    </row>
    <row r="340" spans="29:57" x14ac:dyDescent="0.15">
      <c r="AC340" s="23">
        <v>337</v>
      </c>
      <c r="AD340" s="23">
        <f>[1]节奏总纲!AD340</f>
        <v>84.008495683346354</v>
      </c>
      <c r="AE340" s="23">
        <f>[1]节奏总纲!AE340</f>
        <v>85.93231725478978</v>
      </c>
      <c r="AF340" s="23">
        <f>[1]节奏总纲!AF340</f>
        <v>89.982502271265759</v>
      </c>
      <c r="AG340" s="23">
        <f>[1]节奏总纲!AG340</f>
        <v>90.539891877057954</v>
      </c>
      <c r="AH340" s="23">
        <f>[1]节奏总纲!AH340</f>
        <v>90.539891877057954</v>
      </c>
      <c r="AZ340" s="23">
        <v>337</v>
      </c>
      <c r="BA340" s="23">
        <v>46.214618301592147</v>
      </c>
      <c r="BB340" s="23">
        <v>47.723085238064499</v>
      </c>
      <c r="BC340" s="23">
        <v>49.670786421690188</v>
      </c>
      <c r="BD340" s="23">
        <v>50</v>
      </c>
      <c r="BE340" s="23">
        <v>50</v>
      </c>
    </row>
    <row r="341" spans="29:57" x14ac:dyDescent="0.15">
      <c r="AC341" s="23">
        <v>338</v>
      </c>
      <c r="AD341" s="23">
        <f>[1]节奏总纲!AD341</f>
        <v>84.049741901856009</v>
      </c>
      <c r="AE341" s="23">
        <f>[1]节奏总纲!AE341</f>
        <v>85.967634401942348</v>
      </c>
      <c r="AF341" s="23">
        <f>[1]节奏总纲!AF341</f>
        <v>90.010061044761784</v>
      </c>
      <c r="AG341" s="23">
        <f>[1]节奏总纲!AG341</f>
        <v>90.546125474530044</v>
      </c>
      <c r="AH341" s="23">
        <f>[1]节奏总纲!AH341</f>
        <v>90.546125474530044</v>
      </c>
      <c r="AZ341" s="23">
        <v>338</v>
      </c>
      <c r="BA341" s="23">
        <v>46.23388234441088</v>
      </c>
      <c r="BB341" s="23">
        <v>47.743872776387391</v>
      </c>
      <c r="BC341" s="23">
        <v>49.69144620068672</v>
      </c>
      <c r="BD341" s="23">
        <v>50</v>
      </c>
      <c r="BE341" s="23">
        <v>50</v>
      </c>
    </row>
    <row r="342" spans="29:57" x14ac:dyDescent="0.15">
      <c r="AC342" s="23">
        <v>339</v>
      </c>
      <c r="AD342" s="23">
        <f>[1]节奏总纲!AD342</f>
        <v>84.090988120365651</v>
      </c>
      <c r="AE342" s="23">
        <f>[1]节奏总纲!AE342</f>
        <v>86.003745354881502</v>
      </c>
      <c r="AF342" s="23">
        <f>[1]节奏总纲!AF342</f>
        <v>90.023657051196622</v>
      </c>
      <c r="AG342" s="23">
        <f>[1]节奏总纲!AG342</f>
        <v>90.552359072002133</v>
      </c>
      <c r="AH342" s="23">
        <f>[1]节奏总纲!AH342</f>
        <v>90.552359072002133</v>
      </c>
      <c r="AZ342" s="23">
        <v>339</v>
      </c>
      <c r="BA342" s="23">
        <v>46.253146387229606</v>
      </c>
      <c r="BB342" s="23">
        <v>47.764660314710284</v>
      </c>
      <c r="BC342" s="23">
        <v>49.712105979683258</v>
      </c>
      <c r="BD342" s="23">
        <v>50</v>
      </c>
      <c r="BE342" s="23">
        <v>50</v>
      </c>
    </row>
    <row r="343" spans="29:57" x14ac:dyDescent="0.15">
      <c r="AC343" s="23">
        <v>340</v>
      </c>
      <c r="AD343" s="23">
        <f>[1]节奏总纲!AD343</f>
        <v>84.132234338875293</v>
      </c>
      <c r="AE343" s="23">
        <f>[1]节奏总纲!AE343</f>
        <v>86.048560889109268</v>
      </c>
      <c r="AF343" s="23">
        <f>[1]节奏总纲!AF343</f>
        <v>90.03725305763146</v>
      </c>
      <c r="AG343" s="23">
        <f>[1]节奏总纲!AG343</f>
        <v>90.558592669474237</v>
      </c>
      <c r="AH343" s="23">
        <f>[1]节奏总纲!AH343</f>
        <v>90.558592669474237</v>
      </c>
      <c r="AZ343" s="23">
        <v>340</v>
      </c>
      <c r="BA343" s="23">
        <v>46.272410430048332</v>
      </c>
      <c r="BB343" s="23">
        <v>47.785447853033176</v>
      </c>
      <c r="BC343" s="23">
        <v>49.732765758679797</v>
      </c>
      <c r="BD343" s="23">
        <v>50</v>
      </c>
      <c r="BE343" s="23">
        <v>50</v>
      </c>
    </row>
    <row r="344" spans="29:57" x14ac:dyDescent="0.15">
      <c r="AC344" s="23">
        <v>341</v>
      </c>
      <c r="AD344" s="23">
        <f>[1]节奏总纲!AD344</f>
        <v>84.173480557384934</v>
      </c>
      <c r="AE344" s="23">
        <f>[1]节奏总纲!AE344</f>
        <v>86.093376423337034</v>
      </c>
      <c r="AF344" s="23">
        <f>[1]节奏总纲!AF344</f>
        <v>90.050849064066298</v>
      </c>
      <c r="AG344" s="23">
        <f>[1]节奏总纲!AG344</f>
        <v>90.564826266946326</v>
      </c>
      <c r="AH344" s="23">
        <f>[1]节奏总纲!AH344</f>
        <v>90.564826266946326</v>
      </c>
      <c r="AZ344" s="23">
        <v>341</v>
      </c>
      <c r="BA344" s="23">
        <v>46.291674472867058</v>
      </c>
      <c r="BB344" s="23">
        <v>47.806235391356068</v>
      </c>
      <c r="BC344" s="23">
        <v>49.753425537676335</v>
      </c>
      <c r="BD344" s="23">
        <v>50</v>
      </c>
      <c r="BE344" s="23">
        <v>50</v>
      </c>
    </row>
    <row r="345" spans="29:57" x14ac:dyDescent="0.15">
      <c r="AC345" s="23">
        <v>342</v>
      </c>
      <c r="AD345" s="23">
        <f>[1]节奏总纲!AD345</f>
        <v>84.214726775894576</v>
      </c>
      <c r="AE345" s="23">
        <f>[1]节奏总纲!AE345</f>
        <v>86.1381919575648</v>
      </c>
      <c r="AF345" s="23">
        <f>[1]节奏总纲!AF345</f>
        <v>90.064445070501137</v>
      </c>
      <c r="AG345" s="23">
        <f>[1]节奏总纲!AG345</f>
        <v>90.571059864418416</v>
      </c>
      <c r="AH345" s="23">
        <f>[1]节奏总纲!AH345</f>
        <v>90.571059864418416</v>
      </c>
      <c r="AZ345" s="23">
        <v>342</v>
      </c>
      <c r="BA345" s="23">
        <v>46.310938515685784</v>
      </c>
      <c r="BB345" s="23">
        <v>47.827022929678968</v>
      </c>
      <c r="BC345" s="23">
        <v>49.774085316672867</v>
      </c>
      <c r="BD345" s="23">
        <v>50</v>
      </c>
      <c r="BE345" s="23">
        <v>50</v>
      </c>
    </row>
    <row r="346" spans="29:57" x14ac:dyDescent="0.15">
      <c r="AC346" s="23">
        <v>343</v>
      </c>
      <c r="AD346" s="23">
        <f>[1]节奏总纲!AD346</f>
        <v>84.255972994404218</v>
      </c>
      <c r="AE346" s="23">
        <f>[1]节奏总纲!AE346</f>
        <v>86.183007491792551</v>
      </c>
      <c r="AF346" s="23">
        <f>[1]节奏总纲!AF346</f>
        <v>90.078041076935975</v>
      </c>
      <c r="AG346" s="23">
        <f>[1]节奏总纲!AG346</f>
        <v>90.577293461890505</v>
      </c>
      <c r="AH346" s="23">
        <f>[1]节奏总纲!AH346</f>
        <v>90.577293461890505</v>
      </c>
      <c r="AZ346" s="23">
        <v>343</v>
      </c>
      <c r="BA346" s="23">
        <v>46.330202558504517</v>
      </c>
      <c r="BB346" s="23">
        <v>47.84781046800186</v>
      </c>
      <c r="BC346" s="23">
        <v>49.794745095669406</v>
      </c>
      <c r="BD346" s="23">
        <v>50</v>
      </c>
      <c r="BE346" s="23">
        <v>50</v>
      </c>
    </row>
    <row r="347" spans="29:57" x14ac:dyDescent="0.15">
      <c r="AC347" s="23">
        <v>344</v>
      </c>
      <c r="AD347" s="23">
        <f>[1]节奏总纲!AD347</f>
        <v>84.297219212913859</v>
      </c>
      <c r="AE347" s="23">
        <f>[1]节奏总纲!AE347</f>
        <v>86.227823026020317</v>
      </c>
      <c r="AF347" s="23">
        <f>[1]节奏总纲!AF347</f>
        <v>90.091637083370813</v>
      </c>
      <c r="AG347" s="23">
        <f>[1]节奏总纲!AG347</f>
        <v>90.583527059362595</v>
      </c>
      <c r="AH347" s="23">
        <f>[1]节奏总纲!AH347</f>
        <v>90.583527059362595</v>
      </c>
      <c r="AZ347" s="23">
        <v>344</v>
      </c>
      <c r="BA347" s="23">
        <v>46.349466601323243</v>
      </c>
      <c r="BB347" s="23">
        <v>47.868598006324753</v>
      </c>
      <c r="BC347" s="23">
        <v>49.815404874665944</v>
      </c>
      <c r="BD347" s="23">
        <v>50</v>
      </c>
      <c r="BE347" s="23">
        <v>50</v>
      </c>
    </row>
    <row r="348" spans="29:57" x14ac:dyDescent="0.15">
      <c r="AC348" s="23">
        <v>345</v>
      </c>
      <c r="AD348" s="23">
        <f>[1]节奏总纲!AD348</f>
        <v>84.338465431423501</v>
      </c>
      <c r="AE348" s="23">
        <f>[1]节奏总纲!AE348</f>
        <v>86.272638560248083</v>
      </c>
      <c r="AF348" s="23">
        <f>[1]节奏总纲!AF348</f>
        <v>90.105233089805651</v>
      </c>
      <c r="AG348" s="23">
        <f>[1]节奏总纲!AG348</f>
        <v>90.589760656834699</v>
      </c>
      <c r="AH348" s="23">
        <f>[1]节奏总纲!AH348</f>
        <v>90.589760656834699</v>
      </c>
      <c r="AZ348" s="23">
        <v>345</v>
      </c>
      <c r="BA348" s="23">
        <v>46.368730644141969</v>
      </c>
      <c r="BB348" s="23">
        <v>47.889385544647645</v>
      </c>
      <c r="BC348" s="23">
        <v>49.836064653662483</v>
      </c>
      <c r="BD348" s="23">
        <v>50</v>
      </c>
      <c r="BE348" s="23">
        <v>50</v>
      </c>
    </row>
    <row r="349" spans="29:57" x14ac:dyDescent="0.15">
      <c r="AC349" s="23">
        <v>346</v>
      </c>
      <c r="AD349" s="23">
        <f>[1]节奏总纲!AD349</f>
        <v>84.379711649933142</v>
      </c>
      <c r="AE349" s="23">
        <f>[1]节奏总纲!AE349</f>
        <v>86.317454094475849</v>
      </c>
      <c r="AF349" s="23">
        <f>[1]节奏总纲!AF349</f>
        <v>90.118829096240489</v>
      </c>
      <c r="AG349" s="23">
        <f>[1]节奏总纲!AG349</f>
        <v>90.595994254306788</v>
      </c>
      <c r="AH349" s="23">
        <f>[1]节奏总纲!AH349</f>
        <v>90.595994254306788</v>
      </c>
      <c r="AZ349" s="23">
        <v>346</v>
      </c>
      <c r="BA349" s="23">
        <v>46.387994686960695</v>
      </c>
      <c r="BB349" s="23">
        <v>47.910173082970537</v>
      </c>
      <c r="BC349" s="23">
        <v>49.856724432659014</v>
      </c>
      <c r="BD349" s="23">
        <v>50</v>
      </c>
      <c r="BE349" s="23">
        <v>50</v>
      </c>
    </row>
    <row r="350" spans="29:57" x14ac:dyDescent="0.15">
      <c r="AC350" s="23">
        <v>347</v>
      </c>
      <c r="AD350" s="23">
        <f>[1]节奏总纲!AD350</f>
        <v>84.420957868442784</v>
      </c>
      <c r="AE350" s="23">
        <f>[1]节奏总纲!AE350</f>
        <v>86.362269628703615</v>
      </c>
      <c r="AF350" s="23">
        <f>[1]节奏总纲!AF350</f>
        <v>90.132425102675327</v>
      </c>
      <c r="AG350" s="23">
        <f>[1]节奏总纲!AG350</f>
        <v>90.602227851778878</v>
      </c>
      <c r="AH350" s="23">
        <f>[1]节奏总纲!AH350</f>
        <v>90.602227851778878</v>
      </c>
      <c r="AZ350" s="23">
        <v>347</v>
      </c>
      <c r="BA350" s="23">
        <v>46.407258729779421</v>
      </c>
      <c r="BB350" s="23">
        <v>47.930960621293437</v>
      </c>
      <c r="BC350" s="23">
        <v>49.877384211655553</v>
      </c>
      <c r="BD350" s="23">
        <v>50</v>
      </c>
      <c r="BE350" s="23">
        <v>50</v>
      </c>
    </row>
    <row r="351" spans="29:57" x14ac:dyDescent="0.15">
      <c r="AC351" s="23">
        <v>348</v>
      </c>
      <c r="AD351" s="23">
        <f>[1]节奏总纲!AD351</f>
        <v>84.462204086952426</v>
      </c>
      <c r="AE351" s="23">
        <f>[1]节奏总纲!AE351</f>
        <v>86.407085162931381</v>
      </c>
      <c r="AF351" s="23">
        <f>[1]节奏总纲!AF351</f>
        <v>90.14602110911018</v>
      </c>
      <c r="AG351" s="23">
        <f>[1]节奏总纲!AG351</f>
        <v>90.608461449250967</v>
      </c>
      <c r="AH351" s="23">
        <f>[1]节奏总纲!AH351</f>
        <v>90.608461449250967</v>
      </c>
      <c r="AZ351" s="23">
        <v>348</v>
      </c>
      <c r="BA351" s="23">
        <v>46.426522772598148</v>
      </c>
      <c r="BB351" s="23">
        <v>47.951748159616329</v>
      </c>
      <c r="BC351" s="23">
        <v>49.898043990652091</v>
      </c>
      <c r="BD351" s="23">
        <v>50</v>
      </c>
      <c r="BE351" s="23">
        <v>50</v>
      </c>
    </row>
    <row r="352" spans="29:57" x14ac:dyDescent="0.15">
      <c r="AC352" s="23">
        <v>349</v>
      </c>
      <c r="AD352" s="23">
        <f>[1]节奏总纲!AD352</f>
        <v>84.503450305462081</v>
      </c>
      <c r="AE352" s="23">
        <f>[1]节奏总纲!AE352</f>
        <v>86.451900697159132</v>
      </c>
      <c r="AF352" s="23">
        <f>[1]节奏总纲!AF352</f>
        <v>90.159617115545018</v>
      </c>
      <c r="AG352" s="23">
        <f>[1]节奏总纲!AG352</f>
        <v>90.614695046723071</v>
      </c>
      <c r="AH352" s="23">
        <f>[1]节奏总纲!AH352</f>
        <v>90.614695046723071</v>
      </c>
      <c r="AZ352" s="23">
        <v>349</v>
      </c>
      <c r="BA352" s="23">
        <v>46.445786815416881</v>
      </c>
      <c r="BB352" s="23">
        <v>47.972535697939222</v>
      </c>
      <c r="BC352" s="23">
        <v>49.91870376964863</v>
      </c>
      <c r="BD352" s="23">
        <v>50</v>
      </c>
      <c r="BE352" s="23">
        <v>50</v>
      </c>
    </row>
    <row r="353" spans="29:57" x14ac:dyDescent="0.15">
      <c r="AC353" s="23">
        <v>350</v>
      </c>
      <c r="AD353" s="23">
        <f>[1]节奏总纲!AD353</f>
        <v>84.544696523971723</v>
      </c>
      <c r="AE353" s="23">
        <f>[1]节奏总纲!AE353</f>
        <v>86.496716231386898</v>
      </c>
      <c r="AF353" s="23">
        <f>[1]节奏总纲!AF353</f>
        <v>90.173213121979856</v>
      </c>
      <c r="AG353" s="23">
        <f>[1]节奏总纲!AG353</f>
        <v>90.62092864419516</v>
      </c>
      <c r="AH353" s="23">
        <f>[1]节奏总纲!AH353</f>
        <v>90.62092864419516</v>
      </c>
      <c r="AZ353" s="23">
        <v>350</v>
      </c>
      <c r="BA353" s="23">
        <v>46.465050858235607</v>
      </c>
      <c r="BB353" s="23">
        <v>47.993323236262114</v>
      </c>
      <c r="BC353" s="23">
        <v>49.939363548645169</v>
      </c>
      <c r="BD353" s="23">
        <v>50</v>
      </c>
      <c r="BE353" s="23">
        <v>50</v>
      </c>
    </row>
    <row r="354" spans="29:57" x14ac:dyDescent="0.15">
      <c r="AC354" s="23">
        <v>351</v>
      </c>
      <c r="AD354" s="23">
        <f>[1]节奏总纲!AD354</f>
        <v>84.585942742481365</v>
      </c>
      <c r="AE354" s="23">
        <f>[1]节奏总纲!AE354</f>
        <v>86.541531765614664</v>
      </c>
      <c r="AF354" s="23">
        <f>[1]节奏总纲!AF354</f>
        <v>90.186809128414694</v>
      </c>
      <c r="AG354" s="23">
        <f>[1]节奏总纲!AG354</f>
        <v>90.62716224166725</v>
      </c>
      <c r="AH354" s="23">
        <f>[1]节奏总纲!AH354</f>
        <v>90.62716224166725</v>
      </c>
      <c r="AZ354" s="23">
        <v>351</v>
      </c>
      <c r="BA354" s="23">
        <v>46.484314901054333</v>
      </c>
      <c r="BB354" s="23">
        <v>48.012182251254622</v>
      </c>
      <c r="BC354" s="23">
        <v>49.9600233276417</v>
      </c>
      <c r="BD354" s="23">
        <v>50</v>
      </c>
      <c r="BE354" s="23">
        <v>50</v>
      </c>
    </row>
    <row r="355" spans="29:57" x14ac:dyDescent="0.15">
      <c r="AC355" s="23">
        <v>352</v>
      </c>
      <c r="AD355" s="23">
        <f>[1]节奏总纲!AD355</f>
        <v>84.627188960991006</v>
      </c>
      <c r="AE355" s="23">
        <f>[1]节奏总纲!AE355</f>
        <v>86.58634729984243</v>
      </c>
      <c r="AF355" s="23">
        <f>[1]节奏总纲!AF355</f>
        <v>90.200405134849532</v>
      </c>
      <c r="AG355" s="23">
        <f>[1]节奏总纲!AG355</f>
        <v>90.63339583913934</v>
      </c>
      <c r="AH355" s="23">
        <f>[1]节奏总纲!AH355</f>
        <v>90.63339583913934</v>
      </c>
      <c r="AZ355" s="23">
        <v>352</v>
      </c>
      <c r="BA355" s="23">
        <v>46.503578943873059</v>
      </c>
      <c r="BB355" s="23">
        <v>48.030128751164234</v>
      </c>
      <c r="BC355" s="23">
        <v>49.980683106638239</v>
      </c>
      <c r="BD355" s="23">
        <v>50</v>
      </c>
      <c r="BE355" s="23">
        <v>50</v>
      </c>
    </row>
    <row r="356" spans="29:57" x14ac:dyDescent="0.15">
      <c r="AC356" s="23">
        <v>353</v>
      </c>
      <c r="AD356" s="23">
        <f>[1]节奏总纲!AD356</f>
        <v>84.668435179500648</v>
      </c>
      <c r="AE356" s="23">
        <f>[1]节奏总纲!AE356</f>
        <v>86.631162834070196</v>
      </c>
      <c r="AF356" s="23">
        <f>[1]节奏总纲!AF356</f>
        <v>90.214001141284371</v>
      </c>
      <c r="AG356" s="23">
        <f>[1]节奏总纲!AG356</f>
        <v>90.639629436611429</v>
      </c>
      <c r="AH356" s="23">
        <f>[1]节奏总纲!AH356</f>
        <v>90.639629436611429</v>
      </c>
      <c r="AZ356" s="23">
        <v>353</v>
      </c>
      <c r="BA356" s="23">
        <v>46.522842986691785</v>
      </c>
      <c r="BB356" s="23">
        <v>48.048075251073854</v>
      </c>
      <c r="BC356" s="23">
        <v>50</v>
      </c>
      <c r="BD356" s="23">
        <v>50</v>
      </c>
      <c r="BE356" s="23">
        <v>50</v>
      </c>
    </row>
    <row r="357" spans="29:57" x14ac:dyDescent="0.15">
      <c r="AC357" s="23">
        <v>354</v>
      </c>
      <c r="AD357" s="23">
        <f>[1]节奏总纲!AD357</f>
        <v>84.709681398010289</v>
      </c>
      <c r="AE357" s="23">
        <f>[1]节奏总纲!AE357</f>
        <v>86.675978368297947</v>
      </c>
      <c r="AF357" s="23">
        <f>[1]节奏总纲!AF357</f>
        <v>90.227597147719209</v>
      </c>
      <c r="AG357" s="23">
        <f>[1]节奏总纲!AG357</f>
        <v>90.645863034083533</v>
      </c>
      <c r="AH357" s="23">
        <f>[1]节奏总纲!AH357</f>
        <v>90.645863034083533</v>
      </c>
      <c r="AZ357" s="23">
        <v>354</v>
      </c>
      <c r="BA357" s="23">
        <v>46.542107029510518</v>
      </c>
      <c r="BB357" s="23">
        <v>48.066021750983474</v>
      </c>
      <c r="BC357" s="23">
        <v>50</v>
      </c>
      <c r="BD357" s="23">
        <v>50</v>
      </c>
      <c r="BE357" s="23">
        <v>50</v>
      </c>
    </row>
    <row r="358" spans="29:57" x14ac:dyDescent="0.15">
      <c r="AC358" s="23">
        <v>355</v>
      </c>
      <c r="AD358" s="23">
        <f>[1]节奏总纲!AD358</f>
        <v>84.750927616519931</v>
      </c>
      <c r="AE358" s="23">
        <f>[1]节奏总纲!AE358</f>
        <v>86.720793902525713</v>
      </c>
      <c r="AF358" s="23">
        <f>[1]节奏总纲!AF358</f>
        <v>90.241193154154047</v>
      </c>
      <c r="AG358" s="23">
        <f>[1]节奏总纲!AG358</f>
        <v>90.652096631555622</v>
      </c>
      <c r="AH358" s="23">
        <f>[1]节奏总纲!AH358</f>
        <v>90.652096631555622</v>
      </c>
      <c r="AZ358" s="23">
        <v>355</v>
      </c>
      <c r="BA358" s="23">
        <v>46.561371072329244</v>
      </c>
      <c r="BB358" s="23">
        <v>48.083968250893093</v>
      </c>
      <c r="BC358" s="23">
        <v>50</v>
      </c>
      <c r="BD358" s="23">
        <v>50</v>
      </c>
      <c r="BE358" s="23">
        <v>50</v>
      </c>
    </row>
    <row r="359" spans="29:57" x14ac:dyDescent="0.15">
      <c r="AC359" s="23">
        <v>356</v>
      </c>
      <c r="AD359" s="23">
        <f>[1]节奏总纲!AD359</f>
        <v>84.792173835029573</v>
      </c>
      <c r="AE359" s="23">
        <f>[1]节奏总纲!AE359</f>
        <v>86.765609436753479</v>
      </c>
      <c r="AF359" s="23">
        <f>[1]节奏总纲!AF359</f>
        <v>90.254789160588885</v>
      </c>
      <c r="AG359" s="23">
        <f>[1]节奏总纲!AG359</f>
        <v>90.658330229027712</v>
      </c>
      <c r="AH359" s="23">
        <f>[1]节奏总纲!AH359</f>
        <v>90.658330229027712</v>
      </c>
      <c r="AZ359" s="23">
        <v>356</v>
      </c>
      <c r="BA359" s="23">
        <v>46.58063511514797</v>
      </c>
      <c r="BB359" s="23">
        <v>48.101914750802706</v>
      </c>
      <c r="BC359" s="23">
        <v>50</v>
      </c>
      <c r="BD359" s="23">
        <v>50</v>
      </c>
      <c r="BE359" s="23">
        <v>50</v>
      </c>
    </row>
    <row r="360" spans="29:57" x14ac:dyDescent="0.15">
      <c r="AC360" s="23">
        <v>357</v>
      </c>
      <c r="AD360" s="23">
        <f>[1]节奏总纲!AD360</f>
        <v>84.833420053539214</v>
      </c>
      <c r="AE360" s="23">
        <f>[1]节奏总纲!AE360</f>
        <v>86.810424970981245</v>
      </c>
      <c r="AF360" s="23">
        <f>[1]节奏总纲!AF360</f>
        <v>90.268385167023723</v>
      </c>
      <c r="AG360" s="23">
        <f>[1]节奏总纲!AG360</f>
        <v>90.664563826499801</v>
      </c>
      <c r="AH360" s="23">
        <f>[1]节奏总纲!AH360</f>
        <v>90.664563826499801</v>
      </c>
      <c r="AZ360" s="23">
        <v>357</v>
      </c>
      <c r="BA360" s="23">
        <v>46.599899157966696</v>
      </c>
      <c r="BB360" s="23">
        <v>48.119861250712326</v>
      </c>
      <c r="BC360" s="23">
        <v>50</v>
      </c>
      <c r="BD360" s="23">
        <v>50</v>
      </c>
      <c r="BE360" s="23">
        <v>50</v>
      </c>
    </row>
    <row r="361" spans="29:57" x14ac:dyDescent="0.15">
      <c r="AC361" s="23">
        <v>358</v>
      </c>
      <c r="AD361" s="23">
        <f>[1]节奏总纲!AD361</f>
        <v>84.874666272048856</v>
      </c>
      <c r="AE361" s="23">
        <f>[1]节奏总纲!AE361</f>
        <v>86.855240505209011</v>
      </c>
      <c r="AF361" s="23">
        <f>[1]节奏总纲!AF361</f>
        <v>90.281981173458561</v>
      </c>
      <c r="AG361" s="23">
        <f>[1]节奏总纲!AG361</f>
        <v>90.670797423971905</v>
      </c>
      <c r="AH361" s="23">
        <f>[1]节奏总纲!AH361</f>
        <v>90.670797423971905</v>
      </c>
      <c r="AZ361" s="23">
        <v>358</v>
      </c>
      <c r="BA361" s="23">
        <v>46.619163200785422</v>
      </c>
      <c r="BB361" s="23">
        <v>48.137807750621946</v>
      </c>
      <c r="BC361" s="23">
        <v>50</v>
      </c>
      <c r="BD361" s="23">
        <v>50</v>
      </c>
      <c r="BE361" s="23">
        <v>50</v>
      </c>
    </row>
    <row r="362" spans="29:57" x14ac:dyDescent="0.15">
      <c r="AC362" s="23">
        <v>359</v>
      </c>
      <c r="AD362" s="23">
        <f>[1]节奏总纲!AD362</f>
        <v>84.915912490558497</v>
      </c>
      <c r="AE362" s="23">
        <f>[1]节奏总纲!AE362</f>
        <v>86.900056039436777</v>
      </c>
      <c r="AF362" s="23">
        <f>[1]节奏总纲!AF362</f>
        <v>90.295577179893399</v>
      </c>
      <c r="AG362" s="23">
        <f>[1]节奏总纲!AG362</f>
        <v>90.677031021443995</v>
      </c>
      <c r="AH362" s="23">
        <f>[1]节奏总纲!AH362</f>
        <v>90.677031021443995</v>
      </c>
      <c r="AZ362" s="23">
        <v>359</v>
      </c>
      <c r="BA362" s="23">
        <v>46.638427243604156</v>
      </c>
      <c r="BB362" s="23">
        <v>48.155754250531558</v>
      </c>
      <c r="BC362" s="23">
        <v>50</v>
      </c>
      <c r="BD362" s="23">
        <v>50</v>
      </c>
      <c r="BE362" s="23">
        <v>50</v>
      </c>
    </row>
    <row r="363" spans="29:57" x14ac:dyDescent="0.15">
      <c r="AC363" s="23">
        <v>360</v>
      </c>
      <c r="AD363" s="23">
        <f>[1]节奏总纲!AD363</f>
        <v>84.957158709068153</v>
      </c>
      <c r="AE363" s="23">
        <f>[1]节奏总纲!AE363</f>
        <v>86.944871573664528</v>
      </c>
      <c r="AF363" s="23">
        <f>[1]节奏总纲!AF363</f>
        <v>90.309173186328238</v>
      </c>
      <c r="AG363" s="23">
        <f>[1]节奏总纲!AG363</f>
        <v>90.683264618916084</v>
      </c>
      <c r="AH363" s="23">
        <f>[1]节奏总纲!AH363</f>
        <v>90.683264618916084</v>
      </c>
      <c r="AZ363" s="23">
        <v>360</v>
      </c>
      <c r="BA363" s="23">
        <v>46.657691286422882</v>
      </c>
      <c r="BB363" s="23">
        <v>48.173700750441178</v>
      </c>
      <c r="BC363" s="23">
        <v>50</v>
      </c>
      <c r="BD363" s="23">
        <v>50</v>
      </c>
      <c r="BE363" s="23">
        <v>50</v>
      </c>
    </row>
  </sheetData>
  <mergeCells count="14">
    <mergeCell ref="AT2:AX2"/>
    <mergeCell ref="BA2:BE2"/>
    <mergeCell ref="BJ2:BN2"/>
    <mergeCell ref="F1:F2"/>
    <mergeCell ref="G1:G2"/>
    <mergeCell ref="I1:I2"/>
    <mergeCell ref="J1:J2"/>
    <mergeCell ref="K1:K2"/>
    <mergeCell ref="P2:T2"/>
    <mergeCell ref="B6:D6"/>
    <mergeCell ref="B22:D22"/>
    <mergeCell ref="W2:AA2"/>
    <mergeCell ref="AD2:AH2"/>
    <mergeCell ref="AM2:AQ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:Y115"/>
  <sheetViews>
    <sheetView topLeftCell="A58" workbookViewId="0">
      <selection activeCell="C103" sqref="C103"/>
    </sheetView>
  </sheetViews>
  <sheetFormatPr defaultColWidth="6.625" defaultRowHeight="11.25" x14ac:dyDescent="0.15"/>
  <cols>
    <col min="1" max="1" width="6.625" style="20"/>
    <col min="2" max="2" width="6.75" style="14" customWidth="1"/>
    <col min="3" max="3" width="6.625" style="20"/>
    <col min="4" max="10" width="6.625" style="14"/>
    <col min="11" max="11" width="11.375" style="20" customWidth="1"/>
    <col min="12" max="12" width="6.625" style="20"/>
    <col min="13" max="14" width="6.75" style="17" bestFit="1" customWidth="1"/>
    <col min="15" max="18" width="6.75" style="14" bestFit="1" customWidth="1"/>
    <col min="19" max="19" width="6.75" style="14" customWidth="1"/>
    <col min="20" max="21" width="6.75" style="17" bestFit="1" customWidth="1"/>
    <col min="22" max="25" width="6.75" style="14" bestFit="1" customWidth="1"/>
    <col min="26" max="16384" width="6.625" style="20"/>
  </cols>
  <sheetData>
    <row r="4" spans="2:25" x14ac:dyDescent="0.15">
      <c r="B4" s="20"/>
      <c r="N4" s="40" t="s">
        <v>33</v>
      </c>
      <c r="O4" s="40"/>
      <c r="P4" s="40"/>
      <c r="Q4" s="40"/>
      <c r="R4" s="40"/>
      <c r="U4" s="42" t="s">
        <v>35</v>
      </c>
      <c r="V4" s="42"/>
      <c r="W4" s="42"/>
      <c r="X4" s="42"/>
      <c r="Y4" s="42"/>
    </row>
    <row r="5" spans="2:25" x14ac:dyDescent="0.15">
      <c r="B5" s="17"/>
      <c r="M5" s="18" t="s">
        <v>48</v>
      </c>
      <c r="N5" s="17" t="s">
        <v>0</v>
      </c>
      <c r="O5" s="17" t="s">
        <v>1</v>
      </c>
      <c r="P5" s="17" t="s">
        <v>2</v>
      </c>
      <c r="Q5" s="17" t="s">
        <v>3</v>
      </c>
      <c r="R5" s="17" t="s">
        <v>4</v>
      </c>
      <c r="S5" s="17"/>
      <c r="T5" s="18" t="s">
        <v>48</v>
      </c>
      <c r="U5" s="17" t="s">
        <v>0</v>
      </c>
      <c r="V5" s="17" t="s">
        <v>1</v>
      </c>
      <c r="W5" s="17" t="s">
        <v>2</v>
      </c>
      <c r="X5" s="17" t="s">
        <v>3</v>
      </c>
      <c r="Y5" s="17" t="s">
        <v>4</v>
      </c>
    </row>
    <row r="6" spans="2:25" x14ac:dyDescent="0.15">
      <c r="B6" s="17"/>
      <c r="M6" s="17">
        <v>1</v>
      </c>
      <c r="N6" s="17">
        <f>'[1]资源-装备经验'!S6</f>
        <v>120</v>
      </c>
      <c r="O6" s="17">
        <f>'[1]资源-装备经验'!T6</f>
        <v>120</v>
      </c>
      <c r="P6" s="17">
        <f>'[1]资源-装备经验'!U6</f>
        <v>120</v>
      </c>
      <c r="Q6" s="17">
        <f>'[1]资源-装备经验'!V6</f>
        <v>120</v>
      </c>
      <c r="R6" s="17">
        <f>'[1]资源-装备经验'!W6</f>
        <v>120</v>
      </c>
      <c r="S6" s="17"/>
      <c r="T6" s="17">
        <v>1</v>
      </c>
      <c r="U6" s="17">
        <f>N6*节奏总纲!BJ4+求节点($C$12:$C$21,$K$12:$K$21,$T6)</f>
        <v>36</v>
      </c>
      <c r="V6" s="17">
        <f>O6*节奏总纲!BK4+求节点($C$35:$C$44,$K$35:$K$44,$T6)</f>
        <v>36.72</v>
      </c>
      <c r="W6" s="17">
        <f>P6*节奏总纲!BL4+求节点($C$58:$C$67,$K$58:$K$67,$T6)</f>
        <v>38.160000000000004</v>
      </c>
      <c r="X6" s="17">
        <f>Q6*节奏总纲!BM4+求节点($C$81:$C$90,$K$81:$K$90,$T6)</f>
        <v>41.04</v>
      </c>
      <c r="Y6" s="17">
        <f>R6*节奏总纲!BN4+求节点($C$104:$C$113,$K$104:$K$113,$T6)</f>
        <v>50.4</v>
      </c>
    </row>
    <row r="7" spans="2:25" x14ac:dyDescent="0.15">
      <c r="B7" s="17"/>
      <c r="M7" s="17">
        <v>2</v>
      </c>
      <c r="N7" s="17">
        <f>'[1]资源-装备经验'!S7</f>
        <v>240</v>
      </c>
      <c r="O7" s="17">
        <f>'[1]资源-装备经验'!T7</f>
        <v>240</v>
      </c>
      <c r="P7" s="17">
        <f>'[1]资源-装备经验'!U7</f>
        <v>240</v>
      </c>
      <c r="Q7" s="17">
        <f>'[1]资源-装备经验'!V7</f>
        <v>240</v>
      </c>
      <c r="R7" s="17">
        <f>'[1]资源-装备经验'!W7</f>
        <v>240</v>
      </c>
      <c r="S7" s="17"/>
      <c r="T7" s="17">
        <v>2</v>
      </c>
      <c r="U7" s="17">
        <f>N7*节奏总纲!BJ5+求节点($C$12:$C$21,$K$12:$K$21,$T7)</f>
        <v>114</v>
      </c>
      <c r="V7" s="17">
        <f>O7*节奏总纲!BK5+求节点($C$35:$C$44,$K$35:$K$44,$T7)</f>
        <v>116.28</v>
      </c>
      <c r="W7" s="17">
        <f>P7*节奏总纲!BL5+求节点($C$58:$C$67,$K$58:$K$67,$T7)</f>
        <v>120.83999999999999</v>
      </c>
      <c r="X7" s="17">
        <f>Q7*节奏总纲!BM5+求节点($C$81:$C$90,$K$81:$K$90,$T7)</f>
        <v>129.96</v>
      </c>
      <c r="Y7" s="17">
        <f>R7*节奏总纲!BN5+求节点($C$104:$C$113,$K$104:$K$113,$T7)</f>
        <v>159.6</v>
      </c>
    </row>
    <row r="8" spans="2:25" x14ac:dyDescent="0.15">
      <c r="B8" s="17"/>
      <c r="M8" s="17">
        <v>3</v>
      </c>
      <c r="N8" s="17">
        <f>'[1]资源-装备经验'!S8</f>
        <v>360</v>
      </c>
      <c r="O8" s="17">
        <f>'[1]资源-装备经验'!T8</f>
        <v>360</v>
      </c>
      <c r="P8" s="17">
        <f>'[1]资源-装备经验'!U8</f>
        <v>360</v>
      </c>
      <c r="Q8" s="17">
        <f>'[1]资源-装备经验'!V8</f>
        <v>360</v>
      </c>
      <c r="R8" s="17">
        <f>'[1]资源-装备经验'!W8</f>
        <v>360</v>
      </c>
      <c r="S8" s="17"/>
      <c r="T8" s="17">
        <v>3</v>
      </c>
      <c r="U8" s="17">
        <f>N8*节奏总纲!BJ6+求节点($C$12:$C$21,$K$12:$K$21,$T8)</f>
        <v>234</v>
      </c>
      <c r="V8" s="17">
        <f>O8*节奏总纲!BK6+求节点($C$35:$C$44,$K$35:$K$44,$T8)</f>
        <v>238.68</v>
      </c>
      <c r="W8" s="17">
        <f>P8*节奏总纲!BL6+求节点($C$58:$C$67,$K$58:$K$67,$T8)</f>
        <v>248.04000000000002</v>
      </c>
      <c r="X8" s="17">
        <f>Q8*节奏总纲!BM6+求节点($C$81:$C$90,$K$81:$K$90,$T8)</f>
        <v>266.76</v>
      </c>
      <c r="Y8" s="17">
        <f>R8*节奏总纲!BN6+求节点($C$104:$C$113,$K$104:$K$113,$T8)</f>
        <v>327.59999999999997</v>
      </c>
    </row>
    <row r="9" spans="2:25" x14ac:dyDescent="0.15">
      <c r="B9" s="17"/>
      <c r="M9" s="17">
        <v>4</v>
      </c>
      <c r="N9" s="17">
        <f>'[1]资源-装备经验'!S9</f>
        <v>480</v>
      </c>
      <c r="O9" s="17">
        <f>'[1]资源-装备经验'!T9</f>
        <v>480</v>
      </c>
      <c r="P9" s="17">
        <f>'[1]资源-装备经验'!U9</f>
        <v>480</v>
      </c>
      <c r="Q9" s="17">
        <f>'[1]资源-装备经验'!V9</f>
        <v>480</v>
      </c>
      <c r="R9" s="17">
        <f>'[1]资源-装备经验'!W9</f>
        <v>480</v>
      </c>
      <c r="S9" s="17"/>
      <c r="T9" s="17">
        <v>4</v>
      </c>
      <c r="U9" s="17">
        <f>N9*节奏总纲!BJ7+求节点($C$12:$C$21,$K$12:$K$21,$T9)</f>
        <v>396</v>
      </c>
      <c r="V9" s="17">
        <f>O9*节奏总纲!BK7+求节点($C$35:$C$44,$K$35:$K$44,$T9)</f>
        <v>403.91999999999996</v>
      </c>
      <c r="W9" s="17">
        <f>P9*节奏总纲!BL7+求节点($C$58:$C$67,$K$58:$K$67,$T9)</f>
        <v>419.76</v>
      </c>
      <c r="X9" s="17">
        <f>Q9*节奏总纲!BM7+求节点($C$81:$C$90,$K$81:$K$90,$T9)</f>
        <v>451.43999999999994</v>
      </c>
      <c r="Y9" s="17">
        <f>R9*节奏总纲!BN7+求节点($C$104:$C$113,$K$104:$K$113,$T9)</f>
        <v>554.39999999999986</v>
      </c>
    </row>
    <row r="10" spans="2:25" x14ac:dyDescent="0.15">
      <c r="B10" s="17"/>
      <c r="D10" s="16" t="s">
        <v>0</v>
      </c>
      <c r="E10" s="16"/>
      <c r="F10" s="43" t="s">
        <v>30</v>
      </c>
      <c r="G10" s="44"/>
      <c r="H10" s="44"/>
      <c r="I10" s="44"/>
      <c r="J10" s="45"/>
      <c r="K10" s="46" t="s">
        <v>34</v>
      </c>
      <c r="M10" s="17">
        <v>5</v>
      </c>
      <c r="N10" s="17">
        <f>'[1]资源-装备经验'!S10</f>
        <v>600</v>
      </c>
      <c r="O10" s="17">
        <f>'[1]资源-装备经验'!T10</f>
        <v>600</v>
      </c>
      <c r="P10" s="17">
        <f>'[1]资源-装备经验'!U10</f>
        <v>600</v>
      </c>
      <c r="Q10" s="17">
        <f>'[1]资源-装备经验'!V10</f>
        <v>600</v>
      </c>
      <c r="R10" s="17">
        <f>'[1]资源-装备经验'!W10</f>
        <v>600</v>
      </c>
      <c r="S10" s="17"/>
      <c r="T10" s="17">
        <v>5</v>
      </c>
      <c r="U10" s="17">
        <f>N10*节奏总纲!BJ8+求节点($C$12:$C$21,$K$12:$K$21,$T10)</f>
        <v>600</v>
      </c>
      <c r="V10" s="17">
        <f>O10*节奏总纲!BK8+求节点($C$35:$C$44,$K$35:$K$44,$T10)</f>
        <v>612</v>
      </c>
      <c r="W10" s="17">
        <f>P10*节奏总纲!BL8+求节点($C$58:$C$67,$K$58:$K$67,$T10)</f>
        <v>636</v>
      </c>
      <c r="X10" s="17">
        <f>Q10*节奏总纲!BM8+求节点($C$81:$C$90,$K$81:$K$90,$T10)</f>
        <v>683.99999999999989</v>
      </c>
      <c r="Y10" s="17">
        <f>R10*节奏总纲!BN8+求节点($C$104:$C$113,$K$104:$K$113,$T10)</f>
        <v>840</v>
      </c>
    </row>
    <row r="11" spans="2:25" x14ac:dyDescent="0.15">
      <c r="B11" s="17"/>
      <c r="C11" s="16" t="s">
        <v>48</v>
      </c>
      <c r="D11" s="16" t="s">
        <v>31</v>
      </c>
      <c r="E11" s="16" t="s">
        <v>32</v>
      </c>
      <c r="F11" s="16" t="s">
        <v>25</v>
      </c>
      <c r="G11" s="16" t="s">
        <v>26</v>
      </c>
      <c r="H11" s="16" t="s">
        <v>27</v>
      </c>
      <c r="I11" s="16" t="s">
        <v>28</v>
      </c>
      <c r="J11" s="16" t="s">
        <v>29</v>
      </c>
      <c r="K11" s="46"/>
      <c r="M11" s="17">
        <v>6</v>
      </c>
      <c r="N11" s="17">
        <f>'[1]资源-装备经验'!S11</f>
        <v>720</v>
      </c>
      <c r="O11" s="17">
        <f>'[1]资源-装备经验'!T11</f>
        <v>720</v>
      </c>
      <c r="P11" s="17">
        <f>'[1]资源-装备经验'!U11</f>
        <v>720</v>
      </c>
      <c r="Q11" s="17">
        <f>'[1]资源-装备经验'!V11</f>
        <v>720</v>
      </c>
      <c r="R11" s="17">
        <f>'[1]资源-装备经验'!W11</f>
        <v>720</v>
      </c>
      <c r="S11" s="17"/>
      <c r="T11" s="17">
        <v>6</v>
      </c>
      <c r="U11" s="17">
        <f>N11*节奏总纲!BJ9+求节点($C$12:$C$21,$K$12:$K$21,$T11)</f>
        <v>744.00000000000011</v>
      </c>
      <c r="V11" s="17">
        <f>O11*节奏总纲!BK9+求节点($C$35:$C$44,$K$35:$K$44,$T11)</f>
        <v>758.88</v>
      </c>
      <c r="W11" s="17">
        <f>P11*节奏总纲!BL9+求节点($C$58:$C$67,$K$58:$K$67,$T11)</f>
        <v>788.6400000000001</v>
      </c>
      <c r="X11" s="17">
        <f>Q11*节奏总纲!BM9+求节点($C$81:$C$90,$K$81:$K$90,$T11)</f>
        <v>848.16</v>
      </c>
      <c r="Y11" s="17">
        <f>R11*节奏总纲!BN9+求节点($C$104:$C$113,$K$104:$K$113,$T11)</f>
        <v>1041.6000000000001</v>
      </c>
    </row>
    <row r="12" spans="2:25" x14ac:dyDescent="0.15">
      <c r="B12" s="17"/>
      <c r="C12" s="16">
        <v>10</v>
      </c>
      <c r="D12" s="16">
        <f>'[1]资源-装备'!BG12</f>
        <v>0</v>
      </c>
      <c r="E12" s="16">
        <f>'[1]资源-装备'!BH12</f>
        <v>0</v>
      </c>
      <c r="F12" s="16">
        <f>'[1]资源-装备'!BI12</f>
        <v>0</v>
      </c>
      <c r="G12" s="16">
        <f>'[1]资源-装备'!BJ12</f>
        <v>0</v>
      </c>
      <c r="H12" s="16">
        <f>'[1]资源-装备'!BK12</f>
        <v>0</v>
      </c>
      <c r="I12" s="16">
        <f>'[1]资源-装备'!BL12</f>
        <v>0</v>
      </c>
      <c r="J12" s="16">
        <f>'[1]资源-装备'!BM12</f>
        <v>0</v>
      </c>
      <c r="K12" s="16">
        <f>SUM(F12:J12)*D12*E12</f>
        <v>0</v>
      </c>
      <c r="M12" s="17">
        <v>7</v>
      </c>
      <c r="N12" s="17">
        <f>'[1]资源-装备经验'!S12</f>
        <v>840</v>
      </c>
      <c r="O12" s="17">
        <f>'[1]资源-装备经验'!T12</f>
        <v>840</v>
      </c>
      <c r="P12" s="17">
        <f>'[1]资源-装备经验'!U12</f>
        <v>840</v>
      </c>
      <c r="Q12" s="17">
        <f>'[1]资源-装备经验'!V12</f>
        <v>840</v>
      </c>
      <c r="R12" s="17">
        <f>'[1]资源-装备经验'!W12</f>
        <v>840</v>
      </c>
      <c r="S12" s="17"/>
      <c r="T12" s="17">
        <v>7</v>
      </c>
      <c r="U12" s="17">
        <f>N12*节奏总纲!BJ10+求节点($C$12:$C$21,$K$12:$K$21,$T12)</f>
        <v>896.00000000000023</v>
      </c>
      <c r="V12" s="17">
        <f>O12*节奏总纲!BK10+求节点($C$35:$C$44,$K$35:$K$44,$T12)</f>
        <v>913.9200000000003</v>
      </c>
      <c r="W12" s="17">
        <f>P12*节奏总纲!BL10+求节点($C$58:$C$67,$K$58:$K$67,$T12)</f>
        <v>949.76000000000022</v>
      </c>
      <c r="X12" s="17">
        <f>Q12*节奏总纲!BM10+求节点($C$81:$C$90,$K$81:$K$90,$T12)</f>
        <v>1021.4400000000002</v>
      </c>
      <c r="Y12" s="17">
        <f>R12*节奏总纲!BN10+求节点($C$104:$C$113,$K$104:$K$113,$T12)</f>
        <v>1254.4000000000003</v>
      </c>
    </row>
    <row r="13" spans="2:25" x14ac:dyDescent="0.15">
      <c r="B13" s="17"/>
      <c r="C13" s="16">
        <v>20</v>
      </c>
      <c r="D13" s="16">
        <f>'[1]资源-装备'!BG13</f>
        <v>0</v>
      </c>
      <c r="E13" s="16">
        <f>'[1]资源-装备'!BH13</f>
        <v>0</v>
      </c>
      <c r="F13" s="16">
        <f>'[1]资源-装备'!BI13</f>
        <v>0</v>
      </c>
      <c r="G13" s="16">
        <f>'[1]资源-装备'!BJ13</f>
        <v>0</v>
      </c>
      <c r="H13" s="16">
        <f>'[1]资源-装备'!BK13</f>
        <v>0</v>
      </c>
      <c r="I13" s="16">
        <f>'[1]资源-装备'!BL13</f>
        <v>0</v>
      </c>
      <c r="J13" s="16">
        <f>'[1]资源-装备'!BM13</f>
        <v>0</v>
      </c>
      <c r="K13" s="16">
        <f t="shared" ref="K13:K21" si="0">SUM(F13:J13)*D13*E13</f>
        <v>0</v>
      </c>
      <c r="M13" s="17">
        <v>8</v>
      </c>
      <c r="N13" s="17">
        <f>'[1]资源-装备经验'!S13</f>
        <v>960</v>
      </c>
      <c r="O13" s="17">
        <f>'[1]资源-装备经验'!T13</f>
        <v>960</v>
      </c>
      <c r="P13" s="17">
        <f>'[1]资源-装备经验'!U13</f>
        <v>960</v>
      </c>
      <c r="Q13" s="17">
        <f>'[1]资源-装备经验'!V13</f>
        <v>960</v>
      </c>
      <c r="R13" s="17">
        <f>'[1]资源-装备经验'!W13</f>
        <v>960</v>
      </c>
      <c r="S13" s="17"/>
      <c r="T13" s="17">
        <v>8</v>
      </c>
      <c r="U13" s="17">
        <f>N13*节奏总纲!BJ11+求节点($C$12:$C$21,$K$12:$K$21,$T13)</f>
        <v>1056.0000000000002</v>
      </c>
      <c r="V13" s="17">
        <f>O13*节奏总纲!BK11+求节点($C$35:$C$44,$K$35:$K$44,$T13)</f>
        <v>1077.1200000000003</v>
      </c>
      <c r="W13" s="17">
        <f>P13*节奏总纲!BL11+求节点($C$58:$C$67,$K$58:$K$67,$T13)</f>
        <v>1119.3600000000004</v>
      </c>
      <c r="X13" s="17">
        <f>Q13*节奏总纲!BM11+求节点($C$81:$C$90,$K$81:$K$90,$T13)</f>
        <v>1203.8400000000001</v>
      </c>
      <c r="Y13" s="17">
        <f>R13*节奏总纲!BN11+求节点($C$104:$C$113,$K$104:$K$113,$T13)</f>
        <v>1478.4000000000003</v>
      </c>
    </row>
    <row r="14" spans="2:25" x14ac:dyDescent="0.15">
      <c r="B14" s="17"/>
      <c r="C14" s="16">
        <v>30</v>
      </c>
      <c r="D14" s="16">
        <f>'[1]资源-装备'!BG14</f>
        <v>0</v>
      </c>
      <c r="E14" s="16">
        <f>'[1]资源-装备'!BH14</f>
        <v>0</v>
      </c>
      <c r="F14" s="16">
        <f>'[1]资源-装备'!BI14</f>
        <v>0</v>
      </c>
      <c r="G14" s="16">
        <f>'[1]资源-装备'!BJ14</f>
        <v>0</v>
      </c>
      <c r="H14" s="16">
        <f>'[1]资源-装备'!BK14</f>
        <v>0</v>
      </c>
      <c r="I14" s="16">
        <f>'[1]资源-装备'!BL14</f>
        <v>0</v>
      </c>
      <c r="J14" s="16">
        <f>'[1]资源-装备'!BM14</f>
        <v>0</v>
      </c>
      <c r="K14" s="16">
        <f t="shared" si="0"/>
        <v>0</v>
      </c>
      <c r="M14" s="17">
        <v>9</v>
      </c>
      <c r="N14" s="17">
        <f>'[1]资源-装备经验'!S14</f>
        <v>1080</v>
      </c>
      <c r="O14" s="17">
        <f>'[1]资源-装备经验'!T14</f>
        <v>1080</v>
      </c>
      <c r="P14" s="17">
        <f>'[1]资源-装备经验'!U14</f>
        <v>1080</v>
      </c>
      <c r="Q14" s="17">
        <f>'[1]资源-装备经验'!V14</f>
        <v>1080</v>
      </c>
      <c r="R14" s="17">
        <f>'[1]资源-装备经验'!W14</f>
        <v>1080</v>
      </c>
      <c r="S14" s="17"/>
      <c r="T14" s="17">
        <v>9</v>
      </c>
      <c r="U14" s="17">
        <f>N14*节奏总纲!BJ12+求节点($C$12:$C$21,$K$12:$K$21,$T14)</f>
        <v>1224.0000000000005</v>
      </c>
      <c r="V14" s="17">
        <f>O14*节奏总纲!BK12+求节点($C$35:$C$44,$K$35:$K$44,$T14)</f>
        <v>1248.4800000000005</v>
      </c>
      <c r="W14" s="17">
        <f>P14*节奏总纲!BL12+求节点($C$58:$C$67,$K$58:$K$67,$T14)</f>
        <v>1297.4400000000005</v>
      </c>
      <c r="X14" s="17">
        <f>Q14*节奏总纲!BM12+求节点($C$81:$C$90,$K$81:$K$90,$T14)</f>
        <v>1395.3600000000004</v>
      </c>
      <c r="Y14" s="17">
        <f>R14*节奏总纲!BN12+求节点($C$104:$C$113,$K$104:$K$113,$T14)</f>
        <v>1713.6000000000006</v>
      </c>
    </row>
    <row r="15" spans="2:25" x14ac:dyDescent="0.15">
      <c r="B15" s="17"/>
      <c r="C15" s="16">
        <v>40</v>
      </c>
      <c r="D15" s="16">
        <f>'[1]资源-装备'!BG15</f>
        <v>0</v>
      </c>
      <c r="E15" s="16">
        <f>'[1]资源-装备'!BH15</f>
        <v>0</v>
      </c>
      <c r="F15" s="16">
        <f>'[1]资源-装备'!BI15</f>
        <v>0</v>
      </c>
      <c r="G15" s="16">
        <f>'[1]资源-装备'!BJ15</f>
        <v>0</v>
      </c>
      <c r="H15" s="16">
        <f>'[1]资源-装备'!BK15</f>
        <v>0</v>
      </c>
      <c r="I15" s="16">
        <f>'[1]资源-装备'!BL15</f>
        <v>0</v>
      </c>
      <c r="J15" s="16">
        <f>'[1]资源-装备'!BM15</f>
        <v>0</v>
      </c>
      <c r="K15" s="16">
        <f t="shared" si="0"/>
        <v>0</v>
      </c>
      <c r="M15" s="17">
        <v>10</v>
      </c>
      <c r="N15" s="17">
        <f>'[1]资源-装备经验'!S15</f>
        <v>1200</v>
      </c>
      <c r="O15" s="17">
        <f>'[1]资源-装备经验'!T15</f>
        <v>1200</v>
      </c>
      <c r="P15" s="17">
        <f>'[1]资源-装备经验'!U15</f>
        <v>1200</v>
      </c>
      <c r="Q15" s="17">
        <f>'[1]资源-装备经验'!V15</f>
        <v>1200</v>
      </c>
      <c r="R15" s="17">
        <f>'[1]资源-装备经验'!W15</f>
        <v>1200</v>
      </c>
      <c r="S15" s="17"/>
      <c r="T15" s="17">
        <v>10</v>
      </c>
      <c r="U15" s="17">
        <f>N15*节奏总纲!BJ13+求节点($C$12:$C$21,$K$12:$K$21,$T15)</f>
        <v>1400.0000000000007</v>
      </c>
      <c r="V15" s="17">
        <f>O15*节奏总纲!BK13+求节点($C$35:$C$44,$K$35:$K$44,$T15)</f>
        <v>1428.0000000000007</v>
      </c>
      <c r="W15" s="17">
        <f>P15*节奏总纲!BL13+求节点($C$58:$C$67,$K$58:$K$67,$T15)</f>
        <v>1484.0000000000007</v>
      </c>
      <c r="X15" s="17">
        <f>Q15*节奏总纲!BM13+求节点($C$81:$C$90,$K$81:$K$90,$T15)</f>
        <v>1596.0000000000007</v>
      </c>
      <c r="Y15" s="17">
        <f>R15*节奏总纲!BN13+求节点($C$104:$C$113,$K$104:$K$113,$T15)</f>
        <v>1960.0000000000007</v>
      </c>
    </row>
    <row r="16" spans="2:25" x14ac:dyDescent="0.15">
      <c r="B16" s="17"/>
      <c r="C16" s="16">
        <v>50</v>
      </c>
      <c r="D16" s="16">
        <f>'[1]资源-装备'!BG16</f>
        <v>0</v>
      </c>
      <c r="E16" s="16">
        <f>'[1]资源-装备'!BH16</f>
        <v>0</v>
      </c>
      <c r="F16" s="16">
        <f>'[1]资源-装备'!BI16</f>
        <v>0</v>
      </c>
      <c r="G16" s="16">
        <f>'[1]资源-装备'!BJ16</f>
        <v>0</v>
      </c>
      <c r="H16" s="16">
        <f>'[1]资源-装备'!BK16</f>
        <v>0</v>
      </c>
      <c r="I16" s="16">
        <f>'[1]资源-装备'!BL16</f>
        <v>0</v>
      </c>
      <c r="J16" s="16">
        <f>'[1]资源-装备'!BM16</f>
        <v>0</v>
      </c>
      <c r="K16" s="16">
        <f t="shared" si="0"/>
        <v>0</v>
      </c>
      <c r="M16" s="17">
        <v>11</v>
      </c>
      <c r="N16" s="17">
        <f>'[1]资源-装备经验'!S16</f>
        <v>1770</v>
      </c>
      <c r="O16" s="17">
        <f>'[1]资源-装备经验'!T16</f>
        <v>1770</v>
      </c>
      <c r="P16" s="17">
        <f>'[1]资源-装备经验'!U16</f>
        <v>1770</v>
      </c>
      <c r="Q16" s="17">
        <f>'[1]资源-装备经验'!V16</f>
        <v>1770</v>
      </c>
      <c r="R16" s="17">
        <f>'[1]资源-装备经验'!W16</f>
        <v>1770</v>
      </c>
      <c r="S16" s="17"/>
      <c r="T16" s="17">
        <v>11</v>
      </c>
      <c r="U16" s="17">
        <f>N16*节奏总纲!BJ14+求节点($C$12:$C$21,$K$12:$K$21,$T16)</f>
        <v>2124.0000000000009</v>
      </c>
      <c r="V16" s="17">
        <f>O16*节奏总纲!BK14+求节点($C$35:$C$44,$K$35:$K$44,$T16)</f>
        <v>2166.4800000000009</v>
      </c>
      <c r="W16" s="17">
        <f>P16*节奏总纲!BL14+求节点($C$58:$C$67,$K$58:$K$67,$T16)</f>
        <v>2251.4400000000014</v>
      </c>
      <c r="X16" s="17">
        <f>Q16*节奏总纲!BM14+求节点($C$81:$C$90,$K$81:$K$90,$T16)</f>
        <v>2421.360000000001</v>
      </c>
      <c r="Y16" s="17">
        <f>R16*节奏总纲!BN14+求节点($C$104:$C$113,$K$104:$K$113,$T16)</f>
        <v>2973.6000000000013</v>
      </c>
    </row>
    <row r="17" spans="2:25" x14ac:dyDescent="0.15">
      <c r="B17" s="17"/>
      <c r="C17" s="16">
        <v>60</v>
      </c>
      <c r="D17" s="16">
        <f>'[1]资源-装备'!BG17</f>
        <v>0</v>
      </c>
      <c r="E17" s="16">
        <f>'[1]资源-装备'!BH17</f>
        <v>0</v>
      </c>
      <c r="F17" s="16">
        <f>'[1]资源-装备'!BI17</f>
        <v>0</v>
      </c>
      <c r="G17" s="16">
        <f>'[1]资源-装备'!BJ17</f>
        <v>0</v>
      </c>
      <c r="H17" s="16">
        <f>'[1]资源-装备'!BK17</f>
        <v>0</v>
      </c>
      <c r="I17" s="16">
        <f>'[1]资源-装备'!BL17</f>
        <v>0</v>
      </c>
      <c r="J17" s="16">
        <f>'[1]资源-装备'!BM17</f>
        <v>0</v>
      </c>
      <c r="K17" s="16">
        <f t="shared" si="0"/>
        <v>0</v>
      </c>
      <c r="M17" s="17">
        <v>12</v>
      </c>
      <c r="N17" s="17">
        <f>'[1]资源-装备经验'!S17</f>
        <v>2340</v>
      </c>
      <c r="O17" s="17">
        <f>'[1]资源-装备经验'!T17</f>
        <v>2340</v>
      </c>
      <c r="P17" s="17">
        <f>'[1]资源-装备经验'!U17</f>
        <v>2340</v>
      </c>
      <c r="Q17" s="17">
        <f>'[1]资源-装备经验'!V17</f>
        <v>2340</v>
      </c>
      <c r="R17" s="17">
        <f>'[1]资源-装备经验'!W17</f>
        <v>2340</v>
      </c>
      <c r="S17" s="17"/>
      <c r="T17" s="17">
        <v>12</v>
      </c>
      <c r="U17" s="17">
        <f>N17*节奏总纲!BJ15+求节点($C$12:$C$21,$K$12:$K$21,$T17)</f>
        <v>2886.0000000000018</v>
      </c>
      <c r="V17" s="17">
        <f>O17*节奏总纲!BK15+求节点($C$35:$C$44,$K$35:$K$44,$T17)</f>
        <v>2943.7200000000016</v>
      </c>
      <c r="W17" s="17">
        <f>P17*节奏总纲!BL15+求节点($C$58:$C$67,$K$58:$K$67,$T17)</f>
        <v>3059.1600000000017</v>
      </c>
      <c r="X17" s="17">
        <f>Q17*节奏总纲!BM15+求节点($C$81:$C$90,$K$81:$K$90,$T17)</f>
        <v>3290.0400000000018</v>
      </c>
      <c r="Y17" s="17">
        <f>R17*节奏总纲!BN15+求节点($C$104:$C$113,$K$104:$K$113,$T17)</f>
        <v>4040.4000000000024</v>
      </c>
    </row>
    <row r="18" spans="2:25" x14ac:dyDescent="0.15">
      <c r="B18" s="17"/>
      <c r="C18" s="16">
        <v>70</v>
      </c>
      <c r="D18" s="16">
        <f>'[1]资源-装备'!BG18</f>
        <v>0</v>
      </c>
      <c r="E18" s="16">
        <f>'[1]资源-装备'!BH18</f>
        <v>0</v>
      </c>
      <c r="F18" s="16">
        <f>'[1]资源-装备'!BI18</f>
        <v>0</v>
      </c>
      <c r="G18" s="16">
        <f>'[1]资源-装备'!BJ18</f>
        <v>0</v>
      </c>
      <c r="H18" s="16">
        <f>'[1]资源-装备'!BK18</f>
        <v>0</v>
      </c>
      <c r="I18" s="16">
        <f>'[1]资源-装备'!BL18</f>
        <v>0</v>
      </c>
      <c r="J18" s="16">
        <f>'[1]资源-装备'!BM18</f>
        <v>0</v>
      </c>
      <c r="K18" s="16">
        <f t="shared" si="0"/>
        <v>0</v>
      </c>
      <c r="M18" s="17">
        <v>13</v>
      </c>
      <c r="N18" s="17">
        <f>'[1]资源-装备经验'!S18</f>
        <v>2910</v>
      </c>
      <c r="O18" s="17">
        <f>'[1]资源-装备经验'!T18</f>
        <v>2910</v>
      </c>
      <c r="P18" s="17">
        <f>'[1]资源-装备经验'!U18</f>
        <v>2910</v>
      </c>
      <c r="Q18" s="17">
        <f>'[1]资源-装备经验'!V18</f>
        <v>2910</v>
      </c>
      <c r="R18" s="17">
        <f>'[1]资源-装备经验'!W18</f>
        <v>2910</v>
      </c>
      <c r="S18" s="17"/>
      <c r="T18" s="17">
        <v>13</v>
      </c>
      <c r="U18" s="17">
        <f>N18*节奏总纲!BJ16+求节点($C$12:$C$21,$K$12:$K$21,$T18)</f>
        <v>3686.0000000000023</v>
      </c>
      <c r="V18" s="17">
        <f>O18*节奏总纲!BK16+求节点($C$35:$C$44,$K$35:$K$44,$T18)</f>
        <v>3759.7200000000025</v>
      </c>
      <c r="W18" s="17">
        <f>P18*节奏总纲!BL16+求节点($C$58:$C$67,$K$58:$K$67,$T18)</f>
        <v>3907.1600000000026</v>
      </c>
      <c r="X18" s="17">
        <f>Q18*节奏总纲!BM16+求节点($C$81:$C$90,$K$81:$K$90,$T18)</f>
        <v>4202.0400000000027</v>
      </c>
      <c r="Y18" s="17">
        <f>R18*节奏总纲!BN16+求节点($C$104:$C$113,$K$104:$K$113,$T18)</f>
        <v>5160.4000000000033</v>
      </c>
    </row>
    <row r="19" spans="2:25" x14ac:dyDescent="0.15">
      <c r="B19" s="17"/>
      <c r="C19" s="16">
        <v>80</v>
      </c>
      <c r="D19" s="16">
        <f>'[1]资源-装备'!BG19</f>
        <v>0</v>
      </c>
      <c r="E19" s="16">
        <f>'[1]资源-装备'!BH19</f>
        <v>0</v>
      </c>
      <c r="F19" s="16">
        <f>'[1]资源-装备'!BI19</f>
        <v>0</v>
      </c>
      <c r="G19" s="16">
        <f>'[1]资源-装备'!BJ19</f>
        <v>0</v>
      </c>
      <c r="H19" s="16">
        <f>'[1]资源-装备'!BK19</f>
        <v>0</v>
      </c>
      <c r="I19" s="16">
        <f>'[1]资源-装备'!BL19</f>
        <v>0</v>
      </c>
      <c r="J19" s="16">
        <f>'[1]资源-装备'!BM19</f>
        <v>0</v>
      </c>
      <c r="K19" s="16">
        <f t="shared" si="0"/>
        <v>0</v>
      </c>
      <c r="M19" s="17">
        <v>14</v>
      </c>
      <c r="N19" s="17">
        <f>'[1]资源-装备经验'!S19</f>
        <v>3480</v>
      </c>
      <c r="O19" s="17">
        <f>'[1]资源-装备经验'!T19</f>
        <v>3480</v>
      </c>
      <c r="P19" s="17">
        <f>'[1]资源-装备经验'!U19</f>
        <v>3480</v>
      </c>
      <c r="Q19" s="17">
        <f>'[1]资源-装备经验'!V19</f>
        <v>3480</v>
      </c>
      <c r="R19" s="17">
        <f>'[1]资源-装备经验'!W19</f>
        <v>3480</v>
      </c>
      <c r="S19" s="17"/>
      <c r="T19" s="17">
        <v>14</v>
      </c>
      <c r="U19" s="17">
        <f>N19*节奏总纲!BJ17+求节点($C$12:$C$21,$K$12:$K$21,$T19)</f>
        <v>4524.0000000000036</v>
      </c>
      <c r="V19" s="17">
        <f>O19*节奏总纲!BK17+求节点($C$35:$C$44,$K$35:$K$44,$T19)</f>
        <v>4614.4800000000032</v>
      </c>
      <c r="W19" s="17">
        <f>P19*节奏总纲!BL17+求节点($C$58:$C$67,$K$58:$K$67,$T19)</f>
        <v>4795.4400000000032</v>
      </c>
      <c r="X19" s="17">
        <f>Q19*节奏总纲!BM17+求节点($C$81:$C$90,$K$81:$K$90,$T19)</f>
        <v>5157.3600000000033</v>
      </c>
      <c r="Y19" s="17">
        <f>R19*节奏总纲!BN17+求节点($C$104:$C$113,$K$104:$K$113,$T19)</f>
        <v>6333.600000000004</v>
      </c>
    </row>
    <row r="20" spans="2:25" x14ac:dyDescent="0.15">
      <c r="B20" s="17"/>
      <c r="C20" s="16">
        <v>90</v>
      </c>
      <c r="D20" s="16">
        <f>'[1]资源-装备'!BG20</f>
        <v>0</v>
      </c>
      <c r="E20" s="16">
        <f>'[1]资源-装备'!BH20</f>
        <v>0</v>
      </c>
      <c r="F20" s="16">
        <f>'[1]资源-装备'!BI20</f>
        <v>0</v>
      </c>
      <c r="G20" s="16">
        <f>'[1]资源-装备'!BJ20</f>
        <v>0</v>
      </c>
      <c r="H20" s="16">
        <f>'[1]资源-装备'!BK20</f>
        <v>0</v>
      </c>
      <c r="I20" s="16">
        <f>'[1]资源-装备'!BL20</f>
        <v>0</v>
      </c>
      <c r="J20" s="16">
        <f>'[1]资源-装备'!BM20</f>
        <v>0</v>
      </c>
      <c r="K20" s="16">
        <f t="shared" si="0"/>
        <v>0</v>
      </c>
      <c r="M20" s="17">
        <v>15</v>
      </c>
      <c r="N20" s="17">
        <f>'[1]资源-装备经验'!S20</f>
        <v>4050</v>
      </c>
      <c r="O20" s="17">
        <f>'[1]资源-装备经验'!T20</f>
        <v>4050</v>
      </c>
      <c r="P20" s="17">
        <f>'[1]资源-装备经验'!U20</f>
        <v>4050</v>
      </c>
      <c r="Q20" s="17">
        <f>'[1]资源-装备经验'!V20</f>
        <v>4050</v>
      </c>
      <c r="R20" s="17">
        <f>'[1]资源-装备经验'!W20</f>
        <v>4050</v>
      </c>
      <c r="S20" s="17"/>
      <c r="T20" s="17">
        <v>15</v>
      </c>
      <c r="U20" s="17">
        <f>N20*节奏总纲!BJ18+求节点($C$12:$C$21,$K$12:$K$21,$T20)</f>
        <v>5400.0000000000045</v>
      </c>
      <c r="V20" s="17">
        <f>O20*节奏总纲!BK18+求节点($C$35:$C$44,$K$35:$K$44,$T20)</f>
        <v>5508.0000000000036</v>
      </c>
      <c r="W20" s="17">
        <f>P20*节奏总纲!BL18+求节点($C$58:$C$67,$K$58:$K$67,$T20)</f>
        <v>5724.0000000000045</v>
      </c>
      <c r="X20" s="17">
        <f>Q20*节奏总纲!BM18+求节点($C$81:$C$90,$K$81:$K$90,$T20)</f>
        <v>6156.0000000000045</v>
      </c>
      <c r="Y20" s="17">
        <f>R20*节奏总纲!BN18+求节点($C$104:$C$113,$K$104:$K$113,$T20)</f>
        <v>7560.0000000000055</v>
      </c>
    </row>
    <row r="21" spans="2:25" x14ac:dyDescent="0.15">
      <c r="B21" s="17"/>
      <c r="C21" s="16">
        <v>100</v>
      </c>
      <c r="D21" s="16">
        <f>'[1]资源-装备'!BG21</f>
        <v>0</v>
      </c>
      <c r="E21" s="16">
        <f>'[1]资源-装备'!BH21</f>
        <v>0</v>
      </c>
      <c r="F21" s="16">
        <f>'[1]资源-装备'!BI21</f>
        <v>0</v>
      </c>
      <c r="G21" s="16">
        <f>'[1]资源-装备'!BJ21</f>
        <v>0</v>
      </c>
      <c r="H21" s="16">
        <f>'[1]资源-装备'!BK21</f>
        <v>0</v>
      </c>
      <c r="I21" s="16">
        <f>'[1]资源-装备'!BL21</f>
        <v>0</v>
      </c>
      <c r="J21" s="16">
        <f>'[1]资源-装备'!BM21</f>
        <v>0</v>
      </c>
      <c r="K21" s="16">
        <f t="shared" si="0"/>
        <v>0</v>
      </c>
      <c r="M21" s="17">
        <v>16</v>
      </c>
      <c r="N21" s="17">
        <f>'[1]资源-装备经验'!S21</f>
        <v>4620</v>
      </c>
      <c r="O21" s="17">
        <f>'[1]资源-装备经验'!T21</f>
        <v>4620</v>
      </c>
      <c r="P21" s="17">
        <f>'[1]资源-装备经验'!U21</f>
        <v>4620</v>
      </c>
      <c r="Q21" s="17">
        <f>'[1]资源-装备经验'!V21</f>
        <v>4620</v>
      </c>
      <c r="R21" s="17">
        <f>'[1]资源-装备经验'!W21</f>
        <v>4620</v>
      </c>
      <c r="S21" s="17"/>
      <c r="T21" s="17">
        <v>16</v>
      </c>
      <c r="U21" s="17">
        <f>N21*节奏总纲!BJ19+求节点($C$12:$C$21,$K$12:$K$21,$T21)</f>
        <v>6314.0000000000055</v>
      </c>
      <c r="V21" s="17">
        <f>O21*节奏总纲!BK19+求节点($C$35:$C$44,$K$35:$K$44,$T21)</f>
        <v>6440.2800000000061</v>
      </c>
      <c r="W21" s="17">
        <f>P21*节奏总纲!BL19+求节点($C$58:$C$67,$K$58:$K$67,$T21)</f>
        <v>6692.8400000000056</v>
      </c>
      <c r="X21" s="17">
        <f>Q21*节奏总纲!BM19+求节点($C$81:$C$90,$K$81:$K$90,$T21)</f>
        <v>7197.9600000000055</v>
      </c>
      <c r="Y21" s="17">
        <f>R21*节奏总纲!BN19+求节点($C$104:$C$113,$K$104:$K$113,$T21)</f>
        <v>8839.6000000000076</v>
      </c>
    </row>
    <row r="22" spans="2:25" x14ac:dyDescent="0.15">
      <c r="B22" s="17"/>
      <c r="M22" s="17">
        <v>17</v>
      </c>
      <c r="N22" s="17">
        <f>'[1]资源-装备经验'!S22</f>
        <v>5190</v>
      </c>
      <c r="O22" s="17">
        <f>'[1]资源-装备经验'!T22</f>
        <v>5190</v>
      </c>
      <c r="P22" s="17">
        <f>'[1]资源-装备经验'!U22</f>
        <v>5190</v>
      </c>
      <c r="Q22" s="17">
        <f>'[1]资源-装备经验'!V22</f>
        <v>5190</v>
      </c>
      <c r="R22" s="17">
        <f>'[1]资源-装备经验'!W22</f>
        <v>5190</v>
      </c>
      <c r="S22" s="17"/>
      <c r="T22" s="17">
        <v>17</v>
      </c>
      <c r="U22" s="17">
        <f>N22*节奏总纲!BJ20+求节点($C$12:$C$21,$K$12:$K$21,$T22)</f>
        <v>7266.0000000000064</v>
      </c>
      <c r="V22" s="17">
        <f>O22*节奏总纲!BK20+求节点($C$35:$C$44,$K$35:$K$44,$T22)</f>
        <v>7411.320000000007</v>
      </c>
      <c r="W22" s="17">
        <f>P22*节奏总纲!BL20+求节点($C$58:$C$67,$K$58:$K$67,$T22)</f>
        <v>7701.9600000000064</v>
      </c>
      <c r="X22" s="17">
        <f>Q22*节奏总纲!BM20+求节点($C$81:$C$90,$K$81:$K$90,$T22)</f>
        <v>8283.2400000000071</v>
      </c>
      <c r="Y22" s="17">
        <f>R22*节奏总纲!BN20+求节点($C$104:$C$113,$K$104:$K$113,$T22)</f>
        <v>10172.400000000009</v>
      </c>
    </row>
    <row r="23" spans="2:25" x14ac:dyDescent="0.15">
      <c r="B23" s="17"/>
      <c r="M23" s="17">
        <v>18</v>
      </c>
      <c r="N23" s="17">
        <f>'[1]资源-装备经验'!S23</f>
        <v>5760</v>
      </c>
      <c r="O23" s="17">
        <f>'[1]资源-装备经验'!T23</f>
        <v>5760</v>
      </c>
      <c r="P23" s="17">
        <f>'[1]资源-装备经验'!U23</f>
        <v>5760</v>
      </c>
      <c r="Q23" s="17">
        <f>'[1]资源-装备经验'!V23</f>
        <v>5760</v>
      </c>
      <c r="R23" s="17">
        <f>'[1]资源-装备经验'!W23</f>
        <v>5760</v>
      </c>
      <c r="S23" s="17"/>
      <c r="T23" s="17">
        <v>18</v>
      </c>
      <c r="U23" s="17">
        <f>N23*节奏总纲!BJ21+求节点($C$12:$C$21,$K$12:$K$21,$T23)</f>
        <v>8256.0000000000073</v>
      </c>
      <c r="V23" s="17">
        <f>O23*节奏总纲!BK21+求节点($C$35:$C$44,$K$35:$K$44,$T23)</f>
        <v>8421.1200000000081</v>
      </c>
      <c r="W23" s="17">
        <f>P23*节奏总纲!BL21+求节点($C$58:$C$67,$K$58:$K$67,$T23)</f>
        <v>8751.3600000000079</v>
      </c>
      <c r="X23" s="17">
        <f>Q23*节奏总纲!BM21+求节点($C$81:$C$90,$K$81:$K$90,$T23)</f>
        <v>9411.8400000000092</v>
      </c>
      <c r="Y23" s="17">
        <f>R23*节奏总纲!BN21+求节点($C$104:$C$113,$K$104:$K$113,$T23)</f>
        <v>11558.400000000011</v>
      </c>
    </row>
    <row r="24" spans="2:25" x14ac:dyDescent="0.15">
      <c r="B24" s="17"/>
      <c r="M24" s="17">
        <v>19</v>
      </c>
      <c r="N24" s="17">
        <f>'[1]资源-装备经验'!S24</f>
        <v>6330</v>
      </c>
      <c r="O24" s="17">
        <f>'[1]资源-装备经验'!T24</f>
        <v>6330</v>
      </c>
      <c r="P24" s="17">
        <f>'[1]资源-装备经验'!U24</f>
        <v>6330</v>
      </c>
      <c r="Q24" s="17">
        <f>'[1]资源-装备经验'!V24</f>
        <v>6330</v>
      </c>
      <c r="R24" s="17">
        <f>'[1]资源-装备经验'!W24</f>
        <v>6330</v>
      </c>
      <c r="S24" s="17"/>
      <c r="T24" s="17">
        <v>19</v>
      </c>
      <c r="U24" s="17">
        <f>N24*节奏总纲!BJ22+求节点($C$12:$C$21,$K$12:$K$21,$T24)</f>
        <v>9284.0000000000091</v>
      </c>
      <c r="V24" s="17">
        <f>O24*节奏总纲!BK22+求节点($C$35:$C$44,$K$35:$K$44,$T24)</f>
        <v>9469.6800000000094</v>
      </c>
      <c r="W24" s="17">
        <f>P24*节奏总纲!BL22+求节点($C$58:$C$67,$K$58:$K$67,$T24)</f>
        <v>9841.04000000001</v>
      </c>
      <c r="X24" s="17">
        <f>Q24*节奏总纲!BM22+求节点($C$81:$C$90,$K$81:$K$90,$T24)</f>
        <v>10583.760000000009</v>
      </c>
      <c r="Y24" s="17">
        <f>R24*节奏总纲!BN22+求节点($C$104:$C$113,$K$104:$K$113,$T24)</f>
        <v>12997.600000000013</v>
      </c>
    </row>
    <row r="25" spans="2:25" x14ac:dyDescent="0.15">
      <c r="B25" s="17"/>
      <c r="M25" s="17">
        <v>20</v>
      </c>
      <c r="N25" s="17">
        <f>'[1]资源-装备经验'!S25</f>
        <v>6900</v>
      </c>
      <c r="O25" s="17">
        <f>'[1]资源-装备经验'!T25</f>
        <v>6900</v>
      </c>
      <c r="P25" s="17">
        <f>'[1]资源-装备经验'!U25</f>
        <v>6900</v>
      </c>
      <c r="Q25" s="17">
        <f>'[1]资源-装备经验'!V25</f>
        <v>6900</v>
      </c>
      <c r="R25" s="17">
        <f>'[1]资源-装备经验'!W25</f>
        <v>6900</v>
      </c>
      <c r="S25" s="17"/>
      <c r="T25" s="17">
        <v>20</v>
      </c>
      <c r="U25" s="17">
        <f>N25*节奏总纲!BJ23+求节点($C$12:$C$21,$K$12:$K$21,$T25)</f>
        <v>10350.000000000011</v>
      </c>
      <c r="V25" s="17">
        <f>O25*节奏总纲!BK23+求节点($C$35:$C$44,$K$35:$K$44,$T25)</f>
        <v>10557.000000000011</v>
      </c>
      <c r="W25" s="17">
        <f>P25*节奏总纲!BL23+求节点($C$58:$C$67,$K$58:$K$67,$T25)</f>
        <v>10971.000000000011</v>
      </c>
      <c r="X25" s="17">
        <f>Q25*节奏总纲!BM23+求节点($C$81:$C$90,$K$81:$K$90,$T25)</f>
        <v>11799.000000000011</v>
      </c>
      <c r="Y25" s="17">
        <f>R25*节奏总纲!BN23+求节点($C$104:$C$113,$K$104:$K$113,$T25)</f>
        <v>14490.000000000013</v>
      </c>
    </row>
    <row r="26" spans="2:25" x14ac:dyDescent="0.15">
      <c r="B26" s="17"/>
      <c r="M26" s="17">
        <v>21</v>
      </c>
      <c r="N26" s="17">
        <f>'[1]资源-装备经验'!S26</f>
        <v>9050</v>
      </c>
      <c r="O26" s="17">
        <f>'[1]资源-装备经验'!T26</f>
        <v>9050</v>
      </c>
      <c r="P26" s="17">
        <f>'[1]资源-装备经验'!U26</f>
        <v>9050</v>
      </c>
      <c r="Q26" s="17">
        <f>'[1]资源-装备经验'!V26</f>
        <v>9050</v>
      </c>
      <c r="R26" s="17">
        <f>'[1]资源-装备经验'!W26</f>
        <v>9050</v>
      </c>
      <c r="S26" s="17"/>
      <c r="T26" s="17">
        <v>21</v>
      </c>
      <c r="U26" s="17">
        <f>N26*节奏总纲!BJ24+求节点($C$12:$C$21,$K$12:$K$21,$T26)</f>
        <v>13876.666666666682</v>
      </c>
      <c r="V26" s="17">
        <f>O26*节奏总纲!BK24+求节点($C$35:$C$44,$K$35:$K$44,$T26)</f>
        <v>14154.200000000015</v>
      </c>
      <c r="W26" s="17">
        <f>P26*节奏总纲!BL24+求节点($C$58:$C$67,$K$58:$K$67,$T26)</f>
        <v>14709.266666666683</v>
      </c>
      <c r="X26" s="17">
        <f>Q26*节奏总纲!BM24+求节点($C$81:$C$90,$K$81:$K$90,$T26)</f>
        <v>15819.400000000016</v>
      </c>
      <c r="Y26" s="17">
        <f>R26*节奏总纲!BN24+求节点($C$104:$C$113,$K$104:$K$113,$T26)</f>
        <v>19427.33333333335</v>
      </c>
    </row>
    <row r="27" spans="2:25" x14ac:dyDescent="0.15">
      <c r="B27" s="17"/>
      <c r="M27" s="17">
        <v>22</v>
      </c>
      <c r="N27" s="17">
        <f>'[1]资源-装备经验'!S27</f>
        <v>11200</v>
      </c>
      <c r="O27" s="17">
        <f>'[1]资源-装备经验'!T27</f>
        <v>11200</v>
      </c>
      <c r="P27" s="17">
        <f>'[1]资源-装备经验'!U27</f>
        <v>11200</v>
      </c>
      <c r="Q27" s="17">
        <f>'[1]资源-装备经验'!V27</f>
        <v>11200</v>
      </c>
      <c r="R27" s="17">
        <f>'[1]资源-装备经验'!W27</f>
        <v>11200</v>
      </c>
      <c r="S27" s="17"/>
      <c r="T27" s="17">
        <v>22</v>
      </c>
      <c r="U27" s="17">
        <f>N27*节奏总纲!BJ25+求节点($C$12:$C$21,$K$12:$K$21,$T27)</f>
        <v>17546.666666666686</v>
      </c>
      <c r="V27" s="17">
        <f>O27*节奏总纲!BK25+求节点($C$35:$C$44,$K$35:$K$44,$T27)</f>
        <v>17897.60000000002</v>
      </c>
      <c r="W27" s="17">
        <f>P27*节奏总纲!BL25+求节点($C$58:$C$67,$K$58:$K$67,$T27)</f>
        <v>18599.466666666689</v>
      </c>
      <c r="X27" s="17">
        <f>Q27*节奏总纲!BM25+求节点($C$81:$C$90,$K$81:$K$90,$T27)</f>
        <v>20003.200000000019</v>
      </c>
      <c r="Y27" s="17">
        <f>R27*节奏总纲!BN25+求节点($C$104:$C$113,$K$104:$K$113,$T27)</f>
        <v>24565.333333333358</v>
      </c>
    </row>
    <row r="28" spans="2:25" x14ac:dyDescent="0.15">
      <c r="B28" s="17"/>
      <c r="M28" s="17">
        <v>23</v>
      </c>
      <c r="N28" s="17">
        <f>'[1]资源-装备经验'!S28</f>
        <v>13350</v>
      </c>
      <c r="O28" s="17">
        <f>'[1]资源-装备经验'!T28</f>
        <v>13350</v>
      </c>
      <c r="P28" s="17">
        <f>'[1]资源-装备经验'!U28</f>
        <v>13350</v>
      </c>
      <c r="Q28" s="17">
        <f>'[1]资源-装备经验'!V28</f>
        <v>13350</v>
      </c>
      <c r="R28" s="17">
        <f>'[1]资源-装备经验'!W28</f>
        <v>13350</v>
      </c>
      <c r="S28" s="17"/>
      <c r="T28" s="17">
        <v>23</v>
      </c>
      <c r="U28" s="17">
        <f>N28*节奏总纲!BJ26+求节点($C$12:$C$21,$K$12:$K$21,$T28)</f>
        <v>21360.000000000025</v>
      </c>
      <c r="V28" s="17">
        <f>O28*节奏总纲!BK26+求节点($C$35:$C$44,$K$35:$K$44,$T28)</f>
        <v>21787.200000000026</v>
      </c>
      <c r="W28" s="17">
        <f>P28*节奏总纲!BL26+求节点($C$58:$C$67,$K$58:$K$67,$T28)</f>
        <v>22641.600000000028</v>
      </c>
      <c r="X28" s="17">
        <f>Q28*节奏总纲!BM26+求节点($C$81:$C$90,$K$81:$K$90,$T28)</f>
        <v>24350.400000000027</v>
      </c>
      <c r="Y28" s="17">
        <f>R28*节奏总纲!BN26+求节点($C$104:$C$113,$K$104:$K$113,$T28)</f>
        <v>29904.000000000033</v>
      </c>
    </row>
    <row r="29" spans="2:25" x14ac:dyDescent="0.15">
      <c r="B29" s="17"/>
      <c r="M29" s="17">
        <v>24</v>
      </c>
      <c r="N29" s="17">
        <f>'[1]资源-装备经验'!S29</f>
        <v>15500</v>
      </c>
      <c r="O29" s="17">
        <f>'[1]资源-装备经验'!T29</f>
        <v>15500</v>
      </c>
      <c r="P29" s="17">
        <f>'[1]资源-装备经验'!U29</f>
        <v>15500</v>
      </c>
      <c r="Q29" s="17">
        <f>'[1]资源-装备经验'!V29</f>
        <v>15500</v>
      </c>
      <c r="R29" s="17">
        <f>'[1]资源-装备经验'!W29</f>
        <v>15500</v>
      </c>
      <c r="S29" s="17"/>
      <c r="T29" s="17">
        <v>24</v>
      </c>
      <c r="U29" s="17">
        <f>N29*节奏总纲!BJ27+求节点($C$12:$C$21,$K$12:$K$21,$T29)</f>
        <v>25316.666666666697</v>
      </c>
      <c r="V29" s="17">
        <f>O29*节奏总纲!BK27+求节点($C$35:$C$44,$K$35:$K$44,$T29)</f>
        <v>25823.000000000033</v>
      </c>
      <c r="W29" s="17">
        <f>P29*节奏总纲!BL27+求节点($C$58:$C$67,$K$58:$K$67,$T29)</f>
        <v>26835.666666666701</v>
      </c>
      <c r="X29" s="17">
        <f>Q29*节奏总纲!BM27+求节点($C$81:$C$90,$K$81:$K$90,$T29)</f>
        <v>28861.000000000033</v>
      </c>
      <c r="Y29" s="17">
        <f>R29*节奏总纲!BN27+求节点($C$104:$C$113,$K$104:$K$113,$T29)</f>
        <v>35443.333333333372</v>
      </c>
    </row>
    <row r="30" spans="2:25" x14ac:dyDescent="0.15">
      <c r="B30" s="17"/>
      <c r="M30" s="17">
        <v>25</v>
      </c>
      <c r="N30" s="17">
        <f>'[1]资源-装备经验'!S30</f>
        <v>17650</v>
      </c>
      <c r="O30" s="17">
        <f>'[1]资源-装备经验'!T30</f>
        <v>17650</v>
      </c>
      <c r="P30" s="17">
        <f>'[1]资源-装备经验'!U30</f>
        <v>17650</v>
      </c>
      <c r="Q30" s="17">
        <f>'[1]资源-装备经验'!V30</f>
        <v>17650</v>
      </c>
      <c r="R30" s="17">
        <f>'[1]资源-装备经验'!W30</f>
        <v>17650</v>
      </c>
      <c r="S30" s="17"/>
      <c r="T30" s="17">
        <v>25</v>
      </c>
      <c r="U30" s="17">
        <f>N30*节奏总纲!BJ28+求节点($C$12:$C$21,$K$12:$K$21,$T30)</f>
        <v>29416.666666666704</v>
      </c>
      <c r="V30" s="17">
        <f>O30*节奏总纲!BK28+求节点($C$35:$C$44,$K$35:$K$44,$T30)</f>
        <v>30005.00000000004</v>
      </c>
      <c r="W30" s="17">
        <f>P30*节奏总纲!BL28+求节点($C$58:$C$67,$K$58:$K$67,$T30)</f>
        <v>31181.666666666708</v>
      </c>
      <c r="X30" s="17">
        <f>Q30*节奏总纲!BM28+求节点($C$81:$C$90,$K$81:$K$90,$T30)</f>
        <v>33535.000000000036</v>
      </c>
      <c r="Y30" s="17">
        <f>R30*节奏总纲!BN28+求节点($C$104:$C$113,$K$104:$K$113,$T30)</f>
        <v>41183.333333333379</v>
      </c>
    </row>
    <row r="31" spans="2:25" x14ac:dyDescent="0.15">
      <c r="B31" s="17"/>
      <c r="M31" s="17">
        <v>26</v>
      </c>
      <c r="N31" s="17">
        <f>'[1]资源-装备经验'!S31</f>
        <v>19800</v>
      </c>
      <c r="O31" s="17">
        <f>'[1]资源-装备经验'!T31</f>
        <v>19800</v>
      </c>
      <c r="P31" s="17">
        <f>'[1]资源-装备经验'!U31</f>
        <v>19800</v>
      </c>
      <c r="Q31" s="17">
        <f>'[1]资源-装备经验'!V31</f>
        <v>19800</v>
      </c>
      <c r="R31" s="17">
        <f>'[1]资源-装备经验'!W31</f>
        <v>19800</v>
      </c>
      <c r="S31" s="17"/>
      <c r="T31" s="17">
        <v>26</v>
      </c>
      <c r="U31" s="17">
        <f>N31*节奏总纲!BJ29+求节点($C$12:$C$21,$K$12:$K$21,$T31)</f>
        <v>33660.000000000044</v>
      </c>
      <c r="V31" s="17">
        <f>O31*节奏总纲!BK29+求节点($C$35:$C$44,$K$35:$K$44,$T31)</f>
        <v>34333.200000000041</v>
      </c>
      <c r="W31" s="17">
        <f>P31*节奏总纲!BL29+求节点($C$58:$C$67,$K$58:$K$67,$T31)</f>
        <v>35679.600000000049</v>
      </c>
      <c r="X31" s="17">
        <f>Q31*节奏总纲!BM29+求节点($C$81:$C$90,$K$81:$K$90,$T31)</f>
        <v>38372.400000000045</v>
      </c>
      <c r="Y31" s="17">
        <f>R31*节奏总纲!BN29+求节点($C$104:$C$113,$K$104:$K$113,$T31)</f>
        <v>47124.000000000058</v>
      </c>
    </row>
    <row r="32" spans="2:25" x14ac:dyDescent="0.15">
      <c r="B32" s="17"/>
      <c r="M32" s="17">
        <v>27</v>
      </c>
      <c r="N32" s="17">
        <f>'[1]资源-装备经验'!S32</f>
        <v>21950</v>
      </c>
      <c r="O32" s="17">
        <f>'[1]资源-装备经验'!T32</f>
        <v>21950</v>
      </c>
      <c r="P32" s="17">
        <f>'[1]资源-装备经验'!U32</f>
        <v>21950</v>
      </c>
      <c r="Q32" s="17">
        <f>'[1]资源-装备经验'!V32</f>
        <v>21950</v>
      </c>
      <c r="R32" s="17">
        <f>'[1]资源-装备经验'!W32</f>
        <v>21950</v>
      </c>
      <c r="S32" s="17"/>
      <c r="T32" s="17">
        <v>27</v>
      </c>
      <c r="U32" s="17">
        <f>N32*节奏总纲!BJ30+求节点($C$12:$C$21,$K$12:$K$21,$T32)</f>
        <v>38046.666666666715</v>
      </c>
      <c r="V32" s="17">
        <f>O32*节奏总纲!BK30+求节点($C$35:$C$44,$K$35:$K$44,$T32)</f>
        <v>38807.600000000057</v>
      </c>
      <c r="W32" s="17">
        <f>P32*节奏总纲!BL30+求节点($C$58:$C$67,$K$58:$K$67,$T32)</f>
        <v>40329.466666666725</v>
      </c>
      <c r="X32" s="17">
        <f>Q32*节奏总纲!BM30+求节点($C$81:$C$90,$K$81:$K$90,$T32)</f>
        <v>43373.200000000055</v>
      </c>
      <c r="Y32" s="17">
        <f>R32*节奏总纲!BN30+求节点($C$104:$C$113,$K$104:$K$113,$T32)</f>
        <v>53265.333333333401</v>
      </c>
    </row>
    <row r="33" spans="2:25" x14ac:dyDescent="0.15">
      <c r="B33" s="17"/>
      <c r="D33" s="16" t="s">
        <v>1</v>
      </c>
      <c r="E33" s="16"/>
      <c r="F33" s="43" t="s">
        <v>30</v>
      </c>
      <c r="G33" s="44"/>
      <c r="H33" s="44"/>
      <c r="I33" s="44"/>
      <c r="J33" s="45"/>
      <c r="K33" s="46" t="s">
        <v>34</v>
      </c>
      <c r="M33" s="17">
        <v>28</v>
      </c>
      <c r="N33" s="17">
        <f>'[1]资源-装备经验'!S33</f>
        <v>24100</v>
      </c>
      <c r="O33" s="17">
        <f>'[1]资源-装备经验'!T33</f>
        <v>24100</v>
      </c>
      <c r="P33" s="17">
        <f>'[1]资源-装备经验'!U33</f>
        <v>24100</v>
      </c>
      <c r="Q33" s="17">
        <f>'[1]资源-装备经验'!V33</f>
        <v>24100</v>
      </c>
      <c r="R33" s="17">
        <f>'[1]资源-装备经验'!W33</f>
        <v>24100</v>
      </c>
      <c r="S33" s="17"/>
      <c r="T33" s="17">
        <v>28</v>
      </c>
      <c r="U33" s="17">
        <f>N33*节奏总纲!BJ31+求节点($C$12:$C$21,$K$12:$K$21,$T33)</f>
        <v>42576.666666666722</v>
      </c>
      <c r="V33" s="17">
        <f>O33*节奏总纲!BK31+求节点($C$35:$C$44,$K$35:$K$44,$T33)</f>
        <v>43428.200000000063</v>
      </c>
      <c r="W33" s="17">
        <f>P33*节奏总纲!BL31+求节点($C$58:$C$67,$K$58:$K$67,$T33)</f>
        <v>45131.266666666728</v>
      </c>
      <c r="X33" s="17">
        <f>Q33*节奏总纲!BM31+求节点($C$81:$C$90,$K$81:$K$90,$T33)</f>
        <v>48537.40000000006</v>
      </c>
      <c r="Y33" s="17">
        <f>R33*节奏总纲!BN31+求节点($C$104:$C$113,$K$104:$K$113,$T33)</f>
        <v>59607.333333333416</v>
      </c>
    </row>
    <row r="34" spans="2:25" x14ac:dyDescent="0.15">
      <c r="B34" s="17"/>
      <c r="C34" s="16" t="s">
        <v>48</v>
      </c>
      <c r="D34" s="16" t="s">
        <v>31</v>
      </c>
      <c r="E34" s="16" t="s">
        <v>32</v>
      </c>
      <c r="F34" s="16" t="s">
        <v>25</v>
      </c>
      <c r="G34" s="16" t="s">
        <v>26</v>
      </c>
      <c r="H34" s="16" t="s">
        <v>27</v>
      </c>
      <c r="I34" s="16" t="s">
        <v>28</v>
      </c>
      <c r="J34" s="16" t="s">
        <v>29</v>
      </c>
      <c r="K34" s="46"/>
      <c r="M34" s="17">
        <v>29</v>
      </c>
      <c r="N34" s="17">
        <f>'[1]资源-装备经验'!S34</f>
        <v>26250</v>
      </c>
      <c r="O34" s="17">
        <f>'[1]资源-装备经验'!T34</f>
        <v>26250</v>
      </c>
      <c r="P34" s="17">
        <f>'[1]资源-装备经验'!U34</f>
        <v>26250</v>
      </c>
      <c r="Q34" s="17">
        <f>'[1]资源-装备经验'!V34</f>
        <v>26250</v>
      </c>
      <c r="R34" s="17">
        <f>'[1]资源-装备经验'!W34</f>
        <v>26250</v>
      </c>
      <c r="S34" s="17"/>
      <c r="T34" s="17">
        <v>29</v>
      </c>
      <c r="U34" s="17">
        <f>N34*节奏总纲!BJ32+求节点($C$12:$C$21,$K$12:$K$21,$T34)</f>
        <v>47250.000000000065</v>
      </c>
      <c r="V34" s="17">
        <f>O34*节奏总纲!BK32+求节点($C$35:$C$44,$K$35:$K$44,$T34)</f>
        <v>48195.000000000065</v>
      </c>
      <c r="W34" s="17">
        <f>P34*节奏总纲!BL32+求节点($C$58:$C$67,$K$58:$K$67,$T34)</f>
        <v>50085.000000000073</v>
      </c>
      <c r="X34" s="17">
        <f>Q34*节奏总纲!BM32+求节点($C$81:$C$90,$K$81:$K$90,$T34)</f>
        <v>53865.000000000073</v>
      </c>
      <c r="Y34" s="17">
        <f>R34*节奏总纲!BN32+求节点($C$104:$C$113,$K$104:$K$113,$T34)</f>
        <v>66150.000000000087</v>
      </c>
    </row>
    <row r="35" spans="2:25" x14ac:dyDescent="0.15">
      <c r="B35" s="17"/>
      <c r="C35" s="16">
        <v>10</v>
      </c>
      <c r="D35" s="16">
        <f>'[1]资源-装备'!BG35</f>
        <v>0</v>
      </c>
      <c r="E35" s="16">
        <f>'[1]资源-装备'!BH35</f>
        <v>0</v>
      </c>
      <c r="F35" s="16">
        <f>'[1]资源-装备'!BI35</f>
        <v>0</v>
      </c>
      <c r="G35" s="16">
        <f>'[1]资源-装备'!BJ35</f>
        <v>0</v>
      </c>
      <c r="H35" s="16">
        <f>'[1]资源-装备'!BK35</f>
        <v>0</v>
      </c>
      <c r="I35" s="16">
        <f>'[1]资源-装备'!BL35</f>
        <v>0</v>
      </c>
      <c r="J35" s="16">
        <f>'[1]资源-装备'!BM35</f>
        <v>0</v>
      </c>
      <c r="K35" s="16">
        <f>SUM(F35:J35)*D35*E35</f>
        <v>0</v>
      </c>
      <c r="M35" s="17">
        <v>30</v>
      </c>
      <c r="N35" s="17">
        <f>'[1]资源-装备经验'!S35</f>
        <v>28400</v>
      </c>
      <c r="O35" s="17">
        <f>'[1]资源-装备经验'!T35</f>
        <v>28400</v>
      </c>
      <c r="P35" s="17">
        <f>'[1]资源-装备经验'!U35</f>
        <v>28400</v>
      </c>
      <c r="Q35" s="17">
        <f>'[1]资源-装备经验'!V35</f>
        <v>28400</v>
      </c>
      <c r="R35" s="17">
        <f>'[1]资源-装备经验'!W35</f>
        <v>28400</v>
      </c>
      <c r="S35" s="17"/>
      <c r="T35" s="17">
        <v>30</v>
      </c>
      <c r="U35" s="17">
        <f>N35*节奏总纲!BJ33+求节点($C$12:$C$21,$K$12:$K$21,$T35)</f>
        <v>52066.666666666737</v>
      </c>
      <c r="V35" s="17">
        <f>O35*节奏总纲!BK33+求节点($C$35:$C$44,$K$35:$K$44,$T35)</f>
        <v>53108.00000000008</v>
      </c>
      <c r="W35" s="17">
        <f>P35*节奏总纲!BL33+求节点($C$58:$C$67,$K$58:$K$67,$T35)</f>
        <v>55190.666666666752</v>
      </c>
      <c r="X35" s="17">
        <f>Q35*节奏总纲!BM33+求节点($C$81:$C$90,$K$81:$K$90,$T35)</f>
        <v>59356.000000000087</v>
      </c>
      <c r="Y35" s="17">
        <f>R35*节奏总纲!BN33+求节点($C$104:$C$113,$K$104:$K$113,$T35)</f>
        <v>72893.33333333343</v>
      </c>
    </row>
    <row r="36" spans="2:25" x14ac:dyDescent="0.15">
      <c r="B36" s="17"/>
      <c r="C36" s="16">
        <v>20</v>
      </c>
      <c r="D36" s="16">
        <f>'[1]资源-装备'!BG36</f>
        <v>0</v>
      </c>
      <c r="E36" s="16">
        <f>'[1]资源-装备'!BH36</f>
        <v>0</v>
      </c>
      <c r="F36" s="16">
        <f>'[1]资源-装备'!BI36</f>
        <v>0</v>
      </c>
      <c r="G36" s="16">
        <f>'[1]资源-装备'!BJ36</f>
        <v>0</v>
      </c>
      <c r="H36" s="16">
        <f>'[1]资源-装备'!BK36</f>
        <v>0</v>
      </c>
      <c r="I36" s="16">
        <f>'[1]资源-装备'!BL36</f>
        <v>0</v>
      </c>
      <c r="J36" s="16">
        <f>'[1]资源-装备'!BM36</f>
        <v>0</v>
      </c>
      <c r="K36" s="16">
        <f t="shared" ref="K36:K44" si="1">SUM(F36:J36)*D36*E36</f>
        <v>0</v>
      </c>
      <c r="M36" s="17">
        <v>31</v>
      </c>
      <c r="N36" s="17">
        <f>'[1]资源-装备经验'!S36</f>
        <v>32664</v>
      </c>
      <c r="O36" s="17">
        <f>'[1]资源-装备经验'!T36</f>
        <v>32664</v>
      </c>
      <c r="P36" s="17">
        <f>'[1]资源-装备经验'!U36</f>
        <v>32664</v>
      </c>
      <c r="Q36" s="17">
        <f>'[1]资源-装备经验'!V36</f>
        <v>32664</v>
      </c>
      <c r="R36" s="17">
        <f>'[1]资源-装备经验'!W36</f>
        <v>32664</v>
      </c>
      <c r="S36" s="17"/>
      <c r="T36" s="17">
        <v>31</v>
      </c>
      <c r="U36" s="17">
        <f>N36*节奏总纲!BJ34+求节点($C$12:$C$21,$K$12:$K$21,$T36)</f>
        <v>60972.80000000009</v>
      </c>
      <c r="V36" s="17">
        <f>O36*节奏总纲!BK34+求节点($C$35:$C$44,$K$35:$K$44,$T36)</f>
        <v>62192.256000000089</v>
      </c>
      <c r="W36" s="17">
        <f>P36*节奏总纲!BL34+求节点($C$58:$C$67,$K$58:$K$67,$T36)</f>
        <v>64631.1680000001</v>
      </c>
      <c r="X36" s="17">
        <f>Q36*节奏总纲!BM34+求节点($C$81:$C$90,$K$81:$K$90,$T36)</f>
        <v>69508.992000000086</v>
      </c>
      <c r="Y36" s="17">
        <f>R36*节奏总纲!BN34+求节点($C$104:$C$113,$K$104:$K$113,$T36)</f>
        <v>85361.920000000115</v>
      </c>
    </row>
    <row r="37" spans="2:25" x14ac:dyDescent="0.15">
      <c r="B37" s="17"/>
      <c r="C37" s="16">
        <v>30</v>
      </c>
      <c r="D37" s="16">
        <f>'[1]资源-装备'!BG37</f>
        <v>0</v>
      </c>
      <c r="E37" s="16">
        <f>'[1]资源-装备'!BH37</f>
        <v>0</v>
      </c>
      <c r="F37" s="16">
        <f>'[1]资源-装备'!BI37</f>
        <v>0</v>
      </c>
      <c r="G37" s="16">
        <f>'[1]资源-装备'!BJ37</f>
        <v>0</v>
      </c>
      <c r="H37" s="16">
        <f>'[1]资源-装备'!BK37</f>
        <v>0</v>
      </c>
      <c r="I37" s="16">
        <f>'[1]资源-装备'!BL37</f>
        <v>0</v>
      </c>
      <c r="J37" s="16">
        <f>'[1]资源-装备'!BM37</f>
        <v>0</v>
      </c>
      <c r="K37" s="16">
        <f t="shared" si="1"/>
        <v>0</v>
      </c>
      <c r="M37" s="17">
        <v>32</v>
      </c>
      <c r="N37" s="17">
        <f>'[1]资源-装备经验'!S37</f>
        <v>36928</v>
      </c>
      <c r="O37" s="17">
        <f>'[1]资源-装备经验'!T37</f>
        <v>36928</v>
      </c>
      <c r="P37" s="17">
        <f>'[1]资源-装备经验'!U37</f>
        <v>36928</v>
      </c>
      <c r="Q37" s="17">
        <f>'[1]资源-装备经验'!V37</f>
        <v>36928</v>
      </c>
      <c r="R37" s="17">
        <f>'[1]资源-装备经验'!W37</f>
        <v>36928</v>
      </c>
      <c r="S37" s="17"/>
      <c r="T37" s="17">
        <v>32</v>
      </c>
      <c r="U37" s="17">
        <f>N37*节奏总纲!BJ35+求节点($C$12:$C$21,$K$12:$K$21,$T37)</f>
        <v>70163.200000000099</v>
      </c>
      <c r="V37" s="17">
        <f>O37*节奏总纲!BK35+求节点($C$35:$C$44,$K$35:$K$44,$T37)</f>
        <v>71566.464000000109</v>
      </c>
      <c r="W37" s="17">
        <f>P37*节奏总纲!BL35+求节点($C$58:$C$67,$K$58:$K$67,$T37)</f>
        <v>74372.9920000001</v>
      </c>
      <c r="X37" s="17">
        <f>Q37*节奏总纲!BM35+求节点($C$81:$C$90,$K$81:$K$90,$T37)</f>
        <v>79986.048000000112</v>
      </c>
      <c r="Y37" s="17">
        <f>R37*节奏总纲!BN35+求节点($C$104:$C$113,$K$104:$K$113,$T37)</f>
        <v>98228.480000000141</v>
      </c>
    </row>
    <row r="38" spans="2:25" x14ac:dyDescent="0.15">
      <c r="B38" s="17"/>
      <c r="C38" s="16">
        <v>40</v>
      </c>
      <c r="D38" s="16">
        <f>'[1]资源-装备'!BG38</f>
        <v>0</v>
      </c>
      <c r="E38" s="16">
        <f>'[1]资源-装备'!BH38</f>
        <v>0</v>
      </c>
      <c r="F38" s="16">
        <f>'[1]资源-装备'!BI38</f>
        <v>0</v>
      </c>
      <c r="G38" s="16">
        <f>'[1]资源-装备'!BJ38</f>
        <v>0</v>
      </c>
      <c r="H38" s="16">
        <f>'[1]资源-装备'!BK38</f>
        <v>0</v>
      </c>
      <c r="I38" s="16">
        <f>'[1]资源-装备'!BL38</f>
        <v>0</v>
      </c>
      <c r="J38" s="16">
        <f>'[1]资源-装备'!BM38</f>
        <v>0</v>
      </c>
      <c r="K38" s="16">
        <f t="shared" si="1"/>
        <v>0</v>
      </c>
      <c r="M38" s="17">
        <v>33</v>
      </c>
      <c r="N38" s="17">
        <f>'[1]资源-装备经验'!S38</f>
        <v>41192</v>
      </c>
      <c r="O38" s="17">
        <f>'[1]资源-装备经验'!T38</f>
        <v>41192</v>
      </c>
      <c r="P38" s="17">
        <f>'[1]资源-装备经验'!U38</f>
        <v>41192</v>
      </c>
      <c r="Q38" s="17">
        <f>'[1]资源-装备经验'!V38</f>
        <v>41192</v>
      </c>
      <c r="R38" s="17">
        <f>'[1]资源-装备经验'!W38</f>
        <v>41192</v>
      </c>
      <c r="S38" s="17"/>
      <c r="T38" s="17">
        <v>33</v>
      </c>
      <c r="U38" s="17">
        <f>N38*节奏总纲!BJ36+求节点($C$12:$C$21,$K$12:$K$21,$T38)</f>
        <v>79637.866666666785</v>
      </c>
      <c r="V38" s="17">
        <f>O38*节奏总纲!BK36+求节点($C$35:$C$44,$K$35:$K$44,$T38)</f>
        <v>81230.624000000127</v>
      </c>
      <c r="W38" s="17">
        <f>P38*节奏总纲!BL36+求节点($C$58:$C$67,$K$58:$K$67,$T38)</f>
        <v>84416.138666666797</v>
      </c>
      <c r="X38" s="17">
        <f>Q38*节奏总纲!BM36+求节点($C$81:$C$90,$K$81:$K$90,$T38)</f>
        <v>90787.168000000136</v>
      </c>
      <c r="Y38" s="17">
        <f>R38*节奏总纲!BN36+求节点($C$104:$C$113,$K$104:$K$113,$T38)</f>
        <v>111493.0133333335</v>
      </c>
    </row>
    <row r="39" spans="2:25" x14ac:dyDescent="0.15">
      <c r="B39" s="17"/>
      <c r="C39" s="16">
        <v>50</v>
      </c>
      <c r="D39" s="16">
        <f>'[1]资源-装备'!BG39</f>
        <v>0</v>
      </c>
      <c r="E39" s="16">
        <f>'[1]资源-装备'!BH39</f>
        <v>0</v>
      </c>
      <c r="F39" s="16">
        <f>'[1]资源-装备'!BI39</f>
        <v>0</v>
      </c>
      <c r="G39" s="16">
        <f>'[1]资源-装备'!BJ39</f>
        <v>0</v>
      </c>
      <c r="H39" s="16">
        <f>'[1]资源-装备'!BK39</f>
        <v>0</v>
      </c>
      <c r="I39" s="16">
        <f>'[1]资源-装备'!BL39</f>
        <v>0</v>
      </c>
      <c r="J39" s="16">
        <f>'[1]资源-装备'!BM39</f>
        <v>0</v>
      </c>
      <c r="K39" s="16">
        <f t="shared" si="1"/>
        <v>0</v>
      </c>
      <c r="M39" s="17">
        <v>34</v>
      </c>
      <c r="N39" s="17">
        <f>'[1]资源-装备经验'!S39</f>
        <v>45456</v>
      </c>
      <c r="O39" s="17">
        <f>'[1]资源-装备经验'!T39</f>
        <v>45456</v>
      </c>
      <c r="P39" s="17">
        <f>'[1]资源-装备经验'!U39</f>
        <v>45456</v>
      </c>
      <c r="Q39" s="17">
        <f>'[1]资源-装备经验'!V39</f>
        <v>45456</v>
      </c>
      <c r="R39" s="17">
        <f>'[1]资源-装备经验'!W39</f>
        <v>45456</v>
      </c>
      <c r="S39" s="17"/>
      <c r="T39" s="17">
        <v>34</v>
      </c>
      <c r="U39" s="17">
        <f>N39*节奏总纲!BJ37+求节点($C$12:$C$21,$K$12:$K$21,$T39)</f>
        <v>89396.800000000134</v>
      </c>
      <c r="V39" s="17">
        <f>O39*节奏总纲!BK37+求节点($C$35:$C$44,$K$35:$K$44,$T39)</f>
        <v>91184.736000000135</v>
      </c>
      <c r="W39" s="17">
        <f>P39*节奏总纲!BL37+求节点($C$58:$C$67,$K$58:$K$67,$T39)</f>
        <v>94760.608000000138</v>
      </c>
      <c r="X39" s="17">
        <f>Q39*节奏总纲!BM37+求节点($C$81:$C$90,$K$81:$K$90,$T39)</f>
        <v>101912.35200000014</v>
      </c>
      <c r="Y39" s="17">
        <f>R39*节奏总纲!BN37+求节点($C$104:$C$113,$K$104:$K$113,$T39)</f>
        <v>125155.52000000018</v>
      </c>
    </row>
    <row r="40" spans="2:25" x14ac:dyDescent="0.15">
      <c r="B40" s="17"/>
      <c r="C40" s="16">
        <v>60</v>
      </c>
      <c r="D40" s="16">
        <f>'[1]资源-装备'!BG40</f>
        <v>0</v>
      </c>
      <c r="E40" s="16">
        <f>'[1]资源-装备'!BH40</f>
        <v>0</v>
      </c>
      <c r="F40" s="16">
        <f>'[1]资源-装备'!BI40</f>
        <v>0</v>
      </c>
      <c r="G40" s="16">
        <f>'[1]资源-装备'!BJ40</f>
        <v>0</v>
      </c>
      <c r="H40" s="16">
        <f>'[1]资源-装备'!BK40</f>
        <v>0</v>
      </c>
      <c r="I40" s="16">
        <f>'[1]资源-装备'!BL40</f>
        <v>0</v>
      </c>
      <c r="J40" s="16">
        <f>'[1]资源-装备'!BM40</f>
        <v>0</v>
      </c>
      <c r="K40" s="16">
        <f t="shared" si="1"/>
        <v>0</v>
      </c>
      <c r="M40" s="17">
        <v>35</v>
      </c>
      <c r="N40" s="17">
        <f>'[1]资源-装备经验'!S40</f>
        <v>49720</v>
      </c>
      <c r="O40" s="17">
        <f>'[1]资源-装备经验'!T40</f>
        <v>49720</v>
      </c>
      <c r="P40" s="17">
        <f>'[1]资源-装备经验'!U40</f>
        <v>49720</v>
      </c>
      <c r="Q40" s="17">
        <f>'[1]资源-装备经验'!V40</f>
        <v>49720</v>
      </c>
      <c r="R40" s="17">
        <f>'[1]资源-装备经验'!W40</f>
        <v>49720</v>
      </c>
      <c r="S40" s="17"/>
      <c r="T40" s="17">
        <v>35</v>
      </c>
      <c r="U40" s="17">
        <f>N40*节奏总纲!BJ38+求节点($C$12:$C$21,$K$12:$K$21,$T40)</f>
        <v>99440.00000000016</v>
      </c>
      <c r="V40" s="17">
        <f>O40*节奏总纲!BK38+求节点($C$35:$C$44,$K$35:$K$44,$T40)</f>
        <v>101428.80000000016</v>
      </c>
      <c r="W40" s="17">
        <f>P40*节奏总纲!BL38+求节点($C$58:$C$67,$K$58:$K$67,$T40)</f>
        <v>105406.40000000015</v>
      </c>
      <c r="X40" s="17">
        <f>Q40*节奏总纲!BM38+求节点($C$81:$C$90,$K$81:$K$90,$T40)</f>
        <v>113361.60000000017</v>
      </c>
      <c r="Y40" s="17">
        <f>R40*节奏总纲!BN38+求节点($C$104:$C$113,$K$104:$K$113,$T40)</f>
        <v>139216.0000000002</v>
      </c>
    </row>
    <row r="41" spans="2:25" x14ac:dyDescent="0.15">
      <c r="B41" s="17"/>
      <c r="C41" s="16">
        <v>70</v>
      </c>
      <c r="D41" s="16">
        <f>'[1]资源-装备'!BG41</f>
        <v>0</v>
      </c>
      <c r="E41" s="16">
        <f>'[1]资源-装备'!BH41</f>
        <v>0</v>
      </c>
      <c r="F41" s="16">
        <f>'[1]资源-装备'!BI41</f>
        <v>0</v>
      </c>
      <c r="G41" s="16">
        <f>'[1]资源-装备'!BJ41</f>
        <v>0</v>
      </c>
      <c r="H41" s="16">
        <f>'[1]资源-装备'!BK41</f>
        <v>0</v>
      </c>
      <c r="I41" s="16">
        <f>'[1]资源-装备'!BL41</f>
        <v>0</v>
      </c>
      <c r="J41" s="16">
        <f>'[1]资源-装备'!BM41</f>
        <v>0</v>
      </c>
      <c r="K41" s="16">
        <f t="shared" si="1"/>
        <v>0</v>
      </c>
      <c r="M41" s="17">
        <v>36</v>
      </c>
      <c r="N41" s="17">
        <f>'[1]资源-装备经验'!S41</f>
        <v>53984</v>
      </c>
      <c r="O41" s="17">
        <f>'[1]资源-装备经验'!T41</f>
        <v>53984</v>
      </c>
      <c r="P41" s="17">
        <f>'[1]资源-装备经验'!U41</f>
        <v>53984</v>
      </c>
      <c r="Q41" s="17">
        <f>'[1]资源-装备经验'!V41</f>
        <v>53984</v>
      </c>
      <c r="R41" s="17">
        <f>'[1]资源-装备经验'!W41</f>
        <v>53984</v>
      </c>
      <c r="S41" s="17"/>
      <c r="T41" s="17">
        <v>36</v>
      </c>
      <c r="U41" s="17">
        <f>N41*节奏总纲!BJ39+求节点($C$12:$C$21,$K$12:$K$21,$T41)</f>
        <v>109767.46666666683</v>
      </c>
      <c r="V41" s="17">
        <f>O41*节奏总纲!BK39+求节点($C$35:$C$44,$K$35:$K$44,$T41)</f>
        <v>111962.81600000017</v>
      </c>
      <c r="W41" s="17">
        <f>P41*节奏总纲!BL39+求节点($C$58:$C$67,$K$58:$K$67,$T41)</f>
        <v>116353.51466666684</v>
      </c>
      <c r="X41" s="17">
        <f>Q41*节奏总纲!BM39+求节点($C$81:$C$90,$K$81:$K$90,$T41)</f>
        <v>125134.91200000017</v>
      </c>
      <c r="Y41" s="17">
        <f>R41*节奏总纲!BN39+求节点($C$104:$C$113,$K$104:$K$113,$T41)</f>
        <v>153674.45333333354</v>
      </c>
    </row>
    <row r="42" spans="2:25" x14ac:dyDescent="0.15">
      <c r="B42" s="17"/>
      <c r="C42" s="16">
        <v>80</v>
      </c>
      <c r="D42" s="16">
        <f>'[1]资源-装备'!BG42</f>
        <v>0</v>
      </c>
      <c r="E42" s="16">
        <f>'[1]资源-装备'!BH42</f>
        <v>0</v>
      </c>
      <c r="F42" s="16">
        <f>'[1]资源-装备'!BI42</f>
        <v>0</v>
      </c>
      <c r="G42" s="16">
        <f>'[1]资源-装备'!BJ42</f>
        <v>0</v>
      </c>
      <c r="H42" s="16">
        <f>'[1]资源-装备'!BK42</f>
        <v>0</v>
      </c>
      <c r="I42" s="16">
        <f>'[1]资源-装备'!BL42</f>
        <v>0</v>
      </c>
      <c r="J42" s="16">
        <f>'[1]资源-装备'!BM42</f>
        <v>0</v>
      </c>
      <c r="K42" s="16">
        <f t="shared" si="1"/>
        <v>0</v>
      </c>
      <c r="M42" s="17">
        <v>37</v>
      </c>
      <c r="N42" s="17">
        <f>'[1]资源-装备经验'!S42</f>
        <v>58248</v>
      </c>
      <c r="O42" s="17">
        <f>'[1]资源-装备经验'!T42</f>
        <v>58248</v>
      </c>
      <c r="P42" s="17">
        <f>'[1]资源-装备经验'!U42</f>
        <v>58248</v>
      </c>
      <c r="Q42" s="17">
        <f>'[1]资源-装备经验'!V42</f>
        <v>58248</v>
      </c>
      <c r="R42" s="17">
        <f>'[1]资源-装备经验'!W42</f>
        <v>58248</v>
      </c>
      <c r="S42" s="17"/>
      <c r="T42" s="17">
        <v>37</v>
      </c>
      <c r="U42" s="17">
        <f>N42*节奏总纲!BJ40+求节点($C$12:$C$21,$K$12:$K$21,$T42)</f>
        <v>120379.20000000017</v>
      </c>
      <c r="V42" s="17">
        <f>O42*节奏总纲!BK40+求节点($C$35:$C$44,$K$35:$K$44,$T42)</f>
        <v>122786.78400000016</v>
      </c>
      <c r="W42" s="17">
        <f>P42*节奏总纲!BL40+求节点($C$58:$C$67,$K$58:$K$67,$T42)</f>
        <v>127601.95200000018</v>
      </c>
      <c r="X42" s="17">
        <f>Q42*节奏总纲!BM40+求节点($C$81:$C$90,$K$81:$K$90,$T42)</f>
        <v>137232.28800000018</v>
      </c>
      <c r="Y42" s="17">
        <f>R42*节奏总纲!BN40+求节点($C$104:$C$113,$K$104:$K$113,$T42)</f>
        <v>168530.88000000021</v>
      </c>
    </row>
    <row r="43" spans="2:25" x14ac:dyDescent="0.15">
      <c r="B43" s="17"/>
      <c r="C43" s="16">
        <v>90</v>
      </c>
      <c r="D43" s="16">
        <f>'[1]资源-装备'!BG43</f>
        <v>0</v>
      </c>
      <c r="E43" s="16">
        <f>'[1]资源-装备'!BH43</f>
        <v>0</v>
      </c>
      <c r="F43" s="16">
        <f>'[1]资源-装备'!BI43</f>
        <v>0</v>
      </c>
      <c r="G43" s="16">
        <f>'[1]资源-装备'!BJ43</f>
        <v>0</v>
      </c>
      <c r="H43" s="16">
        <f>'[1]资源-装备'!BK43</f>
        <v>0</v>
      </c>
      <c r="I43" s="16">
        <f>'[1]资源-装备'!BL43</f>
        <v>0</v>
      </c>
      <c r="J43" s="16">
        <f>'[1]资源-装备'!BM43</f>
        <v>0</v>
      </c>
      <c r="K43" s="16">
        <f t="shared" si="1"/>
        <v>0</v>
      </c>
      <c r="M43" s="17">
        <v>38</v>
      </c>
      <c r="N43" s="17">
        <f>'[1]资源-装备经验'!S43</f>
        <v>62512</v>
      </c>
      <c r="O43" s="17">
        <f>'[1]资源-装备经验'!T43</f>
        <v>62512</v>
      </c>
      <c r="P43" s="17">
        <f>'[1]资源-装备经验'!U43</f>
        <v>62512</v>
      </c>
      <c r="Q43" s="17">
        <f>'[1]资源-装备经验'!V43</f>
        <v>62512</v>
      </c>
      <c r="R43" s="17">
        <f>'[1]资源-装备经验'!W43</f>
        <v>62512</v>
      </c>
      <c r="S43" s="17"/>
      <c r="T43" s="17">
        <v>38</v>
      </c>
      <c r="U43" s="17">
        <f>N43*节奏总纲!BJ41+求节点($C$12:$C$21,$K$12:$K$21,$T43)</f>
        <v>131275.20000000019</v>
      </c>
      <c r="V43" s="17">
        <f>O43*节奏总纲!BK41+求节点($C$35:$C$44,$K$35:$K$44,$T43)</f>
        <v>133900.7040000002</v>
      </c>
      <c r="W43" s="17">
        <f>P43*节奏总纲!BL41+求节点($C$58:$C$67,$K$58:$K$67,$T43)</f>
        <v>139151.7120000002</v>
      </c>
      <c r="X43" s="17">
        <f>Q43*节奏总纲!BM41+求节点($C$81:$C$90,$K$81:$K$90,$T43)</f>
        <v>149653.72800000018</v>
      </c>
      <c r="Y43" s="17">
        <f>R43*节奏总纲!BN41+求节点($C$104:$C$113,$K$104:$K$113,$T43)</f>
        <v>183785.28000000023</v>
      </c>
    </row>
    <row r="44" spans="2:25" x14ac:dyDescent="0.15">
      <c r="B44" s="17"/>
      <c r="C44" s="16">
        <v>100</v>
      </c>
      <c r="D44" s="16">
        <f>'[1]资源-装备'!BG44</f>
        <v>0</v>
      </c>
      <c r="E44" s="16">
        <f>'[1]资源-装备'!BH44</f>
        <v>0</v>
      </c>
      <c r="F44" s="16">
        <f>'[1]资源-装备'!BI44</f>
        <v>0</v>
      </c>
      <c r="G44" s="16">
        <f>'[1]资源-装备'!BJ44</f>
        <v>0</v>
      </c>
      <c r="H44" s="16">
        <f>'[1]资源-装备'!BK44</f>
        <v>0</v>
      </c>
      <c r="I44" s="16">
        <f>'[1]资源-装备'!BL44</f>
        <v>0</v>
      </c>
      <c r="J44" s="16">
        <f>'[1]资源-装备'!BM44</f>
        <v>0</v>
      </c>
      <c r="K44" s="16">
        <f t="shared" si="1"/>
        <v>0</v>
      </c>
      <c r="M44" s="17">
        <v>39</v>
      </c>
      <c r="N44" s="17">
        <f>'[1]资源-装备经验'!S44</f>
        <v>66776</v>
      </c>
      <c r="O44" s="17">
        <f>'[1]资源-装备经验'!T44</f>
        <v>66776</v>
      </c>
      <c r="P44" s="17">
        <f>'[1]资源-装备经验'!U44</f>
        <v>66776</v>
      </c>
      <c r="Q44" s="17">
        <f>'[1]资源-装备经验'!V44</f>
        <v>66776</v>
      </c>
      <c r="R44" s="17">
        <f>'[1]资源-装备经验'!W44</f>
        <v>66776</v>
      </c>
      <c r="S44" s="17"/>
      <c r="T44" s="17">
        <v>39</v>
      </c>
      <c r="U44" s="17">
        <f>N44*节奏总纲!BJ42+求节点($C$12:$C$21,$K$12:$K$21,$T44)</f>
        <v>142455.46666666685</v>
      </c>
      <c r="V44" s="17">
        <f>O44*节奏总纲!BK42+求节点($C$35:$C$44,$K$35:$K$44,$T44)</f>
        <v>145304.57600000018</v>
      </c>
      <c r="W44" s="17">
        <f>P44*节奏总纲!BL42+求节点($C$58:$C$67,$K$58:$K$67,$T44)</f>
        <v>151002.79466666686</v>
      </c>
      <c r="X44" s="17">
        <f>Q44*节奏总纲!BM42+求节点($C$81:$C$90,$K$81:$K$90,$T44)</f>
        <v>162399.23200000016</v>
      </c>
      <c r="Y44" s="17">
        <f>R44*节奏总纲!BN42+求节点($C$104:$C$113,$K$104:$K$113,$T44)</f>
        <v>199437.65333333358</v>
      </c>
    </row>
    <row r="45" spans="2:25" x14ac:dyDescent="0.15">
      <c r="B45" s="17"/>
      <c r="M45" s="17">
        <v>40</v>
      </c>
      <c r="N45" s="17">
        <f>'[1]资源-装备经验'!S45</f>
        <v>71040</v>
      </c>
      <c r="O45" s="17">
        <f>'[1]资源-装备经验'!T45</f>
        <v>71040</v>
      </c>
      <c r="P45" s="17">
        <f>'[1]资源-装备经验'!U45</f>
        <v>71040</v>
      </c>
      <c r="Q45" s="17">
        <f>'[1]资源-装备经验'!V45</f>
        <v>71040</v>
      </c>
      <c r="R45" s="17">
        <f>'[1]资源-装备经验'!W45</f>
        <v>71040</v>
      </c>
      <c r="S45" s="17"/>
      <c r="T45" s="17">
        <v>40</v>
      </c>
      <c r="U45" s="17">
        <f>N45*节奏总纲!BJ43+求节点($C$12:$C$21,$K$12:$K$21,$T45)</f>
        <v>153920.00000000017</v>
      </c>
      <c r="V45" s="17">
        <f>O45*节奏总纲!BK43+求节点($C$35:$C$44,$K$35:$K$44,$T45)</f>
        <v>156998.4000000002</v>
      </c>
      <c r="W45" s="17">
        <f>P45*节奏总纲!BL43+求节点($C$58:$C$67,$K$58:$K$67,$T45)</f>
        <v>163155.20000000022</v>
      </c>
      <c r="X45" s="17">
        <f>Q45*节奏总纲!BM43+求节点($C$81:$C$90,$K$81:$K$90,$T45)</f>
        <v>175468.80000000019</v>
      </c>
      <c r="Y45" s="17">
        <f>R45*节奏总纲!BN43+求节点($C$104:$C$113,$K$104:$K$113,$T45)</f>
        <v>215488.00000000023</v>
      </c>
    </row>
    <row r="46" spans="2:25" x14ac:dyDescent="0.15">
      <c r="B46" s="17"/>
      <c r="M46" s="17">
        <v>41</v>
      </c>
      <c r="N46" s="17">
        <f>'[1]资源-装备经验'!S46</f>
        <v>75404</v>
      </c>
      <c r="O46" s="17">
        <f>'[1]资源-装备经验'!T46</f>
        <v>75404</v>
      </c>
      <c r="P46" s="17">
        <f>'[1]资源-装备经验'!U46</f>
        <v>75404</v>
      </c>
      <c r="Q46" s="17">
        <f>'[1]资源-装备经验'!V46</f>
        <v>75404</v>
      </c>
      <c r="R46" s="17">
        <f>'[1]资源-装备经验'!W46</f>
        <v>75404</v>
      </c>
      <c r="S46" s="17"/>
      <c r="T46" s="17">
        <v>41</v>
      </c>
      <c r="U46" s="17">
        <f>N46*节奏总纲!BJ44+求节点($C$12:$C$21,$K$12:$K$21,$T46)</f>
        <v>165888.80000000019</v>
      </c>
      <c r="V46" s="17">
        <f>O46*节奏总纲!BK44+求节点($C$35:$C$44,$K$35:$K$44,$T46)</f>
        <v>169206.57600000018</v>
      </c>
      <c r="W46" s="17">
        <f>P46*节奏总纲!BL44+求节点($C$58:$C$67,$K$58:$K$67,$T46)</f>
        <v>175842.1280000002</v>
      </c>
      <c r="X46" s="17">
        <f>Q46*节奏总纲!BM44+求节点($C$81:$C$90,$K$81:$K$90,$T46)</f>
        <v>189113.23200000019</v>
      </c>
      <c r="Y46" s="17">
        <f>R46*节奏总纲!BN44+求节点($C$104:$C$113,$K$104:$K$113,$T46)</f>
        <v>232244.32000000024</v>
      </c>
    </row>
    <row r="47" spans="2:25" x14ac:dyDescent="0.15">
      <c r="B47" s="17"/>
      <c r="M47" s="17">
        <v>42</v>
      </c>
      <c r="N47" s="17">
        <f>'[1]资源-装备经验'!S47</f>
        <v>79768</v>
      </c>
      <c r="O47" s="17">
        <f>'[1]资源-装备经验'!T47</f>
        <v>79768</v>
      </c>
      <c r="P47" s="17">
        <f>'[1]资源-装备经验'!U47</f>
        <v>79768</v>
      </c>
      <c r="Q47" s="17">
        <f>'[1]资源-装备经验'!V47</f>
        <v>79768</v>
      </c>
      <c r="R47" s="17">
        <f>'[1]资源-装备经验'!W47</f>
        <v>79768</v>
      </c>
      <c r="S47" s="17"/>
      <c r="T47" s="17">
        <v>42</v>
      </c>
      <c r="U47" s="17">
        <f>N47*节奏总纲!BJ45+求节点($C$12:$C$21,$K$12:$K$21,$T47)</f>
        <v>178148.53333333353</v>
      </c>
      <c r="V47" s="17">
        <f>O47*节奏总纲!BK45+求节点($C$35:$C$44,$K$35:$K$44,$T47)</f>
        <v>181711.50400000019</v>
      </c>
      <c r="W47" s="17">
        <f>P47*节奏总纲!BL45+求节点($C$58:$C$67,$K$58:$K$67,$T47)</f>
        <v>188837.44533333354</v>
      </c>
      <c r="X47" s="17">
        <f>Q47*节奏总纲!BM45+求节点($C$81:$C$90,$K$81:$K$90,$T47)</f>
        <v>203089.32800000021</v>
      </c>
      <c r="Y47" s="17">
        <f>R47*节奏总纲!BN45+求节点($C$104:$C$113,$K$104:$K$113,$T47)</f>
        <v>249407.94666666689</v>
      </c>
    </row>
    <row r="48" spans="2:25" x14ac:dyDescent="0.15">
      <c r="B48" s="17"/>
      <c r="M48" s="17">
        <v>43</v>
      </c>
      <c r="N48" s="17">
        <f>'[1]资源-装备经验'!S48</f>
        <v>84132</v>
      </c>
      <c r="O48" s="17">
        <f>'[1]资源-装备经验'!T48</f>
        <v>84132</v>
      </c>
      <c r="P48" s="17">
        <f>'[1]资源-装备经验'!U48</f>
        <v>84132</v>
      </c>
      <c r="Q48" s="17">
        <f>'[1]资源-装备经验'!V48</f>
        <v>84132</v>
      </c>
      <c r="R48" s="17">
        <f>'[1]资源-装备经验'!W48</f>
        <v>84132</v>
      </c>
      <c r="S48" s="17"/>
      <c r="T48" s="17">
        <v>43</v>
      </c>
      <c r="U48" s="17">
        <f>N48*节奏总纲!BJ46+求节点($C$12:$C$21,$K$12:$K$21,$T48)</f>
        <v>190699.20000000019</v>
      </c>
      <c r="V48" s="17">
        <f>O48*节奏总纲!BK46+求节点($C$35:$C$44,$K$35:$K$44,$T48)</f>
        <v>194513.18400000018</v>
      </c>
      <c r="W48" s="17">
        <f>P48*节奏总纲!BL46+求节点($C$58:$C$67,$K$58:$K$67,$T48)</f>
        <v>202141.15200000021</v>
      </c>
      <c r="X48" s="17">
        <f>Q48*节奏总纲!BM46+求节点($C$81:$C$90,$K$81:$K$90,$T48)</f>
        <v>217397.08800000019</v>
      </c>
      <c r="Y48" s="17">
        <f>R48*节奏总纲!BN46+求节点($C$104:$C$113,$K$104:$K$113,$T48)</f>
        <v>266978.88000000024</v>
      </c>
    </row>
    <row r="49" spans="2:25" x14ac:dyDescent="0.15">
      <c r="B49" s="17"/>
      <c r="M49" s="17">
        <v>44</v>
      </c>
      <c r="N49" s="17">
        <f>'[1]资源-装备经验'!S49</f>
        <v>88496</v>
      </c>
      <c r="O49" s="17">
        <f>'[1]资源-装备经验'!T49</f>
        <v>88496</v>
      </c>
      <c r="P49" s="17">
        <f>'[1]资源-装备经验'!U49</f>
        <v>88496</v>
      </c>
      <c r="Q49" s="17">
        <f>'[1]资源-装备经验'!V49</f>
        <v>88496</v>
      </c>
      <c r="R49" s="17">
        <f>'[1]资源-装备经验'!W49</f>
        <v>88496</v>
      </c>
      <c r="S49" s="17"/>
      <c r="T49" s="17">
        <v>44</v>
      </c>
      <c r="U49" s="17">
        <f>N49*节奏总纲!BJ47+求节点($C$12:$C$21,$K$12:$K$21,$T49)</f>
        <v>203540.80000000019</v>
      </c>
      <c r="V49" s="17">
        <f>O49*节奏总纲!BK47+求节点($C$35:$C$44,$K$35:$K$44,$T49)</f>
        <v>207611.61600000021</v>
      </c>
      <c r="W49" s="17">
        <f>P49*节奏总纲!BL47+求节点($C$58:$C$67,$K$58:$K$67,$T49)</f>
        <v>215753.24800000023</v>
      </c>
      <c r="X49" s="17">
        <f>Q49*节奏总纲!BM47+求节点($C$81:$C$90,$K$81:$K$90,$T49)</f>
        <v>232036.51200000019</v>
      </c>
      <c r="Y49" s="17">
        <f>R49*节奏总纲!BN47+求节点($C$104:$C$113,$K$104:$K$113,$T49)</f>
        <v>284957.12000000023</v>
      </c>
    </row>
    <row r="50" spans="2:25" x14ac:dyDescent="0.15">
      <c r="B50" s="17"/>
      <c r="M50" s="17">
        <v>45</v>
      </c>
      <c r="N50" s="17">
        <f>'[1]资源-装备经验'!S50</f>
        <v>92860</v>
      </c>
      <c r="O50" s="17">
        <f>'[1]资源-装备经验'!T50</f>
        <v>92860</v>
      </c>
      <c r="P50" s="17">
        <f>'[1]资源-装备经验'!U50</f>
        <v>92860</v>
      </c>
      <c r="Q50" s="17">
        <f>'[1]资源-装备经验'!V50</f>
        <v>92860</v>
      </c>
      <c r="R50" s="17">
        <f>'[1]资源-装备经验'!W50</f>
        <v>92860</v>
      </c>
      <c r="S50" s="17"/>
      <c r="T50" s="17">
        <v>45</v>
      </c>
      <c r="U50" s="17">
        <f>N50*节奏总纲!BJ48+求节点($C$12:$C$21,$K$12:$K$21,$T50)</f>
        <v>216673.33333333352</v>
      </c>
      <c r="V50" s="17">
        <f>O50*节奏总纲!BK48+求节点($C$35:$C$44,$K$35:$K$44,$T50)</f>
        <v>221006.80000000019</v>
      </c>
      <c r="W50" s="17">
        <f>P50*节奏总纲!BL48+求节点($C$58:$C$67,$K$58:$K$67,$T50)</f>
        <v>229673.73333333351</v>
      </c>
      <c r="X50" s="17">
        <f>Q50*节奏总纲!BM48+求节点($C$81:$C$90,$K$81:$K$90,$T50)</f>
        <v>247007.60000000018</v>
      </c>
      <c r="Y50" s="17">
        <f>R50*节奏总纲!BN48+求节点($C$104:$C$113,$K$104:$K$113,$T50)</f>
        <v>303342.66666666692</v>
      </c>
    </row>
    <row r="51" spans="2:25" x14ac:dyDescent="0.15">
      <c r="B51" s="17"/>
      <c r="M51" s="17">
        <v>46</v>
      </c>
      <c r="N51" s="17">
        <f>'[1]资源-装备经验'!S51</f>
        <v>97224</v>
      </c>
      <c r="O51" s="17">
        <f>'[1]资源-装备经验'!T51</f>
        <v>97224</v>
      </c>
      <c r="P51" s="17">
        <f>'[1]资源-装备经验'!U51</f>
        <v>97224</v>
      </c>
      <c r="Q51" s="17">
        <f>'[1]资源-装备经验'!V51</f>
        <v>97224</v>
      </c>
      <c r="R51" s="17">
        <f>'[1]资源-装备经验'!W51</f>
        <v>97224</v>
      </c>
      <c r="S51" s="17"/>
      <c r="T51" s="17">
        <v>46</v>
      </c>
      <c r="U51" s="17">
        <f>N51*节奏总纲!BJ49+求节点($C$12:$C$21,$K$12:$K$21,$T51)</f>
        <v>230096.80000000016</v>
      </c>
      <c r="V51" s="17">
        <f>O51*节奏总纲!BK49+求节点($C$35:$C$44,$K$35:$K$44,$T51)</f>
        <v>234698.73600000018</v>
      </c>
      <c r="W51" s="17">
        <f>P51*节奏总纲!BL49+求节点($C$58:$C$67,$K$58:$K$67,$T51)</f>
        <v>243902.60800000021</v>
      </c>
      <c r="X51" s="17">
        <f>Q51*节奏总纲!BM49+求节点($C$81:$C$90,$K$81:$K$90,$T51)</f>
        <v>262310.35200000019</v>
      </c>
      <c r="Y51" s="17">
        <f>R51*节奏总纲!BN49+求节点($C$104:$C$113,$K$104:$K$113,$T51)</f>
        <v>322135.52000000025</v>
      </c>
    </row>
    <row r="52" spans="2:25" x14ac:dyDescent="0.15">
      <c r="B52" s="17"/>
      <c r="M52" s="17">
        <v>47</v>
      </c>
      <c r="N52" s="17">
        <f>'[1]资源-装备经验'!S52</f>
        <v>101588</v>
      </c>
      <c r="O52" s="17">
        <f>'[1]资源-装备经验'!T52</f>
        <v>101588</v>
      </c>
      <c r="P52" s="17">
        <f>'[1]资源-装备经验'!U52</f>
        <v>101588</v>
      </c>
      <c r="Q52" s="17">
        <f>'[1]资源-装备经验'!V52</f>
        <v>101588</v>
      </c>
      <c r="R52" s="17">
        <f>'[1]资源-装备经验'!W52</f>
        <v>101588</v>
      </c>
      <c r="S52" s="17"/>
      <c r="T52" s="17">
        <v>47</v>
      </c>
      <c r="U52" s="17">
        <f>N52*节奏总纲!BJ50+求节点($C$12:$C$21,$K$12:$K$21,$T52)</f>
        <v>243811.20000000016</v>
      </c>
      <c r="V52" s="17">
        <f>O52*节奏总纲!BK50+求节点($C$35:$C$44,$K$35:$K$44,$T52)</f>
        <v>248687.42400000017</v>
      </c>
      <c r="W52" s="17">
        <f>P52*节奏总纲!BL50+求节点($C$58:$C$67,$K$58:$K$67,$T52)</f>
        <v>258439.87200000018</v>
      </c>
      <c r="X52" s="17">
        <f>Q52*节奏总纲!BM50+求节点($C$81:$C$90,$K$81:$K$90,$T52)</f>
        <v>277944.76800000016</v>
      </c>
      <c r="Y52" s="17">
        <f>R52*节奏总纲!BN50+求节点($C$104:$C$113,$K$104:$K$113,$T52)</f>
        <v>341335.68000000023</v>
      </c>
    </row>
    <row r="53" spans="2:25" x14ac:dyDescent="0.15">
      <c r="B53" s="17"/>
      <c r="M53" s="17">
        <v>48</v>
      </c>
      <c r="N53" s="17">
        <f>'[1]资源-装备经验'!S53</f>
        <v>105952</v>
      </c>
      <c r="O53" s="17">
        <f>'[1]资源-装备经验'!T53</f>
        <v>105952</v>
      </c>
      <c r="P53" s="17">
        <f>'[1]资源-装备经验'!U53</f>
        <v>105952</v>
      </c>
      <c r="Q53" s="17">
        <f>'[1]资源-装备经验'!V53</f>
        <v>105952</v>
      </c>
      <c r="R53" s="17">
        <f>'[1]资源-装备经验'!W53</f>
        <v>105952</v>
      </c>
      <c r="S53" s="17"/>
      <c r="T53" s="17">
        <v>48</v>
      </c>
      <c r="U53" s="17">
        <f>N53*节奏总纲!BJ51+求节点($C$12:$C$21,$K$12:$K$21,$T53)</f>
        <v>257816.5333333335</v>
      </c>
      <c r="V53" s="17">
        <f>O53*节奏总纲!BK51+求节点($C$35:$C$44,$K$35:$K$44,$T53)</f>
        <v>262972.86400000018</v>
      </c>
      <c r="W53" s="17">
        <f>P53*节奏总纲!BL51+求节点($C$58:$C$67,$K$58:$K$67,$T53)</f>
        <v>273285.52533333353</v>
      </c>
      <c r="X53" s="17">
        <f>Q53*节奏总纲!BM51+求节点($C$81:$C$90,$K$81:$K$90,$T53)</f>
        <v>293910.84800000011</v>
      </c>
      <c r="Y53" s="17">
        <f>R53*节奏总纲!BN51+求节点($C$104:$C$113,$K$104:$K$113,$T53)</f>
        <v>360943.14666666684</v>
      </c>
    </row>
    <row r="54" spans="2:25" x14ac:dyDescent="0.15">
      <c r="B54" s="17"/>
      <c r="M54" s="17">
        <v>49</v>
      </c>
      <c r="N54" s="17">
        <f>'[1]资源-装备经验'!S54</f>
        <v>110316</v>
      </c>
      <c r="O54" s="17">
        <f>'[1]资源-装备经验'!T54</f>
        <v>110316</v>
      </c>
      <c r="P54" s="17">
        <f>'[1]资源-装备经验'!U54</f>
        <v>110316</v>
      </c>
      <c r="Q54" s="17">
        <f>'[1]资源-装备经验'!V54</f>
        <v>110316</v>
      </c>
      <c r="R54" s="17">
        <f>'[1]资源-装备经验'!W54</f>
        <v>110316</v>
      </c>
      <c r="S54" s="17"/>
      <c r="T54" s="17">
        <v>49</v>
      </c>
      <c r="U54" s="17">
        <f>N54*节奏总纲!BJ52+求节点($C$12:$C$21,$K$12:$K$21,$T54)</f>
        <v>272112.80000000016</v>
      </c>
      <c r="V54" s="17">
        <f>O54*节奏总纲!BK52+求节点($C$35:$C$44,$K$35:$K$44,$T54)</f>
        <v>277555.05600000016</v>
      </c>
      <c r="W54" s="17">
        <f>P54*节奏总纲!BL52+求节点($C$58:$C$67,$K$58:$K$67,$T54)</f>
        <v>288439.5680000002</v>
      </c>
      <c r="X54" s="17">
        <f>Q54*节奏总纲!BM52+求节点($C$81:$C$90,$K$81:$K$90,$T54)</f>
        <v>310208.59200000018</v>
      </c>
      <c r="Y54" s="17">
        <f>R54*节奏总纲!BN52+求节点($C$104:$C$113,$K$104:$K$113,$T54)</f>
        <v>380957.92000000022</v>
      </c>
    </row>
    <row r="55" spans="2:25" x14ac:dyDescent="0.15">
      <c r="B55" s="17"/>
      <c r="M55" s="17">
        <v>50</v>
      </c>
      <c r="N55" s="17">
        <f>'[1]资源-装备经验'!S55</f>
        <v>114680</v>
      </c>
      <c r="O55" s="17">
        <f>'[1]资源-装备经验'!T55</f>
        <v>114680</v>
      </c>
      <c r="P55" s="17">
        <f>'[1]资源-装备经验'!U55</f>
        <v>114680</v>
      </c>
      <c r="Q55" s="17">
        <f>'[1]资源-装备经验'!V55</f>
        <v>114680</v>
      </c>
      <c r="R55" s="17">
        <f>'[1]资源-装备经验'!W55</f>
        <v>114680</v>
      </c>
      <c r="S55" s="17"/>
      <c r="T55" s="17">
        <v>50</v>
      </c>
      <c r="U55" s="17">
        <f>N55*节奏总纲!BJ53+求节点($C$12:$C$21,$K$12:$K$21,$T55)</f>
        <v>286700.00000000017</v>
      </c>
      <c r="V55" s="17">
        <f>O55*节奏总纲!BK53+求节点($C$35:$C$44,$K$35:$K$44,$T55)</f>
        <v>292434.00000000017</v>
      </c>
      <c r="W55" s="17">
        <f>P55*节奏总纲!BL53+求节点($C$58:$C$67,$K$58:$K$67,$T55)</f>
        <v>303902.00000000017</v>
      </c>
      <c r="X55" s="17">
        <f>Q55*节奏总纲!BM53+求节点($C$81:$C$90,$K$81:$K$90,$T55)</f>
        <v>326838.00000000017</v>
      </c>
      <c r="Y55" s="17">
        <f>R55*节奏总纲!BN53+求节点($C$104:$C$113,$K$104:$K$113,$T55)</f>
        <v>401380.00000000023</v>
      </c>
    </row>
    <row r="56" spans="2:25" x14ac:dyDescent="0.15">
      <c r="B56" s="17"/>
      <c r="D56" s="16" t="s">
        <v>2</v>
      </c>
      <c r="E56" s="16"/>
      <c r="F56" s="43" t="s">
        <v>30</v>
      </c>
      <c r="G56" s="44"/>
      <c r="H56" s="44"/>
      <c r="I56" s="44"/>
      <c r="J56" s="45"/>
      <c r="K56" s="46" t="s">
        <v>34</v>
      </c>
      <c r="M56" s="17">
        <v>51</v>
      </c>
      <c r="N56" s="17">
        <f>'[1]资源-装备经验'!S56</f>
        <v>129276</v>
      </c>
      <c r="O56" s="17">
        <f>'[1]资源-装备经验'!T56</f>
        <v>129276</v>
      </c>
      <c r="P56" s="17">
        <f>'[1]资源-装备经验'!U56</f>
        <v>129276</v>
      </c>
      <c r="Q56" s="17">
        <f>'[1]资源-装备经验'!V56</f>
        <v>129276</v>
      </c>
      <c r="R56" s="17">
        <f>'[1]资源-装备经验'!W56</f>
        <v>129276</v>
      </c>
      <c r="S56" s="17"/>
      <c r="T56" s="17">
        <v>51</v>
      </c>
      <c r="U56" s="17">
        <f>N56*节奏总纲!BJ54+求节点($C$12:$C$21,$K$12:$K$21,$T56)</f>
        <v>327499.20000000013</v>
      </c>
      <c r="V56" s="17">
        <f>O56*节奏总纲!BK54+求节点($C$35:$C$44,$K$35:$K$44,$T56)</f>
        <v>334049.18400000018</v>
      </c>
      <c r="W56" s="17">
        <f>P56*节奏总纲!BL54+求节点($C$58:$C$67,$K$58:$K$67,$T56)</f>
        <v>347149.15200000018</v>
      </c>
      <c r="X56" s="17">
        <f>Q56*节奏总纲!BM54+求节点($C$81:$C$90,$K$81:$K$90,$T56)</f>
        <v>373349.08800000016</v>
      </c>
      <c r="Y56" s="17">
        <f>R56*节奏总纲!BN54+求节点($C$104:$C$113,$K$104:$K$113,$T56)</f>
        <v>458498.88000000018</v>
      </c>
    </row>
    <row r="57" spans="2:25" x14ac:dyDescent="0.15">
      <c r="B57" s="17"/>
      <c r="C57" s="16" t="s">
        <v>48</v>
      </c>
      <c r="D57" s="16" t="s">
        <v>31</v>
      </c>
      <c r="E57" s="16" t="s">
        <v>32</v>
      </c>
      <c r="F57" s="16" t="s">
        <v>25</v>
      </c>
      <c r="G57" s="16" t="s">
        <v>26</v>
      </c>
      <c r="H57" s="16" t="s">
        <v>27</v>
      </c>
      <c r="I57" s="16" t="s">
        <v>28</v>
      </c>
      <c r="J57" s="16" t="s">
        <v>29</v>
      </c>
      <c r="K57" s="46"/>
      <c r="M57" s="17">
        <v>52</v>
      </c>
      <c r="N57" s="17">
        <f>'[1]资源-装备经验'!S57</f>
        <v>143872</v>
      </c>
      <c r="O57" s="17">
        <f>'[1]资源-装备经验'!T57</f>
        <v>143872</v>
      </c>
      <c r="P57" s="17">
        <f>'[1]资源-装备经验'!U57</f>
        <v>143872</v>
      </c>
      <c r="Q57" s="17">
        <f>'[1]资源-装备经验'!V57</f>
        <v>143872</v>
      </c>
      <c r="R57" s="17">
        <f>'[1]资源-装备经验'!W57</f>
        <v>143872</v>
      </c>
      <c r="S57" s="17"/>
      <c r="T57" s="17">
        <v>52</v>
      </c>
      <c r="U57" s="17">
        <f>N57*节奏总纲!BJ55+求节点($C$12:$C$21,$K$12:$K$21,$T57)</f>
        <v>369271.46666666685</v>
      </c>
      <c r="V57" s="17">
        <f>O57*节奏总纲!BK55+求节点($C$35:$C$44,$K$35:$K$44,$T57)</f>
        <v>376656.89600000018</v>
      </c>
      <c r="W57" s="17">
        <f>P57*节奏总纲!BL55+求节点($C$58:$C$67,$K$58:$K$67,$T57)</f>
        <v>391427.75466666685</v>
      </c>
      <c r="X57" s="17">
        <f>Q57*节奏总纲!BM55+求节点($C$81:$C$90,$K$81:$K$90,$T57)</f>
        <v>420969.47200000013</v>
      </c>
      <c r="Y57" s="17">
        <f>R57*节奏总纲!BN55+求节点($C$104:$C$113,$K$104:$K$113,$T57)</f>
        <v>516980.05333333352</v>
      </c>
    </row>
    <row r="58" spans="2:25" x14ac:dyDescent="0.15">
      <c r="B58" s="17"/>
      <c r="C58" s="16">
        <v>10</v>
      </c>
      <c r="D58" s="16">
        <f>'[1]资源-装备'!BG58</f>
        <v>0</v>
      </c>
      <c r="E58" s="16">
        <f>'[1]资源-装备'!BH58</f>
        <v>0</v>
      </c>
      <c r="F58" s="16">
        <f>'[1]资源-装备'!BI58</f>
        <v>0</v>
      </c>
      <c r="G58" s="16">
        <f>'[1]资源-装备'!BJ58</f>
        <v>0</v>
      </c>
      <c r="H58" s="16">
        <f>'[1]资源-装备'!BK58</f>
        <v>0</v>
      </c>
      <c r="I58" s="16">
        <f>'[1]资源-装备'!BL58</f>
        <v>0</v>
      </c>
      <c r="J58" s="16">
        <f>'[1]资源-装备'!BM58</f>
        <v>0</v>
      </c>
      <c r="K58" s="16">
        <f>SUM(F58:J58)*D58*E58</f>
        <v>0</v>
      </c>
      <c r="M58" s="17">
        <v>53</v>
      </c>
      <c r="N58" s="17">
        <f>'[1]资源-装备经验'!S58</f>
        <v>158468</v>
      </c>
      <c r="O58" s="17">
        <f>'[1]资源-装备经验'!T58</f>
        <v>158468</v>
      </c>
      <c r="P58" s="17">
        <f>'[1]资源-装备经验'!U58</f>
        <v>158468</v>
      </c>
      <c r="Q58" s="17">
        <f>'[1]资源-装备经验'!V58</f>
        <v>158468</v>
      </c>
      <c r="R58" s="17">
        <f>'[1]资源-装备经验'!W58</f>
        <v>158468</v>
      </c>
      <c r="S58" s="17"/>
      <c r="T58" s="17">
        <v>53</v>
      </c>
      <c r="U58" s="17">
        <f>N58*节奏总纲!BJ56+求节点($C$12:$C$21,$K$12:$K$21,$T58)</f>
        <v>412016.80000000016</v>
      </c>
      <c r="V58" s="17">
        <f>O58*节奏总纲!BK56+求节点($C$35:$C$44,$K$35:$K$44,$T58)</f>
        <v>420257.13600000017</v>
      </c>
      <c r="W58" s="17">
        <f>P58*节奏总纲!BL56+求节点($C$58:$C$67,$K$58:$K$67,$T58)</f>
        <v>436737.80800000019</v>
      </c>
      <c r="X58" s="17">
        <f>Q58*节奏总纲!BM56+求节点($C$81:$C$90,$K$81:$K$90,$T58)</f>
        <v>469699.15200000012</v>
      </c>
      <c r="Y58" s="17">
        <f>R58*节奏总纲!BN56+求节点($C$104:$C$113,$K$104:$K$113,$T58)</f>
        <v>576823.52000000014</v>
      </c>
    </row>
    <row r="59" spans="2:25" x14ac:dyDescent="0.15">
      <c r="B59" s="17"/>
      <c r="C59" s="16">
        <v>20</v>
      </c>
      <c r="D59" s="16">
        <f>'[1]资源-装备'!BG59</f>
        <v>0</v>
      </c>
      <c r="E59" s="16">
        <f>'[1]资源-装备'!BH59</f>
        <v>0</v>
      </c>
      <c r="F59" s="16">
        <f>'[1]资源-装备'!BI59</f>
        <v>0</v>
      </c>
      <c r="G59" s="16">
        <f>'[1]资源-装备'!BJ59</f>
        <v>0</v>
      </c>
      <c r="H59" s="16">
        <f>'[1]资源-装备'!BK59</f>
        <v>0</v>
      </c>
      <c r="I59" s="16">
        <f>'[1]资源-装备'!BL59</f>
        <v>0</v>
      </c>
      <c r="J59" s="16">
        <f>'[1]资源-装备'!BM59</f>
        <v>0</v>
      </c>
      <c r="K59" s="16">
        <f t="shared" ref="K59:K67" si="2">SUM(F59:J59)*D59*E59</f>
        <v>0</v>
      </c>
      <c r="M59" s="17">
        <v>54</v>
      </c>
      <c r="N59" s="17">
        <f>'[1]资源-装备经验'!S59</f>
        <v>173064</v>
      </c>
      <c r="O59" s="17">
        <f>'[1]资源-装备经验'!T59</f>
        <v>173064</v>
      </c>
      <c r="P59" s="17">
        <f>'[1]资源-装备经验'!U59</f>
        <v>173064</v>
      </c>
      <c r="Q59" s="17">
        <f>'[1]资源-装备经验'!V59</f>
        <v>173064</v>
      </c>
      <c r="R59" s="17">
        <f>'[1]资源-装备经验'!W59</f>
        <v>173064</v>
      </c>
      <c r="S59" s="17"/>
      <c r="T59" s="17">
        <v>54</v>
      </c>
      <c r="U59" s="17">
        <f>N59*节奏总纲!BJ57+求节点($C$12:$C$21,$K$12:$K$21,$T59)</f>
        <v>455735.20000000013</v>
      </c>
      <c r="V59" s="17">
        <f>O59*节奏总纲!BK57+求节点($C$35:$C$44,$K$35:$K$44,$T59)</f>
        <v>464849.90400000016</v>
      </c>
      <c r="W59" s="17">
        <f>P59*节奏总纲!BL57+求节点($C$58:$C$67,$K$58:$K$67,$T59)</f>
        <v>483079.31200000021</v>
      </c>
      <c r="X59" s="17">
        <f>Q59*节奏总纲!BM57+求节点($C$81:$C$90,$K$81:$K$90,$T59)</f>
        <v>519538.12800000014</v>
      </c>
      <c r="Y59" s="17">
        <f>R59*节奏总纲!BN57+求节点($C$104:$C$113,$K$104:$K$113,$T59)</f>
        <v>638029.28000000014</v>
      </c>
    </row>
    <row r="60" spans="2:25" x14ac:dyDescent="0.15">
      <c r="B60" s="17"/>
      <c r="C60" s="16">
        <v>30</v>
      </c>
      <c r="D60" s="16">
        <f>'[1]资源-装备'!BG60</f>
        <v>0</v>
      </c>
      <c r="E60" s="16">
        <f>'[1]资源-装备'!BH60</f>
        <v>0</v>
      </c>
      <c r="F60" s="16">
        <f>'[1]资源-装备'!BI60</f>
        <v>0</v>
      </c>
      <c r="G60" s="16">
        <f>'[1]资源-装备'!BJ60</f>
        <v>0</v>
      </c>
      <c r="H60" s="16">
        <f>'[1]资源-装备'!BK60</f>
        <v>0</v>
      </c>
      <c r="I60" s="16">
        <f>'[1]资源-装备'!BL60</f>
        <v>0</v>
      </c>
      <c r="J60" s="16">
        <f>'[1]资源-装备'!BM60</f>
        <v>0</v>
      </c>
      <c r="K60" s="16">
        <f t="shared" si="2"/>
        <v>0</v>
      </c>
      <c r="M60" s="17">
        <v>55</v>
      </c>
      <c r="N60" s="17">
        <f>'[1]资源-装备经验'!S60</f>
        <v>187660</v>
      </c>
      <c r="O60" s="17">
        <f>'[1]资源-装备经验'!T60</f>
        <v>187660</v>
      </c>
      <c r="P60" s="17">
        <f>'[1]资源-装备经验'!U60</f>
        <v>187660</v>
      </c>
      <c r="Q60" s="17">
        <f>'[1]资源-装备经验'!V60</f>
        <v>187660</v>
      </c>
      <c r="R60" s="17">
        <f>'[1]资源-装备经验'!W60</f>
        <v>187660</v>
      </c>
      <c r="S60" s="17"/>
      <c r="T60" s="17">
        <v>55</v>
      </c>
      <c r="U60" s="17">
        <f>N60*节奏总纲!BJ58+求节点($C$12:$C$21,$K$12:$K$21,$T60)</f>
        <v>500426.6666666668</v>
      </c>
      <c r="V60" s="17">
        <f>O60*节奏总纲!BK58+求节点($C$35:$C$44,$K$35:$K$44,$T60)</f>
        <v>510435.20000000013</v>
      </c>
      <c r="W60" s="17">
        <f>P60*节奏总纲!BL58+求节点($C$58:$C$67,$K$58:$K$67,$T60)</f>
        <v>530452.26666666684</v>
      </c>
      <c r="X60" s="17">
        <f>Q60*节奏总纲!BM58+求节点($C$81:$C$90,$K$81:$K$90,$T60)</f>
        <v>570486.40000000014</v>
      </c>
      <c r="Y60" s="17">
        <f>R60*节奏总纲!BN58+求节点($C$104:$C$113,$K$104:$K$113,$T60)</f>
        <v>700597.33333333349</v>
      </c>
    </row>
    <row r="61" spans="2:25" x14ac:dyDescent="0.15">
      <c r="B61" s="17"/>
      <c r="C61" s="16">
        <v>40</v>
      </c>
      <c r="D61" s="16">
        <f>'[1]资源-装备'!BG61</f>
        <v>0</v>
      </c>
      <c r="E61" s="16">
        <f>'[1]资源-装备'!BH61</f>
        <v>0</v>
      </c>
      <c r="F61" s="16">
        <f>'[1]资源-装备'!BI61</f>
        <v>0</v>
      </c>
      <c r="G61" s="16">
        <f>'[1]资源-装备'!BJ61</f>
        <v>0</v>
      </c>
      <c r="H61" s="16">
        <f>'[1]资源-装备'!BK61</f>
        <v>0</v>
      </c>
      <c r="I61" s="16">
        <f>'[1]资源-装备'!BL61</f>
        <v>0</v>
      </c>
      <c r="J61" s="16">
        <f>'[1]资源-装备'!BM61</f>
        <v>0</v>
      </c>
      <c r="K61" s="16">
        <f t="shared" si="2"/>
        <v>0</v>
      </c>
      <c r="M61" s="17">
        <v>56</v>
      </c>
      <c r="N61" s="17">
        <f>'[1]资源-装备经验'!S61</f>
        <v>202256</v>
      </c>
      <c r="O61" s="17">
        <f>'[1]资源-装备经验'!T61</f>
        <v>202256</v>
      </c>
      <c r="P61" s="17">
        <f>'[1]资源-装备经验'!U61</f>
        <v>202256</v>
      </c>
      <c r="Q61" s="17">
        <f>'[1]资源-装备经验'!V61</f>
        <v>202256</v>
      </c>
      <c r="R61" s="17">
        <f>'[1]资源-装备经验'!W61</f>
        <v>202256</v>
      </c>
      <c r="S61" s="17"/>
      <c r="T61" s="17">
        <v>56</v>
      </c>
      <c r="U61" s="17">
        <f>N61*节奏总纲!BJ59+求节点($C$12:$C$21,$K$12:$K$21,$T61)</f>
        <v>546091.20000000007</v>
      </c>
      <c r="V61" s="17">
        <f>O61*节奏总纲!BK59+求节点($C$35:$C$44,$K$35:$K$44,$T61)</f>
        <v>557013.02400000021</v>
      </c>
      <c r="W61" s="17">
        <f>P61*节奏总纲!BL59+求节点($C$58:$C$67,$K$58:$K$67,$T61)</f>
        <v>578856.67200000025</v>
      </c>
      <c r="X61" s="17">
        <f>Q61*节奏总纲!BM59+求节点($C$81:$C$90,$K$81:$K$90,$T61)</f>
        <v>622543.96800000011</v>
      </c>
      <c r="Y61" s="17">
        <f>R61*节奏总纲!BN59+求节点($C$104:$C$113,$K$104:$K$113,$T61)</f>
        <v>764527.68000000017</v>
      </c>
    </row>
    <row r="62" spans="2:25" x14ac:dyDescent="0.15">
      <c r="B62" s="17"/>
      <c r="C62" s="16">
        <v>50</v>
      </c>
      <c r="D62" s="16">
        <f>'[1]资源-装备'!BG62</f>
        <v>0</v>
      </c>
      <c r="E62" s="16">
        <f>'[1]资源-装备'!BH62</f>
        <v>0</v>
      </c>
      <c r="F62" s="16">
        <f>'[1]资源-装备'!BI62</f>
        <v>0</v>
      </c>
      <c r="G62" s="16">
        <f>'[1]资源-装备'!BJ62</f>
        <v>0</v>
      </c>
      <c r="H62" s="16">
        <f>'[1]资源-装备'!BK62</f>
        <v>0</v>
      </c>
      <c r="I62" s="16">
        <f>'[1]资源-装备'!BL62</f>
        <v>0</v>
      </c>
      <c r="J62" s="16">
        <f>'[1]资源-装备'!BM62</f>
        <v>0</v>
      </c>
      <c r="K62" s="16">
        <f t="shared" si="2"/>
        <v>0</v>
      </c>
      <c r="M62" s="17">
        <v>57</v>
      </c>
      <c r="N62" s="17">
        <f>'[1]资源-装备经验'!S62</f>
        <v>216852</v>
      </c>
      <c r="O62" s="17">
        <f>'[1]资源-装备经验'!T62</f>
        <v>216852</v>
      </c>
      <c r="P62" s="17">
        <f>'[1]资源-装备经验'!U62</f>
        <v>216852</v>
      </c>
      <c r="Q62" s="17">
        <f>'[1]资源-装备经验'!V62</f>
        <v>216852</v>
      </c>
      <c r="R62" s="17">
        <f>'[1]资源-装备经验'!W62</f>
        <v>216852</v>
      </c>
      <c r="S62" s="17"/>
      <c r="T62" s="17">
        <v>57</v>
      </c>
      <c r="U62" s="17">
        <f>N62*节奏总纲!BJ60+求节点($C$12:$C$21,$K$12:$K$21,$T62)</f>
        <v>592728.80000000016</v>
      </c>
      <c r="V62" s="17">
        <f>O62*节奏总纲!BK60+求节点($C$35:$C$44,$K$35:$K$44,$T62)</f>
        <v>604583.37600000016</v>
      </c>
      <c r="W62" s="17">
        <f>P62*节奏总纲!BL60+求节点($C$58:$C$67,$K$58:$K$67,$T62)</f>
        <v>628292.52800000017</v>
      </c>
      <c r="X62" s="17">
        <f>Q62*节奏总纲!BM60+求节点($C$81:$C$90,$K$81:$K$90,$T62)</f>
        <v>675710.83200000005</v>
      </c>
      <c r="Y62" s="17">
        <f>R62*节奏总纲!BN60+求节点($C$104:$C$113,$K$104:$K$113,$T62)</f>
        <v>829820.32000000007</v>
      </c>
    </row>
    <row r="63" spans="2:25" x14ac:dyDescent="0.15">
      <c r="B63" s="17"/>
      <c r="C63" s="16">
        <v>60</v>
      </c>
      <c r="D63" s="16">
        <f>'[1]资源-装备'!BG63</f>
        <v>0</v>
      </c>
      <c r="E63" s="16">
        <f>'[1]资源-装备'!BH63</f>
        <v>0</v>
      </c>
      <c r="F63" s="16">
        <f>'[1]资源-装备'!BI63</f>
        <v>0</v>
      </c>
      <c r="G63" s="16">
        <f>'[1]资源-装备'!BJ63</f>
        <v>0</v>
      </c>
      <c r="H63" s="16">
        <f>'[1]资源-装备'!BK63</f>
        <v>0</v>
      </c>
      <c r="I63" s="16">
        <f>'[1]资源-装备'!BL63</f>
        <v>0</v>
      </c>
      <c r="J63" s="16">
        <f>'[1]资源-装备'!BM63</f>
        <v>0</v>
      </c>
      <c r="K63" s="16">
        <f t="shared" si="2"/>
        <v>0</v>
      </c>
      <c r="M63" s="17">
        <v>58</v>
      </c>
      <c r="N63" s="17">
        <f>'[1]资源-装备经验'!S63</f>
        <v>231448</v>
      </c>
      <c r="O63" s="17">
        <f>'[1]资源-装备经验'!T63</f>
        <v>231448</v>
      </c>
      <c r="P63" s="17">
        <f>'[1]资源-装备经验'!U63</f>
        <v>231448</v>
      </c>
      <c r="Q63" s="17">
        <f>'[1]资源-装备经验'!V63</f>
        <v>231448</v>
      </c>
      <c r="R63" s="17">
        <f>'[1]资源-装备经验'!W63</f>
        <v>231448</v>
      </c>
      <c r="S63" s="17"/>
      <c r="T63" s="17">
        <v>58</v>
      </c>
      <c r="U63" s="17">
        <f>N63*节奏总纲!BJ61+求节点($C$12:$C$21,$K$12:$K$21,$T63)</f>
        <v>640339.46666666679</v>
      </c>
      <c r="V63" s="17">
        <f>O63*节奏总纲!BK61+求节点($C$35:$C$44,$K$35:$K$44,$T63)</f>
        <v>653146.25600000017</v>
      </c>
      <c r="W63" s="17">
        <f>P63*节奏总纲!BL61+求节点($C$58:$C$67,$K$58:$K$67,$T63)</f>
        <v>678759.83466666681</v>
      </c>
      <c r="X63" s="17">
        <f>Q63*节奏总纲!BM61+求节点($C$81:$C$90,$K$81:$K$90,$T63)</f>
        <v>729986.99200000009</v>
      </c>
      <c r="Y63" s="17">
        <f>R63*节奏总纲!BN61+求节点($C$104:$C$113,$K$104:$K$113,$T63)</f>
        <v>896475.25333333341</v>
      </c>
    </row>
    <row r="64" spans="2:25" x14ac:dyDescent="0.15">
      <c r="B64" s="17"/>
      <c r="C64" s="16">
        <v>70</v>
      </c>
      <c r="D64" s="16">
        <f>'[1]资源-装备'!BG64</f>
        <v>0</v>
      </c>
      <c r="E64" s="16">
        <f>'[1]资源-装备'!BH64</f>
        <v>0</v>
      </c>
      <c r="F64" s="16">
        <f>'[1]资源-装备'!BI64</f>
        <v>0</v>
      </c>
      <c r="G64" s="16">
        <f>'[1]资源-装备'!BJ64</f>
        <v>0</v>
      </c>
      <c r="H64" s="16">
        <f>'[1]资源-装备'!BK64</f>
        <v>0</v>
      </c>
      <c r="I64" s="16">
        <f>'[1]资源-装备'!BL64</f>
        <v>0</v>
      </c>
      <c r="J64" s="16">
        <f>'[1]资源-装备'!BM64</f>
        <v>0</v>
      </c>
      <c r="K64" s="16">
        <f t="shared" si="2"/>
        <v>0</v>
      </c>
      <c r="M64" s="17">
        <v>59</v>
      </c>
      <c r="N64" s="17">
        <f>'[1]资源-装备经验'!S64</f>
        <v>246044</v>
      </c>
      <c r="O64" s="17">
        <f>'[1]资源-装备经验'!T64</f>
        <v>246044</v>
      </c>
      <c r="P64" s="17">
        <f>'[1]资源-装备经验'!U64</f>
        <v>246044</v>
      </c>
      <c r="Q64" s="17">
        <f>'[1]资源-装备经验'!V64</f>
        <v>246044</v>
      </c>
      <c r="R64" s="17">
        <f>'[1]资源-装备经验'!W64</f>
        <v>246044</v>
      </c>
      <c r="S64" s="17"/>
      <c r="T64" s="17">
        <v>59</v>
      </c>
      <c r="U64" s="17">
        <f>N64*节奏总纲!BJ62+求节点($C$12:$C$21,$K$12:$K$21,$T64)</f>
        <v>688923.20000000007</v>
      </c>
      <c r="V64" s="17">
        <f>O64*节奏总纲!BK62+求节点($C$35:$C$44,$K$35:$K$44,$T64)</f>
        <v>702701.66400000011</v>
      </c>
      <c r="W64" s="17">
        <f>P64*节奏总纲!BL62+求节点($C$58:$C$67,$K$58:$K$67,$T64)</f>
        <v>730258.59200000006</v>
      </c>
      <c r="X64" s="17">
        <f>Q64*节奏总纲!BM62+求节点($C$81:$C$90,$K$81:$K$90,$T64)</f>
        <v>785372.44800000009</v>
      </c>
      <c r="Y64" s="17">
        <f>R64*节奏总纲!BN62+求节点($C$104:$C$113,$K$104:$K$113,$T64)</f>
        <v>964492.48</v>
      </c>
    </row>
    <row r="65" spans="2:25" x14ac:dyDescent="0.15">
      <c r="B65" s="17"/>
      <c r="C65" s="16">
        <v>80</v>
      </c>
      <c r="D65" s="16">
        <f>'[1]资源-装备'!BG65</f>
        <v>0</v>
      </c>
      <c r="E65" s="16">
        <f>'[1]资源-装备'!BH65</f>
        <v>0</v>
      </c>
      <c r="F65" s="16">
        <f>'[1]资源-装备'!BI65</f>
        <v>0</v>
      </c>
      <c r="G65" s="16">
        <f>'[1]资源-装备'!BJ65</f>
        <v>0</v>
      </c>
      <c r="H65" s="16">
        <f>'[1]资源-装备'!BK65</f>
        <v>0</v>
      </c>
      <c r="I65" s="16">
        <f>'[1]资源-装备'!BL65</f>
        <v>0</v>
      </c>
      <c r="J65" s="16">
        <f>'[1]资源-装备'!BM65</f>
        <v>0</v>
      </c>
      <c r="K65" s="16">
        <f t="shared" si="2"/>
        <v>0</v>
      </c>
      <c r="M65" s="17">
        <v>60</v>
      </c>
      <c r="N65" s="17">
        <f>'[1]资源-装备经验'!S65</f>
        <v>260640</v>
      </c>
      <c r="O65" s="17">
        <f>'[1]资源-装备经验'!T65</f>
        <v>260640</v>
      </c>
      <c r="P65" s="17">
        <f>'[1]资源-装备经验'!U65</f>
        <v>260640</v>
      </c>
      <c r="Q65" s="17">
        <f>'[1]资源-装备经验'!V65</f>
        <v>260640</v>
      </c>
      <c r="R65" s="17">
        <f>'[1]资源-装备经验'!W65</f>
        <v>260640</v>
      </c>
      <c r="S65" s="17"/>
      <c r="T65" s="17">
        <v>60</v>
      </c>
      <c r="U65" s="17">
        <f>N65*节奏总纲!BJ63+求节点($C$12:$C$21,$K$12:$K$21,$T65)</f>
        <v>738480</v>
      </c>
      <c r="V65" s="17">
        <f>O65*节奏总纲!BK63+求节点($C$35:$C$44,$K$35:$K$44,$T65)</f>
        <v>753249.6</v>
      </c>
      <c r="W65" s="17">
        <f>P65*节奏总纲!BL63+求节点($C$58:$C$67,$K$58:$K$67,$T65)</f>
        <v>782788.80000000016</v>
      </c>
      <c r="X65" s="17">
        <f>Q65*节奏总纲!BM63+求节点($C$81:$C$90,$K$81:$K$90,$T65)</f>
        <v>841867.2</v>
      </c>
      <c r="Y65" s="17">
        <f>R65*节奏总纲!BN63+求节点($C$104:$C$113,$K$104:$K$113,$T65)</f>
        <v>1033872</v>
      </c>
    </row>
    <row r="66" spans="2:25" x14ac:dyDescent="0.15">
      <c r="B66" s="17"/>
      <c r="C66" s="16">
        <v>90</v>
      </c>
      <c r="D66" s="16">
        <f>'[1]资源-装备'!BG66</f>
        <v>0</v>
      </c>
      <c r="E66" s="16">
        <f>'[1]资源-装备'!BH66</f>
        <v>0</v>
      </c>
      <c r="F66" s="16">
        <f>'[1]资源-装备'!BI66</f>
        <v>0</v>
      </c>
      <c r="G66" s="16">
        <f>'[1]资源-装备'!BJ66</f>
        <v>0</v>
      </c>
      <c r="H66" s="16">
        <f>'[1]资源-装备'!BK66</f>
        <v>0</v>
      </c>
      <c r="I66" s="16">
        <f>'[1]资源-装备'!BL66</f>
        <v>0</v>
      </c>
      <c r="J66" s="16">
        <f>'[1]资源-装备'!BM66</f>
        <v>0</v>
      </c>
      <c r="K66" s="16">
        <f t="shared" si="2"/>
        <v>0</v>
      </c>
      <c r="M66" s="17">
        <v>61</v>
      </c>
      <c r="N66" s="17">
        <f>'[1]资源-装备经验'!S66</f>
        <v>291096</v>
      </c>
      <c r="O66" s="17">
        <f>'[1]资源-装备经验'!T66</f>
        <v>291096</v>
      </c>
      <c r="P66" s="17">
        <f>'[1]资源-装备经验'!U66</f>
        <v>291096</v>
      </c>
      <c r="Q66" s="17">
        <f>'[1]资源-装备经验'!V66</f>
        <v>291096</v>
      </c>
      <c r="R66" s="17">
        <f>'[1]资源-装备经验'!W66</f>
        <v>291096</v>
      </c>
      <c r="S66" s="17"/>
      <c r="T66" s="17">
        <v>61</v>
      </c>
      <c r="U66" s="17">
        <f>N66*节奏总纲!BJ64+求节点($C$12:$C$21,$K$12:$K$21,$T66)</f>
        <v>834475.2</v>
      </c>
      <c r="V66" s="17">
        <f>O66*节奏总纲!BK64+求节点($C$35:$C$44,$K$35:$K$44,$T66)</f>
        <v>851164.70400000003</v>
      </c>
      <c r="W66" s="17">
        <f>P66*节奏总纲!BL64+求节点($C$58:$C$67,$K$58:$K$67,$T66)</f>
        <v>884543.71200000006</v>
      </c>
      <c r="X66" s="17">
        <f>Q66*节奏总纲!BM64+求节点($C$81:$C$90,$K$81:$K$90,$T66)</f>
        <v>951301.72799999989</v>
      </c>
      <c r="Y66" s="17">
        <f>R66*节奏总纲!BN64+求节点($C$104:$C$113,$K$104:$K$113,$T66)</f>
        <v>1168265.2799999998</v>
      </c>
    </row>
    <row r="67" spans="2:25" x14ac:dyDescent="0.15">
      <c r="B67" s="17"/>
      <c r="C67" s="16">
        <v>100</v>
      </c>
      <c r="D67" s="16">
        <f>'[1]资源-装备'!BG67</f>
        <v>0</v>
      </c>
      <c r="E67" s="16">
        <f>'[1]资源-装备'!BH67</f>
        <v>0</v>
      </c>
      <c r="F67" s="16">
        <f>'[1]资源-装备'!BI67</f>
        <v>0</v>
      </c>
      <c r="G67" s="16">
        <f>'[1]资源-装备'!BJ67</f>
        <v>0</v>
      </c>
      <c r="H67" s="16">
        <f>'[1]资源-装备'!BK67</f>
        <v>0</v>
      </c>
      <c r="I67" s="16">
        <f>'[1]资源-装备'!BL67</f>
        <v>0</v>
      </c>
      <c r="J67" s="16">
        <f>'[1]资源-装备'!BM67</f>
        <v>0</v>
      </c>
      <c r="K67" s="16">
        <f t="shared" si="2"/>
        <v>0</v>
      </c>
      <c r="M67" s="17">
        <v>62</v>
      </c>
      <c r="N67" s="17">
        <f>'[1]资源-装备经验'!S67</f>
        <v>321552</v>
      </c>
      <c r="O67" s="17">
        <f>'[1]资源-装备经验'!T67</f>
        <v>321552</v>
      </c>
      <c r="P67" s="17">
        <f>'[1]资源-装备经验'!U67</f>
        <v>321552</v>
      </c>
      <c r="Q67" s="17">
        <f>'[1]资源-装备经验'!V67</f>
        <v>321552</v>
      </c>
      <c r="R67" s="17">
        <f>'[1]资源-装备经验'!W67</f>
        <v>321552</v>
      </c>
      <c r="S67" s="17"/>
      <c r="T67" s="17">
        <v>62</v>
      </c>
      <c r="U67" s="17">
        <f>N67*节奏总纲!BJ65+求节点($C$12:$C$21,$K$12:$K$21,$T67)</f>
        <v>932500.79999999993</v>
      </c>
      <c r="V67" s="17">
        <f>O67*节奏总纲!BK65+求节点($C$35:$C$44,$K$35:$K$44,$T67)</f>
        <v>951150.81599999988</v>
      </c>
      <c r="W67" s="17">
        <f>P67*节奏总纲!BL65+求节点($C$58:$C$67,$K$58:$K$67,$T67)</f>
        <v>988450.848</v>
      </c>
      <c r="X67" s="17">
        <f>Q67*节奏总纲!BM65+求节点($C$81:$C$90,$K$81:$K$90,$T67)</f>
        <v>1063050.9119999998</v>
      </c>
      <c r="Y67" s="17">
        <f>R67*节奏总纲!BN65+求节点($C$104:$C$113,$K$104:$K$113,$T67)</f>
        <v>1305501.1199999999</v>
      </c>
    </row>
    <row r="68" spans="2:25" x14ac:dyDescent="0.15">
      <c r="B68" s="17"/>
      <c r="M68" s="17">
        <v>63</v>
      </c>
      <c r="N68" s="17">
        <f>'[1]资源-装备经验'!S68</f>
        <v>352008</v>
      </c>
      <c r="O68" s="17">
        <f>'[1]资源-装备经验'!T68</f>
        <v>352008</v>
      </c>
      <c r="P68" s="17">
        <f>'[1]资源-装备经验'!U68</f>
        <v>352008</v>
      </c>
      <c r="Q68" s="17">
        <f>'[1]资源-装备经验'!V68</f>
        <v>352008</v>
      </c>
      <c r="R68" s="17">
        <f>'[1]资源-装备经验'!W68</f>
        <v>352008</v>
      </c>
      <c r="S68" s="17"/>
      <c r="T68" s="17">
        <v>63</v>
      </c>
      <c r="U68" s="17">
        <f>N68*节奏总纲!BJ66+求节点($C$12:$C$21,$K$12:$K$21,$T68)</f>
        <v>1032556.7999999999</v>
      </c>
      <c r="V68" s="17">
        <f>O68*节奏总纲!BK66+求节点($C$35:$C$44,$K$35:$K$44,$T68)</f>
        <v>1053207.936</v>
      </c>
      <c r="W68" s="17">
        <f>P68*节奏总纲!BL66+求节点($C$58:$C$67,$K$58:$K$67,$T68)</f>
        <v>1094510.2079999999</v>
      </c>
      <c r="X68" s="17">
        <f>Q68*节奏总纲!BM66+求节点($C$81:$C$90,$K$81:$K$90,$T68)</f>
        <v>1177114.7519999999</v>
      </c>
      <c r="Y68" s="17">
        <f>R68*节奏总纲!BN66+求节点($C$104:$C$113,$K$104:$K$113,$T68)</f>
        <v>1445579.52</v>
      </c>
    </row>
    <row r="69" spans="2:25" x14ac:dyDescent="0.15">
      <c r="B69" s="17"/>
      <c r="M69" s="17">
        <v>64</v>
      </c>
      <c r="N69" s="17">
        <f>'[1]资源-装备经验'!S69</f>
        <v>382464</v>
      </c>
      <c r="O69" s="17">
        <f>'[1]资源-装备经验'!T69</f>
        <v>382464</v>
      </c>
      <c r="P69" s="17">
        <f>'[1]资源-装备经验'!U69</f>
        <v>382464</v>
      </c>
      <c r="Q69" s="17">
        <f>'[1]资源-装备经验'!V69</f>
        <v>382464</v>
      </c>
      <c r="R69" s="17">
        <f>'[1]资源-装备经验'!W69</f>
        <v>382464</v>
      </c>
      <c r="S69" s="17"/>
      <c r="T69" s="17">
        <v>64</v>
      </c>
      <c r="U69" s="17">
        <f>N69*节奏总纲!BJ67+求节点($C$12:$C$21,$K$12:$K$21,$T69)</f>
        <v>1134643.2</v>
      </c>
      <c r="V69" s="17">
        <f>O69*节奏总纲!BK67+求节点($C$35:$C$44,$K$35:$K$44,$T69)</f>
        <v>1157336.064</v>
      </c>
      <c r="W69" s="17">
        <f>P69*节奏总纲!BL67+求节点($C$58:$C$67,$K$58:$K$67,$T69)</f>
        <v>1202721.7919999999</v>
      </c>
      <c r="X69" s="17">
        <f>Q69*节奏总纲!BM67+求节点($C$81:$C$90,$K$81:$K$90,$T69)</f>
        <v>1293493.2479999997</v>
      </c>
      <c r="Y69" s="17">
        <f>R69*节奏总纲!BN67+求节点($C$104:$C$113,$K$104:$K$113,$T69)</f>
        <v>1588500.4799999997</v>
      </c>
    </row>
    <row r="70" spans="2:25" x14ac:dyDescent="0.15">
      <c r="B70" s="17"/>
      <c r="M70" s="17">
        <v>65</v>
      </c>
      <c r="N70" s="17">
        <f>'[1]资源-装备经验'!S70</f>
        <v>412920</v>
      </c>
      <c r="O70" s="17">
        <f>'[1]资源-装备经验'!T70</f>
        <v>412920</v>
      </c>
      <c r="P70" s="17">
        <f>'[1]资源-装备经验'!U70</f>
        <v>412920</v>
      </c>
      <c r="Q70" s="17">
        <f>'[1]资源-装备经验'!V70</f>
        <v>412920</v>
      </c>
      <c r="R70" s="17">
        <f>'[1]资源-装备经验'!W70</f>
        <v>412920</v>
      </c>
      <c r="S70" s="17"/>
      <c r="T70" s="17">
        <v>65</v>
      </c>
      <c r="U70" s="17">
        <f>N70*节奏总纲!BJ68+求节点($C$12:$C$21,$K$12:$K$21,$T70)</f>
        <v>1238759.9999999998</v>
      </c>
      <c r="V70" s="17">
        <f>O70*节奏总纲!BK68+求节点($C$35:$C$44,$K$35:$K$44,$T70)</f>
        <v>1263535.2</v>
      </c>
      <c r="W70" s="17">
        <f>P70*节奏总纲!BL68+求节点($C$58:$C$67,$K$58:$K$67,$T70)</f>
        <v>1313085.5999999999</v>
      </c>
      <c r="X70" s="17">
        <f>Q70*节奏总纲!BM68+求节点($C$81:$C$90,$K$81:$K$90,$T70)</f>
        <v>1412186.3999999997</v>
      </c>
      <c r="Y70" s="17">
        <f>R70*节奏总纲!BN68+求节点($C$104:$C$113,$K$104:$K$113,$T70)</f>
        <v>1734263.9999999998</v>
      </c>
    </row>
    <row r="71" spans="2:25" x14ac:dyDescent="0.15">
      <c r="B71" s="17"/>
      <c r="M71" s="17">
        <v>66</v>
      </c>
      <c r="N71" s="17">
        <f>'[1]资源-装备经验'!S71</f>
        <v>443376</v>
      </c>
      <c r="O71" s="17">
        <f>'[1]资源-装备经验'!T71</f>
        <v>443376</v>
      </c>
      <c r="P71" s="17">
        <f>'[1]资源-装备经验'!U71</f>
        <v>443376</v>
      </c>
      <c r="Q71" s="17">
        <f>'[1]资源-装备经验'!V71</f>
        <v>443376</v>
      </c>
      <c r="R71" s="17">
        <f>'[1]资源-装备经验'!W71</f>
        <v>443376</v>
      </c>
      <c r="S71" s="17"/>
      <c r="T71" s="17">
        <v>66</v>
      </c>
      <c r="U71" s="17">
        <f>N71*节奏总纲!BJ69+求节点($C$12:$C$21,$K$12:$K$21,$T71)</f>
        <v>1344907.1999999997</v>
      </c>
      <c r="V71" s="17">
        <f>O71*节奏总纲!BK69+求节点($C$35:$C$44,$K$35:$K$44,$T71)</f>
        <v>1371805.3439999998</v>
      </c>
      <c r="W71" s="17">
        <f>P71*节奏总纲!BL69+求节点($C$58:$C$67,$K$58:$K$67,$T71)</f>
        <v>1425601.6319999998</v>
      </c>
      <c r="X71" s="17">
        <f>Q71*节奏总纲!BM69+求节点($C$81:$C$90,$K$81:$K$90,$T71)</f>
        <v>1533194.2079999994</v>
      </c>
      <c r="Y71" s="17">
        <f>R71*节奏总纲!BN69+求节点($C$104:$C$113,$K$104:$K$113,$T71)</f>
        <v>1882870.0799999994</v>
      </c>
    </row>
    <row r="72" spans="2:25" x14ac:dyDescent="0.15">
      <c r="B72" s="17"/>
      <c r="M72" s="17">
        <v>67</v>
      </c>
      <c r="N72" s="17">
        <f>'[1]资源-装备经验'!S72</f>
        <v>473832</v>
      </c>
      <c r="O72" s="17">
        <f>'[1]资源-装备经验'!T72</f>
        <v>473832</v>
      </c>
      <c r="P72" s="17">
        <f>'[1]资源-装备经验'!U72</f>
        <v>473832</v>
      </c>
      <c r="Q72" s="17">
        <f>'[1]资源-装备经验'!V72</f>
        <v>473832</v>
      </c>
      <c r="R72" s="17">
        <f>'[1]资源-装备经验'!W72</f>
        <v>473832</v>
      </c>
      <c r="S72" s="17"/>
      <c r="T72" s="17">
        <v>67</v>
      </c>
      <c r="U72" s="17">
        <f>N72*节奏总纲!BJ70+求节点($C$12:$C$21,$K$12:$K$21,$T72)</f>
        <v>1453084.7999999996</v>
      </c>
      <c r="V72" s="17">
        <f>O72*节奏总纲!BK70+求节点($C$35:$C$44,$K$35:$K$44,$T72)</f>
        <v>1482146.4959999996</v>
      </c>
      <c r="W72" s="17">
        <f>P72*节奏总纲!BL70+求节点($C$58:$C$67,$K$58:$K$67,$T72)</f>
        <v>1540269.8879999998</v>
      </c>
      <c r="X72" s="17">
        <f>Q72*节奏总纲!BM70+求节点($C$81:$C$90,$K$81:$K$90,$T72)</f>
        <v>1656516.6719999996</v>
      </c>
      <c r="Y72" s="17">
        <f>R72*节奏总纲!BN70+求节点($C$104:$C$113,$K$104:$K$113,$T72)</f>
        <v>2034318.7199999995</v>
      </c>
    </row>
    <row r="73" spans="2:25" x14ac:dyDescent="0.15">
      <c r="B73" s="17"/>
      <c r="M73" s="17">
        <v>68</v>
      </c>
      <c r="N73" s="17">
        <f>'[1]资源-装备经验'!S73</f>
        <v>504288</v>
      </c>
      <c r="O73" s="17">
        <f>'[1]资源-装备经验'!T73</f>
        <v>504288</v>
      </c>
      <c r="P73" s="17">
        <f>'[1]资源-装备经验'!U73</f>
        <v>504288</v>
      </c>
      <c r="Q73" s="17">
        <f>'[1]资源-装备经验'!V73</f>
        <v>504288</v>
      </c>
      <c r="R73" s="17">
        <f>'[1]资源-装备经验'!W73</f>
        <v>504288</v>
      </c>
      <c r="S73" s="17"/>
      <c r="T73" s="17">
        <v>68</v>
      </c>
      <c r="U73" s="17">
        <f>N73*节奏总纲!BJ71+求节点($C$12:$C$21,$K$12:$K$21,$T73)</f>
        <v>1563292.7999999996</v>
      </c>
      <c r="V73" s="17">
        <f>O73*节奏总纲!BK71+求节点($C$35:$C$44,$K$35:$K$44,$T73)</f>
        <v>1594558.6559999995</v>
      </c>
      <c r="W73" s="17">
        <f>P73*节奏总纲!BL71+求节点($C$58:$C$67,$K$58:$K$67,$T73)</f>
        <v>1657090.3679999996</v>
      </c>
      <c r="X73" s="17">
        <f>Q73*节奏总纲!BM71+求节点($C$81:$C$90,$K$81:$K$90,$T73)</f>
        <v>1782153.7919999994</v>
      </c>
      <c r="Y73" s="17">
        <f>R73*节奏总纲!BN71+求节点($C$104:$C$113,$K$104:$K$113,$T73)</f>
        <v>2188609.9199999995</v>
      </c>
    </row>
    <row r="74" spans="2:25" x14ac:dyDescent="0.15">
      <c r="B74" s="17"/>
      <c r="M74" s="17">
        <v>69</v>
      </c>
      <c r="N74" s="17">
        <f>'[1]资源-装备经验'!S74</f>
        <v>534744</v>
      </c>
      <c r="O74" s="17">
        <f>'[1]资源-装备经验'!T74</f>
        <v>534744</v>
      </c>
      <c r="P74" s="17">
        <f>'[1]资源-装备经验'!U74</f>
        <v>534744</v>
      </c>
      <c r="Q74" s="17">
        <f>'[1]资源-装备经验'!V74</f>
        <v>534744</v>
      </c>
      <c r="R74" s="17">
        <f>'[1]资源-装备经验'!W74</f>
        <v>534744</v>
      </c>
      <c r="S74" s="17"/>
      <c r="T74" s="17">
        <v>69</v>
      </c>
      <c r="U74" s="17">
        <f>N74*节奏总纲!BJ72+求节点($C$12:$C$21,$K$12:$K$21,$T74)</f>
        <v>1675531.1999999995</v>
      </c>
      <c r="V74" s="17">
        <f>O74*节奏总纲!BK72+求节点($C$35:$C$44,$K$35:$K$44,$T74)</f>
        <v>1709041.8239999996</v>
      </c>
      <c r="W74" s="17">
        <f>P74*节奏总纲!BL72+求节点($C$58:$C$67,$K$58:$K$67,$T74)</f>
        <v>1776063.0719999997</v>
      </c>
      <c r="X74" s="17">
        <f>Q74*节奏总纲!BM72+求节点($C$81:$C$90,$K$81:$K$90,$T74)</f>
        <v>1910105.5679999993</v>
      </c>
      <c r="Y74" s="17">
        <f>R74*节奏总纲!BN72+求节点($C$104:$C$113,$K$104:$K$113,$T74)</f>
        <v>2345743.6799999992</v>
      </c>
    </row>
    <row r="75" spans="2:25" x14ac:dyDescent="0.15">
      <c r="B75" s="17"/>
      <c r="M75" s="17">
        <v>70</v>
      </c>
      <c r="N75" s="17">
        <f>'[1]资源-装备经验'!S75</f>
        <v>565200</v>
      </c>
      <c r="O75" s="17">
        <f>'[1]资源-装备经验'!T75</f>
        <v>565200</v>
      </c>
      <c r="P75" s="17">
        <f>'[1]资源-装备经验'!U75</f>
        <v>565200</v>
      </c>
      <c r="Q75" s="17">
        <f>'[1]资源-装备经验'!V75</f>
        <v>565200</v>
      </c>
      <c r="R75" s="17">
        <f>'[1]资源-装备经验'!W75</f>
        <v>565200</v>
      </c>
      <c r="S75" s="17"/>
      <c r="T75" s="17">
        <v>70</v>
      </c>
      <c r="U75" s="17">
        <f>N75*节奏总纲!BJ73+求节点($C$12:$C$21,$K$12:$K$21,$T75)</f>
        <v>1789799.9999999993</v>
      </c>
      <c r="V75" s="17">
        <f>O75*节奏总纲!BK73+求节点($C$35:$C$44,$K$35:$K$44,$T75)</f>
        <v>1825595.9999999995</v>
      </c>
      <c r="W75" s="17">
        <f>P75*节奏总纲!BL73+求节点($C$58:$C$67,$K$58:$K$67,$T75)</f>
        <v>1897187.9999999993</v>
      </c>
      <c r="X75" s="17">
        <f>Q75*节奏总纲!BM73+求节点($C$81:$C$90,$K$81:$K$90,$T75)</f>
        <v>2040371.9999999991</v>
      </c>
      <c r="Y75" s="17">
        <f>R75*节奏总纲!BN73+求节点($C$104:$C$113,$K$104:$K$113,$T75)</f>
        <v>2505719.9999999991</v>
      </c>
    </row>
    <row r="76" spans="2:25" x14ac:dyDescent="0.15">
      <c r="B76" s="17"/>
      <c r="M76" s="17">
        <v>71</v>
      </c>
      <c r="N76" s="17">
        <f>'[1]资源-装备经验'!S76</f>
        <v>677736</v>
      </c>
      <c r="O76" s="17">
        <f>'[1]资源-装备经验'!T76</f>
        <v>677736</v>
      </c>
      <c r="P76" s="17">
        <f>'[1]资源-装备经验'!U76</f>
        <v>677736</v>
      </c>
      <c r="Q76" s="17">
        <f>'[1]资源-装备经验'!V76</f>
        <v>677736</v>
      </c>
      <c r="R76" s="17">
        <f>'[1]资源-装备经验'!W76</f>
        <v>677736</v>
      </c>
      <c r="S76" s="17"/>
      <c r="T76" s="17">
        <v>71</v>
      </c>
      <c r="U76" s="17">
        <f>N76*节奏总纲!BJ74+求节点($C$12:$C$21,$K$12:$K$21,$T76)</f>
        <v>2168755.1999999993</v>
      </c>
      <c r="V76" s="17">
        <f>O76*节奏总纲!BK74+求节点($C$35:$C$44,$K$35:$K$44,$T76)</f>
        <v>2212130.3039999991</v>
      </c>
      <c r="W76" s="17">
        <f>P76*节奏总纲!BL74+求节点($C$58:$C$67,$K$58:$K$67,$T76)</f>
        <v>2298880.5119999992</v>
      </c>
      <c r="X76" s="17">
        <f>Q76*节奏总纲!BM74+求节点($C$81:$C$90,$K$81:$K$90,$T76)</f>
        <v>2472380.9279999989</v>
      </c>
      <c r="Y76" s="17">
        <f>R76*节奏总纲!BN74+求节点($C$104:$C$113,$K$104:$K$113,$T76)</f>
        <v>3036257.2799999984</v>
      </c>
    </row>
    <row r="77" spans="2:25" x14ac:dyDescent="0.15">
      <c r="B77" s="17"/>
      <c r="M77" s="17">
        <v>72</v>
      </c>
      <c r="N77" s="17">
        <f>'[1]资源-装备经验'!S77</f>
        <v>790272</v>
      </c>
      <c r="O77" s="17">
        <f>'[1]资源-装备经验'!T77</f>
        <v>790272</v>
      </c>
      <c r="P77" s="17">
        <f>'[1]资源-装备经验'!U77</f>
        <v>790272</v>
      </c>
      <c r="Q77" s="17">
        <f>'[1]资源-装备经验'!V77</f>
        <v>790272</v>
      </c>
      <c r="R77" s="17">
        <f>'[1]资源-装备经验'!W77</f>
        <v>790272</v>
      </c>
      <c r="S77" s="17"/>
      <c r="T77" s="17">
        <v>72</v>
      </c>
      <c r="U77" s="17">
        <f>N77*节奏总纲!BJ75+求节点($C$12:$C$21,$K$12:$K$21,$T77)</f>
        <v>2555212.7999999989</v>
      </c>
      <c r="V77" s="17">
        <f>O77*节奏总纲!BK75+求节点($C$35:$C$44,$K$35:$K$44,$T77)</f>
        <v>2606317.0559999989</v>
      </c>
      <c r="W77" s="17">
        <f>P77*节奏总纲!BL75+求节点($C$58:$C$67,$K$58:$K$67,$T77)</f>
        <v>2708525.567999999</v>
      </c>
      <c r="X77" s="17">
        <f>Q77*节奏总纲!BM75+求节点($C$81:$C$90,$K$81:$K$90,$T77)</f>
        <v>2912942.5919999988</v>
      </c>
      <c r="Y77" s="17">
        <f>R77*节奏总纲!BN75+求节点($C$104:$C$113,$K$104:$K$113,$T77)</f>
        <v>3577297.9199999985</v>
      </c>
    </row>
    <row r="78" spans="2:25" x14ac:dyDescent="0.15">
      <c r="B78" s="17"/>
      <c r="M78" s="17">
        <v>73</v>
      </c>
      <c r="N78" s="17">
        <f>'[1]资源-装备经验'!S78</f>
        <v>902808</v>
      </c>
      <c r="O78" s="17">
        <f>'[1]资源-装备经验'!T78</f>
        <v>902808</v>
      </c>
      <c r="P78" s="17">
        <f>'[1]资源-装备经验'!U78</f>
        <v>902808</v>
      </c>
      <c r="Q78" s="17">
        <f>'[1]资源-装备经验'!V78</f>
        <v>902808</v>
      </c>
      <c r="R78" s="17">
        <f>'[1]资源-装备经验'!W78</f>
        <v>902808</v>
      </c>
      <c r="S78" s="17"/>
      <c r="T78" s="17">
        <v>73</v>
      </c>
      <c r="U78" s="17">
        <f>N78*节奏总纲!BJ76+求节点($C$12:$C$21,$K$12:$K$21,$T78)</f>
        <v>2949172.7999999989</v>
      </c>
      <c r="V78" s="17">
        <f>O78*节奏总纲!BK76+求节点($C$35:$C$44,$K$35:$K$44,$T78)</f>
        <v>3008156.2559999987</v>
      </c>
      <c r="W78" s="17">
        <f>P78*节奏总纲!BL76+求节点($C$58:$C$67,$K$58:$K$67,$T78)</f>
        <v>3126123.1679999991</v>
      </c>
      <c r="X78" s="17">
        <f>Q78*节奏总纲!BM76+求节点($C$81:$C$90,$K$81:$K$90,$T78)</f>
        <v>3362056.9919999982</v>
      </c>
      <c r="Y78" s="17">
        <f>R78*节奏总纲!BN76+求节点($C$104:$C$113,$K$104:$K$113,$T78)</f>
        <v>4128841.9199999985</v>
      </c>
    </row>
    <row r="79" spans="2:25" x14ac:dyDescent="0.15">
      <c r="B79" s="17"/>
      <c r="D79" s="16" t="s">
        <v>3</v>
      </c>
      <c r="E79" s="16"/>
      <c r="F79" s="43" t="s">
        <v>30</v>
      </c>
      <c r="G79" s="44"/>
      <c r="H79" s="44"/>
      <c r="I79" s="44"/>
      <c r="J79" s="45"/>
      <c r="K79" s="46" t="s">
        <v>34</v>
      </c>
      <c r="M79" s="17">
        <v>74</v>
      </c>
      <c r="N79" s="17">
        <f>'[1]资源-装备经验'!S79</f>
        <v>1015344</v>
      </c>
      <c r="O79" s="17">
        <f>'[1]资源-装备经验'!T79</f>
        <v>1015344</v>
      </c>
      <c r="P79" s="17">
        <f>'[1]资源-装备经验'!U79</f>
        <v>1015344</v>
      </c>
      <c r="Q79" s="17">
        <f>'[1]资源-装备经验'!V79</f>
        <v>1015344</v>
      </c>
      <c r="R79" s="17">
        <f>'[1]资源-装备经验'!W79</f>
        <v>1015344</v>
      </c>
      <c r="S79" s="17"/>
      <c r="T79" s="17">
        <v>74</v>
      </c>
      <c r="U79" s="17">
        <f>N79*节奏总纲!BJ77+求节点($C$12:$C$21,$K$12:$K$21,$T79)</f>
        <v>3350635.1999999983</v>
      </c>
      <c r="V79" s="17">
        <f>O79*节奏总纲!BK77+求节点($C$35:$C$44,$K$35:$K$44,$T79)</f>
        <v>3417647.9039999982</v>
      </c>
      <c r="W79" s="17">
        <f>P79*节奏总纲!BL77+求节点($C$58:$C$67,$K$58:$K$67,$T79)</f>
        <v>3551673.3119999985</v>
      </c>
      <c r="X79" s="17">
        <f>Q79*节奏总纲!BM77+求节点($C$81:$C$90,$K$81:$K$90,$T79)</f>
        <v>3819724.1279999977</v>
      </c>
      <c r="Y79" s="17">
        <f>R79*节奏总纲!BN77+求节点($C$104:$C$113,$K$104:$K$113,$T79)</f>
        <v>4690889.2799999975</v>
      </c>
    </row>
    <row r="80" spans="2:25" x14ac:dyDescent="0.15">
      <c r="B80" s="17"/>
      <c r="C80" s="16" t="s">
        <v>48</v>
      </c>
      <c r="D80" s="16" t="s">
        <v>31</v>
      </c>
      <c r="E80" s="16" t="s">
        <v>32</v>
      </c>
      <c r="F80" s="16" t="s">
        <v>25</v>
      </c>
      <c r="G80" s="16" t="s">
        <v>26</v>
      </c>
      <c r="H80" s="16" t="s">
        <v>27</v>
      </c>
      <c r="I80" s="16" t="s">
        <v>28</v>
      </c>
      <c r="J80" s="16" t="s">
        <v>29</v>
      </c>
      <c r="K80" s="46"/>
      <c r="M80" s="17">
        <v>75</v>
      </c>
      <c r="N80" s="17">
        <f>'[1]资源-装备经验'!S80</f>
        <v>1127880</v>
      </c>
      <c r="O80" s="17">
        <f>'[1]资源-装备经验'!T80</f>
        <v>1127880</v>
      </c>
      <c r="P80" s="17">
        <f>'[1]资源-装备经验'!U80</f>
        <v>1127880</v>
      </c>
      <c r="Q80" s="17">
        <f>'[1]资源-装备经验'!V80</f>
        <v>1127880</v>
      </c>
      <c r="R80" s="17">
        <f>'[1]资源-装备经验'!W80</f>
        <v>1127880</v>
      </c>
      <c r="S80" s="17"/>
      <c r="T80" s="17">
        <v>75</v>
      </c>
      <c r="U80" s="17">
        <f>N80*节奏总纲!BJ78+求节点($C$12:$C$21,$K$12:$K$21,$T80)</f>
        <v>3759599.9999999981</v>
      </c>
      <c r="V80" s="17">
        <f>O80*节奏总纲!BK78+求节点($C$35:$C$44,$K$35:$K$44,$T80)</f>
        <v>3834791.9999999986</v>
      </c>
      <c r="W80" s="17">
        <f>P80*节奏总纲!BL78+求节点($C$58:$C$67,$K$58:$K$67,$T80)</f>
        <v>3985175.9999999981</v>
      </c>
      <c r="X80" s="17">
        <f>Q80*节奏总纲!BM78+求节点($C$81:$C$90,$K$81:$K$90,$T80)</f>
        <v>4285943.9999999972</v>
      </c>
      <c r="Y80" s="17">
        <f>R80*节奏总纲!BN78+求节点($C$104:$C$113,$K$104:$K$113,$T80)</f>
        <v>5263439.9999999972</v>
      </c>
    </row>
    <row r="81" spans="2:25" x14ac:dyDescent="0.15">
      <c r="B81" s="17"/>
      <c r="C81" s="16">
        <v>10</v>
      </c>
      <c r="D81" s="16">
        <f>'[1]资源-装备'!BG81</f>
        <v>0</v>
      </c>
      <c r="E81" s="16">
        <f>'[1]资源-装备'!BH81</f>
        <v>0</v>
      </c>
      <c r="F81" s="16">
        <f>'[1]资源-装备'!BI81</f>
        <v>0</v>
      </c>
      <c r="G81" s="16">
        <f>'[1]资源-装备'!BJ81</f>
        <v>0</v>
      </c>
      <c r="H81" s="16">
        <f>'[1]资源-装备'!BK81</f>
        <v>0</v>
      </c>
      <c r="I81" s="16">
        <f>'[1]资源-装备'!BL81</f>
        <v>0</v>
      </c>
      <c r="J81" s="16">
        <f>'[1]资源-装备'!BM81</f>
        <v>0</v>
      </c>
      <c r="K81" s="16">
        <f>SUM(F81:J81)*D81*E81</f>
        <v>0</v>
      </c>
      <c r="M81" s="17">
        <v>76</v>
      </c>
      <c r="N81" s="17">
        <f>'[1]资源-装备经验'!S81</f>
        <v>1240416</v>
      </c>
      <c r="O81" s="17">
        <f>'[1]资源-装备经验'!T81</f>
        <v>1240416</v>
      </c>
      <c r="P81" s="17">
        <f>'[1]资源-装备经验'!U81</f>
        <v>1240416</v>
      </c>
      <c r="Q81" s="17">
        <f>'[1]资源-装备经验'!V81</f>
        <v>1240416</v>
      </c>
      <c r="R81" s="17">
        <f>'[1]资源-装备经验'!W81</f>
        <v>1240416</v>
      </c>
      <c r="S81" s="17"/>
      <c r="T81" s="17">
        <v>76</v>
      </c>
      <c r="U81" s="17">
        <f>N81*节奏总纲!BJ79+求节点($C$12:$C$21,$K$12:$K$21,$T81)</f>
        <v>4176067.1999999979</v>
      </c>
      <c r="V81" s="17">
        <f>O81*节奏总纲!BK79+求节点($C$35:$C$44,$K$35:$K$44,$T81)</f>
        <v>4259588.5439999979</v>
      </c>
      <c r="W81" s="17">
        <f>P81*节奏总纲!BL79+求节点($C$58:$C$67,$K$58:$K$67,$T81)</f>
        <v>4426631.231999998</v>
      </c>
      <c r="X81" s="17">
        <f>Q81*节奏总纲!BM79+求节点($C$81:$C$90,$K$81:$K$90,$T81)</f>
        <v>4760716.6079999972</v>
      </c>
      <c r="Y81" s="17">
        <f>R81*节奏总纲!BN79+求节点($C$104:$C$113,$K$104:$K$113,$T81)</f>
        <v>5846494.0799999963</v>
      </c>
    </row>
    <row r="82" spans="2:25" x14ac:dyDescent="0.15">
      <c r="B82" s="17"/>
      <c r="C82" s="16">
        <v>20</v>
      </c>
      <c r="D82" s="16">
        <f>'[1]资源-装备'!BG82</f>
        <v>0</v>
      </c>
      <c r="E82" s="16">
        <f>'[1]资源-装备'!BH82</f>
        <v>0</v>
      </c>
      <c r="F82" s="16">
        <f>'[1]资源-装备'!BI82</f>
        <v>0</v>
      </c>
      <c r="G82" s="16">
        <f>'[1]资源-装备'!BJ82</f>
        <v>0</v>
      </c>
      <c r="H82" s="16">
        <f>'[1]资源-装备'!BK82</f>
        <v>0</v>
      </c>
      <c r="I82" s="16">
        <f>'[1]资源-装备'!BL82</f>
        <v>0</v>
      </c>
      <c r="J82" s="16">
        <f>'[1]资源-装备'!BM82</f>
        <v>0</v>
      </c>
      <c r="K82" s="16">
        <f t="shared" ref="K82:K90" si="3">SUM(F82:J82)*D82*E82</f>
        <v>0</v>
      </c>
      <c r="M82" s="17">
        <v>77</v>
      </c>
      <c r="N82" s="17">
        <f>'[1]资源-装备经验'!S82</f>
        <v>1352952</v>
      </c>
      <c r="O82" s="17">
        <f>'[1]资源-装备经验'!T82</f>
        <v>1352952</v>
      </c>
      <c r="P82" s="17">
        <f>'[1]资源-装备经验'!U82</f>
        <v>1352952</v>
      </c>
      <c r="Q82" s="17">
        <f>'[1]资源-装备经验'!V82</f>
        <v>1352952</v>
      </c>
      <c r="R82" s="17">
        <f>'[1]资源-装备经验'!W82</f>
        <v>1352952</v>
      </c>
      <c r="S82" s="17"/>
      <c r="T82" s="17">
        <v>77</v>
      </c>
      <c r="U82" s="17">
        <f>N82*节奏总纲!BJ80+求节点($C$12:$C$21,$K$12:$K$21,$T82)</f>
        <v>4600036.799999997</v>
      </c>
      <c r="V82" s="17">
        <f>O82*节奏总纲!BK80+求节点($C$35:$C$44,$K$35:$K$44,$T82)</f>
        <v>4692037.5359999975</v>
      </c>
      <c r="W82" s="17">
        <f>P82*节奏总纲!BL80+求节点($C$58:$C$67,$K$58:$K$67,$T82)</f>
        <v>4876039.0079999976</v>
      </c>
      <c r="X82" s="17">
        <f>Q82*节奏总纲!BM80+求节点($C$81:$C$90,$K$81:$K$90,$T82)</f>
        <v>5244041.9519999968</v>
      </c>
      <c r="Y82" s="17">
        <f>R82*节奏总纲!BN80+求节点($C$104:$C$113,$K$104:$K$113,$T82)</f>
        <v>6440051.5199999958</v>
      </c>
    </row>
    <row r="83" spans="2:25" x14ac:dyDescent="0.15">
      <c r="B83" s="17"/>
      <c r="C83" s="16">
        <v>30</v>
      </c>
      <c r="D83" s="16">
        <f>'[1]资源-装备'!BG83</f>
        <v>0</v>
      </c>
      <c r="E83" s="16">
        <f>'[1]资源-装备'!BH83</f>
        <v>0</v>
      </c>
      <c r="F83" s="16">
        <f>'[1]资源-装备'!BI83</f>
        <v>0</v>
      </c>
      <c r="G83" s="16">
        <f>'[1]资源-装备'!BJ83</f>
        <v>0</v>
      </c>
      <c r="H83" s="16">
        <f>'[1]资源-装备'!BK83</f>
        <v>0</v>
      </c>
      <c r="I83" s="16">
        <f>'[1]资源-装备'!BL83</f>
        <v>0</v>
      </c>
      <c r="J83" s="16">
        <f>'[1]资源-装备'!BM83</f>
        <v>0</v>
      </c>
      <c r="K83" s="16">
        <f t="shared" si="3"/>
        <v>0</v>
      </c>
      <c r="M83" s="17">
        <v>78</v>
      </c>
      <c r="N83" s="17">
        <f>'[1]资源-装备经验'!S83</f>
        <v>1465488</v>
      </c>
      <c r="O83" s="17">
        <f>'[1]资源-装备经验'!T83</f>
        <v>1465488</v>
      </c>
      <c r="P83" s="17">
        <f>'[1]资源-装备经验'!U83</f>
        <v>1465488</v>
      </c>
      <c r="Q83" s="17">
        <f>'[1]资源-装备经验'!V83</f>
        <v>1465488</v>
      </c>
      <c r="R83" s="17">
        <f>'[1]资源-装备经验'!W83</f>
        <v>1465488</v>
      </c>
      <c r="S83" s="17"/>
      <c r="T83" s="17">
        <v>78</v>
      </c>
      <c r="U83" s="17">
        <f>N83*节奏总纲!BJ81+求节点($C$12:$C$21,$K$12:$K$21,$T83)</f>
        <v>5031508.799999997</v>
      </c>
      <c r="V83" s="17">
        <f>O83*节奏总纲!BK81+求节点($C$35:$C$44,$K$35:$K$44,$T83)</f>
        <v>5132138.975999997</v>
      </c>
      <c r="W83" s="17">
        <f>P83*节奏总纲!BL81+求节点($C$58:$C$67,$K$58:$K$67,$T83)</f>
        <v>5333399.327999997</v>
      </c>
      <c r="X83" s="17">
        <f>Q83*节奏总纲!BM81+求节点($C$81:$C$90,$K$81:$K$90,$T83)</f>
        <v>5735920.0319999959</v>
      </c>
      <c r="Y83" s="17">
        <f>R83*节奏总纲!BN81+求节点($C$104:$C$113,$K$104:$K$113,$T83)</f>
        <v>7044112.3199999956</v>
      </c>
    </row>
    <row r="84" spans="2:25" x14ac:dyDescent="0.15">
      <c r="B84" s="17"/>
      <c r="C84" s="16">
        <v>40</v>
      </c>
      <c r="D84" s="16">
        <f>'[1]资源-装备'!BG84</f>
        <v>0</v>
      </c>
      <c r="E84" s="16">
        <f>'[1]资源-装备'!BH84</f>
        <v>0</v>
      </c>
      <c r="F84" s="16">
        <f>'[1]资源-装备'!BI84</f>
        <v>0</v>
      </c>
      <c r="G84" s="16">
        <f>'[1]资源-装备'!BJ84</f>
        <v>0</v>
      </c>
      <c r="H84" s="16">
        <f>'[1]资源-装备'!BK84</f>
        <v>0</v>
      </c>
      <c r="I84" s="16">
        <f>'[1]资源-装备'!BL84</f>
        <v>0</v>
      </c>
      <c r="J84" s="16">
        <f>'[1]资源-装备'!BM84</f>
        <v>0</v>
      </c>
      <c r="K84" s="16">
        <f t="shared" si="3"/>
        <v>0</v>
      </c>
      <c r="M84" s="17">
        <v>79</v>
      </c>
      <c r="N84" s="17">
        <f>'[1]资源-装备经验'!S84</f>
        <v>1578024</v>
      </c>
      <c r="O84" s="17">
        <f>'[1]资源-装备经验'!T84</f>
        <v>1578024</v>
      </c>
      <c r="P84" s="17">
        <f>'[1]资源-装备经验'!U84</f>
        <v>1578024</v>
      </c>
      <c r="Q84" s="17">
        <f>'[1]资源-装备经验'!V84</f>
        <v>1578024</v>
      </c>
      <c r="R84" s="17">
        <f>'[1]资源-装备经验'!W84</f>
        <v>1578024</v>
      </c>
      <c r="S84" s="17"/>
      <c r="T84" s="17">
        <v>79</v>
      </c>
      <c r="U84" s="17">
        <f>N84*节奏总纲!BJ82+求节点($C$12:$C$21,$K$12:$K$21,$T84)</f>
        <v>5470483.1999999965</v>
      </c>
      <c r="V84" s="17">
        <f>O84*节奏总纲!BK82+求节点($C$35:$C$44,$K$35:$K$44,$T84)</f>
        <v>5579892.8639999963</v>
      </c>
      <c r="W84" s="17">
        <f>P84*节奏总纲!BL82+求节点($C$58:$C$67,$K$58:$K$67,$T84)</f>
        <v>5798712.191999997</v>
      </c>
      <c r="X84" s="17">
        <f>Q84*节奏总纲!BM82+求节点($C$81:$C$90,$K$81:$K$90,$T84)</f>
        <v>6236350.8479999956</v>
      </c>
      <c r="Y84" s="17">
        <f>R84*节奏总纲!BN82+求节点($C$104:$C$113,$K$104:$K$113,$T84)</f>
        <v>7658676.4799999949</v>
      </c>
    </row>
    <row r="85" spans="2:25" x14ac:dyDescent="0.15">
      <c r="B85" s="17"/>
      <c r="C85" s="16">
        <v>50</v>
      </c>
      <c r="D85" s="16">
        <f>'[1]资源-装备'!BG85</f>
        <v>0</v>
      </c>
      <c r="E85" s="16">
        <f>'[1]资源-装备'!BH85</f>
        <v>0</v>
      </c>
      <c r="F85" s="16">
        <f>'[1]资源-装备'!BI85</f>
        <v>0</v>
      </c>
      <c r="G85" s="16">
        <f>'[1]资源-装备'!BJ85</f>
        <v>0</v>
      </c>
      <c r="H85" s="16">
        <f>'[1]资源-装备'!BK85</f>
        <v>0</v>
      </c>
      <c r="I85" s="16">
        <f>'[1]资源-装备'!BL85</f>
        <v>0</v>
      </c>
      <c r="J85" s="16">
        <f>'[1]资源-装备'!BM85</f>
        <v>0</v>
      </c>
      <c r="K85" s="16">
        <f t="shared" si="3"/>
        <v>0</v>
      </c>
      <c r="M85" s="19">
        <v>80</v>
      </c>
      <c r="N85" s="17">
        <f>'[1]资源-装备经验'!S85</f>
        <v>1690560</v>
      </c>
      <c r="O85" s="17">
        <f>'[1]资源-装备经验'!T85</f>
        <v>1690560</v>
      </c>
      <c r="P85" s="17">
        <f>'[1]资源-装备经验'!U85</f>
        <v>1690560</v>
      </c>
      <c r="Q85" s="17">
        <f>'[1]资源-装备经验'!V85</f>
        <v>1690560</v>
      </c>
      <c r="R85" s="17">
        <f>'[1]资源-装备经验'!W85</f>
        <v>1690560</v>
      </c>
      <c r="S85" s="17"/>
      <c r="T85" s="19">
        <v>80</v>
      </c>
      <c r="U85" s="17">
        <f>N85*节奏总纲!BJ83+求节点($C$12:$C$21,$K$12:$K$21,$T85)</f>
        <v>5916959.9999999963</v>
      </c>
      <c r="V85" s="17">
        <f>O85*节奏总纲!BK83+求节点($C$35:$C$44,$K$35:$K$44,$T85)</f>
        <v>6035299.1999999955</v>
      </c>
      <c r="W85" s="17">
        <f>P85*节奏总纲!BL83+求节点($C$58:$C$67,$K$58:$K$67,$T85)</f>
        <v>6271977.5999999959</v>
      </c>
      <c r="X85" s="17">
        <f>Q85*节奏总纲!BM83+求节点($C$81:$C$90,$K$81:$K$90,$T85)</f>
        <v>6745334.3999999948</v>
      </c>
      <c r="Y85" s="17">
        <f>R85*节奏总纲!BN83+求节点($C$104:$C$113,$K$104:$K$113,$T85)</f>
        <v>8283743.9999999944</v>
      </c>
    </row>
    <row r="86" spans="2:25" x14ac:dyDescent="0.15">
      <c r="B86" s="17"/>
      <c r="C86" s="16">
        <v>60</v>
      </c>
      <c r="D86" s="16">
        <f>'[1]资源-装备'!BG86</f>
        <v>0</v>
      </c>
      <c r="E86" s="16">
        <f>'[1]资源-装备'!BH86</f>
        <v>0</v>
      </c>
      <c r="F86" s="16">
        <f>'[1]资源-装备'!BI86</f>
        <v>0</v>
      </c>
      <c r="G86" s="16">
        <f>'[1]资源-装备'!BJ86</f>
        <v>0</v>
      </c>
      <c r="H86" s="16">
        <f>'[1]资源-装备'!BK86</f>
        <v>0</v>
      </c>
      <c r="I86" s="16">
        <f>'[1]资源-装备'!BL86</f>
        <v>0</v>
      </c>
      <c r="J86" s="16">
        <f>'[1]资源-装备'!BM86</f>
        <v>0</v>
      </c>
      <c r="K86" s="16">
        <f t="shared" si="3"/>
        <v>0</v>
      </c>
      <c r="M86" s="17">
        <v>81</v>
      </c>
      <c r="N86" s="17">
        <f>'[1]资源-装备经验'!S86</f>
        <v>1877760</v>
      </c>
      <c r="O86" s="17">
        <f>'[1]资源-装备经验'!T86</f>
        <v>1877760</v>
      </c>
      <c r="P86" s="17">
        <f>'[1]资源-装备经验'!U86</f>
        <v>1877760</v>
      </c>
      <c r="Q86" s="17">
        <f>'[1]资源-装备经验'!V86</f>
        <v>1877760</v>
      </c>
      <c r="R86" s="17">
        <f>'[1]资源-装备经验'!W86</f>
        <v>1877760</v>
      </c>
      <c r="S86" s="17"/>
      <c r="T86" s="17">
        <v>81</v>
      </c>
      <c r="U86" s="17">
        <f>N86*节奏总纲!BJ84+求节点($C$12:$C$21,$K$12:$K$21,$T86)</f>
        <v>6634751.9999999953</v>
      </c>
      <c r="V86" s="17">
        <f>O86*节奏总纲!BK84+求节点($C$35:$C$44,$K$35:$K$44,$T86)</f>
        <v>6767447.0399999963</v>
      </c>
      <c r="W86" s="17">
        <f>P86*节奏总纲!BL84+求节点($C$58:$C$67,$K$58:$K$67,$T86)</f>
        <v>7032837.1199999964</v>
      </c>
      <c r="X86" s="17">
        <f>Q86*节奏总纲!BM84+求节点($C$81:$C$90,$K$81:$K$90,$T86)</f>
        <v>7563617.2799999947</v>
      </c>
      <c r="Y86" s="17">
        <f>R86*节奏总纲!BN84+求节点($C$104:$C$113,$K$104:$K$113,$T86)</f>
        <v>9288652.7999999933</v>
      </c>
    </row>
    <row r="87" spans="2:25" x14ac:dyDescent="0.15">
      <c r="B87" s="17"/>
      <c r="C87" s="16">
        <v>70</v>
      </c>
      <c r="D87" s="16">
        <f>'[1]资源-装备'!BG87</f>
        <v>0</v>
      </c>
      <c r="E87" s="16">
        <f>'[1]资源-装备'!BH87</f>
        <v>0</v>
      </c>
      <c r="F87" s="16">
        <f>'[1]资源-装备'!BI87</f>
        <v>0</v>
      </c>
      <c r="G87" s="16">
        <f>'[1]资源-装备'!BJ87</f>
        <v>0</v>
      </c>
      <c r="H87" s="16">
        <f>'[1]资源-装备'!BK87</f>
        <v>0</v>
      </c>
      <c r="I87" s="16">
        <f>'[1]资源-装备'!BL87</f>
        <v>0</v>
      </c>
      <c r="J87" s="16">
        <f>'[1]资源-装备'!BM87</f>
        <v>0</v>
      </c>
      <c r="K87" s="16">
        <f t="shared" si="3"/>
        <v>0</v>
      </c>
      <c r="M87" s="17">
        <v>82</v>
      </c>
      <c r="N87" s="17">
        <f>'[1]资源-装备经验'!S87</f>
        <v>2064960</v>
      </c>
      <c r="O87" s="17">
        <f>'[1]资源-装备经验'!T87</f>
        <v>2064960</v>
      </c>
      <c r="P87" s="17">
        <f>'[1]资源-装备经验'!U87</f>
        <v>2064960</v>
      </c>
      <c r="Q87" s="17">
        <f>'[1]资源-装备经验'!V87</f>
        <v>2064960</v>
      </c>
      <c r="R87" s="17">
        <f>'[1]资源-装备经验'!W87</f>
        <v>2064960</v>
      </c>
      <c r="S87" s="17"/>
      <c r="T87" s="17">
        <v>82</v>
      </c>
      <c r="U87" s="17">
        <f>N87*节奏总纲!BJ85+求节点($C$12:$C$21,$K$12:$K$21,$T87)</f>
        <v>7365023.9999999953</v>
      </c>
      <c r="V87" s="17">
        <f>O87*节奏总纲!BK85+求节点($C$35:$C$44,$K$35:$K$44,$T87)</f>
        <v>7512324.4799999949</v>
      </c>
      <c r="W87" s="17">
        <f>P87*节奏总纲!BL85+求节点($C$58:$C$67,$K$58:$K$67,$T87)</f>
        <v>7806925.4399999948</v>
      </c>
      <c r="X87" s="17">
        <f>Q87*节奏总纲!BM85+求节点($C$81:$C$90,$K$81:$K$90,$T87)</f>
        <v>8396127.3599999938</v>
      </c>
      <c r="Y87" s="17">
        <f>R87*节奏总纲!BN85+求节点($C$104:$C$113,$K$104:$K$113,$T87)</f>
        <v>10311033.599999992</v>
      </c>
    </row>
    <row r="88" spans="2:25" x14ac:dyDescent="0.15">
      <c r="B88" s="17"/>
      <c r="C88" s="16">
        <v>80</v>
      </c>
      <c r="D88" s="16">
        <f>'[1]资源-装备'!BG88</f>
        <v>0</v>
      </c>
      <c r="E88" s="16">
        <f>'[1]资源-装备'!BH88</f>
        <v>0</v>
      </c>
      <c r="F88" s="16">
        <f>'[1]资源-装备'!BI88</f>
        <v>0</v>
      </c>
      <c r="G88" s="16">
        <f>'[1]资源-装备'!BJ88</f>
        <v>0</v>
      </c>
      <c r="H88" s="16">
        <f>'[1]资源-装备'!BK88</f>
        <v>0</v>
      </c>
      <c r="I88" s="16">
        <f>'[1]资源-装备'!BL88</f>
        <v>0</v>
      </c>
      <c r="J88" s="16">
        <f>'[1]资源-装备'!BM88</f>
        <v>0</v>
      </c>
      <c r="K88" s="16">
        <f t="shared" si="3"/>
        <v>0</v>
      </c>
      <c r="M88" s="17">
        <v>83</v>
      </c>
      <c r="N88" s="17">
        <f>'[1]资源-装备经验'!S88</f>
        <v>2252160</v>
      </c>
      <c r="O88" s="17">
        <f>'[1]资源-装备经验'!T88</f>
        <v>2252160</v>
      </c>
      <c r="P88" s="17">
        <f>'[1]资源-装备经验'!U88</f>
        <v>2252160</v>
      </c>
      <c r="Q88" s="17">
        <f>'[1]资源-装备经验'!V88</f>
        <v>2252160</v>
      </c>
      <c r="R88" s="17">
        <f>'[1]资源-装备经验'!W88</f>
        <v>2252160</v>
      </c>
      <c r="S88" s="17"/>
      <c r="T88" s="17">
        <v>83</v>
      </c>
      <c r="U88" s="17">
        <f>N88*节奏总纲!BJ86+求节点($C$12:$C$21,$K$12:$K$21,$T88)</f>
        <v>8107775.9999999944</v>
      </c>
      <c r="V88" s="17">
        <f>O88*节奏总纲!BK86+求节点($C$35:$C$44,$K$35:$K$44,$T88)</f>
        <v>8269931.519999994</v>
      </c>
      <c r="W88" s="17">
        <f>P88*节奏总纲!BL86+求节点($C$58:$C$67,$K$58:$K$67,$T88)</f>
        <v>8594242.5599999949</v>
      </c>
      <c r="X88" s="17">
        <f>Q88*节奏总纲!BM86+求节点($C$81:$C$90,$K$81:$K$90,$T88)</f>
        <v>9242864.6399999913</v>
      </c>
      <c r="Y88" s="17">
        <f>R88*节奏总纲!BN86+求节点($C$104:$C$113,$K$104:$K$113,$T88)</f>
        <v>11350886.399999993</v>
      </c>
    </row>
    <row r="89" spans="2:25" x14ac:dyDescent="0.15">
      <c r="B89" s="17"/>
      <c r="C89" s="16">
        <v>90</v>
      </c>
      <c r="D89" s="16">
        <f>'[1]资源-装备'!BG89</f>
        <v>0</v>
      </c>
      <c r="E89" s="16">
        <f>'[1]资源-装备'!BH89</f>
        <v>0</v>
      </c>
      <c r="F89" s="16">
        <f>'[1]资源-装备'!BI89</f>
        <v>0</v>
      </c>
      <c r="G89" s="16">
        <f>'[1]资源-装备'!BJ89</f>
        <v>0</v>
      </c>
      <c r="H89" s="16">
        <f>'[1]资源-装备'!BK89</f>
        <v>0</v>
      </c>
      <c r="I89" s="16">
        <f>'[1]资源-装备'!BL89</f>
        <v>0</v>
      </c>
      <c r="J89" s="16">
        <f>'[1]资源-装备'!BM89</f>
        <v>0</v>
      </c>
      <c r="K89" s="16">
        <f t="shared" si="3"/>
        <v>0</v>
      </c>
      <c r="M89" s="17">
        <v>84</v>
      </c>
      <c r="N89" s="17">
        <f>'[1]资源-装备经验'!S89</f>
        <v>2439360</v>
      </c>
      <c r="O89" s="17">
        <f>'[1]资源-装备经验'!T89</f>
        <v>2439360</v>
      </c>
      <c r="P89" s="17">
        <f>'[1]资源-装备经验'!U89</f>
        <v>2439360</v>
      </c>
      <c r="Q89" s="17">
        <f>'[1]资源-装备经验'!V89</f>
        <v>2439360</v>
      </c>
      <c r="R89" s="17">
        <f>'[1]资源-装备经验'!W89</f>
        <v>2439360</v>
      </c>
      <c r="S89" s="17"/>
      <c r="T89" s="17">
        <v>84</v>
      </c>
      <c r="U89" s="17">
        <f>N89*节奏总纲!BJ87+求节点($C$12:$C$21,$K$12:$K$21,$T89)</f>
        <v>8863007.9999999925</v>
      </c>
      <c r="V89" s="17">
        <f>O89*节奏总纲!BK87+求节点($C$35:$C$44,$K$35:$K$44,$T89)</f>
        <v>9040268.1599999927</v>
      </c>
      <c r="W89" s="17">
        <f>P89*节奏总纲!BL87+求节点($C$58:$C$67,$K$58:$K$67,$T89)</f>
        <v>9394788.479999993</v>
      </c>
      <c r="X89" s="17">
        <f>Q89*节奏总纲!BM87+求节点($C$81:$C$90,$K$81:$K$90,$T89)</f>
        <v>10103829.119999992</v>
      </c>
      <c r="Y89" s="17">
        <f>R89*节奏总纲!BN87+求节点($C$104:$C$113,$K$104:$K$113,$T89)</f>
        <v>12408211.19999999</v>
      </c>
    </row>
    <row r="90" spans="2:25" x14ac:dyDescent="0.15">
      <c r="B90" s="17"/>
      <c r="C90" s="16">
        <v>100</v>
      </c>
      <c r="D90" s="16">
        <f>'[1]资源-装备'!BG90</f>
        <v>0</v>
      </c>
      <c r="E90" s="16">
        <f>'[1]资源-装备'!BH90</f>
        <v>0</v>
      </c>
      <c r="F90" s="16">
        <f>'[1]资源-装备'!BI90</f>
        <v>0</v>
      </c>
      <c r="G90" s="16">
        <f>'[1]资源-装备'!BJ90</f>
        <v>0</v>
      </c>
      <c r="H90" s="16">
        <f>'[1]资源-装备'!BK90</f>
        <v>0</v>
      </c>
      <c r="I90" s="16">
        <f>'[1]资源-装备'!BL90</f>
        <v>0</v>
      </c>
      <c r="J90" s="16">
        <f>'[1]资源-装备'!BM90</f>
        <v>0</v>
      </c>
      <c r="K90" s="16">
        <f t="shared" si="3"/>
        <v>0</v>
      </c>
      <c r="M90" s="17">
        <v>85</v>
      </c>
      <c r="N90" s="17">
        <f>'[1]资源-装备经验'!S90</f>
        <v>2626560</v>
      </c>
      <c r="O90" s="17">
        <f>'[1]资源-装备经验'!T90</f>
        <v>2626560</v>
      </c>
      <c r="P90" s="17">
        <f>'[1]资源-装备经验'!U90</f>
        <v>2626560</v>
      </c>
      <c r="Q90" s="17">
        <f>'[1]资源-装备经验'!V90</f>
        <v>2626560</v>
      </c>
      <c r="R90" s="17">
        <f>'[1]资源-装备经验'!W90</f>
        <v>2626560</v>
      </c>
      <c r="S90" s="17"/>
      <c r="T90" s="17">
        <v>85</v>
      </c>
      <c r="U90" s="17">
        <f>N90*节奏总纲!BJ88+求节点($C$12:$C$21,$K$12:$K$21,$T90)</f>
        <v>9630719.9999999925</v>
      </c>
      <c r="V90" s="17">
        <f>O90*节奏总纲!BK88+求节点($C$35:$C$44,$K$35:$K$44,$T90)</f>
        <v>9823334.3999999929</v>
      </c>
      <c r="W90" s="17">
        <f>P90*节奏总纲!BL88+求节点($C$58:$C$67,$K$58:$K$67,$T90)</f>
        <v>10208563.199999994</v>
      </c>
      <c r="X90" s="17">
        <f>Q90*节奏总纲!BM88+求节点($C$81:$C$90,$K$81:$K$90,$T90)</f>
        <v>10979020.79999999</v>
      </c>
      <c r="Y90" s="17">
        <f>R90*节奏总纲!BN88+求节点($C$104:$C$113,$K$104:$K$113,$T90)</f>
        <v>13483007.999999989</v>
      </c>
    </row>
    <row r="91" spans="2:25" x14ac:dyDescent="0.15">
      <c r="B91" s="17"/>
      <c r="M91" s="17">
        <v>86</v>
      </c>
      <c r="N91" s="17">
        <f>'[1]资源-装备经验'!S91</f>
        <v>2813760</v>
      </c>
      <c r="O91" s="17">
        <f>'[1]资源-装备经验'!T91</f>
        <v>2813760</v>
      </c>
      <c r="P91" s="17">
        <f>'[1]资源-装备经验'!U91</f>
        <v>2813760</v>
      </c>
      <c r="Q91" s="17">
        <f>'[1]资源-装备经验'!V91</f>
        <v>2813760</v>
      </c>
      <c r="R91" s="17">
        <f>'[1]资源-装备经验'!W91</f>
        <v>2813760</v>
      </c>
      <c r="S91" s="17"/>
      <c r="T91" s="17">
        <v>86</v>
      </c>
      <c r="U91" s="17">
        <f>N91*节奏总纲!BJ89+求节点($C$12:$C$21,$K$12:$K$21,$T91)</f>
        <v>10410911.999999993</v>
      </c>
      <c r="V91" s="17">
        <f>O91*节奏总纲!BK89+求节点($C$35:$C$44,$K$35:$K$44,$T91)</f>
        <v>10619130.239999991</v>
      </c>
      <c r="W91" s="17">
        <f>P91*节奏总纲!BL89+求节点($C$58:$C$67,$K$58:$K$67,$T91)</f>
        <v>11035566.719999991</v>
      </c>
      <c r="X91" s="17">
        <f>Q91*节奏总纲!BM89+求节点($C$81:$C$90,$K$81:$K$90,$T91)</f>
        <v>11868439.67999999</v>
      </c>
      <c r="Y91" s="17">
        <f>R91*节奏总纲!BN89+求节点($C$104:$C$113,$K$104:$K$113,$T91)</f>
        <v>14575276.799999986</v>
      </c>
    </row>
    <row r="92" spans="2:25" x14ac:dyDescent="0.15">
      <c r="B92" s="17"/>
      <c r="M92" s="17">
        <v>87</v>
      </c>
      <c r="N92" s="17">
        <f>'[1]资源-装备经验'!S92</f>
        <v>3000960</v>
      </c>
      <c r="O92" s="17">
        <f>'[1]资源-装备经验'!T92</f>
        <v>3000960</v>
      </c>
      <c r="P92" s="17">
        <f>'[1]资源-装备经验'!U92</f>
        <v>3000960</v>
      </c>
      <c r="Q92" s="17">
        <f>'[1]资源-装备经验'!V92</f>
        <v>3000960</v>
      </c>
      <c r="R92" s="17">
        <f>'[1]资源-装备经验'!W92</f>
        <v>3000960</v>
      </c>
      <c r="S92" s="17"/>
      <c r="T92" s="17">
        <v>87</v>
      </c>
      <c r="U92" s="17">
        <f>N92*节奏总纲!BJ90+求节点($C$12:$C$21,$K$12:$K$21,$T92)</f>
        <v>11203583.999999991</v>
      </c>
      <c r="V92" s="17">
        <f>O92*节奏总纲!BK90+求节点($C$35:$C$44,$K$35:$K$44,$T92)</f>
        <v>11427655.679999992</v>
      </c>
      <c r="W92" s="17">
        <f>P92*节奏总纲!BL90+求节点($C$58:$C$67,$K$58:$K$67,$T92)</f>
        <v>11875799.039999992</v>
      </c>
      <c r="X92" s="17">
        <f>Q92*节奏总纲!BM90+求节点($C$81:$C$90,$K$81:$K$90,$T92)</f>
        <v>12772085.759999987</v>
      </c>
      <c r="Y92" s="17">
        <f>R92*节奏总纲!BN90+求节点($C$104:$C$113,$K$104:$K$113,$T92)</f>
        <v>15685017.599999987</v>
      </c>
    </row>
    <row r="93" spans="2:25" x14ac:dyDescent="0.15">
      <c r="B93" s="17"/>
      <c r="M93" s="17">
        <v>88</v>
      </c>
      <c r="N93" s="17">
        <f>'[1]资源-装备经验'!S93</f>
        <v>3188160</v>
      </c>
      <c r="O93" s="17">
        <f>'[1]资源-装备经验'!T93</f>
        <v>3188160</v>
      </c>
      <c r="P93" s="17">
        <f>'[1]资源-装备经验'!U93</f>
        <v>3188160</v>
      </c>
      <c r="Q93" s="17">
        <f>'[1]资源-装备经验'!V93</f>
        <v>3188160</v>
      </c>
      <c r="R93" s="17">
        <f>'[1]资源-装备经验'!W93</f>
        <v>3188160</v>
      </c>
      <c r="S93" s="17"/>
      <c r="T93" s="17">
        <v>88</v>
      </c>
      <c r="U93" s="17">
        <f>N93*节奏总纲!BJ91+求节点($C$12:$C$21,$K$12:$K$21,$T93)</f>
        <v>12008735.999999991</v>
      </c>
      <c r="V93" s="17">
        <f>O93*节奏总纲!BK91+求节点($C$35:$C$44,$K$35:$K$44,$T93)</f>
        <v>12248910.719999989</v>
      </c>
      <c r="W93" s="17">
        <f>P93*节奏总纲!BL91+求节点($C$58:$C$67,$K$58:$K$67,$T93)</f>
        <v>12729260.159999989</v>
      </c>
      <c r="X93" s="17">
        <f>Q93*节奏总纲!BM91+求节点($C$81:$C$90,$K$81:$K$90,$T93)</f>
        <v>13689959.039999988</v>
      </c>
      <c r="Y93" s="17">
        <f>R93*节奏总纲!BN91+求节点($C$104:$C$113,$K$104:$K$113,$T93)</f>
        <v>16812230.399999987</v>
      </c>
    </row>
    <row r="94" spans="2:25" x14ac:dyDescent="0.15">
      <c r="B94" s="17"/>
      <c r="M94" s="17">
        <v>89</v>
      </c>
      <c r="N94" s="17">
        <f>'[1]资源-装备经验'!S94</f>
        <v>3375360</v>
      </c>
      <c r="O94" s="17">
        <f>'[1]资源-装备经验'!T94</f>
        <v>3375360</v>
      </c>
      <c r="P94" s="17">
        <f>'[1]资源-装备经验'!U94</f>
        <v>3375360</v>
      </c>
      <c r="Q94" s="17">
        <f>'[1]资源-装备经验'!V94</f>
        <v>3375360</v>
      </c>
      <c r="R94" s="17">
        <f>'[1]资源-装备经验'!W94</f>
        <v>3375360</v>
      </c>
      <c r="S94" s="17"/>
      <c r="T94" s="17">
        <v>89</v>
      </c>
      <c r="U94" s="17">
        <f>N94*节奏总纲!BJ92+求节点($C$12:$C$21,$K$12:$K$21,$T94)</f>
        <v>12826367.999999989</v>
      </c>
      <c r="V94" s="17">
        <f>O94*节奏总纲!BK92+求节点($C$35:$C$44,$K$35:$K$44,$T94)</f>
        <v>13082895.359999988</v>
      </c>
      <c r="W94" s="17">
        <f>P94*节奏总纲!BL92+求节点($C$58:$C$67,$K$58:$K$67,$T94)</f>
        <v>13595950.079999989</v>
      </c>
      <c r="X94" s="17">
        <f>Q94*节奏总纲!BM92+求节点($C$81:$C$90,$K$81:$K$90,$T94)</f>
        <v>14622059.519999988</v>
      </c>
      <c r="Y94" s="17">
        <f>R94*节奏总纲!BN92+求节点($C$104:$C$113,$K$104:$K$113,$T94)</f>
        <v>17956915.199999984</v>
      </c>
    </row>
    <row r="95" spans="2:25" x14ac:dyDescent="0.15">
      <c r="B95" s="17"/>
      <c r="M95" s="17">
        <v>90</v>
      </c>
      <c r="N95" s="17">
        <f>'[1]资源-装备经验'!S95</f>
        <v>3562560</v>
      </c>
      <c r="O95" s="17">
        <f>'[1]资源-装备经验'!T95</f>
        <v>3562560</v>
      </c>
      <c r="P95" s="17">
        <f>'[1]资源-装备经验'!U95</f>
        <v>3562560</v>
      </c>
      <c r="Q95" s="17">
        <f>'[1]资源-装备经验'!V95</f>
        <v>3562560</v>
      </c>
      <c r="R95" s="17">
        <f>'[1]资源-装备经验'!W95</f>
        <v>3562560</v>
      </c>
      <c r="S95" s="17"/>
      <c r="T95" s="17">
        <v>90</v>
      </c>
      <c r="U95" s="17">
        <f>N95*节奏总纲!BJ93+求节点($C$12:$C$21,$K$12:$K$21,$T95)</f>
        <v>13656479.999999987</v>
      </c>
      <c r="V95" s="17">
        <f>O95*节奏总纲!BK93+求节点($C$35:$C$44,$K$35:$K$44,$T95)</f>
        <v>13929609.599999988</v>
      </c>
      <c r="W95" s="17">
        <f>P95*节奏总纲!BL93+求节点($C$58:$C$67,$K$58:$K$67,$T95)</f>
        <v>14475868.799999988</v>
      </c>
      <c r="X95" s="17">
        <f>Q95*节奏总纲!BM93+求节点($C$81:$C$90,$K$81:$K$90,$T95)</f>
        <v>15568387.199999984</v>
      </c>
      <c r="Y95" s="17">
        <f>R95*节奏总纲!BN93+求节点($C$104:$C$113,$K$104:$K$113,$T95)</f>
        <v>19119071.999999981</v>
      </c>
    </row>
    <row r="96" spans="2:25" x14ac:dyDescent="0.15">
      <c r="B96" s="17"/>
      <c r="M96" s="17">
        <v>91</v>
      </c>
      <c r="N96" s="17">
        <f>'[1]资源-装备经验'!S96</f>
        <v>3890160</v>
      </c>
      <c r="O96" s="17">
        <f>'[1]资源-装备经验'!T96</f>
        <v>3890160</v>
      </c>
      <c r="P96" s="17">
        <f>'[1]资源-装备经验'!U96</f>
        <v>3890160</v>
      </c>
      <c r="Q96" s="17">
        <f>'[1]资源-装备经验'!V96</f>
        <v>3890160</v>
      </c>
      <c r="R96" s="17">
        <f>'[1]资源-装备经验'!W96</f>
        <v>3890160</v>
      </c>
      <c r="S96" s="17"/>
      <c r="T96" s="17">
        <v>91</v>
      </c>
      <c r="U96" s="17">
        <f>N96*节奏总纲!BJ94+求节点($C$12:$C$21,$K$12:$K$21,$T96)</f>
        <v>15041951.999999987</v>
      </c>
      <c r="V96" s="17">
        <f>O96*节奏总纲!BK94+求节点($C$35:$C$44,$K$35:$K$44,$T96)</f>
        <v>15342791.039999986</v>
      </c>
      <c r="W96" s="17">
        <f>P96*节奏总纲!BL94+求节点($C$58:$C$67,$K$58:$K$67,$T96)</f>
        <v>15944469.119999986</v>
      </c>
      <c r="X96" s="17">
        <f>Q96*节奏总纲!BM94+求节点($C$81:$C$90,$K$81:$K$90,$T96)</f>
        <v>17147825.279999983</v>
      </c>
      <c r="Y96" s="17">
        <f>R96*节奏总纲!BN94+求节点($C$104:$C$113,$K$104:$K$113,$T96)</f>
        <v>21058732.799999978</v>
      </c>
    </row>
    <row r="97" spans="2:25" x14ac:dyDescent="0.15">
      <c r="B97" s="17"/>
      <c r="M97" s="17">
        <v>92</v>
      </c>
      <c r="N97" s="17">
        <f>'[1]资源-装备经验'!S97</f>
        <v>4217760</v>
      </c>
      <c r="O97" s="17">
        <f>'[1]资源-装备经验'!T97</f>
        <v>4217760</v>
      </c>
      <c r="P97" s="17">
        <f>'[1]资源-装备经验'!U97</f>
        <v>4217760</v>
      </c>
      <c r="Q97" s="17">
        <f>'[1]资源-装备经验'!V97</f>
        <v>4217760</v>
      </c>
      <c r="R97" s="17">
        <f>'[1]资源-装备经验'!W97</f>
        <v>4217760</v>
      </c>
      <c r="S97" s="17"/>
      <c r="T97" s="17">
        <v>92</v>
      </c>
      <c r="U97" s="17">
        <f>N97*节奏总纲!BJ95+求节点($C$12:$C$21,$K$12:$K$21,$T97)</f>
        <v>16449263.999999985</v>
      </c>
      <c r="V97" s="17">
        <f>O97*节奏总纲!BK95+求节点($C$35:$C$44,$K$35:$K$44,$T97)</f>
        <v>16778249.279999983</v>
      </c>
      <c r="W97" s="17">
        <f>P97*节奏总纲!BL95+求节点($C$58:$C$67,$K$58:$K$67,$T97)</f>
        <v>17436219.839999985</v>
      </c>
      <c r="X97" s="17">
        <f>Q97*节奏总纲!BM95+求节点($C$81:$C$90,$K$81:$K$90,$T97)</f>
        <v>18752160.959999979</v>
      </c>
      <c r="Y97" s="17">
        <f>R97*节奏总纲!BN95+求节点($C$104:$C$113,$K$104:$K$113,$T97)</f>
        <v>23028969.599999979</v>
      </c>
    </row>
    <row r="98" spans="2:25" x14ac:dyDescent="0.15">
      <c r="B98" s="17"/>
      <c r="M98" s="17">
        <v>93</v>
      </c>
      <c r="N98" s="17">
        <f>'[1]资源-装备经验'!S98</f>
        <v>4545360</v>
      </c>
      <c r="O98" s="17">
        <f>'[1]资源-装备经验'!T98</f>
        <v>4545360</v>
      </c>
      <c r="P98" s="17">
        <f>'[1]资源-装备经验'!U98</f>
        <v>4545360</v>
      </c>
      <c r="Q98" s="17">
        <f>'[1]资源-装备经验'!V98</f>
        <v>4545360</v>
      </c>
      <c r="R98" s="17">
        <f>'[1]资源-装备经验'!W98</f>
        <v>4545360</v>
      </c>
      <c r="S98" s="17"/>
      <c r="T98" s="17">
        <v>93</v>
      </c>
      <c r="U98" s="17">
        <f>N98*节奏总纲!BJ96+求节点($C$12:$C$21,$K$12:$K$21,$T98)</f>
        <v>17878415.999999981</v>
      </c>
      <c r="V98" s="17">
        <f>O98*节奏总纲!BK96+求节点($C$35:$C$44,$K$35:$K$44,$T98)</f>
        <v>18235984.319999982</v>
      </c>
      <c r="W98" s="17">
        <f>P98*节奏总纲!BL96+求节点($C$58:$C$67,$K$58:$K$67,$T98)</f>
        <v>18951120.959999982</v>
      </c>
      <c r="X98" s="17">
        <f>Q98*节奏总纲!BM96+求节点($C$81:$C$90,$K$81:$K$90,$T98)</f>
        <v>20381394.23999998</v>
      </c>
      <c r="Y98" s="17">
        <f>R98*节奏总纲!BN96+求节点($C$104:$C$113,$K$104:$K$113,$T98)</f>
        <v>25029782.399999976</v>
      </c>
    </row>
    <row r="99" spans="2:25" x14ac:dyDescent="0.15">
      <c r="B99" s="17"/>
      <c r="M99" s="17">
        <v>94</v>
      </c>
      <c r="N99" s="17">
        <f>'[1]资源-装备经验'!S99</f>
        <v>4872960</v>
      </c>
      <c r="O99" s="17">
        <f>'[1]资源-装备经验'!T99</f>
        <v>4872960</v>
      </c>
      <c r="P99" s="17">
        <f>'[1]资源-装备经验'!U99</f>
        <v>4872960</v>
      </c>
      <c r="Q99" s="17">
        <f>'[1]资源-装备经验'!V99</f>
        <v>4872960</v>
      </c>
      <c r="R99" s="17">
        <f>'[1]资源-装备经验'!W99</f>
        <v>4872960</v>
      </c>
      <c r="S99" s="17"/>
      <c r="T99" s="17">
        <v>94</v>
      </c>
      <c r="U99" s="17">
        <f>N99*节奏总纲!BJ97+求节点($C$12:$C$21,$K$12:$K$21,$T99)</f>
        <v>19329407.999999981</v>
      </c>
      <c r="V99" s="17">
        <f>O99*节奏总纲!BK97+求节点($C$35:$C$44,$K$35:$K$44,$T99)</f>
        <v>19715996.159999978</v>
      </c>
      <c r="W99" s="17">
        <f>P99*节奏总纲!BL97+求节点($C$58:$C$67,$K$58:$K$67,$T99)</f>
        <v>20489172.479999982</v>
      </c>
      <c r="X99" s="17">
        <f>Q99*节奏总纲!BM97+求节点($C$81:$C$90,$K$81:$K$90,$T99)</f>
        <v>22035525.119999975</v>
      </c>
      <c r="Y99" s="17">
        <f>R99*节奏总纲!BN97+求节点($C$104:$C$113,$K$104:$K$113,$T99)</f>
        <v>27061171.199999973</v>
      </c>
    </row>
    <row r="100" spans="2:25" x14ac:dyDescent="0.15">
      <c r="B100" s="17"/>
      <c r="M100" s="17">
        <v>95</v>
      </c>
      <c r="N100" s="17">
        <f>'[1]资源-装备经验'!S100</f>
        <v>5200560</v>
      </c>
      <c r="O100" s="17">
        <f>'[1]资源-装备经验'!T100</f>
        <v>5200560</v>
      </c>
      <c r="P100" s="17">
        <f>'[1]资源-装备经验'!U100</f>
        <v>5200560</v>
      </c>
      <c r="Q100" s="17">
        <f>'[1]资源-装备经验'!V100</f>
        <v>5200560</v>
      </c>
      <c r="R100" s="17">
        <f>'[1]资源-装备经验'!W100</f>
        <v>5200560</v>
      </c>
      <c r="S100" s="17"/>
      <c r="T100" s="17">
        <v>95</v>
      </c>
      <c r="U100" s="17">
        <f>N100*节奏总纲!BJ98+求节点($C$12:$C$21,$K$12:$K$21,$T100)</f>
        <v>20802239.999999978</v>
      </c>
      <c r="V100" s="17">
        <f>O100*节奏总纲!BK98+求节点($C$35:$C$44,$K$35:$K$44,$T100)</f>
        <v>21218284.799999978</v>
      </c>
      <c r="W100" s="17">
        <f>P100*节奏总纲!BL98+求节点($C$58:$C$67,$K$58:$K$67,$T100)</f>
        <v>22050374.399999976</v>
      </c>
      <c r="X100" s="17">
        <f>Q100*节奏总纲!BM98+求节点($C$81:$C$90,$K$81:$K$90,$T100)</f>
        <v>23714553.599999975</v>
      </c>
      <c r="Y100" s="17">
        <f>R100*节奏总纲!BN98+求节点($C$104:$C$113,$K$104:$K$113,$T100)</f>
        <v>29123135.99999997</v>
      </c>
    </row>
    <row r="101" spans="2:25" x14ac:dyDescent="0.15">
      <c r="B101" s="17"/>
      <c r="M101" s="17">
        <v>96</v>
      </c>
      <c r="N101" s="17">
        <f>'[1]资源-装备经验'!S101</f>
        <v>5528160</v>
      </c>
      <c r="O101" s="17">
        <f>'[1]资源-装备经验'!T101</f>
        <v>5528160</v>
      </c>
      <c r="P101" s="17">
        <f>'[1]资源-装备经验'!U101</f>
        <v>5528160</v>
      </c>
      <c r="Q101" s="17">
        <f>'[1]资源-装备经验'!V101</f>
        <v>5528160</v>
      </c>
      <c r="R101" s="17">
        <f>'[1]资源-装备经验'!W101</f>
        <v>5528160</v>
      </c>
      <c r="S101" s="17"/>
      <c r="T101" s="17">
        <v>96</v>
      </c>
      <c r="U101" s="17">
        <f>N101*节奏总纲!BJ99+求节点($C$12:$C$21,$K$12:$K$21,$T101)</f>
        <v>22296911.999999981</v>
      </c>
      <c r="V101" s="17">
        <f>O101*节奏总纲!BK99+求节点($C$35:$C$44,$K$35:$K$44,$T101)</f>
        <v>22742850.23999998</v>
      </c>
      <c r="W101" s="17">
        <f>P101*节奏总纲!BL99+求节点($C$58:$C$67,$K$58:$K$67,$T101)</f>
        <v>23634726.71999998</v>
      </c>
      <c r="X101" s="17">
        <f>Q101*节奏总纲!BM99+求节点($C$81:$C$90,$K$81:$K$90,$T101)</f>
        <v>25418479.679999974</v>
      </c>
      <c r="Y101" s="17">
        <f>R101*节奏总纲!BN99+求节点($C$104:$C$113,$K$104:$K$113,$T101)</f>
        <v>31215676.799999971</v>
      </c>
    </row>
    <row r="102" spans="2:25" x14ac:dyDescent="0.15">
      <c r="B102" s="17"/>
      <c r="D102" s="16" t="s">
        <v>4</v>
      </c>
      <c r="E102" s="16"/>
      <c r="F102" s="43" t="s">
        <v>30</v>
      </c>
      <c r="G102" s="44"/>
      <c r="H102" s="44"/>
      <c r="I102" s="44"/>
      <c r="J102" s="45"/>
      <c r="K102" s="46" t="s">
        <v>34</v>
      </c>
      <c r="M102" s="17">
        <v>97</v>
      </c>
      <c r="N102" s="17">
        <f>'[1]资源-装备经验'!S102</f>
        <v>5855760</v>
      </c>
      <c r="O102" s="17">
        <f>'[1]资源-装备经验'!T102</f>
        <v>5855760</v>
      </c>
      <c r="P102" s="17">
        <f>'[1]资源-装备经验'!U102</f>
        <v>5855760</v>
      </c>
      <c r="Q102" s="17">
        <f>'[1]资源-装备经验'!V102</f>
        <v>5855760</v>
      </c>
      <c r="R102" s="17">
        <f>'[1]资源-装备经验'!W102</f>
        <v>5855760</v>
      </c>
      <c r="S102" s="17"/>
      <c r="T102" s="17">
        <v>97</v>
      </c>
      <c r="U102" s="17">
        <f>N102*节奏总纲!BJ100+求节点($C$12:$C$21,$K$12:$K$21,$T102)</f>
        <v>23813423.999999978</v>
      </c>
      <c r="V102" s="17">
        <f>O102*节奏总纲!BK100+求节点($C$35:$C$44,$K$35:$K$44,$T102)</f>
        <v>24289692.479999978</v>
      </c>
      <c r="W102" s="17">
        <f>P102*节奏总纲!BL100+求节点($C$58:$C$67,$K$58:$K$67,$T102)</f>
        <v>25242229.439999975</v>
      </c>
      <c r="X102" s="17">
        <f>Q102*节奏总纲!BM100+求节点($C$81:$C$90,$K$81:$K$90,$T102)</f>
        <v>27147303.359999973</v>
      </c>
      <c r="Y102" s="17">
        <f>R102*节奏总纲!BN100+求节点($C$104:$C$113,$K$104:$K$113,$T102)</f>
        <v>33338793.599999968</v>
      </c>
    </row>
    <row r="103" spans="2:25" x14ac:dyDescent="0.15">
      <c r="B103" s="17"/>
      <c r="C103" s="16" t="s">
        <v>48</v>
      </c>
      <c r="D103" s="16" t="s">
        <v>31</v>
      </c>
      <c r="E103" s="16" t="s">
        <v>32</v>
      </c>
      <c r="F103" s="16" t="s">
        <v>25</v>
      </c>
      <c r="G103" s="16" t="s">
        <v>26</v>
      </c>
      <c r="H103" s="16" t="s">
        <v>27</v>
      </c>
      <c r="I103" s="16" t="s">
        <v>28</v>
      </c>
      <c r="J103" s="16" t="s">
        <v>29</v>
      </c>
      <c r="K103" s="46"/>
      <c r="M103" s="17">
        <v>98</v>
      </c>
      <c r="N103" s="17">
        <f>'[1]资源-装备经验'!S103</f>
        <v>6183360</v>
      </c>
      <c r="O103" s="17">
        <f>'[1]资源-装备经验'!T103</f>
        <v>6183360</v>
      </c>
      <c r="P103" s="17">
        <f>'[1]资源-装备经验'!U103</f>
        <v>6183360</v>
      </c>
      <c r="Q103" s="17">
        <f>'[1]资源-装备经验'!V103</f>
        <v>6183360</v>
      </c>
      <c r="R103" s="17">
        <f>'[1]资源-装备经验'!W103</f>
        <v>6183360</v>
      </c>
      <c r="S103" s="17"/>
      <c r="T103" s="17">
        <v>98</v>
      </c>
      <c r="U103" s="17">
        <f>N103*节奏总纲!BJ101+求节点($C$12:$C$21,$K$12:$K$21,$T103)</f>
        <v>25351775.999999978</v>
      </c>
      <c r="V103" s="17">
        <f>O103*节奏总纲!BK101+求节点($C$35:$C$44,$K$35:$K$44,$T103)</f>
        <v>25858811.519999973</v>
      </c>
      <c r="W103" s="17">
        <f>P103*节奏总纲!BL101+求节点($C$58:$C$67,$K$58:$K$67,$T103)</f>
        <v>26872882.559999973</v>
      </c>
      <c r="X103" s="17">
        <f>Q103*节奏总纲!BM101+求节点($C$81:$C$90,$K$81:$K$90,$T103)</f>
        <v>28901024.639999971</v>
      </c>
      <c r="Y103" s="17">
        <f>R103*节奏总纲!BN101+求节点($C$104:$C$113,$K$104:$K$113,$T103)</f>
        <v>35492486.399999961</v>
      </c>
    </row>
    <row r="104" spans="2:25" x14ac:dyDescent="0.15">
      <c r="B104" s="17"/>
      <c r="C104" s="16">
        <v>10</v>
      </c>
      <c r="D104" s="16">
        <f>'[1]资源-装备'!BG104</f>
        <v>0</v>
      </c>
      <c r="E104" s="16">
        <f>'[1]资源-装备'!BH104</f>
        <v>0</v>
      </c>
      <c r="F104" s="16">
        <f>'[1]资源-装备'!BI104</f>
        <v>0</v>
      </c>
      <c r="G104" s="16">
        <f>'[1]资源-装备'!BJ104</f>
        <v>0</v>
      </c>
      <c r="H104" s="16">
        <f>'[1]资源-装备'!BK104</f>
        <v>0</v>
      </c>
      <c r="I104" s="16">
        <f>'[1]资源-装备'!BL104</f>
        <v>0</v>
      </c>
      <c r="J104" s="16">
        <f>'[1]资源-装备'!BM104</f>
        <v>0</v>
      </c>
      <c r="K104" s="16">
        <f>SUM(F104:J104)*D104*E104</f>
        <v>0</v>
      </c>
      <c r="M104" s="17">
        <v>99</v>
      </c>
      <c r="N104" s="17">
        <f>'[1]资源-装备经验'!S104</f>
        <v>6510960</v>
      </c>
      <c r="O104" s="17">
        <f>'[1]资源-装备经验'!T104</f>
        <v>6510960</v>
      </c>
      <c r="P104" s="17">
        <f>'[1]资源-装备经验'!U104</f>
        <v>6510960</v>
      </c>
      <c r="Q104" s="17">
        <f>'[1]资源-装备经验'!V104</f>
        <v>6510960</v>
      </c>
      <c r="R104" s="17">
        <f>'[1]资源-装备经验'!W104</f>
        <v>6510960</v>
      </c>
      <c r="S104" s="17"/>
      <c r="T104" s="17">
        <v>99</v>
      </c>
      <c r="U104" s="17">
        <f>N104*节奏总纲!BJ102+求节点($C$12:$C$21,$K$12:$K$21,$T104)</f>
        <v>26911967.999999974</v>
      </c>
      <c r="V104" s="17">
        <f>O104*节奏总纲!BK102+求节点($C$35:$C$44,$K$35:$K$44,$T104)</f>
        <v>27450207.359999973</v>
      </c>
      <c r="W104" s="17">
        <f>P104*节奏总纲!BL102+求节点($C$58:$C$67,$K$58:$K$67,$T104)</f>
        <v>28526686.079999976</v>
      </c>
      <c r="X104" s="17">
        <f>Q104*节奏总纲!BM102+求节点($C$81:$C$90,$K$81:$K$90,$T104)</f>
        <v>30679643.51999997</v>
      </c>
      <c r="Y104" s="17">
        <f>R104*节奏总纲!BN102+求节点($C$104:$C$113,$K$104:$K$113,$T104)</f>
        <v>37676755.199999966</v>
      </c>
    </row>
    <row r="105" spans="2:25" x14ac:dyDescent="0.15">
      <c r="B105" s="17"/>
      <c r="C105" s="16">
        <v>20</v>
      </c>
      <c r="D105" s="16">
        <f>'[1]资源-装备'!BG105</f>
        <v>0</v>
      </c>
      <c r="E105" s="16">
        <f>'[1]资源-装备'!BH105</f>
        <v>0</v>
      </c>
      <c r="F105" s="16">
        <f>'[1]资源-装备'!BI105</f>
        <v>0</v>
      </c>
      <c r="G105" s="16">
        <f>'[1]资源-装备'!BJ105</f>
        <v>0</v>
      </c>
      <c r="H105" s="16">
        <f>'[1]资源-装备'!BK105</f>
        <v>0</v>
      </c>
      <c r="I105" s="16">
        <f>'[1]资源-装备'!BL105</f>
        <v>0</v>
      </c>
      <c r="J105" s="16">
        <f>'[1]资源-装备'!BM105</f>
        <v>0</v>
      </c>
      <c r="K105" s="16">
        <f t="shared" ref="K105:K113" si="4">SUM(F105:J105)*D105*E105</f>
        <v>0</v>
      </c>
      <c r="M105" s="17">
        <v>100</v>
      </c>
      <c r="N105" s="17">
        <f>'[1]资源-装备经验'!S105</f>
        <v>6838560</v>
      </c>
      <c r="O105" s="17">
        <f>'[1]资源-装备经验'!T105</f>
        <v>6838560</v>
      </c>
      <c r="P105" s="17">
        <f>'[1]资源-装备经验'!U105</f>
        <v>6838560</v>
      </c>
      <c r="Q105" s="17">
        <f>'[1]资源-装备经验'!V105</f>
        <v>6838560</v>
      </c>
      <c r="R105" s="17">
        <f>'[1]资源-装备经验'!W105</f>
        <v>6838560</v>
      </c>
      <c r="S105" s="17"/>
      <c r="T105" s="17">
        <v>100</v>
      </c>
      <c r="U105" s="17">
        <f>N105*节奏总纲!BJ103+求节点($C$12:$C$21,$K$12:$K$21,$T105)</f>
        <v>28493999.99999997</v>
      </c>
      <c r="V105" s="17">
        <f>O105*节奏总纲!BK103+求节点($C$35:$C$44,$K$35:$K$44,$T105)</f>
        <v>29063879.99999997</v>
      </c>
      <c r="W105" s="17">
        <f>P105*节奏总纲!BL103+求节点($C$58:$C$67,$K$58:$K$67,$T105)</f>
        <v>30203639.99999997</v>
      </c>
      <c r="X105" s="17">
        <f>Q105*节奏总纲!BM103+求节点($C$81:$C$90,$K$81:$K$90,$T105)</f>
        <v>32483159.999999963</v>
      </c>
      <c r="Y105" s="17">
        <f>R105*节奏总纲!BN103+求节点($C$104:$C$113,$K$104:$K$113,$T105)</f>
        <v>39891599.999999955</v>
      </c>
    </row>
    <row r="106" spans="2:25" x14ac:dyDescent="0.15">
      <c r="B106" s="17"/>
      <c r="C106" s="16">
        <v>30</v>
      </c>
      <c r="D106" s="16">
        <f>'[1]资源-装备'!BG106</f>
        <v>0</v>
      </c>
      <c r="E106" s="16">
        <f>'[1]资源-装备'!BH106</f>
        <v>0</v>
      </c>
      <c r="F106" s="16">
        <f>'[1]资源-装备'!BI106</f>
        <v>0</v>
      </c>
      <c r="G106" s="16">
        <f>'[1]资源-装备'!BJ106</f>
        <v>0</v>
      </c>
      <c r="H106" s="16">
        <f>'[1]资源-装备'!BK106</f>
        <v>0</v>
      </c>
      <c r="I106" s="16">
        <f>'[1]资源-装备'!BL106</f>
        <v>0</v>
      </c>
      <c r="J106" s="16">
        <f>'[1]资源-装备'!BM106</f>
        <v>0</v>
      </c>
      <c r="K106" s="16">
        <f t="shared" si="4"/>
        <v>0</v>
      </c>
      <c r="M106" s="17">
        <v>101</v>
      </c>
      <c r="N106" s="17">
        <f>'[1]资源-装备经验'!S106</f>
        <v>0</v>
      </c>
      <c r="O106" s="17">
        <f>'[1]资源-装备经验'!T106</f>
        <v>0</v>
      </c>
      <c r="P106" s="17">
        <f>'[1]资源-装备经验'!U106</f>
        <v>0</v>
      </c>
      <c r="Q106" s="17">
        <f>'[1]资源-装备经验'!V106</f>
        <v>0</v>
      </c>
      <c r="R106" s="17">
        <f>'[1]资源-装备经验'!W106</f>
        <v>0</v>
      </c>
      <c r="S106" s="17"/>
      <c r="T106" s="17">
        <v>101</v>
      </c>
      <c r="U106" s="17">
        <f>N106*节奏总纲!BJ104+求节点($C$12:$C$21,$K$12:$K$21,$T106)</f>
        <v>0</v>
      </c>
      <c r="V106" s="17">
        <f>O106*节奏总纲!BK104+求节点($C$35:$C$44,$K$35:$K$44,$T106)</f>
        <v>0</v>
      </c>
      <c r="W106" s="17">
        <f>P106*节奏总纲!BL104+求节点($C$58:$C$67,$K$58:$K$67,$T106)</f>
        <v>0</v>
      </c>
      <c r="X106" s="17">
        <f>Q106*节奏总纲!BM104+求节点($C$81:$C$90,$K$81:$K$90,$T106)</f>
        <v>0</v>
      </c>
      <c r="Y106" s="17">
        <f>R106*节奏总纲!BN104+求节点($C$104:$C$113,$K$104:$K$113,$T106)</f>
        <v>0</v>
      </c>
    </row>
    <row r="107" spans="2:25" x14ac:dyDescent="0.15">
      <c r="B107" s="17"/>
      <c r="C107" s="16">
        <v>40</v>
      </c>
      <c r="D107" s="16">
        <f>'[1]资源-装备'!BG107</f>
        <v>0</v>
      </c>
      <c r="E107" s="16">
        <f>'[1]资源-装备'!BH107</f>
        <v>0</v>
      </c>
      <c r="F107" s="16">
        <f>'[1]资源-装备'!BI107</f>
        <v>0</v>
      </c>
      <c r="G107" s="16">
        <f>'[1]资源-装备'!BJ107</f>
        <v>0</v>
      </c>
      <c r="H107" s="16">
        <f>'[1]资源-装备'!BK107</f>
        <v>0</v>
      </c>
      <c r="I107" s="16">
        <f>'[1]资源-装备'!BL107</f>
        <v>0</v>
      </c>
      <c r="J107" s="16">
        <f>'[1]资源-装备'!BM107</f>
        <v>0</v>
      </c>
      <c r="K107" s="16">
        <f t="shared" si="4"/>
        <v>0</v>
      </c>
      <c r="M107" s="17">
        <v>102</v>
      </c>
      <c r="N107" s="17">
        <f>'[1]资源-装备经验'!S107</f>
        <v>0</v>
      </c>
      <c r="O107" s="17">
        <f>'[1]资源-装备经验'!T107</f>
        <v>0</v>
      </c>
      <c r="P107" s="17">
        <f>'[1]资源-装备经验'!U107</f>
        <v>0</v>
      </c>
      <c r="Q107" s="17">
        <f>'[1]资源-装备经验'!V107</f>
        <v>0</v>
      </c>
      <c r="R107" s="17">
        <f>'[1]资源-装备经验'!W107</f>
        <v>0</v>
      </c>
      <c r="S107" s="17"/>
      <c r="T107" s="17">
        <v>102</v>
      </c>
      <c r="U107" s="17">
        <f>N107*节奏总纲!BJ105+求节点($C$12:$C$21,$K$12:$K$21,$T107)</f>
        <v>0</v>
      </c>
      <c r="V107" s="17">
        <f>O107*节奏总纲!BK105+求节点($C$35:$C$44,$K$35:$K$44,$T107)</f>
        <v>0</v>
      </c>
      <c r="W107" s="17">
        <f>P107*节奏总纲!BL105+求节点($C$58:$C$67,$K$58:$K$67,$T107)</f>
        <v>0</v>
      </c>
      <c r="X107" s="17">
        <f>Q107*节奏总纲!BM105+求节点($C$81:$C$90,$K$81:$K$90,$T107)</f>
        <v>0</v>
      </c>
      <c r="Y107" s="17">
        <f>R107*节奏总纲!BN105+求节点($C$104:$C$113,$K$104:$K$113,$T107)</f>
        <v>0</v>
      </c>
    </row>
    <row r="108" spans="2:25" x14ac:dyDescent="0.15">
      <c r="B108" s="17"/>
      <c r="C108" s="16">
        <v>50</v>
      </c>
      <c r="D108" s="16">
        <f>'[1]资源-装备'!BG108</f>
        <v>0</v>
      </c>
      <c r="E108" s="16">
        <f>'[1]资源-装备'!BH108</f>
        <v>0</v>
      </c>
      <c r="F108" s="16">
        <f>'[1]资源-装备'!BI108</f>
        <v>0</v>
      </c>
      <c r="G108" s="16">
        <f>'[1]资源-装备'!BJ108</f>
        <v>0</v>
      </c>
      <c r="H108" s="16">
        <f>'[1]资源-装备'!BK108</f>
        <v>0</v>
      </c>
      <c r="I108" s="16">
        <f>'[1]资源-装备'!BL108</f>
        <v>0</v>
      </c>
      <c r="J108" s="16">
        <f>'[1]资源-装备'!BM108</f>
        <v>0</v>
      </c>
      <c r="K108" s="16">
        <f t="shared" si="4"/>
        <v>0</v>
      </c>
      <c r="M108" s="17">
        <v>103</v>
      </c>
      <c r="N108" s="17">
        <f>'[1]资源-装备经验'!S108</f>
        <v>0</v>
      </c>
      <c r="O108" s="17">
        <f>'[1]资源-装备经验'!T108</f>
        <v>0</v>
      </c>
      <c r="P108" s="17">
        <f>'[1]资源-装备经验'!U108</f>
        <v>0</v>
      </c>
      <c r="Q108" s="17">
        <f>'[1]资源-装备经验'!V108</f>
        <v>0</v>
      </c>
      <c r="R108" s="17">
        <f>'[1]资源-装备经验'!W108</f>
        <v>0</v>
      </c>
      <c r="S108" s="17"/>
      <c r="T108" s="17">
        <v>103</v>
      </c>
      <c r="U108" s="17">
        <f>N108*节奏总纲!BJ106+求节点($C$12:$C$21,$K$12:$K$21,$T108)</f>
        <v>0</v>
      </c>
      <c r="V108" s="17">
        <f>O108*节奏总纲!BK106+求节点($C$35:$C$44,$K$35:$K$44,$T108)</f>
        <v>0</v>
      </c>
      <c r="W108" s="17">
        <f>P108*节奏总纲!BL106+求节点($C$58:$C$67,$K$58:$K$67,$T108)</f>
        <v>0</v>
      </c>
      <c r="X108" s="17">
        <f>Q108*节奏总纲!BM106+求节点($C$81:$C$90,$K$81:$K$90,$T108)</f>
        <v>0</v>
      </c>
      <c r="Y108" s="17">
        <f>R108*节奏总纲!BN106+求节点($C$104:$C$113,$K$104:$K$113,$T108)</f>
        <v>0</v>
      </c>
    </row>
    <row r="109" spans="2:25" x14ac:dyDescent="0.15">
      <c r="B109" s="17"/>
      <c r="C109" s="16">
        <v>60</v>
      </c>
      <c r="D109" s="16">
        <f>'[1]资源-装备'!BG109</f>
        <v>0</v>
      </c>
      <c r="E109" s="16">
        <f>'[1]资源-装备'!BH109</f>
        <v>0</v>
      </c>
      <c r="F109" s="16">
        <f>'[1]资源-装备'!BI109</f>
        <v>0</v>
      </c>
      <c r="G109" s="16">
        <f>'[1]资源-装备'!BJ109</f>
        <v>0</v>
      </c>
      <c r="H109" s="16">
        <f>'[1]资源-装备'!BK109</f>
        <v>0</v>
      </c>
      <c r="I109" s="16">
        <f>'[1]资源-装备'!BL109</f>
        <v>0</v>
      </c>
      <c r="J109" s="16">
        <f>'[1]资源-装备'!BM109</f>
        <v>0</v>
      </c>
      <c r="K109" s="16">
        <f t="shared" si="4"/>
        <v>0</v>
      </c>
      <c r="M109" s="17">
        <v>104</v>
      </c>
      <c r="N109" s="17">
        <f>'[1]资源-装备经验'!S109</f>
        <v>0</v>
      </c>
      <c r="O109" s="17">
        <f>'[1]资源-装备经验'!T109</f>
        <v>0</v>
      </c>
      <c r="P109" s="17">
        <f>'[1]资源-装备经验'!U109</f>
        <v>0</v>
      </c>
      <c r="Q109" s="17">
        <f>'[1]资源-装备经验'!V109</f>
        <v>0</v>
      </c>
      <c r="R109" s="17">
        <f>'[1]资源-装备经验'!W109</f>
        <v>0</v>
      </c>
      <c r="S109" s="17"/>
      <c r="T109" s="17">
        <v>104</v>
      </c>
      <c r="U109" s="17">
        <f>N109*节奏总纲!BJ107+求节点($C$12:$C$21,$K$12:$K$21,$T109)</f>
        <v>0</v>
      </c>
      <c r="V109" s="17">
        <f>O109*节奏总纲!BK107+求节点($C$35:$C$44,$K$35:$K$44,$T109)</f>
        <v>0</v>
      </c>
      <c r="W109" s="17">
        <f>P109*节奏总纲!BL107+求节点($C$58:$C$67,$K$58:$K$67,$T109)</f>
        <v>0</v>
      </c>
      <c r="X109" s="17">
        <f>Q109*节奏总纲!BM107+求节点($C$81:$C$90,$K$81:$K$90,$T109)</f>
        <v>0</v>
      </c>
      <c r="Y109" s="17">
        <f>R109*节奏总纲!BN107+求节点($C$104:$C$113,$K$104:$K$113,$T109)</f>
        <v>0</v>
      </c>
    </row>
    <row r="110" spans="2:25" x14ac:dyDescent="0.15">
      <c r="B110" s="17"/>
      <c r="C110" s="16">
        <v>70</v>
      </c>
      <c r="D110" s="16">
        <f>'[1]资源-装备'!BG110</f>
        <v>0</v>
      </c>
      <c r="E110" s="16">
        <f>'[1]资源-装备'!BH110</f>
        <v>0</v>
      </c>
      <c r="F110" s="16">
        <f>'[1]资源-装备'!BI110</f>
        <v>0</v>
      </c>
      <c r="G110" s="16">
        <f>'[1]资源-装备'!BJ110</f>
        <v>0</v>
      </c>
      <c r="H110" s="16">
        <f>'[1]资源-装备'!BK110</f>
        <v>0</v>
      </c>
      <c r="I110" s="16">
        <f>'[1]资源-装备'!BL110</f>
        <v>0</v>
      </c>
      <c r="J110" s="16">
        <f>'[1]资源-装备'!BM110</f>
        <v>0</v>
      </c>
      <c r="K110" s="16">
        <f t="shared" si="4"/>
        <v>0</v>
      </c>
      <c r="M110" s="17">
        <v>105</v>
      </c>
      <c r="N110" s="17">
        <f>'[1]资源-装备经验'!S110</f>
        <v>0</v>
      </c>
      <c r="O110" s="17">
        <f>'[1]资源-装备经验'!T110</f>
        <v>0</v>
      </c>
      <c r="P110" s="17">
        <f>'[1]资源-装备经验'!U110</f>
        <v>0</v>
      </c>
      <c r="Q110" s="17">
        <f>'[1]资源-装备经验'!V110</f>
        <v>0</v>
      </c>
      <c r="R110" s="17">
        <f>'[1]资源-装备经验'!W110</f>
        <v>0</v>
      </c>
      <c r="S110" s="17"/>
      <c r="T110" s="17">
        <v>105</v>
      </c>
      <c r="U110" s="17">
        <f>N110*节奏总纲!BJ108+求节点($C$12:$C$21,$K$12:$K$21,$T110)</f>
        <v>0</v>
      </c>
      <c r="V110" s="17">
        <f>O110*节奏总纲!BK108+求节点($C$35:$C$44,$K$35:$K$44,$T110)</f>
        <v>0</v>
      </c>
      <c r="W110" s="17">
        <f>P110*节奏总纲!BL108+求节点($C$58:$C$67,$K$58:$K$67,$T110)</f>
        <v>0</v>
      </c>
      <c r="X110" s="17">
        <f>Q110*节奏总纲!BM108+求节点($C$81:$C$90,$K$81:$K$90,$T110)</f>
        <v>0</v>
      </c>
      <c r="Y110" s="17">
        <f>R110*节奏总纲!BN108+求节点($C$104:$C$113,$K$104:$K$113,$T110)</f>
        <v>0</v>
      </c>
    </row>
    <row r="111" spans="2:25" x14ac:dyDescent="0.15">
      <c r="B111" s="17"/>
      <c r="C111" s="16">
        <v>80</v>
      </c>
      <c r="D111" s="16">
        <f>'[1]资源-装备'!BG111</f>
        <v>0</v>
      </c>
      <c r="E111" s="16">
        <f>'[1]资源-装备'!BH111</f>
        <v>0</v>
      </c>
      <c r="F111" s="16">
        <f>'[1]资源-装备'!BI111</f>
        <v>0</v>
      </c>
      <c r="G111" s="16">
        <f>'[1]资源-装备'!BJ111</f>
        <v>0</v>
      </c>
      <c r="H111" s="16">
        <f>'[1]资源-装备'!BK111</f>
        <v>0</v>
      </c>
      <c r="I111" s="16">
        <f>'[1]资源-装备'!BL111</f>
        <v>0</v>
      </c>
      <c r="J111" s="16">
        <f>'[1]资源-装备'!BM111</f>
        <v>0</v>
      </c>
      <c r="K111" s="16">
        <f t="shared" si="4"/>
        <v>0</v>
      </c>
      <c r="M111" s="17">
        <v>106</v>
      </c>
      <c r="N111" s="17">
        <f>'[1]资源-装备经验'!S111</f>
        <v>0</v>
      </c>
      <c r="O111" s="17">
        <f>'[1]资源-装备经验'!T111</f>
        <v>0</v>
      </c>
      <c r="P111" s="17">
        <f>'[1]资源-装备经验'!U111</f>
        <v>0</v>
      </c>
      <c r="Q111" s="17">
        <f>'[1]资源-装备经验'!V111</f>
        <v>0</v>
      </c>
      <c r="R111" s="17">
        <f>'[1]资源-装备经验'!W111</f>
        <v>0</v>
      </c>
      <c r="S111" s="17"/>
      <c r="T111" s="17">
        <v>106</v>
      </c>
      <c r="U111" s="17">
        <f>N111*节奏总纲!BJ109+求节点($C$12:$C$21,$K$12:$K$21,$T111)</f>
        <v>0</v>
      </c>
      <c r="V111" s="17">
        <f>O111*节奏总纲!BK109+求节点($C$35:$C$44,$K$35:$K$44,$T111)</f>
        <v>0</v>
      </c>
      <c r="W111" s="17">
        <f>P111*节奏总纲!BL109+求节点($C$58:$C$67,$K$58:$K$67,$T111)</f>
        <v>0</v>
      </c>
      <c r="X111" s="17">
        <f>Q111*节奏总纲!BM109+求节点($C$81:$C$90,$K$81:$K$90,$T111)</f>
        <v>0</v>
      </c>
      <c r="Y111" s="17">
        <f>R111*节奏总纲!BN109+求节点($C$104:$C$113,$K$104:$K$113,$T111)</f>
        <v>0</v>
      </c>
    </row>
    <row r="112" spans="2:25" x14ac:dyDescent="0.15">
      <c r="B112" s="17"/>
      <c r="C112" s="16">
        <v>90</v>
      </c>
      <c r="D112" s="16">
        <f>'[1]资源-装备'!BG112</f>
        <v>0</v>
      </c>
      <c r="E112" s="16">
        <f>'[1]资源-装备'!BH112</f>
        <v>0</v>
      </c>
      <c r="F112" s="16">
        <f>'[1]资源-装备'!BI112</f>
        <v>0</v>
      </c>
      <c r="G112" s="16">
        <f>'[1]资源-装备'!BJ112</f>
        <v>0</v>
      </c>
      <c r="H112" s="16">
        <f>'[1]资源-装备'!BK112</f>
        <v>0</v>
      </c>
      <c r="I112" s="16">
        <f>'[1]资源-装备'!BL112</f>
        <v>0</v>
      </c>
      <c r="J112" s="16">
        <f>'[1]资源-装备'!BM112</f>
        <v>0</v>
      </c>
      <c r="K112" s="16">
        <f t="shared" si="4"/>
        <v>0</v>
      </c>
      <c r="M112" s="17">
        <v>107</v>
      </c>
      <c r="N112" s="17">
        <f>'[1]资源-装备经验'!S112</f>
        <v>0</v>
      </c>
      <c r="O112" s="17">
        <f>'[1]资源-装备经验'!T112</f>
        <v>0</v>
      </c>
      <c r="P112" s="17">
        <f>'[1]资源-装备经验'!U112</f>
        <v>0</v>
      </c>
      <c r="Q112" s="17">
        <f>'[1]资源-装备经验'!V112</f>
        <v>0</v>
      </c>
      <c r="R112" s="17">
        <f>'[1]资源-装备经验'!W112</f>
        <v>0</v>
      </c>
      <c r="S112" s="17"/>
      <c r="T112" s="17">
        <v>107</v>
      </c>
      <c r="U112" s="17">
        <f>N112*节奏总纲!BJ110+求节点($C$12:$C$21,$K$12:$K$21,$T112)</f>
        <v>0</v>
      </c>
      <c r="V112" s="17">
        <f>O112*节奏总纲!BK110+求节点($C$35:$C$44,$K$35:$K$44,$T112)</f>
        <v>0</v>
      </c>
      <c r="W112" s="17">
        <f>P112*节奏总纲!BL110+求节点($C$58:$C$67,$K$58:$K$67,$T112)</f>
        <v>0</v>
      </c>
      <c r="X112" s="17">
        <f>Q112*节奏总纲!BM110+求节点($C$81:$C$90,$K$81:$K$90,$T112)</f>
        <v>0</v>
      </c>
      <c r="Y112" s="17">
        <f>R112*节奏总纲!BN110+求节点($C$104:$C$113,$K$104:$K$113,$T112)</f>
        <v>0</v>
      </c>
    </row>
    <row r="113" spans="2:25" x14ac:dyDescent="0.15">
      <c r="B113" s="17"/>
      <c r="C113" s="16">
        <v>100</v>
      </c>
      <c r="D113" s="16">
        <f>'[1]资源-装备'!BG113</f>
        <v>0</v>
      </c>
      <c r="E113" s="16">
        <f>'[1]资源-装备'!BH113</f>
        <v>0</v>
      </c>
      <c r="F113" s="16">
        <f>'[1]资源-装备'!BI113</f>
        <v>0</v>
      </c>
      <c r="G113" s="16">
        <f>'[1]资源-装备'!BJ113</f>
        <v>0</v>
      </c>
      <c r="H113" s="16">
        <f>'[1]资源-装备'!BK113</f>
        <v>0</v>
      </c>
      <c r="I113" s="16">
        <f>'[1]资源-装备'!BL113</f>
        <v>0</v>
      </c>
      <c r="J113" s="16">
        <f>'[1]资源-装备'!BM113</f>
        <v>0</v>
      </c>
      <c r="K113" s="16">
        <f t="shared" si="4"/>
        <v>0</v>
      </c>
      <c r="M113" s="17">
        <v>108</v>
      </c>
      <c r="N113" s="17">
        <f>'[1]资源-装备经验'!S113</f>
        <v>0</v>
      </c>
      <c r="O113" s="17">
        <f>'[1]资源-装备经验'!T113</f>
        <v>0</v>
      </c>
      <c r="P113" s="17">
        <f>'[1]资源-装备经验'!U113</f>
        <v>0</v>
      </c>
      <c r="Q113" s="17">
        <f>'[1]资源-装备经验'!V113</f>
        <v>0</v>
      </c>
      <c r="R113" s="17">
        <f>'[1]资源-装备经验'!W113</f>
        <v>0</v>
      </c>
      <c r="S113" s="17"/>
      <c r="T113" s="17">
        <v>108</v>
      </c>
      <c r="U113" s="17">
        <f>N113*节奏总纲!BJ111+求节点($C$12:$C$21,$K$12:$K$21,$T113)</f>
        <v>0</v>
      </c>
      <c r="V113" s="17">
        <f>O113*节奏总纲!BK111+求节点($C$35:$C$44,$K$35:$K$44,$T113)</f>
        <v>0</v>
      </c>
      <c r="W113" s="17">
        <f>P113*节奏总纲!BL111+求节点($C$58:$C$67,$K$58:$K$67,$T113)</f>
        <v>0</v>
      </c>
      <c r="X113" s="17">
        <f>Q113*节奏总纲!BM111+求节点($C$81:$C$90,$K$81:$K$90,$T113)</f>
        <v>0</v>
      </c>
      <c r="Y113" s="17">
        <f>R113*节奏总纲!BN111+求节点($C$104:$C$113,$K$104:$K$113,$T113)</f>
        <v>0</v>
      </c>
    </row>
    <row r="114" spans="2:25" x14ac:dyDescent="0.15">
      <c r="B114" s="17"/>
      <c r="M114" s="17">
        <v>109</v>
      </c>
      <c r="N114" s="17">
        <f>'[1]资源-装备经验'!S114</f>
        <v>0</v>
      </c>
      <c r="O114" s="17">
        <f>'[1]资源-装备经验'!T114</f>
        <v>0</v>
      </c>
      <c r="P114" s="17">
        <f>'[1]资源-装备经验'!U114</f>
        <v>0</v>
      </c>
      <c r="Q114" s="17">
        <f>'[1]资源-装备经验'!V114</f>
        <v>0</v>
      </c>
      <c r="R114" s="17">
        <f>'[1]资源-装备经验'!W114</f>
        <v>0</v>
      </c>
      <c r="S114" s="17"/>
      <c r="T114" s="17">
        <v>109</v>
      </c>
      <c r="U114" s="17">
        <f>N114*节奏总纲!BJ112+求节点($C$12:$C$21,$K$12:$K$21,$T114)</f>
        <v>0</v>
      </c>
      <c r="V114" s="17">
        <f>O114*节奏总纲!BK112+求节点($C$35:$C$44,$K$35:$K$44,$T114)</f>
        <v>0</v>
      </c>
      <c r="W114" s="17">
        <f>P114*节奏总纲!BL112+求节点($C$58:$C$67,$K$58:$K$67,$T114)</f>
        <v>0</v>
      </c>
      <c r="X114" s="17">
        <f>Q114*节奏总纲!BM112+求节点($C$81:$C$90,$K$81:$K$90,$T114)</f>
        <v>0</v>
      </c>
      <c r="Y114" s="17">
        <f>R114*节奏总纲!BN112+求节点($C$104:$C$113,$K$104:$K$113,$T114)</f>
        <v>0</v>
      </c>
    </row>
    <row r="115" spans="2:25" x14ac:dyDescent="0.15">
      <c r="B115" s="17"/>
      <c r="M115" s="17">
        <v>110</v>
      </c>
      <c r="N115" s="17">
        <f>'[1]资源-装备经验'!S115</f>
        <v>0</v>
      </c>
      <c r="O115" s="17">
        <f>'[1]资源-装备经验'!T115</f>
        <v>0</v>
      </c>
      <c r="P115" s="17">
        <f>'[1]资源-装备经验'!U115</f>
        <v>0</v>
      </c>
      <c r="Q115" s="17">
        <f>'[1]资源-装备经验'!V115</f>
        <v>0</v>
      </c>
      <c r="R115" s="17">
        <f>'[1]资源-装备经验'!W115</f>
        <v>0</v>
      </c>
      <c r="S115" s="17"/>
      <c r="T115" s="17">
        <v>110</v>
      </c>
      <c r="U115" s="17">
        <f>N115*节奏总纲!BJ113+求节点($C$12:$C$21,$K$12:$K$21,$T115)</f>
        <v>0</v>
      </c>
      <c r="V115" s="17">
        <f>O115*节奏总纲!BK113+求节点($C$35:$C$44,$K$35:$K$44,$T115)</f>
        <v>0</v>
      </c>
      <c r="W115" s="17">
        <f>P115*节奏总纲!BL113+求节点($C$58:$C$67,$K$58:$K$67,$T115)</f>
        <v>0</v>
      </c>
      <c r="X115" s="17">
        <f>Q115*节奏总纲!BM113+求节点($C$81:$C$90,$K$81:$K$90,$T115)</f>
        <v>0</v>
      </c>
      <c r="Y115" s="17">
        <f>R115*节奏总纲!BN113+求节点($C$104:$C$113,$K$104:$K$113,$T115)</f>
        <v>0</v>
      </c>
    </row>
  </sheetData>
  <mergeCells count="12">
    <mergeCell ref="U4:Y4"/>
    <mergeCell ref="N4:R4"/>
    <mergeCell ref="F102:J102"/>
    <mergeCell ref="K10:K11"/>
    <mergeCell ref="K33:K34"/>
    <mergeCell ref="K56:K57"/>
    <mergeCell ref="K79:K80"/>
    <mergeCell ref="K102:K103"/>
    <mergeCell ref="F10:J10"/>
    <mergeCell ref="F33:J33"/>
    <mergeCell ref="F56:J56"/>
    <mergeCell ref="F79:J7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N103"/>
  <sheetViews>
    <sheetView topLeftCell="T1" workbookViewId="0">
      <selection activeCell="AF51" sqref="AF51"/>
    </sheetView>
  </sheetViews>
  <sheetFormatPr defaultColWidth="6.875" defaultRowHeight="11.25" x14ac:dyDescent="0.15"/>
  <cols>
    <col min="1" max="8" width="6.875" style="2"/>
    <col min="9" max="14" width="6.875" style="26"/>
    <col min="15" max="20" width="6.875" style="33"/>
    <col min="21" max="26" width="6.875" style="2"/>
    <col min="27" max="31" width="6.875" style="8"/>
    <col min="32" max="32" width="6.875" style="2"/>
    <col min="33" max="37" width="6.875" style="8"/>
    <col min="38" max="38" width="6.875" style="2"/>
    <col min="39" max="43" width="6.875" style="8"/>
    <col min="44" max="44" width="6.875" style="2"/>
    <col min="45" max="49" width="6.875" style="8"/>
    <col min="50" max="50" width="6.875" style="2"/>
    <col min="51" max="55" width="6.875" style="12"/>
    <col min="56" max="16384" width="6.875" style="2"/>
  </cols>
  <sheetData>
    <row r="2" spans="2:66" x14ac:dyDescent="0.15">
      <c r="B2" s="4"/>
      <c r="C2" s="47" t="s">
        <v>18</v>
      </c>
      <c r="D2" s="47"/>
      <c r="E2" s="47"/>
      <c r="F2" s="47"/>
      <c r="G2" s="47"/>
      <c r="I2" s="47" t="s">
        <v>37</v>
      </c>
      <c r="J2" s="47"/>
      <c r="K2" s="47"/>
      <c r="L2" s="47"/>
      <c r="M2" s="47"/>
      <c r="N2" s="27"/>
      <c r="O2" s="47" t="s">
        <v>46</v>
      </c>
      <c r="P2" s="47"/>
      <c r="Q2" s="47"/>
      <c r="R2" s="47"/>
      <c r="S2" s="47"/>
      <c r="T2" s="34"/>
      <c r="U2" s="47" t="s">
        <v>19</v>
      </c>
      <c r="V2" s="47"/>
      <c r="W2" s="47"/>
      <c r="X2" s="47"/>
      <c r="Y2" s="47"/>
      <c r="AA2" s="47" t="s">
        <v>20</v>
      </c>
      <c r="AB2" s="47"/>
      <c r="AC2" s="47"/>
      <c r="AD2" s="47"/>
      <c r="AE2" s="47"/>
      <c r="AG2" s="47" t="s">
        <v>21</v>
      </c>
      <c r="AH2" s="47"/>
      <c r="AI2" s="47"/>
      <c r="AJ2" s="47"/>
      <c r="AK2" s="47"/>
      <c r="AM2" s="47" t="s">
        <v>22</v>
      </c>
      <c r="AN2" s="47"/>
      <c r="AO2" s="47"/>
      <c r="AP2" s="47"/>
      <c r="AQ2" s="47"/>
      <c r="AS2" s="47" t="s">
        <v>23</v>
      </c>
      <c r="AT2" s="47"/>
      <c r="AU2" s="47"/>
      <c r="AV2" s="47"/>
      <c r="AW2" s="47"/>
      <c r="AY2" s="47" t="s">
        <v>24</v>
      </c>
      <c r="AZ2" s="47"/>
      <c r="BA2" s="47"/>
      <c r="BB2" s="47"/>
      <c r="BC2" s="47"/>
      <c r="BE2" s="47" t="s">
        <v>36</v>
      </c>
      <c r="BF2" s="47"/>
      <c r="BG2" s="47"/>
      <c r="BH2" s="47"/>
      <c r="BI2" s="47"/>
    </row>
    <row r="3" spans="2:66" x14ac:dyDescent="0.15">
      <c r="B3" s="4" t="s">
        <v>48</v>
      </c>
      <c r="C3" s="5" t="s">
        <v>0</v>
      </c>
      <c r="D3" s="5" t="s">
        <v>1</v>
      </c>
      <c r="E3" s="5" t="s">
        <v>2</v>
      </c>
      <c r="F3" s="5" t="s">
        <v>3</v>
      </c>
      <c r="G3" s="5" t="s">
        <v>4</v>
      </c>
      <c r="I3" s="27" t="s">
        <v>0</v>
      </c>
      <c r="J3" s="27" t="s">
        <v>1</v>
      </c>
      <c r="K3" s="27" t="s">
        <v>2</v>
      </c>
      <c r="L3" s="27" t="s">
        <v>3</v>
      </c>
      <c r="M3" s="27" t="s">
        <v>4</v>
      </c>
      <c r="N3" s="27"/>
      <c r="O3" s="34" t="s">
        <v>0</v>
      </c>
      <c r="P3" s="34" t="s">
        <v>1</v>
      </c>
      <c r="Q3" s="34" t="s">
        <v>2</v>
      </c>
      <c r="R3" s="34" t="s">
        <v>3</v>
      </c>
      <c r="S3" s="34" t="s">
        <v>4</v>
      </c>
      <c r="T3" s="34"/>
      <c r="U3" s="5" t="s">
        <v>0</v>
      </c>
      <c r="V3" s="5" t="s">
        <v>1</v>
      </c>
      <c r="W3" s="5" t="s">
        <v>2</v>
      </c>
      <c r="X3" s="5" t="s">
        <v>3</v>
      </c>
      <c r="Y3" s="5" t="s">
        <v>4</v>
      </c>
      <c r="AA3" s="5" t="s">
        <v>0</v>
      </c>
      <c r="AB3" s="5" t="s">
        <v>1</v>
      </c>
      <c r="AC3" s="5" t="s">
        <v>2</v>
      </c>
      <c r="AD3" s="5" t="s">
        <v>3</v>
      </c>
      <c r="AE3" s="5" t="s">
        <v>4</v>
      </c>
      <c r="AG3" s="5" t="s">
        <v>0</v>
      </c>
      <c r="AH3" s="5" t="s">
        <v>1</v>
      </c>
      <c r="AI3" s="5" t="s">
        <v>2</v>
      </c>
      <c r="AJ3" s="5" t="s">
        <v>3</v>
      </c>
      <c r="AK3" s="5" t="s">
        <v>4</v>
      </c>
      <c r="AM3" s="5" t="s">
        <v>0</v>
      </c>
      <c r="AN3" s="5" t="s">
        <v>1</v>
      </c>
      <c r="AO3" s="5" t="s">
        <v>2</v>
      </c>
      <c r="AP3" s="5" t="s">
        <v>3</v>
      </c>
      <c r="AQ3" s="5" t="s">
        <v>4</v>
      </c>
      <c r="AS3" s="5" t="s">
        <v>0</v>
      </c>
      <c r="AT3" s="5" t="s">
        <v>1</v>
      </c>
      <c r="AU3" s="5" t="s">
        <v>2</v>
      </c>
      <c r="AV3" s="5" t="s">
        <v>3</v>
      </c>
      <c r="AW3" s="5" t="s">
        <v>4</v>
      </c>
      <c r="AY3" s="13" t="s">
        <v>0</v>
      </c>
      <c r="AZ3" s="13" t="s">
        <v>1</v>
      </c>
      <c r="BA3" s="13" t="s">
        <v>2</v>
      </c>
      <c r="BB3" s="13" t="s">
        <v>3</v>
      </c>
      <c r="BC3" s="13" t="s">
        <v>4</v>
      </c>
      <c r="BE3" s="22" t="s">
        <v>0</v>
      </c>
      <c r="BF3" s="22" t="s">
        <v>1</v>
      </c>
      <c r="BG3" s="22" t="s">
        <v>2</v>
      </c>
      <c r="BH3" s="22" t="s">
        <v>3</v>
      </c>
      <c r="BI3" s="22" t="s">
        <v>4</v>
      </c>
    </row>
    <row r="4" spans="2:66" x14ac:dyDescent="0.15">
      <c r="B4" s="5">
        <v>1</v>
      </c>
      <c r="C4" s="5">
        <f>'[1]资源-玩家城池建筑时间'!AJ6*'[1]功能-付费相关'!AH6/节奏总纲!W4</f>
        <v>2049.5726399847958</v>
      </c>
      <c r="D4" s="5">
        <f>'[1]资源-玩家城池建筑时间'!AK6*'[1]功能-付费相关'!AI6/节奏总纲!X4</f>
        <v>2601.029281699904</v>
      </c>
      <c r="E4" s="5">
        <f>'[1]资源-玩家城池建筑时间'!AL6*'[1]功能-付费相关'!AJ6/节奏总纲!Y4</f>
        <v>3522.9493312473614</v>
      </c>
      <c r="F4" s="5">
        <f>'[1]资源-玩家城池建筑时间'!AM6*'[1]功能-付费相关'!AK6/节奏总纲!Z4</f>
        <v>5365.5017024768076</v>
      </c>
      <c r="G4" s="5">
        <f>'[1]资源-玩家城池建筑时间'!AN6*'[1]功能-付费相关'!AL6/节奏总纲!AA4</f>
        <v>10886.0548186345</v>
      </c>
      <c r="H4" s="3"/>
      <c r="I4" s="27">
        <f>'[1]资源-士兵训练时间'!AB6*'[1]功能-付费相关'!AH6/节奏总纲!W4</f>
        <v>5163.662094446825</v>
      </c>
      <c r="J4" s="28">
        <f>'[1]资源-士兵训练时间'!AC6*'[1]功能-付费相关'!AI6/节奏总纲!X4</f>
        <v>6864.0158013762584</v>
      </c>
      <c r="K4" s="28">
        <f>'[1]资源-士兵训练时间'!AD6*'[1]功能-付费相关'!AJ6/节奏总纲!Y4</f>
        <v>11041.812238883495</v>
      </c>
      <c r="L4" s="28">
        <f>'[1]资源-士兵训练时间'!AE6*'[1]功能-付费相关'!AK6/节奏总纲!Z4</f>
        <v>18263.935194975569</v>
      </c>
      <c r="M4" s="28">
        <f>'[1]资源-士兵训练时间'!AF6*'[1]功能-付费相关'!AL6/节奏总纲!AA4</f>
        <v>39802.18542885741</v>
      </c>
      <c r="N4" s="27"/>
      <c r="O4" s="34">
        <f>'[1]资源-士兵招募时间'!AC6*'[1]功能-付费相关'!AH6/节奏总纲!W4</f>
        <v>2227.4017574596746</v>
      </c>
      <c r="P4" s="34">
        <f>'[1]资源-士兵招募时间'!AD6*'[1]功能-付费相关'!AI6/节奏总纲!X4</f>
        <v>2768.4062248570522</v>
      </c>
      <c r="Q4" s="34">
        <f>'[1]资源-士兵招募时间'!AE6*'[1]功能-付费相关'!AJ6/节奏总纲!Y4</f>
        <v>3653.5599930177723</v>
      </c>
      <c r="R4" s="34">
        <f>'[1]资源-士兵招募时间'!AF6*'[1]功能-付费相关'!AK6/节奏总纲!Z4</f>
        <v>5414.4223640834016</v>
      </c>
      <c r="S4" s="34">
        <f>'[1]资源-士兵招募时间'!AG6*'[1]功能-付费相关'!AL6/节奏总纲!AA4</f>
        <v>12082.728442323018</v>
      </c>
      <c r="T4" s="34"/>
      <c r="U4" s="10">
        <f>'[1]资源-木石铜粮'!U6*'[1]功能-付费相关'!S6/节奏总纲!W4</f>
        <v>17995.348504299785</v>
      </c>
      <c r="V4" s="10">
        <f>'[1]资源-木石铜粮'!V6*'[1]功能-付费相关'!T6/节奏总纲!X4</f>
        <v>22399.720057817642</v>
      </c>
      <c r="W4" s="10">
        <f>'[1]资源-木石铜粮'!W6*'[1]功能-付费相关'!U6/节奏总纲!Y4</f>
        <v>29628.884652875829</v>
      </c>
      <c r="X4" s="10">
        <f>'[1]资源-木石铜粮'!X6*'[1]功能-付费相关'!V6/节奏总纲!Z4</f>
        <v>43907.784706689425</v>
      </c>
      <c r="Y4" s="10">
        <f>'[1]资源-木石铜粮'!Y6*'[1]功能-付费相关'!W6/节奏总纲!AA4</f>
        <v>94059.942438148646</v>
      </c>
      <c r="Z4" s="3"/>
      <c r="AA4" s="10">
        <f>'[1]资源-铁'!T6*'[1]功能-付费相关'!X6/节奏总纲!W4</f>
        <v>0</v>
      </c>
      <c r="AB4" s="10">
        <f>'[1]资源-铁'!U6*'[1]功能-付费相关'!Y6/节奏总纲!X4</f>
        <v>0</v>
      </c>
      <c r="AC4" s="10">
        <f>'[1]资源-铁'!V6*'[1]功能-付费相关'!Z6/节奏总纲!Y4</f>
        <v>0</v>
      </c>
      <c r="AD4" s="10">
        <f>'[1]资源-铁'!W6*'[1]功能-付费相关'!AA6/节奏总纲!Z4</f>
        <v>0</v>
      </c>
      <c r="AE4" s="10">
        <f>'[1]资源-铁'!X6*'[1]功能-付费相关'!AB6/节奏总纲!AA4</f>
        <v>0</v>
      </c>
      <c r="AG4" s="10">
        <f>'[1]资源-银币'!Y6*'[1]功能-付费相关'!AQ6/节奏总纲!W4</f>
        <v>4050.461450659669</v>
      </c>
      <c r="AH4" s="10">
        <f>'[1]资源-银币'!Z6*'[1]功能-付费相关'!AR6/节奏总纲!X4</f>
        <v>5646.8638696591615</v>
      </c>
      <c r="AI4" s="10">
        <f>'[1]资源-银币'!AA6*'[1]功能-付费相关'!AS6/节奏总纲!Y4</f>
        <v>9022.3686939603122</v>
      </c>
      <c r="AJ4" s="10">
        <f>'[1]资源-银币'!AB6*'[1]功能-付费相关'!AT6/节奏总纲!Z4</f>
        <v>13943.565758960402</v>
      </c>
      <c r="AK4" s="10">
        <f>'[1]资源-银币'!AC6*'[1]功能-付费相关'!AU6/节奏总纲!AA4</f>
        <v>33978.70113259113</v>
      </c>
      <c r="AM4" s="10" t="e">
        <f>#REF!*'[1]功能-付费相关'!CA6/节奏总纲!W4</f>
        <v>#REF!</v>
      </c>
      <c r="AN4" s="10" t="e">
        <f>#REF!*'[1]功能-付费相关'!CB6/节奏总纲!X4</f>
        <v>#REF!</v>
      </c>
      <c r="AO4" s="10" t="e">
        <f>#REF!*'[1]功能-付费相关'!CC6/节奏总纲!Y4</f>
        <v>#REF!</v>
      </c>
      <c r="AP4" s="10" t="e">
        <f>#REF!*'[1]功能-付费相关'!CD6/节奏总纲!Z4</f>
        <v>#REF!</v>
      </c>
      <c r="AQ4" s="10" t="e">
        <f>#REF!*'[1]功能-付费相关'!CE6/节奏总纲!AA4</f>
        <v>#REF!</v>
      </c>
      <c r="AS4" s="10">
        <f>信息索引!U6*'[1]功能-付费相关'!BI6/节奏总纲!W4</f>
        <v>752.36721333730054</v>
      </c>
      <c r="AT4" s="10">
        <f>信息索引!V6*'[1]功能-付费相关'!BJ6/节奏总纲!X4</f>
        <v>930.42502134341237</v>
      </c>
      <c r="AU4" s="10">
        <f>信息索引!W6*'[1]功能-付费相关'!BK6/节奏总纲!Y4</f>
        <v>1247.0824802776212</v>
      </c>
      <c r="AV4" s="10">
        <f>信息索引!X6*'[1]功能-付费相关'!BL6/节奏总纲!Z4</f>
        <v>1944.8948371984638</v>
      </c>
      <c r="AW4" s="10">
        <f>信息索引!Y6*'[1]功能-付费相关'!BM6/节奏总纲!AA4</f>
        <v>4619.7986783869319</v>
      </c>
      <c r="AX4" s="23"/>
      <c r="AY4" s="10">
        <f>'[1]资源-武将经验'!T6*'[1]功能-付费相关'!AZ6*节奏总纲!BJ4/节奏总纲!W4</f>
        <v>2069.0098366775765</v>
      </c>
      <c r="AZ4" s="10">
        <f>'[1]资源-武将经验'!U6*'[1]功能-付费相关'!BA6*节奏总纲!BK4/节奏总纲!X4</f>
        <v>2583.7546432197241</v>
      </c>
      <c r="BA4" s="10">
        <f>'[1]资源-武将经验'!V6*'[1]功能-付费相关'!BB6*节奏总纲!BL4/节奏总纲!Y4</f>
        <v>3602.5351962100567</v>
      </c>
      <c r="BB4" s="10">
        <f>'[1]资源-武将经验'!W6*'[1]功能-付费相关'!BC6*节奏总纲!BM4/节奏总纲!Z4</f>
        <v>9838.2135314290099</v>
      </c>
      <c r="BC4" s="10">
        <f>'[1]资源-武将经验'!X6*'[1]功能-付费相关'!BD6*节奏总纲!BN4/节奏总纲!AA4</f>
        <v>23673.581022554543</v>
      </c>
      <c r="BE4" s="2" t="e">
        <f>C4+I4+O4+U4+AA4+AG4+AM4+AS4+AY4</f>
        <v>#REF!</v>
      </c>
      <c r="BF4" s="33" t="e">
        <f t="shared" ref="BF4:BI4" si="0">D4+J4+P4+V4+AB4+AH4+AN4+AT4+AZ4</f>
        <v>#REF!</v>
      </c>
      <c r="BG4" s="33" t="e">
        <f t="shared" si="0"/>
        <v>#REF!</v>
      </c>
      <c r="BH4" s="33" t="e">
        <f t="shared" si="0"/>
        <v>#REF!</v>
      </c>
      <c r="BI4" s="33" t="e">
        <f t="shared" si="0"/>
        <v>#REF!</v>
      </c>
      <c r="BK4" s="29"/>
      <c r="BL4" s="29"/>
      <c r="BM4" s="29"/>
      <c r="BN4" s="29"/>
    </row>
    <row r="5" spans="2:66" x14ac:dyDescent="0.15">
      <c r="B5" s="5">
        <v>2</v>
      </c>
      <c r="C5" s="5">
        <f>'[1]资源-玩家城池建筑时间'!AJ7*'[1]功能-付费相关'!AH7/节奏总纲!W5</f>
        <v>3251.5133629637653</v>
      </c>
      <c r="D5" s="5">
        <f>'[1]资源-玩家城池建筑时间'!AK7*'[1]功能-付费相关'!AI7/节奏总纲!X5</f>
        <v>4128.6615141101183</v>
      </c>
      <c r="E5" s="5">
        <f>'[1]资源-玩家城池建筑时间'!AL7*'[1]功能-付费相关'!AJ7/节奏总纲!Y5</f>
        <v>5615.0582484308225</v>
      </c>
      <c r="F5" s="5">
        <f>'[1]资源-玩家城池建筑时间'!AM7*'[1]功能-付费相关'!AK7/节奏总纲!Z5</f>
        <v>8582.9294272454335</v>
      </c>
      <c r="G5" s="5">
        <f>'[1]资源-玩家城池建筑时间'!AN7*'[1]功能-付费相关'!AL7/节奏总纲!AA5</f>
        <v>17476.358895088408</v>
      </c>
      <c r="H5" s="3"/>
      <c r="I5" s="28">
        <f>'[1]资源-士兵训练时间'!AB7*'[1]功能-付费相关'!AH7/节奏总纲!W5</f>
        <v>1546.0660702373534</v>
      </c>
      <c r="J5" s="28">
        <f>'[1]资源-士兵训练时间'!AC7*'[1]功能-付费相关'!AI7/节奏总纲!X5</f>
        <v>2045.7614317056029</v>
      </c>
      <c r="K5" s="28">
        <f>'[1]资源-士兵训练时间'!AD7*'[1]功能-付费相关'!AJ7/节奏总纲!Y5</f>
        <v>3265.4335627415617</v>
      </c>
      <c r="L5" s="28">
        <f>'[1]资源-士兵训练时间'!AE7*'[1]功能-付费相关'!AK7/节奏总纲!Z5</f>
        <v>5360.6885486025221</v>
      </c>
      <c r="M5" s="28">
        <f>'[1]资源-士兵训练时间'!AF7*'[1]功能-付费相关'!AL7/节奏总纲!AA5</f>
        <v>11593.898315961407</v>
      </c>
      <c r="N5" s="34"/>
      <c r="O5" s="34">
        <f>'[1]资源-士兵招募时间'!AC7*'[1]功能-付费相关'!AH7/节奏总纲!W5</f>
        <v>2022.4022033271744</v>
      </c>
      <c r="P5" s="34">
        <f>'[1]资源-士兵招募时间'!AD7*'[1]功能-付费相关'!AI7/节奏总纲!X5</f>
        <v>2501.2681569727738</v>
      </c>
      <c r="Q5" s="34">
        <f>'[1]资源-士兵招募时间'!AE7*'[1]功能-付费相关'!AJ7/节奏总纲!Y5</f>
        <v>3208.2877507567146</v>
      </c>
      <c r="R5" s="34">
        <f>'[1]资源-士兵招募时间'!AF7*'[1]功能-付费相关'!AK7/节奏总纲!Z5</f>
        <v>4450.691982428717</v>
      </c>
      <c r="S5" s="34">
        <f>'[1]资源-士兵招募时间'!AG7*'[1]功能-付费相关'!AL7/节奏总纲!AA5</f>
        <v>9038.0473108661554</v>
      </c>
      <c r="T5" s="34"/>
      <c r="U5" s="5">
        <f>('[1]资源-木石铜粮'!U7-'[1]资源-木石铜粮'!U6)*'[1]功能-付费相关'!S7/节奏总纲!W5</f>
        <v>7836.3163603467483</v>
      </c>
      <c r="V5" s="5">
        <f>('[1]资源-木石铜粮'!V7-'[1]资源-木石铜粮'!V6)*'[1]功能-付费相关'!T7/节奏总纲!X5</f>
        <v>9693.8527201255311</v>
      </c>
      <c r="W5" s="5">
        <f>('[1]资源-木石铜粮'!W7-'[1]资源-木石铜粮'!W6)*'[1]功能-付费相关'!U7/节奏总纲!Y5</f>
        <v>12543.777523575627</v>
      </c>
      <c r="X5" s="5">
        <f>('[1]资源-木石铜粮'!X7-'[1]资源-木石铜粮'!X6)*'[1]功能-付费相关'!V7/节奏总纲!Z5</f>
        <v>17684.551096942789</v>
      </c>
      <c r="Y5" s="5">
        <f>('[1]资源-木石铜粮'!Y7-'[1]资源-木石铜粮'!Y6)*'[1]功能-付费相关'!W7/节奏总纲!AA5</f>
        <v>35404.869208615433</v>
      </c>
      <c r="Z5" s="3"/>
      <c r="AA5" s="11">
        <f>('[1]资源-铁'!T7-'[1]资源-铁'!T6)*'[1]功能-付费相关'!X7/节奏总纲!W5</f>
        <v>0</v>
      </c>
      <c r="AB5" s="11">
        <f>('[1]资源-铁'!U7-'[1]资源-铁'!U6)*'[1]功能-付费相关'!Y7/节奏总纲!X5</f>
        <v>0</v>
      </c>
      <c r="AC5" s="11">
        <f>('[1]资源-铁'!V7-'[1]资源-铁'!V6)*'[1]功能-付费相关'!Z7/节奏总纲!Y5</f>
        <v>0</v>
      </c>
      <c r="AD5" s="11">
        <f>('[1]资源-铁'!W7-'[1]资源-铁'!W6)*'[1]功能-付费相关'!AA7/节奏总纲!Z5</f>
        <v>0</v>
      </c>
      <c r="AE5" s="11">
        <f>('[1]资源-铁'!X7-'[1]资源-铁'!X6)*'[1]功能-付费相关'!AB7/节奏总纲!AA5</f>
        <v>0</v>
      </c>
      <c r="AG5" s="11">
        <f>('[1]资源-银币'!Y7-'[1]资源-银币'!Y6)*'[1]功能-付费相关'!AQ7/节奏总纲!W5</f>
        <v>5066.0868598179622</v>
      </c>
      <c r="AH5" s="11">
        <f>('[1]资源-银币'!Z7-'[1]资源-银币'!Z6)*'[1]功能-付费相关'!AR7/节奏总纲!X5</f>
        <v>6885.4156097990053</v>
      </c>
      <c r="AI5" s="11">
        <f>('[1]资源-银币'!AA7-'[1]资源-银币'!AA6)*'[1]功能-付费相关'!AS7/节奏总纲!Y5</f>
        <v>10355.208180903805</v>
      </c>
      <c r="AJ5" s="11">
        <f>('[1]资源-银币'!AB7-'[1]资源-银币'!AB6)*'[1]功能-付费相关'!AT7/节奏总纲!Z5</f>
        <v>14705.678802916937</v>
      </c>
      <c r="AK5" s="11">
        <f>('[1]资源-银币'!AC7-'[1]资源-银币'!AC6)*'[1]功能-付费相关'!AU7/节奏总纲!AA5</f>
        <v>35515.396642831358</v>
      </c>
      <c r="AM5" s="11" t="e">
        <f>(#REF!-#REF!)*'[1]功能-付费相关'!CA7/节奏总纲!W5</f>
        <v>#REF!</v>
      </c>
      <c r="AN5" s="11" t="e">
        <f>(#REF!-#REF!)*'[1]功能-付费相关'!CB7/节奏总纲!X5</f>
        <v>#REF!</v>
      </c>
      <c r="AO5" s="11" t="e">
        <f>(#REF!-#REF!)*'[1]功能-付费相关'!CC7/节奏总纲!Y5</f>
        <v>#REF!</v>
      </c>
      <c r="AP5" s="11" t="e">
        <f>(#REF!-#REF!)*'[1]功能-付费相关'!CD7/节奏总纲!Z5</f>
        <v>#REF!</v>
      </c>
      <c r="AQ5" s="11" t="e">
        <f>(#REF!-#REF!)*'[1]功能-付费相关'!CE7/节奏总纲!AA5</f>
        <v>#REF!</v>
      </c>
      <c r="AR5" s="21"/>
      <c r="AS5" s="11">
        <f>(信息索引!U7-信息索引!U6)*'[1]功能-付费相关'!BI7/节奏总纲!W5</f>
        <v>1448.537240210484</v>
      </c>
      <c r="AT5" s="11">
        <f>(信息索引!V7-信息索引!V6)*'[1]功能-付费相关'!BJ7/节奏总纲!X5</f>
        <v>1770.6047502769256</v>
      </c>
      <c r="AU5" s="11">
        <f>(信息索引!W7-信息索引!W6)*'[1]功能-付费相关'!BK7/节奏总纲!Y5</f>
        <v>2342.2517290526139</v>
      </c>
      <c r="AV5" s="11">
        <f>(信息索引!X7-信息索引!X6)*'[1]功能-付费相关'!BL7/节奏总纲!Z5</f>
        <v>3602.4044315303686</v>
      </c>
      <c r="AW5" s="11">
        <f>(信息索引!Y7-信息索引!Y6)*'[1]功能-付费相关'!BM7/节奏总纲!AA5</f>
        <v>8409.692489826255</v>
      </c>
      <c r="AY5" s="11">
        <f>('[1]资源-武将经验'!T7*节奏总纲!BJ5-'[1]资源-武将经验'!T6*节奏总纲!BJ4)*'[1]功能-付费相关'!AZ7/节奏总纲!W5</f>
        <v>3802.4102555525201</v>
      </c>
      <c r="AZ5" s="11">
        <f>('[1]资源-武将经验'!U7*节奏总纲!BK5-'[1]资源-武将经验'!U6*节奏总纲!BK4)*'[1]功能-付费相关'!BA7/节奏总纲!X5</f>
        <v>4693.406040627593</v>
      </c>
      <c r="BA5" s="11">
        <f>('[1]资源-武将经验'!V7*节奏总纲!BL5-'[1]资源-武将经验'!V6*节奏总纲!BL4)*'[1]功能-付费相关'!BB7/节奏总纲!Y5</f>
        <v>6458.6721021621652</v>
      </c>
      <c r="BB5" s="11">
        <f>('[1]资源-武将经验'!W7*节奏总纲!BM5-'[1]资源-武将经验'!W6*节奏总纲!BM4)*'[1]功能-付费相关'!BC7/节奏总纲!Z5</f>
        <v>17394.389994027151</v>
      </c>
      <c r="BC5" s="11">
        <f>('[1]资源-武将经验'!X7*节奏总纲!BN5-'[1]资源-武将经验'!X6*节奏总纲!BN4)*'[1]功能-付费相关'!BD7/节奏总纲!AA5</f>
        <v>41135.58106827872</v>
      </c>
      <c r="BD5" s="29"/>
      <c r="BE5" s="33" t="e">
        <f t="shared" ref="BE5:BE68" si="1">C5+I5+O5+U5+AA5+AG5+AM5+AS5+AY5</f>
        <v>#REF!</v>
      </c>
      <c r="BF5" s="33" t="e">
        <f t="shared" ref="BF5:BF68" si="2">D5+J5+P5+V5+AB5+AH5+AN5+AT5+AZ5</f>
        <v>#REF!</v>
      </c>
      <c r="BG5" s="33" t="e">
        <f t="shared" ref="BG5:BG68" si="3">E5+K5+Q5+W5+AC5+AI5+AO5+AU5+BA5</f>
        <v>#REF!</v>
      </c>
      <c r="BH5" s="33" t="e">
        <f t="shared" ref="BH5:BH68" si="4">F5+L5+R5+X5+AD5+AJ5+AP5+AV5+BB5</f>
        <v>#REF!</v>
      </c>
      <c r="BI5" s="33" t="e">
        <f t="shared" ref="BI5:BI68" si="5">G5+M5+S5+Y5+AE5+AK5+AQ5+AW5+BC5</f>
        <v>#REF!</v>
      </c>
      <c r="BJ5" s="29"/>
      <c r="BK5" s="29"/>
      <c r="BL5" s="29"/>
      <c r="BM5" s="29"/>
      <c r="BN5" s="29"/>
    </row>
    <row r="6" spans="2:66" x14ac:dyDescent="0.15">
      <c r="B6" s="5">
        <v>3</v>
      </c>
      <c r="C6" s="5">
        <f>'[1]资源-玩家城池建筑时间'!AJ8*'[1]功能-付费相关'!AH8/节奏总纲!W6</f>
        <v>3975.8595766078424</v>
      </c>
      <c r="D6" s="5">
        <f>'[1]资源-玩家城池建筑时间'!AK8*'[1]功能-付费相关'!AI8/节奏总纲!X6</f>
        <v>5029.4835077400076</v>
      </c>
      <c r="E6" s="5">
        <f>'[1]资源-玩家城池建筑时间'!AL8*'[1]功能-付费相关'!AJ8/节奏总纲!Y6</f>
        <v>6768.3647414706638</v>
      </c>
      <c r="F6" s="5">
        <f>'[1]资源-玩家城池建筑时间'!AM8*'[1]功能-付费相关'!AK8/节奏总纲!Z6</f>
        <v>10243.102119719471</v>
      </c>
      <c r="G6" s="5">
        <f>'[1]资源-玩家城池建筑时间'!AN8*'[1]功能-付费相关'!AL8/节奏总纲!AA6</f>
        <v>20658.008798035029</v>
      </c>
      <c r="H6" s="3"/>
      <c r="I6" s="28">
        <f>'[1]资源-士兵训练时间'!AB8*'[1]功能-付费相关'!AH8/节奏总纲!W6</f>
        <v>1181.3828852712036</v>
      </c>
      <c r="J6" s="28">
        <f>'[1]资源-士兵训练时间'!AC8*'[1]功能-付费相关'!AI8/节奏总纲!X6</f>
        <v>1680.213125788335</v>
      </c>
      <c r="K6" s="28">
        <f>'[1]资源-士兵训练时间'!AD8*'[1]功能-付费相关'!AJ8/节奏总纲!Y6</f>
        <v>2900.770695625215</v>
      </c>
      <c r="L6" s="28">
        <f>'[1]资源-士兵训练时间'!AE8*'[1]功能-付费相关'!AK8/节奏总纲!Z6</f>
        <v>5129.3753348023583</v>
      </c>
      <c r="M6" s="28">
        <f>'[1]资源-士兵训练时间'!AF8*'[1]功能-付费相关'!AL8/节奏总纲!AA6</f>
        <v>11892.578849703885</v>
      </c>
      <c r="N6" s="34"/>
      <c r="O6" s="34">
        <f>'[1]资源-士兵招募时间'!AC8*'[1]功能-付费相关'!AH8/节奏总纲!W6</f>
        <v>2364.6594157289592</v>
      </c>
      <c r="P6" s="34">
        <f>'[1]资源-士兵招募时间'!AD8*'[1]功能-付费相关'!AI8/节奏总纲!X6</f>
        <v>2916.8519334694538</v>
      </c>
      <c r="Q6" s="34">
        <f>'[1]资源-士兵招募时间'!AE8*'[1]功能-付费相关'!AJ8/节奏总纲!Y6</f>
        <v>3694.356015763909</v>
      </c>
      <c r="R6" s="34">
        <f>'[1]资源-士兵招募时间'!AF8*'[1]功能-付费相关'!AK8/节奏总纲!Z6</f>
        <v>4950.6998057591318</v>
      </c>
      <c r="S6" s="34">
        <f>'[1]资源-士兵招募时间'!AG8*'[1]功能-付费相关'!AL8/节奏总纲!AA6</f>
        <v>9549.3185136976463</v>
      </c>
      <c r="T6" s="34"/>
      <c r="U6" s="5">
        <f>('[1]资源-木石铜粮'!U8-'[1]资源-木石铜粮'!U7)*'[1]功能-付费相关'!S8/节奏总纲!W6</f>
        <v>10696.93668026305</v>
      </c>
      <c r="V6" s="5">
        <f>('[1]资源-木石铜粮'!V8-'[1]资源-木石铜粮'!V7)*'[1]功能-付费相关'!T8/节奏总纲!X6</f>
        <v>12966.290824553271</v>
      </c>
      <c r="W6" s="5">
        <f>('[1]资源-木石铜粮'!W8-'[1]资源-木石铜粮'!W7)*'[1]功能-付费相关'!U8/节奏总纲!Y6</f>
        <v>16493.557443163187</v>
      </c>
      <c r="X6" s="5">
        <f>('[1]资源-木石铜粮'!X8-'[1]资源-木石铜粮'!X7)*'[1]功能-付费相关'!V8/节奏总纲!Z6</f>
        <v>22808.939634036324</v>
      </c>
      <c r="Y6" s="5">
        <f>('[1]资源-木石铜粮'!Y8-'[1]资源-木石铜粮'!Y7)*'[1]功能-付费相关'!W8/节奏总纲!AA6</f>
        <v>43605.427805938023</v>
      </c>
      <c r="Z6" s="3"/>
      <c r="AA6" s="11">
        <f>('[1]资源-铁'!T8-'[1]资源-铁'!T7)*'[1]功能-付费相关'!X8/节奏总纲!W6</f>
        <v>0</v>
      </c>
      <c r="AB6" s="11">
        <f>('[1]资源-铁'!U8-'[1]资源-铁'!U7)*'[1]功能-付费相关'!Y8/节奏总纲!X6</f>
        <v>0</v>
      </c>
      <c r="AC6" s="11">
        <f>('[1]资源-铁'!V8-'[1]资源-铁'!V7)*'[1]功能-付费相关'!Z8/节奏总纲!Y6</f>
        <v>0</v>
      </c>
      <c r="AD6" s="11">
        <f>('[1]资源-铁'!W8-'[1]资源-铁'!W7)*'[1]功能-付费相关'!AA8/节奏总纲!Z6</f>
        <v>0</v>
      </c>
      <c r="AE6" s="11">
        <f>('[1]资源-铁'!X8-'[1]资源-铁'!X7)*'[1]功能-付费相关'!AB8/节奏总纲!AA6</f>
        <v>0</v>
      </c>
      <c r="AG6" s="11">
        <f>('[1]资源-银币'!Y8-'[1]资源-银币'!Y7)*'[1]功能-付费相关'!AQ8/节奏总纲!W6</f>
        <v>3838.8662163984409</v>
      </c>
      <c r="AH6" s="11">
        <f>('[1]资源-银币'!Z8-'[1]资源-银币'!Z7)*'[1]功能-付费相关'!AR8/节奏总纲!X6</f>
        <v>5116.1611524486816</v>
      </c>
      <c r="AI6" s="11">
        <f>('[1]资源-银币'!AA8-'[1]资源-银币'!AA7)*'[1]功能-付费相关'!AS8/节奏总纲!Y6</f>
        <v>7658.8903632279489</v>
      </c>
      <c r="AJ6" s="11">
        <f>('[1]资源-银币'!AB8-'[1]资源-银币'!AB7)*'[1]功能-付费相关'!AT8/节奏总纲!Z6</f>
        <v>10762.06943189933</v>
      </c>
      <c r="AK6" s="11">
        <f>('[1]资源-银币'!AC8-'[1]资源-银币'!AC7)*'[1]功能-付费相关'!AU8/节奏总纲!AA6</f>
        <v>26230.248178776535</v>
      </c>
      <c r="AM6" s="11" t="e">
        <f>(#REF!-#REF!)*'[1]功能-付费相关'!CA8/节奏总纲!W6</f>
        <v>#REF!</v>
      </c>
      <c r="AN6" s="11" t="e">
        <f>(#REF!-#REF!)*'[1]功能-付费相关'!CB8/节奏总纲!X6</f>
        <v>#REF!</v>
      </c>
      <c r="AO6" s="11" t="e">
        <f>(#REF!-#REF!)*'[1]功能-付费相关'!CC8/节奏总纲!Y6</f>
        <v>#REF!</v>
      </c>
      <c r="AP6" s="11" t="e">
        <f>(#REF!-#REF!)*'[1]功能-付费相关'!CD8/节奏总纲!Z6</f>
        <v>#REF!</v>
      </c>
      <c r="AQ6" s="11" t="e">
        <f>(#REF!-#REF!)*'[1]功能-付费相关'!CE8/节奏总纲!AA6</f>
        <v>#REF!</v>
      </c>
      <c r="AR6" s="21"/>
      <c r="AS6" s="11">
        <f>(信息索引!U8-信息索引!U7)*'[1]功能-付费相关'!BI8/节奏总纲!W6</f>
        <v>1980.2681825436807</v>
      </c>
      <c r="AT6" s="11">
        <f>(信息索引!V8-信息索引!V7)*'[1]功能-付费相关'!BJ8/节奏总纲!X6</f>
        <v>2400.1110108501143</v>
      </c>
      <c r="AU6" s="11">
        <f>(信息索引!W8-信息索引!W7)*'[1]功能-付费相关'!BK8/节奏总纲!Y6</f>
        <v>3151.667959998691</v>
      </c>
      <c r="AV6" s="11">
        <f>(信息索引!X8-信息索引!X7)*'[1]功能-付费相关'!BL8/节奏总纲!Z6</f>
        <v>4807.0382114665499</v>
      </c>
      <c r="AW6" s="11">
        <f>(信息索引!Y8-信息索引!Y7)*'[1]功能-付费相关'!BM8/节奏总纲!AA6</f>
        <v>11192.631428788285</v>
      </c>
      <c r="AY6" s="11">
        <f>('[1]资源-武将经验'!T8*节奏总纲!BJ6-'[1]资源-武将经验'!T7*节奏总纲!BJ5)*'[1]功能-付费相关'!AZ8/节奏总纲!W6</f>
        <v>4961.921980123655</v>
      </c>
      <c r="AZ6" s="11">
        <f>('[1]资源-武将经验'!U8*节奏总纲!BK6-'[1]资源-武将经验'!U7*节奏总纲!BK5)*'[1]功能-付费相关'!BA8/节奏总纲!X6</f>
        <v>6072.8764567205617</v>
      </c>
      <c r="BA6" s="11">
        <f>('[1]资源-武将经验'!V8*节奏总纲!BL6-'[1]资源-武将经验'!V7*节奏总纲!BL5)*'[1]功能-付费相关'!BB8/节奏总纲!Y6</f>
        <v>8295.5796765367049</v>
      </c>
      <c r="BB6" s="11">
        <f>('[1]资源-武将经验'!W8*节奏总纲!BM6-'[1]资源-武将经验'!W7*节奏总纲!BM5)*'[1]功能-付费相关'!BC8/节奏总纲!Z6</f>
        <v>22155.977891351275</v>
      </c>
      <c r="BC6" s="11">
        <f>('[1]资源-武将经验'!X8*节奏总纲!BN6-'[1]资源-武将经验'!X7*节奏总纲!BN5)*'[1]功能-付费相关'!BD8/节奏总纲!AA6</f>
        <v>52259.630827647823</v>
      </c>
      <c r="BD6" s="29"/>
      <c r="BE6" s="33" t="e">
        <f t="shared" si="1"/>
        <v>#REF!</v>
      </c>
      <c r="BF6" s="33" t="e">
        <f t="shared" si="2"/>
        <v>#REF!</v>
      </c>
      <c r="BG6" s="33" t="e">
        <f t="shared" si="3"/>
        <v>#REF!</v>
      </c>
      <c r="BH6" s="33" t="e">
        <f t="shared" si="4"/>
        <v>#REF!</v>
      </c>
      <c r="BI6" s="33" t="e">
        <f t="shared" si="5"/>
        <v>#REF!</v>
      </c>
      <c r="BJ6" s="29"/>
      <c r="BK6" s="29"/>
      <c r="BL6" s="29"/>
      <c r="BM6" s="29"/>
      <c r="BN6" s="29"/>
    </row>
    <row r="7" spans="2:66" x14ac:dyDescent="0.15">
      <c r="B7" s="5">
        <v>4</v>
      </c>
      <c r="C7" s="5">
        <f>'[1]资源-玩家城池建筑时间'!AJ9*'[1]功能-付费相关'!AH9/节奏总纲!W7</f>
        <v>4733.2062867969607</v>
      </c>
      <c r="D7" s="5">
        <f>'[1]资源-玩家城池建筑时间'!AK9*'[1]功能-付费相关'!AI9/节奏总纲!X7</f>
        <v>7167.8051512600778</v>
      </c>
      <c r="E7" s="5">
        <f>'[1]资源-玩家城池建筑时间'!AL9*'[1]功能-付费相关'!AJ9/节奏总纲!Y7</f>
        <v>11212.452644958486</v>
      </c>
      <c r="F7" s="5">
        <f>'[1]资源-玩家城池建筑时间'!AM9*'[1]功能-付费相关'!AK9/节奏总纲!Z7</f>
        <v>19205.505325648992</v>
      </c>
      <c r="G7" s="5">
        <f>'[1]资源-玩家城池建筑时间'!AN9*'[1]功能-付费相关'!AL9/节奏总纲!AA7</f>
        <v>42753.402591342907</v>
      </c>
      <c r="H7" s="3"/>
      <c r="I7" s="28">
        <f>'[1]资源-士兵训练时间'!AB9*'[1]功能-付费相关'!AH9/节奏总纲!W7</f>
        <v>1671.0494628986448</v>
      </c>
      <c r="J7" s="28">
        <f>'[1]资源-士兵训练时间'!AC9*'[1]功能-付费相关'!AI9/节奏总纲!X7</f>
        <v>2326.7201844126294</v>
      </c>
      <c r="K7" s="28">
        <f>'[1]资源-士兵训练时间'!AD9*'[1]功能-付费相关'!AJ9/节奏总纲!Y7</f>
        <v>3922.1543144400389</v>
      </c>
      <c r="L7" s="28">
        <f>'[1]资源-士兵训练时间'!AE9*'[1]功能-付费相关'!AK9/节奏总纲!Z7</f>
        <v>6787.2468840880501</v>
      </c>
      <c r="M7" s="28">
        <f>'[1]资源-士兵训练时间'!AF9*'[1]功能-付费相关'!AL9/节奏总纲!AA7</f>
        <v>15423.612631235867</v>
      </c>
      <c r="N7" s="34"/>
      <c r="O7" s="34">
        <f>'[1]资源-士兵招募时间'!AC9*'[1]功能-付费相关'!AH9/节奏总纲!W7</f>
        <v>2685.0271920114765</v>
      </c>
      <c r="P7" s="34">
        <f>'[1]资源-士兵招募时间'!AD9*'[1]功能-付费相关'!AI9/节奏总纲!X7</f>
        <v>3301.3293235300089</v>
      </c>
      <c r="Q7" s="34">
        <f>'[1]资源-士兵招募时间'!AE9*'[1]功能-付费相关'!AJ9/节奏总纲!Y7</f>
        <v>4123.7739411224056</v>
      </c>
      <c r="R7" s="34">
        <f>'[1]资源-士兵招募时间'!AF9*'[1]功能-付费相关'!AK9/节奏总纲!Z7</f>
        <v>5327.2360956668581</v>
      </c>
      <c r="S7" s="34">
        <f>'[1]资源-士兵招募时间'!AG9*'[1]功能-付费相关'!AL9/节奏总纲!AA7</f>
        <v>9331.4944498681634</v>
      </c>
      <c r="T7" s="34"/>
      <c r="U7" s="5">
        <f>('[1]资源-木石铜粮'!U9-'[1]资源-木石铜粮'!U8)*'[1]功能-付费相关'!S9/节奏总纲!W7</f>
        <v>5719.3625835450057</v>
      </c>
      <c r="V7" s="5">
        <f>('[1]资源-木石铜粮'!V9-'[1]资源-木石铜粮'!V8)*'[1]功能-付费相关'!T9/节奏总纲!X7</f>
        <v>6968.9514503141236</v>
      </c>
      <c r="W7" s="5">
        <f>('[1]资源-木石铜粮'!W9-'[1]资源-木石铜粮'!W8)*'[1]功能-付费相关'!U9/节奏总纲!Y7</f>
        <v>8784.5334397892129</v>
      </c>
      <c r="X7" s="5">
        <f>('[1]资源-木石铜粮'!X9-'[1]资源-木石铜粮'!X8)*'[1]功能-付费相关'!V9/节奏总纲!Z7</f>
        <v>11662.468647154959</v>
      </c>
      <c r="Y7" s="5">
        <f>('[1]资源-木石铜粮'!Y9-'[1]资源-木石铜粮'!Y8)*'[1]功能-付费相关'!W9/节奏总纲!AA7</f>
        <v>21038.914757690796</v>
      </c>
      <c r="Z7" s="3"/>
      <c r="AA7" s="11">
        <f>('[1]资源-铁'!T9-'[1]资源-铁'!T8)*'[1]功能-付费相关'!X9/节奏总纲!W7</f>
        <v>0</v>
      </c>
      <c r="AB7" s="11">
        <f>('[1]资源-铁'!U9-'[1]资源-铁'!U8)*'[1]功能-付费相关'!Y9/节奏总纲!X7</f>
        <v>0</v>
      </c>
      <c r="AC7" s="11">
        <f>('[1]资源-铁'!V9-'[1]资源-铁'!V8)*'[1]功能-付费相关'!Z9/节奏总纲!Y7</f>
        <v>0</v>
      </c>
      <c r="AD7" s="11">
        <f>('[1]资源-铁'!W9-'[1]资源-铁'!W8)*'[1]功能-付费相关'!AA9/节奏总纲!Z7</f>
        <v>0</v>
      </c>
      <c r="AE7" s="11">
        <f>('[1]资源-铁'!X9-'[1]资源-铁'!X8)*'[1]功能-付费相关'!AB9/节奏总纲!AA7</f>
        <v>0</v>
      </c>
      <c r="AG7" s="11">
        <f>('[1]资源-银币'!Y9-'[1]资源-银币'!Y8)*'[1]功能-付费相关'!AQ9/节奏总纲!W7</f>
        <v>3378.9101893832039</v>
      </c>
      <c r="AH7" s="11">
        <f>('[1]资源-银币'!Z9-'[1]资源-银币'!Z8)*'[1]功能-付费相关'!AR9/节奏总纲!X7</f>
        <v>4764.3387231695615</v>
      </c>
      <c r="AI7" s="11">
        <f>('[1]资源-银币'!AA9-'[1]资源-银币'!AA8)*'[1]功能-付费相关'!AS9/节奏总纲!Y7</f>
        <v>7506.8340804863374</v>
      </c>
      <c r="AJ7" s="11">
        <f>('[1]资源-银币'!AB9-'[1]资源-银币'!AB8)*'[1]功能-付费相关'!AT9/节奏总纲!Z7</f>
        <v>11158.773440510487</v>
      </c>
      <c r="AK7" s="11">
        <f>('[1]资源-银币'!AC9-'[1]资源-银币'!AC8)*'[1]功能-付费相关'!AU9/节奏总纲!AA7</f>
        <v>22502.906765044674</v>
      </c>
      <c r="AM7" s="11" t="e">
        <f>(#REF!-#REF!)*'[1]功能-付费相关'!CA9/节奏总纲!W7</f>
        <v>#REF!</v>
      </c>
      <c r="AN7" s="11" t="e">
        <f>(#REF!-#REF!)*'[1]功能-付费相关'!CB9/节奏总纲!X7</f>
        <v>#REF!</v>
      </c>
      <c r="AO7" s="11" t="e">
        <f>(#REF!-#REF!)*'[1]功能-付费相关'!CC9/节奏总纲!Y7</f>
        <v>#REF!</v>
      </c>
      <c r="AP7" s="11" t="e">
        <f>(#REF!-#REF!)*'[1]功能-付费相关'!CD9/节奏总纲!Z7</f>
        <v>#REF!</v>
      </c>
      <c r="AQ7" s="11" t="e">
        <f>(#REF!-#REF!)*'[1]功能-付费相关'!CE9/节奏总纲!AA7</f>
        <v>#REF!</v>
      </c>
      <c r="AR7" s="21"/>
      <c r="AS7" s="11">
        <f>(信息索引!U9-信息索引!U8)*'[1]功能-付费相关'!BI9/节奏总纲!W7</f>
        <v>2375.5571310907126</v>
      </c>
      <c r="AT7" s="11">
        <f>(信息索引!V9-信息索引!V8)*'[1]功能-付费相关'!BJ9/节奏总纲!X7</f>
        <v>2843.7125695367258</v>
      </c>
      <c r="AU7" s="11">
        <f>(信息索引!W9-信息索引!W8)*'[1]功能-付费相关'!BK9/节奏总纲!Y7</f>
        <v>3685.5857720758804</v>
      </c>
      <c r="AV7" s="11">
        <f>(信息索引!X9-信息索引!X8)*'[1]功能-付费相关'!BL9/节奏总纲!Z7</f>
        <v>5527.8881925806108</v>
      </c>
      <c r="AW7" s="11">
        <f>(信息索引!Y9-信息索引!Y8)*'[1]功能-付费相关'!BM9/节奏总纲!AA7</f>
        <v>12632.845542253532</v>
      </c>
      <c r="AY7" s="11">
        <f>('[1]资源-武将经验'!T9*节奏总纲!BJ7-'[1]资源-武将经验'!T8*节奏总纲!BJ6)*'[1]功能-付费相关'!AZ9/节奏总纲!W7</f>
        <v>5681.8271154522436</v>
      </c>
      <c r="AZ7" s="11">
        <f>('[1]资源-武将经验'!U9*节奏总纲!BK7-'[1]资源-武将经验'!U8*节奏总纲!BK6)*'[1]功能-付费相关'!BA9/节奏总纲!X7</f>
        <v>6868.2394601778524</v>
      </c>
      <c r="BA7" s="11">
        <f>('[1]资源-武将经验'!V9*节奏总纲!BL7-'[1]资源-武将经验'!V8*节奏总纲!BL6)*'[1]功能-付费相关'!BB9/节奏总纲!Y7</f>
        <v>9259.9665711690759</v>
      </c>
      <c r="BB7" s="11">
        <f>('[1]资源-武将经验'!W9*节奏总纲!BM7-'[1]资源-武将经验'!W8*节奏总纲!BM6)*'[1]功能-付费相关'!BC9/节奏总纲!Z7</f>
        <v>24320.315971646916</v>
      </c>
      <c r="BC7" s="11">
        <f>('[1]资源-武将经验'!X9*节奏总纲!BN7-'[1]资源-武将经验'!X8*节奏总纲!BN6)*'[1]功能-付费相关'!BD9/节奏总纲!AA7</f>
        <v>56303.051697107425</v>
      </c>
      <c r="BD7" s="29"/>
      <c r="BE7" s="33" t="e">
        <f t="shared" si="1"/>
        <v>#REF!</v>
      </c>
      <c r="BF7" s="33" t="e">
        <f t="shared" si="2"/>
        <v>#REF!</v>
      </c>
      <c r="BG7" s="33" t="e">
        <f t="shared" si="3"/>
        <v>#REF!</v>
      </c>
      <c r="BH7" s="33" t="e">
        <f t="shared" si="4"/>
        <v>#REF!</v>
      </c>
      <c r="BI7" s="33" t="e">
        <f t="shared" si="5"/>
        <v>#REF!</v>
      </c>
      <c r="BJ7" s="29"/>
      <c r="BK7" s="29"/>
      <c r="BL7" s="29"/>
      <c r="BM7" s="29"/>
      <c r="BN7" s="29"/>
    </row>
    <row r="8" spans="2:66" x14ac:dyDescent="0.15">
      <c r="B8" s="5">
        <v>5</v>
      </c>
      <c r="C8" s="5">
        <f>'[1]资源-玩家城池建筑时间'!AJ10*'[1]功能-付费相关'!AH10/节奏总纲!W8</f>
        <v>10112.167216031816</v>
      </c>
      <c r="D8" s="5">
        <f>'[1]资源-玩家城池建筑时间'!AK10*'[1]功能-付费相关'!AI10/节奏总纲!X8</f>
        <v>13033.6427798238</v>
      </c>
      <c r="E8" s="5">
        <f>'[1]资源-玩家城池建筑时间'!AL10*'[1]功能-付费相关'!AJ10/节奏总纲!Y8</f>
        <v>18733.220305916391</v>
      </c>
      <c r="F8" s="5">
        <f>'[1]资源-玩家城池建筑时间'!AM10*'[1]功能-付费相关'!AK10/节奏总纲!Z8</f>
        <v>30083.565043813931</v>
      </c>
      <c r="G8" s="5">
        <f>'[1]资源-玩家城池建筑时间'!AN10*'[1]功能-付费相关'!AL10/节奏总纲!AA8</f>
        <v>63849.434512156418</v>
      </c>
      <c r="H8" s="3"/>
      <c r="I8" s="28">
        <f>'[1]资源-士兵训练时间'!AB10*'[1]功能-付费相关'!AH10/节奏总纲!W8</f>
        <v>1881.5727992669313</v>
      </c>
      <c r="J8" s="28">
        <f>'[1]资源-士兵训练时间'!AC10*'[1]功能-付费相关'!AI10/节奏总纲!X8</f>
        <v>2534.9986508694305</v>
      </c>
      <c r="K8" s="28">
        <f>'[1]资源-士兵训练时间'!AD10*'[1]功能-付费相关'!AJ10/节奏总纲!Y8</f>
        <v>4105.0424125069394</v>
      </c>
      <c r="L8" s="28">
        <f>'[1]资源-士兵训练时间'!AE10*'[1]功能-付费相关'!AK10/节奏总纲!Z8</f>
        <v>6836.7489048512352</v>
      </c>
      <c r="M8" s="28">
        <f>'[1]资源-士兵训练时间'!AF10*'[1]功能-付费相关'!AL10/节奏总纲!AA8</f>
        <v>15006.098273169511</v>
      </c>
      <c r="N8" s="34"/>
      <c r="O8" s="34">
        <f>'[1]资源-士兵招募时间'!AC10*'[1]功能-付费相关'!AH10/节奏总纲!W8</f>
        <v>2987.1774394166032</v>
      </c>
      <c r="P8" s="34">
        <f>'[1]资源-士兵招募时间'!AD10*'[1]功能-付费相关'!AI10/节奏总纲!X8</f>
        <v>3656.5219958673556</v>
      </c>
      <c r="Q8" s="34">
        <f>'[1]资源-士兵招募时间'!AE10*'[1]功能-付费相关'!AJ10/节奏总纲!Y8</f>
        <v>4446.5237500171897</v>
      </c>
      <c r="R8" s="34">
        <f>'[1]资源-士兵招募时间'!AF10*'[1]功能-付费相关'!AK10/节奏总纲!Z8</f>
        <v>5477.0339246698541</v>
      </c>
      <c r="S8" s="34">
        <f>'[1]资源-士兵招募时间'!AG10*'[1]功能-付费相关'!AL10/节奏总纲!AA8</f>
        <v>9227.9598459265017</v>
      </c>
      <c r="T8" s="34"/>
      <c r="U8" s="5">
        <f>('[1]资源-木石铜粮'!U10-'[1]资源-木石铜粮'!U9)*'[1]功能-付费相关'!S10/节奏总纲!W8</f>
        <v>9214.0520618589308</v>
      </c>
      <c r="V8" s="5">
        <f>('[1]资源-木石铜粮'!V10-'[1]资源-木石铜粮'!V9)*'[1]功能-付费相关'!T10/节奏总纲!X8</f>
        <v>11066.748070845511</v>
      </c>
      <c r="W8" s="5">
        <f>('[1]资源-木石铜粮'!W10-'[1]资源-木石铜粮'!W9)*'[1]功能-付费相关'!U10/节奏总纲!Y8</f>
        <v>13745.743231254866</v>
      </c>
      <c r="X8" s="5">
        <f>('[1]资源-木石铜粮'!X10-'[1]资源-木石铜粮'!X9)*'[1]功能-付费相关'!V10/节奏总纲!Z8</f>
        <v>18207.116304576011</v>
      </c>
      <c r="Y8" s="5">
        <f>('[1]资源-木石铜粮'!Y10-'[1]资源-木石铜粮'!Y9)*'[1]功能-付费相关'!W10/节奏总纲!AA8</f>
        <v>32681.286668604014</v>
      </c>
      <c r="Z8" s="3"/>
      <c r="AA8" s="11">
        <f>('[1]资源-铁'!T10-'[1]资源-铁'!T9)*'[1]功能-付费相关'!X10/节奏总纲!W8</f>
        <v>0</v>
      </c>
      <c r="AB8" s="11">
        <f>('[1]资源-铁'!U10-'[1]资源-铁'!U9)*'[1]功能-付费相关'!Y10/节奏总纲!X8</f>
        <v>0</v>
      </c>
      <c r="AC8" s="11">
        <f>('[1]资源-铁'!V10-'[1]资源-铁'!V9)*'[1]功能-付费相关'!Z10/节奏总纲!Y8</f>
        <v>0</v>
      </c>
      <c r="AD8" s="11">
        <f>('[1]资源-铁'!W10-'[1]资源-铁'!W9)*'[1]功能-付费相关'!AA10/节奏总纲!Z8</f>
        <v>0</v>
      </c>
      <c r="AE8" s="11">
        <f>('[1]资源-铁'!X10-'[1]资源-铁'!X9)*'[1]功能-付费相关'!AB10/节奏总纲!AA8</f>
        <v>0</v>
      </c>
      <c r="AG8" s="11">
        <f>('[1]资源-银币'!Y10-'[1]资源-银币'!Y9)*'[1]功能-付费相关'!AQ10/节奏总纲!W8</f>
        <v>4096.7611153673024</v>
      </c>
      <c r="AH8" s="11">
        <f>('[1]资源-银币'!Z10-'[1]资源-银币'!Z9)*'[1]功能-付费相关'!AR10/节奏总纲!X8</f>
        <v>5511.7439351414378</v>
      </c>
      <c r="AI8" s="11">
        <f>('[1]资源-银币'!AA10-'[1]资源-银币'!AA9)*'[1]功能-付费相关'!AS10/节奏总纲!Y8</f>
        <v>8075.9715814824804</v>
      </c>
      <c r="AJ8" s="11">
        <f>('[1]资源-银币'!AB10-'[1]资源-银币'!AB9)*'[1]功能-付费相关'!AT10/节奏总纲!Z8</f>
        <v>10711.445653837436</v>
      </c>
      <c r="AK8" s="11">
        <f>('[1]资源-银币'!AC10-'[1]资源-银币'!AC9)*'[1]功能-付费相关'!AU10/节奏总纲!AA8</f>
        <v>22240.582024488605</v>
      </c>
      <c r="AM8" s="11" t="e">
        <f>(#REF!-#REF!)*'[1]功能-付费相关'!CA10/节奏总纲!W8</f>
        <v>#REF!</v>
      </c>
      <c r="AN8" s="11" t="e">
        <f>(#REF!-#REF!)*'[1]功能-付费相关'!CB10/节奏总纲!X8</f>
        <v>#REF!</v>
      </c>
      <c r="AO8" s="11" t="e">
        <f>(#REF!-#REF!)*'[1]功能-付费相关'!CC10/节奏总纲!Y8</f>
        <v>#REF!</v>
      </c>
      <c r="AP8" s="11" t="e">
        <f>(#REF!-#REF!)*'[1]功能-付费相关'!CD10/节奏总纲!Z8</f>
        <v>#REF!</v>
      </c>
      <c r="AQ8" s="11" t="e">
        <f>(#REF!-#REF!)*'[1]功能-付费相关'!CE10/节奏总纲!AA8</f>
        <v>#REF!</v>
      </c>
      <c r="AR8" s="21"/>
      <c r="AS8" s="11">
        <f>(信息索引!U10-信息索引!U9)*'[1]功能-付费相关'!BI10/节奏总纲!W8</f>
        <v>2658.2041623984951</v>
      </c>
      <c r="AT8" s="11">
        <f>(信息索引!V10-信息索引!V9)*'[1]功能-付费相关'!BJ10/节奏总纲!X8</f>
        <v>3204.9349190026783</v>
      </c>
      <c r="AU8" s="11">
        <f>(信息索引!W10-信息索引!W9)*'[1]功能-付费相关'!BK10/节奏总纲!Y8</f>
        <v>4158.2990519142713</v>
      </c>
      <c r="AV8" s="11">
        <f>(信息索引!X10-信息索引!X9)*'[1]功能-付费相关'!BL10/节奏总纲!Z8</f>
        <v>6260.643570711939</v>
      </c>
      <c r="AW8" s="11">
        <f>(信息索引!Y10-信息索引!Y9)*'[1]功能-付费相关'!BM10/节奏总纲!AA8</f>
        <v>14265.641250177301</v>
      </c>
      <c r="AY8" s="11">
        <f>('[1]资源-武将经验'!T10*节奏总纲!BJ8-'[1]资源-武将经验'!T9*节奏总纲!BJ7)*'[1]功能-付费相关'!AZ10/节奏总纲!W8</f>
        <v>6068.8650886014011</v>
      </c>
      <c r="AZ8" s="11">
        <f>('[1]资源-武将经验'!U10*节奏总纲!BK8-'[1]资源-武将经验'!U9*节奏总纲!BK7)*'[1]功能-付费相关'!BA10/节奏总纲!X8</f>
        <v>7388.828044236825</v>
      </c>
      <c r="BA8" s="11">
        <f>('[1]资源-武将经验'!V10*节奏总纲!BL8-'[1]资源-武将经验'!V9*节奏总纲!BL7)*'[1]功能-付费相关'!BB10/节奏总纲!Y8</f>
        <v>9972.7568238853019</v>
      </c>
      <c r="BB8" s="11">
        <f>('[1]资源-武将经验'!W10*节奏总纲!BM8-'[1]资源-武将经验'!W9*节奏总纲!BM7)*'[1]功能-付费相关'!BC10/节奏总纲!Z8</f>
        <v>26292.116980656781</v>
      </c>
      <c r="BC8" s="11">
        <f>('[1]资源-武将经验'!X10*节奏总纲!BN8-'[1]资源-武将经验'!X9*节奏总纲!BN7)*'[1]功能-付费相关'!BD10/节奏总纲!AA8</f>
        <v>60690.212871198841</v>
      </c>
      <c r="BD8" s="29"/>
      <c r="BE8" s="33" t="e">
        <f t="shared" si="1"/>
        <v>#REF!</v>
      </c>
      <c r="BF8" s="33" t="e">
        <f t="shared" si="2"/>
        <v>#REF!</v>
      </c>
      <c r="BG8" s="33" t="e">
        <f t="shared" si="3"/>
        <v>#REF!</v>
      </c>
      <c r="BH8" s="33" t="e">
        <f t="shared" si="4"/>
        <v>#REF!</v>
      </c>
      <c r="BI8" s="33" t="e">
        <f t="shared" si="5"/>
        <v>#REF!</v>
      </c>
      <c r="BJ8" s="29"/>
      <c r="BK8" s="29"/>
      <c r="BL8" s="29"/>
      <c r="BM8" s="29"/>
      <c r="BN8" s="29"/>
    </row>
    <row r="9" spans="2:66" x14ac:dyDescent="0.15">
      <c r="B9" s="5">
        <v>6</v>
      </c>
      <c r="C9" s="5">
        <f>'[1]资源-玩家城池建筑时间'!AJ11*'[1]功能-付费相关'!AH11/节奏总纲!W9</f>
        <v>12923.975737116762</v>
      </c>
      <c r="D9" s="5">
        <f>'[1]资源-玩家城池建筑时间'!AK11*'[1]功能-付费相关'!AI11/节奏总纲!X9</f>
        <v>16695.462498825964</v>
      </c>
      <c r="E9" s="5">
        <f>'[1]资源-玩家城池建筑时间'!AL11*'[1]功能-付费相关'!AJ11/节奏总纲!Y9</f>
        <v>22370.507861241884</v>
      </c>
      <c r="F9" s="5">
        <f>'[1]资源-玩家城池建筑时间'!AM11*'[1]功能-付费相关'!AK11/节奏总纲!Z9</f>
        <v>35398.190483012746</v>
      </c>
      <c r="G9" s="5">
        <f>'[1]资源-玩家城池建筑时间'!AN11*'[1]功能-付费相关'!AL11/节奏总纲!AA9</f>
        <v>74038.087024280903</v>
      </c>
      <c r="H9" s="3"/>
      <c r="I9" s="28">
        <f>'[1]资源-士兵训练时间'!AB11*'[1]功能-付费相关'!AH11/节奏总纲!W9</f>
        <v>1731.3453813801141</v>
      </c>
      <c r="J9" s="28">
        <f>'[1]资源-士兵训练时间'!AC11*'[1]功能-付费相关'!AI11/节奏总纲!X9</f>
        <v>2326.7197667726455</v>
      </c>
      <c r="K9" s="28">
        <f>'[1]资源-士兵训练时间'!AD11*'[1]功能-付费相关'!AJ11/节奏总纲!Y9</f>
        <v>3810.5866335223423</v>
      </c>
      <c r="L9" s="28">
        <f>'[1]资源-士兵训练时间'!AE11*'[1]功能-付费相关'!AK11/节奏总纲!Z9</f>
        <v>6286.6358843496764</v>
      </c>
      <c r="M9" s="28">
        <f>'[1]资源-士兵训练时间'!AF11*'[1]功能-付费相关'!AL11/节奏总纲!AA9</f>
        <v>13689.315746760436</v>
      </c>
      <c r="N9" s="34"/>
      <c r="O9" s="34">
        <f>'[1]资源-士兵招募时间'!AC11*'[1]功能-付费相关'!AH11/节奏总纲!W9</f>
        <v>2191.1428661113678</v>
      </c>
      <c r="P9" s="34">
        <f>'[1]资源-士兵招募时间'!AD11*'[1]功能-付费相关'!AI11/节奏总纲!X9</f>
        <v>2684.8077373336487</v>
      </c>
      <c r="Q9" s="34">
        <f>'[1]资源-士兵招募时间'!AE11*'[1]功能-付费相关'!AJ11/节奏总纲!Y9</f>
        <v>3191.831145946278</v>
      </c>
      <c r="R9" s="34">
        <f>'[1]资源-士兵招募时间'!AF11*'[1]功能-付费相关'!AK11/节奏总纲!Z9</f>
        <v>3514.141148802119</v>
      </c>
      <c r="S9" s="34">
        <f>'[1]资源-士兵招募时间'!AG11*'[1]功能-付费相关'!AL11/节奏总纲!AA9</f>
        <v>4590.5507352026434</v>
      </c>
      <c r="T9" s="34"/>
      <c r="U9" s="5">
        <f>('[1]资源-木石铜粮'!U11-'[1]资源-木石铜粮'!U10)*'[1]功能-付费相关'!S11/节奏总纲!W9</f>
        <v>4854.6485954574728</v>
      </c>
      <c r="V9" s="5">
        <f>('[1]资源-木石铜粮'!V11-'[1]资源-木石铜粮'!V10)*'[1]功能-付费相关'!T11/节奏总纲!X9</f>
        <v>5847.1685822872914</v>
      </c>
      <c r="W9" s="5">
        <f>('[1]资源-木石铜粮'!W11-'[1]资源-木石铜粮'!W10)*'[1]功能-付费相关'!U11/节奏总纲!Y9</f>
        <v>7213.8547941926072</v>
      </c>
      <c r="X9" s="5">
        <f>('[1]资源-木石铜粮'!X11-'[1]资源-木石铜粮'!X10)*'[1]功能-付费相关'!V11/节奏总纲!Z9</f>
        <v>8806.693802022819</v>
      </c>
      <c r="Y9" s="5">
        <f>('[1]资源-木石铜粮'!Y11-'[1]资源-木石铜粮'!Y10)*'[1]功能-付费相关'!W11/节奏总纲!AA9</f>
        <v>14163.465912238118</v>
      </c>
      <c r="Z9" s="3"/>
      <c r="AA9" s="11">
        <f>('[1]资源-铁'!T11-'[1]资源-铁'!T10)*'[1]功能-付费相关'!X11/节奏总纲!W9</f>
        <v>0</v>
      </c>
      <c r="AB9" s="11">
        <f>('[1]资源-铁'!U11-'[1]资源-铁'!U10)*'[1]功能-付费相关'!Y11/节奏总纲!X9</f>
        <v>0</v>
      </c>
      <c r="AC9" s="11">
        <f>('[1]资源-铁'!V11-'[1]资源-铁'!V10)*'[1]功能-付费相关'!Z11/节奏总纲!Y9</f>
        <v>0</v>
      </c>
      <c r="AD9" s="11">
        <f>('[1]资源-铁'!W11-'[1]资源-铁'!W10)*'[1]功能-付费相关'!AA11/节奏总纲!Z9</f>
        <v>0</v>
      </c>
      <c r="AE9" s="11">
        <f>('[1]资源-铁'!X11-'[1]资源-铁'!X10)*'[1]功能-付费相关'!AB11/节奏总纲!AA9</f>
        <v>0</v>
      </c>
      <c r="AG9" s="11">
        <f>('[1]资源-银币'!Y11-'[1]资源-银币'!Y10)*'[1]功能-付费相关'!AQ11/节奏总纲!W9</f>
        <v>2709.4092473400578</v>
      </c>
      <c r="AH9" s="11">
        <f>('[1]资源-银币'!Z11-'[1]资源-银币'!Z10)*'[1]功能-付费相关'!AR11/节奏总纲!X9</f>
        <v>3721.5954502697323</v>
      </c>
      <c r="AI9" s="11">
        <f>('[1]资源-银币'!AA11-'[1]资源-银币'!AA10)*'[1]功能-付费相关'!AS11/节奏总纲!Y9</f>
        <v>5803.0929456025387</v>
      </c>
      <c r="AJ9" s="11">
        <f>('[1]资源-银币'!AB11-'[1]资源-银币'!AB10)*'[1]功能-付费相关'!AT11/节奏总纲!Z9</f>
        <v>8565.8002829035267</v>
      </c>
      <c r="AK9" s="11">
        <f>('[1]资源-银币'!AC11-'[1]资源-银币'!AC10)*'[1]功能-付费相关'!AU11/节奏总纲!AA9</f>
        <v>18987.752064510656</v>
      </c>
      <c r="AM9" s="11" t="e">
        <f>(#REF!-#REF!)*'[1]功能-付费相关'!CA11/节奏总纲!W9</f>
        <v>#REF!</v>
      </c>
      <c r="AN9" s="11" t="e">
        <f>(#REF!-#REF!)*'[1]功能-付费相关'!CB11/节奏总纲!X9</f>
        <v>#REF!</v>
      </c>
      <c r="AO9" s="11" t="e">
        <f>(#REF!-#REF!)*'[1]功能-付费相关'!CC11/节奏总纲!Y9</f>
        <v>#REF!</v>
      </c>
      <c r="AP9" s="11" t="e">
        <f>(#REF!-#REF!)*'[1]功能-付费相关'!CD11/节奏总纲!Z9</f>
        <v>#REF!</v>
      </c>
      <c r="AQ9" s="11" t="e">
        <f>(#REF!-#REF!)*'[1]功能-付费相关'!CE11/节奏总纲!AA9</f>
        <v>#REF!</v>
      </c>
      <c r="AR9" s="21"/>
      <c r="AS9" s="11">
        <f>(信息索引!U11-信息索引!U10)*'[1]功能-付费相关'!BI11/节奏总纲!W9</f>
        <v>1667.3560885769896</v>
      </c>
      <c r="AT9" s="11">
        <f>(信息索引!V11-信息索引!V10)*'[1]功能-付费相关'!BJ11/节奏总纲!X9</f>
        <v>1997.8430408651209</v>
      </c>
      <c r="AU9" s="11">
        <f>(信息索引!W11-信息索引!W10)*'[1]功能-付费相关'!BK11/节奏总纲!Y9</f>
        <v>2612.6779966239169</v>
      </c>
      <c r="AV9" s="11">
        <f>(信息索引!X11-信息索引!X10)*'[1]功能-付费相关'!BL11/节奏总纲!Z9</f>
        <v>3804.0928855754332</v>
      </c>
      <c r="AW9" s="11">
        <f>(信息索引!Y11-信息索引!Y10)*'[1]功能-付费相关'!BM11/节奏总纲!AA9</f>
        <v>8494.4123115815128</v>
      </c>
      <c r="AX9" s="12"/>
      <c r="AY9" s="11">
        <f>('[1]资源-武将经验'!T11*节奏总纲!BJ9-'[1]资源-武将经验'!T10*节奏总纲!BJ8)*'[1]功能-付费相关'!AZ11/节奏总纲!W9</f>
        <v>3633.6586195835821</v>
      </c>
      <c r="AZ9" s="11">
        <f>('[1]资源-武将经验'!U11*节奏总纲!BK9-'[1]资源-武将经验'!U10*节奏总纲!BK8)*'[1]功能-付费相关'!BA11/节奏总纲!X9</f>
        <v>4396.5733568176738</v>
      </c>
      <c r="BA9" s="11">
        <f>('[1]资源-武将经验'!V11*节奏总纲!BL9-'[1]资源-武将经验'!V10*节奏总纲!BL8)*'[1]功能-付费相关'!BB11/节奏总纲!Y9</f>
        <v>5981.1130582399655</v>
      </c>
      <c r="BB9" s="11">
        <f>('[1]资源-武将经验'!W11*节奏总纲!BM9-'[1]资源-武将经验'!W10*节奏总纲!BM8)*'[1]功能-付费相关'!BC11/节奏总纲!Z9</f>
        <v>15249.454312821605</v>
      </c>
      <c r="BC9" s="11">
        <f>('[1]资源-武将经验'!X11*节奏总纲!BN9-'[1]资源-武将经验'!X10*节奏总纲!BN8)*'[1]功能-付费相关'!BD11/节奏总纲!AA9</f>
        <v>34495.092501882777</v>
      </c>
      <c r="BD9" s="29"/>
      <c r="BE9" s="33" t="e">
        <f t="shared" si="1"/>
        <v>#REF!</v>
      </c>
      <c r="BF9" s="33" t="e">
        <f t="shared" si="2"/>
        <v>#REF!</v>
      </c>
      <c r="BG9" s="33" t="e">
        <f t="shared" si="3"/>
        <v>#REF!</v>
      </c>
      <c r="BH9" s="33" t="e">
        <f t="shared" si="4"/>
        <v>#REF!</v>
      </c>
      <c r="BI9" s="33" t="e">
        <f t="shared" si="5"/>
        <v>#REF!</v>
      </c>
      <c r="BJ9" s="29"/>
      <c r="BK9" s="29"/>
      <c r="BL9" s="29"/>
      <c r="BM9" s="29"/>
      <c r="BN9" s="29"/>
    </row>
    <row r="10" spans="2:66" x14ac:dyDescent="0.15">
      <c r="B10" s="5">
        <v>7</v>
      </c>
      <c r="C10" s="5">
        <f>'[1]资源-玩家城池建筑时间'!AJ12*'[1]功能-付费相关'!AH12/节奏总纲!W10</f>
        <v>14098.996870684179</v>
      </c>
      <c r="D10" s="5">
        <f>'[1]资源-玩家城池建筑时间'!AK12*'[1]功能-付费相关'!AI12/节奏总纲!X10</f>
        <v>18415.345754298891</v>
      </c>
      <c r="E10" s="5">
        <f>'[1]资源-玩家城池建筑时间'!AL12*'[1]功能-付费相关'!AJ12/节奏总纲!Y10</f>
        <v>25450.233125191175</v>
      </c>
      <c r="F10" s="5">
        <f>'[1]资源-玩家城池建筑时间'!AM12*'[1]功能-付费相关'!AK12/节奏总纲!Z10</f>
        <v>38004.996246825125</v>
      </c>
      <c r="G10" s="5">
        <f>'[1]资源-玩家城池建筑时间'!AN12*'[1]功能-付费相关'!AL12/节奏总纲!AA10</f>
        <v>70300.890849547228</v>
      </c>
      <c r="H10" s="3"/>
      <c r="I10" s="28">
        <f>'[1]资源-士兵训练时间'!AB12*'[1]功能-付费相关'!AH12/节奏总纲!W10</f>
        <v>1608.2616065944198</v>
      </c>
      <c r="J10" s="28">
        <f>'[1]资源-士兵训练时间'!AC12*'[1]功能-付费相关'!AI12/节奏总纲!X10</f>
        <v>2133.2547223783899</v>
      </c>
      <c r="K10" s="28">
        <f>'[1]资源-士兵训练时间'!AD12*'[1]功能-付费相关'!AJ12/节奏总纲!Y10</f>
        <v>3438.5641228276049</v>
      </c>
      <c r="L10" s="28">
        <f>'[1]资源-士兵训练时间'!AE12*'[1]功能-付费相关'!AK12/节奏总纲!Z10</f>
        <v>5798.8229311538616</v>
      </c>
      <c r="M10" s="28">
        <f>'[1]资源-士兵训练时间'!AF12*'[1]功能-付费相关'!AL12/节奏总纲!AA10</f>
        <v>12746.484615789986</v>
      </c>
      <c r="N10" s="34"/>
      <c r="O10" s="34">
        <f>'[1]资源-士兵招募时间'!AC12*'[1]功能-付费相关'!AH12/节奏总纲!W10</f>
        <v>2180.9586850951696</v>
      </c>
      <c r="P10" s="34">
        <f>'[1]资源-士兵招募时间'!AD12*'[1]功能-付费相关'!AI12/节奏总纲!X10</f>
        <v>2659.1292711270157</v>
      </c>
      <c r="Q10" s="34">
        <f>'[1]资源-士兵招募时间'!AE12*'[1]功能-付费相关'!AJ12/节奏总纲!Y10</f>
        <v>3125.0660962470206</v>
      </c>
      <c r="R10" s="34">
        <f>'[1]资源-士兵招募时间'!AF12*'[1]功能-付费相关'!AK12/节奏总纲!Z10</f>
        <v>3442.6927728397795</v>
      </c>
      <c r="S10" s="34">
        <f>'[1]资源-士兵招募时间'!AG12*'[1]功能-付费相关'!AL12/节奏总纲!AA10</f>
        <v>4430.5650691099972</v>
      </c>
      <c r="T10" s="34"/>
      <c r="U10" s="5">
        <f>('[1]资源-木石铜粮'!U12-'[1]资源-木石铜粮'!U11)*'[1]功能-付费相关'!S12/节奏总纲!W10</f>
        <v>4528.7296818637806</v>
      </c>
      <c r="V10" s="5">
        <f>('[1]资源-木石铜粮'!V12-'[1]资源-木石铜粮'!V11)*'[1]功能-付费相关'!T12/节奏总纲!X10</f>
        <v>5369.8456955102338</v>
      </c>
      <c r="W10" s="5">
        <f>('[1]资源-木石铜粮'!W12-'[1]资源-木石铜粮'!W11)*'[1]功能-付费相关'!U12/节奏总纲!Y10</f>
        <v>6476.0965149326094</v>
      </c>
      <c r="X10" s="5">
        <f>('[1]资源-木石铜粮'!X12-'[1]资源-木石铜粮'!X11)*'[1]功能-付费相关'!V12/节奏总纲!Z10</f>
        <v>7973.9024785324273</v>
      </c>
      <c r="Y10" s="5">
        <f>('[1]资源-木石铜粮'!Y12-'[1]资源-木石铜粮'!Y11)*'[1]功能-付费相关'!W12/节奏总纲!AA10</f>
        <v>12734.433512888245</v>
      </c>
      <c r="Z10" s="3"/>
      <c r="AA10" s="11">
        <f>('[1]资源-铁'!T12-'[1]资源-铁'!T11)*'[1]功能-付费相关'!X12/节奏总纲!W10</f>
        <v>0</v>
      </c>
      <c r="AB10" s="11">
        <f>('[1]资源-铁'!U12-'[1]资源-铁'!U11)*'[1]功能-付费相关'!Y12/节奏总纲!X10</f>
        <v>0</v>
      </c>
      <c r="AC10" s="11">
        <f>('[1]资源-铁'!V12-'[1]资源-铁'!V11)*'[1]功能-付费相关'!Z12/节奏总纲!Y10</f>
        <v>0</v>
      </c>
      <c r="AD10" s="11">
        <f>('[1]资源-铁'!W12-'[1]资源-铁'!W11)*'[1]功能-付费相关'!AA12/节奏总纲!Z10</f>
        <v>0</v>
      </c>
      <c r="AE10" s="11">
        <f>('[1]资源-铁'!X12-'[1]资源-铁'!X11)*'[1]功能-付费相关'!AB12/节奏总纲!AA10</f>
        <v>0</v>
      </c>
      <c r="AG10" s="11">
        <f>('[1]资源-银币'!Y12-'[1]资源-银币'!Y11)*'[1]功能-付费相关'!AQ12/节奏总纲!W10</f>
        <v>2594.1041989201599</v>
      </c>
      <c r="AH10" s="11">
        <f>('[1]资源-银币'!Z12-'[1]资源-银币'!Z11)*'[1]功能-付费相关'!AR12/节奏总纲!X10</f>
        <v>3512.7228297534148</v>
      </c>
      <c r="AI10" s="11">
        <f>('[1]资源-银币'!AA12-'[1]资源-银币'!AA11)*'[1]功能-付费相关'!AS12/节奏总纲!Y10</f>
        <v>5459.3275480732509</v>
      </c>
      <c r="AJ10" s="11">
        <f>('[1]资源-银币'!AB12-'[1]资源-银币'!AB11)*'[1]功能-付费相关'!AT12/节奏总纲!Z10</f>
        <v>8269.6054769017519</v>
      </c>
      <c r="AK10" s="11">
        <f>('[1]资源-银币'!AC12-'[1]资源-银币'!AC11)*'[1]功能-付费相关'!AU12/节奏总纲!AA10</f>
        <v>18833.732284705617</v>
      </c>
      <c r="AM10" s="11" t="e">
        <f>(#REF!-#REF!)*'[1]功能-付费相关'!CA12/节奏总纲!W10</f>
        <v>#REF!</v>
      </c>
      <c r="AN10" s="11" t="e">
        <f>(#REF!-#REF!)*'[1]功能-付费相关'!CB12/节奏总纲!X10</f>
        <v>#REF!</v>
      </c>
      <c r="AO10" s="11" t="e">
        <f>(#REF!-#REF!)*'[1]功能-付费相关'!CC12/节奏总纲!Y10</f>
        <v>#REF!</v>
      </c>
      <c r="AP10" s="11" t="e">
        <f>(#REF!-#REF!)*'[1]功能-付费相关'!CD12/节奏总纲!Z10</f>
        <v>#REF!</v>
      </c>
      <c r="AQ10" s="11" t="e">
        <f>(#REF!-#REF!)*'[1]功能-付费相关'!CE12/节奏总纲!AA10</f>
        <v>#REF!</v>
      </c>
      <c r="AR10" s="21"/>
      <c r="AS10" s="11">
        <f>(信息索引!U12-信息索引!U11)*'[1]功能-付费相关'!BI12/节奏总纲!W10</f>
        <v>1563.9294468973446</v>
      </c>
      <c r="AT10" s="11">
        <f>(信息索引!V12-信息索引!V11)*'[1]功能-付费相关'!BJ12/节奏总纲!X10</f>
        <v>1827.0100420856397</v>
      </c>
      <c r="AU10" s="11">
        <f>(信息索引!W12-信息索引!W11)*'[1]功能-付费相关'!BK12/节奏总纲!Y10</f>
        <v>2320.5049068527119</v>
      </c>
      <c r="AV10" s="11">
        <f>(信息索引!X12-信息索引!X11)*'[1]功能-付费相关'!BL12/节奏总纲!Z10</f>
        <v>3481.0614582245344</v>
      </c>
      <c r="AW10" s="11">
        <f>(信息索引!Y12-信息索引!Y11)*'[1]功能-付费相关'!BM12/节奏总纲!AA10</f>
        <v>7829.1976848483328</v>
      </c>
      <c r="AX10" s="12"/>
      <c r="AY10" s="11">
        <f>('[1]资源-武将经验'!T12*节奏总纲!BJ10-'[1]资源-武将经验'!T11*节奏总纲!BJ9)*'[1]功能-付费相关'!AZ12/节奏总纲!W10</f>
        <v>3253.3406095463511</v>
      </c>
      <c r="AZ10" s="11">
        <f>('[1]资源-武将经验'!U12*节奏总纲!BK10-'[1]资源-武将经验'!U11*节奏总纲!BK9)*'[1]功能-付费相关'!BA12/节奏总纲!X10</f>
        <v>3837.8721837124262</v>
      </c>
      <c r="BA10" s="11">
        <f>('[1]资源-武将经验'!V12*节奏总纲!BL10-'[1]资源-武将经验'!V11*节奏总纲!BL9)*'[1]功能-付费相关'!BB12/节奏总纲!Y10</f>
        <v>5070.7853742135012</v>
      </c>
      <c r="BB10" s="11">
        <f>('[1]资源-武将经验'!W12*节奏总纲!BM10-'[1]资源-武将经验'!W11*节奏总纲!BM9)*'[1]功能-付费相关'!BC12/节奏总纲!Z10</f>
        <v>13320.222987393723</v>
      </c>
      <c r="BC10" s="11">
        <f>('[1]资源-武将经验'!X12*节奏总纲!BN10-'[1]资源-武将经验'!X11*节奏总纲!BN9)*'[1]功能-付费相关'!BD12/节奏总纲!AA10</f>
        <v>30348.543240216892</v>
      </c>
      <c r="BD10" s="29"/>
      <c r="BE10" s="33" t="e">
        <f t="shared" si="1"/>
        <v>#REF!</v>
      </c>
      <c r="BF10" s="33" t="e">
        <f t="shared" si="2"/>
        <v>#REF!</v>
      </c>
      <c r="BG10" s="33" t="e">
        <f t="shared" si="3"/>
        <v>#REF!</v>
      </c>
      <c r="BH10" s="33" t="e">
        <f t="shared" si="4"/>
        <v>#REF!</v>
      </c>
      <c r="BI10" s="33" t="e">
        <f t="shared" si="5"/>
        <v>#REF!</v>
      </c>
      <c r="BJ10" s="29"/>
      <c r="BK10" s="29"/>
      <c r="BL10" s="29"/>
      <c r="BM10" s="29"/>
      <c r="BN10" s="29"/>
    </row>
    <row r="11" spans="2:66" x14ac:dyDescent="0.15">
      <c r="B11" s="5">
        <v>8</v>
      </c>
      <c r="C11" s="5">
        <f>'[1]资源-玩家城池建筑时间'!AJ13*'[1]功能-付费相关'!AH13/节奏总纲!W11</f>
        <v>14818.839038466031</v>
      </c>
      <c r="D11" s="5">
        <f>'[1]资源-玩家城池建筑时间'!AK13*'[1]功能-付费相关'!AI13/节奏总纲!X11</f>
        <v>17407.607709798795</v>
      </c>
      <c r="E11" s="5">
        <f>'[1]资源-玩家城池建筑时间'!AL13*'[1]功能-付费相关'!AJ13/节奏总纲!Y11</f>
        <v>21347.556989983146</v>
      </c>
      <c r="F11" s="5">
        <f>'[1]资源-玩家城池建筑时间'!AM13*'[1]功能-付费相关'!AK13/节奏总纲!Z11</f>
        <v>29362.560288419456</v>
      </c>
      <c r="G11" s="5">
        <f>'[1]资源-玩家城池建筑时间'!AN13*'[1]功能-付费相关'!AL13/节奏总纲!AA11</f>
        <v>59418.862900764689</v>
      </c>
      <c r="H11" s="3"/>
      <c r="I11" s="28">
        <f>'[1]资源-士兵训练时间'!AB13*'[1]功能-付费相关'!AH13/节奏总纲!W11</f>
        <v>1501.6226376681861</v>
      </c>
      <c r="J11" s="28">
        <f>'[1]资源-士兵训练时间'!AC13*'[1]功能-付费相关'!AI13/节奏总纲!X11</f>
        <v>2015.6866866010726</v>
      </c>
      <c r="K11" s="28">
        <f>'[1]资源-士兵训练时间'!AD13*'[1]功能-付费相关'!AJ13/节奏总纲!Y11</f>
        <v>3271.3088741969882</v>
      </c>
      <c r="L11" s="28">
        <f>'[1]资源-士兵训练时间'!AE13*'[1]功能-付费相关'!AK13/节奏总纲!Z11</f>
        <v>5461.7431180986932</v>
      </c>
      <c r="M11" s="28">
        <f>'[1]资源-士兵训练时间'!AF13*'[1]功能-付费相关'!AL13/节奏总纲!AA11</f>
        <v>12698.672778327622</v>
      </c>
      <c r="N11" s="34"/>
      <c r="O11" s="34">
        <f>'[1]资源-士兵招募时间'!AC13*'[1]功能-付费相关'!AH13/节奏总纲!W11</f>
        <v>2170.5041659088738</v>
      </c>
      <c r="P11" s="34">
        <f>'[1]资源-士兵招募时间'!AD13*'[1]功能-付费相关'!AI13/节奏总纲!X11</f>
        <v>2667.6982262987876</v>
      </c>
      <c r="Q11" s="34">
        <f>'[1]资源-士兵招募时间'!AE13*'[1]功能-付费相关'!AJ13/节奏总纲!Y11</f>
        <v>3150.3607595778835</v>
      </c>
      <c r="R11" s="34">
        <f>'[1]资源-士兵招募时间'!AF13*'[1]功能-付费相关'!AK13/节奏总纲!Z11</f>
        <v>3458.5378707193177</v>
      </c>
      <c r="S11" s="34">
        <f>'[1]资源-士兵招募时间'!AG13*'[1]功能-付费相关'!AL13/节奏总纲!AA11</f>
        <v>4441.4288712231273</v>
      </c>
      <c r="T11" s="34"/>
      <c r="U11" s="5">
        <f>('[1]资源-木石铜粮'!U13-'[1]资源-木石铜粮'!U12)*'[1]功能-付费相关'!S13/节奏总纲!W11</f>
        <v>6789.3032328106674</v>
      </c>
      <c r="V11" s="5">
        <f>('[1]资源-木石铜粮'!V13-'[1]资源-木石铜粮'!V12)*'[1]功能-付费相关'!T13/节奏总纲!X11</f>
        <v>8099.325392058644</v>
      </c>
      <c r="W11" s="5">
        <f>('[1]资源-木石铜粮'!W13-'[1]资源-木石铜粮'!W12)*'[1]功能-付费相关'!U13/节奏总纲!Y11</f>
        <v>9863.7915808920152</v>
      </c>
      <c r="X11" s="5">
        <f>('[1]资源-木石铜粮'!X13-'[1]资源-木石铜粮'!X12)*'[1]功能-付费相关'!V13/节奏总纲!Z11</f>
        <v>12458.636719759874</v>
      </c>
      <c r="Y11" s="5">
        <f>('[1]资源-木石铜粮'!Y13-'[1]资源-木石铜粮'!Y12)*'[1]功能-付费相关'!W13/节奏总纲!AA11</f>
        <v>21634.116344610466</v>
      </c>
      <c r="Z11" s="3"/>
      <c r="AA11" s="11">
        <f>('[1]资源-铁'!T13-'[1]资源-铁'!T12)*'[1]功能-付费相关'!X13/节奏总纲!W11</f>
        <v>0</v>
      </c>
      <c r="AB11" s="11">
        <f>('[1]资源-铁'!U13-'[1]资源-铁'!U12)*'[1]功能-付费相关'!Y13/节奏总纲!X11</f>
        <v>0</v>
      </c>
      <c r="AC11" s="11">
        <f>('[1]资源-铁'!V13-'[1]资源-铁'!V12)*'[1]功能-付费相关'!Z13/节奏总纲!Y11</f>
        <v>0</v>
      </c>
      <c r="AD11" s="11">
        <f>('[1]资源-铁'!W13-'[1]资源-铁'!W12)*'[1]功能-付费相关'!AA13/节奏总纲!Z11</f>
        <v>0</v>
      </c>
      <c r="AE11" s="11">
        <f>('[1]资源-铁'!X13-'[1]资源-铁'!X12)*'[1]功能-付费相关'!AB13/节奏总纲!AA11</f>
        <v>0</v>
      </c>
      <c r="AG11" s="11">
        <f>('[1]资源-银币'!Y13-'[1]资源-银币'!Y12)*'[1]功能-付费相关'!AQ13/节奏总纲!W11</f>
        <v>2477.3343976934739</v>
      </c>
      <c r="AH11" s="11">
        <f>('[1]资源-银币'!Z13-'[1]资源-银币'!Z12)*'[1]功能-付费相关'!AR13/节奏总纲!X11</f>
        <v>3447.0703705031738</v>
      </c>
      <c r="AI11" s="11">
        <f>('[1]资源-银币'!AA13-'[1]资源-银币'!AA12)*'[1]功能-付费相关'!AS13/节奏总纲!Y11</f>
        <v>5509.0193745154811</v>
      </c>
      <c r="AJ11" s="11">
        <f>('[1]资源-银币'!AB13-'[1]资源-银币'!AB12)*'[1]功能-付费相关'!AT13/节奏总纲!Z11</f>
        <v>8651.4363412930943</v>
      </c>
      <c r="AK11" s="11">
        <f>('[1]资源-银币'!AC13-'[1]资源-银币'!AC12)*'[1]功能-付费相关'!AU13/节奏总纲!AA11</f>
        <v>18922.645381793729</v>
      </c>
      <c r="AM11" s="11" t="e">
        <f>(#REF!-#REF!)*'[1]功能-付费相关'!CA13/节奏总纲!W11</f>
        <v>#REF!</v>
      </c>
      <c r="AN11" s="11" t="e">
        <f>(#REF!-#REF!)*'[1]功能-付费相关'!CB13/节奏总纲!X11</f>
        <v>#REF!</v>
      </c>
      <c r="AO11" s="11" t="e">
        <f>(#REF!-#REF!)*'[1]功能-付费相关'!CC13/节奏总纲!Y11</f>
        <v>#REF!</v>
      </c>
      <c r="AP11" s="11" t="e">
        <f>(#REF!-#REF!)*'[1]功能-付费相关'!CD13/节奏总纲!Z11</f>
        <v>#REF!</v>
      </c>
      <c r="AQ11" s="11" t="e">
        <f>(#REF!-#REF!)*'[1]功能-付费相关'!CE13/节奏总纲!AA11</f>
        <v>#REF!</v>
      </c>
      <c r="AR11" s="21"/>
      <c r="AS11" s="11">
        <f>(信息索引!U13-信息索引!U12)*'[1]功能-付费相关'!BI13/节奏总纲!W11</f>
        <v>1462.8549076602828</v>
      </c>
      <c r="AT11" s="11">
        <f>(信息索引!V13-信息索引!V12)*'[1]功能-付费相关'!BJ13/节奏总纲!X11</f>
        <v>1752.9963113972369</v>
      </c>
      <c r="AU11" s="11">
        <f>(信息索引!W13-信息索引!W12)*'[1]功能-付费相关'!BK13/节奏总纲!Y11</f>
        <v>2247.3381574146961</v>
      </c>
      <c r="AV11" s="11">
        <f>(信息索引!X13-信息索引!X12)*'[1]功能-付费相关'!BL13/节奏总纲!Z11</f>
        <v>3355.9881676383166</v>
      </c>
      <c r="AW11" s="11">
        <f>(信息索引!Y13-信息索引!Y12)*'[1]功能-付费相关'!BM13/节奏总纲!AA11</f>
        <v>7913.4345854883959</v>
      </c>
      <c r="AX11" s="12"/>
      <c r="AY11" s="11">
        <f>('[1]资源-武将经验'!T13*节奏总纲!BJ11-'[1]资源-武将经验'!T12*节奏总纲!BJ10)*'[1]功能-付费相关'!AZ13/节奏总纲!W11</f>
        <v>2904.7599247973335</v>
      </c>
      <c r="AZ11" s="11">
        <f>('[1]资源-武将经验'!U13*节奏总纲!BK11-'[1]资源-武将经验'!U12*节奏总纲!BK10)*'[1]功能-付费相关'!BA13/节奏总纲!X11</f>
        <v>3515.015048442398</v>
      </c>
      <c r="BA11" s="11">
        <f>('[1]资源-武将经验'!V13*节奏总纲!BL11-'[1]资源-武将经验'!V12*节奏总纲!BL10)*'[1]功能-付费相关'!BB13/节奏总纲!Y11</f>
        <v>4687.6780594254851</v>
      </c>
      <c r="BB11" s="11">
        <f>('[1]资源-武将经验'!W13*节奏总纲!BM11-'[1]资源-武将经验'!W12*节奏总纲!BM10)*'[1]功能-付费相关'!BC13/节奏总纲!Z11</f>
        <v>12257.92159716111</v>
      </c>
      <c r="BC11" s="11">
        <f>('[1]资源-武将经验'!X13*节奏总纲!BN11-'[1]资源-武将经验'!X12*节奏总纲!BN10)*'[1]功能-付费相关'!BD13/节奏总纲!AA11</f>
        <v>29280.751644131484</v>
      </c>
      <c r="BD11" s="29"/>
      <c r="BE11" s="33" t="e">
        <f t="shared" si="1"/>
        <v>#REF!</v>
      </c>
      <c r="BF11" s="33" t="e">
        <f t="shared" si="2"/>
        <v>#REF!</v>
      </c>
      <c r="BG11" s="33" t="e">
        <f t="shared" si="3"/>
        <v>#REF!</v>
      </c>
      <c r="BH11" s="33" t="e">
        <f t="shared" si="4"/>
        <v>#REF!</v>
      </c>
      <c r="BI11" s="33" t="e">
        <f t="shared" si="5"/>
        <v>#REF!</v>
      </c>
      <c r="BJ11" s="29"/>
      <c r="BK11" s="29"/>
      <c r="BL11" s="29"/>
      <c r="BM11" s="29"/>
      <c r="BN11" s="29"/>
    </row>
    <row r="12" spans="2:66" x14ac:dyDescent="0.15">
      <c r="B12" s="5">
        <v>9</v>
      </c>
      <c r="C12" s="5">
        <f>'[1]资源-玩家城池建筑时间'!AJ14*'[1]功能-付费相关'!AH14/节奏总纲!W12</f>
        <v>11610.326492396125</v>
      </c>
      <c r="D12" s="5">
        <f>'[1]资源-玩家城池建筑时间'!AK14*'[1]功能-付费相关'!AI14/节奏总纲!X12</f>
        <v>14247.382742722732</v>
      </c>
      <c r="E12" s="5">
        <f>'[1]资源-玩家城池建筑时间'!AL14*'[1]功能-付费相关'!AJ14/节奏总纲!Y12</f>
        <v>19402.577390316743</v>
      </c>
      <c r="F12" s="5">
        <f>'[1]资源-玩家城池建筑时间'!AM14*'[1]功能-付费相关'!AK14/节奏总纲!Z12</f>
        <v>30021.356665683954</v>
      </c>
      <c r="G12" s="5">
        <f>'[1]资源-玩家城池建筑时间'!AN14*'[1]功能-付费相关'!AL14/节奏总纲!AA12</f>
        <v>61162.964441266922</v>
      </c>
      <c r="H12" s="3"/>
      <c r="I12" s="28">
        <f>'[1]资源-士兵训练时间'!AB14*'[1]功能-付费相关'!AH14/节奏总纲!W12</f>
        <v>1416.5404841242437</v>
      </c>
      <c r="J12" s="28">
        <f>'[1]资源-士兵训练时间'!AC14*'[1]功能-付费相关'!AI14/节奏总纲!X12</f>
        <v>1914.0059662923973</v>
      </c>
      <c r="K12" s="28">
        <f>'[1]资源-士兵训练时间'!AD14*'[1]功能-付费相关'!AJ14/节奏总纲!Y12</f>
        <v>3403.8463819865451</v>
      </c>
      <c r="L12" s="28">
        <f>'[1]资源-士兵训练时间'!AE14*'[1]功能-付费相关'!AK14/节奏总纲!Z12</f>
        <v>6412.2874108788328</v>
      </c>
      <c r="M12" s="28">
        <f>'[1]资源-士兵训练时间'!AF14*'[1]功能-付费相关'!AL14/节奏总纲!AA12</f>
        <v>15156.179399961506</v>
      </c>
      <c r="N12" s="34"/>
      <c r="O12" s="34">
        <f>'[1]资源-士兵招募时间'!AC14*'[1]功能-付费相关'!AH14/节奏总纲!W12</f>
        <v>2175.8020154037599</v>
      </c>
      <c r="P12" s="34">
        <f>'[1]资源-士兵招募时间'!AD14*'[1]功能-付费相关'!AI14/节奏总纲!X12</f>
        <v>2678.4490285107217</v>
      </c>
      <c r="Q12" s="34">
        <f>'[1]资源-士兵招募时间'!AE14*'[1]功能-付费相关'!AJ14/节奏总纲!Y12</f>
        <v>3160.4434157618361</v>
      </c>
      <c r="R12" s="34">
        <f>'[1]资源-士兵招募时间'!AF14*'[1]功能-付费相关'!AK14/节奏总纲!Z12</f>
        <v>3458.1794396640721</v>
      </c>
      <c r="S12" s="34">
        <f>'[1]资源-士兵招募时间'!AG14*'[1]功能-付费相关'!AL14/节奏总纲!AA12</f>
        <v>4397.5023167014697</v>
      </c>
      <c r="T12" s="34"/>
      <c r="U12" s="5">
        <f>('[1]资源-木石铜粮'!U14-'[1]资源-木石铜粮'!U13)*'[1]功能-付费相关'!S14/节奏总纲!W12</f>
        <v>4412.83385123277</v>
      </c>
      <c r="V12" s="5">
        <f>('[1]资源-木石铜粮'!V14-'[1]资源-木石铜粮'!V13)*'[1]功能-付费相关'!T14/节奏总纲!X12</f>
        <v>5308.4425959587279</v>
      </c>
      <c r="W12" s="5">
        <f>('[1]资源-木石铜粮'!W14-'[1]资源-木石铜粮'!W13)*'[1]功能-付费相关'!U14/节奏总纲!Y12</f>
        <v>6628.0922416668009</v>
      </c>
      <c r="X12" s="5">
        <f>('[1]资源-木石铜粮'!X14-'[1]资源-木石铜粮'!X13)*'[1]功能-付费相关'!V14/节奏总纲!Z12</f>
        <v>8509.7562263988657</v>
      </c>
      <c r="Y12" s="5">
        <f>('[1]资源-木石铜粮'!Y14-'[1]资源-木石铜粮'!Y13)*'[1]功能-付费相关'!W14/节奏总纲!AA12</f>
        <v>14377.389280771447</v>
      </c>
      <c r="Z12" s="3"/>
      <c r="AA12" s="11">
        <f>('[1]资源-铁'!T14-'[1]资源-铁'!T13)*'[1]功能-付费相关'!X14/节奏总纲!W12</f>
        <v>0</v>
      </c>
      <c r="AB12" s="11">
        <f>('[1]资源-铁'!U14-'[1]资源-铁'!U13)*'[1]功能-付费相关'!Y14/节奏总纲!X12</f>
        <v>0</v>
      </c>
      <c r="AC12" s="11">
        <f>('[1]资源-铁'!V14-'[1]资源-铁'!V13)*'[1]功能-付费相关'!Z14/节奏总纲!Y12</f>
        <v>0</v>
      </c>
      <c r="AD12" s="11">
        <f>('[1]资源-铁'!W14-'[1]资源-铁'!W13)*'[1]功能-付费相关'!AA14/节奏总纲!Z12</f>
        <v>0</v>
      </c>
      <c r="AE12" s="11">
        <f>('[1]资源-铁'!X14-'[1]资源-铁'!X13)*'[1]功能-付费相关'!AB14/节奏总纲!AA12</f>
        <v>0</v>
      </c>
      <c r="AG12" s="11">
        <f>('[1]资源-银币'!Y14-'[1]资源-银币'!Y13)*'[1]功能-付费相关'!AQ14/节奏总纲!W12</f>
        <v>2488.0577297335772</v>
      </c>
      <c r="AH12" s="11">
        <f>('[1]资源-银币'!Z14-'[1]资源-银币'!Z13)*'[1]功能-付费相关'!AR14/节奏总纲!X12</f>
        <v>3401.5522913128138</v>
      </c>
      <c r="AI12" s="11">
        <f>('[1]资源-银币'!AA14-'[1]资源-银币'!AA13)*'[1]功能-付费相关'!AS14/节奏总纲!Y12</f>
        <v>5195.0278122041773</v>
      </c>
      <c r="AJ12" s="11">
        <f>('[1]资源-银币'!AB14-'[1]资源-银币'!AB13)*'[1]功能-付费相关'!AT14/节奏总纲!Z12</f>
        <v>7608.3495706386348</v>
      </c>
      <c r="AK12" s="11">
        <f>('[1]资源-银币'!AC14-'[1]资源-银币'!AC13)*'[1]功能-付费相关'!AU14/节奏总纲!AA12</f>
        <v>16504.417001020385</v>
      </c>
      <c r="AM12" s="11" t="e">
        <f>(#REF!-#REF!)*'[1]功能-付费相关'!CA14/节奏总纲!W12</f>
        <v>#REF!</v>
      </c>
      <c r="AN12" s="11" t="e">
        <f>(#REF!-#REF!)*'[1]功能-付费相关'!CB14/节奏总纲!X12</f>
        <v>#REF!</v>
      </c>
      <c r="AO12" s="11" t="e">
        <f>(#REF!-#REF!)*'[1]功能-付费相关'!CC14/节奏总纲!Y12</f>
        <v>#REF!</v>
      </c>
      <c r="AP12" s="11" t="e">
        <f>(#REF!-#REF!)*'[1]功能-付费相关'!CD14/节奏总纲!Z12</f>
        <v>#REF!</v>
      </c>
      <c r="AQ12" s="11" t="e">
        <f>(#REF!-#REF!)*'[1]功能-付费相关'!CE14/节奏总纲!AA12</f>
        <v>#REF!</v>
      </c>
      <c r="AR12" s="21"/>
      <c r="AS12" s="11">
        <f>(信息索引!U14-信息索引!U13)*'[1]功能-付费相关'!BI14/节奏总纲!W12</f>
        <v>1364.8918906785759</v>
      </c>
      <c r="AT12" s="11">
        <f>(信息索引!V14-信息索引!V13)*'[1]功能-付费相关'!BJ14/节奏总纲!X12</f>
        <v>1631.4379247125783</v>
      </c>
      <c r="AU12" s="11">
        <f>(信息索引!W14-信息索引!W13)*'[1]功能-付费相关'!BK14/节奏总纲!Y12</f>
        <v>2200.7400999698575</v>
      </c>
      <c r="AV12" s="11">
        <f>(信息索引!X14-信息索引!X13)*'[1]功能-付费相关'!BL14/节奏总纲!Z12</f>
        <v>3545.5061095449109</v>
      </c>
      <c r="AW12" s="11">
        <f>(信息索引!Y14-信息索引!Y13)*'[1]功能-付费相关'!BM14/节奏总纲!AA12</f>
        <v>8498.6790073972243</v>
      </c>
      <c r="AX12" s="12"/>
      <c r="AY12" s="11">
        <f>('[1]资源-武将经验'!T14*节奏总纲!BJ12-'[1]资源-武将经验'!T13*节奏总纲!BJ11)*'[1]功能-付费相关'!AZ14/节奏总纲!W12</f>
        <v>2587.0442585876231</v>
      </c>
      <c r="AZ12" s="11">
        <f>('[1]资源-武将经验'!U14*节奏总纲!BK12-'[1]资源-武将经验'!U13*节奏总纲!BK11)*'[1]功能-付费相关'!BA14/节奏总纲!X12</f>
        <v>3122.5784206342846</v>
      </c>
      <c r="BA12" s="11">
        <f>('[1]资源-武将经验'!V14*节奏总纲!BL12-'[1]资源-武将经验'!V13*节奏总纲!BL11)*'[1]功能-付费相关'!BB14/节奏总纲!Y12</f>
        <v>4381.8219100445967</v>
      </c>
      <c r="BB12" s="11">
        <f>('[1]资源-武将经验'!W14*节奏总纲!BM12-'[1]资源-武将经验'!W13*节奏总纲!BM11)*'[1]功能-付费相关'!BC14/节奏总纲!Z12</f>
        <v>12361.502763316372</v>
      </c>
      <c r="BC12" s="11">
        <f>('[1]资源-武将经验'!X14*节奏总纲!BN12-'[1]资源-武将经验'!X13*节奏总纲!BN11)*'[1]功能-付费相关'!BD14/节奏总纲!AA12</f>
        <v>30016.858955262462</v>
      </c>
      <c r="BD12" s="29"/>
      <c r="BE12" s="33" t="e">
        <f t="shared" si="1"/>
        <v>#REF!</v>
      </c>
      <c r="BF12" s="33" t="e">
        <f t="shared" si="2"/>
        <v>#REF!</v>
      </c>
      <c r="BG12" s="33" t="e">
        <f t="shared" si="3"/>
        <v>#REF!</v>
      </c>
      <c r="BH12" s="33" t="e">
        <f t="shared" si="4"/>
        <v>#REF!</v>
      </c>
      <c r="BI12" s="33" t="e">
        <f t="shared" si="5"/>
        <v>#REF!</v>
      </c>
      <c r="BJ12" s="29"/>
      <c r="BK12" s="29"/>
      <c r="BL12" s="29"/>
      <c r="BM12" s="29"/>
      <c r="BN12" s="29"/>
    </row>
    <row r="13" spans="2:66" x14ac:dyDescent="0.15">
      <c r="B13" s="5">
        <v>10</v>
      </c>
      <c r="C13" s="5">
        <f>'[1]资源-玩家城池建筑时间'!AJ15*'[1]功能-付费相关'!AH15/节奏总纲!W13</f>
        <v>11456.299100988075</v>
      </c>
      <c r="D13" s="5">
        <f>'[1]资源-玩家城池建筑时间'!AK15*'[1]功能-付费相关'!AI15/节奏总纲!X13</f>
        <v>14723.988601428422</v>
      </c>
      <c r="E13" s="5">
        <f>'[1]资源-玩家城池建筑时间'!AL15*'[1]功能-付费相关'!AJ15/节奏总纲!Y13</f>
        <v>19785.108553537892</v>
      </c>
      <c r="F13" s="5">
        <f>'[1]资源-玩家城池建筑时间'!AM15*'[1]功能-付费相关'!AK15/节奏总纲!Z13</f>
        <v>27547.408330685925</v>
      </c>
      <c r="G13" s="5">
        <f>'[1]资源-玩家城池建筑时间'!AN15*'[1]功能-付费相关'!AL15/节奏总纲!AA13</f>
        <v>47109.560854787465</v>
      </c>
      <c r="H13" s="3"/>
      <c r="I13" s="28">
        <f>'[1]资源-士兵训练时间'!AB15*'[1]功能-付费相关'!AH15/节奏总纲!W13</f>
        <v>1563.5802618239218</v>
      </c>
      <c r="J13" s="28">
        <f>'[1]资源-士兵训练时间'!AC15*'[1]功能-付费相关'!AI15/节奏总纲!X13</f>
        <v>2329.6754131639445</v>
      </c>
      <c r="K13" s="28">
        <f>'[1]资源-士兵训练时间'!AD15*'[1]功能-付费相关'!AJ15/节奏总纲!Y13</f>
        <v>3922.1990944940144</v>
      </c>
      <c r="L13" s="28">
        <f>'[1]资源-士兵训练时间'!AE15*'[1]功能-付费相关'!AK15/节奏总纲!Z13</f>
        <v>6353.831959278672</v>
      </c>
      <c r="M13" s="28">
        <f>'[1]资源-士兵训练时间'!AF15*'[1]功能-付费相关'!AL15/节奏总纲!AA13</f>
        <v>13016.405928427252</v>
      </c>
      <c r="N13" s="34"/>
      <c r="O13" s="34">
        <f>'[1]资源-士兵招募时间'!AC15*'[1]功能-付费相关'!AH15/节奏总纲!W13</f>
        <v>2798.8340547796533</v>
      </c>
      <c r="P13" s="34">
        <f>'[1]资源-士兵招募时间'!AD15*'[1]功能-付费相关'!AI15/节奏总纲!X13</f>
        <v>3994.6186503475806</v>
      </c>
      <c r="Q13" s="34">
        <f>'[1]资源-士兵招募时间'!AE15*'[1]功能-付费相关'!AJ15/节奏总纲!Y13</f>
        <v>5588.1584900521975</v>
      </c>
      <c r="R13" s="34">
        <f>'[1]资源-士兵招募时间'!AF15*'[1]功能-付费相关'!AK15/节奏总纲!Z13</f>
        <v>5979.2810746954983</v>
      </c>
      <c r="S13" s="34">
        <f>'[1]资源-士兵招募时间'!AG15*'[1]功能-付费相关'!AL15/节奏总纲!AA13</f>
        <v>6039.5660071835828</v>
      </c>
      <c r="T13" s="34"/>
      <c r="U13" s="5">
        <f>('[1]资源-木石铜粮'!U15-'[1]资源-木石铜粮'!U14)*'[1]功能-付费相关'!S15/节奏总纲!W13</f>
        <v>7218.8421526010716</v>
      </c>
      <c r="V13" s="5">
        <f>('[1]资源-木石铜粮'!V15-'[1]资源-木石铜粮'!V14)*'[1]功能-付费相关'!T15/节奏总纲!X13</f>
        <v>9415.0266069605314</v>
      </c>
      <c r="W13" s="5">
        <f>('[1]资源-木石铜粮'!W15-'[1]资源-木石铜粮'!W14)*'[1]功能-付费相关'!U15/节奏总纲!Y13</f>
        <v>12417.847333382184</v>
      </c>
      <c r="X13" s="5">
        <f>('[1]资源-木石铜粮'!X15-'[1]资源-木石铜粮'!X14)*'[1]功能-付费相关'!V15/节奏总纲!Z13</f>
        <v>14784.840216517319</v>
      </c>
      <c r="Y13" s="5">
        <f>('[1]资源-木石铜粮'!Y15-'[1]资源-木石铜粮'!Y14)*'[1]功能-付费相关'!W15/节奏总纲!AA13</f>
        <v>21059.957675630743</v>
      </c>
      <c r="Z13" s="3"/>
      <c r="AA13" s="11">
        <f>('[1]资源-铁'!T15-'[1]资源-铁'!T14)*'[1]功能-付费相关'!X15/节奏总纲!W13</f>
        <v>0</v>
      </c>
      <c r="AB13" s="11">
        <f>('[1]资源-铁'!U15-'[1]资源-铁'!U14)*'[1]功能-付费相关'!Y15/节奏总纲!X13</f>
        <v>0</v>
      </c>
      <c r="AC13" s="11">
        <f>('[1]资源-铁'!V15-'[1]资源-铁'!V14)*'[1]功能-付费相关'!Z15/节奏总纲!Y13</f>
        <v>0</v>
      </c>
      <c r="AD13" s="11">
        <f>('[1]资源-铁'!W15-'[1]资源-铁'!W14)*'[1]功能-付费相关'!AA15/节奏总纲!Z13</f>
        <v>0</v>
      </c>
      <c r="AE13" s="11">
        <f>('[1]资源-铁'!X15-'[1]资源-铁'!X14)*'[1]功能-付费相关'!AB15/节奏总纲!AA13</f>
        <v>0</v>
      </c>
      <c r="AG13" s="11">
        <f>('[1]资源-银币'!Y15-'[1]资源-银币'!Y14)*'[1]功能-付费相关'!AQ15/节奏总纲!W13</f>
        <v>2177.2429008408935</v>
      </c>
      <c r="AH13" s="11">
        <f>('[1]资源-银币'!Z15-'[1]资源-银币'!Z14)*'[1]功能-付费相关'!AR15/节奏总纲!X13</f>
        <v>2848.0898186434233</v>
      </c>
      <c r="AI13" s="11">
        <f>('[1]资源-银币'!AA15-'[1]资源-银币'!AA14)*'[1]功能-付费相关'!AS15/节奏总纲!Y13</f>
        <v>4430.7470165895429</v>
      </c>
      <c r="AJ13" s="11">
        <f>('[1]资源-银币'!AB15-'[1]资源-银币'!AB14)*'[1]功能-付费相关'!AT15/节奏总纲!Z13</f>
        <v>7876.6410303895682</v>
      </c>
      <c r="AK13" s="11">
        <f>('[1]资源-银币'!AC15-'[1]资源-银币'!AC14)*'[1]功能-付费相关'!AU15/节奏总纲!AA13</f>
        <v>21739.862382726278</v>
      </c>
      <c r="AM13" s="11" t="e">
        <f>(#REF!-#REF!)*'[1]功能-付费相关'!CA15/节奏总纲!W13</f>
        <v>#REF!</v>
      </c>
      <c r="AN13" s="11" t="e">
        <f>(#REF!-#REF!)*'[1]功能-付费相关'!CB15/节奏总纲!X13</f>
        <v>#REF!</v>
      </c>
      <c r="AO13" s="11" t="e">
        <f>(#REF!-#REF!)*'[1]功能-付费相关'!CC15/节奏总纲!Y13</f>
        <v>#REF!</v>
      </c>
      <c r="AP13" s="11" t="e">
        <f>(#REF!-#REF!)*'[1]功能-付费相关'!CD15/节奏总纲!Z13</f>
        <v>#REF!</v>
      </c>
      <c r="AQ13" s="11" t="e">
        <f>(#REF!-#REF!)*'[1]功能-付费相关'!CE15/节奏总纲!AA13</f>
        <v>#REF!</v>
      </c>
      <c r="AR13" s="21"/>
      <c r="AS13" s="11">
        <f>(信息索引!U15-信息索引!U14)*'[1]功能-付费相关'!BI15/节奏总纲!W13</f>
        <v>1270.6014333538112</v>
      </c>
      <c r="AT13" s="11">
        <f>(信息索引!V15-信息索引!V14)*'[1]功能-付费相关'!BJ15/节奏总纲!X13</f>
        <v>1606.6779254857677</v>
      </c>
      <c r="AU13" s="11">
        <f>(信息索引!W15-信息索引!W14)*'[1]功能-付费相关'!BK15/节奏总纲!Y13</f>
        <v>2123.8971400905752</v>
      </c>
      <c r="AV13" s="11">
        <f>(信息索引!X15-信息索引!X14)*'[1]功能-付费相关'!BL15/节奏总纲!Z13</f>
        <v>3030.304673689006</v>
      </c>
      <c r="AW13" s="11">
        <f>(信息索引!Y15-信息索引!Y14)*'[1]功能-付费相关'!BM15/节奏总纲!AA13</f>
        <v>6061.374432529773</v>
      </c>
      <c r="AX13" s="15"/>
      <c r="AY13" s="11">
        <f>('[1]资源-武将经验'!T15*节奏总纲!BJ13-'[1]资源-武将经验'!T14*节奏总纲!BJ12)*'[1]功能-付费相关'!AZ15/节奏总纲!W13</f>
        <v>2298.8548988839316</v>
      </c>
      <c r="AZ13" s="11">
        <f>('[1]资源-武将经验'!U15*节奏总纲!BK13-'[1]资源-武将经验'!U14*节奏总纲!BK12)*'[1]功能-付费相关'!BA15/节奏总纲!X13</f>
        <v>2935.4064289975454</v>
      </c>
      <c r="BA13" s="11">
        <f>('[1]资源-武将经验'!V15*节奏总纲!BL13-'[1]资源-武将经验'!V14*节奏总纲!BL12)*'[1]功能-付费相关'!BB15/节奏总纲!Y13</f>
        <v>4036.6031964429862</v>
      </c>
      <c r="BB13" s="11">
        <f>('[1]资源-武将经验'!W15*节奏总纲!BM13-'[1]资源-武将经验'!W14*节奏总纲!BM12)*'[1]功能-付费相关'!BC15/节奏总纲!Z13</f>
        <v>10085.000910534369</v>
      </c>
      <c r="BC13" s="11">
        <f>('[1]资源-武将经验'!X15*节奏总纲!BN13-'[1]资源-武将经验'!X14*节奏总纲!BN12)*'[1]功能-付费相关'!BD15/节奏总纲!AA13</f>
        <v>20435.324801206647</v>
      </c>
      <c r="BD13" s="29"/>
      <c r="BE13" s="33" t="e">
        <f t="shared" si="1"/>
        <v>#REF!</v>
      </c>
      <c r="BF13" s="33" t="e">
        <f t="shared" si="2"/>
        <v>#REF!</v>
      </c>
      <c r="BG13" s="33" t="e">
        <f t="shared" si="3"/>
        <v>#REF!</v>
      </c>
      <c r="BH13" s="33" t="e">
        <f t="shared" si="4"/>
        <v>#REF!</v>
      </c>
      <c r="BI13" s="33" t="e">
        <f t="shared" si="5"/>
        <v>#REF!</v>
      </c>
      <c r="BJ13" s="29"/>
      <c r="BK13" s="29"/>
      <c r="BL13" s="29"/>
      <c r="BM13" s="29"/>
      <c r="BN13" s="29"/>
    </row>
    <row r="14" spans="2:66" x14ac:dyDescent="0.15">
      <c r="B14" s="5">
        <v>11</v>
      </c>
      <c r="C14" s="5">
        <f>'[1]资源-玩家城池建筑时间'!AJ16*'[1]功能-付费相关'!AH16/节奏总纲!W14</f>
        <v>11520.222135931936</v>
      </c>
      <c r="D14" s="5">
        <f>'[1]资源-玩家城池建筑时间'!AK16*'[1]功能-付费相关'!AI16/节奏总纲!X14</f>
        <v>12786.639695530968</v>
      </c>
      <c r="E14" s="5">
        <f>'[1]资源-玩家城池建筑时间'!AL16*'[1]功能-付费相关'!AJ16/节奏总纲!Y14</f>
        <v>14777.809023330072</v>
      </c>
      <c r="F14" s="5">
        <f>'[1]资源-玩家城池建筑时间'!AM16*'[1]功能-付费相关'!AK16/节奏总纲!Z14</f>
        <v>20514.232728140025</v>
      </c>
      <c r="G14" s="5">
        <f>'[1]资源-玩家城池建筑时间'!AN16*'[1]功能-付费相关'!AL16/节奏总纲!AA14</f>
        <v>40858.943330787195</v>
      </c>
      <c r="H14" s="3"/>
      <c r="I14" s="28">
        <f>'[1]资源-士兵训练时间'!AB16*'[1]功能-付费相关'!AH16/节奏总纲!W14</f>
        <v>1712.8262668228731</v>
      </c>
      <c r="J14" s="28">
        <f>'[1]资源-士兵训练时间'!AC16*'[1]功能-付费相关'!AI16/节奏总纲!X14</f>
        <v>2174.5440200560652</v>
      </c>
      <c r="K14" s="28">
        <f>'[1]资源-士兵训练时间'!AD16*'[1]功能-付费相关'!AJ16/节奏总纲!Y14</f>
        <v>3317.473626350115</v>
      </c>
      <c r="L14" s="28">
        <f>'[1]资源-士兵训练时间'!AE16*'[1]功能-付费相关'!AK16/节奏总纲!Z14</f>
        <v>5396.6181975697691</v>
      </c>
      <c r="M14" s="28">
        <f>'[1]资源-士兵训练时间'!AF16*'[1]功能-付费相关'!AL16/节奏总纲!AA14</f>
        <v>14418.419899819513</v>
      </c>
      <c r="N14" s="34"/>
      <c r="O14" s="34">
        <f>'[1]资源-士兵招募时间'!AC16*'[1]功能-付费相关'!AH16/节奏总纲!W14</f>
        <v>3063.4468633529605</v>
      </c>
      <c r="P14" s="34">
        <f>'[1]资源-士兵招募时间'!AD16*'[1]功能-付费相关'!AI16/节奏总纲!X14</f>
        <v>3910.8840119770107</v>
      </c>
      <c r="Q14" s="34">
        <f>'[1]资源-士兵招募时间'!AE16*'[1]功能-付费相关'!AJ16/节奏总纲!Y14</f>
        <v>5226.0597947621463</v>
      </c>
      <c r="R14" s="34">
        <f>'[1]资源-士兵招募时间'!AF16*'[1]功能-付费相关'!AK16/节奏总纲!Z14</f>
        <v>5542.1823940478835</v>
      </c>
      <c r="S14" s="34">
        <f>'[1]资源-士兵招募时间'!AG16*'[1]功能-付费相关'!AL16/节奏总纲!AA14</f>
        <v>5938.212976766391</v>
      </c>
      <c r="T14" s="34"/>
      <c r="U14" s="5">
        <f>('[1]资源-木石铜粮'!U16-'[1]资源-木石铜粮'!U15)*'[1]功能-付费相关'!S16/节奏总纲!W14</f>
        <v>4827.6061796122804</v>
      </c>
      <c r="V14" s="5">
        <f>('[1]资源-木石铜粮'!V16-'[1]资源-木石铜粮'!V15)*'[1]功能-付费相关'!T16/节奏总纲!X14</f>
        <v>5831.7732813050716</v>
      </c>
      <c r="W14" s="5">
        <f>('[1]资源-木石铜粮'!W16-'[1]资源-木石铜粮'!W15)*'[1]功能-付费相关'!U16/节奏总纲!Y14</f>
        <v>7402.1733073034393</v>
      </c>
      <c r="X14" s="5">
        <f>('[1]资源-木石铜粮'!X16-'[1]资源-木石铜粮'!X15)*'[1]功能-付费相关'!V16/节奏总纲!Z14</f>
        <v>8436.9207758175598</v>
      </c>
      <c r="Y14" s="5">
        <f>('[1]资源-木石铜粮'!Y16-'[1]资源-木石铜粮'!Y15)*'[1]功能-付费相关'!W16/节奏总纲!AA14</f>
        <v>11616.573336813961</v>
      </c>
      <c r="Z14" s="3"/>
      <c r="AA14" s="11">
        <f>('[1]资源-铁'!T16-'[1]资源-铁'!T15)*'[1]功能-付费相关'!X16/节奏总纲!W14</f>
        <v>0</v>
      </c>
      <c r="AB14" s="11">
        <f>('[1]资源-铁'!U16-'[1]资源-铁'!U15)*'[1]功能-付费相关'!Y16/节奏总纲!X14</f>
        <v>0</v>
      </c>
      <c r="AC14" s="11">
        <f>('[1]资源-铁'!V16-'[1]资源-铁'!V15)*'[1]功能-付费相关'!Z16/节奏总纲!Y14</f>
        <v>0</v>
      </c>
      <c r="AD14" s="11">
        <f>('[1]资源-铁'!W16-'[1]资源-铁'!W15)*'[1]功能-付费相关'!AA16/节奏总纲!Z14</f>
        <v>0</v>
      </c>
      <c r="AE14" s="11">
        <f>('[1]资源-铁'!X16-'[1]资源-铁'!X15)*'[1]功能-付费相关'!AB16/节奏总纲!AA14</f>
        <v>0</v>
      </c>
      <c r="AG14" s="11">
        <f>('[1]资源-银币'!Y16-'[1]资源-银币'!Y15)*'[1]功能-付费相关'!AQ16/节奏总纲!W14</f>
        <v>6468.1654607880291</v>
      </c>
      <c r="AH14" s="11">
        <f>('[1]资源-银币'!Z16-'[1]资源-银币'!Z15)*'[1]功能-付费相关'!AR16/节奏总纲!X14</f>
        <v>7885.0360716268769</v>
      </c>
      <c r="AI14" s="11">
        <f>('[1]资源-银币'!AA16-'[1]资源-银币'!AA15)*'[1]功能-付费相关'!AS16/节奏总纲!Y14</f>
        <v>10651.783949106151</v>
      </c>
      <c r="AJ14" s="11">
        <f>('[1]资源-银币'!AB16-'[1]资源-银币'!AB15)*'[1]功能-付费相关'!AT16/节奏总纲!Z14</f>
        <v>16647.337046589306</v>
      </c>
      <c r="AK14" s="11">
        <f>('[1]资源-银币'!AC16-'[1]资源-银币'!AC15)*'[1]功能-付费相关'!AU16/节奏总纲!AA14</f>
        <v>28222.888106881281</v>
      </c>
      <c r="AM14" s="11" t="e">
        <f>(#REF!-#REF!)*'[1]功能-付费相关'!CA16/节奏总纲!W14</f>
        <v>#REF!</v>
      </c>
      <c r="AN14" s="11" t="e">
        <f>(#REF!-#REF!)*'[1]功能-付费相关'!CB16/节奏总纲!X14</f>
        <v>#REF!</v>
      </c>
      <c r="AO14" s="11" t="e">
        <f>(#REF!-#REF!)*'[1]功能-付费相关'!CC16/节奏总纲!Y14</f>
        <v>#REF!</v>
      </c>
      <c r="AP14" s="11" t="e">
        <f>(#REF!-#REF!)*'[1]功能-付费相关'!CD16/节奏总纲!Z14</f>
        <v>#REF!</v>
      </c>
      <c r="AQ14" s="11" t="e">
        <f>(#REF!-#REF!)*'[1]功能-付费相关'!CE16/节奏总纲!AA14</f>
        <v>#REF!</v>
      </c>
      <c r="AR14" s="21"/>
      <c r="AS14" s="11">
        <f>(信息索引!U16-信息索引!U15)*'[1]功能-付费相关'!BI16/节奏总纲!W14</f>
        <v>4644.5424937394837</v>
      </c>
      <c r="AT14" s="11">
        <f>(信息索引!V16-信息索引!V15)*'[1]功能-付费相关'!BJ16/节奏总纲!X14</f>
        <v>5153.9753125864363</v>
      </c>
      <c r="AU14" s="11">
        <f>(信息索引!W16-信息索引!W15)*'[1]功能-付费相关'!BK16/节奏总纲!Y14</f>
        <v>6037.1661000721861</v>
      </c>
      <c r="AV14" s="11">
        <f>(信息索引!X16-信息索引!X15)*'[1]功能-付费相关'!BL16/节奏总纲!Z14</f>
        <v>8520.7998137988161</v>
      </c>
      <c r="AW14" s="11">
        <f>(信息索引!Y16-信息索引!Y15)*'[1]功能-付费相关'!BM16/节奏总纲!AA14</f>
        <v>18834.495548779239</v>
      </c>
      <c r="AY14" s="11">
        <f>('[1]资源-武将经验'!T16*节奏总纲!BJ14-'[1]资源-武将经验'!T15*节奏总纲!BJ13)*'[1]功能-付费相关'!AZ16/节奏总纲!W14</f>
        <v>10015.476998589405</v>
      </c>
      <c r="AZ14" s="11">
        <f>('[1]资源-武将经验'!U16*节奏总纲!BK14-'[1]资源-武将经验'!U15*节奏总纲!BK13)*'[1]功能-付费相关'!BA16/节奏总纲!X14</f>
        <v>10635.873501602844</v>
      </c>
      <c r="BA14" s="11">
        <f>('[1]资源-武将经验'!V16*节奏总纲!BL14-'[1]资源-武将经验'!V15*节奏总纲!BL13)*'[1]功能-付费相关'!BB16/节奏总纲!Y14</f>
        <v>10541.708407345826</v>
      </c>
      <c r="BB14" s="11">
        <f>('[1]资源-武将经验'!W16*节奏总纲!BM14-'[1]资源-武将经验'!W15*节奏总纲!BM13)*'[1]功能-付费相关'!BC16/节奏总纲!Z14</f>
        <v>26151.214653600673</v>
      </c>
      <c r="BC14" s="11">
        <f>('[1]资源-武将经验'!X16*节奏总纲!BN14-'[1]资源-武将经验'!X15*节奏总纲!BN13)*'[1]功能-付费相关'!BD16/节奏总纲!AA14</f>
        <v>54851.132553289448</v>
      </c>
      <c r="BD14" s="29"/>
      <c r="BE14" s="33" t="e">
        <f t="shared" si="1"/>
        <v>#REF!</v>
      </c>
      <c r="BF14" s="33" t="e">
        <f t="shared" si="2"/>
        <v>#REF!</v>
      </c>
      <c r="BG14" s="33" t="e">
        <f t="shared" si="3"/>
        <v>#REF!</v>
      </c>
      <c r="BH14" s="33" t="e">
        <f t="shared" si="4"/>
        <v>#REF!</v>
      </c>
      <c r="BI14" s="33" t="e">
        <f t="shared" si="5"/>
        <v>#REF!</v>
      </c>
      <c r="BJ14" s="29"/>
      <c r="BK14" s="29"/>
      <c r="BL14" s="29"/>
      <c r="BM14" s="29"/>
      <c r="BN14" s="29"/>
    </row>
    <row r="15" spans="2:66" x14ac:dyDescent="0.15">
      <c r="B15" s="5">
        <v>12</v>
      </c>
      <c r="C15" s="5">
        <f>'[1]资源-玩家城池建筑时间'!AJ17*'[1]功能-付费相关'!AH17/节奏总纲!W15</f>
        <v>8204.1695336796256</v>
      </c>
      <c r="D15" s="5">
        <f>'[1]资源-玩家城池建筑时间'!AK17*'[1]功能-付费相关'!AI17/节奏总纲!X15</f>
        <v>9954.1165478631356</v>
      </c>
      <c r="E15" s="5">
        <f>'[1]资源-玩家城池建筑时间'!AL17*'[1]功能-付费相关'!AJ17/节奏总纲!Y15</f>
        <v>13226.624013141522</v>
      </c>
      <c r="F15" s="5">
        <f>'[1]资源-玩家城池建筑时间'!AM17*'[1]功能-付费相关'!AK17/节奏总纲!Z15</f>
        <v>19746.14405982981</v>
      </c>
      <c r="G15" s="5">
        <f>'[1]资源-玩家城池建筑时间'!AN17*'[1]功能-付费相关'!AL17/节奏总纲!AA15</f>
        <v>39539.844774789308</v>
      </c>
      <c r="H15" s="3"/>
      <c r="I15" s="28">
        <f>'[1]资源-士兵训练时间'!AB17*'[1]功能-付费相关'!AH17/节奏总纲!W15</f>
        <v>1415.5460227271894</v>
      </c>
      <c r="J15" s="28">
        <f>'[1]资源-士兵训练时间'!AC17*'[1]功能-付费相关'!AI17/节奏总纲!X15</f>
        <v>1889.84621699027</v>
      </c>
      <c r="K15" s="28">
        <f>'[1]资源-士兵训练时间'!AD17*'[1]功能-付费相关'!AJ17/节奏总纲!Y15</f>
        <v>3622.5451553381868</v>
      </c>
      <c r="L15" s="28">
        <f>'[1]资源-士兵训练时间'!AE17*'[1]功能-付费相关'!AK17/节奏总纲!Z15</f>
        <v>7321.0281504154773</v>
      </c>
      <c r="M15" s="28">
        <f>'[1]资源-士兵训练时间'!AF17*'[1]功能-付费相关'!AL17/节奏总纲!AA15</f>
        <v>16762.507540927396</v>
      </c>
      <c r="N15" s="34"/>
      <c r="O15" s="34">
        <f>'[1]资源-士兵招募时间'!AC17*'[1]功能-付费相关'!AH17/节奏总纲!W15</f>
        <v>3258.8295727166569</v>
      </c>
      <c r="P15" s="34">
        <f>'[1]资源-士兵招募时间'!AD17*'[1]功能-付费相关'!AI17/节奏总纲!X15</f>
        <v>4567.4950633839089</v>
      </c>
      <c r="Q15" s="34">
        <f>'[1]资源-士兵招募时间'!AE17*'[1]功能-付费相关'!AJ17/节奏总纲!Y15</f>
        <v>5584.3516223722172</v>
      </c>
      <c r="R15" s="34">
        <f>'[1]资源-士兵招募时间'!AF17*'[1]功能-付费相关'!AK17/节奏总纲!Z15</f>
        <v>5936.5043808356113</v>
      </c>
      <c r="S15" s="34">
        <f>'[1]资源-士兵招募时间'!AG17*'[1]功能-付费相关'!AL17/节奏总纲!AA15</f>
        <v>6180.2887848039591</v>
      </c>
      <c r="T15" s="34"/>
      <c r="U15" s="5">
        <f>('[1]资源-木石铜粮'!U17-'[1]资源-木石铜粮'!U16)*'[1]功能-付费相关'!S17/节奏总纲!W15</f>
        <v>7291.1094764793961</v>
      </c>
      <c r="V15" s="5">
        <f>('[1]资源-木石铜粮'!V17-'[1]资源-木石铜粮'!V16)*'[1]功能-付费相关'!T17/节奏总纲!X15</f>
        <v>9084.5754124587293</v>
      </c>
      <c r="W15" s="5">
        <f>('[1]资源-木石铜粮'!W17-'[1]资源-木石铜粮'!W16)*'[1]功能-付费相关'!U17/节奏总纲!Y15</f>
        <v>11018.868976097177</v>
      </c>
      <c r="X15" s="5">
        <f>('[1]资源-木石铜粮'!X17-'[1]资源-木石铜粮'!X16)*'[1]功能-付费相关'!V17/节奏总纲!Z15</f>
        <v>12875.509441419696</v>
      </c>
      <c r="Y15" s="5">
        <f>('[1]资源-木石铜粮'!Y17-'[1]资源-木石铜粮'!Y16)*'[1]功能-付费相关'!W17/节奏总纲!AA15</f>
        <v>19535.620125360849</v>
      </c>
      <c r="Z15" s="3"/>
      <c r="AA15" s="11">
        <f>('[1]资源-铁'!T17-'[1]资源-铁'!T16)*'[1]功能-付费相关'!X17/节奏总纲!W15</f>
        <v>0</v>
      </c>
      <c r="AB15" s="11">
        <f>('[1]资源-铁'!U17-'[1]资源-铁'!U16)*'[1]功能-付费相关'!Y17/节奏总纲!X15</f>
        <v>0</v>
      </c>
      <c r="AC15" s="11">
        <f>('[1]资源-铁'!V17-'[1]资源-铁'!V16)*'[1]功能-付费相关'!Z17/节奏总纲!Y15</f>
        <v>0</v>
      </c>
      <c r="AD15" s="11">
        <f>('[1]资源-铁'!W17-'[1]资源-铁'!W16)*'[1]功能-付费相关'!AA17/节奏总纲!Z15</f>
        <v>0</v>
      </c>
      <c r="AE15" s="11">
        <f>('[1]资源-铁'!X17-'[1]资源-铁'!X16)*'[1]功能-付费相关'!AB17/节奏总纲!AA15</f>
        <v>0</v>
      </c>
      <c r="AG15" s="11">
        <f>('[1]资源-银币'!Y17-'[1]资源-银币'!Y16)*'[1]功能-付费相关'!AQ17/节奏总纲!W15</f>
        <v>6838.9146380461461</v>
      </c>
      <c r="AH15" s="11">
        <f>('[1]资源-银币'!Z17-'[1]资源-银币'!Z16)*'[1]功能-付费相关'!AR17/节奏总纲!X15</f>
        <v>8494.1499254253104</v>
      </c>
      <c r="AI15" s="11">
        <f>('[1]资源-银币'!AA17-'[1]资源-银币'!AA16)*'[1]功能-付费相关'!AS17/节奏总纲!Y15</f>
        <v>9651.761376029388</v>
      </c>
      <c r="AJ15" s="11">
        <f>('[1]资源-银币'!AB17-'[1]资源-银币'!AB16)*'[1]功能-付费相关'!AT17/节奏总纲!Z15</f>
        <v>11702.633303841503</v>
      </c>
      <c r="AK15" s="11">
        <f>('[1]资源-银币'!AC17-'[1]资源-银币'!AC16)*'[1]功能-付费相关'!AU17/节奏总纲!AA15</f>
        <v>24688.165316815535</v>
      </c>
      <c r="AM15" s="11" t="e">
        <f>(#REF!-#REF!)*'[1]功能-付费相关'!CA17/节奏总纲!W15</f>
        <v>#REF!</v>
      </c>
      <c r="AN15" s="11" t="e">
        <f>(#REF!-#REF!)*'[1]功能-付费相关'!CB17/节奏总纲!X15</f>
        <v>#REF!</v>
      </c>
      <c r="AO15" s="11" t="e">
        <f>(#REF!-#REF!)*'[1]功能-付费相关'!CC17/节奏总纲!Y15</f>
        <v>#REF!</v>
      </c>
      <c r="AP15" s="11" t="e">
        <f>(#REF!-#REF!)*'[1]功能-付费相关'!CD17/节奏总纲!Z15</f>
        <v>#REF!</v>
      </c>
      <c r="AQ15" s="11" t="e">
        <f>(#REF!-#REF!)*'[1]功能-付费相关'!CE17/节奏总纲!AA15</f>
        <v>#REF!</v>
      </c>
      <c r="AR15" s="21"/>
      <c r="AS15" s="11">
        <f>(信息索引!U17-信息索引!U16)*'[1]功能-付费相关'!BI17/节奏总纲!W15</f>
        <v>4343.7722565998674</v>
      </c>
      <c r="AT15" s="11">
        <f>(信息索引!V17-信息索引!V16)*'[1]功能-付费相关'!BJ17/节奏总纲!X15</f>
        <v>5103.3793336947529</v>
      </c>
      <c r="AU15" s="11">
        <f>(信息索引!W17-信息索引!W16)*'[1]功能-付费相关'!BK17/节奏总纲!Y15</f>
        <v>6424.6962870860652</v>
      </c>
      <c r="AV15" s="11">
        <f>(信息索引!X17-信息索引!X16)*'[1]功能-付费相关'!BL17/节奏总纲!Z15</f>
        <v>9259.5015510022531</v>
      </c>
      <c r="AW15" s="11">
        <f>(信息索引!Y17-信息索引!Y16)*'[1]功能-付费相关'!BM17/节奏总纲!AA15</f>
        <v>20891.972030787772</v>
      </c>
      <c r="AY15" s="11">
        <f>('[1]资源-武将经验'!T17*节奏总纲!BJ15-'[1]资源-武将经验'!T16*节奏总纲!BJ14)*'[1]功能-付费相关'!AZ17/节奏总纲!W15</f>
        <v>8946.3208802395056</v>
      </c>
      <c r="AZ15" s="11">
        <f>('[1]资源-武将经验'!U17*节奏总纲!BK15-'[1]资源-武将经验'!U16*节奏总纲!BK14)*'[1]功能-付费相关'!BA17/节奏总纲!X15</f>
        <v>10456.712050093654</v>
      </c>
      <c r="BA15" s="11">
        <f>('[1]资源-武将经验'!V17*节奏总纲!BL15-'[1]资源-武将经验'!V16*节奏总纲!BL14)*'[1]功能-付费相关'!BB17/节奏总纲!Y15</f>
        <v>13394.951678267214</v>
      </c>
      <c r="BB15" s="11">
        <f>('[1]资源-武将经验'!W17*节奏总纲!BM15-'[1]资源-武将经验'!W16*节奏总纲!BM14)*'[1]功能-付费相关'!BC17/节奏总纲!Z15</f>
        <v>33514.85081751804</v>
      </c>
      <c r="BC15" s="11">
        <f>('[1]资源-武将经验'!X17*节奏总纲!BN15-'[1]资源-武将经验'!X16*节奏总纲!BN14)*'[1]功能-付费相关'!BD17/节奏总纲!AA15</f>
        <v>77149.516021497198</v>
      </c>
      <c r="BD15" s="29"/>
      <c r="BE15" s="33" t="e">
        <f t="shared" si="1"/>
        <v>#REF!</v>
      </c>
      <c r="BF15" s="33" t="e">
        <f t="shared" si="2"/>
        <v>#REF!</v>
      </c>
      <c r="BG15" s="33" t="e">
        <f t="shared" si="3"/>
        <v>#REF!</v>
      </c>
      <c r="BH15" s="33" t="e">
        <f t="shared" si="4"/>
        <v>#REF!</v>
      </c>
      <c r="BI15" s="33" t="e">
        <f t="shared" si="5"/>
        <v>#REF!</v>
      </c>
      <c r="BJ15" s="29"/>
      <c r="BK15" s="29"/>
      <c r="BL15" s="29"/>
      <c r="BM15" s="29"/>
      <c r="BN15" s="29"/>
    </row>
    <row r="16" spans="2:66" x14ac:dyDescent="0.15">
      <c r="B16" s="5">
        <v>13</v>
      </c>
      <c r="C16" s="5">
        <f>'[1]资源-玩家城池建筑时间'!AJ18*'[1]功能-付费相关'!AH18/节奏总纲!W16</f>
        <v>7710.890995202808</v>
      </c>
      <c r="D16" s="5">
        <f>'[1]资源-玩家城池建筑时间'!AK18*'[1]功能-付费相关'!AI18/节奏总纲!X16</f>
        <v>9594.7895300612963</v>
      </c>
      <c r="E16" s="5">
        <f>'[1]资源-玩家城池建筑时间'!AL18*'[1]功能-付费相关'!AJ18/节奏总纲!Y16</f>
        <v>12775.038205111494</v>
      </c>
      <c r="F16" s="5">
        <f>'[1]资源-玩家城池建筑时间'!AM18*'[1]功能-付费相关'!AK18/节奏总纲!Z16</f>
        <v>19232.06128963154</v>
      </c>
      <c r="G16" s="5">
        <f>'[1]资源-玩家城池建筑时间'!AN18*'[1]功能-付费相关'!AL18/节奏总纲!AA16</f>
        <v>38596.875954464253</v>
      </c>
      <c r="H16" s="3"/>
      <c r="I16" s="28">
        <f>'[1]资源-士兵训练时间'!AB18*'[1]功能-付费相关'!AH18/节奏总纲!W16</f>
        <v>1500.7405684112555</v>
      </c>
      <c r="J16" s="28">
        <f>'[1]资源-士兵训练时间'!AC18*'[1]功能-付费相关'!AI18/节奏总纲!X16</f>
        <v>2439.8961129364388</v>
      </c>
      <c r="K16" s="28">
        <f>'[1]资源-士兵训练时间'!AD18*'[1]功能-付费相关'!AJ18/节奏总纲!Y16</f>
        <v>4210.1683375132397</v>
      </c>
      <c r="L16" s="28">
        <f>'[1]资源-士兵训练时间'!AE18*'[1]功能-付费相关'!AK18/节奏总纲!Z16</f>
        <v>7753.8574306145383</v>
      </c>
      <c r="M16" s="28">
        <f>'[1]资源-士兵训练时间'!AF18*'[1]功能-付费相关'!AL18/节奏总纲!AA16</f>
        <v>18608.545466362793</v>
      </c>
      <c r="N16" s="34"/>
      <c r="O16" s="34">
        <f>'[1]资源-士兵招募时间'!AC18*'[1]功能-付费相关'!AH18/节奏总纲!W16</f>
        <v>3409.4625819816706</v>
      </c>
      <c r="P16" s="34">
        <f>'[1]资源-士兵招募时间'!AD18*'[1]功能-付费相关'!AI18/节奏总纲!X16</f>
        <v>4941.7636892009859</v>
      </c>
      <c r="Q16" s="34">
        <f>'[1]资源-士兵招募时间'!AE18*'[1]功能-付费相关'!AJ18/节奏总纲!Y16</f>
        <v>5829.0385840760973</v>
      </c>
      <c r="R16" s="34">
        <f>'[1]资源-士兵招募时间'!AF18*'[1]功能-付费相关'!AK18/节奏总纲!Z16</f>
        <v>6029.8548980649512</v>
      </c>
      <c r="S16" s="34">
        <f>'[1]资源-士兵招募时间'!AG18*'[1]功能-付费相关'!AL18/节奏总纲!AA16</f>
        <v>6029.4005943555558</v>
      </c>
      <c r="T16" s="34"/>
      <c r="U16" s="5">
        <f>('[1]资源-木石铜粮'!U18-'[1]资源-木石铜粮'!U17)*'[1]功能-付费相关'!S18/节奏总纲!W16</f>
        <v>4928.4573615035115</v>
      </c>
      <c r="V16" s="5">
        <f>('[1]资源-木石铜粮'!V18-'[1]资源-木石铜粮'!V17)*'[1]功能-付费相关'!T18/节奏总纲!X16</f>
        <v>6402.8469139450053</v>
      </c>
      <c r="W16" s="5">
        <f>('[1]资源-木石铜粮'!W18-'[1]资源-木石铜粮'!W17)*'[1]功能-付费相关'!U18/节奏总纲!Y16</f>
        <v>7729.5273331351918</v>
      </c>
      <c r="X16" s="5">
        <f>('[1]资源-木石铜粮'!X18-'[1]资源-木石铜粮'!X17)*'[1]功能-付费相关'!V18/节奏总纲!Z16</f>
        <v>8687.3734268368898</v>
      </c>
      <c r="Y16" s="5">
        <f>('[1]资源-木石铜粮'!Y18-'[1]资源-木石铜粮'!Y17)*'[1]功能-付费相关'!W18/节奏总纲!AA16</f>
        <v>11659.631701493727</v>
      </c>
      <c r="Z16" s="3"/>
      <c r="AA16" s="11">
        <f>('[1]资源-铁'!T18-'[1]资源-铁'!T17)*'[1]功能-付费相关'!X18/节奏总纲!W16</f>
        <v>0</v>
      </c>
      <c r="AB16" s="11">
        <f>('[1]资源-铁'!U18-'[1]资源-铁'!U17)*'[1]功能-付费相关'!Y18/节奏总纲!X16</f>
        <v>0</v>
      </c>
      <c r="AC16" s="11">
        <f>('[1]资源-铁'!V18-'[1]资源-铁'!V17)*'[1]功能-付费相关'!Z18/节奏总纲!Y16</f>
        <v>0</v>
      </c>
      <c r="AD16" s="11">
        <f>('[1]资源-铁'!W18-'[1]资源-铁'!W17)*'[1]功能-付费相关'!AA18/节奏总纲!Z16</f>
        <v>0</v>
      </c>
      <c r="AE16" s="11">
        <f>('[1]资源-铁'!X18-'[1]资源-铁'!X17)*'[1]功能-付费相关'!AB18/节奏总纲!AA16</f>
        <v>0</v>
      </c>
      <c r="AG16" s="11">
        <f>('[1]资源-银币'!Y18-'[1]资源-银币'!Y17)*'[1]功能-付费相关'!AQ18/节奏总纲!W16</f>
        <v>5797.3212550197159</v>
      </c>
      <c r="AH16" s="11">
        <f>('[1]资源-银币'!Z18-'[1]资源-银币'!Z17)*'[1]功能-付费相关'!AR18/节奏总纲!X16</f>
        <v>5744.7917369714396</v>
      </c>
      <c r="AI16" s="11">
        <f>('[1]资源-银币'!AA18-'[1]资源-银币'!AA17)*'[1]功能-付费相关'!AS18/节奏总纲!Y16</f>
        <v>7370.7699855606279</v>
      </c>
      <c r="AJ16" s="11">
        <f>('[1]资源-银币'!AB18-'[1]资源-银币'!AB17)*'[1]功能-付费相关'!AT18/节奏总纲!Z16</f>
        <v>10922.239380902387</v>
      </c>
      <c r="AK16" s="11">
        <f>('[1]资源-银币'!AC18-'[1]资源-银币'!AC17)*'[1]功能-付费相关'!AU18/节奏总纲!AA16</f>
        <v>22682.844334418536</v>
      </c>
      <c r="AM16" s="11" t="e">
        <f>(#REF!-#REF!)*'[1]功能-付费相关'!CA18/节奏总纲!W16</f>
        <v>#REF!</v>
      </c>
      <c r="AN16" s="11" t="e">
        <f>(#REF!-#REF!)*'[1]功能-付费相关'!CB18/节奏总纲!X16</f>
        <v>#REF!</v>
      </c>
      <c r="AO16" s="11" t="e">
        <f>(#REF!-#REF!)*'[1]功能-付费相关'!CC18/节奏总纲!Y16</f>
        <v>#REF!</v>
      </c>
      <c r="AP16" s="11" t="e">
        <f>(#REF!-#REF!)*'[1]功能-付费相关'!CD18/节奏总纲!Z16</f>
        <v>#REF!</v>
      </c>
      <c r="AQ16" s="11" t="e">
        <f>(#REF!-#REF!)*'[1]功能-付费相关'!CE18/节奏总纲!AA16</f>
        <v>#REF!</v>
      </c>
      <c r="AR16" s="21"/>
      <c r="AS16" s="11">
        <f>(信息索引!U18-信息索引!U17)*'[1]功能-付费相关'!BI18/节奏总纲!W16</f>
        <v>4052.3762760954578</v>
      </c>
      <c r="AT16" s="11">
        <f>(信息索引!V18-信息索引!V17)*'[1]功能-付费相关'!BJ18/节奏总纲!X16</f>
        <v>4670.7901433127145</v>
      </c>
      <c r="AU16" s="11">
        <f>(信息索引!W18-信息索引!W17)*'[1]功能-付费相关'!BK18/节奏总纲!Y16</f>
        <v>6012.2829425643358</v>
      </c>
      <c r="AV16" s="11">
        <f>(信息索引!X18-信息索引!X17)*'[1]功能-付费相关'!BL18/节奏总纲!Z16</f>
        <v>8777.4160007793525</v>
      </c>
      <c r="AW16" s="11">
        <f>(信息索引!Y18-信息索引!Y17)*'[1]功能-付费相关'!BM18/节奏总纲!AA16</f>
        <v>18967.710141938875</v>
      </c>
      <c r="AY16" s="11">
        <f>('[1]资源-武将经验'!T18*节奏总纲!BJ16-'[1]资源-武将经验'!T17*节奏总纲!BJ15)*'[1]功能-付费相关'!AZ18/节奏总纲!W16</f>
        <v>7970.9821754565382</v>
      </c>
      <c r="AZ16" s="11">
        <f>('[1]资源-武将经验'!U18*节奏总纲!BK16-'[1]资源-武将经验'!U17*节奏总纲!BK15)*'[1]功能-付费相关'!BA18/节奏总纲!X16</f>
        <v>9140.3121734414799</v>
      </c>
      <c r="BA16" s="11">
        <f>('[1]资源-武将经验'!V18*节奏总纲!BL16-'[1]资源-武将经验'!V17*节奏总纲!BL15)*'[1]功能-付费相关'!BB18/节奏总纲!Y16</f>
        <v>11973.914275218547</v>
      </c>
      <c r="BB16" s="11">
        <f>('[1]资源-武将经验'!W18*节奏总纲!BM16-'[1]资源-武将经验'!W17*节奏总纲!BM15)*'[1]功能-付费相关'!BC18/节奏总纲!Z16</f>
        <v>30346.630396375611</v>
      </c>
      <c r="BC16" s="11">
        <f>('[1]资源-武将经验'!X18*节奏总纲!BN16-'[1]资源-武将经验'!X17*节奏总纲!BN15)*'[1]功能-付费相关'!BD18/节奏总纲!AA16</f>
        <v>66911.832249340558</v>
      </c>
      <c r="BD16" s="29"/>
      <c r="BE16" s="33" t="e">
        <f t="shared" si="1"/>
        <v>#REF!</v>
      </c>
      <c r="BF16" s="33" t="e">
        <f t="shared" si="2"/>
        <v>#REF!</v>
      </c>
      <c r="BG16" s="33" t="e">
        <f t="shared" si="3"/>
        <v>#REF!</v>
      </c>
      <c r="BH16" s="33" t="e">
        <f t="shared" si="4"/>
        <v>#REF!</v>
      </c>
      <c r="BI16" s="33" t="e">
        <f t="shared" si="5"/>
        <v>#REF!</v>
      </c>
      <c r="BJ16" s="29"/>
      <c r="BK16" s="29"/>
      <c r="BL16" s="29"/>
      <c r="BM16" s="29"/>
      <c r="BN16" s="29"/>
    </row>
    <row r="17" spans="2:66" x14ac:dyDescent="0.15">
      <c r="B17" s="5">
        <v>14</v>
      </c>
      <c r="C17" s="5">
        <f>'[1]资源-玩家城池建筑时间'!AJ19*'[1]功能-付费相关'!AH19/节奏总纲!W17</f>
        <v>7438.4872602372052</v>
      </c>
      <c r="D17" s="5">
        <f>'[1]资源-玩家城池建筑时间'!AK19*'[1]功能-付费相关'!AI19/节奏总纲!X17</f>
        <v>9306.8104376090414</v>
      </c>
      <c r="E17" s="5">
        <f>'[1]资源-玩家城池建筑时间'!AL19*'[1]功能-付费相关'!AJ19/节奏总纲!Y17</f>
        <v>12468.830393299908</v>
      </c>
      <c r="F17" s="5">
        <f>'[1]资源-玩家城池建筑时间'!AM19*'[1]功能-付费相关'!AK19/节奏总纲!Z17</f>
        <v>18728.082939467837</v>
      </c>
      <c r="G17" s="5">
        <f>'[1]资源-玩家城池建筑时间'!AN19*'[1]功能-付费相关'!AL19/节奏总纲!AA17</f>
        <v>43583.578485922997</v>
      </c>
      <c r="H17" s="3"/>
      <c r="I17" s="28">
        <f>'[1]资源-士兵训练时间'!AB19*'[1]功能-付费相关'!AH19/节奏总纲!W17</f>
        <v>1838.5825763821845</v>
      </c>
      <c r="J17" s="28">
        <f>'[1]资源-士兵训练时间'!AC19*'[1]功能-付费相关'!AI19/节奏总纲!X17</f>
        <v>2548.4455799822003</v>
      </c>
      <c r="K17" s="28">
        <f>'[1]资源-士兵训练时间'!AD19*'[1]功能-付费相关'!AJ19/节奏总纲!Y17</f>
        <v>4678.1445583289851</v>
      </c>
      <c r="L17" s="28">
        <f>'[1]资源-士兵训练时间'!AE19*'[1]功能-付费相关'!AK19/节奏总纲!Z17</f>
        <v>8126.360925149751</v>
      </c>
      <c r="M17" s="28">
        <f>'[1]资源-士兵训练时间'!AF19*'[1]功能-付费相关'!AL19/节奏总纲!AA17</f>
        <v>25481.573191815358</v>
      </c>
      <c r="N17" s="34"/>
      <c r="O17" s="34">
        <f>'[1]资源-士兵招募时间'!AC19*'[1]功能-付费相关'!AH19/节奏总纲!W17</f>
        <v>3507.0823977043842</v>
      </c>
      <c r="P17" s="34">
        <f>'[1]资源-士兵招募时间'!AD19*'[1]功能-付费相关'!AI19/节奏总纲!X17</f>
        <v>5351.9239957888958</v>
      </c>
      <c r="Q17" s="34">
        <f>'[1]资源-士兵招募时间'!AE19*'[1]功能-付费相关'!AJ19/节奏总纲!Y17</f>
        <v>7528.8489712381806</v>
      </c>
      <c r="R17" s="34">
        <f>'[1]资源-士兵招募时间'!AF19*'[1]功能-付费相关'!AK19/节奏总纲!Z17</f>
        <v>6202.6368988183367</v>
      </c>
      <c r="S17" s="34">
        <f>'[1]资源-士兵招募时间'!AG19*'[1]功能-付费相关'!AL19/节奏总纲!AA17</f>
        <v>6309.4959699485626</v>
      </c>
      <c r="T17" s="34"/>
      <c r="U17" s="5">
        <f>('[1]资源-木石铜粮'!U19-'[1]资源-木石铜粮'!U18)*'[1]功能-付费相关'!S19/节奏总纲!W17</f>
        <v>7024.6596830906328</v>
      </c>
      <c r="V17" s="5">
        <f>('[1]资源-木石铜粮'!V19-'[1]资源-木石铜粮'!V18)*'[1]功能-付费相关'!T19/节奏总纲!X17</f>
        <v>9243.1897369222079</v>
      </c>
      <c r="W17" s="5">
        <f>('[1]资源-木石铜粮'!W19-'[1]资源-木石铜粮'!W18)*'[1]功能-付费相关'!U19/节奏总纲!Y17</f>
        <v>12010.047195594594</v>
      </c>
      <c r="X17" s="5">
        <f>('[1]资源-木石铜粮'!X19-'[1]资源-木石铜粮'!X18)*'[1]功能-付费相关'!V19/节奏总纲!Z17</f>
        <v>12847.353966911058</v>
      </c>
      <c r="Y17" s="5">
        <f>('[1]资源-木石铜粮'!Y19-'[1]资源-木石铜粮'!Y18)*'[1]功能-付费相关'!W19/节奏总纲!AA17</f>
        <v>19538.361004924111</v>
      </c>
      <c r="Z17" s="3"/>
      <c r="AA17" s="11">
        <f>('[1]资源-铁'!T19-'[1]资源-铁'!T18)*'[1]功能-付费相关'!X19/节奏总纲!W17</f>
        <v>0</v>
      </c>
      <c r="AB17" s="11">
        <f>('[1]资源-铁'!U19-'[1]资源-铁'!U18)*'[1]功能-付费相关'!Y19/节奏总纲!X17</f>
        <v>0</v>
      </c>
      <c r="AC17" s="11">
        <f>('[1]资源-铁'!V19-'[1]资源-铁'!V18)*'[1]功能-付费相关'!Z19/节奏总纲!Y17</f>
        <v>0</v>
      </c>
      <c r="AD17" s="11">
        <f>('[1]资源-铁'!W19-'[1]资源-铁'!W18)*'[1]功能-付费相关'!AA19/节奏总纲!Z17</f>
        <v>0</v>
      </c>
      <c r="AE17" s="11">
        <f>('[1]资源-铁'!X19-'[1]资源-铁'!X18)*'[1]功能-付费相关'!AB19/节奏总纲!AA17</f>
        <v>0</v>
      </c>
      <c r="AG17" s="11">
        <f>('[1]资源-银币'!Y19-'[1]资源-银币'!Y18)*'[1]功能-付费相关'!AQ19/节奏总纲!W17</f>
        <v>4191.2328484920272</v>
      </c>
      <c r="AH17" s="11">
        <f>('[1]资源-银币'!Z19-'[1]资源-银币'!Z18)*'[1]功能-付费相关'!AR19/节奏总纲!X17</f>
        <v>5190.8518903615422</v>
      </c>
      <c r="AI17" s="11">
        <f>('[1]资源-银币'!AA19-'[1]资源-银币'!AA18)*'[1]功能-付费相关'!AS19/节奏总纲!Y17</f>
        <v>6762.4314656414472</v>
      </c>
      <c r="AJ17" s="11">
        <f>('[1]资源-银币'!AB19-'[1]资源-银币'!AB18)*'[1]功能-付费相关'!AT19/节奏总纲!Z17</f>
        <v>10459.371230241579</v>
      </c>
      <c r="AK17" s="11">
        <f>('[1]资源-银币'!AC19-'[1]资源-银币'!AC18)*'[1]功能-付费相关'!AU19/节奏总纲!AA17</f>
        <v>23350.589860429711</v>
      </c>
      <c r="AM17" s="11" t="e">
        <f>(#REF!-#REF!)*'[1]功能-付费相关'!CA19/节奏总纲!W17</f>
        <v>#REF!</v>
      </c>
      <c r="AN17" s="11" t="e">
        <f>(#REF!-#REF!)*'[1]功能-付费相关'!CB19/节奏总纲!X17</f>
        <v>#REF!</v>
      </c>
      <c r="AO17" s="11" t="e">
        <f>(#REF!-#REF!)*'[1]功能-付费相关'!CC19/节奏总纲!Y17</f>
        <v>#REF!</v>
      </c>
      <c r="AP17" s="11" t="e">
        <f>(#REF!-#REF!)*'[1]功能-付费相关'!CD19/节奏总纲!Z17</f>
        <v>#REF!</v>
      </c>
      <c r="AQ17" s="11" t="e">
        <f>(#REF!-#REF!)*'[1]功能-付费相关'!CE19/节奏总纲!AA17</f>
        <v>#REF!</v>
      </c>
      <c r="AR17" s="21"/>
      <c r="AS17" s="11">
        <f>(信息索引!U19-信息索引!U18)*'[1]功能-付费相关'!BI19/节奏总纲!W17</f>
        <v>3771.9983769569035</v>
      </c>
      <c r="AT17" s="11">
        <f>(信息索引!V19-信息索引!V18)*'[1]功能-付费相关'!BJ19/节奏总纲!X17</f>
        <v>4582.1851436699362</v>
      </c>
      <c r="AU17" s="11">
        <f>(信息索引!W19-信息索引!W18)*'[1]功能-付费相关'!BK19/节奏总纲!Y17</f>
        <v>5792.2273448456308</v>
      </c>
      <c r="AV17" s="11">
        <f>(信息索引!X19-信息索引!X18)*'[1]功能-付费相关'!BL19/节奏总纲!Z17</f>
        <v>8619.7600565176854</v>
      </c>
      <c r="AW17" s="11">
        <f>(信息索引!Y19-信息索引!Y18)*'[1]功能-付费相关'!BM19/节奏总纲!AA17</f>
        <v>19630.63427039807</v>
      </c>
      <c r="AY17" s="11">
        <f>('[1]资源-武将经验'!T19*节奏总纲!BJ17-'[1]资源-武将经验'!T18*节奏总纲!BJ16)*'[1]功能-付费相关'!AZ19/节奏总纲!W17</f>
        <v>7085.6131210873873</v>
      </c>
      <c r="AZ17" s="11">
        <f>('[1]资源-武将经验'!U19*节奏总纲!BK17-'[1]资源-武将经验'!U18*节奏总纲!BK16)*'[1]功能-付费相关'!BA19/节奏总纲!X17</f>
        <v>8563.5748387797048</v>
      </c>
      <c r="BA17" s="11">
        <f>('[1]资源-武将经验'!V19*节奏总纲!BL17-'[1]资源-武将经验'!V18*节奏总纲!BL16)*'[1]功能-付费相关'!BB19/节奏总纲!Y17</f>
        <v>11018.489636082526</v>
      </c>
      <c r="BB17" s="11">
        <f>('[1]资源-武将经验'!W19*节奏总纲!BM17-'[1]资源-武将经验'!W18*节奏总纲!BM16)*'[1]功能-付费相关'!BC19/节奏总纲!Z17</f>
        <v>28464.654975471509</v>
      </c>
      <c r="BC17" s="11">
        <f>('[1]资源-武将经验'!X19*节奏总纲!BN17-'[1]资源-武将经验'!X18*节奏总纲!BN16)*'[1]功能-付费相关'!BD19/节奏总纲!AA17</f>
        <v>66149.375650643604</v>
      </c>
      <c r="BD17" s="29"/>
      <c r="BE17" s="33" t="e">
        <f t="shared" si="1"/>
        <v>#REF!</v>
      </c>
      <c r="BF17" s="33" t="e">
        <f t="shared" si="2"/>
        <v>#REF!</v>
      </c>
      <c r="BG17" s="33" t="e">
        <f t="shared" si="3"/>
        <v>#REF!</v>
      </c>
      <c r="BH17" s="33" t="e">
        <f t="shared" si="4"/>
        <v>#REF!</v>
      </c>
      <c r="BI17" s="33" t="e">
        <f t="shared" si="5"/>
        <v>#REF!</v>
      </c>
      <c r="BJ17" s="29"/>
      <c r="BK17" s="29"/>
      <c r="BL17" s="29"/>
      <c r="BM17" s="29"/>
      <c r="BN17" s="29"/>
    </row>
    <row r="18" spans="2:66" x14ac:dyDescent="0.15">
      <c r="B18" s="5">
        <v>15</v>
      </c>
      <c r="C18" s="5">
        <f>'[1]资源-玩家城池建筑时间'!AJ20*'[1]功能-付费相关'!AH20/节奏总纲!W18</f>
        <v>7245.3331638990085</v>
      </c>
      <c r="D18" s="5">
        <f>'[1]资源-玩家城池建筑时间'!AK20*'[1]功能-付费相关'!AI20/节奏总纲!X18</f>
        <v>9087.2922202662885</v>
      </c>
      <c r="E18" s="5">
        <f>'[1]资源-玩家城池建筑时间'!AL20*'[1]功能-付费相关'!AJ20/节奏总纲!Y18</f>
        <v>12415.034177675034</v>
      </c>
      <c r="F18" s="5">
        <f>'[1]资源-玩家城池建筑时间'!AM20*'[1]功能-付费相关'!AK20/节奏总纲!Z18</f>
        <v>22115.522168403455</v>
      </c>
      <c r="G18" s="5">
        <f>'[1]资源-玩家城池建筑时间'!AN20*'[1]功能-付费相关'!AL20/节奏总纲!AA18</f>
        <v>45647.835778819848</v>
      </c>
      <c r="H18" s="3"/>
      <c r="I18" s="28">
        <f>'[1]资源-士兵训练时间'!AB20*'[1]功能-付费相关'!AH20/节奏总纲!W18</f>
        <v>1950.4197060355468</v>
      </c>
      <c r="J18" s="28">
        <f>'[1]资源-士兵训练时间'!AC20*'[1]功能-付费相关'!AI20/节奏总纲!X18</f>
        <v>2847.7910730441954</v>
      </c>
      <c r="K18" s="28">
        <f>'[1]资源-士兵训练时间'!AD20*'[1]功能-付费相关'!AJ20/节奏总纲!Y18</f>
        <v>4962.730159250802</v>
      </c>
      <c r="L18" s="28">
        <f>'[1]资源-士兵训练时间'!AE20*'[1]功能-付费相关'!AK20/节奏总纲!Z18</f>
        <v>12182.979669170056</v>
      </c>
      <c r="M18" s="28">
        <f>'[1]资源-士兵训练时间'!AF20*'[1]功能-付费相关'!AL20/节奏总纲!AA18</f>
        <v>28789.646123786937</v>
      </c>
      <c r="N18" s="34"/>
      <c r="O18" s="34">
        <f>'[1]资源-士兵招募时间'!AC20*'[1]功能-付费相关'!AH20/节奏总纲!W18</f>
        <v>2620.6702826931273</v>
      </c>
      <c r="P18" s="34">
        <f>'[1]资源-士兵招募时间'!AD20*'[1]功能-付费相关'!AI20/节奏总纲!X18</f>
        <v>3676.7833549422849</v>
      </c>
      <c r="Q18" s="34">
        <f>'[1]资源-士兵招募时间'!AE20*'[1]功能-付费相关'!AJ20/节奏总纲!Y18</f>
        <v>5146.5918372752794</v>
      </c>
      <c r="R18" s="34">
        <f>'[1]资源-士兵招募时间'!AF20*'[1]功能-付费相关'!AK20/节奏总纲!Z18</f>
        <v>3792.3621303244731</v>
      </c>
      <c r="S18" s="34">
        <f>'[1]资源-士兵招募时间'!AG20*'[1]功能-付费相关'!AL20/节奏总纲!AA18</f>
        <v>4006.8599113262399</v>
      </c>
      <c r="T18" s="34"/>
      <c r="U18" s="5">
        <f>('[1]资源-木石铜粮'!U20-'[1]资源-木石铜粮'!U19)*'[1]功能-付费相关'!S20/节奏总纲!W18</f>
        <v>4134.3616724144294</v>
      </c>
      <c r="V18" s="5">
        <f>('[1]资源-木石铜粮'!V20-'[1]资源-木石铜粮'!V19)*'[1]功能-付费相关'!T20/节奏总纲!X18</f>
        <v>5223.2025203760395</v>
      </c>
      <c r="W18" s="5">
        <f>('[1]资源-木石铜粮'!W20-'[1]资源-木石铜粮'!W19)*'[1]功能-付费相关'!U20/节奏总纲!Y18</f>
        <v>6858.3902878974695</v>
      </c>
      <c r="X18" s="5">
        <f>('[1]资源-木石铜粮'!X20-'[1]资源-木石铜粮'!X19)*'[1]功能-付费相关'!V20/节奏总纲!Z18</f>
        <v>6655.3051732051917</v>
      </c>
      <c r="Y18" s="5">
        <f>('[1]资源-木石铜粮'!Y20-'[1]资源-木石铜粮'!Y19)*'[1]功能-付费相关'!W20/节奏总纲!AA18</f>
        <v>9729.1931571777113</v>
      </c>
      <c r="Z18" s="3"/>
      <c r="AA18" s="11">
        <f>('[1]资源-铁'!T20-'[1]资源-铁'!T19)*'[1]功能-付费相关'!X20/节奏总纲!W18</f>
        <v>0</v>
      </c>
      <c r="AB18" s="11">
        <f>('[1]资源-铁'!U20-'[1]资源-铁'!U19)*'[1]功能-付费相关'!Y20/节奏总纲!X18</f>
        <v>0</v>
      </c>
      <c r="AC18" s="11">
        <f>('[1]资源-铁'!V20-'[1]资源-铁'!V19)*'[1]功能-付费相关'!Z20/节奏总纲!Y18</f>
        <v>0</v>
      </c>
      <c r="AD18" s="11">
        <f>('[1]资源-铁'!W20-'[1]资源-铁'!W19)*'[1]功能-付费相关'!AA20/节奏总纲!Z18</f>
        <v>0</v>
      </c>
      <c r="AE18" s="11">
        <f>('[1]资源-铁'!X20-'[1]资源-铁'!X19)*'[1]功能-付费相关'!AB20/节奏总纲!AA18</f>
        <v>0</v>
      </c>
      <c r="AG18" s="11">
        <f>('[1]资源-银币'!Y20-'[1]资源-银币'!Y19)*'[1]功能-付费相关'!AQ20/节奏总纲!W18</f>
        <v>3713.743948327241</v>
      </c>
      <c r="AH18" s="11">
        <f>('[1]资源-银币'!Z20-'[1]资源-银币'!Z19)*'[1]功能-付费相关'!AR20/节奏总纲!X18</f>
        <v>4428.6304028776931</v>
      </c>
      <c r="AI18" s="11">
        <f>('[1]资源-银币'!AA20-'[1]资源-银币'!AA19)*'[1]功能-付费相关'!AS20/节奏总纲!Y18</f>
        <v>6254.5081031697382</v>
      </c>
      <c r="AJ18" s="11">
        <f>('[1]资源-银币'!AB20-'[1]资源-银币'!AB19)*'[1]功能-付费相关'!AT20/节奏总纲!Z18</f>
        <v>10067.479372512784</v>
      </c>
      <c r="AK18" s="11">
        <f>('[1]资源-银币'!AC20-'[1]资源-银币'!AC19)*'[1]功能-付费相关'!AU20/节奏总纲!AA18</f>
        <v>21771.610428630698</v>
      </c>
      <c r="AM18" s="11" t="e">
        <f>(#REF!-#REF!)*'[1]功能-付费相关'!CA20/节奏总纲!W18</f>
        <v>#REF!</v>
      </c>
      <c r="AN18" s="11" t="e">
        <f>(#REF!-#REF!)*'[1]功能-付费相关'!CB20/节奏总纲!X18</f>
        <v>#REF!</v>
      </c>
      <c r="AO18" s="11" t="e">
        <f>(#REF!-#REF!)*'[1]功能-付费相关'!CC20/节奏总纲!Y18</f>
        <v>#REF!</v>
      </c>
      <c r="AP18" s="11" t="e">
        <f>(#REF!-#REF!)*'[1]功能-付费相关'!CD20/节奏总纲!Z18</f>
        <v>#REF!</v>
      </c>
      <c r="AQ18" s="11" t="e">
        <f>(#REF!-#REF!)*'[1]功能-付费相关'!CE20/节奏总纲!AA18</f>
        <v>#REF!</v>
      </c>
      <c r="AR18" s="21"/>
      <c r="AS18" s="11">
        <f>(信息索引!U20-信息索引!U19)*'[1]功能-付费相关'!BI20/节奏总纲!W18</f>
        <v>3503.7998209322573</v>
      </c>
      <c r="AT18" s="11">
        <f>(信息索引!V20-信息索引!V19)*'[1]功能-付费相关'!BJ20/节奏总纲!X18</f>
        <v>4068.608970798879</v>
      </c>
      <c r="AU18" s="11">
        <f>(信息索引!W20-信息索引!W19)*'[1]功能-付费相关'!BK20/节奏总纲!Y18</f>
        <v>5160.7827067780954</v>
      </c>
      <c r="AV18" s="11">
        <f>(信息索引!X20-信息索引!X19)*'[1]功能-付费相关'!BL20/节奏总纲!Z18</f>
        <v>7401.2665322978601</v>
      </c>
      <c r="AW18" s="11">
        <f>(信息索引!Y20-信息索引!Y19)*'[1]功能-付费相关'!BM20/节奏总纲!AA18</f>
        <v>16304.128010043118</v>
      </c>
      <c r="AY18" s="11">
        <f>('[1]资源-武将经验'!T20*节奏总纲!BJ18-'[1]资源-武将经验'!T19*节奏总纲!BJ17)*'[1]功能-付费相关'!AZ20/节奏总纲!W18</f>
        <v>6285.372523191978</v>
      </c>
      <c r="AZ18" s="11">
        <f>('[1]资源-武将经验'!U20*节奏总纲!BK18-'[1]资源-武将经验'!U19*节奏总纲!BK17)*'[1]功能-付费相关'!BA20/节奏总纲!X18</f>
        <v>7261.4181498737935</v>
      </c>
      <c r="BA18" s="11">
        <f>('[1]资源-武将经验'!V20*节奏总纲!BL18-'[1]资源-武将经验'!V19*节奏总纲!BL17)*'[1]功能-付费相关'!BB20/节奏总纲!Y18</f>
        <v>9376.6358784589429</v>
      </c>
      <c r="BB18" s="11">
        <f>('[1]资源-武将经验'!W20*节奏总纲!BM18-'[1]资源-武将经验'!W19*节奏总纲!BM17)*'[1]功能-付费相关'!BC20/节奏总纲!Z18</f>
        <v>23343.186740843605</v>
      </c>
      <c r="BC18" s="11">
        <f>('[1]资源-武将经验'!X20*节奏总纲!BN18-'[1]资源-武将经验'!X19*节奏总纲!BN17)*'[1]功能-付费相关'!BD20/节奏总纲!AA18</f>
        <v>52476.587807395343</v>
      </c>
      <c r="BD18" s="29"/>
      <c r="BE18" s="33" t="e">
        <f t="shared" si="1"/>
        <v>#REF!</v>
      </c>
      <c r="BF18" s="33" t="e">
        <f t="shared" si="2"/>
        <v>#REF!</v>
      </c>
      <c r="BG18" s="33" t="e">
        <f t="shared" si="3"/>
        <v>#REF!</v>
      </c>
      <c r="BH18" s="33" t="e">
        <f t="shared" si="4"/>
        <v>#REF!</v>
      </c>
      <c r="BI18" s="33" t="e">
        <f t="shared" si="5"/>
        <v>#REF!</v>
      </c>
      <c r="BJ18" s="29"/>
      <c r="BK18" s="29"/>
      <c r="BL18" s="29"/>
      <c r="BM18" s="29"/>
      <c r="BN18" s="29"/>
    </row>
    <row r="19" spans="2:66" x14ac:dyDescent="0.15">
      <c r="B19" s="5">
        <v>16</v>
      </c>
      <c r="C19" s="5">
        <f>'[1]资源-玩家城池建筑时间'!AJ21*'[1]功能-付费相关'!AH21/节奏总纲!W19</f>
        <v>7054.9777177660171</v>
      </c>
      <c r="D19" s="5">
        <f>'[1]资源-玩家城池建筑时间'!AK21*'[1]功能-付费相关'!AI21/节奏总纲!X19</f>
        <v>9677.9092862123453</v>
      </c>
      <c r="E19" s="5">
        <f>'[1]资源-玩家城池建筑时间'!AL21*'[1]功能-付费相关'!AJ21/节奏总纲!Y19</f>
        <v>14766.24611590385</v>
      </c>
      <c r="F19" s="5">
        <f>'[1]资源-玩家城池建筑时间'!AM21*'[1]功能-付费相关'!AK21/节奏总纲!Z19</f>
        <v>21758.480418857867</v>
      </c>
      <c r="G19" s="5">
        <f>'[1]资源-玩家城池建筑时间'!AN21*'[1]功能-付费相关'!AL21/节奏总纲!AA19</f>
        <v>40157.064307316541</v>
      </c>
      <c r="H19" s="3"/>
      <c r="I19" s="28">
        <f>'[1]资源-士兵训练时间'!AB21*'[1]功能-付费相关'!AH21/节奏总纲!W19</f>
        <v>2040.8316017095763</v>
      </c>
      <c r="J19" s="28">
        <f>'[1]资源-士兵训练时间'!AC21*'[1]功能-付费相关'!AI21/节奏总纲!X19</f>
        <v>3440.1810686827539</v>
      </c>
      <c r="K19" s="28">
        <f>'[1]资源-士兵训练时间'!AD21*'[1]功能-付费相关'!AJ21/节奏总纲!Y19</f>
        <v>7450.3422648723081</v>
      </c>
      <c r="L19" s="28">
        <f>'[1]资源-士兵训练时间'!AE21*'[1]功能-付费相关'!AK21/节奏总纲!Z19</f>
        <v>13176.506832601734</v>
      </c>
      <c r="M19" s="28">
        <f>'[1]资源-士兵训练时间'!AF21*'[1]功能-付费相关'!AL21/节奏总纲!AA19</f>
        <v>35050.201080477796</v>
      </c>
      <c r="N19" s="34"/>
      <c r="O19" s="34">
        <f>'[1]资源-士兵招募时间'!AC21*'[1]功能-付费相关'!AH21/节奏总纲!W19</f>
        <v>2575.1472662467054</v>
      </c>
      <c r="P19" s="34">
        <f>'[1]资源-士兵招募时间'!AD21*'[1]功能-付费相关'!AI21/节奏总纲!X19</f>
        <v>3538.2479462134261</v>
      </c>
      <c r="Q19" s="34">
        <f>'[1]资源-士兵招募时间'!AE21*'[1]功能-付费相关'!AJ21/节奏总纲!Y19</f>
        <v>4878.7998531535386</v>
      </c>
      <c r="R19" s="34">
        <f>'[1]资源-士兵招募时间'!AF21*'[1]功能-付费相关'!AK21/节奏总纲!Z19</f>
        <v>4222.0019699578024</v>
      </c>
      <c r="S19" s="34">
        <f>'[1]资源-士兵招募时间'!AG21*'[1]功能-付费相关'!AL21/节奏总纲!AA19</f>
        <v>3825.8516826184009</v>
      </c>
      <c r="T19" s="34"/>
      <c r="U19" s="5">
        <f>('[1]资源-木石铜粮'!U21-'[1]资源-木石铜粮'!U20)*'[1]功能-付费相关'!S21/节奏总纲!W19</f>
        <v>6003.0149636257474</v>
      </c>
      <c r="V19" s="5">
        <f>('[1]资源-木石铜粮'!V21-'[1]资源-木石铜粮'!V20)*'[1]功能-付费相关'!T21/节奏总纲!X19</f>
        <v>7253.2557219534237</v>
      </c>
      <c r="W19" s="5">
        <f>('[1]资源-木石铜粮'!W21-'[1]资源-木石铜粮'!W20)*'[1]功能-付费相关'!U21/节奏总纲!Y19</f>
        <v>9198.853752056255</v>
      </c>
      <c r="X19" s="5">
        <f>('[1]资源-木石铜粮'!X21-'[1]资源-木石铜粮'!X20)*'[1]功能-付费相关'!V21/节奏总纲!Z19</f>
        <v>10239.249590901762</v>
      </c>
      <c r="Y19" s="5">
        <f>('[1]资源-木石铜粮'!Y21-'[1]资源-木石铜粮'!Y20)*'[1]功能-付费相关'!W21/节奏总纲!AA19</f>
        <v>15959.38948170129</v>
      </c>
      <c r="Z19" s="3"/>
      <c r="AA19" s="11">
        <f>('[1]资源-铁'!T21-'[1]资源-铁'!T20)*'[1]功能-付费相关'!X21/节奏总纲!W19</f>
        <v>0</v>
      </c>
      <c r="AB19" s="11">
        <f>('[1]资源-铁'!U21-'[1]资源-铁'!U20)*'[1]功能-付费相关'!Y21/节奏总纲!X19</f>
        <v>0</v>
      </c>
      <c r="AC19" s="11">
        <f>('[1]资源-铁'!V21-'[1]资源-铁'!V20)*'[1]功能-付费相关'!Z21/节奏总纲!Y19</f>
        <v>0</v>
      </c>
      <c r="AD19" s="11">
        <f>('[1]资源-铁'!W21-'[1]资源-铁'!W20)*'[1]功能-付费相关'!AA21/节奏总纲!Z19</f>
        <v>0</v>
      </c>
      <c r="AE19" s="11">
        <f>('[1]资源-铁'!X21-'[1]资源-铁'!X20)*'[1]功能-付费相关'!AB21/节奏总纲!AA19</f>
        <v>0</v>
      </c>
      <c r="AG19" s="11">
        <f>('[1]资源-银币'!Y21-'[1]资源-银币'!Y20)*'[1]功能-付费相关'!AQ21/节奏总纲!W19</f>
        <v>3358.4917130459976</v>
      </c>
      <c r="AH19" s="11">
        <f>('[1]资源-银币'!Z21-'[1]资源-银币'!Z20)*'[1]功能-付费相关'!AR21/节奏总纲!X19</f>
        <v>4233.943702152601</v>
      </c>
      <c r="AI19" s="11">
        <f>('[1]资源-银币'!AA21-'[1]资源-银币'!AA20)*'[1]功能-付费相关'!AS21/节奏总纲!Y19</f>
        <v>6172.1458145022079</v>
      </c>
      <c r="AJ19" s="11">
        <f>('[1]资源-银币'!AB21-'[1]资源-银币'!AB20)*'[1]功能-付费相关'!AT21/节奏总纲!Z19</f>
        <v>9459.058777691027</v>
      </c>
      <c r="AK19" s="11">
        <f>('[1]资源-银币'!AC21-'[1]资源-银币'!AC20)*'[1]功能-付费相关'!AU21/节奏总纲!AA19</f>
        <v>18525.17358905698</v>
      </c>
      <c r="AM19" s="11" t="e">
        <f>(#REF!-#REF!)*'[1]功能-付费相关'!CA21/节奏总纲!W19</f>
        <v>#REF!</v>
      </c>
      <c r="AN19" s="11" t="e">
        <f>(#REF!-#REF!)*'[1]功能-付费相关'!CB21/节奏总纲!X19</f>
        <v>#REF!</v>
      </c>
      <c r="AO19" s="11" t="e">
        <f>(#REF!-#REF!)*'[1]功能-付费相关'!CC21/节奏总纲!Y19</f>
        <v>#REF!</v>
      </c>
      <c r="AP19" s="11" t="e">
        <f>(#REF!-#REF!)*'[1]功能-付费相关'!CD21/节奏总纲!Z19</f>
        <v>#REF!</v>
      </c>
      <c r="AQ19" s="11" t="e">
        <f>(#REF!-#REF!)*'[1]功能-付费相关'!CE21/节奏总纲!AA19</f>
        <v>#REF!</v>
      </c>
      <c r="AR19" s="21"/>
      <c r="AS19" s="11">
        <f>(信息索引!U21-信息索引!U20)*'[1]功能-付费相关'!BI21/节奏总纲!W19</f>
        <v>3248.5464203140714</v>
      </c>
      <c r="AT19" s="11">
        <f>(信息索引!V21-信息索引!V20)*'[1]功能-付费相关'!BJ21/节奏总纲!X19</f>
        <v>3776.0328473703653</v>
      </c>
      <c r="AU19" s="11">
        <f>(信息索引!W21-信息索引!W20)*'[1]功能-付费相关'!BK21/节奏总纲!Y19</f>
        <v>4760.6418748757205</v>
      </c>
      <c r="AV19" s="11">
        <f>(信息索引!X21-信息索引!X20)*'[1]功能-付费相关'!BL21/节奏总纲!Z19</f>
        <v>6873.0403906771935</v>
      </c>
      <c r="AW19" s="11">
        <f>(信息索引!Y21-信息索引!Y20)*'[1]功能-付费相关'!BM21/节奏总纲!AA19</f>
        <v>15286.582198185266</v>
      </c>
      <c r="AY19" s="11">
        <f>('[1]资源-武将经验'!T21*节奏总纲!BJ19-'[1]资源-武将经验'!T20*节奏总纲!BJ18)*'[1]功能-付费相关'!AZ21/节奏总纲!W19</f>
        <v>5564.8159902979369</v>
      </c>
      <c r="AZ19" s="11">
        <f>('[1]资源-武将经验'!U21*节奏总纲!BK19-'[1]资源-武将经验'!U20*节奏总纲!BK18)*'[1]功能-付费相关'!BA21/节奏总纲!X19</f>
        <v>6435.582720518395</v>
      </c>
      <c r="BA19" s="11">
        <f>('[1]资源-武将经验'!V21*节奏总纲!BL19-'[1]资源-武将经验'!V20*节奏总纲!BL18)*'[1]功能-付费相关'!BB21/节奏总纲!Y19</f>
        <v>8260.9573350901119</v>
      </c>
      <c r="BB19" s="11">
        <f>('[1]资源-武将经验'!W21*节奏总纲!BM19-'[1]资源-武将经验'!W20*节奏总纲!BM18)*'[1]功能-付费相关'!BC21/节奏总纲!Z19</f>
        <v>20702.639010488081</v>
      </c>
      <c r="BC19" s="11">
        <f>('[1]资源-武将经验'!X21*节奏总纲!BN19-'[1]资源-武将经验'!X20*节奏总纲!BN18)*'[1]功能-付费相关'!BD21/节奏总纲!AA19</f>
        <v>46992.825956176363</v>
      </c>
      <c r="BD19" s="29"/>
      <c r="BE19" s="33" t="e">
        <f t="shared" si="1"/>
        <v>#REF!</v>
      </c>
      <c r="BF19" s="33" t="e">
        <f t="shared" si="2"/>
        <v>#REF!</v>
      </c>
      <c r="BG19" s="33" t="e">
        <f t="shared" si="3"/>
        <v>#REF!</v>
      </c>
      <c r="BH19" s="33" t="e">
        <f t="shared" si="4"/>
        <v>#REF!</v>
      </c>
      <c r="BI19" s="33" t="e">
        <f t="shared" si="5"/>
        <v>#REF!</v>
      </c>
      <c r="BJ19" s="29"/>
      <c r="BK19" s="29"/>
      <c r="BL19" s="29"/>
      <c r="BM19" s="29"/>
      <c r="BN19" s="29"/>
    </row>
    <row r="20" spans="2:66" x14ac:dyDescent="0.15">
      <c r="B20" s="5">
        <v>17</v>
      </c>
      <c r="C20" s="5">
        <f>'[1]资源-玩家城池建筑时间'!AJ22*'[1]功能-付费相关'!AH22/节奏总纲!W20</f>
        <v>8045.9580268406817</v>
      </c>
      <c r="D20" s="5">
        <f>'[1]资源-玩家城池建筑时间'!AK22*'[1]功能-付费相关'!AI22/节奏总纲!X20</f>
        <v>10747.378192842671</v>
      </c>
      <c r="E20" s="5">
        <f>'[1]资源-玩家城池建筑时间'!AL22*'[1]功能-付费相关'!AJ22/节奏总纲!Y20</f>
        <v>13947.344539955591</v>
      </c>
      <c r="F20" s="5">
        <f>'[1]资源-玩家城池建筑时间'!AM22*'[1]功能-付费相关'!AK22/节奏总纲!Z20</f>
        <v>19472.87423295591</v>
      </c>
      <c r="G20" s="5">
        <f>'[1]资源-玩家城池建筑时间'!AN22*'[1]功能-付费相关'!AL22/节奏总纲!AA20</f>
        <v>39118.088787923232</v>
      </c>
      <c r="H20" s="3"/>
      <c r="I20" s="28">
        <f>'[1]资源-士兵训练时间'!AB22*'[1]功能-付费相关'!AH22/节奏总纲!W20</f>
        <v>2852.3794774458393</v>
      </c>
      <c r="J20" s="28">
        <f>'[1]资源-士兵训练时间'!AC22*'[1]功能-付费相关'!AI22/节奏总纲!X20</f>
        <v>4405.8734937463641</v>
      </c>
      <c r="K20" s="28">
        <f>'[1]资源-士兵训练时间'!AD22*'[1]功能-付费相关'!AJ22/节奏总纲!Y20</f>
        <v>7755.5558904572881</v>
      </c>
      <c r="L20" s="28">
        <f>'[1]资源-士兵训练时间'!AE22*'[1]功能-付费相关'!AK22/节奏总纲!Z20</f>
        <v>15325.366664997076</v>
      </c>
      <c r="M20" s="28">
        <f>'[1]资源-士兵训练时间'!AF22*'[1]功能-付费相关'!AL22/节奏总纲!AA20</f>
        <v>33207.99211962938</v>
      </c>
      <c r="N20" s="34"/>
      <c r="O20" s="34">
        <f>'[1]资源-士兵招募时间'!AC22*'[1]功能-付费相关'!AH22/节奏总纲!W20</f>
        <v>2669.5018387543896</v>
      </c>
      <c r="P20" s="34">
        <f>'[1]资源-士兵招募时间'!AD22*'[1]功能-付费相关'!AI22/节奏总纲!X20</f>
        <v>3458.8401973212335</v>
      </c>
      <c r="Q20" s="34">
        <f>'[1]资源-士兵招募时间'!AE22*'[1]功能-付费相关'!AJ22/节奏总纲!Y20</f>
        <v>4830.9642541852427</v>
      </c>
      <c r="R20" s="34">
        <f>'[1]资源-士兵招募时间'!AF22*'[1]功能-付费相关'!AK22/节奏总纲!Z20</f>
        <v>5360.6501332764865</v>
      </c>
      <c r="S20" s="34">
        <f>'[1]资源-士兵招募时间'!AG22*'[1]功能-付费相关'!AL22/节奏总纲!AA20</f>
        <v>3953.4022658396539</v>
      </c>
      <c r="T20" s="34"/>
      <c r="U20" s="5">
        <f>('[1]资源-木石铜粮'!U22-'[1]资源-木石铜粮'!U21)*'[1]功能-付费相关'!S22/节奏总纲!W20</f>
        <v>4059.3034693514383</v>
      </c>
      <c r="V20" s="5">
        <f>('[1]资源-木石铜粮'!V22-'[1]资源-木石铜粮'!V21)*'[1]功能-付费相关'!T22/节奏总纲!X20</f>
        <v>5071.1700096851973</v>
      </c>
      <c r="W20" s="5">
        <f>('[1]资源-木石铜粮'!W22-'[1]资源-木石铜粮'!W21)*'[1]功能-付费相关'!U22/节奏总纲!Y20</f>
        <v>6768.4403891003813</v>
      </c>
      <c r="X20" s="5">
        <f>('[1]资源-木石铜粮'!X22-'[1]资源-木石铜粮'!X21)*'[1]功能-付费相关'!V22/节奏总纲!Z20</f>
        <v>8337.1006105573761</v>
      </c>
      <c r="Y20" s="5">
        <f>('[1]资源-木石铜粮'!Y22-'[1]资源-木石铜粮'!Y21)*'[1]功能-付费相关'!W22/节奏总纲!AA20</f>
        <v>11798.744500703377</v>
      </c>
      <c r="Z20" s="3"/>
      <c r="AA20" s="11">
        <f>('[1]资源-铁'!T22-'[1]资源-铁'!T21)*'[1]功能-付费相关'!X22/节奏总纲!W20</f>
        <v>0</v>
      </c>
      <c r="AB20" s="11">
        <f>('[1]资源-铁'!U22-'[1]资源-铁'!U21)*'[1]功能-付费相关'!Y22/节奏总纲!X20</f>
        <v>0</v>
      </c>
      <c r="AC20" s="11">
        <f>('[1]资源-铁'!V22-'[1]资源-铁'!V21)*'[1]功能-付费相关'!Z22/节奏总纲!Y20</f>
        <v>0</v>
      </c>
      <c r="AD20" s="11">
        <f>('[1]资源-铁'!W22-'[1]资源-铁'!W21)*'[1]功能-付费相关'!AA22/节奏总纲!Z20</f>
        <v>0</v>
      </c>
      <c r="AE20" s="11">
        <f>('[1]资源-铁'!X22-'[1]资源-铁'!X21)*'[1]功能-付费相关'!AB22/节奏总纲!AA20</f>
        <v>0</v>
      </c>
      <c r="AG20" s="11">
        <f>('[1]资源-银币'!Y22-'[1]资源-银币'!Y21)*'[1]功能-付费相关'!AQ22/节奏总纲!W20</f>
        <v>3221.4437052623384</v>
      </c>
      <c r="AH20" s="11">
        <f>('[1]资源-银币'!Z22-'[1]资源-银币'!Z21)*'[1]功能-付费相关'!AR22/节奏总纲!X20</f>
        <v>4185.4002189110506</v>
      </c>
      <c r="AI20" s="11">
        <f>('[1]资源-银币'!AA22-'[1]资源-银币'!AA21)*'[1]功能-付费相关'!AS22/节奏总纲!Y20</f>
        <v>5880.1150607308673</v>
      </c>
      <c r="AJ20" s="11">
        <f>('[1]资源-银币'!AB22-'[1]资源-银币'!AB21)*'[1]功能-付费相关'!AT22/节奏总纲!Z20</f>
        <v>8596.2907485050073</v>
      </c>
      <c r="AK20" s="11">
        <f>('[1]资源-银币'!AC22-'[1]资源-银币'!AC21)*'[1]功能-付费相关'!AU22/节奏总纲!AA20</f>
        <v>18680.211926490098</v>
      </c>
      <c r="AM20" s="11" t="e">
        <f>(#REF!-#REF!)*'[1]功能-付费相关'!CA22/节奏总纲!W20</f>
        <v>#REF!</v>
      </c>
      <c r="AN20" s="11" t="e">
        <f>(#REF!-#REF!)*'[1]功能-付费相关'!CB22/节奏总纲!X20</f>
        <v>#REF!</v>
      </c>
      <c r="AO20" s="11" t="e">
        <f>(#REF!-#REF!)*'[1]功能-付费相关'!CC22/节奏总纲!Y20</f>
        <v>#REF!</v>
      </c>
      <c r="AP20" s="11" t="e">
        <f>(#REF!-#REF!)*'[1]功能-付费相关'!CD22/节奏总纲!Z20</f>
        <v>#REF!</v>
      </c>
      <c r="AQ20" s="11" t="e">
        <f>(#REF!-#REF!)*'[1]功能-付费相关'!CE22/节奏总纲!AA20</f>
        <v>#REF!</v>
      </c>
      <c r="AR20" s="21"/>
      <c r="AS20" s="11">
        <f>(信息索引!U22-信息索引!U21)*'[1]功能-付费相关'!BI22/节奏总纲!W20</f>
        <v>3006.6822313500238</v>
      </c>
      <c r="AT20" s="11">
        <f>(信息索引!V22-信息索引!V21)*'[1]功能-付费相关'!BJ22/节奏总纲!X20</f>
        <v>3683.9024282846581</v>
      </c>
      <c r="AU20" s="11">
        <f>(信息索引!W22-信息索引!W21)*'[1]功能-付费相关'!BK22/节奏总纲!Y20</f>
        <v>4808.3562839831438</v>
      </c>
      <c r="AV20" s="11">
        <f>(信息索引!X22-信息索引!X21)*'[1]功能-付费相关'!BL22/节奏总纲!Z20</f>
        <v>7249.7970817499272</v>
      </c>
      <c r="AW20" s="11">
        <f>(信息索引!Y22-信息索引!Y21)*'[1]功能-付费相关'!BM22/节奏总纲!AA20</f>
        <v>17522.86114569163</v>
      </c>
      <c r="AY20" s="11">
        <f>('[1]资源-武将经验'!T22*节奏总纲!BJ20-'[1]资源-武将经验'!T21*节奏总纲!BJ19)*'[1]功能-付费相关'!AZ22/节奏总纲!W20</f>
        <v>4918.1905893588837</v>
      </c>
      <c r="AZ20" s="11">
        <f>('[1]资源-武将经验'!U22*节奏总纲!BK20-'[1]资源-武将经验'!U21*节奏总纲!BK19)*'[1]功能-付费相关'!BA22/节奏总纲!X20</f>
        <v>5995.4586997154511</v>
      </c>
      <c r="BA20" s="11">
        <f>('[1]资源-武将经验'!V22*节奏总纲!BL20-'[1]资源-武将经验'!V21*节奏总纲!BL19)*'[1]功能-付费相关'!BB22/节奏总纲!Y20</f>
        <v>7968.4872055350861</v>
      </c>
      <c r="BB20" s="11">
        <f>('[1]资源-武将经验'!W22*节奏总纲!BM20-'[1]资源-武将经验'!W21*节奏总纲!BM19)*'[1]功能-付费相关'!BC22/节奏总纲!Z20</f>
        <v>20854.857355643431</v>
      </c>
      <c r="BC20" s="11">
        <f>('[1]资源-武将经验'!X22*节奏总纲!BN20-'[1]资源-武将经验'!X21*节奏总纲!BN19)*'[1]功能-付费相关'!BD22/节奏总纲!AA20</f>
        <v>51446.842692370556</v>
      </c>
      <c r="BD20" s="29"/>
      <c r="BE20" s="33" t="e">
        <f t="shared" si="1"/>
        <v>#REF!</v>
      </c>
      <c r="BF20" s="33" t="e">
        <f t="shared" si="2"/>
        <v>#REF!</v>
      </c>
      <c r="BG20" s="33" t="e">
        <f t="shared" si="3"/>
        <v>#REF!</v>
      </c>
      <c r="BH20" s="33" t="e">
        <f t="shared" si="4"/>
        <v>#REF!</v>
      </c>
      <c r="BI20" s="33" t="e">
        <f t="shared" si="5"/>
        <v>#REF!</v>
      </c>
      <c r="BJ20" s="29"/>
      <c r="BK20" s="29"/>
      <c r="BL20" s="29"/>
      <c r="BM20" s="29"/>
      <c r="BN20" s="29"/>
    </row>
    <row r="21" spans="2:66" x14ac:dyDescent="0.15">
      <c r="B21" s="5">
        <v>18</v>
      </c>
      <c r="C21" s="5">
        <f>'[1]资源-玩家城池建筑时间'!AJ23*'[1]功能-付费相关'!AH23/节奏总纲!W21</f>
        <v>8343.796131680645</v>
      </c>
      <c r="D21" s="5">
        <f>'[1]资源-玩家城池建筑时间'!AK23*'[1]功能-付费相关'!AI23/节奏总纲!X21</f>
        <v>9937.6764620327067</v>
      </c>
      <c r="E21" s="5">
        <f>'[1]资源-玩家城池建筑时间'!AL23*'[1]功能-付费相关'!AJ23/节奏总纲!Y21</f>
        <v>12598.242549815932</v>
      </c>
      <c r="F21" s="5">
        <f>'[1]资源-玩家城池建筑时间'!AM23*'[1]功能-付费相关'!AK23/节奏总纲!Z21</f>
        <v>19058.652824570541</v>
      </c>
      <c r="G21" s="5">
        <f>'[1]资源-玩家城池建筑时间'!AN23*'[1]功能-付费相关'!AL23/节奏总纲!AA21</f>
        <v>38827.51371837889</v>
      </c>
      <c r="H21" s="3"/>
      <c r="I21" s="28">
        <f>'[1]资源-士兵训练时间'!AB23*'[1]功能-付费相关'!AH23/节奏总纲!W21</f>
        <v>3157.4106486542178</v>
      </c>
      <c r="J21" s="28">
        <f>'[1]资源-士兵训练时间'!AC23*'[1]功能-付费相关'!AI23/节奏总纲!X21</f>
        <v>4824.8461367817426</v>
      </c>
      <c r="K21" s="28">
        <f>'[1]资源-士兵训练时间'!AD23*'[1]功能-付费相关'!AJ23/节奏总纲!Y21</f>
        <v>8813.294002986433</v>
      </c>
      <c r="L21" s="28">
        <f>'[1]资源-士兵训练时间'!AE23*'[1]功能-付费相关'!AK23/节奏总纲!Z21</f>
        <v>14157.855232933101</v>
      </c>
      <c r="M21" s="28">
        <f>'[1]资源-士兵训练时间'!AF23*'[1]功能-付费相关'!AL23/节奏总纲!AA21</f>
        <v>27965.765255869101</v>
      </c>
      <c r="N21" s="34"/>
      <c r="O21" s="34">
        <f>'[1]资源-士兵招募时间'!AC23*'[1]功能-付费相关'!AH23/节奏总纲!W21</f>
        <v>2578.6822764492176</v>
      </c>
      <c r="P21" s="34">
        <f>'[1]资源-士兵招募时间'!AD23*'[1]功能-付费相关'!AI23/节奏总纲!X21</f>
        <v>3530.9739422878192</v>
      </c>
      <c r="Q21" s="34">
        <f>'[1]资源-士兵招募时间'!AE23*'[1]功能-付费相关'!AJ23/节奏总纲!Y21</f>
        <v>4440.7322892436177</v>
      </c>
      <c r="R21" s="34">
        <f>'[1]资源-士兵招募时间'!AF23*'[1]功能-付费相关'!AK23/节奏总纲!Z21</f>
        <v>4847.4956782097006</v>
      </c>
      <c r="S21" s="34">
        <f>'[1]资源-士兵招募时间'!AG23*'[1]功能-付费相关'!AL23/节奏总纲!AA21</f>
        <v>3556.697936807323</v>
      </c>
      <c r="T21" s="34"/>
      <c r="U21" s="5">
        <f>('[1]资源-木石铜粮'!U23-'[1]资源-木石铜粮'!U22)*'[1]功能-付费相关'!S23/节奏总纲!W21</f>
        <v>5807.1862576396334</v>
      </c>
      <c r="V21" s="5">
        <f>('[1]资源-木石铜粮'!V23-'[1]资源-木石铜粮'!V22)*'[1]功能-付费相关'!T23/节奏总纲!X21</f>
        <v>7067.1265707447074</v>
      </c>
      <c r="W21" s="5">
        <f>('[1]资源-木石铜粮'!W23-'[1]资源-木石铜粮'!W22)*'[1]功能-付费相关'!U23/节奏总纲!Y21</f>
        <v>8772.2700061796586</v>
      </c>
      <c r="X21" s="5">
        <f>('[1]资源-木石铜粮'!X23-'[1]资源-木石铜粮'!X22)*'[1]功能-付费相关'!V23/节奏总纲!Z21</f>
        <v>10667.984058697068</v>
      </c>
      <c r="Y21" s="5">
        <f>('[1]资源-木石铜粮'!Y23-'[1]资源-木石铜粮'!Y22)*'[1]功能-付费相关'!W23/节奏总纲!AA21</f>
        <v>15840.439936096318</v>
      </c>
      <c r="Z21" s="3"/>
      <c r="AA21" s="11">
        <f>('[1]资源-铁'!T23-'[1]资源-铁'!T22)*'[1]功能-付费相关'!X23/节奏总纲!W21</f>
        <v>0</v>
      </c>
      <c r="AB21" s="11">
        <f>('[1]资源-铁'!U23-'[1]资源-铁'!U22)*'[1]功能-付费相关'!Y23/节奏总纲!X21</f>
        <v>0</v>
      </c>
      <c r="AC21" s="11">
        <f>('[1]资源-铁'!V23-'[1]资源-铁'!V22)*'[1]功能-付费相关'!Z23/节奏总纲!Y21</f>
        <v>0</v>
      </c>
      <c r="AD21" s="11">
        <f>('[1]资源-铁'!W23-'[1]资源-铁'!W22)*'[1]功能-付费相关'!AA23/节奏总纲!Z21</f>
        <v>0</v>
      </c>
      <c r="AE21" s="11">
        <f>('[1]资源-铁'!X23-'[1]资源-铁'!X22)*'[1]功能-付费相关'!AB23/节奏总纲!AA21</f>
        <v>0</v>
      </c>
      <c r="AG21" s="11">
        <f>('[1]资源-银币'!Y23-'[1]资源-银币'!Y22)*'[1]功能-付费相关'!AQ23/节奏总纲!W21</f>
        <v>3068.7290811410166</v>
      </c>
      <c r="AH21" s="11">
        <f>('[1]资源-银币'!Z23-'[1]资源-银币'!Z22)*'[1]功能-付费相关'!AR23/节奏总纲!X21</f>
        <v>3657.0228501143774</v>
      </c>
      <c r="AI21" s="11">
        <f>('[1]资源-银币'!AA23-'[1]资源-银币'!AA22)*'[1]功能-付费相关'!AS23/节奏总纲!Y21</f>
        <v>4972.7373444957211</v>
      </c>
      <c r="AJ21" s="11">
        <f>('[1]资源-银币'!AB23-'[1]资源-银币'!AB22)*'[1]功能-付费相关'!AT23/节奏总纲!Z21</f>
        <v>7545.4529996682895</v>
      </c>
      <c r="AK21" s="11">
        <f>('[1]资源-银币'!AC23-'[1]资源-银币'!AC22)*'[1]功能-付费相关'!AU23/节奏总纲!AA21</f>
        <v>14858.918719411437</v>
      </c>
      <c r="AM21" s="11" t="e">
        <f>(#REF!-#REF!)*'[1]功能-付费相关'!CA23/节奏总纲!W21</f>
        <v>#REF!</v>
      </c>
      <c r="AN21" s="11" t="e">
        <f>(#REF!-#REF!)*'[1]功能-付费相关'!CB23/节奏总纲!X21</f>
        <v>#REF!</v>
      </c>
      <c r="AO21" s="11" t="e">
        <f>(#REF!-#REF!)*'[1]功能-付费相关'!CC23/节奏总纲!Y21</f>
        <v>#REF!</v>
      </c>
      <c r="AP21" s="11" t="e">
        <f>(#REF!-#REF!)*'[1]功能-付费相关'!CD23/节奏总纲!Z21</f>
        <v>#REF!</v>
      </c>
      <c r="AQ21" s="11" t="e">
        <f>(#REF!-#REF!)*'[1]功能-付费相关'!CE23/节奏总纲!AA21</f>
        <v>#REF!</v>
      </c>
      <c r="AR21" s="21"/>
      <c r="AS21" s="11">
        <f>(信息索引!U23-信息索引!U22)*'[1]功能-付费相关'!BI23/节奏总纲!W21</f>
        <v>2778.3917364424801</v>
      </c>
      <c r="AT21" s="11">
        <f>(信息索引!V23-信息索引!V22)*'[1]功能-付费相关'!BJ23/节奏总纲!X21</f>
        <v>3228.022295184111</v>
      </c>
      <c r="AU21" s="11">
        <f>(信息索引!W23-信息索引!W22)*'[1]功能-付费相关'!BK23/节奏总纲!Y21</f>
        <v>4078.4518843283086</v>
      </c>
      <c r="AV21" s="11">
        <f>(信息索引!X23-信息索引!X22)*'[1]功能-付费相关'!BL23/节奏总纲!Z21</f>
        <v>6026.6511384115902</v>
      </c>
      <c r="AW21" s="11">
        <f>(信息索引!Y23-信息索引!Y22)*'[1]功能-付费相关'!BM23/节奏总纲!AA21</f>
        <v>13434.339281061244</v>
      </c>
      <c r="AY21" s="11">
        <f>('[1]资源-武将经验'!T23*节奏总纲!BJ21-'[1]资源-武将经验'!T22*节奏总纲!BJ20)*'[1]功能-付费相关'!AZ23/节奏总纲!W21</f>
        <v>4339.6539485865887</v>
      </c>
      <c r="AZ21" s="11">
        <f>('[1]资源-武将经验'!U23*节奏总纲!BK21-'[1]资源-武将经验'!U22*节奏总纲!BK20)*'[1]功能-付费相关'!BA23/节奏总纲!X21</f>
        <v>5016.4933305889663</v>
      </c>
      <c r="BA21" s="11">
        <f>('[1]资源-武将经验'!V23*节奏总纲!BL21-'[1]资源-武将经验'!V22*节奏总纲!BL20)*'[1]功能-付费相关'!BB23/节奏总纲!Y21</f>
        <v>6454.6417352171184</v>
      </c>
      <c r="BB21" s="11">
        <f>('[1]资源-武将经验'!W23*节奏总纲!BM21-'[1]资源-武将经验'!W22*节奏总纲!BM20)*'[1]功能-付费相关'!BC23/节奏总纲!Z21</f>
        <v>16555.638412166158</v>
      </c>
      <c r="BC21" s="11">
        <f>('[1]资源-武将经验'!X23*节奏总纲!BN21-'[1]资源-武将经验'!X22*节奏总纲!BN20)*'[1]功能-付费相关'!BD23/节奏总纲!AA21</f>
        <v>37669.021187689352</v>
      </c>
      <c r="BD21" s="29"/>
      <c r="BE21" s="33" t="e">
        <f t="shared" si="1"/>
        <v>#REF!</v>
      </c>
      <c r="BF21" s="33" t="e">
        <f t="shared" si="2"/>
        <v>#REF!</v>
      </c>
      <c r="BG21" s="33" t="e">
        <f t="shared" si="3"/>
        <v>#REF!</v>
      </c>
      <c r="BH21" s="33" t="e">
        <f t="shared" si="4"/>
        <v>#REF!</v>
      </c>
      <c r="BI21" s="33" t="e">
        <f t="shared" si="5"/>
        <v>#REF!</v>
      </c>
      <c r="BJ21" s="29"/>
      <c r="BK21" s="29"/>
      <c r="BL21" s="29"/>
      <c r="BM21" s="29"/>
      <c r="BN21" s="29"/>
    </row>
    <row r="22" spans="2:66" x14ac:dyDescent="0.15">
      <c r="B22" s="5">
        <v>19</v>
      </c>
      <c r="C22" s="5">
        <f>'[1]资源-玩家城池建筑时间'!AJ24*'[1]功能-付费相关'!AH24/节奏总纲!W22</f>
        <v>7507.9396216984633</v>
      </c>
      <c r="D22" s="5">
        <f>'[1]资源-玩家城池建筑时间'!AK24*'[1]功能-付费相关'!AI24/节奏总纲!X22</f>
        <v>9169.4311597722244</v>
      </c>
      <c r="E22" s="5">
        <f>'[1]资源-玩家城池建筑时间'!AL24*'[1]功能-付费相关'!AJ24/节奏总纲!Y22</f>
        <v>12366.721045275162</v>
      </c>
      <c r="F22" s="5">
        <f>'[1]资源-玩家城池建筑时间'!AM24*'[1]功能-付费相关'!AK24/节奏总纲!Z22</f>
        <v>18839.993633397102</v>
      </c>
      <c r="G22" s="5">
        <f>'[1]资源-玩家城池建筑时间'!AN24*'[1]功能-付费相关'!AL24/节奏总纲!AA22</f>
        <v>37905.924094176167</v>
      </c>
      <c r="H22" s="3"/>
      <c r="I22" s="28">
        <f>'[1]资源-士兵训练时间'!AB24*'[1]功能-付费相关'!AH24/节奏总纲!W22</f>
        <v>3671.1647194798711</v>
      </c>
      <c r="J22" s="28">
        <f>'[1]资源-士兵训练时间'!AC24*'[1]功能-付费相关'!AI24/节奏总纲!X22</f>
        <v>5211.8757850136471</v>
      </c>
      <c r="K22" s="28">
        <f>'[1]资源-士兵训练时间'!AD24*'[1]功能-付费相关'!AJ24/节奏总纲!Y22</f>
        <v>7998.2792894145232</v>
      </c>
      <c r="L22" s="28">
        <f>'[1]资源-士兵训练时间'!AE24*'[1]功能-付费相关'!AK24/节奏总纲!Z22</f>
        <v>12212.663393170902</v>
      </c>
      <c r="M22" s="28">
        <f>'[1]资源-士兵训练时间'!AF24*'[1]功能-付费相关'!AL24/节奏总纲!AA22</f>
        <v>29705.009876076976</v>
      </c>
      <c r="N22" s="34"/>
      <c r="O22" s="34">
        <f>'[1]资源-士兵招募时间'!AC24*'[1]功能-付费相关'!AH24/节奏总纲!W22</f>
        <v>2487.4296618169119</v>
      </c>
      <c r="P22" s="34">
        <f>'[1]资源-士兵招募时间'!AD24*'[1]功能-付费相关'!AI24/节奏总纲!X22</f>
        <v>3527.6225436753357</v>
      </c>
      <c r="Q22" s="34">
        <f>'[1]资源-士兵招募时间'!AE24*'[1]功能-付费相关'!AJ24/节奏总纲!Y22</f>
        <v>4281.3012013942216</v>
      </c>
      <c r="R22" s="34">
        <f>'[1]资源-士兵招募时间'!AF24*'[1]功能-付费相关'!AK24/节奏总纲!Z22</f>
        <v>4630.8156324837428</v>
      </c>
      <c r="S22" s="34">
        <f>'[1]资源-士兵招募时间'!AG24*'[1]功能-付费相关'!AL24/节奏总纲!AA22</f>
        <v>3490.1485955064231</v>
      </c>
      <c r="T22" s="34"/>
      <c r="U22" s="5">
        <f>('[1]资源-木石铜粮'!U24-'[1]资源-木石铜粮'!U23)*'[1]功能-付费相关'!S24/节奏总纲!W22</f>
        <v>3915.1205241046659</v>
      </c>
      <c r="V22" s="5">
        <f>('[1]资源-木石铜粮'!V24-'[1]资源-木石铜粮'!V23)*'[1]功能-付费相关'!T24/节奏总纲!X22</f>
        <v>5030.6098147208868</v>
      </c>
      <c r="W22" s="5">
        <f>('[1]资源-木石铜粮'!W24-'[1]资源-木石铜粮'!W23)*'[1]功能-付费相关'!U24/节奏总纲!Y22</f>
        <v>6224.4934485218746</v>
      </c>
      <c r="X22" s="5">
        <f>('[1]资源-木石铜粮'!X24-'[1]资源-木石铜粮'!X23)*'[1]功能-付费相关'!V24/节奏总纲!Z22</f>
        <v>7406.310460716878</v>
      </c>
      <c r="Y22" s="5">
        <f>('[1]资源-木石铜粮'!Y24-'[1]资源-木石铜粮'!Y23)*'[1]功能-付费相关'!W24/节奏总纲!AA22</f>
        <v>11150.364259290023</v>
      </c>
      <c r="Z22" s="3"/>
      <c r="AA22" s="11">
        <f>('[1]资源-铁'!T24-'[1]资源-铁'!T23)*'[1]功能-付费相关'!X24/节奏总纲!W22</f>
        <v>0</v>
      </c>
      <c r="AB22" s="11">
        <f>('[1]资源-铁'!U24-'[1]资源-铁'!U23)*'[1]功能-付费相关'!Y24/节奏总纲!X22</f>
        <v>0</v>
      </c>
      <c r="AC22" s="11">
        <f>('[1]资源-铁'!V24-'[1]资源-铁'!V23)*'[1]功能-付费相关'!Z24/节奏总纲!Y22</f>
        <v>0</v>
      </c>
      <c r="AD22" s="11">
        <f>('[1]资源-铁'!W24-'[1]资源-铁'!W23)*'[1]功能-付费相关'!AA24/节奏总纲!Z22</f>
        <v>0</v>
      </c>
      <c r="AE22" s="11">
        <f>('[1]资源-铁'!X24-'[1]资源-铁'!X23)*'[1]功能-付费相关'!AB24/节奏总纲!AA22</f>
        <v>0</v>
      </c>
      <c r="AG22" s="11">
        <f>('[1]资源-银币'!Y24-'[1]资源-银币'!Y23)*'[1]功能-付费相关'!AQ24/节奏总纲!W22</f>
        <v>2667.1865574451413</v>
      </c>
      <c r="AH22" s="11">
        <f>('[1]资源-银币'!Z24-'[1]资源-银币'!Z23)*'[1]功能-付费相关'!AR24/节奏总纲!X22</f>
        <v>3296.9849536749002</v>
      </c>
      <c r="AI22" s="11">
        <f>('[1]资源-银币'!AA24-'[1]资源-银币'!AA23)*'[1]功能-付费相关'!AS24/节奏总纲!Y22</f>
        <v>4508.8899826793531</v>
      </c>
      <c r="AJ22" s="11">
        <f>('[1]资源-银币'!AB24-'[1]资源-银币'!AB23)*'[1]功能-付费相关'!AT24/节奏总纲!Z22</f>
        <v>6585.4504389089734</v>
      </c>
      <c r="AK22" s="11">
        <f>('[1]资源-银币'!AC24-'[1]资源-银币'!AC23)*'[1]功能-付费相关'!AU24/节奏总纲!AA22</f>
        <v>13681.182821024106</v>
      </c>
      <c r="AM22" s="11" t="e">
        <f>(#REF!-#REF!)*'[1]功能-付费相关'!CA24/节奏总纲!W22</f>
        <v>#REF!</v>
      </c>
      <c r="AN22" s="11" t="e">
        <f>(#REF!-#REF!)*'[1]功能-付费相关'!CB24/节奏总纲!X22</f>
        <v>#REF!</v>
      </c>
      <c r="AO22" s="11" t="e">
        <f>(#REF!-#REF!)*'[1]功能-付费相关'!CC24/节奏总纲!Y22</f>
        <v>#REF!</v>
      </c>
      <c r="AP22" s="11" t="e">
        <f>(#REF!-#REF!)*'[1]功能-付费相关'!CD24/节奏总纲!Z22</f>
        <v>#REF!</v>
      </c>
      <c r="AQ22" s="11" t="e">
        <f>(#REF!-#REF!)*'[1]功能-付费相关'!CE24/节奏总纲!AA22</f>
        <v>#REF!</v>
      </c>
      <c r="AR22" s="21"/>
      <c r="AS22" s="11">
        <f>(信息索引!U24-信息索引!U23)*'[1]功能-付费相关'!BI24/节奏总纲!W22</f>
        <v>2563.652165283761</v>
      </c>
      <c r="AT22" s="11">
        <f>(信息索引!V24-信息索引!V23)*'[1]功能-付费相关'!BJ24/节奏总纲!X22</f>
        <v>3015.184564693247</v>
      </c>
      <c r="AU22" s="11">
        <f>(信息索引!W24-信息索引!W23)*'[1]功能-付费相关'!BK24/节奏总纲!Y22</f>
        <v>3845.0504986924216</v>
      </c>
      <c r="AV22" s="11">
        <f>(信息索引!X24-信息索引!X23)*'[1]功能-付费相关'!BL24/节奏总纲!Z22</f>
        <v>5629.7159743449129</v>
      </c>
      <c r="AW22" s="11">
        <f>(信息索引!Y24-信息索引!Y23)*'[1]功能-付费相关'!BM24/节奏总纲!AA22</f>
        <v>13164.904058248987</v>
      </c>
      <c r="AY22" s="11">
        <f>('[1]资源-武将经验'!T24*节奏总纲!BJ22-'[1]资源-武将经验'!T23*节奏总纲!BJ21)*'[1]功能-付费相关'!AZ24/节奏总纲!W22</f>
        <v>3823.4339545300127</v>
      </c>
      <c r="AZ22" s="11">
        <f>('[1]资源-武将经验'!U24*节奏总纲!BK22-'[1]资源-武将经验'!U23*节奏总纲!BK21)*'[1]功能-付费相关'!BA24/节奏总纲!X22</f>
        <v>4474.2030240025251</v>
      </c>
      <c r="BA22" s="11">
        <f>('[1]资源-武将经验'!V24*节奏总纲!BL22-'[1]资源-武将经验'!V23*节奏总纲!BL21)*'[1]功能-付费相关'!BB24/节奏总纲!Y22</f>
        <v>5811.1417197136825</v>
      </c>
      <c r="BB22" s="11">
        <f>('[1]资源-武将经验'!W24*节奏总纲!BM22-'[1]资源-武将经验'!W23*节奏总纲!BM21)*'[1]功能-付费相关'!BC24/节奏总纲!Z22</f>
        <v>14768.303539857552</v>
      </c>
      <c r="BC22" s="11">
        <f>('[1]资源-武将经验'!X24*节奏总纲!BN22-'[1]资源-武将经验'!X23*节奏总纲!BN21)*'[1]功能-付费相关'!BD24/节奏总纲!AA22</f>
        <v>35252.006821877047</v>
      </c>
      <c r="BD22" s="29"/>
      <c r="BE22" s="33" t="e">
        <f t="shared" si="1"/>
        <v>#REF!</v>
      </c>
      <c r="BF22" s="33" t="e">
        <f t="shared" si="2"/>
        <v>#REF!</v>
      </c>
      <c r="BG22" s="33" t="e">
        <f t="shared" si="3"/>
        <v>#REF!</v>
      </c>
      <c r="BH22" s="33" t="e">
        <f t="shared" si="4"/>
        <v>#REF!</v>
      </c>
      <c r="BI22" s="33" t="e">
        <f t="shared" si="5"/>
        <v>#REF!</v>
      </c>
      <c r="BJ22" s="29"/>
      <c r="BK22" s="29"/>
      <c r="BL22" s="29"/>
      <c r="BM22" s="29"/>
      <c r="BN22" s="29"/>
    </row>
    <row r="23" spans="2:66" x14ac:dyDescent="0.15">
      <c r="B23" s="5">
        <v>20</v>
      </c>
      <c r="C23" s="5">
        <f>'[1]资源-玩家城池建筑时间'!AJ25*'[1]功能-付费相关'!AH25/节奏总纲!W23</f>
        <v>7118.7468113451778</v>
      </c>
      <c r="D23" s="5">
        <f>'[1]资源-玩家城池建筑时间'!AK25*'[1]功能-付费相关'!AI25/节奏总纲!X23</f>
        <v>9038.7982856010858</v>
      </c>
      <c r="E23" s="5">
        <f>'[1]资源-玩家城池建筑时间'!AL25*'[1]功能-付费相关'!AJ25/节奏总纲!Y23</f>
        <v>12188.791782408389</v>
      </c>
      <c r="F23" s="5">
        <f>'[1]资源-玩家城池建筑时间'!AM25*'[1]功能-付费相关'!AK25/节奏总纲!Z23</f>
        <v>18416.58032208867</v>
      </c>
      <c r="G23" s="5">
        <f>'[1]资源-玩家城池建筑时间'!AN25*'[1]功能-付费相关'!AL25/节奏总纲!AA23</f>
        <v>37264.192983709247</v>
      </c>
      <c r="H23" s="3"/>
      <c r="I23" s="28">
        <f>'[1]资源-士兵训练时间'!AB25*'[1]功能-付费相关'!AH25/节奏总纲!W23</f>
        <v>3735.02147222852</v>
      </c>
      <c r="J23" s="28">
        <f>'[1]资源-士兵训练时间'!AC25*'[1]功能-付费相关'!AI25/节奏总纲!X23</f>
        <v>4608.7094686812306</v>
      </c>
      <c r="K23" s="28">
        <f>'[1]资源-士兵训练时间'!AD25*'[1]功能-付费相关'!AJ25/节奏总纲!Y23</f>
        <v>7023.244232672042</v>
      </c>
      <c r="L23" s="28">
        <f>'[1]资源-士兵训练时间'!AE25*'[1]功能-付费相关'!AK25/节奏总纲!Z23</f>
        <v>13215.061111440958</v>
      </c>
      <c r="M23" s="28">
        <f>'[1]资源-士兵训练时间'!AF25*'[1]功能-付费相关'!AL25/节奏总纲!AA23</f>
        <v>34261.642498181871</v>
      </c>
      <c r="N23" s="34"/>
      <c r="O23" s="34">
        <f>'[1]资源-士兵招募时间'!AC25*'[1]功能-付费相关'!AH25/节奏总纲!W23</f>
        <v>2407.9648180146805</v>
      </c>
      <c r="P23" s="34">
        <f>'[1]资源-士兵招募时间'!AD25*'[1]功能-付费相关'!AI25/节奏总纲!X23</f>
        <v>3408.2932591188214</v>
      </c>
      <c r="Q23" s="34">
        <f>'[1]资源-士兵招募时间'!AE25*'[1]功能-付费相关'!AJ25/节奏总纲!Y23</f>
        <v>4509.2381726262211</v>
      </c>
      <c r="R23" s="34">
        <f>'[1]资源-士兵招募时间'!AF25*'[1]功能-付费相关'!AK25/节奏总纲!Z23</f>
        <v>4607.8543897198861</v>
      </c>
      <c r="S23" s="34">
        <f>'[1]资源-士兵招募时间'!AG25*'[1]功能-付费相关'!AL25/节奏总纲!AA23</f>
        <v>3555.0199532804877</v>
      </c>
      <c r="T23" s="34"/>
      <c r="U23" s="5">
        <f>('[1]资源-木石铜粮'!U25-'[1]资源-木石铜粮'!U24)*'[1]功能-付费相关'!S25/节奏总纲!W23</f>
        <v>3684.3779372491881</v>
      </c>
      <c r="V23" s="5">
        <f>('[1]资源-木石铜粮'!V25-'[1]资源-木石铜粮'!V24)*'[1]功能-付费相关'!T25/节奏总纲!X23</f>
        <v>4903.2989003081602</v>
      </c>
      <c r="W23" s="5">
        <f>('[1]资源-木石铜粮'!W25-'[1]资源-木石铜粮'!W24)*'[1]功能-付费相关'!U25/节奏总纲!Y23</f>
        <v>6330.8798290862715</v>
      </c>
      <c r="X23" s="5">
        <f>('[1]资源-木石铜粮'!X25-'[1]资源-木石铜粮'!X24)*'[1]功能-付费相关'!V25/节奏总纲!Z23</f>
        <v>7892.689135401416</v>
      </c>
      <c r="Y23" s="5">
        <f>('[1]资源-木石铜粮'!Y25-'[1]资源-木石铜粮'!Y24)*'[1]功能-付费相关'!W25/节奏总纲!AA23</f>
        <v>13600.609578430438</v>
      </c>
      <c r="Z23" s="3"/>
      <c r="AA23" s="11">
        <f>('[1]资源-铁'!T25-'[1]资源-铁'!T24)*'[1]功能-付费相关'!X25/节奏总纲!W23</f>
        <v>0</v>
      </c>
      <c r="AB23" s="11">
        <f>('[1]资源-铁'!U25-'[1]资源-铁'!U24)*'[1]功能-付费相关'!Y25/节奏总纲!X23</f>
        <v>0</v>
      </c>
      <c r="AC23" s="11">
        <f>('[1]资源-铁'!V25-'[1]资源-铁'!V24)*'[1]功能-付费相关'!Z25/节奏总纲!Y23</f>
        <v>0</v>
      </c>
      <c r="AD23" s="11">
        <f>('[1]资源-铁'!W25-'[1]资源-铁'!W24)*'[1]功能-付费相关'!AA25/节奏总纲!Z23</f>
        <v>0</v>
      </c>
      <c r="AE23" s="11">
        <f>('[1]资源-铁'!X25-'[1]资源-铁'!X24)*'[1]功能-付费相关'!AB25/节奏总纲!AA23</f>
        <v>0</v>
      </c>
      <c r="AG23" s="11">
        <f>('[1]资源-银币'!Y25-'[1]资源-银币'!Y24)*'[1]功能-付费相关'!AQ25/节奏总纲!W23</f>
        <v>2461.5208185096344</v>
      </c>
      <c r="AH23" s="11">
        <f>('[1]资源-银币'!Z25-'[1]资源-银币'!Z24)*'[1]功能-付费相关'!AR25/节奏总纲!X23</f>
        <v>3087.4842715515024</v>
      </c>
      <c r="AI23" s="11">
        <f>('[1]资源-银币'!AA25-'[1]资源-银币'!AA24)*'[1]功能-付费相关'!AS25/节奏总纲!Y23</f>
        <v>4027.3150931737073</v>
      </c>
      <c r="AJ23" s="11">
        <f>('[1]资源-银币'!AB25-'[1]资源-银币'!AB24)*'[1]功能-付费相关'!AT25/节奏总纲!Z23</f>
        <v>6381.308856510188</v>
      </c>
      <c r="AK23" s="11">
        <f>('[1]资源-银币'!AC25-'[1]资源-银币'!AC24)*'[1]功能-付费相关'!AU25/节奏总纲!AA23</f>
        <v>12529.989262899822</v>
      </c>
      <c r="AM23" s="11" t="e">
        <f>(#REF!-#REF!)*'[1]功能-付费相关'!CA25/节奏总纲!W23</f>
        <v>#REF!</v>
      </c>
      <c r="AN23" s="11" t="e">
        <f>(#REF!-#REF!)*'[1]功能-付费相关'!CB25/节奏总纲!X23</f>
        <v>#REF!</v>
      </c>
      <c r="AO23" s="11" t="e">
        <f>(#REF!-#REF!)*'[1]功能-付费相关'!CC25/节奏总纲!Y23</f>
        <v>#REF!</v>
      </c>
      <c r="AP23" s="11" t="e">
        <f>(#REF!-#REF!)*'[1]功能-付费相关'!CD25/节奏总纲!Z23</f>
        <v>#REF!</v>
      </c>
      <c r="AQ23" s="11" t="e">
        <f>(#REF!-#REF!)*'[1]功能-付费相关'!CE25/节奏总纲!AA23</f>
        <v>#REF!</v>
      </c>
      <c r="AR23" s="21"/>
      <c r="AS23" s="11">
        <f>(信息索引!U25-信息索引!U24)*'[1]功能-付费相关'!BI25/节奏总纲!W23</f>
        <v>2362.2773802768202</v>
      </c>
      <c r="AT23" s="11">
        <f>(信息索引!V25-信息索引!V24)*'[1]功能-付费相关'!BJ25/节奏总纲!X23</f>
        <v>2845.2416847129743</v>
      </c>
      <c r="AU23" s="11">
        <f>(信息索引!W25-信息索引!W24)*'[1]功能-付费相关'!BK25/节奏总纲!Y23</f>
        <v>3665.5517130761941</v>
      </c>
      <c r="AV23" s="11">
        <f>(信息索引!X25-信息索引!X24)*'[1]功能-付费相关'!BL25/节奏总纲!Z23</f>
        <v>5757.1970954890376</v>
      </c>
      <c r="AW23" s="11">
        <f>(信息索引!Y25-信息索引!Y24)*'[1]功能-付费相关'!BM25/节奏总纲!AA23</f>
        <v>14991.632813530105</v>
      </c>
      <c r="AY23" s="11">
        <f>('[1]资源-武将经验'!T25*节奏总纲!BJ23-'[1]资源-武将经验'!T24*节奏总纲!BJ22)*'[1]功能-付费相关'!AZ25/节奏总纲!W23</f>
        <v>3363.942029530981</v>
      </c>
      <c r="AZ23" s="11">
        <f>('[1]资源-武将经验'!U25*节奏总纲!BK23-'[1]资源-武将经验'!U24*节奏总纲!BK22)*'[1]功能-付费相关'!BA25/节奏总纲!X23</f>
        <v>4576.0939495042339</v>
      </c>
      <c r="BA23" s="11">
        <f>('[1]资源-武将经验'!V25*节奏总纲!BL23-'[1]资源-武将经验'!V24*节奏总纲!BL22)*'[1]功能-付费相关'!BB25/节奏总纲!Y23</f>
        <v>5290.1508668720162</v>
      </c>
      <c r="BB23" s="11">
        <f>('[1]资源-武将经验'!W25*节奏总纲!BM23-'[1]资源-武将经验'!W24*节奏总纲!BM22)*'[1]功能-付费相关'!BC25/节奏总纲!Z23</f>
        <v>16459.865082345827</v>
      </c>
      <c r="BC23" s="11">
        <f>('[1]资源-武将经验'!X25*节奏总纲!BN23-'[1]资源-武将经验'!X24*节奏总纲!BN22)*'[1]功能-付费相关'!BD25/节奏总纲!AA23</f>
        <v>38335.290367732261</v>
      </c>
      <c r="BD23" s="29"/>
      <c r="BE23" s="33" t="e">
        <f t="shared" si="1"/>
        <v>#REF!</v>
      </c>
      <c r="BF23" s="33" t="e">
        <f t="shared" si="2"/>
        <v>#REF!</v>
      </c>
      <c r="BG23" s="33" t="e">
        <f t="shared" si="3"/>
        <v>#REF!</v>
      </c>
      <c r="BH23" s="33" t="e">
        <f t="shared" si="4"/>
        <v>#REF!</v>
      </c>
      <c r="BI23" s="33" t="e">
        <f t="shared" si="5"/>
        <v>#REF!</v>
      </c>
      <c r="BJ23" s="29"/>
      <c r="BK23" s="29"/>
      <c r="BL23" s="29"/>
      <c r="BM23" s="29"/>
      <c r="BN23" s="29"/>
    </row>
    <row r="24" spans="2:66" x14ac:dyDescent="0.15">
      <c r="B24" s="5">
        <v>21</v>
      </c>
      <c r="C24" s="5">
        <f>'[1]资源-玩家城池建筑时间'!AJ26*'[1]功能-付费相关'!AH26/节奏总纲!W24</f>
        <v>7059.0364097762622</v>
      </c>
      <c r="D24" s="5">
        <f>'[1]资源-玩家城池建筑时间'!AK26*'[1]功能-付费相关'!AI26/节奏总纲!X24</f>
        <v>8871.4189084432364</v>
      </c>
      <c r="E24" s="5">
        <f>'[1]资源-玩家城池建筑时间'!AL26*'[1]功能-付费相关'!AJ26/节奏总纲!Y24</f>
        <v>11923.476652509649</v>
      </c>
      <c r="F24" s="5">
        <f>'[1]资源-玩家城池建筑时间'!AM26*'[1]功能-付费相关'!AK26/节奏总纲!Z24</f>
        <v>18081.43482116513</v>
      </c>
      <c r="G24" s="5">
        <f>'[1]资源-玩家城池建筑时间'!AN26*'[1]功能-付费相关'!AL26/节奏总纲!AA24</f>
        <v>36275.835903198495</v>
      </c>
      <c r="H24" s="3"/>
      <c r="I24" s="28">
        <f>'[1]资源-士兵训练时间'!AB26*'[1]功能-付费相关'!AH26/节奏总纲!W24</f>
        <v>3179.5831377773361</v>
      </c>
      <c r="J24" s="28">
        <f>'[1]资源-士兵训练时间'!AC26*'[1]功能-付费相关'!AI26/节奏总纲!X24</f>
        <v>4153.3025604384247</v>
      </c>
      <c r="K24" s="28">
        <f>'[1]资源-士兵训练时间'!AD26*'[1]功能-付费相关'!AJ26/节奏总纲!Y24</f>
        <v>7677.9945030318077</v>
      </c>
      <c r="L24" s="28">
        <f>'[1]资源-士兵训练时间'!AE26*'[1]功能-付费相关'!AK26/节奏总纲!Z24</f>
        <v>14962.076070478362</v>
      </c>
      <c r="M24" s="28">
        <f>'[1]资源-士兵训练时间'!AF26*'[1]功能-付费相关'!AL26/节奏总纲!AA24</f>
        <v>32708.827322354176</v>
      </c>
      <c r="N24" s="34"/>
      <c r="O24" s="34">
        <f>'[1]资源-士兵招募时间'!AC26*'[1]功能-付费相关'!AH26/节奏总纲!W24</f>
        <v>2458.6437714051617</v>
      </c>
      <c r="P24" s="34">
        <f>'[1]资源-士兵招募时间'!AD26*'[1]功能-付费相关'!AI26/节奏总纲!X24</f>
        <v>3240.8089782095781</v>
      </c>
      <c r="Q24" s="34">
        <f>'[1]资源-士兵招募时间'!AE26*'[1]功能-付费相关'!AJ26/节奏总纲!Y24</f>
        <v>4677.3074373464278</v>
      </c>
      <c r="R24" s="34">
        <f>'[1]资源-士兵招募时间'!AF26*'[1]功能-付费相关'!AK26/节奏总纲!Z24</f>
        <v>4475.135216847425</v>
      </c>
      <c r="S24" s="34">
        <f>'[1]资源-士兵招募时间'!AG26*'[1]功能-付费相关'!AL26/节奏总纲!AA24</f>
        <v>3300.8781579237498</v>
      </c>
      <c r="T24" s="34"/>
      <c r="U24" s="5">
        <f>('[1]资源-木石铜粮'!U26-'[1]资源-木石铜粮'!U25)*'[1]功能-付费相关'!S26/节奏总纲!W24</f>
        <v>4226.766288610258</v>
      </c>
      <c r="V24" s="5">
        <f>('[1]资源-木石铜粮'!V26-'[1]资源-木石铜粮'!V25)*'[1]功能-付费相关'!T26/节奏总纲!X24</f>
        <v>5308.6539884191006</v>
      </c>
      <c r="W24" s="5">
        <f>('[1]资源-木石铜粮'!W26-'[1]资源-木石铜粮'!W25)*'[1]功能-付费相关'!U26/节奏总纲!Y24</f>
        <v>7572.606930700701</v>
      </c>
      <c r="X24" s="5">
        <f>('[1]资源-木石铜粮'!X26-'[1]资源-木石铜粮'!X25)*'[1]功能-付费相关'!V26/节奏总纲!Z24</f>
        <v>9708.28002666881</v>
      </c>
      <c r="Y24" s="5">
        <f>('[1]资源-木石铜粮'!Y26-'[1]资源-木石铜粮'!Y25)*'[1]功能-付费相关'!W26/节奏总纲!AA24</f>
        <v>14421.118299164826</v>
      </c>
      <c r="Z24" s="3"/>
      <c r="AA24" s="11">
        <f>('[1]资源-铁'!T26-'[1]资源-铁'!T25)*'[1]功能-付费相关'!X26/节奏总纲!W24</f>
        <v>0</v>
      </c>
      <c r="AB24" s="11">
        <f>('[1]资源-铁'!U26-'[1]资源-铁'!U25)*'[1]功能-付费相关'!Y26/节奏总纲!X24</f>
        <v>0</v>
      </c>
      <c r="AC24" s="11">
        <f>('[1]资源-铁'!V26-'[1]资源-铁'!V25)*'[1]功能-付费相关'!Z26/节奏总纲!Y24</f>
        <v>0</v>
      </c>
      <c r="AD24" s="11">
        <f>('[1]资源-铁'!W26-'[1]资源-铁'!W25)*'[1]功能-付费相关'!AA26/节奏总纲!Z24</f>
        <v>0</v>
      </c>
      <c r="AE24" s="11">
        <f>('[1]资源-铁'!X26-'[1]资源-铁'!X25)*'[1]功能-付费相关'!AB26/节奏总纲!AA24</f>
        <v>0</v>
      </c>
      <c r="AG24" s="11">
        <f>('[1]资源-银币'!Y26-'[1]资源-银币'!Y25)*'[1]功能-付费相关'!AQ26/节奏总纲!W24</f>
        <v>4658.5801816218727</v>
      </c>
      <c r="AH24" s="11">
        <f>('[1]资源-银币'!Z26-'[1]资源-银币'!Z25)*'[1]功能-付费相关'!AR26/节奏总纲!X24</f>
        <v>5622.5745631096115</v>
      </c>
      <c r="AI24" s="11">
        <f>('[1]资源-银币'!AA26-'[1]资源-银币'!AA25)*'[1]功能-付费相关'!AS26/节奏总纲!Y24</f>
        <v>7551.8357510398628</v>
      </c>
      <c r="AJ24" s="11">
        <f>('[1]资源-银币'!AB26-'[1]资源-银币'!AB25)*'[1]功能-付费相关'!AT26/节奏总纲!Z24</f>
        <v>11004.953083244282</v>
      </c>
      <c r="AK24" s="11">
        <f>('[1]资源-银币'!AC26-'[1]资源-银币'!AC25)*'[1]功能-付费相关'!AU26/节奏总纲!AA24</f>
        <v>22612.270424038979</v>
      </c>
      <c r="AM24" s="11" t="e">
        <f>(#REF!-#REF!)*'[1]功能-付费相关'!CA26/节奏总纲!W24</f>
        <v>#REF!</v>
      </c>
      <c r="AN24" s="11" t="e">
        <f>(#REF!-#REF!)*'[1]功能-付费相关'!CB26/节奏总纲!X24</f>
        <v>#REF!</v>
      </c>
      <c r="AO24" s="11" t="e">
        <f>(#REF!-#REF!)*'[1]功能-付费相关'!CC26/节奏总纲!Y24</f>
        <v>#REF!</v>
      </c>
      <c r="AP24" s="11" t="e">
        <f>(#REF!-#REF!)*'[1]功能-付费相关'!CD26/节奏总纲!Z24</f>
        <v>#REF!</v>
      </c>
      <c r="AQ24" s="11" t="e">
        <f>(#REF!-#REF!)*'[1]功能-付费相关'!CE26/节奏总纲!AA24</f>
        <v>#REF!</v>
      </c>
      <c r="AR24" s="21"/>
      <c r="AS24" s="11">
        <f>(信息索引!U26-信息索引!U25)*'[1]功能-付费相关'!BI26/节奏总纲!W24</f>
        <v>6944.5770551685901</v>
      </c>
      <c r="AT24" s="11">
        <f>(信息索引!V26-信息索引!V25)*'[1]功能-付费相关'!BJ26/节奏总纲!X24</f>
        <v>8126.0907389517197</v>
      </c>
      <c r="AU24" s="11">
        <f>(信息索引!W26-信息索引!W25)*'[1]功能-付费相关'!BK26/节奏总纲!Y24</f>
        <v>11063.873465644581</v>
      </c>
      <c r="AV24" s="11">
        <f>(信息索引!X26-信息索引!X25)*'[1]功能-付费相关'!BL26/节奏总纲!Z24</f>
        <v>17843.834302316911</v>
      </c>
      <c r="AW24" s="11">
        <f>(信息索引!Y26-信息索引!Y25)*'[1]功能-付费相关'!BM26/节奏总纲!AA24</f>
        <v>38736.109512498922</v>
      </c>
      <c r="AY24" s="11">
        <f>('[1]资源-武将经验'!T26*节奏总纲!BJ24-'[1]资源-武将经验'!T25*节奏总纲!BJ23)*'[1]功能-付费相关'!AZ26/节奏总纲!W24</f>
        <v>6300.8062194827744</v>
      </c>
      <c r="AZ24" s="11">
        <f>('[1]资源-武将经验'!U26*节奏总纲!BK24-'[1]资源-武将经验'!U25*节奏总纲!BK23)*'[1]功能-付费相关'!BA26/节奏总纲!X24</f>
        <v>7264.4169512534982</v>
      </c>
      <c r="BA24" s="11">
        <f>('[1]资源-武将经验'!V26*节奏总纲!BL24-'[1]资源-武将经验'!V25*节奏总纲!BL23)*'[1]功能-付费相关'!BB26/节奏总纲!Y24</f>
        <v>9735.2784779568665</v>
      </c>
      <c r="BB24" s="11">
        <f>('[1]资源-武将经验'!W26*节奏总纲!BM24-'[1]资源-武将经验'!W25*节奏总纲!BM23)*'[1]功能-付费相关'!BC26/节奏总纲!Z24</f>
        <v>27550.311383518005</v>
      </c>
      <c r="BC24" s="11">
        <f>('[1]资源-武将经验'!X26*节奏总纲!BN24-'[1]资源-武将经验'!X25*节奏总纲!BN23)*'[1]功能-付费相关'!BD26/节奏总纲!AA24</f>
        <v>55715.312981179843</v>
      </c>
      <c r="BD24" s="29"/>
      <c r="BE24" s="33" t="e">
        <f t="shared" si="1"/>
        <v>#REF!</v>
      </c>
      <c r="BF24" s="33" t="e">
        <f t="shared" si="2"/>
        <v>#REF!</v>
      </c>
      <c r="BG24" s="33" t="e">
        <f t="shared" si="3"/>
        <v>#REF!</v>
      </c>
      <c r="BH24" s="33" t="e">
        <f t="shared" si="4"/>
        <v>#REF!</v>
      </c>
      <c r="BI24" s="33" t="e">
        <f t="shared" si="5"/>
        <v>#REF!</v>
      </c>
      <c r="BJ24" s="29"/>
      <c r="BK24" s="29"/>
      <c r="BL24" s="29"/>
      <c r="BM24" s="29"/>
      <c r="BN24" s="29"/>
    </row>
    <row r="25" spans="2:66" x14ac:dyDescent="0.15">
      <c r="B25" s="5">
        <v>22</v>
      </c>
      <c r="C25" s="5">
        <f>'[1]资源-玩家城池建筑时间'!AJ27*'[1]功能-付费相关'!AH27/节奏总纲!W25</f>
        <v>6887.3830847492</v>
      </c>
      <c r="D25" s="5">
        <f>'[1]资源-玩家城池建筑时间'!AK27*'[1]功能-付费相关'!AI27/节奏总纲!X25</f>
        <v>8700.1921290009541</v>
      </c>
      <c r="E25" s="5">
        <f>'[1]资源-玩家城池建筑时间'!AL27*'[1]功能-付费相关'!AJ27/节奏总纲!Y25</f>
        <v>11698.031774898789</v>
      </c>
      <c r="F25" s="5">
        <f>'[1]资源-玩家城池建筑时间'!AM27*'[1]功能-付费相关'!AK27/节奏总纲!Z25</f>
        <v>17648.744138300124</v>
      </c>
      <c r="G25" s="5">
        <f>'[1]资源-玩家城池建筑时间'!AN27*'[1]功能-付费相关'!AL27/节奏总纲!AA25</f>
        <v>36120.154767455926</v>
      </c>
      <c r="H25" s="3"/>
      <c r="I25" s="28">
        <f>'[1]资源-士兵训练时间'!AB27*'[1]功能-付费相关'!AH27/节奏总纲!W25</f>
        <v>2976.4090480637938</v>
      </c>
      <c r="J25" s="28">
        <f>'[1]资源-士兵训练时间'!AC27*'[1]功能-付费相关'!AI27/节奏总纲!X25</f>
        <v>4701.9952683655101</v>
      </c>
      <c r="K25" s="28">
        <f>'[1]资源-士兵训练时间'!AD27*'[1]功能-付费相关'!AJ27/节奏总纲!Y25</f>
        <v>8604.3732712348137</v>
      </c>
      <c r="L25" s="28">
        <f>'[1]资源-士兵训练时间'!AE27*'[1]功能-付费相关'!AK27/节奏总纲!Z25</f>
        <v>14082.177574874931</v>
      </c>
      <c r="M25" s="28">
        <f>'[1]资源-士兵训练时间'!AF27*'[1]功能-付费相关'!AL27/节奏总纲!AA25</f>
        <v>27359.547787667772</v>
      </c>
      <c r="N25" s="34"/>
      <c r="O25" s="34">
        <f>'[1]资源-士兵招募时间'!AC27*'[1]功能-付费相关'!AH27/节奏总纲!W25</f>
        <v>2375.4968456717743</v>
      </c>
      <c r="P25" s="34">
        <f>'[1]资源-士兵招募时间'!AD27*'[1]功能-付费相关'!AI27/节奏总纲!X25</f>
        <v>3295.4366854311356</v>
      </c>
      <c r="Q25" s="34">
        <f>'[1]资源-士兵招募时间'!AE27*'[1]功能-付费相关'!AJ27/节奏总纲!Y25</f>
        <v>4587.0744070198552</v>
      </c>
      <c r="R25" s="34">
        <f>'[1]资源-士兵招募时间'!AF27*'[1]功能-付费相关'!AK27/节奏总纲!Z25</f>
        <v>4187.8261613063296</v>
      </c>
      <c r="S25" s="34">
        <f>'[1]资源-士兵招募时间'!AG27*'[1]功能-付费相关'!AL27/节奏总纲!AA25</f>
        <v>2980.6215483373558</v>
      </c>
      <c r="T25" s="34"/>
      <c r="U25" s="5">
        <f>('[1]资源-木石铜粮'!U27-'[1]资源-木石铜粮'!U26)*'[1]功能-付费相关'!S27/节奏总纲!W25</f>
        <v>3546.7317810884715</v>
      </c>
      <c r="V25" s="5">
        <f>('[1]资源-木石铜粮'!V27-'[1]资源-木石铜粮'!V26)*'[1]功能-付费相关'!T27/节奏总纲!X25</f>
        <v>5015.653746636267</v>
      </c>
      <c r="W25" s="5">
        <f>('[1]资源-木石铜粮'!W27-'[1]资源-木石铜粮'!W26)*'[1]功能-付费相关'!U27/节奏总纲!Y25</f>
        <v>7169.3350945266066</v>
      </c>
      <c r="X25" s="5">
        <f>('[1]资源-木石铜粮'!X27-'[1]资源-木石铜粮'!X26)*'[1]功能-付费相关'!V27/节奏总纲!Z25</f>
        <v>8183.9438647819106</v>
      </c>
      <c r="Y25" s="5">
        <f>('[1]资源-木石铜粮'!Y27-'[1]资源-木石铜粮'!Y26)*'[1]功能-付费相关'!W27/节奏总纲!AA25</f>
        <v>11305.754234067572</v>
      </c>
      <c r="Z25" s="3"/>
      <c r="AA25" s="11">
        <f>('[1]资源-铁'!T27-'[1]资源-铁'!T26)*'[1]功能-付费相关'!X27/节奏总纲!W25</f>
        <v>0</v>
      </c>
      <c r="AB25" s="11">
        <f>('[1]资源-铁'!U27-'[1]资源-铁'!U26)*'[1]功能-付费相关'!Y27/节奏总纲!X25</f>
        <v>0</v>
      </c>
      <c r="AC25" s="11">
        <f>('[1]资源-铁'!V27-'[1]资源-铁'!V26)*'[1]功能-付费相关'!Z27/节奏总纲!Y25</f>
        <v>0</v>
      </c>
      <c r="AD25" s="11">
        <f>('[1]资源-铁'!W27-'[1]资源-铁'!W26)*'[1]功能-付费相关'!AA27/节奏总纲!Z25</f>
        <v>0</v>
      </c>
      <c r="AE25" s="11">
        <f>('[1]资源-铁'!X27-'[1]资源-铁'!X26)*'[1]功能-付费相关'!AB27/节奏总纲!AA25</f>
        <v>0</v>
      </c>
      <c r="AG25" s="11">
        <f>('[1]资源-银币'!Y27-'[1]资源-银币'!Y26)*'[1]功能-付费相关'!AQ27/节奏总纲!W25</f>
        <v>4256.5382227117561</v>
      </c>
      <c r="AH25" s="11">
        <f>('[1]资源-银币'!Z27-'[1]资源-银币'!Z26)*'[1]功能-付费相关'!AR27/节奏总纲!X25</f>
        <v>5254.9711002800977</v>
      </c>
      <c r="AI25" s="11">
        <f>('[1]资源-银币'!AA27-'[1]资源-银币'!AA26)*'[1]功能-付费相关'!AS27/节奏总纲!Y25</f>
        <v>7003.3293843455212</v>
      </c>
      <c r="AJ25" s="11">
        <f>('[1]资源-银币'!AB27-'[1]资源-银币'!AB26)*'[1]功能-付费相关'!AT27/节奏总纲!Z25</f>
        <v>10079.787057372692</v>
      </c>
      <c r="AK25" s="11">
        <f>('[1]资源-银币'!AC27-'[1]资源-银币'!AC26)*'[1]功能-付费相关'!AU27/节奏总纲!AA25</f>
        <v>19750.324758968087</v>
      </c>
      <c r="AM25" s="11" t="e">
        <f>(#REF!-#REF!)*'[1]功能-付费相关'!CA27/节奏总纲!W25</f>
        <v>#REF!</v>
      </c>
      <c r="AN25" s="11" t="e">
        <f>(#REF!-#REF!)*'[1]功能-付费相关'!CB27/节奏总纲!X25</f>
        <v>#REF!</v>
      </c>
      <c r="AO25" s="11" t="e">
        <f>(#REF!-#REF!)*'[1]功能-付费相关'!CC27/节奏总纲!Y25</f>
        <v>#REF!</v>
      </c>
      <c r="AP25" s="11" t="e">
        <f>(#REF!-#REF!)*'[1]功能-付费相关'!CD27/节奏总纲!Z25</f>
        <v>#REF!</v>
      </c>
      <c r="AQ25" s="11" t="e">
        <f>(#REF!-#REF!)*'[1]功能-付费相关'!CE27/节奏总纲!AA25</f>
        <v>#REF!</v>
      </c>
      <c r="AR25" s="21"/>
      <c r="AS25" s="11">
        <f>(信息索引!U27-信息索引!U26)*'[1]功能-付费相关'!BI27/节奏总纲!W25</f>
        <v>6421.7760146914652</v>
      </c>
      <c r="AT25" s="11">
        <f>(信息索引!V27-信息索引!V26)*'[1]功能-付费相关'!BJ27/节奏总纲!X25</f>
        <v>8205.3942750280039</v>
      </c>
      <c r="AU25" s="11">
        <f>(信息索引!W27-信息索引!W26)*'[1]功能-付费相关'!BK27/节奏总纲!Y25</f>
        <v>11023.731528284196</v>
      </c>
      <c r="AV25" s="11">
        <f>(信息索引!X27-信息索引!X26)*'[1]功能-付费相关'!BL27/节奏总纲!Z25</f>
        <v>15781.608180107727</v>
      </c>
      <c r="AW25" s="11">
        <f>(信息索引!Y27-信息索引!Y26)*'[1]功能-付费相关'!BM27/节奏总纲!AA25</f>
        <v>27989.928859546682</v>
      </c>
      <c r="AY25" s="11">
        <f>('[1]资源-武将经验'!T27*节奏总纲!BJ25-'[1]资源-武将经验'!T26*节奏总纲!BJ24)*'[1]功能-付费相关'!AZ27/节奏总纲!W25</f>
        <v>5554.7305919211731</v>
      </c>
      <c r="AZ25" s="11">
        <f>('[1]资源-武将经验'!U27*节奏总纲!BK25-'[1]资源-武将经验'!U26*节奏总纲!BK24)*'[1]功能-付费相关'!BA27/节奏总纲!X25</f>
        <v>6992.559216658884</v>
      </c>
      <c r="BA25" s="11">
        <f>('[1]资源-武将经验'!V27*节奏总纲!BL25-'[1]资源-武将经验'!V26*节奏总纲!BL24)*'[1]功能-付费相关'!BB27/节奏总纲!Y25</f>
        <v>9443.5952439881548</v>
      </c>
      <c r="BB25" s="11">
        <f>('[1]资源-武将经验'!W27*节奏总纲!BM25-'[1]资源-武将经验'!W26*节奏总纲!BM24)*'[1]功能-付费相关'!BC27/节奏总纲!Z25</f>
        <v>23226.202782885837</v>
      </c>
      <c r="BC25" s="11">
        <f>('[1]资源-武将经验'!X27*节奏总纲!BN25-'[1]资源-武将经验'!X26*节奏总纲!BN24)*'[1]功能-付费相关'!BD27/节奏总纲!AA25</f>
        <v>41278.43869261186</v>
      </c>
      <c r="BD25" s="29"/>
      <c r="BE25" s="33" t="e">
        <f t="shared" si="1"/>
        <v>#REF!</v>
      </c>
      <c r="BF25" s="33" t="e">
        <f t="shared" si="2"/>
        <v>#REF!</v>
      </c>
      <c r="BG25" s="33" t="e">
        <f t="shared" si="3"/>
        <v>#REF!</v>
      </c>
      <c r="BH25" s="33" t="e">
        <f t="shared" si="4"/>
        <v>#REF!</v>
      </c>
      <c r="BI25" s="33" t="e">
        <f t="shared" si="5"/>
        <v>#REF!</v>
      </c>
      <c r="BJ25" s="29"/>
      <c r="BK25" s="29"/>
      <c r="BL25" s="29"/>
      <c r="BM25" s="29"/>
      <c r="BN25" s="29"/>
    </row>
    <row r="26" spans="2:66" x14ac:dyDescent="0.15">
      <c r="B26" s="5">
        <v>23</v>
      </c>
      <c r="C26" s="5">
        <f>'[1]资源-玩家城池建筑时间'!AJ28*'[1]功能-付费相关'!AH28/节奏总纲!W26</f>
        <v>6781.7168159892799</v>
      </c>
      <c r="D26" s="5">
        <f>'[1]资源-玩家城池建筑时间'!AK28*'[1]功能-付费相关'!AI28/节奏总纲!X26</f>
        <v>8514.2270154442849</v>
      </c>
      <c r="E26" s="5">
        <f>'[1]资源-玩家城池建筑时间'!AL28*'[1]功能-付费相关'!AJ28/节奏总纲!Y26</f>
        <v>11442.671985442896</v>
      </c>
      <c r="F26" s="5">
        <f>'[1]资源-玩家城池建筑时间'!AM28*'[1]功能-付费相关'!AK28/节奏总纲!Z26</f>
        <v>17526.321432579225</v>
      </c>
      <c r="G26" s="5">
        <f>'[1]资源-玩家城池建筑时间'!AN28*'[1]功能-付费相关'!AL28/节奏总纲!AA26</f>
        <v>35353.174330321388</v>
      </c>
      <c r="H26" s="3"/>
      <c r="I26" s="28">
        <f>'[1]资源-士兵训练时间'!AB28*'[1]功能-付费相关'!AH28/节奏总纲!W26</f>
        <v>3555.4084492008842</v>
      </c>
      <c r="J26" s="28">
        <f>'[1]资源-士兵训练时间'!AC28*'[1]功能-付费相关'!AI28/节奏总纲!X26</f>
        <v>5088.3273248766463</v>
      </c>
      <c r="K26" s="28">
        <f>'[1]资源-士兵训练时间'!AD28*'[1]功能-付费相关'!AJ28/节奏总纲!Y26</f>
        <v>8004.3422139587801</v>
      </c>
      <c r="L26" s="28">
        <f>'[1]资源-士兵训练时间'!AE28*'[1]功能-付费相关'!AK28/节奏总纲!Z26</f>
        <v>11947.927927702125</v>
      </c>
      <c r="M26" s="28">
        <f>'[1]资源-士兵训练时间'!AF28*'[1]功能-付费相关'!AL28/节奏总纲!AA26</f>
        <v>26881.371783365277</v>
      </c>
      <c r="N26" s="34"/>
      <c r="O26" s="34">
        <f>'[1]资源-士兵招募时间'!AC28*'[1]功能-付费相关'!AH28/节奏总纲!W26</f>
        <v>2292.2258621163842</v>
      </c>
      <c r="P26" s="34">
        <f>'[1]资源-士兵招募时间'!AD28*'[1]功能-付费相关'!AI28/节奏总纲!X26</f>
        <v>3332.6349439790074</v>
      </c>
      <c r="Q26" s="34">
        <f>'[1]资源-士兵招募时间'!AE28*'[1]功能-付费相关'!AJ28/节奏总纲!Y26</f>
        <v>4178.8203738813463</v>
      </c>
      <c r="R26" s="34">
        <f>'[1]资源-士兵招募时间'!AF28*'[1]功能-付费相关'!AK28/节奏总纲!Z26</f>
        <v>3650.772018823066</v>
      </c>
      <c r="S26" s="34">
        <f>'[1]资源-士兵招募时间'!AG28*'[1]功能-付费相关'!AL28/节奏总纲!AA26</f>
        <v>3788.516532968757</v>
      </c>
      <c r="T26" s="34"/>
      <c r="U26" s="5">
        <f>('[1]资源-木石铜粮'!U28-'[1]资源-木石铜粮'!U27)*'[1]功能-付费相关'!S28/节奏总纲!W26</f>
        <v>3470.5194836233154</v>
      </c>
      <c r="V26" s="5">
        <f>('[1]资源-木石铜粮'!V28-'[1]资源-木石铜粮'!V27)*'[1]功能-付费相关'!T28/节奏总纲!X26</f>
        <v>4801.9422948999927</v>
      </c>
      <c r="W26" s="5">
        <f>('[1]资源-木石铜粮'!W28-'[1]资源-木石铜粮'!W27)*'[1]功能-付费相关'!U28/节奏总纲!Y26</f>
        <v>6315.839764719246</v>
      </c>
      <c r="X26" s="5">
        <f>('[1]资源-木石铜粮'!X28-'[1]资源-木石铜粮'!X27)*'[1]功能-付费相关'!V28/节奏总纲!Z26</f>
        <v>6907.8886232284458</v>
      </c>
      <c r="Y26" s="5">
        <f>('[1]资源-木石铜粮'!Y28-'[1]资源-木石铜粮'!Y27)*'[1]功能-付费相关'!W28/节奏总纲!AA26</f>
        <v>11766.299192898998</v>
      </c>
      <c r="Z26" s="3"/>
      <c r="AA26" s="11">
        <f>('[1]资源-铁'!T28-'[1]资源-铁'!T27)*'[1]功能-付费相关'!X28/节奏总纲!W26</f>
        <v>0</v>
      </c>
      <c r="AB26" s="11">
        <f>('[1]资源-铁'!U28-'[1]资源-铁'!U27)*'[1]功能-付费相关'!Y28/节奏总纲!X26</f>
        <v>0</v>
      </c>
      <c r="AC26" s="11">
        <f>('[1]资源-铁'!V28-'[1]资源-铁'!V27)*'[1]功能-付费相关'!Z28/节奏总纲!Y26</f>
        <v>0</v>
      </c>
      <c r="AD26" s="11">
        <f>('[1]资源-铁'!W28-'[1]资源-铁'!W27)*'[1]功能-付费相关'!AA28/节奏总纲!Z26</f>
        <v>0</v>
      </c>
      <c r="AE26" s="11">
        <f>('[1]资源-铁'!X28-'[1]资源-铁'!X27)*'[1]功能-付费相关'!AB28/节奏总纲!AA26</f>
        <v>0</v>
      </c>
      <c r="AG26" s="11">
        <f>('[1]资源-银币'!Y28-'[1]资源-银币'!Y27)*'[1]功能-付费相关'!AQ28/节奏总纲!W26</f>
        <v>3631.2646906706132</v>
      </c>
      <c r="AH26" s="11">
        <f>('[1]资源-银币'!Z28-'[1]资源-银币'!Z27)*'[1]功能-付费相关'!AR28/节奏总纲!X26</f>
        <v>4555.6538763837152</v>
      </c>
      <c r="AI26" s="11">
        <f>('[1]资源-银币'!AA28-'[1]资源-银币'!AA27)*'[1]功能-付费相关'!AS28/节奏总纲!Y26</f>
        <v>6141.2832220094642</v>
      </c>
      <c r="AJ26" s="11">
        <f>('[1]资源-银币'!AB28-'[1]资源-银币'!AB27)*'[1]功能-付费相关'!AT28/节奏总纲!Z26</f>
        <v>8464.499525522413</v>
      </c>
      <c r="AK26" s="11">
        <f>('[1]资源-银币'!AC28-'[1]资源-银币'!AC27)*'[1]功能-付费相关'!AU28/节奏总纲!AA26</f>
        <v>17523.630300821915</v>
      </c>
      <c r="AM26" s="11" t="e">
        <f>(#REF!-#REF!)*'[1]功能-付费相关'!CA28/节奏总纲!W26</f>
        <v>#REF!</v>
      </c>
      <c r="AN26" s="11" t="e">
        <f>(#REF!-#REF!)*'[1]功能-付费相关'!CB28/节奏总纲!X26</f>
        <v>#REF!</v>
      </c>
      <c r="AO26" s="11" t="e">
        <f>(#REF!-#REF!)*'[1]功能-付费相关'!CC28/节奏总纲!Y26</f>
        <v>#REF!</v>
      </c>
      <c r="AP26" s="11" t="e">
        <f>(#REF!-#REF!)*'[1]功能-付费相关'!CD28/节奏总纲!Z26</f>
        <v>#REF!</v>
      </c>
      <c r="AQ26" s="11" t="e">
        <f>(#REF!-#REF!)*'[1]功能-付费相关'!CE28/节奏总纲!AA26</f>
        <v>#REF!</v>
      </c>
      <c r="AR26" s="21"/>
      <c r="AS26" s="11">
        <f>(信息索引!U28-信息索引!U27)*'[1]功能-付费相关'!BI28/节奏总纲!W26</f>
        <v>5929.2745517461426</v>
      </c>
      <c r="AT26" s="11">
        <f>(信息索引!V28-信息索引!V27)*'[1]功能-付费相关'!BJ28/节奏总纲!X26</f>
        <v>7371.9443928675882</v>
      </c>
      <c r="AU26" s="11">
        <f>(信息索引!W28-信息索引!W27)*'[1]功能-付费相关'!BK28/节奏总纲!Y26</f>
        <v>9182.8707660651071</v>
      </c>
      <c r="AV26" s="11">
        <f>(信息索引!X28-信息索引!X27)*'[1]功能-付费相关'!BL28/节奏总纲!Z26</f>
        <v>11233.346809524064</v>
      </c>
      <c r="AW26" s="11">
        <f>(信息索引!Y28-信息索引!Y27)*'[1]功能-付费相关'!BM28/节奏总纲!AA26</f>
        <v>25512.2969121604</v>
      </c>
      <c r="AY26" s="11">
        <f>('[1]资源-武将经验'!T28*节奏总纲!BJ26-'[1]资源-武将经验'!T27*节奏总纲!BJ25)*'[1]功能-付费相关'!AZ28/节奏总纲!W26</f>
        <v>4889.9775036398696</v>
      </c>
      <c r="AZ26" s="11">
        <f>('[1]资源-武将经验'!U28*节奏总纲!BK26-'[1]资源-武将经验'!U27*节奏总纲!BK25)*'[1]功能-付费相关'!BA28/节奏总纲!X26</f>
        <v>5989.3430912300882</v>
      </c>
      <c r="BA26" s="11">
        <f>('[1]资源-武将经验'!V28*节奏总纲!BL26-'[1]资源-武将经验'!V27*节奏总纲!BL25)*'[1]功能-付费相关'!BB28/节奏总纲!Y26</f>
        <v>7500.1995055809311</v>
      </c>
      <c r="BB26" s="11">
        <f>('[1]资源-武将经验'!W28*节奏总纲!BM26-'[1]资源-武将经验'!W27*节奏总纲!BM25)*'[1]功能-付费相关'!BC28/节奏总纲!Z26</f>
        <v>15760.489334327925</v>
      </c>
      <c r="BC26" s="11">
        <f>('[1]资源-武将经验'!X28*节奏总纲!BN26-'[1]资源-武将经验'!X27*节奏总纲!BN25)*'[1]功能-付费相关'!BD28/节奏总纲!AA26</f>
        <v>35870.184214784145</v>
      </c>
      <c r="BD26" s="29"/>
      <c r="BE26" s="33" t="e">
        <f t="shared" si="1"/>
        <v>#REF!</v>
      </c>
      <c r="BF26" s="33" t="e">
        <f t="shared" si="2"/>
        <v>#REF!</v>
      </c>
      <c r="BG26" s="33" t="e">
        <f t="shared" si="3"/>
        <v>#REF!</v>
      </c>
      <c r="BH26" s="33" t="e">
        <f t="shared" si="4"/>
        <v>#REF!</v>
      </c>
      <c r="BI26" s="33" t="e">
        <f t="shared" si="5"/>
        <v>#REF!</v>
      </c>
      <c r="BJ26" s="29"/>
      <c r="BK26" s="29"/>
      <c r="BL26" s="29"/>
      <c r="BM26" s="29"/>
      <c r="BN26" s="29"/>
    </row>
    <row r="27" spans="2:66" x14ac:dyDescent="0.15">
      <c r="B27" s="5">
        <v>24</v>
      </c>
      <c r="C27" s="5">
        <f>'[1]资源-玩家城池建筑时间'!AJ29*'[1]功能-付费相关'!AH29/节奏总纲!W27</f>
        <v>6610.0748630047765</v>
      </c>
      <c r="D27" s="5">
        <f>'[1]资源-玩家城池建筑时间'!AK29*'[1]功能-付费相关'!AI29/节奏总纲!X27</f>
        <v>8378.1807907838047</v>
      </c>
      <c r="E27" s="5">
        <f>'[1]资源-玩家城池建筑时间'!AL29*'[1]功能-付费相关'!AJ29/节奏总纲!Y27</f>
        <v>11338.893569187996</v>
      </c>
      <c r="F27" s="5">
        <f>'[1]资源-玩家城池建筑时间'!AM29*'[1]功能-付费相关'!AK29/节奏总纲!Z27</f>
        <v>17190.816354742616</v>
      </c>
      <c r="G27" s="5">
        <f>'[1]资源-玩家城池建筑时间'!AN29*'[1]功能-付费相关'!AL29/节奏总纲!AA27</f>
        <v>34744.551567816496</v>
      </c>
      <c r="H27" s="3"/>
      <c r="I27" s="28">
        <f>'[1]资源-士兵训练时间'!AB29*'[1]功能-付费相关'!AH29/节奏总纲!W27</f>
        <v>3646.4821112561572</v>
      </c>
      <c r="J27" s="28">
        <f>'[1]资源-士兵训练时间'!AC29*'[1]功能-付费相关'!AI29/节奏总纲!X27</f>
        <v>4578.6475339576691</v>
      </c>
      <c r="K27" s="28">
        <f>'[1]资源-士兵训练时间'!AD29*'[1]功能-付费相关'!AJ29/节奏总纲!Y27</f>
        <v>6871.0004696877149</v>
      </c>
      <c r="L27" s="28">
        <f>'[1]资源-士兵训练时间'!AE29*'[1]功能-付费相关'!AK29/节奏总纲!Z27</f>
        <v>11775.375035018986</v>
      </c>
      <c r="M27" s="28">
        <f>'[1]资源-士兵训练时间'!AF29*'[1]功能-付费相关'!AL29/节奏总纲!AA27</f>
        <v>26566.513044351614</v>
      </c>
      <c r="N27" s="34"/>
      <c r="O27" s="34">
        <f>'[1]资源-士兵招募时间'!AC29*'[1]功能-付费相关'!AH29/节奏总纲!W27</f>
        <v>2254.3238374244866</v>
      </c>
      <c r="P27" s="34">
        <f>'[1]资源-士兵招募时间'!AD29*'[1]功能-付费相关'!AI29/节奏总纲!X27</f>
        <v>3058.0275438154749</v>
      </c>
      <c r="Q27" s="34">
        <f>'[1]资源-士兵招募时间'!AE29*'[1]功能-付费相关'!AJ29/节奏总纲!Y27</f>
        <v>3656.2480852904105</v>
      </c>
      <c r="R27" s="34">
        <f>'[1]资源-士兵招募时间'!AF29*'[1]功能-付费相关'!AK29/节奏总纲!Z27</f>
        <v>4010.191526678313</v>
      </c>
      <c r="S27" s="34">
        <f>'[1]资源-士兵招募时间'!AG29*'[1]功能-付费相关'!AL29/节奏总纲!AA27</f>
        <v>3541.2318489013978</v>
      </c>
      <c r="T27" s="34"/>
      <c r="U27" s="5">
        <f>('[1]资源-木石铜粮'!U29-'[1]资源-木石铜粮'!U28)*'[1]功能-付费相关'!S29/节奏总纲!W27</f>
        <v>3305.3462122390224</v>
      </c>
      <c r="V27" s="5">
        <f>('[1]资源-木石铜粮'!V29-'[1]资源-木石铜粮'!V28)*'[1]功能-付费相关'!T29/节奏总纲!X27</f>
        <v>4164.1713603332255</v>
      </c>
      <c r="W27" s="5">
        <f>('[1]资源-木石铜粮'!W29-'[1]资源-木石铜粮'!W28)*'[1]功能-付费相关'!U29/节奏总纲!Y27</f>
        <v>5174.2096732292448</v>
      </c>
      <c r="X27" s="5">
        <f>('[1]资源-木石铜粮'!X29-'[1]资源-木石铜粮'!X28)*'[1]功能-付费相关'!V29/节奏总纲!Z27</f>
        <v>6931.0308309947677</v>
      </c>
      <c r="Y27" s="5">
        <f>('[1]资源-木石铜粮'!Y29-'[1]资源-木石铜粮'!Y28)*'[1]功能-付费相关'!W29/节奏总纲!AA27</f>
        <v>11251.931794151609</v>
      </c>
      <c r="Z27" s="3"/>
      <c r="AA27" s="11">
        <f>('[1]资源-铁'!T29-'[1]资源-铁'!T28)*'[1]功能-付费相关'!X29/节奏总纲!W27</f>
        <v>0</v>
      </c>
      <c r="AB27" s="11">
        <f>('[1]资源-铁'!U29-'[1]资源-铁'!U28)*'[1]功能-付费相关'!Y29/节奏总纲!X27</f>
        <v>0</v>
      </c>
      <c r="AC27" s="11">
        <f>('[1]资源-铁'!V29-'[1]资源-铁'!V28)*'[1]功能-付费相关'!Z29/节奏总纲!Y27</f>
        <v>0</v>
      </c>
      <c r="AD27" s="11">
        <f>('[1]资源-铁'!W29-'[1]资源-铁'!W28)*'[1]功能-付费相关'!AA29/节奏总纲!Z27</f>
        <v>0</v>
      </c>
      <c r="AE27" s="11">
        <f>('[1]资源-铁'!X29-'[1]资源-铁'!X28)*'[1]功能-付费相关'!AB29/节奏总纲!AA27</f>
        <v>0</v>
      </c>
      <c r="AG27" s="11">
        <f>('[1]资源-银币'!Y29-'[1]资源-银币'!Y28)*'[1]功能-付费相关'!AQ29/节奏总纲!W27</f>
        <v>3293.4062981429183</v>
      </c>
      <c r="AH27" s="11">
        <f>('[1]资源-银币'!Z29-'[1]资源-银币'!Z28)*'[1]功能-付费相关'!AR29/节奏总纲!X27</f>
        <v>3908.1011960699107</v>
      </c>
      <c r="AI27" s="11">
        <f>('[1]资源-银币'!AA29-'[1]资源-银币'!AA28)*'[1]功能-付费相关'!AS29/节奏总纲!Y27</f>
        <v>5080.7215586881111</v>
      </c>
      <c r="AJ27" s="11">
        <f>('[1]资源-银币'!AB29-'[1]资源-银币'!AB28)*'[1]功能-付费相关'!AT29/节奏总纲!Z27</f>
        <v>7130.486731668012</v>
      </c>
      <c r="AK27" s="11">
        <f>('[1]资源-银币'!AC29-'[1]资源-银币'!AC28)*'[1]功能-付费相关'!AU29/节奏总纲!AA27</f>
        <v>14061.57958765954</v>
      </c>
      <c r="AM27" s="11" t="e">
        <f>(#REF!-#REF!)*'[1]功能-付费相关'!CA29/节奏总纲!W27</f>
        <v>#REF!</v>
      </c>
      <c r="AN27" s="11" t="e">
        <f>(#REF!-#REF!)*'[1]功能-付费相关'!CB29/节奏总纲!X27</f>
        <v>#REF!</v>
      </c>
      <c r="AO27" s="11" t="e">
        <f>(#REF!-#REF!)*'[1]功能-付费相关'!CC29/节奏总纲!Y27</f>
        <v>#REF!</v>
      </c>
      <c r="AP27" s="11" t="e">
        <f>(#REF!-#REF!)*'[1]功能-付费相关'!CD29/节奏总纲!Z27</f>
        <v>#REF!</v>
      </c>
      <c r="AQ27" s="11" t="e">
        <f>(#REF!-#REF!)*'[1]功能-付费相关'!CE29/节奏总纲!AA27</f>
        <v>#REF!</v>
      </c>
      <c r="AR27" s="21"/>
      <c r="AS27" s="11">
        <f>(信息索引!U29-信息索引!U28)*'[1]功能-付费相关'!BI29/节奏总纲!W27</f>
        <v>5466.8097012536946</v>
      </c>
      <c r="AT27" s="11">
        <f>(信息索引!V29-信息索引!V28)*'[1]功能-付费相关'!BJ29/节奏总纲!X27</f>
        <v>5945.1312024319122</v>
      </c>
      <c r="AU27" s="11">
        <f>(信息索引!W29-信息索引!W28)*'[1]功能-付费相关'!BK29/节奏总纲!Y27</f>
        <v>6521.1567170780581</v>
      </c>
      <c r="AV27" s="11">
        <f>(信息索引!X29-信息索引!X28)*'[1]功能-付费相关'!BL29/节奏总纲!Z27</f>
        <v>9554.8335566740407</v>
      </c>
      <c r="AW27" s="11">
        <f>(信息索引!Y29-信息索引!Y28)*'[1]功能-付费相关'!BM29/节奏总纲!AA27</f>
        <v>20391.585470909813</v>
      </c>
      <c r="AY27" s="11">
        <f>('[1]资源-武将经验'!T29*节奏总纲!BJ27-'[1]资源-武将经验'!T28*节奏总纲!BJ26)*'[1]功能-付费相关'!AZ29/节奏总纲!W27</f>
        <v>4299.0486773026087</v>
      </c>
      <c r="AZ27" s="11">
        <f>('[1]资源-武将经验'!U29*节奏总纲!BK27-'[1]资源-武将经验'!U28*节奏总纲!BK26)*'[1]功能-付费相关'!BA29/节奏总纲!X27</f>
        <v>4605.2931545769761</v>
      </c>
      <c r="BA27" s="11">
        <f>('[1]资源-武将经验'!V29*节奏总纲!BL27-'[1]资源-武将经验'!V28*节奏总纲!BL26)*'[1]功能-付费相关'!BB29/节奏总纲!Y27</f>
        <v>5078.5656683901689</v>
      </c>
      <c r="BB27" s="11">
        <f>('[1]资源-武将经验'!W29*节奏总纲!BM27-'[1]资源-武将经验'!W28*节奏总纲!BM26)*'[1]功能-付费相关'!BC29/节奏总纲!Z27</f>
        <v>12780.780306946306</v>
      </c>
      <c r="BC27" s="11">
        <f>('[1]资源-武将经验'!X29*节奏总纲!BN27-'[1]资源-武将经验'!X28*节奏总纲!BN26)*'[1]功能-付费相关'!BD29/节奏总纲!AA27</f>
        <v>27336.047678301558</v>
      </c>
      <c r="BD27" s="29"/>
      <c r="BE27" s="33" t="e">
        <f t="shared" si="1"/>
        <v>#REF!</v>
      </c>
      <c r="BF27" s="33" t="e">
        <f t="shared" si="2"/>
        <v>#REF!</v>
      </c>
      <c r="BG27" s="33" t="e">
        <f t="shared" si="3"/>
        <v>#REF!</v>
      </c>
      <c r="BH27" s="33" t="e">
        <f t="shared" si="4"/>
        <v>#REF!</v>
      </c>
      <c r="BI27" s="33" t="e">
        <f t="shared" si="5"/>
        <v>#REF!</v>
      </c>
      <c r="BJ27" s="29"/>
      <c r="BK27" s="29"/>
      <c r="BL27" s="29"/>
      <c r="BM27" s="29"/>
      <c r="BN27" s="29"/>
    </row>
    <row r="28" spans="2:66" x14ac:dyDescent="0.15">
      <c r="B28" s="5">
        <v>25</v>
      </c>
      <c r="C28" s="5">
        <f>'[1]资源-玩家城池建筑时间'!AJ30*'[1]功能-付费相关'!AH30/节奏总纲!W28</f>
        <v>6543.9642203437834</v>
      </c>
      <c r="D28" s="5">
        <f>'[1]资源-玩家城池建筑时间'!AK30*'[1]功能-付费相关'!AI30/节奏总纲!X28</f>
        <v>8252.8339647002904</v>
      </c>
      <c r="E28" s="5">
        <f>'[1]资源-玩家城池建筑时间'!AL30*'[1]功能-付费相关'!AJ30/节奏总纲!Y28</f>
        <v>11127.510830487199</v>
      </c>
      <c r="F28" s="5">
        <f>'[1]资源-玩家城池建筑时间'!AM30*'[1]功能-付费相关'!AK30/节奏总纲!Z28</f>
        <v>16858.847442066672</v>
      </c>
      <c r="G28" s="5">
        <f>'[1]资源-玩家城池建筑时间'!AN30*'[1]功能-付费相关'!AL30/节奏总纲!AA28</f>
        <v>34390.63757825482</v>
      </c>
      <c r="H28" s="3"/>
      <c r="I28" s="28">
        <f>'[1]资源-士兵训练时间'!AB30*'[1]功能-付费相关'!AH30/节奏总纲!W28</f>
        <v>3167.8601373918814</v>
      </c>
      <c r="J28" s="28">
        <f>'[1]资源-士兵训练时间'!AC30*'[1]功能-付费相关'!AI30/节奏总纲!X28</f>
        <v>4063.2708899360518</v>
      </c>
      <c r="K28" s="28">
        <f>'[1]资源-士兵训练时间'!AD30*'[1]功能-付费相关'!AJ30/节奏总纲!Y28</f>
        <v>6776.7621187398781</v>
      </c>
      <c r="L28" s="28">
        <f>'[1]资源-士兵训练时间'!AE30*'[1]功能-付费相关'!AK30/节奏总纲!Z28</f>
        <v>11601.609266632147</v>
      </c>
      <c r="M28" s="28">
        <f>'[1]资源-士兵训练时间'!AF30*'[1]功能-付费相关'!AL30/节奏总纲!AA28</f>
        <v>25773.514697380895</v>
      </c>
      <c r="N28" s="34"/>
      <c r="O28" s="34">
        <f>'[1]资源-士兵招募时间'!AC30*'[1]功能-付费相关'!AH30/节奏总纲!W28</f>
        <v>2186.6472579999927</v>
      </c>
      <c r="P28" s="34">
        <f>'[1]资源-士兵招募时间'!AD30*'[1]功能-付费相关'!AI30/节奏总纲!X28</f>
        <v>2946.5524698540903</v>
      </c>
      <c r="Q28" s="34">
        <f>'[1]资源-士兵招募时间'!AE30*'[1]功能-付费相关'!AJ30/节奏总纲!Y28</f>
        <v>4084.7881404664886</v>
      </c>
      <c r="R28" s="34">
        <f>'[1]资源-士兵招募时间'!AF30*'[1]功能-付费相关'!AK30/节奏总纲!Z28</f>
        <v>4011.853083109886</v>
      </c>
      <c r="S28" s="34">
        <f>'[1]资源-士兵招募时间'!AG30*'[1]功能-付费相关'!AL30/节奏总纲!AA28</f>
        <v>3533.1146177926776</v>
      </c>
      <c r="T28" s="34"/>
      <c r="U28" s="5">
        <f>('[1]资源-木石铜粮'!U30-'[1]资源-木石铜粮'!U29)*'[1]功能-付费相关'!S30/节奏总纲!W28</f>
        <v>3757.7009498317757</v>
      </c>
      <c r="V28" s="5">
        <f>('[1]资源-木石铜粮'!V30-'[1]资源-木石铜粮'!V29)*'[1]功能-付费相关'!T30/节奏总纲!X28</f>
        <v>4485.8145980392192</v>
      </c>
      <c r="W28" s="5">
        <f>('[1]资源-木石铜粮'!W30-'[1]资源-木石铜粮'!W29)*'[1]功能-付费相关'!U30/节奏总纲!Y28</f>
        <v>6366.7745289260311</v>
      </c>
      <c r="X28" s="5">
        <f>('[1]资源-木石铜粮'!X30-'[1]资源-木石铜粮'!X29)*'[1]功能-付费相关'!V30/节奏总纲!Z28</f>
        <v>8125.1410040367555</v>
      </c>
      <c r="Y28" s="5">
        <f>('[1]资源-木石铜粮'!Y30-'[1]资源-木石铜粮'!Y29)*'[1]功能-付费相关'!W30/节奏总纲!AA28</f>
        <v>13546.341533225648</v>
      </c>
      <c r="Z28" s="3"/>
      <c r="AA28" s="11">
        <f>('[1]资源-铁'!T30-'[1]资源-铁'!T29)*'[1]功能-付费相关'!X30/节奏总纲!W28</f>
        <v>0</v>
      </c>
      <c r="AB28" s="11">
        <f>('[1]资源-铁'!U30-'[1]资源-铁'!U29)*'[1]功能-付费相关'!Y30/节奏总纲!X28</f>
        <v>0</v>
      </c>
      <c r="AC28" s="11">
        <f>('[1]资源-铁'!V30-'[1]资源-铁'!V29)*'[1]功能-付费相关'!Z30/节奏总纲!Y28</f>
        <v>0</v>
      </c>
      <c r="AD28" s="11">
        <f>('[1]资源-铁'!W30-'[1]资源-铁'!W29)*'[1]功能-付费相关'!AA30/节奏总纲!Z28</f>
        <v>0</v>
      </c>
      <c r="AE28" s="11">
        <f>('[1]资源-铁'!X30-'[1]资源-铁'!X29)*'[1]功能-付费相关'!AB30/节奏总纲!AA28</f>
        <v>0</v>
      </c>
      <c r="AG28" s="11">
        <f>('[1]资源-银币'!Y30-'[1]资源-银币'!Y29)*'[1]功能-付费相关'!AQ30/节奏总纲!W28</f>
        <v>3119.5901120815201</v>
      </c>
      <c r="AH28" s="11">
        <f>('[1]资源-银币'!Z30-'[1]资源-银币'!Z29)*'[1]功能-付费相关'!AR30/节奏总纲!X28</f>
        <v>3722.4714458449862</v>
      </c>
      <c r="AI28" s="11">
        <f>('[1]资源-银币'!AA30-'[1]资源-银币'!AA29)*'[1]功能-付费相关'!AS30/节奏总纲!Y28</f>
        <v>4877.9132074259987</v>
      </c>
      <c r="AJ28" s="11">
        <f>('[1]资源-银币'!AB30-'[1]资源-银币'!AB29)*'[1]功能-付费相关'!AT30/节奏总纲!Z28</f>
        <v>6598.6782485209533</v>
      </c>
      <c r="AK28" s="11">
        <f>('[1]资源-银币'!AC30-'[1]资源-银币'!AC29)*'[1]功能-付费相关'!AU30/节奏总纲!AA28</f>
        <v>20843.769206474812</v>
      </c>
      <c r="AM28" s="11" t="e">
        <f>(#REF!-#REF!)*'[1]功能-付费相关'!CA30/节奏总纲!W28</f>
        <v>#REF!</v>
      </c>
      <c r="AN28" s="11" t="e">
        <f>(#REF!-#REF!)*'[1]功能-付费相关'!CB30/节奏总纲!X28</f>
        <v>#REF!</v>
      </c>
      <c r="AO28" s="11" t="e">
        <f>(#REF!-#REF!)*'[1]功能-付费相关'!CC30/节奏总纲!Y28</f>
        <v>#REF!</v>
      </c>
      <c r="AP28" s="11" t="e">
        <f>(#REF!-#REF!)*'[1]功能-付费相关'!CD30/节奏总纲!Z28</f>
        <v>#REF!</v>
      </c>
      <c r="AQ28" s="11" t="e">
        <f>(#REF!-#REF!)*'[1]功能-付费相关'!CE30/节奏总纲!AA28</f>
        <v>#REF!</v>
      </c>
      <c r="AR28" s="21"/>
      <c r="AS28" s="11">
        <f>(信息索引!U30-信息索引!U29)*'[1]功能-付费相关'!BI30/节奏总纲!W28</f>
        <v>5033.8010879444028</v>
      </c>
      <c r="AT28" s="11">
        <f>(信息索引!V30-信息索引!V29)*'[1]功能-付费相关'!BJ30/节奏总纲!X28</f>
        <v>5468.0017405190702</v>
      </c>
      <c r="AU28" s="11">
        <f>(信息索引!W30-信息索引!W29)*'[1]功能-付费相关'!BK30/节奏总纲!Y28</f>
        <v>7001.6933983180061</v>
      </c>
      <c r="AV28" s="11">
        <f>(信息索引!X30-信息索引!X29)*'[1]功能-付费相关'!BL30/节奏总纲!Z28</f>
        <v>9678.9644819060704</v>
      </c>
      <c r="AW28" s="11">
        <f>(信息索引!Y30-信息索引!Y29)*'[1]功能-付费相关'!BM30/节奏总纲!AA28</f>
        <v>21306.792715393829</v>
      </c>
      <c r="AY28" s="11">
        <f>('[1]资源-武将经验'!T30*节奏总纲!BJ28-'[1]资源-武将经验'!T29*节奏总纲!BJ27)*'[1]功能-付费相关'!AZ30/节奏总纲!W28</f>
        <v>3774.848492249725</v>
      </c>
      <c r="AZ28" s="11">
        <f>('[1]资源-武将经验'!U30*节奏总纲!BK28-'[1]资源-武将经验'!U29*节奏总纲!BK27)*'[1]功能-付费相关'!BA30/节奏总纲!X28</f>
        <v>4038.8477175031981</v>
      </c>
      <c r="BA28" s="11">
        <f>('[1]资源-武将经验'!V30*节奏总纲!BL28-'[1]资源-武将经验'!V29*节奏总纲!BL27)*'[1]功能-付费相关'!BB30/节奏总纲!Y28</f>
        <v>5199.65259699123</v>
      </c>
      <c r="BB28" s="11">
        <f>('[1]资源-武将经验'!W30*节奏总纲!BM28-'[1]资源-武将经验'!W29*节奏总纲!BM27)*'[1]功能-付费相关'!BC30/节奏总纲!Z28</f>
        <v>12344.481347387928</v>
      </c>
      <c r="BC28" s="11">
        <f>('[1]资源-武将经验'!X30*节奏总纲!BN28-'[1]资源-武将经验'!X29*节奏总纲!BN27)*'[1]功能-付费相关'!BD30/节奏总纲!AA28</f>
        <v>27235.644629175127</v>
      </c>
      <c r="BD28" s="29"/>
      <c r="BE28" s="33" t="e">
        <f t="shared" si="1"/>
        <v>#REF!</v>
      </c>
      <c r="BF28" s="33" t="e">
        <f t="shared" si="2"/>
        <v>#REF!</v>
      </c>
      <c r="BG28" s="33" t="e">
        <f t="shared" si="3"/>
        <v>#REF!</v>
      </c>
      <c r="BH28" s="33" t="e">
        <f t="shared" si="4"/>
        <v>#REF!</v>
      </c>
      <c r="BI28" s="33" t="e">
        <f t="shared" si="5"/>
        <v>#REF!</v>
      </c>
      <c r="BJ28" s="29"/>
      <c r="BK28" s="29"/>
      <c r="BL28" s="29"/>
      <c r="BM28" s="29"/>
      <c r="BN28" s="29"/>
    </row>
    <row r="29" spans="2:66" x14ac:dyDescent="0.15">
      <c r="B29" s="5">
        <v>26</v>
      </c>
      <c r="C29" s="5">
        <f>'[1]资源-玩家城池建筑时间'!AJ31*'[1]功能-付费相关'!AH31/节奏总纲!W29</f>
        <v>6407.1406881286612</v>
      </c>
      <c r="D29" s="5">
        <f>'[1]资源-玩家城池建筑时间'!AK31*'[1]功能-付费相关'!AI31/节奏总纲!X29</f>
        <v>8100.5191686445714</v>
      </c>
      <c r="E29" s="5">
        <f>'[1]资源-玩家城池建筑时间'!AL31*'[1]功能-付费相关'!AJ31/节奏总纲!Y29</f>
        <v>10907.062133952852</v>
      </c>
      <c r="F29" s="5">
        <f>'[1]资源-玩家城池建筑时间'!AM31*'[1]功能-付费相关'!AK31/节奏总纲!Z29</f>
        <v>16654.596568915855</v>
      </c>
      <c r="G29" s="5">
        <f>'[1]资源-玩家城池建筑时间'!AN31*'[1]功能-付费相关'!AL31/节奏总纲!AA29</f>
        <v>33542.296027928795</v>
      </c>
      <c r="H29" s="3"/>
      <c r="I29" s="28">
        <f>'[1]资源-士兵训练时间'!AB31*'[1]功能-付费相关'!AH31/节奏总纲!W29</f>
        <v>2911.889048666671</v>
      </c>
      <c r="J29" s="28">
        <f>'[1]资源-士兵训练时间'!AC31*'[1]功能-付费相关'!AI31/节奏总纲!X29</f>
        <v>4008.6398575288695</v>
      </c>
      <c r="K29" s="28">
        <f>'[1]资源-士兵训练时间'!AD31*'[1]功能-付费相关'!AJ31/节奏总纲!Y29</f>
        <v>6671.8399376463085</v>
      </c>
      <c r="L29" s="28">
        <f>'[1]资源-士兵训练时间'!AE31*'[1]功能-付费相关'!AK31/节奏总纲!Z29</f>
        <v>11255.647487267051</v>
      </c>
      <c r="M29" s="28">
        <f>'[1]资源-士兵训练时间'!AF31*'[1]功能-付费相关'!AL31/节奏总纲!AA29</f>
        <v>25009.834514908525</v>
      </c>
      <c r="N29" s="34"/>
      <c r="O29" s="34">
        <f>'[1]资源-士兵招募时间'!AC31*'[1]功能-付费相关'!AH31/节奏总纲!W29</f>
        <v>2118.2942838034064</v>
      </c>
      <c r="P29" s="34">
        <f>'[1]资源-士兵招募时间'!AD31*'[1]功能-付费相关'!AI31/节奏总纲!X29</f>
        <v>2941.2575053294645</v>
      </c>
      <c r="Q29" s="34">
        <f>'[1]资源-士兵招募时间'!AE31*'[1]功能-付费相关'!AJ31/节奏总纲!Y29</f>
        <v>3912.930636776749</v>
      </c>
      <c r="R29" s="34">
        <f>'[1]资源-士兵招募时间'!AF31*'[1]功能-付费相关'!AK31/节奏总纲!Z29</f>
        <v>3959.0491485331981</v>
      </c>
      <c r="S29" s="34">
        <f>'[1]资源-士兵招募时间'!AG31*'[1]功能-付费相关'!AL31/节奏总纲!AA29</f>
        <v>3501.5003637608861</v>
      </c>
      <c r="T29" s="34"/>
      <c r="U29" s="5">
        <f>('[1]资源-木石铜粮'!U31-'[1]资源-木石铜粮'!U30)*'[1]功能-付费相关'!S31/节奏总纲!W29</f>
        <v>3303.4926751116823</v>
      </c>
      <c r="V29" s="5">
        <f>('[1]资源-木石铜粮'!V31-'[1]资源-木石铜粮'!V30)*'[1]功能-付费相关'!T31/节奏总纲!X29</f>
        <v>4185.23227427643</v>
      </c>
      <c r="W29" s="5">
        <f>('[1]资源-木石铜粮'!W31-'[1]资源-木石铜粮'!W30)*'[1]功能-付费相关'!U31/节奏总纲!Y29</f>
        <v>5702.94477768658</v>
      </c>
      <c r="X29" s="5">
        <f>('[1]资源-木石铜粮'!X31-'[1]资源-木石铜粮'!X30)*'[1]功能-付费相关'!V31/节奏总纲!Z29</f>
        <v>7783.2980126217863</v>
      </c>
      <c r="Y29" s="5">
        <f>('[1]资源-木石铜粮'!Y31-'[1]资源-木石铜粮'!Y30)*'[1]功能-付费相关'!W31/节奏总纲!AA29</f>
        <v>12662.845437332915</v>
      </c>
      <c r="Z29" s="3"/>
      <c r="AA29" s="11">
        <f>('[1]资源-铁'!T31-'[1]资源-铁'!T30)*'[1]功能-付费相关'!X31/节奏总纲!W29</f>
        <v>0</v>
      </c>
      <c r="AB29" s="11">
        <f>('[1]资源-铁'!U31-'[1]资源-铁'!U30)*'[1]功能-付费相关'!Y31/节奏总纲!X29</f>
        <v>0</v>
      </c>
      <c r="AC29" s="11">
        <f>('[1]资源-铁'!V31-'[1]资源-铁'!V30)*'[1]功能-付费相关'!Z31/节奏总纲!Y29</f>
        <v>0</v>
      </c>
      <c r="AD29" s="11">
        <f>('[1]资源-铁'!W31-'[1]资源-铁'!W30)*'[1]功能-付费相关'!AA31/节奏总纲!Z29</f>
        <v>0</v>
      </c>
      <c r="AE29" s="11">
        <f>('[1]资源-铁'!X31-'[1]资源-铁'!X30)*'[1]功能-付费相关'!AB31/节奏总纲!AA29</f>
        <v>0</v>
      </c>
      <c r="AG29" s="11">
        <f>('[1]资源-银币'!Y31-'[1]资源-银币'!Y30)*'[1]功能-付费相关'!AQ31/节奏总纲!W29</f>
        <v>2938.2204526282362</v>
      </c>
      <c r="AH29" s="11">
        <f>('[1]资源-银币'!Z31-'[1]资源-银币'!Z30)*'[1]功能-付费相关'!AR31/节奏总纲!X29</f>
        <v>3374.9435604288569</v>
      </c>
      <c r="AI29" s="11">
        <f>('[1]资源-银币'!AA31-'[1]资源-银币'!AA30)*'[1]功能-付费相关'!AS31/节奏总纲!Y29</f>
        <v>4338.0795880724645</v>
      </c>
      <c r="AJ29" s="11">
        <f>('[1]资源-银币'!AB31-'[1]资源-银币'!AB30)*'[1]功能-付费相关'!AT31/节奏总纲!Z29</f>
        <v>9147.0804609940205</v>
      </c>
      <c r="AK29" s="11">
        <f>('[1]资源-银币'!AC31-'[1]资源-银币'!AC30)*'[1]功能-付费相关'!AU31/节奏总纲!AA29</f>
        <v>22099.425251347755</v>
      </c>
      <c r="AM29" s="11" t="e">
        <f>(#REF!-#REF!)*'[1]功能-付费相关'!CA31/节奏总纲!W29</f>
        <v>#REF!</v>
      </c>
      <c r="AN29" s="11" t="e">
        <f>(#REF!-#REF!)*'[1]功能-付费相关'!CB31/节奏总纲!X29</f>
        <v>#REF!</v>
      </c>
      <c r="AO29" s="11" t="e">
        <f>(#REF!-#REF!)*'[1]功能-付费相关'!CC31/节奏总纲!Y29</f>
        <v>#REF!</v>
      </c>
      <c r="AP29" s="11" t="e">
        <f>(#REF!-#REF!)*'[1]功能-付费相关'!CD31/节奏总纲!Z29</f>
        <v>#REF!</v>
      </c>
      <c r="AQ29" s="11" t="e">
        <f>(#REF!-#REF!)*'[1]功能-付费相关'!CE31/节奏总纲!AA29</f>
        <v>#REF!</v>
      </c>
      <c r="AR29" s="21"/>
      <c r="AS29" s="11">
        <f>(信息索引!U31-信息索引!U30)*'[1]功能-付费相关'!BI31/节奏总纲!W29</f>
        <v>4629.4249067587307</v>
      </c>
      <c r="AT29" s="11">
        <f>(信息索引!V31-信息索引!V30)*'[1]功能-付费相关'!BJ31/节奏总纲!X29</f>
        <v>5280.2379824319141</v>
      </c>
      <c r="AU29" s="11">
        <f>(信息索引!W31-信息索引!W30)*'[1]功能-付费相关'!BK31/节奏总纲!Y29</f>
        <v>6519.9346609122931</v>
      </c>
      <c r="AV29" s="11">
        <f>(信息索引!X31-信息索引!X30)*'[1]功能-付费相关'!BL31/节奏总纲!Z29</f>
        <v>9746.9201211246218</v>
      </c>
      <c r="AW29" s="11">
        <f>(信息索引!Y31-信息索引!Y30)*'[1]功能-付费相关'!BM31/节奏总纲!AA29</f>
        <v>21598.52596533185</v>
      </c>
      <c r="AY29" s="11">
        <f>('[1]资源-武将经验'!T31*节奏总纲!BJ29-'[1]资源-武将经验'!T30*节奏总纲!BJ28)*'[1]功能-付费相关'!AZ31/节奏总纲!W29</f>
        <v>3310.7345051612356</v>
      </c>
      <c r="AZ29" s="11">
        <f>('[1]资源-武将经验'!U31*节奏总纲!BK29-'[1]资源-武将经验'!U30*节奏总纲!BK28)*'[1]功能-付费相关'!BA31/节奏总纲!X29</f>
        <v>3719.1714778411774</v>
      </c>
      <c r="BA29" s="11">
        <f>('[1]资源-武将经验'!V31*节奏总纲!BL29-'[1]资源-武将经验'!V30*节奏总纲!BL28)*'[1]功能-付费相关'!BB31/节奏总纲!Y29</f>
        <v>4617.4130740881928</v>
      </c>
      <c r="BB29" s="11">
        <f>('[1]资源-武将经验'!W31*节奏总纲!BM29-'[1]资源-武将经验'!W30*节奏总纲!BM28)*'[1]功能-付费相关'!BC31/节奏总纲!Z29</f>
        <v>11853.687348351843</v>
      </c>
      <c r="BC29" s="11">
        <f>('[1]资源-武将经验'!X31*节奏总纲!BN29-'[1]资源-武将经验'!X30*节奏总纲!BN28)*'[1]功能-付费相关'!BD31/节奏总纲!AA29</f>
        <v>26327.480049487767</v>
      </c>
      <c r="BD29" s="29"/>
      <c r="BE29" s="33" t="e">
        <f t="shared" si="1"/>
        <v>#REF!</v>
      </c>
      <c r="BF29" s="33" t="e">
        <f t="shared" si="2"/>
        <v>#REF!</v>
      </c>
      <c r="BG29" s="33" t="e">
        <f t="shared" si="3"/>
        <v>#REF!</v>
      </c>
      <c r="BH29" s="33" t="e">
        <f t="shared" si="4"/>
        <v>#REF!</v>
      </c>
      <c r="BI29" s="33" t="e">
        <f t="shared" si="5"/>
        <v>#REF!</v>
      </c>
      <c r="BJ29" s="29"/>
      <c r="BK29" s="29"/>
      <c r="BL29" s="29"/>
      <c r="BM29" s="29"/>
      <c r="BN29" s="29"/>
    </row>
    <row r="30" spans="2:66" x14ac:dyDescent="0.15">
      <c r="B30" s="5">
        <v>27</v>
      </c>
      <c r="C30" s="5">
        <f>'[1]资源-玩家城池建筑时间'!AJ32*'[1]功能-付费相关'!AH32/节奏总纲!W30</f>
        <v>6293.6110869602717</v>
      </c>
      <c r="D30" s="5">
        <f>'[1]资源-玩家城池建筑时间'!AK32*'[1]功能-付费相关'!AI32/节奏总纲!X30</f>
        <v>7938.5322990229524</v>
      </c>
      <c r="E30" s="5">
        <f>'[1]资源-玩家城池建筑时间'!AL32*'[1]功能-付费相关'!AJ32/节奏总纲!Y30</f>
        <v>10726.913317242417</v>
      </c>
      <c r="F30" s="5">
        <f>'[1]资源-玩家城池建筑时间'!AM32*'[1]功能-付费相关'!AK32/节奏总纲!Z30</f>
        <v>16275.485682632663</v>
      </c>
      <c r="G30" s="5">
        <f>'[1]资源-玩家城池建筑时间'!AN32*'[1]功能-付费相关'!AL32/节奏总纲!AA30</f>
        <v>32846.713009230632</v>
      </c>
      <c r="H30" s="3"/>
      <c r="I30" s="28">
        <f>'[1]资源-士兵训练时间'!AB32*'[1]功能-付费相关'!AH32/节奏总纲!W30</f>
        <v>2875.8527421079821</v>
      </c>
      <c r="J30" s="28">
        <f>'[1]资源-士兵训练时间'!AC32*'[1]功能-付费相关'!AI32/节奏总纲!X30</f>
        <v>3945.4942727115208</v>
      </c>
      <c r="K30" s="28">
        <f>'[1]资源-士兵训练时间'!AD32*'[1]功能-付费相关'!AJ32/节奏总纲!Y30</f>
        <v>6473.332024266695</v>
      </c>
      <c r="L30" s="28">
        <f>'[1]资源-士兵训练时间'!AE32*'[1]功能-付费相关'!AK32/节奏总纲!Z30</f>
        <v>10921.806989901135</v>
      </c>
      <c r="M30" s="28">
        <f>'[1]资源-士兵训练时间'!AF32*'[1]功能-付费相关'!AL32/节奏总纲!AA30</f>
        <v>24947.481925967124</v>
      </c>
      <c r="N30" s="34"/>
      <c r="O30" s="34">
        <f>'[1]资源-士兵招募时间'!AC32*'[1]功能-付费相关'!AH32/节奏总纲!W30</f>
        <v>2060.6436001030374</v>
      </c>
      <c r="P30" s="34">
        <f>'[1]资源-士兵招募时间'!AD32*'[1]功能-付费相关'!AI32/节奏总纲!X30</f>
        <v>2843.8749763124579</v>
      </c>
      <c r="Q30" s="34">
        <f>'[1]资源-士兵招募时间'!AE32*'[1]功能-付费相关'!AJ32/节奏总纲!Y30</f>
        <v>3785.37430839016</v>
      </c>
      <c r="R30" s="34">
        <f>'[1]资源-士兵招募时间'!AF32*'[1]功能-付费相关'!AK32/节奏总纲!Z30</f>
        <v>3868.9132014927459</v>
      </c>
      <c r="S30" s="34">
        <f>'[1]资源-士兵招募时间'!AG32*'[1]功能-付费相关'!AL32/节奏总纲!AA30</f>
        <v>3308.8745170023039</v>
      </c>
      <c r="T30" s="34"/>
      <c r="U30" s="5">
        <f>('[1]资源-木石铜粮'!U32-'[1]资源-木石铜粮'!U31)*'[1]功能-付费相关'!S32/节奏总纲!W30</f>
        <v>3277.832726821091</v>
      </c>
      <c r="V30" s="5">
        <f>('[1]资源-木石铜粮'!V32-'[1]资源-木石铜粮'!V31)*'[1]功能-付费相关'!T32/节奏总纲!X30</f>
        <v>4150.8567431481079</v>
      </c>
      <c r="W30" s="5">
        <f>('[1]资源-木石铜粮'!W32-'[1]资源-木石铜粮'!W31)*'[1]功能-付费相关'!U32/节奏总纲!Y30</f>
        <v>5521.6390285847137</v>
      </c>
      <c r="X30" s="5">
        <f>('[1]资源-木石铜粮'!X32-'[1]资源-木石铜粮'!X31)*'[1]功能-付费相关'!V32/节奏总纲!Z30</f>
        <v>7621.5883832761865</v>
      </c>
      <c r="Y30" s="5">
        <f>('[1]资源-木石铜粮'!Y32-'[1]资源-木石铜粮'!Y31)*'[1]功能-付费相关'!W32/节奏总纲!AA30</f>
        <v>12716.200989745317</v>
      </c>
      <c r="Z30" s="3"/>
      <c r="AA30" s="11">
        <f>('[1]资源-铁'!T32-'[1]资源-铁'!T31)*'[1]功能-付费相关'!X32/节奏总纲!W30</f>
        <v>0</v>
      </c>
      <c r="AB30" s="11">
        <f>('[1]资源-铁'!U32-'[1]资源-铁'!U31)*'[1]功能-付费相关'!Y32/节奏总纲!X30</f>
        <v>0</v>
      </c>
      <c r="AC30" s="11">
        <f>('[1]资源-铁'!V32-'[1]资源-铁'!V31)*'[1]功能-付费相关'!Z32/节奏总纲!Y30</f>
        <v>0</v>
      </c>
      <c r="AD30" s="11">
        <f>('[1]资源-铁'!W32-'[1]资源-铁'!W31)*'[1]功能-付费相关'!AA32/节奏总纲!Z30</f>
        <v>0</v>
      </c>
      <c r="AE30" s="11">
        <f>('[1]资源-铁'!X32-'[1]资源-铁'!X31)*'[1]功能-付费相关'!AB32/节奏总纲!AA30</f>
        <v>118.37318942085631</v>
      </c>
      <c r="AG30" s="11">
        <f>('[1]资源-银币'!Y32-'[1]资源-银币'!Y31)*'[1]功能-付费相关'!AQ32/节奏总纲!W30</f>
        <v>2570.601015574528</v>
      </c>
      <c r="AH30" s="11">
        <f>('[1]资源-银币'!Z32-'[1]资源-银币'!Z31)*'[1]功能-付费相关'!AR32/节奏总纲!X30</f>
        <v>3028.3710884366405</v>
      </c>
      <c r="AI30" s="11">
        <f>('[1]资源-银币'!AA32-'[1]资源-银币'!AA31)*'[1]功能-付费相关'!AS32/节奏总纲!Y30</f>
        <v>5286.3047515205399</v>
      </c>
      <c r="AJ30" s="11">
        <f>('[1]资源-银币'!AB32-'[1]资源-银币'!AB31)*'[1]功能-付费相关'!AT32/节奏总纲!Z30</f>
        <v>9845.7269437039777</v>
      </c>
      <c r="AK30" s="11">
        <f>('[1]资源-银币'!AC32-'[1]资源-银币'!AC31)*'[1]功能-付费相关'!AU32/节奏总纲!AA30</f>
        <v>24690.138174282274</v>
      </c>
      <c r="AM30" s="11" t="e">
        <f>(#REF!-#REF!)*'[1]功能-付费相关'!CA32/节奏总纲!W30</f>
        <v>#REF!</v>
      </c>
      <c r="AN30" s="11" t="e">
        <f>(#REF!-#REF!)*'[1]功能-付费相关'!CB32/节奏总纲!X30</f>
        <v>#REF!</v>
      </c>
      <c r="AO30" s="11" t="e">
        <f>(#REF!-#REF!)*'[1]功能-付费相关'!CC32/节奏总纲!Y30</f>
        <v>#REF!</v>
      </c>
      <c r="AP30" s="11" t="e">
        <f>(#REF!-#REF!)*'[1]功能-付费相关'!CD32/节奏总纲!Z30</f>
        <v>#REF!</v>
      </c>
      <c r="AQ30" s="11" t="e">
        <f>(#REF!-#REF!)*'[1]功能-付费相关'!CE32/节奏总纲!AA30</f>
        <v>#REF!</v>
      </c>
      <c r="AR30" s="21"/>
      <c r="AS30" s="11">
        <f>(信息索引!U32-信息索引!U31)*'[1]功能-付费相关'!BI32/节奏总纲!W30</f>
        <v>4252.6753596828494</v>
      </c>
      <c r="AT30" s="11">
        <f>(信息索引!V32-信息索引!V31)*'[1]功能-付费相关'!BJ32/节奏总纲!X30</f>
        <v>4954.6818356421327</v>
      </c>
      <c r="AU30" s="11">
        <f>(信息索引!W32-信息索引!W31)*'[1]功能-付费相关'!BK32/节奏总纲!Y30</f>
        <v>6216.5498143033019</v>
      </c>
      <c r="AV30" s="11">
        <f>(信息索引!X32-信息索引!X31)*'[1]功能-付费相关'!BL32/节奏总纲!Z30</f>
        <v>9548.8293088920727</v>
      </c>
      <c r="AW30" s="11">
        <f>(信息索引!Y32-信息索引!Y31)*'[1]功能-付费相关'!BM32/节奏总纲!AA30</f>
        <v>19533.404222302743</v>
      </c>
      <c r="AY30" s="11">
        <f>('[1]资源-武将经验'!T32*节奏总纲!BJ30-'[1]资源-武将经验'!T31*节奏总纲!BJ29)*'[1]功能-付费相关'!AZ32/节奏总纲!W30</f>
        <v>2900.5433567692917</v>
      </c>
      <c r="AZ30" s="11">
        <f>('[1]资源-武将经验'!U32*节奏总纲!BK30-'[1]资源-武将经验'!U31*节奏总纲!BK29)*'[1]功能-付费相关'!BA32/节奏总纲!X30</f>
        <v>3328.1296630668567</v>
      </c>
      <c r="BA30" s="11">
        <f>('[1]资源-武将经验'!V32*节奏总纲!BL30-'[1]资源-武将经验'!V31*节奏总纲!BL29)*'[1]功能-付费相关'!BB32/节奏总纲!Y30</f>
        <v>4198.7086755202572</v>
      </c>
      <c r="BB30" s="11">
        <f>('[1]资源-武将经验'!W32*节奏总纲!BM30-'[1]资源-武将经验'!W31*节奏总纲!BM29)*'[1]功能-付费相关'!BC32/节奏总纲!Z30</f>
        <v>11074.077847668254</v>
      </c>
      <c r="BC30" s="11">
        <f>('[1]资源-武将经验'!X32*节奏总纲!BN30-'[1]资源-武将经验'!X31*节奏总纲!BN29)*'[1]功能-付费相关'!BD32/节奏总纲!AA30</f>
        <v>22706.829433308278</v>
      </c>
      <c r="BD30" s="29"/>
      <c r="BE30" s="33" t="e">
        <f t="shared" si="1"/>
        <v>#REF!</v>
      </c>
      <c r="BF30" s="33" t="e">
        <f t="shared" si="2"/>
        <v>#REF!</v>
      </c>
      <c r="BG30" s="33" t="e">
        <f t="shared" si="3"/>
        <v>#REF!</v>
      </c>
      <c r="BH30" s="33" t="e">
        <f t="shared" si="4"/>
        <v>#REF!</v>
      </c>
      <c r="BI30" s="33" t="e">
        <f t="shared" si="5"/>
        <v>#REF!</v>
      </c>
      <c r="BJ30" s="29"/>
      <c r="BK30" s="29"/>
      <c r="BL30" s="29"/>
      <c r="BM30" s="29"/>
      <c r="BN30" s="29"/>
    </row>
    <row r="31" spans="2:66" x14ac:dyDescent="0.15">
      <c r="B31" s="5">
        <v>28</v>
      </c>
      <c r="C31" s="5">
        <f>'[1]资源-玩家城池建筑时间'!AJ33*'[1]功能-付费相关'!AH33/节奏总纲!W31</f>
        <v>6163.1305700139274</v>
      </c>
      <c r="D31" s="5">
        <f>'[1]资源-玩家城池建筑时间'!AK33*'[1]功能-付费相关'!AI33/节奏总纲!X31</f>
        <v>7787.218653748675</v>
      </c>
      <c r="E31" s="5">
        <f>'[1]资源-玩家城池建筑时间'!AL33*'[1]功能-付费相关'!AJ33/节奏总纲!Y31</f>
        <v>10529.64825802905</v>
      </c>
      <c r="F31" s="5">
        <f>'[1]资源-玩家城池建筑时间'!AM33*'[1]功能-付费相关'!AK33/节奏总纲!Z31</f>
        <v>15901.507324181584</v>
      </c>
      <c r="G31" s="5">
        <f>'[1]资源-玩家城池建筑时间'!AN33*'[1]功能-付费相关'!AL33/节奏总纲!AA31</f>
        <v>31913.950572940132</v>
      </c>
      <c r="H31" s="3"/>
      <c r="I31" s="28">
        <f>'[1]资源-士兵训练时间'!AB33*'[1]功能-付费相关'!AH33/节奏总纲!W31</f>
        <v>2827.486002161806</v>
      </c>
      <c r="J31" s="28">
        <f>'[1]资源-士兵训练时间'!AC33*'[1]功能-付费相关'!AI33/节奏总纲!X31</f>
        <v>3828.2565087115877</v>
      </c>
      <c r="K31" s="28">
        <f>'[1]资源-士兵训练时间'!AD33*'[1]功能-付费相关'!AJ33/节奏总纲!Y31</f>
        <v>6280.9000365205575</v>
      </c>
      <c r="L31" s="28">
        <f>'[1]资源-士兵训练时间'!AE33*'[1]功能-付费相关'!AK33/节奏总纲!Z31</f>
        <v>10819.471682784952</v>
      </c>
      <c r="M31" s="28">
        <f>'[1]资源-士兵训练时间'!AF33*'[1]功能-付费相关'!AL33/节奏总纲!AA31</f>
        <v>24297.145384265128</v>
      </c>
      <c r="N31" s="34"/>
      <c r="O31" s="34">
        <f>'[1]资源-士兵招募时间'!AC33*'[1]功能-付费相关'!AH33/节奏总纲!W31</f>
        <v>1995.8113248928651</v>
      </c>
      <c r="P31" s="34">
        <f>'[1]资源-士兵招募时间'!AD33*'[1]功能-付费相关'!AI33/节奏总纲!X31</f>
        <v>2752.4694249365371</v>
      </c>
      <c r="Q31" s="34">
        <f>'[1]资源-士兵招募时间'!AE33*'[1]功能-付费相关'!AJ33/节奏总纲!Y31</f>
        <v>3694.5499314166054</v>
      </c>
      <c r="R31" s="34">
        <f>'[1]资源-士兵招募时间'!AF33*'[1]功能-付费相关'!AK33/节奏总纲!Z31</f>
        <v>3645.6295736547581</v>
      </c>
      <c r="S31" s="34">
        <f>'[1]资源-士兵招募时间'!AG33*'[1]功能-付费相关'!AL33/节奏总纲!AA31</f>
        <v>3085.8545489299727</v>
      </c>
      <c r="T31" s="34"/>
      <c r="U31" s="5">
        <f>('[1]资源-木石铜粮'!U33-'[1]资源-木石铜粮'!U32)*'[1]功能-付费相关'!S33/节奏总纲!W31</f>
        <v>3211.9716590329685</v>
      </c>
      <c r="V31" s="5">
        <f>('[1]资源-木石铜粮'!V33-'[1]资源-木石铜粮'!V32)*'[1]功能-付费相关'!T33/节奏总纲!X31</f>
        <v>4039.4210988381742</v>
      </c>
      <c r="W31" s="5">
        <f>('[1]资源-木石铜粮'!W33-'[1]资源-木石铜粮'!W32)*'[1]功能-付费相关'!U33/节奏总纲!Y31</f>
        <v>5242.0002683618432</v>
      </c>
      <c r="X31" s="5">
        <f>('[1]资源-木石铜粮'!X33-'[1]资源-木石铜粮'!X32)*'[1]功能-付费相关'!V33/节奏总纲!Z31</f>
        <v>6804.8381448407781</v>
      </c>
      <c r="Y31" s="5">
        <f>('[1]资源-木石铜粮'!Y33-'[1]资源-木石铜粮'!Y32)*'[1]功能-付费相关'!W33/节奏总纲!AA31</f>
        <v>11649.467005326713</v>
      </c>
      <c r="Z31" s="3"/>
      <c r="AA31" s="11">
        <f>('[1]资源-铁'!T33-'[1]资源-铁'!T32)*'[1]功能-付费相关'!X33/节奏总纲!W31</f>
        <v>0</v>
      </c>
      <c r="AB31" s="11">
        <f>('[1]资源-铁'!U33-'[1]资源-铁'!U32)*'[1]功能-付费相关'!Y33/节奏总纲!X31</f>
        <v>0</v>
      </c>
      <c r="AC31" s="11">
        <f>('[1]资源-铁'!V33-'[1]资源-铁'!V32)*'[1]功能-付费相关'!Z33/节奏总纲!Y31</f>
        <v>0</v>
      </c>
      <c r="AD31" s="11">
        <f>('[1]资源-铁'!W33-'[1]资源-铁'!W32)*'[1]功能-付费相关'!AA33/节奏总纲!Z31</f>
        <v>35.771645175144037</v>
      </c>
      <c r="AE31" s="11">
        <f>('[1]资源-铁'!X33-'[1]资源-铁'!X32)*'[1]功能-付费相关'!AB33/节奏总纲!AA31</f>
        <v>124.64295897656081</v>
      </c>
      <c r="AG31" s="11">
        <f>('[1]资源-银币'!Y33-'[1]资源-银币'!Y32)*'[1]功能-付费相关'!AQ33/节奏总纲!W31</f>
        <v>2283.9956083513871</v>
      </c>
      <c r="AH31" s="11">
        <f>('[1]资源-银币'!Z33-'[1]资源-银币'!Z32)*'[1]功能-付费相关'!AR33/节奏总纲!X31</f>
        <v>3495.2504623909849</v>
      </c>
      <c r="AI31" s="11">
        <f>('[1]资源-银币'!AA33-'[1]资源-银币'!AA32)*'[1]功能-付费相关'!AS33/节奏总纲!Y31</f>
        <v>6070.1132658456318</v>
      </c>
      <c r="AJ31" s="11">
        <f>('[1]资源-银币'!AB33-'[1]资源-银币'!AB32)*'[1]功能-付费相关'!AT33/节奏总纲!Z31</f>
        <v>10939.326447671781</v>
      </c>
      <c r="AK31" s="11">
        <f>('[1]资源-银币'!AC33-'[1]资源-银币'!AC32)*'[1]功能-付费相关'!AU33/节奏总纲!AA31</f>
        <v>25232.135534942037</v>
      </c>
      <c r="AM31" s="11" t="e">
        <f>(#REF!-#REF!)*'[1]功能-付费相关'!CA33/节奏总纲!W31</f>
        <v>#REF!</v>
      </c>
      <c r="AN31" s="11" t="e">
        <f>(#REF!-#REF!)*'[1]功能-付费相关'!CB33/节奏总纲!X31</f>
        <v>#REF!</v>
      </c>
      <c r="AO31" s="11" t="e">
        <f>(#REF!-#REF!)*'[1]功能-付费相关'!CC33/节奏总纲!Y31</f>
        <v>#REF!</v>
      </c>
      <c r="AP31" s="11" t="e">
        <f>(#REF!-#REF!)*'[1]功能-付费相关'!CD33/节奏总纲!Z31</f>
        <v>#REF!</v>
      </c>
      <c r="AQ31" s="11" t="e">
        <f>(#REF!-#REF!)*'[1]功能-付费相关'!CE33/节奏总纲!AA31</f>
        <v>#REF!</v>
      </c>
      <c r="AR31" s="21"/>
      <c r="AS31" s="11">
        <f>(信息索引!U33-信息索引!U32)*'[1]功能-付费相关'!BI33/节奏总纲!W31</f>
        <v>3902.415425606905</v>
      </c>
      <c r="AT31" s="11">
        <f>(信息索引!V33-信息索引!V32)*'[1]功能-付费相关'!BJ33/节奏总纲!X31</f>
        <v>4589.9062415590233</v>
      </c>
      <c r="AU31" s="11">
        <f>(信息索引!W33-信息索引!W32)*'[1]功能-付费相关'!BK33/节奏总纲!Y31</f>
        <v>5645.7719305302353</v>
      </c>
      <c r="AV31" s="11">
        <f>(信息索引!X33-信息索引!X32)*'[1]功能-付费相关'!BL33/节奏总纲!Z31</f>
        <v>7405.5612069486097</v>
      </c>
      <c r="AW31" s="11">
        <f>(信息索引!Y33-信息索引!Y32)*'[1]功能-付费相关'!BM33/节奏总纲!AA31</f>
        <v>16537.373921573409</v>
      </c>
      <c r="AY31" s="11">
        <f>('[1]资源-武将经验'!T33*节奏总纲!BJ31-'[1]资源-武将经验'!T32*节奏总纲!BJ30)*'[1]功能-付费相关'!AZ33/节奏总纲!W31</f>
        <v>2538.5983728554179</v>
      </c>
      <c r="AZ31" s="11">
        <f>('[1]资源-武将经验'!U33*节奏总纲!BK31-'[1]资源-武将经验'!U32*节奏总纲!BK30)*'[1]功能-付费相关'!BA33/节奏总纲!X31</f>
        <v>3371.9498762579274</v>
      </c>
      <c r="BA31" s="11">
        <f>('[1]资源-武将经验'!V33*节奏总纲!BL31-'[1]资源-武将经验'!V32*节奏总纲!BL30)*'[1]功能-付费相关'!BB33/节奏总纲!Y31</f>
        <v>4138.9826505801166</v>
      </c>
      <c r="BB31" s="11">
        <f>('[1]资源-武将经验'!W33*节奏总纲!BM31-'[1]资源-武将经验'!W32*节奏总纲!BM30)*'[1]功能-付费相关'!BC33/节奏总纲!Z31</f>
        <v>11493.289961907934</v>
      </c>
      <c r="BC31" s="11">
        <f>('[1]资源-武将经验'!X33*节奏总纲!BN31-'[1]资源-武将经验'!X32*节奏总纲!BN30)*'[1]功能-付费相关'!BD33/节奏总纲!AA31</f>
        <v>27382.559940846571</v>
      </c>
      <c r="BD31" s="29"/>
      <c r="BE31" s="33" t="e">
        <f t="shared" si="1"/>
        <v>#REF!</v>
      </c>
      <c r="BF31" s="33" t="e">
        <f t="shared" si="2"/>
        <v>#REF!</v>
      </c>
      <c r="BG31" s="33" t="e">
        <f t="shared" si="3"/>
        <v>#REF!</v>
      </c>
      <c r="BH31" s="33" t="e">
        <f t="shared" si="4"/>
        <v>#REF!</v>
      </c>
      <c r="BI31" s="33" t="e">
        <f t="shared" si="5"/>
        <v>#REF!</v>
      </c>
      <c r="BJ31" s="29"/>
      <c r="BK31" s="29"/>
      <c r="BL31" s="29"/>
      <c r="BM31" s="29"/>
      <c r="BN31" s="29"/>
    </row>
    <row r="32" spans="2:66" x14ac:dyDescent="0.15">
      <c r="B32" s="5">
        <v>29</v>
      </c>
      <c r="C32" s="5">
        <f>'[1]资源-玩家城池建筑时间'!AJ34*'[1]功能-付费相关'!AH34/节奏总纲!W32</f>
        <v>6043.3648696291575</v>
      </c>
      <c r="D32" s="5">
        <f>'[1]资源-玩家城池建筑时间'!AK34*'[1]功能-付费相关'!AI34/节奏总纲!X32</f>
        <v>7663.8375913808377</v>
      </c>
      <c r="E32" s="5">
        <f>'[1]资源-玩家城池建筑时间'!AL34*'[1]功能-付费相关'!AJ34/节奏总纲!Y32</f>
        <v>10269.537874109854</v>
      </c>
      <c r="F32" s="5">
        <f>'[1]资源-玩家城池建筑时间'!AM34*'[1]功能-付费相关'!AK34/节奏总纲!Z32</f>
        <v>15485.375395698809</v>
      </c>
      <c r="G32" s="5">
        <f>'[1]资源-玩家城池建筑时间'!AN34*'[1]功能-付费相关'!AL34/节奏总纲!AA32</f>
        <v>32179.960793409398</v>
      </c>
      <c r="H32" s="3"/>
      <c r="I32" s="28">
        <f>'[1]资源-士兵训练时间'!AB34*'[1]功能-付费相关'!AH34/节奏总纲!W32</f>
        <v>2743.4851402544264</v>
      </c>
      <c r="J32" s="28">
        <f>'[1]资源-士兵训练时间'!AC34*'[1]功能-付费相关'!AI34/节奏总纲!X32</f>
        <v>3714.3060015177412</v>
      </c>
      <c r="K32" s="28">
        <f>'[1]资源-士兵训练时间'!AD34*'[1]功能-付费相关'!AJ34/节奏总纲!Y32</f>
        <v>6188.8021493845799</v>
      </c>
      <c r="L32" s="28">
        <f>'[1]资源-士兵训练时间'!AE34*'[1]功能-付费相关'!AK34/节奏总纲!Z32</f>
        <v>10610.575297262461</v>
      </c>
      <c r="M32" s="28">
        <f>'[1]资源-士兵训练时间'!AF34*'[1]功能-付费相关'!AL34/节奏总纲!AA32</f>
        <v>23586.14688466904</v>
      </c>
      <c r="N32" s="34"/>
      <c r="O32" s="34">
        <f>'[1]资源-士兵招募时间'!AC34*'[1]功能-付费相关'!AH34/节奏总纲!W32</f>
        <v>1926.5312503256609</v>
      </c>
      <c r="P32" s="34">
        <f>'[1]资源-士兵招募时间'!AD34*'[1]功能-付费相关'!AI34/节奏总纲!X32</f>
        <v>2640.6446619084818</v>
      </c>
      <c r="Q32" s="34">
        <f>'[1]资源-士兵招募时间'!AE34*'[1]功能-付费相关'!AJ34/节奏总纲!Y32</f>
        <v>3478.2643786063591</v>
      </c>
      <c r="R32" s="34">
        <f>'[1]资源-士兵招募时间'!AF34*'[1]功能-付费相关'!AK34/节奏总纲!Z32</f>
        <v>3705.386010789412</v>
      </c>
      <c r="S32" s="34">
        <f>'[1]资源-士兵招募时间'!AG34*'[1]功能-付费相关'!AL34/节奏总纲!AA32</f>
        <v>2894.4321343174829</v>
      </c>
      <c r="T32" s="34"/>
      <c r="U32" s="5">
        <f>('[1]资源-木石铜粮'!U34-'[1]资源-木石铜粮'!U33)*'[1]功能-付费相关'!S34/节奏总纲!W32</f>
        <v>3123.7583228384328</v>
      </c>
      <c r="V32" s="5">
        <f>('[1]资源-木石铜粮'!V34-'[1]资源-木石铜粮'!V33)*'[1]功能-付费相关'!T34/节奏总纲!X32</f>
        <v>3881.2866339519223</v>
      </c>
      <c r="W32" s="5">
        <f>('[1]资源-木石铜粮'!W34-'[1]资源-木石铜粮'!W33)*'[1]功能-付费相关'!U34/节奏总纲!Y32</f>
        <v>4931.7898754777161</v>
      </c>
      <c r="X32" s="5">
        <f>('[1]资源-木石铜粮'!X34-'[1]资源-木石铜粮'!X33)*'[1]功能-付费相关'!V34/节奏总纲!Z32</f>
        <v>6800.2346536046834</v>
      </c>
      <c r="Y32" s="5">
        <f>('[1]资源-木石铜粮'!Y34-'[1]资源-木石铜粮'!Y33)*'[1]功能-付费相关'!W34/节奏总纲!AA32</f>
        <v>11206.642371403483</v>
      </c>
      <c r="Z32" s="3"/>
      <c r="AA32" s="11">
        <f>('[1]资源-铁'!T34-'[1]资源-铁'!T33)*'[1]功能-付费相关'!X34/节奏总纲!W32</f>
        <v>0</v>
      </c>
      <c r="AB32" s="11">
        <f>('[1]资源-铁'!U34-'[1]资源-铁'!U33)*'[1]功能-付费相关'!Y34/节奏总纲!X32</f>
        <v>0</v>
      </c>
      <c r="AC32" s="11">
        <f>('[1]资源-铁'!V34-'[1]资源-铁'!V33)*'[1]功能-付费相关'!Z34/节奏总纲!Y32</f>
        <v>13.661641881925087</v>
      </c>
      <c r="AD32" s="11">
        <f>('[1]资源-铁'!W34-'[1]资源-铁'!W33)*'[1]功能-付费相关'!AA34/节奏总纲!Z32</f>
        <v>49.55506404025013</v>
      </c>
      <c r="AE32" s="11">
        <f>('[1]资源-铁'!X34-'[1]资源-铁'!X33)*'[1]功能-付费相关'!AB34/节奏总纲!AA32</f>
        <v>193.86635798037307</v>
      </c>
      <c r="AG32" s="11">
        <f>('[1]资源-银币'!Y34-'[1]资源-银币'!Y33)*'[1]功能-付费相关'!AQ34/节奏总纲!W32</f>
        <v>2683.296893098684</v>
      </c>
      <c r="AH32" s="11">
        <f>('[1]资源-银币'!Z34-'[1]资源-银币'!Z33)*'[1]功能-付费相关'!AR34/节奏总纲!X32</f>
        <v>4281.5027559808968</v>
      </c>
      <c r="AI32" s="11">
        <f>('[1]资源-银币'!AA34-'[1]资源-银币'!AA33)*'[1]功能-付费相关'!AS34/节奏总纲!Y32</f>
        <v>6894.9866206243405</v>
      </c>
      <c r="AJ32" s="11">
        <f>('[1]资源-银币'!AB34-'[1]资源-银币'!AB33)*'[1]功能-付费相关'!AT34/节奏总纲!Z32</f>
        <v>11831.018833039625</v>
      </c>
      <c r="AK32" s="11">
        <f>('[1]资源-银币'!AC34-'[1]资源-银币'!AC33)*'[1]功能-付费相关'!AU34/节奏总纲!AA32</f>
        <v>20247.036953127059</v>
      </c>
      <c r="AM32" s="11" t="e">
        <f>(#REF!-#REF!)*'[1]功能-付费相关'!CA34/节奏总纲!W32</f>
        <v>#REF!</v>
      </c>
      <c r="AN32" s="11" t="e">
        <f>(#REF!-#REF!)*'[1]功能-付费相关'!CB34/节奏总纲!X32</f>
        <v>#REF!</v>
      </c>
      <c r="AO32" s="11" t="e">
        <f>(#REF!-#REF!)*'[1]功能-付费相关'!CC34/节奏总纲!Y32</f>
        <v>#REF!</v>
      </c>
      <c r="AP32" s="11" t="e">
        <f>(#REF!-#REF!)*'[1]功能-付费相关'!CD34/节奏总纲!Z32</f>
        <v>#REF!</v>
      </c>
      <c r="AQ32" s="11" t="e">
        <f>(#REF!-#REF!)*'[1]功能-付费相关'!CE34/节奏总纲!AA32</f>
        <v>#REF!</v>
      </c>
      <c r="AR32" s="21"/>
      <c r="AS32" s="11">
        <f>(信息索引!U34-信息索引!U33)*'[1]功能-付费相关'!BI34/节奏总纲!W32</f>
        <v>3577.4185773575055</v>
      </c>
      <c r="AT32" s="11">
        <f>(信息索引!V34-信息索引!V33)*'[1]功能-付费相关'!BJ34/节奏总纲!X32</f>
        <v>4092.2478516301844</v>
      </c>
      <c r="AU32" s="11">
        <f>(信息索引!W34-信息索引!W33)*'[1]功能-付费相关'!BK34/节奏总纲!Y32</f>
        <v>4863.7351032274582</v>
      </c>
      <c r="AV32" s="11">
        <f>(信息索引!X34-信息索引!X33)*'[1]功能-付费相关'!BL34/节奏总纲!Z32</f>
        <v>7336.7852133847227</v>
      </c>
      <c r="AW32" s="11">
        <f>(信息索引!Y34-信息索引!Y33)*'[1]功能-付费相关'!BM34/节奏总纲!AA32</f>
        <v>14284.847082375119</v>
      </c>
      <c r="AY32" s="11">
        <f>('[1]资源-武将经验'!T34*节奏总纲!BJ32-'[1]资源-武将经验'!T33*节奏总纲!BJ31)*'[1]功能-付费相关'!AZ34/节奏总纲!W32</f>
        <v>3792.9040880419029</v>
      </c>
      <c r="AZ32" s="11">
        <f>('[1]资源-武将经验'!U34*节奏总纲!BK32-'[1]资源-武将经验'!U33*节奏总纲!BK31)*'[1]功能-付费相关'!BA34/节奏总纲!X32</f>
        <v>4352.7391585819532</v>
      </c>
      <c r="BA32" s="11">
        <f>('[1]资源-武将经验'!V34*节奏总纲!BL32-'[1]资源-武将经验'!V33*节奏总纲!BL31)*'[1]功能-付费相关'!BB34/节奏总纲!Y32</f>
        <v>5154.7491986787472</v>
      </c>
      <c r="BB32" s="11">
        <f>('[1]资源-武将经验'!W34*节奏总纲!BM32-'[1]资源-武将经验'!W33*节奏总纲!BM31)*'[1]功能-付费相关'!BC34/节奏总纲!Z32</f>
        <v>13159.547552521108</v>
      </c>
      <c r="BC32" s="11">
        <f>('[1]资源-武将经验'!X34*节奏总纲!BN32-'[1]资源-武将经验'!X33*节奏总纲!BN31)*'[1]功能-付费相关'!BD34/节奏总纲!AA32</f>
        <v>25609.096767038274</v>
      </c>
      <c r="BD32" s="29"/>
      <c r="BE32" s="33" t="e">
        <f t="shared" si="1"/>
        <v>#REF!</v>
      </c>
      <c r="BF32" s="33" t="e">
        <f t="shared" si="2"/>
        <v>#REF!</v>
      </c>
      <c r="BG32" s="33" t="e">
        <f t="shared" si="3"/>
        <v>#REF!</v>
      </c>
      <c r="BH32" s="33" t="e">
        <f t="shared" si="4"/>
        <v>#REF!</v>
      </c>
      <c r="BI32" s="33" t="e">
        <f t="shared" si="5"/>
        <v>#REF!</v>
      </c>
      <c r="BJ32" s="29"/>
      <c r="BK32" s="29"/>
      <c r="BL32" s="29"/>
      <c r="BM32" s="29"/>
      <c r="BN32" s="29"/>
    </row>
    <row r="33" spans="2:66" x14ac:dyDescent="0.15">
      <c r="B33" s="5">
        <v>30</v>
      </c>
      <c r="C33" s="5">
        <f>'[1]资源-玩家城池建筑时间'!AJ35*'[1]功能-付费相关'!AH35/节奏总纲!W33</f>
        <v>5949.8695683173555</v>
      </c>
      <c r="D33" s="5">
        <f>'[1]资源-玩家城池建筑时间'!AK35*'[1]功能-付费相关'!AI35/节奏总纲!X33</f>
        <v>7460.5822108603925</v>
      </c>
      <c r="E33" s="5">
        <f>'[1]资源-玩家城池建筑时间'!AL35*'[1]功能-付费相关'!AJ35/节奏总纲!Y33</f>
        <v>10018.475592051915</v>
      </c>
      <c r="F33" s="5">
        <f>'[1]资源-玩家城池建筑时间'!AM35*'[1]功能-付费相关'!AK35/节奏总纲!Z33</f>
        <v>15450.200956650517</v>
      </c>
      <c r="G33" s="5">
        <f>'[1]资源-玩家城池建筑时间'!AN35*'[1]功能-付费相关'!AL35/节奏总纲!AA33</f>
        <v>31311.783903796659</v>
      </c>
      <c r="H33" s="3"/>
      <c r="I33" s="28">
        <f>'[1]资源-士兵训练时间'!AB35*'[1]功能-付费相关'!AH35/节奏总纲!W33</f>
        <v>2661.808002022382</v>
      </c>
      <c r="J33" s="28">
        <f>'[1]资源-士兵训练时间'!AC35*'[1]功能-付费相关'!AI35/节奏总纲!X33</f>
        <v>3639.1093038220392</v>
      </c>
      <c r="K33" s="28">
        <f>'[1]资源-士兵训练时间'!AD35*'[1]功能-付费相关'!AJ35/节奏总纲!Y33</f>
        <v>6101.9172773976361</v>
      </c>
      <c r="L33" s="28">
        <f>'[1]资源-士兵训练时间'!AE35*'[1]功能-付费相关'!AK35/节奏总纲!Z33</f>
        <v>10299.215082316216</v>
      </c>
      <c r="M33" s="28">
        <f>'[1]资源-士兵训练时间'!AF35*'[1]功能-付费相关'!AL35/节奏总纲!AA33</f>
        <v>22742.676808844688</v>
      </c>
      <c r="N33" s="34"/>
      <c r="O33" s="34">
        <f>'[1]资源-士兵招募时间'!AC35*'[1]功能-付费相关'!AH35/节奏总纲!W33</f>
        <v>1867.8017138637595</v>
      </c>
      <c r="P33" s="34">
        <f>'[1]资源-士兵招募时间'!AD35*'[1]功能-付费相关'!AI35/节奏总纲!X33</f>
        <v>2551.8513982078957</v>
      </c>
      <c r="Q33" s="34">
        <f>'[1]资源-士兵招募时间'!AE35*'[1]功能-付费相关'!AJ35/节奏总纲!Y33</f>
        <v>3430.4683294034053</v>
      </c>
      <c r="R33" s="34">
        <f>'[1]资源-士兵招募时间'!AF35*'[1]功能-付费相关'!AK35/节奏总纲!Z33</f>
        <v>3496.7466549361238</v>
      </c>
      <c r="S33" s="34">
        <f>'[1]资源-士兵招募时间'!AG35*'[1]功能-付费相关'!AL35/节奏总纲!AA33</f>
        <v>2995.0713057877024</v>
      </c>
      <c r="T33" s="34"/>
      <c r="U33" s="5">
        <f>('[1]资源-木石铜粮'!U35-'[1]资源-木石铜粮'!U34)*'[1]功能-付费相关'!S35/节奏总纲!W33</f>
        <v>3079.3372356204704</v>
      </c>
      <c r="V33" s="5">
        <f>('[1]资源-木石铜粮'!V35-'[1]资源-木石铜粮'!V34)*'[1]功能-付费相关'!T35/节奏总纲!X33</f>
        <v>3805.9991038818789</v>
      </c>
      <c r="W33" s="5">
        <f>('[1]资源-木石铜粮'!W35-'[1]资源-木石铜粮'!W34)*'[1]功能-付费相关'!U35/节奏总纲!Y33</f>
        <v>5070.7196995960321</v>
      </c>
      <c r="X33" s="5">
        <f>('[1]资源-木石铜粮'!X35-'[1]资源-木石铜粮'!X34)*'[1]功能-付费相关'!V35/节奏总纲!Z33</f>
        <v>6422.2013479518291</v>
      </c>
      <c r="Y33" s="5">
        <f>('[1]资源-木石铜粮'!Y35-'[1]资源-木石铜粮'!Y34)*'[1]功能-付费相关'!W35/节奏总纲!AA33</f>
        <v>11396.770626334104</v>
      </c>
      <c r="Z33" s="3"/>
      <c r="AA33" s="11">
        <f>('[1]资源-铁'!T35-'[1]资源-铁'!T34)*'[1]功能-付费相关'!X35/节奏总纲!W33</f>
        <v>0</v>
      </c>
      <c r="AB33" s="11">
        <f>('[1]资源-铁'!U35-'[1]资源-铁'!U34)*'[1]功能-付费相关'!Y35/节奏总纲!X33</f>
        <v>4.8658173948212005</v>
      </c>
      <c r="AC33" s="11">
        <f>('[1]资源-铁'!V35-'[1]资源-铁'!V34)*'[1]功能-付费相关'!Z35/节奏总纲!Y33</f>
        <v>26.248406873668301</v>
      </c>
      <c r="AD33" s="11">
        <f>('[1]资源-铁'!W35-'[1]资源-铁'!W34)*'[1]功能-付费相关'!AA35/节奏总纲!Z33</f>
        <v>67.040835227967392</v>
      </c>
      <c r="AE33" s="11">
        <f>('[1]资源-铁'!X35-'[1]资源-铁'!X34)*'[1]功能-付费相关'!AB35/节奏总纲!AA33</f>
        <v>182.82188946335967</v>
      </c>
      <c r="AG33" s="11">
        <f>('[1]资源-银币'!Y35-'[1]资源-银币'!Y34)*'[1]功能-付费相关'!AQ35/节奏总纲!W33</f>
        <v>2986.1361809398818</v>
      </c>
      <c r="AH33" s="11">
        <f>('[1]资源-银币'!Z35-'[1]资源-银币'!Z34)*'[1]功能-付费相关'!AR35/节奏总纲!X33</f>
        <v>4251.5076463078076</v>
      </c>
      <c r="AI33" s="11">
        <f>('[1]资源-银币'!AA35-'[1]资源-银币'!AA34)*'[1]功能-付费相关'!AS35/节奏总纲!Y33</f>
        <v>7249.6044183296235</v>
      </c>
      <c r="AJ33" s="11">
        <f>('[1]资源-银币'!AB35-'[1]资源-银币'!AB34)*'[1]功能-付费相关'!AT35/节奏总纲!Z33</f>
        <v>9755.0901793783323</v>
      </c>
      <c r="AK33" s="11">
        <f>('[1]资源-银币'!AC35-'[1]资源-银币'!AC34)*'[1]功能-付费相关'!AU35/节奏总纲!AA33</f>
        <v>19661.336485717653</v>
      </c>
      <c r="AM33" s="11" t="e">
        <f>(#REF!-#REF!)*'[1]功能-付费相关'!CA35/节奏总纲!W33</f>
        <v>#REF!</v>
      </c>
      <c r="AN33" s="11" t="e">
        <f>(#REF!-#REF!)*'[1]功能-付费相关'!CB35/节奏总纲!X33</f>
        <v>#REF!</v>
      </c>
      <c r="AO33" s="11" t="e">
        <f>(#REF!-#REF!)*'[1]功能-付费相关'!CC35/节奏总纲!Y33</f>
        <v>#REF!</v>
      </c>
      <c r="AP33" s="11" t="e">
        <f>(#REF!-#REF!)*'[1]功能-付费相关'!CD35/节奏总纲!Z33</f>
        <v>#REF!</v>
      </c>
      <c r="AQ33" s="11" t="e">
        <f>(#REF!-#REF!)*'[1]功能-付费相关'!CE35/节奏总纲!AA33</f>
        <v>#REF!</v>
      </c>
      <c r="AR33" s="21"/>
      <c r="AS33" s="11">
        <f>(信息索引!U35-信息索引!U34)*'[1]功能-付费相关'!BI35/节奏总纲!W33</f>
        <v>3276.4028328036052</v>
      </c>
      <c r="AT33" s="11">
        <f>(信息索引!V35-信息索引!V34)*'[1]功能-付费相关'!BJ35/节奏总纲!X33</f>
        <v>3800.4719065681979</v>
      </c>
      <c r="AU33" s="11">
        <f>(信息索引!W35-信息索引!W34)*'[1]功能-付费相关'!BK35/节奏总纲!Y33</f>
        <v>4867.7616937047569</v>
      </c>
      <c r="AV33" s="11">
        <f>(信息索引!X35-信息索引!X34)*'[1]功能-付费相关'!BL35/节奏总纲!Z33</f>
        <v>6539.0575128160044</v>
      </c>
      <c r="AW33" s="11">
        <f>(信息索引!Y35-信息索引!Y34)*'[1]功能-付费相关'!BM35/节奏总纲!AA33</f>
        <v>14684.575074158238</v>
      </c>
      <c r="AY33" s="11">
        <f>('[1]资源-武将经验'!T35*节奏总纲!BJ33-'[1]资源-武将经验'!T34*节奏总纲!BJ32)*'[1]功能-付费相关'!AZ35/节奏总纲!W33</f>
        <v>3427.1639278140433</v>
      </c>
      <c r="AZ33" s="11">
        <f>('[1]资源-武将经验'!U35*节奏总纲!BK33-'[1]资源-武将经验'!U34*节奏总纲!BK32)*'[1]功能-付费相关'!BA35/节奏总纲!X33</f>
        <v>3866.8623737153353</v>
      </c>
      <c r="BA33" s="11">
        <f>('[1]资源-武将经验'!V35*节奏总纲!BL33-'[1]资源-武将经验'!V34*节奏总纲!BL32)*'[1]功能-付费相关'!BB35/节奏总纲!Y33</f>
        <v>4934.9398836055143</v>
      </c>
      <c r="BB33" s="11">
        <f>('[1]资源-武将经验'!W35*节奏总纲!BM33-'[1]资源-武将经验'!W34*节奏总纲!BM32)*'[1]功能-付费相关'!BC35/节奏总纲!Z33</f>
        <v>11216.985377938052</v>
      </c>
      <c r="BC33" s="11">
        <f>('[1]资源-武将经验'!X35*节奏总纲!BN33-'[1]资源-武将经验'!X34*节奏总纲!BN32)*'[1]功能-付费相关'!BD35/节奏总纲!AA33</f>
        <v>25176.538745226855</v>
      </c>
      <c r="BD33" s="29"/>
      <c r="BE33" s="33" t="e">
        <f t="shared" si="1"/>
        <v>#REF!</v>
      </c>
      <c r="BF33" s="33" t="e">
        <f t="shared" si="2"/>
        <v>#REF!</v>
      </c>
      <c r="BG33" s="33" t="e">
        <f t="shared" si="3"/>
        <v>#REF!</v>
      </c>
      <c r="BH33" s="33" t="e">
        <f t="shared" si="4"/>
        <v>#REF!</v>
      </c>
      <c r="BI33" s="33" t="e">
        <f t="shared" si="5"/>
        <v>#REF!</v>
      </c>
      <c r="BJ33" s="29"/>
      <c r="BK33" s="29"/>
      <c r="BL33" s="29"/>
      <c r="BM33" s="29"/>
      <c r="BN33" s="29"/>
    </row>
    <row r="34" spans="2:66" x14ac:dyDescent="0.15">
      <c r="B34" s="5">
        <v>31</v>
      </c>
      <c r="C34" s="5">
        <f>'[1]资源-玩家城池建筑时间'!AJ36*'[1]功能-付费相关'!AH36/节奏总纲!W34</f>
        <v>5787.7538402083928</v>
      </c>
      <c r="D34" s="5">
        <f>'[1]资源-玩家城池建筑时间'!AK36*'[1]功能-付费相关'!AI36/节奏总纲!X34</f>
        <v>7291.7886684536361</v>
      </c>
      <c r="E34" s="5">
        <f>'[1]资源-玩家城池建筑时间'!AL36*'[1]功能-付费相关'!AJ36/节奏总纲!Y34</f>
        <v>9873.8276085377547</v>
      </c>
      <c r="F34" s="5">
        <f>'[1]资源-玩家城池建筑时间'!AM36*'[1]功能-付费相关'!AK36/节奏总纲!Z34</f>
        <v>15178.826940237046</v>
      </c>
      <c r="G34" s="5">
        <f>'[1]资源-玩家城池建筑时间'!AN36*'[1]功能-付费相关'!AL36/节奏总纲!AA34</f>
        <v>31024.802516342173</v>
      </c>
      <c r="H34" s="3"/>
      <c r="I34" s="28">
        <f>'[1]资源-士兵训练时间'!AB36*'[1]功能-付费相关'!AH36/节奏总纲!W34</f>
        <v>2601.991512796978</v>
      </c>
      <c r="J34" s="28">
        <f>'[1]资源-士兵训练时间'!AC36*'[1]功能-付费相关'!AI36/节奏总纲!X34</f>
        <v>3608.4618179591735</v>
      </c>
      <c r="K34" s="28">
        <f>'[1]资源-士兵训练时间'!AD36*'[1]功能-付费相关'!AJ36/节奏总纲!Y34</f>
        <v>5922.2888020892906</v>
      </c>
      <c r="L34" s="28">
        <f>'[1]资源-士兵训练时间'!AE36*'[1]功能-付费相关'!AK36/节奏总纲!Z34</f>
        <v>9995.8049236460811</v>
      </c>
      <c r="M34" s="28">
        <f>'[1]资源-士兵训练时间'!AF36*'[1]功能-付费相关'!AL36/节奏总纲!AA34</f>
        <v>18906.513413041419</v>
      </c>
      <c r="N34" s="34"/>
      <c r="O34" s="34">
        <f>'[1]资源-士兵招募时间'!AC36*'[1]功能-付费相关'!AH36/节奏总纲!W34</f>
        <v>1792.1609335802953</v>
      </c>
      <c r="P34" s="34">
        <f>'[1]资源-士兵招募时间'!AD36*'[1]功能-付费相关'!AI36/节奏总纲!X34</f>
        <v>2441.7420345947389</v>
      </c>
      <c r="Q34" s="34">
        <f>'[1]资源-士兵招募时间'!AE36*'[1]功能-付费相关'!AJ36/节奏总纲!Y34</f>
        <v>3255.9448223879745</v>
      </c>
      <c r="R34" s="34">
        <f>'[1]资源-士兵招募时间'!AF36*'[1]功能-付费相关'!AK36/节奏总纲!Z34</f>
        <v>3391.9539494063793</v>
      </c>
      <c r="S34" s="34">
        <f>'[1]资源-士兵招募时间'!AG36*'[1]功能-付费相关'!AL36/节奏总纲!AA34</f>
        <v>2956.2155301349217</v>
      </c>
      <c r="T34" s="34"/>
      <c r="U34" s="5">
        <f>('[1]资源-木石铜粮'!U36-'[1]资源-木石铜粮'!U35)*'[1]功能-付费相关'!S36/节奏总纲!W34</f>
        <v>4126.7883218105253</v>
      </c>
      <c r="V34" s="5">
        <f>('[1]资源-木石铜粮'!V36-'[1]资源-木石铜粮'!V35)*'[1]功能-付费相关'!T36/节奏总纲!X34</f>
        <v>4992.3126587452616</v>
      </c>
      <c r="W34" s="5">
        <f>('[1]资源-木石铜粮'!W36-'[1]资源-木石铜粮'!W35)*'[1]功能-付费相关'!U36/节奏总纲!Y34</f>
        <v>6271.7589665273017</v>
      </c>
      <c r="X34" s="5">
        <f>('[1]资源-木石铜粮'!X36-'[1]资源-木石铜粮'!X35)*'[1]功能-付费相关'!V36/节奏总纲!Z34</f>
        <v>8084.2534133858981</v>
      </c>
      <c r="Y34" s="5">
        <f>('[1]资源-木石铜粮'!Y36-'[1]资源-木石铜粮'!Y35)*'[1]功能-付费相关'!W36/节奏总纲!AA34</f>
        <v>15238.172274149476</v>
      </c>
      <c r="Z34" s="3"/>
      <c r="AA34" s="11">
        <f>('[1]资源-铁'!T36-'[1]资源-铁'!T35)*'[1]功能-付费相关'!X36/节奏总纲!W34</f>
        <v>2.5726846700931767</v>
      </c>
      <c r="AB34" s="11">
        <f>('[1]资源-铁'!U36-'[1]资源-铁'!U35)*'[1]功能-付费相关'!Y36/节奏总纲!X34</f>
        <v>15.063083394080543</v>
      </c>
      <c r="AC34" s="11">
        <f>('[1]资源-铁'!V36-'[1]资源-铁'!V35)*'[1]功能-付费相关'!Z36/节奏总纲!Y34</f>
        <v>31.287138065537128</v>
      </c>
      <c r="AD34" s="11">
        <f>('[1]资源-铁'!W36-'[1]资源-铁'!W35)*'[1]功能-付费相关'!AA36/节奏总纲!Z34</f>
        <v>70.664011218169378</v>
      </c>
      <c r="AE34" s="11">
        <f>('[1]资源-铁'!X36-'[1]资源-铁'!X35)*'[1]功能-付费相关'!AB36/节奏总纲!AA34</f>
        <v>147.01491240552281</v>
      </c>
      <c r="AG34" s="11">
        <f>('[1]资源-银币'!Y36-'[1]资源-银币'!Y35)*'[1]功能-付费相关'!AQ36/节奏总纲!W34</f>
        <v>3598.3849349295724</v>
      </c>
      <c r="AH34" s="11">
        <f>('[1]资源-银币'!Z36-'[1]资源-银币'!Z35)*'[1]功能-付费相关'!AR36/节奏总纲!X34</f>
        <v>5099.9061415355372</v>
      </c>
      <c r="AI34" s="11">
        <f>('[1]资源-银币'!AA36-'[1]资源-银币'!AA35)*'[1]功能-付费相关'!AS36/节奏总纲!Y34</f>
        <v>7081.0080019436273</v>
      </c>
      <c r="AJ34" s="11">
        <f>('[1]资源-银币'!AB36-'[1]资源-银币'!AB35)*'[1]功能-付费相关'!AT36/节奏总纲!Z34</f>
        <v>9898.4474839942341</v>
      </c>
      <c r="AK34" s="11">
        <f>('[1]资源-银币'!AC36-'[1]资源-银币'!AC35)*'[1]功能-付费相关'!AU36/节奏总纲!AA34</f>
        <v>17492.403634223039</v>
      </c>
      <c r="AM34" s="11" t="e">
        <f>(#REF!-#REF!)*'[1]功能-付费相关'!CA36/节奏总纲!W34</f>
        <v>#REF!</v>
      </c>
      <c r="AN34" s="11" t="e">
        <f>(#REF!-#REF!)*'[1]功能-付费相关'!CB36/节奏总纲!X34</f>
        <v>#REF!</v>
      </c>
      <c r="AO34" s="11" t="e">
        <f>(#REF!-#REF!)*'[1]功能-付费相关'!CC36/节奏总纲!Y34</f>
        <v>#REF!</v>
      </c>
      <c r="AP34" s="11" t="e">
        <f>(#REF!-#REF!)*'[1]功能-付费相关'!CD36/节奏总纲!Z34</f>
        <v>#REF!</v>
      </c>
      <c r="AQ34" s="11" t="e">
        <f>(#REF!-#REF!)*'[1]功能-付费相关'!CE36/节奏总纲!AA34</f>
        <v>#REF!</v>
      </c>
      <c r="AR34" s="21"/>
      <c r="AS34" s="11">
        <f>(信息索引!U36-信息索引!U35)*'[1]功能-付费相关'!BI36/节奏总纲!W34</f>
        <v>5383.2877481010855</v>
      </c>
      <c r="AT34" s="11">
        <f>(信息索引!V36-信息索引!V35)*'[1]功能-付费相关'!BJ36/节奏总纲!X34</f>
        <v>6155.7373288591143</v>
      </c>
      <c r="AU34" s="11">
        <f>(信息索引!W36-信息索引!W35)*'[1]功能-付费相关'!BK36/节奏总纲!Y34</f>
        <v>7650.3829576844082</v>
      </c>
      <c r="AV34" s="11">
        <f>(信息索引!X36-信息索引!X35)*'[1]功能-付费相关'!BL36/节奏总纲!Z34</f>
        <v>11114.669874764189</v>
      </c>
      <c r="AW34" s="11">
        <f>(信息索引!Y36-信息索引!Y35)*'[1]功能-付费相关'!BM36/节奏总纲!AA34</f>
        <v>24987.152700250826</v>
      </c>
      <c r="AY34" s="11">
        <f>('[1]资源-武将经验'!T36*节奏总纲!BJ34-'[1]资源-武将经验'!T35*节奏总纲!BJ33)*'[1]功能-付费相关'!AZ36/节奏总纲!W34</f>
        <v>2999.8930761975002</v>
      </c>
      <c r="AZ34" s="11">
        <f>('[1]资源-武将经验'!U36*节奏总纲!BK34-'[1]资源-武将经验'!U35*节奏总纲!BK33)*'[1]功能-付费相关'!BA36/节奏总纲!X34</f>
        <v>3336.2534680948329</v>
      </c>
      <c r="BA34" s="11">
        <f>('[1]资源-武将经验'!V36*节奏总纲!BL34-'[1]资源-武将经验'!V35*节奏总纲!BL33)*'[1]功能-付费相关'!BB36/节奏总纲!Y34</f>
        <v>4131.3149132768049</v>
      </c>
      <c r="BB34" s="11">
        <f>('[1]资源-武将经验'!W36*节奏总纲!BM34-'[1]资源-武将经验'!W35*节奏总纲!BM33)*'[1]功能-付费相关'!BC36/节奏总纲!Z34</f>
        <v>10153.75126708949</v>
      </c>
      <c r="BC34" s="11">
        <f>('[1]资源-武将经验'!X36*节奏总纲!BN34-'[1]资源-武将经验'!X35*节奏总纲!BN33)*'[1]功能-付费相关'!BD36/节奏总纲!AA34</f>
        <v>22814.507641288081</v>
      </c>
      <c r="BD34" s="29"/>
      <c r="BE34" s="33" t="e">
        <f t="shared" si="1"/>
        <v>#REF!</v>
      </c>
      <c r="BF34" s="33" t="e">
        <f t="shared" si="2"/>
        <v>#REF!</v>
      </c>
      <c r="BG34" s="33" t="e">
        <f t="shared" si="3"/>
        <v>#REF!</v>
      </c>
      <c r="BH34" s="33" t="e">
        <f t="shared" si="4"/>
        <v>#REF!</v>
      </c>
      <c r="BI34" s="33" t="e">
        <f t="shared" si="5"/>
        <v>#REF!</v>
      </c>
      <c r="BJ34" s="29"/>
      <c r="BK34" s="29"/>
      <c r="BL34" s="29"/>
      <c r="BM34" s="29"/>
      <c r="BN34" s="29"/>
    </row>
    <row r="35" spans="2:66" x14ac:dyDescent="0.15">
      <c r="B35" s="5">
        <v>32</v>
      </c>
      <c r="C35" s="5">
        <f>'[1]资源-玩家城池建筑时间'!AJ37*'[1]功能-付费相关'!AH37/节奏总纲!W35</f>
        <v>5661.0269959043653</v>
      </c>
      <c r="D35" s="5">
        <f>'[1]资源-玩家城池建筑时间'!AK37*'[1]功能-付费相关'!AI37/节奏总纲!X35</f>
        <v>7119.1873935473195</v>
      </c>
      <c r="E35" s="5">
        <f>'[1]资源-玩家城池建筑时间'!AL37*'[1]功能-付费相关'!AJ37/节奏总纲!Y35</f>
        <v>9820.149872439215</v>
      </c>
      <c r="F35" s="5">
        <f>'[1]资源-玩家城池建筑时间'!AM37*'[1]功能-付费相关'!AK37/节奏总纲!Z35</f>
        <v>14927.696635144699</v>
      </c>
      <c r="G35" s="5">
        <f>'[1]资源-玩家城池建筑时间'!AN37*'[1]功能-付费相关'!AL37/节奏总纲!AA35</f>
        <v>30107.881031208843</v>
      </c>
      <c r="H35" s="3"/>
      <c r="I35" s="28">
        <f>'[1]资源-士兵训练时间'!AB37*'[1]功能-付费相关'!AH37/节奏总纲!W35</f>
        <v>2585.9561754231222</v>
      </c>
      <c r="J35" s="28">
        <f>'[1]资源-士兵训练时间'!AC37*'[1]功能-付费相关'!AI37/节奏总纲!X35</f>
        <v>3501.9791825621974</v>
      </c>
      <c r="K35" s="28">
        <f>'[1]资源-士兵训练时间'!AD37*'[1]功能-付费相关'!AJ37/节奏总纲!Y35</f>
        <v>5748.3758473330572</v>
      </c>
      <c r="L35" s="28">
        <f>'[1]资源-士兵训练时间'!AE37*'[1]功能-付费相关'!AK37/节奏总纲!Z35</f>
        <v>8819.5814994662596</v>
      </c>
      <c r="M35" s="28">
        <f>'[1]资源-士兵训练时间'!AF37*'[1]功能-付费相关'!AL37/节奏总纲!AA35</f>
        <v>18347.741496660979</v>
      </c>
      <c r="N35" s="34"/>
      <c r="O35" s="34">
        <f>'[1]资源-士兵招募时间'!AC37*'[1]功能-付费相关'!AH37/节奏总纲!W35</f>
        <v>1743.980059338196</v>
      </c>
      <c r="P35" s="34">
        <f>'[1]资源-士兵招募时间'!AD37*'[1]功能-付费相关'!AI37/节奏总纲!X35</f>
        <v>2354.1750858781547</v>
      </c>
      <c r="Q35" s="34">
        <f>'[1]资源-士兵招募时间'!AE37*'[1]功能-付费相关'!AJ37/节奏总纲!Y35</f>
        <v>3152.46938882717</v>
      </c>
      <c r="R35" s="34">
        <f>'[1]资源-士兵招募时间'!AF37*'[1]功能-付费相关'!AK37/节奏总纲!Z35</f>
        <v>3322.2427046146281</v>
      </c>
      <c r="S35" s="34">
        <f>'[1]资源-士兵招募时间'!AG37*'[1]功能-付费相关'!AL37/节奏总纲!AA35</f>
        <v>2813.8108581683464</v>
      </c>
      <c r="T35" s="34"/>
      <c r="U35" s="5">
        <f>('[1]资源-木石铜粮'!U37-'[1]资源-木石铜粮'!U36)*'[1]功能-付费相关'!S37/节奏总纲!W35</f>
        <v>3150.7889989806395</v>
      </c>
      <c r="V35" s="5">
        <f>('[1]资源-木石铜粮'!V37-'[1]资源-木石铜粮'!V36)*'[1]功能-付费相关'!T37/节奏总纲!X35</f>
        <v>3826.4397477519697</v>
      </c>
      <c r="W35" s="5">
        <f>('[1]资源-木石铜粮'!W37-'[1]资源-木石铜粮'!W36)*'[1]功能-付费相关'!U37/节奏总纲!Y35</f>
        <v>4997.8425427646898</v>
      </c>
      <c r="X35" s="5">
        <f>('[1]资源-木石铜粮'!X37-'[1]资源-木石铜粮'!X36)*'[1]功能-付费相关'!V37/节奏总纲!Z35</f>
        <v>6450.4422725383738</v>
      </c>
      <c r="Y35" s="5">
        <f>('[1]资源-木石铜粮'!Y37-'[1]资源-木石铜粮'!Y36)*'[1]功能-付费相关'!W37/节奏总纲!AA35</f>
        <v>11538.979836061839</v>
      </c>
      <c r="Z35" s="3"/>
      <c r="AA35" s="11">
        <f>('[1]资源-铁'!T37-'[1]资源-铁'!T36)*'[1]功能-付费相关'!X37/节奏总纲!W35</f>
        <v>10.476388493291791</v>
      </c>
      <c r="AB35" s="11">
        <f>('[1]资源-铁'!U37-'[1]资源-铁'!U36)*'[1]功能-付费相关'!Y37/节奏总纲!X35</f>
        <v>15.652295230741913</v>
      </c>
      <c r="AC35" s="11">
        <f>('[1]资源-铁'!V37-'[1]资源-铁'!V36)*'[1]功能-付费相关'!Z37/节奏总纲!Y35</f>
        <v>39.509380470572601</v>
      </c>
      <c r="AD35" s="11">
        <f>('[1]资源-铁'!W37-'[1]资源-铁'!W36)*'[1]功能-付费相关'!AA37/节奏总纲!Z35</f>
        <v>59.843730566866583</v>
      </c>
      <c r="AE35" s="11">
        <f>('[1]资源-铁'!X37-'[1]资源-铁'!X36)*'[1]功能-付费相关'!AB37/节奏总纲!AA35</f>
        <v>138.09615216470803</v>
      </c>
      <c r="AG35" s="11">
        <f>('[1]资源-银币'!Y37-'[1]资源-银币'!Y36)*'[1]功能-付费相关'!AQ37/节奏总纲!W35</f>
        <v>3659.3119534247153</v>
      </c>
      <c r="AH35" s="11">
        <f>('[1]资源-银币'!Z37-'[1]资源-银币'!Z36)*'[1]功能-付费相关'!AR37/节奏总纲!X35</f>
        <v>4706.7395523898731</v>
      </c>
      <c r="AI35" s="11">
        <f>('[1]资源-银币'!AA37-'[1]资源-银币'!AA36)*'[1]功能-付费相关'!AS37/节奏总纲!Y35</f>
        <v>6071.917245276155</v>
      </c>
      <c r="AJ35" s="11">
        <f>('[1]资源-银币'!AB37-'[1]资源-银币'!AB36)*'[1]功能-付费相关'!AT37/节奏总纲!Z35</f>
        <v>8459.4213200064278</v>
      </c>
      <c r="AK35" s="11">
        <f>('[1]资源-银币'!AC37-'[1]资源-银币'!AC36)*'[1]功能-付费相关'!AU37/节奏总纲!AA35</f>
        <v>16565.937421788709</v>
      </c>
      <c r="AM35" s="11" t="e">
        <f>(#REF!-#REF!)*'[1]功能-付费相关'!CA37/节奏总纲!W35</f>
        <v>#REF!</v>
      </c>
      <c r="AN35" s="11" t="e">
        <f>(#REF!-#REF!)*'[1]功能-付费相关'!CB37/节奏总纲!X35</f>
        <v>#REF!</v>
      </c>
      <c r="AO35" s="11" t="e">
        <f>(#REF!-#REF!)*'[1]功能-付费相关'!CC37/节奏总纲!Y35</f>
        <v>#REF!</v>
      </c>
      <c r="AP35" s="11" t="e">
        <f>(#REF!-#REF!)*'[1]功能-付费相关'!CD37/节奏总纲!Z35</f>
        <v>#REF!</v>
      </c>
      <c r="AQ35" s="11" t="e">
        <f>(#REF!-#REF!)*'[1]功能-付费相关'!CE37/节奏总纲!AA35</f>
        <v>#REF!</v>
      </c>
      <c r="AR35" s="21"/>
      <c r="AS35" s="11">
        <f>(信息索引!U37-信息索引!U36)*'[1]功能-付费相关'!BI37/节奏总纲!W35</f>
        <v>4936.2883069259879</v>
      </c>
      <c r="AT35" s="11">
        <f>(信息索引!V37-信息索引!V36)*'[1]功能-付费相关'!BJ37/节奏总纲!X35</f>
        <v>5735.7957881707525</v>
      </c>
      <c r="AU35" s="11">
        <f>(信息索引!W37-信息索引!W36)*'[1]功能-付费相关'!BK37/节奏总纲!Y35</f>
        <v>7265.6056857955982</v>
      </c>
      <c r="AV35" s="11">
        <f>(信息索引!X37-信息索引!X36)*'[1]功能-付费相关'!BL37/节奏总纲!Z35</f>
        <v>10571.646775452458</v>
      </c>
      <c r="AW35" s="11">
        <f>(信息索引!Y37-信息索引!Y36)*'[1]功能-付费相关'!BM37/节奏总纲!AA35</f>
        <v>22409.686845284716</v>
      </c>
      <c r="AY35" s="11">
        <f>('[1]资源-武将经验'!T37*节奏总纲!BJ35-'[1]资源-武将经验'!T36*节奏总纲!BJ34)*'[1]功能-付费相关'!AZ37/节奏总纲!W35</f>
        <v>2623.3708898500167</v>
      </c>
      <c r="AZ35" s="11">
        <f>('[1]资源-武将经验'!U37*节奏总纲!BK35-'[1]资源-武将经验'!U36*节奏总纲!BK34)*'[1]功能-付费相关'!BA37/节奏总纲!X35</f>
        <v>2964.2482836965569</v>
      </c>
      <c r="BA35" s="11">
        <f>('[1]资源-武将经验'!V37*节奏总纲!BL35-'[1]资源-武将经验'!V36*节奏总纲!BL34)*'[1]功能-付费相关'!BB37/节奏总纲!Y35</f>
        <v>3741.2264563846757</v>
      </c>
      <c r="BB35" s="11">
        <f>('[1]资源-武将经验'!W37*节奏总纲!BM35-'[1]资源-武将经验'!W36*节奏总纲!BM34)*'[1]功能-付费相关'!BC37/节奏总纲!Z35</f>
        <v>9207.272944685983</v>
      </c>
      <c r="BC35" s="11">
        <f>('[1]资源-武将经验'!X37*节奏总纲!BN35-'[1]资源-武将经验'!X36*节奏总纲!BN34)*'[1]功能-付费相关'!BD37/节奏总纲!AA35</f>
        <v>19506.521207921538</v>
      </c>
      <c r="BD35" s="29"/>
      <c r="BE35" s="33" t="e">
        <f t="shared" si="1"/>
        <v>#REF!</v>
      </c>
      <c r="BF35" s="33" t="e">
        <f t="shared" si="2"/>
        <v>#REF!</v>
      </c>
      <c r="BG35" s="33" t="e">
        <f t="shared" si="3"/>
        <v>#REF!</v>
      </c>
      <c r="BH35" s="33" t="e">
        <f t="shared" si="4"/>
        <v>#REF!</v>
      </c>
      <c r="BI35" s="33" t="e">
        <f t="shared" si="5"/>
        <v>#REF!</v>
      </c>
      <c r="BJ35" s="29"/>
      <c r="BK35" s="29"/>
      <c r="BL35" s="29"/>
      <c r="BM35" s="29"/>
      <c r="BN35" s="29"/>
    </row>
    <row r="36" spans="2:66" x14ac:dyDescent="0.15">
      <c r="B36" s="5">
        <v>33</v>
      </c>
      <c r="C36" s="5">
        <f>'[1]资源-玩家城池建筑时间'!AJ38*'[1]功能-付费相关'!AH38/节奏总纲!W36</f>
        <v>5498.3414837158698</v>
      </c>
      <c r="D36" s="5">
        <f>'[1]资源-玩家城池建筑时间'!AK38*'[1]功能-付费相关'!AI38/节奏总纲!X36</f>
        <v>7147.4404368641954</v>
      </c>
      <c r="E36" s="5">
        <f>'[1]资源-玩家城池建筑时间'!AL38*'[1]功能-付费相关'!AJ38/节奏总纲!Y36</f>
        <v>9575.3691342280799</v>
      </c>
      <c r="F36" s="5">
        <f>'[1]资源-玩家城池建筑时间'!AM38*'[1]功能-付费相关'!AK38/节奏总纲!Z36</f>
        <v>14609.029335673229</v>
      </c>
      <c r="G36" s="5">
        <f>'[1]资源-玩家城池建筑时间'!AN38*'[1]功能-付费相关'!AL38/节奏总纲!AA36</f>
        <v>29957.112228238446</v>
      </c>
      <c r="H36" s="3"/>
      <c r="I36" s="28">
        <f>'[1]资源-士兵训练时间'!AB38*'[1]功能-付费相关'!AH38/节奏总纲!W36</f>
        <v>2509.545886059137</v>
      </c>
      <c r="J36" s="28">
        <f>'[1]资源-士兵训练时间'!AC38*'[1]功能-付费相关'!AI38/节奏总纲!X36</f>
        <v>3399.3897028421379</v>
      </c>
      <c r="K36" s="28">
        <f>'[1]资源-士兵训练时间'!AD38*'[1]功能-付费相关'!AJ38/节奏总纲!Y36</f>
        <v>5398.2913693545734</v>
      </c>
      <c r="L36" s="28">
        <f>'[1]资源-士兵训练时间'!AE38*'[1]功能-付费相关'!AK38/节奏总纲!Z36</f>
        <v>8012.4677037617812</v>
      </c>
      <c r="M36" s="28">
        <f>'[1]资源-士兵训练时间'!AF38*'[1]功能-付费相关'!AL38/节奏总纲!AA36</f>
        <v>22473.94708519027</v>
      </c>
      <c r="N36" s="34"/>
      <c r="O36" s="34">
        <f>'[1]资源-士兵招募时间'!AC38*'[1]功能-付费相关'!AH38/节奏总纲!W36</f>
        <v>1704.4877106224635</v>
      </c>
      <c r="P36" s="34">
        <f>'[1]资源-士兵招募时间'!AD38*'[1]功能-付费相关'!AI38/节奏总纲!X36</f>
        <v>2244.0323130103507</v>
      </c>
      <c r="Q36" s="34">
        <f>'[1]资源-士兵招募时间'!AE38*'[1]功能-付费相关'!AJ38/节奏总纲!Y36</f>
        <v>2992.8124215331318</v>
      </c>
      <c r="R36" s="34">
        <f>'[1]资源-士兵招募时间'!AF38*'[1]功能-付费相关'!AK38/节奏总纲!Z36</f>
        <v>3118.2634910232591</v>
      </c>
      <c r="S36" s="34">
        <f>'[1]资源-士兵招募时间'!AG38*'[1]功能-付费相关'!AL38/节奏总纲!AA36</f>
        <v>2971.3400920778149</v>
      </c>
      <c r="T36" s="34"/>
      <c r="U36" s="5">
        <f>('[1]资源-木石铜粮'!U38-'[1]资源-木石铜粮'!U37)*'[1]功能-付费相关'!S38/节奏总纲!W36</f>
        <v>3026.5612762281889</v>
      </c>
      <c r="V36" s="5">
        <f>('[1]资源-木石铜粮'!V38-'[1]资源-木石铜粮'!V37)*'[1]功能-付费相关'!T38/节奏总纲!X36</f>
        <v>3735.285194268321</v>
      </c>
      <c r="W36" s="5">
        <f>('[1]资源-木石铜粮'!W38-'[1]资源-木石铜粮'!W37)*'[1]功能-付费相关'!U38/节奏总纲!Y36</f>
        <v>4761.2461749284457</v>
      </c>
      <c r="X36" s="5">
        <f>('[1]资源-木石铜粮'!X38-'[1]资源-木石铜粮'!X37)*'[1]功能-付费相关'!V38/节奏总纲!Z36</f>
        <v>6035.6850616703969</v>
      </c>
      <c r="Y36" s="5">
        <f>('[1]资源-木石铜粮'!Y38-'[1]资源-木石铜粮'!Y37)*'[1]功能-付费相关'!W38/节奏总纲!AA36</f>
        <v>13241.087040107956</v>
      </c>
      <c r="Z36" s="3"/>
      <c r="AA36" s="11">
        <f>('[1]资源-铁'!T38-'[1]资源-铁'!T37)*'[1]功能-付费相关'!X38/节奏总纲!W36</f>
        <v>10.009251171083609</v>
      </c>
      <c r="AB36" s="11">
        <f>('[1]资源-铁'!U38-'[1]资源-铁'!U37)*'[1]功能-付费相关'!Y38/节奏总纲!X36</f>
        <v>22.70859176908457</v>
      </c>
      <c r="AC36" s="11">
        <f>('[1]资源-铁'!V38-'[1]资源-铁'!V37)*'[1]功能-付费相关'!Z38/节奏总纲!Y36</f>
        <v>35.998975915940129</v>
      </c>
      <c r="AD36" s="11">
        <f>('[1]资源-铁'!W38-'[1]资源-铁'!W37)*'[1]功能-付费相关'!AA38/节奏总纲!Z36</f>
        <v>52.713204424703406</v>
      </c>
      <c r="AE36" s="11">
        <f>('[1]资源-铁'!X38-'[1]资源-铁'!X37)*'[1]功能-付费相关'!AB38/节奏总纲!AA36</f>
        <v>1670.2671371064512</v>
      </c>
      <c r="AG36" s="11">
        <f>('[1]资源-银币'!Y38-'[1]资源-银币'!Y37)*'[1]功能-付费相关'!AQ38/节奏总纲!W36</f>
        <v>3447.213334955527</v>
      </c>
      <c r="AH36" s="11">
        <f>('[1]资源-银币'!Z38-'[1]资源-银币'!Z37)*'[1]功能-付费相关'!AR38/节奏总纲!X36</f>
        <v>3795.178121722061</v>
      </c>
      <c r="AI36" s="11">
        <f>('[1]资源-银币'!AA38-'[1]资源-银币'!AA37)*'[1]功能-付费相关'!AS38/节奏总纲!Y36</f>
        <v>5486.8039187725626</v>
      </c>
      <c r="AJ36" s="11">
        <f>('[1]资源-银币'!AB38-'[1]资源-银币'!AB37)*'[1]功能-付费相关'!AT38/节奏总纲!Z36</f>
        <v>7368.5418067604223</v>
      </c>
      <c r="AK36" s="11">
        <f>('[1]资源-银币'!AC38-'[1]资源-银币'!AC37)*'[1]功能-付费相关'!AU38/节奏总纲!AA36</f>
        <v>15176.937958521274</v>
      </c>
      <c r="AM36" s="11" t="e">
        <f>(#REF!-#REF!)*'[1]功能-付费相关'!CA38/节奏总纲!W36</f>
        <v>#REF!</v>
      </c>
      <c r="AN36" s="11" t="e">
        <f>(#REF!-#REF!)*'[1]功能-付费相关'!CB38/节奏总纲!X36</f>
        <v>#REF!</v>
      </c>
      <c r="AO36" s="11" t="e">
        <f>(#REF!-#REF!)*'[1]功能-付费相关'!CC38/节奏总纲!Y36</f>
        <v>#REF!</v>
      </c>
      <c r="AP36" s="11" t="e">
        <f>(#REF!-#REF!)*'[1]功能-付费相关'!CD38/节奏总纲!Z36</f>
        <v>#REF!</v>
      </c>
      <c r="AQ36" s="11" t="e">
        <f>(#REF!-#REF!)*'[1]功能-付费相关'!CE38/节奏总纲!AA36</f>
        <v>#REF!</v>
      </c>
      <c r="AR36" s="21"/>
      <c r="AS36" s="11">
        <f>(信息索引!U38-信息索引!U37)*'[1]功能-付费相关'!BI38/节奏总纲!W36</f>
        <v>4522.0748256817124</v>
      </c>
      <c r="AT36" s="11">
        <f>(信息索引!V38-信息索引!V37)*'[1]功能-付费相关'!BJ38/节奏总纲!X36</f>
        <v>5308.6073249889578</v>
      </c>
      <c r="AU36" s="11">
        <f>(信息索引!W38-信息索引!W37)*'[1]功能-付费相关'!BK38/节奏总纲!Y36</f>
        <v>6571.2518249868363</v>
      </c>
      <c r="AV36" s="11">
        <f>(信息索引!X38-信息索引!X37)*'[1]功能-付费相关'!BL38/节奏总纲!Z36</f>
        <v>9159.3132856447119</v>
      </c>
      <c r="AW36" s="11">
        <f>(信息索引!Y38-信息索引!Y37)*'[1]功能-付费相关'!BM38/节奏总纲!AA36</f>
        <v>27863.819491326416</v>
      </c>
      <c r="AY36" s="11">
        <f>('[1]资源-武将经验'!T38*节奏总纲!BJ36-'[1]资源-武将经验'!T37*节奏总纲!BJ35)*'[1]功能-付费相关'!AZ38/节奏总纲!W36</f>
        <v>2292.0354455175971</v>
      </c>
      <c r="AZ36" s="11">
        <f>('[1]资源-武将经验'!U38*节奏总纲!BK36-'[1]资源-武将经验'!U37*节奏总纲!BK35)*'[1]功能-付费相关'!BA38/节奏总纲!X36</f>
        <v>2616.1960456744428</v>
      </c>
      <c r="BA36" s="11">
        <f>('[1]资源-武将经验'!V38*节奏总纲!BL36-'[1]资源-武将经验'!V37*节奏总纲!BL35)*'[1]功能-付费相关'!BB38/节奏总纲!Y36</f>
        <v>3226.6693428101553</v>
      </c>
      <c r="BB36" s="11">
        <f>('[1]资源-武将经验'!W38*节奏总纲!BM36-'[1]资源-武将经验'!W37*节奏总纲!BM35)*'[1]功能-付费相关'!BC38/节奏总纲!Z36</f>
        <v>7605.7385961589225</v>
      </c>
      <c r="BC36" s="11">
        <f>('[1]资源-武将经验'!X38*节奏总纲!BN36-'[1]资源-武将经验'!X37*节奏总纲!BN35)*'[1]功能-付费相关'!BD38/节奏总纲!AA36</f>
        <v>23124.192708341012</v>
      </c>
      <c r="BD36" s="29"/>
      <c r="BE36" s="33" t="e">
        <f t="shared" si="1"/>
        <v>#REF!</v>
      </c>
      <c r="BF36" s="33" t="e">
        <f t="shared" si="2"/>
        <v>#REF!</v>
      </c>
      <c r="BG36" s="33" t="e">
        <f t="shared" si="3"/>
        <v>#REF!</v>
      </c>
      <c r="BH36" s="33" t="e">
        <f t="shared" si="4"/>
        <v>#REF!</v>
      </c>
      <c r="BI36" s="33" t="e">
        <f t="shared" si="5"/>
        <v>#REF!</v>
      </c>
      <c r="BJ36" s="29"/>
      <c r="BK36" s="29"/>
      <c r="BL36" s="29"/>
      <c r="BM36" s="29"/>
      <c r="BN36" s="29"/>
    </row>
    <row r="37" spans="2:66" x14ac:dyDescent="0.15">
      <c r="B37" s="5">
        <v>34</v>
      </c>
      <c r="C37" s="5">
        <f>'[1]资源-玩家城池建筑时间'!AJ39*'[1]功能-付费相关'!AH39/节奏总纲!W37</f>
        <v>5548.9613186070837</v>
      </c>
      <c r="D37" s="5">
        <f>'[1]资源-玩家城池建筑时间'!AK39*'[1]功能-付费相关'!AI39/节奏总纲!X37</f>
        <v>6936.2016482588415</v>
      </c>
      <c r="E37" s="5">
        <f>'[1]资源-玩家城池建筑时间'!AL39*'[1]功能-付费相关'!AJ39/节奏总纲!Y37</f>
        <v>9451.5115121888321</v>
      </c>
      <c r="F37" s="5">
        <f>'[1]资源-玩家城池建筑时间'!AM39*'[1]功能-付费相关'!AK39/节奏总纲!Z37</f>
        <v>14343.689852187385</v>
      </c>
      <c r="G37" s="5">
        <f>'[1]资源-玩家城池建筑时间'!AN39*'[1]功能-付费相关'!AL39/节奏总纲!AA37</f>
        <v>29151.131049750496</v>
      </c>
      <c r="H37" s="3"/>
      <c r="I37" s="28">
        <f>'[1]资源-士兵训练时间'!AB39*'[1]功能-付费相关'!AH39/节奏总纲!W37</f>
        <v>2436.1274244287565</v>
      </c>
      <c r="J37" s="28">
        <f>'[1]资源-士兵训练时间'!AC39*'[1]功能-付费相关'!AI39/节奏总纲!X37</f>
        <v>3298.9225539139438</v>
      </c>
      <c r="K37" s="28">
        <f>'[1]资源-士兵训练时间'!AD39*'[1]功能-付费相关'!AJ39/节奏总纲!Y37</f>
        <v>4607.8005901139513</v>
      </c>
      <c r="L37" s="28">
        <f>'[1]资源-士兵训练时间'!AE39*'[1]功能-付费相关'!AK39/节奏总纲!Z37</f>
        <v>8721.7978402913195</v>
      </c>
      <c r="M37" s="28">
        <f>'[1]资源-士兵训练时间'!AF39*'[1]功能-付费相关'!AL39/节奏总纲!AA37</f>
        <v>22311.203620607197</v>
      </c>
      <c r="N37" s="34"/>
      <c r="O37" s="34">
        <f>'[1]资源-士兵招募时间'!AC39*'[1]功能-付费相关'!AH39/节奏总纲!W37</f>
        <v>1660.8874525739143</v>
      </c>
      <c r="P37" s="34">
        <f>'[1]资源-士兵招募时间'!AD39*'[1]功能-付费相关'!AI39/节奏总纲!X37</f>
        <v>2184.9333360875157</v>
      </c>
      <c r="Q37" s="34">
        <f>'[1]资源-士兵招募时间'!AE39*'[1]功能-付费相关'!AJ39/节奏总纲!Y37</f>
        <v>2862.2770957267044</v>
      </c>
      <c r="R37" s="34">
        <f>'[1]资源-士兵招募时间'!AF39*'[1]功能-付费相关'!AK39/节奏总纲!Z37</f>
        <v>3097.4978925696387</v>
      </c>
      <c r="S37" s="34">
        <f>'[1]资源-士兵招募时间'!AG39*'[1]功能-付费相关'!AL39/节奏总纲!AA37</f>
        <v>2769.669720096012</v>
      </c>
      <c r="T37" s="34"/>
      <c r="U37" s="5">
        <f>('[1]资源-木石铜粮'!U39-'[1]资源-木石铜粮'!U38)*'[1]功能-付费相关'!S39/节奏总纲!W37</f>
        <v>2989.4241751843069</v>
      </c>
      <c r="V37" s="5">
        <f>('[1]资源-木石铜粮'!V39-'[1]资源-木石铜粮'!V38)*'[1]功能-付费相关'!T39/节奏总纲!X37</f>
        <v>3597.4246560499955</v>
      </c>
      <c r="W37" s="5">
        <f>('[1]资源-木石铜粮'!W39-'[1]资源-木石铜粮'!W38)*'[1]功能-付费相关'!U39/节奏总纲!Y37</f>
        <v>4664.7380638266086</v>
      </c>
      <c r="X37" s="5">
        <f>('[1]资源-木石铜粮'!X39-'[1]资源-木石铜粮'!X38)*'[1]功能-付费相关'!V39/节奏总纲!Z37</f>
        <v>6325.0167749898601</v>
      </c>
      <c r="Y37" s="5">
        <f>('[1]资源-木石铜粮'!Y39-'[1]资源-木石铜粮'!Y38)*'[1]功能-付费相关'!W39/节奏总纲!AA37</f>
        <v>12143.268854456637</v>
      </c>
      <c r="Z37" s="3"/>
      <c r="AA37" s="11">
        <f>('[1]资源-铁'!T39-'[1]资源-铁'!T38)*'[1]功能-付费相关'!X39/节奏总纲!W37</f>
        <v>15.816815011745428</v>
      </c>
      <c r="AB37" s="11">
        <f>('[1]资源-铁'!U39-'[1]资源-铁'!U38)*'[1]功能-付费相关'!Y39/节奏总纲!X37</f>
        <v>21.397975662639457</v>
      </c>
      <c r="AC37" s="11">
        <f>('[1]资源-铁'!V39-'[1]资源-铁'!V38)*'[1]功能-付费相关'!Z39/节奏总纲!Y37</f>
        <v>29.829419187232695</v>
      </c>
      <c r="AD37" s="11">
        <f>('[1]资源-铁'!W39-'[1]资源-铁'!W38)*'[1]功能-付费相关'!AA39/节奏总纲!Z37</f>
        <v>323.27505949031132</v>
      </c>
      <c r="AE37" s="11">
        <f>('[1]资源-铁'!X39-'[1]资源-铁'!X38)*'[1]功能-付费相关'!AB39/节奏总纲!AA37</f>
        <v>1709.669668824856</v>
      </c>
      <c r="AG37" s="11">
        <f>('[1]资源-银币'!Y39-'[1]资源-银币'!Y38)*'[1]功能-付费相关'!AQ39/节奏总纲!W37</f>
        <v>2691.1347688921937</v>
      </c>
      <c r="AH37" s="11">
        <f>('[1]资源-银币'!Z39-'[1]资源-银币'!Z38)*'[1]功能-付费相关'!AR39/节奏总纲!X37</f>
        <v>3588.7444049495261</v>
      </c>
      <c r="AI37" s="11">
        <f>('[1]资源-银币'!AA39-'[1]资源-银币'!AA38)*'[1]功能-付费相关'!AS39/节奏总纲!Y37</f>
        <v>4491.1132052512176</v>
      </c>
      <c r="AJ37" s="11">
        <f>('[1]资源-银币'!AB39-'[1]资源-银币'!AB38)*'[1]功能-付费相关'!AT39/节奏总纲!Z37</f>
        <v>6840.6775213552773</v>
      </c>
      <c r="AK37" s="11">
        <f>('[1]资源-银币'!AC39-'[1]资源-银币'!AC38)*'[1]功能-付费相关'!AU39/节奏总纲!AA37</f>
        <v>13749.70570924194</v>
      </c>
      <c r="AM37" s="11" t="e">
        <f>(#REF!-#REF!)*'[1]功能-付费相关'!CA39/节奏总纲!W37</f>
        <v>#REF!</v>
      </c>
      <c r="AN37" s="11" t="e">
        <f>(#REF!-#REF!)*'[1]功能-付费相关'!CB39/节奏总纲!X37</f>
        <v>#REF!</v>
      </c>
      <c r="AO37" s="11" t="e">
        <f>(#REF!-#REF!)*'[1]功能-付费相关'!CC39/节奏总纲!Y37</f>
        <v>#REF!</v>
      </c>
      <c r="AP37" s="11" t="e">
        <f>(#REF!-#REF!)*'[1]功能-付费相关'!CD39/节奏总纲!Z37</f>
        <v>#REF!</v>
      </c>
      <c r="AQ37" s="11" t="e">
        <f>(#REF!-#REF!)*'[1]功能-付费相关'!CE39/节奏总纲!AA37</f>
        <v>#REF!</v>
      </c>
      <c r="AR37" s="21"/>
      <c r="AS37" s="11">
        <f>(信息索引!U39-信息索引!U38)*'[1]功能-付费相关'!BI39/节奏总纲!W37</f>
        <v>4138.8897407597233</v>
      </c>
      <c r="AT37" s="11">
        <f>(信息索引!V39-信息索引!V38)*'[1]功能-付费相关'!BJ39/节奏总纲!X37</f>
        <v>4830.5495567080616</v>
      </c>
      <c r="AU37" s="11">
        <f>(信息索引!W39-信息索引!W38)*'[1]功能-付费相关'!BK39/节奏总纲!Y37</f>
        <v>5964.8063539950044</v>
      </c>
      <c r="AV37" s="11">
        <f>(信息索引!X39-信息索引!X38)*'[1]功能-付费相关'!BL39/节奏总纲!Z37</f>
        <v>9750.0842799290494</v>
      </c>
      <c r="AW37" s="11">
        <f>(信息索引!Y39-信息索引!Y38)*'[1]功能-付费相关'!BM39/节奏总纲!AA37</f>
        <v>23867.127049758154</v>
      </c>
      <c r="AY37" s="11">
        <f>('[1]资源-武将经验'!T39*节奏总纲!BJ37-'[1]资源-武将经验'!T38*节奏总纲!BJ36)*'[1]功能-付费相关'!AZ39/节奏总纲!W37</f>
        <v>2000.8440567551277</v>
      </c>
      <c r="AZ37" s="11">
        <f>('[1]资源-武将经验'!U39*节奏总纲!BK37-'[1]资源-武将经验'!U38*节奏总纲!BK36)*'[1]功能-付费相关'!BA39/节奏总纲!X37</f>
        <v>2270.2806621576328</v>
      </c>
      <c r="BA37" s="11">
        <f>('[1]资源-武将经验'!V39*节奏总纲!BL37-'[1]资源-武将经验'!V38*节奏总纲!BL36)*'[1]功能-付费相关'!BB39/节奏总纲!Y37</f>
        <v>2793.1334085301123</v>
      </c>
      <c r="BB37" s="11">
        <f>('[1]资源-武将经验'!W39*节奏总纲!BM37-'[1]资源-武将经验'!W38*节奏总纲!BM36)*'[1]功能-付费相关'!BC39/节奏总纲!Z37</f>
        <v>9329.1407701237931</v>
      </c>
      <c r="BC37" s="11">
        <f>('[1]资源-武将经验'!X39*节奏总纲!BN37-'[1]资源-武将经验'!X38*节奏总纲!BN36)*'[1]功能-付费相关'!BD39/节奏总纲!AA37</f>
        <v>21595.244255189853</v>
      </c>
      <c r="BD37" s="29"/>
      <c r="BE37" s="33" t="e">
        <f t="shared" si="1"/>
        <v>#REF!</v>
      </c>
      <c r="BF37" s="33" t="e">
        <f t="shared" si="2"/>
        <v>#REF!</v>
      </c>
      <c r="BG37" s="33" t="e">
        <f t="shared" si="3"/>
        <v>#REF!</v>
      </c>
      <c r="BH37" s="33" t="e">
        <f t="shared" si="4"/>
        <v>#REF!</v>
      </c>
      <c r="BI37" s="33" t="e">
        <f t="shared" si="5"/>
        <v>#REF!</v>
      </c>
      <c r="BJ37" s="29"/>
      <c r="BK37" s="29"/>
      <c r="BL37" s="29"/>
      <c r="BM37" s="29"/>
      <c r="BN37" s="29"/>
    </row>
    <row r="38" spans="2:66" x14ac:dyDescent="0.15">
      <c r="B38" s="5">
        <v>35</v>
      </c>
      <c r="C38" s="5">
        <f>'[1]资源-玩家城池建筑时间'!AJ40*'[1]功能-付费相关'!AH40/节奏总纲!W38</f>
        <v>5384.9647274756844</v>
      </c>
      <c r="D38" s="5">
        <f>'[1]资源-玩家城池建筑时间'!AK40*'[1]功能-付费相关'!AI40/节奏总纲!X38</f>
        <v>6870.334684349441</v>
      </c>
      <c r="E38" s="5">
        <f>'[1]资源-玩家城池建筑时间'!AL40*'[1]功能-付费相关'!AJ40/节奏总纲!Y38</f>
        <v>9175.2923458251571</v>
      </c>
      <c r="F38" s="5">
        <f>'[1]资源-玩家城池建筑时间'!AM40*'[1]功能-付费相关'!AK40/节奏总纲!Z38</f>
        <v>14144.792462558846</v>
      </c>
      <c r="G38" s="5">
        <f>'[1]资源-玩家城池建筑时间'!AN40*'[1]功能-付费相关'!AL40/节奏总纲!AA38</f>
        <v>28428.348229535903</v>
      </c>
      <c r="H38" s="3"/>
      <c r="I38" s="28">
        <f>'[1]资源-士兵训练时间'!AB40*'[1]功能-付费相关'!AH40/节奏总纲!W38</f>
        <v>2364.1289781919213</v>
      </c>
      <c r="J38" s="28">
        <f>'[1]资源-士兵训练时间'!AC40*'[1]功能-付费相关'!AI40/节奏总纲!X38</f>
        <v>2753.2355233761559</v>
      </c>
      <c r="K38" s="28">
        <f>'[1]资源-士兵训练时间'!AD40*'[1]功能-付费相关'!AJ40/节奏总纲!Y38</f>
        <v>4487.3620798817528</v>
      </c>
      <c r="L38" s="28">
        <f>'[1]资源-士兵训练时间'!AE40*'[1]功能-付费相关'!AK40/节奏总纲!Z38</f>
        <v>9743.3135557692931</v>
      </c>
      <c r="M38" s="28">
        <f>'[1]资源-士兵训练时间'!AF40*'[1]功能-付费相关'!AL40/节奏总纲!AA38</f>
        <v>21060.254652807715</v>
      </c>
      <c r="N38" s="34"/>
      <c r="O38" s="34">
        <f>'[1]资源-士兵招募时间'!AC40*'[1]功能-付费相关'!AH40/节奏总纲!W38</f>
        <v>1619.6645777464021</v>
      </c>
      <c r="P38" s="34">
        <f>'[1]资源-士兵招募时间'!AD40*'[1]功能-付费相关'!AI40/节奏总纲!X38</f>
        <v>2118.1850096192402</v>
      </c>
      <c r="Q38" s="34">
        <f>'[1]资源-士兵招募时间'!AE40*'[1]功能-付费相关'!AJ40/节奏总纲!Y38</f>
        <v>2663.7041307661066</v>
      </c>
      <c r="R38" s="34">
        <f>'[1]资源-士兵招募时间'!AF40*'[1]功能-付费相关'!AK40/节奏总纲!Z38</f>
        <v>3033.7257400008502</v>
      </c>
      <c r="S38" s="34">
        <f>'[1]资源-士兵招募时间'!AG40*'[1]功能-付费相关'!AL40/节奏总纲!AA38</f>
        <v>2672.2927531341115</v>
      </c>
      <c r="T38" s="34"/>
      <c r="U38" s="5">
        <f>('[1]资源-木石铜粮'!U40-'[1]资源-木石铜粮'!U39)*'[1]功能-付费相关'!S40/节奏总纲!W38</f>
        <v>2873.9490943162305</v>
      </c>
      <c r="V38" s="5">
        <f>('[1]资源-木石铜粮'!V40-'[1]资源-木石铜粮'!V39)*'[1]功能-付费相关'!T40/节奏总纲!X38</f>
        <v>3518.4298957583042</v>
      </c>
      <c r="W38" s="5">
        <f>('[1]资源-木石铜粮'!W40-'[1]资源-木石铜粮'!W39)*'[1]功能-付费相关'!U40/节奏总纲!Y38</f>
        <v>4512.0672332360245</v>
      </c>
      <c r="X38" s="5">
        <f>('[1]资源-木石铜粮'!X40-'[1]资源-木石铜粮'!X39)*'[1]功能-付费相关'!V40/节奏总纲!Z38</f>
        <v>6672.6125847037965</v>
      </c>
      <c r="Y38" s="5">
        <f>('[1]资源-木石铜粮'!Y40-'[1]资源-木石铜粮'!Y39)*'[1]功能-付费相关'!W40/节奏总纲!AA38</f>
        <v>11804.120355845804</v>
      </c>
      <c r="Z38" s="3"/>
      <c r="AA38" s="11">
        <f>('[1]资源-铁'!T40-'[1]资源-铁'!T39)*'[1]功能-付费相关'!X40/节奏总纲!W38</f>
        <v>14.914574872679818</v>
      </c>
      <c r="AB38" s="11">
        <f>('[1]资源-铁'!U40-'[1]资源-铁'!U39)*'[1]功能-付费相关'!Y40/节奏总纲!X38</f>
        <v>17.351227992567736</v>
      </c>
      <c r="AC38" s="11">
        <f>('[1]资源-铁'!V40-'[1]资源-铁'!V39)*'[1]功能-付费相关'!Z40/节奏总纲!Y38</f>
        <v>32.611775773717774</v>
      </c>
      <c r="AD38" s="11">
        <f>('[1]资源-铁'!W40-'[1]资源-铁'!W39)*'[1]功能-付费相关'!AA40/节奏总纲!Z38</f>
        <v>663.87225318788899</v>
      </c>
      <c r="AE38" s="11">
        <f>('[1]资源-铁'!X40-'[1]资源-铁'!X39)*'[1]功能-付费相关'!AB40/节奏总纲!AA38</f>
        <v>1575.958165632976</v>
      </c>
      <c r="AG38" s="11">
        <f>('[1]资源-银币'!Y40-'[1]资源-银币'!Y39)*'[1]功能-付费相关'!AQ40/节奏总纲!W38</f>
        <v>2629.6284608631704</v>
      </c>
      <c r="AH38" s="11">
        <f>('[1]资源-银币'!Z40-'[1]资源-银币'!Z39)*'[1]功能-付费相关'!AR40/节奏总纲!X38</f>
        <v>2940.544106623458</v>
      </c>
      <c r="AI38" s="11">
        <f>('[1]资源-银币'!AA40-'[1]资源-银币'!AA39)*'[1]功能-付费相关'!AS40/节奏总纲!Y38</f>
        <v>4454.8960924551702</v>
      </c>
      <c r="AJ38" s="11">
        <f>('[1]资源-银币'!AB40-'[1]资源-银币'!AB39)*'[1]功能-付费相关'!AT40/节奏总纲!Z38</f>
        <v>6136.1530413382388</v>
      </c>
      <c r="AK38" s="11">
        <f>('[1]资源-银币'!AC40-'[1]资源-银币'!AC39)*'[1]功能-付费相关'!AU40/节奏总纲!AA38</f>
        <v>13135.62624478261</v>
      </c>
      <c r="AM38" s="11" t="e">
        <f>(#REF!-#REF!)*'[1]功能-付费相关'!CA40/节奏总纲!W38</f>
        <v>#REF!</v>
      </c>
      <c r="AN38" s="11" t="e">
        <f>(#REF!-#REF!)*'[1]功能-付费相关'!CB40/节奏总纲!X38</f>
        <v>#REF!</v>
      </c>
      <c r="AO38" s="11" t="e">
        <f>(#REF!-#REF!)*'[1]功能-付费相关'!CC40/节奏总纲!Y38</f>
        <v>#REF!</v>
      </c>
      <c r="AP38" s="11" t="e">
        <f>(#REF!-#REF!)*'[1]功能-付费相关'!CD40/节奏总纲!Z38</f>
        <v>#REF!</v>
      </c>
      <c r="AQ38" s="11" t="e">
        <f>(#REF!-#REF!)*'[1]功能-付费相关'!CE40/节奏总纲!AA38</f>
        <v>#REF!</v>
      </c>
      <c r="AR38" s="21"/>
      <c r="AS38" s="11">
        <f>(信息索引!U40-信息索引!U39)*'[1]功能-付费相关'!BI40/节奏总纲!W38</f>
        <v>3784.9602120688014</v>
      </c>
      <c r="AT38" s="11">
        <f>(信息索引!V40-信息索引!V39)*'[1]功能-付费相关'!BJ40/节奏总纲!X38</f>
        <v>4349.1854472006971</v>
      </c>
      <c r="AU38" s="11">
        <f>(信息索引!W40-信息索引!W39)*'[1]功能-付费相关'!BK40/节奏总纲!Y38</f>
        <v>5655.6674431547881</v>
      </c>
      <c r="AV38" s="11">
        <f>(信息索引!X40-信息索引!X39)*'[1]功能-付费相关'!BL40/节奏总纲!Z38</f>
        <v>10486.071646902194</v>
      </c>
      <c r="AW38" s="11">
        <f>(信息索引!Y40-信息索引!Y39)*'[1]功能-付费相关'!BM40/节奏总纲!AA38</f>
        <v>22473.405904446179</v>
      </c>
      <c r="AY38" s="11">
        <f>('[1]资源-武将经验'!T40*节奏总纲!BJ38-'[1]资源-武将经验'!T39*节奏总纲!BJ37)*'[1]功能-付费相关'!AZ40/节奏总纲!W38</f>
        <v>2268.4224424136892</v>
      </c>
      <c r="AZ38" s="11">
        <f>('[1]资源-武将经验'!U40*节奏总纲!BK38-'[1]资源-武将经验'!U39*节奏总纲!BK37)*'[1]功能-付费相关'!BA40/节奏总纲!X38</f>
        <v>3013.3304220025302</v>
      </c>
      <c r="BA38" s="11">
        <f>('[1]资源-武将经验'!V40*节奏总纲!BL38-'[1]资源-武将经验'!V39*节奏总纲!BL37)*'[1]功能-付费相关'!BB40/节奏总纲!Y38</f>
        <v>4017.1580192663455</v>
      </c>
      <c r="BB38" s="11">
        <f>('[1]资源-武将经验'!W40*节奏总纲!BM38-'[1]资源-武将经验'!W39*节奏总纲!BM37)*'[1]功能-付费相关'!BC40/节奏总纲!Z38</f>
        <v>13369.722078843046</v>
      </c>
      <c r="BC38" s="11">
        <f>('[1]资源-武将经验'!X40*节奏总纲!BN38-'[1]资源-武将经验'!X39*节奏总纲!BN37)*'[1]功能-付费相关'!BD40/节奏总纲!AA38</f>
        <v>28296.744156681438</v>
      </c>
      <c r="BD38" s="29"/>
      <c r="BE38" s="33" t="e">
        <f t="shared" si="1"/>
        <v>#REF!</v>
      </c>
      <c r="BF38" s="33" t="e">
        <f t="shared" si="2"/>
        <v>#REF!</v>
      </c>
      <c r="BG38" s="33" t="e">
        <f t="shared" si="3"/>
        <v>#REF!</v>
      </c>
      <c r="BH38" s="33" t="e">
        <f t="shared" si="4"/>
        <v>#REF!</v>
      </c>
      <c r="BI38" s="33" t="e">
        <f t="shared" si="5"/>
        <v>#REF!</v>
      </c>
      <c r="BJ38" s="29"/>
      <c r="BK38" s="29"/>
      <c r="BL38" s="29"/>
      <c r="BM38" s="29"/>
      <c r="BN38" s="29"/>
    </row>
    <row r="39" spans="2:66" x14ac:dyDescent="0.15">
      <c r="B39" s="5">
        <v>36</v>
      </c>
      <c r="C39" s="5">
        <f>'[1]资源-玩家城池建筑时间'!AJ41*'[1]功能-付费相关'!AH41/节奏总纲!W39</f>
        <v>5317.9224584503863</v>
      </c>
      <c r="D39" s="5">
        <f>'[1]资源-玩家城池建筑时间'!AK41*'[1]功能-付费相关'!AI41/节奏总纲!X39</f>
        <v>6675.8237482069771</v>
      </c>
      <c r="E39" s="5">
        <f>'[1]资源-玩家城池建筑时间'!AL41*'[1]功能-付费相关'!AJ41/节奏总纲!Y39</f>
        <v>9151.1671121738473</v>
      </c>
      <c r="F39" s="5">
        <f>'[1]资源-玩家城池建筑时间'!AM41*'[1]功能-付费相关'!AK41/节奏总纲!Z39</f>
        <v>13726.750668260782</v>
      </c>
      <c r="G39" s="5">
        <f>'[1]资源-玩家城池建筑时间'!AN41*'[1]功能-付费相关'!AL41/节奏总纲!AA39</f>
        <v>28182.33748406218</v>
      </c>
      <c r="H39" s="3"/>
      <c r="I39" s="28">
        <f>'[1]资源-士兵训练时间'!AB41*'[1]功能-付费相关'!AH41/节奏总纲!W39</f>
        <v>2020.3677583682922</v>
      </c>
      <c r="J39" s="28">
        <f>'[1]资源-士兵训练时间'!AC41*'[1]功能-付费相关'!AI41/节奏总纲!X39</f>
        <v>2644.3603714112191</v>
      </c>
      <c r="K39" s="28">
        <f>'[1]资源-士兵训练时间'!AD41*'[1]功能-付费相关'!AJ41/节奏总纲!Y39</f>
        <v>5603.1734057238127</v>
      </c>
      <c r="L39" s="28">
        <f>'[1]资源-士兵训练时间'!AE41*'[1]功能-付费相关'!AK41/节奏总纲!Z39</f>
        <v>9455.3551221589569</v>
      </c>
      <c r="M39" s="28">
        <f>'[1]资源-士兵训练时间'!AF41*'[1]功能-付费相关'!AL41/节奏总纲!AA39</f>
        <v>17904.844030607037</v>
      </c>
      <c r="N39" s="34"/>
      <c r="O39" s="34">
        <f>'[1]资源-士兵招募时间'!AC41*'[1]功能-付费相关'!AH41/节奏总纲!W39</f>
        <v>1576.1806173047883</v>
      </c>
      <c r="P39" s="34">
        <f>'[1]资源-士兵招募时间'!AD41*'[1]功能-付费相关'!AI41/节奏总纲!X39</f>
        <v>2058.5204969005299</v>
      </c>
      <c r="Q39" s="34">
        <f>'[1]资源-士兵招募时间'!AE41*'[1]功能-付费相关'!AJ41/节奏总纲!Y39</f>
        <v>2647.9228959466086</v>
      </c>
      <c r="R39" s="34">
        <f>'[1]资源-士兵招募时间'!AF41*'[1]功能-付费相关'!AK41/节奏总纲!Z39</f>
        <v>2889.2811451377574</v>
      </c>
      <c r="S39" s="34">
        <f>'[1]资源-士兵招募时间'!AG41*'[1]功能-付费相关'!AL41/节奏总纲!AA39</f>
        <v>2664.4304204982741</v>
      </c>
      <c r="T39" s="34"/>
      <c r="U39" s="5">
        <f>('[1]资源-木石铜粮'!U41-'[1]资源-木石铜粮'!U40)*'[1]功能-付费相关'!S41/节奏总纲!W39</f>
        <v>2836.6296380121839</v>
      </c>
      <c r="V39" s="5">
        <f>('[1]资源-木石铜粮'!V41-'[1]资源-木石铜粮'!V40)*'[1]功能-付费相关'!T41/节奏总纲!X39</f>
        <v>3437.2675181862269</v>
      </c>
      <c r="W39" s="5">
        <f>('[1]资源-木石铜粮'!W41-'[1]资源-木石铜粮'!W40)*'[1]功能-付费相关'!U41/节奏总纲!Y39</f>
        <v>4892.2141159019611</v>
      </c>
      <c r="X39" s="5">
        <f>('[1]资源-木石铜粮'!X41-'[1]资源-木石铜粮'!X40)*'[1]功能-付费相关'!V41/节奏总纲!Z39</f>
        <v>6371.7402918784383</v>
      </c>
      <c r="Y39" s="5">
        <f>('[1]资源-木石铜粮'!Y41-'[1]资源-木石铜粮'!Y40)*'[1]功能-付费相关'!W41/节奏总纲!AA39</f>
        <v>10320.956658735915</v>
      </c>
      <c r="Z39" s="3"/>
      <c r="AA39" s="11">
        <f>('[1]资源-铁'!T41-'[1]资源-铁'!T40)*'[1]功能-付费相关'!X41/节奏总纲!W39</f>
        <v>12.391708877029913</v>
      </c>
      <c r="AB39" s="11">
        <f>('[1]资源-铁'!U41-'[1]资源-铁'!U40)*'[1]功能-付费相关'!Y41/节奏总纲!X39</f>
        <v>16.202460282411501</v>
      </c>
      <c r="AC39" s="11">
        <f>('[1]资源-铁'!V41-'[1]资源-铁'!V40)*'[1]功能-付费相关'!Z41/节奏总纲!Y39</f>
        <v>376.6046812871657</v>
      </c>
      <c r="AD39" s="11">
        <f>('[1]资源-铁'!W41-'[1]资源-铁'!W40)*'[1]功能-付费相关'!AA41/节奏总纲!Z39</f>
        <v>625.90360907227137</v>
      </c>
      <c r="AE39" s="11">
        <f>('[1]资源-铁'!X41-'[1]资源-铁'!X40)*'[1]功能-付费相关'!AB41/节奏总纲!AA39</f>
        <v>1405.906920742266</v>
      </c>
      <c r="AG39" s="11">
        <f>('[1]资源-银币'!Y41-'[1]资源-银币'!Y40)*'[1]功能-付费相关'!AQ41/节奏总纲!W39</f>
        <v>2217.6673446707928</v>
      </c>
      <c r="AH39" s="11">
        <f>('[1]资源-银币'!Z41-'[1]资源-银币'!Z40)*'[1]功能-付费相关'!AR41/节奏总纲!X39</f>
        <v>2811.6002272702558</v>
      </c>
      <c r="AI39" s="11">
        <f>('[1]资源-银币'!AA41-'[1]资源-银币'!AA40)*'[1]功能-付费相关'!AS41/节奏总纲!Y39</f>
        <v>3928.4513405164685</v>
      </c>
      <c r="AJ39" s="11">
        <f>('[1]资源-银币'!AB41-'[1]资源-银币'!AB40)*'[1]功能-付费相关'!AT41/节奏总纲!Z39</f>
        <v>5800.116526790247</v>
      </c>
      <c r="AK39" s="11">
        <f>('[1]资源-银币'!AC41-'[1]资源-银币'!AC40)*'[1]功能-付费相关'!AU41/节奏总纲!AA39</f>
        <v>12056.357886014781</v>
      </c>
      <c r="AM39" s="11" t="e">
        <f>(#REF!-#REF!)*'[1]功能-付费相关'!CA41/节奏总纲!W39</f>
        <v>#REF!</v>
      </c>
      <c r="AN39" s="11" t="e">
        <f>(#REF!-#REF!)*'[1]功能-付费相关'!CB41/节奏总纲!X39</f>
        <v>#REF!</v>
      </c>
      <c r="AO39" s="11" t="e">
        <f>(#REF!-#REF!)*'[1]功能-付费相关'!CC41/节奏总纲!Y39</f>
        <v>#REF!</v>
      </c>
      <c r="AP39" s="11" t="e">
        <f>(#REF!-#REF!)*'[1]功能-付费相关'!CD41/节奏总纲!Z39</f>
        <v>#REF!</v>
      </c>
      <c r="AQ39" s="11" t="e">
        <f>(#REF!-#REF!)*'[1]功能-付费相关'!CE41/节奏总纲!AA39</f>
        <v>#REF!</v>
      </c>
      <c r="AR39" s="21"/>
      <c r="AS39" s="11">
        <f>(信息索引!U41-信息索引!U40)*'[1]功能-付费相关'!BI41/节奏总纲!W39</f>
        <v>3458.5233367267097</v>
      </c>
      <c r="AT39" s="11">
        <f>(信息索引!V41-信息索引!V40)*'[1]功能-付费相关'!BJ41/节奏总纲!X39</f>
        <v>4037.1867743891462</v>
      </c>
      <c r="AU39" s="11">
        <f>(信息索引!W41-信息索引!W40)*'[1]功能-付费相关'!BK41/节奏总纲!Y39</f>
        <v>6208.6918755366314</v>
      </c>
      <c r="AV39" s="11">
        <f>(信息索引!X41-信息索引!X40)*'[1]功能-付费相关'!BL41/节奏总纲!Z39</f>
        <v>9460.3952868372198</v>
      </c>
      <c r="AW39" s="11">
        <f>(信息索引!Y41-信息索引!Y40)*'[1]功能-付费相关'!BM41/节奏总纲!AA39</f>
        <v>15858.986600254108</v>
      </c>
      <c r="AY39" s="11">
        <f>('[1]资源-武将经验'!T41*节奏总纲!BJ39-'[1]资源-武将经验'!T40*节奏总纲!BJ38)*'[1]功能-付费相关'!AZ41/节奏总纲!W39</f>
        <v>2618.1486715573233</v>
      </c>
      <c r="AZ39" s="11">
        <f>('[1]资源-武将经验'!U41*节奏总纲!BK39-'[1]资源-武将经验'!U40*节奏总纲!BK38)*'[1]功能-付费相关'!BA41/节奏总纲!X39</f>
        <v>2965.1579844427547</v>
      </c>
      <c r="BA39" s="11">
        <f>('[1]资源-武将经验'!V41*节奏总纲!BL39-'[1]资源-武将经验'!V40*节奏总纲!BL38)*'[1]功能-付费相关'!BB41/节奏总纲!Y39</f>
        <v>4529.7316457717134</v>
      </c>
      <c r="BB39" s="11">
        <f>('[1]资源-武将经验'!W41*节奏总纲!BM39-'[1]资源-武将经验'!W40*节奏总纲!BM38)*'[1]功能-付费相关'!BC41/节奏总纲!Z39</f>
        <v>11529.226315201438</v>
      </c>
      <c r="BC39" s="11">
        <f>('[1]资源-武将经验'!X41*节奏总纲!BN39-'[1]资源-武将经验'!X40*节奏总纲!BN38)*'[1]功能-付费相关'!BD41/节奏总纲!AA39</f>
        <v>19085.818470920101</v>
      </c>
      <c r="BD39" s="29"/>
      <c r="BE39" s="33" t="e">
        <f t="shared" si="1"/>
        <v>#REF!</v>
      </c>
      <c r="BF39" s="33" t="e">
        <f t="shared" si="2"/>
        <v>#REF!</v>
      </c>
      <c r="BG39" s="33" t="e">
        <f t="shared" si="3"/>
        <v>#REF!</v>
      </c>
      <c r="BH39" s="33" t="e">
        <f t="shared" si="4"/>
        <v>#REF!</v>
      </c>
      <c r="BI39" s="33" t="e">
        <f t="shared" si="5"/>
        <v>#REF!</v>
      </c>
      <c r="BJ39" s="29"/>
      <c r="BK39" s="29"/>
      <c r="BL39" s="29"/>
      <c r="BM39" s="29"/>
      <c r="BN39" s="29"/>
    </row>
    <row r="40" spans="2:66" x14ac:dyDescent="0.15">
      <c r="B40" s="5">
        <v>37</v>
      </c>
      <c r="C40" s="5">
        <f>'[1]资源-玩家城池建筑时间'!AJ42*'[1]功能-付费相关'!AH42/节奏总纲!W40</f>
        <v>5182.8186713636323</v>
      </c>
      <c r="D40" s="5">
        <f>'[1]资源-玩家城池建筑时间'!AK42*'[1]功能-付费相关'!AI42/节奏总纲!X40</f>
        <v>6606.0109460396825</v>
      </c>
      <c r="E40" s="5">
        <f>'[1]资源-玩家城池建筑时间'!AL42*'[1]功能-付费相关'!AJ42/节奏总纲!Y40</f>
        <v>8880.7092507651323</v>
      </c>
      <c r="F40" s="5">
        <f>'[1]资源-玩家城池建筑时间'!AM42*'[1]功能-付费相关'!AK42/节奏总纲!Z40</f>
        <v>13585.137980815614</v>
      </c>
      <c r="G40" s="5">
        <f>'[1]资源-玩家城池建筑时间'!AN42*'[1]功能-付费相关'!AL42/节奏总纲!AA40</f>
        <v>27385.512789337292</v>
      </c>
      <c r="H40" s="3"/>
      <c r="I40" s="28">
        <f>'[1]资源-士兵训练时间'!AB42*'[1]功能-付费相关'!AH42/节奏总纲!W40</f>
        <v>1895.045694667341</v>
      </c>
      <c r="J40" s="28">
        <f>'[1]资源-士兵训练时间'!AC42*'[1]功能-付费相关'!AI42/节奏总纲!X40</f>
        <v>3089.6627239948502</v>
      </c>
      <c r="K40" s="28">
        <f>'[1]资源-士兵训练时间'!AD42*'[1]功能-付费相关'!AJ42/节奏总纲!Y40</f>
        <v>5437.5746052824607</v>
      </c>
      <c r="L40" s="28">
        <f>'[1]资源-士兵训练时间'!AE42*'[1]功能-付费相关'!AK42/节奏总纲!Z40</f>
        <v>8162.7249820095258</v>
      </c>
      <c r="M40" s="28">
        <f>'[1]资源-士兵训练时间'!AF42*'[1]功能-付费相关'!AL42/节奏总纲!AA40</f>
        <v>17664.366917248157</v>
      </c>
      <c r="N40" s="34"/>
      <c r="O40" s="34">
        <f>'[1]资源-士兵招募时间'!AC42*'[1]功能-付费相关'!AH42/节奏总纲!W40</f>
        <v>1535.0465645708048</v>
      </c>
      <c r="P40" s="34">
        <f>'[1]资源-士兵招募时间'!AD42*'[1]功能-付费相关'!AI42/节奏总纲!X40</f>
        <v>2026.6500971368191</v>
      </c>
      <c r="Q40" s="34">
        <f>'[1]资源-士兵招募时间'!AE42*'[1]功能-付费相关'!AJ42/节奏总纲!Y40</f>
        <v>2603.2668735181214</v>
      </c>
      <c r="R40" s="34">
        <f>'[1]资源-士兵招募时间'!AF42*'[1]功能-付费相关'!AK42/节奏总纲!Z40</f>
        <v>2718.0052842951773</v>
      </c>
      <c r="S40" s="34">
        <f>'[1]资源-士兵招募时间'!AG42*'[1]功能-付费相关'!AL42/节奏总纲!AA40</f>
        <v>2594.0781569290125</v>
      </c>
      <c r="T40" s="34"/>
      <c r="U40" s="5">
        <f>('[1]资源-木石铜粮'!U42-'[1]资源-木石铜粮'!U41)*'[1]功能-付费相关'!S42/节奏总纲!W40</f>
        <v>2747.0103837860524</v>
      </c>
      <c r="V40" s="5">
        <f>('[1]资源-木石铜粮'!V42-'[1]资源-木石铜粮'!V41)*'[1]功能-付费相关'!T42/节奏总纲!X40</f>
        <v>3619.3832498344077</v>
      </c>
      <c r="W40" s="5">
        <f>('[1]资源-木石铜粮'!W42-'[1]资源-木石铜粮'!W41)*'[1]功能-付费相关'!U42/节奏总纲!Y40</f>
        <v>4826.5510030677315</v>
      </c>
      <c r="X40" s="5">
        <f>('[1]资源-木石铜粮'!X42-'[1]资源-木石铜粮'!X41)*'[1]功能-付费相关'!V42/节奏总纲!Z40</f>
        <v>5715.4905595261489</v>
      </c>
      <c r="Y40" s="5">
        <f>('[1]资源-木石铜粮'!Y42-'[1]资源-木石铜粮'!Y41)*'[1]功能-付费相关'!W42/节奏总纲!AA40</f>
        <v>9742.536512632214</v>
      </c>
      <c r="Z40" s="3"/>
      <c r="AA40" s="11">
        <f>('[1]资源-铁'!T42-'[1]资源-铁'!T41)*'[1]功能-付费相关'!X42/节奏总纲!W40</f>
        <v>11.306673795325073</v>
      </c>
      <c r="AB40" s="11">
        <f>('[1]资源-铁'!U42-'[1]资源-铁'!U41)*'[1]功能-付费相关'!Y42/节奏总纲!X40</f>
        <v>156.64260852094469</v>
      </c>
      <c r="AC40" s="11">
        <f>('[1]资源-铁'!V42-'[1]资源-铁'!V41)*'[1]功能-付费相关'!Z42/节奏总纲!Y40</f>
        <v>355.47658251566293</v>
      </c>
      <c r="AD40" s="11">
        <f>('[1]资源-铁'!W42-'[1]资源-铁'!W41)*'[1]功能-付费相关'!AA42/节奏总纲!Z40</f>
        <v>572.88218684328672</v>
      </c>
      <c r="AE40" s="11">
        <f>('[1]资源-铁'!X42-'[1]资源-铁'!X41)*'[1]功能-付费相关'!AB42/节奏总纲!AA40</f>
        <v>1452.523622985133</v>
      </c>
      <c r="AG40" s="11">
        <f>('[1]资源-银币'!Y42-'[1]资源-银币'!Y41)*'[1]功能-付费相关'!AQ42/节奏总纲!W40</f>
        <v>2028.6244159336957</v>
      </c>
      <c r="AH40" s="11">
        <f>('[1]资源-银币'!Z42-'[1]资源-银币'!Z41)*'[1]功能-付费相关'!AR42/节奏总纲!X40</f>
        <v>2543.7137000488829</v>
      </c>
      <c r="AI40" s="11">
        <f>('[1]资源-银币'!AA42-'[1]资源-银币'!AA41)*'[1]功能-付费相关'!AS42/节奏总纲!Y40</f>
        <v>3781.1149477858153</v>
      </c>
      <c r="AJ40" s="11">
        <f>('[1]资源-银币'!AB42-'[1]资源-银币'!AB41)*'[1]功能-付费相关'!AT42/节奏总纲!Z40</f>
        <v>5374.3065350553088</v>
      </c>
      <c r="AK40" s="11">
        <f>('[1]资源-银币'!AC42-'[1]资源-银币'!AC41)*'[1]功能-付费相关'!AU42/节奏总纲!AA40</f>
        <v>11419.61595895959</v>
      </c>
      <c r="AM40" s="11" t="e">
        <f>(#REF!-#REF!)*'[1]功能-付费相关'!CA42/节奏总纲!W40</f>
        <v>#REF!</v>
      </c>
      <c r="AN40" s="11" t="e">
        <f>(#REF!-#REF!)*'[1]功能-付费相关'!CB42/节奏总纲!X40</f>
        <v>#REF!</v>
      </c>
      <c r="AO40" s="11" t="e">
        <f>(#REF!-#REF!)*'[1]功能-付费相关'!CC42/节奏总纲!Y40</f>
        <v>#REF!</v>
      </c>
      <c r="AP40" s="11" t="e">
        <f>(#REF!-#REF!)*'[1]功能-付费相关'!CD42/节奏总纲!Z40</f>
        <v>#REF!</v>
      </c>
      <c r="AQ40" s="11" t="e">
        <f>(#REF!-#REF!)*'[1]功能-付费相关'!CE42/节奏总纲!AA40</f>
        <v>#REF!</v>
      </c>
      <c r="AR40" s="21"/>
      <c r="AS40" s="11">
        <f>(信息索引!U42-信息索引!U41)*'[1]功能-付费相关'!BI42/节奏总纲!W40</f>
        <v>3157.8459348559204</v>
      </c>
      <c r="AT40" s="11">
        <f>(信息索引!V42-信息索引!V41)*'[1]功能-付费相关'!BJ42/节奏总纲!X40</f>
        <v>4233.8519175977099</v>
      </c>
      <c r="AU40" s="11">
        <f>(信息索引!W42-信息索引!W41)*'[1]功能-付费相关'!BK42/节奏总纲!Y40</f>
        <v>5882.2947129800978</v>
      </c>
      <c r="AV40" s="11">
        <f>(信息索引!X42-信息索引!X41)*'[1]功能-付费相关'!BL42/节奏总纲!Z40</f>
        <v>7132.9154246359221</v>
      </c>
      <c r="AW40" s="11">
        <f>(信息索引!Y42-信息索引!Y41)*'[1]功能-付费相关'!BM42/节奏总纲!AA40</f>
        <v>14478.868982682883</v>
      </c>
      <c r="AY40" s="11">
        <f>('[1]资源-武将经验'!T42*节奏总纲!BJ40-'[1]资源-武将经验'!T41*节奏总纲!BJ39)*'[1]功能-付费相关'!AZ42/节奏总纲!W40</f>
        <v>2285.6562496444785</v>
      </c>
      <c r="AZ40" s="11">
        <f>('[1]资源-武将经验'!U42*节奏总纲!BK40-'[1]资源-武将经验'!U41*节奏总纲!BK39)*'[1]功能-付费相关'!BA42/节奏总纲!X40</f>
        <v>2972.7633258455562</v>
      </c>
      <c r="BA40" s="11">
        <f>('[1]资源-武将经验'!V42*节奏总纲!BL40-'[1]资源-武将经验'!V41*节奏总纲!BL39)*'[1]功能-付费相关'!BB42/节奏总纲!Y40</f>
        <v>4102.6278732889286</v>
      </c>
      <c r="BB40" s="11">
        <f>('[1]资源-武将经验'!W42*节奏总纲!BM40-'[1]资源-武将经验'!W41*节奏总纲!BM39)*'[1]功能-付费相关'!BC42/节奏总纲!Z40</f>
        <v>8308.2054589348772</v>
      </c>
      <c r="BC40" s="11">
        <f>('[1]资源-武将经验'!X42*节奏总纲!BN40-'[1]资源-武将经验'!X41*节奏总纲!BN39)*'[1]功能-付费相关'!BD42/节奏总纲!AA40</f>
        <v>16653.537041040443</v>
      </c>
      <c r="BD40" s="29"/>
      <c r="BE40" s="33" t="e">
        <f t="shared" si="1"/>
        <v>#REF!</v>
      </c>
      <c r="BF40" s="33" t="e">
        <f t="shared" si="2"/>
        <v>#REF!</v>
      </c>
      <c r="BG40" s="33" t="e">
        <f t="shared" si="3"/>
        <v>#REF!</v>
      </c>
      <c r="BH40" s="33" t="e">
        <f t="shared" si="4"/>
        <v>#REF!</v>
      </c>
      <c r="BI40" s="33" t="e">
        <f t="shared" si="5"/>
        <v>#REF!</v>
      </c>
      <c r="BJ40" s="29"/>
      <c r="BK40" s="29"/>
      <c r="BL40" s="29"/>
      <c r="BM40" s="29"/>
      <c r="BN40" s="29"/>
    </row>
    <row r="41" spans="2:66" x14ac:dyDescent="0.15">
      <c r="B41" s="5">
        <v>38</v>
      </c>
      <c r="C41" s="5">
        <f>'[1]资源-玩家城池建筑时间'!AJ43*'[1]功能-付费相关'!AH43/节奏总纲!W41</f>
        <v>5109.7514403665</v>
      </c>
      <c r="D41" s="5">
        <f>'[1]资源-玩家城池建筑时间'!AK43*'[1]功能-付费相关'!AI43/节奏总纲!X41</f>
        <v>6463.6834703609547</v>
      </c>
      <c r="E41" s="5">
        <f>'[1]资源-玩家城池建筑时间'!AL43*'[1]功能-付费相关'!AJ43/节奏总纲!Y41</f>
        <v>8714.5876045057994</v>
      </c>
      <c r="F41" s="5">
        <f>'[1]资源-玩家城池建筑时间'!AM43*'[1]功能-付费相关'!AK43/节奏总纲!Z41</f>
        <v>13270.562957995859</v>
      </c>
      <c r="G41" s="5">
        <f>'[1]资源-玩家城池建筑时间'!AN43*'[1]功能-付费相关'!AL43/节奏总纲!AA41</f>
        <v>27122.304210052524</v>
      </c>
      <c r="H41" s="3"/>
      <c r="I41" s="28">
        <f>'[1]资源-士兵训练时间'!AB43*'[1]功能-付费相关'!AH43/节奏总纲!W41</f>
        <v>2142.65578986834</v>
      </c>
      <c r="J41" s="28">
        <f>'[1]资源-士兵训练时间'!AC43*'[1]功能-付费相关'!AI43/节奏总纲!X41</f>
        <v>3215.5926495670797</v>
      </c>
      <c r="K41" s="28">
        <f>'[1]资源-士兵训练时间'!AD43*'[1]功能-付费相关'!AJ43/节奏总纲!Y41</f>
        <v>4948.2989651368634</v>
      </c>
      <c r="L41" s="28">
        <f>'[1]资源-士兵训练时间'!AE43*'[1]功能-付费相关'!AK43/节奏总纲!Z41</f>
        <v>7587.9661893224911</v>
      </c>
      <c r="M41" s="28">
        <f>'[1]资源-士兵训练时间'!AF43*'[1]功能-付费相关'!AL43/节奏总纲!AA41</f>
        <v>21511.202648551778</v>
      </c>
      <c r="N41" s="34"/>
      <c r="O41" s="34">
        <f>'[1]资源-士兵招募时间'!AC43*'[1]功能-付费相关'!AH43/节奏总纲!W41</f>
        <v>1493.0103536979532</v>
      </c>
      <c r="P41" s="34">
        <f>'[1]资源-士兵招募时间'!AD43*'[1]功能-付费相关'!AI43/节奏总纲!X41</f>
        <v>1952.2426470361752</v>
      </c>
      <c r="Q41" s="34">
        <f>'[1]资源-士兵招募时间'!AE43*'[1]功能-付费相关'!AJ43/节奏总纲!Y41</f>
        <v>2429.9518425918382</v>
      </c>
      <c r="R41" s="34">
        <f>'[1]资源-士兵招募时间'!AF43*'[1]功能-付费相关'!AK43/节奏总纲!Z41</f>
        <v>2567.4226413307815</v>
      </c>
      <c r="S41" s="34">
        <f>'[1]资源-士兵招募时间'!AG43*'[1]功能-付费相关'!AL43/节奏总纲!AA41</f>
        <v>2357.4007333079935</v>
      </c>
      <c r="T41" s="34"/>
      <c r="U41" s="5">
        <f>('[1]资源-木石铜粮'!U43-'[1]资源-木石铜粮'!U42)*'[1]功能-付费相关'!S43/节奏总纲!W41</f>
        <v>2705.0545139944365</v>
      </c>
      <c r="V41" s="5">
        <f>('[1]资源-木石铜粮'!V43-'[1]资源-木石铜粮'!V42)*'[1]功能-付费相关'!T43/节奏总纲!X41</f>
        <v>3467.4157779783823</v>
      </c>
      <c r="W41" s="5">
        <f>('[1]资源-木石铜粮'!W43-'[1]资源-木石铜粮'!W42)*'[1]功能-付费相关'!U43/节奏总纲!Y41</f>
        <v>4269.0443469281863</v>
      </c>
      <c r="X41" s="5">
        <f>('[1]资源-木石铜粮'!X43-'[1]资源-木石铜粮'!X42)*'[1]功能-付费相关'!V43/节奏总纲!Z41</f>
        <v>5035.7891110371038</v>
      </c>
      <c r="Y41" s="5">
        <f>('[1]资源-木石铜粮'!Y43-'[1]资源-木石铜粮'!Y42)*'[1]功能-付费相关'!W43/节奏总纲!AA41</f>
        <v>8785.4041865740783</v>
      </c>
      <c r="Z41" s="3"/>
      <c r="AA41" s="11">
        <f>('[1]资源-铁'!T43-'[1]资源-铁'!T42)*'[1]功能-付费相关'!X43/节奏总纲!W41</f>
        <v>90.561199066423654</v>
      </c>
      <c r="AB41" s="11">
        <f>('[1]资源-铁'!U43-'[1]资源-铁'!U42)*'[1]功能-付费相关'!Y43/节奏总纲!X41</f>
        <v>205.03366122971511</v>
      </c>
      <c r="AC41" s="11">
        <f>('[1]资源-铁'!V43-'[1]资源-铁'!V42)*'[1]功能-付费相关'!Z43/节奏总纲!Y41</f>
        <v>331.14604942725521</v>
      </c>
      <c r="AD41" s="11">
        <f>('[1]资源-铁'!W43-'[1]资源-铁'!W42)*'[1]功能-付费相关'!AA43/节奏总纲!Z41</f>
        <v>534.83667192379937</v>
      </c>
      <c r="AE41" s="11">
        <f>('[1]资源-铁'!X43-'[1]资源-铁'!X42)*'[1]功能-付费相关'!AB43/节奏总纲!AA41</f>
        <v>3521.8386412152513</v>
      </c>
      <c r="AG41" s="11">
        <f>('[1]资源-银币'!Y43-'[1]资源-银币'!Y42)*'[1]功能-付费相关'!AQ43/节奏总纲!W41</f>
        <v>1760.0447220304486</v>
      </c>
      <c r="AH41" s="11">
        <f>('[1]资源-银币'!Z43-'[1]资源-银币'!Z42)*'[1]功能-付费相关'!AR43/节奏总纲!X41</f>
        <v>2255.1352858799942</v>
      </c>
      <c r="AI41" s="11">
        <f>('[1]资源-银币'!AA43-'[1]资源-银币'!AA42)*'[1]功能-付费相关'!AS43/节奏总纲!Y41</f>
        <v>3355.2650956844686</v>
      </c>
      <c r="AJ41" s="11">
        <f>('[1]资源-银币'!AB43-'[1]资源-银币'!AB42)*'[1]功能-付费相关'!AT43/节奏总纲!Z41</f>
        <v>4915.5646953282494</v>
      </c>
      <c r="AK41" s="11">
        <f>('[1]资源-银币'!AC43-'[1]资源-银币'!AC42)*'[1]功能-付费相关'!AU43/节奏总纲!AA41</f>
        <v>8866.0649252074854</v>
      </c>
      <c r="AM41" s="11" t="e">
        <f>(#REF!-#REF!)*'[1]功能-付费相关'!CA43/节奏总纲!W41</f>
        <v>#REF!</v>
      </c>
      <c r="AN41" s="11" t="e">
        <f>(#REF!-#REF!)*'[1]功能-付费相关'!CB43/节奏总纲!X41</f>
        <v>#REF!</v>
      </c>
      <c r="AO41" s="11" t="e">
        <f>(#REF!-#REF!)*'[1]功能-付费相关'!CC43/节奏总纲!Y41</f>
        <v>#REF!</v>
      </c>
      <c r="AP41" s="11" t="e">
        <f>(#REF!-#REF!)*'[1]功能-付费相关'!CD43/节奏总纲!Z41</f>
        <v>#REF!</v>
      </c>
      <c r="AQ41" s="11" t="e">
        <f>(#REF!-#REF!)*'[1]功能-付费相关'!CE43/节奏总纲!AA41</f>
        <v>#REF!</v>
      </c>
      <c r="AR41" s="21"/>
      <c r="AS41" s="11">
        <f>(信息索引!U43-信息索引!U42)*'[1]功能-付费相关'!BI43/节奏总纲!W41</f>
        <v>2881.2398039027735</v>
      </c>
      <c r="AT41" s="11">
        <f>(信息索引!V43-信息索引!V42)*'[1]功能-付费相关'!BJ43/节奏总纲!X41</f>
        <v>3716.5417285515755</v>
      </c>
      <c r="AU41" s="11">
        <f>(信息索引!W43-信息索引!W42)*'[1]功能-付费相关'!BK43/节奏总纲!Y41</f>
        <v>4393.9684104183434</v>
      </c>
      <c r="AV41" s="11">
        <f>(信息索引!X43-信息索引!X42)*'[1]功能-付费相关'!BL43/节奏总纲!Z41</f>
        <v>5237.9059847646986</v>
      </c>
      <c r="AW41" s="11">
        <f>(信息索引!Y43-信息索引!Y42)*'[1]功能-付费相关'!BM43/节奏总纲!AA41</f>
        <v>11183.407668738049</v>
      </c>
      <c r="AY41" s="11">
        <f>('[1]资源-武将经验'!T43*节奏总纲!BJ41-'[1]资源-武将经验'!T42*节奏总纲!BJ40)*'[1]功能-付费相关'!AZ43/节奏总纲!W41</f>
        <v>1993.7794324711199</v>
      </c>
      <c r="AZ41" s="11">
        <f>('[1]资源-武将经验'!U43*节奏总纲!BK41-'[1]资源-武将经验'!U42*节奏总纲!BK40)*'[1]功能-付费相关'!BA43/节奏总纲!X41</f>
        <v>2494.5030996929681</v>
      </c>
      <c r="BA41" s="11">
        <f>('[1]资源-武将经验'!V43*节奏总纲!BL41-'[1]资源-武将经验'!V42*节奏总纲!BL40)*'[1]功能-付费相关'!BB43/节奏总纲!Y41</f>
        <v>2929.4132668722727</v>
      </c>
      <c r="BB41" s="11">
        <f>('[1]资源-武将经验'!W43*节奏总纲!BM41-'[1]资源-武将经验'!W42*节奏总纲!BM40)*'[1]功能-付费相关'!BC43/节奏总纲!Z41</f>
        <v>5830.6589518437531</v>
      </c>
      <c r="BC41" s="11">
        <f>('[1]资源-武将经验'!X43*节奏总纲!BN41-'[1]资源-武将经验'!X42*节奏总纲!BN40)*'[1]功能-付费相关'!BD43/节奏总纲!AA41</f>
        <v>12292.881902154428</v>
      </c>
      <c r="BD41" s="29"/>
      <c r="BE41" s="33" t="e">
        <f t="shared" si="1"/>
        <v>#REF!</v>
      </c>
      <c r="BF41" s="33" t="e">
        <f t="shared" si="2"/>
        <v>#REF!</v>
      </c>
      <c r="BG41" s="33" t="e">
        <f t="shared" si="3"/>
        <v>#REF!</v>
      </c>
      <c r="BH41" s="33" t="e">
        <f t="shared" si="4"/>
        <v>#REF!</v>
      </c>
      <c r="BI41" s="33" t="e">
        <f t="shared" si="5"/>
        <v>#REF!</v>
      </c>
      <c r="BJ41" s="29"/>
      <c r="BK41" s="29"/>
      <c r="BL41" s="29"/>
      <c r="BM41" s="29"/>
      <c r="BN41" s="29"/>
    </row>
    <row r="42" spans="2:66" x14ac:dyDescent="0.15">
      <c r="B42" s="5">
        <v>39</v>
      </c>
      <c r="C42" s="5">
        <f>'[1]资源-玩家城池建筑时间'!AJ44*'[1]功能-付费相关'!AH44/节奏总纲!W42</f>
        <v>5018.1222032664855</v>
      </c>
      <c r="D42" s="5">
        <f>'[1]资源-玩家城池建筑时间'!AK44*'[1]功能-付费相关'!AI44/节奏总纲!X42</f>
        <v>6329.5540013385553</v>
      </c>
      <c r="E42" s="5">
        <f>'[1]资源-玩家城池建筑时间'!AL44*'[1]功能-付费相关'!AJ44/节奏总纲!Y42</f>
        <v>8585.5723668409137</v>
      </c>
      <c r="F42" s="5">
        <f>'[1]资源-玩家城池建筑时间'!AM44*'[1]功能-付费相关'!AK44/节奏总纲!Z42</f>
        <v>13096.333030265798</v>
      </c>
      <c r="G42" s="5">
        <f>'[1]资源-玩家城池建筑时间'!AN44*'[1]功能-付费相关'!AL44/节奏总纲!AA42</f>
        <v>26442.462728850733</v>
      </c>
      <c r="H42" s="3"/>
      <c r="I42" s="28">
        <f>'[1]资源-士兵训练时间'!AB44*'[1]功能-付费相关'!AH44/节奏总纲!W42</f>
        <v>2304.4117103880249</v>
      </c>
      <c r="J42" s="28">
        <f>'[1]资源-士兵训练时间'!AC44*'[1]功能-付费相关'!AI44/节奏总纲!X42</f>
        <v>2962.8856054986904</v>
      </c>
      <c r="K42" s="28">
        <f>'[1]资源-士兵训练时间'!AD44*'[1]功能-付费相关'!AJ44/节奏总纲!Y42</f>
        <v>4363.6787538637718</v>
      </c>
      <c r="L42" s="28">
        <f>'[1]资源-士兵训练时间'!AE44*'[1]功能-付费相关'!AK44/节奏总纲!Z42</f>
        <v>8932.9989923769845</v>
      </c>
      <c r="M42" s="28">
        <f>'[1]资源-士兵训练时间'!AF44*'[1]功能-付费相关'!AL44/节奏总纲!AA42</f>
        <v>21761.326720912242</v>
      </c>
      <c r="N42" s="34"/>
      <c r="O42" s="34">
        <f>'[1]资源-士兵招募时间'!AC44*'[1]功能-付费相关'!AH44/节奏总纲!W42</f>
        <v>1450.5041570115936</v>
      </c>
      <c r="P42" s="34">
        <f>'[1]资源-士兵招募时间'!AD44*'[1]功能-付费相关'!AI44/节奏总纲!X42</f>
        <v>1885.8930772428005</v>
      </c>
      <c r="Q42" s="34">
        <f>'[1]资源-士兵招募时间'!AE44*'[1]功能-付费相关'!AJ44/节奏总纲!Y42</f>
        <v>2365.4967985582211</v>
      </c>
      <c r="R42" s="34">
        <f>'[1]资源-士兵招募时间'!AF44*'[1]功能-付费相关'!AK44/节奏总纲!Z42</f>
        <v>2437.1373642225103</v>
      </c>
      <c r="S42" s="34">
        <f>'[1]资源-士兵招募时间'!AG44*'[1]功能-付费相关'!AL44/节奏总纲!AA42</f>
        <v>2275.9439484377112</v>
      </c>
      <c r="T42" s="34"/>
      <c r="U42" s="5">
        <f>('[1]资源-木石铜粮'!U44-'[1]资源-木石铜粮'!U43)*'[1]功能-付费相关'!S44/节奏总纲!W42</f>
        <v>2649.6907056957052</v>
      </c>
      <c r="V42" s="5">
        <f>('[1]资源-木石铜粮'!V44-'[1]资源-木石铜粮'!V43)*'[1]功能-付费相关'!T44/节奏总纲!X42</f>
        <v>3140.1757686836063</v>
      </c>
      <c r="W42" s="5">
        <f>('[1]资源-木石铜粮'!W44-'[1]资源-木石铜粮'!W43)*'[1]功能-付费相关'!U44/节奏总纲!Y42</f>
        <v>3728.0038306837992</v>
      </c>
      <c r="X42" s="5">
        <f>('[1]资源-木石铜粮'!X44-'[1]资源-木石铜粮'!X43)*'[1]功能-付费相关'!V44/节奏总纲!Z42</f>
        <v>4856.2584393557026</v>
      </c>
      <c r="Y42" s="5">
        <f>('[1]资源-木石铜粮'!Y44-'[1]资源-木石铜粮'!Y43)*'[1]功能-付费相关'!W44/节奏总纲!AA42</f>
        <v>8110.4561050286011</v>
      </c>
      <c r="Z42" s="3"/>
      <c r="AA42" s="11">
        <f>('[1]资源-铁'!T44-'[1]资源-铁'!T43)*'[1]功能-付费相关'!X44/节奏总纲!W42</f>
        <v>143.24271026455273</v>
      </c>
      <c r="AB42" s="11">
        <f>('[1]资源-铁'!U44-'[1]资源-铁'!U43)*'[1]功能-付费相关'!Y44/节奏总纲!X42</f>
        <v>193.03237100347863</v>
      </c>
      <c r="AC42" s="11">
        <f>('[1]资源-铁'!V44-'[1]资源-铁'!V43)*'[1]功能-付费相关'!Z44/节奏总纲!Y42</f>
        <v>306.95142947135594</v>
      </c>
      <c r="AD42" s="11">
        <f>('[1]资源-铁'!W44-'[1]资源-铁'!W43)*'[1]功能-付费相关'!AA44/节奏总纲!Z42</f>
        <v>1259.1438590475241</v>
      </c>
      <c r="AE42" s="11">
        <f>('[1]资源-铁'!X44-'[1]资源-铁'!X43)*'[1]功能-付费相关'!AB44/节奏总纲!AA42</f>
        <v>3781.104696646195</v>
      </c>
      <c r="AG42" s="11">
        <f>('[1]资源-银币'!Y44-'[1]资源-银币'!Y43)*'[1]功能-付费相关'!AQ44/节奏总纲!W42</f>
        <v>1555.6457079641227</v>
      </c>
      <c r="AH42" s="11">
        <f>('[1]资源-银币'!Z44-'[1]资源-银币'!Z43)*'[1]功能-付费相关'!AR44/节奏总纲!X42</f>
        <v>2026.6270327419595</v>
      </c>
      <c r="AI42" s="11">
        <f>('[1]资源-银币'!AA44-'[1]资源-银币'!AA43)*'[1]功能-付费相关'!AS44/节奏总纲!Y42</f>
        <v>3002.7637330996013</v>
      </c>
      <c r="AJ42" s="11">
        <f>('[1]资源-银币'!AB44-'[1]资源-银币'!AB43)*'[1]功能-付费相关'!AT44/节奏总纲!Z42</f>
        <v>4062.0576754356348</v>
      </c>
      <c r="AK42" s="11">
        <f>('[1]资源-银币'!AC44-'[1]资源-银币'!AC43)*'[1]功能-付费相关'!AU44/节奏总纲!AA42</f>
        <v>8748.7144535282405</v>
      </c>
      <c r="AM42" s="11" t="e">
        <f>(#REF!-#REF!)*'[1]功能-付费相关'!CA44/节奏总纲!W42</f>
        <v>#REF!</v>
      </c>
      <c r="AN42" s="11" t="e">
        <f>(#REF!-#REF!)*'[1]功能-付费相关'!CB44/节奏总纲!X42</f>
        <v>#REF!</v>
      </c>
      <c r="AO42" s="11" t="e">
        <f>(#REF!-#REF!)*'[1]功能-付费相关'!CC44/节奏总纲!Y42</f>
        <v>#REF!</v>
      </c>
      <c r="AP42" s="11" t="e">
        <f>(#REF!-#REF!)*'[1]功能-付费相关'!CD44/节奏总纲!Z42</f>
        <v>#REF!</v>
      </c>
      <c r="AQ42" s="11" t="e">
        <f>(#REF!-#REF!)*'[1]功能-付费相关'!CE44/节奏总纲!AA42</f>
        <v>#REF!</v>
      </c>
      <c r="AR42" s="21"/>
      <c r="AS42" s="11">
        <f>(信息索引!U44-信息索引!U43)*'[1]功能-付费相关'!BI44/节奏总纲!W42</f>
        <v>2627.0732055387562</v>
      </c>
      <c r="AT42" s="11">
        <f>(信息索引!V44-信息索引!V43)*'[1]功能-付费相关'!BJ44/节奏总纲!X42</f>
        <v>2903.4849680790799</v>
      </c>
      <c r="AU42" s="11">
        <f>(信息索引!W44-信息索引!W43)*'[1]功能-付费相关'!BK44/节奏总纲!Y42</f>
        <v>3044.4953203947716</v>
      </c>
      <c r="AV42" s="11">
        <f>(信息索引!X44-信息索引!X43)*'[1]功能-付费相关'!BL44/节奏总纲!Z42</f>
        <v>4580.9007643844488</v>
      </c>
      <c r="AW42" s="11">
        <f>(信息索引!Y44-信息索引!Y43)*'[1]功能-付费相关'!BM44/节奏总纲!AA42</f>
        <v>9367.4184762175319</v>
      </c>
      <c r="AY42" s="11">
        <f>('[1]资源-武将经验'!T44*节奏总纲!BJ42-'[1]资源-武将经验'!T43*节奏总纲!BJ41)*'[1]功能-付费相关'!AZ44/节奏总纲!W42</f>
        <v>1737.8487923351138</v>
      </c>
      <c r="AZ42" s="11">
        <f>('[1]资源-武将经验'!U44*节奏总纲!BK42-'[1]资源-武将经验'!U43*节奏总纲!BK41)*'[1]功能-付费相关'!BA44/节奏总纲!X42</f>
        <v>1862.7408319020035</v>
      </c>
      <c r="BA42" s="11">
        <f>('[1]资源-武将经验'!V44*节奏总纲!BL42-'[1]资源-武将经验'!V43*节奏总纲!BL41)*'[1]功能-付费相关'!BB44/节奏总纲!Y42</f>
        <v>1940.0614544244495</v>
      </c>
      <c r="BB42" s="11">
        <f>('[1]资源-武将经验'!W44*节奏总纲!BM42-'[1]资源-武将经验'!W43*节奏总纲!BM41)*'[1]功能-付费相关'!BC44/节奏总纲!Z42</f>
        <v>4873.0786929369833</v>
      </c>
      <c r="BC42" s="11">
        <f>('[1]资源-武将经验'!X44*节奏总纲!BN42-'[1]资源-武将经验'!X43*节奏总纲!BN41)*'[1]功能-付费相关'!BD44/节奏总纲!AA42</f>
        <v>10940.63838849843</v>
      </c>
      <c r="BD42" s="29"/>
      <c r="BE42" s="33" t="e">
        <f t="shared" si="1"/>
        <v>#REF!</v>
      </c>
      <c r="BF42" s="33" t="e">
        <f t="shared" si="2"/>
        <v>#REF!</v>
      </c>
      <c r="BG42" s="33" t="e">
        <f t="shared" si="3"/>
        <v>#REF!</v>
      </c>
      <c r="BH42" s="33" t="e">
        <f t="shared" si="4"/>
        <v>#REF!</v>
      </c>
      <c r="BI42" s="33" t="e">
        <f t="shared" si="5"/>
        <v>#REF!</v>
      </c>
      <c r="BJ42" s="29"/>
      <c r="BK42" s="29"/>
      <c r="BL42" s="29"/>
      <c r="BM42" s="29"/>
      <c r="BN42" s="29"/>
    </row>
    <row r="43" spans="2:66" x14ac:dyDescent="0.15">
      <c r="B43" s="5">
        <v>40</v>
      </c>
      <c r="C43" s="5">
        <f>'[1]资源-玩家城池建筑时间'!AJ45*'[1]功能-付费相关'!AH45/节奏总纲!W43</f>
        <v>4910.7274139174478</v>
      </c>
      <c r="D43" s="5">
        <f>'[1]资源-玩家城池建筑时间'!AK45*'[1]功能-付费相关'!AI45/节奏总纲!X43</f>
        <v>6248.8727672686846</v>
      </c>
      <c r="E43" s="5">
        <f>'[1]资源-玩家城池建筑时间'!AL45*'[1]功能-付费相关'!AJ45/节奏总纲!Y43</f>
        <v>8430.0236234318836</v>
      </c>
      <c r="F43" s="5">
        <f>'[1]资源-玩家城池建筑时间'!AM45*'[1]功能-付费相关'!AK45/节奏总纲!Z43</f>
        <v>12771.412087055114</v>
      </c>
      <c r="G43" s="5">
        <f>'[1]资源-玩家城池建筑时间'!AN45*'[1]功能-付费相关'!AL45/节奏总纲!AA43</f>
        <v>25921.214868003004</v>
      </c>
      <c r="H43" s="3"/>
      <c r="I43" s="28">
        <f>'[1]资源-士兵训练时间'!AB45*'[1]功能-付费相关'!AH45/节奏总纲!W43</f>
        <v>2131.6575007700771</v>
      </c>
      <c r="J43" s="28">
        <f>'[1]资源-士兵训练时间'!AC45*'[1]功能-付费相关'!AI45/节奏总纲!X43</f>
        <v>2580.5279641340189</v>
      </c>
      <c r="K43" s="28">
        <f>'[1]资源-士兵训练时间'!AD45*'[1]功能-付费相关'!AJ45/节奏总纲!Y43</f>
        <v>4863.0993480139105</v>
      </c>
      <c r="L43" s="28">
        <f>'[1]资源-士兵训练时间'!AE45*'[1]功能-付费相关'!AK45/节奏总纲!Z43</f>
        <v>9116.3194781173333</v>
      </c>
      <c r="M43" s="28">
        <f>'[1]资源-士兵训练时间'!AF45*'[1]功能-付费相关'!AL45/节奏总纲!AA43</f>
        <v>23011.87186331733</v>
      </c>
      <c r="N43" s="34"/>
      <c r="O43" s="34">
        <f>'[1]资源-士兵招募时间'!AC45*'[1]功能-付费相关'!AH45/节奏总纲!W43</f>
        <v>1412.9645896858681</v>
      </c>
      <c r="P43" s="34">
        <f>'[1]资源-士兵招募时间'!AD45*'[1]功能-付费相关'!AI45/节奏总纲!X43</f>
        <v>1826.8223351319991</v>
      </c>
      <c r="Q43" s="34">
        <f>'[1]资源-士兵招募时间'!AE45*'[1]功能-付费相关'!AJ45/节奏总纲!Y43</f>
        <v>2300.9677664088472</v>
      </c>
      <c r="R43" s="34">
        <f>'[1]资源-士兵招募时间'!AF45*'[1]功能-付费相关'!AK45/节奏总纲!Z43</f>
        <v>2339.1679343522574</v>
      </c>
      <c r="S43" s="34">
        <f>'[1]资源-士兵招募时间'!AG45*'[1]功能-付费相关'!AL45/节奏总纲!AA43</f>
        <v>2241.3067729263562</v>
      </c>
      <c r="T43" s="34"/>
      <c r="U43" s="5">
        <f>('[1]资源-木石铜粮'!U45-'[1]资源-木石铜粮'!U44)*'[1]功能-付费相关'!S45/节奏总纲!W43</f>
        <v>2607.0544651538339</v>
      </c>
      <c r="V43" s="5">
        <f>('[1]资源-木石铜粮'!V45-'[1]资源-木石铜粮'!V44)*'[1]功能-付费相关'!T45/节奏总纲!X43</f>
        <v>3010.1685375596176</v>
      </c>
      <c r="W43" s="5">
        <f>('[1]资源-木石铜粮'!W45-'[1]资源-木石铜粮'!W44)*'[1]功能-付费相关'!U45/节奏总纲!Y43</f>
        <v>3843.7257157205995</v>
      </c>
      <c r="X43" s="5">
        <f>('[1]资源-木石铜粮'!X45-'[1]资源-木石铜粮'!X44)*'[1]功能-付费相关'!V45/节奏总纲!Z43</f>
        <v>4668.0899371957621</v>
      </c>
      <c r="Y43" s="5">
        <f>('[1]资源-木石铜粮'!Y45-'[1]资源-木石铜粮'!Y44)*'[1]功能-付费相关'!W45/节奏总纲!AA43</f>
        <v>8114.9216963964045</v>
      </c>
      <c r="Z43" s="3"/>
      <c r="AA43" s="11">
        <f>('[1]资源-铁'!T45-'[1]资源-铁'!T44)*'[1]功能-付费相关'!X45/节奏总纲!W43</f>
        <v>135.33011884727517</v>
      </c>
      <c r="AB43" s="11">
        <f>('[1]资源-铁'!U45-'[1]资源-铁'!U44)*'[1]功能-付费相关'!Y45/节奏总纲!X43</f>
        <v>181.17677454435918</v>
      </c>
      <c r="AC43" s="11">
        <f>('[1]资源-铁'!V45-'[1]资源-铁'!V44)*'[1]功能-付费相关'!Z45/节奏总纲!Y43</f>
        <v>590.78911941604429</v>
      </c>
      <c r="AD43" s="11">
        <f>('[1]资源-铁'!W45-'[1]资源-铁'!W44)*'[1]功能-付费相关'!AA45/节奏总纲!Z43</f>
        <v>1398.2317213452002</v>
      </c>
      <c r="AE43" s="11">
        <f>('[1]资源-铁'!X45-'[1]资源-铁'!X44)*'[1]功能-付费相关'!AB45/节奏总纲!AA43</f>
        <v>4694.9418021885795</v>
      </c>
      <c r="AG43" s="11">
        <f>('[1]资源-银币'!Y45-'[1]资源-银币'!Y44)*'[1]功能-付费相关'!AQ45/节奏总纲!W43</f>
        <v>1492.2915808545204</v>
      </c>
      <c r="AH43" s="11">
        <f>('[1]资源-银币'!Z45-'[1]资源-银币'!Z44)*'[1]功能-付费相关'!AR45/节奏总纲!X43</f>
        <v>2072.2961971340287</v>
      </c>
      <c r="AI43" s="11">
        <f>('[1]资源-银币'!AA45-'[1]资源-银币'!AA44)*'[1]功能-付费相关'!AS45/节奏总纲!Y43</f>
        <v>3040.7910820167185</v>
      </c>
      <c r="AJ43" s="11">
        <f>('[1]资源-银币'!AB45-'[1]资源-银币'!AB44)*'[1]功能-付费相关'!AT45/节奏总纲!Z43</f>
        <v>4354.7034990606799</v>
      </c>
      <c r="AK43" s="11">
        <f>('[1]资源-银币'!AC45-'[1]资源-银币'!AC44)*'[1]功能-付费相关'!AU45/节奏总纲!AA43</f>
        <v>9607.9029070945398</v>
      </c>
      <c r="AM43" s="11" t="e">
        <f>(#REF!-#REF!)*'[1]功能-付费相关'!CA45/节奏总纲!W43</f>
        <v>#REF!</v>
      </c>
      <c r="AN43" s="11" t="e">
        <f>(#REF!-#REF!)*'[1]功能-付费相关'!CB45/节奏总纲!X43</f>
        <v>#REF!</v>
      </c>
      <c r="AO43" s="11" t="e">
        <f>(#REF!-#REF!)*'[1]功能-付费相关'!CC45/节奏总纲!Y43</f>
        <v>#REF!</v>
      </c>
      <c r="AP43" s="11" t="e">
        <f>(#REF!-#REF!)*'[1]功能-付费相关'!CD45/节奏总纲!Z43</f>
        <v>#REF!</v>
      </c>
      <c r="AQ43" s="11" t="e">
        <f>(#REF!-#REF!)*'[1]功能-付费相关'!CE45/节奏总纲!AA43</f>
        <v>#REF!</v>
      </c>
      <c r="AR43" s="21"/>
      <c r="AS43" s="11">
        <f>(信息索引!U45-信息索引!U44)*'[1]功能-付费相关'!BI45/节奏总纲!W43</f>
        <v>2393.7792352074944</v>
      </c>
      <c r="AT43" s="11">
        <f>(信息索引!V45-信息索引!V44)*'[1]功能-付费相关'!BJ45/节奏总纲!X43</f>
        <v>2464.5881152615871</v>
      </c>
      <c r="AU43" s="11">
        <f>(信息索引!W45-信息索引!W44)*'[1]功能-付费相关'!BK45/节奏总纲!Y43</f>
        <v>3103.4964634068215</v>
      </c>
      <c r="AV43" s="11">
        <f>(信息索引!X45-信息索引!X44)*'[1]功能-付费相关'!BL45/节奏总纲!Z43</f>
        <v>4129.1113878981496</v>
      </c>
      <c r="AW43" s="11">
        <f>(信息索引!Y45-信息索引!Y44)*'[1]功能-付费相关'!BM45/节奏总纲!AA43</f>
        <v>8648.5702163725491</v>
      </c>
      <c r="AY43" s="11">
        <f>('[1]资源-武将经验'!T45*节奏总纲!BJ43-'[1]资源-武将经验'!T44*节奏总纲!BJ42)*'[1]功能-付费相关'!AZ45/节奏总纲!W43</f>
        <v>1513.6766599887337</v>
      </c>
      <c r="AZ43" s="11">
        <f>('[1]资源-武将经验'!U45*节奏总纲!BK43-'[1]资源-武将经验'!U44*节奏总纲!BK42)*'[1]功能-付费相关'!BA45/节奏总纲!X43</f>
        <v>1814.7898344742741</v>
      </c>
      <c r="BA43" s="11">
        <f>('[1]资源-武将经验'!V45*节奏总纲!BL43-'[1]资源-武将经验'!V44*节奏总纲!BL42)*'[1]功能-付费相关'!BB45/节奏总纲!Y43</f>
        <v>2347.3249552923098</v>
      </c>
      <c r="BB43" s="11">
        <f>('[1]资源-武将经验'!W45*节奏总纲!BM43-'[1]资源-武将经验'!W44*节奏总纲!BM42)*'[1]功能-付费相关'!BC45/节奏总纲!Z43</f>
        <v>6352.8463770687777</v>
      </c>
      <c r="BC43" s="11">
        <f>('[1]资源-武将经验'!X45*节奏总纲!BN43-'[1]资源-武将经验'!X44*节奏总纲!BN42)*'[1]功能-付费相关'!BD45/节奏总纲!AA43</f>
        <v>13250.834761702636</v>
      </c>
      <c r="BD43" s="29"/>
      <c r="BE43" s="33" t="e">
        <f t="shared" si="1"/>
        <v>#REF!</v>
      </c>
      <c r="BF43" s="33" t="e">
        <f t="shared" si="2"/>
        <v>#REF!</v>
      </c>
      <c r="BG43" s="33" t="e">
        <f t="shared" si="3"/>
        <v>#REF!</v>
      </c>
      <c r="BH43" s="33" t="e">
        <f t="shared" si="4"/>
        <v>#REF!</v>
      </c>
      <c r="BI43" s="33" t="e">
        <f t="shared" si="5"/>
        <v>#REF!</v>
      </c>
      <c r="BJ43" s="29"/>
      <c r="BK43" s="29"/>
      <c r="BL43" s="29"/>
      <c r="BM43" s="29"/>
      <c r="BN43" s="29"/>
    </row>
    <row r="44" spans="2:66" x14ac:dyDescent="0.15">
      <c r="B44" s="5">
        <v>41</v>
      </c>
      <c r="C44" s="5">
        <f>'[1]资源-玩家城池建筑时间'!AJ46*'[1]功能-付费相关'!AH46/节奏总纲!W44</f>
        <v>4851.352533367045</v>
      </c>
      <c r="D44" s="5">
        <f>'[1]资源-玩家城池建筑时间'!AK46*'[1]功能-付费相关'!AI46/节奏总纲!X44</f>
        <v>6099.6778799232934</v>
      </c>
      <c r="E44" s="5">
        <f>'[1]资源-玩家城池建筑时间'!AL46*'[1]功能-付费相关'!AJ46/节奏总纲!Y44</f>
        <v>8262.6398779933788</v>
      </c>
      <c r="F44" s="5">
        <f>'[1]资源-玩家城池建筑时间'!AM46*'[1]功能-付费相关'!AK46/节奏总纲!Z44</f>
        <v>12568.887773432971</v>
      </c>
      <c r="G44" s="5">
        <f>'[1]资源-玩家城池建筑时间'!AN46*'[1]功能-付费相关'!AL46/节奏总纲!AA44</f>
        <v>25409.235750452848</v>
      </c>
      <c r="H44" s="3"/>
      <c r="I44" s="28">
        <f>'[1]资源-士兵训练时间'!AB46*'[1]功能-付费相关'!AH46/节奏总纲!W44</f>
        <v>1849.3010488548064</v>
      </c>
      <c r="J44" s="28">
        <f>'[1]资源-士兵训练时间'!AC46*'[1]功能-付费相关'!AI46/节奏总纲!X44</f>
        <v>2688.7806291760912</v>
      </c>
      <c r="K44" s="28">
        <f>'[1]资源-士兵训练时间'!AD46*'[1]功能-付费相关'!AJ46/节奏总纲!Y44</f>
        <v>5242.6023821868002</v>
      </c>
      <c r="L44" s="28">
        <f>'[1]资源-士兵训练时间'!AE46*'[1]功能-付费相关'!AK46/节奏总纲!Z44</f>
        <v>9992.4785570936001</v>
      </c>
      <c r="M44" s="28">
        <f>'[1]资源-士兵训练时间'!AF46*'[1]功能-付费相关'!AL46/节奏总纲!AA44</f>
        <v>22701.903792252884</v>
      </c>
      <c r="N44" s="34"/>
      <c r="O44" s="34">
        <f>'[1]资源-士兵招募时间'!AC46*'[1]功能-付费相关'!AH46/节奏总纲!W44</f>
        <v>1379.9750855212817</v>
      </c>
      <c r="P44" s="34">
        <f>'[1]资源-士兵招募时间'!AD46*'[1]功能-付费相关'!AI46/节奏总纲!X44</f>
        <v>1775.1006734346631</v>
      </c>
      <c r="Q44" s="34">
        <f>'[1]资源-士兵招募时间'!AE46*'[1]功能-付费相关'!AJ46/节奏总纲!Y44</f>
        <v>2229.1717438302012</v>
      </c>
      <c r="R44" s="34">
        <f>'[1]资源-士兵招募时间'!AF46*'[1]功能-付费相关'!AK46/节奏总纲!Z44</f>
        <v>2295.2967184661061</v>
      </c>
      <c r="S44" s="34">
        <f>'[1]资源-士兵招募时间'!AG46*'[1]功能-付费相关'!AL46/节奏总纲!AA44</f>
        <v>2175.966664646588</v>
      </c>
      <c r="T44" s="34"/>
      <c r="U44" s="5">
        <f>('[1]资源-木石铜粮'!U46-'[1]资源-木石铜粮'!U45)*'[1]功能-付费相关'!S46/节奏总纲!W44</f>
        <v>2683.4201365360036</v>
      </c>
      <c r="V44" s="5">
        <f>('[1]资源-木石铜粮'!V46-'[1]资源-木石铜粮'!V45)*'[1]功能-付费相关'!T46/节奏总纲!X44</f>
        <v>3204.2838031901651</v>
      </c>
      <c r="W44" s="5">
        <f>('[1]资源-木石铜粮'!W46-'[1]资源-木石铜粮'!W45)*'[1]功能-付费相关'!U46/节奏总纲!Y44</f>
        <v>3953.1164344949007</v>
      </c>
      <c r="X44" s="5">
        <f>('[1]资源-木石铜粮'!X46-'[1]资源-木石铜粮'!X45)*'[1]功能-付费相关'!V46/节奏总纲!Z44</f>
        <v>5105.596234462746</v>
      </c>
      <c r="Y44" s="5">
        <f>('[1]资源-木石铜粮'!Y46-'[1]资源-木石铜粮'!Y45)*'[1]功能-付费相关'!W46/节奏总纲!AA44</f>
        <v>8345.2724805815196</v>
      </c>
      <c r="Z44" s="3"/>
      <c r="AA44" s="11">
        <f>('[1]资源-铁'!T46-'[1]资源-铁'!T45)*'[1]功能-付费相关'!X46/节奏总纲!W44</f>
        <v>127.7860869882926</v>
      </c>
      <c r="AB44" s="11">
        <f>('[1]资源-铁'!U46-'[1]资源-铁'!U45)*'[1]功能-付费相关'!Y46/节奏总纲!X44</f>
        <v>258.30040167777042</v>
      </c>
      <c r="AC44" s="11">
        <f>('[1]资源-铁'!V46-'[1]资源-铁'!V45)*'[1]功能-付费相关'!Z46/节奏总纲!Y44</f>
        <v>802.65789388783969</v>
      </c>
      <c r="AD44" s="11">
        <f>('[1]资源-铁'!W46-'[1]资源-铁'!W45)*'[1]功能-付费相关'!AA46/节奏总纲!Z44</f>
        <v>2000.0689660029218</v>
      </c>
      <c r="AE44" s="11">
        <f>('[1]资源-铁'!X46-'[1]资源-铁'!X45)*'[1]功能-付费相关'!AB46/节奏总纲!AA44</f>
        <v>5202.4753064188972</v>
      </c>
      <c r="AG44" s="11">
        <f>('[1]资源-银币'!Y46-'[1]资源-银币'!Y45)*'[1]功能-付费相关'!AQ46/节奏总纲!W44</f>
        <v>1702.504056343769</v>
      </c>
      <c r="AH44" s="11">
        <f>('[1]资源-银币'!Z46-'[1]资源-银币'!Z45)*'[1]功能-付费相关'!AR46/节奏总纲!X44</f>
        <v>2314.7928801021126</v>
      </c>
      <c r="AI44" s="11">
        <f>('[1]资源-银币'!AA46-'[1]资源-银币'!AA45)*'[1]功能-付费相关'!AS46/节奏总纲!Y44</f>
        <v>3241.7971642813318</v>
      </c>
      <c r="AJ44" s="11">
        <f>('[1]资源-银币'!AB46-'[1]资源-银币'!AB45)*'[1]功能-付费相关'!AT46/节奏总纲!Z44</f>
        <v>4630.3246911314918</v>
      </c>
      <c r="AK44" s="11">
        <f>('[1]资源-银币'!AC46-'[1]资源-银币'!AC45)*'[1]功能-付费相关'!AU46/节奏总纲!AA44</f>
        <v>9466.6123594340534</v>
      </c>
      <c r="AM44" s="11" t="e">
        <f>(#REF!-#REF!)*'[1]功能-付费相关'!CA46/节奏总纲!W44</f>
        <v>#REF!</v>
      </c>
      <c r="AN44" s="11" t="e">
        <f>(#REF!-#REF!)*'[1]功能-付费相关'!CB46/节奏总纲!X44</f>
        <v>#REF!</v>
      </c>
      <c r="AO44" s="11" t="e">
        <f>(#REF!-#REF!)*'[1]功能-付费相关'!CC46/节奏总纲!Y44</f>
        <v>#REF!</v>
      </c>
      <c r="AP44" s="11" t="e">
        <f>(#REF!-#REF!)*'[1]功能-付费相关'!CD46/节奏总纲!Z44</f>
        <v>#REF!</v>
      </c>
      <c r="AQ44" s="11" t="e">
        <f>(#REF!-#REF!)*'[1]功能-付费相关'!CE46/节奏总纲!AA44</f>
        <v>#REF!</v>
      </c>
      <c r="AR44" s="21"/>
      <c r="AS44" s="11">
        <f>(信息索引!U46-信息索引!U45)*'[1]功能-付费相关'!BI46/节奏总纲!W44</f>
        <v>2220.680225459233</v>
      </c>
      <c r="AT44" s="11">
        <f>(信息索引!V46-信息索引!V45)*'[1]功能-付费相关'!BJ46/节奏总纲!X44</f>
        <v>2555.5132477899197</v>
      </c>
      <c r="AU44" s="11">
        <f>(信息索引!W46-信息索引!W45)*'[1]功能-付费相关'!BK46/节奏总纲!Y44</f>
        <v>3022.3363137506039</v>
      </c>
      <c r="AV44" s="11">
        <f>(信息索引!X46-信息索引!X45)*'[1]功能-付费相关'!BL46/节奏总纲!Z44</f>
        <v>4360.5208833548841</v>
      </c>
      <c r="AW44" s="11">
        <f>(信息索引!Y46-信息索引!Y45)*'[1]功能-付费相关'!BM46/节奏总纲!AA44</f>
        <v>8630.4852569060185</v>
      </c>
      <c r="AY44" s="11">
        <f>('[1]资源-武将经验'!T46*节奏总纲!BJ44-'[1]资源-武将经验'!T45*节奏总纲!BJ43)*'[1]功能-付费相关'!AZ46/节奏总纲!W44</f>
        <v>2130.7227695536189</v>
      </c>
      <c r="AZ44" s="11">
        <f>('[1]资源-武将经验'!U46*节奏总纲!BK44-'[1]资源-武将经验'!U45*节奏总纲!BK43)*'[1]功能-付费相关'!BA46/节奏总纲!X44</f>
        <v>2347.0193655600438</v>
      </c>
      <c r="BA44" s="11">
        <f>('[1]资源-武将经验'!V46*节奏总纲!BL44-'[1]资源-武将经验'!V45*节奏总纲!BL43)*'[1]功能-付费相关'!BB46/节奏总纲!Y44</f>
        <v>2738.9125369387689</v>
      </c>
      <c r="BB44" s="11">
        <f>('[1]资源-武将经验'!W46*节奏总纲!BM44-'[1]资源-武将经验'!W45*节奏总纲!BM43)*'[1]功能-付费相关'!BC46/节奏总纲!Z44</f>
        <v>6531.5640540805289</v>
      </c>
      <c r="BC44" s="11">
        <f>('[1]资源-武将经验'!X46*节奏总纲!BN44-'[1]资源-武将经验'!X45*节奏总纲!BN43)*'[1]功能-付费相关'!BD46/节奏总纲!AA44</f>
        <v>12422.738839030222</v>
      </c>
      <c r="BD44" s="29"/>
      <c r="BE44" s="33" t="e">
        <f t="shared" si="1"/>
        <v>#REF!</v>
      </c>
      <c r="BF44" s="33" t="e">
        <f t="shared" si="2"/>
        <v>#REF!</v>
      </c>
      <c r="BG44" s="33" t="e">
        <f t="shared" si="3"/>
        <v>#REF!</v>
      </c>
      <c r="BH44" s="33" t="e">
        <f t="shared" si="4"/>
        <v>#REF!</v>
      </c>
      <c r="BI44" s="33" t="e">
        <f t="shared" si="5"/>
        <v>#REF!</v>
      </c>
      <c r="BJ44" s="29"/>
      <c r="BK44" s="29"/>
      <c r="BL44" s="29"/>
      <c r="BM44" s="29"/>
      <c r="BN44" s="29"/>
    </row>
    <row r="45" spans="2:66" x14ac:dyDescent="0.15">
      <c r="B45" s="5">
        <v>42</v>
      </c>
      <c r="C45" s="5">
        <f>'[1]资源-玩家城池建筑时间'!AJ47*'[1]功能-付费相关'!AH47/节奏总纲!W45</f>
        <v>4713.4167450775431</v>
      </c>
      <c r="D45" s="5">
        <f>'[1]资源-玩家城池建筑时间'!AK47*'[1]功能-付费相关'!AI47/节奏总纲!X45</f>
        <v>6013.8314736888569</v>
      </c>
      <c r="E45" s="5">
        <f>'[1]资源-玩家城池建筑时间'!AL47*'[1]功能-付费相关'!AJ47/节奏总纲!Y45</f>
        <v>8076.4159904411999</v>
      </c>
      <c r="F45" s="5">
        <f>'[1]资源-玩家城池建筑时间'!AM47*'[1]功能-付费相关'!AK47/节奏总纲!Z45</f>
        <v>12205.840415050974</v>
      </c>
      <c r="G45" s="5">
        <f>'[1]资源-玩家城池建筑时间'!AN47*'[1]功能-付费相关'!AL47/节奏总纲!AA45</f>
        <v>24871.740334738002</v>
      </c>
      <c r="H45" s="3"/>
      <c r="I45" s="28">
        <f>'[1]资源-士兵训练时间'!AB47*'[1]功能-付费相关'!AH47/节奏总纲!W45</f>
        <v>1820.7719268675764</v>
      </c>
      <c r="J45" s="28">
        <f>'[1]资源-士兵训练时间'!AC47*'[1]功能-付费相关'!AI47/节奏总纲!X45</f>
        <v>3100.2928526967821</v>
      </c>
      <c r="K45" s="28">
        <f>'[1]资源-士兵训练时间'!AD47*'[1]功能-付费相关'!AJ47/节奏总纲!Y45</f>
        <v>5425.1414356582227</v>
      </c>
      <c r="L45" s="28">
        <f>'[1]资源-士兵训练时间'!AE47*'[1]功能-付费相关'!AK47/节奏总纲!Z45</f>
        <v>9752.2941475158823</v>
      </c>
      <c r="M45" s="28">
        <f>'[1]资源-士兵训练时间'!AF47*'[1]功能-付费相关'!AL47/节奏总纲!AA45</f>
        <v>22341.88925508664</v>
      </c>
      <c r="N45" s="34"/>
      <c r="O45" s="34">
        <f>'[1]资源-士兵招募时间'!AC47*'[1]功能-付费相关'!AH47/节奏总纲!W45</f>
        <v>1348.4839308357318</v>
      </c>
      <c r="P45" s="34">
        <f>'[1]资源-士兵招募时间'!AD47*'[1]功能-付费相关'!AI47/节奏总纲!X45</f>
        <v>1718.6280194029512</v>
      </c>
      <c r="Q45" s="34">
        <f>'[1]资源-士兵招募时间'!AE47*'[1]功能-付费相关'!AJ47/节奏总纲!Y45</f>
        <v>2139.6359288519225</v>
      </c>
      <c r="R45" s="34">
        <f>'[1]资源-士兵招募时间'!AF47*'[1]功能-付费相关'!AK47/节奏总纲!Z45</f>
        <v>2205.0552690585137</v>
      </c>
      <c r="S45" s="34">
        <f>'[1]资源-士兵招募时间'!AG47*'[1]功能-付费相关'!AL47/节奏总纲!AA45</f>
        <v>1959.8572072644938</v>
      </c>
      <c r="T45" s="34"/>
      <c r="U45" s="5">
        <f>('[1]资源-木石铜粮'!U47-'[1]资源-木石铜粮'!U46)*'[1]功能-付费相关'!S47/节奏总纲!W45</f>
        <v>2604.7121391543051</v>
      </c>
      <c r="V45" s="5">
        <f>('[1]资源-木石铜粮'!V47-'[1]资源-木石铜粮'!V46)*'[1]功能-付费相关'!T47/节奏总纲!X45</f>
        <v>3044.0468444738913</v>
      </c>
      <c r="W45" s="5">
        <f>('[1]资源-木石铜粮'!W47-'[1]资源-木石铜粮'!W46)*'[1]功能-付费相关'!U47/节奏总纲!Y45</f>
        <v>3831.4375715769811</v>
      </c>
      <c r="X45" s="5">
        <f>('[1]资源-木石铜粮'!X47-'[1]资源-木石铜粮'!X46)*'[1]功能-付费相关'!V47/节奏总纲!Z45</f>
        <v>4857.6696613652557</v>
      </c>
      <c r="Y45" s="5">
        <f>('[1]资源-木石铜粮'!Y47-'[1]资源-木石铜粮'!Y46)*'[1]功能-付费相关'!W47/节奏总纲!AA45</f>
        <v>8638.3055607213082</v>
      </c>
      <c r="Z45" s="3"/>
      <c r="AA45" s="11">
        <f>('[1]资源-铁'!T47-'[1]资源-铁'!T46)*'[1]功能-付费相关'!X47/节奏总纲!W45</f>
        <v>132.96992820787312</v>
      </c>
      <c r="AB45" s="11">
        <f>('[1]资源-铁'!U47-'[1]资源-铁'!U46)*'[1]功能-付费相关'!Y47/节奏总纲!X45</f>
        <v>469.94108919624819</v>
      </c>
      <c r="AC45" s="11">
        <f>('[1]资源-铁'!V47-'[1]资源-铁'!V46)*'[1]功能-付费相关'!Z47/节奏总纲!Y45</f>
        <v>961.03853799152307</v>
      </c>
      <c r="AD45" s="11">
        <f>('[1]资源-铁'!W47-'[1]资源-铁'!W46)*'[1]功能-付费相关'!AA47/节奏总纲!Z45</f>
        <v>1922.035080502237</v>
      </c>
      <c r="AE45" s="11">
        <f>('[1]资源-铁'!X47-'[1]资源-铁'!X46)*'[1]功能-付费相关'!AB47/节奏总纲!AA45</f>
        <v>5543.5676124357678</v>
      </c>
      <c r="AG45" s="11">
        <f>('[1]资源-银币'!Y47-'[1]资源-银币'!Y46)*'[1]功能-付费相关'!AQ47/节奏总纲!W45</f>
        <v>1598.6092506910443</v>
      </c>
      <c r="AH45" s="11">
        <f>('[1]资源-银币'!Z47-'[1]资源-银币'!Z46)*'[1]功能-付费相关'!AR47/节奏总纲!X45</f>
        <v>1914.4615284321455</v>
      </c>
      <c r="AI45" s="11">
        <f>('[1]资源-银币'!AA47-'[1]资源-银币'!AA46)*'[1]功能-付费相关'!AS47/节奏总纲!Y45</f>
        <v>3058.6260569947117</v>
      </c>
      <c r="AJ45" s="11">
        <f>('[1]资源-银币'!AB47-'[1]资源-银币'!AB46)*'[1]功能-付费相关'!AT47/节奏总纲!Z45</f>
        <v>4381.2024342359946</v>
      </c>
      <c r="AK45" s="11">
        <f>('[1]资源-银币'!AC47-'[1]资源-银币'!AC46)*'[1]功能-付费相关'!AU47/节奏总纲!AA45</f>
        <v>9392.3461065549182</v>
      </c>
      <c r="AM45" s="11" t="e">
        <f>(#REF!-#REF!)*'[1]功能-付费相关'!CA47/节奏总纲!W45</f>
        <v>#REF!</v>
      </c>
      <c r="AN45" s="11" t="e">
        <f>(#REF!-#REF!)*'[1]功能-付费相关'!CB47/节奏总纲!X45</f>
        <v>#REF!</v>
      </c>
      <c r="AO45" s="11" t="e">
        <f>(#REF!-#REF!)*'[1]功能-付费相关'!CC47/节奏总纲!Y45</f>
        <v>#REF!</v>
      </c>
      <c r="AP45" s="11" t="e">
        <f>(#REF!-#REF!)*'[1]功能-付费相关'!CD47/节奏总纲!Z45</f>
        <v>#REF!</v>
      </c>
      <c r="AQ45" s="11" t="e">
        <f>(#REF!-#REF!)*'[1]功能-付费相关'!CE47/节奏总纲!AA45</f>
        <v>#REF!</v>
      </c>
      <c r="AR45" s="21"/>
      <c r="AS45" s="11">
        <f>(信息索引!U47-信息索引!U46)*'[1]功能-付费相关'!BI47/节奏总纲!W45</f>
        <v>2021.2691172402788</v>
      </c>
      <c r="AT45" s="11">
        <f>(信息索引!V47-信息索引!V46)*'[1]功能-付费相关'!BJ47/节奏总纲!X45</f>
        <v>2191.0423491281949</v>
      </c>
      <c r="AU45" s="11">
        <f>(信息索引!W47-信息索引!W46)*'[1]功能-付费相关'!BK47/节奏总纲!Y45</f>
        <v>2692.7318319393876</v>
      </c>
      <c r="AV45" s="11">
        <f>(信息索引!X47-信息索引!X46)*'[1]功能-付费相关'!BL47/节奏总纲!Z45</f>
        <v>3883.7223733773058</v>
      </c>
      <c r="AW45" s="11">
        <f>(信息索引!Y47-信息索引!Y46)*'[1]功能-付费相关'!BM47/节奏总纲!AA45</f>
        <v>9072.705239295894</v>
      </c>
      <c r="AY45" s="11">
        <f>('[1]资源-武将经验'!T47*节奏总纲!BJ45-'[1]资源-武将经验'!T46*节奏总纲!BJ44)*'[1]功能-付费相关'!AZ47/节奏总纲!W45</f>
        <v>1856.7062714362153</v>
      </c>
      <c r="AZ45" s="11">
        <f>('[1]资源-武将经验'!U47*节奏总纲!BK45-'[1]资源-武将经验'!U46*节奏总纲!BK44)*'[1]功能-付费相关'!BA47/节奏总纲!X45</f>
        <v>1926.1849825956945</v>
      </c>
      <c r="BA45" s="11">
        <f>('[1]资源-武将经验'!V47*节奏总纲!BL45-'[1]资源-武将经验'!V46*节奏总纲!BL44)*'[1]功能-付费相关'!BB47/节奏总纲!Y45</f>
        <v>2335.7016298746717</v>
      </c>
      <c r="BB45" s="11">
        <f>('[1]资源-武将经验'!W47*节奏总纲!BM45-'[1]资源-武将经验'!W46*节奏总纲!BM44)*'[1]功能-付费相关'!BC47/节奏总纲!Z45</f>
        <v>5567.0371133482195</v>
      </c>
      <c r="BC45" s="11">
        <f>('[1]资源-武将经验'!X47*节奏总纲!BN45-'[1]资源-武将经验'!X46*节奏总纲!BN44)*'[1]功能-付费相关'!BD47/节奏总纲!AA45</f>
        <v>12495.534115684517</v>
      </c>
      <c r="BD45" s="29"/>
      <c r="BE45" s="33" t="e">
        <f t="shared" si="1"/>
        <v>#REF!</v>
      </c>
      <c r="BF45" s="33" t="e">
        <f t="shared" si="2"/>
        <v>#REF!</v>
      </c>
      <c r="BG45" s="33" t="e">
        <f t="shared" si="3"/>
        <v>#REF!</v>
      </c>
      <c r="BH45" s="33" t="e">
        <f t="shared" si="4"/>
        <v>#REF!</v>
      </c>
      <c r="BI45" s="33" t="e">
        <f t="shared" si="5"/>
        <v>#REF!</v>
      </c>
      <c r="BJ45" s="29"/>
      <c r="BK45" s="29"/>
      <c r="BL45" s="29"/>
      <c r="BM45" s="29"/>
      <c r="BN45" s="29"/>
    </row>
    <row r="46" spans="2:66" x14ac:dyDescent="0.15">
      <c r="B46" s="5">
        <v>43</v>
      </c>
      <c r="C46" s="5">
        <f>'[1]资源-玩家城池建筑时间'!AJ48*'[1]功能-付费相关'!AH48/节奏总纲!W46</f>
        <v>4668.8767145238244</v>
      </c>
      <c r="D46" s="5">
        <f>'[1]资源-玩家城池建筑时间'!AK48*'[1]功能-付费相关'!AI48/节奏总纲!X46</f>
        <v>5843.8343482098817</v>
      </c>
      <c r="E46" s="5">
        <f>'[1]资源-玩家城池建筑时间'!AL48*'[1]功能-付费相关'!AJ48/节奏总纲!Y46</f>
        <v>7896.7355426613858</v>
      </c>
      <c r="F46" s="5">
        <f>'[1]资源-玩家城池建筑时间'!AM48*'[1]功能-付费相关'!AK48/节奏总纲!Z46</f>
        <v>12038.909825582932</v>
      </c>
      <c r="G46" s="5">
        <f>'[1]资源-玩家城池建筑时间'!AN48*'[1]功能-付费相关'!AL48/节奏总纲!AA46</f>
        <v>24226.065285696077</v>
      </c>
      <c r="H46" s="3"/>
      <c r="I46" s="28">
        <f>'[1]资源-士兵训练时间'!AB48*'[1]功能-付费相关'!AH48/节奏总纲!W46</f>
        <v>2221.7836442525186</v>
      </c>
      <c r="J46" s="28">
        <f>'[1]资源-士兵训练时间'!AC48*'[1]功能-付费相关'!AI48/节奏总纲!X46</f>
        <v>3045.26643828652</v>
      </c>
      <c r="K46" s="28">
        <f>'[1]资源-士兵训练时间'!AD48*'[1]功能-付费相关'!AJ48/节奏总纲!Y46</f>
        <v>5608.3379539603247</v>
      </c>
      <c r="L46" s="28">
        <f>'[1]资源-士兵训练时间'!AE48*'[1]功能-付费相关'!AK48/节奏总纲!Z46</f>
        <v>9718.1396912363653</v>
      </c>
      <c r="M46" s="28">
        <f>'[1]资源-士兵训练时间'!AF48*'[1]功能-付费相关'!AL48/节奏总纲!AA46</f>
        <v>21685.303135286467</v>
      </c>
      <c r="N46" s="34"/>
      <c r="O46" s="34">
        <f>'[1]资源-士兵招募时间'!AC48*'[1]功能-付费相关'!AH48/节奏总纲!W46</f>
        <v>1314.7485646466416</v>
      </c>
      <c r="P46" s="34">
        <f>'[1]资源-士兵招募时间'!AD48*'[1]功能-付费相关'!AI48/节奏总纲!X46</f>
        <v>1681.5573360626518</v>
      </c>
      <c r="Q46" s="34">
        <f>'[1]资源-士兵招募时间'!AE48*'[1]功能-付费相关'!AJ48/节奏总纲!Y46</f>
        <v>2074.19454660468</v>
      </c>
      <c r="R46" s="34">
        <f>'[1]资源-士兵招募时间'!AF48*'[1]功能-付费相关'!AK48/节奏总纲!Z46</f>
        <v>2160.1708623385848</v>
      </c>
      <c r="S46" s="34">
        <f>'[1]资源-士兵招募时间'!AG48*'[1]功能-付费相关'!AL48/节奏总纲!AA46</f>
        <v>1991.5136648901989</v>
      </c>
      <c r="T46" s="34"/>
      <c r="U46" s="5">
        <f>('[1]资源-木石铜粮'!U48-'[1]资源-木石铜粮'!U47)*'[1]功能-付费相关'!S48/节奏总纲!W46</f>
        <v>2571.4593150897649</v>
      </c>
      <c r="V46" s="5">
        <f>('[1]资源-木石铜粮'!V48-'[1]资源-木石铜粮'!V47)*'[1]功能-付费相关'!T48/节奏总纲!X46</f>
        <v>3063.781954230958</v>
      </c>
      <c r="W46" s="5">
        <f>('[1]资源-木石铜粮'!W48-'[1]资源-木石铜粮'!W47)*'[1]功能-付费相关'!U48/节奏总纲!Y46</f>
        <v>3934.7833967786223</v>
      </c>
      <c r="X46" s="5">
        <f>('[1]资源-木石铜粮'!X48-'[1]资源-木石铜粮'!X47)*'[1]功能-付费相关'!V48/节奏总纲!Z46</f>
        <v>4996.3482615041821</v>
      </c>
      <c r="Y46" s="5">
        <f>('[1]资源-木石铜粮'!Y48-'[1]资源-木石铜粮'!Y47)*'[1]功能-付费相关'!W48/节奏总纲!AA46</f>
        <v>9636.4416182543591</v>
      </c>
      <c r="Z46" s="3"/>
      <c r="AA46" s="11">
        <f>('[1]资源-铁'!T48-'[1]资源-铁'!T47)*'[1]功能-付费相关'!X48/节奏总纲!W46</f>
        <v>330.56874618933045</v>
      </c>
      <c r="AB46" s="11">
        <f>('[1]资源-铁'!U48-'[1]资源-铁'!U47)*'[1]功能-付费相关'!Y48/节奏总纲!X46</f>
        <v>467.000762919777</v>
      </c>
      <c r="AC46" s="11">
        <f>('[1]资源-铁'!V48-'[1]资源-铁'!V47)*'[1]功能-付费相关'!Z48/节奏总纲!Y46</f>
        <v>1109.7751034659634</v>
      </c>
      <c r="AD46" s="11">
        <f>('[1]资源-铁'!W48-'[1]资源-铁'!W47)*'[1]功能-付费相关'!AA48/节奏总纲!Z46</f>
        <v>2330.582698641666</v>
      </c>
      <c r="AE46" s="11">
        <f>('[1]资源-铁'!X48-'[1]资源-铁'!X47)*'[1]功能-付费相关'!AB48/节奏总纲!AA46</f>
        <v>5862.8108641362078</v>
      </c>
      <c r="AG46" s="11">
        <f>('[1]资源-银币'!Y48-'[1]资源-银币'!Y47)*'[1]功能-付费相关'!AQ48/节奏总纲!W46</f>
        <v>1318.5386734106391</v>
      </c>
      <c r="AH46" s="11">
        <f>('[1]资源-银币'!Z48-'[1]资源-银币'!Z47)*'[1]功能-付费相关'!AR48/节奏总纲!X46</f>
        <v>1868.8605937196226</v>
      </c>
      <c r="AI46" s="11">
        <f>('[1]资源-银币'!AA48-'[1]资源-银币'!AA47)*'[1]功能-付费相关'!AS48/节奏总纲!Y46</f>
        <v>3039.7220238032869</v>
      </c>
      <c r="AJ46" s="11">
        <f>('[1]资源-银币'!AB48-'[1]资源-银币'!AB47)*'[1]功能-付费相关'!AT48/节奏总纲!Z46</f>
        <v>4559.5343323486777</v>
      </c>
      <c r="AK46" s="11">
        <f>('[1]资源-银币'!AC48-'[1]资源-银币'!AC47)*'[1]功能-付费相关'!AU48/节奏总纲!AA46</f>
        <v>11403.4578836614</v>
      </c>
      <c r="AM46" s="11" t="e">
        <f>(#REF!-#REF!)*'[1]功能-付费相关'!CA48/节奏总纲!W46</f>
        <v>#REF!</v>
      </c>
      <c r="AN46" s="11" t="e">
        <f>(#REF!-#REF!)*'[1]功能-付费相关'!CB48/节奏总纲!X46</f>
        <v>#REF!</v>
      </c>
      <c r="AO46" s="11" t="e">
        <f>(#REF!-#REF!)*'[1]功能-付费相关'!CC48/节奏总纲!Y46</f>
        <v>#REF!</v>
      </c>
      <c r="AP46" s="11" t="e">
        <f>(#REF!-#REF!)*'[1]功能-付费相关'!CD48/节奏总纲!Z46</f>
        <v>#REF!</v>
      </c>
      <c r="AQ46" s="11" t="e">
        <f>(#REF!-#REF!)*'[1]功能-付费相关'!CE48/节奏总纲!AA46</f>
        <v>#REF!</v>
      </c>
      <c r="AR46" s="21"/>
      <c r="AS46" s="11">
        <f>(信息索引!U48-信息索引!U47)*'[1]功能-付费相关'!BI48/节奏总纲!W46</f>
        <v>1838.7285244999659</v>
      </c>
      <c r="AT46" s="11">
        <f>(信息索引!V48-信息索引!V47)*'[1]功能-付费相关'!BJ48/节奏总纲!X46</f>
        <v>2126.0954862837484</v>
      </c>
      <c r="AU46" s="11">
        <f>(信息索引!W48-信息索引!W47)*'[1]功能-付费相关'!BK48/节奏总纲!Y46</f>
        <v>2675.6244737604434</v>
      </c>
      <c r="AV46" s="11">
        <f>(信息索引!X48-信息索引!X47)*'[1]功能-付费相关'!BL48/节奏总纲!Z46</f>
        <v>3880.3574896759787</v>
      </c>
      <c r="AW46" s="11">
        <f>(信息索引!Y48-信息索引!Y47)*'[1]功能-付费相关'!BM48/节奏总纲!AA46</f>
        <v>10617.783484385611</v>
      </c>
      <c r="AY46" s="11">
        <f>('[1]资源-武将经验'!T48*节奏总纲!BJ46-'[1]资源-武将经验'!T47*节奏总纲!BJ45)*'[1]功能-付费相关'!AZ48/节奏总纲!W46</f>
        <v>1616.7835932169189</v>
      </c>
      <c r="AZ46" s="11">
        <f>('[1]资源-武将经验'!U48*节奏总纲!BK46-'[1]资源-武将经验'!U47*节奏总纲!BK45)*'[1]功能-付费相关'!BA48/节奏总纲!X46</f>
        <v>1788.8722812906431</v>
      </c>
      <c r="BA46" s="11">
        <f>('[1]资源-武将经验'!V48*节奏总纲!BL46-'[1]资源-武将经验'!V47*节奏总纲!BL45)*'[1]功能-付费相关'!BB48/节奏总纲!Y46</f>
        <v>2221.1607356302479</v>
      </c>
      <c r="BB46" s="11">
        <f>('[1]资源-武将经验'!W48*节奏总纲!BM46-'[1]资源-武将经验'!W47*节奏总纲!BM45)*'[1]功能-付费相关'!BC48/节奏总纲!Z46</f>
        <v>7000.6674945940804</v>
      </c>
      <c r="BC46" s="11">
        <f>('[1]资源-武将经验'!X48*节奏总纲!BN46-'[1]资源-武将经验'!X47*节奏总纲!BN45)*'[1]功能-付费相关'!BD48/节奏总纲!AA46</f>
        <v>23647.011711137398</v>
      </c>
      <c r="BD46" s="29"/>
      <c r="BE46" s="33" t="e">
        <f t="shared" si="1"/>
        <v>#REF!</v>
      </c>
      <c r="BF46" s="33" t="e">
        <f t="shared" si="2"/>
        <v>#REF!</v>
      </c>
      <c r="BG46" s="33" t="e">
        <f t="shared" si="3"/>
        <v>#REF!</v>
      </c>
      <c r="BH46" s="33" t="e">
        <f t="shared" si="4"/>
        <v>#REF!</v>
      </c>
      <c r="BI46" s="33" t="e">
        <f t="shared" si="5"/>
        <v>#REF!</v>
      </c>
      <c r="BJ46" s="29"/>
      <c r="BK46" s="29"/>
      <c r="BL46" s="29"/>
      <c r="BM46" s="29"/>
      <c r="BN46" s="29"/>
    </row>
    <row r="47" spans="2:66" x14ac:dyDescent="0.15">
      <c r="B47" s="5">
        <v>44</v>
      </c>
      <c r="C47" s="5">
        <f>'[1]资源-玩家城池建筑时间'!AJ49*'[1]功能-付费相关'!AH49/节奏总纲!W47</f>
        <v>4530.8905542982893</v>
      </c>
      <c r="D47" s="5">
        <f>'[1]资源-玩家城池建筑时间'!AK49*'[1]功能-付费相关'!AI49/节奏总纲!X47</f>
        <v>5747.5138027421199</v>
      </c>
      <c r="E47" s="5">
        <f>'[1]资源-玩家城池建筑时间'!AL49*'[1]功能-付费相关'!AJ49/节奏总纲!Y47</f>
        <v>7702.7355775977867</v>
      </c>
      <c r="F47" s="5">
        <f>'[1]资源-玩家城池建筑时间'!AM49*'[1]功能-付费相关'!AK49/节奏总纲!Z47</f>
        <v>11711.661467886546</v>
      </c>
      <c r="G47" s="5">
        <f>'[1]资源-玩家城池建筑时间'!AN49*'[1]功能-付费相关'!AL49/节奏总纲!AA47</f>
        <v>23817.537902069264</v>
      </c>
      <c r="H47" s="3"/>
      <c r="I47" s="28">
        <f>'[1]资源-士兵训练时间'!AB49*'[1]功能-付费相关'!AH49/节奏总纲!W47</f>
        <v>2156.1200140759834</v>
      </c>
      <c r="J47" s="28">
        <f>'[1]资源-士兵训练时间'!AC49*'[1]功能-付费相关'!AI49/节奏总纲!X47</f>
        <v>3316.5761594375617</v>
      </c>
      <c r="K47" s="28">
        <f>'[1]资源-士兵训练时间'!AD49*'[1]功能-付费相关'!AJ49/节奏总纲!Y47</f>
        <v>5488.4798436816391</v>
      </c>
      <c r="L47" s="28">
        <f>'[1]资源-士兵训练时间'!AE49*'[1]功能-付费相关'!AK49/节奏总纲!Z47</f>
        <v>9468.3595111684244</v>
      </c>
      <c r="M47" s="28">
        <f>'[1]资源-士兵训练时间'!AF49*'[1]功能-付费相关'!AL49/节奏总纲!AA47</f>
        <v>21057.18778071813</v>
      </c>
      <c r="N47" s="34"/>
      <c r="O47" s="34">
        <f>'[1]资源-士兵招募时间'!AC49*'[1]功能-付费相关'!AH49/节奏总纲!W47</f>
        <v>1283.5317363181964</v>
      </c>
      <c r="P47" s="34">
        <f>'[1]资源-士兵招募时间'!AD49*'[1]功能-付费相关'!AI49/节奏总纲!X47</f>
        <v>1635.1338574935778</v>
      </c>
      <c r="Q47" s="34">
        <f>'[1]资源-士兵招募时间'!AE49*'[1]功能-付费相关'!AJ49/节奏总纲!Y47</f>
        <v>1999.6438626184658</v>
      </c>
      <c r="R47" s="34">
        <f>'[1]资源-士兵招募时间'!AF49*'[1]功能-付费相关'!AK49/节奏总纲!Z47</f>
        <v>2073.5833171745749</v>
      </c>
      <c r="S47" s="34">
        <f>'[1]资源-士兵招募时间'!AG49*'[1]功能-付费相关'!AL49/节奏总纲!AA47</f>
        <v>2398.0541010746851</v>
      </c>
      <c r="T47" s="34"/>
      <c r="U47" s="5">
        <f>('[1]资源-木石铜粮'!U49-'[1]资源-木石铜粮'!U48)*'[1]功能-付费相关'!S49/节奏总纲!W47</f>
        <v>2478.9157585684775</v>
      </c>
      <c r="V47" s="5">
        <f>('[1]资源-木石铜粮'!V49-'[1]资源-木石铜粮'!V48)*'[1]功能-付费相关'!T49/节奏总纲!X47</f>
        <v>3023.5711613791318</v>
      </c>
      <c r="W47" s="5">
        <f>('[1]资源-木石铜粮'!W49-'[1]资源-木石铜粮'!W48)*'[1]功能-付费相关'!U49/节奏总纲!Y47</f>
        <v>3794.0669952760968</v>
      </c>
      <c r="X47" s="5">
        <f>('[1]资源-木石铜粮'!X49-'[1]资源-木石铜粮'!X48)*'[1]功能-付费相关'!V49/节奏总纲!Z47</f>
        <v>4775.5453922400975</v>
      </c>
      <c r="Y47" s="5">
        <f>('[1]资源-木石铜粮'!Y49-'[1]资源-木石铜粮'!Y48)*'[1]功能-付费相关'!W49/节奏总纲!AA47</f>
        <v>15897.207682255808</v>
      </c>
      <c r="Z47" s="3"/>
      <c r="AA47" s="11">
        <f>('[1]资源-铁'!T49-'[1]资源-铁'!T48)*'[1]功能-付费相关'!X49/节奏总纲!W47</f>
        <v>313.03684706078138</v>
      </c>
      <c r="AB47" s="11">
        <f>('[1]资源-铁'!U49-'[1]资源-铁'!U48)*'[1]功能-付费相关'!Y49/节奏总纲!X47</f>
        <v>655.68441869936362</v>
      </c>
      <c r="AC47" s="11">
        <f>('[1]资源-铁'!V49-'[1]资源-铁'!V48)*'[1]功能-付费相关'!Z49/节奏总纲!Y47</f>
        <v>1144.2264784736312</v>
      </c>
      <c r="AD47" s="11">
        <f>('[1]资源-铁'!W49-'[1]资源-铁'!W48)*'[1]功能-付费相关'!AA49/节奏总纲!Z47</f>
        <v>2278.257681012059</v>
      </c>
      <c r="AE47" s="11">
        <f>('[1]资源-铁'!X49-'[1]资源-铁'!X48)*'[1]功能-付费相关'!AB49/节奏总纲!AA47</f>
        <v>7637.3217992200471</v>
      </c>
      <c r="AG47" s="11">
        <f>('[1]资源-银币'!Y49-'[1]资源-银币'!Y48)*'[1]功能-付费相关'!AQ49/节奏总纲!W47</f>
        <v>1252.4444476272806</v>
      </c>
      <c r="AH47" s="11">
        <f>('[1]资源-银币'!Z49-'[1]资源-银币'!Z48)*'[1]功能-付费相关'!AR49/节奏总纲!X47</f>
        <v>2132.0635774128409</v>
      </c>
      <c r="AI47" s="11">
        <f>('[1]资源-银币'!AA49-'[1]资源-银币'!AA48)*'[1]功能-付费相关'!AS49/节奏总纲!Y47</f>
        <v>3027.2903698431992</v>
      </c>
      <c r="AJ47" s="11">
        <f>('[1]资源-银币'!AB49-'[1]资源-银币'!AB48)*'[1]功能-付费相关'!AT49/节奏总纲!Z47</f>
        <v>4819.6324788357597</v>
      </c>
      <c r="AK47" s="11">
        <f>('[1]资源-银币'!AC49-'[1]资源-银币'!AC48)*'[1]功能-付费相关'!AU49/节奏总纲!AA47</f>
        <v>17161.056442389588</v>
      </c>
      <c r="AM47" s="11" t="e">
        <f>(#REF!-#REF!)*'[1]功能-付费相关'!CA49/节奏总纲!W47</f>
        <v>#REF!</v>
      </c>
      <c r="AN47" s="11" t="e">
        <f>(#REF!-#REF!)*'[1]功能-付费相关'!CB49/节奏总纲!X47</f>
        <v>#REF!</v>
      </c>
      <c r="AO47" s="11" t="e">
        <f>(#REF!-#REF!)*'[1]功能-付费相关'!CC49/节奏总纲!Y47</f>
        <v>#REF!</v>
      </c>
      <c r="AP47" s="11" t="e">
        <f>(#REF!-#REF!)*'[1]功能-付费相关'!CD49/节奏总纲!Z47</f>
        <v>#REF!</v>
      </c>
      <c r="AQ47" s="11" t="e">
        <f>(#REF!-#REF!)*'[1]功能-付费相关'!CE49/节奏总纲!AA47</f>
        <v>#REF!</v>
      </c>
      <c r="AR47" s="21"/>
      <c r="AS47" s="11">
        <f>(信息索引!U49-信息索引!U48)*'[1]功能-付费相关'!BI49/节奏总纲!W47</f>
        <v>1671.7743498174809</v>
      </c>
      <c r="AT47" s="11">
        <f>(信息索引!V49-信息索引!V48)*'[1]功能-付费相关'!BJ49/节奏总纲!X47</f>
        <v>1926.3768374823533</v>
      </c>
      <c r="AU47" s="11">
        <f>(信息索引!W49-信息索引!W48)*'[1]功能-付费相关'!BK49/节奏总纲!Y47</f>
        <v>2428.9889248940076</v>
      </c>
      <c r="AV47" s="11">
        <f>(信息索引!X49-信息索引!X48)*'[1]功能-付费相关'!BL49/节奏总纲!Z47</f>
        <v>3495.2876227992815</v>
      </c>
      <c r="AW47" s="11">
        <f>(信息索引!Y49-信息索引!Y48)*'[1]功能-付费相关'!BM49/节奏总纲!AA47</f>
        <v>21144.647906038943</v>
      </c>
      <c r="AY47" s="11">
        <f>('[1]资源-武将经验'!T49*节奏总纲!BJ47-'[1]资源-武将经验'!T48*节奏总纲!BJ46)*'[1]功能-付费相关'!AZ49/节奏总纲!W47</f>
        <v>1490.438456193566</v>
      </c>
      <c r="AZ47" s="11">
        <f>('[1]资源-武将经验'!U49*节奏总纲!BK47-'[1]资源-武将经验'!U48*节奏总纲!BK46)*'[1]功能-付费相关'!BA49/节奏总纲!X47</f>
        <v>2245.8732929911948</v>
      </c>
      <c r="BA47" s="11">
        <f>('[1]资源-武将经验'!V49*节奏总纲!BL47-'[1]资源-武将经验'!V48*节奏总纲!BL46)*'[1]功能-付费相关'!BB49/节奏总纲!Y47</f>
        <v>3103.5022000502213</v>
      </c>
      <c r="BB47" s="11">
        <f>('[1]资源-武将经验'!W49*节奏总纲!BM47-'[1]资源-武将经验'!W48*节奏总纲!BM46)*'[1]功能-付费相关'!BC49/节奏总纲!Z47</f>
        <v>8710.8161715552269</v>
      </c>
      <c r="BC47" s="11">
        <f>('[1]资源-武将经验'!X49*节奏总纲!BN47-'[1]资源-武将经验'!X48*节奏总纲!BN46)*'[1]功能-付费相关'!BD49/节奏总纲!AA47</f>
        <v>51136.160757621401</v>
      </c>
      <c r="BD47" s="29"/>
      <c r="BE47" s="33" t="e">
        <f t="shared" si="1"/>
        <v>#REF!</v>
      </c>
      <c r="BF47" s="33" t="e">
        <f t="shared" si="2"/>
        <v>#REF!</v>
      </c>
      <c r="BG47" s="33" t="e">
        <f t="shared" si="3"/>
        <v>#REF!</v>
      </c>
      <c r="BH47" s="33" t="e">
        <f t="shared" si="4"/>
        <v>#REF!</v>
      </c>
      <c r="BI47" s="33" t="e">
        <f t="shared" si="5"/>
        <v>#REF!</v>
      </c>
      <c r="BJ47" s="29"/>
      <c r="BK47" s="29"/>
      <c r="BL47" s="29"/>
      <c r="BM47" s="29"/>
      <c r="BN47" s="29"/>
    </row>
    <row r="48" spans="2:66" x14ac:dyDescent="0.15">
      <c r="B48" s="5">
        <v>45</v>
      </c>
      <c r="C48" s="5">
        <f>'[1]资源-玩家城池建筑时间'!AJ50*'[1]功能-付费相关'!AH50/节奏总纲!W48</f>
        <v>4448.615837139535</v>
      </c>
      <c r="D48" s="5">
        <f>'[1]资源-玩家城池建筑时间'!AK50*'[1]功能-付费相关'!AI50/节奏总纲!X48</f>
        <v>5577.6490988795049</v>
      </c>
      <c r="E48" s="5">
        <f>'[1]资源-玩家城池建筑时间'!AL50*'[1]功能-付费相关'!AJ50/节奏总纲!Y48</f>
        <v>7577.0197079617865</v>
      </c>
      <c r="F48" s="5">
        <f>'[1]资源-玩家城池建筑时间'!AM50*'[1]功能-付费相关'!AK50/节奏总纲!Z48</f>
        <v>11441.030396386841</v>
      </c>
      <c r="G48" s="5">
        <f>'[1]资源-玩家城池建筑时间'!AN50*'[1]功能-付费相关'!AL50/节奏总纲!AA48</f>
        <v>23113.623277185448</v>
      </c>
      <c r="H48" s="3"/>
      <c r="I48" s="28">
        <f>'[1]资源-士兵训练时间'!AB50*'[1]功能-付费相关'!AH50/节奏总纲!W48</f>
        <v>2317.8250033166714</v>
      </c>
      <c r="J48" s="28">
        <f>'[1]资源-士兵训练时间'!AC50*'[1]功能-付费相关'!AI50/节奏总纲!X48</f>
        <v>3218.5565205996386</v>
      </c>
      <c r="K48" s="28">
        <f>'[1]资源-士兵训练时间'!AD50*'[1]功能-付费相关'!AJ50/节奏总纲!Y48</f>
        <v>5445.0531541599585</v>
      </c>
      <c r="L48" s="28">
        <f>'[1]资源-士兵训练时间'!AE50*'[1]功能-付费相关'!AK50/节奏总纲!Z48</f>
        <v>9191.352143211725</v>
      </c>
      <c r="M48" s="28">
        <f>'[1]资源-士兵训练时间'!AF50*'[1]功能-付费相关'!AL50/节奏总纲!AA48</f>
        <v>20434.853830890152</v>
      </c>
      <c r="N48" s="34"/>
      <c r="O48" s="34">
        <f>'[1]资源-士兵招募时间'!AC50*'[1]功能-付费相关'!AH50/节奏总纲!W48</f>
        <v>1251.3595722236284</v>
      </c>
      <c r="P48" s="34">
        <f>'[1]资源-士兵招募时间'!AD50*'[1]功能-付费相关'!AI50/节奏总纲!X48</f>
        <v>1593.3622761793438</v>
      </c>
      <c r="Q48" s="34">
        <f>'[1]资源-士兵招募时间'!AE50*'[1]功能-付费相关'!AJ50/节奏总纲!Y48</f>
        <v>1942.3207318964978</v>
      </c>
      <c r="R48" s="34">
        <f>'[1]资源-士兵招募时间'!AF50*'[1]功能-付费相关'!AK50/节奏总纲!Z48</f>
        <v>1969.9636172418775</v>
      </c>
      <c r="S48" s="34">
        <f>'[1]资源-士兵招募时间'!AG50*'[1]功能-付费相关'!AL50/节奏总纲!AA48</f>
        <v>2178.2243935249276</v>
      </c>
      <c r="T48" s="34"/>
      <c r="U48" s="5">
        <f>('[1]资源-木石铜粮'!U50-'[1]资源-木石铜粮'!U49)*'[1]功能-付费相关'!S50/节奏总纲!W48</f>
        <v>2455.2150032046707</v>
      </c>
      <c r="V48" s="5">
        <f>('[1]资源-木石铜粮'!V50-'[1]资源-木石铜粮'!V49)*'[1]功能-付费相关'!T50/节奏总纲!X48</f>
        <v>2935.2491249673967</v>
      </c>
      <c r="W48" s="5">
        <f>('[1]资源-木石铜粮'!W50-'[1]资源-木石铜粮'!W49)*'[1]功能-付费相关'!U50/节奏总纲!Y48</f>
        <v>3725.9854442190663</v>
      </c>
      <c r="X48" s="5">
        <f>('[1]资源-木石铜粮'!X50-'[1]资源-木石铜粮'!X49)*'[1]功能-付费相关'!V50/节奏总纲!Z48</f>
        <v>5975.554784299411</v>
      </c>
      <c r="Y48" s="5">
        <f>('[1]资源-木石铜粮'!Y50-'[1]资源-木石铜粮'!Y49)*'[1]功能-付费相关'!W50/节奏总纲!AA48</f>
        <v>14909.690826613525</v>
      </c>
      <c r="Z48" s="3"/>
      <c r="AA48" s="11">
        <f>('[1]资源-铁'!T50-'[1]资源-铁'!T49)*'[1]功能-付费相关'!X50/节奏总纲!W48</f>
        <v>428.57881785098988</v>
      </c>
      <c r="AB48" s="11">
        <f>('[1]资源-铁'!U50-'[1]资源-铁'!U49)*'[1]功能-付费相关'!Y50/节奏总纲!X48</f>
        <v>621.13412109233684</v>
      </c>
      <c r="AC48" s="11">
        <f>('[1]资源-铁'!V50-'[1]资源-铁'!V49)*'[1]功能-付费相关'!Z50/节奏总纲!Y48</f>
        <v>1319.7534478763439</v>
      </c>
      <c r="AD48" s="11">
        <f>('[1]资源-铁'!W50-'[1]资源-铁'!W49)*'[1]功能-付费相关'!AA50/节奏总纲!Z48</f>
        <v>2628.3711957991627</v>
      </c>
      <c r="AE48" s="11">
        <f>('[1]资源-铁'!X50-'[1]资源-铁'!X49)*'[1]功能-付费相关'!AB50/节奏总纲!AA48</f>
        <v>7231.1285155014566</v>
      </c>
      <c r="AG48" s="11">
        <f>('[1]资源-银币'!Y50-'[1]资源-银币'!Y49)*'[1]功能-付费相关'!AQ50/节奏总纲!W48</f>
        <v>1267.520943505966</v>
      </c>
      <c r="AH48" s="11">
        <f>('[1]资源-银币'!Z50-'[1]资源-银币'!Z49)*'[1]功能-付费相关'!AR50/节奏总纲!X48</f>
        <v>2263.064056760139</v>
      </c>
      <c r="AI48" s="11">
        <f>('[1]资源-银币'!AA50-'[1]资源-银币'!AA49)*'[1]功能-付费相关'!AS50/节奏总纲!Y48</f>
        <v>2889.9013436895239</v>
      </c>
      <c r="AJ48" s="11">
        <f>('[1]资源-银币'!AB50-'[1]资源-银币'!AB49)*'[1]功能-付费相关'!AT50/节奏总纲!Z48</f>
        <v>5621.4909716465927</v>
      </c>
      <c r="AK48" s="11">
        <f>('[1]资源-银币'!AC50-'[1]资源-银币'!AC49)*'[1]功能-付费相关'!AU50/节奏总纲!AA48</f>
        <v>15638.69740461183</v>
      </c>
      <c r="AM48" s="11" t="e">
        <f>(#REF!-#REF!)*'[1]功能-付费相关'!CA50/节奏总纲!W48</f>
        <v>#REF!</v>
      </c>
      <c r="AN48" s="11" t="e">
        <f>(#REF!-#REF!)*'[1]功能-付费相关'!CB50/节奏总纲!X48</f>
        <v>#REF!</v>
      </c>
      <c r="AO48" s="11" t="e">
        <f>(#REF!-#REF!)*'[1]功能-付费相关'!CC50/节奏总纲!Y48</f>
        <v>#REF!</v>
      </c>
      <c r="AP48" s="11" t="e">
        <f>(#REF!-#REF!)*'[1]功能-付费相关'!CD50/节奏总纲!Z48</f>
        <v>#REF!</v>
      </c>
      <c r="AQ48" s="11" t="e">
        <f>(#REF!-#REF!)*'[1]功能-付费相关'!CE50/节奏总纲!AA48</f>
        <v>#REF!</v>
      </c>
      <c r="AR48" s="21"/>
      <c r="AS48" s="11">
        <f>(信息索引!U50-信息索引!U49)*'[1]功能-付费相关'!BI50/节奏总纲!W48</f>
        <v>1519.1992336469625</v>
      </c>
      <c r="AT48" s="11">
        <f>(信息索引!V50-信息索引!V49)*'[1]功能-付费相关'!BJ50/节奏总纲!X48</f>
        <v>1758.2381208742859</v>
      </c>
      <c r="AU48" s="11">
        <f>(信息索引!W50-信息索引!W49)*'[1]功能-付费相关'!BK50/节奏总纲!Y48</f>
        <v>2220.9791980599384</v>
      </c>
      <c r="AV48" s="11">
        <f>(信息索引!X50-信息索引!X49)*'[1]功能-付费相关'!BL50/节奏总纲!Z48</f>
        <v>4955.2107885085816</v>
      </c>
      <c r="AW48" s="11">
        <f>(信息索引!Y50-信息索引!Y49)*'[1]功能-付费相关'!BM50/节奏总纲!AA48</f>
        <v>18300.857700800989</v>
      </c>
      <c r="AY48" s="11">
        <f>('[1]资源-武将经验'!T50*节奏总纲!BJ48-'[1]资源-武将经验'!T49*节奏总纲!BJ47)*'[1]功能-付费相关'!AZ50/节奏总纲!W48</f>
        <v>2130.7534676203636</v>
      </c>
      <c r="AZ48" s="11">
        <f>('[1]资源-武将经验'!U50*节奏总纲!BK48-'[1]资源-武将经验'!U49*节奏总纲!BK47)*'[1]功能-付费相关'!BA50/节奏总纲!X48</f>
        <v>2441.9317343389584</v>
      </c>
      <c r="BA48" s="11">
        <f>('[1]资源-武将经验'!V50*节奏总纲!BL48-'[1]资源-武将经验'!V49*节奏总纲!BL47)*'[1]功能-付费相关'!BB50/节奏总纲!Y48</f>
        <v>3146.5421607995149</v>
      </c>
      <c r="BB48" s="11">
        <f>('[1]资源-武将经验'!W50*节奏总纲!BM48-'[1]资源-武将经验'!W49*节奏总纲!BM47)*'[1]功能-付费相关'!BC50/节奏总纲!Z48</f>
        <v>11835.204850559949</v>
      </c>
      <c r="BC48" s="11">
        <f>('[1]资源-武将经验'!X50*节奏总纲!BN48-'[1]资源-武将经验'!X49*节奏总纲!BN47)*'[1]功能-付费相关'!BD50/节奏总纲!AA48</f>
        <v>42411.598856869707</v>
      </c>
      <c r="BD48" s="29"/>
      <c r="BE48" s="33" t="e">
        <f t="shared" si="1"/>
        <v>#REF!</v>
      </c>
      <c r="BF48" s="33" t="e">
        <f t="shared" si="2"/>
        <v>#REF!</v>
      </c>
      <c r="BG48" s="33" t="e">
        <f t="shared" si="3"/>
        <v>#REF!</v>
      </c>
      <c r="BH48" s="33" t="e">
        <f t="shared" si="4"/>
        <v>#REF!</v>
      </c>
      <c r="BI48" s="33" t="e">
        <f t="shared" si="5"/>
        <v>#REF!</v>
      </c>
      <c r="BJ48" s="29"/>
      <c r="BK48" s="29"/>
      <c r="BL48" s="29"/>
      <c r="BM48" s="29"/>
      <c r="BN48" s="29"/>
    </row>
    <row r="49" spans="2:66" x14ac:dyDescent="0.15">
      <c r="B49" s="5">
        <v>46</v>
      </c>
      <c r="C49" s="5">
        <f>'[1]资源-玩家城池建筑时间'!AJ51*'[1]功能-付费相关'!AH51/节奏总纲!W49</f>
        <v>4330.2437245667825</v>
      </c>
      <c r="D49" s="5">
        <f>'[1]资源-玩家城池建筑时间'!AK51*'[1]功能-付费相关'!AI51/节奏总纲!X49</f>
        <v>5498.2696837845097</v>
      </c>
      <c r="E49" s="5">
        <f>'[1]资源-玩家城池建筑时间'!AL51*'[1]功能-付费相关'!AJ51/节奏总纲!Y49</f>
        <v>7353.0849332005246</v>
      </c>
      <c r="F49" s="5">
        <f>'[1]资源-玩家城池建筑时间'!AM51*'[1]功能-付费相关'!AK51/节奏总纲!Z49</f>
        <v>11215.256236733725</v>
      </c>
      <c r="G49" s="5">
        <f>'[1]资源-玩家城池建筑时间'!AN51*'[1]功能-付费相关'!AL51/节奏总纲!AA49</f>
        <v>22430.512473467377</v>
      </c>
      <c r="H49" s="3"/>
      <c r="I49" s="28">
        <f>'[1]资源-士兵训练时间'!AB51*'[1]功能-付费相关'!AH51/节奏总纲!W49</f>
        <v>2306.5357291490595</v>
      </c>
      <c r="J49" s="28">
        <f>'[1]资源-士兵训练时间'!AC51*'[1]功能-付费相关'!AI51/节奏总纲!X49</f>
        <v>3204.3514521832262</v>
      </c>
      <c r="K49" s="28">
        <f>'[1]资源-士兵训练时间'!AD51*'[1]功能-付费相关'!AJ51/节奏总纲!Y49</f>
        <v>5284.127513388752</v>
      </c>
      <c r="L49" s="28">
        <f>'[1]资源-士兵训练时间'!AE51*'[1]功能-付费相关'!AK51/节奏总纲!Z49</f>
        <v>8923.910683006754</v>
      </c>
      <c r="M49" s="28">
        <f>'[1]资源-士兵训练时间'!AF51*'[1]功能-付费相关'!AL51/节奏总纲!AA49</f>
        <v>19830.912628903949</v>
      </c>
      <c r="N49" s="34"/>
      <c r="O49" s="34">
        <f>'[1]资源-士兵招募时间'!AC51*'[1]功能-付费相关'!AH51/节奏总纲!W49</f>
        <v>1219.8809702591204</v>
      </c>
      <c r="P49" s="34">
        <f>'[1]资源-士兵招募时间'!AD51*'[1]功能-付费相关'!AI51/节奏总纲!X49</f>
        <v>1551.3280594542853</v>
      </c>
      <c r="Q49" s="34">
        <f>'[1]资源-士兵招募时间'!AE51*'[1]功能-付费相关'!AJ51/节奏总纲!Y49</f>
        <v>1889.0791478104015</v>
      </c>
      <c r="R49" s="34">
        <f>'[1]资源-士兵招募时间'!AF51*'[1]功能-付费相关'!AK51/节奏总纲!Z49</f>
        <v>2048.4355906702003</v>
      </c>
      <c r="S49" s="34">
        <f>'[1]资源-士兵招募时间'!AG51*'[1]功能-付费相关'!AL51/节奏总纲!AA49</f>
        <v>1999.4898722598239</v>
      </c>
      <c r="T49" s="34"/>
      <c r="U49" s="5">
        <f>('[1]资源-木石铜粮'!U51-'[1]资源-木石铜粮'!U50)*'[1]功能-付费相关'!S51/节奏总纲!W49</f>
        <v>2383.9934269202522</v>
      </c>
      <c r="V49" s="5">
        <f>('[1]资源-木石铜粮'!V51-'[1]资源-木石铜粮'!V50)*'[1]功能-付费相关'!T51/节奏总纲!X49</f>
        <v>2903.2062687595708</v>
      </c>
      <c r="W49" s="5">
        <f>('[1]资源-木石铜粮'!W51-'[1]资源-木石铜粮'!W50)*'[1]功能-付费相关'!U51/节奏总纲!Y49</f>
        <v>3587.3860773744036</v>
      </c>
      <c r="X49" s="5">
        <f>('[1]资源-木石铜粮'!X51-'[1]资源-木石铜粮'!X50)*'[1]功能-付费相关'!V51/节奏总纲!Z49</f>
        <v>7941.058646509724</v>
      </c>
      <c r="Y49" s="5">
        <f>('[1]资源-木石铜粮'!Y51-'[1]资源-木石铜粮'!Y50)*'[1]功能-付费相关'!W51/节奏总纲!AA49</f>
        <v>14433.08390610332</v>
      </c>
      <c r="Z49" s="3"/>
      <c r="AA49" s="11">
        <f>('[1]资源-铁'!T51-'[1]资源-铁'!T50)*'[1]功能-付费相关'!X51/节奏总纲!W49</f>
        <v>438.87859585089052</v>
      </c>
      <c r="AB49" s="11">
        <f>('[1]资源-铁'!U51-'[1]资源-铁'!U50)*'[1]功能-付费相关'!Y51/节奏总纲!X49</f>
        <v>750.31072975717859</v>
      </c>
      <c r="AC49" s="11">
        <f>('[1]资源-铁'!V51-'[1]资源-铁'!V50)*'[1]功能-付费相关'!Z51/节奏总纲!Y49</f>
        <v>1250.5084516036634</v>
      </c>
      <c r="AD49" s="11">
        <f>('[1]资源-铁'!W51-'[1]资源-铁'!W50)*'[1]功能-付费相关'!AA51/节奏总纲!Z49</f>
        <v>3174.915794688573</v>
      </c>
      <c r="AE49" s="11">
        <f>('[1]资源-铁'!X51-'[1]资源-铁'!X50)*'[1]功能-付费相关'!AB51/节奏总纲!AA49</f>
        <v>6848.84268117381</v>
      </c>
      <c r="AG49" s="11">
        <f>('[1]资源-银币'!Y51-'[1]资源-银币'!Y50)*'[1]功能-付费相关'!AQ51/节奏总纲!W49</f>
        <v>1204.3158232117303</v>
      </c>
      <c r="AH49" s="11">
        <f>('[1]资源-银币'!Z51-'[1]资源-银币'!Z50)*'[1]功能-付费相关'!AR51/节奏总纲!X49</f>
        <v>2098.5823743371161</v>
      </c>
      <c r="AI49" s="11">
        <f>('[1]资源-银币'!AA51-'[1]资源-银币'!AA50)*'[1]功能-付费相关'!AS51/节奏总纲!Y49</f>
        <v>2731.8878538211366</v>
      </c>
      <c r="AJ49" s="11">
        <f>('[1]资源-银币'!AB51-'[1]资源-银币'!AB50)*'[1]功能-付费相关'!AT51/节奏总纲!Z49</f>
        <v>6745.7782623778503</v>
      </c>
      <c r="AK49" s="11">
        <f>('[1]资源-银币'!AC51-'[1]资源-银币'!AC50)*'[1]功能-付费相关'!AU51/节奏总纲!AA49</f>
        <v>14701.747806403351</v>
      </c>
      <c r="AM49" s="11" t="e">
        <f>(#REF!-#REF!)*'[1]功能-付费相关'!CA51/节奏总纲!W49</f>
        <v>#REF!</v>
      </c>
      <c r="AN49" s="11" t="e">
        <f>(#REF!-#REF!)*'[1]功能-付费相关'!CB51/节奏总纲!X49</f>
        <v>#REF!</v>
      </c>
      <c r="AO49" s="11" t="e">
        <f>(#REF!-#REF!)*'[1]功能-付费相关'!CC51/节奏总纲!Y49</f>
        <v>#REF!</v>
      </c>
      <c r="AP49" s="11" t="e">
        <f>(#REF!-#REF!)*'[1]功能-付费相关'!CD51/节奏总纲!Z49</f>
        <v>#REF!</v>
      </c>
      <c r="AQ49" s="11" t="e">
        <f>(#REF!-#REF!)*'[1]功能-付费相关'!CE51/节奏总纲!AA49</f>
        <v>#REF!</v>
      </c>
      <c r="AR49" s="21"/>
      <c r="AS49" s="11">
        <f>(信息索引!U51-信息索引!U50)*'[1]功能-付费相关'!BI51/节奏总纲!W49</f>
        <v>1379.8713923387713</v>
      </c>
      <c r="AT49" s="11">
        <f>(信息索引!V51-信息索引!V50)*'[1]功能-付费相关'!BJ51/节奏总纲!X49</f>
        <v>1628.5411267317413</v>
      </c>
      <c r="AU49" s="11">
        <f>(信息索引!W51-信息索引!W50)*'[1]功能-付费相关'!BK51/节奏总纲!Y49</f>
        <v>2010.7971012120261</v>
      </c>
      <c r="AV49" s="11">
        <f>(信息索引!X51-信息索引!X50)*'[1]功能-付费相关'!BL51/节奏总纲!Z49</f>
        <v>7043.8953606684336</v>
      </c>
      <c r="AW49" s="11">
        <f>(信息索引!Y51-信息索引!Y50)*'[1]功能-付费相关'!BM51/节奏总纲!AA49</f>
        <v>16631.437324662282</v>
      </c>
      <c r="AY49" s="11">
        <f>('[1]资源-武将经验'!T51*节奏总纲!BJ49-'[1]资源-武将经验'!T50*节奏总纲!BJ48)*'[1]功能-付费相关'!AZ51/节奏总纲!W49</f>
        <v>1854.8638779933908</v>
      </c>
      <c r="AZ49" s="11">
        <f>('[1]资源-武将经验'!U51*节奏总纲!BK49-'[1]资源-武将经验'!U50*节奏总纲!BK48)*'[1]功能-付费相关'!BA51/节奏总纲!X49</f>
        <v>2167.5740033299594</v>
      </c>
      <c r="BA49" s="11">
        <f>('[1]资源-武将经验'!V51*节奏总纲!BL49-'[1]资源-武将经验'!V50*节奏总纲!BL48)*'[1]功能-付费相关'!BB51/节奏总纲!Y49</f>
        <v>2730.1472433307945</v>
      </c>
      <c r="BB49" s="11">
        <f>('[1]资源-武将经验'!W51*节奏总纲!BM49-'[1]资源-武将经验'!W50*节奏总纲!BM48)*'[1]功能-付费相关'!BC51/节奏总纲!Z49</f>
        <v>16120.639966308654</v>
      </c>
      <c r="BC49" s="11">
        <f>('[1]资源-武将经验'!X51*节奏总纲!BN49-'[1]资源-武将经验'!X50*节奏总纲!BN48)*'[1]功能-付费相关'!BD51/节奏总纲!AA49</f>
        <v>36927.439102799821</v>
      </c>
      <c r="BD49" s="29"/>
      <c r="BE49" s="33" t="e">
        <f t="shared" si="1"/>
        <v>#REF!</v>
      </c>
      <c r="BF49" s="33" t="e">
        <f t="shared" si="2"/>
        <v>#REF!</v>
      </c>
      <c r="BG49" s="33" t="e">
        <f t="shared" si="3"/>
        <v>#REF!</v>
      </c>
      <c r="BH49" s="33" t="e">
        <f t="shared" si="4"/>
        <v>#REF!</v>
      </c>
      <c r="BI49" s="33" t="e">
        <f t="shared" si="5"/>
        <v>#REF!</v>
      </c>
      <c r="BJ49" s="29"/>
      <c r="BK49" s="29"/>
      <c r="BL49" s="29"/>
      <c r="BM49" s="29"/>
      <c r="BN49" s="29"/>
    </row>
    <row r="50" spans="2:66" x14ac:dyDescent="0.15">
      <c r="B50" s="5">
        <v>47</v>
      </c>
      <c r="C50" s="5">
        <f>'[1]资源-玩家城池建筑时间'!AJ52*'[1]功能-付费相关'!AH52/节奏总纲!W50</f>
        <v>4244.0048529333289</v>
      </c>
      <c r="D50" s="5">
        <f>'[1]资源-玩家城池建筑时间'!AK52*'[1]功能-付费相关'!AI52/节奏总纲!X50</f>
        <v>5351.8263234204587</v>
      </c>
      <c r="E50" s="5">
        <f>'[1]资源-玩家城池建筑时间'!AL52*'[1]功能-付费相关'!AJ52/节奏总纲!Y50</f>
        <v>7255.0292749256587</v>
      </c>
      <c r="F50" s="5">
        <f>'[1]资源-玩家城池建筑时间'!AM52*'[1]功能-付费相关'!AK52/节奏总纲!Z50</f>
        <v>10883.795322540258</v>
      </c>
      <c r="G50" s="5">
        <f>'[1]资源-玩家城池建筑时间'!AN52*'[1]功能-付费相关'!AL52/节奏总纲!AA50</f>
        <v>21767.59064508056</v>
      </c>
      <c r="H50" s="3"/>
      <c r="I50" s="28">
        <f>'[1]资源-士兵训练时间'!AB52*'[1]功能-付费相关'!AH52/节奏总纲!W50</f>
        <v>2274.8457608689246</v>
      </c>
      <c r="J50" s="28">
        <f>'[1]资源-士兵训练时间'!AC52*'[1]功能-付费相关'!AI52/节奏总纲!X50</f>
        <v>3124.8493721669806</v>
      </c>
      <c r="K50" s="28">
        <f>'[1]资源-士兵训练时间'!AD52*'[1]功能-付费相关'!AJ52/节奏总纲!Y50</f>
        <v>5131.9244096250814</v>
      </c>
      <c r="L50" s="28">
        <f>'[1]资源-士兵训练时间'!AE52*'[1]功能-付费相关'!AK52/节奏总纲!Z50</f>
        <v>8660.1692641097761</v>
      </c>
      <c r="M50" s="28">
        <f>'[1]资源-士兵训练时间'!AF52*'[1]功能-付费相关'!AL52/节奏总纲!AA50</f>
        <v>19244.820586910577</v>
      </c>
      <c r="N50" s="34"/>
      <c r="O50" s="34">
        <f>'[1]资源-士兵招募时间'!AC52*'[1]功能-付费相关'!AH52/节奏总纲!W50</f>
        <v>1188.3875522721744</v>
      </c>
      <c r="P50" s="34">
        <f>'[1]资源-士兵招募时间'!AD52*'[1]功能-付费相关'!AI52/节奏总纲!X50</f>
        <v>1507.1364048883097</v>
      </c>
      <c r="Q50" s="34">
        <f>'[1]资源-士兵招募时间'!AE52*'[1]功能-付费相关'!AJ52/节奏总纲!Y50</f>
        <v>1853.8568586228728</v>
      </c>
      <c r="R50" s="34">
        <f>'[1]资源-士兵招募时间'!AF52*'[1]功能-付费相关'!AK52/节奏总纲!Z50</f>
        <v>1947.0747853726675</v>
      </c>
      <c r="S50" s="34">
        <f>'[1]资源-士兵招募时间'!AG52*'[1]功能-付费相关'!AL52/节奏总纲!AA50</f>
        <v>1913.2574379244318</v>
      </c>
      <c r="T50" s="34"/>
      <c r="U50" s="5">
        <f>('[1]资源-木石铜粮'!U52-'[1]资源-木石铜粮'!U51)*'[1]功能-付费相关'!S52/节奏总纲!W50</f>
        <v>2328.841433233405</v>
      </c>
      <c r="V50" s="5">
        <f>('[1]资源-木石铜粮'!V52-'[1]资源-木石铜粮'!V51)*'[1]功能-付费相关'!T52/节奏总纲!X50</f>
        <v>2804.1443668331131</v>
      </c>
      <c r="W50" s="5">
        <f>('[1]资源-木石铜粮'!W52-'[1]资源-木石铜粮'!W51)*'[1]功能-付费相关'!U52/节奏总纲!Y50</f>
        <v>5907.1707398616754</v>
      </c>
      <c r="X50" s="5">
        <f>('[1]资源-木石铜粮'!X52-'[1]资源-木石铜粮'!X51)*'[1]功能-付费相关'!V52/节奏总纲!Z50</f>
        <v>7771.8706192956615</v>
      </c>
      <c r="Y50" s="5">
        <f>('[1]资源-木石铜粮'!Y52-'[1]资源-木石铜粮'!Y51)*'[1]功能-付费相关'!W52/节奏总纲!AA50</f>
        <v>14090.369249777927</v>
      </c>
      <c r="Z50" s="3"/>
      <c r="AA50" s="11">
        <f>('[1]资源-铁'!T52-'[1]资源-铁'!T51)*'[1]功能-付费相关'!X52/节奏总纲!W50</f>
        <v>488.14190146378178</v>
      </c>
      <c r="AB50" s="11">
        <f>('[1]资源-铁'!U52-'[1]资源-铁'!U51)*'[1]功能-付费相关'!Y52/节奏总纲!X50</f>
        <v>740.91579505627783</v>
      </c>
      <c r="AC50" s="11">
        <f>('[1]资源-铁'!V52-'[1]资源-铁'!V51)*'[1]功能-付费相关'!Z52/节奏总纲!Y50</f>
        <v>1865.9368738645285</v>
      </c>
      <c r="AD50" s="11">
        <f>('[1]资源-铁'!W52-'[1]资源-铁'!W51)*'[1]功能-付费相关'!AA52/节奏总纲!Z50</f>
        <v>3008.6554821353966</v>
      </c>
      <c r="AE50" s="11">
        <f>('[1]资源-铁'!X52-'[1]资源-铁'!X51)*'[1]功能-付费相关'!AB52/节奏总纲!AA50</f>
        <v>6488.8906543757967</v>
      </c>
      <c r="AG50" s="11">
        <f>('[1]资源-银币'!Y52-'[1]资源-银币'!Y51)*'[1]功能-付费相关'!AQ52/节奏总纲!W50</f>
        <v>1129.4791583627189</v>
      </c>
      <c r="AH50" s="11">
        <f>('[1]资源-银币'!Z52-'[1]资源-银币'!Z51)*'[1]功能-付费相关'!AR52/节奏总纲!X50</f>
        <v>1957.3537686145451</v>
      </c>
      <c r="AI50" s="11">
        <f>('[1]资源-银币'!AA52-'[1]资源-银币'!AA51)*'[1]功能-付费相关'!AS52/节奏总纲!Y50</f>
        <v>3917.5372709226099</v>
      </c>
      <c r="AJ50" s="11">
        <f>('[1]资源-银币'!AB52-'[1]资源-银币'!AB51)*'[1]功能-付费相关'!AT52/节奏总纲!Z50</f>
        <v>6377.8178637821356</v>
      </c>
      <c r="AK50" s="11">
        <f>('[1]资源-银币'!AC52-'[1]资源-银币'!AC51)*'[1]功能-付费相关'!AU52/节奏总纲!AA50</f>
        <v>13857.865113425127</v>
      </c>
      <c r="AM50" s="11" t="e">
        <f>(#REF!-#REF!)*'[1]功能-付费相关'!CA52/节奏总纲!W50</f>
        <v>#REF!</v>
      </c>
      <c r="AN50" s="11" t="e">
        <f>(#REF!-#REF!)*'[1]功能-付费相关'!CB52/节奏总纲!X50</f>
        <v>#REF!</v>
      </c>
      <c r="AO50" s="11" t="e">
        <f>(#REF!-#REF!)*'[1]功能-付费相关'!CC52/节奏总纲!Y50</f>
        <v>#REF!</v>
      </c>
      <c r="AP50" s="11" t="e">
        <f>(#REF!-#REF!)*'[1]功能-付费相关'!CD52/节奏总纲!Z50</f>
        <v>#REF!</v>
      </c>
      <c r="AQ50" s="11" t="e">
        <f>(#REF!-#REF!)*'[1]功能-付费相关'!CE52/节奏总纲!AA50</f>
        <v>#REF!</v>
      </c>
      <c r="AR50" s="21"/>
      <c r="AS50" s="11">
        <f>(信息索引!U52-信息索引!U51)*'[1]功能-付费相关'!BI52/节奏总纲!W50</f>
        <v>1252.7327627776626</v>
      </c>
      <c r="AT50" s="11">
        <f>(信息索引!V52-信息索引!V51)*'[1]功能-付费相关'!BJ52/节奏总纲!X50</f>
        <v>1465.8217204306973</v>
      </c>
      <c r="AU50" s="11">
        <f>(信息索引!W52-信息索引!W51)*'[1]功能-付费相关'!BK52/节奏总纲!Y50</f>
        <v>4139.909193585383</v>
      </c>
      <c r="AV50" s="11">
        <f>(信息索引!X52-信息索引!X51)*'[1]功能-付费相关'!BL52/节奏总纲!Z50</f>
        <v>6467.0870027209958</v>
      </c>
      <c r="AW50" s="11">
        <f>(信息索引!Y52-信息索引!Y51)*'[1]功能-付费相关'!BM52/节奏总纲!AA50</f>
        <v>15162.703587940568</v>
      </c>
      <c r="AY50" s="11">
        <f>('[1]资源-武将经验'!T52*节奏总纲!BJ50-'[1]资源-武将经验'!T51*节奏总纲!BJ49)*'[1]功能-付费相关'!AZ52/节奏总纲!W50</f>
        <v>1613.636027329678</v>
      </c>
      <c r="AZ50" s="11">
        <f>('[1]资源-武将经验'!U52*节奏总纲!BK50-'[1]资源-武将经验'!U51*节奏总纲!BK49)*'[1]功能-付费相关'!BA52/节奏总纲!X50</f>
        <v>1869.3742628622986</v>
      </c>
      <c r="BA50" s="11">
        <f>('[1]资源-武将经验'!V52*节奏总纲!BL50-'[1]资源-武将经验'!V51*节奏总纲!BL49)*'[1]功能-付费相关'!BB52/节奏总纲!Y50</f>
        <v>5385.8896373150719</v>
      </c>
      <c r="BB50" s="11">
        <f>('[1]资源-武将经验'!W52*节奏总纲!BM50-'[1]资源-武将经验'!W51*节奏总纲!BM49)*'[1]功能-付费相关'!BC52/节奏总纲!Z50</f>
        <v>14179.388852747477</v>
      </c>
      <c r="BC50" s="11">
        <f>('[1]资源-武将经验'!X52*节奏总纲!BN50-'[1]资源-武将经验'!X51*节奏总纲!BN49)*'[1]功能-付费相关'!BD52/节奏总纲!AA50</f>
        <v>32249.901791033371</v>
      </c>
      <c r="BD50" s="29"/>
      <c r="BE50" s="33" t="e">
        <f t="shared" si="1"/>
        <v>#REF!</v>
      </c>
      <c r="BF50" s="33" t="e">
        <f t="shared" si="2"/>
        <v>#REF!</v>
      </c>
      <c r="BG50" s="33" t="e">
        <f t="shared" si="3"/>
        <v>#REF!</v>
      </c>
      <c r="BH50" s="33" t="e">
        <f t="shared" si="4"/>
        <v>#REF!</v>
      </c>
      <c r="BI50" s="33" t="e">
        <f t="shared" si="5"/>
        <v>#REF!</v>
      </c>
      <c r="BJ50" s="29"/>
      <c r="BK50" s="29"/>
      <c r="BL50" s="29"/>
      <c r="BM50" s="29"/>
      <c r="BN50" s="29"/>
    </row>
    <row r="51" spans="2:66" x14ac:dyDescent="0.15">
      <c r="B51" s="5">
        <v>48</v>
      </c>
      <c r="C51" s="5">
        <f>'[1]资源-玩家城池建筑时间'!AJ53*'[1]功能-付费相关'!AH53/节奏总纲!W51</f>
        <v>4154.9247615125832</v>
      </c>
      <c r="D51" s="5">
        <f>'[1]资源-玩家城池建筑时间'!AK53*'[1]功能-付费相关'!AI53/节奏总纲!X51</f>
        <v>5226.0617482487551</v>
      </c>
      <c r="E51" s="5">
        <f>'[1]资源-玩家城池建筑时间'!AL53*'[1]功能-付费相关'!AJ53/节奏总纲!Y51</f>
        <v>7041.4203725435709</v>
      </c>
      <c r="F51" s="5">
        <f>'[1]资源-玩家城池建筑时间'!AM53*'[1]功能-付费相关'!AK53/节奏总纲!Z51</f>
        <v>10562.130558815368</v>
      </c>
      <c r="G51" s="5">
        <f>'[1]资源-玩家城池建筑时间'!AN53*'[1]功能-付费相关'!AL53/节奏总纲!AA51</f>
        <v>21161.577711569767</v>
      </c>
      <c r="H51" s="3"/>
      <c r="I51" s="28">
        <f>'[1]资源-士兵训练时间'!AB53*'[1]功能-付费相关'!AH53/节奏总纲!W51</f>
        <v>2239.3817473708118</v>
      </c>
      <c r="J51" s="28">
        <f>'[1]资源-士兵训练时间'!AC53*'[1]功能-付费相关'!AI53/节奏总纲!X51</f>
        <v>3033.3718092312961</v>
      </c>
      <c r="K51" s="28">
        <f>'[1]资源-士兵训练时间'!AD53*'[1]功能-付费相关'!AJ53/节奏总纲!Y51</f>
        <v>4980.2800486692868</v>
      </c>
      <c r="L51" s="28">
        <f>'[1]资源-士兵训练时间'!AE53*'[1]功能-付费相关'!AK53/节奏总纲!Z51</f>
        <v>8404.2225821293669</v>
      </c>
      <c r="M51" s="28">
        <f>'[1]资源-士兵训练时间'!AF53*'[1]功能-付费相关'!AL53/节奏总纲!AA51</f>
        <v>18394.159266022645</v>
      </c>
      <c r="N51" s="34"/>
      <c r="O51" s="34">
        <f>'[1]资源-士兵招募时间'!AC53*'[1]功能-付费相关'!AH53/节奏总纲!W51</f>
        <v>1161.3187971213845</v>
      </c>
      <c r="P51" s="34">
        <f>'[1]资源-士兵招募时间'!AD53*'[1]功能-付费相关'!AI53/节奏总纲!X51</f>
        <v>1469.282112799475</v>
      </c>
      <c r="Q51" s="34">
        <f>'[1]资源-士兵招募时间'!AE53*'[1]功能-付费相关'!AJ53/节奏总纲!Y51</f>
        <v>1807.8394375835564</v>
      </c>
      <c r="R51" s="34">
        <f>'[1]资源-士兵招募时间'!AF53*'[1]功能-付费相关'!AK53/节奏总纲!Z51</f>
        <v>1865.265958033541</v>
      </c>
      <c r="S51" s="34">
        <f>'[1]资源-士兵招募时间'!AG53*'[1]功能-付费相关'!AL53/节奏总纲!AA51</f>
        <v>1795.9894501277674</v>
      </c>
      <c r="T51" s="34"/>
      <c r="U51" s="5">
        <f>('[1]资源-木石铜粮'!U53-'[1]资源-木石铜粮'!U52)*'[1]功能-付费相关'!S53/节奏总纲!W51</f>
        <v>2274.2397936931816</v>
      </c>
      <c r="V51" s="5">
        <f>('[1]资源-木石铜粮'!V53-'[1]资源-木石铜粮'!V52)*'[1]功能-付费相关'!T53/节奏总纲!X51</f>
        <v>3367.3809008149938</v>
      </c>
      <c r="W51" s="5">
        <f>('[1]资源-木石铜粮'!W53-'[1]资源-木石铜粮'!W52)*'[1]功能-付费相关'!U53/节奏总纲!Y51</f>
        <v>5804.2602319309181</v>
      </c>
      <c r="X51" s="5">
        <f>('[1]资源-木石铜粮'!X53-'[1]资源-木石铜粮'!X52)*'[1]功能-付费相关'!V53/节奏总纲!Z51</f>
        <v>7504.3351442948169</v>
      </c>
      <c r="Y51" s="5">
        <f>('[1]资源-木石铜粮'!Y53-'[1]资源-木石铜粮'!Y52)*'[1]功能-付费相关'!W53/节奏总纲!AA51</f>
        <v>12982.223033618964</v>
      </c>
      <c r="Z51" s="3"/>
      <c r="AA51" s="11">
        <f>('[1]资源-铁'!T53-'[1]资源-铁'!T52)*'[1]功能-付费相关'!X53/节奏总纲!W51</f>
        <v>524.23979073582905</v>
      </c>
      <c r="AB51" s="11">
        <f>('[1]资源-铁'!U53-'[1]资源-铁'!U52)*'[1]功能-付费相关'!Y53/节奏总纲!X51</f>
        <v>871.0029550808847</v>
      </c>
      <c r="AC51" s="11">
        <f>('[1]资源-铁'!V53-'[1]资源-铁'!V52)*'[1]功能-付费相关'!Z53/节奏总纲!Y51</f>
        <v>1773.9732641276614</v>
      </c>
      <c r="AD51" s="11">
        <f>('[1]资源-铁'!W53-'[1]资源-铁'!W52)*'[1]功能-付费相关'!AA53/节奏总纲!Z51</f>
        <v>2852.0239280231981</v>
      </c>
      <c r="AE51" s="11">
        <f>('[1]资源-铁'!X53-'[1]资源-铁'!X52)*'[1]功能-付费相关'!AB53/节奏总纲!AA51</f>
        <v>6204.5467285107306</v>
      </c>
      <c r="AG51" s="11">
        <f>('[1]资源-银币'!Y53-'[1]资源-银币'!Y52)*'[1]功能-付费相关'!AQ53/节奏总纲!W51</f>
        <v>1062.6271479545087</v>
      </c>
      <c r="AH51" s="11">
        <f>('[1]资源-银币'!Z53-'[1]资源-银币'!Z52)*'[1]功能-付费相关'!AR53/节奏总纲!X51</f>
        <v>2224.6614669175979</v>
      </c>
      <c r="AI51" s="11">
        <f>('[1]资源-银币'!AA53-'[1]资源-银币'!AA52)*'[1]功能-付费相关'!AS53/节奏总纲!Y51</f>
        <v>3702.6539184701492</v>
      </c>
      <c r="AJ51" s="11">
        <f>('[1]资源-银币'!AB53-'[1]资源-银币'!AB52)*'[1]功能-付费相关'!AT53/节奏总纲!Z51</f>
        <v>5963.2116772899444</v>
      </c>
      <c r="AK51" s="11">
        <f>('[1]资源-银币'!AC53-'[1]资源-银币'!AC52)*'[1]功能-付费相关'!AU53/节奏总纲!AA51</f>
        <v>12464.1379276675</v>
      </c>
      <c r="AM51" s="11" t="e">
        <f>(#REF!-#REF!)*'[1]功能-付费相关'!CA53/节奏总纲!W51</f>
        <v>#REF!</v>
      </c>
      <c r="AN51" s="11" t="e">
        <f>(#REF!-#REF!)*'[1]功能-付费相关'!CB53/节奏总纲!X51</f>
        <v>#REF!</v>
      </c>
      <c r="AO51" s="11" t="e">
        <f>(#REF!-#REF!)*'[1]功能-付费相关'!CC53/节奏总纲!Y51</f>
        <v>#REF!</v>
      </c>
      <c r="AP51" s="11" t="e">
        <f>(#REF!-#REF!)*'[1]功能-付费相关'!CD53/节奏总纲!Z51</f>
        <v>#REF!</v>
      </c>
      <c r="AQ51" s="11" t="e">
        <f>(#REF!-#REF!)*'[1]功能-付费相关'!CE53/节奏总纲!AA51</f>
        <v>#REF!</v>
      </c>
      <c r="AR51" s="21"/>
      <c r="AS51" s="11">
        <f>(信息索引!U53-信息索引!U52)*'[1]功能-付费相关'!BI53/节奏总纲!W51</f>
        <v>1136.7966225393038</v>
      </c>
      <c r="AT51" s="11">
        <f>(信息索引!V53-信息索引!V52)*'[1]功能-付费相关'!BJ53/节奏总纲!X51</f>
        <v>1872.4498575837699</v>
      </c>
      <c r="AU51" s="11">
        <f>(信息索引!W53-信息索引!W52)*'[1]功能-付费相关'!BK53/节奏总纲!Y51</f>
        <v>3801.6506382724374</v>
      </c>
      <c r="AV51" s="11">
        <f>(信息索引!X53-信息索引!X52)*'[1]功能-付费相关'!BL53/节奏总纲!Z51</f>
        <v>5817.1154371911462</v>
      </c>
      <c r="AW51" s="11">
        <f>(信息索引!Y53-信息索引!Y52)*'[1]功能-付费相关'!BM53/节奏总纲!AA51</f>
        <v>12761.648056568276</v>
      </c>
      <c r="AY51" s="11">
        <f>('[1]资源-武将经验'!T53*节奏总纲!BJ51-'[1]资源-武将经验'!T52*节奏总纲!BJ50)*'[1]功能-付费相关'!AZ53/节奏总纲!W51</f>
        <v>1402.9038312424805</v>
      </c>
      <c r="AZ51" s="11">
        <f>('[1]资源-武将经验'!U53*节奏总纲!BK51-'[1]资源-武将经验'!U52*节奏总纲!BK50)*'[1]功能-付费相关'!BA53/节奏总纲!X51</f>
        <v>2287.6581090780583</v>
      </c>
      <c r="BA51" s="11">
        <f>('[1]资源-武将经验'!V53*节奏总纲!BL51-'[1]资源-武将经验'!V52*节奏总纲!BL50)*'[1]功能-付费相关'!BB53/节奏总纲!Y51</f>
        <v>4738.1972207592034</v>
      </c>
      <c r="BB51" s="11">
        <f>('[1]资源-武将经验'!W53*节奏总纲!BM51-'[1]资源-武将经验'!W52*节奏总纲!BM50)*'[1]功能-付费相关'!BC53/节奏总纲!Z51</f>
        <v>12217.005312916672</v>
      </c>
      <c r="BC51" s="11">
        <f>('[1]资源-武将经验'!X53*节奏总纲!BN51-'[1]资源-武将经验'!X52*节奏总纲!BN50)*'[1]功能-付费相关'!BD53/节奏总纲!AA51</f>
        <v>25996.924681478475</v>
      </c>
      <c r="BD51" s="29"/>
      <c r="BE51" s="33" t="e">
        <f t="shared" si="1"/>
        <v>#REF!</v>
      </c>
      <c r="BF51" s="33" t="e">
        <f t="shared" si="2"/>
        <v>#REF!</v>
      </c>
      <c r="BG51" s="33" t="e">
        <f t="shared" si="3"/>
        <v>#REF!</v>
      </c>
      <c r="BH51" s="33" t="e">
        <f t="shared" si="4"/>
        <v>#REF!</v>
      </c>
      <c r="BI51" s="33" t="e">
        <f t="shared" si="5"/>
        <v>#REF!</v>
      </c>
      <c r="BJ51" s="29"/>
      <c r="BK51" s="29"/>
      <c r="BL51" s="29"/>
      <c r="BM51" s="29"/>
      <c r="BN51" s="29"/>
    </row>
    <row r="52" spans="2:66" x14ac:dyDescent="0.15">
      <c r="B52" s="5">
        <v>49</v>
      </c>
      <c r="C52" s="5">
        <f>'[1]资源-玩家城池建筑时间'!AJ54*'[1]功能-付费相关'!AH54/节奏总纲!W52</f>
        <v>4049.3376174273981</v>
      </c>
      <c r="D52" s="5">
        <f>'[1]资源-玩家城池建筑时间'!AK54*'[1]功能-付费相关'!AI54/节奏总纲!X52</f>
        <v>5124.9862127792849</v>
      </c>
      <c r="E52" s="5">
        <f>'[1]资源-玩家城池建筑时间'!AL54*'[1]功能-付费相关'!AJ54/节奏总纲!Y52</f>
        <v>6833.3149503723853</v>
      </c>
      <c r="F52" s="5">
        <f>'[1]资源-玩家城池建筑时间'!AM54*'[1]功能-付费相关'!AK54/节奏总纲!Z52</f>
        <v>10249.972425558559</v>
      </c>
      <c r="G52" s="5">
        <f>'[1]资源-玩家城池建筑时间'!AN54*'[1]功能-付费相关'!AL54/节奏总纲!AA52</f>
        <v>20850.000750617619</v>
      </c>
      <c r="H52" s="3"/>
      <c r="I52" s="28">
        <f>'[1]资源-士兵训练时间'!AB54*'[1]功能-付费相关'!AH54/节奏总纲!W52</f>
        <v>2173.627287891291</v>
      </c>
      <c r="J52" s="28">
        <f>'[1]资源-士兵训练时间'!AC54*'[1]功能-付费相关'!AI54/节奏总纲!X52</f>
        <v>2945.1645411409527</v>
      </c>
      <c r="K52" s="28">
        <f>'[1]资源-士兵训练时间'!AD54*'[1]功能-付费相关'!AJ54/节奏总纲!Y52</f>
        <v>4833.0905290518313</v>
      </c>
      <c r="L52" s="28">
        <f>'[1]资源-士兵训练时间'!AE54*'[1]功能-付费相关'!AK54/节奏总纲!Z52</f>
        <v>8155.8402677749727</v>
      </c>
      <c r="M52" s="28">
        <f>'[1]资源-士兵训练时间'!AF54*'[1]功能-付费相关'!AL54/节奏总纲!AA52</f>
        <v>15479.754406282307</v>
      </c>
      <c r="N52" s="34"/>
      <c r="O52" s="34">
        <f>'[1]资源-士兵招募时间'!AC54*'[1]功能-付费相关'!AH54/节奏总纲!W52</f>
        <v>1135.9542185434041</v>
      </c>
      <c r="P52" s="34">
        <f>'[1]资源-士兵招募时间'!AD54*'[1]功能-付费相关'!AI54/节奏总纲!X52</f>
        <v>1433.1870941486989</v>
      </c>
      <c r="Q52" s="34">
        <f>'[1]资源-士兵招募时间'!AE54*'[1]功能-付费相关'!AJ54/节奏总纲!Y52</f>
        <v>1731.770626694879</v>
      </c>
      <c r="R52" s="34">
        <f>'[1]资源-士兵招募时间'!AF54*'[1]功能-付费相关'!AK54/节奏总纲!Z52</f>
        <v>1843.1670906280433</v>
      </c>
      <c r="S52" s="34">
        <f>'[1]资源-士兵招募时间'!AG54*'[1]功能-付费相关'!AL54/节奏总纲!AA52</f>
        <v>1630.4456546014735</v>
      </c>
      <c r="T52" s="34"/>
      <c r="U52" s="5">
        <f>('[1]资源-木石铜粮'!U54-'[1]资源-木石铜粮'!U53)*'[1]功能-付费相关'!S54/节奏总纲!W52</f>
        <v>2224.9370103128399</v>
      </c>
      <c r="V52" s="5">
        <f>('[1]资源-木石铜粮'!V54-'[1]资源-木石铜粮'!V53)*'[1]功能-付费相关'!T54/节奏总纲!X52</f>
        <v>3719.9988031627445</v>
      </c>
      <c r="W52" s="5">
        <f>('[1]资源-木石铜粮'!W54-'[1]资源-木石铜粮'!W53)*'[1]功能-付费相关'!U54/节奏总纲!Y52</f>
        <v>4751.2124207546276</v>
      </c>
      <c r="X52" s="5">
        <f>('[1]资源-木石铜粮'!X54-'[1]资源-木石铜粮'!X53)*'[1]功能-付费相关'!V54/节奏总纲!Z52</f>
        <v>6114.1971625907527</v>
      </c>
      <c r="Y52" s="5">
        <f>('[1]资源-木石铜粮'!Y54-'[1]资源-木石铜粮'!Y53)*'[1]功能-付费相关'!W54/节奏总纲!AA52</f>
        <v>7762.44619454241</v>
      </c>
      <c r="Z52" s="3"/>
      <c r="AA52" s="11">
        <f>('[1]资源-铁'!T54-'[1]资源-铁'!T53)*'[1]功能-付费相关'!X54/节奏总纲!W52</f>
        <v>582.19332444422628</v>
      </c>
      <c r="AB52" s="11">
        <f>('[1]资源-铁'!U54-'[1]资源-铁'!U53)*'[1]功能-付费相关'!Y54/节奏总纲!X52</f>
        <v>1097.3497743748319</v>
      </c>
      <c r="AC52" s="11">
        <f>('[1]资源-铁'!V54-'[1]资源-铁'!V53)*'[1]功能-付费相关'!Z54/节奏总纲!Y52</f>
        <v>1682.7557574266816</v>
      </c>
      <c r="AD52" s="11">
        <f>('[1]资源-铁'!W54-'[1]资源-铁'!W53)*'[1]功能-付费相关'!AA54/节奏总纲!Z52</f>
        <v>2703.8108375207757</v>
      </c>
      <c r="AE52" s="11">
        <f>('[1]资源-铁'!X54-'[1]资源-铁'!X53)*'[1]功能-付费相关'!AB54/节奏总纲!AA52</f>
        <v>6326.0198561576981</v>
      </c>
      <c r="AG52" s="11">
        <f>('[1]资源-银币'!Y54-'[1]资源-银币'!Y53)*'[1]功能-付费相关'!AQ54/节奏总纲!W52</f>
        <v>1011.8687062932089</v>
      </c>
      <c r="AH52" s="11">
        <f>('[1]资源-银币'!Z54-'[1]资源-银币'!Z53)*'[1]功能-付费相关'!AR54/节奏总纲!X52</f>
        <v>2293.4214971082411</v>
      </c>
      <c r="AI52" s="11">
        <f>('[1]资源-银币'!AA54-'[1]资源-银币'!AA53)*'[1]功能-付费相关'!AS54/节奏总纲!Y52</f>
        <v>3031.519787003876</v>
      </c>
      <c r="AJ52" s="11">
        <f>('[1]资源-银币'!AB54-'[1]资源-银币'!AB53)*'[1]功能-付费相关'!AT54/节奏总纲!Z52</f>
        <v>4895.7877992960393</v>
      </c>
      <c r="AK52" s="11">
        <f>('[1]资源-银币'!AC54-'[1]资源-银币'!AC53)*'[1]功能-付费相关'!AU54/节奏总纲!AA52</f>
        <v>8248.6133850481856</v>
      </c>
      <c r="AM52" s="11" t="e">
        <f>(#REF!-#REF!)*'[1]功能-付费相关'!CA54/节奏总纲!W52</f>
        <v>#REF!</v>
      </c>
      <c r="AN52" s="11" t="e">
        <f>(#REF!-#REF!)*'[1]功能-付费相关'!CB54/节奏总纲!X52</f>
        <v>#REF!</v>
      </c>
      <c r="AO52" s="11" t="e">
        <f>(#REF!-#REF!)*'[1]功能-付费相关'!CC54/节奏总纲!Y52</f>
        <v>#REF!</v>
      </c>
      <c r="AP52" s="11" t="e">
        <f>(#REF!-#REF!)*'[1]功能-付费相关'!CD54/节奏总纲!Z52</f>
        <v>#REF!</v>
      </c>
      <c r="AQ52" s="11" t="e">
        <f>(#REF!-#REF!)*'[1]功能-付费相关'!CE54/节奏总纲!AA52</f>
        <v>#REF!</v>
      </c>
      <c r="AR52" s="21"/>
      <c r="AS52" s="11">
        <f>(信息索引!U54-信息索引!U53)*'[1]功能-付费相关'!BI54/节奏总纲!W52</f>
        <v>1031.1448254400343</v>
      </c>
      <c r="AT52" s="11">
        <f>(信息索引!V54-信息索引!V53)*'[1]功能-付费相关'!BJ54/节奏总纲!X52</f>
        <v>2017.8408142328938</v>
      </c>
      <c r="AU52" s="11">
        <f>(信息索引!W54-信息索引!W53)*'[1]功能-付费相关'!BK54/节奏总纲!Y52</f>
        <v>2681.8869649154713</v>
      </c>
      <c r="AV52" s="11">
        <f>(信息索引!X54-信息索引!X53)*'[1]功能-付费相关'!BL54/节奏总纲!Z52</f>
        <v>4073.6528544782482</v>
      </c>
      <c r="AW52" s="11">
        <f>(信息索引!Y54-信息索引!Y53)*'[1]功能-付费相关'!BM54/节奏总纲!AA52</f>
        <v>5356.4847990118487</v>
      </c>
      <c r="AY52" s="11">
        <f>('[1]资源-武将经验'!T54*节奏总纲!BJ52-'[1]资源-武将经验'!T53*节奏总纲!BJ51)*'[1]功能-付费相关'!AZ54/节奏总纲!W52</f>
        <v>1218.9673356685873</v>
      </c>
      <c r="AZ52" s="11">
        <f>('[1]资源-武将经验'!U54*节奏总纲!BK52-'[1]资源-武将经验'!U53*节奏总纲!BK51)*'[1]功能-付费相关'!BA54/节奏总纲!X52</f>
        <v>2361.3723006460227</v>
      </c>
      <c r="BA52" s="11">
        <f>('[1]资源-武将经验'!V54*节奏总纲!BL52-'[1]资源-武将经验'!V53*节奏总纲!BL51)*'[1]功能-付费相关'!BB54/节奏总纲!Y52</f>
        <v>3201.7403890272362</v>
      </c>
      <c r="BB52" s="11">
        <f>('[1]资源-武将经验'!W54*节奏总纲!BM52-'[1]资源-武将经验'!W53*节奏总纲!BM51)*'[1]功能-付费相关'!BC54/节奏总纲!Z52</f>
        <v>8193.7538935255507</v>
      </c>
      <c r="BC52" s="11">
        <f>('[1]资源-武将经验'!X54*节奏总纲!BN52-'[1]资源-武将经验'!X53*节奏总纲!BN51)*'[1]功能-付费相关'!BD54/节奏总纲!AA52</f>
        <v>10449.468672169342</v>
      </c>
      <c r="BD52" s="29"/>
      <c r="BE52" s="33" t="e">
        <f t="shared" si="1"/>
        <v>#REF!</v>
      </c>
      <c r="BF52" s="33" t="e">
        <f t="shared" si="2"/>
        <v>#REF!</v>
      </c>
      <c r="BG52" s="33" t="e">
        <f t="shared" si="3"/>
        <v>#REF!</v>
      </c>
      <c r="BH52" s="33" t="e">
        <f t="shared" si="4"/>
        <v>#REF!</v>
      </c>
      <c r="BI52" s="33" t="e">
        <f t="shared" si="5"/>
        <v>#REF!</v>
      </c>
      <c r="BJ52" s="29"/>
      <c r="BK52" s="29"/>
      <c r="BL52" s="29"/>
      <c r="BM52" s="29"/>
      <c r="BN52" s="29"/>
    </row>
    <row r="53" spans="2:66" x14ac:dyDescent="0.15">
      <c r="B53" s="5">
        <v>50</v>
      </c>
      <c r="C53" s="5">
        <f>'[1]资源-玩家城池建筑时间'!AJ55*'[1]功能-付费相关'!AH55/节奏总纲!W53</f>
        <v>3978.8159837514781</v>
      </c>
      <c r="D53" s="5">
        <f>'[1]资源-玩家城池建筑时间'!AK55*'[1]功能-付费相关'!AI55/节奏总纲!X53</f>
        <v>4973.5199796893403</v>
      </c>
      <c r="E53" s="5">
        <f>'[1]资源-玩家城池建筑时间'!AL55*'[1]功能-付费相关'!AJ55/节奏总纲!Y53</f>
        <v>6673.5090146969878</v>
      </c>
      <c r="F53" s="5">
        <f>'[1]资源-玩家城池建筑时间'!AM55*'[1]功能-付费相关'!AK55/节奏总纲!Z53</f>
        <v>10111.378885546583</v>
      </c>
      <c r="G53" s="5">
        <f>'[1]资源-玩家城池建筑时间'!AN55*'[1]功能-付费相关'!AL55/节奏总纲!AA53</f>
        <v>20390.424143977045</v>
      </c>
      <c r="H53" s="3"/>
      <c r="I53" s="28">
        <f>'[1]资源-士兵训练时间'!AB55*'[1]功能-付费相关'!AH55/节奏总纲!W53</f>
        <v>2110.6130027192789</v>
      </c>
      <c r="J53" s="28">
        <f>'[1]资源-士兵训练时间'!AC55*'[1]功能-付费相关'!AI55/节奏总纲!X53</f>
        <v>2858.1217745156882</v>
      </c>
      <c r="K53" s="28">
        <f>'[1]资源-士兵训练时间'!AD55*'[1]功能-付费相关'!AJ55/节奏总纲!Y53</f>
        <v>4435.534793681999</v>
      </c>
      <c r="L53" s="28">
        <f>'[1]资源-士兵训练时间'!AE55*'[1]功能-付费相关'!AK55/节奏总纲!Z53</f>
        <v>6797.5187230945376</v>
      </c>
      <c r="M53" s="28">
        <f>'[1]资源-士兵训练时间'!AF55*'[1]功能-付费相关'!AL55/节奏总纲!AA53</f>
        <v>18125.851375345843</v>
      </c>
      <c r="N53" s="34"/>
      <c r="O53" s="34">
        <f>'[1]资源-士兵招募时间'!AC55*'[1]功能-付费相关'!AH55/节奏总纲!W53</f>
        <v>1110.0201885513532</v>
      </c>
      <c r="P53" s="34">
        <f>'[1]资源-士兵招募时间'!AD55*'[1]功能-付费相关'!AI55/节奏总纲!X53</f>
        <v>1383.4483576948587</v>
      </c>
      <c r="Q53" s="34">
        <f>'[1]资源-士兵招募时间'!AE55*'[1]功能-付费相关'!AJ55/节奏总纲!Y53</f>
        <v>1686.2482011803254</v>
      </c>
      <c r="R53" s="34">
        <f>'[1]资源-士兵招募时间'!AF55*'[1]功能-付费相关'!AK55/节奏总纲!Z53</f>
        <v>1674.5785232463988</v>
      </c>
      <c r="S53" s="34">
        <f>'[1]资源-士兵招募时间'!AG55*'[1]功能-付费相关'!AL55/节奏总纲!AA53</f>
        <v>1533.9129516414152</v>
      </c>
      <c r="T53" s="34"/>
      <c r="U53" s="5">
        <f>('[1]资源-木石铜粮'!U55-'[1]资源-木石铜粮'!U54)*'[1]功能-付费相关'!S55/节奏总纲!W53</f>
        <v>2186.4095727243057</v>
      </c>
      <c r="V53" s="5">
        <f>('[1]资源-木石铜粮'!V55-'[1]资源-木石铜粮'!V54)*'[1]功能-付费相关'!T55/节奏总纲!X53</f>
        <v>2673.9997545088781</v>
      </c>
      <c r="W53" s="5">
        <f>('[1]资源-木石铜粮'!W55-'[1]资源-木石铜粮'!W54)*'[1]功能-付费相关'!U55/节奏总纲!Y53</f>
        <v>3147.2337319674175</v>
      </c>
      <c r="X53" s="5">
        <f>('[1]资源-木石铜粮'!X55-'[1]资源-木石铜粮'!X54)*'[1]功能-付费相关'!V55/节奏总纲!Z53</f>
        <v>3398.9009071647865</v>
      </c>
      <c r="Y53" s="5">
        <f>('[1]资源-木石铜粮'!Y55-'[1]资源-木石铜粮'!Y54)*'[1]功能-付费相关'!W55/节奏总纲!AA53</f>
        <v>5284.8773199706502</v>
      </c>
      <c r="Z53" s="3"/>
      <c r="AA53" s="11">
        <f>('[1]资源-铁'!T55-'[1]资源-铁'!T54)*'[1]功能-付费相关'!X55/节奏总纲!W53</f>
        <v>789.34715874996675</v>
      </c>
      <c r="AB53" s="11">
        <f>('[1]资源-铁'!U55-'[1]资源-铁'!U54)*'[1]功能-付费相关'!Y55/节奏总纲!X53</f>
        <v>1041.1414561633642</v>
      </c>
      <c r="AC53" s="11">
        <f>('[1]资源-铁'!V55-'[1]资源-铁'!V54)*'[1]功能-付费相关'!Z55/节奏总纲!Y53</f>
        <v>1658.007891393469</v>
      </c>
      <c r="AD53" s="11">
        <f>('[1]资源-铁'!W55-'[1]资源-铁'!W54)*'[1]功能-付费相关'!AA55/节奏总纲!Z53</f>
        <v>2789.7426723212234</v>
      </c>
      <c r="AE53" s="11">
        <f>('[1]资源-铁'!X55-'[1]资源-铁'!X54)*'[1]功能-付费相关'!AB55/节奏总纲!AA53</f>
        <v>8506.3346692584364</v>
      </c>
      <c r="AG53" s="11">
        <f>('[1]资源-银币'!Y55-'[1]资源-银币'!Y54)*'[1]功能-付费相关'!AQ55/节奏总纲!W53</f>
        <v>1069.9771317595191</v>
      </c>
      <c r="AH53" s="11">
        <f>('[1]资源-银币'!Z55-'[1]资源-银币'!Z54)*'[1]功能-付费相关'!AR55/节奏总纲!X53</f>
        <v>1592.0355866965135</v>
      </c>
      <c r="AI53" s="11">
        <f>('[1]资源-银币'!AA55-'[1]资源-银币'!AA54)*'[1]功能-付费相关'!AS55/节奏总纲!Y53</f>
        <v>2162.7544437324818</v>
      </c>
      <c r="AJ53" s="11">
        <f>('[1]资源-银币'!AB55-'[1]资源-银币'!AB54)*'[1]功能-付费相关'!AT55/节奏总纲!Z53</f>
        <v>3178.3423444897626</v>
      </c>
      <c r="AK53" s="11">
        <f>('[1]资源-银币'!AC55-'[1]资源-银币'!AC54)*'[1]功能-付费相关'!AU55/节奏总纲!AA53</f>
        <v>5858.4649489517915</v>
      </c>
      <c r="AM53" s="11" t="e">
        <f>(#REF!-#REF!)*'[1]功能-付费相关'!CA55/节奏总纲!W53</f>
        <v>#REF!</v>
      </c>
      <c r="AN53" s="11" t="e">
        <f>(#REF!-#REF!)*'[1]功能-付费相关'!CB55/节奏总纲!X53</f>
        <v>#REF!</v>
      </c>
      <c r="AO53" s="11" t="e">
        <f>(#REF!-#REF!)*'[1]功能-付费相关'!CC55/节奏总纲!Y53</f>
        <v>#REF!</v>
      </c>
      <c r="AP53" s="11" t="e">
        <f>(#REF!-#REF!)*'[1]功能-付费相关'!CD55/节奏总纲!Z53</f>
        <v>#REF!</v>
      </c>
      <c r="AQ53" s="11" t="e">
        <f>(#REF!-#REF!)*'[1]功能-付费相关'!CE55/节奏总纲!AA53</f>
        <v>#REF!</v>
      </c>
      <c r="AR53" s="21"/>
      <c r="AS53" s="11">
        <f>(信息索引!U55-信息索引!U54)*'[1]功能-付费相关'!BI55/节奏总纲!W53</f>
        <v>934.92476770077951</v>
      </c>
      <c r="AT53" s="11">
        <f>(信息索引!V55-信息索引!V54)*'[1]功能-付费相关'!BJ55/节奏总纲!X53</f>
        <v>1139.4709798719025</v>
      </c>
      <c r="AU53" s="11">
        <f>(信息索引!W55-信息索引!W54)*'[1]功能-付费相关'!BK55/节奏总纲!Y53</f>
        <v>1277.0520082876396</v>
      </c>
      <c r="AV53" s="11">
        <f>(信息索引!X55-信息索引!X54)*'[1]功能-付费相关'!BL55/节奏总纲!Z53</f>
        <v>1363.5494205381706</v>
      </c>
      <c r="AW53" s="11">
        <f>(信息索引!Y55-信息索引!Y54)*'[1]功能-付费相关'!BM55/节奏总纲!AA53</f>
        <v>2254.6679149695237</v>
      </c>
      <c r="AY53" s="11">
        <f>('[1]资源-武将经验'!T55*节奏总纲!BJ53-'[1]资源-武将经验'!T54*节奏总纲!BJ52)*'[1]功能-付费相关'!AZ55/节奏总纲!W53</f>
        <v>1432.9548198562579</v>
      </c>
      <c r="AZ53" s="11">
        <f>('[1]资源-武将经验'!U55*节奏总纲!BK53-'[1]资源-武将经验'!U54*节奏总纲!BK52)*'[1]功能-付费相关'!BA55/节奏总纲!X53</f>
        <v>1506.2842136653394</v>
      </c>
      <c r="BA53" s="11">
        <f>('[1]资源-武将经验'!V55*节奏总纲!BL53-'[1]资源-武将经验'!V54*节奏总纲!BL52)*'[1]功能-付费相关'!BB55/节奏总纲!Y53</f>
        <v>1460.1379111713054</v>
      </c>
      <c r="BB53" s="11">
        <f>('[1]资源-武将经验'!W55*节奏总纲!BM53-'[1]资源-武将经验'!W54*节奏总纲!BM52)*'[1]功能-付费相关'!BC55/节奏总纲!Z53</f>
        <v>2626.3308885425713</v>
      </c>
      <c r="BC53" s="11">
        <f>('[1]资源-武将经验'!X55*节奏总纲!BN53-'[1]资源-武将经验'!X54*节奏总纲!BN52)*'[1]功能-付费相关'!BD55/节奏总纲!AA53</f>
        <v>4757.0733034211798</v>
      </c>
      <c r="BD53" s="29"/>
      <c r="BE53" s="33" t="e">
        <f t="shared" si="1"/>
        <v>#REF!</v>
      </c>
      <c r="BF53" s="33" t="e">
        <f t="shared" si="2"/>
        <v>#REF!</v>
      </c>
      <c r="BG53" s="33" t="e">
        <f t="shared" si="3"/>
        <v>#REF!</v>
      </c>
      <c r="BH53" s="33" t="e">
        <f t="shared" si="4"/>
        <v>#REF!</v>
      </c>
      <c r="BI53" s="33" t="e">
        <f t="shared" si="5"/>
        <v>#REF!</v>
      </c>
      <c r="BJ53" s="29"/>
      <c r="BK53" s="29"/>
      <c r="BL53" s="29"/>
      <c r="BM53" s="29"/>
      <c r="BN53" s="29"/>
    </row>
    <row r="54" spans="2:66" x14ac:dyDescent="0.15">
      <c r="B54" s="5">
        <v>51</v>
      </c>
      <c r="C54" s="5">
        <f>'[1]资源-玩家城池建筑时间'!AJ56*'[1]功能-付费相关'!AH56/节奏总纲!W54</f>
        <v>3861.2242002430266</v>
      </c>
      <c r="D54" s="5">
        <f>'[1]资源-玩家城池建筑时间'!AK56*'[1]功能-付费相关'!AI56/节奏总纲!X54</f>
        <v>4885.9328705888292</v>
      </c>
      <c r="E54" s="5">
        <f>'[1]资源-玩家城池建筑时间'!AL56*'[1]功能-付费相关'!AJ56/节奏总纲!Y54</f>
        <v>6545.2637440455474</v>
      </c>
      <c r="F54" s="5">
        <f>'[1]资源-玩家城池建筑时间'!AM56*'[1]功能-付费相关'!AK56/节奏总纲!Z54</f>
        <v>9926.7006569718978</v>
      </c>
      <c r="G54" s="5">
        <f>'[1]资源-玩家城池建筑时间'!AN56*'[1]功能-付费相关'!AL56/节奏总纲!AA54</f>
        <v>20117.046936096758</v>
      </c>
      <c r="H54" s="3"/>
      <c r="I54" s="28">
        <f>'[1]资源-士兵训练时间'!AB56*'[1]功能-付费相关'!AH56/节奏总纲!W54</f>
        <v>2048.2349615383278</v>
      </c>
      <c r="J54" s="28">
        <f>'[1]资源-士兵训练时间'!AC56*'[1]功能-付费相关'!AI56/节奏总纲!X54</f>
        <v>2481.9772912794856</v>
      </c>
      <c r="K54" s="28">
        <f>'[1]资源-士兵训练时间'!AD56*'[1]功能-付费相关'!AJ56/节奏总纲!Y54</f>
        <v>3887.5423169149831</v>
      </c>
      <c r="L54" s="28">
        <f>'[1]资源-士兵训练时间'!AE56*'[1]功能-付费相关'!AK56/节奏总纲!Z54</f>
        <v>8500.533166651323</v>
      </c>
      <c r="M54" s="28">
        <f>'[1]资源-士兵训练时间'!AF56*'[1]功能-付费相关'!AL56/节奏总纲!AA54</f>
        <v>18821.649908573381</v>
      </c>
      <c r="N54" s="34"/>
      <c r="O54" s="34">
        <f>'[1]资源-士兵招募时间'!AC56*'[1]功能-付费相关'!AH56/节奏总纲!W54</f>
        <v>1085.8768546445065</v>
      </c>
      <c r="P54" s="34">
        <f>'[1]资源-士兵招募时间'!AD56*'[1]功能-付费相关'!AI56/节奏总纲!X54</f>
        <v>1353.230395221668</v>
      </c>
      <c r="Q54" s="34">
        <f>'[1]资源-士兵招募时间'!AE56*'[1]功能-付费相关'!AJ56/节奏总纲!Y54</f>
        <v>1625.5967280795767</v>
      </c>
      <c r="R54" s="34">
        <f>'[1]资源-士兵招募时间'!AF56*'[1]功能-付费相关'!AK56/节奏总纲!Z54</f>
        <v>1653.2519896195026</v>
      </c>
      <c r="S54" s="34">
        <f>'[1]资源-士兵招募时间'!AG56*'[1]功能-付费相关'!AL56/节奏总纲!AA54</f>
        <v>1494.9707680570477</v>
      </c>
      <c r="T54" s="34"/>
      <c r="U54" s="5">
        <f>('[1]资源-木石铜粮'!U56-'[1]资源-木石铜粮'!U55)*'[1]功能-付费相关'!S56/节奏总纲!W54</f>
        <v>2139.7290855269375</v>
      </c>
      <c r="V54" s="5">
        <f>('[1]资源-木石铜粮'!V56-'[1]资源-木石铜粮'!V55)*'[1]功能-付费相关'!T56/节奏总纲!X54</f>
        <v>2211.5025288867505</v>
      </c>
      <c r="W54" s="5">
        <f>('[1]资源-木石铜粮'!W56-'[1]资源-木石铜粮'!W55)*'[1]功能-付费相关'!U56/节奏总纲!Y54</f>
        <v>2605.7455134372053</v>
      </c>
      <c r="X54" s="5">
        <f>('[1]资源-木石铜粮'!X56-'[1]资源-木石铜粮'!X55)*'[1]功能-付费相关'!V56/节奏总纲!Z54</f>
        <v>2869.9363062514799</v>
      </c>
      <c r="Y54" s="5">
        <f>('[1]资源-木石铜粮'!Y56-'[1]资源-木石铜粮'!Y55)*'[1]功能-付费相关'!W56/节奏总纲!AA54</f>
        <v>4810.6566235255341</v>
      </c>
      <c r="Z54" s="3"/>
      <c r="AA54" s="11">
        <f>('[1]资源-铁'!T56-'[1]资源-铁'!T55)*'[1]功能-付费相关'!X56/节奏总纲!W54</f>
        <v>748.94053546992131</v>
      </c>
      <c r="AB54" s="11">
        <f>('[1]资源-铁'!U56-'[1]资源-铁'!U55)*'[1]功能-付费相关'!Y56/节奏总纲!X54</f>
        <v>1081.6315842258575</v>
      </c>
      <c r="AC54" s="11">
        <f>('[1]资源-铁'!V56-'[1]资源-铁'!V55)*'[1]功能-付费相关'!Z56/节奏总纲!Y54</f>
        <v>1671.5569674572341</v>
      </c>
      <c r="AD54" s="11">
        <f>('[1]资源-铁'!W56-'[1]资源-铁'!W55)*'[1]功能-付费相关'!AA56/节奏总纲!Z54</f>
        <v>4251.2141366612168</v>
      </c>
      <c r="AE54" s="11">
        <f>('[1]资源-铁'!X56-'[1]资源-铁'!X55)*'[1]功能-付费相关'!AB56/节奏总纲!AA54</f>
        <v>10523.044298541394</v>
      </c>
      <c r="AG54" s="11">
        <f>('[1]资源-银币'!Y56-'[1]资源-银币'!Y55)*'[1]功能-付费相关'!AQ56/节奏总纲!W54</f>
        <v>1356.7461274446205</v>
      </c>
      <c r="AH54" s="11">
        <f>('[1]资源-银币'!Z56-'[1]资源-银币'!Z55)*'[1]功能-付费相关'!AR56/节奏总纲!X54</f>
        <v>1355.3301112420813</v>
      </c>
      <c r="AI54" s="11">
        <f>('[1]资源-银币'!AA56-'[1]资源-银币'!AA55)*'[1]功能-付费相关'!AS56/节奏总纲!Y54</f>
        <v>1963.1951585766117</v>
      </c>
      <c r="AJ54" s="11">
        <f>('[1]资源-银币'!AB56-'[1]资源-银币'!AB55)*'[1]功能-付费相关'!AT56/节奏总纲!Z54</f>
        <v>2450.2006750038354</v>
      </c>
      <c r="AK54" s="11">
        <f>('[1]资源-银币'!AC56-'[1]资源-银币'!AC55)*'[1]功能-付费相关'!AU56/节奏总纲!AA54</f>
        <v>5673.519705745055</v>
      </c>
      <c r="AM54" s="11" t="e">
        <f>(#REF!-#REF!)*'[1]功能-付费相关'!CA56/节奏总纲!W54</f>
        <v>#REF!</v>
      </c>
      <c r="AN54" s="11" t="e">
        <f>(#REF!-#REF!)*'[1]功能-付费相关'!CB56/节奏总纲!X54</f>
        <v>#REF!</v>
      </c>
      <c r="AO54" s="11" t="e">
        <f>(#REF!-#REF!)*'[1]功能-付费相关'!CC56/节奏总纲!Y54</f>
        <v>#REF!</v>
      </c>
      <c r="AP54" s="11" t="e">
        <f>(#REF!-#REF!)*'[1]功能-付费相关'!CD56/节奏总纲!Z54</f>
        <v>#REF!</v>
      </c>
      <c r="AQ54" s="11" t="e">
        <f>(#REF!-#REF!)*'[1]功能-付费相关'!CE56/节奏总纲!AA54</f>
        <v>#REF!</v>
      </c>
      <c r="AR54" s="21"/>
      <c r="AS54" s="11">
        <f>(信息索引!U56-信息索引!U55)*'[1]功能-付费相关'!BI56/节奏总纲!W54</f>
        <v>2323.6144920636334</v>
      </c>
      <c r="AT54" s="11">
        <f>(信息索引!V56-信息索引!V55)*'[1]功能-付费相关'!BJ56/节奏总纲!X54</f>
        <v>2047.9610271187726</v>
      </c>
      <c r="AU54" s="11">
        <f>(信息索引!W56-信息索引!W55)*'[1]功能-付费相关'!BK56/节奏总纲!Y54</f>
        <v>2241.0138473319253</v>
      </c>
      <c r="AV54" s="11">
        <f>(信息索引!X56-信息索引!X55)*'[1]功能-付费相关'!BL56/节奏总纲!Z54</f>
        <v>2267.0891248973808</v>
      </c>
      <c r="AW54" s="11">
        <f>(信息索引!Y56-信息索引!Y55)*'[1]功能-付费相关'!BM56/节奏总纲!AA54</f>
        <v>4464.0981929398058</v>
      </c>
      <c r="AY54" s="11">
        <f>('[1]资源-武将经验'!T56*节奏总纲!BJ54-'[1]资源-武将经验'!T55*节奏总纲!BJ53)*'[1]功能-付费相关'!AZ56/节奏总纲!W54</f>
        <v>1612.6003366027953</v>
      </c>
      <c r="AZ54" s="11">
        <f>('[1]资源-武将经验'!U56*节奏总纲!BK54-'[1]资源-武将经验'!U55*节奏总纲!BK53)*'[1]功能-付费相关'!BA56/节奏总纲!X54</f>
        <v>1378.9914093125876</v>
      </c>
      <c r="BA54" s="11">
        <f>('[1]资源-武将经验'!V56*节奏总纲!BL54-'[1]资源-武将经验'!V55*节奏总纲!BL53)*'[1]功能-付费相关'!BB56/节奏总纲!Y54</f>
        <v>1433.9936314789734</v>
      </c>
      <c r="BB54" s="11">
        <f>('[1]资源-武将经验'!W56*节奏总纲!BM54-'[1]资源-武将经验'!W55*节奏总纲!BM53)*'[1]功能-付费相关'!BC56/节奏总纲!Z54</f>
        <v>2583.3284322608565</v>
      </c>
      <c r="BC54" s="11">
        <f>('[1]资源-武将经验'!X56*节奏总纲!BN54-'[1]资源-武将经验'!X55*节奏总纲!BN53)*'[1]功能-付费相关'!BD56/节奏总纲!AA54</f>
        <v>4949.9683965731092</v>
      </c>
      <c r="BD54" s="29"/>
      <c r="BE54" s="33" t="e">
        <f t="shared" si="1"/>
        <v>#REF!</v>
      </c>
      <c r="BF54" s="33" t="e">
        <f t="shared" si="2"/>
        <v>#REF!</v>
      </c>
      <c r="BG54" s="33" t="e">
        <f t="shared" si="3"/>
        <v>#REF!</v>
      </c>
      <c r="BH54" s="33" t="e">
        <f t="shared" si="4"/>
        <v>#REF!</v>
      </c>
      <c r="BI54" s="33" t="e">
        <f t="shared" si="5"/>
        <v>#REF!</v>
      </c>
      <c r="BJ54" s="29"/>
      <c r="BK54" s="29"/>
      <c r="BL54" s="29"/>
      <c r="BM54" s="29"/>
      <c r="BN54" s="29"/>
    </row>
    <row r="55" spans="2:66" x14ac:dyDescent="0.15">
      <c r="B55" s="5">
        <v>52</v>
      </c>
      <c r="C55" s="5">
        <f>'[1]资源-玩家城池建筑时间'!AJ57*'[1]功能-付费相关'!AH57/节奏总纲!W55</f>
        <v>3809.5094305127054</v>
      </c>
      <c r="D55" s="5">
        <f>'[1]资源-玩家城池建筑时间'!AK57*'[1]功能-付费相关'!AI57/节奏总纲!X55</f>
        <v>4763.8664747294943</v>
      </c>
      <c r="E55" s="5">
        <f>'[1]资源-玩家城池建筑时间'!AL57*'[1]功能-付费相关'!AJ57/节奏总纲!Y55</f>
        <v>6434.8161804491674</v>
      </c>
      <c r="F55" s="5">
        <f>'[1]资源-玩家城池建筑时间'!AM57*'[1]功能-付费相关'!AK57/节奏总纲!Z55</f>
        <v>9768.0449088044061</v>
      </c>
      <c r="G55" s="5">
        <f>'[1]资源-玩家城池建筑时间'!AN57*'[1]功能-付费相关'!AL57/节奏总纲!AA55</f>
        <v>19737.328656340167</v>
      </c>
      <c r="H55" s="3"/>
      <c r="I55" s="28">
        <f>'[1]资源-士兵训练时间'!AB57*'[1]功能-付费相关'!AH57/节奏总纲!W55</f>
        <v>1704.8698550455745</v>
      </c>
      <c r="J55" s="28">
        <f>'[1]资源-士兵训练时间'!AC57*'[1]功能-付费相关'!AI57/节奏总纲!X55</f>
        <v>2298.9574224891794</v>
      </c>
      <c r="K55" s="28">
        <f>'[1]资源-士兵训练时间'!AD57*'[1]功能-付费相关'!AJ57/节奏总纲!Y55</f>
        <v>5088.2254478516352</v>
      </c>
      <c r="L55" s="28">
        <f>'[1]资源-士兵训练时间'!AE57*'[1]功能-付费相关'!AK57/节奏总纲!Z55</f>
        <v>8163.8776707945217</v>
      </c>
      <c r="M55" s="28">
        <f>'[1]资源-士兵训练时间'!AF57*'[1]功能-付费相关'!AL57/节奏总纲!AA55</f>
        <v>16969.825399004094</v>
      </c>
      <c r="N55" s="34"/>
      <c r="O55" s="34">
        <f>'[1]资源-士兵招募时间'!AC57*'[1]功能-付费相关'!AH57/节奏总纲!W55</f>
        <v>1060.2914991614848</v>
      </c>
      <c r="P55" s="34">
        <f>'[1]资源-士兵招募时间'!AD57*'[1]功能-付费相关'!AI57/节奏总纲!X55</f>
        <v>1327.8491014485871</v>
      </c>
      <c r="Q55" s="34">
        <f>'[1]资源-士兵招募时间'!AE57*'[1]功能-付费相关'!AJ57/节奏总纲!Y55</f>
        <v>1578.2791445316852</v>
      </c>
      <c r="R55" s="34">
        <f>'[1]资源-士兵招募时间'!AF57*'[1]功能-付费相关'!AK57/节奏总纲!Z55</f>
        <v>1616.8468522749754</v>
      </c>
      <c r="S55" s="34">
        <f>'[1]资源-士兵招募时间'!AG57*'[1]功能-付费相关'!AL57/节奏总纲!AA55</f>
        <v>1488.7987959310969</v>
      </c>
      <c r="T55" s="34"/>
      <c r="U55" s="5">
        <f>('[1]资源-木石铜粮'!U57-'[1]资源-木石铜粮'!U56)*'[1]功能-付费相关'!S57/节奏总纲!W55</f>
        <v>2081.2505952868792</v>
      </c>
      <c r="V55" s="5">
        <f>('[1]资源-木石铜粮'!V57-'[1]资源-木石铜粮'!V56)*'[1]功能-付费相关'!T57/节奏总纲!X55</f>
        <v>2498.4425808460696</v>
      </c>
      <c r="W55" s="5">
        <f>('[1]资源-木石铜粮'!W57-'[1]资源-木石铜粮'!W56)*'[1]功能-付费相关'!U57/节奏总纲!Y55</f>
        <v>2541.1491671534905</v>
      </c>
      <c r="X55" s="5">
        <f>('[1]资源-木石铜粮'!X57-'[1]资源-木石铜粮'!X56)*'[1]功能-付费相关'!V57/节奏总纲!Z55</f>
        <v>3219.4002018894475</v>
      </c>
      <c r="Y55" s="5">
        <f>('[1]资源-木石铜粮'!Y57-'[1]资源-木石铜粮'!Y56)*'[1]功能-付费相关'!W57/节奏总纲!AA55</f>
        <v>6314.6294335286475</v>
      </c>
      <c r="Z55" s="3"/>
      <c r="AA55" s="11">
        <f>('[1]资源-铁'!T57-'[1]资源-铁'!T56)*'[1]功能-付费相关'!X57/节奏总纲!W55</f>
        <v>809.32154755416377</v>
      </c>
      <c r="AB55" s="11">
        <f>('[1]资源-铁'!U57-'[1]资源-铁'!U56)*'[1]功能-付费相关'!Y57/节奏总纲!X55</f>
        <v>1061.1370010176424</v>
      </c>
      <c r="AC55" s="11">
        <f>('[1]资源-铁'!V57-'[1]资源-铁'!V56)*'[1]功能-付费相关'!Z57/节奏总纲!Y55</f>
        <v>2716.4048485593125</v>
      </c>
      <c r="AD55" s="11">
        <f>('[1]资源-铁'!W57-'[1]资源-铁'!W56)*'[1]功能-付费相关'!AA57/节奏总纲!Z55</f>
        <v>4707.025383634088</v>
      </c>
      <c r="AE55" s="11">
        <f>('[1]资源-铁'!X57-'[1]资源-铁'!X56)*'[1]功能-付费相关'!AB57/节奏总纲!AA55</f>
        <v>11299.171613852643</v>
      </c>
      <c r="AG55" s="11">
        <f>('[1]资源-银币'!Y57-'[1]资源-银币'!Y56)*'[1]功能-付费相关'!AQ57/节奏总纲!W55</f>
        <v>1241.5554547258039</v>
      </c>
      <c r="AH55" s="11">
        <f>('[1]资源-银币'!Z57-'[1]资源-银币'!Z56)*'[1]功能-付费相关'!AR57/节奏总纲!X55</f>
        <v>1436.9875891373122</v>
      </c>
      <c r="AI55" s="11">
        <f>('[1]资源-银币'!AA57-'[1]资源-银币'!AA56)*'[1]功能-付费相关'!AS57/节奏总纲!Y55</f>
        <v>1623.0189278147495</v>
      </c>
      <c r="AJ55" s="11">
        <f>('[1]资源-银币'!AB57-'[1]资源-银币'!AB56)*'[1]功能-付费相关'!AT57/节奏总纲!Z55</f>
        <v>2726.2428131325682</v>
      </c>
      <c r="AK55" s="11">
        <f>('[1]资源-银币'!AC57-'[1]资源-银币'!AC56)*'[1]功能-付费相关'!AU57/节奏总纲!AA55</f>
        <v>6476.6863698036568</v>
      </c>
      <c r="AM55" s="11" t="e">
        <f>(#REF!-#REF!)*'[1]功能-付费相关'!CA57/节奏总纲!W55</f>
        <v>#REF!</v>
      </c>
      <c r="AN55" s="11" t="e">
        <f>(#REF!-#REF!)*'[1]功能-付费相关'!CB57/节奏总纲!X55</f>
        <v>#REF!</v>
      </c>
      <c r="AO55" s="11" t="e">
        <f>(#REF!-#REF!)*'[1]功能-付费相关'!CC57/节奏总纲!Y55</f>
        <v>#REF!</v>
      </c>
      <c r="AP55" s="11" t="e">
        <f>(#REF!-#REF!)*'[1]功能-付费相关'!CD57/节奏总纲!Z55</f>
        <v>#REF!</v>
      </c>
      <c r="AQ55" s="11" t="e">
        <f>(#REF!-#REF!)*'[1]功能-付费相关'!CE57/节奏总纲!AA55</f>
        <v>#REF!</v>
      </c>
      <c r="AR55" s="21"/>
      <c r="AS55" s="11">
        <f>(信息索引!U57-信息索引!U56)*'[1]功能-付费相关'!BI57/节奏总纲!W55</f>
        <v>2114.0155240644049</v>
      </c>
      <c r="AT55" s="11">
        <f>(信息索引!V57-信息索引!V56)*'[1]功能-付费相关'!BJ57/节奏总纲!X55</f>
        <v>2493.3735187183788</v>
      </c>
      <c r="AU55" s="11">
        <f>(信息索引!W57-信息索引!W56)*'[1]功能-付费相关'!BK57/节奏总纲!Y55</f>
        <v>2051.9290649764112</v>
      </c>
      <c r="AV55" s="11">
        <f>(信息索引!X57-信息索引!X56)*'[1]功能-付费相关'!BL57/节奏总纲!Z55</f>
        <v>3006.2893730480705</v>
      </c>
      <c r="AW55" s="11">
        <f>(信息索引!Y57-信息索引!Y56)*'[1]功能-付费相关'!BM57/节奏总纲!AA55</f>
        <v>8528.5103612556741</v>
      </c>
      <c r="AY55" s="11">
        <f>('[1]资源-武将经验'!T57*节奏总纲!BJ55-'[1]资源-武将经验'!T56*节奏总纲!BJ54)*'[1]功能-付费相关'!AZ57/节奏总纲!W55</f>
        <v>1400.9221750366946</v>
      </c>
      <c r="AZ55" s="11">
        <f>('[1]资源-武将经验'!U57*节奏总纲!BK55-'[1]资源-武将经验'!U56*节奏总纲!BK54)*'[1]功能-付费相关'!BA57/节奏总纲!X55</f>
        <v>1603.0663901897344</v>
      </c>
      <c r="BA55" s="11">
        <f>('[1]资源-武将经验'!V57*节奏总纲!BL55-'[1]资源-武将经验'!V56*节奏总纲!BL54)*'[1]功能-付费相关'!BB57/节奏总纲!Y55</f>
        <v>1332.7405074179374</v>
      </c>
      <c r="BB55" s="11">
        <f>('[1]资源-武将经验'!W57*节奏总纲!BM55-'[1]资源-武将经验'!W56*节奏总纲!BM54)*'[1]功能-付费相关'!BC57/节奏总纲!Z55</f>
        <v>3288.8723565605596</v>
      </c>
      <c r="BC55" s="11">
        <f>('[1]资源-武将经验'!X57*节奏总纲!BN55-'[1]资源-武将经验'!X56*节奏总纲!BN54)*'[1]功能-付费相关'!BD57/节奏总纲!AA55</f>
        <v>9081.8435379832354</v>
      </c>
      <c r="BD55" s="29"/>
      <c r="BE55" s="33" t="e">
        <f t="shared" si="1"/>
        <v>#REF!</v>
      </c>
      <c r="BF55" s="33" t="e">
        <f t="shared" si="2"/>
        <v>#REF!</v>
      </c>
      <c r="BG55" s="33" t="e">
        <f t="shared" si="3"/>
        <v>#REF!</v>
      </c>
      <c r="BH55" s="33" t="e">
        <f t="shared" si="4"/>
        <v>#REF!</v>
      </c>
      <c r="BI55" s="33" t="e">
        <f t="shared" si="5"/>
        <v>#REF!</v>
      </c>
      <c r="BJ55" s="29"/>
      <c r="BK55" s="29"/>
      <c r="BL55" s="29"/>
      <c r="BM55" s="29"/>
      <c r="BN55" s="29"/>
    </row>
    <row r="56" spans="2:66" x14ac:dyDescent="0.15">
      <c r="B56" s="5">
        <v>53</v>
      </c>
      <c r="C56" s="5">
        <f>'[1]资源-玩家城池建筑时间'!AJ58*'[1]功能-付费相关'!AH58/节奏总纲!W56</f>
        <v>3698.4583542581777</v>
      </c>
      <c r="D56" s="5">
        <f>'[1]资源-玩家城池建筑时间'!AK58*'[1]功能-付费相关'!AI58/节奏总纲!X56</f>
        <v>4679.2781364449347</v>
      </c>
      <c r="E56" s="5">
        <f>'[1]资源-玩家城池建筑时间'!AL58*'[1]功能-付费相关'!AJ58/节奏总纲!Y56</f>
        <v>6295.3011415103156</v>
      </c>
      <c r="F56" s="5">
        <f>'[1]资源-玩家城池建筑时间'!AM58*'[1]功能-付费相关'!AK58/节奏总纲!Z56</f>
        <v>9540.7934546851302</v>
      </c>
      <c r="G56" s="5">
        <f>'[1]资源-玩家城池建筑时间'!AN58*'[1]功能-付费相关'!AL58/节奏总纲!AA56</f>
        <v>19417.358591979333</v>
      </c>
      <c r="H56" s="3"/>
      <c r="I56" s="28">
        <f>'[1]资源-士兵训练时间'!AB58*'[1]功能-付费相关'!AH58/节奏总纲!W56</f>
        <v>1647.5172645953071</v>
      </c>
      <c r="J56" s="28">
        <f>'[1]资源-士兵训练时间'!AC58*'[1]功能-付费相关'!AI58/节奏总纲!X56</f>
        <v>2954.8959918065466</v>
      </c>
      <c r="K56" s="28">
        <f>'[1]资源-士兵训练时间'!AD58*'[1]功能-付费相关'!AJ58/节奏总纲!Y56</f>
        <v>4871.2008629773518</v>
      </c>
      <c r="L56" s="28">
        <f>'[1]资源-士兵训练时间'!AE58*'[1]功能-付费相关'!AK58/节奏总纲!Z56</f>
        <v>7420.4257412452289</v>
      </c>
      <c r="M56" s="28">
        <f>'[1]资源-士兵训练时间'!AF58*'[1]功能-付费相关'!AL58/节奏总纲!AA56</f>
        <v>16389.942455202789</v>
      </c>
      <c r="N56" s="34"/>
      <c r="O56" s="34">
        <f>'[1]资源-士兵招募时间'!AC58*'[1]功能-付费相关'!AH58/节奏总纲!W56</f>
        <v>1036.3226901679971</v>
      </c>
      <c r="P56" s="34">
        <f>'[1]资源-士兵招募时间'!AD58*'[1]功能-付费相关'!AI58/节奏总纲!X56</f>
        <v>1293.9006160089978</v>
      </c>
      <c r="Q56" s="34">
        <f>'[1]资源-士兵招募时间'!AE58*'[1]功能-付费相关'!AJ58/节奏总纲!Y56</f>
        <v>1539.9460340481505</v>
      </c>
      <c r="R56" s="34">
        <f>'[1]资源-士兵招募时间'!AF58*'[1]功能-付费相关'!AK58/节奏总纲!Z56</f>
        <v>1556.3820970330323</v>
      </c>
      <c r="S56" s="34">
        <f>'[1]资源-士兵招募时间'!AG58*'[1]功能-付费相关'!AL58/节奏总纲!AA56</f>
        <v>1422.7560565882247</v>
      </c>
      <c r="T56" s="34"/>
      <c r="U56" s="5">
        <f>('[1]资源-木石铜粮'!U58-'[1]资源-木石铜粮'!U57)*'[1]功能-付费相关'!S58/节奏总纲!W56</f>
        <v>1994.2891666905025</v>
      </c>
      <c r="V56" s="5">
        <f>('[1]资源-木石铜粮'!V58-'[1]资源-木石铜粮'!V57)*'[1]功能-付费相关'!T58/节奏总纲!X56</f>
        <v>2009.4183901507618</v>
      </c>
      <c r="W56" s="5">
        <f>('[1]资源-木石铜粮'!W58-'[1]资源-木石铜粮'!W57)*'[1]功能-付费相关'!U58/节奏总纲!Y56</f>
        <v>2447.0892080062763</v>
      </c>
      <c r="X56" s="5">
        <f>('[1]资源-木石铜粮'!X58-'[1]资源-木石铜粮'!X57)*'[1]功能-付费相关'!V58/节奏总纲!Z56</f>
        <v>3246.5822520522529</v>
      </c>
      <c r="Y56" s="5">
        <f>('[1]资源-木石铜粮'!Y58-'[1]资源-木石铜粮'!Y57)*'[1]功能-付费相关'!W58/节奏总纲!AA56</f>
        <v>8026.4653006631934</v>
      </c>
      <c r="Z56" s="3"/>
      <c r="AA56" s="11">
        <f>('[1]资源-铁'!T58-'[1]资源-铁'!T57)*'[1]功能-付费相关'!X58/节奏总纲!W56</f>
        <v>770.58221185608215</v>
      </c>
      <c r="AB56" s="11">
        <f>('[1]资源-铁'!U58-'[1]资源-铁'!U57)*'[1]功能-付费相关'!Y58/节奏总纲!X56</f>
        <v>1665.5339643321845</v>
      </c>
      <c r="AC56" s="11">
        <f>('[1]资源-铁'!V58-'[1]资源-铁'!V57)*'[1]功能-付费相关'!Z58/节奏总纲!Y56</f>
        <v>2801.8874905231683</v>
      </c>
      <c r="AD56" s="11">
        <f>('[1]资源-铁'!W58-'[1]资源-铁'!W57)*'[1]功能-付费相关'!AA58/节奏总纲!Z56</f>
        <v>4534.1057351545678</v>
      </c>
      <c r="AE56" s="11">
        <f>('[1]资源-铁'!X58-'[1]资源-铁'!X57)*'[1]功能-付费相关'!AB58/节奏总纲!AA56</f>
        <v>14855.976086541648</v>
      </c>
      <c r="AG56" s="11">
        <f>('[1]资源-银币'!Y58-'[1]资源-银币'!Y57)*'[1]功能-付费相关'!AQ58/节奏总纲!W56</f>
        <v>1170.0324526704646</v>
      </c>
      <c r="AH56" s="11">
        <f>('[1]资源-银币'!Z58-'[1]资源-银币'!Z57)*'[1]功能-付费相关'!AR58/节奏总纲!X56</f>
        <v>1056.4074655684969</v>
      </c>
      <c r="AI56" s="11">
        <f>('[1]资源-银币'!AA58-'[1]资源-银币'!AA57)*'[1]功能-付费相关'!AS58/节奏总纲!Y56</f>
        <v>1617.268776244083</v>
      </c>
      <c r="AJ56" s="11">
        <f>('[1]资源-银币'!AB58-'[1]资源-银币'!AB57)*'[1]功能-付费相关'!AT58/节奏总纲!Z56</f>
        <v>2920.9168897714853</v>
      </c>
      <c r="AK56" s="11">
        <f>('[1]资源-银币'!AC58-'[1]资源-银币'!AC57)*'[1]功能-付费相关'!AU58/节奏总纲!AA56</f>
        <v>6415.4753365335309</v>
      </c>
      <c r="AM56" s="11" t="e">
        <f>(#REF!-#REF!)*'[1]功能-付费相关'!CA58/节奏总纲!W56</f>
        <v>#REF!</v>
      </c>
      <c r="AN56" s="11" t="e">
        <f>(#REF!-#REF!)*'[1]功能-付费相关'!CB58/节奏总纲!X56</f>
        <v>#REF!</v>
      </c>
      <c r="AO56" s="11" t="e">
        <f>(#REF!-#REF!)*'[1]功能-付费相关'!CC58/节奏总纲!Y56</f>
        <v>#REF!</v>
      </c>
      <c r="AP56" s="11" t="e">
        <f>(#REF!-#REF!)*'[1]功能-付费相关'!CD58/节奏总纲!Z56</f>
        <v>#REF!</v>
      </c>
      <c r="AQ56" s="11" t="e">
        <f>(#REF!-#REF!)*'[1]功能-付费相关'!CE58/节奏总纲!AA56</f>
        <v>#REF!</v>
      </c>
      <c r="AR56" s="21"/>
      <c r="AS56" s="11">
        <f>(信息索引!U58-信息索引!U57)*'[1]功能-付费相关'!BI58/节奏总纲!W56</f>
        <v>1922.2795238589094</v>
      </c>
      <c r="AT56" s="11">
        <f>(信息索引!V58-信息索引!V57)*'[1]功能-付费相关'!BJ58/节奏总纲!X56</f>
        <v>1595.2997830557622</v>
      </c>
      <c r="AU56" s="11">
        <f>(信息索引!W58-信息索引!W57)*'[1]功能-付费相关'!BK58/节奏总纲!Y56</f>
        <v>1890.3398296145056</v>
      </c>
      <c r="AV56" s="11">
        <f>(信息索引!X58-信息索引!X57)*'[1]功能-付费相关'!BL58/节奏总纲!Z56</f>
        <v>3072.8150632720212</v>
      </c>
      <c r="AW56" s="11">
        <f>(信息索引!Y58-信息索引!Y57)*'[1]功能-付费相关'!BM58/节奏总纲!AA56</f>
        <v>12452.776550144561</v>
      </c>
      <c r="AY56" s="11">
        <f>('[1]资源-武将经验'!T58*节奏总纲!BJ56-'[1]资源-武将经验'!T57*节奏总纲!BJ55)*'[1]功能-付费相关'!AZ58/节奏总纲!W56</f>
        <v>1216.3507487151885</v>
      </c>
      <c r="AZ56" s="11">
        <f>('[1]资源-武将经验'!U58*节奏总纲!BK56-'[1]资源-武将经验'!U57*节奏总纲!BK55)*'[1]功能-付费相关'!BA58/节奏总纲!X56</f>
        <v>979.32066187592261</v>
      </c>
      <c r="BA56" s="11">
        <f>('[1]资源-武将经验'!V58*节奏总纲!BL56-'[1]资源-武将经验'!V57*节奏总纲!BL55)*'[1]功能-付费相关'!BB58/节奏总纲!Y56</f>
        <v>1401.9268954087438</v>
      </c>
      <c r="BB56" s="11">
        <f>('[1]资源-武将经验'!W58*节奏总纲!BM56-'[1]资源-武将经验'!W57*节奏总纲!BM55)*'[1]功能-付费相关'!BC58/节奏总纲!Z56</f>
        <v>5190.2282181373303</v>
      </c>
      <c r="BC56" s="11">
        <f>('[1]资源-武将经验'!X58*节奏总纲!BN56-'[1]资源-武将经验'!X57*节奏总纲!BN55)*'[1]功能-付费相关'!BD58/节奏总纲!AA56</f>
        <v>22403.114365011443</v>
      </c>
      <c r="BD56" s="29"/>
      <c r="BE56" s="33" t="e">
        <f t="shared" si="1"/>
        <v>#REF!</v>
      </c>
      <c r="BF56" s="33" t="e">
        <f t="shared" si="2"/>
        <v>#REF!</v>
      </c>
      <c r="BG56" s="33" t="e">
        <f t="shared" si="3"/>
        <v>#REF!</v>
      </c>
      <c r="BH56" s="33" t="e">
        <f t="shared" si="4"/>
        <v>#REF!</v>
      </c>
      <c r="BI56" s="33" t="e">
        <f t="shared" si="5"/>
        <v>#REF!</v>
      </c>
      <c r="BJ56" s="29"/>
      <c r="BK56" s="29"/>
      <c r="BL56" s="29"/>
      <c r="BM56" s="29"/>
      <c r="BN56" s="29"/>
    </row>
    <row r="57" spans="2:66" x14ac:dyDescent="0.15">
      <c r="B57" s="5">
        <v>54</v>
      </c>
      <c r="C57" s="5">
        <f>'[1]资源-玩家城池建筑时间'!AJ59*'[1]功能-付费相关'!AH59/节奏总纲!W57</f>
        <v>3627.7595800735348</v>
      </c>
      <c r="D57" s="5">
        <f>'[1]资源-玩家城池建筑时间'!AK59*'[1]功能-付费相关'!AI59/节奏总纲!X57</f>
        <v>4555.5151585955155</v>
      </c>
      <c r="E57" s="5">
        <f>'[1]资源-玩家城池建筑时间'!AL59*'[1]功能-付费相关'!AJ59/节奏总纲!Y57</f>
        <v>6172.5469297386808</v>
      </c>
      <c r="F57" s="5">
        <f>'[1]资源-玩家城池建筑时间'!AM59*'[1]功能-付费相关'!AK59/节奏总纲!Z57</f>
        <v>9396.4306793710675</v>
      </c>
      <c r="G57" s="5">
        <f>'[1]资源-玩家城池建筑时间'!AN59*'[1]功能-付费相关'!AL59/节奏总纲!AA57</f>
        <v>18843.48891889603</v>
      </c>
      <c r="H57" s="3"/>
      <c r="I57" s="28">
        <f>'[1]资源-士兵训练时间'!AB59*'[1]功能-付费相关'!AH59/节奏总纲!W57</f>
        <v>2057.8102757911338</v>
      </c>
      <c r="J57" s="28">
        <f>'[1]资源-士兵训练时间'!AC59*'[1]功能-付费相关'!AI59/节奏总纲!X57</f>
        <v>3036.6215157422707</v>
      </c>
      <c r="K57" s="28">
        <f>'[1]资源-士兵训练时间'!AD59*'[1]功能-付费相关'!AJ59/节奏总纲!Y57</f>
        <v>4267.3297882191491</v>
      </c>
      <c r="L57" s="28">
        <f>'[1]资源-士兵训练时间'!AE59*'[1]功能-付费相关'!AK59/节奏总纲!Z57</f>
        <v>7164.2736979785032</v>
      </c>
      <c r="M57" s="28">
        <f>'[1]资源-士兵训练时间'!AF59*'[1]功能-付费相关'!AL59/节奏总纲!AA57</f>
        <v>15905.546450768587</v>
      </c>
      <c r="N57" s="34"/>
      <c r="O57" s="34">
        <f>'[1]资源-士兵招募时间'!AC59*'[1]功能-付费相关'!AH59/节奏总纲!W57</f>
        <v>1011.9004371977809</v>
      </c>
      <c r="P57" s="34">
        <f>'[1]资源-士兵招募时间'!AD59*'[1]功能-付费相关'!AI59/节奏总纲!X57</f>
        <v>1265.7680292476678</v>
      </c>
      <c r="Q57" s="34">
        <f>'[1]资源-士兵招募时间'!AE59*'[1]功能-付费相关'!AJ59/节奏总纲!Y57</f>
        <v>1507.29409777563</v>
      </c>
      <c r="R57" s="34">
        <f>'[1]资源-士兵招募时间'!AF59*'[1]功能-付费相关'!AK59/节奏总纲!Z57</f>
        <v>1541.2833541309558</v>
      </c>
      <c r="S57" s="34">
        <f>'[1]资源-士兵招募时间'!AG59*'[1]功能-付费相关'!AL59/节奏总纲!AA57</f>
        <v>1430.8673379362224</v>
      </c>
      <c r="T57" s="34"/>
      <c r="U57" s="5">
        <f>('[1]资源-木石铜粮'!U59-'[1]资源-木石铜粮'!U58)*'[1]功能-付费相关'!S59/节奏总纲!W57</f>
        <v>1937.0828983335655</v>
      </c>
      <c r="V57" s="5">
        <f>('[1]资源-木石铜粮'!V59-'[1]资源-木石铜粮'!V58)*'[1]功能-付费相关'!T59/节奏总纲!X57</f>
        <v>2105.9688513810265</v>
      </c>
      <c r="W57" s="5">
        <f>('[1]资源-木石铜粮'!W59-'[1]资源-木石铜粮'!W58)*'[1]功能-付费相关'!U59/节奏总纲!Y57</f>
        <v>2863.4480697630493</v>
      </c>
      <c r="X57" s="5">
        <f>('[1]资源-木石铜粮'!X59-'[1]资源-木石铜粮'!X58)*'[1]功能-付费相关'!V59/节奏总纲!Z57</f>
        <v>4960.8294877476974</v>
      </c>
      <c r="Y57" s="5">
        <f>('[1]资源-木石铜粮'!Y59-'[1]资源-木石铜粮'!Y58)*'[1]功能-付费相关'!W59/节奏总纲!AA57</f>
        <v>9358.7311239897972</v>
      </c>
      <c r="Z57" s="3"/>
      <c r="AA57" s="11">
        <f>('[1]资源-铁'!T59-'[1]资源-铁'!T58)*'[1]功能-付费相关'!X59/节奏总纲!W57</f>
        <v>1152.9163519058</v>
      </c>
      <c r="AB57" s="11">
        <f>('[1]资源-铁'!U59-'[1]资源-铁'!U58)*'[1]功能-付费相关'!Y59/节奏总纲!X57</f>
        <v>1737.8886939325705</v>
      </c>
      <c r="AC57" s="11">
        <f>('[1]资源-铁'!V59-'[1]资源-铁'!V58)*'[1]功能-付费相关'!Z59/节奏总纲!Y57</f>
        <v>2743.3026645130062</v>
      </c>
      <c r="AD57" s="11">
        <f>('[1]资源-铁'!W59-'[1]资源-铁'!W58)*'[1]功能-付费相关'!AA59/节奏总纲!Z57</f>
        <v>6327.8768507805607</v>
      </c>
      <c r="AE57" s="11">
        <f>('[1]资源-铁'!X59-'[1]资源-铁'!X58)*'[1]功能-付费相关'!AB59/节奏总纲!AA57</f>
        <v>14074.473915236038</v>
      </c>
      <c r="AG57" s="11">
        <f>('[1]资源-银币'!Y59-'[1]资源-银币'!Y58)*'[1]功能-付费相关'!AQ59/节奏总纲!W57</f>
        <v>1008.7822376391302</v>
      </c>
      <c r="AH57" s="11">
        <f>('[1]资源-银币'!Z59-'[1]资源-银币'!Z58)*'[1]功能-付费相关'!AR59/节奏总纲!X57</f>
        <v>1028.452126231377</v>
      </c>
      <c r="AI57" s="11">
        <f>('[1]资源-银币'!AA59-'[1]资源-银币'!AA58)*'[1]功能-付费相关'!AS59/节奏总纲!Y57</f>
        <v>1877.0539672866964</v>
      </c>
      <c r="AJ57" s="11">
        <f>('[1]资源-银币'!AB59-'[1]资源-银币'!AB58)*'[1]功能-付费相关'!AT59/节奏总纲!Z57</f>
        <v>3103.1575045691166</v>
      </c>
      <c r="AK57" s="11">
        <f>('[1]资源-银币'!AC59-'[1]资源-银币'!AC58)*'[1]功能-付费相关'!AU59/节奏总纲!AA57</f>
        <v>6809.7435169379314</v>
      </c>
      <c r="AM57" s="11" t="e">
        <f>(#REF!-#REF!)*'[1]功能-付费相关'!CA59/节奏总纲!W57</f>
        <v>#REF!</v>
      </c>
      <c r="AN57" s="11" t="e">
        <f>(#REF!-#REF!)*'[1]功能-付费相关'!CB59/节奏总纲!X57</f>
        <v>#REF!</v>
      </c>
      <c r="AO57" s="11" t="e">
        <f>(#REF!-#REF!)*'[1]功能-付费相关'!CC59/节奏总纲!Y57</f>
        <v>#REF!</v>
      </c>
      <c r="AP57" s="11" t="e">
        <f>(#REF!-#REF!)*'[1]功能-付费相关'!CD59/节奏总纲!Z57</f>
        <v>#REF!</v>
      </c>
      <c r="AQ57" s="11" t="e">
        <f>(#REF!-#REF!)*'[1]功能-付费相关'!CE59/节奏总纲!AA57</f>
        <v>#REF!</v>
      </c>
      <c r="AR57" s="21"/>
      <c r="AS57" s="11">
        <f>(信息索引!U59-信息索引!U58)*'[1]功能-付费相关'!BI59/节奏总纲!W57</f>
        <v>1747.0277057710646</v>
      </c>
      <c r="AT57" s="11">
        <f>(信息索引!V59-信息索引!V58)*'[1]功能-付费相关'!BJ59/节奏总纲!X57</f>
        <v>1719.3456294606094</v>
      </c>
      <c r="AU57" s="11">
        <f>(信息索引!W59-信息索引!W58)*'[1]功能-付费相关'!BK59/节奏总纲!Y57</f>
        <v>2558.2500430569835</v>
      </c>
      <c r="AV57" s="11">
        <f>(信息索引!X59-信息索引!X58)*'[1]功能-付费相关'!BL59/节奏总纲!Z57</f>
        <v>6150.3849767374577</v>
      </c>
      <c r="AW57" s="11">
        <f>(信息索引!Y59-信息索引!Y58)*'[1]功能-付费相关'!BM59/节奏总纲!AA57</f>
        <v>15140.67862424393</v>
      </c>
      <c r="AY57" s="11">
        <f>('[1]资源-武将经验'!T59*节奏总纲!BJ57-'[1]资源-武将经验'!T58*节奏总纲!BJ56)*'[1]功能-付费相关'!AZ59/节奏总纲!W57</f>
        <v>1447.6505976376666</v>
      </c>
      <c r="AZ57" s="11">
        <f>('[1]资源-武将经验'!U59*节奏总纲!BK57-'[1]资源-武将经验'!U58*节奏总纲!BK56)*'[1]功能-付费相关'!BA59/节奏总纲!X57</f>
        <v>1852.3665638577047</v>
      </c>
      <c r="BA57" s="11">
        <f>('[1]资源-武将经验'!V59*节奏总纲!BL57-'[1]资源-武将经验'!V58*节奏总纲!BL56)*'[1]功能-付费相关'!BB59/节奏总纲!Y57</f>
        <v>2729.117737719092</v>
      </c>
      <c r="BB57" s="11">
        <f>('[1]资源-武将经验'!W59*节奏总纲!BM57-'[1]资源-武将经验'!W58*节奏总纲!BM56)*'[1]功能-付费相关'!BC59/节奏总纲!Z57</f>
        <v>10874.784196569581</v>
      </c>
      <c r="BC57" s="11">
        <f>('[1]资源-武将经验'!X59*节奏总纲!BN57-'[1]资源-武将经验'!X58*节奏总纲!BN56)*'[1]功能-付费相关'!BD59/节奏总纲!AA57</f>
        <v>26034.851356269046</v>
      </c>
      <c r="BD57" s="29"/>
      <c r="BE57" s="33" t="e">
        <f t="shared" si="1"/>
        <v>#REF!</v>
      </c>
      <c r="BF57" s="33" t="e">
        <f t="shared" si="2"/>
        <v>#REF!</v>
      </c>
      <c r="BG57" s="33" t="e">
        <f t="shared" si="3"/>
        <v>#REF!</v>
      </c>
      <c r="BH57" s="33" t="e">
        <f t="shared" si="4"/>
        <v>#REF!</v>
      </c>
      <c r="BI57" s="33" t="e">
        <f t="shared" si="5"/>
        <v>#REF!</v>
      </c>
      <c r="BJ57" s="29"/>
      <c r="BK57" s="29"/>
      <c r="BL57" s="29"/>
      <c r="BM57" s="29"/>
      <c r="BN57" s="29"/>
    </row>
    <row r="58" spans="2:66" x14ac:dyDescent="0.15">
      <c r="B58" s="5">
        <v>55</v>
      </c>
      <c r="C58" s="5">
        <f>'[1]资源-玩家城池建筑时间'!AJ60*'[1]功能-付费相关'!AH60/节奏总纲!W58</f>
        <v>3535.955828782839</v>
      </c>
      <c r="D58" s="5">
        <f>'[1]资源-玩家城池建筑时间'!AK60*'[1]功能-付费相关'!AI60/节奏总纲!X58</f>
        <v>4492.5904489376035</v>
      </c>
      <c r="E58" s="5">
        <f>'[1]资源-玩家城池建筑时间'!AL60*'[1]功能-付费相关'!AJ60/节奏总纲!Y58</f>
        <v>5995.4284332631587</v>
      </c>
      <c r="F58" s="5">
        <f>'[1]资源-玩家城池建筑时间'!AM60*'[1]功能-付费相关'!AK60/节奏总纲!Z58</f>
        <v>9143.2898289067271</v>
      </c>
      <c r="G58" s="5">
        <f>'[1]资源-玩家城池建筑时间'!AN60*'[1]功能-付费相关'!AL60/节奏总纲!AA58</f>
        <v>18286.579657813523</v>
      </c>
      <c r="H58" s="3"/>
      <c r="I58" s="28">
        <f>'[1]资源-士兵训练时间'!AB60*'[1]功能-付费相关'!AH60/节奏总纲!W58</f>
        <v>2180.2284121405573</v>
      </c>
      <c r="J58" s="28">
        <f>'[1]资源-士兵训练时间'!AC60*'[1]功能-付费相关'!AI60/节奏总纲!X58</f>
        <v>2523.5505342667971</v>
      </c>
      <c r="K58" s="28">
        <f>'[1]资源-士兵训练时间'!AD60*'[1]功能-付费相关'!AJ60/节奏总纲!Y58</f>
        <v>4139.9478628141405</v>
      </c>
      <c r="L58" s="28">
        <f>'[1]资源-士兵训练时间'!AE60*'[1]功能-付费相关'!AK60/节奏总纲!Z58</f>
        <v>6945.9599303085106</v>
      </c>
      <c r="M58" s="28">
        <f>'[1]资源-士兵训练时间'!AF60*'[1]功能-付费相关'!AL60/节奏总纲!AA58</f>
        <v>15435.466511796692</v>
      </c>
      <c r="N58" s="34"/>
      <c r="O58" s="34">
        <f>'[1]资源-士兵招募时间'!AC60*'[1]功能-付费相关'!AH60/节奏总纲!W58</f>
        <v>989.3905204603177</v>
      </c>
      <c r="P58" s="34">
        <f>'[1]资源-士兵招募时间'!AD60*'[1]功能-付费相关'!AI60/节奏总纲!X58</f>
        <v>1235.0414003571877</v>
      </c>
      <c r="Q58" s="34">
        <f>'[1]资源-士兵招募时间'!AE60*'[1]功能-付费相关'!AJ60/节奏总纲!Y58</f>
        <v>1466.0778071503025</v>
      </c>
      <c r="R58" s="34">
        <f>'[1]资源-士兵招募时间'!AF60*'[1]功能-付费相关'!AK60/节奏总纲!Z58</f>
        <v>1489.7146545323824</v>
      </c>
      <c r="S58" s="34">
        <f>'[1]资源-士兵招募时间'!AG60*'[1]功能-付费相关'!AL60/节奏总纲!AA58</f>
        <v>1398.7274922127292</v>
      </c>
      <c r="T58" s="34"/>
      <c r="U58" s="5">
        <f>('[1]资源-木石铜粮'!U60-'[1]资源-木石铜粮'!U59)*'[1]功能-付费相关'!S60/节奏总纲!W58</f>
        <v>1866.751988175514</v>
      </c>
      <c r="V58" s="5">
        <f>('[1]资源-木石铜粮'!V60-'[1]资源-木石铜粮'!V59)*'[1]功能-付费相关'!T60/节奏总纲!X58</f>
        <v>2422.5659396340106</v>
      </c>
      <c r="W58" s="5">
        <f>('[1]资源-木石铜粮'!W60-'[1]资源-木石铜粮'!W59)*'[1]功能-付费相关'!U60/节奏总纲!Y58</f>
        <v>3052.7465719904349</v>
      </c>
      <c r="X58" s="5">
        <f>('[1]资源-木石铜粮'!X60-'[1]资源-木石铜粮'!X59)*'[1]功能-付费相关'!V60/节奏总纲!Z58</f>
        <v>5544.7928061047469</v>
      </c>
      <c r="Y58" s="5">
        <f>('[1]资源-木石铜粮'!Y60-'[1]资源-木石铜粮'!Y59)*'[1]功能-付费相关'!W60/节奏总纲!AA58</f>
        <v>9825.5341591605884</v>
      </c>
      <c r="Z58" s="3"/>
      <c r="AA58" s="11">
        <f>('[1]资源-铁'!T60-'[1]资源-铁'!T59)*'[1]功能-付费相关'!X60/节奏总纲!W58</f>
        <v>1259.4733091696637</v>
      </c>
      <c r="AB58" s="11">
        <f>('[1]资源-铁'!U60-'[1]资源-铁'!U59)*'[1]功能-付费相关'!Y60/节奏总纲!X58</f>
        <v>1762.5179888175876</v>
      </c>
      <c r="AC58" s="11">
        <f>('[1]资源-铁'!V60-'[1]资源-铁'!V59)*'[1]功能-付费相关'!Z60/节奏总纲!Y58</f>
        <v>2678.1646821838413</v>
      </c>
      <c r="AD58" s="11">
        <f>('[1]资源-铁'!W60-'[1]资源-铁'!W59)*'[1]功能-付费相关'!AA60/节奏总纲!Z58</f>
        <v>6362.7658281900576</v>
      </c>
      <c r="AE58" s="11">
        <f>('[1]资源-铁'!X60-'[1]资源-铁'!X59)*'[1]功能-付费相关'!AB60/节奏总纲!AA58</f>
        <v>13341.235445607081</v>
      </c>
      <c r="AG58" s="11">
        <f>('[1]资源-银币'!Y60-'[1]资源-银币'!Y59)*'[1]功能-付费相关'!AQ60/节奏总纲!W58</f>
        <v>915.65662161752073</v>
      </c>
      <c r="AH58" s="11">
        <f>('[1]资源-银币'!Z60-'[1]资源-银币'!Z59)*'[1]功能-付费相关'!AR60/节奏总纲!X58</f>
        <v>1260.3299272211709</v>
      </c>
      <c r="AI58" s="11">
        <f>('[1]资源-银币'!AA60-'[1]资源-银币'!AA59)*'[1]功能-付费相关'!AS60/节奏总纲!Y58</f>
        <v>1881.3020923697429</v>
      </c>
      <c r="AJ58" s="11">
        <f>('[1]资源-银币'!AB60-'[1]资源-银币'!AB59)*'[1]功能-付费相关'!AT60/节奏总纲!Z58</f>
        <v>3148.2274157130091</v>
      </c>
      <c r="AK58" s="11">
        <f>('[1]资源-银币'!AC60-'[1]资源-银币'!AC59)*'[1]功能-付费相关'!AU60/节奏总纲!AA58</f>
        <v>6794.4643254927078</v>
      </c>
      <c r="AM58" s="11" t="e">
        <f>(#REF!-#REF!)*'[1]功能-付费相关'!CA60/节奏总纲!W58</f>
        <v>#REF!</v>
      </c>
      <c r="AN58" s="11" t="e">
        <f>(#REF!-#REF!)*'[1]功能-付费相关'!CB60/节奏总纲!X58</f>
        <v>#REF!</v>
      </c>
      <c r="AO58" s="11" t="e">
        <f>(#REF!-#REF!)*'[1]功能-付费相关'!CC60/节奏总纲!Y58</f>
        <v>#REF!</v>
      </c>
      <c r="AP58" s="11" t="e">
        <f>(#REF!-#REF!)*'[1]功能-付费相关'!CD60/节奏总纲!Z58</f>
        <v>#REF!</v>
      </c>
      <c r="AQ58" s="11" t="e">
        <f>(#REF!-#REF!)*'[1]功能-付费相关'!CE60/节奏总纲!AA58</f>
        <v>#REF!</v>
      </c>
      <c r="AR58" s="21"/>
      <c r="AS58" s="11">
        <f>(信息索引!U60-信息索引!U59)*'[1]功能-付费相关'!BI60/节奏总纲!W58</f>
        <v>1586.96680234004</v>
      </c>
      <c r="AT58" s="11">
        <f>(信息索引!V60-信息索引!V59)*'[1]功能-付费相关'!BJ60/节奏总纲!X58</f>
        <v>2143.943196019085</v>
      </c>
      <c r="AU58" s="11">
        <f>(信息索引!W60-信息索引!W59)*'[1]功能-付费相关'!BK60/节奏总纲!Y58</f>
        <v>2798.8240549811762</v>
      </c>
      <c r="AV58" s="11">
        <f>(信息索引!X60-信息索引!X59)*'[1]功能-付费相关'!BL60/节奏总纲!Z58</f>
        <v>6944.7095506730648</v>
      </c>
      <c r="AW58" s="11">
        <f>(信息索引!Y60-信息索引!Y59)*'[1]功能-付费相关'!BM60/节奏总纲!AA58</f>
        <v>15541.967365907536</v>
      </c>
      <c r="AY58" s="11">
        <f>('[1]资源-武将经验'!T60*节奏总纲!BJ58-'[1]资源-武将经验'!T59*节奏总纲!BJ57)*'[1]功能-付费相关'!AZ60/节奏总纲!W58</f>
        <v>1697.6416627301974</v>
      </c>
      <c r="AZ58" s="11">
        <f>('[1]资源-武将经验'!U60*节奏总纲!BK58-'[1]资源-武将经验'!U59*节奏总纲!BK57)*'[1]功能-付费相关'!BA60/节奏总纲!X58</f>
        <v>2217.2839601148785</v>
      </c>
      <c r="BA58" s="11">
        <f>('[1]资源-武将经验'!V60*节奏总纲!BL58-'[1]资源-武将经验'!V59*节奏总纲!BL57)*'[1]功能-付费相关'!BB60/节奏总纲!Y58</f>
        <v>2854.2077397345251</v>
      </c>
      <c r="BB58" s="11">
        <f>('[1]资源-武将经验'!W60*节奏总纲!BM58-'[1]资源-武将经验'!W59*节奏总纲!BM57)*'[1]功能-付费相关'!BC60/节奏总纲!Z58</f>
        <v>11736.560951035015</v>
      </c>
      <c r="BC58" s="11">
        <f>('[1]资源-武将经验'!X60*节奏总纲!BN58-'[1]资源-武将经验'!X59*节奏总纲!BN57)*'[1]功能-付费相关'!BD60/节奏总纲!AA58</f>
        <v>25542.167627228115</v>
      </c>
      <c r="BD58" s="29"/>
      <c r="BE58" s="33" t="e">
        <f t="shared" si="1"/>
        <v>#REF!</v>
      </c>
      <c r="BF58" s="33" t="e">
        <f t="shared" si="2"/>
        <v>#REF!</v>
      </c>
      <c r="BG58" s="33" t="e">
        <f t="shared" si="3"/>
        <v>#REF!</v>
      </c>
      <c r="BH58" s="33" t="e">
        <f t="shared" si="4"/>
        <v>#REF!</v>
      </c>
      <c r="BI58" s="33" t="e">
        <f t="shared" si="5"/>
        <v>#REF!</v>
      </c>
      <c r="BJ58" s="29"/>
      <c r="BK58" s="29"/>
      <c r="BL58" s="29"/>
      <c r="BM58" s="29"/>
      <c r="BN58" s="29"/>
    </row>
    <row r="59" spans="2:66" x14ac:dyDescent="0.15">
      <c r="B59" s="5">
        <v>56</v>
      </c>
      <c r="C59" s="5">
        <f>'[1]资源-玩家城池建筑时间'!AJ61*'[1]功能-付费相关'!AH61/节奏总纲!W59</f>
        <v>3456.1110127145871</v>
      </c>
      <c r="D59" s="5">
        <f>'[1]资源-玩家城池建筑时间'!AK61*'[1]功能-付费相关'!AI61/节奏总纲!X59</f>
        <v>4359.8143352341767</v>
      </c>
      <c r="E59" s="5">
        <f>'[1]资源-玩家城池建筑时间'!AL61*'[1]功能-付费相关'!AJ61/节奏总纲!Y59</f>
        <v>5915.3765176013721</v>
      </c>
      <c r="F59" s="5">
        <f>'[1]资源-玩家城池建筑时间'!AM61*'[1]功能-付费相关'!AK61/节奏总纲!Z59</f>
        <v>8873.0647764020596</v>
      </c>
      <c r="G59" s="5">
        <f>'[1]资源-玩家城池建筑时间'!AN61*'[1]功能-付费相关'!AL61/节奏总纲!AA59</f>
        <v>17977.347188408196</v>
      </c>
      <c r="H59" s="3"/>
      <c r="I59" s="28">
        <f>'[1]资源-士兵训练时间'!AB61*'[1]功能-付费相关'!AH61/节奏总纲!W59</f>
        <v>1981.4261841154257</v>
      </c>
      <c r="J59" s="28">
        <f>'[1]资源-士兵训练时间'!AC61*'[1]功能-付费相关'!AI61/节奏总纲!X59</f>
        <v>2448.9683446631675</v>
      </c>
      <c r="K59" s="28">
        <f>'[1]资源-士兵训练时间'!AD61*'[1]功能-付费相关'!AJ61/节奏总纲!Y59</f>
        <v>3994.4745425628407</v>
      </c>
      <c r="L59" s="28">
        <f>'[1]资源-士兵训练时间'!AE61*'[1]功能-付费相关'!AK61/节奏总纲!Z59</f>
        <v>6740.6757905748036</v>
      </c>
      <c r="M59" s="28">
        <f>'[1]资源-士兵训练时间'!AF61*'[1]功能-付费相关'!AL61/节奏总纲!AA59</f>
        <v>15423.750460285217</v>
      </c>
      <c r="N59" s="34"/>
      <c r="O59" s="34">
        <f>'[1]资源-士兵招募时间'!AC61*'[1]功能-付费相关'!AH61/节奏总纲!W59</f>
        <v>968.0881370936778</v>
      </c>
      <c r="P59" s="34">
        <f>'[1]资源-士兵招募时间'!AD61*'[1]功能-付费相关'!AI61/节奏总纲!X59</f>
        <v>1203.2029600570502</v>
      </c>
      <c r="Q59" s="34">
        <f>'[1]资源-士兵招募时间'!AE61*'[1]功能-付费相关'!AJ61/节奏总纲!Y59</f>
        <v>1435.6758807000774</v>
      </c>
      <c r="R59" s="34">
        <f>'[1]资源-士兵招募时间'!AF61*'[1]功能-付费相关'!AK61/节奏总纲!Z59</f>
        <v>1433.7457747380859</v>
      </c>
      <c r="S59" s="34">
        <f>'[1]资源-士兵招募时间'!AG61*'[1]功能-付费相关'!AL61/节奏总纲!AA59</f>
        <v>1297.8829892861791</v>
      </c>
      <c r="T59" s="34"/>
      <c r="U59" s="5">
        <f>('[1]资源-木石铜粮'!U61-'[1]资源-木石铜粮'!U60)*'[1]功能-付费相关'!S61/节奏总纲!W59</f>
        <v>1798.756625467224</v>
      </c>
      <c r="V59" s="5">
        <f>('[1]资源-木石铜粮'!V61-'[1]资源-木石铜粮'!V60)*'[1]功能-付费相关'!T61/节奏总纲!X59</f>
        <v>2254.5793006959952</v>
      </c>
      <c r="W59" s="5">
        <f>('[1]资源-木石铜粮'!W61-'[1]资源-木石铜粮'!W60)*'[1]功能-付费相关'!U61/节奏总纲!Y59</f>
        <v>3880.461813329001</v>
      </c>
      <c r="X59" s="5">
        <f>('[1]资源-木石铜粮'!X61-'[1]资源-木石铜粮'!X60)*'[1]功能-付费相关'!V61/节奏总纲!Z59</f>
        <v>5025.8636007349905</v>
      </c>
      <c r="Y59" s="5">
        <f>('[1]资源-木石铜粮'!Y61-'[1]资源-木石铜粮'!Y60)*'[1]功能-付费相关'!W61/节奏总纲!AA59</f>
        <v>7356.1429022092179</v>
      </c>
      <c r="Z59" s="3"/>
      <c r="AA59" s="11">
        <f>('[1]资源-铁'!T61-'[1]资源-铁'!T60)*'[1]功能-付费相关'!X61/节奏总纲!W59</f>
        <v>1235.7997605966502</v>
      </c>
      <c r="AB59" s="11">
        <f>('[1]资源-铁'!U61-'[1]资源-铁'!U60)*'[1]功能-付费相关'!Y61/节奏总纲!X59</f>
        <v>1673.9226370550361</v>
      </c>
      <c r="AC59" s="11">
        <f>('[1]资源-铁'!V61-'[1]资源-铁'!V60)*'[1]功能-付费相关'!Z61/节奏总纲!Y59</f>
        <v>3854.732212862612</v>
      </c>
      <c r="AD59" s="11">
        <f>('[1]资源-铁'!W61-'[1]资源-铁'!W60)*'[1]功能-付费相关'!AA61/节奏总纲!Z59</f>
        <v>6042.6375508238225</v>
      </c>
      <c r="AE59" s="11">
        <f>('[1]资源-铁'!X61-'[1]资源-铁'!X60)*'[1]功能-付费相关'!AB61/节奏总纲!AA59</f>
        <v>15403.904226723531</v>
      </c>
      <c r="AG59" s="11">
        <f>('[1]资源-银币'!Y61-'[1]资源-银币'!Y60)*'[1]功能-付费相关'!AQ61/节奏总纲!W59</f>
        <v>909.98425953201968</v>
      </c>
      <c r="AH59" s="11">
        <f>('[1]资源-银币'!Z61-'[1]资源-银币'!Z60)*'[1]功能-付费相关'!AR61/节奏总纲!X59</f>
        <v>1173.6776483678811</v>
      </c>
      <c r="AI59" s="11">
        <f>('[1]资源-银币'!AA61-'[1]资源-银币'!AA60)*'[1]功能-付费相关'!AS61/节奏总纲!Y59</f>
        <v>1817.036980416123</v>
      </c>
      <c r="AJ59" s="11">
        <f>('[1]资源-银币'!AB61-'[1]资源-银币'!AB60)*'[1]功能-付费相关'!AT61/节奏总纲!Z59</f>
        <v>2867.1903053307483</v>
      </c>
      <c r="AK59" s="11">
        <f>('[1]资源-银币'!AC61-'[1]资源-银币'!AC60)*'[1]功能-付费相关'!AU61/节奏总纲!AA59</f>
        <v>5988.0149116353032</v>
      </c>
      <c r="AM59" s="11" t="e">
        <f>(#REF!-#REF!)*'[1]功能-付费相关'!CA61/节奏总纲!W59</f>
        <v>#REF!</v>
      </c>
      <c r="AN59" s="11" t="e">
        <f>(#REF!-#REF!)*'[1]功能-付费相关'!CB61/节奏总纲!X59</f>
        <v>#REF!</v>
      </c>
      <c r="AO59" s="11" t="e">
        <f>(#REF!-#REF!)*'[1]功能-付费相关'!CC61/节奏总纲!Y59</f>
        <v>#REF!</v>
      </c>
      <c r="AP59" s="11" t="e">
        <f>(#REF!-#REF!)*'[1]功能-付费相关'!CD61/节奏总纲!Z59</f>
        <v>#REF!</v>
      </c>
      <c r="AQ59" s="11" t="e">
        <f>(#REF!-#REF!)*'[1]功能-付费相关'!CE61/节奏总纲!AA59</f>
        <v>#REF!</v>
      </c>
      <c r="AR59" s="21"/>
      <c r="AS59" s="11">
        <f>(信息索引!U61-信息索引!U60)*'[1]功能-付费相关'!BI61/节奏总纲!W59</f>
        <v>1440.8871211488613</v>
      </c>
      <c r="AT59" s="11">
        <f>(信息索引!V61-信息索引!V60)*'[1]功能-付费相关'!BJ61/节奏总纲!X59</f>
        <v>1842.0796446871946</v>
      </c>
      <c r="AU59" s="11">
        <f>(信息索引!W61-信息索引!W60)*'[1]功能-付费相关'!BK61/节奏总纲!Y59</f>
        <v>3838.8321550177225</v>
      </c>
      <c r="AV59" s="11">
        <f>(信息索引!X61-信息索引!X60)*'[1]功能-付费相关'!BL61/节奏总纲!Z59</f>
        <v>5743.0972596664706</v>
      </c>
      <c r="AW59" s="11">
        <f>(信息索引!Y61-信息索引!Y60)*'[1]功能-付费相关'!BM61/节奏总纲!AA59</f>
        <v>9281.0489419094265</v>
      </c>
      <c r="AY59" s="11">
        <f>('[1]资源-武将经验'!T61*节奏总纲!BJ59-'[1]资源-武将经验'!T60*节奏总纲!BJ58)*'[1]功能-付费相关'!AZ61/节奏总纲!W59</f>
        <v>1473.5868457670952</v>
      </c>
      <c r="AZ59" s="11">
        <f>('[1]资源-武将经验'!U61*节奏总纲!BK59-'[1]资源-武将经验'!U60*节奏总纲!BK58)*'[1]功能-付费相关'!BA61/节奏总纲!X59</f>
        <v>1821.1259885126833</v>
      </c>
      <c r="BA59" s="11">
        <f>('[1]资源-武将经验'!V61*节奏总纲!BL59-'[1]资源-武将经验'!V60*节奏总纲!BL58)*'[1]功能-付费相关'!BB61/节奏总纲!Y59</f>
        <v>3742.0700702213148</v>
      </c>
      <c r="BB59" s="11">
        <f>('[1]资源-武将经验'!W61*节奏总纲!BM59-'[1]资源-武将经验'!W60*节奏总纲!BM58)*'[1]功能-付费相关'!BC61/节奏总纲!Z59</f>
        <v>9276.3322162790409</v>
      </c>
      <c r="BC59" s="11">
        <f>('[1]资源-武将经验'!X61*节奏总纲!BN59-'[1]资源-武将经验'!X60*节奏总纲!BN58)*'[1]功能-付费相关'!BD61/节奏总纲!AA59</f>
        <v>14576.959043895118</v>
      </c>
      <c r="BD59" s="29"/>
      <c r="BE59" s="33" t="e">
        <f t="shared" si="1"/>
        <v>#REF!</v>
      </c>
      <c r="BF59" s="33" t="e">
        <f t="shared" si="2"/>
        <v>#REF!</v>
      </c>
      <c r="BG59" s="33" t="e">
        <f t="shared" si="3"/>
        <v>#REF!</v>
      </c>
      <c r="BH59" s="33" t="e">
        <f t="shared" si="4"/>
        <v>#REF!</v>
      </c>
      <c r="BI59" s="33" t="e">
        <f t="shared" si="5"/>
        <v>#REF!</v>
      </c>
      <c r="BJ59" s="29"/>
      <c r="BK59" s="29"/>
      <c r="BL59" s="29"/>
      <c r="BM59" s="29"/>
      <c r="BN59" s="29"/>
    </row>
    <row r="60" spans="2:66" x14ac:dyDescent="0.15">
      <c r="B60" s="5">
        <v>57</v>
      </c>
      <c r="C60" s="5">
        <f>'[1]资源-玩家城池建筑时间'!AJ62*'[1]功能-付费相关'!AH62/节奏总纲!W60</f>
        <v>3384.7698789830142</v>
      </c>
      <c r="D60" s="5">
        <f>'[1]资源-玩家城池建筑时间'!AK62*'[1]功能-付费相关'!AI62/节奏总纲!X60</f>
        <v>4259.9627766860049</v>
      </c>
      <c r="E60" s="5">
        <f>'[1]资源-玩家城池建筑时间'!AL62*'[1]功能-付费相关'!AJ62/节奏总纲!Y60</f>
        <v>5740.5507207639712</v>
      </c>
      <c r="F60" s="5">
        <f>'[1]资源-玩家城池建筑时间'!AM62*'[1]功能-付费相关'!AK62/节奏总纲!Z60</f>
        <v>8610.8260811459659</v>
      </c>
      <c r="G60" s="5">
        <f>'[1]资源-玩家城池建筑时间'!AN62*'[1]功能-付费相关'!AL62/节奏总纲!AA60</f>
        <v>17556.866549615374</v>
      </c>
      <c r="H60" s="3"/>
      <c r="I60" s="28">
        <f>'[1]资源-士兵训练时间'!AB62*'[1]功能-付费相关'!AH62/节奏总纲!W60</f>
        <v>1755.0205970806558</v>
      </c>
      <c r="J60" s="28">
        <f>'[1]资源-士兵训练时间'!AC62*'[1]功能-付费相关'!AI62/节奏总纲!X60</f>
        <v>2370.9824088738842</v>
      </c>
      <c r="K60" s="28">
        <f>'[1]资源-士兵训练时间'!AD62*'[1]功能-付费相关'!AJ62/节奏总纲!Y60</f>
        <v>3876.4199787033449</v>
      </c>
      <c r="L60" s="28">
        <f>'[1]资源-士兵训练时间'!AE62*'[1]功能-付费相关'!AK62/节奏总纲!Z60</f>
        <v>6541.4587140618769</v>
      </c>
      <c r="M60" s="28">
        <f>'[1]资源-士兵训练时间'!AF62*'[1]功能-付费相关'!AL62/节奏总纲!AA60</f>
        <v>15180.959370500866</v>
      </c>
      <c r="N60" s="34"/>
      <c r="O60" s="34">
        <f>'[1]资源-士兵招募时间'!AC62*'[1]功能-付费相关'!AH62/节奏总纲!W60</f>
        <v>946.81180568852687</v>
      </c>
      <c r="P60" s="34">
        <f>'[1]资源-士兵招募时间'!AD62*'[1]功能-付费相关'!AI62/节奏总纲!X60</f>
        <v>1174.974841754324</v>
      </c>
      <c r="Q60" s="34">
        <f>'[1]资源-士兵招募时间'!AE62*'[1]功能-付费相关'!AJ62/节奏总纲!Y60</f>
        <v>1391.2269831665631</v>
      </c>
      <c r="R60" s="34">
        <f>'[1]资源-士兵招募时间'!AF62*'[1]功能-付费相关'!AK62/节奏总纲!Z60</f>
        <v>1397.6138748503176</v>
      </c>
      <c r="S60" s="34">
        <f>'[1]资源-士兵招募时间'!AG62*'[1]功能-付费相关'!AL62/节奏总纲!AA60</f>
        <v>1255.2582550256288</v>
      </c>
      <c r="T60" s="34"/>
      <c r="U60" s="5">
        <f>('[1]资源-木石铜粮'!U62-'[1]资源-木石铜粮'!U61)*'[1]功能-付费相关'!S62/节奏总纲!W60</f>
        <v>1736.7756389267886</v>
      </c>
      <c r="V60" s="5">
        <f>('[1]资源-木石铜粮'!V62-'[1]资源-木石铜粮'!V61)*'[1]功能-付费相关'!T62/节奏总纲!X60</f>
        <v>2351.6708649285551</v>
      </c>
      <c r="W60" s="5">
        <f>('[1]资源-木石铜粮'!W62-'[1]资源-木石铜粮'!W61)*'[1]功能-付费相关'!U62/节奏总纲!Y60</f>
        <v>3549.9431056748094</v>
      </c>
      <c r="X60" s="5">
        <f>('[1]资源-木石铜粮'!X62-'[1]资源-木石铜粮'!X61)*'[1]功能-付费相关'!V62/节奏总纲!Z60</f>
        <v>4657.2249323820151</v>
      </c>
      <c r="Y60" s="5">
        <f>('[1]资源-木石铜粮'!Y62-'[1]资源-木石铜粮'!Y61)*'[1]功能-付费相关'!W62/节奏总纲!AA60</f>
        <v>5966.9011763966164</v>
      </c>
      <c r="Z60" s="3"/>
      <c r="AA60" s="11">
        <f>('[1]资源-铁'!T62-'[1]资源-铁'!T61)*'[1]功能-付费相关'!X62/节奏总纲!W60</f>
        <v>1222.2448932076595</v>
      </c>
      <c r="AB60" s="11">
        <f>('[1]资源-铁'!U62-'[1]资源-铁'!U61)*'[1]功能-付费相关'!Y62/节奏总纲!X60</f>
        <v>1935.4706053914842</v>
      </c>
      <c r="AC60" s="11">
        <f>('[1]资源-铁'!V62-'[1]资源-铁'!V61)*'[1]功能-付费相关'!Z62/节奏总纲!Y60</f>
        <v>3662.9988982624482</v>
      </c>
      <c r="AD60" s="11">
        <f>('[1]资源-铁'!W62-'[1]资源-铁'!W61)*'[1]功能-付费相关'!AA62/节奏总纲!Z60</f>
        <v>5739.0438103802962</v>
      </c>
      <c r="AE60" s="11">
        <f>('[1]资源-铁'!X62-'[1]资源-铁'!X61)*'[1]功能-付费相关'!AB62/节奏总纲!AA60</f>
        <v>15836.221016581592</v>
      </c>
      <c r="AG60" s="11">
        <f>('[1]资源-银币'!Y62-'[1]资源-银币'!Y61)*'[1]功能-付费相关'!AQ62/节奏总纲!W60</f>
        <v>916.26709383497166</v>
      </c>
      <c r="AH60" s="11">
        <f>('[1]资源-银币'!Z62-'[1]资源-银币'!Z61)*'[1]功能-付费相关'!AR62/节奏总纲!X60</f>
        <v>1100.4375956803151</v>
      </c>
      <c r="AI60" s="11">
        <f>('[1]资源-银币'!AA62-'[1]资源-银币'!AA61)*'[1]功能-付费相关'!AS62/节奏总纲!Y60</f>
        <v>1662.4071100354104</v>
      </c>
      <c r="AJ60" s="11">
        <f>('[1]资源-银币'!AB62-'[1]资源-银币'!AB61)*'[1]功能-付费相关'!AT62/节奏总纲!Z60</f>
        <v>2650.720916990414</v>
      </c>
      <c r="AK60" s="11">
        <f>('[1]资源-银币'!AC62-'[1]资源-银币'!AC61)*'[1]功能-付费相关'!AU62/节奏总纲!AA60</f>
        <v>5497.4741607881406</v>
      </c>
      <c r="AM60" s="11" t="e">
        <f>(#REF!-#REF!)*'[1]功能-付费相关'!CA62/节奏总纲!W60</f>
        <v>#REF!</v>
      </c>
      <c r="AN60" s="11" t="e">
        <f>(#REF!-#REF!)*'[1]功能-付费相关'!CB62/节奏总纲!X60</f>
        <v>#REF!</v>
      </c>
      <c r="AO60" s="11" t="e">
        <f>(#REF!-#REF!)*'[1]功能-付费相关'!CC62/节奏总纲!Y60</f>
        <v>#REF!</v>
      </c>
      <c r="AP60" s="11" t="e">
        <f>(#REF!-#REF!)*'[1]功能-付费相关'!CD62/节奏总纲!Z60</f>
        <v>#REF!</v>
      </c>
      <c r="AQ60" s="11" t="e">
        <f>(#REF!-#REF!)*'[1]功能-付费相关'!CE62/节奏总纲!AA60</f>
        <v>#REF!</v>
      </c>
      <c r="AR60" s="21"/>
      <c r="AS60" s="11">
        <f>(信息索引!U62-信息索引!U61)*'[1]功能-付费相关'!BI62/节奏总纲!W60</f>
        <v>1307.6599733574662</v>
      </c>
      <c r="AT60" s="11">
        <f>(信息索引!V62-信息索引!V61)*'[1]功能-付费相关'!BJ62/节奏总纲!X60</f>
        <v>1883.2572616826344</v>
      </c>
      <c r="AU60" s="11">
        <f>(信息索引!W62-信息索引!W61)*'[1]功能-付费相关'!BK62/节奏总纲!Y60</f>
        <v>3213.0208819821055</v>
      </c>
      <c r="AV60" s="11">
        <f>(信息索引!X62-信息索引!X61)*'[1]功能-付费相关'!BL62/节奏总纲!Z60</f>
        <v>4871.7937751528707</v>
      </c>
      <c r="AW60" s="11">
        <f>(信息索引!Y62-信息索引!Y61)*'[1]功能-付费相关'!BM62/节奏总纲!AA60</f>
        <v>6028.8244238985917</v>
      </c>
      <c r="AY60" s="11">
        <f>('[1]资源-武将经验'!T62*节奏总纲!BJ60-'[1]资源-武将经验'!T61*节奏总纲!BJ59)*'[1]功能-付费相关'!AZ62/节奏总纲!W60</f>
        <v>1278.4367015082826</v>
      </c>
      <c r="AZ60" s="11">
        <f>('[1]资源-武将经验'!U62*节奏总纲!BK60-'[1]资源-武将经验'!U61*节奏总纲!BK59)*'[1]功能-付费相关'!BA62/节奏总纲!X60</f>
        <v>1779.6630259847789</v>
      </c>
      <c r="BA60" s="11">
        <f>('[1]资源-武将经验'!V62*节奏总纲!BL60-'[1]资源-武将经验'!V61*节奏总纲!BL59)*'[1]功能-付费相关'!BB62/节奏总纲!Y60</f>
        <v>2993.664041289177</v>
      </c>
      <c r="BB60" s="11">
        <f>('[1]资源-武将经验'!W62*节奏总纲!BM60-'[1]资源-武将经验'!W61*节奏总纲!BM59)*'[1]功能-付费相关'!BC62/节奏总纲!Z60</f>
        <v>7520.3648364720939</v>
      </c>
      <c r="BC60" s="11">
        <f>('[1]资源-武将经验'!X62*节奏总纲!BN60-'[1]资源-武将经验'!X61*节奏总纲!BN59)*'[1]功能-付费相关'!BD62/节奏总纲!AA60</f>
        <v>9048.9517223276325</v>
      </c>
      <c r="BD60" s="29"/>
      <c r="BE60" s="33" t="e">
        <f t="shared" si="1"/>
        <v>#REF!</v>
      </c>
      <c r="BF60" s="33" t="e">
        <f t="shared" si="2"/>
        <v>#REF!</v>
      </c>
      <c r="BG60" s="33" t="e">
        <f t="shared" si="3"/>
        <v>#REF!</v>
      </c>
      <c r="BH60" s="33" t="e">
        <f t="shared" si="4"/>
        <v>#REF!</v>
      </c>
      <c r="BI60" s="33" t="e">
        <f t="shared" si="5"/>
        <v>#REF!</v>
      </c>
      <c r="BJ60" s="29"/>
      <c r="BK60" s="29"/>
      <c r="BL60" s="29"/>
      <c r="BM60" s="29"/>
      <c r="BN60" s="29"/>
    </row>
    <row r="61" spans="2:66" x14ac:dyDescent="0.15">
      <c r="B61" s="5">
        <v>58</v>
      </c>
      <c r="C61" s="5">
        <f>'[1]资源-玩家城池建筑时间'!AJ63*'[1]功能-付费相关'!AH63/节奏总纲!W61</f>
        <v>3294.0964310495337</v>
      </c>
      <c r="D61" s="5">
        <f>'[1]资源-玩家城池建筑时间'!AK63*'[1]功能-付费相关'!AI63/节奏总纲!X61</f>
        <v>4178.1688553055574</v>
      </c>
      <c r="E61" s="5">
        <f>'[1]资源-玩家城池建筑时间'!AL63*'[1]功能-付费相关'!AJ63/节奏总纲!Y61</f>
        <v>5570.8918070740719</v>
      </c>
      <c r="F61" s="5">
        <f>'[1]资源-玩家城池建筑时间'!AM63*'[1]功能-付费相关'!AK63/节奏总纲!Z61</f>
        <v>8503.043335293205</v>
      </c>
      <c r="G61" s="5">
        <f>'[1]资源-玩家城池建筑时间'!AN63*'[1]功能-付费相关'!AL63/节奏总纲!AA61</f>
        <v>17171.203587814503</v>
      </c>
      <c r="H61" s="3"/>
      <c r="I61" s="28">
        <f>'[1]资源-士兵训练时间'!AB63*'[1]功能-付费相关'!AH63/节奏总纲!W61</f>
        <v>1701.4808430463104</v>
      </c>
      <c r="J61" s="28">
        <f>'[1]资源-士兵训练时间'!AC63*'[1]功能-付费相关'!AI63/节奏总纲!X61</f>
        <v>2292.3800582053668</v>
      </c>
      <c r="K61" s="28">
        <f>'[1]资源-士兵训练时间'!AD63*'[1]功能-付费相关'!AJ63/节奏总纲!Y61</f>
        <v>3761.8544544908605</v>
      </c>
      <c r="L61" s="28">
        <f>'[1]资源-士兵训练时间'!AE63*'[1]功能-付费相关'!AK63/节奏总纲!Z61</f>
        <v>6601.9411142744721</v>
      </c>
      <c r="M61" s="28">
        <f>'[1]资源-士兵训练时间'!AF63*'[1]功能-付费相关'!AL63/节奏总纲!AA61</f>
        <v>14974.47471943301</v>
      </c>
      <c r="N61" s="34"/>
      <c r="O61" s="34">
        <f>'[1]资源-士兵招募时间'!AC63*'[1]功能-付费相关'!AH63/节奏总纲!W61</f>
        <v>926.51647155284695</v>
      </c>
      <c r="P61" s="34">
        <f>'[1]资源-士兵招募时间'!AD63*'[1]功能-付费相关'!AI63/节奏总纲!X61</f>
        <v>1147.9202104348751</v>
      </c>
      <c r="Q61" s="34">
        <f>'[1]资源-士兵招募时间'!AE63*'[1]功能-付费相关'!AJ63/节奏总纲!Y61</f>
        <v>1354.2369746208265</v>
      </c>
      <c r="R61" s="34">
        <f>'[1]资源-士兵招募时间'!AF63*'[1]功能-付费相关'!AK63/节奏总纲!Z61</f>
        <v>1350.6568788281222</v>
      </c>
      <c r="S61" s="34">
        <f>'[1]资源-士兵招募时间'!AG63*'[1]功能-付费相关'!AL63/节奏总纲!AA61</f>
        <v>1228.2093364119391</v>
      </c>
      <c r="T61" s="34"/>
      <c r="U61" s="5">
        <f>('[1]资源-木石铜粮'!U63-'[1]资源-木石铜粮'!U62)*'[1]功能-付费相关'!S63/节奏总纲!W61</f>
        <v>1692.2967817070548</v>
      </c>
      <c r="V61" s="5">
        <f>('[1]资源-木石铜粮'!V63-'[1]资源-木石铜粮'!V62)*'[1]功能-付费相关'!T63/节奏总纲!X61</f>
        <v>2586.2992775102821</v>
      </c>
      <c r="W61" s="5">
        <f>('[1]资源-木石铜粮'!W63-'[1]资源-木石铜粮'!W62)*'[1]功能-付费相关'!U63/节奏总纲!Y61</f>
        <v>3280.020753762004</v>
      </c>
      <c r="X61" s="5">
        <f>('[1]资源-木石铜粮'!X63-'[1]资源-木石铜粮'!X62)*'[1]功能-付费相关'!V63/节奏总纲!Z61</f>
        <v>3307.435570866252</v>
      </c>
      <c r="Y61" s="5">
        <f>('[1]资源-木石铜粮'!Y63-'[1]资源-木石铜粮'!Y62)*'[1]功能-付费相关'!W63/节奏总纲!AA61</f>
        <v>5616.6969729890588</v>
      </c>
      <c r="Z61" s="3"/>
      <c r="AA61" s="11">
        <f>('[1]资源-铁'!T63-'[1]资源-铁'!T62)*'[1]功能-付费相关'!X63/节奏总纲!W61</f>
        <v>1266.074822387108</v>
      </c>
      <c r="AB61" s="11">
        <f>('[1]资源-铁'!U63-'[1]资源-铁'!U62)*'[1]功能-付费相关'!Y63/节奏总纲!X61</f>
        <v>2353.4987555383295</v>
      </c>
      <c r="AC61" s="11">
        <f>('[1]资源-铁'!V63-'[1]资源-铁'!V62)*'[1]功能-付费相关'!Z63/节奏总纲!Y61</f>
        <v>3481.2508884612412</v>
      </c>
      <c r="AD61" s="11">
        <f>('[1]资源-铁'!W63-'[1]资源-铁'!W62)*'[1]功能-付费相关'!AA63/节奏总纲!Z61</f>
        <v>7053.2089212839401</v>
      </c>
      <c r="AE61" s="11">
        <f>('[1]资源-铁'!X63-'[1]资源-铁'!X62)*'[1]功能-付费相关'!AB63/节奏总纲!AA61</f>
        <v>16079.711671518073</v>
      </c>
      <c r="AG61" s="11">
        <f>('[1]资源-银币'!Y63-'[1]资源-银币'!Y62)*'[1]功能-付费相关'!AQ63/节奏总纲!W61</f>
        <v>849.43759871321208</v>
      </c>
      <c r="AH61" s="11">
        <f>('[1]资源-银币'!Z63-'[1]资源-银币'!Z62)*'[1]功能-付费相关'!AR63/节奏总纲!X61</f>
        <v>1025.0423261284632</v>
      </c>
      <c r="AI61" s="11">
        <f>('[1]资源-银币'!AA63-'[1]资源-银币'!AA62)*'[1]功能-付费相关'!AS63/节奏总纲!Y61</f>
        <v>1528.1568653144525</v>
      </c>
      <c r="AJ61" s="11">
        <f>('[1]资源-银币'!AB63-'[1]资源-银币'!AB62)*'[1]功能-付费相关'!AT63/节奏总纲!Z61</f>
        <v>2386.8084142259922</v>
      </c>
      <c r="AK61" s="11">
        <f>('[1]资源-银币'!AC63-'[1]资源-银币'!AC62)*'[1]功能-付费相关'!AU63/节奏总纲!AA61</f>
        <v>5292.7933706035874</v>
      </c>
      <c r="AM61" s="11" t="e">
        <f>(#REF!-#REF!)*'[1]功能-付费相关'!CA63/节奏总纲!W61</f>
        <v>#REF!</v>
      </c>
      <c r="AN61" s="11" t="e">
        <f>(#REF!-#REF!)*'[1]功能-付费相关'!CB63/节奏总纲!X61</f>
        <v>#REF!</v>
      </c>
      <c r="AO61" s="11" t="e">
        <f>(#REF!-#REF!)*'[1]功能-付费相关'!CC63/节奏总纲!Y61</f>
        <v>#REF!</v>
      </c>
      <c r="AP61" s="11" t="e">
        <f>(#REF!-#REF!)*'[1]功能-付费相关'!CD63/节奏总纲!Z61</f>
        <v>#REF!</v>
      </c>
      <c r="AQ61" s="11" t="e">
        <f>(#REF!-#REF!)*'[1]功能-付费相关'!CE63/节奏总纲!AA61</f>
        <v>#REF!</v>
      </c>
      <c r="AR61" s="21"/>
      <c r="AS61" s="11">
        <f>(信息索引!U63-信息索引!U62)*'[1]功能-付费相关'!BI63/节奏总纲!W61</f>
        <v>1186.2346380340464</v>
      </c>
      <c r="AT61" s="11">
        <f>(信息索引!V63-信息索引!V62)*'[1]功能-付费相关'!BJ63/节奏总纲!X61</f>
        <v>2038.1009495275423</v>
      </c>
      <c r="AU61" s="11">
        <f>(信息索引!W63-信息索引!W62)*'[1]功能-付费相关'!BK63/节奏总纲!Y61</f>
        <v>2689.2790012953978</v>
      </c>
      <c r="AV61" s="11">
        <f>(信息索引!X63-信息索引!X62)*'[1]功能-付费相关'!BL63/节奏总纲!Z61</f>
        <v>2491.8437407909619</v>
      </c>
      <c r="AW61" s="11">
        <f>(信息索引!Y63-信息索引!Y62)*'[1]功能-付费相关'!BM63/节奏总纲!AA61</f>
        <v>5048.4206780932855</v>
      </c>
      <c r="AY61" s="11">
        <f>('[1]资源-武将经验'!T63*节奏总纲!BJ61-'[1]资源-武将经验'!T62*节奏总纲!BJ60)*'[1]功能-付费相关'!AZ63/节奏总纲!W61</f>
        <v>1108.5785996437316</v>
      </c>
      <c r="AZ61" s="11">
        <f>('[1]资源-武将经验'!U63*节奏总纲!BK61-'[1]资源-武将经验'!U62*节奏总纲!BK60)*'[1]功能-付费相关'!BA63/节奏总纲!X61</f>
        <v>1840.8782082978978</v>
      </c>
      <c r="BA61" s="11">
        <f>('[1]资源-武将经验'!V63*节奏总纲!BL61-'[1]资源-武将经验'!V62*节奏总纲!BL60)*'[1]功能-付费相关'!BB63/节奏总纲!Y61</f>
        <v>2394.8463511343898</v>
      </c>
      <c r="BB61" s="11">
        <f>('[1]资源-武将经验'!W63*节奏总纲!BM61-'[1]资源-武将经验'!W62*节奏总纲!BM60)*'[1]功能-付费相关'!BC63/节奏总纲!Z61</f>
        <v>3675.9426661203925</v>
      </c>
      <c r="BC61" s="11">
        <f>('[1]资源-武将经验'!X63*节奏总纲!BN61-'[1]资源-武将经验'!X62*节奏总纲!BN60)*'[1]功能-付费相关'!BD63/节奏总纲!AA61</f>
        <v>7240.9574347417329</v>
      </c>
      <c r="BD61" s="29"/>
      <c r="BE61" s="33" t="e">
        <f t="shared" si="1"/>
        <v>#REF!</v>
      </c>
      <c r="BF61" s="33" t="e">
        <f t="shared" si="2"/>
        <v>#REF!</v>
      </c>
      <c r="BG61" s="33" t="e">
        <f t="shared" si="3"/>
        <v>#REF!</v>
      </c>
      <c r="BH61" s="33" t="e">
        <f t="shared" si="4"/>
        <v>#REF!</v>
      </c>
      <c r="BI61" s="33" t="e">
        <f t="shared" si="5"/>
        <v>#REF!</v>
      </c>
      <c r="BJ61" s="29"/>
      <c r="BK61" s="29"/>
      <c r="BL61" s="29"/>
      <c r="BM61" s="29"/>
      <c r="BN61" s="29"/>
    </row>
    <row r="62" spans="2:66" x14ac:dyDescent="0.15">
      <c r="B62" s="5">
        <v>59</v>
      </c>
      <c r="C62" s="5">
        <f>'[1]资源-玩家城池建筑时间'!AJ64*'[1]功能-付费相关'!AH64/节奏总纲!W62</f>
        <v>3243.7482432342022</v>
      </c>
      <c r="D62" s="5">
        <f>'[1]资源-玩家城池建筑时间'!AK64*'[1]功能-付费相关'!AI64/节奏总纲!X62</f>
        <v>4054.6853040427559</v>
      </c>
      <c r="E62" s="5">
        <f>'[1]资源-玩家城池建筑时间'!AL64*'[1]功能-付费相关'!AJ64/节奏总纲!Y62</f>
        <v>5484.2709581466852</v>
      </c>
      <c r="F62" s="5">
        <f>'[1]资源-玩家城池建筑时间'!AM64*'[1]功能-付费相关'!AK64/节奏总纲!Z62</f>
        <v>8303.72188296889</v>
      </c>
      <c r="G62" s="5">
        <f>'[1]资源-玩家城池建筑时间'!AN64*'[1]功能-付费相关'!AL64/节奏总纲!AA62</f>
        <v>16784.706025988526</v>
      </c>
      <c r="H62" s="3"/>
      <c r="I62" s="28">
        <f>'[1]资源-士兵训练时间'!AB64*'[1]功能-付费相关'!AH64/节奏总纲!W62</f>
        <v>1642.8036839490921</v>
      </c>
      <c r="J62" s="28">
        <f>'[1]资源-士兵训练时间'!AC64*'[1]功能-付费相关'!AI64/节奏总纲!X62</f>
        <v>2224.6299886810639</v>
      </c>
      <c r="K62" s="28">
        <f>'[1]资源-士兵训练时间'!AD64*'[1]功能-付费相关'!AJ64/节奏总纲!Y62</f>
        <v>3770.663447634804</v>
      </c>
      <c r="L62" s="28">
        <f>'[1]资源-士兵训练时间'!AE64*'[1]功能-付费相关'!AK64/节奏总纲!Z62</f>
        <v>6493.3254948689773</v>
      </c>
      <c r="M62" s="28">
        <f>'[1]资源-士兵训练时间'!AF64*'[1]功能-付费相关'!AL64/节奏总纲!AA62</f>
        <v>14707.505599801785</v>
      </c>
      <c r="N62" s="34"/>
      <c r="O62" s="34">
        <f>'[1]资源-士兵招募时间'!AC64*'[1]功能-付费相关'!AH64/节奏总纲!W62</f>
        <v>905.69882882819888</v>
      </c>
      <c r="P62" s="34">
        <f>'[1]资源-士兵招募时间'!AD64*'[1]功能-付费相关'!AI64/节奏总纲!X62</f>
        <v>1119.4947724833814</v>
      </c>
      <c r="Q62" s="34">
        <f>'[1]资源-士兵招募时间'!AE64*'[1]功能-付费相关'!AJ64/节奏总纲!Y62</f>
        <v>1316.6569487467293</v>
      </c>
      <c r="R62" s="34">
        <f>'[1]资源-士兵招募时间'!AF64*'[1]功能-付费相关'!AK64/节奏总纲!Z62</f>
        <v>1320.9628600567326</v>
      </c>
      <c r="S62" s="34">
        <f>'[1]资源-士兵招募时间'!AG64*'[1]功能-付费相关'!AL64/节奏总纲!AA62</f>
        <v>1185.9904842306794</v>
      </c>
      <c r="T62" s="34"/>
      <c r="U62" s="5">
        <f>('[1]资源-木石铜粮'!U64-'[1]资源-木石铜粮'!U63)*'[1]功能-付费相关'!S64/节奏总纲!W62</f>
        <v>1670.655529813253</v>
      </c>
      <c r="V62" s="5">
        <f>('[1]资源-木石铜粮'!V64-'[1]资源-木石铜粮'!V63)*'[1]功能-付费相关'!T64/节奏总纲!X62</f>
        <v>2020.5344421510961</v>
      </c>
      <c r="W62" s="5">
        <f>('[1]资源-木石铜粮'!W64-'[1]资源-木石铜粮'!W63)*'[1]功能-付费相关'!U64/节奏总纲!Y62</f>
        <v>2159.5359455723137</v>
      </c>
      <c r="X62" s="5">
        <f>('[1]资源-木石铜粮'!X64-'[1]资源-木石铜粮'!X63)*'[1]功能-付费相关'!V64/节奏总纲!Z62</f>
        <v>2632.187778222732</v>
      </c>
      <c r="Y62" s="5">
        <f>('[1]资源-木石铜粮'!Y64-'[1]资源-木石铜粮'!Y63)*'[1]功能-付费相关'!W64/节奏总纲!AA62</f>
        <v>4660.4257077227085</v>
      </c>
      <c r="Z62" s="3"/>
      <c r="AA62" s="11">
        <f>('[1]资源-铁'!T64-'[1]资源-铁'!T63)*'[1]功能-付费相关'!X64/节奏总纲!W62</f>
        <v>1718.1859894084591</v>
      </c>
      <c r="AB62" s="11">
        <f>('[1]资源-铁'!U64-'[1]资源-铁'!U63)*'[1]功能-付费相关'!Y64/节奏总纲!X62</f>
        <v>2235.8918280261414</v>
      </c>
      <c r="AC62" s="11">
        <f>('[1]资源-铁'!V64-'[1]资源-铁'!V63)*'[1]功能-付费相关'!Z64/节奏总纲!Y62</f>
        <v>4111.3052126824668</v>
      </c>
      <c r="AD62" s="11">
        <f>('[1]资源-铁'!W64-'[1]资源-铁'!W63)*'[1]功能-付费相关'!AA64/节奏总纲!Z62</f>
        <v>7107.4500823173848</v>
      </c>
      <c r="AE62" s="11">
        <f>('[1]资源-铁'!X64-'[1]资源-铁'!X63)*'[1]功能-付费相关'!AB64/节奏总纲!AA62</f>
        <v>16018.467730359984</v>
      </c>
      <c r="AG62" s="11">
        <f>('[1]资源-银币'!Y64-'[1]资源-银币'!Y63)*'[1]功能-付费相关'!AQ64/节奏总纲!W62</f>
        <v>713.1283028554991</v>
      </c>
      <c r="AH62" s="11">
        <f>('[1]资源-银币'!Z64-'[1]资源-银币'!Z63)*'[1]功能-付费相关'!AR64/节奏总纲!X62</f>
        <v>848.51965328389804</v>
      </c>
      <c r="AI62" s="11">
        <f>('[1]资源-银币'!AA64-'[1]资源-银币'!AA63)*'[1]功能-付费相关'!AS64/节奏总纲!Y62</f>
        <v>1306.5162691827152</v>
      </c>
      <c r="AJ62" s="11">
        <f>('[1]资源-银币'!AB64-'[1]资源-银币'!AB63)*'[1]功能-付费相关'!AT64/节奏总纲!Z62</f>
        <v>2248.5799724493208</v>
      </c>
      <c r="AK62" s="11">
        <f>('[1]资源-银币'!AC64-'[1]资源-银币'!AC63)*'[1]功能-付费相关'!AU64/节奏总纲!AA62</f>
        <v>5200.3650030828576</v>
      </c>
      <c r="AM62" s="11" t="e">
        <f>(#REF!-#REF!)*'[1]功能-付费相关'!CA64/节奏总纲!W62</f>
        <v>#REF!</v>
      </c>
      <c r="AN62" s="11" t="e">
        <f>(#REF!-#REF!)*'[1]功能-付费相关'!CB64/节奏总纲!X62</f>
        <v>#REF!</v>
      </c>
      <c r="AO62" s="11" t="e">
        <f>(#REF!-#REF!)*'[1]功能-付费相关'!CC64/节奏总纲!Y62</f>
        <v>#REF!</v>
      </c>
      <c r="AP62" s="11" t="e">
        <f>(#REF!-#REF!)*'[1]功能-付费相关'!CD64/节奏总纲!Z62</f>
        <v>#REF!</v>
      </c>
      <c r="AQ62" s="11" t="e">
        <f>(#REF!-#REF!)*'[1]功能-付费相关'!CE64/节奏总纲!AA62</f>
        <v>#REF!</v>
      </c>
      <c r="AR62" s="21"/>
      <c r="AS62" s="11">
        <f>(信息索引!U64-信息索引!U63)*'[1]功能-付费相关'!BI64/节奏总纲!W62</f>
        <v>1075.6349976161021</v>
      </c>
      <c r="AT62" s="11">
        <f>(信息索引!V64-信息索引!V63)*'[1]功能-付费相关'!BJ64/节奏总纲!X62</f>
        <v>1294.2156734613986</v>
      </c>
      <c r="AU62" s="11">
        <f>(信息索引!W64-信息索引!W63)*'[1]功能-付费相关'!BK64/节奏总纲!Y62</f>
        <v>1175.2122241791456</v>
      </c>
      <c r="AV62" s="11">
        <f>(信息索引!X64-信息索引!X63)*'[1]功能-付费相关'!BL64/节奏总纲!Z62</f>
        <v>1455.2126484232165</v>
      </c>
      <c r="AW62" s="11">
        <f>(信息索引!Y64-信息索引!Y63)*'[1]功能-付费相关'!BM64/节奏总纲!AA62</f>
        <v>3201.0360821018126</v>
      </c>
      <c r="AY62" s="11">
        <f>('[1]资源-武将经验'!T64*节奏总纲!BJ62-'[1]资源-武将经验'!T63*节奏总纲!BJ61)*'[1]功能-付费相关'!AZ64/节奏总纲!W62</f>
        <v>960.83066541975131</v>
      </c>
      <c r="AZ62" s="11">
        <f>('[1]资源-武将经验'!U64*节奏总纲!BK62-'[1]资源-武将经验'!U63*节奏总纲!BK61)*'[1]功能-付费相关'!BA64/节奏总纲!X62</f>
        <v>1117.2581377399142</v>
      </c>
      <c r="BA62" s="11">
        <f>('[1]资源-武将经验'!V64*节奏总纲!BL62-'[1]资源-武将经验'!V63*节奏总纲!BL61)*'[1]功能-付费相关'!BB64/节奏总纲!Y62</f>
        <v>1000.2013805985233</v>
      </c>
      <c r="BB62" s="11">
        <f>('[1]资源-武将经验'!W64*节奏总纲!BM62-'[1]资源-武将经验'!W63*节奏总纲!BM61)*'[1]功能-付费相关'!BC64/节奏总纲!Z62</f>
        <v>2508.9184155153325</v>
      </c>
      <c r="BC62" s="11">
        <f>('[1]资源-武将经验'!X64*节奏总纲!BN62-'[1]资源-武将经验'!X63*节奏总纲!BN61)*'[1]功能-付费相关'!BD64/节奏总纲!AA62</f>
        <v>6996.3151177160635</v>
      </c>
      <c r="BD62" s="29"/>
      <c r="BE62" s="33" t="e">
        <f t="shared" si="1"/>
        <v>#REF!</v>
      </c>
      <c r="BF62" s="33" t="e">
        <f t="shared" si="2"/>
        <v>#REF!</v>
      </c>
      <c r="BG62" s="33" t="e">
        <f t="shared" si="3"/>
        <v>#REF!</v>
      </c>
      <c r="BH62" s="33" t="e">
        <f t="shared" si="4"/>
        <v>#REF!</v>
      </c>
      <c r="BI62" s="33" t="e">
        <f t="shared" si="5"/>
        <v>#REF!</v>
      </c>
      <c r="BJ62" s="29"/>
      <c r="BK62" s="29"/>
      <c r="BL62" s="29"/>
      <c r="BM62" s="29"/>
      <c r="BN62" s="29"/>
    </row>
    <row r="63" spans="2:66" x14ac:dyDescent="0.15">
      <c r="B63" s="5">
        <v>60</v>
      </c>
      <c r="C63" s="5">
        <f>'[1]资源-玩家城池建筑时间'!AJ65*'[1]功能-付费相关'!AH65/节奏总纲!W63</f>
        <v>3173.9283795450742</v>
      </c>
      <c r="D63" s="5">
        <f>'[1]资源-玩家城池建筑时间'!AK65*'[1]功能-付费相关'!AI65/节奏总纲!X63</f>
        <v>4030.7272324098203</v>
      </c>
      <c r="E63" s="5">
        <f>'[1]资源-玩家城池建筑时间'!AL65*'[1]功能-付费相关'!AJ65/节奏总纲!Y63</f>
        <v>5415.7303710824081</v>
      </c>
      <c r="F63" s="5">
        <f>'[1]资源-玩家城池建筑时间'!AM65*'[1]功能-付费相关'!AK65/节奏总纲!Z63</f>
        <v>8198.9690627794735</v>
      </c>
      <c r="G63" s="5">
        <f>'[1]资源-玩家城池建筑时间'!AN65*'[1]功能-付费相关'!AL65/节奏总纲!AA63</f>
        <v>16623.266577348186</v>
      </c>
      <c r="H63" s="3"/>
      <c r="I63" s="28">
        <f>'[1]资源-士兵训练时间'!AB65*'[1]功能-付费相关'!AH65/节奏总纲!W63</f>
        <v>1607.4432550007102</v>
      </c>
      <c r="J63" s="28">
        <f>'[1]资源-士兵训练时间'!AC65*'[1]功能-付费相关'!AI65/节奏总纲!X63</f>
        <v>2255.8602721118091</v>
      </c>
      <c r="K63" s="28">
        <f>'[1]资源-士兵训练时间'!AD65*'[1]功能-付费相关'!AJ65/节奏总纲!Y63</f>
        <v>3763.7218484501818</v>
      </c>
      <c r="L63" s="28">
        <f>'[1]资源-士兵训练时间'!AE65*'[1]功能-付费相关'!AK65/节奏总纲!Z63</f>
        <v>6474.5991002589471</v>
      </c>
      <c r="M63" s="28">
        <f>'[1]资源-士兵训练时间'!AF65*'[1]功能-付费相关'!AL65/节奏总纲!AA63</f>
        <v>14413.96233846689</v>
      </c>
      <c r="N63" s="34"/>
      <c r="O63" s="34">
        <f>'[1]资源-士兵招募时间'!AC65*'[1]功能-付费相关'!AH65/节奏总纲!W63</f>
        <v>893.36729762361676</v>
      </c>
      <c r="P63" s="34">
        <f>'[1]资源-士兵招募时间'!AD65*'[1]功能-付费相关'!AI65/节奏总纲!X63</f>
        <v>1106.5802822408077</v>
      </c>
      <c r="Q63" s="34">
        <f>'[1]资源-士兵招募时间'!AE65*'[1]功能-付费相关'!AJ65/节奏总纲!Y63</f>
        <v>1300.6208346225651</v>
      </c>
      <c r="R63" s="34">
        <f>'[1]资源-士兵招募时间'!AF65*'[1]功能-付费相关'!AK65/节奏总纲!Z63</f>
        <v>1304.4275219265646</v>
      </c>
      <c r="S63" s="34">
        <f>'[1]资源-士兵招募时间'!AG65*'[1]功能-付费相关'!AL65/节奏总纲!AA63</f>
        <v>1164.1102906944895</v>
      </c>
      <c r="T63" s="34"/>
      <c r="U63" s="5">
        <f>('[1]资源-木石铜粮'!U65-'[1]资源-木石铜粮'!U64)*'[1]功能-付费相关'!S65/节奏总纲!W63</f>
        <v>1629.5492039057558</v>
      </c>
      <c r="V63" s="5">
        <f>('[1]资源-木石铜粮'!V65-'[1]资源-木石铜粮'!V64)*'[1]功能-付费相关'!T65/节奏总纲!X63</f>
        <v>1653.570448685826</v>
      </c>
      <c r="W63" s="5">
        <f>('[1]资源-木石铜粮'!W65-'[1]资源-木石铜粮'!W64)*'[1]功能-付费相关'!U65/节奏总纲!Y63</f>
        <v>2003.4140300165207</v>
      </c>
      <c r="X63" s="5">
        <f>('[1]资源-木石铜粮'!X65-'[1]资源-木石铜粮'!X64)*'[1]功能-付费相关'!V65/节奏总纲!Z63</f>
        <v>2621.524796655076</v>
      </c>
      <c r="Y63" s="5">
        <f>('[1]资源-木石铜粮'!Y65-'[1]资源-木石铜粮'!Y64)*'[1]功能-付费相关'!W65/节奏总纲!AA63</f>
        <v>4521.8244437257517</v>
      </c>
      <c r="Z63" s="3"/>
      <c r="AA63" s="11">
        <f>('[1]资源-铁'!T65-'[1]资源-铁'!T64)*'[1]功能-付费相关'!X65/节奏总纲!W63</f>
        <v>1646.5868518606574</v>
      </c>
      <c r="AB63" s="11">
        <f>('[1]资源-铁'!U65-'[1]资源-铁'!U64)*'[1]功能-付费相关'!Y65/节奏总纲!X63</f>
        <v>2718.7824146904209</v>
      </c>
      <c r="AC63" s="11">
        <f>('[1]资源-铁'!V65-'[1]资源-铁'!V64)*'[1]功能-付费相关'!Z65/节奏总纲!Y63</f>
        <v>4390.8559931963018</v>
      </c>
      <c r="AD63" s="11">
        <f>('[1]资源-铁'!W65-'[1]资源-铁'!W64)*'[1]功能-付费相关'!AA65/节奏总纲!Z63</f>
        <v>7334.3041889210372</v>
      </c>
      <c r="AE63" s="11">
        <f>('[1]资源-铁'!X65-'[1]资源-铁'!X64)*'[1]功能-付费相关'!AB65/节奏总纲!AA63</f>
        <v>16093.799535245018</v>
      </c>
      <c r="AG63" s="11">
        <f>('[1]资源-银币'!Y65-'[1]资源-银币'!Y64)*'[1]功能-付费相关'!AQ65/节奏总纲!W63</f>
        <v>819.05915365005444</v>
      </c>
      <c r="AH63" s="11">
        <f>('[1]资源-银币'!Z65-'[1]资源-银币'!Z64)*'[1]功能-付费相关'!AR65/节奏总纲!X63</f>
        <v>969.85569079157585</v>
      </c>
      <c r="AI63" s="11">
        <f>('[1]资源-银币'!AA65-'[1]资源-银币'!AA64)*'[1]功能-付费相关'!AS65/节奏总纲!Y63</f>
        <v>1462.6527858831071</v>
      </c>
      <c r="AJ63" s="11">
        <f>('[1]资源-银币'!AB65-'[1]资源-银币'!AB64)*'[1]功能-付费相关'!AT65/节奏总纲!Z63</f>
        <v>2517.4421696653239</v>
      </c>
      <c r="AK63" s="11">
        <f>('[1]资源-银币'!AC65-'[1]资源-银币'!AC64)*'[1]功能-付费相关'!AU65/节奏总纲!AA63</f>
        <v>5178.6655412763776</v>
      </c>
      <c r="AM63" s="11" t="e">
        <f>(#REF!-#REF!)*'[1]功能-付费相关'!CA65/节奏总纲!W63</f>
        <v>#REF!</v>
      </c>
      <c r="AN63" s="11" t="e">
        <f>(#REF!-#REF!)*'[1]功能-付费相关'!CB65/节奏总纲!X63</f>
        <v>#REF!</v>
      </c>
      <c r="AO63" s="11" t="e">
        <f>(#REF!-#REF!)*'[1]功能-付费相关'!CC65/节奏总纲!Y63</f>
        <v>#REF!</v>
      </c>
      <c r="AP63" s="11" t="e">
        <f>(#REF!-#REF!)*'[1]功能-付费相关'!CD65/节奏总纲!Z63</f>
        <v>#REF!</v>
      </c>
      <c r="AQ63" s="11" t="e">
        <f>(#REF!-#REF!)*'[1]功能-付费相关'!CE65/节奏总纲!AA63</f>
        <v>#REF!</v>
      </c>
      <c r="AR63" s="21"/>
      <c r="AS63" s="11">
        <f>(信息索引!U65-信息索引!U64)*'[1]功能-付费相关'!BI65/节奏总纲!W63</f>
        <v>974.95595544285595</v>
      </c>
      <c r="AT63" s="11">
        <f>(信息索引!V65-信息索引!V64)*'[1]功能-付费相关'!BJ65/节奏总纲!X63</f>
        <v>811.53195749199165</v>
      </c>
      <c r="AU63" s="11">
        <f>(信息索引!W65-信息索引!W64)*'[1]功能-付费相关'!BK65/节奏总纲!Y63</f>
        <v>930.24018272842352</v>
      </c>
      <c r="AV63" s="11">
        <f>(信息索引!X65-信息索引!X64)*'[1]功能-付费相关'!BL65/节奏总纲!Z63</f>
        <v>1346.595487068899</v>
      </c>
      <c r="AW63" s="11">
        <f>(信息索引!Y65-信息索引!Y64)*'[1]功能-付费相关'!BM65/节奏总纲!AA63</f>
        <v>2858.075127201419</v>
      </c>
      <c r="AY63" s="11">
        <f>('[1]资源-武将经验'!T65*节奏总纲!BJ63-'[1]资源-武将经验'!T64*节奏总纲!BJ62)*'[1]功能-付费相关'!AZ65/节奏总纲!W63</f>
        <v>1454.5997126123107</v>
      </c>
      <c r="AZ63" s="11">
        <f>('[1]资源-武将经验'!U65*节奏总纲!BK63-'[1]资源-武将经验'!U64*节奏总纲!BK62)*'[1]功能-付费相关'!BA65/节奏总纲!X63</f>
        <v>1225.8992287104961</v>
      </c>
      <c r="BA63" s="11">
        <f>('[1]资源-武将经验'!V65*节奏总纲!BL63-'[1]资源-武将经验'!V64*节奏总纲!BL62)*'[1]功能-付费相关'!BB65/节奏总纲!Y63</f>
        <v>1440.4957104471625</v>
      </c>
      <c r="BB63" s="11">
        <f>('[1]资源-武将经验'!W65*节奏总纲!BM63-'[1]资源-武将经验'!W64*节奏总纲!BM62)*'[1]功能-付费相关'!BC65/节奏总纲!Z63</f>
        <v>4085.5222972721567</v>
      </c>
      <c r="BC63" s="11">
        <f>('[1]资源-武将经验'!X65*节奏总纲!BN63-'[1]资源-武将经验'!X64*节奏总纲!BN62)*'[1]功能-付费相关'!BD65/节奏总纲!AA63</f>
        <v>8719.4001815048887</v>
      </c>
      <c r="BD63" s="29"/>
      <c r="BE63" s="33" t="e">
        <f t="shared" si="1"/>
        <v>#REF!</v>
      </c>
      <c r="BF63" s="33" t="e">
        <f t="shared" si="2"/>
        <v>#REF!</v>
      </c>
      <c r="BG63" s="33" t="e">
        <f t="shared" si="3"/>
        <v>#REF!</v>
      </c>
      <c r="BH63" s="33" t="e">
        <f t="shared" si="4"/>
        <v>#REF!</v>
      </c>
      <c r="BI63" s="33" t="e">
        <f t="shared" si="5"/>
        <v>#REF!</v>
      </c>
      <c r="BJ63" s="29"/>
      <c r="BK63" s="29"/>
      <c r="BL63" s="29"/>
      <c r="BM63" s="29"/>
      <c r="BN63" s="29"/>
    </row>
    <row r="64" spans="2:66" x14ac:dyDescent="0.15">
      <c r="B64" s="5">
        <v>61</v>
      </c>
      <c r="C64" s="5">
        <f>'[1]资源-玩家城池建筑时间'!AJ66*'[1]功能-付费相关'!AH66/节奏总纲!W64</f>
        <v>3228.9832889125269</v>
      </c>
      <c r="D64" s="5">
        <f>'[1]资源-玩家城池建筑时间'!AK66*'[1]功能-付费相关'!AI66/节奏总纲!X64</f>
        <v>4049.2365450794255</v>
      </c>
      <c r="E64" s="5">
        <f>'[1]资源-玩家城池建筑时间'!AL66*'[1]功能-付费相关'!AJ66/节奏总纲!Y64</f>
        <v>5465.979375186319</v>
      </c>
      <c r="F64" s="5">
        <f>'[1]资源-玩家城池建筑时间'!AM66*'[1]功能-付费相关'!AK66/节奏总纲!Z64</f>
        <v>8306.6485138141979</v>
      </c>
      <c r="G64" s="5">
        <f>'[1]资源-玩家城池建筑时间'!AN66*'[1]功能-付费相关'!AL66/节奏总纲!AA64</f>
        <v>16719.454474449642</v>
      </c>
      <c r="H64" s="3"/>
      <c r="I64" s="28">
        <f>'[1]资源-士兵训练时间'!AB66*'[1]功能-付费相关'!AH66/节奏总纲!W64</f>
        <v>1670.942667056057</v>
      </c>
      <c r="J64" s="28">
        <f>'[1]资源-士兵训练时间'!AC66*'[1]功能-付费相关'!AI66/节奏总纲!X64</f>
        <v>2278.6753128200244</v>
      </c>
      <c r="K64" s="28">
        <f>'[1]资源-士兵训练时间'!AD66*'[1]功能-付费相关'!AJ66/节奏总纲!Y64</f>
        <v>3836.7994668201241</v>
      </c>
      <c r="L64" s="28">
        <f>'[1]资源-士兵训练时间'!AE66*'[1]功能-付费相关'!AK66/节奏总纲!Z64</f>
        <v>6485.7661014325213</v>
      </c>
      <c r="M64" s="28">
        <f>'[1]资源-士兵训练时间'!AF66*'[1]功能-付费相关'!AL66/节奏总纲!AA64</f>
        <v>13400.239411025155</v>
      </c>
      <c r="N64" s="34"/>
      <c r="O64" s="34">
        <f>'[1]资源-士兵招募时间'!AC66*'[1]功能-付费相关'!AH66/节奏总纲!W64</f>
        <v>909.73733979091674</v>
      </c>
      <c r="P64" s="34">
        <f>'[1]资源-士兵招募时间'!AD66*'[1]功能-付费相关'!AI66/节奏总纲!X64</f>
        <v>1116.8436435573728</v>
      </c>
      <c r="Q64" s="34">
        <f>'[1]资源-士兵招募时间'!AE66*'[1]功能-付费相关'!AJ66/节奏总纲!Y64</f>
        <v>1312.4555736359619</v>
      </c>
      <c r="R64" s="34">
        <f>'[1]资源-士兵招募时间'!AF66*'[1]功能-付费相关'!AK66/节奏总纲!Z64</f>
        <v>1311.9728912077271</v>
      </c>
      <c r="S64" s="34">
        <f>'[1]资源-士兵招募时间'!AG66*'[1]功能-付费相关'!AL66/节奏总纲!AA64</f>
        <v>1186.5938229680016</v>
      </c>
      <c r="T64" s="34"/>
      <c r="U64" s="5">
        <f>('[1]资源-木石铜粮'!U66-'[1]资源-木石铜粮'!U65)*'[1]功能-付费相关'!S66/节奏总纲!W64</f>
        <v>1700.7543631428384</v>
      </c>
      <c r="V64" s="5">
        <f>('[1]资源-木石铜粮'!V66-'[1]资源-木石铜粮'!V65)*'[1]功能-付费相关'!T66/节奏总纲!X64</f>
        <v>1963.787987881967</v>
      </c>
      <c r="W64" s="5">
        <f>('[1]资源-木石铜粮'!W66-'[1]资源-木石铜粮'!W65)*'[1]功能-付费相关'!U66/节奏总纲!Y64</f>
        <v>2467.2102200857644</v>
      </c>
      <c r="X64" s="5">
        <f>('[1]资源-木石铜粮'!X66-'[1]资源-木石铜粮'!X65)*'[1]功能-付费相关'!V66/节奏总纲!Z64</f>
        <v>3172.5977384141943</v>
      </c>
      <c r="Y64" s="5">
        <f>('[1]资源-木石铜粮'!Y66-'[1]资源-木石铜粮'!Y65)*'[1]功能-付费相关'!W66/节奏总纲!AA64</f>
        <v>6980.788265174082</v>
      </c>
      <c r="Z64" s="3"/>
      <c r="AA64" s="11">
        <f>('[1]资源-铁'!T66-'[1]资源-铁'!T65)*'[1]功能-付费相关'!X66/节奏总纲!W64</f>
        <v>2086.4998855385929</v>
      </c>
      <c r="AB64" s="11">
        <f>('[1]资源-铁'!U66-'[1]资源-铁'!U65)*'[1]功能-付费相关'!Y66/节奏总纲!X64</f>
        <v>2823.4272237310201</v>
      </c>
      <c r="AC64" s="11">
        <f>('[1]资源-铁'!V66-'[1]资源-铁'!V65)*'[1]功能-付费相关'!Z66/节奏总纲!Y64</f>
        <v>4702.4197676269632</v>
      </c>
      <c r="AD64" s="11">
        <f>('[1]资源-铁'!W66-'[1]资源-铁'!W65)*'[1]功能-付费相关'!AA66/节奏总纲!Z64</f>
        <v>7613.6495069801349</v>
      </c>
      <c r="AE64" s="11">
        <f>('[1]资源-铁'!X66-'[1]资源-铁'!X65)*'[1]功能-付费相关'!AB66/节奏总纲!AA64</f>
        <v>15647.675719142724</v>
      </c>
      <c r="AG64" s="11">
        <f>('[1]资源-银币'!Y66-'[1]资源-银币'!Y65)*'[1]功能-付费相关'!AQ66/节奏总纲!W64</f>
        <v>1002.7751375301905</v>
      </c>
      <c r="AH64" s="11">
        <f>('[1]资源-银币'!Z66-'[1]资源-银币'!Z65)*'[1]功能-付费相关'!AR66/节奏总纲!X64</f>
        <v>1227.9866929172911</v>
      </c>
      <c r="AI64" s="11">
        <f>('[1]资源-银币'!AA66-'[1]资源-银币'!AA65)*'[1]功能-付费相关'!AS66/节奏总纲!Y64</f>
        <v>1806.0014922971159</v>
      </c>
      <c r="AJ64" s="11">
        <f>('[1]资源-银币'!AB66-'[1]资源-银币'!AB65)*'[1]功能-付费相关'!AT66/节奏总纲!Z64</f>
        <v>2779.0618561948054</v>
      </c>
      <c r="AK64" s="11">
        <f>('[1]资源-银币'!AC66-'[1]资源-银币'!AC65)*'[1]功能-付费相关'!AU66/节奏总纲!AA64</f>
        <v>6633.3373767525518</v>
      </c>
      <c r="AM64" s="11" t="e">
        <f>(#REF!-#REF!)*'[1]功能-付费相关'!CA66/节奏总纲!W64</f>
        <v>#REF!</v>
      </c>
      <c r="AN64" s="11" t="e">
        <f>(#REF!-#REF!)*'[1]功能-付费相关'!CB66/节奏总纲!X64</f>
        <v>#REF!</v>
      </c>
      <c r="AO64" s="11" t="e">
        <f>(#REF!-#REF!)*'[1]功能-付费相关'!CC66/节奏总纲!Y64</f>
        <v>#REF!</v>
      </c>
      <c r="AP64" s="11" t="e">
        <f>(#REF!-#REF!)*'[1]功能-付费相关'!CD66/节奏总纲!Z64</f>
        <v>#REF!</v>
      </c>
      <c r="AQ64" s="11" t="e">
        <f>(#REF!-#REF!)*'[1]功能-付费相关'!CE66/节奏总纲!AA64</f>
        <v>#REF!</v>
      </c>
      <c r="AR64" s="21"/>
      <c r="AS64" s="11">
        <f>(信息索引!U66-信息索引!U65)*'[1]功能-付费相关'!BI66/节奏总纲!W64</f>
        <v>1678.1816207109214</v>
      </c>
      <c r="AT64" s="11">
        <f>(信息索引!V66-信息索引!V65)*'[1]功能-付费相关'!BJ66/节奏总纲!X64</f>
        <v>1851.0735350517718</v>
      </c>
      <c r="AU64" s="11">
        <f>(信息索引!W66-信息索引!W65)*'[1]功能-付费相关'!BK66/节奏总纲!Y64</f>
        <v>2332.0680512405584</v>
      </c>
      <c r="AV64" s="11">
        <f>(信息索引!X66-信息索引!X65)*'[1]功能-付费相关'!BL66/节奏总纲!Z64</f>
        <v>3306.5471025901352</v>
      </c>
      <c r="AW64" s="11">
        <f>(信息索引!Y66-信息索引!Y65)*'[1]功能-付费相关'!BM66/节奏总纲!AA64</f>
        <v>10636.725954474929</v>
      </c>
      <c r="AY64" s="11">
        <f>('[1]资源-武将经验'!T66*节奏总纲!BJ64-'[1]资源-武将经验'!T65*节奏总纲!BJ63)*'[1]功能-付费相关'!AZ66/节奏总纲!W64</f>
        <v>1560.8125915044041</v>
      </c>
      <c r="AZ64" s="11">
        <f>('[1]资源-武将经验'!U66*节奏总纲!BK64-'[1]资源-武将经验'!U65*节奏总纲!BK63)*'[1]功能-付费相关'!BA66/节奏总纲!X64</f>
        <v>1660.3386255524429</v>
      </c>
      <c r="BA64" s="11">
        <f>('[1]资源-武将经验'!V66*节奏总纲!BL64-'[1]资源-武将经验'!V65*节奏总纲!BL63)*'[1]功能-付费相关'!BB66/节奏总纲!Y64</f>
        <v>2150.6396063793213</v>
      </c>
      <c r="BB64" s="11">
        <f>('[1]资源-武将经验'!W66*节奏总纲!BM64-'[1]资源-武将经验'!W65*节奏总纲!BM63)*'[1]功能-付费相关'!BC66/节奏总纲!Z64</f>
        <v>5294.0715879987101</v>
      </c>
      <c r="BC64" s="11">
        <f>('[1]资源-武将经验'!X66*节奏总纲!BN64-'[1]资源-武将经验'!X65*节奏总纲!BN63)*'[1]功能-付费相关'!BD66/节奏总纲!AA64</f>
        <v>17124.445977505875</v>
      </c>
      <c r="BD64" s="29"/>
      <c r="BE64" s="33" t="e">
        <f t="shared" si="1"/>
        <v>#REF!</v>
      </c>
      <c r="BF64" s="33" t="e">
        <f t="shared" si="2"/>
        <v>#REF!</v>
      </c>
      <c r="BG64" s="33" t="e">
        <f t="shared" si="3"/>
        <v>#REF!</v>
      </c>
      <c r="BH64" s="33" t="e">
        <f t="shared" si="4"/>
        <v>#REF!</v>
      </c>
      <c r="BI64" s="33" t="e">
        <f t="shared" si="5"/>
        <v>#REF!</v>
      </c>
      <c r="BJ64" s="29"/>
      <c r="BK64" s="29"/>
      <c r="BL64" s="29"/>
      <c r="BM64" s="29"/>
      <c r="BN64" s="29"/>
    </row>
    <row r="65" spans="2:66" x14ac:dyDescent="0.15">
      <c r="B65" s="5">
        <v>62</v>
      </c>
      <c r="C65" s="5">
        <f>'[1]资源-玩家城池建筑时间'!AJ67*'[1]功能-付费相关'!AH67/节奏总纲!W65</f>
        <v>3235.7079606869588</v>
      </c>
      <c r="D65" s="5">
        <f>'[1]资源-玩家城池建筑时间'!AK67*'[1]功能-付费相关'!AI67/节奏总纲!X65</f>
        <v>4099.4845313897358</v>
      </c>
      <c r="E65" s="5">
        <f>'[1]资源-玩家城池建筑时间'!AL67*'[1]功能-付费相关'!AJ67/节奏总纲!Y65</f>
        <v>5495.9290836975388</v>
      </c>
      <c r="F65" s="5">
        <f>'[1]资源-玩家城池建筑时间'!AM67*'[1]功能-付费相关'!AK67/节奏总纲!Z65</f>
        <v>8311.6332886741093</v>
      </c>
      <c r="G65" s="5">
        <f>'[1]资源-玩家城池建筑时间'!AN67*'[1]功能-付费相关'!AL67/节奏总纲!AA65</f>
        <v>16811.123889206119</v>
      </c>
      <c r="H65" s="3"/>
      <c r="I65" s="28">
        <f>'[1]资源-士兵训练时间'!AB67*'[1]功能-付费相关'!AH67/节奏总纲!W65</f>
        <v>1678.6987910574908</v>
      </c>
      <c r="J65" s="28">
        <f>'[1]资源-士兵训练时间'!AC67*'[1]功能-付费相关'!AI67/节奏总纲!X65</f>
        <v>2338.0496750935145</v>
      </c>
      <c r="K65" s="28">
        <f>'[1]资源-士兵训练时间'!AD67*'[1]功能-付费相关'!AJ67/节奏总纲!Y65</f>
        <v>3839.5603231446967</v>
      </c>
      <c r="L65" s="28">
        <f>'[1]资源-士兵训练时间'!AE67*'[1]功能-付费相关'!AK67/节奏总纲!Z65</f>
        <v>6486.2830523100993</v>
      </c>
      <c r="M65" s="28">
        <f>'[1]资源-士兵训练时间'!AF67*'[1]功能-付费相关'!AL67/节奏总纲!AA65</f>
        <v>12434.136707003849</v>
      </c>
      <c r="N65" s="34"/>
      <c r="O65" s="34">
        <f>'[1]资源-士兵招募时间'!AC67*'[1]功能-付费相关'!AH67/节奏总纲!W65</f>
        <v>1033.6969376144659</v>
      </c>
      <c r="P65" s="34">
        <f>'[1]资源-士兵招募时间'!AD67*'[1]功能-付费相关'!AI67/节奏总纲!X65</f>
        <v>1124.7218823601086</v>
      </c>
      <c r="Q65" s="34">
        <f>'[1]资源-士兵招募时间'!AE67*'[1]功能-付费相关'!AJ67/节奏总纲!Y65</f>
        <v>1321.5396002509158</v>
      </c>
      <c r="R65" s="34">
        <f>'[1]资源-士兵招募时间'!AF67*'[1]功能-付费相关'!AK67/节奏总纲!Z65</f>
        <v>1316.2551540252591</v>
      </c>
      <c r="S65" s="34">
        <f>'[1]资源-士兵招募时间'!AG67*'[1]功能-付费相关'!AL67/节奏总纲!AA65</f>
        <v>1193.6379384865179</v>
      </c>
      <c r="T65" s="34"/>
      <c r="U65" s="5">
        <f>('[1]资源-木石铜粮'!U67-'[1]资源-木石铜粮'!U66)*'[1]功能-付费相关'!S67/节奏总纲!W65</f>
        <v>1737.7044528656136</v>
      </c>
      <c r="V65" s="5">
        <f>('[1]资源-木石铜粮'!V67-'[1]资源-木石铜粮'!V66)*'[1]功能-付费相关'!T67/节奏总纲!X65</f>
        <v>2038.1122052549047</v>
      </c>
      <c r="W65" s="5">
        <f>('[1]资源-木石铜粮'!W67-'[1]资源-木石铜粮'!W66)*'[1]功能-付费相关'!U67/节奏总纲!Y65</f>
        <v>2536.2166540185249</v>
      </c>
      <c r="X65" s="5">
        <f>('[1]资源-木石铜粮'!X67-'[1]资源-木石铜粮'!X66)*'[1]功能-付费相关'!V67/节奏总纲!Z65</f>
        <v>3273.3280997850648</v>
      </c>
      <c r="Y65" s="5">
        <f>('[1]资源-木石铜粮'!Y67-'[1]资源-木石铜粮'!Y66)*'[1]功能-付费相关'!W67/节奏总纲!AA65</f>
        <v>8713.5477151480536</v>
      </c>
      <c r="Z65" s="3"/>
      <c r="AA65" s="11">
        <f>('[1]资源-铁'!T67-'[1]资源-铁'!T66)*'[1]功能-付费相关'!X67/节奏总纲!W65</f>
        <v>2100.8587168134659</v>
      </c>
      <c r="AB65" s="11">
        <f>('[1]资源-铁'!U67-'[1]资源-铁'!U66)*'[1]功能-付费相关'!Y67/节奏总纲!X65</f>
        <v>3156.5516760491232</v>
      </c>
      <c r="AC65" s="11">
        <f>('[1]资源-铁'!V67-'[1]资源-铁'!V66)*'[1]功能-付费相关'!Z67/节奏总纲!Y65</f>
        <v>4740.1822577008616</v>
      </c>
      <c r="AD65" s="11">
        <f>('[1]资源-铁'!W67-'[1]资源-铁'!W66)*'[1]功能-付费相关'!AA67/节奏总纲!Z65</f>
        <v>7426.3186576826683</v>
      </c>
      <c r="AE65" s="11">
        <f>('[1]资源-铁'!X67-'[1]资源-铁'!X66)*'[1]功能-付费相关'!AB67/节奏总纲!AA65</f>
        <v>15239.321439291054</v>
      </c>
      <c r="AG65" s="11">
        <f>('[1]资源-银币'!Y67-'[1]资源-银币'!Y66)*'[1]功能-付费相关'!AQ67/节奏总纲!W65</f>
        <v>979.47428040466764</v>
      </c>
      <c r="AH65" s="11">
        <f>('[1]资源-银币'!Z67-'[1]资源-银币'!Z66)*'[1]功能-付费相关'!AR67/节奏总纲!X65</f>
        <v>1232.2951734850767</v>
      </c>
      <c r="AI65" s="11">
        <f>('[1]资源-银币'!AA67-'[1]资源-银币'!AA66)*'[1]功能-付费相关'!AS67/节奏总纲!Y65</f>
        <v>1772.6322265928018</v>
      </c>
      <c r="AJ65" s="11">
        <f>('[1]资源-银币'!AB67-'[1]资源-银币'!AB66)*'[1]功能-付费相关'!AT67/节奏总纲!Z65</f>
        <v>2780.5275461717251</v>
      </c>
      <c r="AK65" s="11">
        <f>('[1]资源-银币'!AC67-'[1]资源-银币'!AC66)*'[1]功能-付费相关'!AU67/节奏总纲!AA65</f>
        <v>7285.1172822115122</v>
      </c>
      <c r="AM65" s="11" t="e">
        <f>(#REF!-#REF!)*'[1]功能-付费相关'!CA67/节奏总纲!W65</f>
        <v>#REF!</v>
      </c>
      <c r="AN65" s="11" t="e">
        <f>(#REF!-#REF!)*'[1]功能-付费相关'!CB67/节奏总纲!X65</f>
        <v>#REF!</v>
      </c>
      <c r="AO65" s="11" t="e">
        <f>(#REF!-#REF!)*'[1]功能-付费相关'!CC67/节奏总纲!Y65</f>
        <v>#REF!</v>
      </c>
      <c r="AP65" s="11" t="e">
        <f>(#REF!-#REF!)*'[1]功能-付费相关'!CD67/节奏总纲!Z65</f>
        <v>#REF!</v>
      </c>
      <c r="AQ65" s="11" t="e">
        <f>(#REF!-#REF!)*'[1]功能-付费相关'!CE67/节奏总纲!AA65</f>
        <v>#REF!</v>
      </c>
      <c r="AR65" s="21"/>
      <c r="AS65" s="11">
        <f>(信息索引!U67-信息索引!U66)*'[1]功能-付费相关'!BI67/节奏总纲!W65</f>
        <v>1522.7782084075361</v>
      </c>
      <c r="AT65" s="11">
        <f>(信息索引!V67-信息索引!V66)*'[1]功能-付费相关'!BJ67/节奏总纲!X65</f>
        <v>1777.8039838586712</v>
      </c>
      <c r="AU65" s="11">
        <f>(信息索引!W67-信息索引!W66)*'[1]功能-付费相关'!BK67/节奏总纲!Y65</f>
        <v>2238.3388130131757</v>
      </c>
      <c r="AV65" s="11">
        <f>(信息索引!X67-信息索引!X66)*'[1]功能-付费相关'!BL67/节奏总纲!Z65</f>
        <v>3198.0115793288865</v>
      </c>
      <c r="AW65" s="11">
        <f>(信息索引!Y67-信息索引!Y66)*'[1]功能-付费相关'!BM67/节奏总纲!AA65</f>
        <v>13414.621407575154</v>
      </c>
      <c r="AY65" s="11">
        <f>('[1]资源-武将经验'!T67*节奏总纲!BJ65-'[1]资源-武将经验'!T66*节奏总纲!BJ64)*'[1]功能-付费相关'!AZ67/节奏总纲!W65</f>
        <v>1417.2018644634359</v>
      </c>
      <c r="AZ65" s="11">
        <f>('[1]资源-武将经验'!U67*节奏总纲!BK65-'[1]资源-武将经验'!U66*节奏总纲!BK64)*'[1]功能-付费相关'!BA67/节奏总纲!X65</f>
        <v>1595.577467789059</v>
      </c>
      <c r="BA65" s="11">
        <f>('[1]资源-武将经验'!V67*节奏总纲!BL65-'[1]资源-武将经验'!V66*节奏总纲!BL64)*'[1]功能-付费相关'!BB67/节奏总纲!Y65</f>
        <v>2065.5136166994093</v>
      </c>
      <c r="BB65" s="11">
        <f>('[1]资源-武将经验'!W67*节奏总纲!BM65-'[1]资源-武将经验'!W66*节奏总纲!BM64)*'[1]功能-付费相关'!BC67/节奏总纲!Z65</f>
        <v>5123.3088109626142</v>
      </c>
      <c r="BC65" s="11">
        <f>('[1]资源-武将经验'!X67*节奏总纲!BN65-'[1]资源-武将经验'!X66*节奏总纲!BN64)*'[1]功能-付费相关'!BD67/节奏总纲!AA65</f>
        <v>21608.95159326119</v>
      </c>
      <c r="BD65" s="29"/>
      <c r="BE65" s="33" t="e">
        <f t="shared" si="1"/>
        <v>#REF!</v>
      </c>
      <c r="BF65" s="33" t="e">
        <f t="shared" si="2"/>
        <v>#REF!</v>
      </c>
      <c r="BG65" s="33" t="e">
        <f t="shared" si="3"/>
        <v>#REF!</v>
      </c>
      <c r="BH65" s="33" t="e">
        <f t="shared" si="4"/>
        <v>#REF!</v>
      </c>
      <c r="BI65" s="33" t="e">
        <f t="shared" si="5"/>
        <v>#REF!</v>
      </c>
      <c r="BJ65" s="29"/>
      <c r="BK65" s="29"/>
      <c r="BL65" s="29"/>
      <c r="BM65" s="29"/>
      <c r="BN65" s="29"/>
    </row>
    <row r="66" spans="2:66" x14ac:dyDescent="0.15">
      <c r="B66" s="5">
        <v>63</v>
      </c>
      <c r="C66" s="5">
        <f>'[1]资源-玩家城池建筑时间'!AJ68*'[1]功能-付费相关'!AH68/节奏总纲!W66</f>
        <v>3269.3575816159214</v>
      </c>
      <c r="D66" s="5">
        <f>'[1]资源-玩家城池建筑时间'!AK68*'[1]功能-付费相关'!AI68/节奏总纲!X66</f>
        <v>4099.4845313897358</v>
      </c>
      <c r="E66" s="5">
        <f>'[1]资源-玩家城池建筑时间'!AL68*'[1]功能-付费相关'!AJ68/节奏总纲!Y66</f>
        <v>5541.0888591160628</v>
      </c>
      <c r="F66" s="5">
        <f>'[1]资源-玩家城池建筑时间'!AM68*'[1]功能-付费相关'!AK68/节奏总纲!Z66</f>
        <v>8389.5706399039245</v>
      </c>
      <c r="G66" s="5">
        <f>'[1]资源-玩家城池建筑时间'!AN68*'[1]功能-付费相关'!AL68/节奏总纲!AA66</f>
        <v>16811.123889206112</v>
      </c>
      <c r="H66" s="3"/>
      <c r="I66" s="28">
        <f>'[1]资源-士兵训练时间'!AB68*'[1]功能-付费相关'!AH68/节奏总纲!W66</f>
        <v>1715.4015207989796</v>
      </c>
      <c r="J66" s="28">
        <f>'[1]资源-士兵训练时间'!AC68*'[1]功能-付费相关'!AI68/节奏总纲!X66</f>
        <v>2338.0496750935104</v>
      </c>
      <c r="K66" s="28">
        <f>'[1]资源-士兵训练时间'!AD68*'[1]功能-付费相关'!AJ68/节奏总纲!Y66</f>
        <v>3843.7232902578394</v>
      </c>
      <c r="L66" s="28">
        <f>'[1]资源-士兵训练时间'!AE68*'[1]功能-付费相关'!AK68/节奏总纲!Z66</f>
        <v>5747.0404448310901</v>
      </c>
      <c r="M66" s="28">
        <f>'[1]资源-士兵训练时间'!AF68*'[1]功能-付费相关'!AL68/节奏总纲!AA66</f>
        <v>12434.136707003854</v>
      </c>
      <c r="N66" s="34"/>
      <c r="O66" s="34">
        <f>'[1]资源-士兵招募时间'!AC68*'[1]功能-付费相关'!AH68/节奏总纲!W66</f>
        <v>1184.4339359525288</v>
      </c>
      <c r="P66" s="34">
        <f>'[1]资源-士兵招募时间'!AD68*'[1]功能-付费相关'!AI68/节奏总纲!X66</f>
        <v>1167.0513603075037</v>
      </c>
      <c r="Q66" s="34">
        <f>'[1]资源-士兵招募时间'!AE68*'[1]功能-付费相关'!AJ68/节奏总纲!Y66</f>
        <v>1330.2266375326503</v>
      </c>
      <c r="R66" s="34">
        <f>'[1]资源-士兵招募时间'!AF68*'[1]功能-付费相关'!AK68/节奏总纲!Z66</f>
        <v>1324.8514063993252</v>
      </c>
      <c r="S66" s="34">
        <f>'[1]资源-士兵招募时间'!AG68*'[1]功能-付费相关'!AL68/节奏总纲!AA66</f>
        <v>1186.6059544618922</v>
      </c>
      <c r="T66" s="34"/>
      <c r="U66" s="5">
        <f>('[1]资源-木石铜粮'!U68-'[1]资源-木石铜粮'!U67)*'[1]功能-付费相关'!S68/节奏总纲!W66</f>
        <v>1805.607600087485</v>
      </c>
      <c r="V66" s="5">
        <f>('[1]资源-木石铜粮'!V68-'[1]资源-木石铜粮'!V67)*'[1]功能-付费相关'!T68/节奏总纲!X66</f>
        <v>2055.4958562007246</v>
      </c>
      <c r="W66" s="5">
        <f>('[1]资源-木石铜粮'!W68-'[1]资源-木石铜粮'!W67)*'[1]功能-付费相关'!U68/节奏总纲!Y66</f>
        <v>2510.9338526937108</v>
      </c>
      <c r="X66" s="5">
        <f>('[1]资源-木石铜粮'!X68-'[1]资源-木石铜粮'!X67)*'[1]功能-付费相关'!V68/节奏总纲!Z66</f>
        <v>4507.5467094694486</v>
      </c>
      <c r="Y66" s="5">
        <f>('[1]资源-木石铜粮'!Y68-'[1]资源-木石铜粮'!Y67)*'[1]功能-付费相关'!W68/节奏总纲!AA66</f>
        <v>8638.57091199965</v>
      </c>
      <c r="Z66" s="3"/>
      <c r="AA66" s="11">
        <f>('[1]资源-铁'!T68-'[1]资源-铁'!T67)*'[1]功能-付费相关'!X68/节奏总纲!W66</f>
        <v>2313.0266036844819</v>
      </c>
      <c r="AB66" s="11">
        <f>('[1]资源-铁'!U68-'[1]资源-铁'!U67)*'[1]功能-付费相关'!Y68/节奏总纲!X66</f>
        <v>3091.677046132103</v>
      </c>
      <c r="AC66" s="11">
        <f>('[1]资源-铁'!V68-'[1]资源-铁'!V67)*'[1]功能-付费相关'!Z68/节奏总纲!Y66</f>
        <v>4841.5023754723143</v>
      </c>
      <c r="AD66" s="11">
        <f>('[1]资源-铁'!W68-'[1]资源-铁'!W67)*'[1]功能-付费相关'!AA68/节奏总纲!Z66</f>
        <v>7212.0244777711105</v>
      </c>
      <c r="AE66" s="11">
        <f>('[1]资源-铁'!X68-'[1]资源-铁'!X67)*'[1]功能-付费相关'!AB68/节奏总纲!AA66</f>
        <v>14905.344272422906</v>
      </c>
      <c r="AG66" s="11">
        <f>('[1]资源-银币'!Y68-'[1]资源-银币'!Y67)*'[1]功能-付费相关'!AQ68/节奏总纲!W66</f>
        <v>953.27342883968299</v>
      </c>
      <c r="AH66" s="11">
        <f>('[1]资源-银币'!Z68-'[1]资源-银币'!Z67)*'[1]功能-付费相关'!AR68/节奏总纲!X66</f>
        <v>1200.6055617735931</v>
      </c>
      <c r="AI66" s="11">
        <f>('[1]资源-银币'!AA68-'[1]资源-银币'!AA67)*'[1]功能-付费相关'!AS68/节奏总纲!Y66</f>
        <v>1674.7693957516601</v>
      </c>
      <c r="AJ66" s="11">
        <f>('[1]资源-银币'!AB68-'[1]资源-银币'!AB67)*'[1]功能-付费相关'!AT68/节奏总纲!Z66</f>
        <v>3156.6956255965761</v>
      </c>
      <c r="AK66" s="11">
        <f>('[1]资源-银币'!AC68-'[1]资源-银币'!AC67)*'[1]功能-付费相关'!AU68/节奏总纲!AA66</f>
        <v>7028.6781906051128</v>
      </c>
      <c r="AM66" s="11" t="e">
        <f>(#REF!-#REF!)*'[1]功能-付费相关'!CA68/节奏总纲!W66</f>
        <v>#REF!</v>
      </c>
      <c r="AN66" s="11" t="e">
        <f>(#REF!-#REF!)*'[1]功能-付费相关'!CB68/节奏总纲!X66</f>
        <v>#REF!</v>
      </c>
      <c r="AO66" s="11" t="e">
        <f>(#REF!-#REF!)*'[1]功能-付费相关'!CC68/节奏总纲!Y66</f>
        <v>#REF!</v>
      </c>
      <c r="AP66" s="11" t="e">
        <f>(#REF!-#REF!)*'[1]功能-付费相关'!CD68/节奏总纲!Z66</f>
        <v>#REF!</v>
      </c>
      <c r="AQ66" s="11" t="e">
        <f>(#REF!-#REF!)*'[1]功能-付费相关'!CE68/节奏总纲!AA66</f>
        <v>#REF!</v>
      </c>
      <c r="AR66" s="21"/>
      <c r="AS66" s="11">
        <f>(信息索引!U68-信息索引!U67)*'[1]功能-付费相关'!BI68/节奏总纲!W66</f>
        <v>1381.1726893204186</v>
      </c>
      <c r="AT66" s="11">
        <f>(信息索引!V68-信息索引!V67)*'[1]功能-付费相关'!BJ68/节奏总纲!X66</f>
        <v>1607.6170955577693</v>
      </c>
      <c r="AU66" s="11">
        <f>(信息索引!W68-信息索引!W67)*'[1]功能-付费相关'!BK68/节奏总纲!Y66</f>
        <v>1978.9859464609929</v>
      </c>
      <c r="AV66" s="11">
        <f>(信息索引!X68-信息索引!X67)*'[1]功能-付费相关'!BL68/节奏总纲!Z66</f>
        <v>4765.2087825019325</v>
      </c>
      <c r="AW66" s="11">
        <f>(信息索引!Y68-信息索引!Y67)*'[1]功能-付费相关'!BM68/节奏总纲!AA66</f>
        <v>11909.611619295098</v>
      </c>
      <c r="AY66" s="11">
        <f>('[1]资源-武将经验'!T68*节奏总纲!BJ66-'[1]资源-武将经验'!T67*节奏总纲!BJ65)*'[1]功能-付费相关'!AZ68/节奏总纲!W66</f>
        <v>1286.2181580145807</v>
      </c>
      <c r="AZ66" s="11">
        <f>('[1]资源-武将经验'!U68*节奏总纲!BK66-'[1]资源-武将经验'!U67*节奏总纲!BK65)*'[1]功能-付费相关'!BA68/节奏总纲!X66</f>
        <v>1443.6666189253476</v>
      </c>
      <c r="BA66" s="11">
        <f>('[1]资源-武将经验'!V68*节奏总纲!BL66-'[1]资源-武将经验'!V67*节奏总纲!BL65)*'[1]功能-付费相关'!BB68/节奏总纲!Y66</f>
        <v>1827.2981097609945</v>
      </c>
      <c r="BB66" s="11">
        <f>('[1]资源-武将经验'!W68*节奏总纲!BM66-'[1]资源-武将经验'!W67*节奏总纲!BM65)*'[1]功能-付费相关'!BC68/节奏总纲!Z66</f>
        <v>7638.3109654284781</v>
      </c>
      <c r="BC66" s="11">
        <f>('[1]资源-武将经验'!X68*节奏总纲!BN66-'[1]资源-武将经验'!X67*节奏总纲!BN65)*'[1]功能-付费相关'!BD68/节奏总纲!AA66</f>
        <v>19195.05881961617</v>
      </c>
      <c r="BD66" s="29"/>
      <c r="BE66" s="33" t="e">
        <f t="shared" si="1"/>
        <v>#REF!</v>
      </c>
      <c r="BF66" s="33" t="e">
        <f t="shared" si="2"/>
        <v>#REF!</v>
      </c>
      <c r="BG66" s="33" t="e">
        <f t="shared" si="3"/>
        <v>#REF!</v>
      </c>
      <c r="BH66" s="33" t="e">
        <f t="shared" si="4"/>
        <v>#REF!</v>
      </c>
      <c r="BI66" s="33" t="e">
        <f t="shared" si="5"/>
        <v>#REF!</v>
      </c>
      <c r="BJ66" s="29"/>
      <c r="BK66" s="29"/>
      <c r="BL66" s="29"/>
      <c r="BM66" s="29"/>
      <c r="BN66" s="29"/>
    </row>
    <row r="67" spans="2:66" x14ac:dyDescent="0.15">
      <c r="B67" s="5">
        <v>64</v>
      </c>
      <c r="C67" s="5">
        <f>'[1]资源-玩家城池建筑时间'!AJ69*'[1]功能-付费相关'!AH69/节奏总纲!W67</f>
        <v>3279.5876251117916</v>
      </c>
      <c r="D67" s="5">
        <f>'[1]资源-玩家城池建筑时间'!AK69*'[1]功能-付费相关'!AI69/节奏总纲!X67</f>
        <v>4153.2917422941327</v>
      </c>
      <c r="E67" s="5">
        <f>'[1]资源-玩家城池建筑时间'!AL69*'[1]功能-付费相关'!AJ69/节奏总纲!Y67</f>
        <v>5553.1285673398943</v>
      </c>
      <c r="F67" s="5">
        <f>'[1]资源-玩家城池建筑时间'!AM69*'[1]功能-付费相关'!AK69/节奏总纲!Z67</f>
        <v>8405.5619446030523</v>
      </c>
      <c r="G67" s="5">
        <f>'[1]资源-玩家城池建筑时间'!AN69*'[1]功能-付费相关'!AL69/节奏总纲!AA67</f>
        <v>16811.123889206094</v>
      </c>
      <c r="H67" s="3"/>
      <c r="I67" s="28">
        <f>'[1]资源-士兵训练时间'!AB69*'[1]功能-付费相关'!AH69/节奏总纲!W67</f>
        <v>1726.5597600690567</v>
      </c>
      <c r="J67" s="28">
        <f>'[1]资源-士兵训练时间'!AC69*'[1]功能-付费相关'!AI69/节奏总纲!X67</f>
        <v>2342.0797679911684</v>
      </c>
      <c r="K67" s="28">
        <f>'[1]资源-士兵训练时间'!AD69*'[1]功能-付费相关'!AJ69/节奏总纲!Y67</f>
        <v>3742.2142344702952</v>
      </c>
      <c r="L67" s="28">
        <f>'[1]资源-士兵训练时间'!AE69*'[1]功能-付费相关'!AK69/节奏总纲!Z67</f>
        <v>5595.3615181517462</v>
      </c>
      <c r="M67" s="28">
        <f>'[1]资源-士兵训练时间'!AF69*'[1]功能-付费相关'!AL69/节奏总纲!AA67</f>
        <v>12434.13670700387</v>
      </c>
      <c r="N67" s="34"/>
      <c r="O67" s="34">
        <f>'[1]资源-士兵招募时间'!AC69*'[1]功能-付费相关'!AH69/节奏总纲!W67</f>
        <v>1117.4749143014883</v>
      </c>
      <c r="P67" s="34">
        <f>'[1]资源-士兵招募时间'!AD69*'[1]功能-付费相关'!AI69/节奏总纲!X67</f>
        <v>1415.4595668799116</v>
      </c>
      <c r="Q67" s="34">
        <f>'[1]资源-士兵招募时间'!AE69*'[1]功能-付费相关'!AJ69/节奏总纲!Y67</f>
        <v>1338.7333276023637</v>
      </c>
      <c r="R67" s="34">
        <f>'[1]资源-士兵招募时间'!AF69*'[1]功能-付费相关'!AK69/节奏总纲!Z67</f>
        <v>1327.7340495561175</v>
      </c>
      <c r="S67" s="34">
        <f>'[1]资源-士兵招募时间'!AG69*'[1]功能-付费相关'!AL69/节奏总纲!AA67</f>
        <v>1188.3747971679163</v>
      </c>
      <c r="T67" s="34"/>
      <c r="U67" s="5">
        <f>('[1]资源-木石铜粮'!U69-'[1]资源-木石铜粮'!U68)*'[1]功能-付费相关'!S69/节奏总纲!W67</f>
        <v>1779.887946654808</v>
      </c>
      <c r="V67" s="5">
        <f>('[1]资源-木石铜粮'!V69-'[1]资源-木石铜粮'!V68)*'[1]功能-付费相关'!T69/节奏总纲!X67</f>
        <v>2133.8189311918245</v>
      </c>
      <c r="W67" s="5">
        <f>('[1]资源-木石铜粮'!W69-'[1]资源-木石铜粮'!W68)*'[1]功能-付费相关'!U69/节奏总纲!Y67</f>
        <v>2712.6857787709337</v>
      </c>
      <c r="X67" s="5">
        <f>('[1]资源-木石铜粮'!X69-'[1]资源-木石铜粮'!X68)*'[1]功能-付费相关'!V69/节奏总纲!Z67</f>
        <v>4820.5204441846827</v>
      </c>
      <c r="Y67" s="5">
        <f>('[1]资源-木石铜粮'!Y69-'[1]资源-木石铜粮'!Y68)*'[1]功能-付费相关'!W69/节奏总纲!AA67</f>
        <v>8676.8231398271801</v>
      </c>
      <c r="Z67" s="3"/>
      <c r="AA67" s="11">
        <f>('[1]资源-铁'!T69-'[1]资源-铁'!T68)*'[1]功能-付费相关'!X69/节奏总纲!W67</f>
        <v>2342.1275655486652</v>
      </c>
      <c r="AB67" s="11">
        <f>('[1]资源-铁'!U69-'[1]资源-铁'!U68)*'[1]功能-付费相关'!Y69/节奏总纲!X67</f>
        <v>3264.571247720075</v>
      </c>
      <c r="AC67" s="11">
        <f>('[1]资源-铁'!V69-'[1]资源-铁'!V68)*'[1]功能-付费相关'!Z69/节奏总纲!Y67</f>
        <v>4739.5168996579441</v>
      </c>
      <c r="AD67" s="11">
        <f>('[1]资源-铁'!W69-'[1]资源-铁'!W68)*'[1]功能-付费相关'!AA69/节奏总纲!Z67</f>
        <v>7035.4812455763004</v>
      </c>
      <c r="AE67" s="11">
        <f>('[1]资源-铁'!X69-'[1]资源-铁'!X68)*'[1]功能-付费相关'!AB69/节奏总纲!AA67</f>
        <v>14579.016864974132</v>
      </c>
      <c r="AG67" s="11">
        <f>('[1]资源-银币'!Y69-'[1]资源-银币'!Y68)*'[1]功能-付费相关'!AQ69/节奏总纲!W67</f>
        <v>928.85464443966794</v>
      </c>
      <c r="AH67" s="11">
        <f>('[1]资源-银币'!Z69-'[1]资源-银币'!Z68)*'[1]功能-付费相关'!AR69/节奏总纲!X67</f>
        <v>1120.7051415481446</v>
      </c>
      <c r="AI67" s="11">
        <f>('[1]资源-银币'!AA69-'[1]资源-银币'!AA68)*'[1]功能-付费相关'!AS69/节奏总纲!Y67</f>
        <v>1705.3287002149787</v>
      </c>
      <c r="AJ67" s="11">
        <f>('[1]资源-银币'!AB69-'[1]资源-银币'!AB68)*'[1]功能-付费相关'!AT69/节奏总纲!Z67</f>
        <v>3187.168464660796</v>
      </c>
      <c r="AK67" s="11">
        <f>('[1]资源-银币'!AC69-'[1]资源-银币'!AC68)*'[1]功能-付费相关'!AU69/节奏总纲!AA67</f>
        <v>6883.5941165303311</v>
      </c>
      <c r="AM67" s="11" t="e">
        <f>(#REF!-#REF!)*'[1]功能-付费相关'!CA69/节奏总纲!W67</f>
        <v>#REF!</v>
      </c>
      <c r="AN67" s="11" t="e">
        <f>(#REF!-#REF!)*'[1]功能-付费相关'!CB69/节奏总纲!X67</f>
        <v>#REF!</v>
      </c>
      <c r="AO67" s="11" t="e">
        <f>(#REF!-#REF!)*'[1]功能-付费相关'!CC69/节奏总纲!Y67</f>
        <v>#REF!</v>
      </c>
      <c r="AP67" s="11" t="e">
        <f>(#REF!-#REF!)*'[1]功能-付费相关'!CD69/节奏总纲!Z67</f>
        <v>#REF!</v>
      </c>
      <c r="AQ67" s="11" t="e">
        <f>(#REF!-#REF!)*'[1]功能-付费相关'!CE69/节奏总纲!AA67</f>
        <v>#REF!</v>
      </c>
      <c r="AR67" s="21"/>
      <c r="AS67" s="11">
        <f>(信息索引!U69-信息索引!U68)*'[1]功能-付费相关'!BI69/节奏总纲!W67</f>
        <v>1252.2194229491574</v>
      </c>
      <c r="AT67" s="11">
        <f>(信息索引!V69-信息索引!V68)*'[1]功能-付费相关'!BJ69/节奏总纲!X67</f>
        <v>1452.797172681448</v>
      </c>
      <c r="AU67" s="11">
        <f>(信息索引!W69-信息索引!W68)*'[1]功能-付费相关'!BK69/节奏总纲!Y67</f>
        <v>2058.8961591762509</v>
      </c>
      <c r="AV67" s="11">
        <f>(信息索引!X69-信息索引!X68)*'[1]功能-付费相关'!BL69/节奏总纲!Z67</f>
        <v>4766.2510357154124</v>
      </c>
      <c r="AW67" s="11">
        <f>(信息索引!Y69-信息索引!Y68)*'[1]功能-付费相关'!BM69/节奏总纲!AA67</f>
        <v>10900.643202497236</v>
      </c>
      <c r="AY67" s="11">
        <f>('[1]资源-武将经验'!T69*节奏总纲!BJ67-'[1]资源-武将经验'!T68*节奏总纲!BJ66)*'[1]功能-付费相关'!AZ69/节奏总纲!W67</f>
        <v>1166.830356139483</v>
      </c>
      <c r="AZ67" s="11">
        <f>('[1]资源-武将经验'!U69*节奏总纲!BK67-'[1]资源-武将经验'!U68*节奏总纲!BK66)*'[1]功能-付费相关'!BA69/节奏总纲!X67</f>
        <v>1305.3575115007895</v>
      </c>
      <c r="BA67" s="11">
        <f>('[1]资源-武将经验'!V69*节奏总纲!BL67-'[1]资源-武将经验'!V68*节奏总纲!BL66)*'[1]功能-付费相关'!BB69/节奏总纲!Y67</f>
        <v>1902.1945154557607</v>
      </c>
      <c r="BB67" s="11">
        <f>('[1]资源-武将经验'!W69*节奏总纲!BM67-'[1]资源-武将经验'!W68*节奏总纲!BM66)*'[1]功能-付费相关'!BC69/节奏总纲!Z67</f>
        <v>7644.1172880314234</v>
      </c>
      <c r="BC67" s="11">
        <f>('[1]资源-武将经验'!X69*节奏总纲!BN67-'[1]资源-武将经验'!X68*节奏总纲!BN66)*'[1]功能-付费相关'!BD69/节奏总纲!AA67</f>
        <v>17578.062859633672</v>
      </c>
      <c r="BD67" s="29"/>
      <c r="BE67" s="33" t="e">
        <f t="shared" si="1"/>
        <v>#REF!</v>
      </c>
      <c r="BF67" s="33" t="e">
        <f t="shared" si="2"/>
        <v>#REF!</v>
      </c>
      <c r="BG67" s="33" t="e">
        <f t="shared" si="3"/>
        <v>#REF!</v>
      </c>
      <c r="BH67" s="33" t="e">
        <f t="shared" si="4"/>
        <v>#REF!</v>
      </c>
      <c r="BI67" s="33" t="e">
        <f t="shared" si="5"/>
        <v>#REF!</v>
      </c>
      <c r="BJ67" s="29"/>
      <c r="BK67" s="29"/>
      <c r="BL67" s="29"/>
      <c r="BM67" s="29"/>
      <c r="BN67" s="29"/>
    </row>
    <row r="68" spans="2:66" x14ac:dyDescent="0.15">
      <c r="B68" s="5">
        <v>65</v>
      </c>
      <c r="C68" s="5">
        <f>'[1]资源-玩家城池建筑时间'!AJ70*'[1]功能-付费相关'!AH70/节奏总纲!W68</f>
        <v>3308.452329947545</v>
      </c>
      <c r="D68" s="5">
        <f>'[1]资源-玩家城池建筑时间'!AK70*'[1]功能-付费相关'!AI70/节奏总纲!X68</f>
        <v>4155.8166443370446</v>
      </c>
      <c r="E68" s="5">
        <f>'[1]资源-玩家城池建筑时间'!AL70*'[1]功能-付费相关'!AJ70/节奏总纲!Y68</f>
        <v>5603.7079630686894</v>
      </c>
      <c r="F68" s="5">
        <f>'[1]资源-玩家城池建筑时间'!AM70*'[1]功能-付费相关'!AK70/节奏总纲!Z68</f>
        <v>8405.5619446030578</v>
      </c>
      <c r="G68" s="5">
        <f>'[1]资源-玩家城池建筑时间'!AN70*'[1]功能-付费相关'!AL70/节奏总纲!AA68</f>
        <v>16992.008799693551</v>
      </c>
      <c r="H68" s="3"/>
      <c r="I68" s="28">
        <f>'[1]资源-士兵训练时间'!AB70*'[1]功能-付费相关'!AH70/节奏总纲!W68</f>
        <v>1728.5553880784091</v>
      </c>
      <c r="J68" s="28">
        <f>'[1]资源-士兵训练时间'!AC70*'[1]功能-付费相关'!AI70/节奏总纲!X68</f>
        <v>2342.2688800008696</v>
      </c>
      <c r="K68" s="28">
        <f>'[1]资源-士兵训练时间'!AD70*'[1]功能-付费相关'!AJ70/节奏总纲!Y68</f>
        <v>3315.769788534355</v>
      </c>
      <c r="L68" s="28">
        <f>'[1]资源-士兵训练时间'!AE70*'[1]功能-付费相关'!AK70/节奏总纲!Z68</f>
        <v>5595.3615181517516</v>
      </c>
      <c r="M68" s="28">
        <f>'[1]资源-士兵训练时间'!AF70*'[1]功能-付费相关'!AL70/节奏总纲!AA68</f>
        <v>15423.027002798202</v>
      </c>
      <c r="N68" s="34"/>
      <c r="O68" s="34">
        <f>'[1]资源-士兵招募时间'!AC70*'[1]功能-付费相关'!AH70/节奏总纲!W68</f>
        <v>1018.2524688479074</v>
      </c>
      <c r="P68" s="34">
        <f>'[1]资源-士兵招募时间'!AD70*'[1]功能-付费相关'!AI70/节奏总纲!X68</f>
        <v>1656.4975216678517</v>
      </c>
      <c r="Q68" s="34">
        <f>'[1]资源-士兵招募时间'!AE70*'[1]功能-付费相关'!AJ70/节奏总纲!Y68</f>
        <v>1345.8343980586299</v>
      </c>
      <c r="R68" s="34">
        <f>'[1]资源-士兵招募时间'!AF70*'[1]功能-付费相关'!AK70/节奏总纲!Z68</f>
        <v>1333.3080477231019</v>
      </c>
      <c r="S68" s="34">
        <f>'[1]资源-士兵招募时间'!AG70*'[1]功能-付费相关'!AL70/节奏总纲!AA68</f>
        <v>1181.7029015730989</v>
      </c>
      <c r="T68" s="34"/>
      <c r="U68" s="5">
        <f>('[1]资源-木石铜粮'!U70-'[1]资源-木石铜粮'!U69)*'[1]功能-付费相关'!S70/节奏总纲!W68</f>
        <v>1766.3976428414212</v>
      </c>
      <c r="V68" s="5">
        <f>('[1]资源-木石铜粮'!V70-'[1]资源-木石铜粮'!V69)*'[1]功能-付费相关'!T70/节奏总纲!X68</f>
        <v>2224.9635962252482</v>
      </c>
      <c r="W68" s="5">
        <f>('[1]资源-木石铜粮'!W70-'[1]资源-木石铜粮'!W69)*'[1]功能-付费相关'!U70/节奏总纲!Y68</f>
        <v>3613.5444683532305</v>
      </c>
      <c r="X68" s="5">
        <f>('[1]资源-木石铜粮'!X70-'[1]资源-木石铜粮'!X69)*'[1]功能-付费相关'!V70/节奏总纲!Z68</f>
        <v>4892.938940885394</v>
      </c>
      <c r="Y68" s="5">
        <f>('[1]资源-木石铜粮'!Y70-'[1]资源-木石铜粮'!Y69)*'[1]功能-付费相关'!W70/节奏总纲!AA68</f>
        <v>7367.6692545006099</v>
      </c>
      <c r="Z68" s="3"/>
      <c r="AA68" s="11">
        <f>('[1]资源-铁'!T70-'[1]资源-铁'!T69)*'[1]功能-付费相关'!X70/节奏总纲!W68</f>
        <v>2418.9688926537519</v>
      </c>
      <c r="AB68" s="11">
        <f>('[1]资源-铁'!U70-'[1]资源-铁'!U69)*'[1]功能-付费相关'!Y70/节奏总纲!X68</f>
        <v>3209.2647934362403</v>
      </c>
      <c r="AC68" s="11">
        <f>('[1]资源-铁'!V70-'[1]资源-铁'!V69)*'[1]功能-付费相关'!Z70/节奏总纲!Y68</f>
        <v>4637.8591280719447</v>
      </c>
      <c r="AD68" s="11">
        <f>('[1]资源-铁'!W70-'[1]资源-铁'!W69)*'[1]功能-付费相关'!AA70/节奏总纲!Z68</f>
        <v>6869.5763986984921</v>
      </c>
      <c r="AE68" s="11">
        <f>('[1]资源-铁'!X70-'[1]资源-铁'!X69)*'[1]功能-付费相关'!AB70/节奏总纲!AA68</f>
        <v>15637.404519624859</v>
      </c>
      <c r="AG68" s="11">
        <f>('[1]资源-银币'!Y70-'[1]资源-银币'!Y69)*'[1]功能-付费相关'!AQ70/节奏总纲!W68</f>
        <v>879.04358267285534</v>
      </c>
      <c r="AH68" s="11">
        <f>('[1]资源-银币'!Z70-'[1]资源-银币'!Z69)*'[1]功能-付费相关'!AR70/节奏总纲!X68</f>
        <v>1121.6862305643344</v>
      </c>
      <c r="AI68" s="11">
        <f>('[1]资源-银币'!AA70-'[1]资源-银币'!AA69)*'[1]功能-付费相关'!AS70/节奏总纲!Y68</f>
        <v>1890.9414957103884</v>
      </c>
      <c r="AJ68" s="11">
        <f>('[1]资源-银币'!AB70-'[1]资源-银币'!AB69)*'[1]功能-付费相关'!AT70/节奏总纲!Z68</f>
        <v>3103.9674588324906</v>
      </c>
      <c r="AK68" s="11">
        <f>('[1]资源-银币'!AC70-'[1]资源-银币'!AC69)*'[1]功能-付费相关'!AU70/节奏总纲!AA68</f>
        <v>5330.3577299369354</v>
      </c>
      <c r="AM68" s="11" t="e">
        <f>(#REF!-#REF!)*'[1]功能-付费相关'!CA70/节奏总纲!W68</f>
        <v>#REF!</v>
      </c>
      <c r="AN68" s="11" t="e">
        <f>(#REF!-#REF!)*'[1]功能-付费相关'!CB70/节奏总纲!X68</f>
        <v>#REF!</v>
      </c>
      <c r="AO68" s="11" t="e">
        <f>(#REF!-#REF!)*'[1]功能-付费相关'!CC70/节奏总纲!Y68</f>
        <v>#REF!</v>
      </c>
      <c r="AP68" s="11" t="e">
        <f>(#REF!-#REF!)*'[1]功能-付费相关'!CD70/节奏总纲!Z68</f>
        <v>#REF!</v>
      </c>
      <c r="AQ68" s="11" t="e">
        <f>(#REF!-#REF!)*'[1]功能-付费相关'!CE70/节奏总纲!AA68</f>
        <v>#REF!</v>
      </c>
      <c r="AR68" s="21"/>
      <c r="AS68" s="11">
        <f>(信息索引!U70-信息索引!U69)*'[1]功能-付费相关'!BI70/节奏总纲!W68</f>
        <v>1134.856788424353</v>
      </c>
      <c r="AT68" s="11">
        <f>(信息索引!V70-信息索引!V69)*'[1]功能-付费相关'!BJ70/节奏总纲!X68</f>
        <v>1299.0300281804123</v>
      </c>
      <c r="AU68" s="11">
        <f>(信息索引!W70-信息索引!W69)*'[1]功能-付费相关'!BK70/节奏总纲!Y68</f>
        <v>2822.0440361819778</v>
      </c>
      <c r="AV68" s="11">
        <f>(信息索引!X70-信息索引!X69)*'[1]功能-付费相关'!BL70/节奏总纲!Z68</f>
        <v>4312.9194180824961</v>
      </c>
      <c r="AW68" s="11">
        <f>(信息索引!Y70-信息索引!Y69)*'[1]功能-付费相关'!BM70/节奏总纲!AA68</f>
        <v>7512.1001241737149</v>
      </c>
      <c r="AY68" s="11">
        <f>('[1]资源-武将经验'!T70*节奏总纲!BJ68-'[1]资源-武将经验'!T69*节奏总纲!BJ67)*'[1]功能-付费相关'!AZ70/节奏总纲!W68</f>
        <v>1058.0803767879709</v>
      </c>
      <c r="AZ68" s="11">
        <f>('[1]资源-武将经验'!U70*节奏总纲!BK68-'[1]资源-武将经验'!U69*节奏总纲!BK67)*'[1]功能-付费相关'!BA70/节奏总纲!X68</f>
        <v>1565.0702308496948</v>
      </c>
      <c r="BA68" s="11">
        <f>('[1]资源-武将经验'!V70*节奏总纲!BL68-'[1]资源-武将经验'!V69*节奏总纲!BL67)*'[1]功能-付费相关'!BB70/节奏总纲!Y68</f>
        <v>2608.7232990570283</v>
      </c>
      <c r="BB68" s="11">
        <f>('[1]资源-武将经验'!W70*节奏总纲!BM68-'[1]资源-武将经验'!W69*节奏总纲!BM67)*'[1]功能-付费相关'!BC70/节奏总纲!Z68</f>
        <v>6920.6600182404163</v>
      </c>
      <c r="BC68" s="11">
        <f>('[1]资源-武将经验'!X70*节奏总纲!BN68-'[1]资源-武将经验'!X69*节奏总纲!BN67)*'[1]功能-付费相关'!BD70/节奏总纲!AA68</f>
        <v>12119.880275712341</v>
      </c>
      <c r="BD68" s="29"/>
      <c r="BE68" s="33" t="e">
        <f t="shared" si="1"/>
        <v>#REF!</v>
      </c>
      <c r="BF68" s="33" t="e">
        <f t="shared" si="2"/>
        <v>#REF!</v>
      </c>
      <c r="BG68" s="33" t="e">
        <f t="shared" si="3"/>
        <v>#REF!</v>
      </c>
      <c r="BH68" s="33" t="e">
        <f t="shared" si="4"/>
        <v>#REF!</v>
      </c>
      <c r="BI68" s="33" t="e">
        <f t="shared" si="5"/>
        <v>#REF!</v>
      </c>
      <c r="BJ68" s="29"/>
      <c r="BK68" s="29"/>
      <c r="BL68" s="29"/>
      <c r="BM68" s="29"/>
      <c r="BN68" s="29"/>
    </row>
    <row r="69" spans="2:66" x14ac:dyDescent="0.15">
      <c r="B69" s="5">
        <v>66</v>
      </c>
      <c r="C69" s="5">
        <f>'[1]资源-玩家城池建筑时间'!AJ71*'[1]功能-付费相关'!AH71/节奏总纲!W69</f>
        <v>3324.6533154696449</v>
      </c>
      <c r="D69" s="5">
        <f>'[1]资源-玩家城池建筑时间'!AK71*'[1]功能-付费相关'!AI71/节奏总纲!X69</f>
        <v>4191.8448183863547</v>
      </c>
      <c r="E69" s="5">
        <f>'[1]资源-玩家城池建筑时间'!AL71*'[1]功能-付费相关'!AJ71/节奏总纲!Y69</f>
        <v>5603.7079630687076</v>
      </c>
      <c r="F69" s="5">
        <f>'[1]资源-玩家城池建筑时间'!AM71*'[1]功能-付费相关'!AK71/节奏总纲!Z69</f>
        <v>8437.1048158207577</v>
      </c>
      <c r="G69" s="5">
        <f>'[1]资源-玩家城池建筑时间'!AN71*'[1]功能-付费相关'!AL71/节奏总纲!AA69</f>
        <v>17011.586942414771</v>
      </c>
      <c r="H69" s="3"/>
      <c r="I69" s="28">
        <f>'[1]资源-士兵训练时间'!AB71*'[1]功能-付费相关'!AH71/节奏总纲!W69</f>
        <v>1729.6754806160275</v>
      </c>
      <c r="J69" s="28">
        <f>'[1]资源-士兵训练时间'!AC71*'[1]功能-付费相关'!AI71/节奏总纲!X69</f>
        <v>2095.4635993018255</v>
      </c>
      <c r="K69" s="28">
        <f>'[1]资源-士兵训练时间'!AD71*'[1]功能-付费相关'!AJ71/节奏总纲!Y69</f>
        <v>3315.7697885343741</v>
      </c>
      <c r="L69" s="28">
        <f>'[1]资源-士兵训练时间'!AE71*'[1]功能-付费相关'!AK71/节奏总纲!Z69</f>
        <v>6064.4463262046656</v>
      </c>
      <c r="M69" s="28">
        <f>'[1]资源-士兵训练时间'!AF71*'[1]功能-付费相关'!AL71/节奏总纲!AA69</f>
        <v>15746.530608662848</v>
      </c>
      <c r="N69" s="34"/>
      <c r="O69" s="34">
        <f>'[1]资源-士兵招募时间'!AC71*'[1]功能-付费相关'!AH71/节奏总纲!W69</f>
        <v>989.47739670411283</v>
      </c>
      <c r="P69" s="34">
        <f>'[1]资源-士兵招募时间'!AD71*'[1]功能-付费相关'!AI71/节奏总纲!X69</f>
        <v>1539.2462331993306</v>
      </c>
      <c r="Q69" s="34">
        <f>'[1]资源-士兵招募时间'!AE71*'[1]功能-付费相关'!AJ71/节奏总纲!Y69</f>
        <v>1350.6904255389784</v>
      </c>
      <c r="R69" s="34">
        <f>'[1]资源-士兵招募时间'!AF71*'[1]功能-付费相关'!AK71/节奏总纲!Z69</f>
        <v>1338.9649431885111</v>
      </c>
      <c r="S69" s="34">
        <f>'[1]资源-士兵招募时间'!AG71*'[1]功能-付费相关'!AL71/节奏总纲!AA69</f>
        <v>1185.7053282845304</v>
      </c>
      <c r="T69" s="34"/>
      <c r="U69" s="5">
        <f>('[1]资源-木石铜粮'!U71-'[1]资源-木石铜粮'!U70)*'[1]功能-付费相关'!S71/节奏总纲!W69</f>
        <v>1765.3224913962076</v>
      </c>
      <c r="V69" s="5">
        <f>('[1]资源-木石铜粮'!V71-'[1]资源-木石铜粮'!V70)*'[1]功能-付费相关'!T71/节奏总纲!X69</f>
        <v>2872.6876395193108</v>
      </c>
      <c r="W69" s="5">
        <f>('[1]资源-木石铜粮'!W71-'[1]资源-木石铜粮'!W70)*'[1]功能-付费相关'!U71/节奏总纲!Y69</f>
        <v>3698.8103933421025</v>
      </c>
      <c r="X69" s="5">
        <f>('[1]资源-木石铜粮'!X71-'[1]资源-木石铜粮'!X70)*'[1]功能-付费相关'!V71/节奏总纲!Z69</f>
        <v>4712.2671320537474</v>
      </c>
      <c r="Y69" s="5">
        <f>('[1]资源-木石铜粮'!Y71-'[1]资源-木石铜粮'!Y70)*'[1]功能-付费相关'!W71/节奏总纲!AA69</f>
        <v>7361.9968370325405</v>
      </c>
      <c r="Z69" s="3"/>
      <c r="AA69" s="11">
        <f>('[1]资源-铁'!T71-'[1]资源-铁'!T70)*'[1]功能-付费相关'!X71/节奏总纲!W69</f>
        <v>2442.4020032797134</v>
      </c>
      <c r="AB69" s="11">
        <f>('[1]资源-铁'!U71-'[1]资源-铁'!U70)*'[1]功能-付费相关'!Y71/节奏总纲!X69</f>
        <v>3162.6913701478925</v>
      </c>
      <c r="AC69" s="11">
        <f>('[1]资源-铁'!V71-'[1]资源-铁'!V70)*'[1]功能-付费相关'!Z71/节奏总纲!Y69</f>
        <v>4548.0399024134222</v>
      </c>
      <c r="AD69" s="11">
        <f>('[1]资源-铁'!W71-'[1]资源-铁'!W70)*'[1]功能-付费相关'!AA71/节奏总纲!Z69</f>
        <v>6931.3747189219675</v>
      </c>
      <c r="AE69" s="11">
        <f>('[1]资源-铁'!X71-'[1]资源-铁'!X70)*'[1]功能-付费相关'!AB71/节奏总纲!AA69</f>
        <v>15412.579000503292</v>
      </c>
      <c r="AG69" s="11">
        <f>('[1]资源-银币'!Y71-'[1]资源-银币'!Y70)*'[1]功能-付费相关'!AQ71/节奏总纲!W69</f>
        <v>913.09702188411086</v>
      </c>
      <c r="AH69" s="11">
        <f>('[1]资源-银币'!Z71-'[1]资源-银币'!Z70)*'[1]功能-付费相关'!AR71/节奏总纲!X69</f>
        <v>1354.2962657458365</v>
      </c>
      <c r="AI69" s="11">
        <f>('[1]资源-银币'!AA71-'[1]资源-银币'!AA70)*'[1]功能-付费相关'!AS71/节奏总纲!Y69</f>
        <v>2035.3229507732724</v>
      </c>
      <c r="AJ69" s="11">
        <f>('[1]资源-银币'!AB71-'[1]资源-银币'!AB70)*'[1]功能-付费相关'!AT71/节奏总纲!Z69</f>
        <v>3240.4860032676725</v>
      </c>
      <c r="AK69" s="11">
        <f>('[1]资源-银币'!AC71-'[1]资源-银币'!AC70)*'[1]功能-付费相关'!AU71/节奏总纲!AA69</f>
        <v>5687.0839197469168</v>
      </c>
      <c r="AM69" s="11" t="e">
        <f>(#REF!-#REF!)*'[1]功能-付费相关'!CA71/节奏总纲!W69</f>
        <v>#REF!</v>
      </c>
      <c r="AN69" s="11" t="e">
        <f>(#REF!-#REF!)*'[1]功能-付费相关'!CB71/节奏总纲!X69</f>
        <v>#REF!</v>
      </c>
      <c r="AO69" s="11" t="e">
        <f>(#REF!-#REF!)*'[1]功能-付费相关'!CC71/节奏总纲!Y69</f>
        <v>#REF!</v>
      </c>
      <c r="AP69" s="11" t="e">
        <f>(#REF!-#REF!)*'[1]功能-付费相关'!CD71/节奏总纲!Z69</f>
        <v>#REF!</v>
      </c>
      <c r="AQ69" s="11" t="e">
        <f>(#REF!-#REF!)*'[1]功能-付费相关'!CE71/节奏总纲!AA69</f>
        <v>#REF!</v>
      </c>
      <c r="AR69" s="21"/>
      <c r="AS69" s="11">
        <f>(信息索引!U71-信息索引!U70)*'[1]功能-付费相关'!BI71/节奏总纲!W69</f>
        <v>1028.1026820381612</v>
      </c>
      <c r="AT69" s="11">
        <f>(信息索引!V71-信息索引!V70)*'[1]功能-付费相关'!BJ71/节奏总纲!X69</f>
        <v>1826.1246530402072</v>
      </c>
      <c r="AU69" s="11">
        <f>(信息索引!W71-信息索引!W70)*'[1]功能-付费相关'!BK71/节奏总纲!Y69</f>
        <v>2617.8504798130884</v>
      </c>
      <c r="AV69" s="11">
        <f>(信息索引!X71-信息索引!X70)*'[1]功能-付费相关'!BL71/节奏总纲!Z69</f>
        <v>3653.7481248607269</v>
      </c>
      <c r="AW69" s="11">
        <f>(信息索引!Y71-信息索引!Y70)*'[1]功能-付费相关'!BM71/节奏总纲!AA69</f>
        <v>6755.4932062018552</v>
      </c>
      <c r="AY69" s="11">
        <f>('[1]资源-武将经验'!T71*节奏总纲!BJ69-'[1]资源-武将经验'!T70*节奏总纲!BJ68)*'[1]功能-付费相关'!AZ71/节奏总纲!W69</f>
        <v>1723.2150522906736</v>
      </c>
      <c r="AZ69" s="11">
        <f>('[1]资源-武将经验'!U71*节奏总纲!BK69-'[1]资源-武将经验'!U70*节奏总纲!BK68)*'[1]功能-付费相关'!BA71/节奏总纲!X69</f>
        <v>3038.5379944537767</v>
      </c>
      <c r="BA69" s="11">
        <f>('[1]资源-武将经验'!V71*节奏总纲!BL69-'[1]资源-武将经验'!V70*节奏总纲!BL68)*'[1]功能-付费相关'!BB71/节奏总纲!Y69</f>
        <v>4515.8643566010196</v>
      </c>
      <c r="BB69" s="11">
        <f>('[1]资源-武将经验'!W71*节奏总纲!BM69-'[1]资源-武将经验'!W70*节奏总纲!BM68)*'[1]功能-付费相关'!BC71/节奏总纲!Z69</f>
        <v>10418.11542196978</v>
      </c>
      <c r="BC69" s="11">
        <f>('[1]资源-武将经验'!X71*节奏总纲!BN69-'[1]资源-武将经验'!X70*节奏总纲!BN68)*'[1]功能-付费相关'!BD71/节奏总纲!AA69</f>
        <v>17013.243179584457</v>
      </c>
      <c r="BD69" s="29"/>
      <c r="BE69" s="33" t="e">
        <f t="shared" ref="BE69:BE103" si="6">C69+I69+O69+U69+AA69+AG69+AM69+AS69+AY69</f>
        <v>#REF!</v>
      </c>
      <c r="BF69" s="33" t="e">
        <f t="shared" ref="BF69:BF103" si="7">D69+J69+P69+V69+AB69+AH69+AN69+AT69+AZ69</f>
        <v>#REF!</v>
      </c>
      <c r="BG69" s="33" t="e">
        <f t="shared" ref="BG69:BG103" si="8">E69+K69+Q69+W69+AC69+AI69+AO69+AU69+BA69</f>
        <v>#REF!</v>
      </c>
      <c r="BH69" s="33" t="e">
        <f t="shared" ref="BH69:BH103" si="9">F69+L69+R69+X69+AD69+AJ69+AP69+AV69+BB69</f>
        <v>#REF!</v>
      </c>
      <c r="BI69" s="33" t="e">
        <f t="shared" ref="BI69:BI103" si="10">G69+M69+S69+Y69+AE69+AK69+AQ69+AW69+BC69</f>
        <v>#REF!</v>
      </c>
      <c r="BJ69" s="29"/>
      <c r="BK69" s="29"/>
      <c r="BL69" s="29"/>
      <c r="BM69" s="29"/>
      <c r="BN69" s="29"/>
    </row>
    <row r="70" spans="2:66" x14ac:dyDescent="0.15">
      <c r="B70" s="5">
        <v>67</v>
      </c>
      <c r="C70" s="5">
        <f>'[1]资源-玩家城池建筑时间'!AJ72*'[1]功能-付费相关'!AH72/节奏总纲!W70</f>
        <v>3343.903384559917</v>
      </c>
      <c r="D70" s="5">
        <f>'[1]资源-玩家城池建筑时间'!AK72*'[1]功能-付费相关'!AI72/节奏总纲!X70</f>
        <v>4202.7809723015271</v>
      </c>
      <c r="E70" s="5">
        <f>'[1]资源-玩家城池建筑时间'!AL72*'[1]功能-付费相关'!AJ72/节奏总纲!Y70</f>
        <v>5609.0791694286563</v>
      </c>
      <c r="F70" s="5">
        <f>'[1]资源-玩家城池建筑时间'!AM72*'[1]功能-付费相关'!AK72/节奏总纲!Z70</f>
        <v>8505.7934712073675</v>
      </c>
      <c r="G70" s="5">
        <f>'[1]资源-玩家城池建筑时间'!AN72*'[1]功能-付费相关'!AL72/节奏总纲!AA70</f>
        <v>17089.858069506048</v>
      </c>
      <c r="H70" s="3"/>
      <c r="I70" s="28">
        <f>'[1]资源-士兵训练时间'!AB72*'[1]功能-付费相关'!AH72/节奏总纲!W70</f>
        <v>1607.9497522466281</v>
      </c>
      <c r="J70" s="28">
        <f>'[1]资源-士兵训练时间'!AC72*'[1]功能-付费相关'!AI72/节奏总纲!X70</f>
        <v>2020.5472148881322</v>
      </c>
      <c r="K70" s="28">
        <f>'[1]资源-士兵训练时间'!AD72*'[1]功能-付费相关'!AJ72/节奏总纲!Y70</f>
        <v>3386.7716052043666</v>
      </c>
      <c r="L70" s="28">
        <f>'[1]资源-士兵训练时间'!AE72*'[1]功能-付费相关'!AK72/节奏总纲!Z70</f>
        <v>7085.9387738982841</v>
      </c>
      <c r="M70" s="28">
        <f>'[1]资源-士兵训练时间'!AF72*'[1]功能-付费相关'!AL72/节奏总纲!AA70</f>
        <v>14892.487181952982</v>
      </c>
      <c r="N70" s="34"/>
      <c r="O70" s="34">
        <f>'[1]资源-士兵招募时间'!AC72*'[1]功能-付费相关'!AH72/节奏总纲!W70</f>
        <v>977.36207665046686</v>
      </c>
      <c r="P70" s="34">
        <f>'[1]资源-士兵招募时间'!AD72*'[1]功能-付费相关'!AI72/节奏总纲!X70</f>
        <v>1354.811459778047</v>
      </c>
      <c r="Q70" s="34">
        <f>'[1]资源-士兵招募时间'!AE72*'[1]功能-付费相关'!AJ72/节奏总纲!Y70</f>
        <v>1517.5043752606139</v>
      </c>
      <c r="R70" s="34">
        <f>'[1]资源-士兵招募时间'!AF72*'[1]功能-付费相关'!AK72/节奏总纲!Z70</f>
        <v>1344.8407689011153</v>
      </c>
      <c r="S70" s="34">
        <f>'[1]资源-士兵招募时间'!AG72*'[1]功能-付费相关'!AL72/节奏总纲!AA70</f>
        <v>1187.1398262102434</v>
      </c>
      <c r="T70" s="34"/>
      <c r="U70" s="5">
        <f>('[1]资源-木石铜粮'!U72-'[1]资源-木石铜粮'!U71)*'[1]功能-付费相关'!S72/节奏总纲!W70</f>
        <v>1790.3253351537355</v>
      </c>
      <c r="V70" s="5">
        <f>('[1]资源-木石铜粮'!V72-'[1]资源-木石铜粮'!V71)*'[1]功能-付费相关'!T72/节奏总纲!X70</f>
        <v>2518.3129219952848</v>
      </c>
      <c r="W70" s="5">
        <f>('[1]资源-木石铜粮'!W72-'[1]资源-木石铜粮'!W71)*'[1]功能-付费相关'!U72/节奏总纲!Y70</f>
        <v>3138.5612762168771</v>
      </c>
      <c r="X70" s="5">
        <f>('[1]资源-木石铜粮'!X72-'[1]资源-木石铜粮'!X71)*'[1]功能-付费相关'!V72/节奏总纲!Z70</f>
        <v>3523.1961356671968</v>
      </c>
      <c r="Y70" s="5">
        <f>('[1]资源-木石铜粮'!Y72-'[1]资源-木石铜粮'!Y71)*'[1]功能-付费相关'!W72/节奏总纲!AA70</f>
        <v>6406.4231929412372</v>
      </c>
      <c r="Z70" s="3"/>
      <c r="AA70" s="11">
        <f>('[1]资源-铁'!T72-'[1]资源-铁'!T71)*'[1]功能-付费相关'!X72/节奏总纲!W70</f>
        <v>2408.1661354823159</v>
      </c>
      <c r="AB70" s="11">
        <f>('[1]资源-铁'!U72-'[1]资源-铁'!U71)*'[1]功能-付费相关'!Y72/节奏总纲!X70</f>
        <v>3106.192006191809</v>
      </c>
      <c r="AC70" s="11">
        <f>('[1]资源-铁'!V72-'[1]资源-铁'!V71)*'[1]功能-付费相关'!Z72/节奏总纲!Y70</f>
        <v>4486.7483498969359</v>
      </c>
      <c r="AD70" s="11">
        <f>('[1]资源-铁'!W72-'[1]资源-铁'!W71)*'[1]功能-付费相关'!AA72/节奏总纲!Z70</f>
        <v>7228.6155140132232</v>
      </c>
      <c r="AE70" s="11">
        <f>('[1]资源-铁'!X72-'[1]资源-铁'!X71)*'[1]功能-付费相关'!AB72/节奏总纲!AA70</f>
        <v>14681.304404198909</v>
      </c>
      <c r="AG70" s="11">
        <f>('[1]资源-银币'!Y72-'[1]资源-银币'!Y71)*'[1]功能-付费相关'!AQ72/节奏总纲!W70</f>
        <v>869.6395214844315</v>
      </c>
      <c r="AH70" s="11">
        <f>('[1]资源-银币'!Z72-'[1]资源-银币'!Z71)*'[1]功能-付费相关'!AR72/节奏总纲!X70</f>
        <v>1180.0283165947881</v>
      </c>
      <c r="AI70" s="11">
        <f>('[1]资源-银币'!AA72-'[1]资源-银币'!AA71)*'[1]功能-付费相关'!AS72/节奏总纲!Y70</f>
        <v>1717.7920414337741</v>
      </c>
      <c r="AJ70" s="11">
        <f>('[1]资源-银币'!AB72-'[1]资源-银币'!AB71)*'[1]功能-付费相关'!AT72/节奏总纲!Z70</f>
        <v>2365.1973694836129</v>
      </c>
      <c r="AK70" s="11">
        <f>('[1]资源-银币'!AC72-'[1]资源-银币'!AC71)*'[1]功能-付费相关'!AU72/节奏总纲!AA70</f>
        <v>5521.8228114236445</v>
      </c>
      <c r="AM70" s="11" t="e">
        <f>(#REF!-#REF!)*'[1]功能-付费相关'!CA72/节奏总纲!W70</f>
        <v>#REF!</v>
      </c>
      <c r="AN70" s="11" t="e">
        <f>(#REF!-#REF!)*'[1]功能-付费相关'!CB72/节奏总纲!X70</f>
        <v>#REF!</v>
      </c>
      <c r="AO70" s="11" t="e">
        <f>(#REF!-#REF!)*'[1]功能-付费相关'!CC72/节奏总纲!Y70</f>
        <v>#REF!</v>
      </c>
      <c r="AP70" s="11" t="e">
        <f>(#REF!-#REF!)*'[1]功能-付费相关'!CD72/节奏总纲!Z70</f>
        <v>#REF!</v>
      </c>
      <c r="AQ70" s="11" t="e">
        <f>(#REF!-#REF!)*'[1]功能-付费相关'!CE72/节奏总纲!AA70</f>
        <v>#REF!</v>
      </c>
      <c r="AR70" s="21"/>
      <c r="AS70" s="11">
        <f>(信息索引!U72-信息索引!U71)*'[1]功能-付费相关'!BI72/节奏总纲!W70</f>
        <v>931.04997527239072</v>
      </c>
      <c r="AT70" s="11">
        <f>(信息索引!V72-信息索引!V71)*'[1]功能-付费相关'!BJ72/节奏总纲!X70</f>
        <v>1365.6079617703087</v>
      </c>
      <c r="AU70" s="11">
        <f>(信息索引!W72-信息索引!W71)*'[1]功能-付费相关'!BK72/节奏总纲!Y70</f>
        <v>1759.6721490665827</v>
      </c>
      <c r="AV70" s="11">
        <f>(信息索引!X72-信息索引!X71)*'[1]功能-付费相关'!BL72/节奏总纲!Z70</f>
        <v>2029.4636340781906</v>
      </c>
      <c r="AW70" s="11">
        <f>(信息索引!Y72-信息索引!Y71)*'[1]功能-付费相关'!BM72/节奏总纲!AA70</f>
        <v>4728.3114219367835</v>
      </c>
      <c r="AY70" s="11">
        <f>('[1]资源-武将经验'!T72*节奏总纲!BJ70-'[1]资源-武将经验'!T71*节奏总纲!BJ69)*'[1]功能-付费相关'!AZ72/节奏总纲!W70</f>
        <v>1618.9872860291534</v>
      </c>
      <c r="AZ70" s="11">
        <f>('[1]资源-武将经验'!U72*节奏总纲!BK70-'[1]资源-武将经验'!U71*节奏总纲!BK69)*'[1]功能-付费相关'!BA72/节奏总纲!X70</f>
        <v>2275.6965462323874</v>
      </c>
      <c r="BA70" s="11">
        <f>('[1]资源-武将经验'!V72*节奏总纲!BL70-'[1]资源-武将经验'!V71*节奏总纲!BL69)*'[1]功能-付费相关'!BB72/节奏总纲!Y70</f>
        <v>3079.9434261250326</v>
      </c>
      <c r="BB70" s="11">
        <f>('[1]资源-武将经验'!W72*节奏总纲!BM70-'[1]资源-武将经验'!W71*节奏总纲!BM69)*'[1]功能-付费相关'!BC72/节奏总纲!Z70</f>
        <v>6186.2664049512978</v>
      </c>
      <c r="BC70" s="11">
        <f>('[1]资源-武将经验'!X72*节奏总纲!BN70-'[1]资源-武将经验'!X71*节奏总纲!BN69)*'[1]功能-付费相关'!BD72/节奏总纲!AA70</f>
        <v>14473.81375397284</v>
      </c>
      <c r="BD70" s="29"/>
      <c r="BE70" s="33" t="e">
        <f t="shared" si="6"/>
        <v>#REF!</v>
      </c>
      <c r="BF70" s="33" t="e">
        <f t="shared" si="7"/>
        <v>#REF!</v>
      </c>
      <c r="BG70" s="33" t="e">
        <f t="shared" si="8"/>
        <v>#REF!</v>
      </c>
      <c r="BH70" s="33" t="e">
        <f t="shared" si="9"/>
        <v>#REF!</v>
      </c>
      <c r="BI70" s="33" t="e">
        <f t="shared" si="10"/>
        <v>#REF!</v>
      </c>
      <c r="BJ70" s="29"/>
      <c r="BK70" s="29"/>
      <c r="BL70" s="29"/>
      <c r="BM70" s="29"/>
      <c r="BN70" s="29"/>
    </row>
    <row r="71" spans="2:66" x14ac:dyDescent="0.15">
      <c r="B71" s="5">
        <v>68</v>
      </c>
      <c r="C71" s="5">
        <f>'[1]资源-玩家城池建筑时间'!AJ73*'[1]功能-付费相关'!AH73/节奏总纲!W71</f>
        <v>3362.224777841217</v>
      </c>
      <c r="D71" s="5">
        <f>'[1]资源-玩家城池建筑时间'!AK73*'[1]功能-付费相关'!AI73/节奏总纲!X71</f>
        <v>4214.704746130591</v>
      </c>
      <c r="E71" s="5">
        <f>'[1]资源-玩家城池建筑时间'!AL73*'[1]功能-付费相关'!AJ73/节奏总纲!Y71</f>
        <v>5670.5289808049256</v>
      </c>
      <c r="F71" s="5">
        <f>'[1]资源-玩家城池建筑时间'!AM73*'[1]功能-付费相关'!AK73/节奏总纲!Z71</f>
        <v>8537.8694712644119</v>
      </c>
      <c r="G71" s="5">
        <f>'[1]资源-玩家城池建筑时间'!AN73*'[1]功能-付费相关'!AL73/节奏总纲!AA71</f>
        <v>17209.590909862942</v>
      </c>
      <c r="H71" s="3"/>
      <c r="I71" s="28">
        <f>'[1]资源-士兵训练时间'!AB73*'[1]功能-付费相关'!AH73/节奏总纲!W71</f>
        <v>1492.0964048404644</v>
      </c>
      <c r="J71" s="28">
        <f>'[1]资源-士兵训练时间'!AC73*'[1]功能-付费相关'!AI73/节奏总纲!X71</f>
        <v>2148.6134735057608</v>
      </c>
      <c r="K71" s="28">
        <f>'[1]资源-士兵训练时间'!AD73*'[1]功能-付费相关'!AJ73/节奏总纲!Y71</f>
        <v>4199.0748289767562</v>
      </c>
      <c r="L71" s="28">
        <f>'[1]资源-士兵训练时间'!AE73*'[1]功能-付费相关'!AK73/节奏总纲!Z71</f>
        <v>6770.9456439960604</v>
      </c>
      <c r="M71" s="28">
        <f>'[1]资源-士兵训练时间'!AF73*'[1]功能-付费相关'!AL73/节奏总纲!AA71</f>
        <v>13586.040615152013</v>
      </c>
      <c r="N71" s="34"/>
      <c r="O71" s="34">
        <f>'[1]资源-士兵招募时间'!AC73*'[1]功能-付费相关'!AH73/节奏总纲!W71</f>
        <v>976.7848533540581</v>
      </c>
      <c r="P71" s="34">
        <f>'[1]资源-士兵招募时间'!AD73*'[1]功能-付费相关'!AI73/节奏总纲!X71</f>
        <v>1283.1859873322226</v>
      </c>
      <c r="Q71" s="34">
        <f>'[1]资源-士兵招募时间'!AE73*'[1]功能-付费相关'!AJ73/节奏总纲!Y71</f>
        <v>1992.8057347649928</v>
      </c>
      <c r="R71" s="34">
        <f>'[1]资源-士兵招募时间'!AF73*'[1]功能-付费相关'!AK73/节奏总纲!Z71</f>
        <v>1355.9148448137087</v>
      </c>
      <c r="S71" s="34">
        <f>'[1]资源-士兵招募时间'!AG73*'[1]功能-付费相关'!AL73/节奏总纲!AA71</f>
        <v>1193.4810143036837</v>
      </c>
      <c r="T71" s="34"/>
      <c r="U71" s="5">
        <f>('[1]资源-木石铜粮'!U73-'[1]资源-木石铜粮'!U72)*'[1]功能-付费相关'!S73/节奏总纲!W71</f>
        <v>1815.9173295747146</v>
      </c>
      <c r="V71" s="5">
        <f>('[1]资源-木石铜粮'!V73-'[1]资源-木石铜粮'!V72)*'[1]功能-付费相关'!T73/节奏总纲!X71</f>
        <v>2170.2836749552375</v>
      </c>
      <c r="W71" s="5">
        <f>('[1]资源-木石铜粮'!W73-'[1]资源-木石铜粮'!W72)*'[1]功能-付费相关'!U73/节奏总纲!Y71</f>
        <v>2646.5857478982475</v>
      </c>
      <c r="X71" s="5">
        <f>('[1]资源-木石铜粮'!X73-'[1]资源-木石铜粮'!X72)*'[1]功能-付费相关'!V73/节奏总纲!Z71</f>
        <v>3272.4879639292203</v>
      </c>
      <c r="Y71" s="5">
        <f>('[1]资源-木石铜粮'!Y73-'[1]资源-木石铜粮'!Y72)*'[1]功能-付费相关'!W73/节奏总纲!AA71</f>
        <v>6026.6437892254016</v>
      </c>
      <c r="Z71" s="3"/>
      <c r="AA71" s="11">
        <f>('[1]资源-铁'!T73-'[1]资源-铁'!T72)*'[1]功能-付费相关'!X73/节奏总纲!W71</f>
        <v>2373.9200448411852</v>
      </c>
      <c r="AB71" s="11">
        <f>('[1]资源-铁'!U73-'[1]资源-铁'!U72)*'[1]功能-付费相关'!Y73/节奏总纲!X71</f>
        <v>3113.5345301321886</v>
      </c>
      <c r="AC71" s="11">
        <f>('[1]资源-铁'!V73-'[1]资源-铁'!V72)*'[1]功能-付费相关'!Z73/节奏总纲!Y71</f>
        <v>4780.5138076337562</v>
      </c>
      <c r="AD71" s="11">
        <f>('[1]资源-铁'!W73-'[1]资源-铁'!W72)*'[1]功能-付费相关'!AA73/节奏总纲!Z71</f>
        <v>6903.7050425780308</v>
      </c>
      <c r="AE71" s="11">
        <f>('[1]资源-铁'!X73-'[1]资源-铁'!X72)*'[1]功能-付费相关'!AB73/节奏总纲!AA71</f>
        <v>13779.619352537389</v>
      </c>
      <c r="AG71" s="11">
        <f>('[1]资源-银币'!Y73-'[1]资源-银币'!Y72)*'[1]功能-付费相关'!AQ73/节奏总纲!W71</f>
        <v>825.20507380578374</v>
      </c>
      <c r="AH71" s="11">
        <f>('[1]资源-银币'!Z73-'[1]资源-银币'!Z72)*'[1]功能-付费相关'!AR73/节奏总纲!X71</f>
        <v>1001.7059272790652</v>
      </c>
      <c r="AI71" s="11">
        <f>('[1]资源-银币'!AA73-'[1]资源-银币'!AA72)*'[1]功能-付费相关'!AS73/节奏总纲!Y71</f>
        <v>1252.1345425908064</v>
      </c>
      <c r="AJ71" s="11">
        <f>('[1]资源-银币'!AB73-'[1]资源-银币'!AB72)*'[1]功能-付费相关'!AT73/节奏总纲!Z71</f>
        <v>2281.7774302374514</v>
      </c>
      <c r="AK71" s="11">
        <f>('[1]资源-银币'!AC73-'[1]资源-银币'!AC72)*'[1]功能-付费相关'!AU73/节奏总纲!AA71</f>
        <v>5544.9065942620482</v>
      </c>
      <c r="AM71" s="11" t="e">
        <f>(#REF!-#REF!)*'[1]功能-付费相关'!CA73/节奏总纲!W71</f>
        <v>#REF!</v>
      </c>
      <c r="AN71" s="11" t="e">
        <f>(#REF!-#REF!)*'[1]功能-付费相关'!CB73/节奏总纲!X71</f>
        <v>#REF!</v>
      </c>
      <c r="AO71" s="11" t="e">
        <f>(#REF!-#REF!)*'[1]功能-付费相关'!CC73/节奏总纲!Y71</f>
        <v>#REF!</v>
      </c>
      <c r="AP71" s="11" t="e">
        <f>(#REF!-#REF!)*'[1]功能-付费相关'!CD73/节奏总纲!Z71</f>
        <v>#REF!</v>
      </c>
      <c r="AQ71" s="11" t="e">
        <f>(#REF!-#REF!)*'[1]功能-付费相关'!CE73/节奏总纲!AA71</f>
        <v>#REF!</v>
      </c>
      <c r="AR71" s="21"/>
      <c r="AS71" s="11">
        <f>(信息索引!U73-信息索引!U72)*'[1]功能-付费相关'!BI73/节奏总纲!W71</f>
        <v>842.86199799785163</v>
      </c>
      <c r="AT71" s="11">
        <f>(信息索引!V73-信息索引!V72)*'[1]功能-付费相关'!BJ73/节奏总纲!X71</f>
        <v>964.35552473522625</v>
      </c>
      <c r="AU71" s="11">
        <f>(信息索引!W73-信息索引!W72)*'[1]功能-付费相关'!BK73/节奏总纲!Y71</f>
        <v>1012.4100911383397</v>
      </c>
      <c r="AV71" s="11">
        <f>(信息索引!X73-信息索引!X72)*'[1]功能-付费相关'!BL73/节奏总纲!Z71</f>
        <v>1560.6296891946074</v>
      </c>
      <c r="AW71" s="11">
        <f>(信息索引!Y73-信息索引!Y72)*'[1]功能-付费相关'!BM73/节奏总纲!AA71</f>
        <v>3679.7548824932628</v>
      </c>
      <c r="AY71" s="11">
        <f>('[1]资源-武将经验'!T73*节奏总纲!BJ71-'[1]资源-武将经验'!T72*节奏总纲!BJ70)*'[1]功能-付费相关'!AZ73/节奏总纲!W71</f>
        <v>1467.8775468111098</v>
      </c>
      <c r="AZ71" s="11">
        <f>('[1]资源-武将经验'!U73*节奏总纲!BK71-'[1]资源-武将经验'!U72*节奏总纲!BK70)*'[1]功能-付费相关'!BA73/节奏总纲!X71</f>
        <v>1609.3648509097645</v>
      </c>
      <c r="BA71" s="11">
        <f>('[1]资源-武将经验'!V73*节奏总纲!BL71-'[1]资源-武将经验'!V72*节奏总纲!BL70)*'[1]功能-付费相关'!BB73/节奏总纲!Y71</f>
        <v>1774.7316570257406</v>
      </c>
      <c r="BB71" s="11">
        <f>('[1]资源-武将经验'!W73*节奏总纲!BM71-'[1]资源-武将经验'!W72*节奏总纲!BM70)*'[1]功能-付费相关'!BC73/节奏总纲!Z71</f>
        <v>4764.4274954667198</v>
      </c>
      <c r="BC71" s="11">
        <f>('[1]资源-武将经验'!X73*节奏总纲!BN71-'[1]资源-武将经验'!X72*节奏总纲!BN70)*'[1]功能-付费相关'!BD73/节奏总纲!AA71</f>
        <v>11281.487266474545</v>
      </c>
      <c r="BD71" s="29"/>
      <c r="BE71" s="33" t="e">
        <f t="shared" si="6"/>
        <v>#REF!</v>
      </c>
      <c r="BF71" s="33" t="e">
        <f t="shared" si="7"/>
        <v>#REF!</v>
      </c>
      <c r="BG71" s="33" t="e">
        <f t="shared" si="8"/>
        <v>#REF!</v>
      </c>
      <c r="BH71" s="33" t="e">
        <f t="shared" si="9"/>
        <v>#REF!</v>
      </c>
      <c r="BI71" s="33" t="e">
        <f t="shared" si="10"/>
        <v>#REF!</v>
      </c>
      <c r="BJ71" s="29"/>
      <c r="BK71" s="29"/>
      <c r="BL71" s="29"/>
      <c r="BM71" s="29"/>
      <c r="BN71" s="29"/>
    </row>
    <row r="72" spans="2:66" x14ac:dyDescent="0.15">
      <c r="B72" s="5">
        <v>69</v>
      </c>
      <c r="C72" s="5">
        <f>'[1]资源-玩家城池建筑时间'!AJ74*'[1]功能-付费相关'!AH74/节奏总纲!W72</f>
        <v>3377.5671807113149</v>
      </c>
      <c r="D72" s="5">
        <f>'[1]资源-玩家城池建筑时间'!AK74*'[1]功能-付费相关'!AI74/节奏总纲!X72</f>
        <v>4252.8967356036883</v>
      </c>
      <c r="E72" s="5">
        <f>'[1]资源-玩家城池建筑时间'!AL74*'[1]功能-付费相关'!AJ74/节奏总纲!Y72</f>
        <v>5692.3523693047355</v>
      </c>
      <c r="F72" s="5">
        <f>'[1]资源-玩家城池建筑时间'!AM74*'[1]功能-付费相关'!AK74/节奏总纲!Z72</f>
        <v>8604.7954549314745</v>
      </c>
      <c r="G72" s="5">
        <f>'[1]资源-玩家城池建筑时间'!AN74*'[1]功能-付费相关'!AL74/节奏总纲!AA72</f>
        <v>17329.652062955473</v>
      </c>
      <c r="H72" s="3"/>
      <c r="I72" s="28">
        <f>'[1]资源-士兵训练时间'!AB74*'[1]功能-付费相关'!AH74/节奏总纲!W72</f>
        <v>1644.2044792918587</v>
      </c>
      <c r="J72" s="28">
        <f>'[1]资源-士兵训练时间'!AC74*'[1]功能-付费相关'!AI74/节奏总纲!X72</f>
        <v>2558.81122390771</v>
      </c>
      <c r="K72" s="28">
        <f>'[1]资源-士兵训练时间'!AD74*'[1]功能-付费相关'!AJ74/节奏总纲!Y72</f>
        <v>4008.5767775043591</v>
      </c>
      <c r="L72" s="28">
        <f>'[1]资源-士兵训练时间'!AE74*'[1]功能-付费相关'!AK74/节奏总纲!Z72</f>
        <v>6113.7182768184011</v>
      </c>
      <c r="M72" s="28">
        <f>'[1]资源-士兵训练时间'!AF74*'[1]功能-付费相关'!AL74/节奏总纲!AA72</f>
        <v>13814.96998073843</v>
      </c>
      <c r="N72" s="34"/>
      <c r="O72" s="34">
        <f>'[1]资源-士兵招募时间'!AC74*'[1]功能-付费相关'!AH74/节奏总纲!W72</f>
        <v>978.08267722963149</v>
      </c>
      <c r="P72" s="34">
        <f>'[1]资源-士兵招募时间'!AD74*'[1]功能-付费相关'!AI74/节奏总纲!X72</f>
        <v>1248.478494004225</v>
      </c>
      <c r="Q72" s="34">
        <f>'[1]资源-士兵招募时间'!AE74*'[1]功能-付费相关'!AJ74/节奏总纲!Y72</f>
        <v>2077.6748120437205</v>
      </c>
      <c r="R72" s="34">
        <f>'[1]资源-士兵招募时间'!AF74*'[1]功能-付费相关'!AK74/节奏总纲!Z72</f>
        <v>1366.0545151247209</v>
      </c>
      <c r="S72" s="34">
        <f>'[1]资源-士兵招募时间'!AG74*'[1]功能-付费相关'!AL74/节奏总纲!AA72</f>
        <v>1201.9727916922814</v>
      </c>
      <c r="T72" s="34"/>
      <c r="U72" s="5">
        <f>('[1]资源-木石铜粮'!U74-'[1]资源-木石铜粮'!U73)*'[1]功能-付费相关'!S74/节奏总纲!W72</f>
        <v>1818.6359204818395</v>
      </c>
      <c r="V72" s="5">
        <f>('[1]资源-木石铜粮'!V74-'[1]资源-木石铜粮'!V73)*'[1]功能-付费相关'!T74/节奏总纲!X72</f>
        <v>2033.2463288156162</v>
      </c>
      <c r="W72" s="5">
        <f>('[1]资源-木石铜粮'!W74-'[1]资源-木石铜粮'!W73)*'[1]功能-付费相关'!U74/节奏总纲!Y72</f>
        <v>2850.5643196614919</v>
      </c>
      <c r="X72" s="5">
        <f>('[1]资源-木石铜粮'!X74-'[1]资源-木石铜粮'!X73)*'[1]功能-付费相关'!V74/节奏总纲!Z72</f>
        <v>3559.4448391875244</v>
      </c>
      <c r="Y72" s="5">
        <f>('[1]资源-木石铜粮'!Y74-'[1]资源-木石铜粮'!Y73)*'[1]功能-付费相关'!W74/节奏总纲!AA72</f>
        <v>5661.237717935298</v>
      </c>
      <c r="Z72" s="3"/>
      <c r="AA72" s="11">
        <f>('[1]资源-铁'!T74-'[1]资源-铁'!T73)*'[1]功能-付费相关'!X74/节奏总纲!W72</f>
        <v>2412.2585647227156</v>
      </c>
      <c r="AB72" s="11">
        <f>('[1]资源-铁'!U74-'[1]资源-铁'!U73)*'[1]功能-付费相关'!Y74/节奏总纲!X72</f>
        <v>3255.2335609450447</v>
      </c>
      <c r="AC72" s="11">
        <f>('[1]资源-铁'!V74-'[1]资源-铁'!V73)*'[1]功能-付费相关'!Z74/节奏总纲!Y72</f>
        <v>4580.0252077043351</v>
      </c>
      <c r="AD72" s="11">
        <f>('[1]资源-铁'!W74-'[1]资源-铁'!W73)*'[1]功能-付费相关'!AA74/节奏总纲!Z72</f>
        <v>6470.5391097484699</v>
      </c>
      <c r="AE72" s="11">
        <f>('[1]资源-铁'!X74-'[1]资源-铁'!X73)*'[1]功能-付费相关'!AB74/节奏总纲!AA72</f>
        <v>13824.209085899809</v>
      </c>
      <c r="AG72" s="11">
        <f>('[1]资源-银币'!Y74-'[1]资源-银币'!Y73)*'[1]功能-付费相关'!AQ74/节奏总纲!W72</f>
        <v>767.00102150118994</v>
      </c>
      <c r="AH72" s="11">
        <f>('[1]资源-银币'!Z74-'[1]资源-银币'!Z73)*'[1]功能-付费相关'!AR74/节奏总纲!X72</f>
        <v>845.75732097034552</v>
      </c>
      <c r="AI72" s="11">
        <f>('[1]资源-银币'!AA74-'[1]资源-银币'!AA73)*'[1]功能-付费相关'!AS74/节奏总纲!Y72</f>
        <v>1339.38821629262</v>
      </c>
      <c r="AJ72" s="11">
        <f>('[1]资源-银币'!AB74-'[1]资源-银币'!AB73)*'[1]功能-付费相关'!AT74/节奏总纲!Z72</f>
        <v>2539.3941033815236</v>
      </c>
      <c r="AK72" s="11">
        <f>('[1]资源-银币'!AC74-'[1]资源-银币'!AC73)*'[1]功能-付费相关'!AU74/节奏总纲!AA72</f>
        <v>4808.8148767900111</v>
      </c>
      <c r="AM72" s="11" t="e">
        <f>(#REF!-#REF!)*'[1]功能-付费相关'!CA74/节奏总纲!W72</f>
        <v>#REF!</v>
      </c>
      <c r="AN72" s="11" t="e">
        <f>(#REF!-#REF!)*'[1]功能-付费相关'!CB74/节奏总纲!X72</f>
        <v>#REF!</v>
      </c>
      <c r="AO72" s="11" t="e">
        <f>(#REF!-#REF!)*'[1]功能-付费相关'!CC74/节奏总纲!Y72</f>
        <v>#REF!</v>
      </c>
      <c r="AP72" s="11" t="e">
        <f>(#REF!-#REF!)*'[1]功能-付费相关'!CD74/节奏总纲!Z72</f>
        <v>#REF!</v>
      </c>
      <c r="AQ72" s="11" t="e">
        <f>(#REF!-#REF!)*'[1]功能-付费相关'!CE74/节奏总纲!AA72</f>
        <v>#REF!</v>
      </c>
      <c r="AR72" s="21"/>
      <c r="AS72" s="11">
        <f>(信息索引!U74-信息索引!U73)*'[1]功能-付费相关'!BI74/节奏总纲!W72</f>
        <v>762.76809759953903</v>
      </c>
      <c r="AT72" s="11">
        <f>(信息索引!V74-信息索引!V73)*'[1]功能-付费相关'!BJ74/节奏总纲!X72</f>
        <v>782.92881951523884</v>
      </c>
      <c r="AU72" s="11">
        <f>(信息索引!W74-信息索引!W73)*'[1]功能-付费相关'!BK74/节奏总纲!Y72</f>
        <v>1029.2587258273556</v>
      </c>
      <c r="AV72" s="11">
        <f>(信息索引!X74-信息索引!X73)*'[1]功能-付费相关'!BL74/节奏总纲!Z72</f>
        <v>1601.9135413017177</v>
      </c>
      <c r="AW72" s="11">
        <f>(信息索引!Y74-信息索引!Y73)*'[1]功能-付费相关'!BM74/节奏总纲!AA72</f>
        <v>2931.4004509487081</v>
      </c>
      <c r="AY72" s="11">
        <f>('[1]资源-武将经验'!T74*节奏总纲!BJ72-'[1]资源-武将经验'!T73*节奏总纲!BJ71)*'[1]功能-付费相关'!AZ74/节奏总纲!W72</f>
        <v>1330.3436566629555</v>
      </c>
      <c r="AZ72" s="11">
        <f>('[1]资源-武将经验'!U74*节奏总纲!BK72-'[1]资源-武将经验'!U73*节奏总纲!BK71)*'[1]功能-付费相关'!BA74/节奏总纲!X72</f>
        <v>1308.4135354733216</v>
      </c>
      <c r="BA72" s="11">
        <f>('[1]资源-武将经验'!V74*节奏总纲!BL72-'[1]资源-武将经验'!V73*节奏总纲!BL71)*'[1]功能-付费相关'!BB74/节奏总纲!Y72</f>
        <v>1806.9286688601587</v>
      </c>
      <c r="BB72" s="11">
        <f>('[1]资源-武将经验'!W74*节奏总纲!BM72-'[1]资源-武将经验'!W73*节奏总纲!BM71)*'[1]功能-付费相关'!BC74/节奏总纲!Z72</f>
        <v>4897.658267914926</v>
      </c>
      <c r="BC72" s="11">
        <f>('[1]资源-武将经验'!X74*节奏总纲!BN72-'[1]资源-武将经验'!X73*节奏总纲!BN71)*'[1]功能-付费相关'!BD74/节奏总纲!AA72</f>
        <v>9000.5269904437482</v>
      </c>
      <c r="BD72" s="29"/>
      <c r="BE72" s="33" t="e">
        <f t="shared" si="6"/>
        <v>#REF!</v>
      </c>
      <c r="BF72" s="33" t="e">
        <f t="shared" si="7"/>
        <v>#REF!</v>
      </c>
      <c r="BG72" s="33" t="e">
        <f t="shared" si="8"/>
        <v>#REF!</v>
      </c>
      <c r="BH72" s="33" t="e">
        <f t="shared" si="9"/>
        <v>#REF!</v>
      </c>
      <c r="BI72" s="33" t="e">
        <f t="shared" si="10"/>
        <v>#REF!</v>
      </c>
      <c r="BJ72" s="29"/>
      <c r="BK72" s="29"/>
      <c r="BL72" s="29"/>
      <c r="BM72" s="29"/>
      <c r="BN72" s="29"/>
    </row>
    <row r="73" spans="2:66" x14ac:dyDescent="0.15">
      <c r="B73" s="5">
        <v>70</v>
      </c>
      <c r="C73" s="5">
        <f>'[1]资源-玩家城池建筑时间'!AJ75*'[1]功能-付费相关'!AH75/节奏总纲!W73</f>
        <v>3402.3173884829594</v>
      </c>
      <c r="D73" s="5">
        <f>'[1]资源-玩家城池建筑时间'!AK75*'[1]功能-付费相关'!AI75/节奏总纲!X73</f>
        <v>4266.2170416278395</v>
      </c>
      <c r="E73" s="5">
        <f>'[1]资源-玩家城池建筑时间'!AL75*'[1]功能-付费相关'!AJ75/节奏总纲!Y73</f>
        <v>5736.53030328765</v>
      </c>
      <c r="F73" s="5">
        <f>'[1]资源-玩家城池建筑时间'!AM75*'[1]功能-付费相关'!AK75/节奏总纲!Z73</f>
        <v>8643.2914584746923</v>
      </c>
      <c r="G73" s="5">
        <f>'[1]资源-玩家城池建筑时间'!AN75*'[1]功能-付费相关'!AL75/节奏总纲!AA73</f>
        <v>17412.129564139632</v>
      </c>
      <c r="H73" s="3"/>
      <c r="I73" s="28">
        <f>'[1]资源-士兵训练时间'!AB75*'[1]功能-付费相关'!AH75/节奏总纲!W73</f>
        <v>1889.5836730395383</v>
      </c>
      <c r="J73" s="28">
        <f>'[1]资源-士兵训练时间'!AC75*'[1]功能-付费相关'!AI75/节奏总纲!X73</f>
        <v>2464.3386112613157</v>
      </c>
      <c r="K73" s="28">
        <f>'[1]资源-士兵训练时间'!AD75*'[1]功能-付费相关'!AJ75/节奏总纲!Y73</f>
        <v>3622.9441640405412</v>
      </c>
      <c r="L73" s="28">
        <f>'[1]资源-士兵训练时间'!AE75*'[1]功能-付费相关'!AK75/节奏总纲!Z73</f>
        <v>6179.7811031163437</v>
      </c>
      <c r="M73" s="28">
        <f>'[1]资源-士兵训练时间'!AF75*'[1]功能-付费相关'!AL75/节奏总纲!AA73</f>
        <v>13962.31847468613</v>
      </c>
      <c r="N73" s="34"/>
      <c r="O73" s="34">
        <f>'[1]资源-士兵招募时间'!AC75*'[1]功能-付费相关'!AH75/节奏总纲!W73</f>
        <v>974.27724150759718</v>
      </c>
      <c r="P73" s="34">
        <f>'[1]资源-士兵招募时间'!AD75*'[1]功能-付费相关'!AI75/节奏总纲!X73</f>
        <v>1237.2529571648461</v>
      </c>
      <c r="Q73" s="34">
        <f>'[1]资源-士兵招募时间'!AE75*'[1]功能-付费相关'!AJ75/节奏总纲!Y73</f>
        <v>1690.7343580999436</v>
      </c>
      <c r="R73" s="34">
        <f>'[1]资源-士兵招募时间'!AF75*'[1]功能-付费相关'!AK75/节奏总纲!Z73</f>
        <v>1375.3986026240793</v>
      </c>
      <c r="S73" s="34">
        <f>'[1]资源-士兵招募时间'!AG75*'[1]功能-付费相关'!AL75/节奏总纲!AA73</f>
        <v>1210.7493899868805</v>
      </c>
      <c r="T73" s="34"/>
      <c r="U73" s="5">
        <f>('[1]资源-木石铜粮'!U75-'[1]资源-木石铜粮'!U74)*'[1]功能-付费相关'!S75/节奏总纲!W73</f>
        <v>1826.4897722036442</v>
      </c>
      <c r="V73" s="5">
        <f>('[1]资源-木石铜粮'!V75-'[1]资源-木石铜粮'!V74)*'[1]功能-付费相关'!T75/节奏总纲!X73</f>
        <v>2244.6317405946979</v>
      </c>
      <c r="W73" s="5">
        <f>('[1]资源-木石铜粮'!W75-'[1]资源-木石铜粮'!W74)*'[1]功能-付费相关'!U75/节奏总纲!Y73</f>
        <v>3061.1453143674548</v>
      </c>
      <c r="X73" s="5">
        <f>('[1]资源-木石铜粮'!X75-'[1]资源-木石铜粮'!X74)*'[1]功能-付费相关'!V75/节奏总纲!Z73</f>
        <v>3634.5533142945892</v>
      </c>
      <c r="Y73" s="5">
        <f>('[1]资源-木石铜粮'!Y75-'[1]资源-木石铜粮'!Y74)*'[1]功能-付费相关'!W75/节奏总纲!AA73</f>
        <v>5534.2886843955193</v>
      </c>
      <c r="Z73" s="3"/>
      <c r="AA73" s="11">
        <f>('[1]资源-铁'!T75-'[1]资源-铁'!T74)*'[1]功能-付费相关'!X75/节奏总纲!W73</f>
        <v>2497.8689707724757</v>
      </c>
      <c r="AB73" s="11">
        <f>('[1]资源-铁'!U75-'[1]资源-铁'!U74)*'[1]功能-付费相关'!Y75/节奏总纲!X73</f>
        <v>3148.4286909309935</v>
      </c>
      <c r="AC73" s="11">
        <f>('[1]资源-铁'!V75-'[1]资源-铁'!V74)*'[1]功能-付费相关'!Z75/节奏总纲!Y73</f>
        <v>4322.2785180738101</v>
      </c>
      <c r="AD73" s="11">
        <f>('[1]资源-铁'!W75-'[1]资源-铁'!W74)*'[1]功能-付费相关'!AA75/节奏总纲!Z73</f>
        <v>6432.0030015158382</v>
      </c>
      <c r="AE73" s="11">
        <f>('[1]资源-铁'!X75-'[1]资源-铁'!X74)*'[1]功能-付费相关'!AB75/节奏总纲!AA73</f>
        <v>13667.17400084285</v>
      </c>
      <c r="AG73" s="11">
        <f>('[1]资源-银币'!Y75-'[1]资源-银币'!Y74)*'[1]功能-付费相关'!AQ75/节奏总纲!W73</f>
        <v>727.18539584131406</v>
      </c>
      <c r="AH73" s="11">
        <f>('[1]资源-银币'!Z75-'[1]资源-银币'!Z74)*'[1]功能-付费相关'!AR75/节奏总纲!X73</f>
        <v>970.29316221579461</v>
      </c>
      <c r="AI73" s="11">
        <f>('[1]资源-银币'!AA75-'[1]资源-银币'!AA74)*'[1]功能-付费相关'!AS75/节奏总纲!Y73</f>
        <v>1585.5582005170793</v>
      </c>
      <c r="AJ73" s="11">
        <f>('[1]资源-银币'!AB75-'[1]资源-银币'!AB74)*'[1]功能-付费相关'!AT75/节奏总纲!Z73</f>
        <v>2257.2237429685001</v>
      </c>
      <c r="AK73" s="11">
        <f>('[1]资源-银币'!AC75-'[1]资源-银币'!AC74)*'[1]功能-付费相关'!AU75/节奏总纲!AA73</f>
        <v>4171.363605848398</v>
      </c>
      <c r="AM73" s="11" t="e">
        <f>(#REF!-#REF!)*'[1]功能-付费相关'!CA75/节奏总纲!W73</f>
        <v>#REF!</v>
      </c>
      <c r="AN73" s="11" t="e">
        <f>(#REF!-#REF!)*'[1]功能-付费相关'!CB75/节奏总纲!X73</f>
        <v>#REF!</v>
      </c>
      <c r="AO73" s="11" t="e">
        <f>(#REF!-#REF!)*'[1]功能-付费相关'!CC75/节奏总纲!Y73</f>
        <v>#REF!</v>
      </c>
      <c r="AP73" s="11" t="e">
        <f>(#REF!-#REF!)*'[1]功能-付费相关'!CD75/节奏总纲!Z73</f>
        <v>#REF!</v>
      </c>
      <c r="AQ73" s="11" t="e">
        <f>(#REF!-#REF!)*'[1]功能-付费相关'!CE75/节奏总纲!AA73</f>
        <v>#REF!</v>
      </c>
      <c r="AR73" s="21"/>
      <c r="AS73" s="11">
        <f>(信息索引!U75-信息索引!U74)*'[1]功能-付费相关'!BI75/节奏总纲!W73</f>
        <v>690.05931316241197</v>
      </c>
      <c r="AT73" s="11">
        <f>(信息索引!V75-信息索引!V74)*'[1]功能-付费相关'!BJ75/节奏总纲!X73</f>
        <v>835.9182622028386</v>
      </c>
      <c r="AU73" s="11">
        <f>(信息索引!W75-信息索引!W74)*'[1]功能-付费相关'!BK75/节奏总纲!Y73</f>
        <v>1138.5306522109499</v>
      </c>
      <c r="AV73" s="11">
        <f>(信息索引!X75-信息索引!X74)*'[1]功能-付费相关'!BL75/节奏总纲!Z73</f>
        <v>1493.89778907455</v>
      </c>
      <c r="AW73" s="11">
        <f>(信息索引!Y75-信息索引!Y74)*'[1]功能-付费相关'!BM75/节奏总纲!AA73</f>
        <v>2516.0007066370999</v>
      </c>
      <c r="AY73" s="11">
        <f>('[1]资源-武将经验'!T75*节奏总纲!BJ73-'[1]资源-武将经验'!T74*节奏总纲!BJ72)*'[1]功能-付费相关'!AZ75/节奏总纲!W73</f>
        <v>1791.17246517029</v>
      </c>
      <c r="AZ73" s="11">
        <f>('[1]资源-武将经验'!U75*节奏总纲!BK73-'[1]资源-武将经验'!U74*节奏总纲!BK72)*'[1]功能-付费相关'!BA75/节奏总纲!X73</f>
        <v>2254.3267291598095</v>
      </c>
      <c r="BA73" s="11">
        <f>('[1]资源-武将经验'!V75*节奏总纲!BL73-'[1]资源-武将经验'!V74*节奏总纲!BL72)*'[1]功能-付费相关'!BB75/节奏总纲!Y73</f>
        <v>2797.8857859520526</v>
      </c>
      <c r="BB73" s="11">
        <f>('[1]资源-武将经验'!W75*节奏总纲!BM73-'[1]资源-武将经验'!W74*节奏总纲!BM72)*'[1]功能-付费相关'!BC75/节奏总纲!Z73</f>
        <v>6611.7447783258121</v>
      </c>
      <c r="BC73" s="11">
        <f>('[1]资源-武将经验'!X75*节奏总纲!BN73-'[1]资源-武将经验'!X74*节奏总纲!BN72)*'[1]功能-付费相关'!BD75/节奏总纲!AA73</f>
        <v>11234.437183924036</v>
      </c>
      <c r="BD73" s="29"/>
      <c r="BE73" s="33" t="e">
        <f t="shared" si="6"/>
        <v>#REF!</v>
      </c>
      <c r="BF73" s="33" t="e">
        <f t="shared" si="7"/>
        <v>#REF!</v>
      </c>
      <c r="BG73" s="33" t="e">
        <f t="shared" si="8"/>
        <v>#REF!</v>
      </c>
      <c r="BH73" s="33" t="e">
        <f t="shared" si="9"/>
        <v>#REF!</v>
      </c>
      <c r="BI73" s="33" t="e">
        <f t="shared" si="10"/>
        <v>#REF!</v>
      </c>
      <c r="BJ73" s="29"/>
      <c r="BK73" s="29"/>
      <c r="BL73" s="29"/>
      <c r="BM73" s="29"/>
      <c r="BN73" s="29"/>
    </row>
    <row r="74" spans="2:66" x14ac:dyDescent="0.15">
      <c r="B74" s="5">
        <v>71</v>
      </c>
      <c r="C74" s="5">
        <f>'[1]资源-玩家城池建筑时间'!AJ76*'[1]功能-付费相关'!AH76/节奏总纲!W74</f>
        <v>3412.2833326994778</v>
      </c>
      <c r="D74" s="5">
        <f>'[1]资源-玩家城池建筑时间'!AK76*'[1]功能-付费相关'!AI76/节奏总纲!X74</f>
        <v>4302.3977274657318</v>
      </c>
      <c r="E74" s="5">
        <f>'[1]资源-玩家城池建筑时间'!AL76*'[1]功能-付费相关'!AJ76/节奏总纲!Y74</f>
        <v>5747.85079761818</v>
      </c>
      <c r="F74" s="5">
        <f>'[1]资源-玩家城池建筑时间'!AM76*'[1]功能-付费相关'!AK76/节奏总纲!Z74</f>
        <v>8703.3259985787226</v>
      </c>
      <c r="G74" s="5">
        <f>'[1]资源-玩家城池建筑时间'!AN76*'[1]功能-付费相关'!AL76/节奏总纲!AA74</f>
        <v>17597.351624445364</v>
      </c>
      <c r="H74" s="3"/>
      <c r="I74" s="28">
        <f>'[1]资源-士兵训练时间'!AB76*'[1]功能-付费相关'!AH76/节奏总纲!W74</f>
        <v>1824.338547803372</v>
      </c>
      <c r="J74" s="28">
        <f>'[1]资源-士兵训练时间'!AC76*'[1]功能-付费相关'!AI76/节奏总纲!X74</f>
        <v>2207.7315999622042</v>
      </c>
      <c r="K74" s="28">
        <f>'[1]资源-士兵训练时间'!AD76*'[1]功能-付费相关'!AJ76/节奏总纲!Y74</f>
        <v>3640.2126544287107</v>
      </c>
      <c r="L74" s="28">
        <f>'[1]资源-士兵训练时间'!AE76*'[1]功能-付费相关'!AK76/节奏总纲!Z74</f>
        <v>6282.8061194747388</v>
      </c>
      <c r="M74" s="28">
        <f>'[1]资源-士兵训练时间'!AF76*'[1]功能-付费相关'!AL76/节奏总纲!AA74</f>
        <v>13980.142116434834</v>
      </c>
      <c r="N74" s="34"/>
      <c r="O74" s="34">
        <f>'[1]资源-士兵招募时间'!AC76*'[1]功能-付费相关'!AH76/节奏总纲!W74</f>
        <v>981.04679416698718</v>
      </c>
      <c r="P74" s="34">
        <f>'[1]资源-士兵招募时间'!AD76*'[1]功能-付费相关'!AI76/节奏总纲!X74</f>
        <v>1233.6484846306912</v>
      </c>
      <c r="Q74" s="34">
        <f>'[1]资源-士兵招募时间'!AE76*'[1]功能-付费相关'!AJ76/节奏总纲!Y74</f>
        <v>1570.2423190243865</v>
      </c>
      <c r="R74" s="34">
        <f>'[1]资源-士兵招募时间'!AF76*'[1]功能-付费相关'!AK76/节奏总纲!Z74</f>
        <v>1508.0769738707813</v>
      </c>
      <c r="S74" s="34">
        <f>'[1]资源-士兵招募时间'!AG76*'[1]功能-付费相关'!AL76/节奏总纲!AA74</f>
        <v>1218.2660783138961</v>
      </c>
      <c r="T74" s="34"/>
      <c r="U74" s="5">
        <f>('[1]资源-木石铜粮'!U76-'[1]资源-木石铜粮'!U75)*'[1]功能-付费相关'!S76/节奏总纲!W74</f>
        <v>1866.1782959994227</v>
      </c>
      <c r="V74" s="5">
        <f>('[1]资源-木石铜粮'!V76-'[1]资源-木石铜粮'!V75)*'[1]功能-付费相关'!T76/节奏总纲!X74</f>
        <v>2349.8463525046564</v>
      </c>
      <c r="W74" s="5">
        <f>('[1]资源-木石铜粮'!W76-'[1]资源-木石铜粮'!W75)*'[1]功能-付费相关'!U76/节奏总纲!Y74</f>
        <v>2930.2232112923598</v>
      </c>
      <c r="X74" s="5">
        <f>('[1]资源-木石铜粮'!X76-'[1]资源-木石铜粮'!X75)*'[1]功能-付费相关'!V76/节奏总纲!Z74</f>
        <v>3280.2067740668685</v>
      </c>
      <c r="Y74" s="5">
        <f>('[1]资源-木石铜粮'!Y76-'[1]资源-木石铜粮'!Y75)*'[1]功能-付费相关'!W76/节奏总纲!AA74</f>
        <v>5842.1965056716981</v>
      </c>
      <c r="Z74" s="3"/>
      <c r="AA74" s="11">
        <f>('[1]资源-铁'!T76-'[1]资源-铁'!T75)*'[1]功能-付费相关'!X76/节奏总纲!W74</f>
        <v>2422.1862909622173</v>
      </c>
      <c r="AB74" s="11">
        <f>('[1]资源-铁'!U76-'[1]资源-铁'!U75)*'[1]功能-付费相关'!Y76/节奏总纲!X74</f>
        <v>2980.2590621130216</v>
      </c>
      <c r="AC74" s="11">
        <f>('[1]资源-铁'!V76-'[1]资源-铁'!V75)*'[1]功能-付费相关'!Z76/节奏总纲!Y74</f>
        <v>4260.6691047004961</v>
      </c>
      <c r="AD74" s="11">
        <f>('[1]资源-铁'!W76-'[1]资源-铁'!W75)*'[1]功能-付费相关'!AA76/节奏总纲!Z74</f>
        <v>6439.6689999367036</v>
      </c>
      <c r="AE74" s="11">
        <f>('[1]资源-铁'!X76-'[1]资源-铁'!X75)*'[1]功能-付费相关'!AB76/节奏总纲!AA74</f>
        <v>13435.984610338219</v>
      </c>
      <c r="AG74" s="11">
        <f>('[1]资源-银币'!Y76-'[1]资源-银币'!Y75)*'[1]功能-付费相关'!AQ76/节奏总纲!W74</f>
        <v>987.98701987061474</v>
      </c>
      <c r="AH74" s="11">
        <f>('[1]资源-银币'!Z76-'[1]资源-银币'!Z75)*'[1]功能-付费相关'!AR76/节奏总纲!X74</f>
        <v>1336.7952030687177</v>
      </c>
      <c r="AI74" s="11">
        <f>('[1]资源-银币'!AA76-'[1]资源-银币'!AA75)*'[1]功能-付费相关'!AS76/节奏总纲!Y74</f>
        <v>1862.8311372097128</v>
      </c>
      <c r="AJ74" s="11">
        <f>('[1]资源-银币'!AB76-'[1]资源-银币'!AB75)*'[1]功能-付费相关'!AT76/节奏总纲!Z74</f>
        <v>2250.5806902238319</v>
      </c>
      <c r="AK74" s="11">
        <f>('[1]资源-银币'!AC76-'[1]资源-银币'!AC75)*'[1]功能-付费相关'!AU76/节奏总纲!AA74</f>
        <v>5196.3240626969646</v>
      </c>
      <c r="AM74" s="11" t="e">
        <f>(#REF!-#REF!)*'[1]功能-付费相关'!CA76/节奏总纲!W74</f>
        <v>#REF!</v>
      </c>
      <c r="AN74" s="11" t="e">
        <f>(#REF!-#REF!)*'[1]功能-付费相关'!CB76/节奏总纲!X74</f>
        <v>#REF!</v>
      </c>
      <c r="AO74" s="11" t="e">
        <f>(#REF!-#REF!)*'[1]功能-付费相关'!CC76/节奏总纲!Y74</f>
        <v>#REF!</v>
      </c>
      <c r="AP74" s="11" t="e">
        <f>(#REF!-#REF!)*'[1]功能-付费相关'!CD76/节奏总纲!Z74</f>
        <v>#REF!</v>
      </c>
      <c r="AQ74" s="11" t="e">
        <f>(#REF!-#REF!)*'[1]功能-付费相关'!CE76/节奏总纲!AA74</f>
        <v>#REF!</v>
      </c>
      <c r="AR74" s="21"/>
      <c r="AS74" s="11">
        <f>(信息索引!U76-信息索引!U75)*'[1]功能-付费相关'!BI76/节奏总纲!W74</f>
        <v>2033.5475276402217</v>
      </c>
      <c r="AT74" s="11">
        <f>(信息索引!V76-信息索引!V75)*'[1]功能-付费相关'!BJ76/节奏总纲!X74</f>
        <v>2529.3560692063807</v>
      </c>
      <c r="AU74" s="11">
        <f>(信息索引!W76-信息索引!W75)*'[1]功能-付费相关'!BK76/节奏总纲!Y74</f>
        <v>3100.7905689892787</v>
      </c>
      <c r="AV74" s="11">
        <f>(信息索引!X76-信息索引!X75)*'[1]功能-付费相关'!BL76/节奏总纲!Z74</f>
        <v>3404.2438580405205</v>
      </c>
      <c r="AW74" s="11">
        <f>(信息索引!Y76-信息索引!Y75)*'[1]功能-付费相关'!BM76/节奏总纲!AA74</f>
        <v>7304.6055393149572</v>
      </c>
      <c r="AY74" s="11">
        <f>('[1]资源-武将经验'!T76*节奏总纲!BJ74-'[1]资源-武将经验'!T75*节奏总纲!BJ73)*'[1]功能-付费相关'!AZ76/节奏总纲!W74</f>
        <v>1741.2597255471335</v>
      </c>
      <c r="AZ74" s="11">
        <f>('[1]资源-武将经验'!U76*节奏总纲!BK74-'[1]资源-武将经验'!U75*节奏总纲!BK73)*'[1]功能-付费相关'!BA76/节奏总纲!X74</f>
        <v>2117.290839443544</v>
      </c>
      <c r="BA74" s="11">
        <f>('[1]资源-武将经验'!V76*节奏总纲!BL74-'[1]资源-武将经验'!V75*节奏总纲!BL73)*'[1]功能-付费相关'!BB76/节奏总纲!Y74</f>
        <v>2613.0426581841721</v>
      </c>
      <c r="BB74" s="11">
        <f>('[1]资源-武将经验'!W76*节奏总纲!BM74-'[1]资源-武将经验'!W75*节奏总纲!BM73)*'[1]功能-付费相关'!BC76/节奏总纲!Z74</f>
        <v>4858.1747436111546</v>
      </c>
      <c r="BC74" s="11">
        <f>('[1]资源-武将经验'!X76*节奏总纲!BN74-'[1]资源-武将经验'!X75*节奏总纲!BN73)*'[1]功能-付费相关'!BD76/节奏总纲!AA74</f>
        <v>10187.366944707022</v>
      </c>
      <c r="BD74" s="29"/>
      <c r="BE74" s="33" t="e">
        <f t="shared" si="6"/>
        <v>#REF!</v>
      </c>
      <c r="BF74" s="33" t="e">
        <f t="shared" si="7"/>
        <v>#REF!</v>
      </c>
      <c r="BG74" s="33" t="e">
        <f t="shared" si="8"/>
        <v>#REF!</v>
      </c>
      <c r="BH74" s="33" t="e">
        <f t="shared" si="9"/>
        <v>#REF!</v>
      </c>
      <c r="BI74" s="33" t="e">
        <f t="shared" si="10"/>
        <v>#REF!</v>
      </c>
      <c r="BJ74" s="29"/>
      <c r="BK74" s="29"/>
      <c r="BL74" s="29"/>
      <c r="BM74" s="29"/>
      <c r="BN74" s="29"/>
    </row>
    <row r="75" spans="2:66" x14ac:dyDescent="0.15">
      <c r="B75" s="5">
        <v>72</v>
      </c>
      <c r="C75" s="5">
        <f>'[1]资源-玩家城池建筑时间'!AJ77*'[1]功能-付费相关'!AH77/节奏总纲!W75</f>
        <v>3441.9181819725909</v>
      </c>
      <c r="D75" s="5">
        <f>'[1]资源-玩家城池建筑时间'!AK77*'[1]功能-付费相关'!AI77/节奏总纲!X75</f>
        <v>4308.2523047611712</v>
      </c>
      <c r="E75" s="5">
        <f>'[1]资源-玩家城池建筑时间'!AL77*'[1]功能-付费相关'!AJ77/节奏总纲!Y75</f>
        <v>5802.2173323858296</v>
      </c>
      <c r="F75" s="5">
        <f>'[1]资源-玩家城池建筑时间'!AM77*'[1]功能-付费相关'!AK77/节奏总纲!Z75</f>
        <v>8773.3642147837654</v>
      </c>
      <c r="G75" s="5">
        <f>'[1]资源-玩家城池建筑时间'!AN77*'[1]功能-付费相关'!AL77/节奏总纲!AA75</f>
        <v>17695.721201656143</v>
      </c>
      <c r="H75" s="3"/>
      <c r="I75" s="28">
        <f>'[1]资源-士兵训练时间'!AB77*'[1]功能-付费相关'!AH77/节奏总纲!W75</f>
        <v>1630.3248738182426</v>
      </c>
      <c r="J75" s="28">
        <f>'[1]资源-士兵训练时间'!AC77*'[1]功能-付费相关'!AI77/节奏总纲!X75</f>
        <v>2214.9877774223773</v>
      </c>
      <c r="K75" s="28">
        <f>'[1]资源-士兵训练时间'!AD77*'[1]功能-付费相关'!AJ77/节奏总纲!Y75</f>
        <v>3723.1443670961453</v>
      </c>
      <c r="L75" s="28">
        <f>'[1]资源-士兵训练时间'!AE77*'[1]功能-付费相关'!AK77/节奏总纲!Z75</f>
        <v>6288.8718249585663</v>
      </c>
      <c r="M75" s="28">
        <f>'[1]资源-士兵训练时间'!AF77*'[1]功能-付费相关'!AL77/节奏总纲!AA75</f>
        <v>14053.518633719101</v>
      </c>
      <c r="N75" s="34"/>
      <c r="O75" s="34">
        <f>'[1]资源-士兵招募时间'!AC77*'[1]功能-付费相关'!AH77/节奏总纲!W75</f>
        <v>989.50624997912371</v>
      </c>
      <c r="P75" s="34">
        <f>'[1]资源-士兵招募时间'!AD77*'[1]功能-付费相关'!AI77/节奏总纲!X75</f>
        <v>1224.1355363306347</v>
      </c>
      <c r="Q75" s="34">
        <f>'[1]资源-士兵招募时间'!AE77*'[1]功能-付费相关'!AJ77/节奏总纲!Y75</f>
        <v>1508.2184022335034</v>
      </c>
      <c r="R75" s="34">
        <f>'[1]资源-士兵招募时间'!AF77*'[1]功能-付费相关'!AK77/节奏总纲!Z75</f>
        <v>2059.7625397957918</v>
      </c>
      <c r="S75" s="34">
        <f>'[1]资源-士兵招募时间'!AG77*'[1]功能-付费相关'!AL77/节奏总纲!AA75</f>
        <v>1226.9158587919051</v>
      </c>
      <c r="T75" s="34"/>
      <c r="U75" s="5">
        <f>('[1]资源-木石铜粮'!U77-'[1]资源-木石铜粮'!U76)*'[1]功能-付费相关'!S77/节奏总纲!W75</f>
        <v>1897.4367493394102</v>
      </c>
      <c r="V75" s="5">
        <f>('[1]资源-木石铜粮'!V77-'[1]资源-木石铜粮'!V76)*'[1]功能-付费相关'!T77/节奏总纲!X75</f>
        <v>2249.7255083055479</v>
      </c>
      <c r="W75" s="5">
        <f>('[1]资源-木石铜粮'!W77-'[1]资源-木石铜粮'!W76)*'[1]功能-付费相关'!U77/节奏总纲!Y75</f>
        <v>2477.5697006089185</v>
      </c>
      <c r="X75" s="5">
        <f>('[1]资源-木石铜粮'!X77-'[1]资源-木石铜粮'!X76)*'[1]功能-付费相关'!V77/节奏总纲!Z75</f>
        <v>3475.5742322458218</v>
      </c>
      <c r="Y75" s="5">
        <f>('[1]资源-木石铜粮'!Y77-'[1]资源-木石铜粮'!Y76)*'[1]功能-付费相关'!W77/节奏总纲!AA75</f>
        <v>5725.9801648429375</v>
      </c>
      <c r="Z75" s="3"/>
      <c r="AA75" s="11">
        <f>('[1]资源-铁'!T77-'[1]资源-铁'!T76)*'[1]功能-付费相关'!X77/节奏总纲!W75</f>
        <v>2295.3061142552278</v>
      </c>
      <c r="AB75" s="11">
        <f>('[1]资源-铁'!U77-'[1]资源-铁'!U76)*'[1]功能-付费相关'!Y77/节奏总纲!X75</f>
        <v>2930.8972791906594</v>
      </c>
      <c r="AC75" s="11">
        <f>('[1]资源-铁'!V77-'[1]资源-铁'!V76)*'[1]功能-付费相关'!Z77/节奏总纲!Y75</f>
        <v>4326.154430686368</v>
      </c>
      <c r="AD75" s="11">
        <f>('[1]资源-铁'!W77-'[1]资源-铁'!W76)*'[1]功能-付费相关'!AA77/节奏总纲!Z75</f>
        <v>6307.8188742391867</v>
      </c>
      <c r="AE75" s="11">
        <f>('[1]资源-铁'!X77-'[1]资源-铁'!X76)*'[1]功能-付费相关'!AB77/节奏总纲!AA75</f>
        <v>12823.670238989236</v>
      </c>
      <c r="AG75" s="11">
        <f>('[1]资源-银币'!Y77-'[1]资源-银币'!Y76)*'[1]功能-付费相关'!AQ77/节奏总纲!W75</f>
        <v>1005.0359403828218</v>
      </c>
      <c r="AH75" s="11">
        <f>('[1]资源-银币'!Z77-'[1]资源-银币'!Z76)*'[1]功能-付费相关'!AR77/节奏总纲!X75</f>
        <v>1231.3977515835081</v>
      </c>
      <c r="AI75" s="11">
        <f>('[1]资源-银币'!AA77-'[1]资源-银币'!AA76)*'[1]功能-付费相关'!AS77/节奏总纲!Y75</f>
        <v>1419.7978746375434</v>
      </c>
      <c r="AJ75" s="11">
        <f>('[1]资源-银币'!AB77-'[1]资源-银币'!AB76)*'[1]功能-付费相关'!AT77/节奏总纲!Z75</f>
        <v>2330.3604101120786</v>
      </c>
      <c r="AK75" s="11">
        <f>('[1]资源-银币'!AC77-'[1]资源-银币'!AC76)*'[1]功能-付费相关'!AU77/节奏总纲!AA75</f>
        <v>5168.5247126450713</v>
      </c>
      <c r="AM75" s="11" t="e">
        <f>(#REF!-#REF!)*'[1]功能-付费相关'!CA77/节奏总纲!W75</f>
        <v>#REF!</v>
      </c>
      <c r="AN75" s="11" t="e">
        <f>(#REF!-#REF!)*'[1]功能-付费相关'!CB77/节奏总纲!X75</f>
        <v>#REF!</v>
      </c>
      <c r="AO75" s="11" t="e">
        <f>(#REF!-#REF!)*'[1]功能-付费相关'!CC77/节奏总纲!Y75</f>
        <v>#REF!</v>
      </c>
      <c r="AP75" s="11" t="e">
        <f>(#REF!-#REF!)*'[1]功能-付费相关'!CD77/节奏总纲!Z75</f>
        <v>#REF!</v>
      </c>
      <c r="AQ75" s="11" t="e">
        <f>(#REF!-#REF!)*'[1]功能-付费相关'!CE77/节奏总纲!AA75</f>
        <v>#REF!</v>
      </c>
      <c r="AR75" s="21"/>
      <c r="AS75" s="11">
        <f>(信息索引!U77-信息索引!U76)*'[1]功能-付费相关'!BI77/节奏总纲!W75</f>
        <v>1842.7906927436006</v>
      </c>
      <c r="AT75" s="11">
        <f>(信息索引!V77-信息索引!V76)*'[1]功能-付费相关'!BJ77/节奏总纲!X75</f>
        <v>2122.3060283675159</v>
      </c>
      <c r="AU75" s="11">
        <f>(信息索引!W77-信息索引!W76)*'[1]功能-付费相关'!BK77/节奏总纲!Y75</f>
        <v>2026.7038597793271</v>
      </c>
      <c r="AV75" s="11">
        <f>(信息索引!X77-信息索引!X76)*'[1]功能-付费相关'!BL77/节奏总纲!Z75</f>
        <v>2853.9953606815925</v>
      </c>
      <c r="AW75" s="11">
        <f>(信息索引!Y77-信息索引!Y76)*'[1]功能-付费相关'!BM77/节奏总纲!AA75</f>
        <v>6221.1603372273566</v>
      </c>
      <c r="AY75" s="11">
        <f>('[1]资源-武将经验'!T77*节奏总纲!BJ75-'[1]资源-武将经验'!T76*节奏总纲!BJ74)*'[1]功能-付费相关'!AZ77/节奏总纲!W75</f>
        <v>1577.4471536697704</v>
      </c>
      <c r="AZ75" s="11">
        <f>('[1]资源-武将经验'!U77*节奏总纲!BK75-'[1]资源-武将经验'!U76*节奏总纲!BK74)*'[1]功能-付费相关'!BA77/节奏总纲!X75</f>
        <v>1775.9661407366132</v>
      </c>
      <c r="BA75" s="11">
        <f>('[1]资源-武将经验'!V77*节奏总纲!BL75-'[1]资源-武将经验'!V76*节奏总纲!BL74)*'[1]功能-付费相关'!BB77/节奏总纲!Y75</f>
        <v>1707.3690014359925</v>
      </c>
      <c r="BB75" s="11">
        <f>('[1]资源-武将经验'!W77*节奏总纲!BM75-'[1]资源-武将经验'!W76*节奏总纲!BM74)*'[1]功能-付费相关'!BC77/节奏总纲!Z75</f>
        <v>4542.5510970642918</v>
      </c>
      <c r="BC75" s="11">
        <f>('[1]资源-武将经验'!X77*节奏总纲!BN75-'[1]资源-武将经验'!X76*节奏总纲!BN74)*'[1]功能-付费相关'!BD77/节奏总纲!AA75</f>
        <v>10557.216158420646</v>
      </c>
      <c r="BD75" s="29"/>
      <c r="BE75" s="33" t="e">
        <f t="shared" si="6"/>
        <v>#REF!</v>
      </c>
      <c r="BF75" s="33" t="e">
        <f t="shared" si="7"/>
        <v>#REF!</v>
      </c>
      <c r="BG75" s="33" t="e">
        <f t="shared" si="8"/>
        <v>#REF!</v>
      </c>
      <c r="BH75" s="33" t="e">
        <f t="shared" si="9"/>
        <v>#REF!</v>
      </c>
      <c r="BI75" s="33" t="e">
        <f t="shared" si="10"/>
        <v>#REF!</v>
      </c>
      <c r="BJ75" s="29"/>
      <c r="BK75" s="29"/>
      <c r="BL75" s="29"/>
      <c r="BM75" s="29"/>
      <c r="BN75" s="29"/>
    </row>
    <row r="76" spans="2:66" x14ac:dyDescent="0.15">
      <c r="B76" s="5">
        <v>73</v>
      </c>
      <c r="C76" s="5">
        <f>'[1]资源-玩家城池建筑时间'!AJ78*'[1]功能-付费相关'!AH78/节奏总纲!W76</f>
        <v>3446.6279314782073</v>
      </c>
      <c r="D76" s="5">
        <f>'[1]资源-玩家城池建筑时间'!AK78*'[1]功能-付费相关'!AI78/节奏总纲!X76</f>
        <v>4351.6629992893668</v>
      </c>
      <c r="E76" s="5">
        <f>'[1]资源-玩家城池建筑时间'!AL78*'[1]功能-付费相关'!AJ78/节奏总纲!Y76</f>
        <v>5838.4350788692391</v>
      </c>
      <c r="F76" s="5">
        <f>'[1]资源-玩家城池建筑时间'!AM78*'[1]功能-付费相关'!AK78/节奏总纲!Z76</f>
        <v>8814.0216377806137</v>
      </c>
      <c r="G76" s="5">
        <f>'[1]资源-玩家城池建筑时间'!AN78*'[1]功能-付费相关'!AL78/节奏总纲!AA76</f>
        <v>17798.500658464538</v>
      </c>
      <c r="H76" s="3"/>
      <c r="I76" s="28">
        <f>'[1]资源-士兵训练时间'!AB78*'[1]功能-付费相关'!AH78/节奏总纲!W76</f>
        <v>1635.7131277469525</v>
      </c>
      <c r="J76" s="28">
        <f>'[1]资源-士兵训练时间'!AC78*'[1]功能-付费相关'!AI78/节奏总纲!X76</f>
        <v>2268.7910986992115</v>
      </c>
      <c r="K76" s="28">
        <f>'[1]资源-士兵训练时间'!AD78*'[1]功能-付费相关'!AJ78/节奏总纲!Y76</f>
        <v>3725.9325107425334</v>
      </c>
      <c r="L76" s="28">
        <f>'[1]资源-士兵训练时间'!AE78*'[1]功能-付费相关'!AK78/节奏总纲!Z76</f>
        <v>6301.366130564983</v>
      </c>
      <c r="M76" s="28">
        <f>'[1]资源-士兵训练时间'!AF78*'[1]功能-付费相关'!AL78/节奏总纲!AA76</f>
        <v>14130.184598977883</v>
      </c>
      <c r="N76" s="34"/>
      <c r="O76" s="34">
        <f>'[1]资源-士兵招募时间'!AC78*'[1]功能-付费相关'!AH78/节奏总纲!W76</f>
        <v>998.5673246983456</v>
      </c>
      <c r="P76" s="34">
        <f>'[1]资源-士兵招募时间'!AD78*'[1]功能-付费相关'!AI78/节奏总纲!X76</f>
        <v>1228.6806197552671</v>
      </c>
      <c r="Q76" s="34">
        <f>'[1]资源-士兵招募时间'!AE78*'[1]功能-付费相关'!AJ78/节奏总纲!Y76</f>
        <v>1486.7090078510396</v>
      </c>
      <c r="R76" s="34">
        <f>'[1]资源-士兵招募时间'!AF78*'[1]功能-付费相关'!AK78/节奏总纲!Z76</f>
        <v>1932.3051619071573</v>
      </c>
      <c r="S76" s="34">
        <f>'[1]资源-士兵招募时间'!AG78*'[1]功能-付费相关'!AL78/节奏总纲!AA76</f>
        <v>1238.6526917873739</v>
      </c>
      <c r="T76" s="34"/>
      <c r="U76" s="5">
        <f>('[1]资源-木石铜粮'!U78-'[1]资源-木石铜粮'!U77)*'[1]功能-付费相关'!S78/节奏总纲!W76</f>
        <v>1897.360844118524</v>
      </c>
      <c r="V76" s="5">
        <f>('[1]资源-木石铜粮'!V78-'[1]资源-木石铜粮'!V77)*'[1]功能-付费相关'!T78/节奏总纲!X76</f>
        <v>1998.9244669744598</v>
      </c>
      <c r="W76" s="5">
        <f>('[1]资源-木石铜粮'!W78-'[1]资源-木石铜粮'!W77)*'[1]功能-付费相关'!U78/节奏总纲!Y76</f>
        <v>2530.4061413568515</v>
      </c>
      <c r="X76" s="5">
        <f>('[1]资源-木石铜粮'!X78-'[1]资源-木石铜粮'!X77)*'[1]功能-付费相关'!V78/节奏总纲!Z76</f>
        <v>3544.1859114996741</v>
      </c>
      <c r="Y76" s="5">
        <f>('[1]资源-木石铜粮'!Y78-'[1]资源-木石铜粮'!Y77)*'[1]功能-付费相关'!W78/节奏总纲!AA76</f>
        <v>5858.8142190803774</v>
      </c>
      <c r="Z76" s="3"/>
      <c r="AA76" s="11">
        <f>('[1]资源-铁'!T78-'[1]资源-铁'!T77)*'[1]功能-付费相关'!X78/节奏总纲!W76</f>
        <v>2258.7564179070137</v>
      </c>
      <c r="AB76" s="11">
        <f>('[1]资源-铁'!U78-'[1]资源-铁'!U77)*'[1]功能-付费相关'!Y78/节奏总纲!X76</f>
        <v>2972.7097630304011</v>
      </c>
      <c r="AC76" s="11">
        <f>('[1]资源-铁'!V78-'[1]资源-铁'!V77)*'[1]功能-付费相关'!Z78/节奏总纲!Y76</f>
        <v>4254.08782094661</v>
      </c>
      <c r="AD76" s="11">
        <f>('[1]资源-铁'!W78-'[1]资源-铁'!W77)*'[1]功能-付费相关'!AA78/节奏总纲!Z76</f>
        <v>6115.0022025754633</v>
      </c>
      <c r="AE76" s="11">
        <f>('[1]资源-铁'!X78-'[1]资源-铁'!X77)*'[1]功能-付费相关'!AB78/节奏总纲!AA76</f>
        <v>12245.506019891067</v>
      </c>
      <c r="AG76" s="11">
        <f>('[1]资源-银币'!Y78-'[1]资源-银币'!Y77)*'[1]功能-付费相关'!AQ78/节奏总纲!W76</f>
        <v>985.50449319151812</v>
      </c>
      <c r="AH76" s="11">
        <f>('[1]资源-银币'!Z78-'[1]资源-银币'!Z77)*'[1]功能-付费相关'!AR78/节奏总纲!X76</f>
        <v>995.38304425984904</v>
      </c>
      <c r="AI76" s="11">
        <f>('[1]资源-银币'!AA78-'[1]资源-银币'!AA77)*'[1]功能-付费相关'!AS78/节奏总纲!Y76</f>
        <v>1485.1518626702848</v>
      </c>
      <c r="AJ76" s="11">
        <f>('[1]资源-银币'!AB78-'[1]资源-银币'!AB77)*'[1]功能-付费相关'!AT78/节奏总纲!Z76</f>
        <v>2493.5619895950035</v>
      </c>
      <c r="AK76" s="11">
        <f>('[1]资源-银币'!AC78-'[1]资源-银币'!AC77)*'[1]功能-付费相关'!AU78/节奏总纲!AA76</f>
        <v>5254.1302095129058</v>
      </c>
      <c r="AM76" s="11" t="e">
        <f>(#REF!-#REF!)*'[1]功能-付费相关'!CA78/节奏总纲!W76</f>
        <v>#REF!</v>
      </c>
      <c r="AN76" s="11" t="e">
        <f>(#REF!-#REF!)*'[1]功能-付费相关'!CB78/节奏总纲!X76</f>
        <v>#REF!</v>
      </c>
      <c r="AO76" s="11" t="e">
        <f>(#REF!-#REF!)*'[1]功能-付费相关'!CC78/节奏总纲!Y76</f>
        <v>#REF!</v>
      </c>
      <c r="AP76" s="11" t="e">
        <f>(#REF!-#REF!)*'[1]功能-付费相关'!CD78/节奏总纲!Z76</f>
        <v>#REF!</v>
      </c>
      <c r="AQ76" s="11" t="e">
        <f>(#REF!-#REF!)*'[1]功能-付费相关'!CE78/节奏总纲!AA76</f>
        <v>#REF!</v>
      </c>
      <c r="AR76" s="21"/>
      <c r="AS76" s="11">
        <f>(信息索引!U78-信息索引!U77)*'[1]功能-付费相关'!BI78/节奏总纲!W76</f>
        <v>1669.2984410517329</v>
      </c>
      <c r="AT76" s="11">
        <f>(信息索引!V78-信息索引!V77)*'[1]功能-付费相关'!BJ78/节奏总纲!X76</f>
        <v>1525.4559736846247</v>
      </c>
      <c r="AU76" s="11">
        <f>(信息索引!W78-信息索引!W77)*'[1]功能-付费相关'!BK78/节奏总纲!Y76</f>
        <v>1857.5821510484393</v>
      </c>
      <c r="AV76" s="11">
        <f>(信息索引!X78-信息索引!X77)*'[1]功能-付费相关'!BL78/节奏总纲!Z76</f>
        <v>2745.1699347981594</v>
      </c>
      <c r="AW76" s="11">
        <f>(信息索引!Y78-信息索引!Y77)*'[1]功能-付费相关'!BM78/节奏总纲!AA76</f>
        <v>5852.5761437788533</v>
      </c>
      <c r="AY76" s="11">
        <f>('[1]资源-武将经验'!T78*节奏总纲!BJ76-'[1]资源-武将经验'!T77*节奏总纲!BJ75)*'[1]功能-付费相关'!AZ78/节奏总纲!W76</f>
        <v>1823.4652469532057</v>
      </c>
      <c r="AZ76" s="11">
        <f>('[1]资源-武将经验'!U78*节奏总纲!BK76-'[1]资源-武将经验'!U77*节奏总纲!BK75)*'[1]功能-付费相关'!BA78/节奏总纲!X76</f>
        <v>1718.6318232496935</v>
      </c>
      <c r="BA76" s="11">
        <f>('[1]资源-武将经验'!V78*节奏总纲!BL76-'[1]资源-武将经验'!V77*节奏总纲!BL75)*'[1]功能-付费相关'!BB78/节奏总纲!Y76</f>
        <v>2118.3095937988232</v>
      </c>
      <c r="BB76" s="11">
        <f>('[1]资源-武将经验'!W78*节奏总纲!BM76-'[1]资源-武将经验'!W77*节奏总纲!BM75)*'[1]功能-付费相关'!BC78/节奏总纲!Z76</f>
        <v>5276.9457928469774</v>
      </c>
      <c r="BC76" s="11">
        <f>('[1]资源-武将经验'!X78*节奏总纲!BN76-'[1]资源-武将经验'!X77*节奏总纲!BN75)*'[1]功能-付费相关'!BD78/节奏总纲!AA76</f>
        <v>10992.169793970081</v>
      </c>
      <c r="BD76" s="29"/>
      <c r="BE76" s="33" t="e">
        <f t="shared" si="6"/>
        <v>#REF!</v>
      </c>
      <c r="BF76" s="33" t="e">
        <f t="shared" si="7"/>
        <v>#REF!</v>
      </c>
      <c r="BG76" s="33" t="e">
        <f t="shared" si="8"/>
        <v>#REF!</v>
      </c>
      <c r="BH76" s="33" t="e">
        <f t="shared" si="9"/>
        <v>#REF!</v>
      </c>
      <c r="BI76" s="33" t="e">
        <f t="shared" si="10"/>
        <v>#REF!</v>
      </c>
      <c r="BJ76" s="29"/>
      <c r="BK76" s="29"/>
      <c r="BL76" s="29"/>
      <c r="BM76" s="29"/>
      <c r="BN76" s="29"/>
    </row>
    <row r="77" spans="2:66" x14ac:dyDescent="0.15">
      <c r="B77" s="5">
        <v>74</v>
      </c>
      <c r="C77" s="5">
        <f>'[1]资源-玩家城池建筑时间'!AJ79*'[1]功能-付费相关'!AH79/节奏总纲!W77</f>
        <v>3481.3303994314947</v>
      </c>
      <c r="D77" s="5">
        <f>'[1]资源-玩家城池建筑时间'!AK79*'[1]功能-付费相关'!AI79/节奏总纲!X77</f>
        <v>4365.5151527573171</v>
      </c>
      <c r="E77" s="5">
        <f>'[1]资源-玩家城池建筑时间'!AL79*'[1]功能-付费相关'!AJ79/节奏总纲!Y77</f>
        <v>5865.7838748151171</v>
      </c>
      <c r="F77" s="5">
        <f>'[1]资源-玩家城池建筑时间'!AM79*'[1]功能-付费相关'!AK79/节奏总纲!Z77</f>
        <v>8899.250329232269</v>
      </c>
      <c r="G77" s="5">
        <f>'[1]资源-玩家城池建筑时间'!AN79*'[1]功能-付费相关'!AL79/节奏总纲!AA77</f>
        <v>17946.271774931545</v>
      </c>
      <c r="H77" s="3"/>
      <c r="I77" s="28">
        <f>'[1]资源-士兵训练时间'!AB79*'[1]功能-付费相关'!AH79/节奏总纲!W77</f>
        <v>1675.4149651932628</v>
      </c>
      <c r="J77" s="28">
        <f>'[1]资源-士兵训练时间'!AC79*'[1]功能-付费相关'!AI79/节奏总纲!X77</f>
        <v>2269.6575305016381</v>
      </c>
      <c r="K77" s="28">
        <f>'[1]资源-士兵训练时间'!AD79*'[1]功能-付费相关'!AJ79/节奏总纲!Y77</f>
        <v>3728.0378977159571</v>
      </c>
      <c r="L77" s="28">
        <f>'[1]资源-士兵训练时间'!AE79*'[1]功能-付费相关'!AK79/节奏总纲!Z77</f>
        <v>6358.5830695400427</v>
      </c>
      <c r="M77" s="28">
        <f>'[1]资源-士兵训练时间'!AF79*'[1]功能-付费相关'!AL79/节奏总纲!AA77</f>
        <v>14013.15704438845</v>
      </c>
      <c r="N77" s="34"/>
      <c r="O77" s="34">
        <f>'[1]资源-士兵招募时间'!AC79*'[1]功能-付费相关'!AH79/节奏总纲!W77</f>
        <v>1007.0095649676257</v>
      </c>
      <c r="P77" s="34">
        <f>'[1]资源-士兵招募时间'!AD79*'[1]功能-付费相关'!AI79/节奏总纲!X77</f>
        <v>1240.1229392224004</v>
      </c>
      <c r="Q77" s="34">
        <f>'[1]资源-士兵招募时间'!AE79*'[1]功能-付费相关'!AJ79/节奏总纲!Y77</f>
        <v>1469.4395212470242</v>
      </c>
      <c r="R77" s="34">
        <f>'[1]资源-士兵招募时间'!AF79*'[1]功能-付费相关'!AK79/节奏总纲!Z77</f>
        <v>1639.6913185575145</v>
      </c>
      <c r="S77" s="34">
        <f>'[1]资源-士兵招募时间'!AG79*'[1]功能-付费相关'!AL79/节奏总纲!AA77</f>
        <v>1249.3662210522007</v>
      </c>
      <c r="T77" s="34"/>
      <c r="U77" s="5">
        <f>('[1]资源-木石铜粮'!U79-'[1]资源-木石铜粮'!U78)*'[1]功能-付费相关'!S79/节奏总纲!W77</f>
        <v>1924.8028566116179</v>
      </c>
      <c r="V77" s="5">
        <f>('[1]资源-木石铜粮'!V79-'[1]资源-木石铜粮'!V78)*'[1]功能-付费相关'!T79/节奏总纲!X77</f>
        <v>2305.0568006173239</v>
      </c>
      <c r="W77" s="5">
        <f>('[1]资源-木石铜粮'!W79-'[1]资源-木石铜粮'!W78)*'[1]功能-付费相关'!U79/节奏总纲!Y77</f>
        <v>2945.3494794646977</v>
      </c>
      <c r="X77" s="5">
        <f>('[1]资源-木石铜粮'!X79-'[1]资源-木石铜粮'!X78)*'[1]功能-付费相关'!V79/节奏总纲!Z77</f>
        <v>3902.1394632081492</v>
      </c>
      <c r="Y77" s="5">
        <f>('[1]资源-木石铜粮'!Y79-'[1]资源-木石铜粮'!Y78)*'[1]功能-付费相关'!W79/节奏总纲!AA77</f>
        <v>9353.1708228544539</v>
      </c>
      <c r="Z77" s="3"/>
      <c r="AA77" s="11">
        <f>('[1]资源-铁'!T79-'[1]资源-铁'!T78)*'[1]功能-付费相关'!X79/节奏总纲!W77</f>
        <v>2290.7971355450813</v>
      </c>
      <c r="AB77" s="11">
        <f>('[1]资源-铁'!U79-'[1]资源-铁'!U78)*'[1]功能-付费相关'!Y79/节奏总纲!X77</f>
        <v>2916.02987243899</v>
      </c>
      <c r="AC77" s="11">
        <f>('[1]资源-铁'!V79-'[1]资源-铁'!V78)*'[1]功能-付费相关'!Z79/节奏总纲!Y77</f>
        <v>4183.3247290471263</v>
      </c>
      <c r="AD77" s="11">
        <f>('[1]资源-铁'!W79-'[1]资源-铁'!W78)*'[1]功能-付费相关'!AA79/节奏总纲!Z77</f>
        <v>5827.5750161956357</v>
      </c>
      <c r="AE77" s="11">
        <f>('[1]资源-铁'!X79-'[1]资源-铁'!X78)*'[1]功能-付费相关'!AB79/节奏总纲!AA77</f>
        <v>12297.200772606786</v>
      </c>
      <c r="AG77" s="11">
        <f>('[1]资源-银币'!Y79-'[1]资源-银币'!Y78)*'[1]功能-付费相关'!AQ79/节奏总纲!W77</f>
        <v>877.24105114346435</v>
      </c>
      <c r="AH77" s="11">
        <f>('[1]资源-银币'!Z79-'[1]资源-银币'!Z78)*'[1]功能-付费相关'!AR79/节奏总纲!X77</f>
        <v>1110.2076761118476</v>
      </c>
      <c r="AI77" s="11">
        <f>('[1]资源-银币'!AA79-'[1]资源-银币'!AA78)*'[1]功能-付费相关'!AS79/节奏总纲!Y77</f>
        <v>1660.6388835564273</v>
      </c>
      <c r="AJ77" s="11">
        <f>('[1]资源-银币'!AB79-'[1]资源-银币'!AB78)*'[1]功能-付费相关'!AT79/节奏总纲!Z77</f>
        <v>2669.3340785946452</v>
      </c>
      <c r="AK77" s="11">
        <f>('[1]资源-银币'!AC79-'[1]资源-银币'!AC78)*'[1]功能-付费相关'!AU79/节奏总纲!AA77</f>
        <v>6610.6984576162313</v>
      </c>
      <c r="AM77" s="11" t="e">
        <f>(#REF!-#REF!)*'[1]功能-付费相关'!CA79/节奏总纲!W77</f>
        <v>#REF!</v>
      </c>
      <c r="AN77" s="11" t="e">
        <f>(#REF!-#REF!)*'[1]功能-付费相关'!CB79/节奏总纲!X77</f>
        <v>#REF!</v>
      </c>
      <c r="AO77" s="11" t="e">
        <f>(#REF!-#REF!)*'[1]功能-付费相关'!CC79/节奏总纲!Y77</f>
        <v>#REF!</v>
      </c>
      <c r="AP77" s="11" t="e">
        <f>(#REF!-#REF!)*'[1]功能-付费相关'!CD79/节奏总纲!Z77</f>
        <v>#REF!</v>
      </c>
      <c r="AQ77" s="11" t="e">
        <f>(#REF!-#REF!)*'[1]功能-付费相关'!CE79/节奏总纲!AA77</f>
        <v>#REF!</v>
      </c>
      <c r="AR77" s="21"/>
      <c r="AS77" s="11">
        <f>(信息索引!U79-信息索引!U78)*'[1]功能-付费相关'!BI79/节奏总纲!W77</f>
        <v>1511.5914854076073</v>
      </c>
      <c r="AT77" s="11">
        <f>(信息索引!V79-信息索引!V78)*'[1]功能-付费相关'!BJ79/节奏总纲!X77</f>
        <v>1749.4125929855431</v>
      </c>
      <c r="AU77" s="11">
        <f>(信息索引!W79-信息索引!W78)*'[1]功能-付费相关'!BK79/节奏总纲!Y77</f>
        <v>2208.4804842934427</v>
      </c>
      <c r="AV77" s="11">
        <f>(信息索引!X79-信息索引!X78)*'[1]功能-付费相关'!BL79/节奏总纲!Z77</f>
        <v>3125.2128412378825</v>
      </c>
      <c r="AW77" s="11">
        <f>(信息索引!Y79-信息索引!Y78)*'[1]功能-付费相关'!BM79/节奏总纲!AA77</f>
        <v>11925.470200726026</v>
      </c>
      <c r="AY77" s="11">
        <f>('[1]资源-武将经验'!T79*节奏总纲!BJ77-'[1]资源-武将经验'!T78*节奏总纲!BJ76)*'[1]功能-付费相关'!AZ79/节奏总纲!W77</f>
        <v>1864.8213500803226</v>
      </c>
      <c r="AZ77" s="11">
        <f>('[1]资源-武将经验'!U79*节奏总纲!BK77-'[1]资源-武将经验'!U78*节奏总纲!BK76)*'[1]功能-付费相关'!BA79/节奏总纲!X77</f>
        <v>2086.9380156235884</v>
      </c>
      <c r="BA77" s="11">
        <f>('[1]资源-武将经验'!V79*节奏总纲!BL77-'[1]资源-武将经验'!V78*节奏总纲!BL76)*'[1]功能-付费相关'!BB79/节奏总纲!Y77</f>
        <v>2608.4698472958448</v>
      </c>
      <c r="BB77" s="11">
        <f>('[1]资源-武将经验'!W79*节奏总纲!BM77-'[1]资源-武将经验'!W78*节奏总纲!BM76)*'[1]功能-付费相关'!BC79/节奏总纲!Z77</f>
        <v>6507.1374746223928</v>
      </c>
      <c r="BC77" s="11">
        <f>('[1]资源-武将经验'!X79*节奏总纲!BN77-'[1]资源-武将经验'!X78*节奏总纲!BN76)*'[1]功能-付费相关'!BD79/节奏总纲!AA77</f>
        <v>25619.484652426629</v>
      </c>
      <c r="BD77" s="29"/>
      <c r="BE77" s="33" t="e">
        <f t="shared" si="6"/>
        <v>#REF!</v>
      </c>
      <c r="BF77" s="33" t="e">
        <f t="shared" si="7"/>
        <v>#REF!</v>
      </c>
      <c r="BG77" s="33" t="e">
        <f t="shared" si="8"/>
        <v>#REF!</v>
      </c>
      <c r="BH77" s="33" t="e">
        <f t="shared" si="9"/>
        <v>#REF!</v>
      </c>
      <c r="BI77" s="33" t="e">
        <f t="shared" si="10"/>
        <v>#REF!</v>
      </c>
      <c r="BJ77" s="29"/>
      <c r="BK77" s="29"/>
      <c r="BL77" s="29"/>
      <c r="BM77" s="29"/>
      <c r="BN77" s="29"/>
    </row>
    <row r="78" spans="2:66" x14ac:dyDescent="0.15">
      <c r="B78" s="5">
        <v>75</v>
      </c>
      <c r="C78" s="5">
        <f>'[1]资源-玩家城池建筑时间'!AJ80*'[1]功能-付费相关'!AH80/节奏总纲!W78</f>
        <v>3481.3303994314929</v>
      </c>
      <c r="D78" s="5">
        <f>'[1]资源-玩家城池建筑时间'!AK80*'[1]功能-付费相关'!AI80/节奏总纲!X78</f>
        <v>4399.3379061113374</v>
      </c>
      <c r="E78" s="5">
        <f>'[1]资源-玩家城池建筑时间'!AL80*'[1]功能-付费相关'!AJ80/节奏总纲!Y78</f>
        <v>5907.6421284174839</v>
      </c>
      <c r="F78" s="5">
        <f>'[1]资源-玩家城池建筑时间'!AM80*'[1]功能-付费相关'!AK80/节奏总纲!Z78</f>
        <v>8904.5674880994829</v>
      </c>
      <c r="G78" s="5">
        <f>'[1]资源-玩家城池建筑时间'!AN80*'[1]功能-付费相关'!AL80/节奏总纲!AA78</f>
        <v>17990.863730659938</v>
      </c>
      <c r="H78" s="3"/>
      <c r="I78" s="28">
        <f>'[1]资源-士兵训练时间'!AB80*'[1]功能-付费相关'!AH80/节奏总纲!W78</f>
        <v>1675.4149651932605</v>
      </c>
      <c r="J78" s="28">
        <f>'[1]资源-士兵训练时间'!AC80*'[1]功能-付费相关'!AI80/节奏总纲!X78</f>
        <v>2271.7730939206626</v>
      </c>
      <c r="K78" s="28">
        <f>'[1]资源-士兵训练时间'!AD80*'[1]功能-付费相关'!AJ80/节奏总纲!Y78</f>
        <v>3753.0164567870033</v>
      </c>
      <c r="L78" s="28">
        <f>'[1]资源-士兵训练时间'!AE80*'[1]功能-付费相关'!AK80/节奏总纲!Z78</f>
        <v>6354.7932308826448</v>
      </c>
      <c r="M78" s="28">
        <f>'[1]资源-士兵训练时间'!AF80*'[1]功能-付费相关'!AL80/节奏总纲!AA78</f>
        <v>13977.842378992249</v>
      </c>
      <c r="N78" s="34"/>
      <c r="O78" s="34">
        <f>'[1]资源-士兵招募时间'!AC80*'[1]功能-付费相关'!AH80/节奏总纲!W78</f>
        <v>1016.2294632185287</v>
      </c>
      <c r="P78" s="34">
        <f>'[1]资源-士兵招募时间'!AD80*'[1]功能-付费相关'!AI80/节奏总纲!X78</f>
        <v>1250.9377626923242</v>
      </c>
      <c r="Q78" s="34">
        <f>'[1]资源-士兵招募时间'!AE80*'[1]功能-付费相关'!AJ80/节奏总纲!Y78</f>
        <v>1453.4491536195869</v>
      </c>
      <c r="R78" s="34">
        <f>'[1]资源-士兵招募时间'!AF80*'[1]功能-付费相关'!AK80/节奏总纲!Z78</f>
        <v>1562.1765104749984</v>
      </c>
      <c r="S78" s="34">
        <f>'[1]资源-士兵招募时间'!AG80*'[1]功能-付费相关'!AL80/节奏总纲!AA78</f>
        <v>1254.7021743826699</v>
      </c>
      <c r="T78" s="34"/>
      <c r="U78" s="5">
        <f>('[1]资源-木石铜粮'!U80-'[1]资源-木石铜粮'!U79)*'[1]功能-付费相关'!S80/节奏总纲!W78</f>
        <v>1920.3438546266059</v>
      </c>
      <c r="V78" s="5">
        <f>('[1]资源-木石铜粮'!V80-'[1]资源-木石铜粮'!V79)*'[1]功能-付费相关'!T80/节奏总纲!X78</f>
        <v>2324.0479240648515</v>
      </c>
      <c r="W78" s="5">
        <f>('[1]资源-木石铜粮'!W80-'[1]资源-木石铜粮'!W79)*'[1]功能-付费相关'!U80/节奏总纲!Y78</f>
        <v>2937.876816681206</v>
      </c>
      <c r="X78" s="5">
        <f>('[1]资源-木石铜粮'!X80-'[1]资源-木石铜粮'!X79)*'[1]功能-付费相关'!V80/节奏总纲!Z78</f>
        <v>3947.7350967439156</v>
      </c>
      <c r="Y78" s="5">
        <f>('[1]资源-木石铜粮'!Y80-'[1]资源-木石铜粮'!Y79)*'[1]功能-付费相关'!W80/节奏总纲!AA78</f>
        <v>10184.336400162623</v>
      </c>
      <c r="Z78" s="3"/>
      <c r="AA78" s="11">
        <f>('[1]资源-铁'!T80-'[1]资源-铁'!T79)*'[1]功能-付费相关'!X80/节奏总纲!W78</f>
        <v>2242.7499495102279</v>
      </c>
      <c r="AB78" s="11">
        <f>('[1]资源-铁'!U80-'[1]资源-铁'!U79)*'[1]功能-付费相关'!Y80/节奏总纲!X78</f>
        <v>2869.5825669605747</v>
      </c>
      <c r="AC78" s="11">
        <f>('[1]资源-铁'!V80-'[1]资源-铁'!V79)*'[1]功能-付费相关'!Z80/节奏总纲!Y78</f>
        <v>4032.0831380176728</v>
      </c>
      <c r="AD78" s="11">
        <f>('[1]资源-铁'!W80-'[1]资源-铁'!W79)*'[1]功能-付费相关'!AA80/节奏总纲!Z78</f>
        <v>5682.3583187101585</v>
      </c>
      <c r="AE78" s="11">
        <f>('[1]资源-铁'!X80-'[1]资源-铁'!X79)*'[1]功能-付费相关'!AB80/节奏总纲!AA78</f>
        <v>12123.504482993279</v>
      </c>
      <c r="AG78" s="11">
        <f>('[1]资源-银币'!Y80-'[1]资源-银币'!Y79)*'[1]功能-付费相关'!AQ80/节奏总纲!W78</f>
        <v>849.46630956238198</v>
      </c>
      <c r="AH78" s="11">
        <f>('[1]资源-银币'!Z80-'[1]资源-银币'!Z79)*'[1]功能-付费相关'!AR80/节奏总纲!X78</f>
        <v>1066.7067488958292</v>
      </c>
      <c r="AI78" s="11">
        <f>('[1]资源-银币'!AA80-'[1]资源-银币'!AA79)*'[1]功能-付费相关'!AS80/节奏总纲!Y78</f>
        <v>1576.807464901271</v>
      </c>
      <c r="AJ78" s="11">
        <f>('[1]资源-银币'!AB80-'[1]资源-银币'!AB79)*'[1]功能-付费相关'!AT80/节奏总纲!Z78</f>
        <v>2546.4942087073991</v>
      </c>
      <c r="AK78" s="11">
        <f>('[1]资源-银币'!AC80-'[1]资源-银币'!AC79)*'[1]功能-付费相关'!AU80/节奏总纲!AA78</f>
        <v>6895.8777660237665</v>
      </c>
      <c r="AM78" s="11" t="e">
        <f>(#REF!-#REF!)*'[1]功能-付费相关'!CA80/节奏总纲!W78</f>
        <v>#REF!</v>
      </c>
      <c r="AN78" s="11" t="e">
        <f>(#REF!-#REF!)*'[1]功能-付费相关'!CB80/节奏总纲!X78</f>
        <v>#REF!</v>
      </c>
      <c r="AO78" s="11" t="e">
        <f>(#REF!-#REF!)*'[1]功能-付费相关'!CC80/节奏总纲!Y78</f>
        <v>#REF!</v>
      </c>
      <c r="AP78" s="11" t="e">
        <f>(#REF!-#REF!)*'[1]功能-付费相关'!CD80/节奏总纲!Z78</f>
        <v>#REF!</v>
      </c>
      <c r="AQ78" s="11" t="e">
        <f>(#REF!-#REF!)*'[1]功能-付费相关'!CE80/节奏总纲!AA78</f>
        <v>#REF!</v>
      </c>
      <c r="AR78" s="21"/>
      <c r="AS78" s="11">
        <f>(信息索引!U80-信息索引!U79)*'[1]功能-付费相关'!BI80/节奏总纲!W78</f>
        <v>1368.3058735755703</v>
      </c>
      <c r="AT78" s="11">
        <f>(信息索引!V80-信息索引!V79)*'[1]功能-付费相关'!BJ80/节奏总纲!X78</f>
        <v>1551.5045253450685</v>
      </c>
      <c r="AU78" s="11">
        <f>(信息索引!W80-信息索引!W79)*'[1]功能-付费相关'!BK80/节奏总纲!Y78</f>
        <v>1971.1664010419804</v>
      </c>
      <c r="AV78" s="11">
        <f>(信息索引!X80-信息索引!X79)*'[1]功能-付费相关'!BL80/节奏总纲!Z78</f>
        <v>2977.532127631338</v>
      </c>
      <c r="AW78" s="11">
        <f>(信息索引!Y80-信息索引!Y79)*'[1]功能-付费相关'!BM80/节奏总纲!AA78</f>
        <v>12332.019405094221</v>
      </c>
      <c r="AY78" s="11">
        <f>('[1]资源-武将经验'!T80*节奏总纲!BJ78-'[1]资源-武将经验'!T79*节奏总纲!BJ77)*'[1]功能-付费相关'!AZ80/节奏总纲!W78</f>
        <v>1689.6468244237642</v>
      </c>
      <c r="AZ78" s="11">
        <f>('[1]资源-武将经验'!U80*节奏总纲!BK78-'[1]资源-武将经验'!U79*节奏总纲!BK77)*'[1]功能-付费相关'!BA80/节奏总纲!X78</f>
        <v>2194.7371832606877</v>
      </c>
      <c r="BA78" s="11">
        <f>('[1]资源-武将经验'!V80*节奏总纲!BL78-'[1]资源-武将经验'!V79*节奏总纲!BL77)*'[1]功能-付费相关'!BB80/节奏总纲!Y78</f>
        <v>2924.9152360551188</v>
      </c>
      <c r="BB78" s="11">
        <f>('[1]资源-武将经验'!W80*节奏总纲!BM78-'[1]资源-武将经验'!W79*节奏总纲!BM77)*'[1]功能-付费相关'!BC80/节奏总纲!Z78</f>
        <v>8825.6020910887673</v>
      </c>
      <c r="BC78" s="11">
        <f>('[1]资源-武将经验'!X80*节奏总纲!BN78-'[1]资源-武将经验'!X79*节奏总纲!BN77)*'[1]功能-付费相关'!BD80/节奏总纲!AA78</f>
        <v>36028.027374920712</v>
      </c>
      <c r="BD78" s="29"/>
      <c r="BE78" s="33" t="e">
        <f t="shared" si="6"/>
        <v>#REF!</v>
      </c>
      <c r="BF78" s="33" t="e">
        <f t="shared" si="7"/>
        <v>#REF!</v>
      </c>
      <c r="BG78" s="33" t="e">
        <f t="shared" si="8"/>
        <v>#REF!</v>
      </c>
      <c r="BH78" s="33" t="e">
        <f t="shared" si="9"/>
        <v>#REF!</v>
      </c>
      <c r="BI78" s="33" t="e">
        <f t="shared" si="10"/>
        <v>#REF!</v>
      </c>
      <c r="BJ78" s="29"/>
      <c r="BK78" s="29"/>
      <c r="BL78" s="29"/>
      <c r="BM78" s="29"/>
      <c r="BN78" s="29"/>
    </row>
    <row r="79" spans="2:66" x14ac:dyDescent="0.15">
      <c r="B79" s="5">
        <v>76</v>
      </c>
      <c r="C79" s="5">
        <f>'[1]资源-玩家城池建筑时间'!AJ81*'[1]功能-付费相关'!AH81/节奏总纲!W79</f>
        <v>3518.98458517174</v>
      </c>
      <c r="D79" s="5">
        <f>'[1]资源-玩家城池建筑时间'!AK81*'[1]功能-付费相关'!AI81/节奏总纲!X79</f>
        <v>4408.4229571695796</v>
      </c>
      <c r="E79" s="5">
        <f>'[1]资源-玩家城池建筑时间'!AL81*'[1]功能-付费相关'!AJ81/节奏总纲!Y79</f>
        <v>5932.8335528215102</v>
      </c>
      <c r="F79" s="5">
        <f>'[1]资源-玩家城池建筑时间'!AM81*'[1]功能-付费相关'!AK81/节奏总纲!Z79</f>
        <v>8995.4318653299924</v>
      </c>
      <c r="G79" s="5">
        <f>'[1]资源-玩家城池建筑时间'!AN81*'[1]功能-付费相关'!AL81/节奏总纲!AA79</f>
        <v>17990.863730659887</v>
      </c>
      <c r="H79" s="3"/>
      <c r="I79" s="28">
        <f>'[1]资源-士兵训练时间'!AB81*'[1]功能-付费相关'!AH81/节奏总纲!W79</f>
        <v>1677.5890087684193</v>
      </c>
      <c r="J79" s="28">
        <f>'[1]资源-士兵训练时间'!AC81*'[1]功能-付费相关'!AI81/节奏总纲!X79</f>
        <v>2276.178003712776</v>
      </c>
      <c r="K79" s="28">
        <f>'[1]资源-士兵训练时间'!AD81*'[1]功能-付费相关'!AJ81/节奏总纲!Y79</f>
        <v>3768.049226394106</v>
      </c>
      <c r="L79" s="28">
        <f>'[1]资源-士兵训练时间'!AE81*'[1]功能-付费相关'!AK81/节奏总纲!Z79</f>
        <v>6290.029070546514</v>
      </c>
      <c r="M79" s="28">
        <f>'[1]资源-士兵训练时间'!AF81*'[1]功能-付费相关'!AL81/节奏总纲!AA79</f>
        <v>13977.84237899226</v>
      </c>
      <c r="N79" s="34"/>
      <c r="O79" s="34">
        <f>'[1]资源-士兵招募时间'!AC81*'[1]功能-付费相关'!AH81/节奏总纲!W79</f>
        <v>1024.6838705048426</v>
      </c>
      <c r="P79" s="34">
        <f>'[1]资源-士兵招募时间'!AD81*'[1]功能-付费相关'!AI81/节奏总纲!X79</f>
        <v>1262.0693660874867</v>
      </c>
      <c r="Q79" s="34">
        <f>'[1]资源-士兵招募时间'!AE81*'[1]功能-付费相关'!AJ81/节奏总纲!Y79</f>
        <v>1466.0116539621154</v>
      </c>
      <c r="R79" s="34">
        <f>'[1]资源-士兵招募时间'!AF81*'[1]功能-付费相关'!AK81/节奏总纲!Z79</f>
        <v>1528.9651030032046</v>
      </c>
      <c r="S79" s="34">
        <f>'[1]资源-士兵招募时间'!AG81*'[1]功能-付费相关'!AL81/节奏总纲!AA79</f>
        <v>1259.0390506194822</v>
      </c>
      <c r="T79" s="34"/>
      <c r="U79" s="5">
        <f>('[1]资源-木石铜粮'!U81-'[1]资源-木石铜粮'!U80)*'[1]功能-付费相关'!S81/节奏总纲!W79</f>
        <v>1987.3165500880339</v>
      </c>
      <c r="V79" s="5">
        <f>('[1]资源-木石铜粮'!V81-'[1]资源-木石铜粮'!V80)*'[1]功能-付费相关'!T81/节奏总纲!X79</f>
        <v>2388.9056320115537</v>
      </c>
      <c r="W79" s="5">
        <f>('[1]资源-木石铜粮'!W81-'[1]资源-木石铜粮'!W80)*'[1]功能-付费相关'!U81/节奏总纲!Y79</f>
        <v>2994.1483784761972</v>
      </c>
      <c r="X79" s="5">
        <f>('[1]资源-木石铜粮'!X81-'[1]资源-木石铜粮'!X80)*'[1]功能-付费相关'!V81/节奏总纲!Z79</f>
        <v>5775.563986570256</v>
      </c>
      <c r="Y79" s="5">
        <f>('[1]资源-木石铜粮'!Y81-'[1]资源-木石铜粮'!Y80)*'[1]功能-付费相关'!W81/节奏总纲!AA79</f>
        <v>10378.343124860032</v>
      </c>
      <c r="Z79" s="3"/>
      <c r="AA79" s="11">
        <f>('[1]资源-铁'!T81-'[1]资源-铁'!T80)*'[1]功能-付费相关'!X81/节奏总纲!W79</f>
        <v>2207.3218483642577</v>
      </c>
      <c r="AB79" s="11">
        <f>('[1]资源-铁'!U81-'[1]资源-铁'!U80)*'[1]功能-付费相关'!Y81/节奏总纲!X79</f>
        <v>2791.8051896289344</v>
      </c>
      <c r="AC79" s="11">
        <f>('[1]资源-铁'!V81-'[1]资源-铁'!V80)*'[1]功能-付费相关'!Z81/节奏总纲!Y79</f>
        <v>3909.5711794390604</v>
      </c>
      <c r="AD79" s="11">
        <f>('[1]资源-铁'!W81-'[1]资源-铁'!W80)*'[1]功能-付费相关'!AA81/节奏总纲!Z79</f>
        <v>5755.3445686611376</v>
      </c>
      <c r="AE79" s="11">
        <f>('[1]资源-铁'!X81-'[1]资源-铁'!X80)*'[1]功能-付费相关'!AB81/节奏总纲!AA79</f>
        <v>11855.113585876285</v>
      </c>
      <c r="AG79" s="11">
        <f>('[1]资源-银币'!Y81-'[1]资源-银币'!Y80)*'[1]功能-付费相关'!AQ81/节奏总纲!W79</f>
        <v>798.17574560159994</v>
      </c>
      <c r="AH79" s="11">
        <f>('[1]资源-银币'!Z81-'[1]资源-银币'!Z80)*'[1]功能-付费相关'!AR81/节奏总纲!X79</f>
        <v>1017.3661786291835</v>
      </c>
      <c r="AI79" s="11">
        <f>('[1]资源-银币'!AA81-'[1]资源-银币'!AA80)*'[1]功能-付费相关'!AS81/节奏总纲!Y79</f>
        <v>1524.2110213578846</v>
      </c>
      <c r="AJ79" s="11">
        <f>('[1]资源-银币'!AB81-'[1]资源-银币'!AB80)*'[1]功能-付费相关'!AT81/节奏总纲!Z79</f>
        <v>3004.9068257771019</v>
      </c>
      <c r="AK79" s="11">
        <f>('[1]资源-银币'!AC81-'[1]资源-银币'!AC80)*'[1]功能-付费相关'!AU81/节奏总纲!AA79</f>
        <v>6791.646396643926</v>
      </c>
      <c r="AM79" s="11" t="e">
        <f>(#REF!-#REF!)*'[1]功能-付费相关'!CA81/节奏总纲!W79</f>
        <v>#REF!</v>
      </c>
      <c r="AN79" s="11" t="e">
        <f>(#REF!-#REF!)*'[1]功能-付费相关'!CB81/节奏总纲!X79</f>
        <v>#REF!</v>
      </c>
      <c r="AO79" s="11" t="e">
        <f>(#REF!-#REF!)*'[1]功能-付费相关'!CC81/节奏总纲!Y79</f>
        <v>#REF!</v>
      </c>
      <c r="AP79" s="11" t="e">
        <f>(#REF!-#REF!)*'[1]功能-付费相关'!CD81/节奏总纲!Z79</f>
        <v>#REF!</v>
      </c>
      <c r="AQ79" s="11" t="e">
        <f>(#REF!-#REF!)*'[1]功能-付费相关'!CE81/节奏总纲!AA79</f>
        <v>#REF!</v>
      </c>
      <c r="AR79" s="21"/>
      <c r="AS79" s="11">
        <f>(信息索引!U81-信息索引!U80)*'[1]功能-付费相关'!BI81/节奏总纲!W79</f>
        <v>1238.1856492335032</v>
      </c>
      <c r="AT79" s="11">
        <f>(信息索引!V81-信息索引!V80)*'[1]功能-付费相关'!BJ81/节奏总纲!X79</f>
        <v>1454.1956570368986</v>
      </c>
      <c r="AU79" s="11">
        <f>(信息索引!W81-信息索引!W80)*'[1]功能-付费相关'!BK81/节奏总纲!Y79</f>
        <v>1811.4900339560816</v>
      </c>
      <c r="AV79" s="11">
        <f>(信息索引!X81-信息索引!X80)*'[1]功能-付费相关'!BL81/节奏总纲!Z79</f>
        <v>4953.0734575676006</v>
      </c>
      <c r="AW79" s="11">
        <f>(信息索引!Y81-信息索引!Y80)*'[1]功能-付费相关'!BM81/节奏总纲!AA79</f>
        <v>11432.394018963209</v>
      </c>
      <c r="AY79" s="11">
        <f>('[1]资源-武将经验'!T81*节奏总纲!BJ79-'[1]资源-武将经验'!T80*节奏总纲!BJ78)*'[1]功能-付费相关'!AZ81/节奏总纲!W79</f>
        <v>2205.1502365905767</v>
      </c>
      <c r="AZ79" s="11">
        <f>('[1]资源-武将经验'!U81*节奏总纲!BK79-'[1]资源-武将经验'!U80*节奏总纲!BK78)*'[1]功能-付费相关'!BA81/节奏总纲!X79</f>
        <v>2442.2514399546567</v>
      </c>
      <c r="BA79" s="11">
        <f>('[1]资源-武将经验'!V81*节奏总纲!BL79-'[1]资源-武将经验'!V80*节奏总纲!BL78)*'[1]功能-付费相关'!BB81/节奏总纲!Y79</f>
        <v>3122.3529444905294</v>
      </c>
      <c r="BB79" s="11">
        <f>('[1]资源-武将经验'!W81*节奏总纲!BM79-'[1]资源-武将经验'!W80*节奏总纲!BM78)*'[1]功能-付费相关'!BC81/节奏总纲!Z79</f>
        <v>14690.169774266289</v>
      </c>
      <c r="BC79" s="11">
        <f>('[1]资源-武将经验'!X81*节奏总纲!BN79-'[1]资源-武将经验'!X80*节奏总纲!BN78)*'[1]功能-付费相关'!BD81/节奏总纲!AA79</f>
        <v>33419.420591890375</v>
      </c>
      <c r="BD79" s="29"/>
      <c r="BE79" s="33" t="e">
        <f t="shared" si="6"/>
        <v>#REF!</v>
      </c>
      <c r="BF79" s="33" t="e">
        <f t="shared" si="7"/>
        <v>#REF!</v>
      </c>
      <c r="BG79" s="33" t="e">
        <f t="shared" si="8"/>
        <v>#REF!</v>
      </c>
      <c r="BH79" s="33" t="e">
        <f t="shared" si="9"/>
        <v>#REF!</v>
      </c>
      <c r="BI79" s="33" t="e">
        <f t="shared" si="10"/>
        <v>#REF!</v>
      </c>
      <c r="BJ79" s="29"/>
      <c r="BK79" s="29"/>
      <c r="BL79" s="29"/>
      <c r="BM79" s="29"/>
      <c r="BN79" s="29"/>
    </row>
    <row r="80" spans="2:66" x14ac:dyDescent="0.15">
      <c r="B80" s="5">
        <v>77</v>
      </c>
      <c r="C80" s="5">
        <f>'[1]资源-玩家城池建筑时间'!AJ82*'[1]功能-付费相关'!AH82/节奏总纲!W80</f>
        <v>3519.4703248890751</v>
      </c>
      <c r="D80" s="5">
        <f>'[1]资源-玩家城池建筑时间'!AK82*'[1]功能-付费相关'!AI82/节奏总纲!X80</f>
        <v>4449.6251646161381</v>
      </c>
      <c r="E80" s="5">
        <f>'[1]资源-玩家城池建筑时间'!AL82*'[1]功能-付费相关'!AJ82/节奏总纲!Y80</f>
        <v>5956.0622658226557</v>
      </c>
      <c r="F80" s="5">
        <f>'[1]资源-玩家城池建筑时间'!AM82*'[1]功能-付费相关'!AK82/节奏总纲!Z80</f>
        <v>8995.4318653299579</v>
      </c>
      <c r="G80" s="5">
        <f>'[1]资源-玩家城池建筑时间'!AN82*'[1]功能-付费相关'!AL82/节奏总纲!AA80</f>
        <v>17990.863730659938</v>
      </c>
      <c r="H80" s="3"/>
      <c r="I80" s="28">
        <f>'[1]资源-士兵训练时间'!AB82*'[1]功能-付费相关'!AH82/节奏总纲!W80</f>
        <v>1677.6170539721841</v>
      </c>
      <c r="J80" s="28">
        <f>'[1]资源-士兵训练时间'!AC82*'[1]功能-付费相关'!AI82/节奏总纲!X80</f>
        <v>2296.1549973339083</v>
      </c>
      <c r="K80" s="28">
        <f>'[1]资源-士兵训练时间'!AD82*'[1]功能-付费相关'!AJ82/节奏总纲!Y80</f>
        <v>3753.332415456895</v>
      </c>
      <c r="L80" s="28">
        <f>'[1]资源-士兵训练时间'!AE82*'[1]功能-付费相关'!AK82/节奏总纲!Z80</f>
        <v>6290.0290705465122</v>
      </c>
      <c r="M80" s="28">
        <f>'[1]资源-士兵训练时间'!AF82*'[1]功能-付费相关'!AL82/节奏总纲!AA80</f>
        <v>13977.842378992254</v>
      </c>
      <c r="N80" s="34"/>
      <c r="O80" s="34">
        <f>'[1]资源-士兵招募时间'!AC82*'[1]功能-付费相关'!AH82/节奏总纲!W80</f>
        <v>1033.8976847076997</v>
      </c>
      <c r="P80" s="34">
        <f>'[1]资源-士兵招募时间'!AD82*'[1]功能-付费相关'!AI82/节奏总纲!X80</f>
        <v>1272.6152513025445</v>
      </c>
      <c r="Q80" s="34">
        <f>'[1]资源-士兵招募时间'!AE82*'[1]功能-付费相关'!AJ82/节奏总纲!Y80</f>
        <v>1476.5157817766669</v>
      </c>
      <c r="R80" s="34">
        <f>'[1]资源-士兵招募时间'!AF82*'[1]功能-付费相关'!AK82/节奏总纲!Z80</f>
        <v>1517.5856357421003</v>
      </c>
      <c r="S80" s="34">
        <f>'[1]资源-士兵招募时间'!AG82*'[1]功能-付费相关'!AL82/节奏总纲!AA80</f>
        <v>1263.3605178094429</v>
      </c>
      <c r="T80" s="34"/>
      <c r="U80" s="5">
        <f>('[1]资源-木石铜粮'!U82-'[1]资源-木石铜粮'!U81)*'[1]功能-付费相关'!S82/节奏总纲!W80</f>
        <v>1982.5198236729248</v>
      </c>
      <c r="V80" s="5">
        <f>('[1]资源-木石铜粮'!V82-'[1]资源-木石铜粮'!V81)*'[1]功能-付费相关'!T82/节奏总纲!X80</f>
        <v>2404.281249597223</v>
      </c>
      <c r="W80" s="5">
        <f>('[1]资源-木石铜粮'!W82-'[1]资源-木石铜粮'!W81)*'[1]功能-付费相关'!U82/节奏总纲!Y80</f>
        <v>3439.1398893725973</v>
      </c>
      <c r="X80" s="5">
        <f>('[1]资源-木石铜粮'!X82-'[1]资源-木石铜粮'!X81)*'[1]功能-付费相关'!V82/节奏总纲!Z80</f>
        <v>5671.586855922912</v>
      </c>
      <c r="Y80" s="5">
        <f>('[1]资源-木石铜粮'!Y82-'[1]资源-木石铜粮'!Y81)*'[1]功能-付费相关'!W82/节奏总纲!AA80</f>
        <v>10255.93053952099</v>
      </c>
      <c r="Z80" s="3"/>
      <c r="AA80" s="11">
        <f>('[1]资源-铁'!T82-'[1]资源-铁'!T81)*'[1]功能-付费相关'!X82/节奏总纲!W80</f>
        <v>2156.3139472382204</v>
      </c>
      <c r="AB80" s="11">
        <f>('[1]资源-铁'!U82-'[1]资源-铁'!U81)*'[1]功能-付费相关'!Y82/节奏总纲!X80</f>
        <v>2669.8683511434474</v>
      </c>
      <c r="AC80" s="11">
        <f>('[1]资源-铁'!V82-'[1]资源-铁'!V81)*'[1]功能-付费相关'!Z82/节奏总纲!Y80</f>
        <v>3883.7299044333245</v>
      </c>
      <c r="AD80" s="11">
        <f>('[1]资源-铁'!W82-'[1]资源-铁'!W81)*'[1]功能-付费相关'!AA82/节奏总纲!Z80</f>
        <v>5628.2623425032989</v>
      </c>
      <c r="AE80" s="11">
        <f>('[1]资源-铁'!X82-'[1]资源-铁'!X81)*'[1]功能-付费相关'!AB82/节奏总纲!AA80</f>
        <v>11588.723217604715</v>
      </c>
      <c r="AG80" s="11">
        <f>('[1]资源-银币'!Y82-'[1]资源-银币'!Y81)*'[1]功能-付费相关'!AQ82/节奏总纲!W80</f>
        <v>778.26650808667978</v>
      </c>
      <c r="AH80" s="11">
        <f>('[1]资源-银币'!Z82-'[1]资源-银币'!Z81)*'[1]功能-付费相关'!AR82/节奏总纲!X80</f>
        <v>1003.3059817886547</v>
      </c>
      <c r="AI80" s="11">
        <f>('[1]资源-银币'!AA82-'[1]资源-银币'!AA81)*'[1]功能-付费相关'!AS82/节奏总纲!Y80</f>
        <v>1595.4762736622401</v>
      </c>
      <c r="AJ80" s="11">
        <f>('[1]资源-银币'!AB82-'[1]资源-银币'!AB81)*'[1]功能-付费相关'!AT82/节奏总纲!Z80</f>
        <v>2906.5124799358014</v>
      </c>
      <c r="AK80" s="11">
        <f>('[1]资源-银币'!AC82-'[1]资源-银币'!AC81)*'[1]功能-付费相关'!AU82/节奏总纲!AA80</f>
        <v>6595.8051522224514</v>
      </c>
      <c r="AM80" s="11" t="e">
        <f>(#REF!-#REF!)*'[1]功能-付费相关'!CA82/节奏总纲!W80</f>
        <v>#REF!</v>
      </c>
      <c r="AN80" s="11" t="e">
        <f>(#REF!-#REF!)*'[1]功能-付费相关'!CB82/节奏总纲!X80</f>
        <v>#REF!</v>
      </c>
      <c r="AO80" s="11" t="e">
        <f>(#REF!-#REF!)*'[1]功能-付费相关'!CC82/节奏总纲!Y80</f>
        <v>#REF!</v>
      </c>
      <c r="AP80" s="11" t="e">
        <f>(#REF!-#REF!)*'[1]功能-付费相关'!CD82/节奏总纲!Z80</f>
        <v>#REF!</v>
      </c>
      <c r="AQ80" s="11" t="e">
        <f>(#REF!-#REF!)*'[1]功能-付费相关'!CE82/节奏总纲!AA80</f>
        <v>#REF!</v>
      </c>
      <c r="AR80" s="21"/>
      <c r="AS80" s="11">
        <f>(信息索引!U82-信息索引!U81)*'[1]功能-付费相关'!BI82/节奏总纲!W80</f>
        <v>1120.0757168255598</v>
      </c>
      <c r="AT80" s="11">
        <f>(信息索引!V82-信息索引!V81)*'[1]功能-付费相关'!BJ82/节奏总纲!X80</f>
        <v>1303.0077910151388</v>
      </c>
      <c r="AU80" s="11">
        <f>(信息索引!W82-信息索引!W81)*'[1]功能-付费相关'!BK82/节奏总纲!Y80</f>
        <v>2089.2219483374383</v>
      </c>
      <c r="AV80" s="11">
        <f>(信息索引!X82-信息索引!X81)*'[1]功能-付费相关'!BL82/节奏总纲!Z80</f>
        <v>4403.3041215372878</v>
      </c>
      <c r="AW80" s="11">
        <f>(信息索引!Y82-信息索引!Y81)*'[1]功能-付费相关'!BM82/节奏总纲!AA80</f>
        <v>10263.66644910417</v>
      </c>
      <c r="AY80" s="11">
        <f>('[1]资源-武将经验'!T82*节奏总纲!BJ80-'[1]资源-武将经验'!T81*节奏总纲!BJ79)*'[1]功能-付费相关'!AZ82/节奏总纲!W80</f>
        <v>1996.1748124782873</v>
      </c>
      <c r="AZ80" s="11">
        <f>('[1]资源-武将经验'!U82*节奏总纲!BK80-'[1]资源-武将经验'!U81*节奏总纲!BK79)*'[1]功能-付费相关'!BA82/节奏总纲!X80</f>
        <v>2189.6686815696521</v>
      </c>
      <c r="BA80" s="11">
        <f>('[1]资源-武将经验'!V82*节奏总纲!BL80-'[1]资源-武将经验'!V81*节奏总纲!BL79)*'[1]功能-付费相关'!BB82/节奏总纲!Y80</f>
        <v>3603.3343046637633</v>
      </c>
      <c r="BB80" s="11">
        <f>('[1]资源-武将经验'!W82*节奏总纲!BM80-'[1]资源-武将经验'!W81*节奏总纲!BM79)*'[1]功能-付费相关'!BC82/节奏总纲!Z80</f>
        <v>13067.285682627908</v>
      </c>
      <c r="BC80" s="11">
        <f>('[1]资源-武将经验'!X82*节奏总纲!BN80-'[1]资源-武将经验'!X81*节奏总纲!BN79)*'[1]功能-付费相关'!BD82/节奏总纲!AA80</f>
        <v>30019.988828935526</v>
      </c>
      <c r="BD80" s="29"/>
      <c r="BE80" s="33" t="e">
        <f t="shared" si="6"/>
        <v>#REF!</v>
      </c>
      <c r="BF80" s="33" t="e">
        <f t="shared" si="7"/>
        <v>#REF!</v>
      </c>
      <c r="BG80" s="33" t="e">
        <f t="shared" si="8"/>
        <v>#REF!</v>
      </c>
      <c r="BH80" s="33" t="e">
        <f t="shared" si="9"/>
        <v>#REF!</v>
      </c>
      <c r="BI80" s="33" t="e">
        <f t="shared" si="10"/>
        <v>#REF!</v>
      </c>
      <c r="BJ80" s="29"/>
      <c r="BK80" s="29"/>
      <c r="BL80" s="29"/>
      <c r="BM80" s="29"/>
      <c r="BN80" s="29"/>
    </row>
    <row r="81" spans="2:66" x14ac:dyDescent="0.15">
      <c r="B81" s="5">
        <v>78</v>
      </c>
      <c r="C81" s="5">
        <f>'[1]资源-玩家城池建筑时间'!AJ83*'[1]功能-付费相关'!AH83/节奏总纲!W81</f>
        <v>3554.1578878224145</v>
      </c>
      <c r="D81" s="5">
        <f>'[1]资源-玩家城池建筑时间'!AK83*'[1]功能-付费相关'!AI83/节奏总纲!X81</f>
        <v>4451.1469853158669</v>
      </c>
      <c r="E81" s="5">
        <f>'[1]资源-玩家城池建筑时间'!AL83*'[1]功能-付费相关'!AJ83/节奏总纲!Y81</f>
        <v>5996.9545768866492</v>
      </c>
      <c r="F81" s="5">
        <f>'[1]资源-玩家城池建筑时间'!AM83*'[1]功能-付费相关'!AK83/节奏总纲!Z81</f>
        <v>8995.4318653299651</v>
      </c>
      <c r="G81" s="5">
        <f>'[1]资源-玩家城池建筑时间'!AN83*'[1]功能-付费相关'!AL83/节奏总纲!AA81</f>
        <v>18178.724052172729</v>
      </c>
      <c r="H81" s="3"/>
      <c r="I81" s="28">
        <f>'[1]资源-士兵训练时间'!AB83*'[1]功能-付费相关'!AH83/节奏总纲!W81</f>
        <v>1693.1416864853772</v>
      </c>
      <c r="J81" s="28">
        <f>'[1]资源-士兵训练时间'!AC83*'[1]功能-付费相关'!AI83/节奏总纲!X81</f>
        <v>2295.371612031508</v>
      </c>
      <c r="K81" s="28">
        <f>'[1]资源-士兵训练时间'!AD83*'[1]功能-付费相关'!AJ83/节奏总纲!Y81</f>
        <v>3727.4246343979235</v>
      </c>
      <c r="L81" s="28">
        <f>'[1]资源-士兵训练时间'!AE83*'[1]功能-付费相关'!AK83/节奏总纲!Z81</f>
        <v>6290.0290705465259</v>
      </c>
      <c r="M81" s="28">
        <f>'[1]资源-士兵训练时间'!AF83*'[1]功能-付费相关'!AL83/节奏总纲!AA81</f>
        <v>14120.32841506556</v>
      </c>
      <c r="N81" s="34"/>
      <c r="O81" s="34">
        <f>'[1]资源-士兵招募时间'!AC83*'[1]功能-付费相关'!AH83/节奏总纲!W81</f>
        <v>1042.5505472508896</v>
      </c>
      <c r="P81" s="34">
        <f>'[1]资源-士兵招募时间'!AD83*'[1]功能-付费相关'!AI83/节奏总纲!X81</f>
        <v>1283.8840582642931</v>
      </c>
      <c r="Q81" s="34">
        <f>'[1]资源-士兵招募时间'!AE83*'[1]功能-付费相关'!AJ83/节奏总纲!Y81</f>
        <v>1484.1540865148841</v>
      </c>
      <c r="R81" s="34">
        <f>'[1]资源-士兵招募时间'!AF83*'[1]功能-付费相关'!AK83/节奏总纲!Z81</f>
        <v>1513.9764119306681</v>
      </c>
      <c r="S81" s="34">
        <f>'[1]资源-士兵招募时间'!AG83*'[1]功能-付费相关'!AL83/节奏总纲!AA81</f>
        <v>1266.5866204927354</v>
      </c>
      <c r="T81" s="34"/>
      <c r="U81" s="5">
        <f>('[1]资源-木石铜粮'!U83-'[1]资源-木石铜粮'!U82)*'[1]功能-付费相关'!S83/节奏总纲!W81</f>
        <v>2018.6553646011341</v>
      </c>
      <c r="V81" s="5">
        <f>('[1]资源-木石铜粮'!V83-'[1]资源-木石铜粮'!V82)*'[1]功能-付费相关'!T83/节奏总纲!X81</f>
        <v>2436.2468230350819</v>
      </c>
      <c r="W81" s="5">
        <f>('[1]资源-木石铜粮'!W83-'[1]资源-木石铜粮'!W82)*'[1]功能-付费相关'!U83/节奏总纲!Y81</f>
        <v>4331.6142549366841</v>
      </c>
      <c r="X81" s="5">
        <f>('[1]资源-木石铜粮'!X83-'[1]资源-木石铜粮'!X82)*'[1]功能-付费相关'!V83/节奏总纲!Z81</f>
        <v>5712.3046071582112</v>
      </c>
      <c r="Y81" s="5">
        <f>('[1]资源-木石铜粮'!Y83-'[1]资源-木石铜粮'!Y82)*'[1]功能-付费相关'!W83/节奏总纲!AA81</f>
        <v>6910.6707922504102</v>
      </c>
      <c r="Z81" s="3"/>
      <c r="AA81" s="11">
        <f>('[1]资源-铁'!T83-'[1]资源-铁'!T82)*'[1]功能-付费相关'!X83/节奏总纲!W81</f>
        <v>2057.4771651861902</v>
      </c>
      <c r="AB81" s="11">
        <f>('[1]资源-铁'!U83-'[1]资源-铁'!U82)*'[1]功能-付费相关'!Y83/节奏总纲!X81</f>
        <v>2613.1553049694071</v>
      </c>
      <c r="AC81" s="11">
        <f>('[1]资源-铁'!V83-'[1]资源-铁'!V82)*'[1]功能-付费相关'!Z83/节奏总纲!Y81</f>
        <v>3903.8975181263163</v>
      </c>
      <c r="AD81" s="11">
        <f>('[1]资源-铁'!W83-'[1]资源-铁'!W82)*'[1]功能-付费相关'!AA83/节奏总纲!Z81</f>
        <v>5504.1725123499846</v>
      </c>
      <c r="AE81" s="11">
        <f>('[1]资源-铁'!X83-'[1]资源-铁'!X82)*'[1]功能-付费相关'!AB83/节奏总纲!AA81</f>
        <v>11437.977678834441</v>
      </c>
      <c r="AG81" s="11">
        <f>('[1]资源-银币'!Y83-'[1]资源-银币'!Y82)*'[1]功能-付费相关'!AQ83/节奏总纲!W81</f>
        <v>777.15900551803088</v>
      </c>
      <c r="AH81" s="11">
        <f>('[1]资源-银币'!Z83-'[1]资源-银币'!Z82)*'[1]功能-付费相关'!AR83/节奏总纲!X81</f>
        <v>1039.739660843622</v>
      </c>
      <c r="AI81" s="11">
        <f>('[1]资源-银币'!AA83-'[1]资源-银币'!AA82)*'[1]功能-付费相关'!AS83/节奏总纲!Y81</f>
        <v>1753.4347071257946</v>
      </c>
      <c r="AJ81" s="11">
        <f>('[1]资源-银币'!AB83-'[1]资源-银币'!AB82)*'[1]功能-付费相关'!AT83/节奏总纲!Z81</f>
        <v>2845.4412441856775</v>
      </c>
      <c r="AK81" s="11">
        <f>('[1]资源-银币'!AC83-'[1]资源-银币'!AC82)*'[1]功能-付费相关'!AU83/节奏总纲!AA81</f>
        <v>4813.9551823402062</v>
      </c>
      <c r="AM81" s="11" t="e">
        <f>(#REF!-#REF!)*'[1]功能-付费相关'!CA83/节奏总纲!W81</f>
        <v>#REF!</v>
      </c>
      <c r="AN81" s="11" t="e">
        <f>(#REF!-#REF!)*'[1]功能-付费相关'!CB83/节奏总纲!X81</f>
        <v>#REF!</v>
      </c>
      <c r="AO81" s="11" t="e">
        <f>(#REF!-#REF!)*'[1]功能-付费相关'!CC83/节奏总纲!Y81</f>
        <v>#REF!</v>
      </c>
      <c r="AP81" s="11" t="e">
        <f>(#REF!-#REF!)*'[1]功能-付费相关'!CD83/节奏总纲!Z81</f>
        <v>#REF!</v>
      </c>
      <c r="AQ81" s="11" t="e">
        <f>(#REF!-#REF!)*'[1]功能-付费相关'!CE83/节奏总纲!AA81</f>
        <v>#REF!</v>
      </c>
      <c r="AR81" s="21"/>
      <c r="AS81" s="11">
        <f>(信息索引!U83-信息索引!U82)*'[1]功能-付费相关'!BI83/节奏总纲!W81</f>
        <v>1012.9149559286346</v>
      </c>
      <c r="AT81" s="11">
        <f>(信息索引!V83-信息索引!V82)*'[1]功能-付费相关'!BJ83/节奏总纲!X81</f>
        <v>1198.6682521051753</v>
      </c>
      <c r="AU81" s="11">
        <f>(信息索引!W83-信息索引!W82)*'[1]功能-付费相关'!BK83/节奏总纲!Y81</f>
        <v>2674.5514203236185</v>
      </c>
      <c r="AV81" s="11">
        <f>(信息索引!X83-信息索引!X82)*'[1]功能-付费相关'!BL83/节奏总纲!Z81</f>
        <v>4015.2084665308157</v>
      </c>
      <c r="AW81" s="11">
        <f>(信息索引!Y83-信息索引!Y82)*'[1]功能-付费相关'!BM83/节奏总纲!AA81</f>
        <v>4841.5425143254179</v>
      </c>
      <c r="AY81" s="11">
        <f>('[1]资源-武将经验'!T83*节奏总纲!BJ81-'[1]资源-武将经验'!T82*节奏总纲!BJ80)*'[1]功能-付费相关'!AZ83/节奏总纲!W81</f>
        <v>1899.2135985510856</v>
      </c>
      <c r="AZ81" s="11">
        <f>('[1]资源-武将经验'!U83*节奏总纲!BK81-'[1]资源-武将经验'!U82*节奏总纲!BK80)*'[1]功能-付费相关'!BA83/节奏总纲!X81</f>
        <v>2534.3739190959723</v>
      </c>
      <c r="BA81" s="11">
        <f>('[1]资源-武将经验'!V83*节奏总纲!BL81-'[1]资源-武将经验'!V82*节奏总纲!BL80)*'[1]功能-付费相关'!BB83/节奏总纲!Y81</f>
        <v>4721.0019535926604</v>
      </c>
      <c r="BB81" s="11">
        <f>('[1]资源-武将经验'!W83*节奏总纲!BM81-'[1]资源-武将经验'!W82*节奏总纲!BM80)*'[1]功能-付费相关'!BC83/节奏总纲!Z81</f>
        <v>11922.311461014788</v>
      </c>
      <c r="BC81" s="11">
        <f>('[1]资源-武将经验'!X83*节奏总纲!BN81-'[1]资源-武将经验'!X82*节奏总纲!BN80)*'[1]功能-付费相关'!BD83/节奏总纲!AA81</f>
        <v>14168.677472635882</v>
      </c>
      <c r="BD81" s="29"/>
      <c r="BE81" s="33" t="e">
        <f t="shared" si="6"/>
        <v>#REF!</v>
      </c>
      <c r="BF81" s="33" t="e">
        <f t="shared" si="7"/>
        <v>#REF!</v>
      </c>
      <c r="BG81" s="33" t="e">
        <f t="shared" si="8"/>
        <v>#REF!</v>
      </c>
      <c r="BH81" s="33" t="e">
        <f t="shared" si="9"/>
        <v>#REF!</v>
      </c>
      <c r="BI81" s="33" t="e">
        <f t="shared" si="10"/>
        <v>#REF!</v>
      </c>
      <c r="BJ81" s="29"/>
      <c r="BK81" s="29"/>
      <c r="BL81" s="29"/>
      <c r="BM81" s="29"/>
      <c r="BN81" s="29"/>
    </row>
    <row r="82" spans="2:66" x14ac:dyDescent="0.15">
      <c r="B82" s="5">
        <v>79</v>
      </c>
      <c r="C82" s="5">
        <f>'[1]资源-玩家城池建筑时间'!AJ84*'[1]功能-付费相关'!AH84/节奏总纲!W82</f>
        <v>3559.7001316929131</v>
      </c>
      <c r="D82" s="5">
        <f>'[1]资源-玩家城池建筑时间'!AK84*'[1]功能-付费相关'!AI84/节奏总纲!X82</f>
        <v>4497.7159326649935</v>
      </c>
      <c r="E82" s="5">
        <f>'[1]资源-玩家城池建筑时间'!AL84*'[1]功能-付费相关'!AJ84/节奏总纲!Y82</f>
        <v>5996.9545768866537</v>
      </c>
      <c r="F82" s="5">
        <f>'[1]资源-玩家城池建筑时间'!AM84*'[1]功能-付费相关'!AK84/节奏总纲!Z82</f>
        <v>9042.5837256617124</v>
      </c>
      <c r="G82" s="5">
        <f>'[1]资源-玩家城池建筑时间'!AN84*'[1]功能-付费相关'!AL84/节奏总纲!AA82</f>
        <v>18189.414938776459</v>
      </c>
      <c r="H82" s="3"/>
      <c r="I82" s="28">
        <f>'[1]资源-士兵训练时间'!AB84*'[1]功能-付费相关'!AH84/节奏总纲!W82</f>
        <v>1695.622151877345</v>
      </c>
      <c r="J82" s="28">
        <f>'[1]资源-士兵训练时间'!AC84*'[1]功能-付费相关'!AI84/节奏总纲!X82</f>
        <v>2271.3993865862412</v>
      </c>
      <c r="K82" s="28">
        <f>'[1]资源-士兵训练时间'!AD84*'[1]功能-付费相关'!AJ84/节奏总纲!Y82</f>
        <v>3727.4246343979489</v>
      </c>
      <c r="L82" s="28">
        <f>'[1]资源-士兵训练时间'!AE84*'[1]功能-付费相关'!AK84/节奏总纲!Z82</f>
        <v>6322.2159286134111</v>
      </c>
      <c r="M82" s="28">
        <f>'[1]资源-士兵训练时间'!AF84*'[1]功能-付费相关'!AL84/节奏总纲!AA82</f>
        <v>14126.849974667664</v>
      </c>
      <c r="N82" s="34"/>
      <c r="O82" s="34">
        <f>'[1]资源-士兵招募时间'!AC84*'[1]功能-付费相关'!AH84/节奏总纲!W82</f>
        <v>1051.7544134550164</v>
      </c>
      <c r="P82" s="34">
        <f>'[1]资源-士兵招募时间'!AD84*'[1]功能-付费相关'!AI84/节奏总纲!X82</f>
        <v>1290.7772901370363</v>
      </c>
      <c r="Q82" s="34">
        <f>'[1]资源-士兵招募时间'!AE84*'[1]功能-付费相关'!AJ84/节奏总纲!Y82</f>
        <v>1491.4824489905263</v>
      </c>
      <c r="R82" s="34">
        <f>'[1]资源-士兵招募时间'!AF84*'[1]功能-付费相关'!AK84/节奏总纲!Z82</f>
        <v>1507.5028194552663</v>
      </c>
      <c r="S82" s="34">
        <f>'[1]资源-士兵招募时间'!AG84*'[1]功能-付费相关'!AL84/节奏总纲!AA82</f>
        <v>1276.0282508011132</v>
      </c>
      <c r="T82" s="34"/>
      <c r="U82" s="5">
        <f>('[1]资源-木石铜粮'!U84-'[1]资源-木石铜粮'!U83)*'[1]功能-付费相关'!S84/节奏总纲!W82</f>
        <v>2020.4328501280304</v>
      </c>
      <c r="V82" s="5">
        <f>('[1]资源-木石铜粮'!V84-'[1]资源-木石铜粮'!V83)*'[1]功能-付费相关'!T84/节奏总纲!X82</f>
        <v>3405.2669728621895</v>
      </c>
      <c r="W82" s="5">
        <f>('[1]资源-木石铜粮'!W84-'[1]资源-木石铜粮'!W83)*'[1]功能-付费相关'!U84/节奏总纲!Y82</f>
        <v>4295.6671283302521</v>
      </c>
      <c r="X82" s="5">
        <f>('[1]资源-木石铜粮'!X84-'[1]资源-木石铜粮'!X83)*'[1]功能-付费相关'!V84/节奏总纲!Z82</f>
        <v>4853.4553749798897</v>
      </c>
      <c r="Y82" s="5">
        <f>('[1]资源-木石铜粮'!Y84-'[1]资源-木石铜粮'!Y83)*'[1]功能-付费相关'!W84/节奏总纲!AA82</f>
        <v>6744.5234578842628</v>
      </c>
      <c r="Z82" s="3"/>
      <c r="AA82" s="11">
        <f>('[1]资源-铁'!T84-'[1]资源-铁'!T83)*'[1]功能-付费相关'!X84/节奏总纲!W82</f>
        <v>2001.9275292458076</v>
      </c>
      <c r="AB82" s="11">
        <f>('[1]资源-铁'!U84-'[1]资源-铁'!U83)*'[1]功能-付费相关'!Y84/节奏总纲!X82</f>
        <v>2669.0470503577194</v>
      </c>
      <c r="AC82" s="11">
        <f>('[1]资源-铁'!V84-'[1]资源-铁'!V83)*'[1]功能-付费相关'!Z84/节奏总纲!Y82</f>
        <v>3829.8599906668464</v>
      </c>
      <c r="AD82" s="11">
        <f>('[1]资源-铁'!W84-'[1]资源-铁'!W83)*'[1]功能-付费相关'!AA84/节奏总纲!Z82</f>
        <v>5430.1068201273738</v>
      </c>
      <c r="AE82" s="11">
        <f>('[1]资源-铁'!X84-'[1]资源-铁'!X83)*'[1]功能-付费相关'!AB84/节奏总纲!AA82</f>
        <v>11096.754473569334</v>
      </c>
      <c r="AG82" s="11">
        <f>('[1]资源-银币'!Y84-'[1]资源-银币'!Y83)*'[1]功能-付费相关'!AQ84/节奏总纲!W82</f>
        <v>818.19877182641312</v>
      </c>
      <c r="AH82" s="11">
        <f>('[1]资源-银币'!Z84-'[1]资源-银币'!Z83)*'[1]功能-付费相关'!AR84/节奏总纲!X82</f>
        <v>1289.7684541606961</v>
      </c>
      <c r="AI82" s="11">
        <f>('[1]资源-银币'!AA84-'[1]资源-银币'!AA83)*'[1]功能-付费相关'!AS84/节奏总纲!Y82</f>
        <v>1992.8636711241418</v>
      </c>
      <c r="AJ82" s="11">
        <f>('[1]资源-银币'!AB84-'[1]资源-银币'!AB83)*'[1]功能-付费相关'!AT84/节奏总纲!Z82</f>
        <v>2468.5149408457496</v>
      </c>
      <c r="AK82" s="11">
        <f>('[1]资源-银币'!AC84-'[1]资源-银币'!AC83)*'[1]功能-付费相关'!AU84/节奏总纲!AA82</f>
        <v>4741.094603600558</v>
      </c>
      <c r="AM82" s="11" t="e">
        <f>(#REF!-#REF!)*'[1]功能-付费相关'!CA84/节奏总纲!W82</f>
        <v>#REF!</v>
      </c>
      <c r="AN82" s="11" t="e">
        <f>(#REF!-#REF!)*'[1]功能-付费相关'!CB84/节奏总纲!X82</f>
        <v>#REF!</v>
      </c>
      <c r="AO82" s="11" t="e">
        <f>(#REF!-#REF!)*'[1]功能-付费相关'!CC84/节奏总纲!Y82</f>
        <v>#REF!</v>
      </c>
      <c r="AP82" s="11" t="e">
        <f>(#REF!-#REF!)*'[1]功能-付费相关'!CD84/节奏总纲!Z82</f>
        <v>#REF!</v>
      </c>
      <c r="AQ82" s="11" t="e">
        <f>(#REF!-#REF!)*'[1]功能-付费相关'!CE84/节奏总纲!AA82</f>
        <v>#REF!</v>
      </c>
      <c r="AR82" s="21"/>
      <c r="AS82" s="11">
        <f>(信息索引!U84-信息索引!U83)*'[1]功能-付费相关'!BI84/节奏总纲!W82</f>
        <v>915.72961808469847</v>
      </c>
      <c r="AT82" s="11">
        <f>(信息索引!V84-信息索引!V83)*'[1]功能-付费相关'!BJ84/节奏总纲!X82</f>
        <v>1831.4848463133251</v>
      </c>
      <c r="AU82" s="11">
        <f>(信息索引!W84-信息索引!W83)*'[1]功能-付费相关'!BK84/节奏总纲!Y82</f>
        <v>2394.1769550890676</v>
      </c>
      <c r="AV82" s="11">
        <f>(信息索引!X84-信息索引!X83)*'[1]功能-付费相关'!BL84/节奏总纲!Z82</f>
        <v>2826.1938489822337</v>
      </c>
      <c r="AW82" s="11">
        <f>(信息索引!Y84-信息索引!Y83)*'[1]功能-付费相关'!BM84/节奏总纲!AA82</f>
        <v>4247.3485732736835</v>
      </c>
      <c r="AY82" s="11">
        <f>('[1]资源-武将经验'!T84*节奏总纲!BJ82-'[1]资源-武将经验'!T83*节奏总纲!BJ81)*'[1]功能-付费相关'!AZ84/节奏总纲!W82</f>
        <v>2302.8177134179614</v>
      </c>
      <c r="AZ82" s="11">
        <f>('[1]资源-武将经验'!U84*节奏总纲!BK82-'[1]资源-武将经验'!U83*节奏总纲!BK81)*'[1]功能-付费相关'!BA84/节奏总纲!X82</f>
        <v>4474.248708896851</v>
      </c>
      <c r="BA82" s="11">
        <f>('[1]资源-武将经验'!V84*节奏总纲!BL82-'[1]资源-武将经验'!V83*节奏总纲!BL81)*'[1]功能-付费相关'!BB84/节奏总纲!Y82</f>
        <v>6122.4926321199164</v>
      </c>
      <c r="BB82" s="11">
        <f>('[1]资源-武将经验'!W84*节奏总纲!BM82-'[1]资源-武将经验'!W83*节奏总纲!BM81)*'[1]功能-付费相关'!BC84/节奏总纲!Z82</f>
        <v>12004.13375786074</v>
      </c>
      <c r="BC82" s="11">
        <f>('[1]资源-武将经验'!X84*节奏总纲!BN82-'[1]资源-武将经验'!X83*节奏总纲!BN81)*'[1]功能-付费相关'!BD84/节奏总纲!AA82</f>
        <v>18743.848377621918</v>
      </c>
      <c r="BD82" s="29"/>
      <c r="BE82" s="33" t="e">
        <f t="shared" si="6"/>
        <v>#REF!</v>
      </c>
      <c r="BF82" s="33" t="e">
        <f t="shared" si="7"/>
        <v>#REF!</v>
      </c>
      <c r="BG82" s="33" t="e">
        <f t="shared" si="8"/>
        <v>#REF!</v>
      </c>
      <c r="BH82" s="33" t="e">
        <f t="shared" si="9"/>
        <v>#REF!</v>
      </c>
      <c r="BI82" s="33" t="e">
        <f t="shared" si="10"/>
        <v>#REF!</v>
      </c>
      <c r="BJ82" s="29"/>
      <c r="BK82" s="29"/>
      <c r="BL82" s="29"/>
      <c r="BM82" s="29"/>
      <c r="BN82" s="29"/>
    </row>
    <row r="83" spans="2:66" x14ac:dyDescent="0.15">
      <c r="B83" s="5">
        <v>80</v>
      </c>
      <c r="C83" s="5">
        <f>'[1]资源-玩家城池建筑时间'!AJ85*'[1]功能-付费相关'!AH85/节奏总纲!W83</f>
        <v>3588.0359823597355</v>
      </c>
      <c r="D83" s="5">
        <f>'[1]资源-玩家城池建筑时间'!AK85*'[1]功能-付费相关'!AI85/节奏总纲!X83</f>
        <v>4497.7159326649862</v>
      </c>
      <c r="E83" s="5">
        <f>'[1]资源-玩家城池建筑时间'!AL85*'[1]功能-付费相关'!AJ85/节奏总纲!Y83</f>
        <v>6020.5307306191999</v>
      </c>
      <c r="F83" s="5">
        <f>'[1]资源-玩家城池建筑时间'!AM85*'[1]功能-付费相关'!AK85/节奏总纲!Z83</f>
        <v>9094.1722490428128</v>
      </c>
      <c r="G83" s="5">
        <f>'[1]资源-玩家城池建筑时间'!AN85*'[1]功能-付费相关'!AL85/节奏总纲!AA83</f>
        <v>18398.203819921626</v>
      </c>
      <c r="H83" s="3"/>
      <c r="I83" s="28">
        <f>'[1]资源-士兵训练时间'!AB85*'[1]功能-付费相关'!AH85/节奏总纲!W83</f>
        <v>1682.1577805304942</v>
      </c>
      <c r="J83" s="28">
        <f>'[1]资源-士兵训练时间'!AC85*'[1]功能-付费相关'!AI85/节奏总纲!X83</f>
        <v>2271.3993865862394</v>
      </c>
      <c r="K83" s="28">
        <f>'[1]资源-士兵训练时间'!AD85*'[1]功能-付费相关'!AJ85/节奏总纲!Y83</f>
        <v>3741.730040304426</v>
      </c>
      <c r="L83" s="28">
        <f>'[1]资源-士兵训练时间'!AE85*'[1]功能-付费相关'!AK85/节奏总纲!Z83</f>
        <v>6357.4313468019482</v>
      </c>
      <c r="M83" s="28">
        <f>'[1]资源-士兵训练时间'!AF85*'[1]功能-付费相关'!AL85/节奏总纲!AA83</f>
        <v>13975.639742194866</v>
      </c>
      <c r="N83" s="34"/>
      <c r="O83" s="34">
        <f>'[1]资源-士兵招募时间'!AC85*'[1]功能-付费相关'!AH85/节奏总纲!W83</f>
        <v>1060.6086750237289</v>
      </c>
      <c r="P83" s="34">
        <f>'[1]资源-士兵招募时间'!AD85*'[1]功能-付费相关'!AI85/节奏总纲!X83</f>
        <v>1299.8973283205812</v>
      </c>
      <c r="Q83" s="34">
        <f>'[1]资源-士兵招募时间'!AE85*'[1]功能-付费相关'!AJ85/节奏总纲!Y83</f>
        <v>1503.8312738887973</v>
      </c>
      <c r="R83" s="34">
        <f>'[1]资源-士兵招募时间'!AF85*'[1]功能-付费相关'!AK85/节奏总纲!Z83</f>
        <v>1491.1003515815999</v>
      </c>
      <c r="S83" s="34">
        <f>'[1]资源-士兵招募时间'!AG85*'[1]功能-付费相关'!AL85/节奏总纲!AA83</f>
        <v>1379.8086740817112</v>
      </c>
      <c r="T83" s="34"/>
      <c r="U83" s="5">
        <f>('[1]资源-木石铜粮'!U85-'[1]资源-木石铜粮'!U84)*'[1]功能-付费相关'!S85/节奏总纲!W83</f>
        <v>2049.5453188168599</v>
      </c>
      <c r="V83" s="5">
        <f>('[1]资源-木石铜粮'!V85-'[1]资源-木石铜粮'!V84)*'[1]功能-付费相关'!T85/节奏总纲!X83</f>
        <v>2667.4242587481481</v>
      </c>
      <c r="W83" s="5">
        <f>('[1]资源-木石铜粮'!W85-'[1]资源-木石铜粮'!W84)*'[1]功能-付费相关'!U85/节奏总纲!Y83</f>
        <v>3072.2405172119543</v>
      </c>
      <c r="X83" s="5">
        <f>('[1]资源-木石铜粮'!X85-'[1]资源-木石铜粮'!X84)*'[1]功能-付费相关'!V85/节奏总纲!Z83</f>
        <v>3242.5618188751641</v>
      </c>
      <c r="Y83" s="5">
        <f>('[1]资源-木石铜粮'!Y85-'[1]资源-木石铜粮'!Y84)*'[1]功能-付费相关'!W85/节奏总纲!AA83</f>
        <v>7235.0499889704561</v>
      </c>
      <c r="Z83" s="3"/>
      <c r="AA83" s="11">
        <f>('[1]资源-铁'!T85-'[1]资源-铁'!T84)*'[1]功能-付费相关'!X85/节奏总纲!W83</f>
        <v>2019.1508912702941</v>
      </c>
      <c r="AB83" s="11">
        <f>('[1]资源-铁'!U85-'[1]资源-铁'!U84)*'[1]功能-付费相关'!Y85/节奏总纲!X83</f>
        <v>2611.5360942656976</v>
      </c>
      <c r="AC83" s="11">
        <f>('[1]资源-铁'!V85-'[1]资源-铁'!V84)*'[1]功能-付费相关'!Z85/节奏总纲!Y83</f>
        <v>3770.4692774376531</v>
      </c>
      <c r="AD83" s="11">
        <f>('[1]资源-铁'!W85-'[1]资源-铁'!W84)*'[1]功能-付费相关'!AA85/节奏总纲!Z83</f>
        <v>5301.6624598603394</v>
      </c>
      <c r="AE83" s="11">
        <f>('[1]资源-铁'!X85-'[1]资源-铁'!X84)*'[1]功能-付费相关'!AB85/节奏总纲!AA83</f>
        <v>11141.676853668936</v>
      </c>
      <c r="AG83" s="11">
        <f>('[1]资源-银币'!Y85-'[1]资源-银币'!Y84)*'[1]功能-付费相关'!AQ85/节奏总纲!W83</f>
        <v>770.3314072228859</v>
      </c>
      <c r="AH83" s="11">
        <f>('[1]资源-银币'!Z85-'[1]资源-银币'!Z84)*'[1]功能-付费相关'!AR85/节奏总纲!X83</f>
        <v>1037.3488352059128</v>
      </c>
      <c r="AI83" s="11">
        <f>('[1]资源-银币'!AA85-'[1]资源-银币'!AA84)*'[1]功能-付费相关'!AS85/节奏总纲!Y83</f>
        <v>1488.3274046804697</v>
      </c>
      <c r="AJ83" s="11">
        <f>('[1]资源-银币'!AB85-'[1]资源-银币'!AB84)*'[1]功能-付费相关'!AT85/节奏总纲!Z83</f>
        <v>1911.6036193002219</v>
      </c>
      <c r="AK83" s="11">
        <f>('[1]资源-银币'!AC85-'[1]资源-银币'!AC84)*'[1]功能-付费相关'!AU85/节奏总纲!AA83</f>
        <v>4491.9526643717691</v>
      </c>
      <c r="AM83" s="11" t="e">
        <f>(#REF!-#REF!)*'[1]功能-付费相关'!CA85/节奏总纲!W83</f>
        <v>#REF!</v>
      </c>
      <c r="AN83" s="11" t="e">
        <f>(#REF!-#REF!)*'[1]功能-付费相关'!CB85/节奏总纲!X83</f>
        <v>#REF!</v>
      </c>
      <c r="AO83" s="11" t="e">
        <f>(#REF!-#REF!)*'[1]功能-付费相关'!CC85/节奏总纲!Y83</f>
        <v>#REF!</v>
      </c>
      <c r="AP83" s="11" t="e">
        <f>(#REF!-#REF!)*'[1]功能-付费相关'!CD85/节奏总纲!Z83</f>
        <v>#REF!</v>
      </c>
      <c r="AQ83" s="11" t="e">
        <f>(#REF!-#REF!)*'[1]功能-付费相关'!CE85/节奏总纲!AA83</f>
        <v>#REF!</v>
      </c>
      <c r="AR83" s="21"/>
      <c r="AS83" s="11">
        <f>(信息索引!U85-信息索引!U84)*'[1]功能-付费相关'!BI85/节奏总纲!W83</f>
        <v>827.6270286132833</v>
      </c>
      <c r="AT83" s="11">
        <f>(信息索引!V85-信息索引!V84)*'[1]功能-付费相关'!BJ85/节奏总纲!X83</f>
        <v>1116.6339247209487</v>
      </c>
      <c r="AU83" s="11">
        <f>(信息索引!W85-信息索引!W84)*'[1]功能-付费相关'!BK85/节奏总纲!Y83</f>
        <v>1227.7039930503931</v>
      </c>
      <c r="AV83" s="11">
        <f>(信息索引!X85-信息索引!X84)*'[1]功能-付费相关'!BL85/节奏总纲!Z83</f>
        <v>1184.0123610884691</v>
      </c>
      <c r="AW83" s="11">
        <f>(信息索引!Y85-信息索引!Y84)*'[1]功能-付费相关'!BM85/节奏总纲!AA83</f>
        <v>4115.5408589438439</v>
      </c>
      <c r="AY83" s="11">
        <f>('[1]资源-武将经验'!T85*节奏总纲!BJ83-'[1]资源-武将经验'!T84*节奏总纲!BJ82)*'[1]功能-付费相关'!AZ85/节奏总纲!W83</f>
        <v>2083.434776281586</v>
      </c>
      <c r="AZ83" s="11">
        <f>('[1]资源-武将经验'!U85*节奏总纲!BK83-'[1]资源-武将经验'!U84*节奏总纲!BK82)*'[1]功能-付费相关'!BA85/节奏总纲!X83</f>
        <v>2730.621224498575</v>
      </c>
      <c r="BA83" s="11">
        <f>('[1]资源-武将经验'!V85*节奏总纲!BL83-'[1]资源-武将经验'!V84*节奏总纲!BL82)*'[1]功能-付费相关'!BB85/节奏总纲!Y83</f>
        <v>3142.8769663658986</v>
      </c>
      <c r="BB83" s="11">
        <f>('[1]资源-武将经验'!W85*节奏总纲!BM83-'[1]资源-武将经验'!W84*节奏总纲!BM82)*'[1]功能-付费相关'!BC85/节奏总纲!Z83</f>
        <v>5224.980399865779</v>
      </c>
      <c r="BC83" s="11">
        <f>('[1]资源-武将经验'!X85*节奏总纲!BN83-'[1]资源-武将经验'!X84*节奏总纲!BN82)*'[1]功能-付费相关'!BD85/节奏总纲!AA83</f>
        <v>18351.226623989238</v>
      </c>
      <c r="BD83" s="29"/>
      <c r="BE83" s="33" t="e">
        <f t="shared" si="6"/>
        <v>#REF!</v>
      </c>
      <c r="BF83" s="33" t="e">
        <f t="shared" si="7"/>
        <v>#REF!</v>
      </c>
      <c r="BG83" s="33" t="e">
        <f t="shared" si="8"/>
        <v>#REF!</v>
      </c>
      <c r="BH83" s="33" t="e">
        <f t="shared" si="9"/>
        <v>#REF!</v>
      </c>
      <c r="BI83" s="33" t="e">
        <f t="shared" si="10"/>
        <v>#REF!</v>
      </c>
      <c r="BJ83" s="29"/>
      <c r="BK83" s="29"/>
      <c r="BL83" s="29"/>
      <c r="BM83" s="29"/>
      <c r="BN83" s="29"/>
    </row>
    <row r="84" spans="2:66" x14ac:dyDescent="0.15">
      <c r="B84" s="5">
        <v>81</v>
      </c>
      <c r="C84" s="5">
        <f>'[1]资源-玩家城池建筑时间'!AJ86*'[1]功能-付费相关'!AH86/节奏总纲!W84</f>
        <v>3598.172746131992</v>
      </c>
      <c r="D84" s="5">
        <f>'[1]资源-玩家城池建筑时间'!AK86*'[1]功能-付费相关'!AI86/节奏总纲!X84</f>
        <v>4523.5599211199806</v>
      </c>
      <c r="E84" s="5">
        <f>'[1]资源-玩家城池建筑时间'!AL86*'[1]功能-付费相关'!AJ86/节奏总纲!Y84</f>
        <v>6062.7814993618667</v>
      </c>
      <c r="F84" s="5">
        <f>'[1]资源-玩家城池建筑时间'!AM86*'[1]功能-付费相关'!AK86/节奏总纲!Z84</f>
        <v>9185.6022040818898</v>
      </c>
      <c r="G84" s="5">
        <f>'[1]资源-玩家城池建筑时间'!AN86*'[1]功能-付费相关'!AL86/节奏总纲!AA84</f>
        <v>18415.973323571619</v>
      </c>
      <c r="H84" s="3"/>
      <c r="I84" s="28">
        <f>'[1]资源-士兵训练时间'!AB86*'[1]功能-付费相关'!AH86/节奏总纲!W84</f>
        <v>1677.3410854790736</v>
      </c>
      <c r="J84" s="28">
        <f>'[1]资源-士兵训练时间'!AC86*'[1]功能-付费相关'!AI86/节奏总纲!X84</f>
        <v>2284.1405808791883</v>
      </c>
      <c r="K84" s="28">
        <f>'[1]资源-士兵训练时间'!AD86*'[1]功能-付费相关'!AJ86/节奏总纲!Y84</f>
        <v>3767.3667240307841</v>
      </c>
      <c r="L84" s="28">
        <f>'[1]资源-士兵训练时间'!AE86*'[1]功能-付费相关'!AK86/节奏总纲!Z84</f>
        <v>6297.8370321404354</v>
      </c>
      <c r="M84" s="28">
        <f>'[1]资源-士兵训练时间'!AF86*'[1]功能-付费相关'!AL86/节奏总纲!AA84</f>
        <v>13956.288082594287</v>
      </c>
      <c r="N84" s="34"/>
      <c r="O84" s="34">
        <f>'[1]资源-士兵招募时间'!AC86*'[1]功能-付费相关'!AH86/节奏总纲!W84</f>
        <v>1069.8120989843114</v>
      </c>
      <c r="P84" s="34">
        <f>'[1]资源-士兵招募时间'!AD86*'[1]功能-付费相关'!AI86/节奏总纲!X84</f>
        <v>1313.586053770922</v>
      </c>
      <c r="Q84" s="34">
        <f>'[1]资源-士兵招募时间'!AE86*'[1]功能-付费相关'!AJ86/节奏总纲!Y84</f>
        <v>1525.8055174796489</v>
      </c>
      <c r="R84" s="34">
        <f>'[1]资源-士兵招募时间'!AF86*'[1]功能-付费相关'!AK86/节奏总纲!Z84</f>
        <v>1494.7292642160598</v>
      </c>
      <c r="S84" s="34">
        <f>'[1]资源-士兵招募时间'!AG86*'[1]功能-付费相关'!AL86/节奏总纲!AA84</f>
        <v>1695.3904037788279</v>
      </c>
      <c r="T84" s="34"/>
      <c r="U84" s="5">
        <f>('[1]资源-木石铜粮'!U86-'[1]资源-木石铜粮'!U85)*'[1]功能-付费相关'!S86/节奏总纲!W84</f>
        <v>2107.3394460932532</v>
      </c>
      <c r="V84" s="5">
        <f>('[1]资源-木石铜粮'!V86-'[1]资源-木石铜粮'!V85)*'[1]功能-付费相关'!T86/节奏总纲!X84</f>
        <v>2261.3265234110027</v>
      </c>
      <c r="W84" s="5">
        <f>('[1]资源-木石铜粮'!W86-'[1]资源-木石铜粮'!W85)*'[1]功能-付费相关'!U86/节奏总纲!Y84</f>
        <v>2469.1699824275383</v>
      </c>
      <c r="X84" s="5">
        <f>('[1]资源-木石铜粮'!X86-'[1]资源-木石铜粮'!X85)*'[1]功能-付费相关'!V86/节奏总纲!Z84</f>
        <v>3821.9758820069997</v>
      </c>
      <c r="Y84" s="5">
        <f>('[1]资源-木石铜粮'!Y86-'[1]资源-木石铜粮'!Y85)*'[1]功能-付费相关'!W86/节奏总纲!AA84</f>
        <v>6948.166161648327</v>
      </c>
      <c r="Z84" s="3"/>
      <c r="AA84" s="11">
        <f>('[1]资源-铁'!T86-'[1]资源-铁'!T85)*'[1]功能-付费相关'!X86/节奏总纲!W84</f>
        <v>2018.8913014943332</v>
      </c>
      <c r="AB84" s="11">
        <f>('[1]资源-铁'!U86-'[1]资源-铁'!U85)*'[1]功能-付费相关'!Y86/节奏总纲!X84</f>
        <v>2603.5931788319176</v>
      </c>
      <c r="AC84" s="11">
        <f>('[1]资源-铁'!V86-'[1]资源-铁'!V85)*'[1]功能-付费相关'!Z86/节奏总纲!Y84</f>
        <v>3745.7399933406696</v>
      </c>
      <c r="AD84" s="11">
        <f>('[1]资源-铁'!W86-'[1]资源-铁'!W85)*'[1]功能-付费相关'!AA86/节奏总纲!Z84</f>
        <v>5359.4242117764088</v>
      </c>
      <c r="AE84" s="11">
        <f>('[1]资源-铁'!X86-'[1]资源-铁'!X85)*'[1]功能-付费相关'!AB86/节奏总纲!AA84</f>
        <v>10974.393701383593</v>
      </c>
      <c r="AG84" s="11">
        <f>('[1]资源-银币'!Y86-'[1]资源-银币'!Y85)*'[1]功能-付费相关'!AQ86/节奏总纲!W84</f>
        <v>1179.8528278871606</v>
      </c>
      <c r="AH84" s="11">
        <f>('[1]资源-银币'!Z86-'[1]资源-银币'!Z85)*'[1]功能-付费相关'!AR86/节奏总纲!X84</f>
        <v>1251.3298308502851</v>
      </c>
      <c r="AI84" s="11">
        <f>('[1]资源-银币'!AA86-'[1]资源-银币'!AA85)*'[1]功能-付费相关'!AS86/节奏总纲!Y84</f>
        <v>1477.18590216028</v>
      </c>
      <c r="AJ84" s="11">
        <f>('[1]资源-银币'!AB86-'[1]资源-银币'!AB85)*'[1]功能-付费相关'!AT86/节奏总纲!Z84</f>
        <v>2686.9918628808909</v>
      </c>
      <c r="AK84" s="11">
        <f>('[1]资源-银币'!AC86-'[1]资源-银币'!AC85)*'[1]功能-付费相关'!AU86/节奏总纲!AA84</f>
        <v>5623.0520524284393</v>
      </c>
      <c r="AM84" s="11" t="e">
        <f>(#REF!-#REF!)*'[1]功能-付费相关'!CA86/节奏总纲!W84</f>
        <v>#REF!</v>
      </c>
      <c r="AN84" s="11" t="e">
        <f>(#REF!-#REF!)*'[1]功能-付费相关'!CB86/节奏总纲!X84</f>
        <v>#REF!</v>
      </c>
      <c r="AO84" s="11" t="e">
        <f>(#REF!-#REF!)*'[1]功能-付费相关'!CC86/节奏总纲!Y84</f>
        <v>#REF!</v>
      </c>
      <c r="AP84" s="11" t="e">
        <f>(#REF!-#REF!)*'[1]功能-付费相关'!CD86/节奏总纲!Z84</f>
        <v>#REF!</v>
      </c>
      <c r="AQ84" s="11" t="e">
        <f>(#REF!-#REF!)*'[1]功能-付费相关'!CE86/节奏总纲!AA84</f>
        <v>#REF!</v>
      </c>
      <c r="AR84" s="21"/>
      <c r="AS84" s="11">
        <f>(信息索引!U86-信息索引!U85)*'[1]功能-付费相关'!BI86/节奏总纲!W84</f>
        <v>1182.3391861847604</v>
      </c>
      <c r="AT84" s="11">
        <f>(信息索引!V86-信息索引!V85)*'[1]功能-付费相关'!BJ86/节奏总纲!X84</f>
        <v>1121.4158798414178</v>
      </c>
      <c r="AU84" s="11">
        <f>(信息索引!W86-信息索引!W85)*'[1]功能-付费相关'!BK86/节奏总纲!Y84</f>
        <v>1045.0610064500625</v>
      </c>
      <c r="AV84" s="11">
        <f>(信息索引!X86-信息索引!X85)*'[1]功能-付费相关'!BL86/节奏总纲!Z84</f>
        <v>2210.8928899067864</v>
      </c>
      <c r="AW84" s="11">
        <f>(信息索引!Y86-信息索引!Y85)*'[1]功能-付费相关'!BM86/节奏总纲!AA84</f>
        <v>5090.2367122697451</v>
      </c>
      <c r="AY84" s="11">
        <f>('[1]资源-武将经验'!T86*节奏总纲!BJ84-'[1]资源-武将经验'!T85*节奏总纲!BJ83)*'[1]功能-付费相关'!AZ86/节奏总纲!W84</f>
        <v>2343.7316707941222</v>
      </c>
      <c r="AZ84" s="11">
        <f>('[1]资源-武将经验'!U86*节奏总纲!BK84-'[1]资源-武将经验'!U85*节奏总纲!BK83)*'[1]功能-付费相关'!BA86/节奏总纲!X84</f>
        <v>2144.372688373363</v>
      </c>
      <c r="BA84" s="11">
        <f>('[1]资源-武将经验'!V86*节奏总纲!BL84-'[1]资源-武将经验'!V85*节奏总纲!BL83)*'[1]功能-付费相关'!BB86/节奏总纲!Y84</f>
        <v>2009.5201457574699</v>
      </c>
      <c r="BB84" s="11">
        <f>('[1]资源-武将经验'!W86*节奏总纲!BM84-'[1]资源-武将经验'!W85*节奏总纲!BM83)*'[1]功能-付费相关'!BC86/节奏总纲!Z84</f>
        <v>7855.5993373310439</v>
      </c>
      <c r="BC84" s="11">
        <f>('[1]资源-武将经验'!X86*节奏总纲!BN84-'[1]资源-武将经验'!X85*节奏总纲!BN83)*'[1]功能-付费相关'!BD86/节奏总纲!AA84</f>
        <v>17334.943433779241</v>
      </c>
      <c r="BD84" s="29"/>
      <c r="BE84" s="33" t="e">
        <f t="shared" si="6"/>
        <v>#REF!</v>
      </c>
      <c r="BF84" s="33" t="e">
        <f t="shared" si="7"/>
        <v>#REF!</v>
      </c>
      <c r="BG84" s="33" t="e">
        <f t="shared" si="8"/>
        <v>#REF!</v>
      </c>
      <c r="BH84" s="33" t="e">
        <f t="shared" si="9"/>
        <v>#REF!</v>
      </c>
      <c r="BI84" s="33" t="e">
        <f t="shared" si="10"/>
        <v>#REF!</v>
      </c>
      <c r="BJ84" s="29"/>
      <c r="BK84" s="29"/>
      <c r="BL84" s="29"/>
      <c r="BM84" s="29"/>
      <c r="BN84" s="29"/>
    </row>
    <row r="85" spans="2:66" x14ac:dyDescent="0.15">
      <c r="B85" s="5">
        <v>82</v>
      </c>
      <c r="C85" s="5">
        <f>'[1]资源-玩家城池建筑时间'!AJ87*'[1]功能-付费相关'!AH87/节奏总纲!W85</f>
        <v>3622.2737986239936</v>
      </c>
      <c r="D85" s="5">
        <f>'[1]资源-玩家城池建筑时间'!AK87*'[1]功能-付费相关'!AI87/节奏总纲!X85</f>
        <v>4547.0861245214055</v>
      </c>
      <c r="E85" s="5">
        <f>'[1]资源-玩家城池建筑时间'!AL87*'[1]功能-付费相关'!AJ87/节奏总纲!Y85</f>
        <v>6130.0927948862573</v>
      </c>
      <c r="F85" s="5">
        <f>'[1]资源-玩家城池建筑时间'!AM87*'[1]功能-付费相关'!AK87/节奏总纲!Z85</f>
        <v>9199.1019099608075</v>
      </c>
      <c r="G85" s="5">
        <f>'[1]资源-玩家城池建筑时间'!AN87*'[1]功能-付费相关'!AL87/节奏总纲!AA85</f>
        <v>18637.270279326964</v>
      </c>
      <c r="H85" s="3"/>
      <c r="I85" s="28">
        <f>'[1]资源-士兵训练时间'!AB87*'[1]功能-付费相关'!AH87/节奏总纲!W85</f>
        <v>1688.3090112458117</v>
      </c>
      <c r="J85" s="28">
        <f>'[1]资源-士兵训练时间'!AC87*'[1]功能-付费相关'!AI87/节奏总纲!X85</f>
        <v>2295.7390974562632</v>
      </c>
      <c r="K85" s="28">
        <f>'[1]资源-士兵训练时间'!AD87*'[1]功能-付费相关'!AJ87/节奏总纲!Y85</f>
        <v>3728.3678785426223</v>
      </c>
      <c r="L85" s="28">
        <f>'[1]资源-士兵训练时间'!AE87*'[1]功能-付费相关'!AK87/节奏总纲!Z85</f>
        <v>6289.0378839877012</v>
      </c>
      <c r="M85" s="28">
        <f>'[1]资源-士兵训练时间'!AF87*'[1]功能-付费相关'!AL87/节奏总纲!AA85</f>
        <v>13715.287352198382</v>
      </c>
      <c r="N85" s="34"/>
      <c r="O85" s="34">
        <f>'[1]资源-士兵招募时间'!AC87*'[1]功能-付费相关'!AH87/节奏总纲!W85</f>
        <v>1078.8714635183155</v>
      </c>
      <c r="P85" s="34">
        <f>'[1]资源-士兵招募时间'!AD87*'[1]功能-付费相关'!AI87/节奏总纲!X85</f>
        <v>1328.0688043979903</v>
      </c>
      <c r="Q85" s="34">
        <f>'[1]资源-士兵招募时间'!AE87*'[1]功能-付费相关'!AJ87/节奏总纲!Y85</f>
        <v>1537.3774059797024</v>
      </c>
      <c r="R85" s="34">
        <f>'[1]资源-士兵招募时间'!AF87*'[1]功能-付费相关'!AK87/节奏总纲!Z85</f>
        <v>1506.5501416457591</v>
      </c>
      <c r="S85" s="34">
        <f>'[1]资源-士兵招募时间'!AG87*'[1]功能-付费相关'!AL87/节奏总纲!AA85</f>
        <v>1709.7436937593825</v>
      </c>
      <c r="T85" s="34"/>
      <c r="U85" s="5">
        <f>('[1]资源-木石铜粮'!U87-'[1]资源-木石铜粮'!U86)*'[1]功能-付费相关'!S87/节奏总纲!W85</f>
        <v>2134.0676645329308</v>
      </c>
      <c r="V85" s="5">
        <f>('[1]资源-木石铜粮'!V87-'[1]资源-木石铜粮'!V86)*'[1]功能-付费相关'!T87/节奏总纲!X85</f>
        <v>2260.5402032211759</v>
      </c>
      <c r="W85" s="5">
        <f>('[1]资源-木石铜粮'!W87-'[1]资源-木石铜粮'!W86)*'[1]功能-付费相关'!U87/节奏总纲!Y85</f>
        <v>3494.0482856923063</v>
      </c>
      <c r="X85" s="5">
        <f>('[1]资源-木石铜粮'!X87-'[1]资源-木石铜粮'!X86)*'[1]功能-付费相关'!V87/节奏总纲!Z85</f>
        <v>4587.190654345497</v>
      </c>
      <c r="Y85" s="5">
        <f>('[1]资源-木石铜粮'!Y87-'[1]资源-木石铜粮'!Y86)*'[1]功能-付费相关'!W87/节奏总纲!AA85</f>
        <v>6592.2692419976247</v>
      </c>
      <c r="Z85" s="3"/>
      <c r="AA85" s="11">
        <f>('[1]资源-铁'!T87-'[1]资源-铁'!T86)*'[1]功能-付费相关'!X87/节奏总纲!W85</f>
        <v>2022.2845479029825</v>
      </c>
      <c r="AB85" s="11">
        <f>('[1]资源-铁'!U87-'[1]资源-铁'!U86)*'[1]功能-付费相关'!Y87/节奏总纲!X85</f>
        <v>2590.2465779251329</v>
      </c>
      <c r="AC85" s="11">
        <f>('[1]资源-铁'!V87-'[1]资源-铁'!V86)*'[1]功能-付费相关'!Z87/节奏总纲!Y85</f>
        <v>3830.9056646240711</v>
      </c>
      <c r="AD85" s="11">
        <f>('[1]资源-铁'!W87-'[1]资源-铁'!W86)*'[1]功能-付费相关'!AA87/节奏总纲!Z85</f>
        <v>5301.1351494025239</v>
      </c>
      <c r="AE85" s="11">
        <f>('[1]资源-铁'!X87-'[1]资源-铁'!X86)*'[1]功能-付费相关'!AB87/节奏总纲!AA85</f>
        <v>11467.888555922324</v>
      </c>
      <c r="AG85" s="11">
        <f>('[1]资源-银币'!Y87-'[1]资源-银币'!Y86)*'[1]功能-付费相关'!AQ87/节奏总纲!W85</f>
        <v>1216.3640161422104</v>
      </c>
      <c r="AH85" s="11">
        <f>('[1]资源-银币'!Z87-'[1]资源-银币'!Z86)*'[1]功能-付费相关'!AR87/节奏总纲!X85</f>
        <v>1266.5599449297165</v>
      </c>
      <c r="AI85" s="11">
        <f>('[1]资源-银币'!AA87-'[1]资源-银币'!AA86)*'[1]功能-付费相关'!AS87/节奏总纲!Y85</f>
        <v>2072.1624586849912</v>
      </c>
      <c r="AJ85" s="11">
        <f>('[1]资源-银币'!AB87-'[1]资源-银币'!AB86)*'[1]功能-付费相关'!AT87/节奏总纲!Z85</f>
        <v>3135.7466752415671</v>
      </c>
      <c r="AK85" s="11">
        <f>('[1]资源-银币'!AC87-'[1]资源-银币'!AC86)*'[1]功能-付费相关'!AU87/节奏总纲!AA85</f>
        <v>5160.9663161952485</v>
      </c>
      <c r="AM85" s="11" t="e">
        <f>(#REF!-#REF!)*'[1]功能-付费相关'!CA87/节奏总纲!W85</f>
        <v>#REF!</v>
      </c>
      <c r="AN85" s="11" t="e">
        <f>(#REF!-#REF!)*'[1]功能-付费相关'!CB87/节奏总纲!X85</f>
        <v>#REF!</v>
      </c>
      <c r="AO85" s="11" t="e">
        <f>(#REF!-#REF!)*'[1]功能-付费相关'!CC87/节奏总纲!Y85</f>
        <v>#REF!</v>
      </c>
      <c r="AP85" s="11" t="e">
        <f>(#REF!-#REF!)*'[1]功能-付费相关'!CD87/节奏总纲!Z85</f>
        <v>#REF!</v>
      </c>
      <c r="AQ85" s="11" t="e">
        <f>(#REF!-#REF!)*'[1]功能-付费相关'!CE87/节奏总纲!AA85</f>
        <v>#REF!</v>
      </c>
      <c r="AR85" s="21"/>
      <c r="AS85" s="11">
        <f>(信息索引!U87-信息索引!U86)*'[1]功能-付费相关'!BI87/节奏总纲!W85</f>
        <v>1068.8969075060402</v>
      </c>
      <c r="AT85" s="11">
        <f>(信息索引!V87-信息索引!V86)*'[1]功能-付费相关'!BJ87/节奏总纲!X85</f>
        <v>989.91028930617745</v>
      </c>
      <c r="AU85" s="11">
        <f>(信息索引!W87-信息索引!W86)*'[1]功能-付费相关'!BK87/节奏总纲!Y85</f>
        <v>1819.4862664801833</v>
      </c>
      <c r="AV85" s="11">
        <f>(信息索引!X87-信息索引!X86)*'[1]功能-付费相关'!BL87/节奏总纲!Z85</f>
        <v>2772.0704591727877</v>
      </c>
      <c r="AW85" s="11">
        <f>(信息索引!Y87-信息索引!Y86)*'[1]功能-付费相关'!BM87/节奏总纲!AA85</f>
        <v>3993.3954816855612</v>
      </c>
      <c r="AY85" s="11">
        <f>('[1]资源-武将经验'!T87*节奏总纲!BJ85-'[1]资源-武将经验'!T86*节奏总纲!BJ84)*'[1]功能-付费相关'!AZ87/节奏总纲!W85</f>
        <v>2273.7296459023155</v>
      </c>
      <c r="AZ85" s="11">
        <f>('[1]资源-武将经验'!U87*节奏总纲!BK85-'[1]资源-武将经验'!U86*节奏总纲!BK84)*'[1]功能-付费相关'!BA87/节奏总纲!X85</f>
        <v>2085.1923955837688</v>
      </c>
      <c r="BA85" s="11">
        <f>('[1]资源-武将经验'!V87*节奏总纲!BL85-'[1]资源-武将经验'!V86*节奏总纲!BL84)*'[1]功能-付费相关'!BB87/节奏总纲!Y85</f>
        <v>3875.2160210285538</v>
      </c>
      <c r="BB85" s="11">
        <f>('[1]资源-武将经验'!W87*节奏总纲!BM85-'[1]资源-武将经验'!W86*节奏总纲!BM84)*'[1]功能-付费相关'!BC87/节奏总纲!Z85</f>
        <v>10080.4510542261</v>
      </c>
      <c r="BC85" s="11">
        <f>('[1]资源-武将经验'!X87*节奏总纲!BN85-'[1]资源-武将经验'!X86*节奏总纲!BN84)*'[1]功能-付费相关'!BD87/节奏总纲!AA85</f>
        <v>14809.220618159061</v>
      </c>
      <c r="BD85" s="29"/>
      <c r="BE85" s="33" t="e">
        <f t="shared" si="6"/>
        <v>#REF!</v>
      </c>
      <c r="BF85" s="33" t="e">
        <f t="shared" si="7"/>
        <v>#REF!</v>
      </c>
      <c r="BG85" s="33" t="e">
        <f t="shared" si="8"/>
        <v>#REF!</v>
      </c>
      <c r="BH85" s="33" t="e">
        <f t="shared" si="9"/>
        <v>#REF!</v>
      </c>
      <c r="BI85" s="33" t="e">
        <f t="shared" si="10"/>
        <v>#REF!</v>
      </c>
      <c r="BJ85" s="29"/>
      <c r="BK85" s="29"/>
      <c r="BL85" s="29"/>
      <c r="BM85" s="29"/>
      <c r="BN85" s="29"/>
    </row>
    <row r="86" spans="2:66" x14ac:dyDescent="0.15">
      <c r="B86" s="5">
        <v>83</v>
      </c>
      <c r="C86" s="5">
        <f>'[1]资源-玩家城池建筑时间'!AJ88*'[1]功能-付费相关'!AH88/节奏总纲!W86</f>
        <v>3637.6688996171238</v>
      </c>
      <c r="D86" s="5">
        <f>'[1]资源-玩家城池建筑时间'!AK88*'[1]功能-付费相关'!AI88/节奏总纲!X86</f>
        <v>4585.4225257344506</v>
      </c>
      <c r="E86" s="5">
        <f>'[1]资源-玩家城池建筑时间'!AL88*'[1]功能-付费相关'!AJ88/节奏总纲!Y86</f>
        <v>6132.7346066405444</v>
      </c>
      <c r="F86" s="5">
        <f>'[1]资源-玩家城池建筑时间'!AM88*'[1]功能-付费相关'!AK88/节奏总纲!Z86</f>
        <v>9291.1596306693227</v>
      </c>
      <c r="G86" s="5">
        <f>'[1]资源-玩家城池建筑时间'!AN88*'[1]功能-付费相关'!AL88/节奏总纲!AA86</f>
        <v>18708.103474457079</v>
      </c>
      <c r="H86" s="3"/>
      <c r="I86" s="28">
        <f>'[1]资源-士兵训练时间'!AB88*'[1]功能-付费相关'!AH88/节奏总纲!W86</f>
        <v>1695.3150258138519</v>
      </c>
      <c r="J86" s="28">
        <f>'[1]资源-士兵训练时间'!AC88*'[1]功能-付费相关'!AI88/节奏总纲!X86</f>
        <v>2277.6923678120834</v>
      </c>
      <c r="K86" s="28">
        <f>'[1]资源-士兵训练时间'!AD88*'[1]功能-付费相关'!AJ88/节奏总纲!Y86</f>
        <v>3726.8372645852924</v>
      </c>
      <c r="L86" s="28">
        <f>'[1]资源-士兵训练时间'!AE88*'[1]功能-付费相关'!AK88/节奏总纲!Z86</f>
        <v>6198.8089873982826</v>
      </c>
      <c r="M86" s="28">
        <f>'[1]资源-士兵训练时间'!AF88*'[1]功能-付费相关'!AL88/节奏总纲!AA86</f>
        <v>13580.403110044139</v>
      </c>
      <c r="N86" s="34"/>
      <c r="O86" s="34">
        <f>'[1]资源-士兵招募时间'!AC88*'[1]功能-付费相关'!AH88/节奏总纲!W86</f>
        <v>1088.0834294514696</v>
      </c>
      <c r="P86" s="34">
        <f>'[1]资源-士兵招募时间'!AD88*'[1]功能-付费相关'!AI88/节奏总纲!X86</f>
        <v>1337.0277733505966</v>
      </c>
      <c r="Q86" s="34">
        <f>'[1]资源-士兵招募时间'!AE88*'[1]功能-付费相关'!AJ88/节奏总纲!Y86</f>
        <v>1546.9036894788194</v>
      </c>
      <c r="R86" s="34">
        <f>'[1]资源-士兵招募时间'!AF88*'[1]功能-付费相关'!AK88/节奏总纲!Z86</f>
        <v>1518.0289383923894</v>
      </c>
      <c r="S86" s="34">
        <f>'[1]资源-士兵招募时间'!AG88*'[1]功能-付费相关'!AL88/节奏总纲!AA86</f>
        <v>1481.0317916338472</v>
      </c>
      <c r="T86" s="34"/>
      <c r="U86" s="5">
        <f>('[1]资源-木石铜粮'!U88-'[1]资源-木石铜粮'!U87)*'[1]功能-付费相关'!S88/节奏总纲!W86</f>
        <v>2154.4292913104446</v>
      </c>
      <c r="V86" s="5">
        <f>('[1]资源-木石铜粮'!V88-'[1]资源-木石铜粮'!V87)*'[1]功能-付费相关'!T88/节奏总纲!X86</f>
        <v>3033.9466467775496</v>
      </c>
      <c r="W86" s="5">
        <f>('[1]资源-木石铜粮'!W88-'[1]资源-木石铜粮'!W87)*'[1]功能-付费相关'!U88/节奏总纲!Y86</f>
        <v>4044.0550321290348</v>
      </c>
      <c r="X86" s="5">
        <f>('[1]资源-木石铜粮'!X88-'[1]资源-木石铜粮'!X87)*'[1]功能-付费相关'!V88/节奏总纲!Z86</f>
        <v>4403.7497119122527</v>
      </c>
      <c r="Y86" s="5">
        <f>('[1]资源-木石铜粮'!Y88-'[1]资源-木石铜粮'!Y87)*'[1]功能-付费相关'!W88/节奏总纲!AA86</f>
        <v>7686.587388239338</v>
      </c>
      <c r="Z86" s="3"/>
      <c r="AA86" s="11">
        <f>('[1]资源-铁'!T88-'[1]资源-铁'!T87)*'[1]功能-付费相关'!X88/节奏总纲!W86</f>
        <v>2015.3417764691599</v>
      </c>
      <c r="AB86" s="11">
        <f>('[1]资源-铁'!U88-'[1]资源-铁'!U87)*'[1]功能-付费相关'!Y88/节奏总纲!X86</f>
        <v>2639.5350496585038</v>
      </c>
      <c r="AC86" s="11">
        <f>('[1]资源-铁'!V88-'[1]资源-铁'!V87)*'[1]功能-付费相关'!Z88/节奏总纲!Y86</f>
        <v>3794.3763111489598</v>
      </c>
      <c r="AD86" s="11">
        <f>('[1]资源-铁'!W88-'[1]资源-铁'!W87)*'[1]功能-付费相关'!AA88/节奏总纲!Z86</f>
        <v>5522.2481175891589</v>
      </c>
      <c r="AE86" s="11">
        <f>('[1]资源-铁'!X88-'[1]资源-铁'!X87)*'[1]功能-付费相关'!AB88/节奏总纲!AA86</f>
        <v>11797.27072734459</v>
      </c>
      <c r="AG86" s="11">
        <f>('[1]资源-银币'!Y88-'[1]资源-银币'!Y87)*'[1]功能-付费相关'!AQ88/节奏总纲!W86</f>
        <v>1122.0205385536028</v>
      </c>
      <c r="AH86" s="11">
        <f>('[1]资源-银币'!Z88-'[1]资源-银币'!Z87)*'[1]功能-付费相关'!AR88/节奏总纲!X86</f>
        <v>1515.679805601656</v>
      </c>
      <c r="AI86" s="11">
        <f>('[1]资源-银币'!AA88-'[1]资源-银币'!AA87)*'[1]功能-付费相关'!AS88/节奏总纲!Y86</f>
        <v>2241.0467560351381</v>
      </c>
      <c r="AJ86" s="11">
        <f>('[1]资源-银币'!AB88-'[1]资源-银币'!AB87)*'[1]功能-付费相关'!AT88/节奏总纲!Z86</f>
        <v>2768.6484384716946</v>
      </c>
      <c r="AK86" s="11">
        <f>('[1]资源-银币'!AC88-'[1]资源-银币'!AC87)*'[1]功能-付费相关'!AU88/节奏总纲!AA86</f>
        <v>5758.7258501875276</v>
      </c>
      <c r="AM86" s="11" t="e">
        <f>(#REF!-#REF!)*'[1]功能-付费相关'!CA88/节奏总纲!W86</f>
        <v>#REF!</v>
      </c>
      <c r="AN86" s="11" t="e">
        <f>(#REF!-#REF!)*'[1]功能-付费相关'!CB88/节奏总纲!X86</f>
        <v>#REF!</v>
      </c>
      <c r="AO86" s="11" t="e">
        <f>(#REF!-#REF!)*'[1]功能-付费相关'!CC88/节奏总纲!Y86</f>
        <v>#REF!</v>
      </c>
      <c r="AP86" s="11" t="e">
        <f>(#REF!-#REF!)*'[1]功能-付费相关'!CD88/节奏总纲!Z86</f>
        <v>#REF!</v>
      </c>
      <c r="AQ86" s="11" t="e">
        <f>(#REF!-#REF!)*'[1]功能-付费相关'!CE88/节奏总纲!AA86</f>
        <v>#REF!</v>
      </c>
      <c r="AR86" s="21"/>
      <c r="AS86" s="11">
        <f>(信息索引!U88-信息索引!U87)*'[1]功能-付费相关'!BI88/节奏总纲!W86</f>
        <v>966.05689060753571</v>
      </c>
      <c r="AT86" s="11">
        <f>(信息索引!V88-信息索引!V87)*'[1]功能-付费相关'!BJ88/节奏总纲!X86</f>
        <v>1468.3417408409634</v>
      </c>
      <c r="AU86" s="11">
        <f>(信息索引!W88-信息索引!W87)*'[1]功能-付费相关'!BK88/节奏总纲!Y86</f>
        <v>2083.194631184273</v>
      </c>
      <c r="AV86" s="11">
        <f>(信息索引!X88-信息索引!X87)*'[1]功能-付费相关'!BL88/节奏总纲!Z86</f>
        <v>2276.4417965770022</v>
      </c>
      <c r="AW86" s="11">
        <f>(信息索引!Y88-信息索引!Y87)*'[1]功能-付费相关'!BM88/节奏总纲!AA86</f>
        <v>4753.8827657313004</v>
      </c>
      <c r="AY86" s="11">
        <f>('[1]资源-武将经验'!T88*节奏总纲!BJ86-'[1]资源-武将经验'!T87*节奏总纲!BJ85)*'[1]功能-付费相关'!AZ88/节奏总纲!W86</f>
        <v>2443.5222441710603</v>
      </c>
      <c r="AZ86" s="11">
        <f>('[1]资源-武将经验'!U88*节奏总纲!BK86-'[1]资源-武将经验'!U87*节奏总纲!BK85)*'[1]功能-付费相关'!BA88/节奏总纲!X86</f>
        <v>3889.4416996874156</v>
      </c>
      <c r="BA86" s="11">
        <f>('[1]资源-武将经验'!V88*节奏总纲!BL86-'[1]资源-武将经验'!V87*节奏总纲!BL85)*'[1]功能-付费相关'!BB88/节奏总纲!Y86</f>
        <v>5375.6277294342708</v>
      </c>
      <c r="BB86" s="11">
        <f>('[1]资源-武将经验'!W88*节奏总纲!BM86-'[1]资源-武将经验'!W87*节奏总纲!BM85)*'[1]功能-付费相关'!BC88/节奏总纲!Z86</f>
        <v>10270.465518777897</v>
      </c>
      <c r="BC86" s="11">
        <f>('[1]资源-武将经验'!X88*节奏总纲!BN86-'[1]资源-武将经验'!X87*节奏总纲!BN85)*'[1]功能-付费相关'!BD88/节奏总纲!AA86</f>
        <v>21548.473226243565</v>
      </c>
      <c r="BD86" s="29"/>
      <c r="BE86" s="33" t="e">
        <f t="shared" si="6"/>
        <v>#REF!</v>
      </c>
      <c r="BF86" s="33" t="e">
        <f t="shared" si="7"/>
        <v>#REF!</v>
      </c>
      <c r="BG86" s="33" t="e">
        <f t="shared" si="8"/>
        <v>#REF!</v>
      </c>
      <c r="BH86" s="33" t="e">
        <f t="shared" si="9"/>
        <v>#REF!</v>
      </c>
      <c r="BI86" s="33" t="e">
        <f t="shared" si="10"/>
        <v>#REF!</v>
      </c>
      <c r="BJ86" s="29"/>
      <c r="BK86" s="29"/>
      <c r="BL86" s="29"/>
      <c r="BM86" s="29"/>
      <c r="BN86" s="29"/>
    </row>
    <row r="87" spans="2:66" x14ac:dyDescent="0.15">
      <c r="B87" s="5">
        <v>84</v>
      </c>
      <c r="C87" s="5">
        <f>'[1]资源-玩家城池建筑时间'!AJ89*'[1]功能-付费相关'!AH89/节奏总纲!W87</f>
        <v>3657.9578807456328</v>
      </c>
      <c r="D87" s="5">
        <f>'[1]资源-玩家城池建筑时间'!AK89*'[1]功能-付费相关'!AI89/节奏总纲!X87</f>
        <v>4599.550954980411</v>
      </c>
      <c r="E87" s="5">
        <f>'[1]资源-玩家城池建筑时间'!AL89*'[1]功能-付费相关'!AJ89/节奏总纲!Y87</f>
        <v>6165.1894082135668</v>
      </c>
      <c r="F87" s="5">
        <f>'[1]资源-玩家城池建筑时间'!AM89*'[1]功能-付费相关'!AK89/节奏总纲!Z87</f>
        <v>9318.6351396634946</v>
      </c>
      <c r="G87" s="5">
        <f>'[1]资源-玩家城池建筑时间'!AN89*'[1]功能-付费相关'!AL89/节奏总纲!AA87</f>
        <v>18873.315564515007</v>
      </c>
      <c r="H87" s="3"/>
      <c r="I87" s="28">
        <f>'[1]资源-士兵训练时间'!AB89*'[1]功能-付费相关'!AH89/节奏总纲!W87</f>
        <v>1686.4987472756932</v>
      </c>
      <c r="J87" s="28">
        <f>'[1]资源-士兵训练时间'!AC89*'[1]功能-付费相关'!AI89/节奏总纲!X87</f>
        <v>2271.0414581066666</v>
      </c>
      <c r="K87" s="28">
        <f>'[1]资源-士兵训练时间'!AD89*'[1]功能-付费相关'!AJ89/节奏总纲!Y87</f>
        <v>3698.5616623032738</v>
      </c>
      <c r="L87" s="28">
        <f>'[1]资源-士兵训练时间'!AE89*'[1]功能-付费相关'!AK89/节奏总纲!Z87</f>
        <v>6171.8793084892714</v>
      </c>
      <c r="M87" s="28">
        <f>'[1]资源-士兵训练时间'!AF89*'[1]功能-付费相关'!AL89/节奏总纲!AA87</f>
        <v>13265.79768357369</v>
      </c>
      <c r="N87" s="34"/>
      <c r="O87" s="34">
        <f>'[1]资源-士兵招募时间'!AC89*'[1]功能-付费相关'!AH89/节奏总纲!W87</f>
        <v>1097.3522785056643</v>
      </c>
      <c r="P87" s="34">
        <f>'[1]资源-士兵招募时间'!AD89*'[1]功能-付费相关'!AI89/节奏总纲!X87</f>
        <v>1346.4277476382929</v>
      </c>
      <c r="Q87" s="34">
        <f>'[1]资源-士兵招募时间'!AE89*'[1]功能-付费相关'!AJ89/节奏总纲!Y87</f>
        <v>1559.1106186984766</v>
      </c>
      <c r="R87" s="34">
        <f>'[1]资源-士兵招募时间'!AF89*'[1]功能-付费相关'!AK89/节奏总纲!Z87</f>
        <v>1532.6895154708761</v>
      </c>
      <c r="S87" s="34">
        <f>'[1]资源-士兵招募时间'!AG89*'[1]功能-付费相关'!AL89/节奏总纲!AA87</f>
        <v>1418.1377999673041</v>
      </c>
      <c r="T87" s="34"/>
      <c r="U87" s="5">
        <f>('[1]资源-木石铜粮'!U89-'[1]资源-木石铜粮'!U88)*'[1]功能-付费相关'!S89/节奏总纲!W87</f>
        <v>2190.8588493105967</v>
      </c>
      <c r="V87" s="5">
        <f>('[1]资源-木石铜粮'!V89-'[1]资源-木石铜粮'!V88)*'[1]功能-付费相关'!T89/节奏总纲!X87</f>
        <v>2922.6836202839017</v>
      </c>
      <c r="W87" s="5">
        <f>('[1]资源-木石铜粮'!W89-'[1]资源-木石铜粮'!W88)*'[1]功能-付费相关'!U89/节奏总纲!Y87</f>
        <v>3419.997985889906</v>
      </c>
      <c r="X87" s="5">
        <f>('[1]资源-木石铜粮'!X89-'[1]资源-木石铜粮'!X88)*'[1]功能-付费相关'!V89/节奏总纲!Z87</f>
        <v>3870.3817368548666</v>
      </c>
      <c r="Y87" s="5">
        <f>('[1]资源-木石铜粮'!Y89-'[1]资源-木石铜粮'!Y88)*'[1]功能-付费相关'!W89/节奏总纲!AA87</f>
        <v>8224.5173468739431</v>
      </c>
      <c r="Z87" s="3"/>
      <c r="AA87" s="11">
        <f>('[1]资源-铁'!T89-'[1]资源-铁'!T88)*'[1]功能-付费相关'!X89/节奏总纲!W87</f>
        <v>2031.4436236282622</v>
      </c>
      <c r="AB87" s="11">
        <f>('[1]资源-铁'!U89-'[1]资源-铁'!U88)*'[1]功能-付费相关'!Y89/节奏总纲!X87</f>
        <v>2636.4399693039163</v>
      </c>
      <c r="AC87" s="11">
        <f>('[1]资源-铁'!V89-'[1]资源-铁'!V88)*'[1]功能-付费相关'!Z89/节奏总纲!Y87</f>
        <v>3853.3384343032158</v>
      </c>
      <c r="AD87" s="11">
        <f>('[1]资源-铁'!W89-'[1]资源-铁'!W88)*'[1]功能-付费相关'!AA89/节奏总纲!Z87</f>
        <v>5529.9008376579186</v>
      </c>
      <c r="AE87" s="11">
        <f>('[1]资源-铁'!X89-'[1]资源-铁'!X88)*'[1]功能-付费相关'!AB89/节奏总纲!AA87</f>
        <v>12883.831093264693</v>
      </c>
      <c r="AG87" s="11">
        <f>('[1]资源-银币'!Y89-'[1]资源-银币'!Y88)*'[1]功能-付费相关'!AQ89/节奏总纲!W87</f>
        <v>1044.123993468836</v>
      </c>
      <c r="AH87" s="11">
        <f>('[1]资源-银币'!Z89-'[1]资源-银币'!Z88)*'[1]功能-付费相关'!AR89/节奏总纲!X87</f>
        <v>1367.8175656616841</v>
      </c>
      <c r="AI87" s="11">
        <f>('[1]资源-银币'!AA89-'[1]资源-银币'!AA88)*'[1]功能-付费相关'!AS89/节奏总纲!Y87</f>
        <v>1758.4217236749289</v>
      </c>
      <c r="AJ87" s="11">
        <f>('[1]资源-银币'!AB89-'[1]资源-银币'!AB88)*'[1]功能-付费相关'!AT89/节奏总纲!Z87</f>
        <v>2195.2071515098164</v>
      </c>
      <c r="AK87" s="11">
        <f>('[1]资源-银币'!AC89-'[1]资源-银币'!AC88)*'[1]功能-付费相关'!AU89/节奏总纲!AA87</f>
        <v>5179.7281342319511</v>
      </c>
      <c r="AM87" s="11" t="e">
        <f>(#REF!-#REF!)*'[1]功能-付费相关'!CA89/节奏总纲!W87</f>
        <v>#REF!</v>
      </c>
      <c r="AN87" s="11" t="e">
        <f>(#REF!-#REF!)*'[1]功能-付费相关'!CB89/节奏总纲!X87</f>
        <v>#REF!</v>
      </c>
      <c r="AO87" s="11" t="e">
        <f>(#REF!-#REF!)*'[1]功能-付费相关'!CC89/节奏总纲!Y87</f>
        <v>#REF!</v>
      </c>
      <c r="AP87" s="11" t="e">
        <f>(#REF!-#REF!)*'[1]功能-付费相关'!CD89/节奏总纲!Z87</f>
        <v>#REF!</v>
      </c>
      <c r="AQ87" s="11" t="e">
        <f>(#REF!-#REF!)*'[1]功能-付费相关'!CE89/节奏总纲!AA87</f>
        <v>#REF!</v>
      </c>
      <c r="AR87" s="21"/>
      <c r="AS87" s="11">
        <f>(信息索引!U89-信息索引!U88)*'[1]功能-付费相关'!BI89/节奏总纲!W87</f>
        <v>872.86475410941114</v>
      </c>
      <c r="AT87" s="11">
        <f>(信息索引!V89-信息索引!V88)*'[1]功能-付费相关'!BJ89/节奏总纲!X87</f>
        <v>1221.7894718369125</v>
      </c>
      <c r="AU87" s="11">
        <f>(信息索引!W89-信息索引!W88)*'[1]功能-付费相关'!BK89/节奏总纲!Y87</f>
        <v>1382.8524170813498</v>
      </c>
      <c r="AV87" s="11">
        <f>(信息索引!X89-信息索引!X88)*'[1]功能-付费相关'!BL89/节奏总纲!Z87</f>
        <v>1573.0962272311278</v>
      </c>
      <c r="AW87" s="11">
        <f>(信息索引!Y89-信息索引!Y88)*'[1]功能-付费相关'!BM89/节奏总纲!AA87</f>
        <v>4295.2922873573825</v>
      </c>
      <c r="AY87" s="11">
        <f>('[1]资源-武将经验'!T89*节奏总纲!BJ87-'[1]资源-武将经验'!T88*节奏总纲!BJ86)*'[1]功能-付费相关'!AZ89/节奏总纲!W87</f>
        <v>2379.2668430897079</v>
      </c>
      <c r="AZ87" s="11">
        <f>('[1]资源-武将经验'!U89*节奏总纲!BK87-'[1]资源-武将经验'!U88*节奏总纲!BK86)*'[1]功能-付费相关'!BA89/节奏总纲!X87</f>
        <v>3238.5921610629343</v>
      </c>
      <c r="BA87" s="11">
        <f>('[1]资源-武将经验'!V89*节奏总纲!BL87-'[1]资源-武将经验'!V88*节奏总纲!BL86)*'[1]功能-付费相关'!BB89/节奏总纲!Y87</f>
        <v>3786.2192414780661</v>
      </c>
      <c r="BB87" s="11">
        <f>('[1]资源-武将经验'!W89*节奏总纲!BM87-'[1]资源-武将经验'!W88*节奏总纲!BM86)*'[1]功能-付费相关'!BC89/节奏总纲!Z87</f>
        <v>5723.2581536614862</v>
      </c>
      <c r="BC87" s="11">
        <f>('[1]资源-武将经验'!X89*节奏总纲!BN87-'[1]资源-武将经验'!X88*节奏总纲!BN86)*'[1]功能-付费相关'!BD89/节奏总纲!AA87</f>
        <v>12913.504888514299</v>
      </c>
      <c r="BD87" s="29"/>
      <c r="BE87" s="33" t="e">
        <f t="shared" si="6"/>
        <v>#REF!</v>
      </c>
      <c r="BF87" s="33" t="e">
        <f t="shared" si="7"/>
        <v>#REF!</v>
      </c>
      <c r="BG87" s="33" t="e">
        <f t="shared" si="8"/>
        <v>#REF!</v>
      </c>
      <c r="BH87" s="33" t="e">
        <f t="shared" si="9"/>
        <v>#REF!</v>
      </c>
      <c r="BI87" s="33" t="e">
        <f t="shared" si="10"/>
        <v>#REF!</v>
      </c>
      <c r="BJ87" s="29"/>
      <c r="BK87" s="29"/>
      <c r="BL87" s="29"/>
      <c r="BM87" s="29"/>
      <c r="BN87" s="29"/>
    </row>
    <row r="88" spans="2:66" x14ac:dyDescent="0.15">
      <c r="B88" s="5">
        <v>85</v>
      </c>
      <c r="C88" s="5">
        <f>'[1]资源-玩家城池建筑时间'!AJ90*'[1]功能-付费相关'!AH90/节奏总纲!W88</f>
        <v>3679.6407639843283</v>
      </c>
      <c r="D88" s="5">
        <f>'[1]资源-玩家城池建筑时间'!AK90*'[1]功能-付费相关'!AI90/节奏总纲!X88</f>
        <v>4621.2666872532836</v>
      </c>
      <c r="E88" s="5">
        <f>'[1]资源-玩家城池建筑时间'!AL90*'[1]功能-付费相关'!AJ90/节奏总纲!Y88</f>
        <v>6212.4234264423212</v>
      </c>
      <c r="F88" s="5">
        <f>'[1]资源-玩家城池建筑时间'!AM90*'[1]功能-付费相关'!AK90/节奏总纲!Z88</f>
        <v>9422.0420717980269</v>
      </c>
      <c r="G88" s="5">
        <f>'[1]资源-玩家城池建筑时间'!AN90*'[1]功能-付费相关'!AL90/节奏总纲!AA88</f>
        <v>18917.322663986459</v>
      </c>
      <c r="H88" s="3"/>
      <c r="I88" s="28">
        <f>'[1]资源-士兵训练时间'!AB90*'[1]功能-付费相关'!AH90/节奏总纲!W88</f>
        <v>1677.0767690633872</v>
      </c>
      <c r="J88" s="28">
        <f>'[1]资源-士兵训练时间'!AC90*'[1]功能-付费相关'!AI90/节奏总纲!X88</f>
        <v>2255.6694447021487</v>
      </c>
      <c r="K88" s="28">
        <f>'[1]资源-士兵训练时间'!AD90*'[1]功能-付费相关'!AJ90/节奏总纲!Y88</f>
        <v>3657.4099605862393</v>
      </c>
      <c r="L88" s="28">
        <f>'[1]资源-士兵训练时间'!AE90*'[1]功能-付费相关'!AK90/节奏总纲!Z88</f>
        <v>5994.6577517889436</v>
      </c>
      <c r="M88" s="28">
        <f>'[1]资源-士兵训练时间'!AF90*'[1]功能-付费相关'!AL90/节奏总纲!AA88</f>
        <v>10835.02732574217</v>
      </c>
      <c r="N88" s="34"/>
      <c r="O88" s="34">
        <f>'[1]资源-士兵招募时间'!AC90*'[1]功能-付费相关'!AH90/节奏总纲!W88</f>
        <v>1103.7805613240232</v>
      </c>
      <c r="P88" s="34">
        <f>'[1]资源-士兵招募时间'!AD90*'[1]功能-付费相关'!AI90/节奏总纲!X88</f>
        <v>1355.3266416177585</v>
      </c>
      <c r="Q88" s="34">
        <f>'[1]资源-士兵招募时间'!AE90*'[1]功能-付费相关'!AJ90/节奏总纲!Y88</f>
        <v>1574.0525245884116</v>
      </c>
      <c r="R88" s="34">
        <f>'[1]资源-士兵招募时间'!AF90*'[1]功能-付费相关'!AK90/节奏总纲!Z88</f>
        <v>1543.4143336138732</v>
      </c>
      <c r="S88" s="34">
        <f>'[1]资源-士兵招募时间'!AG90*'[1]功能-付费相关'!AL90/节奏总纲!AA88</f>
        <v>1387.0537232357642</v>
      </c>
      <c r="T88" s="34"/>
      <c r="U88" s="5">
        <f>('[1]资源-木石铜粮'!U90-'[1]资源-木石铜粮'!U89)*'[1]功能-付费相关'!S90/节奏总纲!W88</f>
        <v>2233.0634392674656</v>
      </c>
      <c r="V88" s="5">
        <f>('[1]资源-木石铜粮'!V90-'[1]资源-木石铜粮'!V89)*'[1]功能-付费相关'!T90/节奏总纲!X88</f>
        <v>2557.0626454152266</v>
      </c>
      <c r="W88" s="5">
        <f>('[1]资源-木石铜粮'!W90-'[1]资源-木石铜粮'!W89)*'[1]功能-付费相关'!U90/节奏总纲!Y88</f>
        <v>2858.9704890023781</v>
      </c>
      <c r="X88" s="5">
        <f>('[1]资源-木石铜粮'!X90-'[1]资源-木石铜粮'!X89)*'[1]功能-付费相关'!V90/节奏总纲!Z88</f>
        <v>4231.7803979282044</v>
      </c>
      <c r="Y88" s="5">
        <f>('[1]资源-木石铜粮'!Y90-'[1]资源-木石铜粮'!Y89)*'[1]功能-付费相关'!W90/节奏总纲!AA88</f>
        <v>8319.7080159697562</v>
      </c>
      <c r="Z88" s="3"/>
      <c r="AA88" s="11">
        <f>('[1]资源-铁'!T90-'[1]资源-铁'!T89)*'[1]功能-付费相关'!X90/节奏总纲!W88</f>
        <v>2070.0916805737857</v>
      </c>
      <c r="AB88" s="11">
        <f>('[1]资源-铁'!U90-'[1]资源-铁'!U89)*'[1]功能-付费相关'!Y90/节奏总纲!X88</f>
        <v>2699.2025163361186</v>
      </c>
      <c r="AC88" s="11">
        <f>('[1]资源-铁'!V90-'[1]资源-铁'!V89)*'[1]功能-付费相关'!Z90/节奏总纲!Y88</f>
        <v>4000.431220092491</v>
      </c>
      <c r="AD88" s="11">
        <f>('[1]资源-铁'!W90-'[1]资源-铁'!W89)*'[1]功能-付费相关'!AA90/节奏总纲!Z88</f>
        <v>6207.0673684202984</v>
      </c>
      <c r="AE88" s="11">
        <f>('[1]资源-铁'!X90-'[1]资源-铁'!X89)*'[1]功能-付费相关'!AB90/节奏总纲!AA88</f>
        <v>12067.532283275312</v>
      </c>
      <c r="AG88" s="11">
        <f>('[1]资源-银币'!Y90-'[1]资源-银币'!Y89)*'[1]功能-付费相关'!AQ90/节奏总纲!W88</f>
        <v>643.96958349347869</v>
      </c>
      <c r="AH88" s="11">
        <f>('[1]资源-银币'!Z90-'[1]资源-银币'!Z89)*'[1]功能-付费相关'!AR90/节奏总纲!X88</f>
        <v>749.15489531464118</v>
      </c>
      <c r="AI88" s="11">
        <f>('[1]资源-银币'!AA90-'[1]资源-银币'!AA89)*'[1]功能-付费相关'!AS90/节奏总纲!Y88</f>
        <v>1077.1519002244693</v>
      </c>
      <c r="AJ88" s="11">
        <f>('[1]资源-银币'!AB90-'[1]资源-银币'!AB89)*'[1]功能-付费相关'!AT90/节奏总纲!Z88</f>
        <v>1790.4608330235938</v>
      </c>
      <c r="AK88" s="11">
        <f>('[1]资源-银币'!AC90-'[1]资源-银币'!AC89)*'[1]功能-付费相关'!AU90/节奏总纲!AA88</f>
        <v>4126.1396210171315</v>
      </c>
      <c r="AM88" s="11" t="e">
        <f>(#REF!-#REF!)*'[1]功能-付费相关'!CA90/节奏总纲!W88</f>
        <v>#REF!</v>
      </c>
      <c r="AN88" s="11" t="e">
        <f>(#REF!-#REF!)*'[1]功能-付费相关'!CB90/节奏总纲!X88</f>
        <v>#REF!</v>
      </c>
      <c r="AO88" s="11" t="e">
        <f>(#REF!-#REF!)*'[1]功能-付费相关'!CC90/节奏总纲!Y88</f>
        <v>#REF!</v>
      </c>
      <c r="AP88" s="11" t="e">
        <f>(#REF!-#REF!)*'[1]功能-付费相关'!CD90/节奏总纲!Z88</f>
        <v>#REF!</v>
      </c>
      <c r="AQ88" s="11" t="e">
        <f>(#REF!-#REF!)*'[1]功能-付费相关'!CE90/节奏总纲!AA88</f>
        <v>#REF!</v>
      </c>
      <c r="AR88" s="21"/>
      <c r="AS88" s="11">
        <f>(信息索引!U90-信息索引!U89)*'[1]功能-付费相关'!BI90/节奏总纲!W88</f>
        <v>788.44718045018249</v>
      </c>
      <c r="AT88" s="11">
        <f>(信息索引!V90-信息索引!V89)*'[1]功能-付费相关'!BJ90/节奏总纲!X88</f>
        <v>844.77924030466625</v>
      </c>
      <c r="AU88" s="11">
        <f>(信息索引!W90-信息索引!W89)*'[1]功能-付费相关'!BK90/节奏总纲!Y88</f>
        <v>836.12722916089274</v>
      </c>
      <c r="AV88" s="11">
        <f>(信息索引!X90-信息索引!X89)*'[1]功能-付费相关'!BL90/节奏总纲!Z88</f>
        <v>1435.4036063784824</v>
      </c>
      <c r="AW88" s="11">
        <f>(信息索引!Y90-信息索引!Y89)*'[1]功能-付费相关'!BM90/节奏总纲!AA88</f>
        <v>3839.684831947342</v>
      </c>
      <c r="AY88" s="11">
        <f>('[1]资源-武将经验'!T90*节奏总纲!BJ88-'[1]资源-武将经验'!T89*节奏总纲!BJ87)*'[1]功能-付费相关'!AZ90/节奏总纲!W88</f>
        <v>411.28070469929037</v>
      </c>
      <c r="AZ88" s="11">
        <f>('[1]资源-武将经验'!U90*节奏总纲!BK88-'[1]资源-武将经验'!U89*节奏总纲!BK87)*'[1]功能-付费相关'!BA90/节奏总纲!X88</f>
        <v>290.00609441438183</v>
      </c>
      <c r="BA88" s="11">
        <f>('[1]资源-武将经验'!V90*节奏总纲!BL88-'[1]资源-武将经验'!V89*节奏总纲!BL87)*'[1]功能-付费相关'!BB90/节奏总纲!Y88</f>
        <v>611.32777098947633</v>
      </c>
      <c r="BB88" s="11">
        <f>('[1]资源-武将经验'!W90*节奏总纲!BM88-'[1]资源-武将经验'!W89*节奏总纲!BM87)*'[1]功能-付费相关'!BC90/节奏总纲!Z88</f>
        <v>451.81840045471444</v>
      </c>
      <c r="BC88" s="11">
        <f>('[1]资源-武将经验'!X90*节奏总纲!BN88-'[1]资源-武将经验'!X89*节奏总纲!BN87)*'[1]功能-付费相关'!BD90/节奏总纲!AA88</f>
        <v>1187.4269727533842</v>
      </c>
      <c r="BD88" s="29"/>
      <c r="BE88" s="33" t="e">
        <f t="shared" si="6"/>
        <v>#REF!</v>
      </c>
      <c r="BF88" s="33" t="e">
        <f t="shared" si="7"/>
        <v>#REF!</v>
      </c>
      <c r="BG88" s="33" t="e">
        <f t="shared" si="8"/>
        <v>#REF!</v>
      </c>
      <c r="BH88" s="33" t="e">
        <f t="shared" si="9"/>
        <v>#REF!</v>
      </c>
      <c r="BI88" s="33" t="e">
        <f t="shared" si="10"/>
        <v>#REF!</v>
      </c>
      <c r="BJ88" s="29"/>
      <c r="BK88" s="29"/>
      <c r="BL88" s="29"/>
      <c r="BM88" s="29"/>
      <c r="BN88" s="29"/>
    </row>
    <row r="89" spans="2:66" x14ac:dyDescent="0.15">
      <c r="B89" s="5">
        <v>86</v>
      </c>
      <c r="C89" s="5">
        <f>'[1]资源-玩家城池建筑时间'!AJ91*'[1]功能-付费相关'!AH91/节奏总纲!W89</f>
        <v>3696.6688373933775</v>
      </c>
      <c r="D89" s="5">
        <f>'[1]资源-玩家城池建筑时间'!AK91*'[1]功能-付费相关'!AI91/节奏总纲!X89</f>
        <v>4659.3175698317427</v>
      </c>
      <c r="E89" s="5">
        <f>'[1]资源-玩家城池建筑时间'!AL91*'[1]功能-付费相关'!AJ91/节奏总纲!Y89</f>
        <v>6270.4073041922011</v>
      </c>
      <c r="F89" s="5">
        <f>'[1]资源-玩家城池建筑时间'!AM91*'[1]功能-付费相关'!AK91/节奏总纲!Z89</f>
        <v>9436.6577822574909</v>
      </c>
      <c r="G89" s="5">
        <f>'[1]资源-玩家城池建筑时间'!AN91*'[1]功能-付费相关'!AL91/节奏总纲!AA89</f>
        <v>19113.481928379533</v>
      </c>
      <c r="H89" s="3"/>
      <c r="I89" s="28">
        <f>'[1]资源-士兵训练时间'!AB91*'[1]功能-付费相关'!AH91/节奏总纲!W89</f>
        <v>1665.9502405990145</v>
      </c>
      <c r="J89" s="28">
        <f>'[1]资源-士兵训练时间'!AC91*'[1]功能-付费相关'!AI91/节奏总纲!X89</f>
        <v>2228.7341947322407</v>
      </c>
      <c r="K89" s="28">
        <f>'[1]资源-士兵训练时间'!AD91*'[1]功能-付费相关'!AJ91/节奏总纲!Y89</f>
        <v>3569.0772358732988</v>
      </c>
      <c r="L89" s="28">
        <f>'[1]资源-士兵训练时间'!AE91*'[1]功能-付费相关'!AK91/节奏总纲!Z89</f>
        <v>5969.608957608164</v>
      </c>
      <c r="M89" s="28">
        <f>'[1]资源-士兵训练时间'!AF91*'[1]功能-付费相关'!AL91/节奏总纲!AA89</f>
        <v>0</v>
      </c>
      <c r="N89" s="34"/>
      <c r="O89" s="34">
        <f>'[1]资源-士兵招募时间'!AC91*'[1]功能-付费相关'!AH91/节奏总纲!W89</f>
        <v>1110.2069333484485</v>
      </c>
      <c r="P89" s="34">
        <f>'[1]资源-士兵招募时间'!AD91*'[1]功能-付费相关'!AI91/节奏总纲!X89</f>
        <v>1365.9388006906715</v>
      </c>
      <c r="Q89" s="34">
        <f>'[1]资源-士兵招募时间'!AE91*'[1]功能-付费相关'!AJ91/节奏总纲!Y89</f>
        <v>1585.0571762516568</v>
      </c>
      <c r="R89" s="34">
        <f>'[1]资源-士兵招募时间'!AF91*'[1]功能-付费相关'!AK91/节奏总纲!Z89</f>
        <v>1554.5923103420057</v>
      </c>
      <c r="S89" s="34">
        <f>'[1]资源-士兵招募时间'!AG91*'[1]功能-付费相关'!AL91/节奏总纲!AA89</f>
        <v>1379.4815884356665</v>
      </c>
      <c r="T89" s="34"/>
      <c r="U89" s="5">
        <f>('[1]资源-木石铜粮'!U91-'[1]资源-木石铜粮'!U90)*'[1]功能-付费相关'!S91/节奏总纲!W89</f>
        <v>2260.7500474642147</v>
      </c>
      <c r="V89" s="5">
        <f>('[1]资源-木石铜粮'!V91-'[1]资源-木石铜粮'!V90)*'[1]功能-付费相关'!T91/节奏总纲!X89</f>
        <v>2431.610774485081</v>
      </c>
      <c r="W89" s="5">
        <f>('[1]资源-木石铜粮'!W91-'[1]资源-木石铜粮'!W90)*'[1]功能-付费相关'!U91/节奏总纲!Y89</f>
        <v>3315.741548149249</v>
      </c>
      <c r="X89" s="5">
        <f>('[1]资源-木石铜粮'!X91-'[1]资源-木石铜粮'!X90)*'[1]功能-付费相关'!V91/节奏总纲!Z89</f>
        <v>4594.1642243096285</v>
      </c>
      <c r="Y89" s="5">
        <f>('[1]资源-木石铜粮'!Y91-'[1]资源-木石铜粮'!Y90)*'[1]功能-付费相关'!W91/节奏总纲!AA89</f>
        <v>12033.58380931809</v>
      </c>
      <c r="Z89" s="3"/>
      <c r="AA89" s="11">
        <f>('[1]资源-铁'!T91-'[1]资源-铁'!T90)*'[1]功能-付费相关'!X91/节奏总纲!W89</f>
        <v>2118.7047376603473</v>
      </c>
      <c r="AB89" s="11">
        <f>('[1]资源-铁'!U91-'[1]资源-铁'!U90)*'[1]功能-付费相关'!Y91/节奏总纲!X89</f>
        <v>2815.4442756820272</v>
      </c>
      <c r="AC89" s="11">
        <f>('[1]资源-铁'!V91-'[1]资源-铁'!V90)*'[1]功能-付费相关'!Z91/节奏总纲!Y89</f>
        <v>4419.9450567461372</v>
      </c>
      <c r="AD89" s="11">
        <f>('[1]资源-铁'!W91-'[1]资源-铁'!W90)*'[1]功能-付费相关'!AA91/节奏总纲!Z89</f>
        <v>6304.8287882538143</v>
      </c>
      <c r="AE89" s="11">
        <f>('[1]资源-铁'!X91-'[1]资源-铁'!X90)*'[1]功能-付费相关'!AB91/节奏总纲!AA89</f>
        <v>8410.5517224260293</v>
      </c>
      <c r="AG89" s="11">
        <f>('[1]资源-银币'!Y91-'[1]资源-银币'!Y90)*'[1]功能-付费相关'!AQ91/节奏总纲!W89</f>
        <v>567.5760468333051</v>
      </c>
      <c r="AH89" s="11">
        <f>('[1]资源-银币'!Z91-'[1]资源-银币'!Z90)*'[1]功能-付费相关'!AR91/节奏总纲!X89</f>
        <v>657.40794777669009</v>
      </c>
      <c r="AI89" s="11">
        <f>('[1]资源-银币'!AA91-'[1]资源-银币'!AA90)*'[1]功能-付费相关'!AS91/节奏总纲!Y89</f>
        <v>1080.2653673540594</v>
      </c>
      <c r="AJ89" s="11">
        <f>('[1]资源-银币'!AB91-'[1]资源-银币'!AB90)*'[1]功能-付费相关'!AT91/节奏总纲!Z89</f>
        <v>1833.389396841952</v>
      </c>
      <c r="AK89" s="11">
        <f>('[1]资源-银币'!AC91-'[1]资源-银币'!AC90)*'[1]功能-付费相关'!AU91/节奏总纲!AA89</f>
        <v>4759.4599865845594</v>
      </c>
      <c r="AM89" s="11" t="e">
        <f>(#REF!-#REF!)*'[1]功能-付费相关'!CA91/节奏总纲!W89</f>
        <v>#REF!</v>
      </c>
      <c r="AN89" s="11" t="e">
        <f>(#REF!-#REF!)*'[1]功能-付费相关'!CB91/节奏总纲!X89</f>
        <v>#REF!</v>
      </c>
      <c r="AO89" s="11" t="e">
        <f>(#REF!-#REF!)*'[1]功能-付费相关'!CC91/节奏总纲!Y89</f>
        <v>#REF!</v>
      </c>
      <c r="AP89" s="11" t="e">
        <f>(#REF!-#REF!)*'[1]功能-付费相关'!CD91/节奏总纲!Z89</f>
        <v>#REF!</v>
      </c>
      <c r="AQ89" s="11" t="e">
        <f>(#REF!-#REF!)*'[1]功能-付费相关'!CE91/节奏总纲!AA89</f>
        <v>#REF!</v>
      </c>
      <c r="AR89" s="21"/>
      <c r="AS89" s="11">
        <f>(信息索引!U91-信息索引!U90)*'[1]功能-付费相关'!BI91/节奏总纲!W89</f>
        <v>712.00569855921924</v>
      </c>
      <c r="AT89" s="11">
        <f>(信息索引!V91-信息索引!V90)*'[1]功能-付费相关'!BJ91/节奏总纲!X89</f>
        <v>666.48152864281894</v>
      </c>
      <c r="AU89" s="11">
        <f>(信息索引!W91-信息索引!W90)*'[1]功能-付费相关'!BK91/节奏总纲!Y89</f>
        <v>908.04603952093203</v>
      </c>
      <c r="AV89" s="11">
        <f>(信息索引!X91-信息索引!X90)*'[1]功能-付费相关'!BL91/节奏总纲!Z89</f>
        <v>1491.1350695126418</v>
      </c>
      <c r="AW89" s="11">
        <f>(信息索引!Y91-信息索引!Y90)*'[1]功能-付费相关'!BM91/节奏总纲!AA89</f>
        <v>6246.1193143844512</v>
      </c>
      <c r="AY89" s="11">
        <f>('[1]资源-武将经验'!T91*节奏总纲!BJ89-'[1]资源-武将经验'!T90*节奏总纲!BJ88)*'[1]功能-付费相关'!AZ91/节奏总纲!W89</f>
        <v>132.0766670526566</v>
      </c>
      <c r="AZ89" s="11">
        <f>('[1]资源-武将经验'!U91*节奏总纲!BK89-'[1]资源-武将经验'!U90*节奏总纲!BK88)*'[1]功能-付费相关'!BA91/节奏总纲!X89</f>
        <v>122.39774978028562</v>
      </c>
      <c r="BA89" s="11">
        <f>('[1]资源-武将经验'!V91*节奏总纲!BL89-'[1]资源-武将经验'!V90*节奏总纲!BL88)*'[1]功能-付费相关'!BB91/节奏总纲!Y89</f>
        <v>170.44737877845242</v>
      </c>
      <c r="BB89" s="11">
        <f>('[1]资源-武将经验'!W91*节奏总纲!BM89-'[1]资源-武将经验'!W90*节奏总纲!BM88)*'[1]功能-付费相关'!BC91/节奏总纲!Z89</f>
        <v>461.8529280600435</v>
      </c>
      <c r="BC89" s="11">
        <f>('[1]资源-武将经验'!X91*节奏总纲!BN89-'[1]资源-武将经验'!X90*节奏总纲!BN88)*'[1]功能-付费相关'!BD91/节奏总纲!AA89</f>
        <v>1900.7213100055192</v>
      </c>
      <c r="BD89" s="29"/>
      <c r="BE89" s="33" t="e">
        <f t="shared" si="6"/>
        <v>#REF!</v>
      </c>
      <c r="BF89" s="33" t="e">
        <f t="shared" si="7"/>
        <v>#REF!</v>
      </c>
      <c r="BG89" s="33" t="e">
        <f t="shared" si="8"/>
        <v>#REF!</v>
      </c>
      <c r="BH89" s="33" t="e">
        <f t="shared" si="9"/>
        <v>#REF!</v>
      </c>
      <c r="BI89" s="33" t="e">
        <f t="shared" si="10"/>
        <v>#REF!</v>
      </c>
      <c r="BJ89" s="29"/>
      <c r="BK89" s="29"/>
      <c r="BL89" s="29"/>
      <c r="BM89" s="29"/>
      <c r="BN89" s="29"/>
    </row>
    <row r="90" spans="2:66" x14ac:dyDescent="0.15">
      <c r="B90" s="5">
        <v>87</v>
      </c>
      <c r="C90" s="5">
        <f>'[1]资源-玩家城池建筑时间'!AJ92*'[1]功能-付费相关'!AH92/节奏总纲!W90</f>
        <v>3727.4540558653989</v>
      </c>
      <c r="D90" s="5">
        <f>'[1]资源-玩家城池建筑时间'!AK92*'[1]功能-付费相关'!AI92/节奏总纲!X90</f>
        <v>4688.1675814381206</v>
      </c>
      <c r="E90" s="5">
        <f>'[1]资源-玩家城池建筑时间'!AL92*'[1]功能-付费相关'!AJ92/节奏总纲!Y90</f>
        <v>6291.1051881716512</v>
      </c>
      <c r="F90" s="5">
        <f>'[1]资源-玩家城池建筑时间'!AM92*'[1]功能-付费相关'!AK92/节奏总纲!Z90</f>
        <v>9549.5332383861351</v>
      </c>
      <c r="G90" s="5">
        <f>'[1]资源-玩家城池建筑时间'!AN92*'[1]功能-付费相关'!AL92/节奏总纲!AA90</f>
        <v>19113.481928379562</v>
      </c>
      <c r="H90" s="3"/>
      <c r="I90" s="28">
        <f>'[1]资源-士兵训练时间'!AB92*'[1]功能-付费相关'!AH92/节奏总纲!W90</f>
        <v>1645.8344822638046</v>
      </c>
      <c r="J90" s="28">
        <f>'[1]资源-士兵训练时间'!AC92*'[1]功能-付费相关'!AI92/节奏总纲!X90</f>
        <v>2193.0246977380993</v>
      </c>
      <c r="K90" s="28">
        <f>'[1]资源-士兵训练时间'!AD92*'[1]功能-付费相关'!AJ92/节奏总纲!Y90</f>
        <v>3537.5460489529823</v>
      </c>
      <c r="L90" s="28">
        <f>'[1]资源-士兵训练时间'!AE92*'[1]功能-付费相关'!AK92/节奏总纲!Z90</f>
        <v>358.31249496178737</v>
      </c>
      <c r="M90" s="28">
        <f>'[1]资源-士兵训练时间'!AF92*'[1]功能-付费相关'!AL92/节奏总纲!AA90</f>
        <v>0</v>
      </c>
      <c r="N90" s="34"/>
      <c r="O90" s="34">
        <f>'[1]资源-士兵招募时间'!AC92*'[1]功能-付费相关'!AH92/节奏总纲!W90</f>
        <v>1116.4317511585384</v>
      </c>
      <c r="P90" s="34">
        <f>'[1]资源-士兵招募时间'!AD92*'[1]功能-付费相关'!AI92/节奏总纲!X90</f>
        <v>1373.0264682540376</v>
      </c>
      <c r="Q90" s="34">
        <f>'[1]资源-士兵招募时间'!AE92*'[1]功能-付费相关'!AJ92/节奏总纲!Y90</f>
        <v>1592.4072176282618</v>
      </c>
      <c r="R90" s="34">
        <f>'[1]资源-士兵招募时间'!AF92*'[1]功能-付费相关'!AK92/节奏总纲!Z90</f>
        <v>1558.1034926279497</v>
      </c>
      <c r="S90" s="34">
        <f>'[1]资源-士兵招募时间'!AG92*'[1]功能-付费相关'!AL92/节奏总纲!AA90</f>
        <v>1374.8253283954514</v>
      </c>
      <c r="T90" s="34"/>
      <c r="U90" s="5">
        <f>('[1]资源-木石铜粮'!U92-'[1]资源-木石铜粮'!U91)*'[1]功能-付费相关'!S92/节奏总纲!W90</f>
        <v>2299.3035529456934</v>
      </c>
      <c r="V90" s="5">
        <f>('[1]资源-木石铜粮'!V92-'[1]资源-木石铜粮'!V91)*'[1]功能-付费相关'!T92/节奏总纲!X90</f>
        <v>2966.5146209764898</v>
      </c>
      <c r="W90" s="5">
        <f>('[1]资源-木石铜粮'!W92-'[1]资源-木石铜粮'!W91)*'[1]功能-付费相关'!U92/节奏总纲!Y90</f>
        <v>4128.8817801765681</v>
      </c>
      <c r="X90" s="5">
        <f>('[1]资源-木石铜粮'!X92-'[1]资源-木石铜粮'!X91)*'[1]功能-付费相关'!V92/节奏总纲!Z90</f>
        <v>7525.2403330116276</v>
      </c>
      <c r="Y90" s="5">
        <f>('[1]资源-木石铜粮'!Y92-'[1]资源-木石铜粮'!Y91)*'[1]功能-付费相关'!W92/节奏总纲!AA90</f>
        <v>13921.078809932838</v>
      </c>
      <c r="Z90" s="3"/>
      <c r="AA90" s="11">
        <f>('[1]资源-铁'!T92-'[1]资源-铁'!T91)*'[1]功能-付费相关'!X92/节奏总纲!W90</f>
        <v>2207.6640973219028</v>
      </c>
      <c r="AB90" s="11">
        <f>('[1]资源-铁'!U92-'[1]资源-铁'!U91)*'[1]功能-付费相关'!Y92/节奏总纲!X90</f>
        <v>3016.4218020857588</v>
      </c>
      <c r="AC90" s="11">
        <f>('[1]资源-铁'!V92-'[1]资源-铁'!V91)*'[1]功能-付费相关'!Z92/节奏总纲!Y90</f>
        <v>4567.4107318226888</v>
      </c>
      <c r="AD90" s="11">
        <f>('[1]资源-铁'!W92-'[1]资源-铁'!W91)*'[1]功能-付费相关'!AA92/节奏总纲!Z90</f>
        <v>4334.168432806121</v>
      </c>
      <c r="AE90" s="11">
        <f>('[1]资源-铁'!X92-'[1]资源-铁'!X91)*'[1]功能-付费相关'!AB92/节奏总纲!AA90</f>
        <v>8401.6351578942576</v>
      </c>
      <c r="AG90" s="11">
        <f>('[1]资源-银币'!Y92-'[1]资源-银币'!Y91)*'[1]功能-付费相关'!AQ92/节奏总纲!W90</f>
        <v>533.81743638178057</v>
      </c>
      <c r="AH90" s="11">
        <f>('[1]资源-银币'!Z92-'[1]资源-银币'!Z91)*'[1]功能-付费相关'!AR92/节奏总纲!X90</f>
        <v>726.99205862155168</v>
      </c>
      <c r="AI90" s="11">
        <f>('[1]资源-银币'!AA92-'[1]资源-银币'!AA91)*'[1]功能-付费相关'!AS92/节奏总纲!Y90</f>
        <v>1186.556930928208</v>
      </c>
      <c r="AJ90" s="11">
        <f>('[1]资源-银币'!AB92-'[1]资源-银币'!AB91)*'[1]功能-付费相关'!AT92/节奏总纲!Z90</f>
        <v>2243.2591664564184</v>
      </c>
      <c r="AK90" s="11">
        <f>('[1]资源-银币'!AC92-'[1]资源-银币'!AC91)*'[1]功能-付费相关'!AU92/节奏总纲!AA90</f>
        <v>4992.3429007891918</v>
      </c>
      <c r="AM90" s="11" t="e">
        <f>(#REF!-#REF!)*'[1]功能-付费相关'!CA92/节奏总纲!W90</f>
        <v>#REF!</v>
      </c>
      <c r="AN90" s="11" t="e">
        <f>(#REF!-#REF!)*'[1]功能-付费相关'!CB92/节奏总纲!X90</f>
        <v>#REF!</v>
      </c>
      <c r="AO90" s="11" t="e">
        <f>(#REF!-#REF!)*'[1]功能-付费相关'!CC92/节奏总纲!Y90</f>
        <v>#REF!</v>
      </c>
      <c r="AP90" s="11" t="e">
        <f>(#REF!-#REF!)*'[1]功能-付费相关'!CD92/节奏总纲!Z90</f>
        <v>#REF!</v>
      </c>
      <c r="AQ90" s="11" t="e">
        <f>(#REF!-#REF!)*'[1]功能-付费相关'!CE92/节奏总纲!AA90</f>
        <v>#REF!</v>
      </c>
      <c r="AR90" s="21"/>
      <c r="AS90" s="11">
        <f>(信息索引!U92-信息索引!U91)*'[1]功能-付费相关'!BI92/节奏总纲!W90</f>
        <v>642.81084576651426</v>
      </c>
      <c r="AT90" s="11">
        <f>(信息索引!V92-信息索引!V91)*'[1]功能-付费相关'!BJ92/节奏总纲!X90</f>
        <v>818.3400499541724</v>
      </c>
      <c r="AU90" s="11">
        <f>(信息索引!W92-信息索引!W91)*'[1]功能-付费相关'!BK92/节奏总纲!Y90</f>
        <v>1205.8254426237881</v>
      </c>
      <c r="AV90" s="11">
        <f>(信息索引!X92-信息索引!X91)*'[1]功能-付费相关'!BL92/节奏总纲!Z90</f>
        <v>2955.9428092471426</v>
      </c>
      <c r="AW90" s="11">
        <f>(信息索引!Y92-信息索引!Y91)*'[1]功能-付费相关'!BM92/节奏总纲!AA90</f>
        <v>6985.9088602175716</v>
      </c>
      <c r="AY90" s="11">
        <f>('[1]资源-武将经验'!T92*节奏总纲!BJ90-'[1]资源-武将经验'!T91*节奏总纲!BJ89)*'[1]功能-付费相关'!AZ92/节奏总纲!W90</f>
        <v>117.3637026403336</v>
      </c>
      <c r="AZ90" s="11">
        <f>('[1]资源-武将经验'!U92*节奏总纲!BK90-'[1]资源-武将经验'!U91*节奏总纲!BK89)*'[1]功能-付费相关'!BA92/节奏总纲!X90</f>
        <v>147.92006788905911</v>
      </c>
      <c r="BA90" s="11">
        <f>('[1]资源-武将经验'!V92*节奏总纲!BL90-'[1]资源-武将经验'!V91*节奏总纲!BL89)*'[1]功能-付费相关'!BB92/节奏总纲!Y90</f>
        <v>222.77932131113127</v>
      </c>
      <c r="BB90" s="11">
        <f>('[1]资源-武将经验'!W92*节奏总纲!BM90-'[1]资源-武将经验'!W91*节奏总纲!BM89)*'[1]功能-付费相关'!BC92/节奏总纲!Z90</f>
        <v>901.13678721836368</v>
      </c>
      <c r="BC90" s="11">
        <f>('[1]资源-武将经验'!X92*节奏总纲!BN90-'[1]资源-武将经验'!X91*节奏总纲!BN89)*'[1]功能-付费相关'!BD92/节奏总纲!AA90</f>
        <v>2092.3727651389013</v>
      </c>
      <c r="BD90" s="29"/>
      <c r="BE90" s="33" t="e">
        <f t="shared" si="6"/>
        <v>#REF!</v>
      </c>
      <c r="BF90" s="33" t="e">
        <f t="shared" si="7"/>
        <v>#REF!</v>
      </c>
      <c r="BG90" s="33" t="e">
        <f t="shared" si="8"/>
        <v>#REF!</v>
      </c>
      <c r="BH90" s="33" t="e">
        <f t="shared" si="9"/>
        <v>#REF!</v>
      </c>
      <c r="BI90" s="33" t="e">
        <f t="shared" si="10"/>
        <v>#REF!</v>
      </c>
      <c r="BJ90" s="29"/>
      <c r="BK90" s="29"/>
      <c r="BL90" s="29"/>
      <c r="BM90" s="29"/>
      <c r="BN90" s="29"/>
    </row>
    <row r="91" spans="2:66" x14ac:dyDescent="0.15">
      <c r="B91" s="5">
        <v>88</v>
      </c>
      <c r="C91" s="5">
        <f>'[1]资源-玩家城池建筑时间'!AJ93*'[1]功能-付费相关'!AH93/节奏总纲!W91</f>
        <v>3738.2412951910055</v>
      </c>
      <c r="D91" s="5">
        <f>'[1]资源-玩家城池建筑时间'!AK93*'[1]功能-付费相关'!AI93/节奏总纲!X91</f>
        <v>4718.3288911287418</v>
      </c>
      <c r="E91" s="5">
        <f>'[1]资源-玩家城池建筑时间'!AL93*'[1]功能-付费相关'!AJ93/节奏总纲!Y91</f>
        <v>6317.5286364151289</v>
      </c>
      <c r="F91" s="5">
        <f>'[1]资源-玩家城池建筑时间'!AM93*'[1]功能-付费相关'!AK93/节奏总纲!Z91</f>
        <v>9556.7409641897939</v>
      </c>
      <c r="G91" s="5">
        <f>'[1]资源-玩家城池建筑时间'!AN93*'[1]功能-付费相关'!AL93/节奏总纲!AA91</f>
        <v>19113.481928379511</v>
      </c>
      <c r="H91" s="3"/>
      <c r="I91" s="28">
        <f>'[1]资源-士兵训练时间'!AB93*'[1]功能-付费相关'!AH93/节奏总纲!W91</f>
        <v>1633.509510063697</v>
      </c>
      <c r="J91" s="28">
        <f>'[1]资源-士兵训练时间'!AC93*'[1]功能-付费相关'!AI93/节奏总纲!X91</f>
        <v>2155.6921235807199</v>
      </c>
      <c r="K91" s="28">
        <f>'[1]资源-士兵训练时间'!AD93*'[1]功能-付费相关'!AJ93/节奏总纲!Y91</f>
        <v>2369.9283597480635</v>
      </c>
      <c r="L91" s="28">
        <f>'[1]资源-士兵训练时间'!AE93*'[1]功能-付费相关'!AK93/节奏总纲!Z91</f>
        <v>0</v>
      </c>
      <c r="M91" s="28">
        <f>'[1]资源-士兵训练时间'!AF93*'[1]功能-付费相关'!AL93/节奏总纲!AA91</f>
        <v>0</v>
      </c>
      <c r="N91" s="34"/>
      <c r="O91" s="34">
        <f>'[1]资源-士兵招募时间'!AC93*'[1]功能-付费相关'!AH93/节奏总纲!W91</f>
        <v>1123.1076485289884</v>
      </c>
      <c r="P91" s="34">
        <f>'[1]资源-士兵招募时间'!AD93*'[1]功能-付费相关'!AI93/节奏总纲!X91</f>
        <v>1379.7109622422188</v>
      </c>
      <c r="Q91" s="34">
        <f>'[1]资源-士兵招募时间'!AE93*'[1]功能-付费相关'!AJ93/节奏总纲!Y91</f>
        <v>1598.9403753717172</v>
      </c>
      <c r="R91" s="34">
        <f>'[1]资源-士兵招募时间'!AF93*'[1]功能-付费相关'!AK93/节奏总纲!Z91</f>
        <v>1560.8230506951118</v>
      </c>
      <c r="S91" s="34">
        <f>'[1]资源-士兵招募时间'!AG93*'[1]功能-付费相关'!AL93/节奏总纲!AA91</f>
        <v>1370.719838548589</v>
      </c>
      <c r="T91" s="34"/>
      <c r="U91" s="5">
        <f>('[1]资源-木石铜粮'!U93-'[1]资源-木石铜粮'!U92)*'[1]功能-付费相关'!S93/节奏总纲!W91</f>
        <v>2349.3474473500455</v>
      </c>
      <c r="V91" s="5">
        <f>('[1]资源-木石铜粮'!V93-'[1]资源-木石铜粮'!V92)*'[1]功能-付费相关'!T93/节奏总纲!X91</f>
        <v>3147.8427475791364</v>
      </c>
      <c r="W91" s="5">
        <f>('[1]资源-木石铜粮'!W93-'[1]资源-木石铜粮'!W92)*'[1]功能-付费相关'!U93/节奏总纲!Y91</f>
        <v>4503.2731523670664</v>
      </c>
      <c r="X91" s="5">
        <f>('[1]资源-木石铜粮'!X93-'[1]资源-木石铜粮'!X92)*'[1]功能-付费相关'!V93/节奏总纲!Z91</f>
        <v>7544.5264080649495</v>
      </c>
      <c r="Y91" s="5">
        <f>('[1]资源-木石铜粮'!Y93-'[1]资源-木石铜粮'!Y92)*'[1]功能-付费相关'!W93/节奏总纲!AA91</f>
        <v>13200.973741140988</v>
      </c>
      <c r="Z91" s="3"/>
      <c r="AA91" s="11">
        <f>('[1]资源-铁'!T93-'[1]资源-铁'!T92)*'[1]功能-付费相关'!X93/节奏总纲!W91</f>
        <v>2281.8986158936086</v>
      </c>
      <c r="AB91" s="11">
        <f>('[1]资源-铁'!U93-'[1]资源-铁'!U92)*'[1]功能-付费相关'!Y93/节奏总纲!X91</f>
        <v>3226.7160743970276</v>
      </c>
      <c r="AC91" s="11">
        <f>('[1]资源-铁'!V93-'[1]资源-铁'!V92)*'[1]功能-付费相关'!Z93/节奏总纲!Y91</f>
        <v>4096.5121782455135</v>
      </c>
      <c r="AD91" s="11">
        <f>('[1]资源-铁'!W93-'[1]资源-铁'!W92)*'[1]功能-付费相关'!AA93/节奏总纲!Z91</f>
        <v>4204.3808682167373</v>
      </c>
      <c r="AE91" s="11">
        <f>('[1]资源-铁'!X93-'[1]资源-铁'!X92)*'[1]功能-付费相关'!AB93/节奏总纲!AA91</f>
        <v>8394.6919209647331</v>
      </c>
      <c r="AG91" s="11">
        <f>('[1]资源-银币'!Y93-'[1]资源-银币'!Y92)*'[1]功能-付费相关'!AQ93/节奏总纲!W91</f>
        <v>530.45372270431494</v>
      </c>
      <c r="AH91" s="11">
        <f>('[1]资源-银币'!Z93-'[1]资源-银币'!Z92)*'[1]功能-付费相关'!AR93/节奏总纲!X91</f>
        <v>743.55213873736045</v>
      </c>
      <c r="AI91" s="11">
        <f>('[1]资源-银币'!AA93-'[1]资源-银币'!AA92)*'[1]功能-付费相关'!AS93/节奏总纲!Y91</f>
        <v>1208.0053410832518</v>
      </c>
      <c r="AJ91" s="11">
        <f>('[1]资源-银币'!AB93-'[1]资源-银币'!AB92)*'[1]功能-付费相关'!AT93/节奏总纲!Z91</f>
        <v>2192.0859661846484</v>
      </c>
      <c r="AK91" s="11">
        <f>('[1]资源-银币'!AC93-'[1]资源-银币'!AC92)*'[1]功能-付费相关'!AU93/节奏总纲!AA91</f>
        <v>4765.2703301017127</v>
      </c>
      <c r="AM91" s="11" t="e">
        <f>(#REF!-#REF!)*'[1]功能-付费相关'!CA93/节奏总纲!W91</f>
        <v>#REF!</v>
      </c>
      <c r="AN91" s="11" t="e">
        <f>(#REF!-#REF!)*'[1]功能-付费相关'!CB93/节奏总纲!X91</f>
        <v>#REF!</v>
      </c>
      <c r="AO91" s="11" t="e">
        <f>(#REF!-#REF!)*'[1]功能-付费相关'!CC93/节奏总纲!Y91</f>
        <v>#REF!</v>
      </c>
      <c r="AP91" s="11" t="e">
        <f>(#REF!-#REF!)*'[1]功能-付费相关'!CD93/节奏总纲!Z91</f>
        <v>#REF!</v>
      </c>
      <c r="AQ91" s="11" t="e">
        <f>(#REF!-#REF!)*'[1]功能-付费相关'!CE93/节奏总纲!AA91</f>
        <v>#REF!</v>
      </c>
      <c r="AR91" s="21"/>
      <c r="AS91" s="11">
        <f>(信息索引!U93-信息索引!U92)*'[1]功能-付费相关'!BI93/节奏总纲!W91</f>
        <v>580.19670161147781</v>
      </c>
      <c r="AT91" s="11">
        <f>(信息索引!V93-信息索引!V92)*'[1]功能-付费相关'!BJ93/节奏总纲!X91</f>
        <v>770.67875377176415</v>
      </c>
      <c r="AU91" s="11">
        <f>(信息索引!W93-信息索引!W92)*'[1]功能-付费相关'!BK93/节奏总纲!Y91</f>
        <v>1213.1049754018841</v>
      </c>
      <c r="AV91" s="11">
        <f>(信息索引!X93-信息索引!X92)*'[1]功能-付费相关'!BL93/节奏总纲!Z91</f>
        <v>2627.6899797170463</v>
      </c>
      <c r="AW91" s="11">
        <f>(信息索引!Y93-信息索引!Y92)*'[1]功能-付费相关'!BM93/节奏总纲!AA91</f>
        <v>5750.7638658591977</v>
      </c>
      <c r="AY91" s="11">
        <f>('[1]资源-武将经验'!T93*节奏总纲!BJ91-'[1]资源-武将经验'!T92*节奏总纲!BJ90)*'[1]功能-付费相关'!AZ93/节奏总纲!W91</f>
        <v>104.2897205450916</v>
      </c>
      <c r="AZ91" s="11">
        <f>('[1]资源-武将经验'!U93*节奏总纲!BK91-'[1]资源-武将经验'!U92*节奏总纲!BK90)*'[1]功能-付费相关'!BA93/节奏总纲!X91</f>
        <v>137.14573906764159</v>
      </c>
      <c r="BA91" s="11">
        <f>('[1]资源-武将经验'!V93*节奏总纲!BL91-'[1]资源-武将经验'!V92*节奏总纲!BL90)*'[1]功能-付费相关'!BB93/节奏总纲!Y91</f>
        <v>220.6502678261914</v>
      </c>
      <c r="BB91" s="11">
        <f>('[1]资源-武将经验'!W93*节奏总纲!BM91-'[1]资源-武将经验'!W92*节奏总纲!BM90)*'[1]功能-付费相关'!BC93/节奏总纲!Z91</f>
        <v>788.6502741847014</v>
      </c>
      <c r="BC91" s="11">
        <f>('[1]资源-武将经验'!X93*节奏总纲!BN91-'[1]资源-武将经验'!X92*节奏总纲!BN90)*'[1]功能-付费相关'!BD93/节奏总纲!AA91</f>
        <v>1695.7324065411112</v>
      </c>
      <c r="BD91" s="29"/>
      <c r="BE91" s="33" t="e">
        <f t="shared" si="6"/>
        <v>#REF!</v>
      </c>
      <c r="BF91" s="33" t="e">
        <f t="shared" si="7"/>
        <v>#REF!</v>
      </c>
      <c r="BG91" s="33" t="e">
        <f t="shared" si="8"/>
        <v>#REF!</v>
      </c>
      <c r="BH91" s="33" t="e">
        <f t="shared" si="9"/>
        <v>#REF!</v>
      </c>
      <c r="BI91" s="33" t="e">
        <f t="shared" si="10"/>
        <v>#REF!</v>
      </c>
      <c r="BJ91" s="29"/>
      <c r="BK91" s="29"/>
      <c r="BL91" s="29"/>
      <c r="BM91" s="29"/>
      <c r="BN91" s="29"/>
    </row>
    <row r="92" spans="2:66" x14ac:dyDescent="0.15">
      <c r="B92" s="5">
        <v>89</v>
      </c>
      <c r="C92" s="5">
        <f>'[1]资源-玩家城池建筑时间'!AJ94*'[1]功能-付费相关'!AH94/节奏总纲!W92</f>
        <v>3774.6631129029979</v>
      </c>
      <c r="D92" s="5">
        <f>'[1]资源-玩家城池建筑时间'!AK94*'[1]功能-付费相关'!AI94/节奏总纲!X92</f>
        <v>4726.7054998783324</v>
      </c>
      <c r="E92" s="5">
        <f>'[1]资源-玩家城池建筑时间'!AL94*'[1]功能-付费相关'!AJ94/节奏总纲!Y92</f>
        <v>6371.1606427931974</v>
      </c>
      <c r="F92" s="5">
        <f>'[1]资源-玩家城池建筑时间'!AM94*'[1]功能-付费相关'!AK94/节奏总纲!Z92</f>
        <v>9556.7409641897448</v>
      </c>
      <c r="G92" s="5">
        <f>'[1]资源-玩家城池建筑时间'!AN94*'[1]功能-付费相关'!AL94/节奏总纲!AA92</f>
        <v>1706.0156292580705</v>
      </c>
      <c r="H92" s="3"/>
      <c r="I92" s="28">
        <f>'[1]资源-士兵训练时间'!AB94*'[1]功能-付费相关'!AH94/节奏总纲!W92</f>
        <v>1591.8957220288432</v>
      </c>
      <c r="J92" s="28">
        <f>'[1]资源-士兵训练时间'!AC94*'[1]功能-付费相关'!AI94/节奏总纲!X92</f>
        <v>1854.9441051946771</v>
      </c>
      <c r="K92" s="28">
        <f>'[1]资源-士兵训练时间'!AD94*'[1]功能-付费相关'!AJ94/节奏总纲!Y92</f>
        <v>0</v>
      </c>
      <c r="L92" s="28">
        <f>'[1]资源-士兵训练时间'!AE94*'[1]功能-付费相关'!AK94/节奏总纲!Z92</f>
        <v>0</v>
      </c>
      <c r="M92" s="28">
        <f>'[1]资源-士兵训练时间'!AF94*'[1]功能-付费相关'!AL94/节奏总纲!AA92</f>
        <v>0</v>
      </c>
      <c r="N92" s="34"/>
      <c r="O92" s="34">
        <f>'[1]资源-士兵招募时间'!AC94*'[1]功能-付费相关'!AH94/节奏总纲!W92</f>
        <v>1132.3638989241733</v>
      </c>
      <c r="P92" s="34">
        <f>'[1]资源-士兵招募时间'!AD94*'[1]功能-付费相关'!AI94/节奏总纲!X92</f>
        <v>1391.6236225072516</v>
      </c>
      <c r="Q92" s="34">
        <f>'[1]资源-士兵招募时间'!AE94*'[1]功能-付费相关'!AJ94/节奏总纲!Y92</f>
        <v>1607.1132807803331</v>
      </c>
      <c r="R92" s="34">
        <f>'[1]资源-士兵招募时间'!AF94*'[1]功能-付费相关'!AK94/节奏总纲!Z92</f>
        <v>1568.9857288485068</v>
      </c>
      <c r="S92" s="34">
        <f>'[1]资源-士兵招募时间'!AG94*'[1]功能-付费相关'!AL94/节奏总纲!AA92</f>
        <v>1342.4004881988853</v>
      </c>
      <c r="T92" s="34"/>
      <c r="U92" s="5">
        <f>('[1]资源-木石铜粮'!U94-'[1]资源-木石铜粮'!U93)*'[1]功能-付费相关'!S94/节奏总纲!W92</f>
        <v>2487.9404488691725</v>
      </c>
      <c r="V92" s="5">
        <f>('[1]资源-木石铜粮'!V94-'[1]资源-木石铜粮'!V93)*'[1]功能-付费相关'!T94/节奏总纲!X92</f>
        <v>3169.5456086974218</v>
      </c>
      <c r="W92" s="5">
        <f>('[1]资源-木石铜粮'!W94-'[1]资源-木石铜粮'!W93)*'[1]功能-付费相关'!U94/节奏总纲!Y92</f>
        <v>5368.4302409294805</v>
      </c>
      <c r="X92" s="5">
        <f>('[1]资源-木石铜粮'!X94-'[1]资源-木石铜粮'!X93)*'[1]功能-付费相关'!V94/节奏总纲!Z92</f>
        <v>6962.1323025267675</v>
      </c>
      <c r="Y92" s="5">
        <f>('[1]资源-木石铜粮'!Y94-'[1]资源-木石铜粮'!Y93)*'[1]功能-付费相关'!W94/节奏总纲!AA92</f>
        <v>2325.5383335072947</v>
      </c>
      <c r="Z92" s="3"/>
      <c r="AA92" s="11">
        <f>('[1]资源-铁'!T94-'[1]资源-铁'!T93)*'[1]功能-付费相关'!X94/节奏总纲!W92</f>
        <v>2542.1009399811624</v>
      </c>
      <c r="AB92" s="11">
        <f>('[1]资源-铁'!U94-'[1]资源-铁'!U93)*'[1]功能-付费相关'!Y94/节奏总纲!X92</f>
        <v>3115.6367683843832</v>
      </c>
      <c r="AC92" s="11">
        <f>('[1]资源-铁'!V94-'[1]资源-铁'!V93)*'[1]功能-付费相关'!Z94/节奏总纲!Y92</f>
        <v>3150.3403204908118</v>
      </c>
      <c r="AD92" s="11">
        <f>('[1]资源-铁'!W94-'[1]资源-铁'!W93)*'[1]功能-付费相关'!AA94/节奏总纲!Z92</f>
        <v>4210.2396351369516</v>
      </c>
      <c r="AE92" s="11">
        <f>('[1]资源-铁'!X94-'[1]资源-铁'!X93)*'[1]功能-付费相关'!AB94/节奏总纲!AA92</f>
        <v>749.84463242981985</v>
      </c>
      <c r="AG92" s="11">
        <f>('[1]资源-银币'!Y94-'[1]资源-银币'!Y93)*'[1]功能-付费相关'!AQ94/节奏总纲!W92</f>
        <v>543.85008902983168</v>
      </c>
      <c r="AH92" s="11">
        <f>('[1]资源-银币'!Z94-'[1]资源-银币'!Z93)*'[1]功能-付费相关'!AR94/节奏总纲!X92</f>
        <v>725.72988843332882</v>
      </c>
      <c r="AI92" s="11">
        <f>('[1]资源-银币'!AA94-'[1]资源-银币'!AA93)*'[1]功能-付费相关'!AS94/节奏总纲!Y92</f>
        <v>1278.6740993989579</v>
      </c>
      <c r="AJ92" s="11">
        <f>('[1]资源-银币'!AB94-'[1]资源-银币'!AB93)*'[1]功能-付费相关'!AT94/节奏总纲!Z92</f>
        <v>2061.1453893355047</v>
      </c>
      <c r="AK92" s="11">
        <f>('[1]资源-银币'!AC94-'[1]资源-银币'!AC93)*'[1]功能-付费相关'!AU94/节奏总纲!AA92</f>
        <v>5413.0744635467126</v>
      </c>
      <c r="AM92" s="11" t="e">
        <f>(#REF!-#REF!)*'[1]功能-付费相关'!CA94/节奏总纲!W92</f>
        <v>#REF!</v>
      </c>
      <c r="AN92" s="11" t="e">
        <f>(#REF!-#REF!)*'[1]功能-付费相关'!CB94/节奏总纲!X92</f>
        <v>#REF!</v>
      </c>
      <c r="AO92" s="11" t="e">
        <f>(#REF!-#REF!)*'[1]功能-付费相关'!CC94/节奏总纲!Y92</f>
        <v>#REF!</v>
      </c>
      <c r="AP92" s="11" t="e">
        <f>(#REF!-#REF!)*'[1]功能-付费相关'!CD94/节奏总纲!Z92</f>
        <v>#REF!</v>
      </c>
      <c r="AQ92" s="11" t="e">
        <f>(#REF!-#REF!)*'[1]功能-付费相关'!CE94/节奏总纲!AA92</f>
        <v>#REF!</v>
      </c>
      <c r="AR92" s="21"/>
      <c r="AS92" s="11">
        <f>(信息索引!U94-信息索引!U93)*'[1]功能-付费相关'!BI94/节奏总纲!W92</f>
        <v>523.55578314036075</v>
      </c>
      <c r="AT92" s="11">
        <f>(信息索引!V94-信息索引!V93)*'[1]功能-付费相关'!BJ94/节奏总纲!X92</f>
        <v>671.51803376137389</v>
      </c>
      <c r="AU92" s="11">
        <f>(信息索引!W94-信息索引!W93)*'[1]功能-付费相关'!BK94/节奏总纲!Y92</f>
        <v>1379.0071154215541</v>
      </c>
      <c r="AV92" s="11">
        <f>(信息索引!X94-信息索引!X93)*'[1]功能-付费相关'!BL94/节奏总纲!Z92</f>
        <v>2028.1762904163575</v>
      </c>
      <c r="AW92" s="11">
        <f>(信息索引!Y94-信息索引!Y93)*'[1]功能-付费相关'!BM94/节奏总纲!AA92</f>
        <v>720.03557458796422</v>
      </c>
      <c r="AY92" s="11">
        <f>('[1]资源-武将经验'!T94*节奏总纲!BJ92-'[1]资源-武将经验'!T93*节奏总纲!BJ91)*'[1]功能-付费相关'!AZ94/节奏总纲!W92</f>
        <v>92.672142806405361</v>
      </c>
      <c r="AZ92" s="11">
        <f>('[1]资源-武将经验'!U94*节奏总纲!BK92-'[1]资源-武将经验'!U93*节奏总纲!BK91)*'[1]功能-付费相关'!BA94/节奏总纲!X92</f>
        <v>117.675650786312</v>
      </c>
      <c r="BA92" s="11">
        <f>('[1]资源-武将经验'!V94*节奏总纲!BL92-'[1]资源-武将经验'!V93*节奏总纲!BL91)*'[1]功能-付费相关'!BB94/节奏总纲!Y92</f>
        <v>246.9975115354942</v>
      </c>
      <c r="BB92" s="11">
        <f>('[1]资源-武将经验'!W94*节奏总纲!BM92-'[1]资源-武将经验'!W93*节奏总纲!BM91)*'[1]功能-付费相关'!BC94/节奏总纲!Z92</f>
        <v>599.42662725943796</v>
      </c>
      <c r="BC92" s="11">
        <f>('[1]资源-武将经验'!X94*节奏总纲!BN92-'[1]资源-武将经验'!X93*节奏总纲!BN91)*'[1]功能-付费相关'!BD94/节奏总纲!AA92</f>
        <v>209.07674704887097</v>
      </c>
      <c r="BD92" s="29"/>
      <c r="BE92" s="33" t="e">
        <f t="shared" si="6"/>
        <v>#REF!</v>
      </c>
      <c r="BF92" s="33" t="e">
        <f t="shared" si="7"/>
        <v>#REF!</v>
      </c>
      <c r="BG92" s="33" t="e">
        <f t="shared" si="8"/>
        <v>#REF!</v>
      </c>
      <c r="BH92" s="33" t="e">
        <f t="shared" si="9"/>
        <v>#REF!</v>
      </c>
      <c r="BI92" s="33" t="e">
        <f t="shared" si="10"/>
        <v>#REF!</v>
      </c>
      <c r="BJ92" s="29"/>
      <c r="BK92" s="29"/>
      <c r="BL92" s="29"/>
      <c r="BM92" s="29"/>
      <c r="BN92" s="29"/>
    </row>
    <row r="93" spans="2:66" x14ac:dyDescent="0.15">
      <c r="B93" s="5">
        <v>90</v>
      </c>
      <c r="C93" s="5">
        <f>'[1]资源-玩家城池建筑时间'!AJ95*'[1]功能-付费相关'!AH95/节奏总纲!W93</f>
        <v>3779.4921278652828</v>
      </c>
      <c r="D93" s="5">
        <f>'[1]资源-玩家城池建筑时间'!AK95*'[1]功能-付费相关'!AI95/节奏总纲!X93</f>
        <v>4778.3704820948815</v>
      </c>
      <c r="E93" s="5">
        <f>'[1]资源-玩家城池建筑时间'!AL95*'[1]功能-付费相关'!AJ95/节奏总纲!Y93</f>
        <v>6371.1606427931602</v>
      </c>
      <c r="F93" s="5">
        <f>'[1]资源-玩家城池建筑时间'!AM95*'[1]功能-付费相关'!AK95/节奏总纲!Z93</f>
        <v>3531.7515941292045</v>
      </c>
      <c r="G93" s="5">
        <f>'[1]资源-玩家城池建筑时间'!AN95*'[1]功能-付费相关'!AL95/节奏总纲!AA93</f>
        <v>0</v>
      </c>
      <c r="H93" s="3"/>
      <c r="I93" s="28">
        <f>'[1]资源-士兵训练时间'!AB95*'[1]功能-付费相关'!AH95/节奏总纲!W93</f>
        <v>1431.8548208721056</v>
      </c>
      <c r="J93" s="28">
        <f>'[1]资源-士兵训练时间'!AC95*'[1]功能-付费相关'!AI95/节奏总纲!X93</f>
        <v>0</v>
      </c>
      <c r="K93" s="28">
        <f>'[1]资源-士兵训练时间'!AD95*'[1]功能-付费相关'!AJ95/节奏总纲!Y93</f>
        <v>0</v>
      </c>
      <c r="L93" s="28">
        <f>'[1]资源-士兵训练时间'!AE95*'[1]功能-付费相关'!AK95/节奏总纲!Z93</f>
        <v>0</v>
      </c>
      <c r="M93" s="28">
        <f>'[1]资源-士兵训练时间'!AF95*'[1]功能-付费相关'!AL95/节奏总纲!AA93</f>
        <v>0</v>
      </c>
      <c r="N93" s="34"/>
      <c r="O93" s="34">
        <f>'[1]资源-士兵招募时间'!AC95*'[1]功能-付费相关'!AH95/节奏总纲!W93</f>
        <v>1143.3076139532313</v>
      </c>
      <c r="P93" s="34">
        <f>'[1]资源-士兵招募时间'!AD95*'[1]功能-付费相关'!AI95/节奏总纲!X93</f>
        <v>1399.7277519366996</v>
      </c>
      <c r="Q93" s="34">
        <f>'[1]资源-士兵招募时间'!AE95*'[1]功能-付费相关'!AJ95/节奏总纲!Y93</f>
        <v>1616.7030502498699</v>
      </c>
      <c r="R93" s="34">
        <f>'[1]资源-士兵招募时间'!AF95*'[1]功能-付费相关'!AK95/节奏总纲!Z93</f>
        <v>1575.8485334400582</v>
      </c>
      <c r="S93" s="34">
        <f>'[1]资源-士兵招募时间'!AG95*'[1]功能-付费相关'!AL95/节奏总纲!AA93</f>
        <v>1338.3482812416041</v>
      </c>
      <c r="T93" s="34"/>
      <c r="U93" s="5">
        <f>('[1]资源-木石铜粮'!U95-'[1]资源-木石铜粮'!U94)*'[1]功能-付费相关'!S95/节奏总纲!W93</f>
        <v>2528.7312420933176</v>
      </c>
      <c r="V93" s="5">
        <f>('[1]资源-木石铜粮'!V95-'[1]资源-木石铜粮'!V94)*'[1]功能-付费相关'!T95/节奏总纲!X93</f>
        <v>4115.3629197997161</v>
      </c>
      <c r="W93" s="5">
        <f>('[1]资源-木石铜粮'!W95-'[1]资源-木石铜粮'!W94)*'[1]功能-付费相关'!U95/节奏总纲!Y93</f>
        <v>5220.4254592526477</v>
      </c>
      <c r="X93" s="5">
        <f>('[1]资源-木石铜粮'!X95-'[1]资源-木石铜粮'!X94)*'[1]功能-付费相关'!V95/节奏总纲!Z93</f>
        <v>3387.2710113175244</v>
      </c>
      <c r="Y93" s="5">
        <f>('[1]资源-木石铜粮'!Y95-'[1]资源-木石铜粮'!Y94)*'[1]功能-付费相关'!W95/节奏总纲!AA93</f>
        <v>1228.9497243549943</v>
      </c>
      <c r="Z93" s="3"/>
      <c r="AA93" s="11">
        <f>('[1]资源-铁'!T95-'[1]资源-铁'!T94)*'[1]功能-付费相关'!X95/节奏总纲!W93</f>
        <v>2486.4972276174312</v>
      </c>
      <c r="AB93" s="11">
        <f>('[1]资源-铁'!U95-'[1]资源-铁'!U94)*'[1]功能-付费相关'!Y95/节奏总纲!X93</f>
        <v>2381.2263380657678</v>
      </c>
      <c r="AC93" s="11">
        <f>('[1]资源-铁'!V95-'[1]资源-铁'!V94)*'[1]功能-付费相关'!Z95/节奏总纲!Y93</f>
        <v>3156.5380926386083</v>
      </c>
      <c r="AD93" s="11">
        <f>('[1]资源-铁'!W95-'[1]资源-铁'!W94)*'[1]功能-付费相关'!AA95/节奏总纲!Z93</f>
        <v>1558.2633580797483</v>
      </c>
      <c r="AE93" s="11">
        <f>('[1]资源-铁'!X95-'[1]资源-铁'!X94)*'[1]功能-付费相关'!AB95/节奏总纲!AA93</f>
        <v>0</v>
      </c>
      <c r="AG93" s="11">
        <f>('[1]资源-银币'!Y95-'[1]资源-银币'!Y94)*'[1]功能-付费相关'!AQ95/节奏总纲!W93</f>
        <v>535.76343758599523</v>
      </c>
      <c r="AH93" s="11">
        <f>('[1]资源-银币'!Z95-'[1]资源-银币'!Z94)*'[1]功能-付费相关'!AR95/节奏总纲!X93</f>
        <v>806.79068305372937</v>
      </c>
      <c r="AI93" s="11">
        <f>('[1]资源-银币'!AA95-'[1]资源-银币'!AA94)*'[1]功能-付费相关'!AS95/节奏总纲!Y93</f>
        <v>1231.0948424428511</v>
      </c>
      <c r="AJ93" s="11">
        <f>('[1]资源-银币'!AB95-'[1]资源-银币'!AB94)*'[1]功能-付费相关'!AT95/节奏总纲!Z93</f>
        <v>2101.2362062302623</v>
      </c>
      <c r="AK93" s="11">
        <f>('[1]资源-银币'!AC95-'[1]资源-银币'!AC94)*'[1]功能-付费相关'!AU95/节奏总纲!AA93</f>
        <v>651.01764426440081</v>
      </c>
      <c r="AM93" s="11" t="e">
        <f>(#REF!-#REF!)*'[1]功能-付费相关'!CA95/节奏总纲!W93</f>
        <v>#REF!</v>
      </c>
      <c r="AN93" s="11" t="e">
        <f>(#REF!-#REF!)*'[1]功能-付费相关'!CB95/节奏总纲!X93</f>
        <v>#REF!</v>
      </c>
      <c r="AO93" s="11" t="e">
        <f>(#REF!-#REF!)*'[1]功能-付费相关'!CC95/节奏总纲!Y93</f>
        <v>#REF!</v>
      </c>
      <c r="AP93" s="11" t="e">
        <f>(#REF!-#REF!)*'[1]功能-付费相关'!CD95/节奏总纲!Z93</f>
        <v>#REF!</v>
      </c>
      <c r="AQ93" s="11" t="e">
        <f>(#REF!-#REF!)*'[1]功能-付费相关'!CE95/节奏总纲!AA93</f>
        <v>#REF!</v>
      </c>
      <c r="AR93" s="21"/>
      <c r="AS93" s="11">
        <f>(信息索引!U95-信息索引!U94)*'[1]功能-付费相关'!BI95/节奏总纲!W93</f>
        <v>472.33428898616518</v>
      </c>
      <c r="AT93" s="11">
        <f>(信息索引!V95-信息索引!V94)*'[1]功能-付费相关'!BJ95/节奏总纲!X93</f>
        <v>891.75135129480793</v>
      </c>
      <c r="AU93" s="11">
        <f>(信息索引!W95-信息索引!W94)*'[1]功能-付费相关'!BK95/节奏总纲!Y93</f>
        <v>1155.2993541507913</v>
      </c>
      <c r="AV93" s="11">
        <f>(信息索引!X95-信息索引!X94)*'[1]功能-付费相关'!BL95/节奏总纲!Z93</f>
        <v>770.82307729352226</v>
      </c>
      <c r="AW93" s="11">
        <f>(信息索引!Y95-信息索引!Y94)*'[1]功能-付费相关'!BM95/节奏总纲!AA93</f>
        <v>219.94286391573783</v>
      </c>
      <c r="AY93" s="11">
        <f>('[1]资源-武将经验'!T95*节奏总纲!BJ93-'[1]资源-武将经验'!T94*节奏总纲!BJ92)*'[1]功能-付费相关'!AZ95/节奏总纲!W93</f>
        <v>82.348730128368061</v>
      </c>
      <c r="AZ93" s="11">
        <f>('[1]资源-武将经验'!U95*节奏总纲!BK93-'[1]资源-武将经验'!U94*节奏总纲!BK92)*'[1]功能-付费相关'!BA95/节奏总纲!X93</f>
        <v>153.91958825427236</v>
      </c>
      <c r="BA93" s="11">
        <f>('[1]资源-武将经验'!V95*节奏总纲!BL93-'[1]资源-武将经验'!V94*节奏总纲!BL92)*'[1]功能-付费相关'!BB95/节奏总纲!Y93</f>
        <v>203.81764985437417</v>
      </c>
      <c r="BB93" s="11">
        <f>('[1]资源-武将经验'!W95*节奏总纲!BM93-'[1]资源-武将经验'!W94*节奏总纲!BM92)*'[1]功能-付费相关'!BC95/节奏总纲!Z93</f>
        <v>224.39140922764125</v>
      </c>
      <c r="BC93" s="11">
        <f>('[1]资源-武将经验'!X95*节奏总纲!BN93-'[1]资源-武将经验'!X94*节奏总纲!BN92)*'[1]功能-付费相关'!BD95/节奏总纲!AA93</f>
        <v>62.904663641938534</v>
      </c>
      <c r="BD93" s="29"/>
      <c r="BE93" s="33" t="e">
        <f t="shared" si="6"/>
        <v>#REF!</v>
      </c>
      <c r="BF93" s="33" t="e">
        <f t="shared" si="7"/>
        <v>#REF!</v>
      </c>
      <c r="BG93" s="33" t="e">
        <f t="shared" si="8"/>
        <v>#REF!</v>
      </c>
      <c r="BH93" s="33" t="e">
        <f t="shared" si="9"/>
        <v>#REF!</v>
      </c>
      <c r="BI93" s="33" t="e">
        <f t="shared" si="10"/>
        <v>#REF!</v>
      </c>
      <c r="BJ93" s="29"/>
      <c r="BK93" s="29"/>
      <c r="BL93" s="29"/>
      <c r="BM93" s="29"/>
      <c r="BN93" s="29"/>
    </row>
    <row r="94" spans="2:66" x14ac:dyDescent="0.15">
      <c r="B94" s="5">
        <v>91</v>
      </c>
      <c r="C94" s="5">
        <f>'[1]资源-玩家城池建筑时间'!AJ96*'[1]功能-付费相关'!AH96/节奏总纲!W94</f>
        <v>3822.6963856759012</v>
      </c>
      <c r="D94" s="5">
        <f>'[1]资源-玩家城池建筑时间'!AK96*'[1]功能-付费相关'!AI96/节奏总纲!X94</f>
        <v>4778.3704820948815</v>
      </c>
      <c r="E94" s="5">
        <f>'[1]资源-玩家城池建筑时间'!AL96*'[1]功能-付费相关'!AJ96/节奏总纲!Y94</f>
        <v>1357.8051966924947</v>
      </c>
      <c r="F94" s="5">
        <f>'[1]资源-玩家城池建筑时间'!AM96*'[1]功能-付费相关'!AK96/节奏总纲!Z94</f>
        <v>0</v>
      </c>
      <c r="G94" s="5">
        <f>'[1]资源-玩家城池建筑时间'!AN96*'[1]功能-付费相关'!AL96/节奏总纲!AA94</f>
        <v>0</v>
      </c>
      <c r="H94" s="3"/>
      <c r="I94" s="28">
        <f>'[1]资源-士兵训练时间'!AB96*'[1]功能-付费相关'!AH96/节奏总纲!W94</f>
        <v>0</v>
      </c>
      <c r="J94" s="28">
        <f>'[1]资源-士兵训练时间'!AC96*'[1]功能-付费相关'!AI96/节奏总纲!X94</f>
        <v>0</v>
      </c>
      <c r="K94" s="28">
        <f>'[1]资源-士兵训练时间'!AD96*'[1]功能-付费相关'!AJ96/节奏总纲!Y94</f>
        <v>0</v>
      </c>
      <c r="L94" s="28">
        <f>'[1]资源-士兵训练时间'!AE96*'[1]功能-付费相关'!AK96/节奏总纲!Z94</f>
        <v>0</v>
      </c>
      <c r="M94" s="28">
        <f>'[1]资源-士兵训练时间'!AF96*'[1]功能-付费相关'!AL96/节奏总纲!AA94</f>
        <v>0</v>
      </c>
      <c r="N94" s="34"/>
      <c r="O94" s="34">
        <f>'[1]资源-士兵招募时间'!AC96*'[1]功能-付费相关'!AH96/节奏总纲!W94</f>
        <v>1153.5813205259381</v>
      </c>
      <c r="P94" s="34">
        <f>'[1]资源-士兵招募时间'!AD96*'[1]功能-付费相关'!AI96/节奏总纲!X94</f>
        <v>1412.6614173211069</v>
      </c>
      <c r="Q94" s="34">
        <f>'[1]资源-士兵招募时间'!AE96*'[1]功能-付费相关'!AJ96/节奏总纲!Y94</f>
        <v>1625.7628567954364</v>
      </c>
      <c r="R94" s="34">
        <f>'[1]资源-士兵招募时间'!AF96*'[1]功能-付费相关'!AK96/节奏总纲!Z94</f>
        <v>1574.9382129126684</v>
      </c>
      <c r="S94" s="34">
        <f>'[1]资源-士兵招募时间'!AG96*'[1]功能-付费相关'!AL96/节奏总纲!AA94</f>
        <v>1338.2748632064636</v>
      </c>
      <c r="T94" s="34"/>
      <c r="U94" s="5">
        <f>('[1]资源-木石铜粮'!U96-'[1]资源-木石铜粮'!U95)*'[1]功能-付费相关'!S96/节奏总纲!W94</f>
        <v>2733.3359043691235</v>
      </c>
      <c r="V94" s="5">
        <f>('[1]资源-木石铜粮'!V96-'[1]资源-木石铜粮'!V95)*'[1]功能-付费相关'!T96/节奏总纲!X94</f>
        <v>3394.151391438746</v>
      </c>
      <c r="W94" s="5">
        <f>('[1]资源-木石铜粮'!W96-'[1]资源-木石铜粮'!W95)*'[1]功能-付费相关'!U96/节奏总纲!Y94</f>
        <v>1934.9658057889203</v>
      </c>
      <c r="X94" s="5">
        <f>('[1]资源-木石铜粮'!X96-'[1]资源-木石铜粮'!X95)*'[1]功能-付费相关'!V96/节奏总纲!Z94</f>
        <v>1254.7387878126774</v>
      </c>
      <c r="Y94" s="5">
        <f>('[1]资源-木石铜粮'!Y96-'[1]资源-木石铜粮'!Y95)*'[1]功能-付费相关'!W96/节奏总纲!AA94</f>
        <v>1370.7751400982202</v>
      </c>
      <c r="Z94" s="3"/>
      <c r="AA94" s="11">
        <f>('[1]资源-铁'!T96-'[1]资源-铁'!T95)*'[1]功能-付费相关'!X96/节奏总纲!W94</f>
        <v>1920.4621724677668</v>
      </c>
      <c r="AB94" s="11">
        <f>('[1]资源-铁'!U96-'[1]资源-铁'!U95)*'[1]功能-付费相关'!Y96/节奏总纲!X94</f>
        <v>2388.7961949721821</v>
      </c>
      <c r="AC94" s="11">
        <f>('[1]资源-铁'!V96-'[1]资源-铁'!V95)*'[1]功能-付费相关'!Z96/节奏总纲!Y94</f>
        <v>674.11222142457575</v>
      </c>
      <c r="AD94" s="11">
        <f>('[1]资源-铁'!W96-'[1]资源-铁'!W95)*'[1]功能-付费相关'!AA96/节奏总纲!Z94</f>
        <v>0</v>
      </c>
      <c r="AE94" s="11">
        <f>('[1]资源-铁'!X96-'[1]资源-铁'!X95)*'[1]功能-付费相关'!AB96/节奏总纲!AA94</f>
        <v>0</v>
      </c>
      <c r="AG94" s="11">
        <f>('[1]资源-银币'!Y96-'[1]资源-银币'!Y95)*'[1]功能-付费相关'!AQ96/节奏总纲!W94</f>
        <v>617.66868260265187</v>
      </c>
      <c r="AH94" s="11">
        <f>('[1]资源-银币'!Z96-'[1]资源-银币'!Z95)*'[1]功能-付费相关'!AR96/节奏总纲!X94</f>
        <v>804.5883844678923</v>
      </c>
      <c r="AI94" s="11">
        <f>('[1]资源-银币'!AA96-'[1]资源-银币'!AA95)*'[1]功能-付费相关'!AS96/节奏总纲!Y94</f>
        <v>1418.6392803938793</v>
      </c>
      <c r="AJ94" s="11">
        <f>('[1]资源-银币'!AB96-'[1]资源-银币'!AB95)*'[1]功能-付费相关'!AT96/节奏总纲!Z94</f>
        <v>143.87644500719477</v>
      </c>
      <c r="AK94" s="11">
        <f>('[1]资源-银币'!AC96-'[1]资源-银币'!AC95)*'[1]功能-付费相关'!AU96/节奏总纲!AA94</f>
        <v>688.74290332026681</v>
      </c>
      <c r="AM94" s="11" t="e">
        <f>(#REF!-#REF!)*'[1]功能-付费相关'!CA96/节奏总纲!W94</f>
        <v>#REF!</v>
      </c>
      <c r="AN94" s="11" t="e">
        <f>(#REF!-#REF!)*'[1]功能-付费相关'!CB96/节奏总纲!X94</f>
        <v>#REF!</v>
      </c>
      <c r="AO94" s="11" t="e">
        <f>(#REF!-#REF!)*'[1]功能-付费相关'!CC96/节奏总纲!Y94</f>
        <v>#REF!</v>
      </c>
      <c r="AP94" s="11" t="e">
        <f>(#REF!-#REF!)*'[1]功能-付费相关'!CD96/节奏总纲!Z94</f>
        <v>#REF!</v>
      </c>
      <c r="AQ94" s="11" t="e">
        <f>(#REF!-#REF!)*'[1]功能-付费相关'!CE96/节奏总纲!AA94</f>
        <v>#REF!</v>
      </c>
      <c r="AR94" s="21"/>
      <c r="AS94" s="11">
        <f>(信息索引!U96-信息索引!U95)*'[1]功能-付费相关'!BI96/节奏总纲!W94</f>
        <v>700.5162865476907</v>
      </c>
      <c r="AT94" s="11">
        <f>(信息索引!V96-信息索引!V95)*'[1]功能-付费相关'!BJ96/节奏总纲!X94</f>
        <v>849.83666965181192</v>
      </c>
      <c r="AU94" s="11">
        <f>(信息索引!W96-信息索引!W95)*'[1]功能-付费相关'!BK96/节奏总纲!Y94</f>
        <v>370.99608162510418</v>
      </c>
      <c r="AV94" s="11">
        <f>(信息索引!X96-信息索引!X95)*'[1]功能-付费相关'!BL96/节奏总纲!Z94</f>
        <v>182.93453553982465</v>
      </c>
      <c r="AW94" s="11">
        <f>(信息索引!Y96-信息索引!Y95)*'[1]功能-付费相关'!BM96/节奏总纲!AA94</f>
        <v>224.65644715417054</v>
      </c>
      <c r="AY94" s="11">
        <f>('[1]资源-武将经验'!T96*节奏总纲!BJ94-'[1]资源-武将经验'!T95*节奏总纲!BJ93)*'[1]功能-付费相关'!AZ96/节奏总纲!W94</f>
        <v>73.175316210406692</v>
      </c>
      <c r="AZ94" s="11">
        <f>('[1]资源-武将经验'!U96*节奏总纲!BK94-'[1]资源-武将经验'!U95*节奏总纲!BK93)*'[1]功能-付费相关'!BA96/节奏总纲!X94</f>
        <v>87.886976111735066</v>
      </c>
      <c r="BA94" s="11">
        <f>('[1]资源-武将经验'!V96*节奏总纲!BL94-'[1]资源-武将经验'!V95*节奏总纲!BL93)*'[1]功能-付费相关'!BB96/节奏总纲!Y94</f>
        <v>39.215298084890776</v>
      </c>
      <c r="BB94" s="11">
        <f>('[1]资源-武将经验'!W96*节奏总纲!BM94-'[1]资源-武将经验'!W95*节奏总纲!BM93)*'[1]功能-付费相关'!BC96/节奏总纲!Z94</f>
        <v>31.907013684045801</v>
      </c>
      <c r="BC94" s="11">
        <f>('[1]资源-武将经验'!X96*节奏总纲!BN94-'[1]资源-武将经验'!X95*节奏总纲!BN93)*'[1]功能-付费相关'!BD96/节奏总纲!AA94</f>
        <v>38.497346313037269</v>
      </c>
      <c r="BD94" s="29"/>
      <c r="BE94" s="33" t="e">
        <f t="shared" si="6"/>
        <v>#REF!</v>
      </c>
      <c r="BF94" s="33" t="e">
        <f t="shared" si="7"/>
        <v>#REF!</v>
      </c>
      <c r="BG94" s="33" t="e">
        <f t="shared" si="8"/>
        <v>#REF!</v>
      </c>
      <c r="BH94" s="33" t="e">
        <f t="shared" si="9"/>
        <v>#REF!</v>
      </c>
      <c r="BI94" s="33" t="e">
        <f t="shared" si="10"/>
        <v>#REF!</v>
      </c>
      <c r="BJ94" s="29"/>
      <c r="BK94" s="29"/>
      <c r="BL94" s="29"/>
      <c r="BM94" s="29"/>
      <c r="BN94" s="29"/>
    </row>
    <row r="95" spans="2:66" x14ac:dyDescent="0.15">
      <c r="B95" s="5">
        <v>92</v>
      </c>
      <c r="C95" s="5">
        <f>'[1]资源-玩家城池建筑时间'!AJ97*'[1]功能-付费相关'!AH97/节奏总纲!W95</f>
        <v>3822.6963856759062</v>
      </c>
      <c r="D95" s="5">
        <f>'[1]资源-玩家城池建筑时间'!AK97*'[1]功能-付费相关'!AI97/节奏总纲!X95</f>
        <v>439.87350831923118</v>
      </c>
      <c r="E95" s="5">
        <f>'[1]资源-玩家城池建筑时间'!AL97*'[1]功能-付费相关'!AJ97/节奏总纲!Y95</f>
        <v>0</v>
      </c>
      <c r="F95" s="5">
        <f>'[1]资源-玩家城池建筑时间'!AM97*'[1]功能-付费相关'!AK97/节奏总纲!Z95</f>
        <v>0</v>
      </c>
      <c r="G95" s="5">
        <f>'[1]资源-玩家城池建筑时间'!AN97*'[1]功能-付费相关'!AL97/节奏总纲!AA95</f>
        <v>0</v>
      </c>
      <c r="H95" s="3"/>
      <c r="I95" s="28">
        <f>'[1]资源-士兵训练时间'!AB97*'[1]功能-付费相关'!AH97/节奏总纲!W95</f>
        <v>0</v>
      </c>
      <c r="J95" s="28">
        <f>'[1]资源-士兵训练时间'!AC97*'[1]功能-付费相关'!AI97/节奏总纲!X95</f>
        <v>0</v>
      </c>
      <c r="K95" s="28">
        <f>'[1]资源-士兵训练时间'!AD97*'[1]功能-付费相关'!AJ97/节奏总纲!Y95</f>
        <v>0</v>
      </c>
      <c r="L95" s="28">
        <f>'[1]资源-士兵训练时间'!AE97*'[1]功能-付费相关'!AK97/节奏总纲!Z95</f>
        <v>0</v>
      </c>
      <c r="M95" s="28">
        <f>'[1]资源-士兵训练时间'!AF97*'[1]功能-付费相关'!AL97/节奏总纲!AA95</f>
        <v>0</v>
      </c>
      <c r="N95" s="34"/>
      <c r="O95" s="34">
        <f>'[1]资源-士兵招募时间'!AC97*'[1]功能-付费相关'!AH97/节奏总纲!W95</f>
        <v>1164.6844580655454</v>
      </c>
      <c r="P95" s="34">
        <f>'[1]资源-士兵招募时间'!AD97*'[1]功能-付费相关'!AI97/节奏总纲!X95</f>
        <v>1416.9336417713403</v>
      </c>
      <c r="Q95" s="34">
        <f>'[1]资源-士兵招募时间'!AE97*'[1]功能-付费相关'!AJ97/节奏总纲!Y95</f>
        <v>1625.529649440334</v>
      </c>
      <c r="R95" s="34">
        <f>'[1]资源-士兵招募时间'!AF97*'[1]功能-付费相关'!AK97/节奏总纲!Z95</f>
        <v>1574.9291717818271</v>
      </c>
      <c r="S95" s="34">
        <f>'[1]资源-士兵招募时间'!AG97*'[1]功能-付费相关'!AL97/节奏总纲!AA95</f>
        <v>1338.2619672048736</v>
      </c>
      <c r="T95" s="34"/>
      <c r="U95" s="5">
        <f>('[1]资源-木石铜粮'!U97-'[1]资源-木石铜粮'!U96)*'[1]功能-付费相关'!S97/节奏总纲!W95</f>
        <v>2796.0294772351394</v>
      </c>
      <c r="V95" s="5">
        <f>('[1]资源-木石铜粮'!V97-'[1]资源-木石铜粮'!V96)*'[1]功能-付费相关'!T97/节奏总纲!X95</f>
        <v>1364.3894041408</v>
      </c>
      <c r="W95" s="5">
        <f>('[1]资源-木石铜粮'!W97-'[1]资源-木石铜粮'!W96)*'[1]功能-付费相关'!U97/节奏总纲!Y95</f>
        <v>1344.5953618010583</v>
      </c>
      <c r="X95" s="5">
        <f>('[1]资源-木石铜粮'!X97-'[1]资源-木石铜粮'!X96)*'[1]功能-付费相关'!V97/节奏总纲!Z95</f>
        <v>1564.1501567166031</v>
      </c>
      <c r="Y95" s="5">
        <f>('[1]资源-木石铜粮'!Y97-'[1]资源-木石铜粮'!Y96)*'[1]功能-付费相关'!W97/节奏总纲!AA95</f>
        <v>1360.7687064428674</v>
      </c>
      <c r="Z95" s="3"/>
      <c r="AA95" s="11">
        <f>('[1]资源-铁'!T97-'[1]资源-铁'!T96)*'[1]功能-付费相关'!X97/节奏总纲!W95</f>
        <v>1926.8250033417442</v>
      </c>
      <c r="AB95" s="11">
        <f>('[1]资源-铁'!U97-'[1]资源-铁'!U96)*'[1]功能-付费相关'!Y97/节奏总纲!X95</f>
        <v>220.16296466879419</v>
      </c>
      <c r="AC95" s="11">
        <f>('[1]资源-铁'!V97-'[1]资源-铁'!V96)*'[1]功能-付费相关'!Z97/节奏总纲!Y95</f>
        <v>0</v>
      </c>
      <c r="AD95" s="11">
        <f>('[1]资源-铁'!W97-'[1]资源-铁'!W96)*'[1]功能-付费相关'!AA97/节奏总纲!Z95</f>
        <v>0</v>
      </c>
      <c r="AE95" s="11">
        <f>('[1]资源-铁'!X97-'[1]资源-铁'!X96)*'[1]功能-付费相关'!AB97/节奏总纲!AA95</f>
        <v>0</v>
      </c>
      <c r="AG95" s="11">
        <f>('[1]资源-银币'!Y97-'[1]资源-银币'!Y96)*'[1]功能-付费相关'!AQ97/节奏总纲!W95</f>
        <v>605.33539858802851</v>
      </c>
      <c r="AH95" s="11">
        <f>('[1]资源-银币'!Z97-'[1]资源-银币'!Z96)*'[1]功能-付费相关'!AR97/节奏总纲!X95</f>
        <v>1239.8613795279916</v>
      </c>
      <c r="AI95" s="11">
        <f>('[1]资源-银币'!AA97-'[1]资源-银币'!AA96)*'[1]功能-付费相关'!AS97/节奏总纲!Y95</f>
        <v>222.02932202694646</v>
      </c>
      <c r="AJ95" s="11">
        <f>('[1]资源-银币'!AB97-'[1]资源-银币'!AB96)*'[1]功能-付费相关'!AT97/节奏总纲!Z95</f>
        <v>133.11353981670939</v>
      </c>
      <c r="AK95" s="11">
        <f>('[1]资源-银币'!AC97-'[1]资源-银币'!AC96)*'[1]功能-付费相关'!AU97/节奏总纲!AA95</f>
        <v>628.14217286692576</v>
      </c>
      <c r="AM95" s="11" t="e">
        <f>(#REF!-#REF!)*'[1]功能-付费相关'!CA97/节奏总纲!W95</f>
        <v>#REF!</v>
      </c>
      <c r="AN95" s="11" t="e">
        <f>(#REF!-#REF!)*'[1]功能-付费相关'!CB97/节奏总纲!X95</f>
        <v>#REF!</v>
      </c>
      <c r="AO95" s="11" t="e">
        <f>(#REF!-#REF!)*'[1]功能-付费相关'!CC97/节奏总纲!Y95</f>
        <v>#REF!</v>
      </c>
      <c r="AP95" s="11" t="e">
        <f>(#REF!-#REF!)*'[1]功能-付费相关'!CD97/节奏总纲!Z95</f>
        <v>#REF!</v>
      </c>
      <c r="AQ95" s="11" t="e">
        <f>(#REF!-#REF!)*'[1]功能-付费相关'!CE97/节奏总纲!AA95</f>
        <v>#REF!</v>
      </c>
      <c r="AR95" s="21"/>
      <c r="AS95" s="11">
        <f>(信息索引!U97-信息索引!U96)*'[1]功能-付费相关'!BI97/节奏总纲!W95</f>
        <v>632.29329402049132</v>
      </c>
      <c r="AT95" s="11">
        <f>(信息索引!V97-信息索引!V96)*'[1]功能-付费相关'!BJ97/节奏总纲!X95</f>
        <v>202.15135380889095</v>
      </c>
      <c r="AU95" s="11">
        <f>(信息索引!W97-信息索引!W96)*'[1]功能-付费相关'!BK97/节奏总纲!Y95</f>
        <v>151.98837485251903</v>
      </c>
      <c r="AV95" s="11">
        <f>(信息索引!X97-信息索引!X96)*'[1]功能-付费相关'!BL97/节奏总纲!Z95</f>
        <v>162.08932233079486</v>
      </c>
      <c r="AW95" s="11">
        <f>(信息索引!Y97-信息索引!Y96)*'[1]功能-付费相关'!BM97/节奏总纲!AA95</f>
        <v>196.09892236994693</v>
      </c>
      <c r="AY95" s="11">
        <f>('[1]资源-武将经验'!T97*节奏总纲!BJ95-'[1]资源-武将经验'!T96*节奏总纲!BJ94)*'[1]功能-付费相关'!AZ97/节奏总纲!W95</f>
        <v>65.023794467095115</v>
      </c>
      <c r="AZ95" s="11">
        <f>('[1]资源-武将经验'!U97*节奏总纲!BK95-'[1]资源-武将经验'!U96*节奏总纲!BK94)*'[1]功能-付费相关'!BA97/节奏总纲!X95</f>
        <v>20.581312747592332</v>
      </c>
      <c r="BA95" s="11">
        <f>('[1]资源-武将经验'!V97*节奏总纲!BL95-'[1]资源-武将经验'!V96*节奏总纲!BL94)*'[1]功能-付费相关'!BB97/节奏总纲!Y95</f>
        <v>15.816264947333421</v>
      </c>
      <c r="BB95" s="11">
        <f>('[1]资源-武将经验'!W97*节奏总纲!BM95-'[1]资源-武将经验'!W96*节奏总纲!BM94)*'[1]功能-付费相关'!BC97/节奏总纲!Z95</f>
        <v>27.832500492821488</v>
      </c>
      <c r="BC95" s="11">
        <f>('[1]资源-武将经验'!X97*节奏总纲!BN95-'[1]资源-武将经验'!X96*节奏总纲!BN94)*'[1]功能-付费相关'!BD97/节奏总纲!AA95</f>
        <v>33.082207164520128</v>
      </c>
      <c r="BD95" s="29"/>
      <c r="BE95" s="33" t="e">
        <f t="shared" si="6"/>
        <v>#REF!</v>
      </c>
      <c r="BF95" s="33" t="e">
        <f t="shared" si="7"/>
        <v>#REF!</v>
      </c>
      <c r="BG95" s="33" t="e">
        <f t="shared" si="8"/>
        <v>#REF!</v>
      </c>
      <c r="BH95" s="33" t="e">
        <f t="shared" si="9"/>
        <v>#REF!</v>
      </c>
      <c r="BI95" s="33" t="e">
        <f t="shared" si="10"/>
        <v>#REF!</v>
      </c>
      <c r="BJ95" s="29"/>
      <c r="BK95" s="29"/>
      <c r="BL95" s="29"/>
      <c r="BM95" s="29"/>
      <c r="BN95" s="29"/>
    </row>
    <row r="96" spans="2:66" x14ac:dyDescent="0.15">
      <c r="B96" s="5">
        <v>93</v>
      </c>
      <c r="C96" s="5">
        <f>'[1]资源-玩家城池建筑时间'!AJ98*'[1]功能-付费相关'!AH98/节奏总纲!W96</f>
        <v>98.839537751484812</v>
      </c>
      <c r="D96" s="5">
        <f>'[1]资源-玩家城池建筑时间'!AK98*'[1]功能-付费相关'!AI98/节奏总纲!X96</f>
        <v>0</v>
      </c>
      <c r="E96" s="5">
        <f>'[1]资源-玩家城池建筑时间'!AL98*'[1]功能-付费相关'!AJ98/节奏总纲!Y96</f>
        <v>0</v>
      </c>
      <c r="F96" s="5">
        <f>'[1]资源-玩家城池建筑时间'!AM98*'[1]功能-付费相关'!AK98/节奏总纲!Z96</f>
        <v>0</v>
      </c>
      <c r="G96" s="5">
        <f>'[1]资源-玩家城池建筑时间'!AN98*'[1]功能-付费相关'!AL98/节奏总纲!AA96</f>
        <v>0</v>
      </c>
      <c r="H96" s="3"/>
      <c r="I96" s="28">
        <f>'[1]资源-士兵训练时间'!AB98*'[1]功能-付费相关'!AH98/节奏总纲!W96</f>
        <v>0</v>
      </c>
      <c r="J96" s="28">
        <f>'[1]资源-士兵训练时间'!AC98*'[1]功能-付费相关'!AI98/节奏总纲!X96</f>
        <v>0</v>
      </c>
      <c r="K96" s="28">
        <f>'[1]资源-士兵训练时间'!AD98*'[1]功能-付费相关'!AJ98/节奏总纲!Y96</f>
        <v>0</v>
      </c>
      <c r="L96" s="28">
        <f>'[1]资源-士兵训练时间'!AE98*'[1]功能-付费相关'!AK98/节奏总纲!Z96</f>
        <v>0</v>
      </c>
      <c r="M96" s="28">
        <f>'[1]资源-士兵训练时间'!AF98*'[1]功能-付费相关'!AL98/节奏总纲!AA96</f>
        <v>0</v>
      </c>
      <c r="N96" s="34"/>
      <c r="O96" s="34">
        <f>'[1]资源-士兵招募时间'!AC98*'[1]功能-付费相关'!AH98/节奏总纲!W96</f>
        <v>1164.6876698233498</v>
      </c>
      <c r="P96" s="34">
        <f>'[1]资源-士兵招募时间'!AD98*'[1]功能-付费相关'!AI98/节奏总纲!X96</f>
        <v>1417.1226709787893</v>
      </c>
      <c r="Q96" s="34">
        <f>'[1]资源-士兵招募时间'!AE98*'[1]功能-付费相关'!AJ98/节奏总纲!Y96</f>
        <v>1625.7807253257261</v>
      </c>
      <c r="R96" s="34">
        <f>'[1]资源-士兵招募时间'!AF98*'[1]功能-付费相关'!AK98/节奏总纲!Z96</f>
        <v>1575.20137196573</v>
      </c>
      <c r="S96" s="34">
        <f>'[1]资源-士兵招募时间'!AG98*'[1]功能-付费相关'!AL98/节奏总纲!AA96</f>
        <v>1338.6067002058066</v>
      </c>
      <c r="T96" s="34"/>
      <c r="U96" s="5">
        <f>('[1]资源-木石铜粮'!U98-'[1]资源-木石铜粮'!U97)*'[1]功能-付费相关'!S98/节奏总纲!W96</f>
        <v>1618.182435043577</v>
      </c>
      <c r="V96" s="5">
        <f>('[1]资源-木石铜粮'!V98-'[1]资源-木石铜粮'!V97)*'[1]功能-付费相关'!T98/节奏总纲!X96</f>
        <v>1759.3343020724135</v>
      </c>
      <c r="W96" s="5">
        <f>('[1]资源-木石铜粮'!W98-'[1]资源-木石铜粮'!W97)*'[1]功能-付费相关'!U98/节奏总纲!Y96</f>
        <v>2174.4305068293334</v>
      </c>
      <c r="X96" s="5">
        <f>('[1]资源-木石铜粮'!X98-'[1]资源-木石铜粮'!X97)*'[1]功能-付费相关'!V98/节奏总纲!Z96</f>
        <v>2043.6413764698784</v>
      </c>
      <c r="Y96" s="5">
        <f>('[1]资源-木石铜粮'!Y98-'[1]资源-木石铜粮'!Y97)*'[1]功能-付费相关'!W98/节奏总纲!AA96</f>
        <v>1849.4157745601146</v>
      </c>
      <c r="Z96" s="3"/>
      <c r="AA96" s="11">
        <f>('[1]资源-铁'!T98-'[1]资源-铁'!T97)*'[1]功能-付费相关'!X98/节奏总纲!W96</f>
        <v>49.824511466898571</v>
      </c>
      <c r="AB96" s="11">
        <f>('[1]资源-铁'!U98-'[1]资源-铁'!U97)*'[1]功能-付费相关'!Y98/节奏总纲!X96</f>
        <v>0</v>
      </c>
      <c r="AC96" s="11">
        <f>('[1]资源-铁'!V98-'[1]资源-铁'!V97)*'[1]功能-付费相关'!Z98/节奏总纲!Y96</f>
        <v>0</v>
      </c>
      <c r="AD96" s="11">
        <f>('[1]资源-铁'!W98-'[1]资源-铁'!W97)*'[1]功能-付费相关'!AA98/节奏总纲!Z96</f>
        <v>0</v>
      </c>
      <c r="AE96" s="11">
        <f>('[1]资源-铁'!X98-'[1]资源-铁'!X97)*'[1]功能-付费相关'!AB98/节奏总纲!AA96</f>
        <v>0</v>
      </c>
      <c r="AG96" s="11">
        <f>('[1]资源-银币'!Y98-'[1]资源-银币'!Y97)*'[1]功能-付费相关'!AQ98/节奏总纲!W96</f>
        <v>7712.0163578590491</v>
      </c>
      <c r="AH96" s="11">
        <f>('[1]资源-银币'!Z98-'[1]资源-银币'!Z97)*'[1]功能-付费相关'!AR98/节奏总纲!X96</f>
        <v>1964.2812601283181</v>
      </c>
      <c r="AI96" s="11">
        <f>('[1]资源-银币'!AA98-'[1]资源-银币'!AA97)*'[1]功能-付费相关'!AS98/节奏总纲!Y96</f>
        <v>833.05578079821419</v>
      </c>
      <c r="AJ96" s="11">
        <f>('[1]资源-银币'!AB98-'[1]资源-银币'!AB97)*'[1]功能-付费相关'!AT98/节奏总纲!Z96</f>
        <v>506.05417997788356</v>
      </c>
      <c r="AK96" s="11">
        <f>('[1]资源-银币'!AC98-'[1]资源-银币'!AC97)*'[1]功能-付费相关'!AU98/节奏总纲!AA96</f>
        <v>2472.2436308297461</v>
      </c>
      <c r="AM96" s="11" t="e">
        <f>(#REF!-#REF!)*'[1]功能-付费相关'!CA98/节奏总纲!W96</f>
        <v>#REF!</v>
      </c>
      <c r="AN96" s="11" t="e">
        <f>(#REF!-#REF!)*'[1]功能-付费相关'!CB98/节奏总纲!X96</f>
        <v>#REF!</v>
      </c>
      <c r="AO96" s="11" t="e">
        <f>(#REF!-#REF!)*'[1]功能-付费相关'!CC98/节奏总纲!Y96</f>
        <v>#REF!</v>
      </c>
      <c r="AP96" s="11" t="e">
        <f>(#REF!-#REF!)*'[1]功能-付费相关'!CD98/节奏总纲!Z96</f>
        <v>#REF!</v>
      </c>
      <c r="AQ96" s="11" t="e">
        <f>(#REF!-#REF!)*'[1]功能-付费相关'!CE98/节奏总纲!AA96</f>
        <v>#REF!</v>
      </c>
      <c r="AR96" s="21"/>
      <c r="AS96" s="11">
        <f>(信息索引!U98-信息索引!U97)*'[1]功能-付费相关'!BI98/节奏总纲!W96</f>
        <v>570.5770610520085</v>
      </c>
      <c r="AT96" s="11">
        <f>(信息索引!V98-信息索引!V97)*'[1]功能-付费相关'!BJ98/节奏总纲!X96</f>
        <v>549.86652540633872</v>
      </c>
      <c r="AU96" s="11">
        <f>(信息索引!W98-信息索引!W97)*'[1]功能-付费相关'!BK98/节奏总纲!Y96</f>
        <v>546.1952289518656</v>
      </c>
      <c r="AV96" s="11">
        <f>(信息索引!X98-信息索引!X97)*'[1]功能-付费相关'!BL98/节奏总纲!Z96</f>
        <v>590.05762991163806</v>
      </c>
      <c r="AW96" s="11">
        <f>(信息索引!Y98-信息索引!Y97)*'[1]功能-付费相关'!BM98/节奏总纲!AA96</f>
        <v>738.59886234029682</v>
      </c>
      <c r="AY96" s="11">
        <f>('[1]资源-武将经验'!T98*节奏总纲!BJ96-'[1]资源-武将经验'!T97*节奏总纲!BJ95)*'[1]功能-付费相关'!AZ98/节奏总纲!W96</f>
        <v>57.780329021625597</v>
      </c>
      <c r="AZ96" s="11">
        <f>('[1]资源-武将经验'!U98*节奏总纲!BK96-'[1]资源-武将经验'!U97*节奏总纲!BK95)*'[1]功能-付费相关'!BA98/节奏总纲!X96</f>
        <v>55.127166305965424</v>
      </c>
      <c r="BA96" s="11">
        <f>('[1]资源-武将经验'!V98*节奏总纲!BL96-'[1]资源-武将经验'!V97*节奏总纲!BL95)*'[1]功能-付费相关'!BB98/节奏总纲!Y96</f>
        <v>55.969758354467395</v>
      </c>
      <c r="BB96" s="11">
        <f>('[1]资源-武将经验'!W98*节奏总纲!BM96-'[1]资源-武将经验'!W97*节奏总纲!BM95)*'[1]功能-付费相关'!BC98/节奏总纲!Z96</f>
        <v>99.770975578089619</v>
      </c>
      <c r="BC96" s="11">
        <f>('[1]资源-武将经验'!X98*节奏总纲!BN96-'[1]资源-武将经验'!X97*节奏总纲!BN95)*'[1]功能-付费相关'!BD98/节奏总纲!AA96</f>
        <v>122.69867522169787</v>
      </c>
      <c r="BD96" s="29"/>
      <c r="BE96" s="33" t="e">
        <f t="shared" si="6"/>
        <v>#REF!</v>
      </c>
      <c r="BF96" s="33" t="e">
        <f t="shared" si="7"/>
        <v>#REF!</v>
      </c>
      <c r="BG96" s="33" t="e">
        <f t="shared" si="8"/>
        <v>#REF!</v>
      </c>
      <c r="BH96" s="33" t="e">
        <f t="shared" si="9"/>
        <v>#REF!</v>
      </c>
      <c r="BI96" s="33" t="e">
        <f t="shared" si="10"/>
        <v>#REF!</v>
      </c>
      <c r="BJ96" s="29"/>
      <c r="BK96" s="29"/>
      <c r="BL96" s="29"/>
      <c r="BM96" s="29"/>
      <c r="BN96" s="29"/>
    </row>
    <row r="97" spans="2:66" x14ac:dyDescent="0.15">
      <c r="B97" s="5">
        <v>94</v>
      </c>
      <c r="C97" s="5">
        <f>'[1]资源-玩家城池建筑时间'!AJ99*'[1]功能-付费相关'!AH99/节奏总纲!W97</f>
        <v>0</v>
      </c>
      <c r="D97" s="5">
        <f>'[1]资源-玩家城池建筑时间'!AK99*'[1]功能-付费相关'!AI99/节奏总纲!X97</f>
        <v>0</v>
      </c>
      <c r="E97" s="5">
        <f>'[1]资源-玩家城池建筑时间'!AL99*'[1]功能-付费相关'!AJ99/节奏总纲!Y97</f>
        <v>0</v>
      </c>
      <c r="F97" s="5">
        <f>'[1]资源-玩家城池建筑时间'!AM99*'[1]功能-付费相关'!AK99/节奏总纲!Z97</f>
        <v>0</v>
      </c>
      <c r="G97" s="5">
        <f>'[1]资源-玩家城池建筑时间'!AN99*'[1]功能-付费相关'!AL99/节奏总纲!AA97</f>
        <v>0</v>
      </c>
      <c r="H97" s="3"/>
      <c r="I97" s="28">
        <f>'[1]资源-士兵训练时间'!AB99*'[1]功能-付费相关'!AH99/节奏总纲!W97</f>
        <v>0</v>
      </c>
      <c r="J97" s="28">
        <f>'[1]资源-士兵训练时间'!AC99*'[1]功能-付费相关'!AI99/节奏总纲!X97</f>
        <v>0</v>
      </c>
      <c r="K97" s="28">
        <f>'[1]资源-士兵训练时间'!AD99*'[1]功能-付费相关'!AJ99/节奏总纲!Y97</f>
        <v>0</v>
      </c>
      <c r="L97" s="28">
        <f>'[1]资源-士兵训练时间'!AE99*'[1]功能-付费相关'!AK99/节奏总纲!Z97</f>
        <v>0</v>
      </c>
      <c r="M97" s="28">
        <f>'[1]资源-士兵训练时间'!AF99*'[1]功能-付费相关'!AL99/节奏总纲!AA97</f>
        <v>0</v>
      </c>
      <c r="N97" s="34"/>
      <c r="O97" s="34">
        <f>'[1]资源-士兵招募时间'!AC99*'[1]功能-付费相关'!AH99/节奏总纲!W97</f>
        <v>1164.6561430059135</v>
      </c>
      <c r="P97" s="34">
        <f>'[1]资源-士兵招募时间'!AD99*'[1]功能-付费相关'!AI99/节奏总纲!X97</f>
        <v>1417.1183631347863</v>
      </c>
      <c r="Q97" s="34">
        <f>'[1]资源-士兵招募时间'!AE99*'[1]功能-付费相关'!AJ99/节奏总纲!Y97</f>
        <v>1625.7910565726393</v>
      </c>
      <c r="R97" s="34">
        <f>'[1]资源-士兵招募时间'!AF99*'[1]功能-付费相关'!AK99/节奏总纲!Z97</f>
        <v>1575.2056049734169</v>
      </c>
      <c r="S97" s="34">
        <f>'[1]资源-士兵招募时间'!AG99*'[1]功能-付费相关'!AL99/节奏总纲!AA97</f>
        <v>1338.6079829469329</v>
      </c>
      <c r="T97" s="34"/>
      <c r="U97" s="5">
        <f>('[1]资源-木石铜粮'!U99-'[1]资源-木石铜粮'!U98)*'[1]功能-付费相关'!S99/节奏总纲!W97</f>
        <v>1639.4393552211225</v>
      </c>
      <c r="V97" s="5">
        <f>('[1]资源-木石铜粮'!V99-'[1]资源-木石铜粮'!V98)*'[1]功能-付费相关'!T99/节奏总纲!X97</f>
        <v>2077.2187475586593</v>
      </c>
      <c r="W97" s="5">
        <f>('[1]资源-木石铜粮'!W99-'[1]资源-木石铜粮'!W98)*'[1]功能-付费相关'!U99/节奏总纲!Y97</f>
        <v>2248.0279582929115</v>
      </c>
      <c r="X97" s="5">
        <f>('[1]资源-木石铜粮'!X99-'[1]资源-木石铜粮'!X98)*'[1]功能-付费相关'!V99/节奏总纲!Z97</f>
        <v>2098.3962635034777</v>
      </c>
      <c r="Y97" s="5">
        <f>('[1]资源-木石铜粮'!Y99-'[1]资源-木石铜粮'!Y98)*'[1]功能-付费相关'!W99/节奏总纲!AA97</f>
        <v>1897.0861502005735</v>
      </c>
      <c r="Z97" s="3"/>
      <c r="AA97" s="11">
        <f>('[1]资源-铁'!T99-'[1]资源-铁'!T98)*'[1]功能-付费相关'!X99/节奏总纲!W97</f>
        <v>0</v>
      </c>
      <c r="AB97" s="11">
        <f>('[1]资源-铁'!U99-'[1]资源-铁'!U98)*'[1]功能-付费相关'!Y99/节奏总纲!X97</f>
        <v>0</v>
      </c>
      <c r="AC97" s="11">
        <f>('[1]资源-铁'!V99-'[1]资源-铁'!V98)*'[1]功能-付费相关'!Z99/节奏总纲!Y97</f>
        <v>0</v>
      </c>
      <c r="AD97" s="11">
        <f>('[1]资源-铁'!W99-'[1]资源-铁'!W98)*'[1]功能-付费相关'!AA99/节奏总纲!Z97</f>
        <v>0</v>
      </c>
      <c r="AE97" s="11">
        <f>('[1]资源-铁'!X99-'[1]资源-铁'!X98)*'[1]功能-付费相关'!AB99/节奏总纲!AA97</f>
        <v>0</v>
      </c>
      <c r="AG97" s="11">
        <f>('[1]资源-银币'!Y99-'[1]资源-银币'!Y98)*'[1]功能-付费相关'!AQ99/节奏总纲!W97</f>
        <v>6882.700538374861</v>
      </c>
      <c r="AH97" s="11">
        <f>('[1]资源-银币'!Z99-'[1]资源-银币'!Z98)*'[1]功能-付费相关'!AR99/节奏总纲!X97</f>
        <v>1958.3665356231163</v>
      </c>
      <c r="AI97" s="11">
        <f>('[1]资源-银币'!AA99-'[1]资源-银币'!AA98)*'[1]功能-付费相关'!AS99/节奏总纲!Y97</f>
        <v>866.41640106205227</v>
      </c>
      <c r="AJ97" s="11">
        <f>('[1]资源-银币'!AB99-'[1]资源-银币'!AB98)*'[1]功能-付费相关'!AT99/节奏总纲!Z97</f>
        <v>516.91484543361366</v>
      </c>
      <c r="AK97" s="11">
        <f>('[1]资源-银币'!AC99-'[1]资源-银币'!AC98)*'[1]功能-付费相关'!AU99/节奏总纲!AA97</f>
        <v>2505.1923732508722</v>
      </c>
      <c r="AM97" s="11" t="e">
        <f>(#REF!-#REF!)*'[1]功能-付费相关'!CA99/节奏总纲!W97</f>
        <v>#REF!</v>
      </c>
      <c r="AN97" s="11" t="e">
        <f>(#REF!-#REF!)*'[1]功能-付费相关'!CB99/节奏总纲!X97</f>
        <v>#REF!</v>
      </c>
      <c r="AO97" s="11" t="e">
        <f>(#REF!-#REF!)*'[1]功能-付费相关'!CC99/节奏总纲!Y97</f>
        <v>#REF!</v>
      </c>
      <c r="AP97" s="11" t="e">
        <f>(#REF!-#REF!)*'[1]功能-付费相关'!CD99/节奏总纲!Z97</f>
        <v>#REF!</v>
      </c>
      <c r="AQ97" s="11" t="e">
        <f>(#REF!-#REF!)*'[1]功能-付费相关'!CE99/节奏总纲!AA97</f>
        <v>#REF!</v>
      </c>
      <c r="AR97" s="21"/>
      <c r="AS97" s="11">
        <f>(信息索引!U99-信息索引!U98)*'[1]功能-付费相关'!BI99/节奏总纲!W97</f>
        <v>514.76451999179369</v>
      </c>
      <c r="AT97" s="11">
        <f>(信息索引!V99-信息索引!V98)*'[1]功能-付费相关'!BJ99/节奏总纲!X97</f>
        <v>525.05981039162828</v>
      </c>
      <c r="AU97" s="11">
        <f>(信息索引!W99-信息索引!W98)*'[1]功能-付费相关'!BK99/节奏总纲!Y97</f>
        <v>544.01833618275339</v>
      </c>
      <c r="AV97" s="11">
        <f>(信息索引!X99-信息索引!X98)*'[1]功能-付费相关'!BL99/节奏总纲!Z97</f>
        <v>577.06274705957526</v>
      </c>
      <c r="AW97" s="11">
        <f>(信息索引!Y99-信息索引!Y98)*'[1]功能-付费相关'!BM99/节奏总纲!AA97</f>
        <v>716.15216856413213</v>
      </c>
      <c r="AY97" s="11">
        <f>('[1]资源-武将经验'!T99*节奏总纲!BJ97-'[1]资源-武将经验'!T98*节奏总纲!BJ96)*'[1]功能-付费相关'!AZ99/节奏总纲!W97</f>
        <v>51.343764989551232</v>
      </c>
      <c r="AZ97" s="11">
        <f>('[1]资源-武将经验'!U99*节奏总纲!BK97-'[1]资源-武将经验'!U98*节奏总纲!BK96)*'[1]功能-付费相关'!BA99/节奏总纲!X97</f>
        <v>51.847828063631781</v>
      </c>
      <c r="BA97" s="11">
        <f>('[1]资源-武将经验'!V99*节奏总纲!BL97-'[1]资源-武将经验'!V98*节奏总纲!BL96)*'[1]功能-付费相关'!BB99/节奏总纲!Y97</f>
        <v>54.907601232873589</v>
      </c>
      <c r="BB97" s="11">
        <f>('[1]资源-武将经验'!W99*节奏总纲!BM97-'[1]资源-武将经验'!W98*节奏总纲!BM96)*'[1]功能-付费相关'!BC99/节奏总纲!Z97</f>
        <v>96.105054783917936</v>
      </c>
      <c r="BC97" s="11">
        <f>('[1]资源-武将经验'!X99*节奏总纲!BN97-'[1]资源-武将经验'!X98*节奏总纲!BN96)*'[1]功能-付费相关'!BD99/节奏总纲!AA97</f>
        <v>117.17904495971236</v>
      </c>
      <c r="BD97" s="29"/>
      <c r="BE97" s="33" t="e">
        <f t="shared" si="6"/>
        <v>#REF!</v>
      </c>
      <c r="BF97" s="33" t="e">
        <f t="shared" si="7"/>
        <v>#REF!</v>
      </c>
      <c r="BG97" s="33" t="e">
        <f t="shared" si="8"/>
        <v>#REF!</v>
      </c>
      <c r="BH97" s="33" t="e">
        <f t="shared" si="9"/>
        <v>#REF!</v>
      </c>
      <c r="BI97" s="33" t="e">
        <f t="shared" si="10"/>
        <v>#REF!</v>
      </c>
      <c r="BJ97" s="29"/>
      <c r="BK97" s="29"/>
      <c r="BL97" s="29"/>
      <c r="BM97" s="29"/>
      <c r="BN97" s="29"/>
    </row>
    <row r="98" spans="2:66" x14ac:dyDescent="0.15">
      <c r="B98" s="5">
        <v>95</v>
      </c>
      <c r="C98" s="5">
        <f>'[1]资源-玩家城池建筑时间'!AJ100*'[1]功能-付费相关'!AH100/节奏总纲!W98</f>
        <v>0</v>
      </c>
      <c r="D98" s="5">
        <f>'[1]资源-玩家城池建筑时间'!AK100*'[1]功能-付费相关'!AI100/节奏总纲!X98</f>
        <v>0</v>
      </c>
      <c r="E98" s="5">
        <f>'[1]资源-玩家城池建筑时间'!AL100*'[1]功能-付费相关'!AJ100/节奏总纲!Y98</f>
        <v>0</v>
      </c>
      <c r="F98" s="5">
        <f>'[1]资源-玩家城池建筑时间'!AM100*'[1]功能-付费相关'!AK100/节奏总纲!Z98</f>
        <v>0</v>
      </c>
      <c r="G98" s="5">
        <f>'[1]资源-玩家城池建筑时间'!AN100*'[1]功能-付费相关'!AL100/节奏总纲!AA98</f>
        <v>0</v>
      </c>
      <c r="H98" s="3"/>
      <c r="I98" s="28">
        <f>'[1]资源-士兵训练时间'!AB100*'[1]功能-付费相关'!AH100/节奏总纲!W98</f>
        <v>0</v>
      </c>
      <c r="J98" s="28">
        <f>'[1]资源-士兵训练时间'!AC100*'[1]功能-付费相关'!AI100/节奏总纲!X98</f>
        <v>0</v>
      </c>
      <c r="K98" s="28">
        <f>'[1]资源-士兵训练时间'!AD100*'[1]功能-付费相关'!AJ100/节奏总纲!Y98</f>
        <v>0</v>
      </c>
      <c r="L98" s="28">
        <f>'[1]资源-士兵训练时间'!AE100*'[1]功能-付费相关'!AK100/节奏总纲!Z98</f>
        <v>0</v>
      </c>
      <c r="M98" s="28">
        <f>'[1]资源-士兵训练时间'!AF100*'[1]功能-付费相关'!AL100/节奏总纲!AA98</f>
        <v>0</v>
      </c>
      <c r="N98" s="34"/>
      <c r="O98" s="34">
        <f>'[1]资源-士兵招募时间'!AC100*'[1]功能-付费相关'!AH100/节奏总纲!W98</f>
        <v>1164.6337250703591</v>
      </c>
      <c r="P98" s="34">
        <f>'[1]资源-士兵招募时间'!AD100*'[1]功能-付费相关'!AI100/节奏总纲!X98</f>
        <v>1417.0908207592383</v>
      </c>
      <c r="Q98" s="34">
        <f>'[1]资源-士兵招募时间'!AE100*'[1]功能-付费相关'!AJ100/节奏总纲!Y98</f>
        <v>1625.7654076725642</v>
      </c>
      <c r="R98" s="34">
        <f>'[1]资源-士兵招募时间'!AF100*'[1]功能-付费相关'!AK100/节奏总纲!Z98</f>
        <v>1575.185420212335</v>
      </c>
      <c r="S98" s="34">
        <f>'[1]资源-士兵招募时间'!AG100*'[1]功能-付费相关'!AL100/节奏总纲!AA98</f>
        <v>1338.5781686128851</v>
      </c>
      <c r="T98" s="34"/>
      <c r="U98" s="5">
        <f>('[1]资源-木石铜粮'!U100-'[1]资源-木石铜粮'!U99)*'[1]功能-付费相关'!S100/节奏总纲!W98</f>
        <v>1864.6492108071031</v>
      </c>
      <c r="V98" s="5">
        <f>('[1]资源-木石铜粮'!V100-'[1]资源-木石铜粮'!V99)*'[1]功能-付费相关'!T100/节奏总纲!X98</f>
        <v>2066.1259109145917</v>
      </c>
      <c r="W98" s="5">
        <f>('[1]资源-木石铜粮'!W100-'[1]资源-木石铜粮'!W99)*'[1]功能-付费相关'!U100/节奏总纲!Y98</f>
        <v>2244.8553669811572</v>
      </c>
      <c r="X98" s="5">
        <f>('[1]资源-木石铜粮'!X100-'[1]资源-木石铜粮'!X99)*'[1]功能-付费相关'!V100/节奏总纲!Z98</f>
        <v>2111.8978807296858</v>
      </c>
      <c r="Y98" s="5">
        <f>('[1]资源-木石铜粮'!Y100-'[1]资源-木石铜粮'!Y99)*'[1]功能-付费相关'!W100/节奏总纲!AA98</f>
        <v>1901.4791129340547</v>
      </c>
      <c r="Z98" s="3"/>
      <c r="AA98" s="11">
        <f>('[1]资源-铁'!T100-'[1]资源-铁'!T99)*'[1]功能-付费相关'!X100/节奏总纲!W98</f>
        <v>0</v>
      </c>
      <c r="AB98" s="11">
        <f>('[1]资源-铁'!U100-'[1]资源-铁'!U99)*'[1]功能-付费相关'!Y100/节奏总纲!X98</f>
        <v>0</v>
      </c>
      <c r="AC98" s="11">
        <f>('[1]资源-铁'!V100-'[1]资源-铁'!V99)*'[1]功能-付费相关'!Z100/节奏总纲!Y98</f>
        <v>0</v>
      </c>
      <c r="AD98" s="11">
        <f>('[1]资源-铁'!W100-'[1]资源-铁'!W99)*'[1]功能-付费相关'!AA100/节奏总纲!Z98</f>
        <v>0</v>
      </c>
      <c r="AE98" s="11">
        <f>('[1]资源-铁'!X100-'[1]资源-铁'!X99)*'[1]功能-付费相关'!AB100/节奏总纲!AA98</f>
        <v>0</v>
      </c>
      <c r="AG98" s="11">
        <f>('[1]资源-银币'!Y100-'[1]资源-银币'!Y99)*'[1]功能-付费相关'!AQ100/节奏总纲!W98</f>
        <v>6482.2398343767863</v>
      </c>
      <c r="AH98" s="11">
        <f>('[1]资源-银币'!Z100-'[1]资源-银币'!Z99)*'[1]功能-付费相关'!AR100/节奏总纲!X98</f>
        <v>1817.4381328620814</v>
      </c>
      <c r="AI98" s="11">
        <f>('[1]资源-银币'!AA100-'[1]资源-银币'!AA99)*'[1]功能-付费相关'!AS100/节奏总纲!Y98</f>
        <v>811.32130496500395</v>
      </c>
      <c r="AJ98" s="11">
        <f>('[1]资源-银币'!AB100-'[1]资源-银币'!AB99)*'[1]功能-付费相关'!AT100/节奏总纲!Z98</f>
        <v>493.89335910424001</v>
      </c>
      <c r="AK98" s="11">
        <f>('[1]资源-银币'!AC100-'[1]资源-银币'!AC99)*'[1]功能-付费相关'!AU100/节奏总纲!AA98</f>
        <v>2369.0472506434216</v>
      </c>
      <c r="AM98" s="11" t="e">
        <f>(#REF!-#REF!)*'[1]功能-付费相关'!CA100/节奏总纲!W98</f>
        <v>#REF!</v>
      </c>
      <c r="AN98" s="11" t="e">
        <f>(#REF!-#REF!)*'[1]功能-付费相关'!CB100/节奏总纲!X98</f>
        <v>#REF!</v>
      </c>
      <c r="AO98" s="11" t="e">
        <f>(#REF!-#REF!)*'[1]功能-付费相关'!CC100/节奏总纲!Y98</f>
        <v>#REF!</v>
      </c>
      <c r="AP98" s="11" t="e">
        <f>(#REF!-#REF!)*'[1]功能-付费相关'!CD100/节奏总纲!Z98</f>
        <v>#REF!</v>
      </c>
      <c r="AQ98" s="11" t="e">
        <f>(#REF!-#REF!)*'[1]功能-付费相关'!CE100/节奏总纲!AA98</f>
        <v>#REF!</v>
      </c>
      <c r="AR98" s="21"/>
      <c r="AS98" s="11">
        <f>(信息索引!U100-信息索引!U99)*'[1]功能-付费相关'!BI100/节奏总纲!W98</f>
        <v>464.30621872990525</v>
      </c>
      <c r="AT98" s="11">
        <f>(信息索引!V100-信息索引!V99)*'[1]功能-付费相关'!BJ100/节奏总纲!X98</f>
        <v>466.63385102502843</v>
      </c>
      <c r="AU98" s="11">
        <f>(信息索引!W100-信息索引!W99)*'[1]功能-付费相关'!BK100/节奏总纲!Y98</f>
        <v>487.79161745212662</v>
      </c>
      <c r="AV98" s="11">
        <f>(信息索引!X100-信息索引!X99)*'[1]功能-付费相关'!BL100/节奏总纲!Z98</f>
        <v>527.82190922052541</v>
      </c>
      <c r="AW98" s="11">
        <f>(信息索引!Y100-信息索引!Y99)*'[1]功能-付费相关'!BM100/节奏总纲!AA98</f>
        <v>647.93821838772578</v>
      </c>
      <c r="AY98" s="11">
        <f>('[1]资源-武将经验'!T100*节奏总纲!BJ98-'[1]资源-武将经验'!T99*节奏总纲!BJ97)*'[1]功能-付费相关'!AZ100/节奏总纲!W98</f>
        <v>45.6242158523456</v>
      </c>
      <c r="AZ98" s="11">
        <f>('[1]资源-武将经验'!U100*节奏总纲!BK98-'[1]资源-武将经验'!U99*节奏总纲!BK97)*'[1]功能-付费相关'!BA100/节奏总纲!X98</f>
        <v>45.395189984450461</v>
      </c>
      <c r="BA98" s="11">
        <f>('[1]资源-武将经验'!V100*节奏总纲!BL98-'[1]资源-武将经验'!V99*节奏总纲!BL97)*'[1]功能-付费相关'!BB100/节奏总纲!Y98</f>
        <v>48.502605883733224</v>
      </c>
      <c r="BB98" s="11">
        <f>('[1]资源-武将经验'!W100*节奏总纲!BM98-'[1]资源-武将经验'!W99*节奏总纲!BM97)*'[1]功能-付费相关'!BC100/节奏总纲!Z98</f>
        <v>86.6009012213771</v>
      </c>
      <c r="BC98" s="11">
        <f>('[1]资源-武将经验'!X100*节奏总纲!BN98-'[1]资源-武将经验'!X99*节奏总纲!BN97)*'[1]功能-付费相关'!BD100/节奏总纲!AA98</f>
        <v>104.44557536319275</v>
      </c>
      <c r="BD98" s="29"/>
      <c r="BE98" s="33" t="e">
        <f t="shared" si="6"/>
        <v>#REF!</v>
      </c>
      <c r="BF98" s="33" t="e">
        <f t="shared" si="7"/>
        <v>#REF!</v>
      </c>
      <c r="BG98" s="33" t="e">
        <f t="shared" si="8"/>
        <v>#REF!</v>
      </c>
      <c r="BH98" s="33" t="e">
        <f t="shared" si="9"/>
        <v>#REF!</v>
      </c>
      <c r="BI98" s="33" t="e">
        <f t="shared" si="10"/>
        <v>#REF!</v>
      </c>
      <c r="BJ98" s="29"/>
      <c r="BK98" s="29"/>
      <c r="BL98" s="29"/>
      <c r="BM98" s="29"/>
      <c r="BN98" s="29"/>
    </row>
    <row r="99" spans="2:66" x14ac:dyDescent="0.15">
      <c r="B99" s="5">
        <v>96</v>
      </c>
      <c r="C99" s="5">
        <f>'[1]资源-玩家城池建筑时间'!AJ101*'[1]功能-付费相关'!AH101/节奏总纲!W99</f>
        <v>0</v>
      </c>
      <c r="D99" s="5">
        <f>'[1]资源-玩家城池建筑时间'!AK101*'[1]功能-付费相关'!AI101/节奏总纲!X99</f>
        <v>0</v>
      </c>
      <c r="E99" s="5">
        <f>'[1]资源-玩家城池建筑时间'!AL101*'[1]功能-付费相关'!AJ101/节奏总纲!Y99</f>
        <v>0</v>
      </c>
      <c r="F99" s="5">
        <f>'[1]资源-玩家城池建筑时间'!AM101*'[1]功能-付费相关'!AK101/节奏总纲!Z99</f>
        <v>0</v>
      </c>
      <c r="G99" s="5">
        <f>'[1]资源-玩家城池建筑时间'!AN101*'[1]功能-付费相关'!AL101/节奏总纲!AA99</f>
        <v>0</v>
      </c>
      <c r="H99" s="3"/>
      <c r="I99" s="28">
        <f>'[1]资源-士兵训练时间'!AB101*'[1]功能-付费相关'!AH101/节奏总纲!W99</f>
        <v>0</v>
      </c>
      <c r="J99" s="28">
        <f>'[1]资源-士兵训练时间'!AC101*'[1]功能-付费相关'!AI101/节奏总纲!X99</f>
        <v>0</v>
      </c>
      <c r="K99" s="28">
        <f>'[1]资源-士兵训练时间'!AD101*'[1]功能-付费相关'!AJ101/节奏总纲!Y99</f>
        <v>0</v>
      </c>
      <c r="L99" s="28">
        <f>'[1]资源-士兵训练时间'!AE101*'[1]功能-付费相关'!AK101/节奏总纲!Z99</f>
        <v>0</v>
      </c>
      <c r="M99" s="28">
        <f>'[1]资源-士兵训练时间'!AF101*'[1]功能-付费相关'!AL101/节奏总纲!AA99</f>
        <v>0</v>
      </c>
      <c r="N99" s="34"/>
      <c r="O99" s="34">
        <f>'[1]资源-士兵招募时间'!AC101*'[1]功能-付费相关'!AH101/节奏总纲!W99</f>
        <v>1164.6128083968849</v>
      </c>
      <c r="P99" s="34">
        <f>'[1]资源-士兵招募时间'!AD101*'[1]功能-付费相关'!AI101/节奏总纲!X99</f>
        <v>1417.0761012130126</v>
      </c>
      <c r="Q99" s="34">
        <f>'[1]资源-士兵招募时间'!AE101*'[1]功能-付费相关'!AJ101/节奏总纲!Y99</f>
        <v>1625.7442140032483</v>
      </c>
      <c r="R99" s="34">
        <f>'[1]资源-士兵招募时间'!AF101*'[1]功能-付费相关'!AK101/节奏总纲!Z99</f>
        <v>1575.1607491163011</v>
      </c>
      <c r="S99" s="34">
        <f>'[1]资源-士兵招募时间'!AG101*'[1]功能-付费相关'!AL101/节奏总纲!AA99</f>
        <v>1338.5467368177856</v>
      </c>
      <c r="T99" s="34"/>
      <c r="U99" s="5">
        <f>('[1]资源-木石铜粮'!U101-'[1]资源-木石铜粮'!U100)*'[1]功能-付费相关'!S101/节奏总纲!W99</f>
        <v>1867.0086233331663</v>
      </c>
      <c r="V99" s="5">
        <f>('[1]资源-木石铜粮'!V101-'[1]资源-木石铜粮'!V100)*'[1]功能-付费相关'!T101/节奏总纲!X99</f>
        <v>2087.4813959382814</v>
      </c>
      <c r="W99" s="5">
        <f>('[1]资源-木石铜粮'!W101-'[1]资源-木石铜粮'!W100)*'[1]功能-付费相关'!U101/节奏总纲!Y99</f>
        <v>2249.4038273164538</v>
      </c>
      <c r="X99" s="5">
        <f>('[1]资源-木石铜粮'!X101-'[1]资源-木石铜粮'!X100)*'[1]功能-付费相关'!V101/节奏总纲!Z99</f>
        <v>2111.7574142628637</v>
      </c>
      <c r="Y99" s="5">
        <f>('[1]资源-木石铜粮'!Y101-'[1]资源-木石铜粮'!Y100)*'[1]功能-付费相关'!W101/节奏总纲!AA99</f>
        <v>1898.9994319173129</v>
      </c>
      <c r="Z99" s="3"/>
      <c r="AA99" s="11">
        <f>('[1]资源-铁'!T101-'[1]资源-铁'!T100)*'[1]功能-付费相关'!X101/节奏总纲!W99</f>
        <v>0</v>
      </c>
      <c r="AB99" s="11">
        <f>('[1]资源-铁'!U101-'[1]资源-铁'!U100)*'[1]功能-付费相关'!Y101/节奏总纲!X99</f>
        <v>0</v>
      </c>
      <c r="AC99" s="11">
        <f>('[1]资源-铁'!V101-'[1]资源-铁'!V100)*'[1]功能-付费相关'!Z101/节奏总纲!Y99</f>
        <v>0</v>
      </c>
      <c r="AD99" s="11">
        <f>('[1]资源-铁'!W101-'[1]资源-铁'!W100)*'[1]功能-付费相关'!AA101/节奏总纲!Z99</f>
        <v>0</v>
      </c>
      <c r="AE99" s="11">
        <f>('[1]资源-铁'!X101-'[1]资源-铁'!X100)*'[1]功能-付费相关'!AB101/节奏总纲!AA99</f>
        <v>0</v>
      </c>
      <c r="AG99" s="11">
        <f>('[1]资源-银币'!Y101-'[1]资源-银币'!Y100)*'[1]功能-付费相关'!AQ101/节奏总纲!W99</f>
        <v>6104.5484183744065</v>
      </c>
      <c r="AH99" s="11">
        <f>('[1]资源-银币'!Z101-'[1]资源-银币'!Z100)*'[1]功能-付费相关'!AR101/节奏总纲!X99</f>
        <v>1748.4655697862324</v>
      </c>
      <c r="AI99" s="11">
        <f>('[1]资源-银币'!AA101-'[1]资源-银币'!AA100)*'[1]功能-付费相关'!AS101/节奏总纲!Y99</f>
        <v>766.13957023054888</v>
      </c>
      <c r="AJ99" s="11">
        <f>('[1]资源-银币'!AB101-'[1]资源-银币'!AB100)*'[1]功能-付费相关'!AT101/节奏总纲!Z99</f>
        <v>464.01754281212061</v>
      </c>
      <c r="AK99" s="11">
        <f>('[1]资源-银币'!AC101-'[1]资源-银币'!AC100)*'[1]功能-付费相关'!AU101/节奏总纲!AA99</f>
        <v>2220.6611693993086</v>
      </c>
      <c r="AM99" s="11" t="e">
        <f>(#REF!-#REF!)*'[1]功能-付费相关'!CA101/节奏总纲!W99</f>
        <v>#REF!</v>
      </c>
      <c r="AN99" s="11" t="e">
        <f>(#REF!-#REF!)*'[1]功能-付费相关'!CB101/节奏总纲!X99</f>
        <v>#REF!</v>
      </c>
      <c r="AO99" s="11" t="e">
        <f>(#REF!-#REF!)*'[1]功能-付费相关'!CC101/节奏总纲!Y99</f>
        <v>#REF!</v>
      </c>
      <c r="AP99" s="11" t="e">
        <f>(#REF!-#REF!)*'[1]功能-付费相关'!CD101/节奏总纲!Z99</f>
        <v>#REF!</v>
      </c>
      <c r="AQ99" s="11" t="e">
        <f>(#REF!-#REF!)*'[1]功能-付费相关'!CE101/节奏总纲!AA99</f>
        <v>#REF!</v>
      </c>
      <c r="AR99" s="21"/>
      <c r="AS99" s="11">
        <f>(信息索引!U101-信息索引!U100)*'[1]功能-付费相关'!BI101/节奏总纲!W99</f>
        <v>418.701859122695</v>
      </c>
      <c r="AT99" s="11">
        <f>(信息索引!V101-信息索引!V100)*'[1]功能-付费相关'!BJ101/节奏总纲!X99</f>
        <v>429.85133550514257</v>
      </c>
      <c r="AU99" s="11">
        <f>(信息索引!W101-信息索引!W100)*'[1]功能-付费相关'!BK101/节奏总纲!Y99</f>
        <v>441.00914301257387</v>
      </c>
      <c r="AV99" s="11">
        <f>(信息索引!X101-信息索引!X100)*'[1]功能-付费相关'!BL101/节奏总纲!Z99</f>
        <v>474.66201213193131</v>
      </c>
      <c r="AW99" s="11">
        <f>(信息索引!Y101-信息索引!Y100)*'[1]功能-付费相关'!BM101/节奏总纲!AA99</f>
        <v>581.01658190820365</v>
      </c>
      <c r="AY99" s="11">
        <f>('[1]资源-武将经验'!T101*节奏总纲!BJ99-'[1]资源-武将经验'!T100*节奏总纲!BJ98)*'[1]功能-付费相关'!AZ101/节奏总纲!W99</f>
        <v>40.541808193558865</v>
      </c>
      <c r="AZ99" s="11">
        <f>('[1]资源-武将经验'!U101*节奏总纲!BK99-'[1]资源-武将经验'!U100*节奏总纲!BK98)*'[1]功能-付费相关'!BA101/节奏总纲!X99</f>
        <v>41.205879706451697</v>
      </c>
      <c r="BA99" s="11">
        <f>('[1]资源-武将经验'!V101*节奏总纲!BL99-'[1]资源-武将经验'!V100*节奏总纲!BL98)*'[1]功能-付费相关'!BB101/节奏总纲!Y99</f>
        <v>43.210137226970119</v>
      </c>
      <c r="BB99" s="11">
        <f>('[1]资源-武将经验'!W101*节奏总纲!BM99-'[1]资源-武将经验'!W100*节奏总纲!BM98)*'[1]功能-付费相关'!BC101/节奏总纲!Z99</f>
        <v>76.740882080739041</v>
      </c>
      <c r="BC99" s="11">
        <f>('[1]资源-武将经验'!X101*节奏总纲!BN99-'[1]资源-武将经验'!X100*节奏总纲!BN98)*'[1]功能-付费相关'!BD101/节奏总纲!AA99</f>
        <v>92.289499116155099</v>
      </c>
      <c r="BD99" s="29"/>
      <c r="BE99" s="33" t="e">
        <f t="shared" si="6"/>
        <v>#REF!</v>
      </c>
      <c r="BF99" s="33" t="e">
        <f t="shared" si="7"/>
        <v>#REF!</v>
      </c>
      <c r="BG99" s="33" t="e">
        <f t="shared" si="8"/>
        <v>#REF!</v>
      </c>
      <c r="BH99" s="33" t="e">
        <f t="shared" si="9"/>
        <v>#REF!</v>
      </c>
      <c r="BI99" s="33" t="e">
        <f t="shared" si="10"/>
        <v>#REF!</v>
      </c>
      <c r="BJ99" s="29"/>
      <c r="BK99" s="29"/>
      <c r="BL99" s="29"/>
      <c r="BM99" s="29"/>
      <c r="BN99" s="29"/>
    </row>
    <row r="100" spans="2:66" x14ac:dyDescent="0.15">
      <c r="B100" s="5">
        <v>97</v>
      </c>
      <c r="C100" s="5">
        <f>'[1]资源-玩家城池建筑时间'!AJ102*'[1]功能-付费相关'!AH102/节奏总纲!W100</f>
        <v>0</v>
      </c>
      <c r="D100" s="5">
        <f>'[1]资源-玩家城池建筑时间'!AK102*'[1]功能-付费相关'!AI102/节奏总纲!X100</f>
        <v>0</v>
      </c>
      <c r="E100" s="5">
        <f>'[1]资源-玩家城池建筑时间'!AL102*'[1]功能-付费相关'!AJ102/节奏总纲!Y100</f>
        <v>0</v>
      </c>
      <c r="F100" s="5">
        <f>'[1]资源-玩家城池建筑时间'!AM102*'[1]功能-付费相关'!AK102/节奏总纲!Z100</f>
        <v>0</v>
      </c>
      <c r="G100" s="5">
        <f>'[1]资源-玩家城池建筑时间'!AN102*'[1]功能-付费相关'!AL102/节奏总纲!AA100</f>
        <v>0</v>
      </c>
      <c r="H100" s="3"/>
      <c r="I100" s="28">
        <f>'[1]资源-士兵训练时间'!AB102*'[1]功能-付费相关'!AH102/节奏总纲!W100</f>
        <v>0</v>
      </c>
      <c r="J100" s="28">
        <f>'[1]资源-士兵训练时间'!AC102*'[1]功能-付费相关'!AI102/节奏总纲!X100</f>
        <v>0</v>
      </c>
      <c r="K100" s="28">
        <f>'[1]资源-士兵训练时间'!AD102*'[1]功能-付费相关'!AJ102/节奏总纲!Y100</f>
        <v>0</v>
      </c>
      <c r="L100" s="28">
        <f>'[1]资源-士兵训练时间'!AE102*'[1]功能-付费相关'!AK102/节奏总纲!Z100</f>
        <v>0</v>
      </c>
      <c r="M100" s="28">
        <f>'[1]资源-士兵训练时间'!AF102*'[1]功能-付费相关'!AL102/节奏总纲!AA100</f>
        <v>0</v>
      </c>
      <c r="N100" s="34"/>
      <c r="O100" s="34">
        <f>'[1]资源-士兵招募时间'!AC102*'[1]功能-付费相关'!AH102/节奏总纲!W100</f>
        <v>1164.5932924504618</v>
      </c>
      <c r="P100" s="34">
        <f>'[1]资源-士兵招募时间'!AD102*'[1]功能-付费相关'!AI102/节奏总纲!X100</f>
        <v>1417.0500575030158</v>
      </c>
      <c r="Q100" s="34">
        <f>'[1]资源-士兵招募时间'!AE102*'[1]功能-付费相关'!AJ102/节奏总纲!Y100</f>
        <v>1625.7253044892495</v>
      </c>
      <c r="R100" s="34">
        <f>'[1]资源-士兵招募时间'!AF102*'[1]功能-付费相关'!AK102/节奏总纲!Z100</f>
        <v>1575.1395621811675</v>
      </c>
      <c r="S100" s="34">
        <f>'[1]资源-士兵招募时间'!AG102*'[1]功能-付费相关'!AL102/节奏总纲!AA100</f>
        <v>1338.5224586833315</v>
      </c>
      <c r="T100" s="34"/>
      <c r="U100" s="5">
        <f>('[1]资源-木石铜粮'!U102-'[1]资源-木石铜粮'!U101)*'[1]功能-付费相关'!S102/节奏总纲!W100</f>
        <v>1869.6111120505511</v>
      </c>
      <c r="V100" s="5">
        <f>('[1]资源-木石铜粮'!V102-'[1]资源-木石铜粮'!V101)*'[1]功能-付费相关'!T102/节奏总纲!X100</f>
        <v>2070.5341096452776</v>
      </c>
      <c r="W100" s="5">
        <f>('[1]资源-木石铜粮'!W102-'[1]资源-木石铜粮'!W101)*'[1]功能-付费相关'!U102/节奏总纲!Y100</f>
        <v>2257.0362452488466</v>
      </c>
      <c r="X100" s="5">
        <f>('[1]资源-木石铜粮'!X102-'[1]资源-木石铜粮'!X101)*'[1]功能-付费相关'!V102/节奏总纲!Z100</f>
        <v>2116.6449765892507</v>
      </c>
      <c r="Y100" s="5">
        <f>('[1]资源-木石铜粮'!Y102-'[1]资源-木石铜粮'!Y101)*'[1]功能-付费相关'!W102/节奏总纲!AA100</f>
        <v>1907.3462488579676</v>
      </c>
      <c r="Z100" s="3"/>
      <c r="AA100" s="11">
        <f>('[1]资源-铁'!T102-'[1]资源-铁'!T101)*'[1]功能-付费相关'!X102/节奏总纲!W100</f>
        <v>0</v>
      </c>
      <c r="AB100" s="11">
        <f>('[1]资源-铁'!U102-'[1]资源-铁'!U101)*'[1]功能-付费相关'!Y102/节奏总纲!X100</f>
        <v>0</v>
      </c>
      <c r="AC100" s="11">
        <f>('[1]资源-铁'!V102-'[1]资源-铁'!V101)*'[1]功能-付费相关'!Z102/节奏总纲!Y100</f>
        <v>0</v>
      </c>
      <c r="AD100" s="11">
        <f>('[1]资源-铁'!W102-'[1]资源-铁'!W101)*'[1]功能-付费相关'!AA102/节奏总纲!Z100</f>
        <v>0</v>
      </c>
      <c r="AE100" s="11">
        <f>('[1]资源-铁'!X102-'[1]资源-铁'!X101)*'[1]功能-付费相关'!AB102/节奏总纲!AA100</f>
        <v>0</v>
      </c>
      <c r="AG100" s="11">
        <f>('[1]资源-银币'!Y102-'[1]资源-银币'!Y101)*'[1]功能-付费相关'!AQ102/节奏总纲!W100</f>
        <v>5748.3726063171389</v>
      </c>
      <c r="AH100" s="11">
        <f>('[1]资源-银币'!Z102-'[1]资源-银币'!Z101)*'[1]功能-付费相关'!AR102/节奏总纲!X100</f>
        <v>1611.0855566760636</v>
      </c>
      <c r="AI100" s="11">
        <f>('[1]资源-银币'!AA102-'[1]资源-银币'!AA101)*'[1]功能-付费相关'!AS102/节奏总纲!Y100</f>
        <v>725.71626881517409</v>
      </c>
      <c r="AJ100" s="11">
        <f>('[1]资源-银币'!AB102-'[1]资源-银币'!AB101)*'[1]功能-付费相关'!AT102/节奏总纲!Z100</f>
        <v>438.41837455564905</v>
      </c>
      <c r="AK100" s="11">
        <f>('[1]资源-银币'!AC102-'[1]资源-银币'!AC101)*'[1]功能-付费相关'!AU102/节奏总纲!AA100</f>
        <v>2108.4811246787908</v>
      </c>
      <c r="AM100" s="11" t="e">
        <f>(#REF!-#REF!)*'[1]功能-付费相关'!CA102/节奏总纲!W100</f>
        <v>#REF!</v>
      </c>
      <c r="AN100" s="11" t="e">
        <f>(#REF!-#REF!)*'[1]功能-付费相关'!CB102/节奏总纲!X100</f>
        <v>#REF!</v>
      </c>
      <c r="AO100" s="11" t="e">
        <f>(#REF!-#REF!)*'[1]功能-付费相关'!CC102/节奏总纲!Y100</f>
        <v>#REF!</v>
      </c>
      <c r="AP100" s="11" t="e">
        <f>(#REF!-#REF!)*'[1]功能-付费相关'!CD102/节奏总纲!Z100</f>
        <v>#REF!</v>
      </c>
      <c r="AQ100" s="11" t="e">
        <f>(#REF!-#REF!)*'[1]功能-付费相关'!CE102/节奏总纲!AA100</f>
        <v>#REF!</v>
      </c>
      <c r="AR100" s="21"/>
      <c r="AS100" s="11">
        <f>(信息索引!U102-信息索引!U101)*'[1]功能-付费相关'!BI102/节奏总纲!W100</f>
        <v>377.49616409910033</v>
      </c>
      <c r="AT100" s="11">
        <f>(信息索引!V102-信息索引!V101)*'[1]功能-付费相关'!BJ102/节奏总纲!X100</f>
        <v>379.20079333897019</v>
      </c>
      <c r="AU100" s="11">
        <f>(信息索引!W102-信息索引!W101)*'[1]功能-付费相关'!BK102/节奏总纲!Y100</f>
        <v>399.89917797390171</v>
      </c>
      <c r="AV100" s="11">
        <f>(信息索引!X102-信息索引!X101)*'[1]功能-付费相关'!BL102/节奏总纲!Z100</f>
        <v>429.22233271697007</v>
      </c>
      <c r="AW100" s="11">
        <f>(信息索引!Y102-信息索引!Y101)*'[1]功能-付费相关'!BM102/节奏总纲!AA100</f>
        <v>527.68511280142991</v>
      </c>
      <c r="AY100" s="11">
        <f>('[1]资源-武将经验'!T102*节奏总纲!BJ100-'[1]资源-武将经验'!T101*节奏总纲!BJ99)*'[1]功能-付费相关'!AZ102/节奏总纲!W100</f>
        <v>36.025566267758613</v>
      </c>
      <c r="AZ100" s="11">
        <f>('[1]资源-武将经验'!U102*节奏总纲!BK100-'[1]资源-武将经验'!U101*节奏总纲!BK99)*'[1]功能-付费相关'!BA102/节奏总纲!X100</f>
        <v>35.826979474708736</v>
      </c>
      <c r="BA100" s="11">
        <f>('[1]资源-武将经验'!V102*节奏总纲!BL100-'[1]资源-武将经验'!V101*节奏总纲!BL99)*'[1]功能-付费相关'!BB102/节奏总纲!Y100</f>
        <v>38.617896234488676</v>
      </c>
      <c r="BB100" s="11">
        <f>('[1]资源-武将经验'!W102*节奏总纲!BM100-'[1]资源-武将经验'!W101*节奏总纲!BM99)*'[1]功能-付费相关'!BC102/节奏总纲!Z100</f>
        <v>68.395049636277733</v>
      </c>
      <c r="BC100" s="11">
        <f>('[1]资源-武将经验'!X102*节奏总纲!BN100-'[1]资源-武将经验'!X101*节奏总纲!BN99)*'[1]功能-付费相关'!BD102/节奏总纲!AA100</f>
        <v>82.61114687518058</v>
      </c>
      <c r="BD100" s="29"/>
      <c r="BE100" s="33" t="e">
        <f t="shared" si="6"/>
        <v>#REF!</v>
      </c>
      <c r="BF100" s="33" t="e">
        <f t="shared" si="7"/>
        <v>#REF!</v>
      </c>
      <c r="BG100" s="33" t="e">
        <f t="shared" si="8"/>
        <v>#REF!</v>
      </c>
      <c r="BH100" s="33" t="e">
        <f t="shared" si="9"/>
        <v>#REF!</v>
      </c>
      <c r="BI100" s="33" t="e">
        <f t="shared" si="10"/>
        <v>#REF!</v>
      </c>
      <c r="BJ100" s="29"/>
      <c r="BK100" s="29"/>
      <c r="BL100" s="29"/>
      <c r="BM100" s="29"/>
      <c r="BN100" s="29"/>
    </row>
    <row r="101" spans="2:66" x14ac:dyDescent="0.15">
      <c r="B101" s="5">
        <v>98</v>
      </c>
      <c r="C101" s="5">
        <f>'[1]资源-玩家城池建筑时间'!AJ103*'[1]功能-付费相关'!AH103/节奏总纲!W101</f>
        <v>0</v>
      </c>
      <c r="D101" s="5">
        <f>'[1]资源-玩家城池建筑时间'!AK103*'[1]功能-付费相关'!AI103/节奏总纲!X101</f>
        <v>0</v>
      </c>
      <c r="E101" s="5">
        <f>'[1]资源-玩家城池建筑时间'!AL103*'[1]功能-付费相关'!AJ103/节奏总纲!Y101</f>
        <v>0</v>
      </c>
      <c r="F101" s="5">
        <f>'[1]资源-玩家城池建筑时间'!AM103*'[1]功能-付费相关'!AK103/节奏总纲!Z101</f>
        <v>0</v>
      </c>
      <c r="G101" s="5">
        <f>'[1]资源-玩家城池建筑时间'!AN103*'[1]功能-付费相关'!AL103/节奏总纲!AA101</f>
        <v>0</v>
      </c>
      <c r="H101" s="3"/>
      <c r="I101" s="28">
        <f>'[1]资源-士兵训练时间'!AB103*'[1]功能-付费相关'!AH103/节奏总纲!W101</f>
        <v>0</v>
      </c>
      <c r="J101" s="28">
        <f>'[1]资源-士兵训练时间'!AC103*'[1]功能-付费相关'!AI103/节奏总纲!X101</f>
        <v>0</v>
      </c>
      <c r="K101" s="28">
        <f>'[1]资源-士兵训练时间'!AD103*'[1]功能-付费相关'!AJ103/节奏总纲!Y101</f>
        <v>0</v>
      </c>
      <c r="L101" s="28">
        <f>'[1]资源-士兵训练时间'!AE103*'[1]功能-付费相关'!AK103/节奏总纲!Z101</f>
        <v>0</v>
      </c>
      <c r="M101" s="28">
        <f>'[1]资源-士兵训练时间'!AF103*'[1]功能-付费相关'!AL103/节奏总纲!AA101</f>
        <v>0</v>
      </c>
      <c r="N101" s="34"/>
      <c r="O101" s="34">
        <f>'[1]资源-士兵招募时间'!AC103*'[1]功能-付费相关'!AH103/节奏总纲!W101</f>
        <v>1164.5750834285843</v>
      </c>
      <c r="P101" s="34">
        <f>'[1]资源-士兵招募时间'!AD103*'[1]功能-付费相关'!AI103/节奏总纲!X101</f>
        <v>1417.0392155491263</v>
      </c>
      <c r="Q101" s="34">
        <f>'[1]资源-士兵招募时间'!AE103*'[1]功能-付费相关'!AJ103/节奏总纲!Y101</f>
        <v>1625.7052651220511</v>
      </c>
      <c r="R101" s="34">
        <f>'[1]资源-士兵招募时间'!AF103*'[1]功能-付费相关'!AK103/节奏总纲!Z101</f>
        <v>1575.1197957984766</v>
      </c>
      <c r="S101" s="34">
        <f>'[1]资源-士兵招募时间'!AG103*'[1]功能-付费相关'!AL103/节奏总纲!AA101</f>
        <v>1338.4993041498265</v>
      </c>
      <c r="T101" s="34"/>
      <c r="U101" s="5">
        <f>('[1]资源-木石铜粮'!U103-'[1]资源-木石铜粮'!U102)*'[1]功能-付费相关'!S103/节奏总纲!W101</f>
        <v>1872.4403988738632</v>
      </c>
      <c r="V101" s="5">
        <f>('[1]资源-木石铜粮'!V103-'[1]资源-木石铜粮'!V102)*'[1]功能-付费相关'!T103/节奏总纲!X101</f>
        <v>2099.3233086372761</v>
      </c>
      <c r="W101" s="5">
        <f>('[1]资源-木石铜粮'!W103-'[1]资源-木石铜粮'!W102)*'[1]功能-付费相关'!U103/节奏总纲!Y101</f>
        <v>2257.3290177760414</v>
      </c>
      <c r="X101" s="5">
        <f>('[1]资源-木石铜粮'!X103-'[1]资源-木石铜粮'!X102)*'[1]功能-付费相关'!V103/节奏总纲!Z101</f>
        <v>2121.9417377878181</v>
      </c>
      <c r="Y101" s="5">
        <f>('[1]资源-木石铜粮'!Y103-'[1]资源-木石铜粮'!Y102)*'[1]功能-付费相关'!W103/节奏总纲!AA101</f>
        <v>1915.1952847555194</v>
      </c>
      <c r="Z101" s="3"/>
      <c r="AA101" s="11">
        <f>('[1]资源-铁'!T103-'[1]资源-铁'!T102)*'[1]功能-付费相关'!X103/节奏总纲!W101</f>
        <v>0</v>
      </c>
      <c r="AB101" s="11">
        <f>('[1]资源-铁'!U103-'[1]资源-铁'!U102)*'[1]功能-付费相关'!Y103/节奏总纲!X101</f>
        <v>0</v>
      </c>
      <c r="AC101" s="11">
        <f>('[1]资源-铁'!V103-'[1]资源-铁'!V102)*'[1]功能-付费相关'!Z103/节奏总纲!Y101</f>
        <v>0</v>
      </c>
      <c r="AD101" s="11">
        <f>('[1]资源-铁'!W103-'[1]资源-铁'!W102)*'[1]功能-付费相关'!AA103/节奏总纲!Z101</f>
        <v>0</v>
      </c>
      <c r="AE101" s="11">
        <f>('[1]资源-铁'!X103-'[1]资源-铁'!X102)*'[1]功能-付费相关'!AB103/节奏总纲!AA101</f>
        <v>0</v>
      </c>
      <c r="AG101" s="11">
        <f>('[1]资源-银币'!Y103-'[1]资源-银币'!Y102)*'[1]功能-付费相关'!AQ103/节奏总纲!W101</f>
        <v>5412.5245143961292</v>
      </c>
      <c r="AH101" s="11">
        <f>('[1]资源-银币'!Z103-'[1]资源-银币'!Z102)*'[1]功能-付费相关'!AR103/节奏总纲!X101</f>
        <v>1561.3825704984881</v>
      </c>
      <c r="AI101" s="11">
        <f>('[1]资源-银币'!AA103-'[1]资源-银币'!AA102)*'[1]功能-付费相关'!AS103/节奏总纲!Y101</f>
        <v>681.53259743142223</v>
      </c>
      <c r="AJ101" s="11">
        <f>('[1]资源-银币'!AB103-'[1]资源-银币'!AB102)*'[1]功能-付费相关'!AT103/节奏总纲!Z101</f>
        <v>414.28045302644131</v>
      </c>
      <c r="AK101" s="11">
        <f>('[1]资源-银币'!AC103-'[1]资源-银币'!AC102)*'[1]功能-付费相关'!AU103/节奏总纲!AA101</f>
        <v>1999.8792922512018</v>
      </c>
      <c r="AM101" s="11" t="e">
        <f>(#REF!-#REF!)*'[1]功能-付费相关'!CA103/节奏总纲!W101</f>
        <v>#REF!</v>
      </c>
      <c r="AN101" s="11" t="e">
        <f>(#REF!-#REF!)*'[1]功能-付费相关'!CB103/节奏总纲!X101</f>
        <v>#REF!</v>
      </c>
      <c r="AO101" s="11" t="e">
        <f>(#REF!-#REF!)*'[1]功能-付费相关'!CC103/节奏总纲!Y101</f>
        <v>#REF!</v>
      </c>
      <c r="AP101" s="11" t="e">
        <f>(#REF!-#REF!)*'[1]功能-付费相关'!CD103/节奏总纲!Z101</f>
        <v>#REF!</v>
      </c>
      <c r="AQ101" s="11" t="e">
        <f>(#REF!-#REF!)*'[1]功能-付费相关'!CE103/节奏总纲!AA101</f>
        <v>#REF!</v>
      </c>
      <c r="AR101" s="21"/>
      <c r="AS101" s="11">
        <f>(信息索引!U103-信息索引!U102)*'[1]功能-付费相关'!BI103/节奏总纲!W101</f>
        <v>340.27505558458432</v>
      </c>
      <c r="AT101" s="11">
        <f>(信息索引!V103-信息索引!V102)*'[1]功能-付费相关'!BJ103/节奏总纲!X101</f>
        <v>351.80030073701113</v>
      </c>
      <c r="AU101" s="11">
        <f>(信息索引!W103-信息索引!W102)*'[1]功能-付费相关'!BK103/节奏总纲!Y101</f>
        <v>359.46936308516899</v>
      </c>
      <c r="AV101" s="11">
        <f>(信息索引!X103-信息索引!X102)*'[1]功能-付费相关'!BL103/节奏总纲!Z101</f>
        <v>388.13339824232253</v>
      </c>
      <c r="AW101" s="11">
        <f>(信息索引!Y103-信息索引!Y102)*'[1]功能-付费相关'!BM103/节奏总纲!AA101</f>
        <v>478.69852246496384</v>
      </c>
      <c r="AY101" s="11">
        <f>('[1]资源-武将经验'!T103*节奏总纲!BJ101-'[1]资源-武将经验'!T102*节奏总纲!BJ100)*'[1]功能-付费相关'!AZ103/节奏总纲!W101</f>
        <v>32.012420825346865</v>
      </c>
      <c r="AZ101" s="11">
        <f>('[1]资源-武将经验'!U103*节奏总纲!BK101-'[1]资源-武将经验'!U102*节奏总纲!BK100)*'[1]功能-付费相关'!BA103/节奏总纲!X101</f>
        <v>32.766291813564564</v>
      </c>
      <c r="BA101" s="11">
        <f>('[1]资源-武将经验'!V103*节奏总纲!BL101-'[1]资源-武将经验'!V102*节奏总纲!BL100)*'[1]功能-付费相关'!BB103/节奏总纲!Y101</f>
        <v>34.220796426711537</v>
      </c>
      <c r="BB101" s="11">
        <f>('[1]资源-武将经验'!W103*节奏总纲!BM101-'[1]资源-武将经验'!W102*节奏总纲!BM100)*'[1]功能-付费相关'!BC103/节奏总纲!Z101</f>
        <v>60.969622203183746</v>
      </c>
      <c r="BC101" s="11">
        <f>('[1]资源-武将经验'!X103*节奏总纲!BN101-'[1]资源-武将经验'!X102*节奏总纲!BN100)*'[1]功能-付费相关'!BD103/节奏总纲!AA101</f>
        <v>73.878152651657587</v>
      </c>
      <c r="BD101" s="29"/>
      <c r="BE101" s="33" t="e">
        <f t="shared" si="6"/>
        <v>#REF!</v>
      </c>
      <c r="BF101" s="33" t="e">
        <f t="shared" si="7"/>
        <v>#REF!</v>
      </c>
      <c r="BG101" s="33" t="e">
        <f t="shared" si="8"/>
        <v>#REF!</v>
      </c>
      <c r="BH101" s="33" t="e">
        <f t="shared" si="9"/>
        <v>#REF!</v>
      </c>
      <c r="BI101" s="33" t="e">
        <f t="shared" si="10"/>
        <v>#REF!</v>
      </c>
      <c r="BJ101" s="29"/>
      <c r="BK101" s="29"/>
      <c r="BL101" s="29"/>
      <c r="BM101" s="29"/>
      <c r="BN101" s="29"/>
    </row>
    <row r="102" spans="2:66" x14ac:dyDescent="0.15">
      <c r="B102" s="5">
        <v>99</v>
      </c>
      <c r="C102" s="5">
        <f>'[1]资源-玩家城池建筑时间'!AJ104*'[1]功能-付费相关'!AH104/节奏总纲!W102</f>
        <v>0</v>
      </c>
      <c r="D102" s="5">
        <f>'[1]资源-玩家城池建筑时间'!AK104*'[1]功能-付费相关'!AI104/节奏总纲!X102</f>
        <v>0</v>
      </c>
      <c r="E102" s="5">
        <f>'[1]资源-玩家城池建筑时间'!AL104*'[1]功能-付费相关'!AJ104/节奏总纲!Y102</f>
        <v>0</v>
      </c>
      <c r="F102" s="5">
        <f>'[1]资源-玩家城池建筑时间'!AM104*'[1]功能-付费相关'!AK104/节奏总纲!Z102</f>
        <v>0</v>
      </c>
      <c r="G102" s="5">
        <f>'[1]资源-玩家城池建筑时间'!AN104*'[1]功能-付费相关'!AL104/节奏总纲!AA102</f>
        <v>0</v>
      </c>
      <c r="H102" s="3"/>
      <c r="I102" s="28">
        <f>'[1]资源-士兵训练时间'!AB104*'[1]功能-付费相关'!AH104/节奏总纲!W102</f>
        <v>0</v>
      </c>
      <c r="J102" s="28">
        <f>'[1]资源-士兵训练时间'!AC104*'[1]功能-付费相关'!AI104/节奏总纲!X102</f>
        <v>0</v>
      </c>
      <c r="K102" s="28">
        <f>'[1]资源-士兵训练时间'!AD104*'[1]功能-付费相关'!AJ104/节奏总纲!Y102</f>
        <v>0</v>
      </c>
      <c r="L102" s="28">
        <f>'[1]资源-士兵训练时间'!AE104*'[1]功能-付费相关'!AK104/节奏总纲!Z102</f>
        <v>0</v>
      </c>
      <c r="M102" s="28">
        <f>'[1]资源-士兵训练时间'!AF104*'[1]功能-付费相关'!AL104/节奏总纲!AA102</f>
        <v>0</v>
      </c>
      <c r="N102" s="34"/>
      <c r="O102" s="34">
        <f>'[1]资源-士兵招募时间'!AC104*'[1]功能-付费相关'!AH104/节奏总纲!W102</f>
        <v>1164.5580938104288</v>
      </c>
      <c r="P102" s="34">
        <f>'[1]资源-士兵招募时间'!AD104*'[1]功能-付费相关'!AI104/节奏总纲!X102</f>
        <v>1417.0147057398271</v>
      </c>
      <c r="Q102" s="34">
        <f>'[1]资源-士兵招募时间'!AE104*'[1]功能-付费相关'!AJ104/节奏总纲!Y102</f>
        <v>1625.6884338114223</v>
      </c>
      <c r="R102" s="34">
        <f>'[1]资源-士兵招募时间'!AF104*'[1]功能-付费相关'!AK104/节奏总纲!Z102</f>
        <v>1575.0969649621513</v>
      </c>
      <c r="S102" s="34">
        <f>'[1]资源-士兵招募时间'!AG104*'[1]功能-付费相关'!AL104/节奏总纲!AA102</f>
        <v>1338.469816307485</v>
      </c>
      <c r="T102" s="34"/>
      <c r="U102" s="5">
        <f>('[1]资源-木石铜粮'!U104-'[1]资源-木石铜粮'!U103)*'[1]功能-付费相关'!S104/节奏总纲!W102</f>
        <v>1875.4812958124492</v>
      </c>
      <c r="V102" s="5">
        <f>('[1]资源-木石铜粮'!V104-'[1]资源-木石铜粮'!V103)*'[1]功能-付费相关'!T104/节奏总纲!X102</f>
        <v>2076.2649904078385</v>
      </c>
      <c r="W102" s="5">
        <f>('[1]资源-木石铜粮'!W104-'[1]资源-木石铜粮'!W103)*'[1]功能-付费相关'!U104/节奏总纲!Y102</f>
        <v>2264.3000015438629</v>
      </c>
      <c r="X102" s="5">
        <f>('[1]资源-木石铜粮'!X104-'[1]资源-木石铜粮'!X103)*'[1]功能-付费相关'!V104/节奏总纲!Z102</f>
        <v>2113.8458598746674</v>
      </c>
      <c r="Y102" s="5">
        <f>('[1]资源-木石铜粮'!Y104-'[1]资源-木石铜粮'!Y103)*'[1]功能-付费相关'!W104/节奏总纲!AA102</f>
        <v>1903.8596158117739</v>
      </c>
      <c r="Z102" s="3"/>
      <c r="AA102" s="11">
        <f>('[1]资源-铁'!T104-'[1]资源-铁'!T103)*'[1]功能-付费相关'!X104/节奏总纲!W102</f>
        <v>0</v>
      </c>
      <c r="AB102" s="11">
        <f>('[1]资源-铁'!U104-'[1]资源-铁'!U103)*'[1]功能-付费相关'!Y104/节奏总纲!X102</f>
        <v>0</v>
      </c>
      <c r="AC102" s="11">
        <f>('[1]资源-铁'!V104-'[1]资源-铁'!V103)*'[1]功能-付费相关'!Z104/节奏总纲!Y102</f>
        <v>0</v>
      </c>
      <c r="AD102" s="11">
        <f>('[1]资源-铁'!W104-'[1]资源-铁'!W103)*'[1]功能-付费相关'!AA104/节奏总纲!Z102</f>
        <v>0</v>
      </c>
      <c r="AE102" s="11">
        <f>('[1]资源-铁'!X104-'[1]资源-铁'!X103)*'[1]功能-付费相关'!AB104/节奏总纲!AA102</f>
        <v>0</v>
      </c>
      <c r="AG102" s="11">
        <f>('[1]资源-银币'!Y104-'[1]资源-银币'!Y103)*'[1]功能-付费相关'!AQ104/节奏总纲!W102</f>
        <v>5095.878868401468</v>
      </c>
      <c r="AH102" s="11">
        <f>('[1]资源-银币'!Z104-'[1]资源-银币'!Z103)*'[1]功能-付费相关'!AR104/节奏总纲!X102</f>
        <v>1428.3809120443898</v>
      </c>
      <c r="AI102" s="11">
        <f>('[1]资源-银币'!AA104-'[1]资源-银币'!AA103)*'[1]功能-付费相关'!AS104/节奏总纲!Y102</f>
        <v>644.63939617262258</v>
      </c>
      <c r="AJ102" s="11">
        <f>('[1]资源-银币'!AB104-'[1]资源-银币'!AB103)*'[1]功能-付费相关'!AT104/节奏总纲!Z102</f>
        <v>385.17389296996669</v>
      </c>
      <c r="AK102" s="11">
        <f>('[1]资源-银币'!AC104-'[1]资源-银币'!AC103)*'[1]功能-付费相关'!AU104/节奏总纲!AA102</f>
        <v>1852.7880658453698</v>
      </c>
      <c r="AM102" s="11" t="e">
        <f>(#REF!-#REF!)*'[1]功能-付费相关'!CA104/节奏总纲!W102</f>
        <v>#REF!</v>
      </c>
      <c r="AN102" s="11" t="e">
        <f>(#REF!-#REF!)*'[1]功能-付费相关'!CB104/节奏总纲!X102</f>
        <v>#REF!</v>
      </c>
      <c r="AO102" s="11" t="e">
        <f>(#REF!-#REF!)*'[1]功能-付费相关'!CC104/节奏总纲!Y102</f>
        <v>#REF!</v>
      </c>
      <c r="AP102" s="11" t="e">
        <f>(#REF!-#REF!)*'[1]功能-付费相关'!CD104/节奏总纲!Z102</f>
        <v>#REF!</v>
      </c>
      <c r="AQ102" s="11" t="e">
        <f>(#REF!-#REF!)*'[1]功能-付费相关'!CE104/节奏总纲!AA102</f>
        <v>#REF!</v>
      </c>
      <c r="AR102" s="21"/>
      <c r="AS102" s="11">
        <f>(信息索引!U104-信息索引!U103)*'[1]功能-付费相关'!BI104/节奏总纲!W102</f>
        <v>306.66212528075511</v>
      </c>
      <c r="AT102" s="11">
        <f>(信息索引!V104-信息索引!V103)*'[1]功能-付费相关'!BJ104/节奏总纲!X102</f>
        <v>308.04618986490169</v>
      </c>
      <c r="AU102" s="11">
        <f>(信息索引!W104-信息索引!W103)*'[1]功能-付费相关'!BK104/节奏总纲!Y102</f>
        <v>325.41171237745937</v>
      </c>
      <c r="AV102" s="11">
        <f>(信息索引!X104-信息索引!X103)*'[1]功能-付费相关'!BL104/节奏总纲!Z102</f>
        <v>345.29297359995661</v>
      </c>
      <c r="AW102" s="11">
        <f>(信息索引!Y104-信息索引!Y103)*'[1]功能-付费相关'!BM104/节奏总纲!AA102</f>
        <v>424.12431087789605</v>
      </c>
      <c r="AY102" s="11">
        <f>('[1]资源-武将经验'!T104*节奏总纲!BJ102-'[1]资源-武将经验'!T103*节奏总纲!BJ101)*'[1]功能-付费相关'!AZ104/节奏总纲!W102</f>
        <v>28.446328351437081</v>
      </c>
      <c r="AZ102" s="11">
        <f>('[1]资源-武将经验'!U104*节奏总纲!BK102-'[1]资源-武将经验'!U103*节奏总纲!BK101)*'[1]功能-付费相关'!BA104/节奏总纲!X102</f>
        <v>28.289456487737215</v>
      </c>
      <c r="BA102" s="11">
        <f>('[1]资源-武将经验'!V104*节奏总纲!BL102-'[1]资源-武将经验'!V103*节奏总纲!BL101)*'[1]功能-付费相关'!BB104/节奏总纲!Y102</f>
        <v>30.544926510465903</v>
      </c>
      <c r="BB102" s="11">
        <f>('[1]资源-武将经验'!W104*节奏总纲!BM102-'[1]资源-武将经验'!W103*节奏总纲!BM101)*'[1]功能-付费相关'!BC104/节奏总纲!Z102</f>
        <v>53.480801096010303</v>
      </c>
      <c r="BC102" s="11">
        <f>('[1]资源-武将经验'!X104*节奏总纲!BN102-'[1]资源-武将经验'!X103*节奏总纲!BN101)*'[1]功能-付费相关'!BD104/节奏总纲!AA102</f>
        <v>64.539378810905006</v>
      </c>
      <c r="BD102" s="29"/>
      <c r="BE102" s="33" t="e">
        <f t="shared" si="6"/>
        <v>#REF!</v>
      </c>
      <c r="BF102" s="33" t="e">
        <f t="shared" si="7"/>
        <v>#REF!</v>
      </c>
      <c r="BG102" s="33" t="e">
        <f t="shared" si="8"/>
        <v>#REF!</v>
      </c>
      <c r="BH102" s="33" t="e">
        <f t="shared" si="9"/>
        <v>#REF!</v>
      </c>
      <c r="BI102" s="33" t="e">
        <f t="shared" si="10"/>
        <v>#REF!</v>
      </c>
      <c r="BJ102" s="29"/>
      <c r="BK102" s="29"/>
      <c r="BL102" s="29"/>
      <c r="BM102" s="29"/>
      <c r="BN102" s="29"/>
    </row>
    <row r="103" spans="2:66" x14ac:dyDescent="0.15">
      <c r="B103" s="5">
        <v>100</v>
      </c>
      <c r="C103" s="5">
        <f>'[1]资源-玩家城池建筑时间'!AJ105*'[1]功能-付费相关'!AH105/节奏总纲!W103</f>
        <v>0</v>
      </c>
      <c r="D103" s="5">
        <f>'[1]资源-玩家城池建筑时间'!AK105*'[1]功能-付费相关'!AI105/节奏总纲!X103</f>
        <v>0</v>
      </c>
      <c r="E103" s="5">
        <f>'[1]资源-玩家城池建筑时间'!AL105*'[1]功能-付费相关'!AJ105/节奏总纲!Y103</f>
        <v>0</v>
      </c>
      <c r="F103" s="5">
        <f>'[1]资源-玩家城池建筑时间'!AM105*'[1]功能-付费相关'!AK105/节奏总纲!Z103</f>
        <v>0</v>
      </c>
      <c r="G103" s="5">
        <f>'[1]资源-玩家城池建筑时间'!AN105*'[1]功能-付费相关'!AL105/节奏总纲!AA103</f>
        <v>0</v>
      </c>
      <c r="H103" s="3"/>
      <c r="I103" s="28">
        <f>'[1]资源-士兵训练时间'!AB105*'[1]功能-付费相关'!AH105/节奏总纲!W103</f>
        <v>0</v>
      </c>
      <c r="J103" s="28">
        <f>'[1]资源-士兵训练时间'!AC105*'[1]功能-付费相关'!AI105/节奏总纲!X103</f>
        <v>0</v>
      </c>
      <c r="K103" s="28">
        <f>'[1]资源-士兵训练时间'!AD105*'[1]功能-付费相关'!AJ105/节奏总纲!Y103</f>
        <v>0</v>
      </c>
      <c r="L103" s="28">
        <f>'[1]资源-士兵训练时间'!AE105*'[1]功能-付费相关'!AK105/节奏总纲!Z103</f>
        <v>0</v>
      </c>
      <c r="M103" s="28">
        <f>'[1]资源-士兵训练时间'!AF105*'[1]功能-付费相关'!AL105/节奏总纲!AA103</f>
        <v>0</v>
      </c>
      <c r="N103" s="34"/>
      <c r="O103" s="34">
        <f>'[1]资源-士兵招募时间'!AC105*'[1]功能-付费相关'!AH105/节奏总纲!W103</f>
        <v>1164.5422419361796</v>
      </c>
      <c r="P103" s="34">
        <f>'[1]资源-士兵招募时间'!AD105*'[1]功能-付费相关'!AI105/节奏总纲!X103</f>
        <v>1417.0052683166659</v>
      </c>
      <c r="Q103" s="34">
        <f>'[1]资源-士兵招募时间'!AE105*'[1]功能-付费相关'!AJ105/节奏总纲!Y103</f>
        <v>1625.6720304363432</v>
      </c>
      <c r="R103" s="34">
        <f>'[1]资源-士兵招募时间'!AF105*'[1]功能-付费相关'!AK105/节奏总纲!Z103</f>
        <v>1575.0827222465882</v>
      </c>
      <c r="S103" s="34">
        <f>'[1]资源-士兵招募时间'!AG105*'[1]功能-付费相关'!AL105/节奏总纲!AA103</f>
        <v>1338.4496080437393</v>
      </c>
      <c r="T103" s="34"/>
      <c r="U103" s="5">
        <f>('[1]资源-木石铜粮'!U105-'[1]资源-木石铜粮'!U104)*'[1]功能-付费相关'!S105/节奏总纲!W103</f>
        <v>1878.7196319699156</v>
      </c>
      <c r="V103" s="5">
        <f>('[1]资源-木石铜粮'!V105-'[1]资源-木石铜粮'!V104)*'[1]功能-付费相关'!T105/节奏总纲!X103</f>
        <v>2105.6371146966403</v>
      </c>
      <c r="W103" s="5">
        <f>('[1]资源-木石铜粮'!W105-'[1]资源-木石铜粮'!W104)*'[1]功能-付费相关'!U105/节奏总纲!Y103</f>
        <v>2269.0941898091746</v>
      </c>
      <c r="X103" s="5">
        <f>('[1]资源-木石铜粮'!X105-'[1]资源-木石铜粮'!X104)*'[1]功能-付费相关'!V105/节奏总纲!Z103</f>
        <v>2128.9469459461325</v>
      </c>
      <c r="Y103" s="5">
        <f>('[1]资源-木石铜粮'!Y105-'[1]资源-木石铜粮'!Y104)*'[1]功能-付费相关'!W105/节奏总纲!AA103</f>
        <v>1911.3142772416741</v>
      </c>
      <c r="Z103" s="3"/>
      <c r="AA103" s="11">
        <f>('[1]资源-铁'!T105-'[1]资源-铁'!T104)*'[1]功能-付费相关'!X105/节奏总纲!W103</f>
        <v>0</v>
      </c>
      <c r="AB103" s="11">
        <f>('[1]资源-铁'!U105-'[1]资源-铁'!U104)*'[1]功能-付费相关'!Y105/节奏总纲!X103</f>
        <v>0</v>
      </c>
      <c r="AC103" s="11">
        <f>('[1]资源-铁'!V105-'[1]资源-铁'!V104)*'[1]功能-付费相关'!Z105/节奏总纲!Y103</f>
        <v>0</v>
      </c>
      <c r="AD103" s="11">
        <f>('[1]资源-铁'!W105-'[1]资源-铁'!W104)*'[1]功能-付费相关'!AA105/节奏总纲!Z103</f>
        <v>0</v>
      </c>
      <c r="AE103" s="11">
        <f>('[1]资源-铁'!X105-'[1]资源-铁'!X104)*'[1]功能-付费相关'!AB105/节奏总纲!AA103</f>
        <v>0</v>
      </c>
      <c r="AG103" s="11">
        <f>('[1]资源-银币'!Y105-'[1]资源-银币'!Y104)*'[1]功能-付费相关'!AQ105/节奏总纲!W103</f>
        <v>4797.3699453259323</v>
      </c>
      <c r="AH103" s="11">
        <f>('[1]资源-银币'!Z105-'[1]资源-银币'!Z104)*'[1]功能-付费相关'!AR105/节奏总纲!X103</f>
        <v>1384.0918766336847</v>
      </c>
      <c r="AI103" s="11">
        <f>('[1]资源-银币'!AA105-'[1]资源-银币'!AA104)*'[1]功能-付费相关'!AS105/节奏总纲!Y103</f>
        <v>608.06397332272388</v>
      </c>
      <c r="AJ103" s="11">
        <f>('[1]资源-银币'!AB105-'[1]资源-银币'!AB104)*'[1]功能-付费相关'!AT105/节奏总纲!Z103</f>
        <v>367.9877065203346</v>
      </c>
      <c r="AK103" s="11">
        <f>('[1]资源-银币'!AC105-'[1]资源-银币'!AC104)*'[1]功能-付费相关'!AU105/节奏总纲!AA103</f>
        <v>1755.4924626694644</v>
      </c>
      <c r="AM103" s="11" t="e">
        <f>(#REF!-#REF!)*'[1]功能-付费相关'!CA105/节奏总纲!W103</f>
        <v>#REF!</v>
      </c>
      <c r="AN103" s="11" t="e">
        <f>(#REF!-#REF!)*'[1]功能-付费相关'!CB105/节奏总纲!X103</f>
        <v>#REF!</v>
      </c>
      <c r="AO103" s="11" t="e">
        <f>(#REF!-#REF!)*'[1]功能-付费相关'!CC105/节奏总纲!Y103</f>
        <v>#REF!</v>
      </c>
      <c r="AP103" s="11" t="e">
        <f>(#REF!-#REF!)*'[1]功能-付费相关'!CD105/节奏总纲!Z103</f>
        <v>#REF!</v>
      </c>
      <c r="AQ103" s="11" t="e">
        <f>(#REF!-#REF!)*'[1]功能-付费相关'!CE105/节奏总纲!AA103</f>
        <v>#REF!</v>
      </c>
      <c r="AR103" s="21"/>
      <c r="AS103" s="11">
        <f>(信息索引!U105-信息索引!U104)*'[1]功能-付费相关'!BI105/节奏总纲!W103</f>
        <v>276.31538048332652</v>
      </c>
      <c r="AT103" s="11">
        <f>(信息索引!V105-信息索引!V104)*'[1]功能-付费相关'!BJ105/节奏总纲!X103</f>
        <v>285.67491507858819</v>
      </c>
      <c r="AU103" s="11">
        <f>(信息索引!W105-信息索引!W104)*'[1]功能-付费相关'!BK105/节奏总纲!Y103</f>
        <v>293.73652151937341</v>
      </c>
      <c r="AV103" s="11">
        <f>(信息索引!X105-信息索引!X104)*'[1]功能-付费相关'!BL105/节奏总纲!Z103</f>
        <v>315.61785175751612</v>
      </c>
      <c r="AW103" s="11">
        <f>(信息索引!Y105-信息索引!Y104)*'[1]功能-付费相关'!BM105/节奏总纲!AA103</f>
        <v>384.26694415084535</v>
      </c>
      <c r="AY103" s="11">
        <f>('[1]资源-武将经验'!T105*节奏总纲!BJ103-'[1]资源-武将经验'!T104*节奏总纲!BJ102)*'[1]功能-付费相关'!AZ105/节奏总纲!W103</f>
        <v>25.277488419028227</v>
      </c>
      <c r="AZ103" s="11">
        <f>('[1]资源-武将经验'!U105*节奏总纲!BK103-'[1]资源-武将经验'!U104*节奏总纲!BK102)*'[1]功能-付费相关'!BA105/节奏总纲!X103</f>
        <v>25.872813143316943</v>
      </c>
      <c r="BA103" s="11">
        <f>('[1]资源-武将经验'!V105*节奏总纲!BL103-'[1]资源-武将经验'!V104*节奏总纲!BL102)*'[1]功能-付费相关'!BB105/节奏总纲!Y103</f>
        <v>27.191091094493814</v>
      </c>
      <c r="BB103" s="11">
        <f>('[1]资源-武将经验'!W105*节奏总纲!BM103-'[1]资源-武将经验'!W104*节奏总纲!BM102)*'[1]功能-付费相关'!BC105/节奏总纲!Z103</f>
        <v>48.209708491447444</v>
      </c>
      <c r="BC103" s="11">
        <f>('[1]资源-武将经验'!X105*节奏总纲!BN103-'[1]资源-武将经验'!X104*节奏总纲!BN102)*'[1]功能-付费相关'!BD105/节奏总纲!AA103</f>
        <v>57.667008609370903</v>
      </c>
      <c r="BD103" s="29"/>
      <c r="BE103" s="33" t="e">
        <f t="shared" si="6"/>
        <v>#REF!</v>
      </c>
      <c r="BF103" s="33" t="e">
        <f t="shared" si="7"/>
        <v>#REF!</v>
      </c>
      <c r="BG103" s="33" t="e">
        <f t="shared" si="8"/>
        <v>#REF!</v>
      </c>
      <c r="BH103" s="33" t="e">
        <f t="shared" si="9"/>
        <v>#REF!</v>
      </c>
      <c r="BI103" s="33" t="e">
        <f t="shared" si="10"/>
        <v>#REF!</v>
      </c>
      <c r="BJ103" s="29"/>
      <c r="BK103" s="29"/>
      <c r="BL103" s="29"/>
      <c r="BM103" s="29"/>
      <c r="BN103" s="29"/>
    </row>
  </sheetData>
  <mergeCells count="10">
    <mergeCell ref="BE2:BI2"/>
    <mergeCell ref="AY2:BC2"/>
    <mergeCell ref="AS2:AW2"/>
    <mergeCell ref="C2:G2"/>
    <mergeCell ref="U2:Y2"/>
    <mergeCell ref="AA2:AE2"/>
    <mergeCell ref="AG2:AK2"/>
    <mergeCell ref="AM2:AQ2"/>
    <mergeCell ref="I2:M2"/>
    <mergeCell ref="O2:S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I103"/>
  <sheetViews>
    <sheetView topLeftCell="A10" workbookViewId="0">
      <selection activeCell="U3" sqref="U3:Y3"/>
    </sheetView>
  </sheetViews>
  <sheetFormatPr defaultColWidth="6.625" defaultRowHeight="11.25" x14ac:dyDescent="0.15"/>
  <cols>
    <col min="1" max="1" width="6.625" style="4"/>
    <col min="2" max="7" width="6.625" style="31"/>
    <col min="8" max="8" width="6.625" style="4"/>
    <col min="9" max="13" width="6.625" style="30"/>
    <col min="14" max="14" width="6.625" style="4"/>
    <col min="15" max="19" width="6.625" style="33"/>
    <col min="20" max="20" width="6.625" style="4"/>
    <col min="21" max="25" width="6.625" style="30"/>
    <col min="26" max="26" width="6.625" style="4"/>
    <col min="27" max="31" width="6.625" style="30"/>
    <col min="32" max="32" width="6.625" style="4"/>
    <col min="33" max="37" width="6.625" style="30"/>
    <col min="38" max="38" width="6.625" style="4"/>
    <col min="39" max="43" width="6.625" style="30"/>
    <col min="44" max="44" width="6.625" style="4"/>
    <col min="45" max="49" width="6.625" style="30"/>
    <col min="50" max="50" width="6.625" style="4"/>
    <col min="51" max="61" width="6.625" style="30"/>
    <col min="62" max="16384" width="6.625" style="4"/>
  </cols>
  <sheetData>
    <row r="2" spans="2:61" x14ac:dyDescent="0.15">
      <c r="B2" s="4"/>
      <c r="C2" s="47" t="s">
        <v>38</v>
      </c>
      <c r="D2" s="47"/>
      <c r="E2" s="47"/>
      <c r="F2" s="47"/>
      <c r="G2" s="47"/>
      <c r="I2" s="47" t="s">
        <v>39</v>
      </c>
      <c r="J2" s="47"/>
      <c r="K2" s="47"/>
      <c r="L2" s="47"/>
      <c r="M2" s="47"/>
      <c r="O2" s="47" t="s">
        <v>47</v>
      </c>
      <c r="P2" s="47"/>
      <c r="Q2" s="47"/>
      <c r="R2" s="47"/>
      <c r="S2" s="47"/>
      <c r="U2" s="47" t="s">
        <v>40</v>
      </c>
      <c r="V2" s="47"/>
      <c r="W2" s="47"/>
      <c r="X2" s="47"/>
      <c r="Y2" s="47"/>
      <c r="AA2" s="47" t="s">
        <v>41</v>
      </c>
      <c r="AB2" s="47"/>
      <c r="AC2" s="47"/>
      <c r="AD2" s="47"/>
      <c r="AE2" s="47"/>
      <c r="AG2" s="47" t="s">
        <v>42</v>
      </c>
      <c r="AH2" s="47"/>
      <c r="AI2" s="47"/>
      <c r="AJ2" s="47"/>
      <c r="AK2" s="47"/>
      <c r="AM2" s="47" t="s">
        <v>43</v>
      </c>
      <c r="AN2" s="47"/>
      <c r="AO2" s="47"/>
      <c r="AP2" s="47"/>
      <c r="AQ2" s="47"/>
      <c r="AS2" s="47" t="s">
        <v>44</v>
      </c>
      <c r="AT2" s="47"/>
      <c r="AU2" s="47"/>
      <c r="AV2" s="47"/>
      <c r="AW2" s="47"/>
      <c r="AY2" s="47" t="s">
        <v>45</v>
      </c>
      <c r="AZ2" s="47"/>
      <c r="BA2" s="47"/>
      <c r="BB2" s="47"/>
      <c r="BC2" s="47"/>
      <c r="BE2" s="47" t="s">
        <v>36</v>
      </c>
      <c r="BF2" s="47"/>
      <c r="BG2" s="47"/>
      <c r="BH2" s="47"/>
      <c r="BI2" s="47"/>
    </row>
    <row r="3" spans="2:61" x14ac:dyDescent="0.15">
      <c r="B3" s="4" t="s">
        <v>48</v>
      </c>
      <c r="C3" s="31" t="s">
        <v>0</v>
      </c>
      <c r="D3" s="31" t="s">
        <v>1</v>
      </c>
      <c r="E3" s="31" t="s">
        <v>2</v>
      </c>
      <c r="F3" s="31" t="s">
        <v>3</v>
      </c>
      <c r="G3" s="31" t="s">
        <v>4</v>
      </c>
      <c r="I3" s="31" t="s">
        <v>0</v>
      </c>
      <c r="J3" s="31" t="s">
        <v>1</v>
      </c>
      <c r="K3" s="31" t="s">
        <v>2</v>
      </c>
      <c r="L3" s="31" t="s">
        <v>3</v>
      </c>
      <c r="M3" s="31" t="s">
        <v>4</v>
      </c>
      <c r="O3" s="34" t="s">
        <v>0</v>
      </c>
      <c r="P3" s="34" t="s">
        <v>1</v>
      </c>
      <c r="Q3" s="34" t="s">
        <v>2</v>
      </c>
      <c r="R3" s="34" t="s">
        <v>3</v>
      </c>
      <c r="S3" s="34" t="s">
        <v>4</v>
      </c>
      <c r="U3" s="31" t="s">
        <v>0</v>
      </c>
      <c r="V3" s="31" t="s">
        <v>1</v>
      </c>
      <c r="W3" s="31" t="s">
        <v>2</v>
      </c>
      <c r="X3" s="31" t="s">
        <v>3</v>
      </c>
      <c r="Y3" s="31" t="s">
        <v>4</v>
      </c>
      <c r="AA3" s="31" t="s">
        <v>0</v>
      </c>
      <c r="AB3" s="31" t="s">
        <v>1</v>
      </c>
      <c r="AC3" s="31" t="s">
        <v>2</v>
      </c>
      <c r="AD3" s="31" t="s">
        <v>3</v>
      </c>
      <c r="AE3" s="31" t="s">
        <v>4</v>
      </c>
      <c r="AG3" s="31" t="s">
        <v>0</v>
      </c>
      <c r="AH3" s="31" t="s">
        <v>1</v>
      </c>
      <c r="AI3" s="31" t="s">
        <v>2</v>
      </c>
      <c r="AJ3" s="31" t="s">
        <v>3</v>
      </c>
      <c r="AK3" s="31" t="s">
        <v>4</v>
      </c>
      <c r="AM3" s="31" t="s">
        <v>0</v>
      </c>
      <c r="AN3" s="31" t="s">
        <v>1</v>
      </c>
      <c r="AO3" s="31" t="s">
        <v>2</v>
      </c>
      <c r="AP3" s="31" t="s">
        <v>3</v>
      </c>
      <c r="AQ3" s="31" t="s">
        <v>4</v>
      </c>
      <c r="AS3" s="31" t="s">
        <v>0</v>
      </c>
      <c r="AT3" s="31" t="s">
        <v>1</v>
      </c>
      <c r="AU3" s="31" t="s">
        <v>2</v>
      </c>
      <c r="AV3" s="31" t="s">
        <v>3</v>
      </c>
      <c r="AW3" s="31" t="s">
        <v>4</v>
      </c>
      <c r="AY3" s="31" t="s">
        <v>0</v>
      </c>
      <c r="AZ3" s="31" t="s">
        <v>1</v>
      </c>
      <c r="BA3" s="31" t="s">
        <v>2</v>
      </c>
      <c r="BB3" s="31" t="s">
        <v>3</v>
      </c>
      <c r="BC3" s="31" t="s">
        <v>4</v>
      </c>
      <c r="BE3" s="31" t="s">
        <v>0</v>
      </c>
      <c r="BF3" s="31" t="s">
        <v>1</v>
      </c>
      <c r="BG3" s="31" t="s">
        <v>2</v>
      </c>
      <c r="BH3" s="31" t="s">
        <v>3</v>
      </c>
      <c r="BI3" s="31" t="s">
        <v>4</v>
      </c>
    </row>
    <row r="4" spans="2:61" x14ac:dyDescent="0.15">
      <c r="B4" s="31">
        <v>1</v>
      </c>
      <c r="C4" s="32">
        <f>'[1]资源-玩家城池建筑时间'!D6*'[1]功能-付费相关'!AH6/节奏总纲!W4</f>
        <v>17527.949252252809</v>
      </c>
      <c r="D4" s="32">
        <f>'[1]资源-玩家城池建筑时间'!E6*'[1]功能-付费相关'!AI6/节奏总纲!X4</f>
        <v>26923.820021358781</v>
      </c>
      <c r="E4" s="32">
        <f>'[1]资源-玩家城池建筑时间'!F6*'[1]功能-付费相关'!AJ6/节奏总纲!Y4</f>
        <v>41371.946624329335</v>
      </c>
      <c r="F4" s="32">
        <f>'[1]资源-玩家城池建筑时间'!G6*'[1]功能-付费相关'!AK6/节奏总纲!Z4</f>
        <v>69995.207859262111</v>
      </c>
      <c r="G4" s="32">
        <f>'[1]资源-玩家城池建筑时间'!H6*'[1]功能-付费相关'!AL6/节奏总纲!AA4</f>
        <v>167891.41030516179</v>
      </c>
      <c r="H4" s="31"/>
      <c r="I4" s="32">
        <f>'[1]资源-士兵训练时间'!C6*'[1]功能-付费相关'!AH6/节奏总纲!W4</f>
        <v>3619.5621623998072</v>
      </c>
      <c r="J4" s="32">
        <f>'[1]资源-士兵训练时间'!D6*'[1]功能-付费相关'!AI6/节奏总纲!X4</f>
        <v>3726.5409326758045</v>
      </c>
      <c r="K4" s="32">
        <f>'[1]资源-士兵训练时间'!E6*'[1]功能-付费相关'!AJ6/节奏总纲!Y4</f>
        <v>3900.1008388650971</v>
      </c>
      <c r="L4" s="32">
        <f>'[1]资源-士兵训练时间'!F6*'[1]功能-付费相关'!AK6/节奏总纲!Z4</f>
        <v>4248.9660343754349</v>
      </c>
      <c r="M4" s="32">
        <f>'[1]资源-士兵训练时间'!G6*'[1]功能-付费相关'!AL6/节奏总纲!AA4</f>
        <v>5272.8366004107766</v>
      </c>
      <c r="O4" s="32">
        <f>'[1]资源-士兵招募时间'!D6*'[1]功能-付费相关'!AH6/节奏总纲!W4</f>
        <v>8005.3355258671581</v>
      </c>
      <c r="P4" s="32">
        <f>'[1]资源-士兵招募时间'!E6*'[1]功能-付费相关'!AI6/节奏总纲!X4</f>
        <v>10773.599832853924</v>
      </c>
      <c r="Q4" s="32">
        <f>'[1]资源-士兵招募时间'!F6*'[1]功能-付费相关'!AJ6/节奏总纲!Y4</f>
        <v>15165.821733765446</v>
      </c>
      <c r="R4" s="32">
        <f>'[1]资源-士兵招募时间'!G6*'[1]功能-付费相关'!AK6/节奏总纲!Z4</f>
        <v>26099.255457242096</v>
      </c>
      <c r="S4" s="32">
        <f>'[1]资源-士兵招募时间'!H6*'[1]功能-付费相关'!AL6/节奏总纲!AA4</f>
        <v>57778.599160528633</v>
      </c>
      <c r="U4" s="32">
        <f>'[1]资源-木石铜粮'!C6*'[1]功能-付费相关'!S6/节奏总纲!W4</f>
        <v>73857.001346685618</v>
      </c>
      <c r="V4" s="32">
        <f>'[1]资源-木石铜粮'!D6*'[1]功能-付费相关'!T6/节奏总纲!X4</f>
        <v>93230.589108001004</v>
      </c>
      <c r="W4" s="32">
        <f>'[1]资源-木石铜粮'!E6*'[1]功能-付费相关'!U6/节奏总纲!Y4</f>
        <v>124430.0674151015</v>
      </c>
      <c r="X4" s="32">
        <f>'[1]资源-木石铜粮'!F6*'[1]功能-付费相关'!V6/节奏总纲!Z4</f>
        <v>187206.89366555877</v>
      </c>
      <c r="Y4" s="32">
        <f>'[1]资源-木石铜粮'!G6*'[1]功能-付费相关'!W6/节奏总纲!AA4</f>
        <v>374581.61826695647</v>
      </c>
      <c r="AA4" s="32">
        <f>'[1]资源-铁'!C6*'[1]功能-付费相关'!X6/节奏总纲!W4</f>
        <v>0</v>
      </c>
      <c r="AB4" s="32">
        <f>'[1]资源-铁'!D6*'[1]功能-付费相关'!Y6/节奏总纲!X4</f>
        <v>0</v>
      </c>
      <c r="AC4" s="32">
        <f>'[1]资源-铁'!E6*'[1]功能-付费相关'!Z6/节奏总纲!Y4</f>
        <v>0</v>
      </c>
      <c r="AD4" s="32">
        <f>'[1]资源-铁'!F6*'[1]功能-付费相关'!AA6/节奏总纲!Z4</f>
        <v>0</v>
      </c>
      <c r="AE4" s="32">
        <f>'[1]资源-铁'!G6*'[1]功能-付费相关'!AB6/节奏总纲!AA4</f>
        <v>0</v>
      </c>
      <c r="AG4" s="32">
        <f>'[1]资源-银币'!C6*'[1]功能-付费相关'!AQ6/节奏总纲!W4</f>
        <v>27596.660064313437</v>
      </c>
      <c r="AH4" s="32">
        <f>'[1]资源-银币'!D6*'[1]功能-付费相关'!AR6/节奏总纲!X4</f>
        <v>42047.839266609728</v>
      </c>
      <c r="AI4" s="32">
        <f>'[1]资源-银币'!E6*'[1]功能-付费相关'!AS6/节奏总纲!Y4</f>
        <v>62720.154641088084</v>
      </c>
      <c r="AJ4" s="32">
        <f>'[1]资源-银币'!F6*'[1]功能-付费相关'!AT6/节奏总纲!Z4</f>
        <v>103792.7389036338</v>
      </c>
      <c r="AK4" s="32">
        <f>'[1]资源-银币'!G6*'[1]功能-付费相关'!AU6/节奏总纲!AA4</f>
        <v>223447.17151747615</v>
      </c>
      <c r="AM4" s="32" t="e">
        <f>#REF!*'[1]功能-付费相关'!CA6/节奏总纲!W4</f>
        <v>#REF!</v>
      </c>
      <c r="AN4" s="32" t="e">
        <f>#REF!*'[1]功能-付费相关'!CB6/节奏总纲!X4</f>
        <v>#REF!</v>
      </c>
      <c r="AO4" s="32" t="e">
        <f>#REF!*'[1]功能-付费相关'!CC6/节奏总纲!Y4</f>
        <v>#REF!</v>
      </c>
      <c r="AP4" s="32" t="e">
        <f>#REF!*'[1]功能-付费相关'!CD6/节奏总纲!Z4</f>
        <v>#REF!</v>
      </c>
      <c r="AQ4" s="32" t="e">
        <f>#REF!*'[1]功能-付费相关'!CE6/节奏总纲!AA4</f>
        <v>#REF!</v>
      </c>
      <c r="AS4" s="32">
        <f>'[1]资源-装备经验'!C6*'[1]功能-付费相关'!BI6/节奏总纲!W4</f>
        <v>1693.2571304033568</v>
      </c>
      <c r="AT4" s="32">
        <f>'[1]资源-装备经验'!D6*'[1]功能-付费相关'!BJ6/节奏总纲!X4</f>
        <v>2771.4755895146009</v>
      </c>
      <c r="AU4" s="32">
        <f>'[1]资源-装备经验'!E6*'[1]功能-付费相关'!BK6/节奏总纲!Y4</f>
        <v>4518.6514805446886</v>
      </c>
      <c r="AV4" s="32">
        <f>'[1]资源-装备经验'!F6*'[1]功能-付费相关'!BL6/节奏总纲!Z4</f>
        <v>8738.9031025748773</v>
      </c>
      <c r="AW4" s="32">
        <f>'[1]资源-装备经验'!G6*'[1]功能-付费相关'!BM6/节奏总纲!AA4</f>
        <v>17894.433110479637</v>
      </c>
      <c r="AY4" s="32">
        <f>'[1]资源-武将经验'!C6*'[1]功能-付费相关'!AZ6*节奏总纲!BJ4/节奏总纲!W4</f>
        <v>655.41065583506906</v>
      </c>
      <c r="AZ4" s="32">
        <f>'[1]资源-武将经验'!D6*'[1]功能-付费相关'!BA6*节奏总纲!BK4/节奏总纲!X4</f>
        <v>844.92246805501634</v>
      </c>
      <c r="BA4" s="32">
        <f>'[1]资源-武将经验'!E6*'[1]功能-付费相关'!BB6*节奏总纲!BL4/节奏总纲!Y4</f>
        <v>1134.3080775402584</v>
      </c>
      <c r="BB4" s="32">
        <f>'[1]资源-武将经验'!F6*'[1]功能-付费相关'!BC6*节奏总纲!BM4/节奏总纲!Z4</f>
        <v>2885.4295770210879</v>
      </c>
      <c r="BC4" s="32">
        <f>'[1]资源-武将经验'!G6*'[1]功能-付费相关'!BD6*节奏总纲!BN4/节奏总纲!AA4</f>
        <v>5741.8865619063508</v>
      </c>
      <c r="BE4" s="30" t="e">
        <f>C4+I4+U4+AA4+AG4+AM4+AS4+AY4</f>
        <v>#REF!</v>
      </c>
      <c r="BF4" s="30" t="e">
        <f t="shared" ref="BF4:BF35" si="0">D4+V4+AB4+AH4+AN4+AT4+AZ4</f>
        <v>#REF!</v>
      </c>
      <c r="BG4" s="30" t="e">
        <f t="shared" ref="BG4:BG35" si="1">E4+W4+AC4+AI4+AO4+AU4+BA4</f>
        <v>#REF!</v>
      </c>
      <c r="BH4" s="30" t="e">
        <f t="shared" ref="BH4:BH35" si="2">F4+X4+AD4+AJ4+AP4+AV4+BB4</f>
        <v>#REF!</v>
      </c>
      <c r="BI4" s="30" t="e">
        <f t="shared" ref="BI4:BI35" si="3">G4+Y4+AE4+AK4+AQ4+AW4+BC4</f>
        <v>#REF!</v>
      </c>
    </row>
    <row r="5" spans="2:61" x14ac:dyDescent="0.15">
      <c r="B5" s="31">
        <v>2</v>
      </c>
      <c r="C5" s="11">
        <f>('[1]资源-玩家城池建筑时间'!D7-'[1]资源-玩家城池建筑时间'!D6)*'[1]功能-付费相关'!AH7/节奏总纲!W5</f>
        <v>11123.369217027495</v>
      </c>
      <c r="D5" s="11">
        <f>('[1]资源-玩家城池建筑时间'!E7-'[1]资源-玩家城池建筑时间'!E6)*'[1]功能-付费相关'!AI7/节奏总纲!X5</f>
        <v>15479.778649180134</v>
      </c>
      <c r="E5" s="11">
        <f>('[1]资源-玩家城池建筑时间'!F7-'[1]资源-玩家城池建筑时间'!F6)*'[1]功能-付费相关'!AJ7/节奏总纲!Y5</f>
        <v>21695.128367401932</v>
      </c>
      <c r="F5" s="11">
        <f>('[1]资源-玩家城池建筑时间'!G7-'[1]资源-玩家城池建筑时间'!G6)*'[1]功能-付费相关'!AK7/节奏总纲!Z5</f>
        <v>34054.122830850109</v>
      </c>
      <c r="G5" s="11">
        <f>('[1]资源-玩家城池建筑时间'!H7-'[1]资源-玩家城池建筑时间'!H6)*'[1]功能-付费相关'!AL7/节奏总纲!AA5</f>
        <v>70092.299601939609</v>
      </c>
      <c r="I5" s="31">
        <f>('[1]资源-士兵训练时间'!C7-'[1]资源-士兵训练时间'!C6)*'[1]功能-付费相关'!AH7/节奏总纲!W5</f>
        <v>3504.1354962304349</v>
      </c>
      <c r="J5" s="31">
        <f>('[1]资源-士兵训练时间'!D7-'[1]资源-士兵训练时间'!D6)*'[1]功能-付费相关'!AI7/节奏总纲!X5</f>
        <v>3599.3946289414375</v>
      </c>
      <c r="K5" s="31">
        <f>('[1]资源-士兵训练时间'!E7-'[1]资源-士兵训练时间'!E6)*'[1]功能-付费相关'!AJ7/节奏总纲!Y5</f>
        <v>3753.081908050423</v>
      </c>
      <c r="L5" s="31">
        <f>('[1]资源-士兵训练时间'!F7-'[1]资源-士兵训练时间'!F6)*'[1]功能-付费相关'!AK7/节奏总纲!Z5</f>
        <v>4065.0065073452392</v>
      </c>
      <c r="M5" s="31">
        <f>('[1]资源-士兵训练时间'!G7-'[1]资源-士兵训练时间'!G6)*'[1]功能-付费相关'!AL7/节奏总纲!AA5</f>
        <v>4960.6605665779307</v>
      </c>
      <c r="O5" s="11">
        <f>('[1]资源-士兵招募时间'!D7-'[1]资源-士兵招募时间'!D6)*'[1]功能-付费相关'!AH7/节奏总纲!W5</f>
        <v>2048.0208755297203</v>
      </c>
      <c r="P5" s="11">
        <f>('[1]资源-士兵招募时间'!E7-'[1]资源-士兵招募时间'!E6)*'[1]功能-付费相关'!AI7/节奏总纲!X5</f>
        <v>2309.6443281990987</v>
      </c>
      <c r="Q5" s="11">
        <f>('[1]资源-士兵招募时间'!F7-'[1]资源-士兵招募时间'!F6)*'[1]功能-付费相关'!AJ7/节奏总纲!Y5</f>
        <v>2628.7609258412863</v>
      </c>
      <c r="R5" s="11">
        <f>('[1]资源-士兵招募时间'!G7-'[1]资源-士兵招募时间'!G6)*'[1]功能-付费相关'!AK7/节奏总纲!Z5</f>
        <v>3266.7511433938221</v>
      </c>
      <c r="S5" s="11">
        <f>('[1]资源-士兵招募时间'!H7-'[1]资源-士兵招募时间'!H6)*'[1]功能-付费相关'!AL7/节奏总纲!AA5</f>
        <v>4492.0625341052983</v>
      </c>
      <c r="U5" s="31">
        <f>('[1]资源-木石铜粮'!C7-'[1]资源-木石铜粮'!C6)*'[1]功能-付费相关'!S7/节奏总纲!W5</f>
        <v>30283.910663874129</v>
      </c>
      <c r="V5" s="31">
        <f>('[1]资源-木石铜粮'!D7-'[1]资源-木石铜粮'!D6)*'[1]功能-付费相关'!T7/节奏总纲!X5</f>
        <v>36747.040020230044</v>
      </c>
      <c r="W5" s="31">
        <f>('[1]资源-木石铜粮'!E7-'[1]资源-木石铜粮'!E6)*'[1]功能-付费相关'!U7/节奏总纲!Y5</f>
        <v>46646.253520836275</v>
      </c>
      <c r="X5" s="31">
        <f>('[1]资源-木石铜粮'!F7-'[1]资源-木石铜粮'!F6)*'[1]功能-付费相关'!V7/节奏总纲!Z5</f>
        <v>63908.51373241729</v>
      </c>
      <c r="Y5" s="31">
        <f>('[1]资源-木石铜粮'!G7-'[1]资源-木石铜粮'!G6)*'[1]功能-付费相关'!W7/节奏总纲!AA5</f>
        <v>116350.83671539587</v>
      </c>
      <c r="AA5" s="11">
        <f>('[1]资源-铁'!C7-'[1]资源-铁'!C6)*'[1]功能-付费相关'!X7/节奏总纲!W5</f>
        <v>0</v>
      </c>
      <c r="AB5" s="11">
        <f>('[1]资源-铁'!D7-'[1]资源-铁'!D6)*'[1]功能-付费相关'!Y7/节奏总纲!X5</f>
        <v>0</v>
      </c>
      <c r="AC5" s="11">
        <f>('[1]资源-铁'!E7-'[1]资源-铁'!E6)*'[1]功能-付费相关'!Z7/节奏总纲!Y5</f>
        <v>0</v>
      </c>
      <c r="AD5" s="11">
        <f>('[1]资源-铁'!F7-'[1]资源-铁'!F6)*'[1]功能-付费相关'!AA7/节奏总纲!Z5</f>
        <v>0</v>
      </c>
      <c r="AE5" s="11">
        <f>('[1]资源-铁'!G7-'[1]资源-铁'!G6)*'[1]功能-付费相关'!AB7/节奏总纲!AA5</f>
        <v>0</v>
      </c>
      <c r="AG5" s="11">
        <f>('[1]资源-银币'!C7-'[1]资源-银币'!C6)*'[1]功能-付费相关'!AQ7/节奏总纲!W5</f>
        <v>24451.767196420355</v>
      </c>
      <c r="AH5" s="11">
        <f>('[1]资源-银币'!D7-'[1]资源-银币'!D6)*'[1]功能-付费相关'!AR7/节奏总纲!X5</f>
        <v>28728.349143612224</v>
      </c>
      <c r="AI5" s="11">
        <f>('[1]资源-银币'!E7-'[1]资源-银币'!E6)*'[1]功能-付费相关'!AS7/节奏总纲!Y5</f>
        <v>33380.705117354533</v>
      </c>
      <c r="AJ5" s="11">
        <f>('[1]资源-银币'!F7-'[1]资源-银币'!F6)*'[1]功能-付费相关'!AT7/节奏总纲!Z5</f>
        <v>43855.43399072309</v>
      </c>
      <c r="AK5" s="11">
        <f>('[1]资源-银币'!G7-'[1]资源-银币'!G6)*'[1]功能-付费相关'!AU7/节奏总纲!AA5</f>
        <v>74903.631614725382</v>
      </c>
      <c r="AM5" s="11" t="e">
        <f>(#REF!-#REF!)*'[1]功能-付费相关'!CA7/节奏总纲!W5</f>
        <v>#REF!</v>
      </c>
      <c r="AN5" s="11" t="e">
        <f>(#REF!-#REF!)*'[1]功能-付费相关'!CB7/节奏总纲!X5</f>
        <v>#REF!</v>
      </c>
      <c r="AO5" s="11" t="e">
        <f>(#REF!-#REF!)*'[1]功能-付费相关'!CC7/节奏总纲!Y5</f>
        <v>#REF!</v>
      </c>
      <c r="AP5" s="11" t="e">
        <f>(#REF!-#REF!)*'[1]功能-付费相关'!CD7/节奏总纲!Z5</f>
        <v>#REF!</v>
      </c>
      <c r="AQ5" s="11" t="e">
        <f>(#REF!-#REF!)*'[1]功能-付费相关'!CE7/节奏总纲!AA5</f>
        <v>#REF!</v>
      </c>
      <c r="AS5" s="11">
        <f>('[1]资源-装备经验'!C7-'[1]资源-装备经验'!C6)*'[1]功能-付费相关'!BI7/节奏总纲!W5</f>
        <v>1586.8172295725801</v>
      </c>
      <c r="AT5" s="11">
        <f>('[1]资源-装备经验'!D7-'[1]资源-装备经验'!D6)*'[1]功能-付费相关'!BJ7/节奏总纲!X5</f>
        <v>2558.0147871112699</v>
      </c>
      <c r="AU5" s="11">
        <f>('[1]资源-装备经验'!E7-'[1]资源-装备经验'!E6)*'[1]功能-付费相关'!BK7/节奏总纲!Y5</f>
        <v>4094.4316540282962</v>
      </c>
      <c r="AV5" s="11">
        <f>('[1]资源-装备经验'!F7-'[1]资源-装备经验'!F6)*'[1]功能-付费相关'!BL7/节奏总纲!Z5</f>
        <v>7661.4282806744623</v>
      </c>
      <c r="AW5" s="11">
        <f>('[1]资源-装备经验'!G7-'[1]资源-装备经验'!G6)*'[1]功能-付费相关'!BM7/节奏总纲!AA5</f>
        <v>15158.797696122365</v>
      </c>
      <c r="AY5" s="11">
        <f>('[1]资源-武将经验'!C7*节奏总纲!BJ5-'[1]资源-武将经验'!C6*节奏总纲!BJ4)*'[1]功能-付费相关'!AZ7/节奏总纲!W5</f>
        <v>1687.0940611249775</v>
      </c>
      <c r="AZ5" s="11">
        <f>('[1]资源-武将经验'!D7*节奏总纲!BK5-'[1]资源-武将经验'!D6*节奏总纲!BK4)*'[1]功能-付费相关'!BA7/节奏总纲!X5</f>
        <v>2104.2858048123753</v>
      </c>
      <c r="BA5" s="11">
        <f>('[1]资源-武将经验'!E7*节奏总纲!BL5-'[1]资源-武将经验'!E6*节奏总纲!BL4)*'[1]功能-付费相关'!BB7/节奏总纲!Y5</f>
        <v>2745.3791638065172</v>
      </c>
      <c r="BB5" s="11">
        <f>('[1]资源-武将经验'!F7*节奏总纲!BM5-'[1]资源-武将经验'!F6*节奏总纲!BM4)*'[1]功能-付费相关'!BC7/节奏总纲!Z5</f>
        <v>6804.8702969680862</v>
      </c>
      <c r="BC5" s="11">
        <f>('[1]资源-武将经验'!G7*节奏总纲!BN5-'[1]资源-武将经验'!G6*节奏总纲!BN4)*'[1]功能-付费相关'!BD7/节奏总纲!AA5</f>
        <v>13280.023071793965</v>
      </c>
      <c r="BD5" s="33"/>
      <c r="BE5" s="30" t="e">
        <f t="shared" ref="BE5:BE68" si="4">C5+I5+U5+AA5+AG5+AM5+AS5+AY5</f>
        <v>#REF!</v>
      </c>
      <c r="BF5" s="30" t="e">
        <f t="shared" si="0"/>
        <v>#REF!</v>
      </c>
      <c r="BG5" s="30" t="e">
        <f t="shared" si="1"/>
        <v>#REF!</v>
      </c>
      <c r="BH5" s="30" t="e">
        <f t="shared" si="2"/>
        <v>#REF!</v>
      </c>
      <c r="BI5" s="30" t="e">
        <f t="shared" si="3"/>
        <v>#REF!</v>
      </c>
    </row>
    <row r="6" spans="2:61" x14ac:dyDescent="0.15">
      <c r="B6" s="31">
        <v>3</v>
      </c>
      <c r="C6" s="11">
        <f>('[1]资源-玩家城池建筑时间'!D8-'[1]资源-玩家城池建筑时间'!D7)*'[1]功能-付费相关'!AH8/节奏总纲!W6</f>
        <v>10350.184208460343</v>
      </c>
      <c r="D6" s="11">
        <f>('[1]资源-玩家城池建筑时间'!E8-'[1]资源-玩家城池建筑时间'!E7)*'[1]功能-付费相关'!AI8/节奏总纲!X6</f>
        <v>14142.305219421851</v>
      </c>
      <c r="E6" s="11">
        <f>('[1]资源-玩家城池建筑时间'!F8-'[1]资源-玩家城池建筑时间'!F7)*'[1]功能-付费相关'!AJ8/节奏总纲!Y6</f>
        <v>19488.845913089586</v>
      </c>
      <c r="F6" s="11">
        <f>('[1]资源-玩家城池建筑时间'!G8-'[1]资源-玩家城池建筑时间'!G7)*'[1]功能-付费相关'!AK8/节奏总纲!Z6</f>
        <v>30253.270762595632</v>
      </c>
      <c r="G6" s="11">
        <f>('[1]资源-玩家城池建筑时间'!H8-'[1]资源-玩家城池建筑时间'!H7)*'[1]功能-付费相关'!AL8/节奏总纲!AA6</f>
        <v>60257.863757897685</v>
      </c>
      <c r="I6" s="31">
        <f>('[1]资源-士兵训练时间'!C8-'[1]资源-士兵训练时间'!C7)*'[1]功能-付费相关'!AH8/节奏总纲!W6</f>
        <v>3436.85477823372</v>
      </c>
      <c r="J6" s="31">
        <f>('[1]资源-士兵训练时间'!D8-'[1]资源-士兵训练时间'!D7)*'[1]功能-付费相关'!AI8/节奏总纲!X6</f>
        <v>3546.4154562812105</v>
      </c>
      <c r="K6" s="31">
        <f>('[1]资源-士兵训练时间'!E8-'[1]资源-士兵训练时间'!E7)*'[1]功能-付费相关'!AJ8/节奏总纲!Y6</f>
        <v>3719.9085325982001</v>
      </c>
      <c r="L6" s="31">
        <f>('[1]资源-士兵训练时间'!F8-'[1]资源-士兵训练时间'!F7)*'[1]功能-付费相关'!AK8/节奏总纲!Z6</f>
        <v>4087.4105645446584</v>
      </c>
      <c r="M6" s="31">
        <f>('[1]资源-士兵训练时间'!G8-'[1]资源-士兵训练时间'!G7)*'[1]功能-付费相关'!AL8/节奏总纲!AA6</f>
        <v>5150.7616509626769</v>
      </c>
      <c r="O6" s="11">
        <f>('[1]资源-士兵招募时间'!D8-'[1]资源-士兵招募时间'!D7)*'[1]功能-付费相关'!AH8/节奏总纲!W6</f>
        <v>2215.5984431165125</v>
      </c>
      <c r="P6" s="11">
        <f>('[1]资源-士兵招募时间'!E8-'[1]资源-士兵招募时间'!E7)*'[1]功能-付费相关'!AI8/节奏总纲!X6</f>
        <v>2503.8055085349242</v>
      </c>
      <c r="Q6" s="11">
        <f>('[1]资源-士兵招募时间'!F8-'[1]资源-士兵招募时间'!F7)*'[1]功能-付费相关'!AJ8/节奏总纲!Y6</f>
        <v>2866.1661209927529</v>
      </c>
      <c r="R6" s="11">
        <f>('[1]资源-士兵招募时间'!G8-'[1]资源-士兵招募时间'!G7)*'[1]功能-付费相关'!AK8/节奏总纲!Z6</f>
        <v>3604.582101288891</v>
      </c>
      <c r="S6" s="11">
        <f>('[1]资源-士兵招募时间'!H8-'[1]资源-士兵招募时间'!H7)*'[1]功能-付费相关'!AL8/节奏总纲!AA6</f>
        <v>5046.1803404215225</v>
      </c>
      <c r="U6" s="31">
        <f>('[1]资源-木石铜粮'!C8-'[1]资源-木石铜粮'!C7)*'[1]功能-付费相关'!S8/节奏总纲!W6</f>
        <v>16131.484747746734</v>
      </c>
      <c r="V6" s="31">
        <f>('[1]资源-木石铜粮'!D8-'[1]资源-木石铜粮'!D7)*'[1]功能-付费相关'!T8/节奏总纲!X6</f>
        <v>19478.785540800167</v>
      </c>
      <c r="W6" s="31">
        <f>('[1]资源-木石铜粮'!E8-'[1]资源-木石铜粮'!E7)*'[1]功能-付费相关'!U8/节奏总纲!Y6</f>
        <v>24295.825716598167</v>
      </c>
      <c r="X6" s="31">
        <f>('[1]资源-木石铜粮'!F8-'[1]资源-木石铜粮'!F7)*'[1]功能-付费相关'!V8/节奏总纲!Z6</f>
        <v>33058.213093646926</v>
      </c>
      <c r="Y6" s="31">
        <f>('[1]资源-木石铜粮'!G8-'[1]资源-木石铜粮'!G7)*'[1]功能-付费相关'!W8/节奏总纲!AA6</f>
        <v>59770.944604721772</v>
      </c>
      <c r="AA6" s="11">
        <f>('[1]资源-铁'!C8-'[1]资源-铁'!C7)*'[1]功能-付费相关'!X8/节奏总纲!W6</f>
        <v>0</v>
      </c>
      <c r="AB6" s="11">
        <f>('[1]资源-铁'!D8-'[1]资源-铁'!D7)*'[1]功能-付费相关'!Y8/节奏总纲!X6</f>
        <v>0</v>
      </c>
      <c r="AC6" s="11">
        <f>('[1]资源-铁'!E8-'[1]资源-铁'!E7)*'[1]功能-付费相关'!Z8/节奏总纲!Y6</f>
        <v>0</v>
      </c>
      <c r="AD6" s="11">
        <f>('[1]资源-铁'!F8-'[1]资源-铁'!F7)*'[1]功能-付费相关'!AA8/节奏总纲!Z6</f>
        <v>0</v>
      </c>
      <c r="AE6" s="11">
        <f>('[1]资源-铁'!G8-'[1]资源-铁'!G7)*'[1]功能-付费相关'!AB8/节奏总纲!AA6</f>
        <v>0</v>
      </c>
      <c r="AG6" s="11">
        <f>('[1]资源-银币'!C8-'[1]资源-银币'!C7)*'[1]功能-付费相关'!AQ8/节奏总纲!W6</f>
        <v>13696.482941527471</v>
      </c>
      <c r="AH6" s="11">
        <f>('[1]资源-银币'!D8-'[1]资源-银币'!D7)*'[1]功能-付费相关'!AR8/节奏总纲!X6</f>
        <v>16066.419776156808</v>
      </c>
      <c r="AI6" s="11">
        <f>('[1]资源-银币'!E8-'[1]资源-银币'!E7)*'[1]功能-付费相关'!AS8/节奏总纲!Y6</f>
        <v>18852.81082264864</v>
      </c>
      <c r="AJ6" s="11">
        <f>('[1]资源-银币'!F8-'[1]资源-银币'!F7)*'[1]功能-付费相关'!AT8/节奏总纲!Z6</f>
        <v>25175.857119330314</v>
      </c>
      <c r="AK6" s="11">
        <f>('[1]资源-银币'!G8-'[1]资源-银币'!G7)*'[1]功能-付费相关'!AU8/节奏总纲!AA6</f>
        <v>44149.863998820168</v>
      </c>
      <c r="AM6" s="11" t="e">
        <f>(#REF!-#REF!)*'[1]功能-付费相关'!CA8/节奏总纲!W6</f>
        <v>#REF!</v>
      </c>
      <c r="AN6" s="11" t="e">
        <f>(#REF!-#REF!)*'[1]功能-付费相关'!CB8/节奏总纲!X6</f>
        <v>#REF!</v>
      </c>
      <c r="AO6" s="11" t="e">
        <f>(#REF!-#REF!)*'[1]功能-付费相关'!CC8/节奏总纲!Y6</f>
        <v>#REF!</v>
      </c>
      <c r="AP6" s="11" t="e">
        <f>(#REF!-#REF!)*'[1]功能-付费相关'!CD8/节奏总纲!Z6</f>
        <v>#REF!</v>
      </c>
      <c r="AQ6" s="11" t="e">
        <f>(#REF!-#REF!)*'[1]功能-付费相关'!CE8/节奏总纲!AA6</f>
        <v>#REF!</v>
      </c>
      <c r="AS6" s="11">
        <f>('[1]资源-装备经验'!C8-'[1]资源-装备经验'!C7)*'[1]功能-付费相关'!BI8/节奏总纲!W6</f>
        <v>1529.3631433641294</v>
      </c>
      <c r="AT6" s="11">
        <f>('[1]资源-装备经验'!D8-'[1]资源-装备经验'!D7)*'[1]功能-付费相关'!BJ8/节奏总纲!X6</f>
        <v>2420.7381353368769</v>
      </c>
      <c r="AU6" s="11">
        <f>('[1]资源-装备经验'!E8-'[1]资源-装备经验'!E7)*'[1]功能-付费相关'!BK8/节奏总纲!Y6</f>
        <v>3771.7352622308185</v>
      </c>
      <c r="AV6" s="11">
        <f>('[1]资源-装备经验'!F8-'[1]资源-装备经验'!F7)*'[1]功能-付费相关'!BL8/节奏总纲!Z6</f>
        <v>6887.4933740220595</v>
      </c>
      <c r="AW6" s="11">
        <f>('[1]资源-装备经验'!G8-'[1]资源-装备经验'!G7)*'[1]功能-付费相关'!BM8/节奏总纲!AA6</f>
        <v>13376.312873123479</v>
      </c>
      <c r="AY6" s="11">
        <f>('[1]资源-武将经验'!C8*节奏总纲!BJ6-'[1]资源-武将经验'!C7*节奏总纲!BJ5)*'[1]功能-付费相关'!AZ8/节奏总纲!W6</f>
        <v>2672.7673057666047</v>
      </c>
      <c r="AZ6" s="11">
        <f>('[1]资源-武将经验'!D8*节奏总纲!BK6-'[1]资源-武将经验'!D7*节奏总纲!BK5)*'[1]功能-付费相关'!BA8/节奏总纲!X6</f>
        <v>3322.0751739824859</v>
      </c>
      <c r="BA6" s="11">
        <f>('[1]资源-武将经验'!E8*节奏总纲!BL6-'[1]资源-武将经验'!E7*节奏总纲!BL5)*'[1]功能-付费相关'!BB8/节奏总纲!Y6</f>
        <v>4307.5449926169731</v>
      </c>
      <c r="BB6" s="11">
        <f>('[1]资源-武将经验'!F8*节奏总纲!BM6-'[1]资源-武将经验'!F7*节奏总纲!BM5)*'[1]功能-付费相关'!BC8/节奏总纲!Z6</f>
        <v>10670.255695650405</v>
      </c>
      <c r="BC6" s="11">
        <f>('[1]资源-武将经验'!G8*节奏总纲!BN6-'[1]资源-武将经验'!G7*节奏总纲!BN5)*'[1]功能-付费相关'!BD8/节奏总纲!AA6</f>
        <v>21114.267231819969</v>
      </c>
      <c r="BD6" s="33"/>
      <c r="BE6" s="30" t="e">
        <f t="shared" si="4"/>
        <v>#REF!</v>
      </c>
      <c r="BF6" s="30" t="e">
        <f t="shared" si="0"/>
        <v>#REF!</v>
      </c>
      <c r="BG6" s="30" t="e">
        <f t="shared" si="1"/>
        <v>#REF!</v>
      </c>
      <c r="BH6" s="30" t="e">
        <f t="shared" si="2"/>
        <v>#REF!</v>
      </c>
      <c r="BI6" s="30" t="e">
        <f t="shared" si="3"/>
        <v>#REF!</v>
      </c>
    </row>
    <row r="7" spans="2:61" x14ac:dyDescent="0.15">
      <c r="B7" s="31">
        <v>4</v>
      </c>
      <c r="C7" s="11">
        <f>('[1]资源-玩家城池建筑时间'!D9-'[1]资源-玩家城池建筑时间'!D8)*'[1]功能-付费相关'!AH9/节奏总纲!W7</f>
        <v>9902.8436885813917</v>
      </c>
      <c r="D7" s="11">
        <f>('[1]资源-玩家城池建筑时间'!E9-'[1]资源-玩家城池建筑时间'!E8)*'[1]功能-付费相关'!AI9/节奏总纲!X7</f>
        <v>13094.364604802371</v>
      </c>
      <c r="E7" s="11">
        <f>('[1]资源-玩家城池建筑时间'!F9-'[1]资源-玩家城池建筑时间'!F8)*'[1]功能-付费相关'!AJ9/节奏总纲!Y7</f>
        <v>17334.737024941096</v>
      </c>
      <c r="F7" s="11">
        <f>('[1]资源-玩家城池建筑时间'!G9-'[1]资源-玩家城池建筑时间'!G8)*'[1]功能-付费相关'!AK9/节奏总纲!Z7</f>
        <v>25625.674657986074</v>
      </c>
      <c r="G7" s="11">
        <f>('[1]资源-玩家城池建筑时间'!H9-'[1]资源-玩家城池建筑时间'!H8)*'[1]功能-付费相关'!AL9/节奏总纲!AA7</f>
        <v>46289.305094571755</v>
      </c>
      <c r="I7" s="31">
        <f>('[1]资源-士兵训练时间'!C9-'[1]资源-士兵训练时间'!C8)*'[1]功能-付费相关'!AH9/节奏总纲!W7</f>
        <v>3389.5023520339555</v>
      </c>
      <c r="J7" s="31">
        <f>('[1]资源-士兵训练时间'!D9-'[1]资源-士兵训练时间'!D8)*'[1]功能-付费相关'!AI9/节奏总纲!X7</f>
        <v>3491.5963803110608</v>
      </c>
      <c r="K7" s="31">
        <f>('[1]资源-士兵训练时间'!E9-'[1]资源-士兵训练时间'!E8)*'[1]功能-付费相关'!AJ9/节奏总纲!Y7</f>
        <v>3654.8263334079043</v>
      </c>
      <c r="L7" s="31">
        <f>('[1]资源-士兵训练时间'!F9-'[1]资源-士兵训练时间'!F8)*'[1]功能-付费相关'!AK9/节奏总纲!Z7</f>
        <v>3980.457689107388</v>
      </c>
      <c r="M7" s="31">
        <f>('[1]资源-士兵训练时间'!G9-'[1]资源-士兵训练时间'!G8)*'[1]功能-付费相关'!AL9/节奏总纲!AA7</f>
        <v>4937.470946864245</v>
      </c>
      <c r="O7" s="11">
        <f>('[1]资源-士兵招募时间'!D9-'[1]资源-士兵招募时间'!D8)*'[1]功能-付费相关'!AH9/节奏总纲!W7</f>
        <v>2410.2947855667735</v>
      </c>
      <c r="P7" s="11">
        <f>('[1]资源-士兵招募时间'!E9-'[1]资源-士兵招募时间'!E8)*'[1]功能-付费相关'!AI9/节奏总纲!X7</f>
        <v>2721.9994348718428</v>
      </c>
      <c r="Q7" s="11">
        <f>('[1]资源-士兵招募时间'!F9-'[1]资源-士兵招募时间'!F8)*'[1]功能-付费相关'!AJ9/节奏总纲!Y7</f>
        <v>3044.3963011895803</v>
      </c>
      <c r="R7" s="11">
        <f>('[1]资源-士兵招募时间'!G9-'[1]资源-士兵招募时间'!G8)*'[1]功能-付费相关'!AK9/节奏总纲!Z7</f>
        <v>3775.4517705229496</v>
      </c>
      <c r="S7" s="11">
        <f>('[1]资源-士兵招募时间'!H9-'[1]资源-士兵招募时间'!H8)*'[1]功能-付费相关'!AL9/节奏总纲!AA7</f>
        <v>5145.8253855745479</v>
      </c>
      <c r="U7" s="31">
        <f>('[1]资源-木石铜粮'!C9-'[1]资源-木石铜粮'!C8)*'[1]功能-付费相关'!S9/节奏总纲!W7</f>
        <v>12535.171818660436</v>
      </c>
      <c r="V7" s="31">
        <f>('[1]资源-木石铜粮'!D9-'[1]资源-木石铜粮'!D8)*'[1]功能-付费相关'!T9/节奏总纲!X7</f>
        <v>14492.31378935359</v>
      </c>
      <c r="W7" s="31">
        <f>('[1]资源-木石铜粮'!E9-'[1]资源-木石铜粮'!E8)*'[1]功能-付费相关'!U9/节奏总纲!Y7</f>
        <v>17628.09782859292</v>
      </c>
      <c r="X7" s="31">
        <f>('[1]资源-木石铜粮'!F9-'[1]资源-木石铜粮'!F8)*'[1]功能-付费相关'!V9/节奏总纲!Z7</f>
        <v>23031.247014644352</v>
      </c>
      <c r="Y7" s="31">
        <f>('[1]资源-木石铜粮'!G9-'[1]资源-木石铜粮'!G8)*'[1]功能-付费相关'!W9/节奏总纲!AA7</f>
        <v>39688.328611171259</v>
      </c>
      <c r="AA7" s="11">
        <f>('[1]资源-铁'!C9-'[1]资源-铁'!C8)*'[1]功能-付费相关'!X9/节奏总纲!W7</f>
        <v>0</v>
      </c>
      <c r="AB7" s="11">
        <f>('[1]资源-铁'!D9-'[1]资源-铁'!D8)*'[1]功能-付费相关'!Y9/节奏总纲!X7</f>
        <v>0</v>
      </c>
      <c r="AC7" s="11">
        <f>('[1]资源-铁'!E9-'[1]资源-铁'!E8)*'[1]功能-付费相关'!Z9/节奏总纲!Y7</f>
        <v>0</v>
      </c>
      <c r="AD7" s="11">
        <f>('[1]资源-铁'!F9-'[1]资源-铁'!F8)*'[1]功能-付费相关'!AA9/节奏总纲!Z7</f>
        <v>0</v>
      </c>
      <c r="AE7" s="11">
        <f>('[1]资源-铁'!G9-'[1]资源-铁'!G8)*'[1]功能-付费相关'!AB9/节奏总纲!AA7</f>
        <v>0</v>
      </c>
      <c r="AG7" s="11">
        <f>('[1]资源-银币'!C9-'[1]资源-银币'!C8)*'[1]功能-付费相关'!AQ9/节奏总纲!W7</f>
        <v>10844.166972126939</v>
      </c>
      <c r="AH7" s="11">
        <f>('[1]资源-银币'!D9-'[1]资源-银币'!D8)*'[1]功能-付费相关'!AR9/节奏总纲!X7</f>
        <v>12800.715810311736</v>
      </c>
      <c r="AI7" s="11">
        <f>('[1]资源-银币'!E9-'[1]资源-银币'!E8)*'[1]功能-付费相关'!AS9/节奏总纲!Y7</f>
        <v>15083.128499654886</v>
      </c>
      <c r="AJ7" s="11">
        <f>('[1]资源-银币'!F9-'[1]资源-银币'!F8)*'[1]功能-付费相关'!AT9/节奏总纲!Z7</f>
        <v>19392.071830220415</v>
      </c>
      <c r="AK7" s="11">
        <f>('[1]资源-银币'!G9-'[1]资源-银币'!G8)*'[1]功能-付费相关'!AU9/节奏总纲!AA7</f>
        <v>33233.929320663992</v>
      </c>
      <c r="AM7" s="11" t="e">
        <f>(#REF!-#REF!)*'[1]功能-付费相关'!CA9/节奏总纲!W7</f>
        <v>#REF!</v>
      </c>
      <c r="AN7" s="11" t="e">
        <f>(#REF!-#REF!)*'[1]功能-付费相关'!CB9/节奏总纲!X7</f>
        <v>#REF!</v>
      </c>
      <c r="AO7" s="11" t="e">
        <f>(#REF!-#REF!)*'[1]功能-付费相关'!CC9/节奏总纲!Y7</f>
        <v>#REF!</v>
      </c>
      <c r="AP7" s="11" t="e">
        <f>(#REF!-#REF!)*'[1]功能-付费相关'!CD9/节奏总纲!Z7</f>
        <v>#REF!</v>
      </c>
      <c r="AQ7" s="11" t="e">
        <f>(#REF!-#REF!)*'[1]功能-付费相关'!CE9/节奏总纲!AA7</f>
        <v>#REF!</v>
      </c>
      <c r="AS7" s="11">
        <f>('[1]资源-装备经验'!C9-'[1]资源-装备经验'!C8)*'[1]功能-付费相关'!BI9/节奏总纲!W7</f>
        <v>1473.9100621482664</v>
      </c>
      <c r="AT7" s="11">
        <f>('[1]资源-装备经验'!D9-'[1]资源-装备经验'!D8)*'[1]功能-付费相关'!BJ9/节奏总纲!X7</f>
        <v>2261.0682311155215</v>
      </c>
      <c r="AU7" s="11">
        <f>('[1]资源-装备经验'!E9-'[1]资源-装备经验'!E8)*'[1]功能-付费相关'!BK9/节奏总纲!Y7</f>
        <v>3474.3606092579794</v>
      </c>
      <c r="AV7" s="11">
        <f>('[1]资源-装备经验'!F9-'[1]资源-装备经验'!F8)*'[1]功能-付费相关'!BL9/节奏总纲!Z7</f>
        <v>6137.9116972154134</v>
      </c>
      <c r="AW7" s="11">
        <f>('[1]资源-装备经验'!G9-'[1]资源-装备经验'!G8)*'[1]功能-付费相关'!BM9/节奏总纲!AA7</f>
        <v>11504.294326876665</v>
      </c>
      <c r="AY7" s="11">
        <f>('[1]资源-武将经验'!C9*节奏总纲!BJ7-'[1]资源-武将经验'!C8*节奏总纲!BJ6)*'[1]功能-付费相关'!AZ9/节奏总纲!W7</f>
        <v>4324.7193561345002</v>
      </c>
      <c r="AZ7" s="11">
        <f>('[1]资源-武将经验'!D9*节奏总纲!BK7-'[1]资源-武将经验'!D8*节奏总纲!BK6)*'[1]功能-付费相关'!BA9/节奏总纲!X7</f>
        <v>5199.7934452824293</v>
      </c>
      <c r="BA7" s="11">
        <f>('[1]资源-武将经验'!E9*节奏总纲!BL7-'[1]资源-武将经验'!E8*节奏总纲!BL6)*'[1]功能-付费相关'!BB9/节奏总纲!Y7</f>
        <v>6542.8166843289673</v>
      </c>
      <c r="BB7" s="11">
        <f>('[1]资源-武将经验'!F9*节奏总纲!BM7-'[1]资源-武将经验'!F8*节奏总纲!BM6)*'[1]功能-付费相关'!BC9/节奏总纲!Z7</f>
        <v>15469.644292914276</v>
      </c>
      <c r="BC7" s="11">
        <f>('[1]资源-武将经验'!G9*节奏总纲!BN7-'[1]资源-武将经验'!G8*节奏总纲!BN6)*'[1]功能-付费相关'!BD9/节奏总纲!AA7</f>
        <v>29278.95474261609</v>
      </c>
      <c r="BD7" s="33"/>
      <c r="BE7" s="30" t="e">
        <f t="shared" si="4"/>
        <v>#REF!</v>
      </c>
      <c r="BF7" s="30" t="e">
        <f t="shared" si="0"/>
        <v>#REF!</v>
      </c>
      <c r="BG7" s="30" t="e">
        <f t="shared" si="1"/>
        <v>#REF!</v>
      </c>
      <c r="BH7" s="30" t="e">
        <f t="shared" si="2"/>
        <v>#REF!</v>
      </c>
      <c r="BI7" s="30" t="e">
        <f t="shared" si="3"/>
        <v>#REF!</v>
      </c>
    </row>
    <row r="8" spans="2:61" x14ac:dyDescent="0.15">
      <c r="B8" s="31">
        <v>5</v>
      </c>
      <c r="C8" s="11">
        <f>('[1]资源-玩家城池建筑时间'!D10-'[1]资源-玩家城池建筑时间'!D9)*'[1]功能-付费相关'!AH10/节奏总纲!W8</f>
        <v>8909.8496761816041</v>
      </c>
      <c r="D8" s="11">
        <f>('[1]资源-玩家城池建筑时间'!E10-'[1]资源-玩家城池建筑时间'!E9)*'[1]功能-付费相关'!AI10/节奏总纲!X8</f>
        <v>11614.688053737056</v>
      </c>
      <c r="E8" s="11">
        <f>('[1]资源-玩家城池建筑时间'!F10-'[1]资源-玩家城池建筑时间'!F9)*'[1]功能-付费相关'!AJ10/节奏总纲!Y8</f>
        <v>15164.216146310959</v>
      </c>
      <c r="F8" s="11">
        <f>('[1]资源-玩家城池建筑时间'!G10-'[1]资源-玩家城池建筑时间'!G9)*'[1]功能-付费相关'!AK10/节奏总纲!Z8</f>
        <v>22292.861704250299</v>
      </c>
      <c r="G8" s="11">
        <f>('[1]资源-玩家城池建筑时间'!H10-'[1]资源-玩家城池建筑时间'!H9)*'[1]功能-付费相关'!AL10/节奏总纲!AA8</f>
        <v>39268.349256393863</v>
      </c>
      <c r="I8" s="31">
        <f>('[1]资源-士兵训练时间'!C10-'[1]资源-士兵训练时间'!C9)*'[1]功能-付费相关'!AH10/节奏总纲!W8</f>
        <v>3275.4797547336875</v>
      </c>
      <c r="J8" s="31">
        <f>('[1]资源-士兵训练时间'!D10-'[1]资源-士兵训练时间'!D9)*'[1]功能-付费相关'!AI10/节奏总纲!X8</f>
        <v>3373.2883520589212</v>
      </c>
      <c r="K8" s="31">
        <f>('[1]资源-士兵训练时间'!E10-'[1]资源-士兵训练时间'!E9)*'[1]功能-付费相关'!AJ10/节奏总纲!Y8</f>
        <v>3524.5676416437072</v>
      </c>
      <c r="L8" s="31">
        <f>('[1]资源-士兵训练时间'!F10-'[1]资源-士兵训练时间'!F9)*'[1]功能-付费相关'!AK10/节奏总纲!Z8</f>
        <v>3834.9788107330232</v>
      </c>
      <c r="M8" s="31">
        <f>('[1]资源-士兵训练时间'!G10-'[1]资源-士兵训练时间'!G9)*'[1]功能-付费相关'!AL10/节奏总纲!AA8</f>
        <v>4800.9323103871166</v>
      </c>
      <c r="O8" s="11">
        <f>('[1]资源-士兵招募时间'!D10-'[1]资源-士兵招募时间'!D9)*'[1]功能-付费相关'!AH10/节奏总纲!W8</f>
        <v>2484.1718410225826</v>
      </c>
      <c r="P8" s="11">
        <f>('[1]资源-士兵招募时间'!E10-'[1]资源-士兵招募时间'!E9)*'[1]功能-付费相关'!AI10/节奏总纲!X8</f>
        <v>2815.223283417718</v>
      </c>
      <c r="Q8" s="11">
        <f>('[1]资源-士兵招募时间'!F10-'[1]资源-士兵招募时间'!F9)*'[1]功能-付费相关'!AJ10/节奏总纲!Y8</f>
        <v>3195.3165499981883</v>
      </c>
      <c r="R8" s="11">
        <f>('[1]资源-士兵招募时间'!G10-'[1]资源-士兵招募时间'!G9)*'[1]功能-付费相关'!AK10/节奏总纲!Z8</f>
        <v>3909.1186638083409</v>
      </c>
      <c r="S8" s="11">
        <f>('[1]资源-士兵招募时间'!H10-'[1]资源-士兵招募时间'!H9)*'[1]功能-付费相关'!AL10/节奏总纲!AA8</f>
        <v>5332.1603146567531</v>
      </c>
      <c r="U8" s="31">
        <f>('[1]资源-木石铜粮'!C10-'[1]资源-木石铜粮'!C9)*'[1]功能-付费相关'!S10/节奏总纲!W8</f>
        <v>9519.8397801405299</v>
      </c>
      <c r="V8" s="31">
        <f>('[1]资源-木石铜粮'!D10-'[1]资源-木石铜粮'!D9)*'[1]功能-付费相关'!T10/节奏总纲!X8</f>
        <v>10833.415279526087</v>
      </c>
      <c r="W8" s="31">
        <f>('[1]资源-木石铜粮'!E10-'[1]资源-木石铜粮'!E9)*'[1]功能-付费相关'!U10/节奏总纲!Y8</f>
        <v>13011.80925754539</v>
      </c>
      <c r="X8" s="31">
        <f>('[1]资源-木石铜粮'!F10-'[1]资源-木石铜粮'!F9)*'[1]功能-付费相关'!V10/节奏总纲!Z8</f>
        <v>16583.877123820614</v>
      </c>
      <c r="Y8" s="31">
        <f>('[1]资源-木石铜粮'!G10-'[1]资源-木石铜粮'!G9)*'[1]功能-付费相关'!W10/节奏总纲!AA8</f>
        <v>27613.919223560682</v>
      </c>
      <c r="AA8" s="11">
        <f>('[1]资源-铁'!C10-'[1]资源-铁'!C9)*'[1]功能-付费相关'!X10/节奏总纲!W8</f>
        <v>0</v>
      </c>
      <c r="AB8" s="11">
        <f>('[1]资源-铁'!D10-'[1]资源-铁'!D9)*'[1]功能-付费相关'!Y10/节奏总纲!X8</f>
        <v>0</v>
      </c>
      <c r="AC8" s="11">
        <f>('[1]资源-铁'!E10-'[1]资源-铁'!E9)*'[1]功能-付费相关'!Z10/节奏总纲!Y8</f>
        <v>0</v>
      </c>
      <c r="AD8" s="11">
        <f>('[1]资源-铁'!F10-'[1]资源-铁'!F9)*'[1]功能-付费相关'!AA10/节奏总纲!Z8</f>
        <v>0</v>
      </c>
      <c r="AE8" s="11">
        <f>('[1]资源-铁'!G10-'[1]资源-铁'!G9)*'[1]功能-付费相关'!AB10/节奏总纲!AA8</f>
        <v>0</v>
      </c>
      <c r="AG8" s="11">
        <f>('[1]资源-银币'!C10-'[1]资源-银币'!C9)*'[1]功能-付费相关'!AQ10/节奏总纲!W8</f>
        <v>9755.1044550724982</v>
      </c>
      <c r="AH8" s="11">
        <f>('[1]资源-银币'!D10-'[1]资源-银币'!D9)*'[1]功能-付费相关'!AR10/节奏总纲!X8</f>
        <v>11562.066316707678</v>
      </c>
      <c r="AI8" s="11">
        <f>('[1]资源-银币'!E10-'[1]资源-银币'!E9)*'[1]功能-付费相关'!AS10/节奏总纲!Y8</f>
        <v>13496.10016101532</v>
      </c>
      <c r="AJ8" s="11">
        <f>('[1]资源-银币'!F10-'[1]资源-银币'!F9)*'[1]功能-付费相关'!AT10/节奏总纲!Z8</f>
        <v>17260.446256915391</v>
      </c>
      <c r="AK8" s="11">
        <f>('[1]资源-银币'!G10-'[1]资源-银币'!G9)*'[1]功能-付费相关'!AU10/节奏总纲!AA8</f>
        <v>30283.893300253709</v>
      </c>
      <c r="AM8" s="11" t="e">
        <f>(#REF!-#REF!)*'[1]功能-付费相关'!CA10/节奏总纲!W8</f>
        <v>#REF!</v>
      </c>
      <c r="AN8" s="11" t="e">
        <f>(#REF!-#REF!)*'[1]功能-付费相关'!CB10/节奏总纲!X8</f>
        <v>#REF!</v>
      </c>
      <c r="AO8" s="11" t="e">
        <f>(#REF!-#REF!)*'[1]功能-付费相关'!CC10/节奏总纲!Y8</f>
        <v>#REF!</v>
      </c>
      <c r="AP8" s="11" t="e">
        <f>(#REF!-#REF!)*'[1]功能-付费相关'!CD10/节奏总纲!Z8</f>
        <v>#REF!</v>
      </c>
      <c r="AQ8" s="11" t="e">
        <f>(#REF!-#REF!)*'[1]功能-付费相关'!CE10/节奏总纲!AA8</f>
        <v>#REF!</v>
      </c>
      <c r="AS8" s="11">
        <f>('[1]资源-装备经验'!C10-'[1]资源-装备经验'!C9)*'[1]功能-付费相关'!BI10/节奏总纲!W8</f>
        <v>1420.4276685695443</v>
      </c>
      <c r="AT8" s="11">
        <f>('[1]资源-装备经验'!D10-'[1]资源-装备经验'!D9)*'[1]功能-付费相关'!BJ10/节奏总纲!X8</f>
        <v>2143.8461207745859</v>
      </c>
      <c r="AU8" s="11">
        <f>('[1]资源-装备经验'!E10-'[1]资源-装备经验'!E9)*'[1]功能-付费相关'!BK10/节奏总纲!Y8</f>
        <v>3269.1866659966227</v>
      </c>
      <c r="AV8" s="11">
        <f>('[1]资源-装备经验'!F10-'[1]资源-装备经验'!F9)*'[1]功能-付费相关'!BL10/节奏总纲!Z8</f>
        <v>5697.2120006345567</v>
      </c>
      <c r="AW8" s="11">
        <f>('[1]资源-装备经验'!G10-'[1]资源-装备经验'!G9)*'[1]功能-付费相关'!BM10/节奏总纲!AA8</f>
        <v>10510.547813974901</v>
      </c>
      <c r="AY8" s="11">
        <f>('[1]资源-武将经验'!C10*节奏总纲!BJ8-'[1]资源-武将经验'!C9*节奏总纲!BJ7)*'[1]功能-付费相关'!AZ10/节奏总纲!W8</f>
        <v>5542.3675898233896</v>
      </c>
      <c r="AZ8" s="11">
        <f>('[1]资源-武将经验'!D10*节奏总纲!BK8-'[1]资源-武将经验'!D9*节奏总纲!BK7)*'[1]功能-付费相关'!BA10/节奏总纲!X8</f>
        <v>6594.5964451884956</v>
      </c>
      <c r="BA8" s="11">
        <f>('[1]资源-武将经验'!E10*节奏总纲!BL8-'[1]资源-武将经验'!E9*节奏总纲!BL7)*'[1]功能-付费相关'!BB10/节奏总纲!Y8</f>
        <v>8190.4241922751162</v>
      </c>
      <c r="BB8" s="11">
        <f>('[1]资源-武将经验'!F10*节奏总纲!BM8-'[1]资源-武将经验'!F9*节奏总纲!BM7)*'[1]功能-付费相关'!BC10/节奏总纲!Z8</f>
        <v>19113.560716617547</v>
      </c>
      <c r="BC8" s="11">
        <f>('[1]资源-武将经验'!G10*节奏总纲!BN8-'[1]资源-武将经验'!G9*节奏总纲!BN7)*'[1]功能-付费相关'!BD10/节奏总纲!AA8</f>
        <v>35727.761191685895</v>
      </c>
      <c r="BD8" s="33"/>
      <c r="BE8" s="30" t="e">
        <f t="shared" si="4"/>
        <v>#REF!</v>
      </c>
      <c r="BF8" s="30" t="e">
        <f t="shared" si="0"/>
        <v>#REF!</v>
      </c>
      <c r="BG8" s="30" t="e">
        <f t="shared" si="1"/>
        <v>#REF!</v>
      </c>
      <c r="BH8" s="30" t="e">
        <f t="shared" si="2"/>
        <v>#REF!</v>
      </c>
      <c r="BI8" s="30" t="e">
        <f t="shared" si="3"/>
        <v>#REF!</v>
      </c>
    </row>
    <row r="9" spans="2:61" x14ac:dyDescent="0.15">
      <c r="B9" s="31">
        <v>6</v>
      </c>
      <c r="C9" s="11">
        <f>('[1]资源-玩家城池建筑时间'!D11-'[1]资源-玩家城池建筑时间'!D10)*'[1]功能-付费相关'!AH11/节奏总纲!W9</f>
        <v>8432.1486145042381</v>
      </c>
      <c r="D9" s="11">
        <f>('[1]资源-玩家城池建筑时间'!E11-'[1]资源-玩家城池建筑时间'!E10)*'[1]功能-付费相关'!AI11/节奏总纲!X9</f>
        <v>11014.691998279673</v>
      </c>
      <c r="E9" s="11">
        <f>('[1]资源-玩家城池建筑时间'!F11-'[1]资源-玩家城池建筑时间'!F10)*'[1]功能-付费相关'!AJ11/节奏总纲!Y9</f>
        <v>14448.30935036992</v>
      </c>
      <c r="F9" s="11">
        <f>('[1]资源-玩家城池建筑时间'!G11-'[1]资源-玩家城池建筑时间'!G10)*'[1]功能-付费相关'!AK11/节奏总纲!Z9</f>
        <v>21276.232781902825</v>
      </c>
      <c r="G9" s="11">
        <f>('[1]资源-玩家城池建筑时间'!H11-'[1]资源-玩家城池建筑时间'!H10)*'[1]功能-付费相关'!AL11/节奏总纲!AA9</f>
        <v>36774.066540174463</v>
      </c>
      <c r="I9" s="31">
        <f>('[1]资源-士兵训练时间'!C11-'[1]资源-士兵训练时间'!C10)*'[1]功能-付费相关'!AH11/节奏总纲!W9</f>
        <v>3151.0023482775327</v>
      </c>
      <c r="J9" s="31">
        <f>('[1]资源-士兵训练时间'!D11-'[1]资源-士兵训练时间'!D10)*'[1]功能-付费相关'!AI11/节奏总纲!X9</f>
        <v>3262.8615179272956</v>
      </c>
      <c r="K9" s="31">
        <f>('[1]资源-士兵训练时间'!E11-'[1]资源-士兵训练时间'!E10)*'[1]功能-付费相关'!AJ11/节奏总纲!Y9</f>
        <v>3426.5561297339268</v>
      </c>
      <c r="L9" s="31">
        <f>('[1]资源-士兵训练时间'!F11-'[1]资源-士兵训练时间'!F10)*'[1]功能-付费相关'!AK11/节奏总纲!Z9</f>
        <v>3730.8012998524528</v>
      </c>
      <c r="M9" s="31">
        <f>('[1]资源-士兵训练时间'!G11-'[1]资源-士兵训练时间'!G10)*'[1]功能-付费相关'!AL11/节奏总纲!AA9</f>
        <v>4526.5982033223836</v>
      </c>
      <c r="O9" s="11">
        <f>('[1]资源-士兵招募时间'!D11-'[1]资源-士兵招募时间'!D10)*'[1]功能-付费相关'!AH11/节奏总纲!W9</f>
        <v>2532.5390872319776</v>
      </c>
      <c r="P9" s="11">
        <f>('[1]资源-士兵招募时间'!E11-'[1]资源-士兵招募时间'!E10)*'[1]功能-付费相关'!AI11/节奏总纲!X9</f>
        <v>2893.5267415403928</v>
      </c>
      <c r="Q9" s="11">
        <f>('[1]资源-士兵招募时间'!F11-'[1]资源-士兵招募时间'!F10)*'[1]功能-付费相关'!AJ11/节奏总纲!Y9</f>
        <v>3308.2343687124489</v>
      </c>
      <c r="R9" s="11">
        <f>('[1]资源-士兵招募时间'!G11-'[1]资源-士兵招募时间'!G10)*'[1]功能-付费相关'!AK11/节奏总纲!Z9</f>
        <v>4060.7284045962051</v>
      </c>
      <c r="S9" s="11">
        <f>('[1]资源-士兵招募时间'!H11-'[1]资源-士兵招募时间'!H10)*'[1]功能-付费相关'!AL11/节奏总纲!AA9</f>
        <v>5309.9454410992048</v>
      </c>
      <c r="U9" s="31">
        <f>('[1]资源-木石铜粮'!C11-'[1]资源-木石铜粮'!C10)*'[1]功能-付费相关'!S11/节奏总纲!W9</f>
        <v>9393.6325169544325</v>
      </c>
      <c r="V9" s="31">
        <f>('[1]资源-木石铜粮'!D11-'[1]资源-木石铜粮'!D10)*'[1]功能-付费相关'!T11/节奏总纲!X9</f>
        <v>10469.125811444548</v>
      </c>
      <c r="W9" s="31">
        <f>('[1]资源-木石铜粮'!E11-'[1]资源-木石铜粮'!E10)*'[1]功能-付费相关'!U11/节奏总纲!Y9</f>
        <v>12663.343131046051</v>
      </c>
      <c r="X9" s="31">
        <f>('[1]资源-木石铜粮'!F11-'[1]资源-木石铜粮'!F10)*'[1]功能-付费相关'!V11/节奏总纲!Z9</f>
        <v>15712.638231992811</v>
      </c>
      <c r="Y9" s="31">
        <f>('[1]资源-木石铜粮'!G11-'[1]资源-木石铜粮'!G10)*'[1]功能-付费相关'!W11/节奏总纲!AA9</f>
        <v>25556.941314989908</v>
      </c>
      <c r="AA9" s="11">
        <f>('[1]资源-铁'!C11-'[1]资源-铁'!C10)*'[1]功能-付费相关'!X11/节奏总纲!W9</f>
        <v>0</v>
      </c>
      <c r="AB9" s="11">
        <f>('[1]资源-铁'!D11-'[1]资源-铁'!D10)*'[1]功能-付费相关'!Y11/节奏总纲!X9</f>
        <v>0</v>
      </c>
      <c r="AC9" s="11">
        <f>('[1]资源-铁'!E11-'[1]资源-铁'!E10)*'[1]功能-付费相关'!Z11/节奏总纲!Y9</f>
        <v>0</v>
      </c>
      <c r="AD9" s="11">
        <f>('[1]资源-铁'!F11-'[1]资源-铁'!F10)*'[1]功能-付费相关'!AA11/节奏总纲!Z9</f>
        <v>0</v>
      </c>
      <c r="AE9" s="11">
        <f>('[1]资源-铁'!G11-'[1]资源-铁'!G10)*'[1]功能-付费相关'!AB11/节奏总纲!AA9</f>
        <v>0</v>
      </c>
      <c r="AG9" s="11">
        <f>('[1]资源-银币'!C11-'[1]资源-银币'!C10)*'[1]功能-付费相关'!AQ11/节奏总纲!W9</f>
        <v>9102.8842279291803</v>
      </c>
      <c r="AH9" s="11">
        <f>('[1]资源-银币'!D11-'[1]资源-银币'!D10)*'[1]功能-付费相关'!AR11/节奏总纲!X9</f>
        <v>11088.523169572984</v>
      </c>
      <c r="AI9" s="11">
        <f>('[1]资源-银币'!E11-'[1]资源-银币'!E10)*'[1]功能-付费相关'!AS11/节奏总纲!Y9</f>
        <v>13381.172929451785</v>
      </c>
      <c r="AJ9" s="11">
        <f>('[1]资源-银币'!F11-'[1]资源-银币'!F10)*'[1]功能-付费相关'!AT11/节奏总纲!Z9</f>
        <v>17023.964830822868</v>
      </c>
      <c r="AK9" s="11">
        <f>('[1]资源-银币'!G11-'[1]资源-银币'!G10)*'[1]功能-付费相关'!AU11/节奏总纲!AA9</f>
        <v>27744.600568795777</v>
      </c>
      <c r="AM9" s="11" t="e">
        <f>(#REF!-#REF!)*'[1]功能-付费相关'!CA11/节奏总纲!W9</f>
        <v>#REF!</v>
      </c>
      <c r="AN9" s="11" t="e">
        <f>(#REF!-#REF!)*'[1]功能-付费相关'!CB11/节奏总纲!X9</f>
        <v>#REF!</v>
      </c>
      <c r="AO9" s="11" t="e">
        <f>(#REF!-#REF!)*'[1]功能-付费相关'!CC11/节奏总纲!Y9</f>
        <v>#REF!</v>
      </c>
      <c r="AP9" s="11" t="e">
        <f>(#REF!-#REF!)*'[1]功能-付费相关'!CD11/节奏总纲!Z9</f>
        <v>#REF!</v>
      </c>
      <c r="AQ9" s="11" t="e">
        <f>(#REF!-#REF!)*'[1]功能-付费相关'!CE11/节奏总纲!AA9</f>
        <v>#REF!</v>
      </c>
      <c r="AS9" s="11">
        <f>('[1]资源-装备经验'!C11-'[1]资源-装备经验'!C10)*'[1]功能-付费相关'!BI11/节奏总纲!W9</f>
        <v>1468.7526616599498</v>
      </c>
      <c r="AT9" s="11">
        <f>('[1]资源-装备经验'!D11-'[1]资源-装备经验'!D10)*'[1]功能-付费相关'!BJ11/节奏总纲!X9</f>
        <v>2157.0005622158747</v>
      </c>
      <c r="AU9" s="11">
        <f>('[1]资源-装备经验'!E11-'[1]资源-装备经验'!E10)*'[1]功能-付费相关'!BK11/节奏总纲!Y9</f>
        <v>3237.4893490810109</v>
      </c>
      <c r="AV9" s="11">
        <f>('[1]资源-装备经验'!F11-'[1]资源-装备经验'!F10)*'[1]功能-付费相关'!BL11/节奏总纲!Z9</f>
        <v>5374.2988392013303</v>
      </c>
      <c r="AW9" s="11">
        <f>('[1]资源-装备经验'!G11-'[1]资源-装备经验'!G10)*'[1]功能-付费相关'!BM11/节奏总纲!AA9</f>
        <v>9567.7880322739129</v>
      </c>
      <c r="AY9" s="11">
        <f>('[1]资源-武将经验'!C11*节奏总纲!BJ9-'[1]资源-武将经验'!C10*节奏总纲!BJ8)*'[1]功能-付费相关'!AZ11/节奏总纲!W9</f>
        <v>4360.7788072692138</v>
      </c>
      <c r="AZ9" s="11">
        <f>('[1]资源-武将经验'!D11*节奏总纲!BK9-'[1]资源-武将经验'!D10*节奏总纲!BK8)*'[1]功能-付费相关'!BA11/节奏总纲!X9</f>
        <v>5196.4480047459738</v>
      </c>
      <c r="BA9" s="11">
        <f>('[1]资源-武将经验'!E11*节奏总纲!BL9-'[1]资源-武将经验'!E10*节奏总纲!BL8)*'[1]功能-付费相关'!BB11/节奏总纲!Y9</f>
        <v>6467.3030056884782</v>
      </c>
      <c r="BB9" s="11">
        <f>('[1]资源-武将经验'!F11*节奏总纲!BM9-'[1]资源-武将经验'!F10*节奏总纲!BM8)*'[1]功能-付费相关'!BC11/节奏总纲!Z9</f>
        <v>14885.341677288323</v>
      </c>
      <c r="BC9" s="11">
        <f>('[1]资源-武将经验'!G11*节奏总纲!BN9-'[1]资源-武将经验'!G10*节奏总纲!BN8)*'[1]功能-付费相关'!BD11/节奏总纲!AA9</f>
        <v>26629.421209052733</v>
      </c>
      <c r="BD9" s="33"/>
      <c r="BE9" s="30" t="e">
        <f t="shared" si="4"/>
        <v>#REF!</v>
      </c>
      <c r="BF9" s="30" t="e">
        <f t="shared" si="0"/>
        <v>#REF!</v>
      </c>
      <c r="BG9" s="30" t="e">
        <f t="shared" si="1"/>
        <v>#REF!</v>
      </c>
      <c r="BH9" s="30" t="e">
        <f t="shared" si="2"/>
        <v>#REF!</v>
      </c>
      <c r="BI9" s="30" t="e">
        <f t="shared" si="3"/>
        <v>#REF!</v>
      </c>
    </row>
    <row r="10" spans="2:61" x14ac:dyDescent="0.15">
      <c r="B10" s="31">
        <v>7</v>
      </c>
      <c r="C10" s="11">
        <f>('[1]资源-玩家城池建筑时间'!D12-'[1]资源-玩家城池建筑时间'!D11)*'[1]功能-付费相关'!AH12/节奏总纲!W10</f>
        <v>8397.2206213026293</v>
      </c>
      <c r="D10" s="11">
        <f>('[1]资源-玩家城池建筑时间'!E12-'[1]资源-玩家城池建筑时间'!E11)*'[1]功能-付费相关'!AI12/节奏总纲!X10</f>
        <v>10799.550404453492</v>
      </c>
      <c r="E10" s="11">
        <f>('[1]资源-玩家城池建筑时间'!F12-'[1]资源-玩家城池建筑时间'!F11)*'[1]功能-付费相关'!AJ12/节奏总纲!Y10</f>
        <v>13948.55313335004</v>
      </c>
      <c r="F10" s="11">
        <f>('[1]资源-玩家城池建筑时间'!G12-'[1]资源-玩家城池建筑时间'!G11)*'[1]功能-付费相关'!AK12/节奏总纲!Z10</f>
        <v>20481.039945775083</v>
      </c>
      <c r="G10" s="11">
        <f>('[1]资源-玩家城池建筑时间'!H12-'[1]资源-玩家城池建筑时间'!H11)*'[1]功能-付费相关'!AL12/节奏总纲!AA10</f>
        <v>35774.95731847595</v>
      </c>
      <c r="I10" s="31">
        <f>('[1]资源-士兵训练时间'!C12-'[1]资源-士兵训练时间'!C11)*'[1]功能-付费相关'!AH12/节奏总纲!W10</f>
        <v>3114.6508017434949</v>
      </c>
      <c r="J10" s="31">
        <f>('[1]资源-士兵训练时间'!D12-'[1]资源-士兵训练时间'!D11)*'[1]功能-付费相关'!AI12/节奏总纲!X10</f>
        <v>3195.8877256657752</v>
      </c>
      <c r="K10" s="31">
        <f>('[1]资源-士兵训练时间'!E12-'[1]资源-士兵训练时间'!E11)*'[1]功能-付费相关'!AJ12/节奏总纲!Y10</f>
        <v>3315.9616730584103</v>
      </c>
      <c r="L10" s="31">
        <f>('[1]资源-士兵训练时间'!F12-'[1]资源-士兵训练时间'!F11)*'[1]功能-付费相关'!AK12/节奏总纲!Z10</f>
        <v>3587.3411119146222</v>
      </c>
      <c r="M10" s="31">
        <f>('[1]资源-士兵训练时间'!G12-'[1]资源-士兵训练时间'!G11)*'[1]功能-付费相关'!AL12/节奏总纲!AA10</f>
        <v>4321.3730264089045</v>
      </c>
      <c r="O10" s="11">
        <f>('[1]资源-士兵招募时间'!D12-'[1]资源-士兵招募时间'!D11)*'[1]功能-付费相关'!AH12/节奏总纲!W10</f>
        <v>2655.116961337983</v>
      </c>
      <c r="P10" s="11">
        <f>('[1]资源-士兵招募时间'!E12-'[1]资源-士兵招募时间'!E11)*'[1]功能-付费相关'!AI12/节奏总纲!X10</f>
        <v>2990.0546190888776</v>
      </c>
      <c r="Q10" s="11">
        <f>('[1]资源-士兵招募时间'!F12-'[1]资源-士兵招募时间'!F11)*'[1]功能-付费相关'!AJ12/节奏总纲!Y10</f>
        <v>3360.1806882534806</v>
      </c>
      <c r="R10" s="11">
        <f>('[1]资源-士兵招募时间'!G12-'[1]资源-士兵招募时间'!G11)*'[1]功能-付费相关'!AK12/节奏总纲!Z10</f>
        <v>4149.4530411747319</v>
      </c>
      <c r="S10" s="11">
        <f>('[1]资源-士兵招募时间'!H12-'[1]资源-士兵招募时间'!H11)*'[1]功能-付费相关'!AL12/节奏总纲!AA10</f>
        <v>5356.5235584647271</v>
      </c>
      <c r="U10" s="31">
        <f>('[1]资源-木石铜粮'!C12-'[1]资源-木石铜粮'!C11)*'[1]功能-付费相关'!S12/节奏总纲!W10</f>
        <v>8553.0085722434887</v>
      </c>
      <c r="V10" s="31">
        <f>('[1]资源-木石铜粮'!D12-'[1]资源-木石铜粮'!D11)*'[1]功能-付费相关'!T12/节奏总纲!X10</f>
        <v>9465.9621074946463</v>
      </c>
      <c r="W10" s="31">
        <f>('[1]资源-木石铜粮'!E12-'[1]资源-木石铜粮'!E11)*'[1]功能-付费相关'!U12/节奏总纲!Y10</f>
        <v>10812.790140725636</v>
      </c>
      <c r="X10" s="31">
        <f>('[1]资源-木石铜粮'!F12-'[1]资源-木石铜粮'!F11)*'[1]功能-付费相关'!V12/节奏总纲!Z10</f>
        <v>13575.472843362531</v>
      </c>
      <c r="Y10" s="31">
        <f>('[1]资源-木石铜粮'!G12-'[1]资源-木石铜粮'!G11)*'[1]功能-付费相关'!W12/节奏总纲!AA10</f>
        <v>22083.356737382379</v>
      </c>
      <c r="AA10" s="11">
        <f>('[1]资源-铁'!C12-'[1]资源-铁'!C11)*'[1]功能-付费相关'!X12/节奏总纲!W10</f>
        <v>0</v>
      </c>
      <c r="AB10" s="11">
        <f>('[1]资源-铁'!D12-'[1]资源-铁'!D11)*'[1]功能-付费相关'!Y12/节奏总纲!X10</f>
        <v>0</v>
      </c>
      <c r="AC10" s="11">
        <f>('[1]资源-铁'!E12-'[1]资源-铁'!E11)*'[1]功能-付费相关'!Z12/节奏总纲!Y10</f>
        <v>0</v>
      </c>
      <c r="AD10" s="11">
        <f>('[1]资源-铁'!F12-'[1]资源-铁'!F11)*'[1]功能-付费相关'!AA12/节奏总纲!Z10</f>
        <v>0</v>
      </c>
      <c r="AE10" s="11">
        <f>('[1]资源-铁'!G12-'[1]资源-铁'!G11)*'[1]功能-付费相关'!AB12/节奏总纲!AA10</f>
        <v>0</v>
      </c>
      <c r="AG10" s="11">
        <f>('[1]资源-银币'!C12-'[1]资源-银币'!C11)*'[1]功能-付费相关'!AQ12/节奏总纲!W10</f>
        <v>8654.4569079375033</v>
      </c>
      <c r="AH10" s="11">
        <f>('[1]资源-银币'!D12-'[1]资源-银币'!D11)*'[1]功能-付费相关'!AR12/节奏总纲!X10</f>
        <v>9973.9764847791848</v>
      </c>
      <c r="AI10" s="11">
        <f>('[1]资源-银币'!E12-'[1]资源-银币'!E11)*'[1]功能-付费相关'!AS12/节奏总纲!Y10</f>
        <v>11307.957601178467</v>
      </c>
      <c r="AJ10" s="11">
        <f>('[1]资源-银币'!F12-'[1]资源-银币'!F11)*'[1]功能-付费相关'!AT12/节奏总纲!Z10</f>
        <v>14619.981693953974</v>
      </c>
      <c r="AK10" s="11">
        <f>('[1]资源-银币'!G12-'[1]资源-银币'!G11)*'[1]功能-付费相关'!AU12/节奏总纲!AA10</f>
        <v>23745.36851629056</v>
      </c>
      <c r="AM10" s="11" t="e">
        <f>(#REF!-#REF!)*'[1]功能-付费相关'!CA12/节奏总纲!W10</f>
        <v>#REF!</v>
      </c>
      <c r="AN10" s="11" t="e">
        <f>(#REF!-#REF!)*'[1]功能-付费相关'!CB12/节奏总纲!X10</f>
        <v>#REF!</v>
      </c>
      <c r="AO10" s="11" t="e">
        <f>(#REF!-#REF!)*'[1]功能-付费相关'!CC12/节奏总纲!Y10</f>
        <v>#REF!</v>
      </c>
      <c r="AP10" s="11" t="e">
        <f>(#REF!-#REF!)*'[1]功能-付费相关'!CD12/节奏总纲!Z10</f>
        <v>#REF!</v>
      </c>
      <c r="AQ10" s="11" t="e">
        <f>(#REF!-#REF!)*'[1]功能-付费相关'!CE12/节奏总纲!AA10</f>
        <v>#REF!</v>
      </c>
      <c r="AS10" s="11">
        <f>('[1]资源-装备经验'!C12-'[1]资源-装备经验'!C11)*'[1]功能-付费相关'!BI12/节奏总纲!W10</f>
        <v>1348.9744011560961</v>
      </c>
      <c r="AT10" s="11">
        <f>('[1]资源-装备经验'!D12-'[1]资源-装备经验'!D11)*'[1]功能-付费相关'!BJ12/节奏总纲!X10</f>
        <v>2032.204662526058</v>
      </c>
      <c r="AU10" s="11">
        <f>('[1]资源-装备经验'!E12-'[1]资源-装备经验'!E11)*'[1]功能-付费相关'!BK12/节奏总纲!Y10</f>
        <v>2967.3998282886437</v>
      </c>
      <c r="AV10" s="11">
        <f>('[1]资源-装备经验'!F12-'[1]资源-装备经验'!F11)*'[1]功能-付费相关'!BL12/节奏总纲!Z10</f>
        <v>4895.8702578646644</v>
      </c>
      <c r="AW10" s="11">
        <f>('[1]资源-装备经验'!G12-'[1]资源-装备经验'!G11)*'[1]功能-付费相关'!BM12/节奏总纲!AA10</f>
        <v>8594.0147844037583</v>
      </c>
      <c r="AY10" s="11">
        <f>('[1]资源-武将经验'!C12*节奏总纲!BJ10-'[1]资源-武将经验'!C11*节奏总纲!BJ9)*'[1]功能-付费相关'!AZ12/节奏总纲!W10</f>
        <v>4226.8818153412385</v>
      </c>
      <c r="AZ10" s="11">
        <f>('[1]资源-武将经验'!D12*节奏总纲!BK10-'[1]资源-武将经验'!D11*节奏总纲!BK9)*'[1]功能-付费相关'!BA12/节奏总纲!X10</f>
        <v>4961.1889612048744</v>
      </c>
      <c r="BA10" s="11">
        <f>('[1]资源-武将经验'!E12*节奏总纲!BL10-'[1]资源-武将经验'!E11*节奏总纲!BL9)*'[1]功能-付费相关'!BB12/节奏总纲!Y10</f>
        <v>6049.5676225312491</v>
      </c>
      <c r="BB10" s="11">
        <f>('[1]资源-武将经验'!F12*节奏总纲!BM10-'[1]资源-武将经验'!F11*节奏总纲!BM9)*'[1]功能-付费相关'!BC12/节奏总纲!Z10</f>
        <v>13938.211926663906</v>
      </c>
      <c r="BC10" s="11">
        <f>('[1]资源-武将经验'!G12*节奏总纲!BN10-'[1]资源-武将经验'!G11*节奏总纲!BN9)*'[1]功能-付费相关'!BD12/节奏总纲!AA10</f>
        <v>24677.492085014874</v>
      </c>
      <c r="BD10" s="33"/>
      <c r="BE10" s="30" t="e">
        <f t="shared" si="4"/>
        <v>#REF!</v>
      </c>
      <c r="BF10" s="30" t="e">
        <f t="shared" si="0"/>
        <v>#REF!</v>
      </c>
      <c r="BG10" s="30" t="e">
        <f t="shared" si="1"/>
        <v>#REF!</v>
      </c>
      <c r="BH10" s="30" t="e">
        <f t="shared" si="2"/>
        <v>#REF!</v>
      </c>
      <c r="BI10" s="30" t="e">
        <f t="shared" si="3"/>
        <v>#REF!</v>
      </c>
    </row>
    <row r="11" spans="2:61" x14ac:dyDescent="0.15">
      <c r="B11" s="31">
        <v>8</v>
      </c>
      <c r="C11" s="11">
        <f>('[1]资源-玩家城池建筑时间'!D13-'[1]资源-玩家城池建筑时间'!D12)*'[1]功能-付费相关'!AH13/节奏总纲!W11</f>
        <v>8222.7002888784809</v>
      </c>
      <c r="D11" s="11">
        <f>('[1]资源-玩家城池建筑时间'!E13-'[1]资源-玩家城池建筑时间'!E12)*'[1]功能-付费相关'!AI13/节奏总纲!X11</f>
        <v>10607.377830637684</v>
      </c>
      <c r="E11" s="11">
        <f>('[1]资源-玩家城池建筑时间'!F13-'[1]资源-玩家城池建筑时间'!F12)*'[1]功能-付费相关'!AJ13/节奏总纲!Y11</f>
        <v>13774.882656494319</v>
      </c>
      <c r="F11" s="11">
        <f>('[1]资源-玩家城池建筑时间'!G13-'[1]资源-玩家城池建筑时间'!G12)*'[1]功能-付费相关'!AK13/节奏总纲!Z11</f>
        <v>20455.262125208603</v>
      </c>
      <c r="G11" s="11">
        <f>('[1]资源-玩家城池建筑时间'!H13-'[1]资源-玩家城池建筑时间'!H12)*'[1]功能-付费相关'!AL13/节奏总纲!AA11</f>
        <v>35420.199449265659</v>
      </c>
      <c r="I11" s="31">
        <f>('[1]资源-士兵训练时间'!C13-'[1]资源-士兵训练时间'!C12)*'[1]功能-付费相关'!AH13/节奏总纲!W11</f>
        <v>3040.649512741491</v>
      </c>
      <c r="J11" s="31">
        <f>('[1]资源-士兵训练时间'!D13-'[1]资源-士兵训练时间'!D12)*'[1]功能-付费相关'!AI13/节奏总纲!X11</f>
        <v>3125.4834498413038</v>
      </c>
      <c r="K11" s="31">
        <f>('[1]资源-士兵训练时间'!E13-'[1]资源-士兵训练时间'!E12)*'[1]功能-付费相关'!AJ13/节奏总纲!Y11</f>
        <v>3241.8070430466628</v>
      </c>
      <c r="L11" s="31">
        <f>('[1]资源-士兵训练时间'!F13-'[1]资源-士兵训练时间'!F12)*'[1]功能-付费相关'!AK13/节奏总纲!Z11</f>
        <v>3525.7234808085605</v>
      </c>
      <c r="M11" s="31">
        <f>('[1]资源-士兵训练时间'!G13-'[1]资源-士兵训练时间'!G12)*'[1]功能-付费相关'!AL13/节奏总纲!AA11</f>
        <v>4384.161130605069</v>
      </c>
      <c r="O11" s="11">
        <f>('[1]资源-士兵招募时间'!D13-'[1]资源-士兵招募时间'!D12)*'[1]功能-付费相关'!AH13/节奏总纲!W11</f>
        <v>2727.1752249288634</v>
      </c>
      <c r="P11" s="11">
        <f>('[1]资源-士兵招募时间'!E13-'[1]资源-士兵招募时间'!E12)*'[1]功能-付费相关'!AI13/节奏总纲!X11</f>
        <v>3095.0995191727961</v>
      </c>
      <c r="Q11" s="11">
        <f>('[1]资源-士兵招募时间'!F13-'[1]资源-士兵招募时间'!F12)*'[1]功能-付费相关'!AJ13/节奏总纲!Y11</f>
        <v>3486.2565142457674</v>
      </c>
      <c r="R11" s="11">
        <f>('[1]资源-士兵招募时间'!G13-'[1]资源-士兵招募时间'!G12)*'[1]功能-付费相关'!AK13/节奏总纲!Z11</f>
        <v>4319.4111251108961</v>
      </c>
      <c r="S11" s="11">
        <f>('[1]资源-士兵招募时间'!H13-'[1]资源-士兵招募时间'!H12)*'[1]功能-付费相关'!AL13/节奏总纲!AA11</f>
        <v>5733.0841147934098</v>
      </c>
      <c r="U11" s="31">
        <f>('[1]资源-木石铜粮'!C13-'[1]资源-木石铜粮'!C12)*'[1]功能-付费相关'!S13/节奏总纲!W11</f>
        <v>7741.422156101019</v>
      </c>
      <c r="V11" s="31">
        <f>('[1]资源-木石铜粮'!D13-'[1]资源-木石铜粮'!D12)*'[1]功能-付费相关'!T13/节奏总纲!X11</f>
        <v>8719.7019883818848</v>
      </c>
      <c r="W11" s="31">
        <f>('[1]资源-木石铜粮'!E13-'[1]资源-木石铜粮'!E12)*'[1]功能-付费相关'!U13/节奏总纲!Y11</f>
        <v>10282.830198160311</v>
      </c>
      <c r="X11" s="31">
        <f>('[1]资源-木石铜粮'!F13-'[1]资源-木石铜粮'!F12)*'[1]功能-付费相关'!V13/节奏总纲!Z11</f>
        <v>12474.804396380183</v>
      </c>
      <c r="Y11" s="31">
        <f>('[1]资源-木石铜粮'!G13-'[1]资源-木石铜粮'!G12)*'[1]功能-付费相关'!W13/节奏总纲!AA11</f>
        <v>20427.493387817587</v>
      </c>
      <c r="AA11" s="11">
        <f>('[1]资源-铁'!C13-'[1]资源-铁'!C12)*'[1]功能-付费相关'!X13/节奏总纲!W11</f>
        <v>0</v>
      </c>
      <c r="AB11" s="11">
        <f>('[1]资源-铁'!D13-'[1]资源-铁'!D12)*'[1]功能-付费相关'!Y13/节奏总纲!X11</f>
        <v>0</v>
      </c>
      <c r="AC11" s="11">
        <f>('[1]资源-铁'!E13-'[1]资源-铁'!E12)*'[1]功能-付费相关'!Z13/节奏总纲!Y11</f>
        <v>0</v>
      </c>
      <c r="AD11" s="11">
        <f>('[1]资源-铁'!F13-'[1]资源-铁'!F12)*'[1]功能-付费相关'!AA13/节奏总纲!Z11</f>
        <v>0</v>
      </c>
      <c r="AE11" s="11">
        <f>('[1]资源-铁'!G13-'[1]资源-铁'!G12)*'[1]功能-付费相关'!AB13/节奏总纲!AA11</f>
        <v>0</v>
      </c>
      <c r="AG11" s="11">
        <f>('[1]资源-银币'!C13-'[1]资源-银币'!C12)*'[1]功能-付费相关'!AQ13/节奏总纲!W11</f>
        <v>7803.7544927256449</v>
      </c>
      <c r="AH11" s="11">
        <f>('[1]资源-银币'!D13-'[1]资源-银币'!D12)*'[1]功能-付费相关'!AR13/节奏总纲!X11</f>
        <v>9093.1293554438016</v>
      </c>
      <c r="AI11" s="11">
        <f>('[1]资源-银币'!E13-'[1]资源-银币'!E12)*'[1]功能-付费相关'!AS13/节奏总纲!Y11</f>
        <v>10297.913711492794</v>
      </c>
      <c r="AJ11" s="11">
        <f>('[1]资源-银币'!F13-'[1]资源-银币'!F12)*'[1]功能-付费相关'!AT13/节奏总纲!Z11</f>
        <v>13643.181310929527</v>
      </c>
      <c r="AK11" s="11">
        <f>('[1]资源-银币'!G13-'[1]资源-银币'!G12)*'[1]功能-付费相关'!AU13/节奏总纲!AA11</f>
        <v>25397.493958593845</v>
      </c>
      <c r="AM11" s="11" t="e">
        <f>(#REF!-#REF!)*'[1]功能-付费相关'!CA13/节奏总纲!W11</f>
        <v>#REF!</v>
      </c>
      <c r="AN11" s="11" t="e">
        <f>(#REF!-#REF!)*'[1]功能-付费相关'!CB13/节奏总纲!X11</f>
        <v>#REF!</v>
      </c>
      <c r="AO11" s="11" t="e">
        <f>(#REF!-#REF!)*'[1]功能-付费相关'!CC13/节奏总纲!Y11</f>
        <v>#REF!</v>
      </c>
      <c r="AP11" s="11" t="e">
        <f>(#REF!-#REF!)*'[1]功能-付费相关'!CD13/节奏总纲!Z11</f>
        <v>#REF!</v>
      </c>
      <c r="AQ11" s="11" t="e">
        <f>(#REF!-#REF!)*'[1]功能-付费相关'!CE13/节奏总纲!AA11</f>
        <v>#REF!</v>
      </c>
      <c r="AS11" s="11">
        <f>('[1]资源-装备经验'!C13-'[1]资源-装备经验'!C12)*'[1]功能-付费相关'!BI13/节奏总纲!W11</f>
        <v>1286.9657428203191</v>
      </c>
      <c r="AT11" s="11">
        <f>('[1]资源-装备经验'!D13-'[1]资源-装备经验'!D12)*'[1]功能-付费相关'!BJ13/节奏总纲!X11</f>
        <v>1900.5534010452222</v>
      </c>
      <c r="AU11" s="11">
        <f>('[1]资源-装备经验'!E13-'[1]资源-装备经验'!E12)*'[1]功能-付费相关'!BK13/节奏总纲!Y11</f>
        <v>2873.0187699840376</v>
      </c>
      <c r="AV11" s="11">
        <f>('[1]资源-装备经验'!F13-'[1]资源-装备经验'!F12)*'[1]功能-付费相关'!BL13/节奏总纲!Z11</f>
        <v>4626.9903082270594</v>
      </c>
      <c r="AW11" s="11">
        <f>('[1]资源-装备经验'!G13-'[1]资源-装备经验'!G12)*'[1]功能-付费相关'!BM13/节奏总纲!AA11</f>
        <v>8316.1304091023576</v>
      </c>
      <c r="AY11" s="11">
        <f>('[1]资源-武将经验'!C13*节奏总纲!BJ11-'[1]资源-武将经验'!C12*节奏总纲!BJ10)*'[1]功能-付费相关'!AZ13/节奏总纲!W11</f>
        <v>4009.2809346530794</v>
      </c>
      <c r="AZ11" s="11">
        <f>('[1]资源-武将经验'!D13*节奏总纲!BK11-'[1]资源-武将经验'!D12*节奏总纲!BK10)*'[1]功能-付费相关'!BA13/节奏总纲!X11</f>
        <v>4877.0666801709349</v>
      </c>
      <c r="BA11" s="11">
        <f>('[1]资源-武将经验'!E13*节奏总纲!BL11-'[1]资源-武将经验'!E12*节奏总纲!BL10)*'[1]功能-付费相关'!BB13/节奏总纲!Y11</f>
        <v>6114.4137769208592</v>
      </c>
      <c r="BB11" s="11">
        <f>('[1]资源-武将经验'!F13*节奏总纲!BM11-'[1]资源-武将经验'!F12*节奏总纲!BM10)*'[1]功能-付费相关'!BC13/节奏总纲!Z11</f>
        <v>14617.02909413307</v>
      </c>
      <c r="BC11" s="11">
        <f>('[1]资源-武将经验'!G13*节奏总纲!BN11-'[1]资源-武将经验'!G12*节奏总纲!BN10)*'[1]功能-付费相关'!BD13/节奏总纲!AA11</f>
        <v>29081.265890691477</v>
      </c>
      <c r="BD11" s="33"/>
      <c r="BE11" s="30" t="e">
        <f t="shared" si="4"/>
        <v>#REF!</v>
      </c>
      <c r="BF11" s="30" t="e">
        <f t="shared" si="0"/>
        <v>#REF!</v>
      </c>
      <c r="BG11" s="30" t="e">
        <f t="shared" si="1"/>
        <v>#REF!</v>
      </c>
      <c r="BH11" s="30" t="e">
        <f t="shared" si="2"/>
        <v>#REF!</v>
      </c>
      <c r="BI11" s="30" t="e">
        <f t="shared" si="3"/>
        <v>#REF!</v>
      </c>
    </row>
    <row r="12" spans="2:61" x14ac:dyDescent="0.15">
      <c r="B12" s="31">
        <v>9</v>
      </c>
      <c r="C12" s="11">
        <f>('[1]资源-玩家城池建筑时间'!D14-'[1]资源-玩家城池建筑时间'!D13)*'[1]功能-付费相关'!AH14/节奏总纲!W12</f>
        <v>7978.1261779549377</v>
      </c>
      <c r="D12" s="11">
        <f>('[1]资源-玩家城池建筑时间'!E14-'[1]资源-玩家城池建筑时间'!E13)*'[1]功能-付费相关'!AI14/节奏总纲!X12</f>
        <v>10391.725228460919</v>
      </c>
      <c r="E12" s="11">
        <f>('[1]资源-玩家城池建筑时间'!F14-'[1]资源-玩家城池建筑时间'!F13)*'[1]功能-付费相关'!AJ14/节奏总纲!Y12</f>
        <v>13362.468147470439</v>
      </c>
      <c r="F12" s="11">
        <f>('[1]资源-玩家城池建筑时间'!G14-'[1]资源-玩家城池建筑时间'!G13)*'[1]功能-付费相关'!AK14/节奏总纲!Z12</f>
        <v>19018.800914968182</v>
      </c>
      <c r="G12" s="11">
        <f>('[1]资源-玩家城池建筑时间'!H14-'[1]资源-玩家城池建筑时间'!H13)*'[1]功能-付费相关'!AL14/节奏总纲!AA12</f>
        <v>31169.064556399288</v>
      </c>
      <c r="I12" s="31">
        <f>('[1]资源-士兵训练时间'!C14-'[1]资源-士兵训练时间'!C13)*'[1]功能-付费相关'!AH14/节奏总纲!W12</f>
        <v>2933.8646937972289</v>
      </c>
      <c r="J12" s="31">
        <f>('[1]资源-士兵训练时间'!D14-'[1]资源-士兵训练时间'!D13)*'[1]功能-付费相关'!AI14/节奏总纲!X12</f>
        <v>3032.7537787101719</v>
      </c>
      <c r="K12" s="31">
        <f>('[1]资源-士兵训练时间'!E14-'[1]资源-士兵训练时间'!E13)*'[1]功能-付费相关'!AJ14/节奏总纲!Y12</f>
        <v>3186.2604537473812</v>
      </c>
      <c r="L12" s="31">
        <f>('[1]资源-士兵训练时间'!F14-'[1]资源-士兵训练时间'!F13)*'[1]功能-付费相关'!AK14/节奏总纲!Z12</f>
        <v>3507.3870540957068</v>
      </c>
      <c r="M12" s="31">
        <f>('[1]资源-士兵训练时间'!G14-'[1]资源-士兵训练时间'!G13)*'[1]功能-付费相关'!AL14/节奏总纲!AA12</f>
        <v>4398.3480201040702</v>
      </c>
      <c r="O12" s="11">
        <f>('[1]资源-士兵招募时间'!D14-'[1]资源-士兵招募时间'!D13)*'[1]功能-付费相关'!AH14/节奏总纲!W12</f>
        <v>2754.5394449226833</v>
      </c>
      <c r="P12" s="11">
        <f>('[1]资源-士兵招募时间'!E14-'[1]资源-士兵招募时间'!E13)*'[1]功能-付费相关'!AI14/节奏总纲!X12</f>
        <v>3149.5856697470681</v>
      </c>
      <c r="Q12" s="11">
        <f>('[1]资源-士兵招募时间'!F14-'[1]资源-士兵招募时间'!F13)*'[1]功能-付费相关'!AJ14/节奏总纲!Y12</f>
        <v>3625.7899140936001</v>
      </c>
      <c r="R12" s="11">
        <f>('[1]资源-士兵招募时间'!G14-'[1]资源-士兵招募时间'!G13)*'[1]功能-付费相关'!AK14/节奏总纲!Z12</f>
        <v>4597.4994090339233</v>
      </c>
      <c r="S12" s="11">
        <f>('[1]资源-士兵招募时间'!H14-'[1]资源-士兵招募时间'!H13)*'[1]功能-付费相关'!AL14/节奏总纲!AA12</f>
        <v>6115.2384461292331</v>
      </c>
      <c r="U12" s="31">
        <f>('[1]资源-木石铜粮'!C14-'[1]资源-木石铜粮'!C13)*'[1]功能-付费相关'!S14/节奏总纲!W12</f>
        <v>7184.7930341335214</v>
      </c>
      <c r="V12" s="31">
        <f>('[1]资源-木石铜粮'!D14-'[1]资源-木石铜粮'!D13)*'[1]功能-付费相关'!T14/节奏总纲!X12</f>
        <v>8052.3701218045608</v>
      </c>
      <c r="W12" s="31">
        <f>('[1]资源-木石铜粮'!E14-'[1]资源-木石铜粮'!E13)*'[1]功能-付费相关'!U14/节奏总纲!Y12</f>
        <v>9557.1266945074076</v>
      </c>
      <c r="X12" s="31">
        <f>('[1]资源-木石铜粮'!F14-'[1]资源-木石铜粮'!F13)*'[1]功能-付费相关'!V14/节奏总纲!Z12</f>
        <v>11702.469906048525</v>
      </c>
      <c r="Y12" s="31">
        <f>('[1]资源-木石铜粮'!G14-'[1]资源-木石铜粮'!G13)*'[1]功能-付费相关'!W14/节奏总纲!AA12</f>
        <v>19076.352253122674</v>
      </c>
      <c r="AA12" s="11">
        <f>('[1]资源-铁'!C14-'[1]资源-铁'!C13)*'[1]功能-付费相关'!X14/节奏总纲!W12</f>
        <v>0</v>
      </c>
      <c r="AB12" s="11">
        <f>('[1]资源-铁'!D14-'[1]资源-铁'!D13)*'[1]功能-付费相关'!Y14/节奏总纲!X12</f>
        <v>0</v>
      </c>
      <c r="AC12" s="11">
        <f>('[1]资源-铁'!E14-'[1]资源-铁'!E13)*'[1]功能-付费相关'!Z14/节奏总纲!Y12</f>
        <v>0</v>
      </c>
      <c r="AD12" s="11">
        <f>('[1]资源-铁'!F14-'[1]资源-铁'!F13)*'[1]功能-付费相关'!AA14/节奏总纲!Z12</f>
        <v>0</v>
      </c>
      <c r="AE12" s="11">
        <f>('[1]资源-铁'!G14-'[1]资源-铁'!G13)*'[1]功能-付费相关'!AB14/节奏总纲!AA12</f>
        <v>0</v>
      </c>
      <c r="AG12" s="11">
        <f>('[1]资源-银币'!C14-'[1]资源-银币'!C13)*'[1]功能-付费相关'!AQ14/节奏总纲!W12</f>
        <v>6923.2379197423234</v>
      </c>
      <c r="AH12" s="11">
        <f>('[1]资源-银币'!D14-'[1]资源-银币'!D13)*'[1]功能-付费相关'!AR14/节奏总纲!X12</f>
        <v>8770.8932039282718</v>
      </c>
      <c r="AI12" s="11">
        <f>('[1]资源-银币'!E14-'[1]资源-银币'!E13)*'[1]功能-付费相关'!AS14/节奏总纲!Y12</f>
        <v>10662.113530419541</v>
      </c>
      <c r="AJ12" s="11">
        <f>('[1]资源-银币'!F14-'[1]资源-银币'!F13)*'[1]功能-付费相关'!AT14/节奏总纲!Z12</f>
        <v>13989.158902010899</v>
      </c>
      <c r="AK12" s="11">
        <f>('[1]资源-银币'!G14-'[1]资源-银币'!G13)*'[1]功能-付费相关'!AU14/节奏总纲!AA12</f>
        <v>24815.299547364171</v>
      </c>
      <c r="AM12" s="11" t="e">
        <f>(#REF!-#REF!)*'[1]功能-付费相关'!CA14/节奏总纲!W12</f>
        <v>#REF!</v>
      </c>
      <c r="AN12" s="11" t="e">
        <f>(#REF!-#REF!)*'[1]功能-付费相关'!CB14/节奏总纲!X12</f>
        <v>#REF!</v>
      </c>
      <c r="AO12" s="11" t="e">
        <f>(#REF!-#REF!)*'[1]功能-付费相关'!CC14/节奏总纲!Y12</f>
        <v>#REF!</v>
      </c>
      <c r="AP12" s="11" t="e">
        <f>(#REF!-#REF!)*'[1]功能-付费相关'!CD14/节奏总纲!Z12</f>
        <v>#REF!</v>
      </c>
      <c r="AQ12" s="11" t="e">
        <f>(#REF!-#REF!)*'[1]功能-付费相关'!CE14/节奏总纲!AA12</f>
        <v>#REF!</v>
      </c>
      <c r="AS12" s="11">
        <f>('[1]资源-装备经验'!C14-'[1]资源-装备经验'!C13)*'[1]功能-付费相关'!BI14/节奏总纲!W12</f>
        <v>1232.8054998768484</v>
      </c>
      <c r="AT12" s="11">
        <f>('[1]资源-装备经验'!D14-'[1]资源-装备经验'!D13)*'[1]功能-付费相关'!BJ14/节奏总纲!X12</f>
        <v>1809.2575009757688</v>
      </c>
      <c r="AU12" s="11">
        <f>('[1]资源-装备经验'!E14-'[1]资源-装备经验'!E13)*'[1]功能-付费相关'!BK14/节奏总纲!Y12</f>
        <v>2708.6719654348822</v>
      </c>
      <c r="AV12" s="11">
        <f>('[1]资源-装备经验'!F14-'[1]资源-装备经验'!F13)*'[1]功能-付费相关'!BL14/节奏总纲!Z12</f>
        <v>4629.0199884611275</v>
      </c>
      <c r="AW12" s="11">
        <f>('[1]资源-装备经验'!G14-'[1]资源-装备经验'!G13)*'[1]功能-付费相关'!BM14/节奏总纲!AA12</f>
        <v>8445.5650185543782</v>
      </c>
      <c r="AY12" s="11">
        <f>('[1]资源-武将经验'!C14*节奏总纲!BJ12-'[1]资源-武将经验'!C13*节奏总纲!BJ11)*'[1]功能-付费相关'!AZ14/节奏总纲!W12</f>
        <v>4824.8951998022676</v>
      </c>
      <c r="AZ12" s="11">
        <f>('[1]资源-武将经验'!D14*节奏总纲!BK12-'[1]资源-武将经验'!D13*节奏总纲!BK11)*'[1]功能-付费相关'!BA14/节奏总纲!X12</f>
        <v>5842.6383049500146</v>
      </c>
      <c r="BA12" s="11">
        <f>('[1]资源-武将经验'!E14*节奏总纲!BL12-'[1]资源-武将经验'!E13*节奏总纲!BL11)*'[1]功能-付费相关'!BB14/节奏总纲!Y12</f>
        <v>7457.0036899851884</v>
      </c>
      <c r="BB12" s="11">
        <f>('[1]资源-武将经验'!F14*节奏总纲!BM12-'[1]资源-武将经验'!F13*节奏总纲!BM11)*'[1]功能-付费相关'!BC14/节奏总纲!Z12</f>
        <v>18091.802310838531</v>
      </c>
      <c r="BC12" s="11">
        <f>('[1]资源-武将经验'!G14*节奏总纲!BN12-'[1]资源-武将经验'!G13*节奏总纲!BN11)*'[1]功能-付费相关'!BD14/节奏总纲!AA12</f>
        <v>35154.252121763901</v>
      </c>
      <c r="BD12" s="33"/>
      <c r="BE12" s="30" t="e">
        <f t="shared" si="4"/>
        <v>#REF!</v>
      </c>
      <c r="BF12" s="30" t="e">
        <f t="shared" si="0"/>
        <v>#REF!</v>
      </c>
      <c r="BG12" s="30" t="e">
        <f t="shared" si="1"/>
        <v>#REF!</v>
      </c>
      <c r="BH12" s="30" t="e">
        <f t="shared" si="2"/>
        <v>#REF!</v>
      </c>
      <c r="BI12" s="30" t="e">
        <f t="shared" si="3"/>
        <v>#REF!</v>
      </c>
    </row>
    <row r="13" spans="2:61" x14ac:dyDescent="0.15">
      <c r="B13" s="31">
        <v>10</v>
      </c>
      <c r="C13" s="11">
        <f>('[1]资源-玩家城池建筑时间'!D15-'[1]资源-玩家城池建筑时间'!D14)*'[1]功能-付费相关'!AH15/节奏总纲!W13</f>
        <v>7707.8348627097939</v>
      </c>
      <c r="D13" s="11">
        <f>('[1]资源-玩家城池建筑时间'!E15-'[1]资源-玩家城池建筑时间'!E14)*'[1]功能-付费相关'!AI15/节奏总纲!X13</f>
        <v>9754.0163538654742</v>
      </c>
      <c r="E13" s="11">
        <f>('[1]资源-玩家城池建筑时间'!F15-'[1]资源-玩家城池建筑时间'!F14)*'[1]功能-付费相关'!AJ15/节奏总纲!Y13</f>
        <v>12408.067890733131</v>
      </c>
      <c r="F13" s="11">
        <f>('[1]资源-玩家城池建筑时间'!G15-'[1]资源-玩家城池建筑时间'!G14)*'[1]功能-付费相关'!AK15/节奏总纲!Z13</f>
        <v>17401.694286139762</v>
      </c>
      <c r="G13" s="11">
        <f>('[1]资源-玩家城池建筑时间'!H15-'[1]资源-玩家城池建筑时间'!H14)*'[1]功能-付费相关'!AL15/节奏总纲!AA13</f>
        <v>26337.41797641079</v>
      </c>
      <c r="I13" s="31">
        <f>('[1]资源-士兵训练时间'!C15-'[1]资源-士兵训练时间'!C14)*'[1]功能-付费相关'!AH15/节奏总纲!W13</f>
        <v>2862.8584792152315</v>
      </c>
      <c r="J13" s="31">
        <f>('[1]资源-士兵训练时间'!D15-'[1]资源-士兵训练时间'!D14)*'[1]功能-付费相关'!AI15/节奏总纲!X13</f>
        <v>2960.4555197235836</v>
      </c>
      <c r="K13" s="31">
        <f>('[1]资源-士兵训练时间'!E15-'[1]资源-士兵训练时间'!E14)*'[1]功能-付费相关'!AJ15/节奏总纲!Y13</f>
        <v>3090.3619437218135</v>
      </c>
      <c r="L13" s="31">
        <f>('[1]资源-士兵训练时间'!F15-'[1]资源-士兵训练时间'!F14)*'[1]功能-付费相关'!AK15/节奏总纲!Z13</f>
        <v>3307.6082609821588</v>
      </c>
      <c r="M13" s="31">
        <f>('[1]资源-士兵训练时间'!G15-'[1]资源-士兵训练时间'!G14)*'[1]功能-付费相关'!AL15/节奏总纲!AA13</f>
        <v>3957.1533564449696</v>
      </c>
      <c r="O13" s="11">
        <f>('[1]资源-士兵招募时间'!D15-'[1]资源-士兵招募时间'!D14)*'[1]功能-付费相关'!AH15/节奏总纲!W13</f>
        <v>2808.4019666445438</v>
      </c>
      <c r="P13" s="11">
        <f>('[1]资源-士兵招募时间'!E15-'[1]资源-士兵招募时间'!E14)*'[1]功能-付费相关'!AI15/节奏总纲!X13</f>
        <v>3249.1502001518911</v>
      </c>
      <c r="Q13" s="11">
        <f>('[1]资源-士兵招募时间'!F15-'[1]资源-士兵招募时间'!F14)*'[1]功能-付费相关'!AJ15/节奏总纲!Y13</f>
        <v>3702.203161418709</v>
      </c>
      <c r="R13" s="11">
        <f>('[1]资源-士兵招募时间'!G15-'[1]资源-士兵招募时间'!G14)*'[1]功能-付费相关'!AK15/节奏总纲!Z13</f>
        <v>4483.9414161058858</v>
      </c>
      <c r="S13" s="11">
        <f>('[1]资源-士兵招募时间'!H15-'[1]资源-士兵招募时间'!H14)*'[1]功能-付费相关'!AL15/节奏总纲!AA13</f>
        <v>5612.7476640353716</v>
      </c>
      <c r="U13" s="31">
        <f>('[1]资源-木石铜粮'!C15-'[1]资源-木石铜粮'!C14)*'[1]功能-付费相关'!S15/节奏总纲!W13</f>
        <v>6611.3789336812724</v>
      </c>
      <c r="V13" s="31">
        <f>('[1]资源-木石铜粮'!D15-'[1]资源-木石铜粮'!D14)*'[1]功能-付费相关'!T15/节奏总纲!X13</f>
        <v>7446.4048022291236</v>
      </c>
      <c r="W13" s="31">
        <f>('[1]资源-木石铜粮'!E15-'[1]资源-木石铜粮'!E14)*'[1]功能-付费相关'!U15/节奏总纲!Y13</f>
        <v>8754.5378747142258</v>
      </c>
      <c r="X13" s="31">
        <f>('[1]资源-木石铜粮'!F15-'[1]资源-木石铜粮'!F14)*'[1]功能-付费相关'!V15/节奏总纲!Z13</f>
        <v>10132.085943773051</v>
      </c>
      <c r="Y13" s="31">
        <f>('[1]资源-木石铜粮'!G15-'[1]资源-木石铜粮'!G14)*'[1]功能-付费相关'!W15/节奏总纲!AA13</f>
        <v>14705.902552947822</v>
      </c>
      <c r="AA13" s="11">
        <f>('[1]资源-铁'!C15-'[1]资源-铁'!C14)*'[1]功能-付费相关'!X15/节奏总纲!W13</f>
        <v>0</v>
      </c>
      <c r="AB13" s="11">
        <f>('[1]资源-铁'!D15-'[1]资源-铁'!D14)*'[1]功能-付费相关'!Y15/节奏总纲!X13</f>
        <v>0</v>
      </c>
      <c r="AC13" s="11">
        <f>('[1]资源-铁'!E15-'[1]资源-铁'!E14)*'[1]功能-付费相关'!Z15/节奏总纲!Y13</f>
        <v>0</v>
      </c>
      <c r="AD13" s="11">
        <f>('[1]资源-铁'!F15-'[1]资源-铁'!F14)*'[1]功能-付费相关'!AA15/节奏总纲!Z13</f>
        <v>0</v>
      </c>
      <c r="AE13" s="11">
        <f>('[1]资源-铁'!G15-'[1]资源-铁'!G14)*'[1]功能-付费相关'!AB15/节奏总纲!AA13</f>
        <v>0</v>
      </c>
      <c r="AG13" s="11">
        <f>('[1]资源-银币'!C15-'[1]资源-银币'!C14)*'[1]功能-付费相关'!AQ15/节奏总纲!W13</f>
        <v>6987.3603739374603</v>
      </c>
      <c r="AH13" s="11">
        <f>('[1]资源-银币'!D15-'[1]资源-银币'!D14)*'[1]功能-付费相关'!AR15/节奏总纲!X13</f>
        <v>8300.3241912849971</v>
      </c>
      <c r="AI13" s="11">
        <f>('[1]资源-银币'!E15-'[1]资源-银币'!E14)*'[1]功能-付费相关'!AS15/节奏总纲!Y13</f>
        <v>9775.261130793695</v>
      </c>
      <c r="AJ13" s="11">
        <f>('[1]资源-银币'!F15-'[1]资源-银币'!F14)*'[1]功能-付费相关'!AT15/节奏总纲!Z13</f>
        <v>11849.483177594246</v>
      </c>
      <c r="AK13" s="11">
        <f>('[1]资源-银币'!G15-'[1]资源-银币'!G14)*'[1]功能-付费相关'!AU15/节奏总纲!AA13</f>
        <v>21077.680747207956</v>
      </c>
      <c r="AM13" s="11" t="e">
        <f>(#REF!-#REF!)*'[1]功能-付费相关'!CA15/节奏总纲!W13</f>
        <v>#REF!</v>
      </c>
      <c r="AN13" s="11" t="e">
        <f>(#REF!-#REF!)*'[1]功能-付费相关'!CB15/节奏总纲!X13</f>
        <v>#REF!</v>
      </c>
      <c r="AO13" s="11" t="e">
        <f>(#REF!-#REF!)*'[1]功能-付费相关'!CC15/节奏总纲!Y13</f>
        <v>#REF!</v>
      </c>
      <c r="AP13" s="11" t="e">
        <f>(#REF!-#REF!)*'[1]功能-付费相关'!CD15/节奏总纲!Z13</f>
        <v>#REF!</v>
      </c>
      <c r="AQ13" s="11" t="e">
        <f>(#REF!-#REF!)*'[1]功能-付费相关'!CE15/节奏总纲!AA13</f>
        <v>#REF!</v>
      </c>
      <c r="AS13" s="11">
        <f>('[1]资源-装备经验'!C15-'[1]资源-装备经验'!C14)*'[1]功能-付费相关'!BI15/节奏总纲!W13</f>
        <v>1183.93179395077</v>
      </c>
      <c r="AT13" s="11">
        <f>('[1]资源-装备经验'!D15-'[1]资源-装备经验'!D14)*'[1]功能-付费相关'!BJ15/节奏总纲!X13</f>
        <v>1760.9046677209205</v>
      </c>
      <c r="AU13" s="11">
        <f>('[1]资源-装备经验'!E15-'[1]资源-装备经验'!E14)*'[1]功能-付费相关'!BK15/节奏总纲!Y13</f>
        <v>2606.0327403196557</v>
      </c>
      <c r="AV13" s="11">
        <f>('[1]资源-装备经验'!F15-'[1]资源-装备经验'!F14)*'[1]功能-付费相关'!BL15/节奏总纲!Z13</f>
        <v>4104.0921801380919</v>
      </c>
      <c r="AW13" s="11">
        <f>('[1]资源-装备经验'!G15-'[1]资源-装备经验'!G14)*'[1]功能-付费相关'!BM15/节奏总纲!AA13</f>
        <v>6365.0495254181787</v>
      </c>
      <c r="AY13" s="11">
        <f>('[1]资源-武将经验'!C15*节奏总纲!BJ13-'[1]资源-武将经验'!C14*节奏总纲!BJ12)*'[1]功能-付费相关'!AZ15/节奏总纲!W13</f>
        <v>5015.1861912170925</v>
      </c>
      <c r="AZ13" s="11">
        <f>('[1]资源-武将经验'!D15*节奏总纲!BK13-'[1]资源-武将经验'!D14*节奏总纲!BK12)*'[1]功能-付费相关'!BA15/节奏总纲!X13</f>
        <v>6069.9090689588666</v>
      </c>
      <c r="BA13" s="11">
        <f>('[1]资源-武将经验'!E15*节奏总纲!BL13-'[1]资源-武将经验'!E14*节奏总纲!BL12)*'[1]功能-付费相关'!BB15/节奏总纲!Y13</f>
        <v>7551.2629157192805</v>
      </c>
      <c r="BB13" s="11">
        <f>('[1]资源-武将经验'!F15*节奏总纲!BM13-'[1]资源-武将经验'!F14*节奏总纲!BM12)*'[1]功能-付费相关'!BC15/节奏总纲!Z13</f>
        <v>16919.661786415269</v>
      </c>
      <c r="BC13" s="11">
        <f>('[1]资源-武将经验'!G15*节奏总纲!BN13-'[1]资源-武将经验'!G14*节奏总纲!BN12)*'[1]功能-付费相关'!BD15/节奏总纲!AA13</f>
        <v>29192.385462070437</v>
      </c>
      <c r="BD13" s="33"/>
      <c r="BE13" s="30" t="e">
        <f t="shared" si="4"/>
        <v>#REF!</v>
      </c>
      <c r="BF13" s="30" t="e">
        <f t="shared" si="0"/>
        <v>#REF!</v>
      </c>
      <c r="BG13" s="30" t="e">
        <f t="shared" si="1"/>
        <v>#REF!</v>
      </c>
      <c r="BH13" s="30" t="e">
        <f t="shared" si="2"/>
        <v>#REF!</v>
      </c>
      <c r="BI13" s="30" t="e">
        <f t="shared" si="3"/>
        <v>#REF!</v>
      </c>
    </row>
    <row r="14" spans="2:61" x14ac:dyDescent="0.15">
      <c r="B14" s="31">
        <v>11</v>
      </c>
      <c r="C14" s="11">
        <f>('[1]资源-玩家城池建筑时间'!D16-'[1]资源-玩家城池建筑时间'!D15)*'[1]功能-付费相关'!AH16/节奏总纲!W14</f>
        <v>7222.7942927066742</v>
      </c>
      <c r="D14" s="11">
        <f>('[1]资源-玩家城池建筑时间'!E16-'[1]资源-玩家城池建筑时间'!E15)*'[1]功能-付费相关'!AI16/节奏总纲!X14</f>
        <v>8973.1753351866228</v>
      </c>
      <c r="E14" s="11">
        <f>('[1]资源-玩家城池建筑时间'!F16-'[1]资源-玩家城池建筑时间'!F15)*'[1]功能-付费相关'!AJ16/节奏总纲!Y14</f>
        <v>11014.156369300572</v>
      </c>
      <c r="F14" s="11">
        <f>('[1]资源-玩家城池建筑时间'!G16-'[1]资源-玩家城池建筑时间'!G15)*'[1]功能-付费相关'!AK16/节奏总纲!Z14</f>
        <v>15464.434998406608</v>
      </c>
      <c r="G14" s="11">
        <f>('[1]资源-玩家城池建筑时间'!H16-'[1]资源-玩家城池建筑时间'!H15)*'[1]功能-付费相关'!AL16/节奏总纲!AA14</f>
        <v>25711.838386733332</v>
      </c>
      <c r="I14" s="31">
        <f>('[1]资源-士兵训练时间'!C16-'[1]资源-士兵训练时间'!C15)*'[1]功能-付费相关'!AH16/节奏总纲!W14</f>
        <v>2702.0793482651411</v>
      </c>
      <c r="J14" s="31">
        <f>('[1]资源-士兵训练时间'!D16-'[1]资源-士兵训练时间'!D15)*'[1]功能-付费相关'!AI16/节奏总纲!X14</f>
        <v>2748.0498919206193</v>
      </c>
      <c r="K14" s="31">
        <f>('[1]资源-士兵训练时间'!E16-'[1]资源-士兵训练时间'!E15)*'[1]功能-付费相关'!AJ16/节奏总纲!Y14</f>
        <v>2822.4073943303079</v>
      </c>
      <c r="L14" s="31">
        <f>('[1]资源-士兵训练时间'!F16-'[1]资源-士兵训练时间'!F15)*'[1]功能-付费相关'!AK16/节奏总纲!Z14</f>
        <v>3029.6630729991425</v>
      </c>
      <c r="M14" s="31">
        <f>('[1]资源-士兵训练时间'!G16-'[1]资源-士兵训练时间'!G15)*'[1]功能-付费相关'!AL16/节奏总纲!AA14</f>
        <v>3558.7882850102756</v>
      </c>
      <c r="O14" s="11">
        <f>('[1]资源-士兵招募时间'!D16-'[1]资源-士兵招募时间'!D15)*'[1]功能-付费相关'!AH16/节奏总纲!W14</f>
        <v>2764.6101145628345</v>
      </c>
      <c r="P14" s="11">
        <f>('[1]资源-士兵招募时间'!E16-'[1]资源-士兵招募时间'!E15)*'[1]功能-付费相关'!AI16/节奏总纲!X14</f>
        <v>3079.4747815627411</v>
      </c>
      <c r="Q14" s="11">
        <f>('[1]资源-士兵招募时间'!F16-'[1]资源-士兵招募时间'!F15)*'[1]功能-付费相关'!AJ16/节奏总纲!Y14</f>
        <v>3395.7214122787409</v>
      </c>
      <c r="R14" s="11">
        <f>('[1]资源-士兵招募时间'!G16-'[1]资源-士兵招募时间'!G15)*'[1]功能-付费相关'!AK16/节奏总纲!Z14</f>
        <v>4153.5183868812619</v>
      </c>
      <c r="S14" s="11">
        <f>('[1]资源-士兵招募时间'!H16-'[1]资源-士兵招募时间'!H15)*'[1]功能-付费相关'!AL16/节奏总纲!AA14</f>
        <v>5267.1708589481805</v>
      </c>
      <c r="U14" s="31">
        <f>('[1]资源-木石铜粮'!C16-'[1]资源-木石铜粮'!C15)*'[1]功能-付费相关'!S16/节奏总纲!W14</f>
        <v>5888.421329767054</v>
      </c>
      <c r="V14" s="31">
        <f>('[1]资源-木石铜粮'!D16-'[1]资源-木石铜粮'!D15)*'[1]功能-付费相关'!T16/节奏总纲!X14</f>
        <v>6339.3106417412473</v>
      </c>
      <c r="W14" s="31">
        <f>('[1]资源-木石铜粮'!E16-'[1]资源-木石铜粮'!E15)*'[1]功能-付费相关'!U16/节奏总纲!Y14</f>
        <v>7049.127476532075</v>
      </c>
      <c r="X14" s="31">
        <f>('[1]资源-木石铜粮'!F16-'[1]资源-木石铜粮'!F15)*'[1]功能-付费相关'!V16/节奏总纲!Z14</f>
        <v>8105.6079569598242</v>
      </c>
      <c r="Y14" s="31">
        <f>('[1]资源-木石铜粮'!G16-'[1]资源-木石铜粮'!G15)*'[1]功能-付费相关'!W16/节奏总纲!AA14</f>
        <v>11524.174241913999</v>
      </c>
      <c r="AA14" s="11">
        <f>('[1]资源-铁'!C16-'[1]资源-铁'!C15)*'[1]功能-付费相关'!X16/节奏总纲!W14</f>
        <v>0</v>
      </c>
      <c r="AB14" s="11">
        <f>('[1]资源-铁'!D16-'[1]资源-铁'!D15)*'[1]功能-付费相关'!Y16/节奏总纲!X14</f>
        <v>0</v>
      </c>
      <c r="AC14" s="11">
        <f>('[1]资源-铁'!E16-'[1]资源-铁'!E15)*'[1]功能-付费相关'!Z16/节奏总纲!Y14</f>
        <v>0</v>
      </c>
      <c r="AD14" s="11">
        <f>('[1]资源-铁'!F16-'[1]资源-铁'!F15)*'[1]功能-付费相关'!AA16/节奏总纲!Z14</f>
        <v>0</v>
      </c>
      <c r="AE14" s="11">
        <f>('[1]资源-铁'!G16-'[1]资源-铁'!G15)*'[1]功能-付费相关'!AB16/节奏总纲!AA14</f>
        <v>0</v>
      </c>
      <c r="AG14" s="11">
        <f>('[1]资源-银币'!C16-'[1]资源-银币'!C15)*'[1]功能-付费相关'!AQ16/节奏总纲!W14</f>
        <v>7339.736769303343</v>
      </c>
      <c r="AH14" s="11">
        <f>('[1]资源-银币'!D16-'[1]资源-银币'!D15)*'[1]功能-付费相关'!AR16/节奏总纲!X14</f>
        <v>6961.8486676332659</v>
      </c>
      <c r="AI14" s="11">
        <f>('[1]资源-银币'!E16-'[1]资源-银币'!E15)*'[1]功能-付费相关'!AS16/节奏总纲!Y14</f>
        <v>7791.3213591341037</v>
      </c>
      <c r="AJ14" s="11">
        <f>('[1]资源-银币'!F16-'[1]资源-银币'!F15)*'[1]功能-付费相关'!AT16/节奏总纲!Z14</f>
        <v>10494.113232814292</v>
      </c>
      <c r="AK14" s="11">
        <f>('[1]资源-银币'!G16-'[1]资源-银币'!G15)*'[1]功能-付费相关'!AU16/节奏总纲!AA14</f>
        <v>15586.678483368833</v>
      </c>
      <c r="AM14" s="11" t="e">
        <f>(#REF!-#REF!)*'[1]功能-付费相关'!CA16/节奏总纲!W14</f>
        <v>#REF!</v>
      </c>
      <c r="AN14" s="11" t="e">
        <f>(#REF!-#REF!)*'[1]功能-付费相关'!CB16/节奏总纲!X14</f>
        <v>#REF!</v>
      </c>
      <c r="AO14" s="11" t="e">
        <f>(#REF!-#REF!)*'[1]功能-付费相关'!CC16/节奏总纲!Y14</f>
        <v>#REF!</v>
      </c>
      <c r="AP14" s="11" t="e">
        <f>(#REF!-#REF!)*'[1]功能-付费相关'!CD16/节奏总纲!Z14</f>
        <v>#REF!</v>
      </c>
      <c r="AQ14" s="11" t="e">
        <f>(#REF!-#REF!)*'[1]功能-付费相关'!CE16/节奏总纲!AA14</f>
        <v>#REF!</v>
      </c>
      <c r="AS14" s="11">
        <f>('[1]资源-装备经验'!C16-'[1]资源-装备经验'!C15)*'[1]功能-付费相关'!BI16/节奏总纲!W14</f>
        <v>1471.7525559796795</v>
      </c>
      <c r="AT14" s="11">
        <f>('[1]资源-装备经验'!D16-'[1]资源-装备经验'!D15)*'[1]功能-付费相关'!BJ16/节奏总纲!X14</f>
        <v>2122.2701050209685</v>
      </c>
      <c r="AU14" s="11">
        <f>('[1]资源-装备经验'!E16-'[1]资源-装备经验'!E15)*'[1]功能-付费相关'!BK16/节奏总纲!Y14</f>
        <v>2789.2021992028945</v>
      </c>
      <c r="AV14" s="11">
        <f>('[1]资源-装备经验'!F16-'[1]资源-装备经验'!F15)*'[1]功能-付费相关'!BL16/节奏总纲!Z14</f>
        <v>3032.2505032998624</v>
      </c>
      <c r="AW14" s="11">
        <f>('[1]资源-装备经验'!G16-'[1]资源-装备经验'!G15)*'[1]功能-付费相关'!BM16/节奏总纲!AA14</f>
        <v>2055.5060729237034</v>
      </c>
      <c r="AY14" s="11">
        <f>('[1]资源-武将经验'!C16*节奏总纲!BJ14-'[1]资源-武将经验'!C15*节奏总纲!BJ13)*'[1]功能-付费相关'!AZ16/节奏总纲!W14</f>
        <v>5061.6167548246194</v>
      </c>
      <c r="AZ14" s="11">
        <f>('[1]资源-武将经验'!D16*节奏总纲!BK14-'[1]资源-武将经验'!D15*节奏总纲!BK13)*'[1]功能-付费相关'!BA16/节奏总纲!X14</f>
        <v>5785.7543373590324</v>
      </c>
      <c r="BA14" s="11">
        <f>('[1]资源-武将经验'!E16*节奏总纲!BL14-'[1]资源-武将经验'!E15*节奏总纲!BL13)*'[1]功能-付费相关'!BB16/节奏总纲!Y14</f>
        <v>6866.2849707827372</v>
      </c>
      <c r="BB14" s="11">
        <f>('[1]资源-武将经验'!F16*节奏总纲!BM14-'[1]资源-武将经验'!F15*节奏总纲!BM13)*'[1]功能-付费相关'!BC16/节奏总纲!Z14</f>
        <v>15491.706870004831</v>
      </c>
      <c r="BC14" s="11">
        <f>('[1]资源-武将经验'!G16*节奏总纲!BN14-'[1]资源-武将经验'!G15*节奏总纲!BN13)*'[1]功能-付费相关'!BD16/节奏总纲!AA14</f>
        <v>27280.933500065519</v>
      </c>
      <c r="BD14" s="33"/>
      <c r="BE14" s="30" t="e">
        <f t="shared" si="4"/>
        <v>#REF!</v>
      </c>
      <c r="BF14" s="30" t="e">
        <f t="shared" si="0"/>
        <v>#REF!</v>
      </c>
      <c r="BG14" s="30" t="e">
        <f t="shared" si="1"/>
        <v>#REF!</v>
      </c>
      <c r="BH14" s="30" t="e">
        <f t="shared" si="2"/>
        <v>#REF!</v>
      </c>
      <c r="BI14" s="30" t="e">
        <f t="shared" si="3"/>
        <v>#REF!</v>
      </c>
    </row>
    <row r="15" spans="2:61" x14ac:dyDescent="0.15">
      <c r="B15" s="31">
        <v>12</v>
      </c>
      <c r="C15" s="11">
        <f>('[1]资源-玩家城池建筑时间'!D17-'[1]资源-玩家城池建筑时间'!D16)*'[1]功能-付费相关'!AH17/节奏总纲!W15</f>
        <v>6977.195646998809</v>
      </c>
      <c r="D15" s="11">
        <f>('[1]资源-玩家城池建筑时间'!E17-'[1]资源-玩家城池建筑时间'!E16)*'[1]功能-付费相关'!AI17/节奏总纲!X15</f>
        <v>8827.1145899843068</v>
      </c>
      <c r="E15" s="11">
        <f>('[1]资源-玩家城池建筑时间'!F17-'[1]资源-玩家城池建筑时间'!F16)*'[1]功能-付费相关'!AJ17/节奏总纲!Y15</f>
        <v>11299.411591337497</v>
      </c>
      <c r="F15" s="11">
        <f>('[1]资源-玩家城池建筑时间'!G17-'[1]资源-玩家城池建筑时间'!G16)*'[1]功能-付费相关'!AK17/节奏总纲!Z15</f>
        <v>16749.380973706044</v>
      </c>
      <c r="G15" s="11">
        <f>('[1]资源-玩家城池建筑时间'!H17-'[1]资源-玩家城池建筑时间'!H16)*'[1]功能-付费相关'!AL17/节奏总纲!AA15</f>
        <v>26724.160598222967</v>
      </c>
      <c r="I15" s="31">
        <f>('[1]资源-士兵训练时间'!C17-'[1]资源-士兵训练时间'!C16)*'[1]功能-付费相关'!AH17/节奏总纲!W15</f>
        <v>2666.910653114734</v>
      </c>
      <c r="J15" s="31">
        <f>('[1]资源-士兵训练时间'!D17-'[1]资源-士兵训练时间'!D16)*'[1]功能-付费相关'!AI17/节奏总纲!X15</f>
        <v>2763.8972026560573</v>
      </c>
      <c r="K15" s="31">
        <f>('[1]资源-士兵训练时间'!E17-'[1]资源-士兵训练时间'!E16)*'[1]功能-付费相关'!AJ17/节奏总纲!Y15</f>
        <v>2866.9912765906975</v>
      </c>
      <c r="L15" s="31">
        <f>('[1]资源-士兵训练时间'!F17-'[1]资源-士兵训练时间'!F16)*'[1]功能-付费相关'!AK17/节奏总纲!Z15</f>
        <v>3076.3253148378772</v>
      </c>
      <c r="M15" s="31">
        <f>('[1]资源-士兵训练时间'!G17-'[1]资源-士兵训练时间'!G16)*'[1]功能-付费相关'!AL17/节奏总纲!AA15</f>
        <v>3725.3205632429176</v>
      </c>
      <c r="O15" s="11">
        <f>('[1]资源-士兵招募时间'!D17-'[1]资源-士兵招募时间'!D16)*'[1]功能-付费相关'!AH17/节奏总纲!W15</f>
        <v>2836.9725887970753</v>
      </c>
      <c r="P15" s="11">
        <f>('[1]资源-士兵招募时间'!E17-'[1]资源-士兵招募时间'!E16)*'[1]功能-付费相关'!AI17/节奏总纲!X15</f>
        <v>3252.5966216475304</v>
      </c>
      <c r="Q15" s="11">
        <f>('[1]资源-士兵招募时间'!F17-'[1]资源-士兵招募时间'!F16)*'[1]功能-付费相关'!AJ17/节奏总纲!Y15</f>
        <v>3665.5525087669434</v>
      </c>
      <c r="R15" s="11">
        <f>('[1]资源-士兵招募时间'!G17-'[1]资源-士兵招募时间'!G16)*'[1]功能-付费相关'!AK17/节奏总纲!Z15</f>
        <v>4488.0069598819355</v>
      </c>
      <c r="S15" s="11">
        <f>('[1]资源-士兵招募时间'!H17-'[1]资源-士兵招募时间'!H16)*'[1]功能-付费相关'!AL17/节奏总纲!AA15</f>
        <v>5793.138380946858</v>
      </c>
      <c r="U15" s="31">
        <f>('[1]资源-木石铜粮'!C17-'[1]资源-木石铜粮'!C16)*'[1]功能-付费相关'!S17/节奏总纲!W15</f>
        <v>5416.6163838340508</v>
      </c>
      <c r="V15" s="31">
        <f>('[1]资源-木石铜粮'!D17-'[1]资源-木石铜粮'!D16)*'[1]功能-付费相关'!T17/节奏总纲!X15</f>
        <v>5931.4220757003322</v>
      </c>
      <c r="W15" s="31">
        <f>('[1]资源-木石铜粮'!E17-'[1]资源-木石铜粮'!E16)*'[1]功能-付费相关'!U17/节奏总纲!Y15</f>
        <v>6713.9720779001163</v>
      </c>
      <c r="X15" s="31">
        <f>('[1]资源-木石铜粮'!F17-'[1]资源-木石铜粮'!F16)*'[1]功能-付费相关'!V17/节奏总纲!Z15</f>
        <v>7637.9740543838498</v>
      </c>
      <c r="Y15" s="31">
        <f>('[1]资源-木石铜粮'!G17-'[1]资源-木石铜粮'!G16)*'[1]功能-付费相关'!W17/节奏总纲!AA15</f>
        <v>10960.632535413069</v>
      </c>
      <c r="AA15" s="11">
        <f>('[1]资源-铁'!C17-'[1]资源-铁'!C16)*'[1]功能-付费相关'!X17/节奏总纲!W15</f>
        <v>0</v>
      </c>
      <c r="AB15" s="11">
        <f>('[1]资源-铁'!D17-'[1]资源-铁'!D16)*'[1]功能-付费相关'!Y17/节奏总纲!X15</f>
        <v>0</v>
      </c>
      <c r="AC15" s="11">
        <f>('[1]资源-铁'!E17-'[1]资源-铁'!E16)*'[1]功能-付费相关'!Z17/节奏总纲!Y15</f>
        <v>0</v>
      </c>
      <c r="AD15" s="11">
        <f>('[1]资源-铁'!F17-'[1]资源-铁'!F16)*'[1]功能-付费相关'!AA17/节奏总纲!Z15</f>
        <v>0</v>
      </c>
      <c r="AE15" s="11">
        <f>('[1]资源-铁'!G17-'[1]资源-铁'!G16)*'[1]功能-付费相关'!AB17/节奏总纲!AA15</f>
        <v>0</v>
      </c>
      <c r="AG15" s="11">
        <f>('[1]资源-银币'!C17-'[1]资源-银币'!C16)*'[1]功能-付费相关'!AQ17/节奏总纲!W15</f>
        <v>6568.7084531072651</v>
      </c>
      <c r="AH15" s="11">
        <f>('[1]资源-银币'!D17-'[1]资源-银币'!D16)*'[1]功能-付费相关'!AR17/节奏总纲!X15</f>
        <v>8699.4290160587352</v>
      </c>
      <c r="AI15" s="11">
        <f>('[1]资源-银币'!E17-'[1]资源-银币'!E16)*'[1]功能-付费相关'!AS17/节奏总纲!Y15</f>
        <v>7884.1873673210257</v>
      </c>
      <c r="AJ15" s="11">
        <f>('[1]资源-银币'!F17-'[1]资源-银币'!F16)*'[1]功能-付费相关'!AT17/节奏总纲!Z15</f>
        <v>8615.4717446432041</v>
      </c>
      <c r="AK15" s="11">
        <f>('[1]资源-银币'!G17-'[1]资源-银币'!G16)*'[1]功能-付费相关'!AU17/节奏总纲!AA15</f>
        <v>14863.982312940563</v>
      </c>
      <c r="AM15" s="11" t="e">
        <f>(#REF!-#REF!)*'[1]功能-付费相关'!CA17/节奏总纲!W15</f>
        <v>#REF!</v>
      </c>
      <c r="AN15" s="11" t="e">
        <f>(#REF!-#REF!)*'[1]功能-付费相关'!CB17/节奏总纲!X15</f>
        <v>#REF!</v>
      </c>
      <c r="AO15" s="11" t="e">
        <f>(#REF!-#REF!)*'[1]功能-付费相关'!CC17/节奏总纲!Y15</f>
        <v>#REF!</v>
      </c>
      <c r="AP15" s="11" t="e">
        <f>(#REF!-#REF!)*'[1]功能-付费相关'!CD17/节奏总纲!Z15</f>
        <v>#REF!</v>
      </c>
      <c r="AQ15" s="11" t="e">
        <f>(#REF!-#REF!)*'[1]功能-付费相关'!CE17/节奏总纲!AA15</f>
        <v>#REF!</v>
      </c>
      <c r="AS15" s="11">
        <f>('[1]资源-装备经验'!C17-'[1]资源-装备经验'!C16)*'[1]功能-付费相关'!BI17/节奏总纲!W15</f>
        <v>1394.8722959347058</v>
      </c>
      <c r="AT15" s="11">
        <f>('[1]资源-装备经验'!D17-'[1]资源-装备经验'!D16)*'[1]功能-付费相关'!BJ17/节奏总纲!X15</f>
        <v>2055.5987152758098</v>
      </c>
      <c r="AU15" s="11">
        <f>('[1]资源-装备经验'!E17-'[1]资源-装备经验'!E16)*'[1]功能-付费相关'!BK17/节奏总纲!Y15</f>
        <v>2793.1395292361935</v>
      </c>
      <c r="AV15" s="11">
        <f>('[1]资源-装备经验'!F17-'[1]资源-装备经验'!F16)*'[1]功能-付费相关'!BL17/节奏总纲!Z15</f>
        <v>3045.6418305153093</v>
      </c>
      <c r="AW15" s="11">
        <f>('[1]资源-装备经验'!G17-'[1]资源-装备经验'!G16)*'[1]功能-付费相关'!BM17/节奏总纲!AA15</f>
        <v>2048.5673354502183</v>
      </c>
      <c r="AY15" s="11">
        <f>('[1]资源-武将经验'!C17*节奏总纲!BJ15-'[1]资源-武将经验'!C16*节奏总纲!BJ14)*'[1]功能-付费相关'!AZ17/节奏总纲!W15</f>
        <v>5141.2704396045447</v>
      </c>
      <c r="AZ15" s="11">
        <f>('[1]资源-武将经验'!D17*节奏总纲!BK15-'[1]资源-武将经验'!D16*节奏总纲!BK14)*'[1]功能-付费相关'!BA17/节奏总纲!X15</f>
        <v>6104.9368555252986</v>
      </c>
      <c r="BA15" s="11">
        <f>('[1]资源-武将经验'!E17*节奏总纲!BL15-'[1]资源-武将经验'!E16*节奏总纲!BL14)*'[1]功能-付费相关'!BB17/节奏总纲!Y15</f>
        <v>7441.9813960430902</v>
      </c>
      <c r="BB15" s="11">
        <f>('[1]资源-武将经验'!F17*节奏总纲!BM15-'[1]资源-武将经验'!F16*节奏总纲!BM14)*'[1]功能-付费相关'!BC17/节奏总纲!Z15</f>
        <v>16796.241834190398</v>
      </c>
      <c r="BC15" s="11">
        <f>('[1]资源-武将经验'!G17*节奏总纲!BN15-'[1]资源-武将经验'!G16*节奏总纲!BN14)*'[1]功能-付费相关'!BD17/节奏总纲!AA15</f>
        <v>30043.415688774006</v>
      </c>
      <c r="BD15" s="33"/>
      <c r="BE15" s="30" t="e">
        <f t="shared" si="4"/>
        <v>#REF!</v>
      </c>
      <c r="BF15" s="30" t="e">
        <f t="shared" si="0"/>
        <v>#REF!</v>
      </c>
      <c r="BG15" s="30" t="e">
        <f t="shared" si="1"/>
        <v>#REF!</v>
      </c>
      <c r="BH15" s="30" t="e">
        <f t="shared" si="2"/>
        <v>#REF!</v>
      </c>
      <c r="BI15" s="30" t="e">
        <f t="shared" si="3"/>
        <v>#REF!</v>
      </c>
    </row>
    <row r="16" spans="2:61" x14ac:dyDescent="0.15">
      <c r="B16" s="31">
        <v>13</v>
      </c>
      <c r="C16" s="11">
        <f>('[1]资源-玩家城池建筑时间'!D18-'[1]资源-玩家城池建筑时间'!D17)*'[1]功能-付费相关'!AH18/节奏总纲!W16</f>
        <v>7021.6195309241984</v>
      </c>
      <c r="D16" s="11">
        <f>('[1]资源-玩家城池建筑时间'!E18-'[1]资源-玩家城池建筑时间'!E17)*'[1]功能-付费相关'!AI18/节奏总纲!X16</f>
        <v>8910.3448078363854</v>
      </c>
      <c r="E16" s="11">
        <f>('[1]资源-玩家城池建筑时间'!F18-'[1]资源-玩家城池建筑时间'!F17)*'[1]功能-付费相关'!AJ18/节奏总纲!Y16</f>
        <v>11393.994908785928</v>
      </c>
      <c r="F16" s="11">
        <f>('[1]资源-玩家城池建筑时间'!G18-'[1]资源-玩家城池建筑时间'!G17)*'[1]功能-付费相关'!AK18/节奏总纲!Z16</f>
        <v>15499.817854449229</v>
      </c>
      <c r="G16" s="11">
        <f>('[1]资源-玩家城池建筑时间'!H18-'[1]资源-玩家城池建筑时间'!H17)*'[1]功能-付费相关'!AL18/节奏总纲!AA16</f>
        <v>22179.229046683668</v>
      </c>
      <c r="I16" s="31">
        <f>('[1]资源-士兵训练时间'!C18-'[1]资源-士兵训练时间'!C17)*'[1]功能-付费相关'!AH18/节奏总纲!W16</f>
        <v>2643.2674770071631</v>
      </c>
      <c r="J16" s="31">
        <f>('[1]资源-士兵训练时间'!D18-'[1]资源-士兵训练时间'!D17)*'[1]功能-付费相关'!AI18/节奏总纲!X16</f>
        <v>2695.4322581479223</v>
      </c>
      <c r="K16" s="31">
        <f>('[1]资源-士兵训练时间'!E18-'[1]资源-士兵训练时间'!E17)*'[1]功能-付费相关'!AJ18/节奏总纲!Y16</f>
        <v>2797.3281967101289</v>
      </c>
      <c r="L16" s="31">
        <f>('[1]资源-士兵训练时间'!F18-'[1]资源-士兵训练时间'!F17)*'[1]功能-付费相关'!AK18/节奏总纲!Z16</f>
        <v>3034.2396753854068</v>
      </c>
      <c r="M16" s="31">
        <f>('[1]资源-士兵训练时间'!G18-'[1]资源-士兵训练时间'!G17)*'[1]功能-付费相关'!AL18/节奏总纲!AA16</f>
        <v>3786.7333119701493</v>
      </c>
      <c r="O16" s="11">
        <f>('[1]资源-士兵招募时间'!D18-'[1]资源-士兵招募时间'!D17)*'[1]功能-付费相关'!AH18/节奏总纲!W16</f>
        <v>2936.5406823916628</v>
      </c>
      <c r="P16" s="11">
        <f>('[1]资源-士兵招募时间'!E18-'[1]资源-士兵招募时间'!E17)*'[1]功能-付费相关'!AI18/节奏总纲!X16</f>
        <v>3283.996600940045</v>
      </c>
      <c r="Q16" s="11">
        <f>('[1]资源-士兵招募时间'!F18-'[1]资源-士兵招募时间'!F17)*'[1]功能-付费相关'!AJ18/节奏总纲!Y16</f>
        <v>3721.7252109735923</v>
      </c>
      <c r="R16" s="11">
        <f>('[1]资源-士兵招募时间'!G18-'[1]资源-士兵招募时间'!G17)*'[1]功能-付费相关'!AK18/节奏总纲!Z16</f>
        <v>4608.3306322172593</v>
      </c>
      <c r="S16" s="11">
        <f>('[1]资源-士兵招募时间'!H18-'[1]资源-士兵招募时间'!H17)*'[1]功能-付费相关'!AL18/节奏总纲!AA16</f>
        <v>5996.0212968732931</v>
      </c>
      <c r="U16" s="31">
        <f>('[1]资源-木石铜粮'!C18-'[1]资源-木石铜粮'!C17)*'[1]功能-付费相关'!S18/节奏总纲!W16</f>
        <v>5033.5170662614319</v>
      </c>
      <c r="V16" s="31">
        <f>('[1]资源-木石铜粮'!D18-'[1]资源-木石铜粮'!D17)*'[1]功能-付费相关'!T18/节奏总纲!X16</f>
        <v>5420.0683535127728</v>
      </c>
      <c r="W16" s="31">
        <f>('[1]资源-木石铜粮'!E18-'[1]资源-木石铜粮'!E17)*'[1]功能-付费相关'!U18/节奏总纲!Y16</f>
        <v>6160.7594067160371</v>
      </c>
      <c r="X16" s="31">
        <f>('[1]资源-木石铜粮'!F18-'[1]资源-木石铜粮'!F17)*'[1]功能-付费相关'!V18/节奏总纲!Z16</f>
        <v>6999.4840456783495</v>
      </c>
      <c r="Y16" s="31">
        <f>('[1]资源-木石铜粮'!G18-'[1]资源-木石铜粮'!G17)*'[1]功能-付费相关'!W18/节奏总纲!AA16</f>
        <v>9592.6877667897406</v>
      </c>
      <c r="AA16" s="11">
        <f>('[1]资源-铁'!C18-'[1]资源-铁'!C17)*'[1]功能-付费相关'!X18/节奏总纲!W16</f>
        <v>0</v>
      </c>
      <c r="AB16" s="11">
        <f>('[1]资源-铁'!D18-'[1]资源-铁'!D17)*'[1]功能-付费相关'!Y18/节奏总纲!X16</f>
        <v>0</v>
      </c>
      <c r="AC16" s="11">
        <f>('[1]资源-铁'!E18-'[1]资源-铁'!E17)*'[1]功能-付费相关'!Z18/节奏总纲!Y16</f>
        <v>0</v>
      </c>
      <c r="AD16" s="11">
        <f>('[1]资源-铁'!F18-'[1]资源-铁'!F17)*'[1]功能-付费相关'!AA18/节奏总纲!Z16</f>
        <v>0</v>
      </c>
      <c r="AE16" s="11">
        <f>('[1]资源-铁'!G18-'[1]资源-铁'!G17)*'[1]功能-付费相关'!AB18/节奏总纲!AA16</f>
        <v>0</v>
      </c>
      <c r="AG16" s="11">
        <f>('[1]资源-银币'!C18-'[1]资源-银币'!C17)*'[1]功能-付费相关'!AQ18/节奏总纲!W16</f>
        <v>6613.9140741130786</v>
      </c>
      <c r="AH16" s="11">
        <f>('[1]资源-银币'!D18-'[1]资源-银币'!D17)*'[1]功能-付费相关'!AR18/节奏总纲!X16</f>
        <v>6727.4145010441125</v>
      </c>
      <c r="AI16" s="11">
        <f>('[1]资源-银币'!E18-'[1]资源-银币'!E17)*'[1]功能-付费相关'!AS18/节奏总纲!Y16</f>
        <v>6553.7805046889989</v>
      </c>
      <c r="AJ16" s="11">
        <f>('[1]资源-银币'!F18-'[1]资源-银币'!F17)*'[1]功能-付费相关'!AT18/节奏总纲!Z16</f>
        <v>7456.8780095687125</v>
      </c>
      <c r="AK16" s="11">
        <f>('[1]资源-银币'!G18-'[1]资源-银币'!G17)*'[1]功能-付费相关'!AU18/节奏总纲!AA16</f>
        <v>12001.742394050483</v>
      </c>
      <c r="AM16" s="11" t="e">
        <f>(#REF!-#REF!)*'[1]功能-付费相关'!CA18/节奏总纲!W16</f>
        <v>#REF!</v>
      </c>
      <c r="AN16" s="11" t="e">
        <f>(#REF!-#REF!)*'[1]功能-付费相关'!CB18/节奏总纲!X16</f>
        <v>#REF!</v>
      </c>
      <c r="AO16" s="11" t="e">
        <f>(#REF!-#REF!)*'[1]功能-付费相关'!CC18/节奏总纲!Y16</f>
        <v>#REF!</v>
      </c>
      <c r="AP16" s="11" t="e">
        <f>(#REF!-#REF!)*'[1]功能-付费相关'!CD18/节奏总纲!Z16</f>
        <v>#REF!</v>
      </c>
      <c r="AQ16" s="11" t="e">
        <f>(#REF!-#REF!)*'[1]功能-付费相关'!CE18/节奏总纲!AA16</f>
        <v>#REF!</v>
      </c>
      <c r="AS16" s="11">
        <f>('[1]资源-装备经验'!C18-'[1]资源-装备经验'!C17)*'[1]功能-付费相关'!BI18/节奏总纲!W16</f>
        <v>1325.9111986804828</v>
      </c>
      <c r="AT16" s="11">
        <f>('[1]资源-装备经验'!D18-'[1]资源-装备经验'!D17)*'[1]功能-付费相关'!BJ18/节奏总纲!X16</f>
        <v>1930.6970970812711</v>
      </c>
      <c r="AU16" s="11">
        <f>('[1]资源-装备经验'!E18-'[1]资源-装备经验'!E17)*'[1]功能-付费相关'!BK18/节奏总纲!Y16</f>
        <v>2644.7046377754173</v>
      </c>
      <c r="AV16" s="11">
        <f>('[1]资源-装备经验'!F18-'[1]资源-装备经验'!F17)*'[1]功能-付费相关'!BL18/节奏总纲!Z16</f>
        <v>2912.2247882338252</v>
      </c>
      <c r="AW16" s="11">
        <f>('[1]资源-装备经验'!G18-'[1]资源-装备经验'!G17)*'[1]功能-付费相关'!BM18/节奏总纲!AA16</f>
        <v>2020.4524497396465</v>
      </c>
      <c r="AY16" s="11">
        <f>('[1]资源-武将经验'!C18*节奏总纲!BJ16-'[1]资源-武将经验'!C17*节奏总纲!BJ15)*'[1]功能-付费相关'!AZ18/节奏总纲!W16</f>
        <v>4945.7756641209653</v>
      </c>
      <c r="AZ16" s="11">
        <f>('[1]资源-武将经验'!D18*节奏总纲!BK16-'[1]资源-武将经验'!D17*节奏总纲!BK15)*'[1]功能-付费相关'!BA18/节奏总纲!X16</f>
        <v>5719.1272213462744</v>
      </c>
      <c r="BA16" s="11">
        <f>('[1]资源-武将经验'!E18*节奏总纲!BL16-'[1]资源-武将经验'!E17*节奏总纲!BL15)*'[1]功能-付费相关'!BB18/节奏总纲!Y16</f>
        <v>7039.8507975357279</v>
      </c>
      <c r="BB16" s="11">
        <f>('[1]资源-武将经验'!F18*节奏总纲!BM16-'[1]资源-武将经验'!F17*节奏总纲!BM15)*'[1]功能-付费相关'!BC18/节奏总纲!Z16</f>
        <v>16051.426009775334</v>
      </c>
      <c r="BC16" s="11">
        <f>('[1]资源-武将经验'!G18*节奏总纲!BN16-'[1]资源-武将经验'!G17*节奏总纲!BN15)*'[1]功能-付费相关'!BD18/节奏总纲!AA16</f>
        <v>28391.078486746865</v>
      </c>
      <c r="BD16" s="33"/>
      <c r="BE16" s="30" t="e">
        <f t="shared" si="4"/>
        <v>#REF!</v>
      </c>
      <c r="BF16" s="30" t="e">
        <f t="shared" si="0"/>
        <v>#REF!</v>
      </c>
      <c r="BG16" s="30" t="e">
        <f t="shared" si="1"/>
        <v>#REF!</v>
      </c>
      <c r="BH16" s="30" t="e">
        <f t="shared" si="2"/>
        <v>#REF!</v>
      </c>
      <c r="BI16" s="30" t="e">
        <f t="shared" si="3"/>
        <v>#REF!</v>
      </c>
    </row>
    <row r="17" spans="2:61" x14ac:dyDescent="0.15">
      <c r="B17" s="31">
        <v>14</v>
      </c>
      <c r="C17" s="11">
        <f>('[1]资源-玩家城池建筑时间'!D19-'[1]资源-玩家城池建筑时间'!D18)*'[1]功能-付费相关'!AH19/节奏总纲!W17</f>
        <v>7006.7311152647908</v>
      </c>
      <c r="D17" s="11">
        <f>('[1]资源-玩家城池建筑时间'!E19-'[1]资源-玩家城池建筑时间'!E18)*'[1]功能-付费相关'!AI19/节奏总纲!X17</f>
        <v>8736.2453034467035</v>
      </c>
      <c r="E17" s="11">
        <f>('[1]资源-玩家城池建筑时间'!F19-'[1]资源-玩家城池建筑时间'!F18)*'[1]功能-付费相关'!AJ19/节奏总纲!Y17</f>
        <v>10513.291013155815</v>
      </c>
      <c r="F17" s="11">
        <f>('[1]资源-玩家城池建筑时间'!G19-'[1]资源-玩家城池建筑时间'!G18)*'[1]功能-付费相关'!AK19/节奏总纲!Z17</f>
        <v>14738.656689091367</v>
      </c>
      <c r="G17" s="11">
        <f>('[1]资源-玩家城池建筑时间'!H19-'[1]资源-玩家城池建筑时间'!H18)*'[1]功能-付费相关'!AL19/节奏总纲!AA17</f>
        <v>22920.58013646301</v>
      </c>
      <c r="I17" s="31">
        <f>('[1]资源-士兵训练时间'!C19-'[1]资源-士兵训练时间'!C18)*'[1]功能-付费相关'!AH19/节奏总纲!W17</f>
        <v>2581.5783387445408</v>
      </c>
      <c r="J17" s="31">
        <f>('[1]资源-士兵训练时间'!D19-'[1]资源-士兵训练时间'!D18)*'[1]功能-付费相关'!AI19/节奏总纲!X17</f>
        <v>2642.7329285685796</v>
      </c>
      <c r="K17" s="31">
        <f>('[1]资源-士兵训练时间'!E19-'[1]资源-士兵训练时间'!E18)*'[1]功能-付费相关'!AJ19/节奏总纲!Y17</f>
        <v>2776.0951880741814</v>
      </c>
      <c r="L17" s="31">
        <f>('[1]资源-士兵训练时间'!F19-'[1]资源-士兵训练时间'!F18)*'[1]功能-付费相关'!AK19/节奏总纲!Z17</f>
        <v>3094.6848439684604</v>
      </c>
      <c r="M17" s="31">
        <f>('[1]资源-士兵训练时间'!G19-'[1]资源-士兵训练时间'!G18)*'[1]功能-付费相关'!AL19/节奏总纲!AA17</f>
        <v>3760.0779800464848</v>
      </c>
      <c r="O17" s="11">
        <f>('[1]资源-士兵招募时间'!D19-'[1]资源-士兵招募时间'!D18)*'[1]功能-付费相关'!AH19/节奏总纲!W17</f>
        <v>2983.8993308618906</v>
      </c>
      <c r="P17" s="11">
        <f>('[1]资源-士兵招募时间'!E19-'[1]资源-士兵招募时间'!E18)*'[1]功能-付费相关'!AI19/节奏总纲!X17</f>
        <v>3372.7254992845214</v>
      </c>
      <c r="Q17" s="11">
        <f>('[1]资源-士兵招募时间'!F19-'[1]资源-士兵招募时间'!F18)*'[1]功能-付费相关'!AJ19/节奏总纲!Y17</f>
        <v>3840.9729184395774</v>
      </c>
      <c r="R17" s="11">
        <f>('[1]资源-士兵招募时间'!G19-'[1]资源-士兵招募时间'!G18)*'[1]功能-付费相关'!AK19/节奏总纲!Z17</f>
        <v>4856.2523799423388</v>
      </c>
      <c r="S17" s="11">
        <f>('[1]资源-士兵招募时间'!H19-'[1]资源-士兵招募时间'!H18)*'[1]功能-付费相关'!AL19/节奏总纲!AA17</f>
        <v>6253.3804512389543</v>
      </c>
      <c r="U17" s="31">
        <f>('[1]资源-木石铜粮'!C19-'[1]资源-木石铜粮'!C18)*'[1]功能-付费相关'!S19/节奏总纲!W17</f>
        <v>4822.7491652340459</v>
      </c>
      <c r="V17" s="31">
        <f>('[1]资源-木石铜粮'!D19-'[1]资源-木石铜粮'!D18)*'[1]功能-付费相关'!T19/节奏总纲!X17</f>
        <v>5113.378095944815</v>
      </c>
      <c r="W17" s="31">
        <f>('[1]资源-木石铜粮'!E19-'[1]资源-木石铜粮'!E18)*'[1]功能-付费相关'!U19/节奏总纲!Y17</f>
        <v>5728.8330124604281</v>
      </c>
      <c r="X17" s="31">
        <f>('[1]资源-木石铜粮'!F19-'[1]资源-木石铜粮'!F18)*'[1]功能-付费相关'!V19/节奏总纲!Z17</f>
        <v>6528.0135219409358</v>
      </c>
      <c r="Y17" s="31">
        <f>('[1]资源-木石铜粮'!G19-'[1]资源-木石铜粮'!G18)*'[1]功能-付费相关'!W19/节奏总纲!AA17</f>
        <v>9064.5379591711553</v>
      </c>
      <c r="AA17" s="11">
        <f>('[1]资源-铁'!C19-'[1]资源-铁'!C18)*'[1]功能-付费相关'!X19/节奏总纲!W17</f>
        <v>0</v>
      </c>
      <c r="AB17" s="11">
        <f>('[1]资源-铁'!D19-'[1]资源-铁'!D18)*'[1]功能-付费相关'!Y19/节奏总纲!X17</f>
        <v>0</v>
      </c>
      <c r="AC17" s="11">
        <f>('[1]资源-铁'!E19-'[1]资源-铁'!E18)*'[1]功能-付费相关'!Z19/节奏总纲!Y17</f>
        <v>0</v>
      </c>
      <c r="AD17" s="11">
        <f>('[1]资源-铁'!F19-'[1]资源-铁'!F18)*'[1]功能-付费相关'!AA19/节奏总纲!Z17</f>
        <v>0</v>
      </c>
      <c r="AE17" s="11">
        <f>('[1]资源-铁'!G19-'[1]资源-铁'!G18)*'[1]功能-付费相关'!AB19/节奏总纲!AA17</f>
        <v>0</v>
      </c>
      <c r="AG17" s="11">
        <f>('[1]资源-银币'!C19-'[1]资源-银币'!C18)*'[1]功能-付费相关'!AQ19/节奏总纲!W17</f>
        <v>5240.2022185212618</v>
      </c>
      <c r="AH17" s="11">
        <f>('[1]资源-银币'!D19-'[1]资源-银币'!D18)*'[1]功能-付费相关'!AR19/节奏总纲!X17</f>
        <v>6104.4715770341691</v>
      </c>
      <c r="AI17" s="11">
        <f>('[1]资源-银币'!E19-'[1]资源-银币'!E18)*'[1]功能-付费相关'!AS19/节奏总纲!Y17</f>
        <v>6193.8290803059281</v>
      </c>
      <c r="AJ17" s="11">
        <f>('[1]资源-银币'!F19-'[1]资源-银币'!F18)*'[1]功能-付费相关'!AT19/节奏总纲!Z17</f>
        <v>7372.6211823432332</v>
      </c>
      <c r="AK17" s="11">
        <f>('[1]资源-银币'!G19-'[1]资源-银币'!G18)*'[1]功能-付费相关'!AU19/节奏总纲!AA17</f>
        <v>11630.960037734969</v>
      </c>
      <c r="AM17" s="11" t="e">
        <f>(#REF!-#REF!)*'[1]功能-付费相关'!CA19/节奏总纲!W17</f>
        <v>#REF!</v>
      </c>
      <c r="AN17" s="11" t="e">
        <f>(#REF!-#REF!)*'[1]功能-付费相关'!CB19/节奏总纲!X17</f>
        <v>#REF!</v>
      </c>
      <c r="AO17" s="11" t="e">
        <f>(#REF!-#REF!)*'[1]功能-付费相关'!CC19/节奏总纲!Y17</f>
        <v>#REF!</v>
      </c>
      <c r="AP17" s="11" t="e">
        <f>(#REF!-#REF!)*'[1]功能-付费相关'!CD19/节奏总纲!Z17</f>
        <v>#REF!</v>
      </c>
      <c r="AQ17" s="11" t="e">
        <f>(#REF!-#REF!)*'[1]功能-付费相关'!CE19/节奏总纲!AA17</f>
        <v>#REF!</v>
      </c>
      <c r="AS17" s="11">
        <f>('[1]资源-装备经验'!C19-'[1]资源-装备经验'!C18)*'[1]功能-付费相关'!BI19/节奏总纲!W17</f>
        <v>1286.7458679835454</v>
      </c>
      <c r="AT17" s="11">
        <f>('[1]资源-装备经验'!D19-'[1]资源-装备经验'!D18)*'[1]功能-付费相关'!BJ19/节奏总纲!X17</f>
        <v>1871.7995440416707</v>
      </c>
      <c r="AU17" s="11">
        <f>('[1]资源-装备经验'!E19-'[1]资源-装备经验'!E18)*'[1]功能-付费相关'!BK19/节奏总纲!Y17</f>
        <v>2544.0994049678725</v>
      </c>
      <c r="AV17" s="11">
        <f>('[1]资源-装备经验'!F19-'[1]资源-装备经验'!F18)*'[1]功能-付费相关'!BL19/节奏总纲!Z17</f>
        <v>2830.7104484239644</v>
      </c>
      <c r="AW17" s="11">
        <f>('[1]资源-装备经验'!G19-'[1]资源-装备经验'!G18)*'[1]功能-付费相关'!BM19/节奏总纲!AA17</f>
        <v>2007.5220363614851</v>
      </c>
      <c r="AY17" s="11">
        <f>('[1]资源-武将经验'!C19*节奏总纲!BJ17-'[1]资源-武将经验'!C18*节奏总纲!BJ16)*'[1]功能-付费相关'!AZ19/节奏总纲!W17</f>
        <v>4648.8013368169295</v>
      </c>
      <c r="AZ17" s="11">
        <f>('[1]资源-武将经验'!D19*节奏总纲!BK17-'[1]资源-武将经验'!D18*节奏总纲!BK16)*'[1]功能-付费相关'!BA19/节奏总纲!X17</f>
        <v>5631.6849945700505</v>
      </c>
      <c r="BA17" s="11">
        <f>('[1]资源-武将经验'!E19*节奏总纲!BL17-'[1]资源-武将经验'!E18*节奏总纲!BL16)*'[1]功能-付费相关'!BB19/节奏总纲!Y17</f>
        <v>7117.1740746961968</v>
      </c>
      <c r="BB17" s="11">
        <f>('[1]资源-武将经验'!F19*节奏总纲!BM17-'[1]资源-武将经验'!F18*节奏总纲!BM16)*'[1]功能-付费相关'!BC19/节奏总纲!Z17</f>
        <v>17003.306753967761</v>
      </c>
      <c r="BC17" s="11">
        <f>('[1]资源-武将经验'!G19*节奏总纲!BN17-'[1]资源-武将经验'!G18*节奏总纲!BN16)*'[1]功能-付费相关'!BD19/节奏总纲!AA17</f>
        <v>31558.531705675843</v>
      </c>
      <c r="BD17" s="33"/>
      <c r="BE17" s="30" t="e">
        <f t="shared" si="4"/>
        <v>#REF!</v>
      </c>
      <c r="BF17" s="30" t="e">
        <f t="shared" si="0"/>
        <v>#REF!</v>
      </c>
      <c r="BG17" s="30" t="e">
        <f t="shared" si="1"/>
        <v>#REF!</v>
      </c>
      <c r="BH17" s="30" t="e">
        <f t="shared" si="2"/>
        <v>#REF!</v>
      </c>
      <c r="BI17" s="30" t="e">
        <f t="shared" si="3"/>
        <v>#REF!</v>
      </c>
    </row>
    <row r="18" spans="2:61" x14ac:dyDescent="0.15">
      <c r="B18" s="31">
        <v>15</v>
      </c>
      <c r="C18" s="11">
        <f>('[1]资源-玩家城池建筑时间'!D20-'[1]资源-玩家城池建筑时间'!D19)*'[1]功能-付费相关'!AH20/节奏总纲!W18</f>
        <v>6636.0930425613087</v>
      </c>
      <c r="D18" s="11">
        <f>('[1]资源-玩家城池建筑时间'!E20-'[1]资源-玩家城池建筑时间'!E19)*'[1]功能-付费相关'!AI20/节奏总纲!X18</f>
        <v>8214.5555829321602</v>
      </c>
      <c r="E18" s="11">
        <f>('[1]资源-玩家城池建筑时间'!F20-'[1]资源-玩家城池建筑时间'!F19)*'[1]功能-付费相关'!AJ20/节奏总纲!Y18</f>
        <v>10129.722466927813</v>
      </c>
      <c r="F18" s="11">
        <f>('[1]资源-玩家城池建筑时间'!G20-'[1]资源-玩家城池建筑时间'!G19)*'[1]功能-付费相关'!AK20/节奏总纲!Z18</f>
        <v>14516.249269868689</v>
      </c>
      <c r="G18" s="11">
        <f>('[1]资源-玩家城池建筑时间'!H20-'[1]资源-玩家城池建筑时间'!H19)*'[1]功能-付费相关'!AL20/节奏总纲!AA18</f>
        <v>23201.793623931771</v>
      </c>
      <c r="I18" s="31">
        <f>('[1]资源-士兵训练时间'!C20-'[1]资源-士兵训练时间'!C19)*'[1]功能-付费相关'!AH20/节奏总纲!W18</f>
        <v>2502.3504554899059</v>
      </c>
      <c r="J18" s="31">
        <f>('[1]资源-士兵训练时间'!D20-'[1]资源-士兵训练时间'!D19)*'[1]功能-付费相关'!AI20/节奏总纲!X18</f>
        <v>2612.984834433752</v>
      </c>
      <c r="K18" s="31">
        <f>('[1]资源-士兵训练时间'!E20-'[1]资源-士兵训练时间'!E19)*'[1]功能-付费相关'!AJ20/节奏总纲!Y18</f>
        <v>2709.9730720932353</v>
      </c>
      <c r="L18" s="31">
        <f>('[1]资源-士兵训练时间'!F20-'[1]资源-士兵训练时间'!F19)*'[1]功能-付费相关'!AK20/节奏总纲!Z18</f>
        <v>2928.7059768680879</v>
      </c>
      <c r="M18" s="31">
        <f>('[1]资源-士兵训练时间'!G20-'[1]资源-士兵训练时间'!G19)*'[1]功能-付费相关'!AL20/节奏总纲!AA18</f>
        <v>3720.5674045510641</v>
      </c>
      <c r="O18" s="11">
        <f>('[1]资源-士兵招募时间'!D20-'[1]资源-士兵招募时间'!D19)*'[1]功能-付费相关'!AH20/节奏总纲!W18</f>
        <v>2991.0436039612723</v>
      </c>
      <c r="P18" s="11">
        <f>('[1]资源-士兵招募时间'!E20-'[1]资源-士兵招募时间'!E19)*'[1]功能-付费相关'!AI20/节奏总纲!X18</f>
        <v>3438.3238956156197</v>
      </c>
      <c r="Q18" s="11">
        <f>('[1]资源-士兵招募时间'!F20-'[1]资源-士兵招募时间'!F19)*'[1]功能-付费相关'!AJ20/节奏总纲!Y18</f>
        <v>3842.9671879278044</v>
      </c>
      <c r="R18" s="11">
        <f>('[1]资源-士兵招募时间'!G20-'[1]资源-士兵招募时间'!G19)*'[1]功能-付费相关'!AK20/节奏总纲!Z18</f>
        <v>4730.8311173317879</v>
      </c>
      <c r="S18" s="11">
        <f>('[1]资源-士兵招募时间'!H20-'[1]资源-士兵招募时间'!H19)*'[1]功能-付费相关'!AL20/节奏总纲!AA18</f>
        <v>6215.0425939530942</v>
      </c>
      <c r="U18" s="31">
        <f>('[1]资源-木石铜粮'!C20-'[1]资源-木石铜粮'!C19)*'[1]功能-付费相关'!S20/节奏总纲!W18</f>
        <v>4527.6476622854079</v>
      </c>
      <c r="V18" s="31">
        <f>('[1]资源-木石铜粮'!D20-'[1]资源-木石铜粮'!D19)*'[1]功能-付费相关'!T20/节奏总纲!X18</f>
        <v>4863.9599710141192</v>
      </c>
      <c r="W18" s="31">
        <f>('[1]资源-木石铜粮'!E20-'[1]资源-木石铜粮'!E19)*'[1]功能-付费相关'!U20/节奏总纲!Y18</f>
        <v>5307.8376605903868</v>
      </c>
      <c r="X18" s="31">
        <f>('[1]资源-木石铜粮'!F20-'[1]资源-木石铜粮'!F19)*'[1]功能-付费相关'!V20/节奏总纲!Z18</f>
        <v>5973.8247913255173</v>
      </c>
      <c r="Y18" s="31">
        <f>('[1]资源-木石铜粮'!G20-'[1]资源-木石铜粮'!G19)*'[1]功能-付费相关'!W20/节奏总纲!AA18</f>
        <v>8080.0219457582971</v>
      </c>
      <c r="AA18" s="11">
        <f>('[1]资源-铁'!C20-'[1]资源-铁'!C19)*'[1]功能-付费相关'!X20/节奏总纲!W18</f>
        <v>0</v>
      </c>
      <c r="AB18" s="11">
        <f>('[1]资源-铁'!D20-'[1]资源-铁'!D19)*'[1]功能-付费相关'!Y20/节奏总纲!X18</f>
        <v>0</v>
      </c>
      <c r="AC18" s="11">
        <f>('[1]资源-铁'!E20-'[1]资源-铁'!E19)*'[1]功能-付费相关'!Z20/节奏总纲!Y18</f>
        <v>0</v>
      </c>
      <c r="AD18" s="11">
        <f>('[1]资源-铁'!F20-'[1]资源-铁'!F19)*'[1]功能-付费相关'!AA20/节奏总纲!Z18</f>
        <v>0</v>
      </c>
      <c r="AE18" s="11">
        <f>('[1]资源-铁'!G20-'[1]资源-铁'!G19)*'[1]功能-付费相关'!AB20/节奏总纲!AA18</f>
        <v>0</v>
      </c>
      <c r="AG18" s="11">
        <f>('[1]资源-银币'!C20-'[1]资源-银币'!C19)*'[1]功能-付费相关'!AQ20/节奏总纲!W18</f>
        <v>4458.5284967833813</v>
      </c>
      <c r="AH18" s="11">
        <f>('[1]资源-银币'!D20-'[1]资源-银币'!D19)*'[1]功能-付费相关'!AR20/节奏总纲!X18</f>
        <v>5058.008043311972</v>
      </c>
      <c r="AI18" s="11">
        <f>('[1]资源-银币'!E20-'[1]资源-银币'!E19)*'[1]功能-付费相关'!AS20/节奏总纲!Y18</f>
        <v>5868.9684534463458</v>
      </c>
      <c r="AJ18" s="11">
        <f>('[1]资源-银币'!F20-'[1]资源-银币'!F19)*'[1]功能-付费相关'!AT20/节奏总纲!Z18</f>
        <v>6224.2467082638832</v>
      </c>
      <c r="AK18" s="11">
        <f>('[1]资源-银币'!G20-'[1]资源-银币'!G19)*'[1]功能-付费相关'!AU20/节奏总纲!AA18</f>
        <v>10393.976132812555</v>
      </c>
      <c r="AM18" s="11" t="e">
        <f>(#REF!-#REF!)*'[1]功能-付费相关'!CA20/节奏总纲!W18</f>
        <v>#REF!</v>
      </c>
      <c r="AN18" s="11" t="e">
        <f>(#REF!-#REF!)*'[1]功能-付费相关'!CB20/节奏总纲!X18</f>
        <v>#REF!</v>
      </c>
      <c r="AO18" s="11" t="e">
        <f>(#REF!-#REF!)*'[1]功能-付费相关'!CC20/节奏总纲!Y18</f>
        <v>#REF!</v>
      </c>
      <c r="AP18" s="11" t="e">
        <f>(#REF!-#REF!)*'[1]功能-付费相关'!CD20/节奏总纲!Z18</f>
        <v>#REF!</v>
      </c>
      <c r="AQ18" s="11" t="e">
        <f>(#REF!-#REF!)*'[1]功能-付费相关'!CE20/节奏总纲!AA18</f>
        <v>#REF!</v>
      </c>
      <c r="AS18" s="11">
        <f>('[1]资源-装备经验'!C20-'[1]资源-装备经验'!C19)*'[1]功能-付费相关'!BI20/节奏总纲!W18</f>
        <v>1230.07983228377</v>
      </c>
      <c r="AT18" s="11">
        <f>('[1]资源-装备经验'!D20-'[1]资源-装备经验'!D19)*'[1]功能-付费相关'!BJ20/节奏总纲!X18</f>
        <v>1774.18899385282</v>
      </c>
      <c r="AU18" s="11">
        <f>('[1]资源-装备经验'!E20-'[1]资源-装备经验'!E19)*'[1]功能-付费相关'!BK20/节奏总纲!Y18</f>
        <v>2380.7017344565088</v>
      </c>
      <c r="AV18" s="11">
        <f>('[1]资源-装备经验'!F20-'[1]资源-装备经验'!F19)*'[1]功能-付费相关'!BL20/节奏总纲!Z18</f>
        <v>2629.9215080336949</v>
      </c>
      <c r="AW18" s="11">
        <f>('[1]资源-装备经验'!G20-'[1]资源-装备经验'!G19)*'[1]功能-付费相关'!BM20/节奏总纲!AA18</f>
        <v>1990.9328677347335</v>
      </c>
      <c r="AY18" s="11">
        <f>('[1]资源-武将经验'!C20*节奏总纲!BJ18-'[1]资源-武将经验'!C19*节奏总纲!BJ17)*'[1]功能-付费相关'!AZ20/节奏总纲!W18</f>
        <v>5011.9524116889606</v>
      </c>
      <c r="AZ18" s="11">
        <f>('[1]资源-武将经验'!D20*节奏总纲!BK18-'[1]资源-武将经验'!D19*节奏总纲!BK17)*'[1]功能-付费相关'!BA20/节奏总纲!X18</f>
        <v>5991.3221177135147</v>
      </c>
      <c r="BA18" s="11">
        <f>('[1]资源-武将经验'!E20*节奏总纲!BL18-'[1]资源-武将经验'!E19*节奏总纲!BL17)*'[1]功能-付费相关'!BB20/节奏总纲!Y18</f>
        <v>7376.3879924104867</v>
      </c>
      <c r="BB18" s="11">
        <f>('[1]资源-武将经验'!F20*节奏总纲!BM18-'[1]资源-武将经验'!F19*节奏总纲!BM17)*'[1]功能-付费相关'!BC20/节奏总纲!Z18</f>
        <v>16729.119472920571</v>
      </c>
      <c r="BC18" s="11">
        <f>('[1]资源-武将经验'!G20*节奏总纲!BN18-'[1]资源-武将经验'!G19*节奏总纲!BN17)*'[1]功能-付费相关'!BD20/节奏总纲!AA18</f>
        <v>29519.544917473664</v>
      </c>
      <c r="BD18" s="33"/>
      <c r="BE18" s="30" t="e">
        <f t="shared" si="4"/>
        <v>#REF!</v>
      </c>
      <c r="BF18" s="30" t="e">
        <f t="shared" si="0"/>
        <v>#REF!</v>
      </c>
      <c r="BG18" s="30" t="e">
        <f t="shared" si="1"/>
        <v>#REF!</v>
      </c>
      <c r="BH18" s="30" t="e">
        <f t="shared" si="2"/>
        <v>#REF!</v>
      </c>
      <c r="BI18" s="30" t="e">
        <f t="shared" si="3"/>
        <v>#REF!</v>
      </c>
    </row>
    <row r="19" spans="2:61" x14ac:dyDescent="0.15">
      <c r="B19" s="31">
        <v>16</v>
      </c>
      <c r="C19" s="11">
        <f>('[1]资源-玩家城池建筑时间'!D21-'[1]资源-玩家城池建筑时间'!D20)*'[1]功能-付费相关'!AH21/节奏总纲!W19</f>
        <v>6498.8140120383332</v>
      </c>
      <c r="D19" s="11">
        <f>('[1]资源-玩家城池建筑时间'!E21-'[1]资源-玩家城池建筑时间'!E20)*'[1]功能-付费相关'!AI21/节奏总纲!X19</f>
        <v>8006.5582479709237</v>
      </c>
      <c r="E19" s="11">
        <f>('[1]资源-玩家城池建筑时间'!F21-'[1]资源-玩家城池建筑时间'!F20)*'[1]功能-付费相关'!AJ21/节奏总纲!Y19</f>
        <v>10044.414183495808</v>
      </c>
      <c r="F19" s="11">
        <f>('[1]资源-玩家城池建筑时间'!G21-'[1]资源-玩家城池建筑时间'!G20)*'[1]功能-付费相关'!AK21/节奏总纲!Z19</f>
        <v>14223.645519272963</v>
      </c>
      <c r="G19" s="11">
        <f>('[1]资源-玩家城池建筑时间'!H21-'[1]资源-玩家城池建筑时间'!H20)*'[1]功能-付费相关'!AL21/节奏总纲!AA19</f>
        <v>18630.886312717463</v>
      </c>
      <c r="I19" s="31">
        <f>('[1]资源-士兵训练时间'!C21-'[1]资源-士兵训练时间'!C20)*'[1]功能-付费相关'!AH21/节奏总纲!W19</f>
        <v>2477.4017995394752</v>
      </c>
      <c r="J19" s="31">
        <f>('[1]资源-士兵训练时间'!D21-'[1]资源-士兵训练时间'!D20)*'[1]功能-付费相关'!AI21/节奏总纲!X19</f>
        <v>2528.9935539590433</v>
      </c>
      <c r="K19" s="31">
        <f>('[1]资源-士兵训练时间'!E21-'[1]资源-士兵训练时间'!E20)*'[1]功能-付费相关'!AJ21/节奏总纲!Y19</f>
        <v>2615.4667314013791</v>
      </c>
      <c r="L19" s="31">
        <f>('[1]资源-士兵训练时间'!F21-'[1]资源-士兵训练时间'!F20)*'[1]功能-付费相关'!AK21/节奏总纲!Z19</f>
        <v>2919.5228958159432</v>
      </c>
      <c r="M19" s="31">
        <f>('[1]资源-士兵训练时间'!G21-'[1]资源-士兵训练时间'!G20)*'[1]功能-付费相关'!AL21/节奏总纲!AA19</f>
        <v>3621.2903511391269</v>
      </c>
      <c r="O19" s="11">
        <f>('[1]资源-士兵招募时间'!D21-'[1]资源-士兵招募时间'!D20)*'[1]功能-付费相关'!AH21/节奏总纲!W19</f>
        <v>3045.7926953477709</v>
      </c>
      <c r="P19" s="11">
        <f>('[1]资源-士兵招募时间'!E21-'[1]资源-士兵招募时间'!E20)*'[1]功能-付费相关'!AI21/节奏总纲!X19</f>
        <v>3442.5092612837034</v>
      </c>
      <c r="Q19" s="11">
        <f>('[1]资源-士兵招募时间'!F21-'[1]资源-士兵招募时间'!F20)*'[1]功能-付费相关'!AJ21/节奏总纲!Y19</f>
        <v>3842.1365384582932</v>
      </c>
      <c r="R19" s="11">
        <f>('[1]资源-士兵招募时间'!G21-'[1]资源-士兵招募时间'!G20)*'[1]功能-付费相关'!AK21/节奏总纲!Z19</f>
        <v>4838.3882860519006</v>
      </c>
      <c r="S19" s="11">
        <f>('[1]资源-士兵招募时间'!H21-'[1]资源-士兵招募时间'!H20)*'[1]功能-付费相关'!AL21/节奏总纲!AA19</f>
        <v>6266.0941459776714</v>
      </c>
      <c r="U19" s="31">
        <f>('[1]资源-木石铜粮'!C21-'[1]资源-木石铜粮'!C20)*'[1]功能-付费相关'!S21/节奏总纲!W19</f>
        <v>4267.5674798775908</v>
      </c>
      <c r="V19" s="31">
        <f>('[1]资源-木石铜粮'!D21-'[1]资源-木石铜粮'!D20)*'[1]功能-付费相关'!T21/节奏总纲!X19</f>
        <v>4623.6140292456503</v>
      </c>
      <c r="W19" s="31">
        <f>('[1]资源-木石铜粮'!E21-'[1]资源-木石铜粮'!E20)*'[1]功能-付费相关'!U21/节奏总纲!Y19</f>
        <v>5049.9445964185206</v>
      </c>
      <c r="X19" s="31">
        <f>('[1]资源-木石铜粮'!F21-'[1]资源-木石铜粮'!F20)*'[1]功能-付费相关'!V21/节奏总纲!Z19</f>
        <v>5576.5759120861339</v>
      </c>
      <c r="Y19" s="31">
        <f>('[1]资源-木石铜粮'!G21-'[1]资源-木石铜粮'!G20)*'[1]功能-付费相关'!W21/节奏总纲!AA19</f>
        <v>7119.7303932506575</v>
      </c>
      <c r="AA19" s="11">
        <f>('[1]资源-铁'!C21-'[1]资源-铁'!C20)*'[1]功能-付费相关'!X21/节奏总纲!W19</f>
        <v>0</v>
      </c>
      <c r="AB19" s="11">
        <f>('[1]资源-铁'!D21-'[1]资源-铁'!D20)*'[1]功能-付费相关'!Y21/节奏总纲!X19</f>
        <v>0</v>
      </c>
      <c r="AC19" s="11">
        <f>('[1]资源-铁'!E21-'[1]资源-铁'!E20)*'[1]功能-付费相关'!Z21/节奏总纲!Y19</f>
        <v>0</v>
      </c>
      <c r="AD19" s="11">
        <f>('[1]资源-铁'!F21-'[1]资源-铁'!F20)*'[1]功能-付费相关'!AA21/节奏总纲!Z19</f>
        <v>0</v>
      </c>
      <c r="AE19" s="11">
        <f>('[1]资源-铁'!G21-'[1]资源-铁'!G20)*'[1]功能-付费相关'!AB21/节奏总纲!AA19</f>
        <v>0</v>
      </c>
      <c r="AG19" s="11">
        <f>('[1]资源-银币'!C21-'[1]资源-银币'!C20)*'[1]功能-付费相关'!AQ21/节奏总纲!W19</f>
        <v>4122.6171143680776</v>
      </c>
      <c r="AH19" s="11">
        <f>('[1]资源-银币'!D21-'[1]资源-银币'!D20)*'[1]功能-付费相关'!AR21/节奏总纲!X19</f>
        <v>4789.6510620787431</v>
      </c>
      <c r="AI19" s="11">
        <f>('[1]资源-银币'!E21-'[1]资源-银币'!E20)*'[1]功能-付费相关'!AS21/节奏总纲!Y19</f>
        <v>5324.3437952251525</v>
      </c>
      <c r="AJ19" s="11">
        <f>('[1]资源-银币'!F21-'[1]资源-银币'!F20)*'[1]功能-付费相关'!AT21/节奏总纲!Z19</f>
        <v>6293.7004093806117</v>
      </c>
      <c r="AK19" s="11">
        <f>('[1]资源-银币'!G21-'[1]资源-银币'!G20)*'[1]功能-付费相关'!AU21/节奏总纲!AA19</f>
        <v>9316.9678251081277</v>
      </c>
      <c r="AM19" s="11" t="e">
        <f>(#REF!-#REF!)*'[1]功能-付费相关'!CA21/节奏总纲!W19</f>
        <v>#REF!</v>
      </c>
      <c r="AN19" s="11" t="e">
        <f>(#REF!-#REF!)*'[1]功能-付费相关'!CB21/节奏总纲!X19</f>
        <v>#REF!</v>
      </c>
      <c r="AO19" s="11" t="e">
        <f>(#REF!-#REF!)*'[1]功能-付费相关'!CC21/节奏总纲!Y19</f>
        <v>#REF!</v>
      </c>
      <c r="AP19" s="11" t="e">
        <f>(#REF!-#REF!)*'[1]功能-付费相关'!CD21/节奏总纲!Z19</f>
        <v>#REF!</v>
      </c>
      <c r="AQ19" s="11" t="e">
        <f>(#REF!-#REF!)*'[1]功能-付费相关'!CE21/节奏总纲!AA19</f>
        <v>#REF!</v>
      </c>
      <c r="AS19" s="11">
        <f>('[1]资源-装备经验'!C21-'[1]资源-装备经验'!C20)*'[1]功能-付费相关'!BI21/节奏总纲!W19</f>
        <v>1179.0999615936421</v>
      </c>
      <c r="AT19" s="11">
        <f>('[1]资源-装备经验'!D21-'[1]资源-装备经验'!D20)*'[1]功能-付费相关'!BJ21/节奏总纲!X19</f>
        <v>1695.959300532834</v>
      </c>
      <c r="AU19" s="11">
        <f>('[1]资源-装备经验'!E21-'[1]资源-装备经验'!E20)*'[1]功能-付费相关'!BK21/节奏总纲!Y19</f>
        <v>2268.9275361361283</v>
      </c>
      <c r="AV19" s="11">
        <f>('[1]资源-装备经验'!F21-'[1]资源-装备经验'!F20)*'[1]功能-付费相关'!BL21/节奏总纲!Z19</f>
        <v>2524.0274331873993</v>
      </c>
      <c r="AW19" s="11">
        <f>('[1]资源-装备经验'!G21-'[1]资源-装备经验'!G20)*'[1]功能-付费相关'!BM21/节奏总纲!AA19</f>
        <v>1929.6723950245653</v>
      </c>
      <c r="AY19" s="11">
        <f>('[1]资源-武将经验'!C21*节奏总纲!BJ19-'[1]资源-武将经验'!C20*节奏总纲!BJ18)*'[1]功能-付费相关'!AZ21/节奏总纲!W19</f>
        <v>5046.0049227649715</v>
      </c>
      <c r="AZ19" s="11">
        <f>('[1]资源-武将经验'!D21*节奏总纲!BK19-'[1]资源-武将经验'!D20*节奏总纲!BK18)*'[1]功能-付费相关'!BA21/节奏总纲!X19</f>
        <v>5901.8809563403483</v>
      </c>
      <c r="BA19" s="11">
        <f>('[1]资源-武将经验'!E21*节奏总纲!BL19-'[1]资源-武将经验'!E20*节奏总纲!BL18)*'[1]功能-付费相关'!BB21/节奏总纲!Y19</f>
        <v>7214.2005047605307</v>
      </c>
      <c r="BB19" s="11">
        <f>('[1]资源-武将经验'!F21*节奏总纲!BM19-'[1]资源-武将经验'!F20*节奏总纲!BM18)*'[1]功能-付费相关'!BC21/节奏总纲!Z19</f>
        <v>16457.264132083121</v>
      </c>
      <c r="BC19" s="11">
        <f>('[1]资源-武将经验'!G21*节奏总纲!BN19-'[1]资源-武将经验'!G20*节奏总纲!BN18)*'[1]功能-付费相关'!BD21/节奏总纲!AA19</f>
        <v>28331.923231835524</v>
      </c>
      <c r="BD19" s="33"/>
      <c r="BE19" s="30" t="e">
        <f t="shared" si="4"/>
        <v>#REF!</v>
      </c>
      <c r="BF19" s="30" t="e">
        <f t="shared" si="0"/>
        <v>#REF!</v>
      </c>
      <c r="BG19" s="30" t="e">
        <f t="shared" si="1"/>
        <v>#REF!</v>
      </c>
      <c r="BH19" s="30" t="e">
        <f t="shared" si="2"/>
        <v>#REF!</v>
      </c>
      <c r="BI19" s="30" t="e">
        <f t="shared" si="3"/>
        <v>#REF!</v>
      </c>
    </row>
    <row r="20" spans="2:61" x14ac:dyDescent="0.15">
      <c r="B20" s="31">
        <v>17</v>
      </c>
      <c r="C20" s="11">
        <f>('[1]资源-玩家城池建筑时间'!D22-'[1]资源-玩家城池建筑时间'!D21)*'[1]功能-付费相关'!AH22/节奏总纲!W20</f>
        <v>6327.9562905333569</v>
      </c>
      <c r="D20" s="11">
        <f>('[1]资源-玩家城池建筑时间'!E22-'[1]资源-玩家城池建筑时间'!E21)*'[1]功能-付费相关'!AI22/节奏总纲!X20</f>
        <v>7899.4795193816353</v>
      </c>
      <c r="E20" s="11">
        <f>('[1]资源-玩家城池建筑时间'!F22-'[1]资源-玩家城池建筑时间'!F21)*'[1]功能-付费相关'!AJ22/节奏总纲!Y20</f>
        <v>9840.6261689756557</v>
      </c>
      <c r="F20" s="11">
        <f>('[1]资源-玩家城池建筑时间'!G22-'[1]资源-玩家城池建筑时间'!G21)*'[1]功能-付费相关'!AK22/节奏总纲!Z20</f>
        <v>13185.216126376425</v>
      </c>
      <c r="G20" s="11">
        <f>('[1]资源-玩家城池建筑时间'!H22-'[1]资源-玩家城池建筑时间'!H21)*'[1]功能-付费相关'!AL22/节奏总纲!AA20</f>
        <v>19685.456717321926</v>
      </c>
      <c r="I20" s="31">
        <f>('[1]资源-士兵训练时间'!C22-'[1]资源-士兵训练时间'!C21)*'[1]功能-付费相关'!AH22/节奏总纲!W20</f>
        <v>2396.3717912772463</v>
      </c>
      <c r="J20" s="31">
        <f>('[1]资源-士兵训练时间'!D22-'[1]资源-士兵训练时间'!D21)*'[1]功能-付费相关'!AI22/节奏总纲!X20</f>
        <v>2463.3933681219546</v>
      </c>
      <c r="K20" s="31">
        <f>('[1]资源-士兵训练时间'!E22-'[1]资源-士兵训练时间'!E21)*'[1]功能-付费相关'!AJ22/节奏总纲!Y20</f>
        <v>2613.610575061015</v>
      </c>
      <c r="L20" s="31">
        <f>('[1]资源-士兵训练时间'!F22-'[1]资源-士兵训练时间'!F21)*'[1]功能-付费相关'!AK22/节奏总纲!Z20</f>
        <v>2963.016733073589</v>
      </c>
      <c r="M20" s="31">
        <f>('[1]资源-士兵训练时间'!G22-'[1]资源-士兵训练时间'!G21)*'[1]功能-付费相关'!AL22/节奏总纲!AA20</f>
        <v>3925.6511332090618</v>
      </c>
      <c r="O20" s="11">
        <f>('[1]资源-士兵招募时间'!D22-'[1]资源-士兵招募时间'!D21)*'[1]功能-付费相关'!AH22/节奏总纲!W20</f>
        <v>3038.2061158077836</v>
      </c>
      <c r="P20" s="11">
        <f>('[1]资源-士兵招募时间'!E22-'[1]资源-士兵招募时间'!E21)*'[1]功能-付费相关'!AI22/节奏总纲!X20</f>
        <v>3495.7823495795628</v>
      </c>
      <c r="Q20" s="11">
        <f>('[1]资源-士兵招募时间'!F22-'[1]资源-士兵招募时间'!F21)*'[1]功能-付费相关'!AJ22/节奏总纲!Y20</f>
        <v>4033.7199163704749</v>
      </c>
      <c r="R20" s="11">
        <f>('[1]资源-士兵招募时间'!G22-'[1]资源-士兵招募时间'!G21)*'[1]功能-付费相关'!AK22/节奏总纲!Z20</f>
        <v>5126.1459431069688</v>
      </c>
      <c r="S20" s="11">
        <f>('[1]资源-士兵招募时间'!H22-'[1]资源-士兵招募时间'!H21)*'[1]功能-付费相关'!AL22/节奏总纲!AA20</f>
        <v>6980.3244290568437</v>
      </c>
      <c r="U20" s="31">
        <f>('[1]资源-木石铜粮'!C22-'[1]资源-木石铜粮'!C21)*'[1]功能-付费相关'!S22/节奏总纲!W20</f>
        <v>4143.191166125589</v>
      </c>
      <c r="V20" s="31">
        <f>('[1]资源-木石铜粮'!D22-'[1]资源-木石铜粮'!D21)*'[1]功能-付费相关'!T22/节奏总纲!X20</f>
        <v>4505.7037308252557</v>
      </c>
      <c r="W20" s="31">
        <f>('[1]资源-木石铜粮'!E22-'[1]资源-木石铜粮'!E21)*'[1]功能-付费相关'!U22/节奏总纲!Y20</f>
        <v>5003.3394661929569</v>
      </c>
      <c r="X20" s="31">
        <f>('[1]资源-木石铜粮'!F22-'[1]资源-木石铜粮'!F21)*'[1]功能-付费相关'!V22/节奏总纲!Z20</f>
        <v>5349.1341211556992</v>
      </c>
      <c r="Y20" s="31">
        <f>('[1]资源-木石铜粮'!G22-'[1]资源-木石铜粮'!G21)*'[1]功能-付费相关'!W22/节奏总纲!AA20</f>
        <v>7189.2811218559882</v>
      </c>
      <c r="AA20" s="11">
        <f>('[1]资源-铁'!C22-'[1]资源-铁'!C21)*'[1]功能-付费相关'!X22/节奏总纲!W20</f>
        <v>0</v>
      </c>
      <c r="AB20" s="11">
        <f>('[1]资源-铁'!D22-'[1]资源-铁'!D21)*'[1]功能-付费相关'!Y22/节奏总纲!X20</f>
        <v>0</v>
      </c>
      <c r="AC20" s="11">
        <f>('[1]资源-铁'!E22-'[1]资源-铁'!E21)*'[1]功能-付费相关'!Z22/节奏总纲!Y20</f>
        <v>0</v>
      </c>
      <c r="AD20" s="11">
        <f>('[1]资源-铁'!F22-'[1]资源-铁'!F21)*'[1]功能-付费相关'!AA22/节奏总纲!Z20</f>
        <v>0</v>
      </c>
      <c r="AE20" s="11">
        <f>('[1]资源-铁'!G22-'[1]资源-铁'!G21)*'[1]功能-付费相关'!AB22/节奏总纲!AA20</f>
        <v>0</v>
      </c>
      <c r="AG20" s="11">
        <f>('[1]资源-银币'!C22-'[1]资源-银币'!C21)*'[1]功能-付费相关'!AQ22/节奏总纲!W20</f>
        <v>3610.528694898504</v>
      </c>
      <c r="AH20" s="11">
        <f>('[1]资源-银币'!D22-'[1]资源-银币'!D21)*'[1]功能-付费相关'!AR22/节奏总纲!X20</f>
        <v>4627.9005812117812</v>
      </c>
      <c r="AI20" s="11">
        <f>('[1]资源-银币'!E22-'[1]资源-银币'!E21)*'[1]功能-付费相关'!AS22/节奏总纲!Y20</f>
        <v>5315.0818118735206</v>
      </c>
      <c r="AJ20" s="11">
        <f>('[1]资源-银币'!F22-'[1]资源-银币'!F21)*'[1]功能-付费相关'!AT22/节奏总纲!Z20</f>
        <v>6799.6098779918275</v>
      </c>
      <c r="AK20" s="11">
        <f>('[1]资源-银币'!G22-'[1]资源-银币'!G21)*'[1]功能-付费相关'!AU22/节奏总纲!AA20</f>
        <v>10379.468057259179</v>
      </c>
      <c r="AM20" s="11" t="e">
        <f>(#REF!-#REF!)*'[1]功能-付费相关'!CA22/节奏总纲!W20</f>
        <v>#REF!</v>
      </c>
      <c r="AN20" s="11" t="e">
        <f>(#REF!-#REF!)*'[1]功能-付费相关'!CB22/节奏总纲!X20</f>
        <v>#REF!</v>
      </c>
      <c r="AO20" s="11" t="e">
        <f>(#REF!-#REF!)*'[1]功能-付费相关'!CC22/节奏总纲!Y20</f>
        <v>#REF!</v>
      </c>
      <c r="AP20" s="11" t="e">
        <f>(#REF!-#REF!)*'[1]功能-付费相关'!CD22/节奏总纲!Z20</f>
        <v>#REF!</v>
      </c>
      <c r="AQ20" s="11" t="e">
        <f>(#REF!-#REF!)*'[1]功能-付费相关'!CE22/节奏总纲!AA20</f>
        <v>#REF!</v>
      </c>
      <c r="AS20" s="11">
        <f>('[1]资源-装备经验'!C22-'[1]资源-装备经验'!C21)*'[1]功能-付费相关'!BI22/节奏总纲!W20</f>
        <v>1133.2026557086349</v>
      </c>
      <c r="AT20" s="11">
        <f>('[1]资源-装备经验'!D22-'[1]资源-装备经验'!D21)*'[1]功能-付费相关'!BJ22/节奏总纲!X20</f>
        <v>1651.9320783022017</v>
      </c>
      <c r="AU20" s="11">
        <f>('[1]资源-装备经验'!E22-'[1]资源-装备经验'!E21)*'[1]功能-付费相关'!BK22/节奏总纲!Y20</f>
        <v>2256.7268147234372</v>
      </c>
      <c r="AV20" s="11">
        <f>('[1]资源-装备经验'!F22-'[1]资源-装备经验'!F21)*'[1]功能-付费相关'!BL22/节奏总纲!Z20</f>
        <v>2525.1550216050523</v>
      </c>
      <c r="AW20" s="11">
        <f>('[1]资源-装备经验'!G22-'[1]资源-装备经验'!G21)*'[1]功能-付费相关'!BM22/节奏总纲!AA20</f>
        <v>1928.0276659549427</v>
      </c>
      <c r="AY20" s="11">
        <f>('[1]资源-武将经验'!C22*节奏总纲!BJ20-'[1]资源-武将经验'!C21*节奏总纲!BJ19)*'[1]功能-付费相关'!AZ22/节奏总纲!W20</f>
        <v>4967.8163924569908</v>
      </c>
      <c r="AZ20" s="11">
        <f>('[1]资源-武将经验'!D22*节奏总纲!BK20-'[1]资源-武将经验'!D21*节奏总纲!BK19)*'[1]功能-付费相关'!BA22/节奏总纲!X20</f>
        <v>6111.9867506412074</v>
      </c>
      <c r="BA20" s="11">
        <f>('[1]资源-武将经验'!E22*节奏总纲!BL20-'[1]资源-武将经验'!E21*节奏总纲!BL19)*'[1]功能-付费相关'!BB22/节奏总纲!Y20</f>
        <v>7875.4011894986634</v>
      </c>
      <c r="BB20" s="11">
        <f>('[1]资源-武将经验'!F22*节奏总纲!BM20-'[1]资源-武将经验'!F21*节奏总纲!BM19)*'[1]功能-付费相关'!BC22/节奏总纲!Z20</f>
        <v>19125.025221324217</v>
      </c>
      <c r="BC20" s="11">
        <f>('[1]资源-武将经验'!G22*节奏总纲!BN20-'[1]资源-武将经验'!G21*节奏总纲!BN19)*'[1]功能-付费相关'!BD22/节奏总纲!AA20</f>
        <v>39325.018296797803</v>
      </c>
      <c r="BD20" s="33"/>
      <c r="BE20" s="30" t="e">
        <f t="shared" si="4"/>
        <v>#REF!</v>
      </c>
      <c r="BF20" s="30" t="e">
        <f t="shared" si="0"/>
        <v>#REF!</v>
      </c>
      <c r="BG20" s="30" t="e">
        <f t="shared" si="1"/>
        <v>#REF!</v>
      </c>
      <c r="BH20" s="30" t="e">
        <f t="shared" si="2"/>
        <v>#REF!</v>
      </c>
      <c r="BI20" s="30" t="e">
        <f t="shared" si="3"/>
        <v>#REF!</v>
      </c>
    </row>
    <row r="21" spans="2:61" x14ac:dyDescent="0.15">
      <c r="B21" s="31">
        <v>18</v>
      </c>
      <c r="C21" s="11">
        <f>('[1]资源-玩家城池建筑时间'!D23-'[1]资源-玩家城池建筑时间'!D22)*'[1]功能-付费相关'!AH23/节奏总纲!W21</f>
        <v>6226.2985811651333</v>
      </c>
      <c r="D21" s="11">
        <f>('[1]资源-玩家城池建筑时间'!E23-'[1]资源-玩家城池建筑时间'!E22)*'[1]功能-付费相关'!AI23/节奏总纲!X21</f>
        <v>7701.0022466722121</v>
      </c>
      <c r="E21" s="11">
        <f>('[1]资源-玩家城池建筑时间'!F23-'[1]资源-玩家城池建筑时间'!F22)*'[1]功能-付费相关'!AJ23/节奏总纲!Y21</f>
        <v>9085.2530324405107</v>
      </c>
      <c r="F21" s="11">
        <f>('[1]资源-玩家城池建筑时间'!G23-'[1]资源-玩家城池建筑时间'!G22)*'[1]功能-付费相关'!AK23/节奏总纲!Z21</f>
        <v>12517.463071221815</v>
      </c>
      <c r="G21" s="11">
        <f>('[1]资源-玩家城池建筑时间'!H23-'[1]资源-玩家城池建筑时间'!H22)*'[1]功能-付费相关'!AL23/节奏总纲!AA21</f>
        <v>19482.231406331932</v>
      </c>
      <c r="I21" s="31">
        <f>('[1]资源-士兵训练时间'!C23-'[1]资源-士兵训练时间'!C22)*'[1]功能-付费相关'!AH23/节奏总纲!W21</f>
        <v>2341.833846051104</v>
      </c>
      <c r="J21" s="31">
        <f>('[1]资源-士兵训练时间'!D23-'[1]资源-士兵训练时间'!D22)*'[1]功能-付费相关'!AI23/节奏总纲!X21</f>
        <v>2447.7597794263024</v>
      </c>
      <c r="K21" s="31">
        <f>('[1]资源-士兵训练时间'!E23-'[1]资源-士兵训练时间'!E22)*'[1]功能-付费相关'!AJ23/节奏总纲!Y21</f>
        <v>2542.6293233178517</v>
      </c>
      <c r="L21" s="31">
        <f>('[1]资源-士兵训练时间'!F23-'[1]资源-士兵训练时间'!F22)*'[1]功能-付费相关'!AK23/节奏总纲!Z21</f>
        <v>2799.3366968802138</v>
      </c>
      <c r="M21" s="31">
        <f>('[1]资源-士兵训练时间'!G23-'[1]资源-士兵训练时间'!G22)*'[1]功能-付费相关'!AL23/节奏总纲!AA21</f>
        <v>3866.7555513041611</v>
      </c>
      <c r="O21" s="11">
        <f>('[1]资源-士兵招募时间'!D23-'[1]资源-士兵招募时间'!D22)*'[1]功能-付费相关'!AH23/节奏总纲!W21</f>
        <v>3051.2384273616326</v>
      </c>
      <c r="P21" s="11">
        <f>('[1]资源-士兵招募时间'!E23-'[1]资源-士兵招募时间'!E22)*'[1]功能-付费相关'!AI23/节奏总纲!X21</f>
        <v>3511.2394419998218</v>
      </c>
      <c r="Q21" s="11">
        <f>('[1]资源-士兵招募时间'!F23-'[1]资源-士兵招募时间'!F22)*'[1]功能-付费相关'!AJ23/节奏总纲!Y21</f>
        <v>3964.0469625295691</v>
      </c>
      <c r="R21" s="11">
        <f>('[1]资源-士兵招募时间'!G23-'[1]资源-士兵招募时间'!G22)*'[1]功能-付费相关'!AK23/节奏总纲!Z21</f>
        <v>4930.6120311271852</v>
      </c>
      <c r="S21" s="11">
        <f>('[1]资源-士兵招募时间'!H23-'[1]资源-士兵招募时间'!H22)*'[1]功能-付费相关'!AL23/节奏总纲!AA21</f>
        <v>6758.5465294345695</v>
      </c>
      <c r="U21" s="31">
        <f>('[1]资源-木石铜粮'!C23-'[1]资源-木石铜粮'!C22)*'[1]功能-付费相关'!S23/节奏总纲!W21</f>
        <v>3974.7687426518364</v>
      </c>
      <c r="V21" s="31">
        <f>('[1]资源-木石铜粮'!D23-'[1]资源-木石铜粮'!D22)*'[1]功能-付费相关'!T23/节奏总纲!X21</f>
        <v>4252.4460886442366</v>
      </c>
      <c r="W21" s="31">
        <f>('[1]资源-木石铜粮'!E23-'[1]资源-木石铜粮'!E22)*'[1]功能-付费相关'!U23/节奏总纲!Y21</f>
        <v>4649.5873319749035</v>
      </c>
      <c r="X21" s="31">
        <f>('[1]资源-木石铜粮'!F23-'[1]资源-木石铜粮'!F22)*'[1]功能-付费相关'!V23/节奏总纲!Z21</f>
        <v>4970.51320110695</v>
      </c>
      <c r="Y21" s="31">
        <f>('[1]资源-木石铜粮'!G23-'[1]资源-木石铜粮'!G22)*'[1]功能-付费相关'!W23/节奏总纲!AA21</f>
        <v>6523.174941895325</v>
      </c>
      <c r="AA21" s="11">
        <f>('[1]资源-铁'!C23-'[1]资源-铁'!C22)*'[1]功能-付费相关'!X23/节奏总纲!W21</f>
        <v>0</v>
      </c>
      <c r="AB21" s="11">
        <f>('[1]资源-铁'!D23-'[1]资源-铁'!D22)*'[1]功能-付费相关'!Y23/节奏总纲!X21</f>
        <v>0</v>
      </c>
      <c r="AC21" s="11">
        <f>('[1]资源-铁'!E23-'[1]资源-铁'!E22)*'[1]功能-付费相关'!Z23/节奏总纲!Y21</f>
        <v>0</v>
      </c>
      <c r="AD21" s="11">
        <f>('[1]资源-铁'!F23-'[1]资源-铁'!F22)*'[1]功能-付费相关'!AA23/节奏总纲!Z21</f>
        <v>0</v>
      </c>
      <c r="AE21" s="11">
        <f>('[1]资源-铁'!G23-'[1]资源-铁'!G22)*'[1]功能-付费相关'!AB23/节奏总纲!AA21</f>
        <v>0</v>
      </c>
      <c r="AG21" s="11">
        <f>('[1]资源-银币'!C23-'[1]资源-银币'!C22)*'[1]功能-付费相关'!AQ23/节奏总纲!W21</f>
        <v>3512.6775471578394</v>
      </c>
      <c r="AH21" s="11">
        <f>('[1]资源-银币'!D23-'[1]资源-银币'!D22)*'[1]功能-付费相关'!AR23/节奏总纲!X21</f>
        <v>3987.9015585013485</v>
      </c>
      <c r="AI21" s="11">
        <f>('[1]资源-银币'!E23-'[1]资源-银币'!E22)*'[1]功能-付费相关'!AS23/节奏总纲!Y21</f>
        <v>4732.0176474732689</v>
      </c>
      <c r="AJ21" s="11">
        <f>('[1]资源-银币'!F23-'[1]资源-银币'!F22)*'[1]功能-付费相关'!AT23/节奏总纲!Z21</f>
        <v>5919.1988892913396</v>
      </c>
      <c r="AK21" s="11">
        <f>('[1]资源-银币'!G23-'[1]资源-银币'!G22)*'[1]功能-付费相关'!AU23/节奏总纲!AA21</f>
        <v>8431.3585126590879</v>
      </c>
      <c r="AM21" s="11" t="e">
        <f>(#REF!-#REF!)*'[1]功能-付费相关'!CA23/节奏总纲!W21</f>
        <v>#REF!</v>
      </c>
      <c r="AN21" s="11" t="e">
        <f>(#REF!-#REF!)*'[1]功能-付费相关'!CB23/节奏总纲!X21</f>
        <v>#REF!</v>
      </c>
      <c r="AO21" s="11" t="e">
        <f>(#REF!-#REF!)*'[1]功能-付费相关'!CC23/节奏总纲!Y21</f>
        <v>#REF!</v>
      </c>
      <c r="AP21" s="11" t="e">
        <f>(#REF!-#REF!)*'[1]功能-付费相关'!CD23/节奏总纲!Z21</f>
        <v>#REF!</v>
      </c>
      <c r="AQ21" s="11" t="e">
        <f>(#REF!-#REF!)*'[1]功能-付费相关'!CE23/节奏总纲!AA21</f>
        <v>#REF!</v>
      </c>
      <c r="AS21" s="11">
        <f>('[1]资源-装备经验'!C23-'[1]资源-装备经验'!C22)*'[1]功能-付费相关'!BI23/节奏总纲!W21</f>
        <v>1091.8501336541065</v>
      </c>
      <c r="AT21" s="11">
        <f>('[1]资源-装备经验'!D23-'[1]资源-装备经验'!D22)*'[1]功能-付费相关'!BJ23/节奏总纲!X21</f>
        <v>1561.7126452067785</v>
      </c>
      <c r="AU21" s="11">
        <f>('[1]资源-装备经验'!E23-'[1]资源-装备经验'!E22)*'[1]功能-付费相关'!BK23/节奏总纲!Y21</f>
        <v>2107.1481250100996</v>
      </c>
      <c r="AV21" s="11">
        <f>('[1]资源-装备经验'!F23-'[1]资源-装备经验'!F22)*'[1]功能-付费相关'!BL23/节奏总纲!Z21</f>
        <v>2357.8644501451754</v>
      </c>
      <c r="AW21" s="11">
        <f>('[1]资源-装备经验'!G23-'[1]资源-装备经验'!G22)*'[1]功能-付费相关'!BM23/节奏总纲!AA21</f>
        <v>1899.0102818414546</v>
      </c>
      <c r="AY21" s="11">
        <f>('[1]资源-武将经验'!C23*节奏总纲!BJ21-'[1]资源-武将经验'!C22*节奏总纲!BJ20)*'[1]功能-付费相关'!AZ23/节奏总纲!W21</f>
        <v>5686.6224606331998</v>
      </c>
      <c r="AZ21" s="11">
        <f>('[1]资源-武将经验'!D23*节奏总纲!BK21-'[1]资源-武将经验'!D22*节奏总纲!BK20)*'[1]功能-付费相关'!BA23/节奏总纲!X21</f>
        <v>6690.9038359050901</v>
      </c>
      <c r="BA21" s="11">
        <f>('[1]资源-武将经验'!E23*节奏总纲!BL21-'[1]资源-武将经验'!E22*节奏总纲!BL20)*'[1]功能-付费相关'!BB23/节奏总纲!Y21</f>
        <v>8209.9218100523103</v>
      </c>
      <c r="BB21" s="11">
        <f>('[1]资源-武将经验'!F23*节奏总纲!BM21-'[1]资源-武将经验'!F22*节奏总纲!BM20)*'[1]功能-付费相关'!BC23/节奏总纲!Z21</f>
        <v>18949.516282287859</v>
      </c>
      <c r="BC21" s="11">
        <f>('[1]资源-武将经验'!G23*节奏总纲!BN21-'[1]资源-武将经验'!G22*节奏总纲!BN20)*'[1]功能-付费相关'!BD23/节奏总纲!AA21</f>
        <v>34337.809462086138</v>
      </c>
      <c r="BD21" s="33"/>
      <c r="BE21" s="30" t="e">
        <f t="shared" si="4"/>
        <v>#REF!</v>
      </c>
      <c r="BF21" s="30" t="e">
        <f t="shared" si="0"/>
        <v>#REF!</v>
      </c>
      <c r="BG21" s="30" t="e">
        <f t="shared" si="1"/>
        <v>#REF!</v>
      </c>
      <c r="BH21" s="30" t="e">
        <f t="shared" si="2"/>
        <v>#REF!</v>
      </c>
      <c r="BI21" s="30" t="e">
        <f t="shared" si="3"/>
        <v>#REF!</v>
      </c>
    </row>
    <row r="22" spans="2:61" x14ac:dyDescent="0.15">
      <c r="B22" s="31">
        <v>19</v>
      </c>
      <c r="C22" s="11">
        <f>('[1]资源-玩家城池建筑时间'!D24-'[1]资源-玩家城池建筑时间'!D23)*'[1]功能-付费相关'!AH24/节奏总纲!W22</f>
        <v>6177.0441964590254</v>
      </c>
      <c r="D22" s="11">
        <f>('[1]资源-玩家城池建筑时间'!E24-'[1]资源-玩家城池建筑时间'!E23)*'[1]功能-付费相关'!AI24/节奏总纲!X22</f>
        <v>7334.206570923051</v>
      </c>
      <c r="E22" s="11">
        <f>('[1]资源-玩家城池建筑时间'!F24-'[1]资源-玩家城池建筑时间'!F23)*'[1]功能-付费相关'!AJ24/节奏总纲!Y22</f>
        <v>8883.9479812638401</v>
      </c>
      <c r="F22" s="11">
        <f>('[1]资源-玩家城池建筑时间'!G24-'[1]资源-玩家城池建筑时间'!G23)*'[1]功能-付费相关'!AK24/节奏总纲!Z22</f>
        <v>13117.334610912416</v>
      </c>
      <c r="G22" s="11">
        <f>('[1]资源-玩家城池建筑时间'!H24-'[1]资源-玩家城池建筑时间'!H23)*'[1]功能-付费相关'!AL24/节奏总纲!AA22</f>
        <v>18528.744902933366</v>
      </c>
      <c r="I22" s="31">
        <f>('[1]资源-士兵训练时间'!C24-'[1]资源-士兵训练时间'!C23)*'[1]功能-付费相关'!AH24/节奏总纲!W22</f>
        <v>2347.3445713439496</v>
      </c>
      <c r="J22" s="31">
        <f>('[1]资源-士兵训练时间'!D24-'[1]资源-士兵训练时间'!D23)*'[1]功能-付费相关'!AI24/节奏总纲!X22</f>
        <v>2389.0638346009141</v>
      </c>
      <c r="K22" s="31">
        <f>('[1]资源-士兵训练时间'!E24-'[1]资源-士兵训练时间'!E23)*'[1]功能-付费相关'!AJ24/节奏总纲!Y22</f>
        <v>2482.7763307960272</v>
      </c>
      <c r="L22" s="31">
        <f>('[1]资源-士兵训练时间'!F24-'[1]资源-士兵训练时间'!F23)*'[1]功能-付费相关'!AK24/节奏总纲!Z22</f>
        <v>2953.4731067398925</v>
      </c>
      <c r="M22" s="31">
        <f>('[1]资源-士兵训练时间'!G24-'[1]资源-士兵训练时间'!G23)*'[1]功能-付费相关'!AL24/节奏总纲!AA22</f>
        <v>3775.284528070642</v>
      </c>
      <c r="O22" s="11">
        <f>('[1]资源-士兵招募时间'!D24-'[1]资源-士兵招募时间'!D23)*'[1]功能-付费相关'!AH24/节奏总纲!W22</f>
        <v>3118.820536185739</v>
      </c>
      <c r="P22" s="11">
        <f>('[1]资源-士兵招募时间'!E24-'[1]资源-士兵招募时间'!E23)*'[1]功能-付费相关'!AI24/节奏总纲!X22</f>
        <v>3529.6387167692883</v>
      </c>
      <c r="Q22" s="11">
        <f>('[1]资源-士兵招募时间'!F24-'[1]资源-士兵招募时间'!F23)*'[1]功能-付费相关'!AJ24/节奏总纲!Y22</f>
        <v>3995.3039249440803</v>
      </c>
      <c r="R22" s="11">
        <f>('[1]资源-士兵招募时间'!G24-'[1]资源-士兵招募时间'!G23)*'[1]功能-付费相关'!AK24/节奏总纲!Z22</f>
        <v>5183.700870665165</v>
      </c>
      <c r="S22" s="11">
        <f>('[1]资源-士兵招募时间'!H24-'[1]资源-士兵招募时间'!H23)*'[1]功能-付费相关'!AL24/节奏总纲!AA22</f>
        <v>6845.5566918456261</v>
      </c>
      <c r="U22" s="31">
        <f>('[1]资源-木石铜粮'!C24-'[1]资源-木石铜粮'!C23)*'[1]功能-付费相关'!S24/节奏总纲!W22</f>
        <v>3800.0215251914892</v>
      </c>
      <c r="V22" s="31">
        <f>('[1]资源-木石铜粮'!D24-'[1]资源-木石铜粮'!D23)*'[1]功能-付费相关'!T24/节奏总纲!X22</f>
        <v>4070.9508236571551</v>
      </c>
      <c r="W22" s="31">
        <f>('[1]资源-木石铜粮'!E24-'[1]资源-木石铜粮'!E23)*'[1]功能-付费相关'!U24/节奏总纲!Y22</f>
        <v>4488.9151730027797</v>
      </c>
      <c r="X22" s="31">
        <f>('[1]资源-木石铜粮'!F24-'[1]资源-木石铜粮'!F23)*'[1]功能-付费相关'!V24/节奏总纲!Z22</f>
        <v>4811.8783951570476</v>
      </c>
      <c r="Y22" s="31">
        <f>('[1]资源-木石铜粮'!G24-'[1]资源-木石铜粮'!G23)*'[1]功能-付费相关'!W24/节奏总纲!AA22</f>
        <v>6126.3873471686784</v>
      </c>
      <c r="AA22" s="11">
        <f>('[1]资源-铁'!C24-'[1]资源-铁'!C23)*'[1]功能-付费相关'!X24/节奏总纲!W22</f>
        <v>0</v>
      </c>
      <c r="AB22" s="11">
        <f>('[1]资源-铁'!D24-'[1]资源-铁'!D23)*'[1]功能-付费相关'!Y24/节奏总纲!X22</f>
        <v>0</v>
      </c>
      <c r="AC22" s="11">
        <f>('[1]资源-铁'!E24-'[1]资源-铁'!E23)*'[1]功能-付费相关'!Z24/节奏总纲!Y22</f>
        <v>0</v>
      </c>
      <c r="AD22" s="11">
        <f>('[1]资源-铁'!F24-'[1]资源-铁'!F23)*'[1]功能-付费相关'!AA24/节奏总纲!Z22</f>
        <v>0</v>
      </c>
      <c r="AE22" s="11">
        <f>('[1]资源-铁'!G24-'[1]资源-铁'!G23)*'[1]功能-付费相关'!AB24/节奏总纲!AA22</f>
        <v>0</v>
      </c>
      <c r="AG22" s="11">
        <f>('[1]资源-银币'!C24-'[1]资源-银币'!C23)*'[1]功能-付费相关'!AQ24/节奏总纲!W22</f>
        <v>3403.0724676520199</v>
      </c>
      <c r="AH22" s="11">
        <f>('[1]资源-银币'!D24-'[1]资源-银币'!D23)*'[1]功能-付费相关'!AR24/节奏总纲!X22</f>
        <v>3565.2448467295117</v>
      </c>
      <c r="AI22" s="11">
        <f>('[1]资源-银币'!E24-'[1]资源-银币'!E23)*'[1]功能-付费相关'!AS24/节奏总纲!Y22</f>
        <v>4428.0771808965392</v>
      </c>
      <c r="AJ22" s="11">
        <f>('[1]资源-银币'!F24-'[1]资源-银币'!F23)*'[1]功能-付费相关'!AT24/节奏总纲!Z22</f>
        <v>5757.0852927512005</v>
      </c>
      <c r="AK22" s="11">
        <f>('[1]资源-银币'!G24-'[1]资源-银币'!G23)*'[1]功能-付费相关'!AU24/节奏总纲!AA22</f>
        <v>8046.2885345715231</v>
      </c>
      <c r="AM22" s="11" t="e">
        <f>(#REF!-#REF!)*'[1]功能-付费相关'!CA24/节奏总纲!W22</f>
        <v>#REF!</v>
      </c>
      <c r="AN22" s="11" t="e">
        <f>(#REF!-#REF!)*'[1]功能-付费相关'!CB24/节奏总纲!X22</f>
        <v>#REF!</v>
      </c>
      <c r="AO22" s="11" t="e">
        <f>(#REF!-#REF!)*'[1]功能-付费相关'!CC24/节奏总纲!Y22</f>
        <v>#REF!</v>
      </c>
      <c r="AP22" s="11" t="e">
        <f>(#REF!-#REF!)*'[1]功能-付费相关'!CD24/节奏总纲!Z22</f>
        <v>#REF!</v>
      </c>
      <c r="AQ22" s="11" t="e">
        <f>(#REF!-#REF!)*'[1]功能-付费相关'!CE24/节奏总纲!AA22</f>
        <v>#REF!</v>
      </c>
      <c r="AS22" s="11">
        <f>('[1]资源-装备经验'!C24-'[1]资源-装备经验'!C23)*'[1]功能-付费相关'!BI24/节奏总纲!W22</f>
        <v>1054.5631692350337</v>
      </c>
      <c r="AT22" s="11">
        <f>('[1]资源-装备经验'!D24-'[1]资源-装备经验'!D23)*'[1]功能-付费相关'!BJ24/节奏总纲!X22</f>
        <v>1509.6705414840571</v>
      </c>
      <c r="AU22" s="11">
        <f>('[1]资源-装备经验'!E24-'[1]资源-装备经验'!E23)*'[1]功能-付费相关'!BK24/节奏总纲!Y22</f>
        <v>2041.5903231762838</v>
      </c>
      <c r="AV22" s="11">
        <f>('[1]资源-装备经验'!F24-'[1]资源-装备经验'!F23)*'[1]功能-付费相关'!BL24/节奏总纲!Z22</f>
        <v>2286.3083469877165</v>
      </c>
      <c r="AW22" s="11">
        <f>('[1]资源-装备经验'!G24-'[1]资源-装备经验'!G23)*'[1]功能-付费相关'!BM24/节奏总纲!AA22</f>
        <v>1887.7586737984852</v>
      </c>
      <c r="AY22" s="11">
        <f>('[1]资源-武将经验'!C24*节奏总纲!BJ22-'[1]资源-武将经验'!C23*节奏总纲!BJ21)*'[1]功能-付费相关'!AZ24/节奏总纲!W22</f>
        <v>5575.6746490261767</v>
      </c>
      <c r="AZ22" s="11">
        <f>('[1]资源-武将经验'!D24*节奏总纲!BK22-'[1]资源-武将经验'!D23*节奏总纲!BK21)*'[1]功能-付费相关'!BA24/节奏总纲!X22</f>
        <v>6513.6831817046123</v>
      </c>
      <c r="BA22" s="11">
        <f>('[1]资源-武将经验'!E24*节奏总纲!BL22-'[1]资源-武将经验'!E23*节奏总纲!BL21)*'[1]功能-付费相关'!BB24/节奏总纲!Y22</f>
        <v>8007.2497296407937</v>
      </c>
      <c r="BB22" s="11">
        <f>('[1]资源-武将经验'!F24*节奏总纲!BM22-'[1]资源-武将经验'!F23*节奏总纲!BM21)*'[1]功能-付费相关'!BC24/节奏总纲!Z22</f>
        <v>18674.05345706144</v>
      </c>
      <c r="BC22" s="11">
        <f>('[1]资源-武将经验'!G24*节奏总纲!BN22-'[1]资源-武将经验'!G23*节奏总纲!BN21)*'[1]功能-付费相关'!BD24/节奏总纲!AA22</f>
        <v>33380.545877368109</v>
      </c>
      <c r="BD22" s="33"/>
      <c r="BE22" s="30" t="e">
        <f t="shared" si="4"/>
        <v>#REF!</v>
      </c>
      <c r="BF22" s="30" t="e">
        <f t="shared" si="0"/>
        <v>#REF!</v>
      </c>
      <c r="BG22" s="30" t="e">
        <f t="shared" si="1"/>
        <v>#REF!</v>
      </c>
      <c r="BH22" s="30" t="e">
        <f t="shared" si="2"/>
        <v>#REF!</v>
      </c>
      <c r="BI22" s="30" t="e">
        <f t="shared" si="3"/>
        <v>#REF!</v>
      </c>
    </row>
    <row r="23" spans="2:61" x14ac:dyDescent="0.15">
      <c r="B23" s="31">
        <v>20</v>
      </c>
      <c r="C23" s="11">
        <f>('[1]资源-玩家城池建筑时间'!D25-'[1]资源-玩家城池建筑时间'!D24)*'[1]功能-付费相关'!AH25/节奏总纲!W23</f>
        <v>5985.2860825854023</v>
      </c>
      <c r="D23" s="11">
        <f>('[1]资源-玩家城池建筑时间'!E25-'[1]资源-玩家城池建筑时间'!E24)*'[1]功能-付费相关'!AI25/节奏总纲!X23</f>
        <v>7164.5047177810529</v>
      </c>
      <c r="E23" s="11">
        <f>('[1]资源-玩家城池建筑时间'!F25-'[1]资源-玩家城池建筑时间'!F24)*'[1]功能-付费相关'!AJ25/节奏总纲!Y23</f>
        <v>8954.8532108020354</v>
      </c>
      <c r="F23" s="11">
        <f>('[1]资源-玩家城池建筑时间'!G25-'[1]资源-玩家城池建筑时间'!G24)*'[1]功能-付费相关'!AK25/节奏总纲!Z23</f>
        <v>12801.263378953214</v>
      </c>
      <c r="G23" s="11">
        <f>('[1]资源-玩家城池建筑时间'!H25-'[1]资源-玩家城池建筑时间'!H24)*'[1]功能-付费相关'!AL25/节奏总纲!AA23</f>
        <v>19896.538708685686</v>
      </c>
      <c r="I23" s="31">
        <f>('[1]资源-士兵训练时间'!C25-'[1]资源-士兵训练时间'!C24)*'[1]功能-付费相关'!AH25/节奏总纲!W23</f>
        <v>2288.5780465021553</v>
      </c>
      <c r="J23" s="31">
        <f>('[1]资源-士兵训练时间'!D25-'[1]资源-士兵训练时间'!D24)*'[1]功能-付费相关'!AI25/节奏总纲!X23</f>
        <v>2330.2513144639674</v>
      </c>
      <c r="K23" s="31">
        <f>('[1]资源-士兵训练时间'!E25-'[1]资源-士兵训练时间'!E24)*'[1]功能-付费相关'!AJ25/节奏总纲!Y23</f>
        <v>2491.1788065341752</v>
      </c>
      <c r="L23" s="31">
        <f>('[1]资源-士兵训练时间'!F25-'[1]资源-士兵训练时间'!F24)*'[1]功能-付费相关'!AK25/节奏总纲!Z23</f>
        <v>2934.2047575628562</v>
      </c>
      <c r="M23" s="31">
        <f>('[1]资源-士兵训练时间'!G25-'[1]资源-士兵训练时间'!G24)*'[1]功能-付费相关'!AL25/节奏总纲!AA23</f>
        <v>4405.8128940096194</v>
      </c>
      <c r="O23" s="11">
        <f>('[1]资源-士兵招募时间'!D25-'[1]资源-士兵招募时间'!D24)*'[1]功能-付费相关'!AH25/节奏总纲!W23</f>
        <v>3117.2034720370984</v>
      </c>
      <c r="P23" s="11">
        <f>('[1]资源-士兵招募时间'!E25-'[1]资源-士兵招募时间'!E24)*'[1]功能-付费相关'!AI25/节奏总纲!X23</f>
        <v>3550.0992779454582</v>
      </c>
      <c r="Q23" s="11">
        <f>('[1]资源-士兵招募时间'!F25-'[1]资源-士兵招募时间'!F24)*'[1]功能-付费相关'!AJ25/节奏总纲!Y23</f>
        <v>4097.6299841817499</v>
      </c>
      <c r="R23" s="11">
        <f>('[1]资源-士兵招募时间'!G25-'[1]资源-士兵招募时间'!G24)*'[1]功能-付费相关'!AK25/节奏总纲!Z23</f>
        <v>5386.8211412771579</v>
      </c>
      <c r="S23" s="11">
        <f>('[1]资源-士兵招募时间'!H25-'[1]资源-士兵招募时间'!H24)*'[1]功能-付费相关'!AL25/节奏总纲!AA23</f>
        <v>7870.950679420187</v>
      </c>
      <c r="U23" s="31">
        <f>('[1]资源-木石铜粮'!C25-'[1]资源-木石铜粮'!C24)*'[1]功能-付费相关'!S25/节奏总纲!W23</f>
        <v>3595.5975068457274</v>
      </c>
      <c r="V23" s="31">
        <f>('[1]资源-木石铜粮'!D25-'[1]资源-木石铜粮'!D24)*'[1]功能-付费相关'!T25/节奏总纲!X23</f>
        <v>3959.5362605826408</v>
      </c>
      <c r="W23" s="31">
        <f>('[1]资源-木石铜粮'!E25-'[1]资源-木石铜粮'!E24)*'[1]功能-付费相关'!U25/节奏总纲!Y23</f>
        <v>4365.8651979583901</v>
      </c>
      <c r="X23" s="31">
        <f>('[1]资源-木石铜粮'!F25-'[1]资源-木石铜粮'!F24)*'[1]功能-付费相关'!V25/节奏总纲!Z23</f>
        <v>4712.1820566605802</v>
      </c>
      <c r="Y23" s="31">
        <f>('[1]资源-木石铜粮'!G25-'[1]资源-木石铜粮'!G24)*'[1]功能-付费相关'!W25/节奏总纲!AA23</f>
        <v>5928.258666385258</v>
      </c>
      <c r="AA23" s="11">
        <f>('[1]资源-铁'!C25-'[1]资源-铁'!C24)*'[1]功能-付费相关'!X25/节奏总纲!W23</f>
        <v>0</v>
      </c>
      <c r="AB23" s="11">
        <f>('[1]资源-铁'!D25-'[1]资源-铁'!D24)*'[1]功能-付费相关'!Y25/节奏总纲!X23</f>
        <v>0</v>
      </c>
      <c r="AC23" s="11">
        <f>('[1]资源-铁'!E25-'[1]资源-铁'!E24)*'[1]功能-付费相关'!Z25/节奏总纲!Y23</f>
        <v>0</v>
      </c>
      <c r="AD23" s="11">
        <f>('[1]资源-铁'!F25-'[1]资源-铁'!F24)*'[1]功能-付费相关'!AA25/节奏总纲!Z23</f>
        <v>0</v>
      </c>
      <c r="AE23" s="11">
        <f>('[1]资源-铁'!G25-'[1]资源-铁'!G24)*'[1]功能-付费相关'!AB25/节奏总纲!AA23</f>
        <v>0</v>
      </c>
      <c r="AG23" s="11">
        <f>('[1]资源-银币'!C25-'[1]资源-银币'!C24)*'[1]功能-付费相关'!AQ25/节奏总纲!W23</f>
        <v>3225.4539203106583</v>
      </c>
      <c r="AH23" s="11">
        <f>('[1]资源-银币'!D25-'[1]资源-银币'!D24)*'[1]功能-付费相关'!AR25/节奏总纲!X23</f>
        <v>3334.3403411617032</v>
      </c>
      <c r="AI23" s="11">
        <f>('[1]资源-银币'!E25-'[1]资源-银币'!E24)*'[1]功能-付费相关'!AS25/节奏总纲!Y23</f>
        <v>4066.8858477357949</v>
      </c>
      <c r="AJ23" s="11">
        <f>('[1]资源-银币'!F25-'[1]资源-银币'!F24)*'[1]功能-付费相关'!AT25/节奏总纲!Z23</f>
        <v>5679.0751209680739</v>
      </c>
      <c r="AK23" s="11">
        <f>('[1]资源-银币'!G25-'[1]资源-银币'!G24)*'[1]功能-付费相关'!AU25/节奏总纲!AA23</f>
        <v>9455.6793401170253</v>
      </c>
      <c r="AM23" s="11" t="e">
        <f>(#REF!-#REF!)*'[1]功能-付费相关'!CA25/节奏总纲!W23</f>
        <v>#REF!</v>
      </c>
      <c r="AN23" s="11" t="e">
        <f>(#REF!-#REF!)*'[1]功能-付费相关'!CB25/节奏总纲!X23</f>
        <v>#REF!</v>
      </c>
      <c r="AO23" s="11" t="e">
        <f>(#REF!-#REF!)*'[1]功能-付费相关'!CC25/节奏总纲!Y23</f>
        <v>#REF!</v>
      </c>
      <c r="AP23" s="11" t="e">
        <f>(#REF!-#REF!)*'[1]功能-付费相关'!CD25/节奏总纲!Z23</f>
        <v>#REF!</v>
      </c>
      <c r="AQ23" s="11" t="e">
        <f>(#REF!-#REF!)*'[1]功能-付费相关'!CE25/节奏总纲!AA23</f>
        <v>#REF!</v>
      </c>
      <c r="AS23" s="11">
        <f>('[1]资源-装备经验'!C25-'[1]资源-装备经验'!C24)*'[1]功能-付费相关'!BI25/节奏总纲!W23</f>
        <v>1020.9146326046349</v>
      </c>
      <c r="AT23" s="11">
        <f>('[1]资源-装备经验'!D25-'[1]资源-装备经验'!D24)*'[1]功能-付费相关'!BJ25/节奏总纲!X23</f>
        <v>1466.5480330994001</v>
      </c>
      <c r="AU23" s="11">
        <f>('[1]资源-装备经验'!E25-'[1]资源-装备经验'!E24)*'[1]功能-付费相关'!BK25/节奏总纲!Y23</f>
        <v>1988.1773127038618</v>
      </c>
      <c r="AV23" s="11">
        <f>('[1]资源-装备经验'!F25-'[1]资源-装备经验'!F24)*'[1]功能-付费相关'!BL25/节奏总纲!Z23</f>
        <v>2287.7883522770931</v>
      </c>
      <c r="AW23" s="11">
        <f>('[1]资源-装备经验'!G25-'[1]资源-装备经验'!G24)*'[1]功能-付费相关'!BM25/节奏总纲!AA23</f>
        <v>1885.5048038993768</v>
      </c>
      <c r="AY23" s="11">
        <f>('[1]资源-武将经验'!C25*节奏总纲!BJ23-'[1]资源-武将经验'!C24*节奏总纲!BJ22)*'[1]功能-付费相关'!AZ25/节奏总纲!W23</f>
        <v>5400.7017067526367</v>
      </c>
      <c r="AZ23" s="11">
        <f>('[1]资源-武将经验'!D25*节奏总纲!BK23-'[1]资源-武将经验'!D24*节奏总纲!BK22)*'[1]功能-付费相关'!BA25/节奏总纲!X23</f>
        <v>6549.2428121737239</v>
      </c>
      <c r="BA23" s="11">
        <f>('[1]资源-武将经验'!E25*节奏总纲!BL23-'[1]资源-武将经验'!E24*节奏总纲!BL22)*'[1]功能-付费相关'!BB25/节奏总纲!Y23</f>
        <v>8371.7654113015269</v>
      </c>
      <c r="BB23" s="11">
        <f>('[1]资源-武将经验'!F25*节奏总纲!BM23-'[1]资源-武将经验'!F24*节奏总纲!BM22)*'[1]功能-付费相关'!BC25/节奏总纲!Z23</f>
        <v>20589.597497807448</v>
      </c>
      <c r="BC23" s="11">
        <f>('[1]资源-武将经验'!G25*节奏总纲!BN23-'[1]资源-武将经验'!G24*节奏总纲!BN22)*'[1]功能-付费相关'!BD25/节奏总纲!AA23</f>
        <v>44236.135348174175</v>
      </c>
      <c r="BD23" s="33"/>
      <c r="BE23" s="30" t="e">
        <f t="shared" si="4"/>
        <v>#REF!</v>
      </c>
      <c r="BF23" s="30" t="e">
        <f t="shared" si="0"/>
        <v>#REF!</v>
      </c>
      <c r="BG23" s="30" t="e">
        <f t="shared" si="1"/>
        <v>#REF!</v>
      </c>
      <c r="BH23" s="30" t="e">
        <f t="shared" si="2"/>
        <v>#REF!</v>
      </c>
      <c r="BI23" s="30" t="e">
        <f t="shared" si="3"/>
        <v>#REF!</v>
      </c>
    </row>
    <row r="24" spans="2:61" x14ac:dyDescent="0.15">
      <c r="B24" s="31">
        <v>21</v>
      </c>
      <c r="C24" s="11">
        <f>('[1]资源-玩家城池建筑时间'!D26-'[1]资源-玩家城池建筑时间'!D25)*'[1]功能-付费相关'!AH26/节奏总纲!W24</f>
        <v>5789.2565501142517</v>
      </c>
      <c r="D24" s="11">
        <f>('[1]资源-玩家城池建筑时间'!E26-'[1]资源-玩家城池建筑时间'!E25)*'[1]功能-付费相关'!AI26/节奏总纲!X24</f>
        <v>7252.5732296273645</v>
      </c>
      <c r="E24" s="11">
        <f>('[1]资源-玩家城池建筑时间'!F26-'[1]资源-玩家城池建筑时间'!F25)*'[1]功能-付费相关'!AJ26/节奏总纲!Y24</f>
        <v>8969.1027408410719</v>
      </c>
      <c r="F24" s="11">
        <f>('[1]资源-玩家城池建筑时间'!G26-'[1]资源-玩家城池建筑时间'!G25)*'[1]功能-付费相关'!AK26/节奏总纲!Z24</f>
        <v>12378.369128837418</v>
      </c>
      <c r="G24" s="11">
        <f>('[1]资源-玩家城池建筑时间'!H26-'[1]资源-玩家城池建筑时间'!H25)*'[1]功能-付费相关'!AL26/节奏总纲!AA24</f>
        <v>18869.427759748338</v>
      </c>
      <c r="I24" s="31">
        <f>('[1]资源-士兵训练时间'!C26-'[1]资源-士兵训练时间'!C25)*'[1]功能-付费相关'!AH26/节奏总纲!W24</f>
        <v>2216.9048367846772</v>
      </c>
      <c r="J24" s="31">
        <f>('[1]资源-士兵训练时间'!D26-'[1]资源-士兵训练时间'!D25)*'[1]功能-付费相关'!AI26/节奏总纲!X24</f>
        <v>2335.7177566263827</v>
      </c>
      <c r="K24" s="31">
        <f>('[1]资源-士兵训练时间'!E26-'[1]资源-士兵训练时间'!E25)*'[1]功能-付费相关'!AJ26/节奏总纲!Y24</f>
        <v>2515.5346859785345</v>
      </c>
      <c r="L24" s="31">
        <f>('[1]资源-士兵训练时间'!F26-'[1]资源-士兵训练时间'!F25)*'[1]功能-付费相关'!AK26/节奏总纲!Z24</f>
        <v>2914.2380934274715</v>
      </c>
      <c r="M24" s="31">
        <f>('[1]资源-士兵训练时间'!G26-'[1]资源-士兵训练时间'!G25)*'[1]功能-付费相关'!AL26/节奏总纲!AA24</f>
        <v>4124.3755188428004</v>
      </c>
      <c r="O24" s="11">
        <f>('[1]资源-士兵招募时间'!D26-'[1]资源-士兵招募时间'!D25)*'[1]功能-付费相关'!AH26/节奏总纲!W24</f>
        <v>3099.6046717973104</v>
      </c>
      <c r="P24" s="11">
        <f>('[1]资源-士兵招募时间'!E26-'[1]资源-士兵招募时间'!E25)*'[1]功能-付费相关'!AI26/节奏总纲!X24</f>
        <v>3590.2690935250821</v>
      </c>
      <c r="Q24" s="11">
        <f>('[1]资源-士兵招募时间'!F26-'[1]资源-士兵招募时间'!F25)*'[1]功能-付费相关'!AJ26/节奏总纲!Y24</f>
        <v>4203.3182120605434</v>
      </c>
      <c r="R24" s="11">
        <f>('[1]资源-士兵招募时间'!G26-'[1]资源-士兵招募时间'!G25)*'[1]功能-付费相关'!AK26/节奏总纲!Z24</f>
        <v>5491.0801586124571</v>
      </c>
      <c r="S24" s="11">
        <f>('[1]资源-士兵招募时间'!H26-'[1]资源-士兵招募时间'!H25)*'[1]功能-付费相关'!AL26/节奏总纲!AA24</f>
        <v>7449.4108679746987</v>
      </c>
      <c r="U24" s="31">
        <f>('[1]资源-木石铜粮'!C26-'[1]资源-木石铜粮'!C25)*'[1]功能-付费相关'!S26/节奏总纲!W24</f>
        <v>3666.6294422184974</v>
      </c>
      <c r="V24" s="31">
        <f>('[1]资源-木石铜粮'!D26-'[1]资源-木石铜粮'!D25)*'[1]功能-付费相关'!T26/节奏总纲!X24</f>
        <v>4011.1027718274186</v>
      </c>
      <c r="W24" s="31">
        <f>('[1]资源-木石铜粮'!E26-'[1]资源-木石铜粮'!E25)*'[1]功能-付费相关'!U26/节奏总纲!Y24</f>
        <v>4477.7907401884704</v>
      </c>
      <c r="X24" s="31">
        <f>('[1]资源-木石铜粮'!F26-'[1]资源-木石铜粮'!F25)*'[1]功能-付费相关'!V26/节奏总纲!Z24</f>
        <v>4909.1892144443991</v>
      </c>
      <c r="Y24" s="31">
        <f>('[1]资源-木石铜粮'!G26-'[1]资源-木石铜粮'!G25)*'[1]功能-付费相关'!W26/节奏总纲!AA24</f>
        <v>6286.0040296637862</v>
      </c>
      <c r="AA24" s="11">
        <f>('[1]资源-铁'!C26-'[1]资源-铁'!C25)*'[1]功能-付费相关'!X26/节奏总纲!W24</f>
        <v>0</v>
      </c>
      <c r="AB24" s="11">
        <f>('[1]资源-铁'!D26-'[1]资源-铁'!D25)*'[1]功能-付费相关'!Y26/节奏总纲!X24</f>
        <v>0</v>
      </c>
      <c r="AC24" s="11">
        <f>('[1]资源-铁'!E26-'[1]资源-铁'!E25)*'[1]功能-付费相关'!Z26/节奏总纲!Y24</f>
        <v>0</v>
      </c>
      <c r="AD24" s="11">
        <f>('[1]资源-铁'!F26-'[1]资源-铁'!F25)*'[1]功能-付费相关'!AA26/节奏总纲!Z24</f>
        <v>0</v>
      </c>
      <c r="AE24" s="11">
        <f>('[1]资源-铁'!G26-'[1]资源-铁'!G25)*'[1]功能-付费相关'!AB26/节奏总纲!AA24</f>
        <v>0</v>
      </c>
      <c r="AG24" s="11">
        <f>('[1]资源-银币'!C26-'[1]资源-银币'!C25)*'[1]功能-付费相关'!AQ26/节奏总纲!W24</f>
        <v>3003.7371206387556</v>
      </c>
      <c r="AH24" s="11">
        <f>('[1]资源-银币'!D26-'[1]资源-银币'!D25)*'[1]功能-付费相关'!AR26/节奏总纲!X24</f>
        <v>3427.0750051741038</v>
      </c>
      <c r="AI24" s="11">
        <f>('[1]资源-银币'!E26-'[1]资源-银币'!E25)*'[1]功能-付费相关'!AS26/节奏总纲!Y24</f>
        <v>4033.9029765361547</v>
      </c>
      <c r="AJ24" s="11">
        <f>('[1]资源-银币'!F26-'[1]资源-银币'!F25)*'[1]功能-付费相关'!AT26/节奏总纲!Z24</f>
        <v>5757.5505535589218</v>
      </c>
      <c r="AK24" s="11">
        <f>('[1]资源-银币'!G26-'[1]资源-银币'!G25)*'[1]功能-付费相关'!AU26/节奏总纲!AA24</f>
        <v>8881.4166409831359</v>
      </c>
      <c r="AM24" s="11" t="e">
        <f>(#REF!-#REF!)*'[1]功能-付费相关'!CA26/节奏总纲!W24</f>
        <v>#REF!</v>
      </c>
      <c r="AN24" s="11" t="e">
        <f>(#REF!-#REF!)*'[1]功能-付费相关'!CB26/节奏总纲!X24</f>
        <v>#REF!</v>
      </c>
      <c r="AO24" s="11" t="e">
        <f>(#REF!-#REF!)*'[1]功能-付费相关'!CC26/节奏总纲!Y24</f>
        <v>#REF!</v>
      </c>
      <c r="AP24" s="11" t="e">
        <f>(#REF!-#REF!)*'[1]功能-付费相关'!CD26/节奏总纲!Z24</f>
        <v>#REF!</v>
      </c>
      <c r="AQ24" s="11" t="e">
        <f>(#REF!-#REF!)*'[1]功能-付费相关'!CE26/节奏总纲!AA24</f>
        <v>#REF!</v>
      </c>
      <c r="AS24" s="11">
        <f>('[1]资源-装备经验'!C26-'[1]资源-装备经验'!C25)*'[1]功能-付费相关'!BI26/节奏总纲!W24</f>
        <v>1494.4146973186394</v>
      </c>
      <c r="AT24" s="11">
        <f>('[1]资源-装备经验'!D26-'[1]资源-装备经验'!D25)*'[1]功能-付费相关'!BJ26/节奏总纲!X24</f>
        <v>2193.872032610303</v>
      </c>
      <c r="AU24" s="11">
        <f>('[1]资源-装备经验'!E26-'[1]资源-装备经验'!E25)*'[1]功能-付费相关'!BK26/节奏总纲!Y24</f>
        <v>3140.7972923425482</v>
      </c>
      <c r="AV24" s="11">
        <f>('[1]资源-装备经验'!F26-'[1]资源-装备经验'!F25)*'[1]功能-付费相关'!BL26/节奏总纲!Z24</f>
        <v>3796.1045261690238</v>
      </c>
      <c r="AW24" s="11">
        <f>('[1]资源-装备经验'!G26-'[1]资源-装备经验'!G25)*'[1]功能-付费相关'!BM26/节奏总纲!AA24</f>
        <v>3141.68601229162</v>
      </c>
      <c r="AY24" s="11">
        <f>('[1]资源-武将经验'!C26*节奏总纲!BJ24-'[1]资源-武将经验'!C25*节奏总纲!BJ23)*'[1]功能-付费相关'!AZ26/节奏总纲!W24</f>
        <v>5915.2600654999005</v>
      </c>
      <c r="AZ24" s="11">
        <f>('[1]资源-武将经验'!D26*节奏总纲!BK24-'[1]资源-武将经验'!D25*节奏总纲!BK23)*'[1]功能-付费相关'!BA26/节奏总纲!X24</f>
        <v>7005.5221781069949</v>
      </c>
      <c r="BA24" s="11">
        <f>('[1]资源-武将经验'!E26*节奏总纲!BL24-'[1]资源-武将经验'!E25*节奏总纲!BL23)*'[1]功能-付费相关'!BB26/节奏总纲!Y24</f>
        <v>8928.1783816811294</v>
      </c>
      <c r="BB24" s="11">
        <f>('[1]资源-武将经验'!F26*节奏总纲!BM24-'[1]资源-武将经验'!F25*节奏总纲!BM23)*'[1]功能-付费相关'!BC26/节奏总纲!Z24</f>
        <v>21514.09760436889</v>
      </c>
      <c r="BC24" s="11">
        <f>('[1]资源-武将经验'!G26*节奏总纲!BN24-'[1]资源-武将经验'!G25*节奏总纲!BN23)*'[1]功能-付费相关'!BD26/节奏总纲!AA24</f>
        <v>38493.500843436537</v>
      </c>
      <c r="BD24" s="33"/>
      <c r="BE24" s="30" t="e">
        <f t="shared" si="4"/>
        <v>#REF!</v>
      </c>
      <c r="BF24" s="30" t="e">
        <f t="shared" si="0"/>
        <v>#REF!</v>
      </c>
      <c r="BG24" s="30" t="e">
        <f t="shared" si="1"/>
        <v>#REF!</v>
      </c>
      <c r="BH24" s="30" t="e">
        <f t="shared" si="2"/>
        <v>#REF!</v>
      </c>
      <c r="BI24" s="30" t="e">
        <f t="shared" si="3"/>
        <v>#REF!</v>
      </c>
    </row>
    <row r="25" spans="2:61" x14ac:dyDescent="0.15">
      <c r="B25" s="31">
        <v>22</v>
      </c>
      <c r="C25" s="11">
        <f>('[1]资源-玩家城池建筑时间'!D27-'[1]资源-玩家城池建筑时间'!D26)*'[1]功能-付费相关'!AH27/节奏总纲!W25</f>
        <v>5941.1179556039306</v>
      </c>
      <c r="D25" s="11">
        <f>('[1]资源-玩家城池建筑时间'!E27-'[1]资源-玩家城池建筑时间'!E26)*'[1]功能-付费相关'!AI27/节奏总纲!X25</f>
        <v>7138.949307028025</v>
      </c>
      <c r="E25" s="11">
        <f>('[1]资源-玩家城池建筑时间'!F27-'[1]资源-玩家城池建筑时间'!F26)*'[1]功能-付费相关'!AJ27/节奏总纲!Y25</f>
        <v>8600.2619055964878</v>
      </c>
      <c r="F25" s="11">
        <f>('[1]资源-玩家城池建筑时间'!G27-'[1]资源-玩家城池建筑时间'!G26)*'[1]功能-付费相关'!AK27/节奏总纲!Z25</f>
        <v>12666.191990176121</v>
      </c>
      <c r="G25" s="11">
        <f>('[1]资源-玩家城池建筑时间'!H27-'[1]资源-玩家城池建筑时间'!H26)*'[1]功能-付费相关'!AL27/节奏总纲!AA25</f>
        <v>17547.87098039022</v>
      </c>
      <c r="I25" s="31">
        <f>('[1]资源-士兵训练时间'!C27-'[1]资源-士兵训练时间'!C26)*'[1]功能-付费相关'!AH27/节奏总纲!W25</f>
        <v>2233.4465895727958</v>
      </c>
      <c r="J25" s="31">
        <f>('[1]资源-士兵训练时间'!D27-'[1]资源-士兵训练时间'!D26)*'[1]功能-付费相关'!AI27/节奏总纲!X25</f>
        <v>2314.1335910017301</v>
      </c>
      <c r="K25" s="31">
        <f>('[1]资源-士兵训练时间'!E27-'[1]资源-士兵训练时间'!E26)*'[1]功能-付费相关'!AJ27/节奏总纲!Y25</f>
        <v>2454.2976212325657</v>
      </c>
      <c r="L25" s="31">
        <f>('[1]资源-士兵训练时间'!F27-'[1]资源-士兵训练时间'!F26)*'[1]功能-付费相关'!AK27/节奏总纲!Z25</f>
        <v>2969.4806016178095</v>
      </c>
      <c r="M25" s="31">
        <f>('[1]资源-士兵训练时间'!G27-'[1]资源-士兵训练时间'!G26)*'[1]功能-付费相关'!AL27/节奏总纲!AA25</f>
        <v>3568.0145137535842</v>
      </c>
      <c r="O25" s="11">
        <f>('[1]资源-士兵招募时间'!D27-'[1]资源-士兵招募时间'!D26)*'[1]功能-付费相关'!AH27/节奏总纲!W25</f>
        <v>3165.6324913972144</v>
      </c>
      <c r="P25" s="11">
        <f>('[1]资源-士兵招募时间'!E27-'[1]资源-士兵招募时间'!E26)*'[1]功能-付费相关'!AI27/节奏总纲!X25</f>
        <v>3688.0031044686903</v>
      </c>
      <c r="Q25" s="11">
        <f>('[1]资源-士兵招募时间'!F27-'[1]资源-士兵招募时间'!F26)*'[1]功能-付费相关'!AJ27/节奏总纲!Y25</f>
        <v>4260.874404437066</v>
      </c>
      <c r="R25" s="11">
        <f>('[1]资源-士兵招募时间'!G27-'[1]资源-士兵招募时间'!G26)*'[1]功能-付费相关'!AK27/节奏总纲!Z25</f>
        <v>5544.5094552053461</v>
      </c>
      <c r="S25" s="11">
        <f>('[1]资源-士兵招募时间'!H27-'[1]资源-士兵招募时间'!H26)*'[1]功能-付费相关'!AL27/节奏总纲!AA25</f>
        <v>6657.7372867052609</v>
      </c>
      <c r="U25" s="31">
        <f>('[1]资源-木石铜粮'!C27-'[1]资源-木石铜粮'!C26)*'[1]功能-付费相关'!S27/节奏总纲!W25</f>
        <v>3470.068804789747</v>
      </c>
      <c r="V25" s="31">
        <f>('[1]资源-木石铜粮'!D27-'[1]资源-木石铜粮'!D26)*'[1]功能-付费相关'!T27/节奏总纲!X25</f>
        <v>3820.2672664055513</v>
      </c>
      <c r="W25" s="31">
        <f>('[1]资源-木石铜粮'!E27-'[1]资源-木石铜粮'!E26)*'[1]功能-付费相关'!U27/节奏总纲!Y25</f>
        <v>4291.9434761117982</v>
      </c>
      <c r="X25" s="31">
        <f>('[1]资源-木石铜粮'!F27-'[1]资源-木石铜粮'!F26)*'[1]功能-付费相关'!V27/节奏总纲!Z25</f>
        <v>4748.6633062499805</v>
      </c>
      <c r="Y25" s="31">
        <f>('[1]资源-木石铜粮'!G27-'[1]资源-木石铜粮'!G26)*'[1]功能-付费相关'!W27/节奏总纲!AA25</f>
        <v>6672.153051043384</v>
      </c>
      <c r="AA25" s="11">
        <f>('[1]资源-铁'!C27-'[1]资源-铁'!C26)*'[1]功能-付费相关'!X27/节奏总纲!W25</f>
        <v>0</v>
      </c>
      <c r="AB25" s="11">
        <f>('[1]资源-铁'!D27-'[1]资源-铁'!D26)*'[1]功能-付费相关'!Y27/节奏总纲!X25</f>
        <v>0</v>
      </c>
      <c r="AC25" s="11">
        <f>('[1]资源-铁'!E27-'[1]资源-铁'!E26)*'[1]功能-付费相关'!Z27/节奏总纲!Y25</f>
        <v>0</v>
      </c>
      <c r="AD25" s="11">
        <f>('[1]资源-铁'!F27-'[1]资源-铁'!F26)*'[1]功能-付费相关'!AA27/节奏总纲!Z25</f>
        <v>0</v>
      </c>
      <c r="AE25" s="11">
        <f>('[1]资源-铁'!G27-'[1]资源-铁'!G26)*'[1]功能-付费相关'!AB27/节奏总纲!AA25</f>
        <v>0</v>
      </c>
      <c r="AG25" s="11">
        <f>('[1]资源-银币'!C27-'[1]资源-银币'!C26)*'[1]功能-付费相关'!AQ27/节奏总纲!W25</f>
        <v>3023.9953838084198</v>
      </c>
      <c r="AH25" s="11">
        <f>('[1]资源-银币'!D27-'[1]资源-银币'!D26)*'[1]功能-付费相关'!AR27/节奏总纲!X25</f>
        <v>3372.8194607391779</v>
      </c>
      <c r="AI25" s="11">
        <f>('[1]资源-银币'!E27-'[1]资源-银币'!E26)*'[1]功能-付费相关'!AS27/节奏总纲!Y25</f>
        <v>3867.0540022465616</v>
      </c>
      <c r="AJ25" s="11">
        <f>('[1]资源-银币'!F27-'[1]资源-银币'!F26)*'[1]功能-付费相关'!AT27/节奏总纲!Z25</f>
        <v>5709.9780921494166</v>
      </c>
      <c r="AK25" s="11">
        <f>('[1]资源-银币'!G27-'[1]资源-银币'!G26)*'[1]功能-付费相关'!AU27/节奏总纲!AA25</f>
        <v>6791.504133030724</v>
      </c>
      <c r="AM25" s="11" t="e">
        <f>(#REF!-#REF!)*'[1]功能-付费相关'!CA27/节奏总纲!W25</f>
        <v>#REF!</v>
      </c>
      <c r="AN25" s="11" t="e">
        <f>(#REF!-#REF!)*'[1]功能-付费相关'!CB27/节奏总纲!X25</f>
        <v>#REF!</v>
      </c>
      <c r="AO25" s="11" t="e">
        <f>(#REF!-#REF!)*'[1]功能-付费相关'!CC27/节奏总纲!Y25</f>
        <v>#REF!</v>
      </c>
      <c r="AP25" s="11" t="e">
        <f>(#REF!-#REF!)*'[1]功能-付费相关'!CD27/节奏总纲!Z25</f>
        <v>#REF!</v>
      </c>
      <c r="AQ25" s="11" t="e">
        <f>(#REF!-#REF!)*'[1]功能-付费相关'!CE27/节奏总纲!AA25</f>
        <v>#REF!</v>
      </c>
      <c r="AS25" s="11">
        <f>('[1]资源-装备经验'!C27-'[1]资源-装备经验'!C26)*'[1]功能-付费相关'!BI27/节奏总纲!W25</f>
        <v>1413.5744189212123</v>
      </c>
      <c r="AT25" s="11">
        <f>('[1]资源-装备经验'!D27-'[1]资源-装备经验'!D26)*'[1]功能-付费相关'!BJ27/节奏总纲!X25</f>
        <v>2154.4598427784936</v>
      </c>
      <c r="AU25" s="11">
        <f>('[1]资源-装备经验'!E27-'[1]资源-装备经验'!E26)*'[1]功能-付费相关'!BK27/节奏总纲!Y25</f>
        <v>3062.3059006293674</v>
      </c>
      <c r="AV25" s="11">
        <f>('[1]资源-装备经验'!F27-'[1]资源-装备经验'!F26)*'[1]功能-付费相关'!BL27/节奏总纲!Z25</f>
        <v>3476.4850266158901</v>
      </c>
      <c r="AW25" s="11">
        <f>('[1]资源-装备经验'!G27-'[1]资源-装备经验'!G26)*'[1]功能-付费相关'!BM27/节奏总纲!AA25</f>
        <v>2730.29417092215</v>
      </c>
      <c r="AY25" s="11">
        <f>('[1]资源-武将经验'!C27*节奏总纲!BJ25-'[1]资源-武将经验'!C26*节奏总纲!BJ24)*'[1]功能-付费相关'!AZ27/节奏总纲!W25</f>
        <v>5928.6810052600767</v>
      </c>
      <c r="AZ25" s="11">
        <f>('[1]资源-武将经验'!D27*节奏总纲!BK25-'[1]资源-武将经验'!D26*节奏总纲!BK24)*'[1]功能-付费相关'!BA27/节奏总纲!X25</f>
        <v>7175.2435019557397</v>
      </c>
      <c r="BA25" s="11">
        <f>('[1]资源-武将经验'!E27*节奏总纲!BL25-'[1]资源-武将经验'!E26*节奏总纲!BL24)*'[1]功能-付费相关'!BB27/节奏总纲!Y25</f>
        <v>9005.3725218952659</v>
      </c>
      <c r="BB25" s="11">
        <f>('[1]资源-武将经验'!F27*节奏总纲!BM25-'[1]资源-武将经验'!F26*节奏总纲!BM24)*'[1]功能-付费相关'!BC27/节奏总纲!Z25</f>
        <v>20709.70840587085</v>
      </c>
      <c r="BC25" s="11">
        <f>('[1]资源-武将经验'!G27*节奏总纲!BN25-'[1]资源-武将经验'!G26*节奏总纲!BN24)*'[1]功能-付费相关'!BD27/节奏总纲!AA25</f>
        <v>32996.299026572269</v>
      </c>
      <c r="BD25" s="33"/>
      <c r="BE25" s="30" t="e">
        <f t="shared" si="4"/>
        <v>#REF!</v>
      </c>
      <c r="BF25" s="30" t="e">
        <f t="shared" si="0"/>
        <v>#REF!</v>
      </c>
      <c r="BG25" s="30" t="e">
        <f t="shared" si="1"/>
        <v>#REF!</v>
      </c>
      <c r="BH25" s="30" t="e">
        <f t="shared" si="2"/>
        <v>#REF!</v>
      </c>
      <c r="BI25" s="30" t="e">
        <f t="shared" si="3"/>
        <v>#REF!</v>
      </c>
    </row>
    <row r="26" spans="2:61" x14ac:dyDescent="0.15">
      <c r="B26" s="31">
        <v>23</v>
      </c>
      <c r="C26" s="11">
        <f>('[1]资源-玩家城池建筑时间'!D28-'[1]资源-玩家城池建筑时间'!D27)*'[1]功能-付费相关'!AH28/节奏总纲!W26</f>
        <v>5651.9139613951038</v>
      </c>
      <c r="D26" s="11">
        <f>('[1]资源-玩家城池建筑时间'!E28-'[1]资源-玩家城池建筑时间'!E27)*'[1]功能-付费相关'!AI28/节奏总纲!X26</f>
        <v>6762.8851861314888</v>
      </c>
      <c r="E26" s="11">
        <f>('[1]资源-玩家城池建筑时间'!F28-'[1]资源-玩家城池建筑时间'!F27)*'[1]功能-付费相关'!AJ28/节奏总纲!Y26</f>
        <v>8467.744202802598</v>
      </c>
      <c r="F26" s="11">
        <f>('[1]资源-玩家城池建筑时间'!G28-'[1]资源-玩家城池建筑时间'!G27)*'[1]功能-付费相关'!AK28/节奏总纲!Z26</f>
        <v>11592.527523447998</v>
      </c>
      <c r="G26" s="11">
        <f>('[1]资源-玩家城池建筑时间'!H28-'[1]资源-玩家城池建筑时间'!H27)*'[1]功能-付费相关'!AL28/节奏总纲!AA26</f>
        <v>16957.540407669738</v>
      </c>
      <c r="I26" s="31">
        <f>('[1]资源-士兵训练时间'!C28-'[1]资源-士兵训练时间'!C27)*'[1]功能-付费相关'!AH28/节奏总纲!W26</f>
        <v>2155.1962236641966</v>
      </c>
      <c r="J26" s="31">
        <f>('[1]资源-士兵训练时间'!D28-'[1]资源-士兵训练时间'!D27)*'[1]功能-付费相关'!AI28/节奏总纲!X26</f>
        <v>2220.7375620319458</v>
      </c>
      <c r="K26" s="31">
        <f>('[1]资源-士兵训练时间'!E28-'[1]资源-士兵训练时间'!E27)*'[1]功能-付费相关'!AJ28/节奏总纲!Y26</f>
        <v>2397.4834304230058</v>
      </c>
      <c r="L26" s="31">
        <f>('[1]资源-士兵训练时间'!F28-'[1]资源-士兵训练时间'!F27)*'[1]功能-付费相关'!AK28/节奏总纲!Z26</f>
        <v>2628.016841736287</v>
      </c>
      <c r="M26" s="31">
        <f>('[1]资源-士兵训练时间'!G28-'[1]资源-士兵训练时间'!G27)*'[1]功能-付费相关'!AL28/节奏总纲!AA26</f>
        <v>3585.5443483724612</v>
      </c>
      <c r="O26" s="11">
        <f>('[1]资源-士兵招募时间'!D28-'[1]资源-士兵招募时间'!D27)*'[1]功能-付费相关'!AH28/节奏总纲!W26</f>
        <v>3132.5778497765159</v>
      </c>
      <c r="P26" s="11">
        <f>('[1]资源-士兵招募时间'!E28-'[1]资源-士兵招募时间'!E27)*'[1]功能-付费相关'!AI28/节奏总纲!X26</f>
        <v>3615.601386391822</v>
      </c>
      <c r="Q26" s="11">
        <f>('[1]资源-士兵招募时间'!F28-'[1]资源-士兵招募时间'!F27)*'[1]功能-付费相关'!AJ28/节奏总纲!Y26</f>
        <v>4152.8677895251976</v>
      </c>
      <c r="R26" s="11">
        <f>('[1]资源-士兵招募时间'!G28-'[1]资源-士兵招募时间'!G27)*'[1]功能-付费相关'!AK28/节奏总纲!Z26</f>
        <v>4993.4103313587466</v>
      </c>
      <c r="S26" s="11">
        <f>('[1]资源-士兵招募时间'!H28-'[1]资源-士兵招募时间'!H27)*'[1]功能-付费相关'!AL28/节奏总纲!AA26</f>
        <v>6753.2175636751108</v>
      </c>
      <c r="U26" s="31">
        <f>('[1]资源-木石铜粮'!C28-'[1]资源-木石铜粮'!C27)*'[1]功能-付费相关'!S28/节奏总纲!W26</f>
        <v>3244.3246782740566</v>
      </c>
      <c r="V26" s="31">
        <f>('[1]资源-木石铜粮'!D28-'[1]资源-木石铜粮'!D27)*'[1]功能-付费相关'!T28/节奏总纲!X26</f>
        <v>3555.2184509053741</v>
      </c>
      <c r="W26" s="31">
        <f>('[1]资源-木石铜粮'!E28-'[1]资源-木石铜粮'!E27)*'[1]功能-付费相关'!U28/节奏总纲!Y26</f>
        <v>4106.4650363363735</v>
      </c>
      <c r="X26" s="31">
        <f>('[1]资源-木石铜粮'!F28-'[1]资源-木石铜粮'!F27)*'[1]功能-付费相关'!V28/节奏总纲!Z26</f>
        <v>4812.6683483945862</v>
      </c>
      <c r="Y26" s="31">
        <f>('[1]资源-木石铜粮'!G28-'[1]资源-木石铜粮'!G27)*'[1]功能-付费相关'!W28/节奏总纲!AA26</f>
        <v>6216.4333065390338</v>
      </c>
      <c r="AA26" s="11">
        <f>('[1]资源-铁'!C28-'[1]资源-铁'!C27)*'[1]功能-付费相关'!X28/节奏总纲!W26</f>
        <v>0</v>
      </c>
      <c r="AB26" s="11">
        <f>('[1]资源-铁'!D28-'[1]资源-铁'!D27)*'[1]功能-付费相关'!Y28/节奏总纲!X26</f>
        <v>0</v>
      </c>
      <c r="AC26" s="11">
        <f>('[1]资源-铁'!E28-'[1]资源-铁'!E27)*'[1]功能-付费相关'!Z28/节奏总纲!Y26</f>
        <v>0</v>
      </c>
      <c r="AD26" s="11">
        <f>('[1]资源-铁'!F28-'[1]资源-铁'!F27)*'[1]功能-付费相关'!AA28/节奏总纲!Z26</f>
        <v>0</v>
      </c>
      <c r="AE26" s="11">
        <f>('[1]资源-铁'!G28-'[1]资源-铁'!G27)*'[1]功能-付费相关'!AB28/节奏总纲!AA26</f>
        <v>0</v>
      </c>
      <c r="AG26" s="11">
        <f>('[1]资源-银币'!C28-'[1]资源-银币'!C27)*'[1]功能-付费相关'!AQ28/节奏总纲!W26</f>
        <v>2818.5073154761085</v>
      </c>
      <c r="AH26" s="11">
        <f>('[1]资源-银币'!D28-'[1]资源-银币'!D27)*'[1]功能-付费相关'!AR28/节奏总纲!X26</f>
        <v>3114.858151435109</v>
      </c>
      <c r="AI26" s="11">
        <f>('[1]资源-银币'!E28-'[1]资源-银币'!E27)*'[1]功能-付费相关'!AS28/节奏总纲!Y26</f>
        <v>3635.1080604594972</v>
      </c>
      <c r="AJ26" s="11">
        <f>('[1]资源-银币'!F28-'[1]资源-银币'!F27)*'[1]功能-付费相关'!AT28/节奏总纲!Z26</f>
        <v>4537.2736279872361</v>
      </c>
      <c r="AK26" s="11">
        <f>('[1]资源-银币'!G28-'[1]资源-银币'!G27)*'[1]功能-付费相关'!AU28/节奏总纲!AA26</f>
        <v>7243.1055725589786</v>
      </c>
      <c r="AM26" s="11" t="e">
        <f>(#REF!-#REF!)*'[1]功能-付费相关'!CA28/节奏总纲!W26</f>
        <v>#REF!</v>
      </c>
      <c r="AN26" s="11" t="e">
        <f>(#REF!-#REF!)*'[1]功能-付费相关'!CB28/节奏总纲!X26</f>
        <v>#REF!</v>
      </c>
      <c r="AO26" s="11" t="e">
        <f>(#REF!-#REF!)*'[1]功能-付费相关'!CC28/节奏总纲!Y26</f>
        <v>#REF!</v>
      </c>
      <c r="AP26" s="11" t="e">
        <f>(#REF!-#REF!)*'[1]功能-付费相关'!CD28/节奏总纲!Z26</f>
        <v>#REF!</v>
      </c>
      <c r="AQ26" s="11" t="e">
        <f>(#REF!-#REF!)*'[1]功能-付费相关'!CE28/节奏总纲!AA26</f>
        <v>#REF!</v>
      </c>
      <c r="AS26" s="11">
        <f>('[1]资源-装备经验'!C28-'[1]资源-装备经验'!C27)*'[1]功能-付费相关'!BI28/节奏总纲!W26</f>
        <v>1344.6196498454765</v>
      </c>
      <c r="AT26" s="11">
        <f>('[1]资源-装备经验'!D28-'[1]资源-装备经验'!D27)*'[1]功能-付费相关'!BJ28/节奏总纲!X26</f>
        <v>2004.2906829703911</v>
      </c>
      <c r="AU26" s="11">
        <f>('[1]资源-装备经验'!E28-'[1]资源-装备经验'!E27)*'[1]功能-付费相关'!BK28/节奏总纲!Y26</f>
        <v>2736.4965782927316</v>
      </c>
      <c r="AV26" s="11">
        <f>('[1]资源-装备经验'!F28-'[1]资源-装备经验'!F27)*'[1]功能-付费相关'!BL28/节奏总纲!Z26</f>
        <v>2912.9259323599017</v>
      </c>
      <c r="AW26" s="11">
        <f>('[1]资源-装备经验'!G28-'[1]资源-装备经验'!G27)*'[1]功能-付费相关'!BM28/节奏总纲!AA26</f>
        <v>2610.8931676351667</v>
      </c>
      <c r="AY26" s="11">
        <f>('[1]资源-武将经验'!C28*节奏总纲!BJ26-'[1]资源-武将经验'!C27*节奏总纲!BJ25)*'[1]功能-付费相关'!AZ28/节奏总纲!W26</f>
        <v>5852.8691431827128</v>
      </c>
      <c r="AZ26" s="11">
        <f>('[1]资源-武将经验'!D28*节奏总纲!BK26-'[1]资源-武将经验'!D27*节奏总纲!BK25)*'[1]功能-付费相关'!BA28/节奏总纲!X26</f>
        <v>7254.6280638940152</v>
      </c>
      <c r="BA26" s="11">
        <f>('[1]资源-武将经验'!E28*节奏总纲!BL26-'[1]资源-武将经验'!E27*节奏总纲!BL25)*'[1]功能-付费相关'!BB28/节奏总纲!Y26</f>
        <v>9235.2515415787529</v>
      </c>
      <c r="BB26" s="11">
        <f>('[1]资源-武将经验'!F28*节奏总纲!BM26-'[1]资源-武将经验'!F27*节奏总纲!BM25)*'[1]功能-付费相关'!BC28/节奏总纲!Z26</f>
        <v>20224.4503045565</v>
      </c>
      <c r="BC26" s="11">
        <f>('[1]资源-武将经验'!G28*节奏总纲!BN26-'[1]资源-武将经验'!G27*节奏总纲!BN25)*'[1]功能-付费相关'!BD28/节奏总纲!AA26</f>
        <v>38394.389053998253</v>
      </c>
      <c r="BD26" s="33"/>
      <c r="BE26" s="30" t="e">
        <f t="shared" si="4"/>
        <v>#REF!</v>
      </c>
      <c r="BF26" s="30" t="e">
        <f t="shared" si="0"/>
        <v>#REF!</v>
      </c>
      <c r="BG26" s="30" t="e">
        <f t="shared" si="1"/>
        <v>#REF!</v>
      </c>
      <c r="BH26" s="30" t="e">
        <f t="shared" si="2"/>
        <v>#REF!</v>
      </c>
      <c r="BI26" s="30" t="e">
        <f t="shared" si="3"/>
        <v>#REF!</v>
      </c>
    </row>
    <row r="27" spans="2:61" x14ac:dyDescent="0.15">
      <c r="B27" s="31">
        <v>24</v>
      </c>
      <c r="C27" s="11">
        <f>('[1]资源-玩家城池建筑时间'!D29-'[1]资源-玩家城池建筑时间'!D28)*'[1]功能-付费相关'!AH29/节奏总纲!W27</f>
        <v>5423.0909124118316</v>
      </c>
      <c r="D27" s="11">
        <f>('[1]资源-玩家城池建筑时间'!E29-'[1]资源-玩家城池建筑时间'!E28)*'[1]功能-付费相关'!AI29/节奏总纲!X27</f>
        <v>6671.8719653925536</v>
      </c>
      <c r="E27" s="11">
        <f>('[1]资源-玩家城池建筑时间'!F29-'[1]资源-玩家城池建筑时间'!F28)*'[1]功能-付费相关'!AJ29/节奏总纲!Y27</f>
        <v>8113.9345187884292</v>
      </c>
      <c r="F27" s="11">
        <f>('[1]资源-玩家城池建筑时间'!G29-'[1]资源-玩家城池建筑时间'!G28)*'[1]功能-付费相关'!AK29/节奏总纲!Z27</f>
        <v>11038.63508133</v>
      </c>
      <c r="G27" s="11">
        <f>('[1]资源-玩家城池建筑时间'!H29-'[1]资源-玩家城池建筑时间'!H28)*'[1]功能-付费相关'!AL29/节奏总纲!AA27</f>
        <v>14473.054203110143</v>
      </c>
      <c r="I27" s="31">
        <f>('[1]资源-士兵训练时间'!C29-'[1]资源-士兵训练时间'!C28)*'[1]功能-付费相关'!AH29/节奏总纲!W27</f>
        <v>2082.033280332877</v>
      </c>
      <c r="J27" s="31">
        <f>('[1]资源-士兵训练时间'!D29-'[1]资源-士兵训练时间'!D28)*'[1]功能-付费相关'!AI29/节奏总纲!X27</f>
        <v>2169.693652751735</v>
      </c>
      <c r="K27" s="31">
        <f>('[1]资源-士兵训练时间'!E29-'[1]资源-士兵训练时间'!E28)*'[1]功能-付费相关'!AJ29/节奏总纲!Y27</f>
        <v>2265.8274980140473</v>
      </c>
      <c r="L27" s="31">
        <f>('[1]资源-士兵训练时间'!F29-'[1]资源-士兵训练时间'!F28)*'[1]功能-付费相关'!AK29/节奏总纲!Z27</f>
        <v>2557.6271241855511</v>
      </c>
      <c r="M27" s="31">
        <f>('[1]资源-士兵训练时间'!G29-'[1]资源-士兵训练时间'!G28)*'[1]功能-付费相关'!AL29/节奏总纲!AA27</f>
        <v>3187.4440068646218</v>
      </c>
      <c r="O27" s="11">
        <f>('[1]资源-士兵招募时间'!D29-'[1]资源-士兵招募时间'!D28)*'[1]功能-付费相关'!AH29/节奏总纲!W27</f>
        <v>3100.5504506915636</v>
      </c>
      <c r="P27" s="11">
        <f>('[1]资源-士兵招募时间'!E29-'[1]资源-士兵招募时间'!E28)*'[1]功能-付费相关'!AI29/节奏总纲!X27</f>
        <v>3509.9906903848851</v>
      </c>
      <c r="Q27" s="11">
        <f>('[1]资源-士兵招募时间'!F29-'[1]资源-士兵招募时间'!F28)*'[1]功能-付费相关'!AJ29/节奏总纲!Y27</f>
        <v>3873.5139493139768</v>
      </c>
      <c r="R27" s="11">
        <f>('[1]资源-士兵招募时间'!G29-'[1]资源-士兵招募时间'!G28)*'[1]功能-付费相关'!AK29/节奏总纲!Z27</f>
        <v>4921.3396614235862</v>
      </c>
      <c r="S27" s="11">
        <f>('[1]资源-士兵招募时间'!H29-'[1]资源-士兵招募时间'!H28)*'[1]功能-付费相关'!AL29/节奏总纲!AA27</f>
        <v>6292.9175087378353</v>
      </c>
      <c r="U27" s="31">
        <f>('[1]资源-木石铜粮'!C29-'[1]资源-木石铜粮'!C28)*'[1]功能-付费相关'!S29/节奏总纲!W27</f>
        <v>3070.798363987476</v>
      </c>
      <c r="V27" s="31">
        <f>('[1]资源-木石铜粮'!D29-'[1]资源-木石铜粮'!D28)*'[1]功能-付费相关'!T29/节奏总纲!X27</f>
        <v>3450.4350071437048</v>
      </c>
      <c r="W27" s="31">
        <f>('[1]资源-木石铜粮'!E29-'[1]资源-木石铜粮'!E28)*'[1]功能-付费相关'!U29/节奏总纲!Y27</f>
        <v>4049.2413503825796</v>
      </c>
      <c r="X27" s="31">
        <f>('[1]资源-木石铜粮'!F29-'[1]资源-木石铜粮'!F28)*'[1]功能-付费相关'!V29/节奏总纲!Z27</f>
        <v>4531.4257795778003</v>
      </c>
      <c r="Y27" s="31">
        <f>('[1]资源-木石铜粮'!G29-'[1]资源-木石铜粮'!G28)*'[1]功能-付费相关'!W29/节奏总纲!AA27</f>
        <v>5687.3415991909624</v>
      </c>
      <c r="AA27" s="11">
        <f>('[1]资源-铁'!C29-'[1]资源-铁'!C28)*'[1]功能-付费相关'!X29/节奏总纲!W27</f>
        <v>0</v>
      </c>
      <c r="AB27" s="11">
        <f>('[1]资源-铁'!D29-'[1]资源-铁'!D28)*'[1]功能-付费相关'!Y29/节奏总纲!X27</f>
        <v>0</v>
      </c>
      <c r="AC27" s="11">
        <f>('[1]资源-铁'!E29-'[1]资源-铁'!E28)*'[1]功能-付费相关'!Z29/节奏总纲!Y27</f>
        <v>0</v>
      </c>
      <c r="AD27" s="11">
        <f>('[1]资源-铁'!F29-'[1]资源-铁'!F28)*'[1]功能-付费相关'!AA29/节奏总纲!Z27</f>
        <v>0</v>
      </c>
      <c r="AE27" s="11">
        <f>('[1]资源-铁'!G29-'[1]资源-铁'!G28)*'[1]功能-付费相关'!AB29/节奏总纲!AA27</f>
        <v>0</v>
      </c>
      <c r="AG27" s="11">
        <f>('[1]资源-银币'!C29-'[1]资源-银币'!C28)*'[1]功能-付费相关'!AQ29/节奏总纲!W27</f>
        <v>2679.5198383581328</v>
      </c>
      <c r="AH27" s="11">
        <f>('[1]资源-银币'!D29-'[1]资源-银币'!D28)*'[1]功能-付费相关'!AR29/节奏总纲!X27</f>
        <v>2917.2427353883031</v>
      </c>
      <c r="AI27" s="11">
        <f>('[1]资源-银币'!E29-'[1]资源-银币'!E28)*'[1]功能-付费相关'!AS29/节奏总纲!Y27</f>
        <v>3145.6191721964287</v>
      </c>
      <c r="AJ27" s="11">
        <f>('[1]资源-银币'!F29-'[1]资源-银币'!F28)*'[1]功能-付费相关'!AT29/节奏总纲!Z27</f>
        <v>3880.6255248476914</v>
      </c>
      <c r="AK27" s="11">
        <f>('[1]资源-银币'!G29-'[1]资源-银币'!G28)*'[1]功能-付费相关'!AU29/节奏总纲!AA27</f>
        <v>6095.8151841501785</v>
      </c>
      <c r="AM27" s="11" t="e">
        <f>(#REF!-#REF!)*'[1]功能-付费相关'!CA29/节奏总纲!W27</f>
        <v>#REF!</v>
      </c>
      <c r="AN27" s="11" t="e">
        <f>(#REF!-#REF!)*'[1]功能-付费相关'!CB29/节奏总纲!X27</f>
        <v>#REF!</v>
      </c>
      <c r="AO27" s="11" t="e">
        <f>(#REF!-#REF!)*'[1]功能-付费相关'!CC29/节奏总纲!Y27</f>
        <v>#REF!</v>
      </c>
      <c r="AP27" s="11" t="e">
        <f>(#REF!-#REF!)*'[1]功能-付费相关'!CD29/节奏总纲!Z27</f>
        <v>#REF!</v>
      </c>
      <c r="AQ27" s="11" t="e">
        <f>(#REF!-#REF!)*'[1]功能-付费相关'!CE29/节奏总纲!AA27</f>
        <v>#REF!</v>
      </c>
      <c r="AS27" s="11">
        <f>('[1]资源-装备经验'!C29-'[1]资源-装备经验'!C28)*'[1]功能-付费相关'!BI29/节奏总纲!W27</f>
        <v>1277.3777174773466</v>
      </c>
      <c r="AT27" s="11">
        <f>('[1]资源-装备经验'!D29-'[1]资源-装备经验'!D28)*'[1]功能-付费相关'!BJ29/节奏总纲!X27</f>
        <v>1798.0108409310508</v>
      </c>
      <c r="AU27" s="11">
        <f>('[1]资源-装备经验'!E29-'[1]资源-装备经验'!E28)*'[1]功能-付费相关'!BK29/节奏总纲!Y27</f>
        <v>2322.9645577280839</v>
      </c>
      <c r="AV27" s="11">
        <f>('[1]资源-装备经验'!F29-'[1]资源-装备经验'!F28)*'[1]功能-付费相关'!BL29/节奏总纲!Z27</f>
        <v>2687.9020404048133</v>
      </c>
      <c r="AW27" s="11">
        <f>('[1]资源-装备经验'!G29-'[1]资源-装备经验'!G28)*'[1]功能-付费相关'!BM29/节奏总纲!AA27</f>
        <v>2419.4935707601749</v>
      </c>
      <c r="AY27" s="11">
        <f>('[1]资源-武将经验'!C29*节奏总纲!BJ27-'[1]资源-武将经验'!C28*节奏总纲!BJ26)*'[1]功能-付费相关'!AZ29/节奏总纲!W27</f>
        <v>6615.2486855543139</v>
      </c>
      <c r="AZ27" s="11">
        <f>('[1]资源-武将经验'!D29*节奏总纲!BK27-'[1]资源-武将经验'!D28*节奏总纲!BK26)*'[1]功能-付费相关'!BA29/节奏总纲!X27</f>
        <v>7559.8350162860734</v>
      </c>
      <c r="BA27" s="11">
        <f>('[1]资源-武将经验'!E29*节奏总纲!BL27-'[1]资源-武将经验'!E28*节奏总纲!BL26)*'[1]功能-付费相关'!BB29/节奏总纲!Y27</f>
        <v>8790.5958770574107</v>
      </c>
      <c r="BB27" s="11">
        <f>('[1]资源-武将经验'!F29*节奏总纲!BM27-'[1]资源-武将经验'!F28*节奏总纲!BM26)*'[1]功能-付费相关'!BC29/节奏总纲!Z27</f>
        <v>19969.929711357534</v>
      </c>
      <c r="BC27" s="11">
        <f>('[1]资源-武将经验'!G29*节奏总纲!BN27-'[1]资源-武将经验'!G28*节奏总纲!BN26)*'[1]功能-付费相关'!BD29/节奏总纲!AA27</f>
        <v>33226.858887940522</v>
      </c>
      <c r="BD27" s="33"/>
      <c r="BE27" s="30" t="e">
        <f t="shared" si="4"/>
        <v>#REF!</v>
      </c>
      <c r="BF27" s="30" t="e">
        <f t="shared" si="0"/>
        <v>#REF!</v>
      </c>
      <c r="BG27" s="30" t="e">
        <f t="shared" si="1"/>
        <v>#REF!</v>
      </c>
      <c r="BH27" s="30" t="e">
        <f t="shared" si="2"/>
        <v>#REF!</v>
      </c>
      <c r="BI27" s="30" t="e">
        <f t="shared" si="3"/>
        <v>#REF!</v>
      </c>
    </row>
    <row r="28" spans="2:61" x14ac:dyDescent="0.15">
      <c r="B28" s="31">
        <v>25</v>
      </c>
      <c r="C28" s="11">
        <f>('[1]资源-玩家城池建筑时间'!D30-'[1]资源-玩家城池建筑时间'!D29)*'[1]功能-付费相关'!AH30/节奏总纲!W28</f>
        <v>5520.2745846234329</v>
      </c>
      <c r="D28" s="11">
        <f>('[1]资源-玩家城池建筑时间'!E30-'[1]资源-玩家城池建筑时间'!E29)*'[1]功能-付费相关'!AI30/节奏总纲!X28</f>
        <v>6589.7725999507911</v>
      </c>
      <c r="E28" s="11">
        <f>('[1]资源-玩家城池建筑时间'!F30-'[1]资源-玩家城池建筑时间'!F29)*'[1]功能-付费相关'!AJ30/节奏总纲!Y28</f>
        <v>7897.1943018989059</v>
      </c>
      <c r="F28" s="11">
        <f>('[1]资源-玩家城池建筑时间'!G30-'[1]资源-玩家城池建筑时间'!G29)*'[1]功能-付费相关'!AK30/节奏总纲!Z28</f>
        <v>10712.263366932846</v>
      </c>
      <c r="G28" s="11">
        <f>('[1]资源-玩家城池建筑时间'!H30-'[1]资源-玩家城池建筑时间'!H29)*'[1]功能-付费相关'!AL30/节奏总纲!AA28</f>
        <v>15044.316151037487</v>
      </c>
      <c r="I28" s="31">
        <f>('[1]资源-士兵训练时间'!C30-'[1]资源-士兵训练时间'!C29)*'[1]功能-付费相关'!AH30/节奏总纲!W28</f>
        <v>2077.6611255150865</v>
      </c>
      <c r="J28" s="31">
        <f>('[1]资源-士兵训练时间'!D30-'[1]资源-士兵训练时间'!D29)*'[1]功能-付费相关'!AI30/节奏总纲!X28</f>
        <v>2122.6811252968755</v>
      </c>
      <c r="K28" s="31">
        <f>('[1]资源-士兵训练时间'!E30-'[1]资源-士兵训练时间'!E29)*'[1]功能-付费相关'!AJ30/节奏总纲!Y28</f>
        <v>2241.9035469690598</v>
      </c>
      <c r="L28" s="31">
        <f>('[1]资源-士兵训练时间'!F30-'[1]资源-士兵训练时间'!F29)*'[1]功能-付费相关'!AK30/节奏总纲!Z28</f>
        <v>2543.6685522970683</v>
      </c>
      <c r="M28" s="31">
        <f>('[1]资源-士兵训练时间'!G30-'[1]资源-士兵训练时间'!G29)*'[1]功能-付费相关'!AL30/节奏总纲!AA28</f>
        <v>3272.666273657876</v>
      </c>
      <c r="O28" s="11">
        <f>('[1]资源-士兵招募时间'!D30-'[1]资源-士兵招募时间'!D29)*'[1]功能-付费相关'!AH30/节奏总纲!W28</f>
        <v>3181.9803324114728</v>
      </c>
      <c r="P28" s="11">
        <f>('[1]资源-士兵招募时间'!E30-'[1]资源-士兵招募时间'!E29)*'[1]功能-付费相关'!AI30/节奏总纲!X28</f>
        <v>3505.983630861781</v>
      </c>
      <c r="Q28" s="11">
        <f>('[1]资源-士兵招募时间'!F30-'[1]资源-士兵招募时间'!F29)*'[1]功能-付费相关'!AJ30/节奏总纲!Y28</f>
        <v>4013.5766576356896</v>
      </c>
      <c r="R28" s="11">
        <f>('[1]资源-士兵招募时间'!G30-'[1]资源-士兵招募时间'!G29)*'[1]功能-付费相关'!AK30/节奏总纲!Z28</f>
        <v>5055.7004806766281</v>
      </c>
      <c r="S28" s="11">
        <f>('[1]资源-士兵招募时间'!H30-'[1]资源-士兵招募时间'!H29)*'[1]功能-付费相关'!AL30/节奏总纲!AA28</f>
        <v>6587.6020872966164</v>
      </c>
      <c r="U28" s="31">
        <f>('[1]资源-木石铜粮'!C30-'[1]资源-木石铜粮'!C29)*'[1]功能-付费相关'!S30/节奏总纲!W28</f>
        <v>3126.8298010205203</v>
      </c>
      <c r="V28" s="31">
        <f>('[1]资源-木石铜粮'!D30-'[1]资源-木石铜粮'!D29)*'[1]功能-付费相关'!T30/节奏总纲!X28</f>
        <v>3413.7302790741319</v>
      </c>
      <c r="W28" s="31">
        <f>('[1]资源-木石铜粮'!E30-'[1]资源-木石铜粮'!E29)*'[1]功能-付费相关'!U30/节奏总纲!Y28</f>
        <v>3889.6603823221817</v>
      </c>
      <c r="X28" s="31">
        <f>('[1]资源-木石铜粮'!F30-'[1]资源-木石铜粮'!F29)*'[1]功能-付费相关'!V30/节奏总纲!Z28</f>
        <v>4370.4037038589122</v>
      </c>
      <c r="Y28" s="31">
        <f>('[1]资源-木石铜粮'!G30-'[1]资源-木石铜粮'!G29)*'[1]功能-付费相关'!W30/节奏总纲!AA28</f>
        <v>5519.0384758351156</v>
      </c>
      <c r="AA28" s="11">
        <f>('[1]资源-铁'!C30-'[1]资源-铁'!C29)*'[1]功能-付费相关'!X30/节奏总纲!W28</f>
        <v>0</v>
      </c>
      <c r="AB28" s="11">
        <f>('[1]资源-铁'!D30-'[1]资源-铁'!D29)*'[1]功能-付费相关'!Y30/节奏总纲!X28</f>
        <v>0</v>
      </c>
      <c r="AC28" s="11">
        <f>('[1]资源-铁'!E30-'[1]资源-铁'!E29)*'[1]功能-付费相关'!Z30/节奏总纲!Y28</f>
        <v>0</v>
      </c>
      <c r="AD28" s="11">
        <f>('[1]资源-铁'!F30-'[1]资源-铁'!F29)*'[1]功能-付费相关'!AA30/节奏总纲!Z28</f>
        <v>0</v>
      </c>
      <c r="AE28" s="11">
        <f>('[1]资源-铁'!G30-'[1]资源-铁'!G29)*'[1]功能-付费相关'!AB30/节奏总纲!AA28</f>
        <v>0</v>
      </c>
      <c r="AG28" s="11">
        <f>('[1]资源-银币'!C30-'[1]资源-银币'!C29)*'[1]功能-付费相关'!AQ30/节奏总纲!W28</f>
        <v>2609.1810222449317</v>
      </c>
      <c r="AH28" s="11">
        <f>('[1]资源-银币'!D30-'[1]资源-银币'!D29)*'[1]功能-付费相关'!AR30/节奏总纲!X28</f>
        <v>2843.3375520764089</v>
      </c>
      <c r="AI28" s="11">
        <f>('[1]资源-银币'!E30-'[1]资源-银币'!E29)*'[1]功能-付费相关'!AS30/节奏总纲!Y28</f>
        <v>3166.8116210154521</v>
      </c>
      <c r="AJ28" s="11">
        <f>('[1]资源-银币'!F30-'[1]资源-银币'!F29)*'[1]功能-付费相关'!AT30/节奏总纲!Z28</f>
        <v>3832.2849090170639</v>
      </c>
      <c r="AK28" s="11">
        <f>('[1]资源-银币'!G30-'[1]资源-银币'!G29)*'[1]功能-付费相关'!AU30/节奏总纲!AA28</f>
        <v>6516.7775086944275</v>
      </c>
      <c r="AM28" s="11" t="e">
        <f>(#REF!-#REF!)*'[1]功能-付费相关'!CA30/节奏总纲!W28</f>
        <v>#REF!</v>
      </c>
      <c r="AN28" s="11" t="e">
        <f>(#REF!-#REF!)*'[1]功能-付费相关'!CB30/节奏总纲!X28</f>
        <v>#REF!</v>
      </c>
      <c r="AO28" s="11" t="e">
        <f>(#REF!-#REF!)*'[1]功能-付费相关'!CC30/节奏总纲!Y28</f>
        <v>#REF!</v>
      </c>
      <c r="AP28" s="11" t="e">
        <f>(#REF!-#REF!)*'[1]功能-付费相关'!CD30/节奏总纲!Z28</f>
        <v>#REF!</v>
      </c>
      <c r="AQ28" s="11" t="e">
        <f>(#REF!-#REF!)*'[1]功能-付费相关'!CE30/节奏总纲!AA28</f>
        <v>#REF!</v>
      </c>
      <c r="AS28" s="11">
        <f>('[1]资源-装备经验'!C30-'[1]资源-装备经验'!C29)*'[1]功能-付费相关'!BI30/节奏总纲!W28</f>
        <v>1217.1966902216459</v>
      </c>
      <c r="AT28" s="11">
        <f>('[1]资源-装备经验'!D30-'[1]资源-装备经验'!D29)*'[1]功能-付费相关'!BJ30/节奏总纲!X28</f>
        <v>1715.321499365265</v>
      </c>
      <c r="AU28" s="11">
        <f>('[1]资源-装备经验'!E30-'[1]资源-装备经验'!E29)*'[1]功能-付费相关'!BK30/节奏总纲!Y28</f>
        <v>2348.8640125458305</v>
      </c>
      <c r="AV28" s="11">
        <f>('[1]资源-装备经验'!F30-'[1]资源-装备经验'!F29)*'[1]功能-付费相关'!BL30/节奏总纲!Z28</f>
        <v>2659.0330644960509</v>
      </c>
      <c r="AW28" s="11">
        <f>('[1]资源-装备经验'!G30-'[1]资源-装备经验'!G29)*'[1]功能-付费相关'!BM30/节奏总纲!AA28</f>
        <v>2418.714527335088</v>
      </c>
      <c r="AY28" s="11">
        <f>('[1]资源-武将经验'!C30*节奏总纲!BJ28-'[1]资源-武将经验'!C29*节奏总纲!BJ27)*'[1]功能-付费相关'!AZ30/节奏总纲!W28</f>
        <v>6489.8700064508585</v>
      </c>
      <c r="AZ28" s="11">
        <f>('[1]资源-武将经验'!D30*节奏总纲!BK28-'[1]资源-武将经验'!D29*节奏总纲!BK27)*'[1]功能-付费相关'!BA30/节奏总纲!X28</f>
        <v>7387.4327473208496</v>
      </c>
      <c r="BA28" s="11">
        <f>('[1]资源-武将经验'!E30*节奏总纲!BL28-'[1]资源-武将经验'!E29*节奏总纲!BL27)*'[1]功能-付费相关'!BB30/节奏总纲!Y28</f>
        <v>9076.2551381926332</v>
      </c>
      <c r="BB28" s="11">
        <f>('[1]资源-武将经验'!F30*节奏总纲!BM28-'[1]资源-武将经验'!F29*节奏总纲!BM27)*'[1]功能-付费相关'!BC30/节奏总纲!Z28</f>
        <v>20174.512673334419</v>
      </c>
      <c r="BC28" s="11">
        <f>('[1]资源-武将经验'!G30*节奏总纲!BN28-'[1]资源-武将经验'!G29*节奏总纲!BN27)*'[1]功能-付费相关'!BD30/节奏总纲!AA28</f>
        <v>36146.977208592747</v>
      </c>
      <c r="BD28" s="33"/>
      <c r="BE28" s="30" t="e">
        <f t="shared" si="4"/>
        <v>#REF!</v>
      </c>
      <c r="BF28" s="30" t="e">
        <f t="shared" si="0"/>
        <v>#REF!</v>
      </c>
      <c r="BG28" s="30" t="e">
        <f t="shared" si="1"/>
        <v>#REF!</v>
      </c>
      <c r="BH28" s="30" t="e">
        <f t="shared" si="2"/>
        <v>#REF!</v>
      </c>
      <c r="BI28" s="30" t="e">
        <f t="shared" si="3"/>
        <v>#REF!</v>
      </c>
    </row>
    <row r="29" spans="2:61" x14ac:dyDescent="0.15">
      <c r="B29" s="31">
        <v>26</v>
      </c>
      <c r="C29" s="11">
        <f>('[1]资源-玩家城池建筑时间'!D31-'[1]资源-玩家城池建筑时间'!D30)*'[1]功能-付费相关'!AH31/节奏总纲!W29</f>
        <v>5316.3279964314388</v>
      </c>
      <c r="D29" s="11">
        <f>('[1]资源-玩家城池建筑时间'!E31-'[1]资源-玩家城池建筑时间'!E30)*'[1]功能-付费相关'!AI31/节奏总纲!X29</f>
        <v>6332.2426606885274</v>
      </c>
      <c r="E29" s="11">
        <f>('[1]资源-玩家城池建筑时间'!F31-'[1]资源-玩家城池建筑时间'!F30)*'[1]功能-付费相关'!AJ31/节奏总纲!Y29</f>
        <v>7845.1987837518645</v>
      </c>
      <c r="F29" s="11">
        <f>('[1]资源-玩家城池建筑时间'!G31-'[1]资源-玩家城池建筑时间'!G30)*'[1]功能-付费相关'!AK31/节奏总纲!Z29</f>
        <v>10664.604776542586</v>
      </c>
      <c r="G29" s="11">
        <f>('[1]资源-玩家城池建筑时间'!H31-'[1]资源-玩家城池建筑时间'!H30)*'[1]功能-付费相关'!AL31/节奏总纲!AA29</f>
        <v>14983.248650417449</v>
      </c>
      <c r="I29" s="31">
        <f>('[1]资源-士兵训练时间'!C31-'[1]资源-士兵训练时间'!C30)*'[1]功能-付费相关'!AH31/节奏总纲!W29</f>
        <v>2003.8979240410035</v>
      </c>
      <c r="J29" s="31">
        <f>('[1]资源-士兵训练时间'!D31-'[1]资源-士兵训练时间'!D30)*'[1]功能-付费相关'!AI31/节奏总纲!X29</f>
        <v>2064.8464909857398</v>
      </c>
      <c r="K29" s="31">
        <f>('[1]资源-士兵训练时间'!E31-'[1]资源-士兵训练时间'!E30)*'[1]功能-付费相关'!AJ31/节奏总纲!Y29</f>
        <v>2252.5712775258608</v>
      </c>
      <c r="L29" s="31">
        <f>('[1]资源-士兵训练时间'!F31-'[1]资源-士兵训练时间'!F30)*'[1]功能-付费相关'!AK31/节奏总纲!Z29</f>
        <v>2514.7427100462569</v>
      </c>
      <c r="M29" s="31">
        <f>('[1]资源-士兵训练时间'!G31-'[1]资源-士兵训练时间'!G30)*'[1]功能-付费相关'!AL31/节奏总纲!AA29</f>
        <v>3251.9823393887327</v>
      </c>
      <c r="O29" s="11">
        <f>('[1]资源-士兵招募时间'!D31-'[1]资源-士兵招募时间'!D30)*'[1]功能-付费相关'!AH31/节奏总纲!W29</f>
        <v>3140.3570604339689</v>
      </c>
      <c r="P29" s="11">
        <f>('[1]资源-士兵招募时间'!E31-'[1]资源-士兵招募时间'!E30)*'[1]功能-付费相关'!AI31/节奏总纲!X29</f>
        <v>3520.2832179603693</v>
      </c>
      <c r="Q29" s="11">
        <f>('[1]资源-士兵招募时间'!F31-'[1]资源-士兵招募时间'!F30)*'[1]功能-付费相关'!AJ31/节奏总纲!Y29</f>
        <v>4074.1940790028611</v>
      </c>
      <c r="R29" s="11">
        <f>('[1]资源-士兵招募时间'!G31-'[1]资源-士兵招募时间'!G30)*'[1]功能-付费相关'!AK31/节奏总纲!Z29</f>
        <v>5164.1970844106227</v>
      </c>
      <c r="S29" s="11">
        <f>('[1]资源-士兵招募时间'!H31-'[1]资源-士兵招募时间'!H30)*'[1]功能-付费相关'!AL31/节奏总纲!AA29</f>
        <v>6751.8517119455964</v>
      </c>
      <c r="U29" s="31">
        <f>('[1]资源-木石铜粮'!C31-'[1]资源-木石铜粮'!C30)*'[1]功能-付费相关'!S31/节奏总纲!W29</f>
        <v>3079.9897962952241</v>
      </c>
      <c r="V29" s="31">
        <f>('[1]资源-木石铜粮'!D31-'[1]资源-木石铜粮'!D30)*'[1]功能-付费相关'!T31/节奏总纲!X29</f>
        <v>3284.2617045884972</v>
      </c>
      <c r="W29" s="31">
        <f>('[1]资源-木石铜粮'!E31-'[1]资源-木石铜粮'!E30)*'[1]功能-付费相关'!U31/节奏总纲!Y29</f>
        <v>3690.3007334739391</v>
      </c>
      <c r="X29" s="31">
        <f>('[1]资源-木石铜粮'!F31-'[1]资源-木石铜粮'!F30)*'[1]功能-付费相关'!V31/节奏总纲!Z29</f>
        <v>4239.3962014311037</v>
      </c>
      <c r="Y29" s="31">
        <f>('[1]资源-木石铜粮'!G31-'[1]资源-木石铜粮'!G30)*'[1]功能-付费相关'!W31/节奏总纲!AA29</f>
        <v>5322.2282549358697</v>
      </c>
      <c r="AA29" s="11">
        <f>('[1]资源-铁'!C31-'[1]资源-铁'!C30)*'[1]功能-付费相关'!X31/节奏总纲!W29</f>
        <v>0</v>
      </c>
      <c r="AB29" s="11">
        <f>('[1]资源-铁'!D31-'[1]资源-铁'!D30)*'[1]功能-付费相关'!Y31/节奏总纲!X29</f>
        <v>0</v>
      </c>
      <c r="AC29" s="11">
        <f>('[1]资源-铁'!E31-'[1]资源-铁'!E30)*'[1]功能-付费相关'!Z31/节奏总纲!Y29</f>
        <v>0</v>
      </c>
      <c r="AD29" s="11">
        <f>('[1]资源-铁'!F31-'[1]资源-铁'!F30)*'[1]功能-付费相关'!AA31/节奏总纲!Z29</f>
        <v>0</v>
      </c>
      <c r="AE29" s="11">
        <f>('[1]资源-铁'!G31-'[1]资源-铁'!G30)*'[1]功能-付费相关'!AB31/节奏总纲!AA29</f>
        <v>0</v>
      </c>
      <c r="AG29" s="11">
        <f>('[1]资源-银币'!C31-'[1]资源-银币'!C30)*'[1]功能-付费相关'!AQ31/节奏总纲!W29</f>
        <v>2529.039455246113</v>
      </c>
      <c r="AH29" s="11">
        <f>('[1]资源-银币'!D31-'[1]资源-银币'!D30)*'[1]功能-付费相关'!AR31/节奏总纲!X29</f>
        <v>2744.2785458756225</v>
      </c>
      <c r="AI29" s="11">
        <f>('[1]资源-银币'!E31-'[1]资源-银币'!E30)*'[1]功能-付费相关'!AS31/节奏总纲!Y29</f>
        <v>3168.6058559475391</v>
      </c>
      <c r="AJ29" s="11">
        <f>('[1]资源-银币'!F31-'[1]资源-银币'!F30)*'[1]功能-付费相关'!AT31/节奏总纲!Z29</f>
        <v>3754.1945936667385</v>
      </c>
      <c r="AK29" s="11">
        <f>('[1]资源-银币'!G31-'[1]资源-银币'!G30)*'[1]功能-付费相关'!AU31/节奏总纲!AA29</f>
        <v>6538.6258387393655</v>
      </c>
      <c r="AM29" s="11" t="e">
        <f>(#REF!-#REF!)*'[1]功能-付费相关'!CA31/节奏总纲!W29</f>
        <v>#REF!</v>
      </c>
      <c r="AN29" s="11" t="e">
        <f>(#REF!-#REF!)*'[1]功能-付费相关'!CB31/节奏总纲!X29</f>
        <v>#REF!</v>
      </c>
      <c r="AO29" s="11" t="e">
        <f>(#REF!-#REF!)*'[1]功能-付费相关'!CC31/节奏总纲!Y29</f>
        <v>#REF!</v>
      </c>
      <c r="AP29" s="11" t="e">
        <f>(#REF!-#REF!)*'[1]功能-付费相关'!CD31/节奏总纲!Z29</f>
        <v>#REF!</v>
      </c>
      <c r="AQ29" s="11" t="e">
        <f>(#REF!-#REF!)*'[1]功能-付费相关'!CE31/节奏总纲!AA29</f>
        <v>#REF!</v>
      </c>
      <c r="AS29" s="11">
        <f>('[1]资源-装备经验'!C31-'[1]资源-装备经验'!C30)*'[1]功能-付费相关'!BI31/节奏总纲!W29</f>
        <v>1163.3104631076465</v>
      </c>
      <c r="AT29" s="11">
        <f>('[1]资源-装备经验'!D31-'[1]资源-装备经验'!D30)*'[1]功能-付费相关'!BJ31/节奏总纲!X29</f>
        <v>1666.8571052901696</v>
      </c>
      <c r="AU29" s="11">
        <f>('[1]资源-装备经验'!E31-'[1]资源-装备经验'!E30)*'[1]功能-付费相关'!BK31/节奏总纲!Y29</f>
        <v>2253.9718487690129</v>
      </c>
      <c r="AV29" s="11">
        <f>('[1]资源-装备经验'!F31-'[1]资源-装备经验'!F30)*'[1]功能-付费相关'!BL31/节奏总纲!Z29</f>
        <v>2626.5450083838014</v>
      </c>
      <c r="AW29" s="11">
        <f>('[1]资源-装备经验'!G31-'[1]资源-装备经验'!G30)*'[1]功能-付费相关'!BM31/节奏总纲!AA29</f>
        <v>2400.1659941567218</v>
      </c>
      <c r="AY29" s="11">
        <f>('[1]资源-武将经验'!C31*节奏总纲!BJ29-'[1]资源-武将经验'!C30*节奏总纲!BJ28)*'[1]功能-付费相关'!AZ31/节奏总纲!W29</f>
        <v>6308.5468992046453</v>
      </c>
      <c r="AZ29" s="11">
        <f>('[1]资源-武将经验'!D31*节奏总纲!BK29-'[1]资源-武将经验'!D30*节奏总纲!BK28)*'[1]功能-付费相关'!BA31/节奏总纲!X29</f>
        <v>7514.5974927493689</v>
      </c>
      <c r="BA29" s="11">
        <f>('[1]资源-武将经验'!E31*节奏总纲!BL29-'[1]资源-武将经验'!E30*节奏总纲!BL28)*'[1]功能-付费相关'!BB31/节奏总纲!Y29</f>
        <v>9461.279517193012</v>
      </c>
      <c r="BB29" s="11">
        <f>('[1]资源-武将经验'!F31*节奏总纲!BM29-'[1]资源-武将经验'!F30*节奏总纲!BM28)*'[1]功能-付费相关'!BC31/节奏总纲!Z29</f>
        <v>22322.159282167042</v>
      </c>
      <c r="BC29" s="11">
        <f>('[1]资源-武将经验'!G31*节奏总纲!BN29-'[1]资源-武将经验'!G30*节奏总纲!BN28)*'[1]功能-付费相关'!BD31/节奏总纲!AA29</f>
        <v>40310.443751148247</v>
      </c>
      <c r="BD29" s="33"/>
      <c r="BE29" s="30" t="e">
        <f t="shared" si="4"/>
        <v>#REF!</v>
      </c>
      <c r="BF29" s="30" t="e">
        <f t="shared" si="0"/>
        <v>#REF!</v>
      </c>
      <c r="BG29" s="30" t="e">
        <f t="shared" si="1"/>
        <v>#REF!</v>
      </c>
      <c r="BH29" s="30" t="e">
        <f t="shared" si="2"/>
        <v>#REF!</v>
      </c>
      <c r="BI29" s="30" t="e">
        <f t="shared" si="3"/>
        <v>#REF!</v>
      </c>
    </row>
    <row r="30" spans="2:61" x14ac:dyDescent="0.15">
      <c r="B30" s="31">
        <v>27</v>
      </c>
      <c r="C30" s="11">
        <f>('[1]资源-玩家城池建筑时间'!D32-'[1]资源-玩家城池建筑时间'!D31)*'[1]功能-付费相关'!AH32/节奏总纲!W30</f>
        <v>5134.1285896558147</v>
      </c>
      <c r="D30" s="11">
        <f>('[1]资源-玩家城池建筑时间'!E32-'[1]资源-玩家城池建筑时间'!E31)*'[1]功能-付费相关'!AI32/节奏总纲!X30</f>
        <v>6364.8848210680935</v>
      </c>
      <c r="E30" s="11">
        <f>('[1]资源-玩家城池建筑时间'!F32-'[1]资源-玩家城池建筑时间'!F31)*'[1]功能-付费相关'!AJ32/节奏总纲!Y30</f>
        <v>7715.5380426917363</v>
      </c>
      <c r="F30" s="11">
        <f>('[1]资源-玩家城池建筑时间'!G32-'[1]资源-玩家城池建筑时间'!G31)*'[1]功能-付费相关'!AK32/节奏总纲!Z30</f>
        <v>10646.687524552424</v>
      </c>
      <c r="G30" s="11">
        <f>('[1]资源-玩家城池建筑时间'!H32-'[1]资源-玩家城池建筑时间'!H31)*'[1]功能-付费相关'!AL32/节奏总纲!AA30</f>
        <v>13490.612039764334</v>
      </c>
      <c r="I30" s="31">
        <f>('[1]资源-士兵训练时间'!C32-'[1]资源-士兵训练时间'!C31)*'[1]功能-付费相关'!AH32/节奏总纲!W30</f>
        <v>1950.6495440961012</v>
      </c>
      <c r="J30" s="31">
        <f>('[1]资源-士兵训练时间'!D32-'[1]资源-士兵训练时间'!D31)*'[1]功能-付费相关'!AI32/节奏总纲!X30</f>
        <v>2076.9259478407234</v>
      </c>
      <c r="K30" s="31">
        <f>('[1]资源-士兵训练时间'!E32-'[1]资源-士兵训练时间'!E31)*'[1]功能-付费相关'!AJ32/节奏总纲!Y30</f>
        <v>2205.4414592601647</v>
      </c>
      <c r="L30" s="31">
        <f>('[1]资源-士兵训练时间'!F32-'[1]资源-士兵训练时间'!F31)*'[1]功能-付费相关'!AK32/节奏总纲!Z30</f>
        <v>2506.3205159037343</v>
      </c>
      <c r="M30" s="31">
        <f>('[1]资源-士兵训练时间'!G32-'[1]资源-士兵训练时间'!G31)*'[1]功能-付费相关'!AL32/节奏总纲!AA30</f>
        <v>3064.955625869587</v>
      </c>
      <c r="O30" s="11">
        <f>('[1]资源-士兵招募时间'!D32-'[1]资源-士兵招募时间'!D31)*'[1]功能-付费相关'!AH32/节奏总纲!W30</f>
        <v>3115.9348130327021</v>
      </c>
      <c r="P30" s="11">
        <f>('[1]资源-士兵招募时间'!E32-'[1]资源-士兵招募时间'!E31)*'[1]功能-付费相关'!AI32/节奏总纲!X30</f>
        <v>3625.1322265806366</v>
      </c>
      <c r="Q30" s="11">
        <f>('[1]资源-士兵招募时间'!F32-'[1]资源-士兵招募时间'!F31)*'[1]功能-付费相关'!AJ32/节奏总纲!Y30</f>
        <v>4090.772068558641</v>
      </c>
      <c r="R30" s="11">
        <f>('[1]资源-士兵招募时间'!G32-'[1]资源-士兵招募时间'!G31)*'[1]功能-付费相关'!AK32/节奏总纲!Z30</f>
        <v>5258.5533894364471</v>
      </c>
      <c r="S30" s="11">
        <f>('[1]资源-士兵招募时间'!H32-'[1]资源-士兵招募时间'!H31)*'[1]功能-付费相关'!AL32/节奏总纲!AA30</f>
        <v>6590.8021360435287</v>
      </c>
      <c r="U30" s="31">
        <f>('[1]资源-木石铜粮'!C32-'[1]资源-木石铜粮'!C31)*'[1]功能-付费相关'!S32/节奏总纲!W30</f>
        <v>2983.3823560171609</v>
      </c>
      <c r="V30" s="31">
        <f>('[1]资源-木石铜粮'!D32-'[1]资源-木石铜粮'!D31)*'[1]功能-付费相关'!T32/节奏总纲!X30</f>
        <v>3187.5035428587075</v>
      </c>
      <c r="W30" s="31">
        <f>('[1]资源-木石铜粮'!E32-'[1]资源-木石铜粮'!E31)*'[1]功能-付费相关'!U32/节奏总纲!Y30</f>
        <v>3532.3794067907229</v>
      </c>
      <c r="X30" s="31">
        <f>('[1]资源-木石铜粮'!F32-'[1]资源-木石铜粮'!F31)*'[1]功能-付费相关'!V32/节奏总纲!Z30</f>
        <v>4059.9339656343564</v>
      </c>
      <c r="Y30" s="31">
        <f>('[1]资源-木石铜粮'!G32-'[1]资源-木石铜粮'!G31)*'[1]功能-付费相关'!W32/节奏总纲!AA30</f>
        <v>5159.3638669623624</v>
      </c>
      <c r="AA30" s="11">
        <f>('[1]资源-铁'!C32-'[1]资源-铁'!C31)*'[1]功能-付费相关'!X32/节奏总纲!W30</f>
        <v>0</v>
      </c>
      <c r="AB30" s="11">
        <f>('[1]资源-铁'!D32-'[1]资源-铁'!D31)*'[1]功能-付费相关'!Y32/节奏总纲!X30</f>
        <v>0</v>
      </c>
      <c r="AC30" s="11">
        <f>('[1]资源-铁'!E32-'[1]资源-铁'!E31)*'[1]功能-付费相关'!Z32/节奏总纲!Y30</f>
        <v>0</v>
      </c>
      <c r="AD30" s="11">
        <f>('[1]资源-铁'!F32-'[1]资源-铁'!F31)*'[1]功能-付费相关'!AA32/节奏总纲!Z30</f>
        <v>0</v>
      </c>
      <c r="AE30" s="11">
        <f>('[1]资源-铁'!G32-'[1]资源-铁'!G31)*'[1]功能-付费相关'!AB32/节奏总纲!AA30</f>
        <v>0</v>
      </c>
      <c r="AG30" s="11">
        <f>('[1]资源-银币'!C32-'[1]资源-银币'!C31)*'[1]功能-付费相关'!AQ32/节奏总纲!W30</f>
        <v>2418.0262033024565</v>
      </c>
      <c r="AH30" s="11">
        <f>('[1]资源-银币'!D32-'[1]资源-银币'!D31)*'[1]功能-付费相关'!AR32/节奏总纲!X30</f>
        <v>2760.7364250020428</v>
      </c>
      <c r="AI30" s="11">
        <f>('[1]资源-银币'!E32-'[1]资源-银币'!E31)*'[1]功能-付费相关'!AS32/节奏总纲!Y30</f>
        <v>3053.9041385892237</v>
      </c>
      <c r="AJ30" s="11">
        <f>('[1]资源-银币'!F32-'[1]资源-银币'!F31)*'[1]功能-付费相关'!AT32/节奏总纲!Z30</f>
        <v>3946.3018637614368</v>
      </c>
      <c r="AK30" s="11">
        <f>('[1]资源-银币'!G32-'[1]资源-银币'!G31)*'[1]功能-付费相关'!AU32/节奏总纲!AA30</f>
        <v>5859.2857491212244</v>
      </c>
      <c r="AM30" s="11" t="e">
        <f>(#REF!-#REF!)*'[1]功能-付费相关'!CA32/节奏总纲!W30</f>
        <v>#REF!</v>
      </c>
      <c r="AN30" s="11" t="e">
        <f>(#REF!-#REF!)*'[1]功能-付费相关'!CB32/节奏总纲!X30</f>
        <v>#REF!</v>
      </c>
      <c r="AO30" s="11" t="e">
        <f>(#REF!-#REF!)*'[1]功能-付费相关'!CC32/节奏总纲!Y30</f>
        <v>#REF!</v>
      </c>
      <c r="AP30" s="11" t="e">
        <f>(#REF!-#REF!)*'[1]功能-付费相关'!CD32/节奏总纲!Z30</f>
        <v>#REF!</v>
      </c>
      <c r="AQ30" s="11" t="e">
        <f>(#REF!-#REF!)*'[1]功能-付费相关'!CE32/节奏总纲!AA30</f>
        <v>#REF!</v>
      </c>
      <c r="AS30" s="11">
        <f>('[1]资源-装备经验'!C32-'[1]资源-装备经验'!C31)*'[1]功能-付费相关'!BI32/节奏总纲!W30</f>
        <v>1115.0372988022436</v>
      </c>
      <c r="AT30" s="11">
        <f>('[1]资源-装备经验'!D32-'[1]资源-装备经验'!D31)*'[1]功能-付费相关'!BJ32/节奏总纲!X30</f>
        <v>1606.5529856129735</v>
      </c>
      <c r="AU30" s="11">
        <f>('[1]资源-装备经验'!E32-'[1]资源-装备经验'!E31)*'[1]功能-付费相关'!BK32/节奏总纲!Y30</f>
        <v>2188.9834961964907</v>
      </c>
      <c r="AV30" s="11">
        <f>('[1]资源-装备经验'!F32-'[1]资源-装备经验'!F31)*'[1]功能-付费相关'!BL32/节奏总纲!Z30</f>
        <v>2571.1589358320612</v>
      </c>
      <c r="AW30" s="11">
        <f>('[1]资源-装备经验'!G32-'[1]资源-装备经验'!G31)*'[1]功能-付费相关'!BM32/节奏总纲!AA30</f>
        <v>2330.0471934169909</v>
      </c>
      <c r="AY30" s="11">
        <f>('[1]资源-武将经验'!C32*节奏总纲!BJ30-'[1]资源-武将经验'!C31*节奏总纲!BJ29)*'[1]功能-付费相关'!AZ32/节奏总纲!W30</f>
        <v>6686.5094606725852</v>
      </c>
      <c r="AZ30" s="11">
        <f>('[1]资源-武将经验'!D32*节奏总纲!BK30-'[1]资源-武将经验'!D31*节奏总纲!BK29)*'[1]功能-付费相关'!BA32/节奏总纲!X30</f>
        <v>7876.9217735239936</v>
      </c>
      <c r="BA30" s="11">
        <f>('[1]资源-武将经验'!E32*节奏总纲!BL30-'[1]资源-武将经验'!E31*节奏总纲!BL29)*'[1]功能-付费相关'!BB32/节奏总纲!Y30</f>
        <v>9629.3962691433971</v>
      </c>
      <c r="BB30" s="11">
        <f>('[1]资源-武将经验'!F32*节奏总纲!BM30-'[1]资源-武将经验'!F31*节奏总纲!BM29)*'[1]功能-付费相关'!BC32/节奏总纲!Z30</f>
        <v>22462.638136419991</v>
      </c>
      <c r="BC30" s="11">
        <f>('[1]资源-武将经验'!G32*节奏总纲!BN30-'[1]资源-武将经验'!G31*节奏总纲!BN29)*'[1]功能-付费相关'!BD32/节奏总纲!AA30</f>
        <v>36990.714137733994</v>
      </c>
      <c r="BD30" s="33"/>
      <c r="BE30" s="30" t="e">
        <f t="shared" si="4"/>
        <v>#REF!</v>
      </c>
      <c r="BF30" s="30" t="e">
        <f t="shared" si="0"/>
        <v>#REF!</v>
      </c>
      <c r="BG30" s="30" t="e">
        <f t="shared" si="1"/>
        <v>#REF!</v>
      </c>
      <c r="BH30" s="30" t="e">
        <f t="shared" si="2"/>
        <v>#REF!</v>
      </c>
      <c r="BI30" s="30" t="e">
        <f t="shared" si="3"/>
        <v>#REF!</v>
      </c>
    </row>
    <row r="31" spans="2:61" x14ac:dyDescent="0.15">
      <c r="B31" s="31">
        <v>28</v>
      </c>
      <c r="C31" s="11">
        <f>('[1]资源-玩家城池建筑时间'!D33-'[1]资源-玩家城池建筑时间'!D32)*'[1]功能-付费相关'!AH33/节奏总纲!W31</f>
        <v>5165.1944706184177</v>
      </c>
      <c r="D31" s="11">
        <f>('[1]资源-玩家城池建筑时间'!E33-'[1]资源-玩家城池建筑时间'!E32)*'[1]功能-付费相关'!AI33/节奏总纲!X31</f>
        <v>6244.1715324952047</v>
      </c>
      <c r="E31" s="11">
        <f>('[1]资源-玩家城池建筑时间'!F33-'[1]资源-玩家城池建筑时间'!F32)*'[1]功能-付费相关'!AJ33/节奏总纲!Y31</f>
        <v>7503.4608155473679</v>
      </c>
      <c r="F31" s="11">
        <f>('[1]资源-玩家城池建筑时间'!G33-'[1]资源-玩家城池建筑时间'!G32)*'[1]功能-付费相关'!AK33/节奏总纲!Z31</f>
        <v>9656.0443953750182</v>
      </c>
      <c r="G31" s="11">
        <f>('[1]资源-玩家城池建筑时间'!H33-'[1]资源-玩家城池建筑时间'!H32)*'[1]功能-付费相关'!AL33/节奏总纲!AA31</f>
        <v>12294.443392501935</v>
      </c>
      <c r="I31" s="31">
        <f>('[1]资源-士兵训练时间'!C33-'[1]资源-士兵训练时间'!C32)*'[1]功能-付费相关'!AH33/节奏总纲!W31</f>
        <v>1948.3147561835083</v>
      </c>
      <c r="J31" s="31">
        <f>('[1]资源-士兵训练时间'!D33-'[1]资源-士兵训练时间'!D32)*'[1]功能-付费相关'!AI33/节奏总纲!X31</f>
        <v>2030.8868235744596</v>
      </c>
      <c r="K31" s="31">
        <f>('[1]资源-士兵训练时间'!E33-'[1]资源-士兵训练时间'!E32)*'[1]功能-付费相关'!AJ33/节奏总纲!Y31</f>
        <v>2138.9688095108036</v>
      </c>
      <c r="L31" s="31">
        <f>('[1]资源-士兵训练时间'!F33-'[1]资源-士兵训练时间'!F32)*'[1]功能-付费相关'!AK33/节奏总纲!Z31</f>
        <v>2305.5492801813084</v>
      </c>
      <c r="M31" s="31">
        <f>('[1]资源-士兵训练时间'!G33-'[1]资源-士兵训练时间'!G32)*'[1]功能-付费相关'!AL33/节奏总纲!AA31</f>
        <v>2792.6464118083354</v>
      </c>
      <c r="O31" s="11">
        <f>('[1]资源-士兵招募时间'!D33-'[1]资源-士兵招募时间'!D32)*'[1]功能-付费相关'!AH33/节奏总纲!W31</f>
        <v>3139.3613654438404</v>
      </c>
      <c r="P31" s="11">
        <f>('[1]资源-士兵招募时间'!E33-'[1]资源-士兵招募时间'!E32)*'[1]功能-付费相关'!AI33/节奏总纲!X31</f>
        <v>3612.1756287563057</v>
      </c>
      <c r="Q31" s="11">
        <f>('[1]资源-士兵招募时间'!F33-'[1]资源-士兵招募时间'!F32)*'[1]功能-付费相关'!AJ33/节奏总纲!Y31</f>
        <v>4044.0788657462854</v>
      </c>
      <c r="R31" s="11">
        <f>('[1]资源-士兵招募时间'!G33-'[1]资源-士兵招募时间'!G32)*'[1]功能-付费相关'!AK33/节奏总纲!Z31</f>
        <v>4923.5084585237946</v>
      </c>
      <c r="S31" s="11">
        <f>('[1]资源-士兵招募时间'!H33-'[1]资源-士兵招募时间'!H32)*'[1]功能-付费相关'!AL33/节奏总纲!AA31</f>
        <v>6260.3382887598909</v>
      </c>
      <c r="U31" s="31">
        <f>('[1]资源-木石铜粮'!C33-'[1]资源-木石铜粮'!C32)*'[1]功能-付费相关'!S33/节奏总纲!W31</f>
        <v>2892.114186067824</v>
      </c>
      <c r="V31" s="31">
        <f>('[1]资源-木石铜粮'!D33-'[1]资源-木石铜粮'!D32)*'[1]功能-付费相关'!T33/节奏总纲!X31</f>
        <v>3095.5556303253411</v>
      </c>
      <c r="W31" s="31">
        <f>('[1]资源-木石铜粮'!E33-'[1]资源-木石铜粮'!E32)*'[1]功能-付费相关'!U33/节奏总纲!Y31</f>
        <v>3378.2138191554836</v>
      </c>
      <c r="X31" s="31">
        <f>('[1]资源-木石铜粮'!F33-'[1]资源-木石铜粮'!F32)*'[1]功能-付费相关'!V33/节奏总纲!Z31</f>
        <v>3827.1200242619652</v>
      </c>
      <c r="Y31" s="31">
        <f>('[1]资源-木石铜粮'!G33-'[1]资源-木石铜粮'!G32)*'[1]功能-付费相关'!W33/节奏总纲!AA31</f>
        <v>4886.6403553032414</v>
      </c>
      <c r="AA31" s="11">
        <f>('[1]资源-铁'!C33-'[1]资源-铁'!C32)*'[1]功能-付费相关'!X33/节奏总纲!W31</f>
        <v>0</v>
      </c>
      <c r="AB31" s="11">
        <f>('[1]资源-铁'!D33-'[1]资源-铁'!D32)*'[1]功能-付费相关'!Y33/节奏总纲!X31</f>
        <v>0</v>
      </c>
      <c r="AC31" s="11">
        <f>('[1]资源-铁'!E33-'[1]资源-铁'!E32)*'[1]功能-付费相关'!Z33/节奏总纲!Y31</f>
        <v>0</v>
      </c>
      <c r="AD31" s="11">
        <f>('[1]资源-铁'!F33-'[1]资源-铁'!F32)*'[1]功能-付费相关'!AA33/节奏总纲!Z31</f>
        <v>0</v>
      </c>
      <c r="AE31" s="11">
        <f>('[1]资源-铁'!G33-'[1]资源-铁'!G32)*'[1]功能-付费相关'!AB33/节奏总纲!AA31</f>
        <v>0</v>
      </c>
      <c r="AG31" s="11">
        <f>('[1]资源-银币'!C33-'[1]资源-银币'!C32)*'[1]功能-付费相关'!AQ33/节奏总纲!W31</f>
        <v>2413.7979239999499</v>
      </c>
      <c r="AH31" s="11">
        <f>('[1]资源-银币'!D33-'[1]资源-银币'!D32)*'[1]功能-付费相关'!AR33/节奏总纲!X31</f>
        <v>2654.7375258173611</v>
      </c>
      <c r="AI31" s="11">
        <f>('[1]资源-银币'!E33-'[1]资源-银币'!E32)*'[1]功能-付费相关'!AS33/节奏总纲!Y31</f>
        <v>2926.0397077245907</v>
      </c>
      <c r="AJ31" s="11">
        <f>('[1]资源-银币'!F33-'[1]资源-银币'!F32)*'[1]功能-付费相关'!AT33/节奏总纲!Z31</f>
        <v>3404.5672123652057</v>
      </c>
      <c r="AK31" s="11">
        <f>('[1]资源-银币'!G33-'[1]资源-银币'!G32)*'[1]功能-付费相关'!AU33/节奏总纲!AA31</f>
        <v>5463.5220354949415</v>
      </c>
      <c r="AM31" s="11" t="e">
        <f>(#REF!-#REF!)*'[1]功能-付费相关'!CA33/节奏总纲!W31</f>
        <v>#REF!</v>
      </c>
      <c r="AN31" s="11" t="e">
        <f>(#REF!-#REF!)*'[1]功能-付费相关'!CB33/节奏总纲!X31</f>
        <v>#REF!</v>
      </c>
      <c r="AO31" s="11" t="e">
        <f>(#REF!-#REF!)*'[1]功能-付费相关'!CC33/节奏总纲!Y31</f>
        <v>#REF!</v>
      </c>
      <c r="AP31" s="11" t="e">
        <f>(#REF!-#REF!)*'[1]功能-付费相关'!CD33/节奏总纲!Z31</f>
        <v>#REF!</v>
      </c>
      <c r="AQ31" s="11" t="e">
        <f>(#REF!-#REF!)*'[1]功能-付费相关'!CE33/节奏总纲!AA31</f>
        <v>#REF!</v>
      </c>
      <c r="AS31" s="11">
        <f>('[1]资源-装备经验'!C33-'[1]资源-装备经验'!C32)*'[1]功能-付费相关'!BI33/节奏总纲!W31</f>
        <v>1071.7704756894827</v>
      </c>
      <c r="AT31" s="11">
        <f>('[1]资源-装备经验'!D33-'[1]资源-装备经验'!D32)*'[1]功能-付费相关'!BJ33/节奏总纲!X31</f>
        <v>1545.8675262695722</v>
      </c>
      <c r="AU31" s="11">
        <f>('[1]资源-装备经验'!E33-'[1]资源-装备经验'!E32)*'[1]功能-付费相关'!BK33/节奏总纲!Y31</f>
        <v>2091.9009014714643</v>
      </c>
      <c r="AV31" s="11">
        <f>('[1]资源-装备经验'!F33-'[1]资源-装备经验'!F32)*'[1]功能-付费相关'!BL33/节奏总纲!Z31</f>
        <v>2342.8249511881581</v>
      </c>
      <c r="AW31" s="11">
        <f>('[1]资源-装备经验'!G33-'[1]资源-装备经验'!G32)*'[1]功能-付费相关'!BM33/节奏总纲!AA31</f>
        <v>2227.6566066711916</v>
      </c>
      <c r="AY31" s="11">
        <f>('[1]资源-武将经验'!C33*节奏总纲!BJ31-'[1]资源-武将经验'!C32*节奏总纲!BJ30)*'[1]功能-付费相关'!AZ33/节奏总纲!W31</f>
        <v>6388.7995452624018</v>
      </c>
      <c r="AZ31" s="11">
        <f>('[1]资源-武将经验'!D33*节奏总纲!BK31-'[1]资源-武将经验'!D32*节奏总纲!BK30)*'[1]功能-付费相关'!BA33/节奏总纲!X31</f>
        <v>7515.7161414024968</v>
      </c>
      <c r="BA31" s="11">
        <f>('[1]资源-武将经验'!E33*节奏总纲!BL31-'[1]资源-武将经验'!E32*节奏总纲!BL30)*'[1]功能-付费相关'!BB33/节奏总纲!Y31</f>
        <v>9119.7750741584878</v>
      </c>
      <c r="BB31" s="11">
        <f>('[1]资源-武将经验'!F33*节奏总纲!BM31-'[1]资源-武将经验'!F32*节奏总纲!BM30)*'[1]功能-付费相关'!BC33/节奏总纲!Z31</f>
        <v>19619.464861419714</v>
      </c>
      <c r="BC31" s="11">
        <f>('[1]资源-武将经验'!G33*节奏总纲!BN31-'[1]资源-武将经验'!G32*节奏总纲!BN30)*'[1]功能-付费相关'!BD33/节奏总纲!AA31</f>
        <v>33627.416380061935</v>
      </c>
      <c r="BD31" s="33"/>
      <c r="BE31" s="30" t="e">
        <f t="shared" si="4"/>
        <v>#REF!</v>
      </c>
      <c r="BF31" s="30" t="e">
        <f t="shared" si="0"/>
        <v>#REF!</v>
      </c>
      <c r="BG31" s="30" t="e">
        <f t="shared" si="1"/>
        <v>#REF!</v>
      </c>
      <c r="BH31" s="30" t="e">
        <f t="shared" si="2"/>
        <v>#REF!</v>
      </c>
      <c r="BI31" s="30" t="e">
        <f t="shared" si="3"/>
        <v>#REF!</v>
      </c>
    </row>
    <row r="32" spans="2:61" x14ac:dyDescent="0.15">
      <c r="B32" s="31">
        <v>29</v>
      </c>
      <c r="C32" s="11">
        <f>('[1]资源-玩家城池建筑时间'!D34-'[1]资源-玩家城池建筑时间'!D33)*'[1]功能-付费相关'!AH34/节奏总纲!W32</f>
        <v>5021.6290884367581</v>
      </c>
      <c r="D32" s="11">
        <f>('[1]资源-玩家城池建筑时间'!E34-'[1]资源-玩家城池建筑时间'!E33)*'[1]功能-付费相关'!AI34/节奏总纲!X32</f>
        <v>6021.0221469568251</v>
      </c>
      <c r="E32" s="11">
        <f>('[1]资源-玩家城池建筑时间'!F34-'[1]资源-玩家城池建筑时间'!F33)*'[1]功能-付费相关'!AJ34/节奏总纲!Y32</f>
        <v>7103.7251181885176</v>
      </c>
      <c r="F32" s="11">
        <f>('[1]资源-玩家城池建筑时间'!G34-'[1]资源-玩家城池建筑时间'!G33)*'[1]功能-付费相关'!AK34/节奏总纲!Z32</f>
        <v>9294.5942959836993</v>
      </c>
      <c r="G32" s="11">
        <f>('[1]资源-玩家城池建筑时间'!H34-'[1]资源-玩家城池建筑时间'!H33)*'[1]功能-付费相关'!AL34/节奏总纲!AA32</f>
        <v>11626.515021760053</v>
      </c>
      <c r="I32" s="31">
        <f>('[1]资源-士兵训练时间'!C34-'[1]资源-士兵训练时间'!C33)*'[1]功能-付费相关'!AH34/节奏总纲!W32</f>
        <v>1893.181817115744</v>
      </c>
      <c r="J32" s="31">
        <f>('[1]资源-士兵训练时间'!D34-'[1]资源-士兵训练时间'!D33)*'[1]功能-付费相关'!AI34/节奏总纲!X32</f>
        <v>1958.2596057955648</v>
      </c>
      <c r="K32" s="31">
        <f>('[1]资源-士兵训练时间'!E34-'[1]资源-士兵训练时间'!E33)*'[1]功能-付费相关'!AJ34/节奏总纲!Y32</f>
        <v>2049.6587370654897</v>
      </c>
      <c r="L32" s="31">
        <f>('[1]资源-士兵训练时间'!F34-'[1]资源-士兵训练时间'!F33)*'[1]功能-付费相关'!AK34/节奏总纲!Z32</f>
        <v>2241.0393638726027</v>
      </c>
      <c r="M32" s="31">
        <f>('[1]资源-士兵训练时间'!G34-'[1]资源-士兵训练时间'!G33)*'[1]功能-付费相关'!AL34/节奏总纲!AA32</f>
        <v>2577.6178874411294</v>
      </c>
      <c r="O32" s="11">
        <f>('[1]资源-士兵招募时间'!D34-'[1]资源-士兵招募时间'!D33)*'[1]功能-付费相关'!AH34/节奏总纲!W32</f>
        <v>3108.8815540040146</v>
      </c>
      <c r="P32" s="11">
        <f>('[1]资源-士兵招募时间'!E34-'[1]资源-士兵招募时间'!E33)*'[1]功能-付费相关'!AI34/节奏总纲!X32</f>
        <v>3544.8965215201379</v>
      </c>
      <c r="Q32" s="11">
        <f>('[1]资源-士兵招募时间'!F34-'[1]资源-士兵招募时间'!F33)*'[1]功能-付费相关'!AJ34/节奏总纲!Y32</f>
        <v>3977.6706735020484</v>
      </c>
      <c r="R32" s="11">
        <f>('[1]资源-士兵招募时间'!G34-'[1]资源-士兵招募时间'!G33)*'[1]功能-付费相关'!AK34/节奏总纲!Z32</f>
        <v>4976.7077694034215</v>
      </c>
      <c r="S32" s="11">
        <f>('[1]资源-士兵招募时间'!H34-'[1]资源-士兵招募时间'!H33)*'[1]功能-付费相关'!AL34/节奏总纲!AA32</f>
        <v>6019.7663394889696</v>
      </c>
      <c r="U32" s="31">
        <f>('[1]资源-木石铜粮'!C34-'[1]资源-木石铜粮'!C33)*'[1]功能-付费相关'!S34/节奏总纲!W32</f>
        <v>2814.7102276426535</v>
      </c>
      <c r="V32" s="31">
        <f>('[1]资源-木石铜粮'!D34-'[1]资源-木石铜粮'!D33)*'[1]功能-付费相关'!T34/节奏总纲!X32</f>
        <v>3005.7513364130741</v>
      </c>
      <c r="W32" s="31">
        <f>('[1]资源-木石铜粮'!E34-'[1]资源-木石铜粮'!E33)*'[1]功能-付费相关'!U34/节奏总纲!Y32</f>
        <v>3271.0358420057314</v>
      </c>
      <c r="X32" s="31">
        <f>('[1]资源-木石铜粮'!F34-'[1]资源-木石铜粮'!F33)*'[1]功能-付费相关'!V34/节奏总纲!Z32</f>
        <v>3676.7245649667439</v>
      </c>
      <c r="Y32" s="31">
        <f>('[1]资源-木石铜粮'!G34-'[1]资源-木石铜粮'!G33)*'[1]功能-付费相关'!W34/节奏总纲!AA32</f>
        <v>4661.3818257397197</v>
      </c>
      <c r="AA32" s="11">
        <f>('[1]资源-铁'!C34-'[1]资源-铁'!C33)*'[1]功能-付费相关'!X34/节奏总纲!W32</f>
        <v>0</v>
      </c>
      <c r="AB32" s="11">
        <f>('[1]资源-铁'!D34-'[1]资源-铁'!D33)*'[1]功能-付费相关'!Y34/节奏总纲!X32</f>
        <v>0</v>
      </c>
      <c r="AC32" s="11">
        <f>('[1]资源-铁'!E34-'[1]资源-铁'!E33)*'[1]功能-付费相关'!Z34/节奏总纲!Y32</f>
        <v>0</v>
      </c>
      <c r="AD32" s="11">
        <f>('[1]资源-铁'!F34-'[1]资源-铁'!F33)*'[1]功能-付费相关'!AA34/节奏总纲!Z32</f>
        <v>0</v>
      </c>
      <c r="AE32" s="11">
        <f>('[1]资源-铁'!G34-'[1]资源-铁'!G33)*'[1]功能-付费相关'!AB34/节奏总纲!AA32</f>
        <v>0</v>
      </c>
      <c r="AG32" s="11">
        <f>('[1]资源-银币'!C34-'[1]资源-银币'!C33)*'[1]功能-付费相关'!AQ34/节奏总纲!W32</f>
        <v>2156.4983053520359</v>
      </c>
      <c r="AH32" s="11">
        <f>('[1]资源-银币'!D34-'[1]资源-银币'!D33)*'[1]功能-付费相关'!AR34/节奏总纲!X32</f>
        <v>2342.4196701121291</v>
      </c>
      <c r="AI32" s="11">
        <f>('[1]资源-银币'!E34-'[1]资源-银币'!E33)*'[1]功能-付费相关'!AS34/节奏总纲!Y32</f>
        <v>2637.2199932756093</v>
      </c>
      <c r="AJ32" s="11">
        <f>('[1]资源-银币'!F34-'[1]资源-银币'!F33)*'[1]功能-付费相关'!AT34/节奏总纲!Z32</f>
        <v>3234.2969561522259</v>
      </c>
      <c r="AK32" s="11">
        <f>('[1]资源-银币'!G34-'[1]资源-银币'!G33)*'[1]功能-付费相关'!AU34/节奏总纲!AA32</f>
        <v>3892.0774730823537</v>
      </c>
      <c r="AM32" s="11" t="e">
        <f>(#REF!-#REF!)*'[1]功能-付费相关'!CA34/节奏总纲!W32</f>
        <v>#REF!</v>
      </c>
      <c r="AN32" s="11" t="e">
        <f>(#REF!-#REF!)*'[1]功能-付费相关'!CB34/节奏总纲!X32</f>
        <v>#REF!</v>
      </c>
      <c r="AO32" s="11" t="e">
        <f>(#REF!-#REF!)*'[1]功能-付费相关'!CC34/节奏总纲!Y32</f>
        <v>#REF!</v>
      </c>
      <c r="AP32" s="11" t="e">
        <f>(#REF!-#REF!)*'[1]功能-付费相关'!CD34/节奏总纲!Z32</f>
        <v>#REF!</v>
      </c>
      <c r="AQ32" s="11" t="e">
        <f>(#REF!-#REF!)*'[1]功能-付费相关'!CE34/节奏总纲!AA32</f>
        <v>#REF!</v>
      </c>
      <c r="AS32" s="11">
        <f>('[1]资源-装备经验'!C34-'[1]资源-装备经验'!C33)*'[1]功能-付费相关'!BI34/节奏总纲!W32</f>
        <v>1032.9699755181102</v>
      </c>
      <c r="AT32" s="11">
        <f>('[1]资源-装备经验'!D34-'[1]资源-装备经验'!D33)*'[1]功能-付费相关'!BJ34/节奏总纲!X32</f>
        <v>1475.3421737413382</v>
      </c>
      <c r="AU32" s="11">
        <f>('[1]资源-装备经验'!E34-'[1]资源-装备经验'!E33)*'[1]功能-付费相关'!BK34/节奏总纲!Y32</f>
        <v>1976.4752420176694</v>
      </c>
      <c r="AV32" s="11">
        <f>('[1]资源-装备经验'!F34-'[1]资源-装备经验'!F33)*'[1]功能-付费相关'!BL34/节奏总纲!Z32</f>
        <v>2310.7329211014285</v>
      </c>
      <c r="AW32" s="11">
        <f>('[1]资源-装备经验'!G34-'[1]资源-装备经验'!G33)*'[1]功能-付费相关'!BM34/节奏总纲!AA32</f>
        <v>2150.6370108786568</v>
      </c>
      <c r="AY32" s="11">
        <f>('[1]资源-武将经验'!C34*节奏总纲!BJ32-'[1]资源-武将经验'!C33*节奏总纲!BJ31)*'[1]功能-付费相关'!AZ34/节奏总纲!W32</f>
        <v>6059.7043966796937</v>
      </c>
      <c r="AZ32" s="11">
        <f>('[1]资源-武将经验'!D34*节奏总纲!BK32-'[1]资源-武将经验'!D33*节奏总纲!BK31)*'[1]功能-付费相关'!BA34/节奏总纲!X32</f>
        <v>7153.9696409284716</v>
      </c>
      <c r="BA32" s="11">
        <f>('[1]资源-武将经验'!E34*节奏总纲!BL32-'[1]资源-武将经验'!E33*节奏总纲!BL31)*'[1]功能-付费相关'!BB34/节奏总纲!Y32</f>
        <v>8691.00187155198</v>
      </c>
      <c r="BB32" s="11">
        <f>('[1]资源-武将经验'!F34*节奏总纲!BM32-'[1]资源-武将经验'!F33*节奏总纲!BM31)*'[1]功能-付费相关'!BC34/节奏总纲!Z32</f>
        <v>19904.98642879277</v>
      </c>
      <c r="BC32" s="11">
        <f>('[1]资源-武将经验'!G34*节奏总纲!BN32-'[1]资源-武将经验'!G33*节奏总纲!BN31)*'[1]功能-付费相关'!BD34/节奏总纲!AA32</f>
        <v>31188.607490966759</v>
      </c>
      <c r="BD32" s="33"/>
      <c r="BE32" s="30" t="e">
        <f t="shared" si="4"/>
        <v>#REF!</v>
      </c>
      <c r="BF32" s="30" t="e">
        <f t="shared" si="0"/>
        <v>#REF!</v>
      </c>
      <c r="BG32" s="30" t="e">
        <f t="shared" si="1"/>
        <v>#REF!</v>
      </c>
      <c r="BH32" s="30" t="e">
        <f t="shared" si="2"/>
        <v>#REF!</v>
      </c>
      <c r="BI32" s="30" t="e">
        <f t="shared" si="3"/>
        <v>#REF!</v>
      </c>
    </row>
    <row r="33" spans="2:61" x14ac:dyDescent="0.15">
      <c r="B33" s="31">
        <v>30</v>
      </c>
      <c r="C33" s="11">
        <f>('[1]资源-玩家城池建筑时间'!D35-'[1]资源-玩家城池建筑时间'!D34)*'[1]功能-付费相关'!AH35/节奏总纲!W33</f>
        <v>4800.0859208899328</v>
      </c>
      <c r="D33" s="11">
        <f>('[1]资源-玩家城池建筑时间'!E35-'[1]资源-玩家城池建筑时间'!E34)*'[1]功能-付费相关'!AI35/节奏总纲!X33</f>
        <v>5878.0814783415699</v>
      </c>
      <c r="E33" s="11">
        <f>('[1]资源-玩家城池建筑时间'!F35-'[1]资源-玩家城池建筑时间'!F34)*'[1]功能-付费相关'!AJ35/节奏总纲!Y33</f>
        <v>6846.5549588325321</v>
      </c>
      <c r="F33" s="11">
        <f>('[1]资源-玩家城池建筑时间'!G35-'[1]资源-玩家城池建筑时间'!G34)*'[1]功能-付费相关'!AK35/节奏总纲!Z33</f>
        <v>8929.1652134161777</v>
      </c>
      <c r="G33" s="11">
        <f>('[1]资源-玩家城池建筑时间'!H35-'[1]资源-玩家城池建筑时间'!H34)*'[1]功能-付费相关'!AL35/节奏总纲!AA33</f>
        <v>11448.909640002619</v>
      </c>
      <c r="I33" s="31">
        <f>('[1]资源-士兵训练时间'!C35-'[1]资源-士兵训练时间'!C34)*'[1]功能-付费相关'!AH35/节奏总纲!W33</f>
        <v>1818.4835628752389</v>
      </c>
      <c r="J33" s="31">
        <f>('[1]资源-士兵训练时间'!D35-'[1]资源-士兵训练时间'!D34)*'[1]功能-付费相关'!AI35/节奏总纲!X33</f>
        <v>1916.9438773310396</v>
      </c>
      <c r="K33" s="31">
        <f>('[1]资源-士兵训练时间'!E35-'[1]资源-士兵训练时间'!E34)*'[1]功能-付费相关'!AJ35/节奏总纲!Y33</f>
        <v>1996.4213650107906</v>
      </c>
      <c r="L33" s="31">
        <f>('[1]资源-士兵训练时间'!F35-'[1]资源-士兵训练时间'!F34)*'[1]功能-付费相关'!AK35/节奏总纲!Z33</f>
        <v>2135.7778841492573</v>
      </c>
      <c r="M33" s="31">
        <f>('[1]资源-士兵训练时间'!G35-'[1]资源-士兵训练时间'!G34)*'[1]功能-付费相关'!AL35/节奏总纲!AA33</f>
        <v>2545.8702934402868</v>
      </c>
      <c r="O33" s="11">
        <f>('[1]资源-士兵招募时间'!D35-'[1]资源-士兵招募时间'!D34)*'[1]功能-付费相关'!AH35/节奏总纲!W33</f>
        <v>3056.1533023363936</v>
      </c>
      <c r="P33" s="11">
        <f>('[1]资源-士兵招募时间'!E35-'[1]资源-士兵招募时间'!E34)*'[1]功能-付费相关'!AI35/节奏总纲!X33</f>
        <v>3535.0413391517527</v>
      </c>
      <c r="Q33" s="11">
        <f>('[1]资源-士兵招募时间'!F35-'[1]资源-士兵招募时间'!F34)*'[1]功能-付费相关'!AJ35/节奏总纲!Y33</f>
        <v>4017.017990942742</v>
      </c>
      <c r="R33" s="11">
        <f>('[1]资源-士兵招募时间'!G35-'[1]资源-士兵招募时间'!G34)*'[1]功能-付费相关'!AK35/节奏总纲!Z33</f>
        <v>4884.5525885435218</v>
      </c>
      <c r="S33" s="11">
        <f>('[1]资源-士兵招募时间'!H35-'[1]资源-士兵招募时间'!H34)*'[1]功能-付费相关'!AL35/节奏总纲!AA33</f>
        <v>6147.8171066478644</v>
      </c>
      <c r="U33" s="31">
        <f>('[1]资源-木石铜粮'!C35-'[1]资源-木石铜粮'!C34)*'[1]功能-付费相关'!S35/节奏总纲!W33</f>
        <v>2769.5702203434757</v>
      </c>
      <c r="V33" s="31">
        <f>('[1]资源-木石铜粮'!D35-'[1]资源-木石铜粮'!D34)*'[1]功能-付费相关'!T35/节奏总纲!X33</f>
        <v>2908.5808229497602</v>
      </c>
      <c r="W33" s="31">
        <f>('[1]资源-木石铜粮'!E35-'[1]资源-木石铜粮'!E34)*'[1]功能-付费相关'!U35/节奏总纲!Y33</f>
        <v>3184.409692946927</v>
      </c>
      <c r="X33" s="31">
        <f>('[1]资源-木石铜粮'!F35-'[1]资源-木石铜粮'!F34)*'[1]功能-付费相关'!V35/节奏总纲!Z33</f>
        <v>3502.2998742276231</v>
      </c>
      <c r="Y33" s="31">
        <f>('[1]资源-木石铜粮'!G35-'[1]资源-木石铜粮'!G34)*'[1]功能-付费相关'!W35/节奏总纲!AA33</f>
        <v>4503.6920442902128</v>
      </c>
      <c r="AA33" s="11">
        <f>('[1]资源-铁'!C35-'[1]资源-铁'!C34)*'[1]功能-付费相关'!X35/节奏总纲!W33</f>
        <v>0</v>
      </c>
      <c r="AB33" s="11">
        <f>('[1]资源-铁'!D35-'[1]资源-铁'!D34)*'[1]功能-付费相关'!Y35/节奏总纲!X33</f>
        <v>0</v>
      </c>
      <c r="AC33" s="11">
        <f>('[1]资源-铁'!E35-'[1]资源-铁'!E34)*'[1]功能-付费相关'!Z35/节奏总纲!Y33</f>
        <v>0</v>
      </c>
      <c r="AD33" s="11">
        <f>('[1]资源-铁'!F35-'[1]资源-铁'!F34)*'[1]功能-付费相关'!AA35/节奏总纲!Z33</f>
        <v>0</v>
      </c>
      <c r="AE33" s="11">
        <f>('[1]资源-铁'!G35-'[1]资源-铁'!G34)*'[1]功能-付费相关'!AB35/节奏总纲!AA33</f>
        <v>0</v>
      </c>
      <c r="AG33" s="11">
        <f>('[1]资源-银币'!C35-'[1]资源-银币'!C34)*'[1]功能-付费相关'!AQ35/节奏总纲!W33</f>
        <v>2041.2652494288809</v>
      </c>
      <c r="AH33" s="11">
        <f>('[1]资源-银币'!D35-'[1]资源-银币'!D34)*'[1]功能-付费相关'!AR35/节奏总纲!X33</f>
        <v>2365.8643021749012</v>
      </c>
      <c r="AI33" s="11">
        <f>('[1]资源-银币'!E35-'[1]资源-银币'!E34)*'[1]功能-付费相关'!AS35/节奏总纲!Y33</f>
        <v>2523.4300899398559</v>
      </c>
      <c r="AJ33" s="11">
        <f>('[1]资源-银币'!F35-'[1]资源-银币'!F34)*'[1]功能-付费相关'!AT35/节奏总纲!Z33</f>
        <v>2780.4717352936809</v>
      </c>
      <c r="AK33" s="11">
        <f>('[1]资源-银币'!G35-'[1]资源-银币'!G34)*'[1]功能-付费相关'!AU35/节奏总纲!AA33</f>
        <v>3735.6005571868768</v>
      </c>
      <c r="AM33" s="11" t="e">
        <f>(#REF!-#REF!)*'[1]功能-付费相关'!CA35/节奏总纲!W33</f>
        <v>#REF!</v>
      </c>
      <c r="AN33" s="11" t="e">
        <f>(#REF!-#REF!)*'[1]功能-付费相关'!CB35/节奏总纲!X33</f>
        <v>#REF!</v>
      </c>
      <c r="AO33" s="11" t="e">
        <f>(#REF!-#REF!)*'[1]功能-付费相关'!CC35/节奏总纲!Y33</f>
        <v>#REF!</v>
      </c>
      <c r="AP33" s="11" t="e">
        <f>(#REF!-#REF!)*'[1]功能-付费相关'!CD35/节奏总纲!Z33</f>
        <v>#REF!</v>
      </c>
      <c r="AQ33" s="11" t="e">
        <f>(#REF!-#REF!)*'[1]功能-付费相关'!CE35/节奏总纲!AA33</f>
        <v>#REF!</v>
      </c>
      <c r="AS33" s="11">
        <f>('[1]资源-装备经验'!C35-'[1]资源-装备经验'!C34)*'[1]功能-付费相关'!BI35/节奏总纲!W33</f>
        <v>1014.2355971187936</v>
      </c>
      <c r="AT33" s="11">
        <f>('[1]资源-装备经验'!D35-'[1]资源-装备经验'!D34)*'[1]功能-付费相关'!BJ35/节奏总纲!X33</f>
        <v>1429.2247094463046</v>
      </c>
      <c r="AU33" s="11">
        <f>('[1]资源-装备经验'!E35-'[1]资源-装备经验'!E34)*'[1]功能-付费相关'!BK35/节奏总纲!Y33</f>
        <v>1955.3014892112892</v>
      </c>
      <c r="AV33" s="11">
        <f>('[1]资源-装备经验'!F35-'[1]资源-装备经验'!F34)*'[1]功能-付费相关'!BL35/节奏总纲!Z33</f>
        <v>2223.1919859940826</v>
      </c>
      <c r="AW33" s="11">
        <f>('[1]资源-装备经验'!G35-'[1]资源-装备经验'!G34)*'[1]功能-付费相关'!BM35/节奏总纲!AA33</f>
        <v>2144.4814294383368</v>
      </c>
      <c r="AY33" s="11">
        <f>('[1]资源-武将经验'!C35*节奏总纲!BJ33-'[1]资源-武将经验'!C34*节奏总纲!BJ32)*'[1]功能-付费相关'!AZ35/节奏总纲!W33</f>
        <v>5975.9333418071183</v>
      </c>
      <c r="AZ33" s="11">
        <f>('[1]资源-武将经验'!D35*节奏总纲!BK33-'[1]资源-武将经验'!D34*节奏总纲!BK32)*'[1]功能-付费相关'!BA35/节奏总纲!X33</f>
        <v>7094.7085077682877</v>
      </c>
      <c r="BA33" s="11">
        <f>('[1]资源-武将经验'!E35*节奏总纲!BL33-'[1]资源-武将经验'!E34*节奏总纲!BL32)*'[1]功能-付费相关'!BB35/节奏总纲!Y33</f>
        <v>8749.2575157063402</v>
      </c>
      <c r="BB33" s="11">
        <f>('[1]资源-武将经验'!F35*节奏总纲!BM33-'[1]资源-武将经验'!F34*节奏总纲!BM32)*'[1]功能-付费相关'!BC35/节奏总纲!Z33</f>
        <v>19013.25631286663</v>
      </c>
      <c r="BC33" s="11">
        <f>('[1]资源-武将经验'!G35*节奏总纲!BN33-'[1]资源-武将经验'!G34*节奏总纲!BN32)*'[1]功能-付费相关'!BD35/节奏总纲!AA33</f>
        <v>31248.64319087036</v>
      </c>
      <c r="BD33" s="33"/>
      <c r="BE33" s="30" t="e">
        <f t="shared" si="4"/>
        <v>#REF!</v>
      </c>
      <c r="BF33" s="30" t="e">
        <f t="shared" si="0"/>
        <v>#REF!</v>
      </c>
      <c r="BG33" s="30" t="e">
        <f t="shared" si="1"/>
        <v>#REF!</v>
      </c>
      <c r="BH33" s="30" t="e">
        <f t="shared" si="2"/>
        <v>#REF!</v>
      </c>
      <c r="BI33" s="30" t="e">
        <f t="shared" si="3"/>
        <v>#REF!</v>
      </c>
    </row>
    <row r="34" spans="2:61" x14ac:dyDescent="0.15">
      <c r="B34" s="31">
        <v>31</v>
      </c>
      <c r="C34" s="11">
        <f>('[1]资源-玩家城池建筑时间'!D36-'[1]资源-玩家城池建筑时间'!D35)*'[1]功能-付费相关'!AH36/节奏总纲!W34</f>
        <v>4754.2687932926056</v>
      </c>
      <c r="D34" s="11">
        <f>('[1]资源-玩家城池建筑时间'!E36-'[1]资源-玩家城池建筑时间'!E35)*'[1]功能-付费相关'!AI36/节奏总纲!X34</f>
        <v>5577.9644975175815</v>
      </c>
      <c r="E34" s="11">
        <f>('[1]资源-玩家城池建筑时间'!F36-'[1]资源-玩家城池建筑时间'!F35)*'[1]功能-付费相关'!AJ36/节奏总纲!Y34</f>
        <v>6562.1889151803816</v>
      </c>
      <c r="F34" s="11">
        <f>('[1]资源-玩家城池建筑时间'!G36-'[1]资源-玩家城池建筑时间'!G35)*'[1]功能-付费相关'!AK36/节奏总纲!Z34</f>
        <v>8658.0460199524841</v>
      </c>
      <c r="G34" s="11">
        <f>('[1]资源-玩家城池建筑时间'!H36-'[1]资源-玩家城池建筑时间'!H35)*'[1]功能-付费相关'!AL36/节奏总纲!AA34</f>
        <v>11069.007378188056</v>
      </c>
      <c r="I34" s="31">
        <f>('[1]资源-士兵训练时间'!C36-'[1]资源-士兵训练时间'!C35)*'[1]功能-付费相关'!AH36/节奏总纲!W34</f>
        <v>1793.0610549843336</v>
      </c>
      <c r="J34" s="31">
        <f>('[1]资源-士兵训练时间'!D36-'[1]资源-士兵训练时间'!D35)*'[1]功能-付费相关'!AI36/节奏总纲!X34</f>
        <v>1843.6303704768027</v>
      </c>
      <c r="K34" s="31">
        <f>('[1]资源-士兵训练时间'!E36-'[1]资源-士兵训练时间'!E35)*'[1]功能-付费相关'!AJ36/节奏总纲!Y34</f>
        <v>1912.7194369650429</v>
      </c>
      <c r="L34" s="31">
        <f>('[1]资源-士兵训练时间'!F36-'[1]资源-士兵训练时间'!F35)*'[1]功能-付费相关'!AK36/节奏总纲!Z34</f>
        <v>2062.6960204060979</v>
      </c>
      <c r="M34" s="31">
        <f>('[1]资源-士兵训练时间'!G36-'[1]资源-士兵训练时间'!G35)*'[1]功能-付费相关'!AL36/节奏总纲!AA34</f>
        <v>2563.8144724700637</v>
      </c>
      <c r="O34" s="11">
        <f>('[1]资源-士兵招募时间'!D36-'[1]资源-士兵招募时间'!D35)*'[1]功能-付费相关'!AH36/节奏总纲!W34</f>
        <v>3050.0472450686666</v>
      </c>
      <c r="P34" s="11">
        <f>('[1]资源-士兵招募时间'!E36-'[1]资源-士兵招募时间'!E35)*'[1]功能-付费相关'!AI36/节奏总纲!X34</f>
        <v>3470.7672009648409</v>
      </c>
      <c r="Q34" s="11">
        <f>('[1]资源-士兵招募时间'!F36-'[1]资源-士兵招募时间'!F35)*'[1]功能-付费相关'!AJ36/节奏总纲!Y34</f>
        <v>3917.9027194568384</v>
      </c>
      <c r="R34" s="11">
        <f>('[1]资源-士兵招募时间'!G36-'[1]资源-士兵招募时间'!G35)*'[1]功能-付费相关'!AK36/节奏总纲!Z34</f>
        <v>4870.6438790744169</v>
      </c>
      <c r="S34" s="11">
        <f>('[1]资源-士兵招募时间'!H36-'[1]资源-士兵招募时间'!H35)*'[1]功能-付费相关'!AL36/节奏总纲!AA34</f>
        <v>6224.312348450856</v>
      </c>
      <c r="U34" s="31">
        <f>('[1]资源-木石铜粮'!C36-'[1]资源-木石铜粮'!C35)*'[1]功能-付费相关'!S36/节奏总纲!W34</f>
        <v>2804.492985993068</v>
      </c>
      <c r="V34" s="31">
        <f>('[1]资源-木石铜粮'!D36-'[1]资源-木石铜粮'!D35)*'[1]功能-付费相关'!T36/节奏总纲!X34</f>
        <v>3001.4240552452598</v>
      </c>
      <c r="W34" s="31">
        <f>('[1]资源-木石铜粮'!E36-'[1]资源-木石铜粮'!E35)*'[1]功能-付费相关'!U36/节奏总纲!Y34</f>
        <v>3233.0632327941776</v>
      </c>
      <c r="X34" s="31">
        <f>('[1]资源-木石铜粮'!F36-'[1]资源-木石铜粮'!F35)*'[1]功能-付费相关'!V36/节奏总纲!Z34</f>
        <v>3547.7380290558344</v>
      </c>
      <c r="Y34" s="31">
        <f>('[1]资源-木石铜粮'!G36-'[1]资源-木石铜粮'!G35)*'[1]功能-付费相关'!W36/节奏总纲!AA34</f>
        <v>4725.1336346951357</v>
      </c>
      <c r="AA34" s="11">
        <f>('[1]资源-铁'!C36-'[1]资源-铁'!C35)*'[1]功能-付费相关'!X36/节奏总纲!W34</f>
        <v>0</v>
      </c>
      <c r="AB34" s="11">
        <f>('[1]资源-铁'!D36-'[1]资源-铁'!D35)*'[1]功能-付费相关'!Y36/节奏总纲!X34</f>
        <v>0</v>
      </c>
      <c r="AC34" s="11">
        <f>('[1]资源-铁'!E36-'[1]资源-铁'!E35)*'[1]功能-付费相关'!Z36/节奏总纲!Y34</f>
        <v>0</v>
      </c>
      <c r="AD34" s="11">
        <f>('[1]资源-铁'!F36-'[1]资源-铁'!F35)*'[1]功能-付费相关'!AA36/节奏总纲!Z34</f>
        <v>0</v>
      </c>
      <c r="AE34" s="11">
        <f>('[1]资源-铁'!G36-'[1]资源-铁'!G35)*'[1]功能-付费相关'!AB36/节奏总纲!AA34</f>
        <v>0</v>
      </c>
      <c r="AG34" s="11">
        <f>('[1]资源-银币'!C36-'[1]资源-银币'!C35)*'[1]功能-付费相关'!AQ36/节奏总纲!W34</f>
        <v>2182.0557142606353</v>
      </c>
      <c r="AH34" s="11">
        <f>('[1]资源-银币'!D36-'[1]资源-银币'!D35)*'[1]功能-付费相关'!AR36/节奏总纲!X34</f>
        <v>2287.4825045520497</v>
      </c>
      <c r="AI34" s="11">
        <f>('[1]资源-银币'!E36-'[1]资源-银币'!E35)*'[1]功能-付费相关'!AS36/节奏总纲!Y34</f>
        <v>2386.4346062707627</v>
      </c>
      <c r="AJ34" s="11">
        <f>('[1]资源-银币'!F36-'[1]资源-银币'!F35)*'[1]功能-付费相关'!AT36/节奏总纲!Z34</f>
        <v>2690.7993462454065</v>
      </c>
      <c r="AK34" s="11">
        <f>('[1]资源-银币'!G36-'[1]资源-银币'!G35)*'[1]功能-付费相关'!AU36/节奏总纲!AA34</f>
        <v>3437.1252471152347</v>
      </c>
      <c r="AM34" s="11" t="e">
        <f>(#REF!-#REF!)*'[1]功能-付费相关'!CA36/节奏总纲!W34</f>
        <v>#REF!</v>
      </c>
      <c r="AN34" s="11" t="e">
        <f>(#REF!-#REF!)*'[1]功能-付费相关'!CB36/节奏总纲!X34</f>
        <v>#REF!</v>
      </c>
      <c r="AO34" s="11" t="e">
        <f>(#REF!-#REF!)*'[1]功能-付费相关'!CC36/节奏总纲!Y34</f>
        <v>#REF!</v>
      </c>
      <c r="AP34" s="11" t="e">
        <f>(#REF!-#REF!)*'[1]功能-付费相关'!CD36/节奏总纲!Z34</f>
        <v>#REF!</v>
      </c>
      <c r="AQ34" s="11" t="e">
        <f>(#REF!-#REF!)*'[1]功能-付费相关'!CE36/节奏总纲!AA34</f>
        <v>#REF!</v>
      </c>
      <c r="AS34" s="11">
        <f>('[1]资源-装备经验'!C36-'[1]资源-装备经验'!C35)*'[1]功能-付费相关'!BI36/节奏总纲!W34</f>
        <v>1382.5345326455135</v>
      </c>
      <c r="AT34" s="11">
        <f>('[1]资源-装备经验'!D36-'[1]资源-装备经验'!D35)*'[1]功能-付费相关'!BJ36/节奏总纲!X34</f>
        <v>1972.6096179824492</v>
      </c>
      <c r="AU34" s="11">
        <f>('[1]资源-装备经验'!E36-'[1]资源-装备经验'!E35)*'[1]功能-付费相关'!BK36/节奏总纲!Y34</f>
        <v>2660.3561829811156</v>
      </c>
      <c r="AV34" s="11">
        <f>('[1]资源-装备经验'!F36-'[1]资源-装备经验'!F35)*'[1]功能-付费相关'!BL36/节奏总纲!Z34</f>
        <v>3072.2187182739963</v>
      </c>
      <c r="AW34" s="11">
        <f>('[1]资源-装备经验'!G36-'[1]资源-装备经验'!G35)*'[1]功能-付费相关'!BM36/节奏总纲!AA34</f>
        <v>2939.1052974202216</v>
      </c>
      <c r="AY34" s="11">
        <f>('[1]资源-武将经验'!C36*节奏总纲!BJ34-'[1]资源-武将经验'!C35*节奏总纲!BJ33)*'[1]功能-付费相关'!AZ36/节奏总纲!W34</f>
        <v>5820.6016142602766</v>
      </c>
      <c r="AZ34" s="11">
        <f>('[1]资源-武将经验'!D36*节奏总纲!BK34-'[1]资源-武将经验'!D35*节奏总纲!BK33)*'[1]功能-付费相关'!BA36/节奏总纲!X34</f>
        <v>6828.7603804633873</v>
      </c>
      <c r="BA34" s="11">
        <f>('[1]资源-武将经验'!E36*节奏总纲!BL34-'[1]资源-武将经验'!E35*节奏总纲!BL33)*'[1]功能-付费相关'!BB36/节奏总纲!Y34</f>
        <v>8342.1267862564728</v>
      </c>
      <c r="BB34" s="11">
        <f>('[1]资源-武将经验'!F36*节奏总纲!BM34-'[1]资源-武将经验'!F35*节奏总纲!BM33)*'[1]功能-付费相关'!BC36/节奏总纲!Z34</f>
        <v>18518.756875104584</v>
      </c>
      <c r="BC34" s="11">
        <f>('[1]资源-武将经验'!G36*节奏总纲!BN34-'[1]资源-武将经验'!G35*节奏总纲!BN33)*'[1]功能-付费相关'!BD36/节奏总纲!AA34</f>
        <v>30566.387992232809</v>
      </c>
      <c r="BD34" s="33"/>
      <c r="BE34" s="30" t="e">
        <f t="shared" si="4"/>
        <v>#REF!</v>
      </c>
      <c r="BF34" s="30" t="e">
        <f t="shared" si="0"/>
        <v>#REF!</v>
      </c>
      <c r="BG34" s="30" t="e">
        <f t="shared" si="1"/>
        <v>#REF!</v>
      </c>
      <c r="BH34" s="30" t="e">
        <f t="shared" si="2"/>
        <v>#REF!</v>
      </c>
      <c r="BI34" s="30" t="e">
        <f t="shared" si="3"/>
        <v>#REF!</v>
      </c>
    </row>
    <row r="35" spans="2:61" x14ac:dyDescent="0.15">
      <c r="B35" s="31">
        <v>32</v>
      </c>
      <c r="C35" s="11">
        <f>('[1]资源-玩家城池建筑时间'!D37-'[1]资源-玩家城池建筑时间'!D36)*'[1]功能-付费相关'!AH37/节奏总纲!W35</f>
        <v>4535.3906036626613</v>
      </c>
      <c r="D35" s="11">
        <f>('[1]资源-玩家城池建筑时间'!E37-'[1]资源-玩家城池建筑时间'!E36)*'[1]功能-付费相关'!AI37/节奏总纲!X35</f>
        <v>5382.0629727050218</v>
      </c>
      <c r="E35" s="11">
        <f>('[1]资源-玩家城池建筑时间'!F37-'[1]资源-玩家城池建筑时间'!F36)*'[1]功能-付费相关'!AJ37/节奏总纲!Y35</f>
        <v>6405.95976798433</v>
      </c>
      <c r="F35" s="11">
        <f>('[1]资源-玩家城池建筑时间'!G37-'[1]资源-玩家城池建筑时间'!G36)*'[1]功能-付费相关'!AK37/节奏总纲!Z35</f>
        <v>8301.861356674508</v>
      </c>
      <c r="G35" s="11">
        <f>('[1]资源-玩家城池建筑时间'!H37-'[1]资源-玩家城池建筑时间'!H36)*'[1]功能-付费相关'!AL37/节奏总纲!AA35</f>
        <v>10440.346160773684</v>
      </c>
      <c r="I35" s="31">
        <f>('[1]资源-士兵训练时间'!C37-'[1]资源-士兵训练时间'!C36)*'[1]功能-付费相关'!AH37/节奏总纲!W35</f>
        <v>1729.9995045620331</v>
      </c>
      <c r="J35" s="31">
        <f>('[1]资源-士兵训练时间'!D37-'[1]资源-士兵训练时间'!D36)*'[1]功能-付费相关'!AI37/节奏总纲!X35</f>
        <v>1782.7013251683097</v>
      </c>
      <c r="K35" s="31">
        <f>('[1]资源-士兵训练时间'!E37-'[1]资源-士兵训练时间'!E36)*'[1]功能-付费相关'!AJ37/节奏总纲!Y35</f>
        <v>1859.8390008957485</v>
      </c>
      <c r="L35" s="31">
        <f>('[1]资源-士兵训练时间'!F37-'[1]资源-士兵训练时间'!F36)*'[1]功能-付费相关'!AK37/节奏总纲!Z35</f>
        <v>1997.4435221885869</v>
      </c>
      <c r="M35" s="31">
        <f>('[1]资源-士兵训练时间'!G37-'[1]资源-士兵训练时间'!G36)*'[1]功能-付费相关'!AL37/节奏总纲!AA35</f>
        <v>2410.9845249026534</v>
      </c>
      <c r="O35" s="11">
        <f>('[1]资源-士兵招募时间'!D37-'[1]资源-士兵招募时间'!D36)*'[1]功能-付费相关'!AH37/节奏总纲!W35</f>
        <v>3003.6488598496344</v>
      </c>
      <c r="P35" s="11">
        <f>('[1]资源-士兵招募时间'!E37-'[1]资源-士兵招募时间'!E36)*'[1]功能-付费相关'!AI37/节奏总纲!X35</f>
        <v>3436.4033334685919</v>
      </c>
      <c r="Q35" s="11">
        <f>('[1]资源-士兵招募时间'!F37-'[1]资源-士兵招募时间'!F36)*'[1]功能-付费相关'!AJ37/节奏总纲!Y35</f>
        <v>3908.7663314131146</v>
      </c>
      <c r="R35" s="11">
        <f>('[1]资源-士兵招募时间'!G37-'[1]资源-士兵招募时间'!G36)*'[1]功能-付费相关'!AK37/节奏总纲!Z35</f>
        <v>4856.7389093696247</v>
      </c>
      <c r="S35" s="11">
        <f>('[1]资源-士兵招募时间'!H37-'[1]资源-士兵招募时间'!H36)*'[1]功能-付费相关'!AL37/节奏总纲!AA35</f>
        <v>6056.5667288577815</v>
      </c>
      <c r="U35" s="31">
        <f>('[1]资源-木石铜粮'!C37-'[1]资源-木石铜粮'!C36)*'[1]功能-付费相关'!S37/节奏总纲!W35</f>
        <v>2729.8177837649346</v>
      </c>
      <c r="V35" s="31">
        <f>('[1]资源-木石铜粮'!D37-'[1]资源-木石铜粮'!D36)*'[1]功能-付费相关'!T37/节奏总纲!X35</f>
        <v>2900.0661763149906</v>
      </c>
      <c r="W35" s="31">
        <f>('[1]资源-木石铜粮'!E37-'[1]资源-木石铜粮'!E36)*'[1]功能-付费相关'!U37/节奏总纲!Y35</f>
        <v>3144.9918672652152</v>
      </c>
      <c r="X35" s="31">
        <f>('[1]资源-木石铜粮'!F37-'[1]资源-木石铜粮'!F36)*'[1]功能-付费相关'!V37/节奏总纲!Z35</f>
        <v>3420.6108188218559</v>
      </c>
      <c r="Y35" s="31">
        <f>('[1]资源-木石铜粮'!G37-'[1]资源-木石铜粮'!G36)*'[1]功能-付费相关'!W37/节奏总纲!AA35</f>
        <v>4494.0111231651781</v>
      </c>
      <c r="AA35" s="11">
        <f>('[1]资源-铁'!C37-'[1]资源-铁'!C36)*'[1]功能-付费相关'!X37/节奏总纲!W35</f>
        <v>0</v>
      </c>
      <c r="AB35" s="11">
        <f>('[1]资源-铁'!D37-'[1]资源-铁'!D36)*'[1]功能-付费相关'!Y37/节奏总纲!X35</f>
        <v>0</v>
      </c>
      <c r="AC35" s="11">
        <f>('[1]资源-铁'!E37-'[1]资源-铁'!E36)*'[1]功能-付费相关'!Z37/节奏总纲!Y35</f>
        <v>0</v>
      </c>
      <c r="AD35" s="11">
        <f>('[1]资源-铁'!F37-'[1]资源-铁'!F36)*'[1]功能-付费相关'!AA37/节奏总纲!Z35</f>
        <v>0</v>
      </c>
      <c r="AE35" s="11">
        <f>('[1]资源-铁'!G37-'[1]资源-铁'!G36)*'[1]功能-付费相关'!AB37/节奏总纲!AA35</f>
        <v>0</v>
      </c>
      <c r="AG35" s="11">
        <f>('[1]资源-银币'!C37-'[1]资源-银币'!C36)*'[1]功能-付费相关'!AQ37/节奏总纲!W35</f>
        <v>2021.7670473155074</v>
      </c>
      <c r="AH35" s="11">
        <f>('[1]资源-银币'!D37-'[1]资源-银币'!D36)*'[1]功能-付费相关'!AR37/节奏总纲!X35</f>
        <v>2218.8790988264072</v>
      </c>
      <c r="AI35" s="11">
        <f>('[1]资源-银币'!E37-'[1]资源-银币'!E36)*'[1]功能-付费相关'!AS37/节奏总纲!Y35</f>
        <v>2179.2990063048123</v>
      </c>
      <c r="AJ35" s="11">
        <f>('[1]资源-银币'!F37-'[1]资源-银币'!F36)*'[1]功能-付费相关'!AT37/节奏总纲!Z35</f>
        <v>2402.7418764087229</v>
      </c>
      <c r="AK35" s="11">
        <f>('[1]资源-银币'!G37-'[1]资源-银币'!G36)*'[1]功能-付费相关'!AU37/节奏总纲!AA35</f>
        <v>3205.7061282270415</v>
      </c>
      <c r="AM35" s="11" t="e">
        <f>(#REF!-#REF!)*'[1]功能-付费相关'!CA37/节奏总纲!W35</f>
        <v>#REF!</v>
      </c>
      <c r="AN35" s="11" t="e">
        <f>(#REF!-#REF!)*'[1]功能-付费相关'!CB37/节奏总纲!X35</f>
        <v>#REF!</v>
      </c>
      <c r="AO35" s="11" t="e">
        <f>(#REF!-#REF!)*'[1]功能-付费相关'!CC37/节奏总纲!Y35</f>
        <v>#REF!</v>
      </c>
      <c r="AP35" s="11" t="e">
        <f>(#REF!-#REF!)*'[1]功能-付费相关'!CD37/节奏总纲!Z35</f>
        <v>#REF!</v>
      </c>
      <c r="AQ35" s="11" t="e">
        <f>(#REF!-#REF!)*'[1]功能-付费相关'!CE37/节奏总纲!AA35</f>
        <v>#REF!</v>
      </c>
      <c r="AS35" s="11">
        <f>('[1]资源-装备经验'!C37-'[1]资源-装备经验'!C36)*'[1]功能-付费相关'!BI37/节奏总纲!W35</f>
        <v>1309.1545492659141</v>
      </c>
      <c r="AT35" s="11">
        <f>('[1]资源-装备经验'!D37-'[1]资源-装备经验'!D36)*'[1]功能-付费相关'!BJ37/节奏总纲!X35</f>
        <v>1883.4321713878483</v>
      </c>
      <c r="AU35" s="11">
        <f>('[1]资源-装备经验'!E37-'[1]资源-装备经验'!E36)*'[1]功能-付费相关'!BK37/节奏总纲!Y35</f>
        <v>2556.1008100564254</v>
      </c>
      <c r="AV35" s="11">
        <f>('[1]资源-装备经验'!F37-'[1]资源-装备经验'!F36)*'[1]功能-付费相关'!BL37/节奏总纲!Z35</f>
        <v>2956.8125905667207</v>
      </c>
      <c r="AW35" s="11">
        <f>('[1]资源-装备经验'!G37-'[1]资源-装备经验'!G36)*'[1]功能-付费相关'!BM37/节奏总纲!AA35</f>
        <v>2781.6553677895981</v>
      </c>
      <c r="AY35" s="11">
        <f>('[1]资源-武将经验'!C37*节奏总纲!BJ35-'[1]资源-武将经验'!C36*节奏总纲!BJ34)*'[1]功能-付费相关'!AZ37/节奏总纲!W35</f>
        <v>5628.056640126274</v>
      </c>
      <c r="AZ35" s="11">
        <f>('[1]资源-武将经验'!D37*节奏总纲!BK35-'[1]资源-武将经验'!D36*节奏总纲!BK34)*'[1]功能-付费相关'!BA37/节奏总纲!X35</f>
        <v>6652.5496302528036</v>
      </c>
      <c r="BA35" s="11">
        <f>('[1]资源-武将经验'!E37*节奏总纲!BL35-'[1]资源-武将经验'!E36*节奏总纲!BL34)*'[1]功能-付费相关'!BB37/节奏总纲!Y35</f>
        <v>8193.9201482153821</v>
      </c>
      <c r="BB35" s="11">
        <f>('[1]资源-武将经验'!F37*节奏总纲!BM35-'[1]资源-武将经验'!F36*节奏总纲!BM34)*'[1]功能-付费相关'!BC37/节奏总纲!Z35</f>
        <v>18088.461319365153</v>
      </c>
      <c r="BC35" s="11">
        <f>('[1]资源-武将经验'!G37*节奏总纲!BN35-'[1]资源-武将经验'!G36*节奏总纲!BN34)*'[1]功能-付费相关'!BD37/节奏总纲!AA35</f>
        <v>32945.380307023122</v>
      </c>
      <c r="BD35" s="33"/>
      <c r="BE35" s="30" t="e">
        <f t="shared" si="4"/>
        <v>#REF!</v>
      </c>
      <c r="BF35" s="30" t="e">
        <f t="shared" si="0"/>
        <v>#REF!</v>
      </c>
      <c r="BG35" s="30" t="e">
        <f t="shared" si="1"/>
        <v>#REF!</v>
      </c>
      <c r="BH35" s="30" t="e">
        <f t="shared" si="2"/>
        <v>#REF!</v>
      </c>
      <c r="BI35" s="30" t="e">
        <f t="shared" si="3"/>
        <v>#REF!</v>
      </c>
    </row>
    <row r="36" spans="2:61" x14ac:dyDescent="0.15">
      <c r="B36" s="31">
        <v>33</v>
      </c>
      <c r="C36" s="11">
        <f>('[1]资源-玩家城池建筑时间'!D38-'[1]资源-玩家城池建筑时间'!D37)*'[1]功能-付费相关'!AH38/节奏总纲!W36</f>
        <v>4354.8862185187909</v>
      </c>
      <c r="D36" s="11">
        <f>('[1]资源-玩家城池建筑时间'!E38-'[1]资源-玩家城池建筑时间'!E37)*'[1]功能-付费相关'!AI38/节奏总纲!X36</f>
        <v>5216.6436439676354</v>
      </c>
      <c r="E36" s="11">
        <f>('[1]资源-玩家城池建筑时间'!F38-'[1]资源-玩家城池建筑时间'!F37)*'[1]功能-付费相关'!AJ38/节奏总纲!Y36</f>
        <v>6120.6934861933059</v>
      </c>
      <c r="F36" s="11">
        <f>('[1]资源-玩家城池建筑时间'!G38-'[1]资源-玩家城池建筑时间'!G37)*'[1]功能-付费相关'!AK38/节奏总纲!Z36</f>
        <v>7997.1053646459413</v>
      </c>
      <c r="G36" s="11">
        <f>('[1]资源-玩家城池建筑时间'!H38-'[1]资源-玩家城池建筑时间'!H37)*'[1]功能-付费相关'!AL38/节奏总纲!AA36</f>
        <v>10837.676701125418</v>
      </c>
      <c r="I36" s="31">
        <f>('[1]资源-士兵训练时间'!C38-'[1]资源-士兵训练时间'!C37)*'[1]功能-付费相关'!AH38/节奏总纲!W36</f>
        <v>1669.3167462556969</v>
      </c>
      <c r="J36" s="31">
        <f>('[1]资源-士兵训练时间'!D38-'[1]资源-士兵训练时间'!D37)*'[1]功能-付费相关'!AI38/节奏总纲!X36</f>
        <v>1725.7272833689385</v>
      </c>
      <c r="K36" s="31">
        <f>('[1]资源-士兵训练时间'!E38-'[1]资源-士兵训练时间'!E37)*'[1]功能-付费相关'!AJ38/节奏总纲!Y36</f>
        <v>1784.9456563305719</v>
      </c>
      <c r="L36" s="31">
        <f>('[1]资源-士兵训练时间'!F38-'[1]资源-士兵训练时间'!F37)*'[1]功能-付费相关'!AK38/节奏总纲!Z36</f>
        <v>1934.8274290149079</v>
      </c>
      <c r="M36" s="31">
        <f>('[1]资源-士兵训练时间'!G38-'[1]资源-士兵训练时间'!G37)*'[1]功能-付费相关'!AL38/节奏总纲!AA36</f>
        <v>2562.1909351454792</v>
      </c>
      <c r="O36" s="11">
        <f>('[1]资源-士兵招募时间'!D38-'[1]资源-士兵招募时间'!D37)*'[1]功能-付费相关'!AH38/节奏总纲!W36</f>
        <v>2958.4510308097674</v>
      </c>
      <c r="P36" s="11">
        <f>('[1]资源-士兵招募时间'!E38-'[1]资源-士兵招募时间'!E37)*'[1]功能-付费相关'!AI38/节奏总纲!X36</f>
        <v>3398.7846094801384</v>
      </c>
      <c r="Q36" s="11">
        <f>('[1]资源-士兵招募时间'!F38-'[1]资源-士兵招募时间'!F37)*'[1]功能-付费相关'!AJ38/节奏总纲!Y36</f>
        <v>3837.2483406346332</v>
      </c>
      <c r="R36" s="11">
        <f>('[1]资源-士兵招募时间'!G38-'[1]资源-士兵招募时间'!G37)*'[1]功能-付费相关'!AK38/节奏总纲!Z36</f>
        <v>4790.2035417417483</v>
      </c>
      <c r="S36" s="11">
        <f>('[1]资源-士兵招募时间'!H38-'[1]资源-士兵招募时间'!H37)*'[1]功能-付费相关'!AL38/节奏总纲!AA36</f>
        <v>6608.92465235902</v>
      </c>
      <c r="U36" s="31">
        <f>('[1]资源-木石铜粮'!C38-'[1]资源-木石铜粮'!C37)*'[1]功能-付费相关'!S38/节奏总纲!W36</f>
        <v>2635.8281846223463</v>
      </c>
      <c r="V36" s="31">
        <f>('[1]资源-木石铜粮'!D38-'[1]资源-木石铜粮'!D37)*'[1]功能-付费相关'!T38/节奏总纲!X36</f>
        <v>2824.1789986473577</v>
      </c>
      <c r="W36" s="31">
        <f>('[1]资源-木石铜粮'!E38-'[1]资源-木石铜粮'!E37)*'[1]功能-付费相关'!U38/节奏总纲!Y36</f>
        <v>3040.9621146839086</v>
      </c>
      <c r="X36" s="31">
        <f>('[1]资源-木石铜粮'!F38-'[1]资源-木石铜粮'!F37)*'[1]功能-付费相关'!V38/节奏总纲!Z36</f>
        <v>3291.9779953698207</v>
      </c>
      <c r="Y36" s="31">
        <f>('[1]资源-木石铜粮'!G38-'[1]资源-木石铜粮'!G37)*'[1]功能-付费相关'!W38/节奏总纲!AA36</f>
        <v>4620.5308457862138</v>
      </c>
      <c r="AA36" s="11">
        <f>('[1]资源-铁'!C38-'[1]资源-铁'!C37)*'[1]功能-付费相关'!X38/节奏总纲!W36</f>
        <v>0</v>
      </c>
      <c r="AB36" s="11">
        <f>('[1]资源-铁'!D38-'[1]资源-铁'!D37)*'[1]功能-付费相关'!Y38/节奏总纲!X36</f>
        <v>0</v>
      </c>
      <c r="AC36" s="11">
        <f>('[1]资源-铁'!E38-'[1]资源-铁'!E37)*'[1]功能-付费相关'!Z38/节奏总纲!Y36</f>
        <v>0</v>
      </c>
      <c r="AD36" s="11">
        <f>('[1]资源-铁'!F38-'[1]资源-铁'!F37)*'[1]功能-付费相关'!AA38/节奏总纲!Z36</f>
        <v>0</v>
      </c>
      <c r="AE36" s="11">
        <f>('[1]资源-铁'!G38-'[1]资源-铁'!G37)*'[1]功能-付费相关'!AB38/节奏总纲!AA36</f>
        <v>0</v>
      </c>
      <c r="AG36" s="11">
        <f>('[1]资源-银币'!C38-'[1]资源-银币'!C37)*'[1]功能-付费相关'!AQ38/节奏总纲!W36</f>
        <v>1938.1902437700944</v>
      </c>
      <c r="AH36" s="11">
        <f>('[1]资源-银币'!D38-'[1]资源-银币'!D37)*'[1]功能-付费相关'!AR38/节奏总纲!X36</f>
        <v>1951.9791035154155</v>
      </c>
      <c r="AI36" s="11">
        <f>('[1]资源-银币'!E38-'[1]资源-银币'!E37)*'[1]功能-付费相关'!AS38/节奏总纲!Y36</f>
        <v>2058.2897744909433</v>
      </c>
      <c r="AJ36" s="11">
        <f>('[1]资源-银币'!F38-'[1]资源-银币'!F37)*'[1]功能-付费相关'!AT38/节奏总纲!Z36</f>
        <v>2222.4497058926599</v>
      </c>
      <c r="AK36" s="11">
        <f>('[1]资源-银币'!G38-'[1]资源-银币'!G37)*'[1]功能-付费相关'!AU38/节奏总纲!AA36</f>
        <v>3432.9485330431776</v>
      </c>
      <c r="AM36" s="11" t="e">
        <f>(#REF!-#REF!)*'[1]功能-付费相关'!CA38/节奏总纲!W36</f>
        <v>#REF!</v>
      </c>
      <c r="AN36" s="11" t="e">
        <f>(#REF!-#REF!)*'[1]功能-付费相关'!CB38/节奏总纲!X36</f>
        <v>#REF!</v>
      </c>
      <c r="AO36" s="11" t="e">
        <f>(#REF!-#REF!)*'[1]功能-付费相关'!CC38/节奏总纲!Y36</f>
        <v>#REF!</v>
      </c>
      <c r="AP36" s="11" t="e">
        <f>(#REF!-#REF!)*'[1]功能-付费相关'!CD38/节奏总纲!Z36</f>
        <v>#REF!</v>
      </c>
      <c r="AQ36" s="11" t="e">
        <f>(#REF!-#REF!)*'[1]功能-付费相关'!CE38/节奏总纲!AA36</f>
        <v>#REF!</v>
      </c>
      <c r="AS36" s="11">
        <f>('[1]资源-装备经验'!C38-'[1]资源-装备经验'!C37)*'[1]功能-付费相关'!BI38/节奏总纲!W36</f>
        <v>1243.610396255046</v>
      </c>
      <c r="AT36" s="11">
        <f>('[1]资源-装备经验'!D38-'[1]资源-装备经验'!D37)*'[1]功能-付费相关'!BJ38/节奏总纲!X36</f>
        <v>1794.2459922963778</v>
      </c>
      <c r="AU36" s="11">
        <f>('[1]资源-装备经验'!E38-'[1]资源-装备经验'!E37)*'[1]功能-付费相关'!BK38/节奏总纲!Y36</f>
        <v>2410.4467186836218</v>
      </c>
      <c r="AV36" s="11">
        <f>('[1]资源-装备经验'!F38-'[1]资源-装备经验'!F37)*'[1]功能-付费相关'!BL38/节奏总纲!Z36</f>
        <v>2744.5607129445466</v>
      </c>
      <c r="AW36" s="11">
        <f>('[1]资源-装备经验'!G38-'[1]资源-装备经验'!G37)*'[1]功能-付费相关'!BM38/节奏总纲!AA36</f>
        <v>2986.1639795403548</v>
      </c>
      <c r="AY36" s="11">
        <f>('[1]资源-武将经验'!C38*节奏总纲!BJ36-'[1]资源-武将经验'!C37*节奏总纲!BJ35)*'[1]功能-付费相关'!AZ38/节奏总纲!W36</f>
        <v>5445.2032819451897</v>
      </c>
      <c r="AZ36" s="11">
        <f>('[1]资源-武将经验'!D38*节奏总纲!BK36-'[1]资源-武将经验'!D37*节奏总纲!BK35)*'[1]功能-付费相关'!BA38/节奏总纲!X36</f>
        <v>6757.5434718787628</v>
      </c>
      <c r="BA36" s="11">
        <f>('[1]资源-武将经验'!E38*节奏总纲!BL36-'[1]资源-武将经验'!E37*节奏总纲!BL35)*'[1]功能-付费相关'!BB38/节奏总纲!Y36</f>
        <v>8591.5016817564156</v>
      </c>
      <c r="BB36" s="11">
        <f>('[1]资源-武将经验'!F38*节奏总纲!BM36-'[1]资源-武将经验'!F37*节奏总纲!BM35)*'[1]功能-付费相关'!BC38/节奏总纲!Z36</f>
        <v>19806.540052226297</v>
      </c>
      <c r="BC36" s="11">
        <f>('[1]资源-武将经验'!G38*节奏总纲!BN36-'[1]资源-武将经验'!G37*节奏总纲!BN35)*'[1]功能-付费相关'!BD38/节奏总纲!AA36</f>
        <v>39339.868324742027</v>
      </c>
      <c r="BD36" s="33"/>
      <c r="BE36" s="30" t="e">
        <f t="shared" si="4"/>
        <v>#REF!</v>
      </c>
      <c r="BF36" s="30" t="e">
        <f t="shared" ref="BF36:BF67" si="5">D36+V36+AB36+AH36+AN36+AT36+AZ36</f>
        <v>#REF!</v>
      </c>
      <c r="BG36" s="30" t="e">
        <f t="shared" ref="BG36:BG67" si="6">E36+W36+AC36+AI36+AO36+AU36+BA36</f>
        <v>#REF!</v>
      </c>
      <c r="BH36" s="30" t="e">
        <f t="shared" ref="BH36:BH67" si="7">F36+X36+AD36+AJ36+AP36+AV36+BB36</f>
        <v>#REF!</v>
      </c>
      <c r="BI36" s="30" t="e">
        <f t="shared" ref="BI36:BI67" si="8">G36+Y36+AE36+AK36+AQ36+AW36+BC36</f>
        <v>#REF!</v>
      </c>
    </row>
    <row r="37" spans="2:61" x14ac:dyDescent="0.15">
      <c r="B37" s="31">
        <v>34</v>
      </c>
      <c r="C37" s="11">
        <f>('[1]资源-玩家城池建筑时间'!D39-'[1]资源-玩家城池建筑时间'!D38)*'[1]功能-付费相关'!AH39/节奏总纲!W37</f>
        <v>4334.7254600516289</v>
      </c>
      <c r="D37" s="11">
        <f>('[1]资源-玩家城池建筑时间'!E39-'[1]资源-玩家城池建筑时间'!E38)*'[1]功能-付费相关'!AI39/节奏总纲!X37</f>
        <v>5009.2706864091024</v>
      </c>
      <c r="E37" s="11">
        <f>('[1]资源-玩家城池建筑时间'!F39-'[1]资源-玩家城池建筑时间'!F38)*'[1]功能-付费相关'!AJ39/节奏总纲!Y37</f>
        <v>5832.1513739269176</v>
      </c>
      <c r="F37" s="11">
        <f>('[1]资源-玩家城池建筑时间'!G39-'[1]资源-玩家城池建筑时间'!G38)*'[1]功能-付费相关'!AK39/节奏总纲!Z37</f>
        <v>7884.3573347670454</v>
      </c>
      <c r="G37" s="11">
        <f>('[1]资源-玩家城池建筑时间'!H39-'[1]资源-玩家城池建筑时间'!H38)*'[1]功能-付费相关'!AL39/节奏总纲!AA37</f>
        <v>10478.719179809907</v>
      </c>
      <c r="I37" s="31">
        <f>('[1]资源-士兵训练时间'!C39-'[1]资源-士兵训练时间'!C38)*'[1]功能-付费相关'!AH39/节奏总纲!W37</f>
        <v>1639.6210783436002</v>
      </c>
      <c r="J37" s="31">
        <f>('[1]资源-士兵训练时间'!D39-'[1]资源-士兵训练时间'!D38)*'[1]功能-付费相关'!AI39/节奏总纲!X37</f>
        <v>1661.8189652219794</v>
      </c>
      <c r="K37" s="31">
        <f>('[1]资源-士兵训练时间'!E39-'[1]资源-士兵训练时间'!E38)*'[1]功能-付费相关'!AJ39/节奏总纲!Y37</f>
        <v>1719.9492843064097</v>
      </c>
      <c r="L37" s="31">
        <f>('[1]资源-士兵训练时间'!F39-'[1]资源-士兵训练时间'!F38)*'[1]功能-付费相关'!AK39/节奏总纲!Z37</f>
        <v>1914.2107572647451</v>
      </c>
      <c r="M37" s="31">
        <f>('[1]资源-士兵训练时间'!G39-'[1]资源-士兵训练时间'!G38)*'[1]功能-付费相关'!AL39/节奏总纲!AA37</f>
        <v>2478.8919661295126</v>
      </c>
      <c r="O37" s="11">
        <f>('[1]资源-士兵招募时间'!D39-'[1]资源-士兵招募时间'!D38)*'[1]功能-付费相关'!AH39/节奏总纲!W37</f>
        <v>3029.5126161541889</v>
      </c>
      <c r="P37" s="11">
        <f>('[1]资源-士兵招募时间'!E39-'[1]资源-士兵招募时间'!E38)*'[1]功能-付费相关'!AI39/节奏总纲!X37</f>
        <v>3342.2538422316443</v>
      </c>
      <c r="Q37" s="11">
        <f>('[1]资源-士兵招募时间'!F39-'[1]资源-士兵招募时间'!F38)*'[1]功能-付费相关'!AJ39/节奏总纲!Y37</f>
        <v>3777.2074433938683</v>
      </c>
      <c r="R37" s="11">
        <f>('[1]资源-士兵招募时间'!G39-'[1]资源-士兵招募时间'!G38)*'[1]功能-付费相关'!AK39/节奏总纲!Z37</f>
        <v>4921.3011077835354</v>
      </c>
      <c r="S37" s="11">
        <f>('[1]资源-士兵招募时间'!H39-'[1]资源-士兵招募时间'!H38)*'[1]功能-付费相关'!AL39/节奏总纲!AA37</f>
        <v>6402.1710311199049</v>
      </c>
      <c r="U37" s="31">
        <f>('[1]资源-木石铜粮'!C39-'[1]资源-木石铜粮'!C38)*'[1]功能-付费相关'!S39/节奏总纲!W37</f>
        <v>2581.7740010161165</v>
      </c>
      <c r="V37" s="31">
        <f>('[1]资源-木石铜粮'!D39-'[1]资源-木石铜粮'!D38)*'[1]功能-付费相关'!T39/节奏总纲!X37</f>
        <v>2732.0725612608007</v>
      </c>
      <c r="W37" s="31">
        <f>('[1]资源-木石铜粮'!E39-'[1]资源-木石铜粮'!E38)*'[1]功能-付费相关'!U39/节奏总纲!Y37</f>
        <v>2993.6434955961527</v>
      </c>
      <c r="X37" s="31">
        <f>('[1]资源-木石铜粮'!F39-'[1]资源-木石铜粮'!F38)*'[1]功能-付费相关'!V39/节奏总纲!Z37</f>
        <v>3270.8682081479783</v>
      </c>
      <c r="Y37" s="31">
        <f>('[1]资源-木石铜粮'!G39-'[1]资源-木石铜粮'!G38)*'[1]功能-付费相关'!W39/节奏总纲!AA37</f>
        <v>4355.5633571508633</v>
      </c>
      <c r="AA37" s="11">
        <f>('[1]资源-铁'!C39-'[1]资源-铁'!C38)*'[1]功能-付费相关'!X39/节奏总纲!W37</f>
        <v>0</v>
      </c>
      <c r="AB37" s="11">
        <f>('[1]资源-铁'!D39-'[1]资源-铁'!D38)*'[1]功能-付费相关'!Y39/节奏总纲!X37</f>
        <v>0</v>
      </c>
      <c r="AC37" s="11">
        <f>('[1]资源-铁'!E39-'[1]资源-铁'!E38)*'[1]功能-付费相关'!Z39/节奏总纲!Y37</f>
        <v>0</v>
      </c>
      <c r="AD37" s="11">
        <f>('[1]资源-铁'!F39-'[1]资源-铁'!F38)*'[1]功能-付费相关'!AA39/节奏总纲!Z37</f>
        <v>0</v>
      </c>
      <c r="AE37" s="11">
        <f>('[1]资源-铁'!G39-'[1]资源-铁'!G38)*'[1]功能-付费相关'!AB39/节奏总纲!AA37</f>
        <v>0</v>
      </c>
      <c r="AG37" s="11">
        <f>('[1]资源-银币'!C39-'[1]资源-银币'!C38)*'[1]功能-付费相关'!AQ39/节奏总纲!W37</f>
        <v>1752.3082092138325</v>
      </c>
      <c r="AH37" s="11">
        <f>('[1]资源-银币'!D39-'[1]资源-银币'!D38)*'[1]功能-付费相关'!AR39/节奏总纲!X37</f>
        <v>1918.723878843263</v>
      </c>
      <c r="AI37" s="11">
        <f>('[1]资源-银币'!E39-'[1]资源-银币'!E38)*'[1]功能-付费相关'!AS39/节奏总纲!Y37</f>
        <v>1854.1375038903902</v>
      </c>
      <c r="AJ37" s="11">
        <f>('[1]资源-银币'!F39-'[1]资源-银币'!F38)*'[1]功能-付费相关'!AT39/节奏总纲!Z37</f>
        <v>2274.6796485667351</v>
      </c>
      <c r="AK37" s="11">
        <f>('[1]资源-银币'!G39-'[1]资源-银币'!G38)*'[1]功能-付费相关'!AU39/节奏总纲!AA37</f>
        <v>3439.6614151040912</v>
      </c>
      <c r="AM37" s="11" t="e">
        <f>(#REF!-#REF!)*'[1]功能-付费相关'!CA39/节奏总纲!W37</f>
        <v>#REF!</v>
      </c>
      <c r="AN37" s="11" t="e">
        <f>(#REF!-#REF!)*'[1]功能-付费相关'!CB39/节奏总纲!X37</f>
        <v>#REF!</v>
      </c>
      <c r="AO37" s="11" t="e">
        <f>(#REF!-#REF!)*'[1]功能-付费相关'!CC39/节奏总纲!Y37</f>
        <v>#REF!</v>
      </c>
      <c r="AP37" s="11" t="e">
        <f>(#REF!-#REF!)*'[1]功能-付费相关'!CD39/节奏总纲!Z37</f>
        <v>#REF!</v>
      </c>
      <c r="AQ37" s="11" t="e">
        <f>(#REF!-#REF!)*'[1]功能-付费相关'!CE39/节奏总纲!AA37</f>
        <v>#REF!</v>
      </c>
      <c r="AS37" s="11">
        <f>('[1]资源-装备经验'!C39-'[1]资源-装备经验'!C38)*'[1]功能-付费相关'!BI39/节奏总纲!W37</f>
        <v>1185.4415891097351</v>
      </c>
      <c r="AT37" s="11">
        <f>('[1]资源-装备经验'!D39-'[1]资源-装备经验'!D38)*'[1]功能-付费相关'!BJ39/节奏总纲!X37</f>
        <v>1703.3294404713415</v>
      </c>
      <c r="AU37" s="11">
        <f>('[1]资源-装备经验'!E39-'[1]资源-装备经验'!E38)*'[1]功能-付费相关'!BK39/节奏总纲!Y37</f>
        <v>2298.8512260369193</v>
      </c>
      <c r="AV37" s="11">
        <f>('[1]资源-装备经验'!F39-'[1]资源-装备经验'!F38)*'[1]功能-付费相关'!BL39/节奏总纲!Z37</f>
        <v>2776.6336207056515</v>
      </c>
      <c r="AW37" s="11">
        <f>('[1]资源-装备经验'!G39-'[1]资源-装备经验'!G38)*'[1]功能-付费相关'!BM39/节奏总纲!AA37</f>
        <v>2775.9254611087272</v>
      </c>
      <c r="AY37" s="11">
        <f>('[1]资源-武将经验'!C39*节奏总纲!BJ37-'[1]资源-武将经验'!C38*节奏总纲!BJ36)*'[1]功能-付费相关'!AZ39/节奏总纲!W37</f>
        <v>5914.9462586087639</v>
      </c>
      <c r="AZ37" s="11">
        <f>('[1]资源-武将经验'!D39*节奏总纲!BK37-'[1]资源-武将经验'!D38*节奏总纲!BK36)*'[1]功能-付费相关'!BA39/节奏总纲!X37</f>
        <v>6995.2870086026951</v>
      </c>
      <c r="BA37" s="11">
        <f>('[1]资源-武将经验'!E39*节奏总纲!BL37-'[1]资源-武将经验'!E38*节奏总纲!BL36)*'[1]功能-付费相关'!BB39/节奏总纲!Y37</f>
        <v>8567.7924293156939</v>
      </c>
      <c r="BB37" s="11">
        <f>('[1]资源-武将经验'!F39*节奏总纲!BM37-'[1]资源-武将经验'!F38*节奏总纲!BM36)*'[1]功能-付费相关'!BC39/节奏总纲!Z37</f>
        <v>20144.98834371681</v>
      </c>
      <c r="BC37" s="11">
        <f>('[1]资源-武将经验'!G39*节奏总纲!BN37-'[1]资源-武将经验'!G38*节奏总纲!BN36)*'[1]功能-付费相关'!BD39/节奏总纲!AA37</f>
        <v>35680.991287193458</v>
      </c>
      <c r="BD37" s="33"/>
      <c r="BE37" s="30" t="e">
        <f t="shared" si="4"/>
        <v>#REF!</v>
      </c>
      <c r="BF37" s="30" t="e">
        <f t="shared" si="5"/>
        <v>#REF!</v>
      </c>
      <c r="BG37" s="30" t="e">
        <f t="shared" si="6"/>
        <v>#REF!</v>
      </c>
      <c r="BH37" s="30" t="e">
        <f t="shared" si="7"/>
        <v>#REF!</v>
      </c>
      <c r="BI37" s="30" t="e">
        <f t="shared" si="8"/>
        <v>#REF!</v>
      </c>
    </row>
    <row r="38" spans="2:61" x14ac:dyDescent="0.15">
      <c r="B38" s="31">
        <v>35</v>
      </c>
      <c r="C38" s="11">
        <f>('[1]资源-玩家城池建筑时间'!D40-'[1]资源-玩家城池建筑时间'!D39)*'[1]功能-付费相关'!AH40/节奏总纲!W38</f>
        <v>4176.0028875280277</v>
      </c>
      <c r="D38" s="11">
        <f>('[1]资源-玩家城池建筑时间'!E40-'[1]资源-玩家城池建筑时间'!E39)*'[1]功能-付费相关'!AI40/节奏总纲!X38</f>
        <v>4784.5984143857913</v>
      </c>
      <c r="E38" s="11">
        <f>('[1]资源-玩家城池建筑时间'!F40-'[1]资源-玩家城池建筑时间'!F39)*'[1]功能-付费相关'!AJ40/节奏总纲!Y38</f>
        <v>5733.2027392900081</v>
      </c>
      <c r="F38" s="11">
        <f>('[1]资源-玩家城池建筑时间'!G40-'[1]资源-玩家城池建筑时间'!G39)*'[1]功能-付费相关'!AK40/节奏总纲!Z38</f>
        <v>7793.9085254928777</v>
      </c>
      <c r="G38" s="11">
        <f>('[1]资源-玩家城池建筑时间'!H40-'[1]资源-玩家城池建筑时间'!H39)*'[1]功能-付费相关'!AL40/节奏总纲!AA38</f>
        <v>10118.055632844646</v>
      </c>
      <c r="I38" s="31">
        <f>('[1]资源-士兵训练时间'!C40-'[1]资源-士兵训练时间'!C39)*'[1]功能-付费相关'!AH40/节奏总纲!W38</f>
        <v>1582.1692192829858</v>
      </c>
      <c r="J38" s="31">
        <f>('[1]资源-士兵训练时间'!D40-'[1]资源-士兵训练时间'!D39)*'[1]功能-付费相关'!AI40/节奏总纲!X38</f>
        <v>1599.1043223517777</v>
      </c>
      <c r="K38" s="31">
        <f>('[1]资源-士兵训练时间'!E40-'[1]资源-士兵训练时间'!E39)*'[1]功能-付费相关'!AJ40/节奏总纲!Y38</f>
        <v>1687.8876116420042</v>
      </c>
      <c r="L38" s="31">
        <f>('[1]资源-士兵训练时间'!F40-'[1]资源-士兵训练时间'!F39)*'[1]功能-付费相关'!AK40/节奏总纲!Z38</f>
        <v>1902.5693105437385</v>
      </c>
      <c r="M38" s="31">
        <f>('[1]资源-士兵训练时间'!G40-'[1]资源-士兵训练时间'!G39)*'[1]功能-付费相关'!AL40/节奏总纲!AA38</f>
        <v>2398.6763388160202</v>
      </c>
      <c r="O38" s="11">
        <f>('[1]资源-士兵招募时间'!D40-'[1]资源-士兵招募时间'!D39)*'[1]功能-付费相关'!AH40/节奏总纲!W38</f>
        <v>3007.2716825584107</v>
      </c>
      <c r="P38" s="11">
        <f>('[1]资源-士兵招募时间'!E40-'[1]资源-士兵招募时间'!E39)*'[1]功能-付费相关'!AI40/节奏总纲!X38</f>
        <v>3327.6226039725498</v>
      </c>
      <c r="Q38" s="11">
        <f>('[1]资源-士兵招募时间'!F40-'[1]资源-士兵招募时间'!F39)*'[1]功能-付费相关'!AJ40/节奏总纲!Y38</f>
        <v>3780.3462423775882</v>
      </c>
      <c r="R38" s="11">
        <f>('[1]资源-士兵招募时间'!G40-'[1]资源-士兵招募时间'!G39)*'[1]功能-付费相关'!AK40/节奏总纲!Z38</f>
        <v>5078.3314989728533</v>
      </c>
      <c r="S38" s="11">
        <f>('[1]资源-士兵招募时间'!H40-'[1]资源-士兵招募时间'!H39)*'[1]功能-付费相关'!AL40/节奏总纲!AA38</f>
        <v>6339.3984462706485</v>
      </c>
      <c r="U38" s="31">
        <f>('[1]资源-木石铜粮'!C40-'[1]资源-木石铜粮'!C39)*'[1]功能-付费相关'!S40/节奏总纲!W38</f>
        <v>2502.5822557698812</v>
      </c>
      <c r="V38" s="31">
        <f>('[1]资源-木石铜粮'!D40-'[1]资源-木石铜粮'!D39)*'[1]功能-付费相关'!T40/节奏总纲!X38</f>
        <v>2674.4686794532977</v>
      </c>
      <c r="W38" s="31">
        <f>('[1]资源-木石铜粮'!E40-'[1]资源-木石铜粮'!E39)*'[1]功能-付费相关'!U40/节奏总纲!Y38</f>
        <v>2913.0728876200001</v>
      </c>
      <c r="X38" s="31">
        <f>('[1]资源-木石铜粮'!F40-'[1]资源-木石铜粮'!F39)*'[1]功能-付费相关'!V40/节奏总纲!Z38</f>
        <v>3271.3405763719306</v>
      </c>
      <c r="Y38" s="31">
        <f>('[1]资源-木石铜粮'!G40-'[1]资源-木石铜粮'!G39)*'[1]功能-付费相关'!W40/节奏总纲!AA38</f>
        <v>4178.4001002991117</v>
      </c>
      <c r="AA38" s="11">
        <f>('[1]资源-铁'!C40-'[1]资源-铁'!C39)*'[1]功能-付费相关'!X40/节奏总纲!W38</f>
        <v>0</v>
      </c>
      <c r="AB38" s="11">
        <f>('[1]资源-铁'!D40-'[1]资源-铁'!D39)*'[1]功能-付费相关'!Y40/节奏总纲!X38</f>
        <v>0</v>
      </c>
      <c r="AC38" s="11">
        <f>('[1]资源-铁'!E40-'[1]资源-铁'!E39)*'[1]功能-付费相关'!Z40/节奏总纲!Y38</f>
        <v>0</v>
      </c>
      <c r="AD38" s="11">
        <f>('[1]资源-铁'!F40-'[1]资源-铁'!F39)*'[1]功能-付费相关'!AA40/节奏总纲!Z38</f>
        <v>0</v>
      </c>
      <c r="AE38" s="11">
        <f>('[1]资源-铁'!G40-'[1]资源-铁'!G39)*'[1]功能-付费相关'!AB40/节奏总纲!AA38</f>
        <v>0</v>
      </c>
      <c r="AG38" s="11">
        <f>('[1]资源-银币'!C40-'[1]资源-银币'!C39)*'[1]功能-付费相关'!AQ40/节奏总纲!W38</f>
        <v>1713.6364403568534</v>
      </c>
      <c r="AH38" s="11">
        <f>('[1]资源-银币'!D40-'[1]资源-银币'!D39)*'[1]功能-付费相关'!AR40/节奏总纲!X38</f>
        <v>1634.0308031648726</v>
      </c>
      <c r="AI38" s="11">
        <f>('[1]资源-银币'!E40-'[1]资源-银币'!E39)*'[1]功能-付费相关'!AS40/节奏总纲!Y38</f>
        <v>1863.9596607468095</v>
      </c>
      <c r="AJ38" s="11">
        <f>('[1]资源-银币'!F40-'[1]资源-银币'!F39)*'[1]功能-付费相关'!AT40/节奏总纲!Z38</f>
        <v>2286.9226494923514</v>
      </c>
      <c r="AK38" s="11">
        <f>('[1]资源-银币'!G40-'[1]资源-银币'!G39)*'[1]功能-付费相关'!AU40/节奏总纲!AA38</f>
        <v>3342.0431823863091</v>
      </c>
      <c r="AM38" s="11" t="e">
        <f>(#REF!-#REF!)*'[1]功能-付费相关'!CA40/节奏总纲!W38</f>
        <v>#REF!</v>
      </c>
      <c r="AN38" s="11" t="e">
        <f>(#REF!-#REF!)*'[1]功能-付费相关'!CB40/节奏总纲!X38</f>
        <v>#REF!</v>
      </c>
      <c r="AO38" s="11" t="e">
        <f>(#REF!-#REF!)*'[1]功能-付费相关'!CC40/节奏总纲!Y38</f>
        <v>#REF!</v>
      </c>
      <c r="AP38" s="11" t="e">
        <f>(#REF!-#REF!)*'[1]功能-付费相关'!CD40/节奏总纲!Z38</f>
        <v>#REF!</v>
      </c>
      <c r="AQ38" s="11" t="e">
        <f>(#REF!-#REF!)*'[1]功能-付费相关'!CE40/节奏总纲!AA38</f>
        <v>#REF!</v>
      </c>
      <c r="AS38" s="11">
        <f>('[1]资源-装备经验'!C40-'[1]资源-装备经验'!C39)*'[1]功能-付费相关'!BI40/节奏总纲!W38</f>
        <v>1137.4560432872938</v>
      </c>
      <c r="AT38" s="11">
        <f>('[1]资源-装备经验'!D40-'[1]资源-装备经验'!D39)*'[1]功能-付费相关'!BJ40/节奏总纲!X38</f>
        <v>1617.0822486782176</v>
      </c>
      <c r="AU38" s="11">
        <f>('[1]资源-装备经验'!E40-'[1]资源-装备经验'!E39)*'[1]功能-付费相关'!BK40/节奏总纲!Y38</f>
        <v>2225.2903255256028</v>
      </c>
      <c r="AV38" s="11">
        <f>('[1]资源-装备经验'!F40-'[1]资源-装备经验'!F39)*'[1]功能-付费相关'!BL40/节奏总纲!Z38</f>
        <v>2823.1938971762124</v>
      </c>
      <c r="AW38" s="11">
        <f>('[1]资源-装备经验'!G40-'[1]资源-装备经验'!G39)*'[1]功能-付费相关'!BM40/节奏总纲!AA38</f>
        <v>2685.3460475946231</v>
      </c>
      <c r="AY38" s="11">
        <f>('[1]资源-武将经验'!C40*节奏总纲!BJ38-'[1]资源-武将经验'!C39*节奏总纲!BJ37)*'[1]功能-付费相关'!AZ40/节奏总纲!W38</f>
        <v>5678.2536913276472</v>
      </c>
      <c r="AZ38" s="11">
        <f>('[1]资源-武将经验'!D40*节奏总纲!BK38-'[1]资源-武将经验'!D39*节奏总纲!BK37)*'[1]功能-付费相关'!BA40/节奏总纲!X38</f>
        <v>6695.6906318253077</v>
      </c>
      <c r="BA38" s="11">
        <f>('[1]资源-武将经验'!E40*节奏总纲!BL38-'[1]资源-武将经验'!E39*节奏总纲!BL37)*'[1]功能-付费相关'!BB40/节奏总纲!Y38</f>
        <v>8391.4970263185587</v>
      </c>
      <c r="BB38" s="11">
        <f>('[1]资源-武将经验'!F40*节奏总纲!BM38-'[1]资源-武将经验'!F39*节奏总纲!BM37)*'[1]功能-付费相关'!BC40/节奏总纲!Z38</f>
        <v>20527.520911718675</v>
      </c>
      <c r="BC38" s="11">
        <f>('[1]资源-武将经验'!G40*节奏总纲!BN38-'[1]资源-武将经验'!G39*节奏总纲!BN37)*'[1]功能-付费相关'!BD40/节奏总纲!AA38</f>
        <v>33911.849457803641</v>
      </c>
      <c r="BD38" s="33"/>
      <c r="BE38" s="30" t="e">
        <f t="shared" si="4"/>
        <v>#REF!</v>
      </c>
      <c r="BF38" s="30" t="e">
        <f t="shared" si="5"/>
        <v>#REF!</v>
      </c>
      <c r="BG38" s="30" t="e">
        <f t="shared" si="6"/>
        <v>#REF!</v>
      </c>
      <c r="BH38" s="30" t="e">
        <f t="shared" si="7"/>
        <v>#REF!</v>
      </c>
      <c r="BI38" s="30" t="e">
        <f t="shared" si="8"/>
        <v>#REF!</v>
      </c>
    </row>
    <row r="39" spans="2:61" x14ac:dyDescent="0.15">
      <c r="B39" s="31">
        <v>36</v>
      </c>
      <c r="C39" s="11">
        <f>('[1]资源-玩家城池建筑时间'!D41-'[1]资源-玩家城池建筑时间'!D40)*'[1]功能-付费相关'!AH41/节奏总纲!W39</f>
        <v>3997.4332697483851</v>
      </c>
      <c r="D39" s="11">
        <f>('[1]资源-玩家城池建筑时间'!E41-'[1]资源-玩家城池建筑时间'!E40)*'[1]功能-付费相关'!AI41/节奏总纲!X39</f>
        <v>4734.8480812102453</v>
      </c>
      <c r="E39" s="11">
        <f>('[1]资源-玩家城池建筑时间'!F41-'[1]资源-玩家城池建筑时间'!F40)*'[1]功能-付费相关'!AJ41/节奏总纲!Y39</f>
        <v>5664.6653283513133</v>
      </c>
      <c r="F39" s="11">
        <f>('[1]资源-玩家城池建筑时间'!G41-'[1]资源-玩家城池建筑时间'!G40)*'[1]功能-付费相关'!AK41/节奏总纲!Z39</f>
        <v>7680.520023419278</v>
      </c>
      <c r="G39" s="11">
        <f>('[1]资源-玩家城池建筑时间'!H41-'[1]资源-玩家城池建筑时间'!H40)*'[1]功能-付费相关'!AL41/节奏总纲!AA39</f>
        <v>8692.0081781524605</v>
      </c>
      <c r="I39" s="31">
        <f>('[1]资源-士兵训练时间'!C41-'[1]资源-士兵训练时间'!C40)*'[1]功能-付费相关'!AH41/节奏总纲!W39</f>
        <v>1527.6672603110837</v>
      </c>
      <c r="J39" s="31">
        <f>('[1]资源-士兵训练时间'!D41-'[1]资源-士兵训练时间'!D40)*'[1]功能-付费相关'!AI41/节奏总纲!X39</f>
        <v>1568.0262105732631</v>
      </c>
      <c r="K39" s="31">
        <f>('[1]资源-士兵训练时间'!E41-'[1]资源-士兵训练时间'!E40)*'[1]功能-付费相关'!AJ41/节奏总纲!Y39</f>
        <v>1672.4030317714996</v>
      </c>
      <c r="L39" s="31">
        <f>('[1]资源-士兵训练时间'!F41-'[1]资源-士兵训练时间'!F40)*'[1]功能-付费相关'!AK41/节奏总纲!Z39</f>
        <v>1874.88041740228</v>
      </c>
      <c r="M39" s="31">
        <f>('[1]资源-士兵训练时间'!G41-'[1]资源-士兵训练时间'!G40)*'[1]功能-付费相关'!AL41/节奏总纲!AA39</f>
        <v>2069.9786239861419</v>
      </c>
      <c r="O39" s="11">
        <f>('[1]资源-士兵招募时间'!D41-'[1]资源-士兵招募时间'!D40)*'[1]功能-付费相关'!AH41/节奏总纲!W39</f>
        <v>2959.5607183862717</v>
      </c>
      <c r="P39" s="11">
        <f>('[1]资源-士兵招募时间'!E41-'[1]资源-士兵招募时间'!E40)*'[1]功能-付费相关'!AI41/节奏总纲!X39</f>
        <v>3390.990982089088</v>
      </c>
      <c r="Q39" s="11">
        <f>('[1]资源-士兵招募时间'!F41-'[1]资源-士兵招募时间'!F40)*'[1]功能-付费相关'!AJ41/节奏总纲!Y39</f>
        <v>3912.5939675346508</v>
      </c>
      <c r="R39" s="11">
        <f>('[1]资源-士兵招募时间'!G41-'[1]资源-士兵招募时间'!G40)*'[1]功能-付费相关'!AK41/节奏总纲!Z39</f>
        <v>5013.2454928200268</v>
      </c>
      <c r="S39" s="11">
        <f>('[1]资源-士兵招募时间'!H41-'[1]资源-士兵招募时间'!H40)*'[1]功能-付费相关'!AL41/节奏总纲!AA39</f>
        <v>5689.6061881467531</v>
      </c>
      <c r="U39" s="31">
        <f>('[1]资源-木石铜粮'!C41-'[1]资源-木石铜粮'!C40)*'[1]功能-付费相关'!S41/节奏总纲!W39</f>
        <v>2448.1542334374526</v>
      </c>
      <c r="V39" s="31">
        <f>('[1]资源-木石铜粮'!D41-'[1]资源-木石铜粮'!D40)*'[1]功能-付费相关'!T41/节奏总纲!X39</f>
        <v>2606.7996952208528</v>
      </c>
      <c r="W39" s="31">
        <f>('[1]资源-木石铜粮'!E41-'[1]资源-木石铜粮'!E40)*'[1]功能-付费相关'!U41/节奏总纲!Y39</f>
        <v>2962.9582901761883</v>
      </c>
      <c r="X39" s="31">
        <f>('[1]资源-木石铜粮'!F41-'[1]资源-木石铜粮'!F40)*'[1]功能-付费相关'!V41/节奏总纲!Z39</f>
        <v>3157.3767685066391</v>
      </c>
      <c r="Y39" s="31">
        <f>('[1]资源-木石铜粮'!G41-'[1]资源-木石铜粮'!G40)*'[1]功能-付费相关'!W41/节奏总纲!AA39</f>
        <v>3920.6470215774175</v>
      </c>
      <c r="AA39" s="11">
        <f>('[1]资源-铁'!C41-'[1]资源-铁'!C40)*'[1]功能-付费相关'!X41/节奏总纲!W39</f>
        <v>0</v>
      </c>
      <c r="AB39" s="11">
        <f>('[1]资源-铁'!D41-'[1]资源-铁'!D40)*'[1]功能-付费相关'!Y41/节奏总纲!X39</f>
        <v>0</v>
      </c>
      <c r="AC39" s="11">
        <f>('[1]资源-铁'!E41-'[1]资源-铁'!E40)*'[1]功能-付费相关'!Z41/节奏总纲!Y39</f>
        <v>0</v>
      </c>
      <c r="AD39" s="11">
        <f>('[1]资源-铁'!F41-'[1]资源-铁'!F40)*'[1]功能-付费相关'!AA41/节奏总纲!Z39</f>
        <v>0</v>
      </c>
      <c r="AE39" s="11">
        <f>('[1]资源-铁'!G41-'[1]资源-铁'!G40)*'[1]功能-付费相关'!AB41/节奏总纲!AA39</f>
        <v>0</v>
      </c>
      <c r="AG39" s="11">
        <f>('[1]资源-银币'!C41-'[1]资源-银币'!C40)*'[1]功能-付费相关'!AQ41/节奏总纲!W39</f>
        <v>1501.3220866193726</v>
      </c>
      <c r="AH39" s="11">
        <f>('[1]资源-银币'!D41-'[1]资源-银币'!D40)*'[1]功能-付费相关'!AR41/节奏总纲!X39</f>
        <v>1645.4398690478515</v>
      </c>
      <c r="AI39" s="11">
        <f>('[1]资源-银币'!E41-'[1]资源-银币'!E40)*'[1]功能-付费相关'!AS41/节奏总纲!Y39</f>
        <v>1830.8138719907006</v>
      </c>
      <c r="AJ39" s="11">
        <f>('[1]资源-银币'!F41-'[1]资源-银币'!F40)*'[1]功能-付费相关'!AT41/节奏总纲!Z39</f>
        <v>2332.5018773080742</v>
      </c>
      <c r="AK39" s="11">
        <f>('[1]资源-银币'!G41-'[1]资源-银币'!G40)*'[1]功能-付费相关'!AU41/节奏总纲!AA39</f>
        <v>2836.5694493664173</v>
      </c>
      <c r="AM39" s="11" t="e">
        <f>(#REF!-#REF!)*'[1]功能-付费相关'!CA41/节奏总纲!W39</f>
        <v>#REF!</v>
      </c>
      <c r="AN39" s="11" t="e">
        <f>(#REF!-#REF!)*'[1]功能-付费相关'!CB41/节奏总纲!X39</f>
        <v>#REF!</v>
      </c>
      <c r="AO39" s="11" t="e">
        <f>(#REF!-#REF!)*'[1]功能-付费相关'!CC41/节奏总纲!Y39</f>
        <v>#REF!</v>
      </c>
      <c r="AP39" s="11" t="e">
        <f>(#REF!-#REF!)*'[1]功能-付费相关'!CD41/节奏总纲!Z39</f>
        <v>#REF!</v>
      </c>
      <c r="AQ39" s="11" t="e">
        <f>(#REF!-#REF!)*'[1]功能-付费相关'!CE41/节奏总纲!AA39</f>
        <v>#REF!</v>
      </c>
      <c r="AS39" s="11">
        <f>('[1]资源-装备经验'!C41-'[1]资源-装备经验'!C40)*'[1]功能-付费相关'!BI41/节奏总纲!W39</f>
        <v>1090.4203321908603</v>
      </c>
      <c r="AT39" s="11">
        <f>('[1]资源-装备经验'!D41-'[1]资源-装备经验'!D40)*'[1]功能-付费相关'!BJ41/节奏总纲!X39</f>
        <v>1558.5862947075907</v>
      </c>
      <c r="AU39" s="11">
        <f>('[1]资源-装备经验'!E41-'[1]资源-装备经验'!E40)*'[1]功能-付费相关'!BK41/节奏总纲!Y39</f>
        <v>2276.3511864994216</v>
      </c>
      <c r="AV39" s="11">
        <f>('[1]资源-装备经验'!F41-'[1]资源-装备经验'!F40)*'[1]功能-付费相关'!BL41/节奏总纲!Z39</f>
        <v>2674.34670990008</v>
      </c>
      <c r="AW39" s="11">
        <f>('[1]资源-装备经验'!G41-'[1]资源-装备经验'!G40)*'[1]功能-付费相关'!BM41/节奏总纲!AA39</f>
        <v>2389.4704707084165</v>
      </c>
      <c r="AY39" s="11">
        <f>('[1]资源-武将经验'!C41*节奏总纲!BJ39-'[1]资源-武将经验'!C40*节奏总纲!BJ38)*'[1]功能-付费相关'!AZ41/节奏总纲!W39</f>
        <v>5457.6446782076746</v>
      </c>
      <c r="AZ39" s="11">
        <f>('[1]资源-武将经验'!D41*节奏总纲!BK39-'[1]资源-武将经验'!D40*节奏总纲!BK38)*'[1]功能-付费相关'!BA41/节奏总纲!X39</f>
        <v>6521.0790967720914</v>
      </c>
      <c r="BA39" s="11">
        <f>('[1]资源-武将经验'!E41*节奏总纲!BL39-'[1]资源-武将经验'!E40*节奏总纲!BL38)*'[1]功能-付费相关'!BB41/节奏总纲!Y39</f>
        <v>8587.6362214288401</v>
      </c>
      <c r="BB39" s="11">
        <f>('[1]资源-武将经验'!F41*节奏总纲!BM39-'[1]资源-武将经验'!F40*节奏总纲!BM38)*'[1]功能-付费相关'!BC41/节奏总纲!Z39</f>
        <v>19991.987618372907</v>
      </c>
      <c r="BC39" s="11">
        <f>('[1]资源-武将经验'!G41*节奏总纲!BN39-'[1]资源-武将经验'!G40*节奏总纲!BN38)*'[1]功能-付费相关'!BD41/节奏总纲!AA39</f>
        <v>32663.011494194776</v>
      </c>
      <c r="BD39" s="33"/>
      <c r="BE39" s="30" t="e">
        <f t="shared" si="4"/>
        <v>#REF!</v>
      </c>
      <c r="BF39" s="30" t="e">
        <f t="shared" si="5"/>
        <v>#REF!</v>
      </c>
      <c r="BG39" s="30" t="e">
        <f t="shared" si="6"/>
        <v>#REF!</v>
      </c>
      <c r="BH39" s="30" t="e">
        <f t="shared" si="7"/>
        <v>#REF!</v>
      </c>
      <c r="BI39" s="30" t="e">
        <f t="shared" si="8"/>
        <v>#REF!</v>
      </c>
    </row>
    <row r="40" spans="2:61" x14ac:dyDescent="0.15">
      <c r="B40" s="31">
        <v>37</v>
      </c>
      <c r="C40" s="11">
        <f>('[1]资源-玩家城池建筑时间'!D42-'[1]资源-玩家城池建筑时间'!D41)*'[1]功能-付费相关'!AH42/节奏总纲!W40</f>
        <v>3919.9461240382279</v>
      </c>
      <c r="D40" s="11">
        <f>('[1]资源-玩家城池建筑时间'!E42-'[1]资源-玩家城池建筑时间'!E41)*'[1]功能-付费相关'!AI42/节奏总纲!X40</f>
        <v>4649.7160993149764</v>
      </c>
      <c r="E40" s="11">
        <f>('[1]资源-玩家城池建筑时间'!F42-'[1]资源-玩家城池建筑时间'!F41)*'[1]功能-付费相关'!AJ42/节奏总纲!Y40</f>
        <v>5495.6379941592422</v>
      </c>
      <c r="F40" s="11">
        <f>('[1]资源-玩家城池建筑时间'!G42-'[1]资源-玩家城池建筑时间'!G41)*'[1]功能-付费相关'!AK42/节奏总纲!Z40</f>
        <v>7027.575913467128</v>
      </c>
      <c r="G40" s="11">
        <f>('[1]资源-玩家城池建筑时间'!H42-'[1]资源-玩家城池建筑时间'!H41)*'[1]功能-付费相关'!AL42/节奏总纲!AA40</f>
        <v>8803.0761750036381</v>
      </c>
      <c r="I40" s="31">
        <f>('[1]资源-士兵训练时间'!C42-'[1]资源-士兵训练时间'!C41)*'[1]功能-付费相关'!AH42/节奏总纲!W40</f>
        <v>1494.522184198619</v>
      </c>
      <c r="J40" s="31">
        <f>('[1]资源-士兵训练时间'!D42-'[1]资源-士兵训练时间'!D41)*'[1]功能-付费相关'!AI42/节奏总纲!X40</f>
        <v>1539.265728097155</v>
      </c>
      <c r="K40" s="31">
        <f>('[1]资源-士兵训练时间'!E42-'[1]资源-士兵训练时间'!E41)*'[1]功能-付费相关'!AJ42/节奏总纲!Y40</f>
        <v>1617.3763261685713</v>
      </c>
      <c r="L40" s="31">
        <f>('[1]资源-士兵训练时间'!F42-'[1]资源-士兵训练时间'!F41)*'[1]功能-付费相关'!AK42/节奏总纲!Z40</f>
        <v>1720.1770188852602</v>
      </c>
      <c r="M40" s="31">
        <f>('[1]资源-士兵训练时间'!G42-'[1]资源-士兵训练时间'!G41)*'[1]功能-付费相关'!AL42/节奏总纲!AA40</f>
        <v>2095.3398644500026</v>
      </c>
      <c r="O40" s="11">
        <f>('[1]资源-士兵招募时间'!D42-'[1]资源-士兵招募时间'!D41)*'[1]功能-付费相关'!AH42/节奏总纲!W40</f>
        <v>2932.4557757162956</v>
      </c>
      <c r="P40" s="11">
        <f>('[1]资源-士兵招募时间'!E42-'[1]资源-士兵招募时间'!E41)*'[1]功能-付费相关'!AI42/节奏总纲!X40</f>
        <v>3458.3302872323075</v>
      </c>
      <c r="Q40" s="11">
        <f>('[1]资源-士兵招募时间'!F42-'[1]资源-士兵招募时间'!F41)*'[1]功能-付费相关'!AJ42/节奏总纲!Y40</f>
        <v>3921.9202771657924</v>
      </c>
      <c r="R40" s="11">
        <f>('[1]资源-士兵招募时间'!G42-'[1]资源-士兵招募时间'!G41)*'[1]功能-付费相关'!AK42/节奏总纲!Z40</f>
        <v>4649.5995868580458</v>
      </c>
      <c r="S40" s="11">
        <f>('[1]资源-士兵招募时间'!H42-'[1]资源-士兵招募时间'!H41)*'[1]功能-付费相关'!AL42/节奏总纲!AA40</f>
        <v>5714.8146230495686</v>
      </c>
      <c r="U40" s="31">
        <f>('[1]资源-木石铜粮'!C42-'[1]资源-木石铜粮'!C41)*'[1]功能-付费相关'!S42/节奏总纲!W40</f>
        <v>2386.0777377028899</v>
      </c>
      <c r="V40" s="31">
        <f>('[1]资源-木石铜粮'!D42-'[1]资源-木石铜粮'!D41)*'[1]功能-付费相关'!T42/节奏总纲!X40</f>
        <v>2621.749606307927</v>
      </c>
      <c r="W40" s="31">
        <f>('[1]资源-木石铜粮'!E42-'[1]资源-木石铜粮'!E41)*'[1]功能-付费相关'!U42/节奏总纲!Y40</f>
        <v>2879.929510075312</v>
      </c>
      <c r="X40" s="31">
        <f>('[1]资源-木石铜粮'!F42-'[1]资源-木石铜粮'!F41)*'[1]功能-付费相关'!V42/节奏总纲!Z40</f>
        <v>3074.7952867396716</v>
      </c>
      <c r="Y40" s="31">
        <f>('[1]资源-木石铜粮'!G42-'[1]资源-木石铜粮'!G41)*'[1]功能-付费相关'!W42/节奏总纲!AA40</f>
        <v>3740.6231570460741</v>
      </c>
      <c r="AA40" s="11">
        <f>('[1]资源-铁'!C42-'[1]资源-铁'!C41)*'[1]功能-付费相关'!X42/节奏总纲!W40</f>
        <v>0</v>
      </c>
      <c r="AB40" s="11">
        <f>('[1]资源-铁'!D42-'[1]资源-铁'!D41)*'[1]功能-付费相关'!Y42/节奏总纲!X40</f>
        <v>0</v>
      </c>
      <c r="AC40" s="11">
        <f>('[1]资源-铁'!E42-'[1]资源-铁'!E41)*'[1]功能-付费相关'!Z42/节奏总纲!Y40</f>
        <v>0</v>
      </c>
      <c r="AD40" s="11">
        <f>('[1]资源-铁'!F42-'[1]资源-铁'!F41)*'[1]功能-付费相关'!AA42/节奏总纲!Z40</f>
        <v>0</v>
      </c>
      <c r="AE40" s="11">
        <f>('[1]资源-铁'!G42-'[1]资源-铁'!G41)*'[1]功能-付费相关'!AB42/节奏总纲!AA40</f>
        <v>15.219665117138206</v>
      </c>
      <c r="AG40" s="11">
        <f>('[1]资源-银币'!C42-'[1]资源-银币'!C41)*'[1]功能-付费相关'!AQ42/节奏总纲!W40</f>
        <v>1478.1045762405531</v>
      </c>
      <c r="AH40" s="11">
        <f>('[1]资源-银币'!D42-'[1]资源-银币'!D41)*'[1]功能-付费相关'!AR42/节奏总纲!X40</f>
        <v>1621.4831591628799</v>
      </c>
      <c r="AI40" s="11">
        <f>('[1]资源-银币'!E42-'[1]资源-银币'!E41)*'[1]功能-付费相关'!AS42/节奏总纲!Y40</f>
        <v>1799.919674550014</v>
      </c>
      <c r="AJ40" s="11">
        <f>('[1]资源-银币'!F42-'[1]资源-银币'!F41)*'[1]功能-付费相关'!AT42/节奏总纲!Z40</f>
        <v>2091.7622873907026</v>
      </c>
      <c r="AK40" s="11">
        <f>('[1]资源-银币'!G42-'[1]资源-银币'!G41)*'[1]功能-付费相关'!AU42/节奏总纲!AA40</f>
        <v>3000.7901060660188</v>
      </c>
      <c r="AM40" s="11" t="e">
        <f>(#REF!-#REF!)*'[1]功能-付费相关'!CA42/节奏总纲!W40</f>
        <v>#REF!</v>
      </c>
      <c r="AN40" s="11" t="e">
        <f>(#REF!-#REF!)*'[1]功能-付费相关'!CB42/节奏总纲!X40</f>
        <v>#REF!</v>
      </c>
      <c r="AO40" s="11" t="e">
        <f>(#REF!-#REF!)*'[1]功能-付费相关'!CC42/节奏总纲!Y40</f>
        <v>#REF!</v>
      </c>
      <c r="AP40" s="11" t="e">
        <f>(#REF!-#REF!)*'[1]功能-付费相关'!CD42/节奏总纲!Z40</f>
        <v>#REF!</v>
      </c>
      <c r="AQ40" s="11" t="e">
        <f>(#REF!-#REF!)*'[1]功能-付费相关'!CE42/节奏总纲!AA40</f>
        <v>#REF!</v>
      </c>
      <c r="AS40" s="11">
        <f>('[1]资源-装备经验'!C42-'[1]资源-装备经验'!C41)*'[1]功能-付费相关'!BI42/节奏总纲!W40</f>
        <v>1048.3313352155553</v>
      </c>
      <c r="AT40" s="11">
        <f>('[1]资源-装备经验'!D42-'[1]资源-装备经验'!D41)*'[1]功能-付费相关'!BJ42/节奏总纲!X40</f>
        <v>1567.9560955214945</v>
      </c>
      <c r="AU40" s="11">
        <f>('[1]资源-装备经验'!E42-'[1]资源-装备经验'!E41)*'[1]功能-付费相关'!BK42/节奏总纲!Y40</f>
        <v>2203.9255507788321</v>
      </c>
      <c r="AV40" s="11">
        <f>('[1]资源-装备经验'!F42-'[1]资源-装备经验'!F41)*'[1]功能-付费相关'!BL42/节奏总纲!Z40</f>
        <v>2394.7854331429717</v>
      </c>
      <c r="AW40" s="11">
        <f>('[1]资源-装备经验'!G42-'[1]资源-装备经验'!G41)*'[1]功能-付费相关'!BM42/节奏总纲!AA40</f>
        <v>2314.5769161302233</v>
      </c>
      <c r="AY40" s="11">
        <f>('[1]资源-武将经验'!C42*节奏总纲!BJ40-'[1]资源-武将经验'!C41*节奏总纲!BJ39)*'[1]功能-付费相关'!AZ42/节奏总纲!W40</f>
        <v>5282.9320663334829</v>
      </c>
      <c r="AZ40" s="11">
        <f>('[1]资源-武将经验'!D42*节奏总纲!BK40-'[1]资源-武将经验'!D41*节奏总纲!BK39)*'[1]功能-付费相关'!BA42/节奏总纲!X40</f>
        <v>6850.5976892300214</v>
      </c>
      <c r="BA40" s="11">
        <f>('[1]资源-武将经验'!E42*节奏总纲!BL40-'[1]资源-武将经验'!E41*节奏总纲!BL39)*'[1]功能-付费相关'!BB42/节奏总纲!Y40</f>
        <v>9162.6353839195308</v>
      </c>
      <c r="BB40" s="11">
        <f>('[1]资源-武将经验'!F42*节奏总纲!BM40-'[1]资源-武将经验'!F41*节奏总纲!BM39)*'[1]功能-付费相关'!BC42/节奏总纲!Z40</f>
        <v>19864.612694704287</v>
      </c>
      <c r="BC40" s="11">
        <f>('[1]资源-武将经验'!G42*节奏总纲!BN40-'[1]资源-武将经验'!G41*节奏总纲!BN39)*'[1]功能-付费相关'!BD42/节奏总纲!AA40</f>
        <v>31944.832326581556</v>
      </c>
      <c r="BD40" s="33"/>
      <c r="BE40" s="30" t="e">
        <f t="shared" si="4"/>
        <v>#REF!</v>
      </c>
      <c r="BF40" s="30" t="e">
        <f t="shared" si="5"/>
        <v>#REF!</v>
      </c>
      <c r="BG40" s="30" t="e">
        <f t="shared" si="6"/>
        <v>#REF!</v>
      </c>
      <c r="BH40" s="30" t="e">
        <f t="shared" si="7"/>
        <v>#REF!</v>
      </c>
      <c r="BI40" s="30" t="e">
        <f t="shared" si="8"/>
        <v>#REF!</v>
      </c>
    </row>
    <row r="41" spans="2:61" x14ac:dyDescent="0.15">
      <c r="B41" s="31">
        <v>38</v>
      </c>
      <c r="C41" s="11">
        <f>('[1]资源-玩家城池建筑时间'!D43-'[1]资源-玩家城池建筑时间'!D42)*'[1]功能-付费相关'!AH43/节奏总纲!W41</f>
        <v>3763.349489196321</v>
      </c>
      <c r="D41" s="11">
        <f>('[1]资源-玩家城池建筑时间'!E43-'[1]资源-玩家城池建筑时间'!E42)*'[1]功能-付费相关'!AI43/节奏总纲!X41</f>
        <v>4435.9203213649125</v>
      </c>
      <c r="E41" s="11">
        <f>('[1]资源-玩家城池建筑时间'!F43-'[1]资源-玩家城池建筑时间'!F42)*'[1]功能-付费相关'!AJ43/节奏总纲!Y41</f>
        <v>5228.7101791768873</v>
      </c>
      <c r="F41" s="11">
        <f>('[1]资源-玩家城池建筑时间'!G43-'[1]资源-玩家城池建筑时间'!G42)*'[1]功能-付费相关'!AK43/节奏总纲!Z41</f>
        <v>6466.5479364814646</v>
      </c>
      <c r="G41" s="11">
        <f>('[1]资源-玩家城池建筑时间'!H43-'[1]资源-玩家城池建筑时间'!H42)*'[1]功能-付费相关'!AL43/节奏总纲!AA41</f>
        <v>8387.8722405643548</v>
      </c>
      <c r="I41" s="31">
        <f>('[1]资源-士兵训练时间'!C43-'[1]资源-士兵训练时间'!C42)*'[1]功能-付费相关'!AH43/节奏总纲!W41</f>
        <v>1442.2973623887001</v>
      </c>
      <c r="J41" s="31">
        <f>('[1]资源-士兵训练时间'!D43-'[1]资源-士兵训练时间'!D42)*'[1]功能-付费相关'!AI43/节奏总纲!X41</f>
        <v>1476.3315866659084</v>
      </c>
      <c r="K41" s="31">
        <f>('[1]资源-士兵训练时间'!E43-'[1]资源-士兵训练时间'!E42)*'[1]功能-付费相关'!AJ43/节奏总纲!Y41</f>
        <v>1537.2556407812883</v>
      </c>
      <c r="L41" s="31">
        <f>('[1]资源-士兵训练时间'!F43-'[1]资源-士兵训练时间'!F42)*'[1]功能-付费相关'!AK43/节奏总纲!Z41</f>
        <v>1582.5469146925734</v>
      </c>
      <c r="M41" s="31">
        <f>('[1]资源-士兵训练时间'!G43-'[1]资源-士兵训练时间'!G42)*'[1]功能-付费相关'!AL43/节奏总纲!AA41</f>
        <v>1921.8189418463128</v>
      </c>
      <c r="O41" s="11">
        <f>('[1]资源-士兵招募时间'!D43-'[1]资源-士兵招募时间'!D42)*'[1]功能-付费相关'!AH43/节奏总纲!W41</f>
        <v>2884.6950740256189</v>
      </c>
      <c r="P41" s="11">
        <f>('[1]资源-士兵招募时间'!E43-'[1]资源-士兵招募时间'!E42)*'[1]功能-付费相关'!AI43/节奏总纲!X41</f>
        <v>3363.1659082900014</v>
      </c>
      <c r="Q41" s="11">
        <f>('[1]资源-士兵招募时间'!F43-'[1]资源-士兵招募时间'!F42)*'[1]功能-付费相关'!AJ43/节奏总纲!Y41</f>
        <v>3757.0682912430743</v>
      </c>
      <c r="R41" s="11">
        <f>('[1]资源-士兵招募时间'!G43-'[1]资源-士兵招募时间'!G42)*'[1]功能-付费相关'!AK43/节奏总纲!Z41</f>
        <v>4336.9470544420101</v>
      </c>
      <c r="S41" s="11">
        <f>('[1]资源-士兵招募时间'!H43-'[1]资源-士兵招募时间'!H42)*'[1]功能-付费相关'!AL43/节奏总纲!AA41</f>
        <v>5388.7755308587848</v>
      </c>
      <c r="U41" s="31">
        <f>('[1]资源-木石铜粮'!C43-'[1]资源-木石铜粮'!C42)*'[1]功能-付费相关'!S43/节奏总纲!W41</f>
        <v>2373.593417555594</v>
      </c>
      <c r="V41" s="31">
        <f>('[1]资源-木石铜粮'!D43-'[1]资源-木石铜粮'!D42)*'[1]功能-付费相关'!T43/节奏总纲!X41</f>
        <v>2571.3739872163605</v>
      </c>
      <c r="W41" s="31">
        <f>('[1]资源-木石铜粮'!E43-'[1]资源-木石铜粮'!E42)*'[1]功能-付费相关'!U43/节奏总纲!Y41</f>
        <v>2801.7713226522483</v>
      </c>
      <c r="X41" s="31">
        <f>('[1]资源-木石铜粮'!F43-'[1]资源-木石铜粮'!F42)*'[1]功能-付费相关'!V43/节奏总纲!Z41</f>
        <v>2985.2696760546305</v>
      </c>
      <c r="Y41" s="31">
        <f>('[1]资源-木石铜粮'!G43-'[1]资源-木石铜粮'!G42)*'[1]功能-付费相关'!W43/节奏总纲!AA41</f>
        <v>3523.8450772386832</v>
      </c>
      <c r="AA41" s="11">
        <f>('[1]资源-铁'!C43-'[1]资源-铁'!C42)*'[1]功能-付费相关'!X43/节奏总纲!W41</f>
        <v>0</v>
      </c>
      <c r="AB41" s="11">
        <f>('[1]资源-铁'!D43-'[1]资源-铁'!D42)*'[1]功能-付费相关'!Y43/节奏总纲!X41</f>
        <v>0</v>
      </c>
      <c r="AC41" s="11">
        <f>('[1]资源-铁'!E43-'[1]资源-铁'!E42)*'[1]功能-付费相关'!Z43/节奏总纲!Y41</f>
        <v>0</v>
      </c>
      <c r="AD41" s="11">
        <f>('[1]资源-铁'!F43-'[1]资源-铁'!F42)*'[1]功能-付费相关'!AA43/节奏总纲!Z41</f>
        <v>0</v>
      </c>
      <c r="AE41" s="11">
        <f>('[1]资源-铁'!G43-'[1]资源-铁'!G42)*'[1]功能-付费相关'!AB43/节奏总纲!AA41</f>
        <v>233.28535972795888</v>
      </c>
      <c r="AG41" s="11">
        <f>('[1]资源-银币'!C43-'[1]资源-银币'!C42)*'[1]功能-付费相关'!AQ43/节奏总纲!W41</f>
        <v>1438.5881602223008</v>
      </c>
      <c r="AH41" s="11">
        <f>('[1]资源-银币'!D43-'[1]资源-银币'!D42)*'[1]功能-付费相关'!AR43/节奏总纲!X41</f>
        <v>1542.8038904535613</v>
      </c>
      <c r="AI41" s="11">
        <f>('[1]资源-银币'!E43-'[1]资源-银币'!E42)*'[1]功能-付费相关'!AS43/节奏总纲!Y41</f>
        <v>1676.6494232819039</v>
      </c>
      <c r="AJ41" s="11">
        <f>('[1]资源-银币'!F43-'[1]资源-银币'!F42)*'[1]功能-付费相关'!AT43/节奏总纲!Z41</f>
        <v>1978.59904292485</v>
      </c>
      <c r="AK41" s="11">
        <f>('[1]资源-银币'!G43-'[1]资源-银币'!G42)*'[1]功能-付费相关'!AU43/节奏总纲!AA41</f>
        <v>2606.7166072776045</v>
      </c>
      <c r="AM41" s="11" t="e">
        <f>(#REF!-#REF!)*'[1]功能-付费相关'!CA43/节奏总纲!W41</f>
        <v>#REF!</v>
      </c>
      <c r="AN41" s="11" t="e">
        <f>(#REF!-#REF!)*'[1]功能-付费相关'!CB43/节奏总纲!X41</f>
        <v>#REF!</v>
      </c>
      <c r="AO41" s="11" t="e">
        <f>(#REF!-#REF!)*'[1]功能-付费相关'!CC43/节奏总纲!Y41</f>
        <v>#REF!</v>
      </c>
      <c r="AP41" s="11" t="e">
        <f>(#REF!-#REF!)*'[1]功能-付费相关'!CD43/节奏总纲!Z41</f>
        <v>#REF!</v>
      </c>
      <c r="AQ41" s="11" t="e">
        <f>(#REF!-#REF!)*'[1]功能-付费相关'!CE43/节奏总纲!AA41</f>
        <v>#REF!</v>
      </c>
      <c r="AS41" s="11">
        <f>('[1]资源-装备经验'!C43-'[1]资源-装备经验'!C42)*'[1]功能-付费相关'!BI43/节奏总纲!W41</f>
        <v>1012.5417912436753</v>
      </c>
      <c r="AT41" s="11">
        <f>('[1]资源-装备经验'!D43-'[1]资源-装备经验'!D42)*'[1]功能-付费相关'!BJ43/节奏总纲!X41</f>
        <v>1487.4719951069283</v>
      </c>
      <c r="AU41" s="11">
        <f>('[1]资源-装备经验'!E43-'[1]资源-装备经验'!E42)*'[1]功能-付费相关'!BK43/节奏总纲!Y41</f>
        <v>1979.9145776106795</v>
      </c>
      <c r="AV41" s="11">
        <f>('[1]资源-装备经验'!F43-'[1]资源-装备经验'!F42)*'[1]功能-付费相关'!BL43/节奏总纲!Z41</f>
        <v>2183.6529930888528</v>
      </c>
      <c r="AW41" s="11">
        <f>('[1]资源-装备经验'!G43-'[1]资源-装备经验'!G42)*'[1]功能-付费相关'!BM43/节奏总纲!AA41</f>
        <v>2174.3153089625216</v>
      </c>
      <c r="AY41" s="11">
        <f>('[1]资源-武将经验'!C43*节奏总纲!BJ41-'[1]资源-武将经验'!C42*节奏总纲!BJ40)*'[1]功能-付费相关'!AZ43/节奏总纲!W41</f>
        <v>5612.4028836875368</v>
      </c>
      <c r="AZ41" s="11">
        <f>('[1]资源-武将经验'!D43*节奏总纲!BK41-'[1]资源-武将经验'!D42*节奏总纲!BK40)*'[1]功能-付费相关'!BA43/节奏总纲!X41</f>
        <v>6927.0353630717627</v>
      </c>
      <c r="BA41" s="11">
        <f>('[1]资源-武将经验'!E43*节奏总纲!BL41-'[1]资源-武将经验'!E42*节奏总纲!BL40)*'[1]功能-付费相关'!BB43/节奏总纲!Y41</f>
        <v>8445.1168371349395</v>
      </c>
      <c r="BB41" s="11">
        <f>('[1]资源-武将经验'!F43*节奏总纲!BM41-'[1]资源-武将经验'!F42*节奏总纲!BM40)*'[1]功能-付费相关'!BC43/节奏总纲!Z41</f>
        <v>17567.676240063094</v>
      </c>
      <c r="BC41" s="11">
        <f>('[1]资源-武将经验'!G43*节奏总纲!BN41-'[1]资源-武将经验'!G42*节奏总纲!BN40)*'[1]功能-付费相关'!BD43/节奏总纲!AA41</f>
        <v>27918.347965222765</v>
      </c>
      <c r="BD41" s="33"/>
      <c r="BE41" s="30" t="e">
        <f t="shared" si="4"/>
        <v>#REF!</v>
      </c>
      <c r="BF41" s="30" t="e">
        <f t="shared" si="5"/>
        <v>#REF!</v>
      </c>
      <c r="BG41" s="30" t="e">
        <f t="shared" si="6"/>
        <v>#REF!</v>
      </c>
      <c r="BH41" s="30" t="e">
        <f t="shared" si="7"/>
        <v>#REF!</v>
      </c>
      <c r="BI41" s="30" t="e">
        <f t="shared" si="8"/>
        <v>#REF!</v>
      </c>
    </row>
    <row r="42" spans="2:61" x14ac:dyDescent="0.15">
      <c r="B42" s="31">
        <v>39</v>
      </c>
      <c r="C42" s="11">
        <f>('[1]资源-玩家城池建筑时间'!D44-'[1]资源-玩家城池建筑时间'!D43)*'[1]功能-付费相关'!AH44/节奏总纲!W42</f>
        <v>3614.830349634663</v>
      </c>
      <c r="D42" s="11">
        <f>('[1]资源-玩家城池建筑时间'!E44-'[1]资源-玩家城池建筑时间'!E43)*'[1]功能-付费相关'!AI44/节奏总纲!X42</f>
        <v>4233.1563557894924</v>
      </c>
      <c r="E42" s="11">
        <f>('[1]资源-玩家城池建筑时间'!F44-'[1]资源-玩家城池建筑时间'!F43)*'[1]功能-付费相关'!AJ44/节奏总纲!Y42</f>
        <v>4829.1394972061717</v>
      </c>
      <c r="F42" s="11">
        <f>('[1]资源-玩家城池建筑时间'!G44-'[1]资源-玩家城池建筑时间'!G43)*'[1]功能-付费相关'!AK44/节奏总纲!Z42</f>
        <v>6456.0802332034236</v>
      </c>
      <c r="G42" s="11">
        <f>('[1]资源-玩家城池建筑时间'!H44-'[1]资源-玩家城池建筑时间'!H43)*'[1]功能-付费相关'!AL44/节奏总纲!AA42</f>
        <v>7757.2580990783608</v>
      </c>
      <c r="I42" s="31">
        <f>('[1]资源-士兵训练时间'!C44-'[1]资源-士兵训练时间'!C43)*'[1]功能-付费相关'!AH44/节奏总纲!W42</f>
        <v>1392.1499645467541</v>
      </c>
      <c r="J42" s="31">
        <f>('[1]资源-士兵训练时间'!D44-'[1]资源-士兵训练时间'!D43)*'[1]功能-付费相关'!AI44/节奏总纲!X42</f>
        <v>1416.1074869430258</v>
      </c>
      <c r="K42" s="31">
        <f>('[1]资源-士兵训练时间'!E44-'[1]资源-士兵训练时间'!E43)*'[1]功能-付费相关'!AJ44/节奏总纲!Y42</f>
        <v>1433.8390079862143</v>
      </c>
      <c r="L42" s="31">
        <f>('[1]资源-士兵训练时间'!F44-'[1]资源-士兵训练时间'!F43)*'[1]功能-付费相关'!AK44/节奏总纲!Z42</f>
        <v>1560.2671126787975</v>
      </c>
      <c r="M42" s="31">
        <f>('[1]资源-士兵训练时间'!G44-'[1]资源-士兵训练时间'!G43)*'[1]功能-付费相关'!AL44/节奏总纲!AA42</f>
        <v>1792.0442688732185</v>
      </c>
      <c r="O42" s="11">
        <f>('[1]资源-士兵招募时间'!D44-'[1]资源-士兵招募时间'!D43)*'[1]功能-付费相关'!AH44/节奏总纲!W42</f>
        <v>2837.3881642106539</v>
      </c>
      <c r="P42" s="11">
        <f>('[1]资源-士兵招募时间'!E44-'[1]资源-士兵招募时间'!E43)*'[1]功能-付费相关'!AI44/节奏总纲!X42</f>
        <v>3206.4082681709801</v>
      </c>
      <c r="Q42" s="11">
        <f>('[1]资源-士兵招募时间'!F44-'[1]资源-士兵招募时间'!F43)*'[1]功能-付费相关'!AJ44/节奏总纲!Y42</f>
        <v>3503.732200791339</v>
      </c>
      <c r="R42" s="11">
        <f>('[1]资源-士兵招募时间'!G44-'[1]资源-士兵招募时间'!G43)*'[1]功能-付费相关'!AK44/节奏总纲!Z42</f>
        <v>4293.3043998866142</v>
      </c>
      <c r="S42" s="11">
        <f>('[1]资源-士兵招募时间'!H44-'[1]资源-士兵招募时间'!H43)*'[1]功能-付费相关'!AL44/节奏总纲!AA42</f>
        <v>5196.1845439093067</v>
      </c>
      <c r="U42" s="31">
        <f>('[1]资源-木石铜粮'!C44-'[1]资源-木石铜粮'!C43)*'[1]功能-付费相关'!S44/节奏总纲!W42</f>
        <v>2348.8416103733603</v>
      </c>
      <c r="V42" s="31">
        <f>('[1]资源-木石铜粮'!D44-'[1]资源-木石铜粮'!D43)*'[1]功能-付费相关'!T44/节奏总纲!X42</f>
        <v>2515.0542179019894</v>
      </c>
      <c r="W42" s="31">
        <f>('[1]资源-木石铜粮'!E44-'[1]资源-木石铜粮'!E43)*'[1]功能-付费相关'!U44/节奏总纲!Y42</f>
        <v>2741.6039579946691</v>
      </c>
      <c r="X42" s="31">
        <f>('[1]资源-木石铜粮'!F44-'[1]资源-木石铜粮'!F43)*'[1]功能-付费相关'!V44/节奏总纲!Z42</f>
        <v>2901.8852231974211</v>
      </c>
      <c r="Y42" s="31">
        <f>('[1]资源-木石铜粮'!G44-'[1]资源-木石铜粮'!G43)*'[1]功能-付费相关'!W44/节奏总纲!AA42</f>
        <v>3349.6156862318794</v>
      </c>
      <c r="AA42" s="11">
        <f>('[1]资源-铁'!C44-'[1]资源-铁'!C43)*'[1]功能-付费相关'!X44/节奏总纲!W42</f>
        <v>0</v>
      </c>
      <c r="AB42" s="11">
        <f>('[1]资源-铁'!D44-'[1]资源-铁'!D43)*'[1]功能-付费相关'!Y44/节奏总纲!X42</f>
        <v>0</v>
      </c>
      <c r="AC42" s="11">
        <f>('[1]资源-铁'!E44-'[1]资源-铁'!E43)*'[1]功能-付费相关'!Z44/节奏总纲!Y42</f>
        <v>0</v>
      </c>
      <c r="AD42" s="11">
        <f>('[1]资源-铁'!F44-'[1]资源-铁'!F43)*'[1]功能-付费相关'!AA44/节奏总纲!Z42</f>
        <v>104.0002362105492</v>
      </c>
      <c r="AE42" s="11">
        <f>('[1]资源-铁'!G44-'[1]资源-铁'!G43)*'[1]功能-付费相关'!AB44/节奏总纲!AA42</f>
        <v>212.01387532591684</v>
      </c>
      <c r="AG42" s="11">
        <f>('[1]资源-银币'!C44-'[1]资源-银币'!C43)*'[1]功能-付费相关'!AQ44/节奏总纲!W42</f>
        <v>1370.5269412018745</v>
      </c>
      <c r="AH42" s="11">
        <f>('[1]资源-银币'!D44-'[1]资源-银币'!D43)*'[1]功能-付费相关'!AR44/节奏总纲!X42</f>
        <v>1466.3986346903814</v>
      </c>
      <c r="AI42" s="11">
        <f>('[1]资源-银币'!E44-'[1]资源-银币'!E43)*'[1]功能-付费相关'!AS44/节奏总纲!Y42</f>
        <v>1492.0971824183791</v>
      </c>
      <c r="AJ42" s="11">
        <f>('[1]资源-银币'!F44-'[1]资源-银币'!F43)*'[1]功能-付费相关'!AT44/节奏总纲!Z42</f>
        <v>1786.0335385638668</v>
      </c>
      <c r="AK42" s="11">
        <f>('[1]资源-银币'!G44-'[1]资源-银币'!G43)*'[1]功能-付费相关'!AU44/节奏总纲!AA42</f>
        <v>2242.8599111812873</v>
      </c>
      <c r="AM42" s="11" t="e">
        <f>(#REF!-#REF!)*'[1]功能-付费相关'!CA44/节奏总纲!W42</f>
        <v>#REF!</v>
      </c>
      <c r="AN42" s="11" t="e">
        <f>(#REF!-#REF!)*'[1]功能-付费相关'!CB44/节奏总纲!X42</f>
        <v>#REF!</v>
      </c>
      <c r="AO42" s="11" t="e">
        <f>(#REF!-#REF!)*'[1]功能-付费相关'!CC44/节奏总纲!Y42</f>
        <v>#REF!</v>
      </c>
      <c r="AP42" s="11" t="e">
        <f>(#REF!-#REF!)*'[1]功能-付费相关'!CD44/节奏总纲!Z42</f>
        <v>#REF!</v>
      </c>
      <c r="AQ42" s="11" t="e">
        <f>(#REF!-#REF!)*'[1]功能-付费相关'!CE44/节奏总纲!AA42</f>
        <v>#REF!</v>
      </c>
      <c r="AS42" s="11">
        <f>('[1]资源-装备经验'!C44-'[1]资源-装备经验'!C43)*'[1]功能-付费相关'!BI44/节奏总纲!W42</f>
        <v>980.81938177486381</v>
      </c>
      <c r="AT42" s="11">
        <f>('[1]资源-装备经验'!D44-'[1]资源-装备经验'!D43)*'[1]功能-付费相关'!BJ44/节奏总纲!X42</f>
        <v>1376.1915833919218</v>
      </c>
      <c r="AU42" s="11">
        <f>('[1]资源-装备经验'!E44-'[1]资源-装备经验'!E43)*'[1]功能-付费相关'!BK44/节奏总纲!Y42</f>
        <v>1787.4463855686301</v>
      </c>
      <c r="AV42" s="11">
        <f>('[1]资源-装备经验'!F44-'[1]资源-装备经验'!F43)*'[1]功能-付费相关'!BL44/节奏总纲!Z42</f>
        <v>2101.5000424631185</v>
      </c>
      <c r="AW42" s="11">
        <f>('[1]资源-装备经验'!G44-'[1]资源-装备经验'!G43)*'[1]功能-付费相关'!BM44/节奏总纲!AA42</f>
        <v>2092.6186899054619</v>
      </c>
      <c r="AY42" s="11">
        <f>('[1]资源-武将经验'!C44*节奏总纲!BJ42-'[1]资源-武将经验'!C43*节奏总纲!BJ41)*'[1]功能-付费相关'!AZ44/节奏总纲!W42</f>
        <v>5407.097778956987</v>
      </c>
      <c r="AZ42" s="11">
        <f>('[1]资源-武将经验'!D44*节奏总纲!BK42-'[1]资源-武将经验'!D43*节奏总纲!BK41)*'[1]功能-付费相关'!BA44/节奏总纲!X42</f>
        <v>6386.8059595020204</v>
      </c>
      <c r="BA42" s="11">
        <f>('[1]资源-武将经验'!E44*节奏总纲!BL42-'[1]资源-武将经验'!E43*节奏总纲!BL41)*'[1]功能-付费相关'!BB44/节奏总纲!Y42</f>
        <v>7538.5089343485733</v>
      </c>
      <c r="BB42" s="11">
        <f>('[1]资源-武将经验'!F44*节奏总纲!BM42-'[1]资源-武将经验'!F43*节奏总纲!BM41)*'[1]功能-付费相关'!BC44/节奏总纲!Z42</f>
        <v>16913.028078048541</v>
      </c>
      <c r="BC42" s="11">
        <f>('[1]资源-武将经验'!G44*节奏总纲!BN42-'[1]资源-武将经验'!G43*节奏总纲!BN41)*'[1]功能-付费相关'!BD44/节奏总纲!AA42</f>
        <v>25645.964779596376</v>
      </c>
      <c r="BD42" s="33"/>
      <c r="BE42" s="30" t="e">
        <f t="shared" si="4"/>
        <v>#REF!</v>
      </c>
      <c r="BF42" s="30" t="e">
        <f t="shared" si="5"/>
        <v>#REF!</v>
      </c>
      <c r="BG42" s="30" t="e">
        <f t="shared" si="6"/>
        <v>#REF!</v>
      </c>
      <c r="BH42" s="30" t="e">
        <f t="shared" si="7"/>
        <v>#REF!</v>
      </c>
      <c r="BI42" s="30" t="e">
        <f t="shared" si="8"/>
        <v>#REF!</v>
      </c>
    </row>
    <row r="43" spans="2:61" x14ac:dyDescent="0.15">
      <c r="B43" s="31">
        <v>40</v>
      </c>
      <c r="C43" s="11">
        <f>('[1]资源-玩家城池建筑时间'!D45-'[1]资源-玩家城池建筑时间'!D44)*'[1]功能-付费相关'!AH45/节奏总纲!W43</f>
        <v>3561.7900124388516</v>
      </c>
      <c r="D43" s="11">
        <f>('[1]资源-玩家城池建筑时间'!E45-'[1]资源-玩家城池建筑时间'!E44)*'[1]功能-付费相关'!AI45/节奏总纲!X43</f>
        <v>4054.6753679212402</v>
      </c>
      <c r="E43" s="11">
        <f>('[1]资源-玩家城池建筑时间'!F45-'[1]资源-玩家城池建筑时间'!F44)*'[1]功能-付费相关'!AJ45/节奏总纲!Y43</f>
        <v>4752.4027885417827</v>
      </c>
      <c r="F43" s="11">
        <f>('[1]资源-玩家城池建筑时间'!G45-'[1]资源-玩家城池建筑时间'!G44)*'[1]功能-付费相关'!AK45/节奏总纲!Z43</f>
        <v>6292.8974405828703</v>
      </c>
      <c r="G43" s="11">
        <f>('[1]资源-玩家城池建筑时间'!H45-'[1]资源-玩家城池建筑时间'!H44)*'[1]功能-付费相关'!AL45/节奏总纲!AA43</f>
        <v>7429.0757998696936</v>
      </c>
      <c r="I43" s="31">
        <f>('[1]资源-士兵训练时间'!C45-'[1]资源-士兵训练时间'!C44)*'[1]功能-付费相关'!AH45/节奏总纲!W43</f>
        <v>1359.7751666820932</v>
      </c>
      <c r="J43" s="31">
        <f>('[1]资源-士兵训练时间'!D45-'[1]资源-士兵训练时间'!D44)*'[1]功能-付费相关'!AI45/节奏总纲!X43</f>
        <v>1363.7735688976759</v>
      </c>
      <c r="K43" s="31">
        <f>('[1]资源-士兵训练时间'!E45-'[1]资源-士兵训练时间'!E44)*'[1]功能-付费相关'!AJ45/节奏总纲!Y43</f>
        <v>1401.4737924816823</v>
      </c>
      <c r="L43" s="31">
        <f>('[1]资源-士兵训练时间'!F45-'[1]资源-士兵训练时间'!F44)*'[1]功能-付费相关'!AK45/节奏总纲!Z43</f>
        <v>1505.2813350866816</v>
      </c>
      <c r="M43" s="31">
        <f>('[1]资源-士兵训练时间'!G45-'[1]资源-士兵训练时间'!G44)*'[1]功能-付费相关'!AL45/节奏总纲!AA43</f>
        <v>1764.923388212987</v>
      </c>
      <c r="O43" s="11">
        <f>('[1]资源-士兵招募时间'!D45-'[1]资源-士兵招募时间'!D44)*'[1]功能-付费相关'!AH45/节奏总纲!W43</f>
        <v>2318.316306090207</v>
      </c>
      <c r="P43" s="11">
        <f>('[1]资源-士兵招募时间'!E45-'[1]资源-士兵招募时间'!E44)*'[1]功能-付费相关'!AI45/节奏总纲!X43</f>
        <v>2576.1882888748846</v>
      </c>
      <c r="Q43" s="11">
        <f>('[1]资源-士兵招募时间'!F45-'[1]资源-士兵招募时间'!F44)*'[1]功能-付费相关'!AJ45/节奏总纲!Y43</f>
        <v>2917.1231287268015</v>
      </c>
      <c r="R43" s="11">
        <f>('[1]资源-士兵招募时间'!G45-'[1]资源-士兵招募时间'!G44)*'[1]功能-付费相关'!AK45/节奏总纲!Z43</f>
        <v>3571.9931718234407</v>
      </c>
      <c r="S43" s="11">
        <f>('[1]资源-士兵招募时间'!H45-'[1]资源-士兵招募时间'!H44)*'[1]功能-付费相关'!AL45/节奏总纲!AA43</f>
        <v>4376.0616962787908</v>
      </c>
      <c r="U43" s="31">
        <f>('[1]资源-木石铜粮'!C45-'[1]资源-木石铜粮'!C44)*'[1]功能-付费相关'!S45/节奏总纲!W43</f>
        <v>2307.0192182807286</v>
      </c>
      <c r="V43" s="31">
        <f>('[1]资源-木石铜粮'!D45-'[1]资源-木石铜粮'!D44)*'[1]功能-付费相关'!T45/节奏总纲!X43</f>
        <v>2487.9353130840914</v>
      </c>
      <c r="W43" s="31">
        <f>('[1]资源-木石铜粮'!E45-'[1]资源-木石铜粮'!E44)*'[1]功能-付费相关'!U45/节奏总纲!Y43</f>
        <v>2679.6918674898861</v>
      </c>
      <c r="X43" s="31">
        <f>('[1]资源-木石铜粮'!F45-'[1]资源-木石铜粮'!F44)*'[1]功能-付费相关'!V45/节奏总纲!Z43</f>
        <v>2813.0209252907798</v>
      </c>
      <c r="Y43" s="31">
        <f>('[1]资源-木石铜粮'!G45-'[1]资源-木石铜粮'!G44)*'[1]功能-付费相关'!W45/节奏总纲!AA43</f>
        <v>3247.9039354762167</v>
      </c>
      <c r="AA43" s="11">
        <f>('[1]资源-铁'!C45-'[1]资源-铁'!C44)*'[1]功能-付费相关'!X45/节奏总纲!W43</f>
        <v>0</v>
      </c>
      <c r="AB43" s="11">
        <f>('[1]资源-铁'!D45-'[1]资源-铁'!D44)*'[1]功能-付费相关'!Y45/节奏总纲!X43</f>
        <v>0</v>
      </c>
      <c r="AC43" s="11">
        <f>('[1]资源-铁'!E45-'[1]资源-铁'!E44)*'[1]功能-付费相关'!Z45/节奏总纲!Y43</f>
        <v>54.841857748705436</v>
      </c>
      <c r="AD43" s="11">
        <f>('[1]资源-铁'!F45-'[1]资源-铁'!F44)*'[1]功能-付费相关'!AA45/节奏总纲!Z43</f>
        <v>127.52145872952291</v>
      </c>
      <c r="AE43" s="11">
        <f>('[1]资源-铁'!G45-'[1]资源-铁'!G44)*'[1]功能-付费相关'!AB45/节奏总纲!AA43</f>
        <v>194.23946656455794</v>
      </c>
      <c r="AG43" s="11">
        <f>('[1]资源-银币'!C45-'[1]资源-银币'!C44)*'[1]功能-付费相关'!AQ45/节奏总纲!W43</f>
        <v>1317.5626525584312</v>
      </c>
      <c r="AH43" s="11">
        <f>('[1]资源-银币'!D45-'[1]资源-银币'!D44)*'[1]功能-付费相关'!AR45/节奏总纲!X43</f>
        <v>1342.1408054125252</v>
      </c>
      <c r="AI43" s="11">
        <f>('[1]资源-银币'!E45-'[1]资源-银币'!E44)*'[1]功能-付费相关'!AS45/节奏总纲!Y43</f>
        <v>1417.9221155336706</v>
      </c>
      <c r="AJ43" s="11">
        <f>('[1]资源-银币'!F45-'[1]资源-银币'!F44)*'[1]功能-付费相关'!AT45/节奏总纲!Z43</f>
        <v>1599.392410759762</v>
      </c>
      <c r="AK43" s="11">
        <f>('[1]资源-银币'!G45-'[1]资源-银币'!G44)*'[1]功能-付费相关'!AU45/节奏总纲!AA43</f>
        <v>2016.5989644604415</v>
      </c>
      <c r="AM43" s="11" t="e">
        <f>(#REF!-#REF!)*'[1]功能-付费相关'!CA45/节奏总纲!W43</f>
        <v>#REF!</v>
      </c>
      <c r="AN43" s="11" t="e">
        <f>(#REF!-#REF!)*'[1]功能-付费相关'!CB45/节奏总纲!X43</f>
        <v>#REF!</v>
      </c>
      <c r="AO43" s="11" t="e">
        <f>(#REF!-#REF!)*'[1]功能-付费相关'!CC45/节奏总纲!Y43</f>
        <v>#REF!</v>
      </c>
      <c r="AP43" s="11" t="e">
        <f>(#REF!-#REF!)*'[1]功能-付费相关'!CD45/节奏总纲!Z43</f>
        <v>#REF!</v>
      </c>
      <c r="AQ43" s="11" t="e">
        <f>(#REF!-#REF!)*'[1]功能-付费相关'!CE45/节奏总纲!AA43</f>
        <v>#REF!</v>
      </c>
      <c r="AS43" s="11">
        <f>('[1]资源-装备经验'!C45-'[1]资源-装备经验'!C44)*'[1]功能-付费相关'!BI45/节奏总纲!W43</f>
        <v>950.39159696147931</v>
      </c>
      <c r="AT43" s="11">
        <f>('[1]资源-装备经验'!D45-'[1]资源-装备经验'!D44)*'[1]功能-付费相关'!BJ45/节奏总纲!X43</f>
        <v>1315.5770904926617</v>
      </c>
      <c r="AU43" s="11">
        <f>('[1]资源-装备经验'!E45-'[1]资源-装备经验'!E44)*'[1]功能-付费相关'!BK45/节奏总纲!Y43</f>
        <v>1783.1717623048851</v>
      </c>
      <c r="AV43" s="11">
        <f>('[1]资源-装备经验'!F45-'[1]资源-装备经验'!F44)*'[1]功能-付费相关'!BL45/节奏总纲!Z43</f>
        <v>2041.5911364719332</v>
      </c>
      <c r="AW43" s="11">
        <f>('[1]资源-装备经验'!G45-'[1]资源-装备经验'!G44)*'[1]功能-付费相关'!BM45/节奏总纲!AA43</f>
        <v>2054.5235342089627</v>
      </c>
      <c r="AY43" s="11">
        <f>('[1]资源-武将经验'!C45*节奏总纲!BJ43-'[1]资源-武将经验'!C44*节奏总纲!BJ42)*'[1]功能-付费相关'!AZ45/节奏总纲!W43</f>
        <v>5241.9448008791105</v>
      </c>
      <c r="AZ43" s="11">
        <f>('[1]资源-武将经验'!D45*节奏总纲!BK43-'[1]资源-武将经验'!D44*节奏总纲!BK42)*'[1]功能-付费相关'!BA45/节奏总纲!X43</f>
        <v>6080.6925268073164</v>
      </c>
      <c r="BA43" s="11">
        <f>('[1]资源-武将经验'!E45*节奏总纲!BL43-'[1]资源-武将经验'!E44*节奏总纲!BL42)*'[1]功能-付费相关'!BB45/节奏总纲!Y43</f>
        <v>7555.2836473801508</v>
      </c>
      <c r="BB43" s="11">
        <f>('[1]资源-武将经验'!F45*节奏总纲!BM43-'[1]资源-武将经验'!F44*节奏总纲!BM42)*'[1]功能-付费相关'!BC45/节奏总纲!Z43</f>
        <v>16358.604055846336</v>
      </c>
      <c r="BC43" s="11">
        <f>('[1]资源-武将经验'!G45*节奏总纲!BN43-'[1]资源-武将经验'!G44*节奏总纲!BN42)*'[1]功能-付费相关'!BD45/节奏总纲!AA43</f>
        <v>25892.688739533463</v>
      </c>
      <c r="BD43" s="33"/>
      <c r="BE43" s="30" t="e">
        <f t="shared" si="4"/>
        <v>#REF!</v>
      </c>
      <c r="BF43" s="30" t="e">
        <f t="shared" si="5"/>
        <v>#REF!</v>
      </c>
      <c r="BG43" s="30" t="e">
        <f t="shared" si="6"/>
        <v>#REF!</v>
      </c>
      <c r="BH43" s="30" t="e">
        <f t="shared" si="7"/>
        <v>#REF!</v>
      </c>
      <c r="BI43" s="30" t="e">
        <f t="shared" si="8"/>
        <v>#REF!</v>
      </c>
    </row>
    <row r="44" spans="2:61" x14ac:dyDescent="0.15">
      <c r="B44" s="31">
        <v>41</v>
      </c>
      <c r="C44" s="11">
        <f>('[1]资源-玩家城池建筑时间'!D46-'[1]资源-玩家城池建筑时间'!D45)*'[1]功能-付费相关'!AH46/节奏总纲!W44</f>
        <v>3432.4252193420893</v>
      </c>
      <c r="D44" s="11">
        <f>('[1]资源-玩家城池建筑时间'!E46-'[1]资源-玩家城池建筑时间'!E45)*'[1]功能-付费相关'!AI46/节奏总纲!X44</f>
        <v>3991.2330476714574</v>
      </c>
      <c r="E44" s="11">
        <f>('[1]资源-玩家城池建筑时间'!F46-'[1]资源-玩家城池建筑时间'!F45)*'[1]功能-付费相关'!AJ46/节奏总纲!Y44</f>
        <v>4725.4291874556702</v>
      </c>
      <c r="F44" s="11">
        <f>('[1]资源-玩家城池建筑时间'!G46-'[1]资源-玩家城池建筑时间'!G45)*'[1]功能-付费相关'!AK46/节奏总纲!Z44</f>
        <v>6138.6505047899009</v>
      </c>
      <c r="G44" s="11">
        <f>('[1]资源-玩家城池建筑时间'!H46-'[1]资源-玩家城池建筑时间'!H45)*'[1]功能-付费相关'!AL46/节奏总纲!AA44</f>
        <v>7340.3022492701029</v>
      </c>
      <c r="I44" s="31">
        <f>('[1]资源-士兵训练时间'!C46-'[1]资源-士兵训练时间'!C45)*'[1]功能-付费相关'!AH46/节奏总纲!W44</f>
        <v>1313.6985103846073</v>
      </c>
      <c r="J44" s="31">
        <f>('[1]资源-士兵训练时间'!D46-'[1]资源-士兵训练时间'!D45)*'[1]功能-付费相关'!AI46/节奏总纲!X44</f>
        <v>1332.7301604274671</v>
      </c>
      <c r="K44" s="31">
        <f>('[1]资源-士兵训练时间'!E46-'[1]资源-士兵训练时间'!E45)*'[1]功能-付费相关'!AJ46/节奏总纲!Y44</f>
        <v>1382.6142400195031</v>
      </c>
      <c r="L44" s="31">
        <f>('[1]资源-士兵训练时间'!F46-'[1]资源-士兵训练时间'!F45)*'[1]功能-付费相关'!AK46/节奏总纲!Z44</f>
        <v>1486.6166769638419</v>
      </c>
      <c r="M44" s="31">
        <f>('[1]资源-士兵训练时间'!G46-'[1]资源-士兵训练时间'!G45)*'[1]功能-付费相关'!AL46/节奏总纲!AA44</f>
        <v>1723.8979878604766</v>
      </c>
      <c r="O44" s="11">
        <f>('[1]资源-士兵招募时间'!D46-'[1]资源-士兵招募时间'!D45)*'[1]功能-付费相关'!AH46/节奏总纲!W44</f>
        <v>2259.0603885236701</v>
      </c>
      <c r="P44" s="11">
        <f>('[1]资源-士兵招募时间'!E46-'[1]资源-士兵招募时间'!E45)*'[1]功能-付费相关'!AI46/节奏总纲!X44</f>
        <v>2537.3450086449916</v>
      </c>
      <c r="Q44" s="11">
        <f>('[1]资源-士兵招募时间'!F46-'[1]资源-士兵招募时间'!F45)*'[1]功能-付费相关'!AJ46/节奏总纲!Y44</f>
        <v>2858.2352164465747</v>
      </c>
      <c r="R44" s="11">
        <f>('[1]资源-士兵招募时间'!G46-'[1]资源-士兵招募时间'!G45)*'[1]功能-付费相关'!AK46/节奏总纲!Z44</f>
        <v>3536.1608755266429</v>
      </c>
      <c r="S44" s="11">
        <f>('[1]资源-士兵招募时间'!H46-'[1]资源-士兵招募时间'!H45)*'[1]功能-付费相关'!AL46/节奏总纲!AA44</f>
        <v>4265.1153989063832</v>
      </c>
      <c r="U44" s="31">
        <f>('[1]资源-木石铜粮'!C46-'[1]资源-木石铜粮'!C45)*'[1]功能-付费相关'!S46/节奏总纲!W44</f>
        <v>2385.1005189671414</v>
      </c>
      <c r="V44" s="31">
        <f>('[1]资源-木石铜粮'!D46-'[1]资源-木石铜粮'!D45)*'[1]功能-付费相关'!T46/节奏总纲!X44</f>
        <v>2528.3514680902522</v>
      </c>
      <c r="W44" s="31">
        <f>('[1]资源-木石铜粮'!E46-'[1]资源-木石铜粮'!E45)*'[1]功能-付费相关'!U46/节奏总纲!Y44</f>
        <v>2726.1559064849175</v>
      </c>
      <c r="X44" s="31">
        <f>('[1]资源-木石铜粮'!F46-'[1]资源-木石铜粮'!F45)*'[1]功能-付费相关'!V46/节奏总纲!Z44</f>
        <v>2897.7915342558995</v>
      </c>
      <c r="Y44" s="31">
        <f>('[1]资源-木石铜粮'!G46-'[1]资源-木石铜粮'!G45)*'[1]功能-付费相关'!W46/节奏总纲!AA44</f>
        <v>3370.2522177088867</v>
      </c>
      <c r="AA44" s="11">
        <f>('[1]资源-铁'!C46-'[1]资源-铁'!C45)*'[1]功能-付费相关'!X46/节奏总纲!W44</f>
        <v>17.231285074315242</v>
      </c>
      <c r="AB44" s="11">
        <f>('[1]资源-铁'!D46-'[1]资源-铁'!D45)*'[1]功能-付费相关'!Y46/节奏总纲!X44</f>
        <v>41.917891607755379</v>
      </c>
      <c r="AC44" s="11">
        <f>('[1]资源-铁'!E46-'[1]资源-铁'!E45)*'[1]功能-付费相关'!Z46/节奏总纲!Y44</f>
        <v>118.75507802792805</v>
      </c>
      <c r="AD44" s="11">
        <f>('[1]资源-铁'!F46-'[1]资源-铁'!F45)*'[1]功能-付费相关'!AA46/节奏总纲!Z44</f>
        <v>147.80803157233078</v>
      </c>
      <c r="AE44" s="11">
        <f>('[1]资源-铁'!G46-'[1]资源-铁'!G45)*'[1]功能-付费相关'!AB46/节奏总纲!AA44</f>
        <v>227.64793721960126</v>
      </c>
      <c r="AG44" s="11">
        <f>('[1]资源-银币'!C46-'[1]资源-银币'!C45)*'[1]功能-付费相关'!AQ46/节奏总纲!W44</f>
        <v>1275.411731224759</v>
      </c>
      <c r="AH44" s="11">
        <f>('[1]资源-银币'!D46-'[1]资源-银币'!D45)*'[1]功能-付费相关'!AR46/节奏总纲!X44</f>
        <v>1368.8785554268857</v>
      </c>
      <c r="AI44" s="11">
        <f>('[1]资源-银币'!E46-'[1]资源-银币'!E45)*'[1]功能-付费相关'!AS46/节奏总纲!Y44</f>
        <v>1480.1878623586965</v>
      </c>
      <c r="AJ44" s="11">
        <f>('[1]资源-银币'!F46-'[1]资源-银币'!F45)*'[1]功能-付费相关'!AT46/节奏总纲!Z44</f>
        <v>1603.8588052675741</v>
      </c>
      <c r="AK44" s="11">
        <f>('[1]资源-银币'!G46-'[1]资源-银币'!G45)*'[1]功能-付费相关'!AU46/节奏总纲!AA44</f>
        <v>2010.641131631628</v>
      </c>
      <c r="AM44" s="11" t="e">
        <f>(#REF!-#REF!)*'[1]功能-付费相关'!CA46/节奏总纲!W44</f>
        <v>#REF!</v>
      </c>
      <c r="AN44" s="11" t="e">
        <f>(#REF!-#REF!)*'[1]功能-付费相关'!CB46/节奏总纲!X44</f>
        <v>#REF!</v>
      </c>
      <c r="AO44" s="11" t="e">
        <f>(#REF!-#REF!)*'[1]功能-付费相关'!CC46/节奏总纲!Y44</f>
        <v>#REF!</v>
      </c>
      <c r="AP44" s="11" t="e">
        <f>(#REF!-#REF!)*'[1]功能-付费相关'!CD46/节奏总纲!Z44</f>
        <v>#REF!</v>
      </c>
      <c r="AQ44" s="11" t="e">
        <f>(#REF!-#REF!)*'[1]功能-付费相关'!CE46/节奏总纲!AA44</f>
        <v>#REF!</v>
      </c>
      <c r="AS44" s="11">
        <f>('[1]资源-装备经验'!C46-'[1]资源-装备经验'!C45)*'[1]功能-付费相关'!BI46/节奏总纲!W44</f>
        <v>1239.6331287366472</v>
      </c>
      <c r="AT44" s="11">
        <f>('[1]资源-装备经验'!D46-'[1]资源-装备经验'!D45)*'[1]功能-付费相关'!BJ46/节奏总纲!X44</f>
        <v>1685.2700357145818</v>
      </c>
      <c r="AU44" s="11">
        <f>('[1]资源-装备经验'!E46-'[1]资源-装备经验'!E45)*'[1]功能-付费相关'!BK46/节奏总纲!Y44</f>
        <v>2150.3169314780544</v>
      </c>
      <c r="AV44" s="11">
        <f>('[1]资源-装备经验'!F46-'[1]资源-装备经验'!F45)*'[1]功能-付费相关'!BL46/节奏总纲!Z44</f>
        <v>2438.7636904953433</v>
      </c>
      <c r="AW44" s="11">
        <f>('[1]资源-装备经验'!G46-'[1]资源-装备经验'!G45)*'[1]功能-付费相关'!BM46/节奏总纲!AA44</f>
        <v>2408.8704389949926</v>
      </c>
      <c r="AY44" s="11">
        <f>('[1]资源-武将经验'!C46*节奏总纲!BJ44-'[1]资源-武将经验'!C45*节奏总纲!BJ43)*'[1]功能-付费相关'!AZ46/节奏总纲!W44</f>
        <v>5059.3793682638807</v>
      </c>
      <c r="AZ44" s="11">
        <f>('[1]资源-武将经验'!D46*节奏总纲!BK44-'[1]资源-武将经验'!D45*节奏总纲!BK43)*'[1]功能-付费相关'!BA46/节奏总纲!X44</f>
        <v>6072.489721232997</v>
      </c>
      <c r="BA44" s="11">
        <f>('[1]资源-武将经验'!E46*节奏总纲!BL44-'[1]资源-武将经验'!E45*节奏总纲!BL43)*'[1]功能-付费相关'!BB46/节奏总纲!Y44</f>
        <v>7473.7950374256206</v>
      </c>
      <c r="BB44" s="11">
        <f>('[1]资源-武将经验'!F46*节奏总纲!BM44-'[1]资源-武将经验'!F45*节奏总纲!BM43)*'[1]功能-付费相关'!BC46/节奏总纲!Z44</f>
        <v>17617.483119935136</v>
      </c>
      <c r="BC44" s="11">
        <f>('[1]资源-武将经验'!G46*节奏总纲!BN44-'[1]资源-武将经验'!G45*节奏总纲!BN43)*'[1]功能-付费相关'!BD46/节奏总纲!AA44</f>
        <v>33362.471225759356</v>
      </c>
      <c r="BD44" s="33"/>
      <c r="BE44" s="30" t="e">
        <f t="shared" si="4"/>
        <v>#REF!</v>
      </c>
      <c r="BF44" s="30" t="e">
        <f t="shared" si="5"/>
        <v>#REF!</v>
      </c>
      <c r="BG44" s="30" t="e">
        <f t="shared" si="6"/>
        <v>#REF!</v>
      </c>
      <c r="BH44" s="30" t="e">
        <f t="shared" si="7"/>
        <v>#REF!</v>
      </c>
      <c r="BI44" s="30" t="e">
        <f t="shared" si="8"/>
        <v>#REF!</v>
      </c>
    </row>
    <row r="45" spans="2:61" x14ac:dyDescent="0.15">
      <c r="B45" s="31">
        <v>42</v>
      </c>
      <c r="C45" s="11">
        <f>('[1]资源-玩家城池建筑时间'!D47-'[1]资源-玩家城池建筑时间'!D46)*'[1]功能-付费相关'!AH47/节奏总纲!W45</f>
        <v>3305.2423410854622</v>
      </c>
      <c r="D45" s="11">
        <f>('[1]资源-玩家城池建筑时间'!E47-'[1]资源-玩家城池建筑时间'!E46)*'[1]功能-付费相关'!AI47/节奏总纲!X45</f>
        <v>3927.0030234517976</v>
      </c>
      <c r="E45" s="11">
        <f>('[1]资源-玩家城池建筑时间'!F47-'[1]资源-玩家城池建筑时间'!F46)*'[1]功能-付费相关'!AJ47/节奏总纲!Y45</f>
        <v>4564.0077889489567</v>
      </c>
      <c r="F45" s="11">
        <f>('[1]资源-玩家城池建筑时间'!G47-'[1]资源-玩家城池建筑时间'!G46)*'[1]功能-付费相关'!AK47/节奏总纲!Z45</f>
        <v>5995.2169281419729</v>
      </c>
      <c r="G45" s="11">
        <f>('[1]资源-玩家城池建筑时间'!H47-'[1]资源-玩家城池建筑时间'!H46)*'[1]功能-付费相关'!AL47/节奏总纲!AA45</f>
        <v>7419.8690386318858</v>
      </c>
      <c r="I45" s="31">
        <f>('[1]资源-士兵训练时间'!C47-'[1]资源-士兵训练时间'!C46)*'[1]功能-付费相关'!AH47/节奏总纲!W45</f>
        <v>1269.3128732336163</v>
      </c>
      <c r="J45" s="31">
        <f>('[1]资源-士兵训练时间'!D47-'[1]资源-士兵训练时间'!D46)*'[1]功能-付费相关'!AI47/节奏总纲!X45</f>
        <v>1296.3647893382674</v>
      </c>
      <c r="K45" s="31">
        <f>('[1]资源-士兵训练时间'!E47-'[1]资源-士兵训练时间'!E46)*'[1]功能-付费相关'!AJ47/节奏总纲!Y45</f>
        <v>1342.0122152686267</v>
      </c>
      <c r="L45" s="31">
        <f>('[1]资源-士兵训练时间'!F47-'[1]资源-士兵训练时间'!F46)*'[1]功能-付费相关'!AK47/节奏总纲!Z45</f>
        <v>1453.1067019797265</v>
      </c>
      <c r="M45" s="31">
        <f>('[1]资源-士兵训练时间'!G47-'[1]资源-士兵训练时间'!G46)*'[1]功能-付费相关'!AL47/节奏总纲!AA45</f>
        <v>1729.299570977849</v>
      </c>
      <c r="O45" s="11">
        <f>('[1]资源-士兵招募时间'!D47-'[1]资源-士兵招募时间'!D46)*'[1]功能-付费相关'!AH47/节奏总纲!W45</f>
        <v>2190.4351503057601</v>
      </c>
      <c r="P45" s="11">
        <f>('[1]资源-士兵招募时间'!E47-'[1]资源-士兵招募时间'!E46)*'[1]功能-付费相关'!AI47/节奏总纲!X45</f>
        <v>2504.0627062147173</v>
      </c>
      <c r="Q45" s="11">
        <f>('[1]资源-士兵招募时间'!F47-'[1]资源-士兵招募时间'!F46)*'[1]功能-付费相关'!AJ47/节奏总纲!Y45</f>
        <v>2778.5024584979451</v>
      </c>
      <c r="R45" s="11">
        <f>('[1]资源-士兵招募时间'!G47-'[1]资源-士兵招募时间'!G46)*'[1]功能-付费相关'!AK47/节奏总纲!Z45</f>
        <v>3476.9978210887407</v>
      </c>
      <c r="S45" s="11">
        <f>('[1]资源-士兵招募时间'!H47-'[1]资源-士兵招募时间'!H46)*'[1]功能-付费相关'!AL47/节奏总纲!AA45</f>
        <v>4200.871804704062</v>
      </c>
      <c r="U45" s="31">
        <f>('[1]资源-木石铜粮'!C47-'[1]资源-木石铜粮'!C46)*'[1]功能-付费相关'!S47/节奏总纲!W45</f>
        <v>2331.2617274835825</v>
      </c>
      <c r="V45" s="31">
        <f>('[1]资源-木石铜粮'!D47-'[1]资源-木石铜粮'!D46)*'[1]功能-付费相关'!T47/节奏总纲!X45</f>
        <v>2455.0996608609289</v>
      </c>
      <c r="W45" s="31">
        <f>('[1]资源-木石铜粮'!E47-'[1]资源-木石铜粮'!E46)*'[1]功能-付费相关'!U47/节奏总纲!Y45</f>
        <v>2646.0365533873769</v>
      </c>
      <c r="X45" s="31">
        <f>('[1]资源-木石铜粮'!F47-'[1]资源-木石铜粮'!F46)*'[1]功能-付费相关'!V47/节奏总纲!Z45</f>
        <v>2793.9045172718725</v>
      </c>
      <c r="Y45" s="31">
        <f>('[1]资源-木石铜粮'!G47-'[1]资源-木石铜粮'!G46)*'[1]功能-付费相关'!W47/节奏总纲!AA45</f>
        <v>3303.7021430863015</v>
      </c>
      <c r="AA45" s="11">
        <f>('[1]资源-铁'!C47-'[1]资源-铁'!C46)*'[1]功能-付费相关'!X47/节奏总纲!W45</f>
        <v>19.058433609795522</v>
      </c>
      <c r="AB45" s="11">
        <f>('[1]资源-铁'!D47-'[1]资源-铁'!D46)*'[1]功能-付费相关'!Y47/节奏总纲!X45</f>
        <v>96.131789338783122</v>
      </c>
      <c r="AC45" s="11">
        <f>('[1]资源-铁'!E47-'[1]资源-铁'!E46)*'[1]功能-付费相关'!Z47/节奏总纲!Y45</f>
        <v>110.85475048703655</v>
      </c>
      <c r="AD45" s="11">
        <f>('[1]资源-铁'!F47-'[1]资源-铁'!F46)*'[1]功能-付费相关'!AA47/节奏总纲!Z45</f>
        <v>137.67584917408175</v>
      </c>
      <c r="AE45" s="11">
        <f>('[1]资源-铁'!G47-'[1]资源-铁'!G46)*'[1]功能-付费相关'!AB47/节奏总纲!AA45</f>
        <v>217.16284962221505</v>
      </c>
      <c r="AG45" s="11">
        <f>('[1]资源-银币'!C47-'[1]资源-银币'!C46)*'[1]功能-付费相关'!AQ47/节奏总纲!W45</f>
        <v>1247.5653925240426</v>
      </c>
      <c r="AH45" s="11">
        <f>('[1]资源-银币'!D47-'[1]资源-银币'!D46)*'[1]功能-付费相关'!AR47/节奏总纲!X45</f>
        <v>1385.4472517201123</v>
      </c>
      <c r="AI45" s="11">
        <f>('[1]资源-银币'!E47-'[1]资源-银币'!E46)*'[1]功能-付费相关'!AS47/节奏总纲!Y45</f>
        <v>1587.9423950279424</v>
      </c>
      <c r="AJ45" s="11">
        <f>('[1]资源-银币'!F47-'[1]资源-银币'!F46)*'[1]功能-付费相关'!AT47/节奏总纲!Z45</f>
        <v>1586.6355774154927</v>
      </c>
      <c r="AK45" s="11">
        <f>('[1]资源-银币'!G47-'[1]资源-银币'!G46)*'[1]功能-付费相关'!AU47/节奏总纲!AA45</f>
        <v>2040.3146709298164</v>
      </c>
      <c r="AM45" s="11" t="e">
        <f>(#REF!-#REF!)*'[1]功能-付费相关'!CA47/节奏总纲!W45</f>
        <v>#REF!</v>
      </c>
      <c r="AN45" s="11" t="e">
        <f>(#REF!-#REF!)*'[1]功能-付费相关'!CB47/节奏总纲!X45</f>
        <v>#REF!</v>
      </c>
      <c r="AO45" s="11" t="e">
        <f>(#REF!-#REF!)*'[1]功能-付费相关'!CC47/节奏总纲!Y45</f>
        <v>#REF!</v>
      </c>
      <c r="AP45" s="11" t="e">
        <f>(#REF!-#REF!)*'[1]功能-付费相关'!CD47/节奏总纲!Z45</f>
        <v>#REF!</v>
      </c>
      <c r="AQ45" s="11" t="e">
        <f>(#REF!-#REF!)*'[1]功能-付费相关'!CE47/节奏总纲!AA45</f>
        <v>#REF!</v>
      </c>
      <c r="AS45" s="11">
        <f>('[1]资源-装备经验'!C47-'[1]资源-装备经验'!C46)*'[1]功能-付费相关'!BI47/节奏总纲!W45</f>
        <v>1188.6526132215286</v>
      </c>
      <c r="AT45" s="11">
        <f>('[1]资源-装备经验'!D47-'[1]资源-装备经验'!D46)*'[1]功能-付费相关'!BJ47/节奏总纲!X45</f>
        <v>1574.881708547505</v>
      </c>
      <c r="AU45" s="11">
        <f>('[1]资源-装备经验'!E47-'[1]资源-装备经验'!E46)*'[1]功能-付费相关'!BK47/节奏总纲!Y45</f>
        <v>2048.0824103079572</v>
      </c>
      <c r="AV45" s="11">
        <f>('[1]资源-装备经验'!F47-'[1]资源-装备经验'!F46)*'[1]功能-付费相关'!BL47/节奏总纲!Z45</f>
        <v>2329.9845323450572</v>
      </c>
      <c r="AW45" s="11">
        <f>('[1]资源-装备经验'!G47-'[1]资源-装备经验'!G46)*'[1]功能-付费相关'!BM47/节奏总纲!AA45</f>
        <v>2423.4591779273701</v>
      </c>
      <c r="AY45" s="11">
        <f>('[1]资源-武将经验'!C47*节奏总纲!BJ45-'[1]资源-武将经验'!C46*节奏总纲!BJ44)*'[1]功能-付费相关'!AZ47/节奏总纲!W45</f>
        <v>4888.6650121549437</v>
      </c>
      <c r="AZ45" s="11">
        <f>('[1]资源-武将经验'!D47*节奏总纲!BK45-'[1]资源-武将经验'!D46*节奏总纲!BK44)*'[1]功能-付费相关'!BA47/节奏总纲!X45</f>
        <v>6314.8074687568933</v>
      </c>
      <c r="BA45" s="11">
        <f>('[1]资源-武将经验'!E47*节奏总纲!BL45-'[1]资源-武将经验'!E46*节奏总纲!BL44)*'[1]功能-付费相关'!BB47/节奏总纲!Y45</f>
        <v>8457.3852109448198</v>
      </c>
      <c r="BB45" s="11">
        <f>('[1]资源-武将经验'!F47*节奏总纲!BM45-'[1]资源-武将经验'!F46*节奏总纲!BM44)*'[1]功能-付费相关'!BC47/节奏总纲!Z45</f>
        <v>19696.894535780826</v>
      </c>
      <c r="BC45" s="11">
        <f>('[1]资源-武将经验'!G47*节奏总纲!BN45-'[1]资源-武将经验'!G46*节奏总纲!BN44)*'[1]功能-付费相关'!BD47/节奏总纲!AA45</f>
        <v>33844.219423725706</v>
      </c>
      <c r="BD45" s="33"/>
      <c r="BE45" s="30" t="e">
        <f t="shared" si="4"/>
        <v>#REF!</v>
      </c>
      <c r="BF45" s="30" t="e">
        <f t="shared" si="5"/>
        <v>#REF!</v>
      </c>
      <c r="BG45" s="30" t="e">
        <f t="shared" si="6"/>
        <v>#REF!</v>
      </c>
      <c r="BH45" s="30" t="e">
        <f t="shared" si="7"/>
        <v>#REF!</v>
      </c>
      <c r="BI45" s="30" t="e">
        <f t="shared" si="8"/>
        <v>#REF!</v>
      </c>
    </row>
    <row r="46" spans="2:61" x14ac:dyDescent="0.15">
      <c r="B46" s="31">
        <v>43</v>
      </c>
      <c r="C46" s="11">
        <f>('[1]资源-玩家城池建筑时间'!D48-'[1]资源-玩家城池建筑时间'!D47)*'[1]功能-付费相关'!AH48/节奏总纲!W46</f>
        <v>3261.0101394054682</v>
      </c>
      <c r="D46" s="11">
        <f>('[1]资源-玩家城池建筑时间'!E48-'[1]资源-玩家城池建筑时间'!E47)*'[1]功能-付费相关'!AI48/节奏总纲!X46</f>
        <v>3879.6641685784025</v>
      </c>
      <c r="E46" s="11">
        <f>('[1]资源-玩家城池建筑时间'!F48-'[1]资源-玩家城池建筑时间'!F47)*'[1]功能-付费相关'!AJ48/节奏总纲!Y46</f>
        <v>4463.0595625986234</v>
      </c>
      <c r="F46" s="11">
        <f>('[1]资源-玩家城池建筑时间'!G48-'[1]资源-玩家城池建筑时间'!G47)*'[1]功能-付费相关'!AK48/节奏总纲!Z46</f>
        <v>5919.7064978149147</v>
      </c>
      <c r="G46" s="11">
        <f>('[1]资源-玩家城池建筑时间'!H48-'[1]资源-玩家城池建筑时间'!H47)*'[1]功能-付费相关'!AL48/节奏总纲!AA46</f>
        <v>7654.7864426219712</v>
      </c>
      <c r="I46" s="31">
        <f>('[1]资源-士兵训练时间'!C48-'[1]资源-士兵训练时间'!C47)*'[1]功能-付费相关'!AH48/节奏总纲!W46</f>
        <v>1242.6075431631866</v>
      </c>
      <c r="J46" s="31">
        <f>('[1]资源-士兵训练时间'!D48-'[1]资源-士兵训练时间'!D47)*'[1]功能-付费相关'!AI48/节奏总纲!X46</f>
        <v>1276.8485706973888</v>
      </c>
      <c r="K46" s="31">
        <f>('[1]资源-士兵训练时间'!E48-'[1]资源-士兵训练时间'!E47)*'[1]功能-付费相关'!AJ48/节奏总纲!Y46</f>
        <v>1312.2571749453807</v>
      </c>
      <c r="L46" s="31">
        <f>('[1]资源-士兵训练时间'!F48-'[1]资源-士兵训练时间'!F47)*'[1]功能-付费相关'!AK48/节奏总纲!Z46</f>
        <v>1423.72688632891</v>
      </c>
      <c r="M46" s="31">
        <f>('[1]资源-士兵训练时间'!G48-'[1]资源-士兵训练时间'!G47)*'[1]功能-付费相关'!AL48/节奏总纲!AA46</f>
        <v>1798.0040607614992</v>
      </c>
      <c r="O46" s="11">
        <f>('[1]资源-士兵招募时间'!D48-'[1]资源-士兵招募时间'!D47)*'[1]功能-付费相关'!AH48/节奏总纲!W46</f>
        <v>2168.9804156230075</v>
      </c>
      <c r="P46" s="11">
        <f>('[1]资源-士兵招募时间'!E48-'[1]资源-士兵招募时间'!E47)*'[1]功能-付费相关'!AI48/节奏总纲!X46</f>
        <v>2453.7419016439335</v>
      </c>
      <c r="Q46" s="11">
        <f>('[1]资源-士兵招募时间'!F48-'[1]资源-士兵招募时间'!F47)*'[1]功能-付费相关'!AJ48/节奏总纲!Y46</f>
        <v>2736.5367923752369</v>
      </c>
      <c r="R46" s="11">
        <f>('[1]资源-士兵招募时间'!G48-'[1]资源-士兵招募时间'!G47)*'[1]功能-付费相关'!AK48/节奏总纲!Z46</f>
        <v>3394.6121219115394</v>
      </c>
      <c r="S46" s="11">
        <f>('[1]资源-士兵招募时间'!H48-'[1]资源-士兵招募时间'!H47)*'[1]功能-付费相关'!AL48/节奏总纲!AA46</f>
        <v>4201.879458327262</v>
      </c>
      <c r="U46" s="31">
        <f>('[1]资源-木石铜粮'!C48-'[1]资源-木石铜粮'!C47)*'[1]功能-付费相关'!S48/节奏总纲!W46</f>
        <v>2275.8667205246516</v>
      </c>
      <c r="V46" s="31">
        <f>('[1]资源-木石铜粮'!D48-'[1]资源-木石铜粮'!D47)*'[1]功能-付费相关'!T48/节奏总纲!X46</f>
        <v>2385.3989767093731</v>
      </c>
      <c r="W46" s="31">
        <f>('[1]资源-木石铜粮'!E48-'[1]资源-木石铜粮'!E47)*'[1]功能-付费相关'!U48/节奏总纲!Y46</f>
        <v>2583.3700229402516</v>
      </c>
      <c r="X46" s="31">
        <f>('[1]资源-木石铜粮'!F48-'[1]资源-木石铜粮'!F47)*'[1]功能-付费相关'!V48/节奏总纲!Z46</f>
        <v>2734.7309336373437</v>
      </c>
      <c r="Y46" s="31">
        <f>('[1]资源-木石铜粮'!G48-'[1]资源-木石铜粮'!G47)*'[1]功能-付费相关'!W48/节奏总纲!AA46</f>
        <v>3282.8310403456221</v>
      </c>
      <c r="AA46" s="11">
        <f>('[1]资源-铁'!C48-'[1]资源-铁'!C47)*'[1]功能-付费相关'!X48/节奏总纲!W46</f>
        <v>82.68102877227355</v>
      </c>
      <c r="AB46" s="11">
        <f>('[1]资源-铁'!D48-'[1]资源-铁'!D47)*'[1]功能-付费相关'!Y48/节奏总纲!X46</f>
        <v>91.318957142771012</v>
      </c>
      <c r="AC46" s="11">
        <f>('[1]资源-铁'!E48-'[1]资源-铁'!E47)*'[1]功能-付费相关'!Z48/节奏总纲!Y46</f>
        <v>105.58690900693919</v>
      </c>
      <c r="AD46" s="11">
        <f>('[1]资源-铁'!F48-'[1]资源-铁'!F47)*'[1]功能-付费相关'!AA48/节奏总纲!Z46</f>
        <v>132.8019442434526</v>
      </c>
      <c r="AE46" s="11">
        <f>('[1]资源-铁'!G48-'[1]资源-铁'!G47)*'[1]功能-付费相关'!AB48/节奏总纲!AA46</f>
        <v>219.26452059238832</v>
      </c>
      <c r="AG46" s="11">
        <f>('[1]资源-银币'!C48-'[1]资源-银币'!C47)*'[1]功能-付费相关'!AQ48/节奏总纲!W46</f>
        <v>1197.7821122868118</v>
      </c>
      <c r="AH46" s="11">
        <f>('[1]资源-银币'!D48-'[1]资源-银币'!D47)*'[1]功能-付费相关'!AR48/节奏总纲!X46</f>
        <v>1460.820669365708</v>
      </c>
      <c r="AI46" s="11">
        <f>('[1]资源-银币'!E48-'[1]资源-银币'!E47)*'[1]功能-付费相关'!AS48/节奏总纲!Y46</f>
        <v>1410.2374317667952</v>
      </c>
      <c r="AJ46" s="11">
        <f>('[1]资源-银币'!F48-'[1]资源-银币'!F47)*'[1]功能-付费相关'!AT48/节奏总纲!Z46</f>
        <v>1518.3674483287271</v>
      </c>
      <c r="AK46" s="11">
        <f>('[1]资源-银币'!G48-'[1]资源-银币'!G47)*'[1]功能-付费相关'!AU48/节奏总纲!AA46</f>
        <v>2202.6990343110142</v>
      </c>
      <c r="AM46" s="11" t="e">
        <f>(#REF!-#REF!)*'[1]功能-付费相关'!CA48/节奏总纲!W46</f>
        <v>#REF!</v>
      </c>
      <c r="AN46" s="11" t="e">
        <f>(#REF!-#REF!)*'[1]功能-付费相关'!CB48/节奏总纲!X46</f>
        <v>#REF!</v>
      </c>
      <c r="AO46" s="11" t="e">
        <f>(#REF!-#REF!)*'[1]功能-付费相关'!CC48/节奏总纲!Y46</f>
        <v>#REF!</v>
      </c>
      <c r="AP46" s="11" t="e">
        <f>(#REF!-#REF!)*'[1]功能-付费相关'!CD48/节奏总纲!Z46</f>
        <v>#REF!</v>
      </c>
      <c r="AQ46" s="11" t="e">
        <f>(#REF!-#REF!)*'[1]功能-付费相关'!CE48/节奏总纲!AA46</f>
        <v>#REF!</v>
      </c>
      <c r="AS46" s="11">
        <f>('[1]资源-装备经验'!C48-'[1]资源-装备经验'!C47)*'[1]功能-付费相关'!BI48/节奏总纲!W46</f>
        <v>1134.9351688954785</v>
      </c>
      <c r="AT46" s="11">
        <f>('[1]资源-装备经验'!D48-'[1]资源-装备经验'!D47)*'[1]功能-付费相关'!BJ48/节奏总纲!X46</f>
        <v>1544.0922209724486</v>
      </c>
      <c r="AU46" s="11">
        <f>('[1]资源-装备经验'!E48-'[1]资源-装备经验'!E47)*'[1]功能-付费相关'!BK48/节奏总纲!Y46</f>
        <v>2027.6759758577211</v>
      </c>
      <c r="AV46" s="11">
        <f>('[1]资源-装备经验'!F48-'[1]资源-装备经验'!F47)*'[1]功能-付费相关'!BL48/节奏总纲!Z46</f>
        <v>2312.8055622474449</v>
      </c>
      <c r="AW46" s="11">
        <f>('[1]资源-装备经验'!G48-'[1]资源-装备经验'!G47)*'[1]功能-付费相关'!BM48/节奏总纲!AA46</f>
        <v>2519.1837380087127</v>
      </c>
      <c r="AY46" s="11">
        <f>('[1]资源-武将经验'!C48*节奏总纲!BJ46-'[1]资源-武将经验'!C47*节奏总纲!BJ45)*'[1]功能-付费相关'!AZ48/节奏总纲!W46</f>
        <v>5663.7155761863087</v>
      </c>
      <c r="AZ46" s="11">
        <f>('[1]资源-武将经验'!D48*节奏总纲!BK46-'[1]资源-武将经验'!D47*节奏总纲!BK45)*'[1]功能-付费相关'!BA48/节奏总纲!X46</f>
        <v>6834.2184505767173</v>
      </c>
      <c r="BA46" s="11">
        <f>('[1]资源-武将经验'!E48*节奏总纲!BL46-'[1]资源-武将经验'!E47*节奏总纲!BL45)*'[1]功能-付费相关'!BB48/节奏总纲!Y46</f>
        <v>8570.3568484650477</v>
      </c>
      <c r="BB46" s="11">
        <f>('[1]资源-武将经验'!F48*节奏总纲!BM46-'[1]资源-武将经验'!F47*节奏总纲!BM45)*'[1]功能-付费相关'!BC48/节奏总纲!Z46</f>
        <v>19445.513830220381</v>
      </c>
      <c r="BC46" s="11">
        <f>('[1]资源-武将经验'!G48*节奏总纲!BN46-'[1]资源-武将经验'!G47*节奏总纲!BN45)*'[1]功能-付费相关'!BD48/节奏总纲!AA46</f>
        <v>36384.474173294329</v>
      </c>
      <c r="BD46" s="33"/>
      <c r="BE46" s="30" t="e">
        <f t="shared" si="4"/>
        <v>#REF!</v>
      </c>
      <c r="BF46" s="30" t="e">
        <f t="shared" si="5"/>
        <v>#REF!</v>
      </c>
      <c r="BG46" s="30" t="e">
        <f t="shared" si="6"/>
        <v>#REF!</v>
      </c>
      <c r="BH46" s="30" t="e">
        <f t="shared" si="7"/>
        <v>#REF!</v>
      </c>
      <c r="BI46" s="30" t="e">
        <f t="shared" si="8"/>
        <v>#REF!</v>
      </c>
    </row>
    <row r="47" spans="2:61" x14ac:dyDescent="0.15">
      <c r="B47" s="31">
        <v>44</v>
      </c>
      <c r="C47" s="11">
        <f>('[1]资源-玩家城池建筑时间'!D49-'[1]资源-玩家城池建筑时间'!D48)*'[1]功能-付费相关'!AH49/节奏总纲!W47</f>
        <v>3159.4783669494109</v>
      </c>
      <c r="D47" s="11">
        <f>('[1]资源-玩家城池建筑时间'!E49-'[1]资源-玩家城池建筑时间'!E48)*'[1]功能-付费相关'!AI49/节奏总纲!X47</f>
        <v>3726.8636973386965</v>
      </c>
      <c r="E47" s="11">
        <f>('[1]资源-玩家城池建筑时间'!F49-'[1]资源-玩家城池建筑时间'!F48)*'[1]功能-付费相关'!AJ49/节奏总纲!Y47</f>
        <v>4407.0524850747588</v>
      </c>
      <c r="F47" s="11">
        <f>('[1]资源-玩家城池建筑时间'!G49-'[1]资源-玩家城池建筑时间'!G48)*'[1]功能-付费相关'!AK49/节奏总纲!Z47</f>
        <v>5727.7887056458167</v>
      </c>
      <c r="G47" s="11">
        <f>('[1]资源-玩家城池建筑时间'!H49-'[1]资源-玩家城池建筑时间'!H48)*'[1]功能-付费相关'!AL49/节奏总纲!AA47</f>
        <v>9960.256686847184</v>
      </c>
      <c r="I47" s="31">
        <f>('[1]资源-士兵训练时间'!C49-'[1]资源-士兵训练时间'!C48)*'[1]功能-付费相关'!AH49/节奏总纲!W47</f>
        <v>1205.6415096313322</v>
      </c>
      <c r="J47" s="31">
        <f>('[1]资源-士兵训练时间'!D49-'[1]资源-士兵训练时间'!D48)*'[1]功能-付费相关'!AI49/节奏总纲!X47</f>
        <v>1237.0267203217272</v>
      </c>
      <c r="K47" s="31">
        <f>('[1]资源-士兵训练时间'!E49-'[1]资源-士兵训练时间'!E48)*'[1]功能-付费相关'!AJ49/节奏总纲!Y47</f>
        <v>1283.8086240305965</v>
      </c>
      <c r="L47" s="31">
        <f>('[1]资源-士兵训练时间'!F49-'[1]资源-士兵训练时间'!F48)*'[1]功能-付费相关'!AK49/节奏总纲!Z47</f>
        <v>1375.4332548183841</v>
      </c>
      <c r="M47" s="31">
        <f>('[1]资源-士兵训练时间'!G49-'[1]资源-士兵训练时间'!G48)*'[1]功能-付费相关'!AL49/节奏总纲!AA47</f>
        <v>2402.4533875730313</v>
      </c>
      <c r="O47" s="11">
        <f>('[1]资源-士兵招募时间'!D49-'[1]资源-士兵招募时间'!D48)*'[1]功能-付费相关'!AH49/节奏总纲!W47</f>
        <v>2144.4848115855143</v>
      </c>
      <c r="P47" s="11">
        <f>('[1]资源-士兵招募时间'!E49-'[1]资源-士兵招募时间'!E48)*'[1]功能-付费相关'!AI49/节奏总纲!X47</f>
        <v>2388.3163716896133</v>
      </c>
      <c r="Q47" s="11">
        <f>('[1]资源-士兵招募时间'!F49-'[1]资源-士兵招募时间'!F48)*'[1]功能-付费相关'!AJ49/节奏总纲!Y47</f>
        <v>2701.7338738363142</v>
      </c>
      <c r="R47" s="11">
        <f>('[1]资源-士兵招募时间'!G49-'[1]资源-士兵招募时间'!G48)*'[1]功能-付费相关'!AK49/节奏总纲!Z47</f>
        <v>3292.8674262246695</v>
      </c>
      <c r="S47" s="11">
        <f>('[1]资源-士兵招募时间'!H49-'[1]资源-士兵招募时间'!H48)*'[1]功能-付费相关'!AL49/节奏总纲!AA47</f>
        <v>4741.0976615462878</v>
      </c>
      <c r="U47" s="31">
        <f>('[1]资源-木石铜粮'!C49-'[1]资源-木石铜粮'!C48)*'[1]功能-付费相关'!S49/节奏总纲!W47</f>
        <v>2204.5865786088507</v>
      </c>
      <c r="V47" s="31">
        <f>('[1]资源-木石铜粮'!D49-'[1]资源-木石铜粮'!D48)*'[1]功能-付费相关'!T49/节奏总纲!X47</f>
        <v>2343.112123743565</v>
      </c>
      <c r="W47" s="31">
        <f>('[1]资源-木石铜粮'!E49-'[1]资源-木石铜粮'!E48)*'[1]功能-付费相关'!U49/节奏总纲!Y47</f>
        <v>2506.498369135707</v>
      </c>
      <c r="X47" s="31">
        <f>('[1]资源-木石铜粮'!F49-'[1]资源-木石铜粮'!F48)*'[1]功能-付费相关'!V49/节奏总纲!Z47</f>
        <v>2645.1463218966369</v>
      </c>
      <c r="Y47" s="31">
        <f>('[1]资源-木石铜粮'!G49-'[1]资源-木石铜粮'!G48)*'[1]功能-付费相关'!W49/节奏总纲!AA47</f>
        <v>3617.3877676901898</v>
      </c>
      <c r="AA47" s="11">
        <f>('[1]资源-铁'!C49-'[1]资源-铁'!C48)*'[1]功能-付费相关'!X49/节奏总纲!W47</f>
        <v>77.733356774903669</v>
      </c>
      <c r="AB47" s="11">
        <f>('[1]资源-铁'!D49-'[1]资源-铁'!D48)*'[1]功能-付费相关'!Y49/节奏总纲!X47</f>
        <v>86.632933194701309</v>
      </c>
      <c r="AC47" s="11">
        <f>('[1]资源-铁'!E49-'[1]资源-铁'!E48)*'[1]功能-付费相关'!Z49/节奏总纲!Y47</f>
        <v>100.03760550805397</v>
      </c>
      <c r="AD47" s="11">
        <f>('[1]资源-铁'!F49-'[1]资源-铁'!F48)*'[1]功能-付费相关'!AA49/节奏总纲!Z47</f>
        <v>124.59525326882101</v>
      </c>
      <c r="AE47" s="11">
        <f>('[1]资源-铁'!G49-'[1]资源-铁'!G48)*'[1]功能-付费相关'!AB49/节奏总纲!AA47</f>
        <v>276.011549924191</v>
      </c>
      <c r="AG47" s="11">
        <f>('[1]资源-银币'!C49-'[1]资源-银币'!C48)*'[1]功能-付费相关'!AQ49/节奏总纲!W47</f>
        <v>1151.931393117567</v>
      </c>
      <c r="AH47" s="11">
        <f>('[1]资源-银币'!D49-'[1]资源-银币'!D48)*'[1]功能-付费相关'!AR49/节奏总纲!X47</f>
        <v>1207.85994770708</v>
      </c>
      <c r="AI47" s="11">
        <f>('[1]资源-银币'!E49-'[1]资源-银币'!E48)*'[1]功能-付费相关'!AS49/节奏总纲!Y47</f>
        <v>1314.10652761803</v>
      </c>
      <c r="AJ47" s="11">
        <f>('[1]资源-银币'!F49-'[1]资源-银币'!F48)*'[1]功能-付费相关'!AT49/节奏总纲!Z47</f>
        <v>1466.6644931220951</v>
      </c>
      <c r="AK47" s="11">
        <f>('[1]资源-银币'!G49-'[1]资源-银币'!G48)*'[1]功能-付费相关'!AU49/节奏总纲!AA47</f>
        <v>3235.0067489562766</v>
      </c>
      <c r="AM47" s="11" t="e">
        <f>(#REF!-#REF!)*'[1]功能-付费相关'!CA49/节奏总纲!W47</f>
        <v>#REF!</v>
      </c>
      <c r="AN47" s="11" t="e">
        <f>(#REF!-#REF!)*'[1]功能-付费相关'!CB49/节奏总纲!X47</f>
        <v>#REF!</v>
      </c>
      <c r="AO47" s="11" t="e">
        <f>(#REF!-#REF!)*'[1]功能-付费相关'!CC49/节奏总纲!Y47</f>
        <v>#REF!</v>
      </c>
      <c r="AP47" s="11" t="e">
        <f>(#REF!-#REF!)*'[1]功能-付费相关'!CD49/节奏总纲!Z47</f>
        <v>#REF!</v>
      </c>
      <c r="AQ47" s="11" t="e">
        <f>(#REF!-#REF!)*'[1]功能-付费相关'!CE49/节奏总纲!AA47</f>
        <v>#REF!</v>
      </c>
      <c r="AS47" s="11">
        <f>('[1]资源-装备经验'!C49-'[1]资源-装备经验'!C48)*'[1]功能-付费相关'!BI49/节奏总纲!W47</f>
        <v>1086.9553638403952</v>
      </c>
      <c r="AT47" s="11">
        <f>('[1]资源-装备经验'!D49-'[1]资源-装备经验'!D48)*'[1]功能-付费相关'!BJ49/节奏总纲!X47</f>
        <v>1488.4136482405979</v>
      </c>
      <c r="AU47" s="11">
        <f>('[1]资源-装备经验'!E49-'[1]资源-装备经验'!E48)*'[1]功能-付费相关'!BK49/节奏总纲!Y47</f>
        <v>1951.5888205848257</v>
      </c>
      <c r="AV47" s="11">
        <f>('[1]资源-装备经验'!F49-'[1]资源-装备经验'!F48)*'[1]功能-付费相关'!BL49/节奏总纲!Z47</f>
        <v>2227.4231135161522</v>
      </c>
      <c r="AW47" s="11">
        <f>('[1]资源-装备经验'!G49-'[1]资源-装备经验'!G48)*'[1]功能-付费相关'!BM49/节奏总纲!AA47</f>
        <v>3261.7383261172204</v>
      </c>
      <c r="AY47" s="11">
        <f>('[1]资源-武将经验'!C49*节奏总纲!BJ47-'[1]资源-武将经验'!C48*节奏总纲!BJ46)*'[1]功能-付费相关'!AZ49/节奏总纲!W47</f>
        <v>5391.8616012666744</v>
      </c>
      <c r="AZ47" s="11">
        <f>('[1]资源-武将经验'!D49*节奏总纲!BK47-'[1]资源-武将经验'!D48*节奏总纲!BK46)*'[1]功能-付费相关'!BA49/节奏总纲!X47</f>
        <v>6521.8615721946026</v>
      </c>
      <c r="BA47" s="11">
        <f>('[1]资源-武将经验'!E49*节奏总纲!BL47-'[1]资源-武将经验'!E48*节奏总纲!BL46)*'[1]功能-付费相关'!BB49/节奏总纲!Y47</f>
        <v>8231.9279341146612</v>
      </c>
      <c r="BB47" s="11">
        <f>('[1]资源-武将经验'!F49*节奏总纲!BM47-'[1]资源-武将经验'!F48*节奏总纲!BM46)*'[1]功能-付费相关'!BC49/节奏总纲!Z47</f>
        <v>18510.060048949967</v>
      </c>
      <c r="BC47" s="11">
        <f>('[1]资源-武将经验'!G49*节奏总纲!BN47-'[1]资源-武将经验'!G48*节奏总纲!BN46)*'[1]功能-付费相关'!BD49/节奏总纲!AA47</f>
        <v>55923.194667073702</v>
      </c>
      <c r="BD47" s="33"/>
      <c r="BE47" s="30" t="e">
        <f t="shared" si="4"/>
        <v>#REF!</v>
      </c>
      <c r="BF47" s="30" t="e">
        <f t="shared" si="5"/>
        <v>#REF!</v>
      </c>
      <c r="BG47" s="30" t="e">
        <f t="shared" si="6"/>
        <v>#REF!</v>
      </c>
      <c r="BH47" s="30" t="e">
        <f t="shared" si="7"/>
        <v>#REF!</v>
      </c>
      <c r="BI47" s="30" t="e">
        <f t="shared" si="8"/>
        <v>#REF!</v>
      </c>
    </row>
    <row r="48" spans="2:61" x14ac:dyDescent="0.15">
      <c r="B48" s="31">
        <v>45</v>
      </c>
      <c r="C48" s="11">
        <f>('[1]资源-玩家城池建筑时间'!D50-'[1]资源-玩家城池建筑时间'!D49)*'[1]功能-付费相关'!AH50/节奏总纲!W48</f>
        <v>3050.1679504247377</v>
      </c>
      <c r="D48" s="11">
        <f>('[1]资源-玩家城池建筑时间'!E50-'[1]资源-玩家城池建筑时间'!E49)*'[1]功能-付费相关'!AI50/节奏总纲!X48</f>
        <v>3656.2757316535676</v>
      </c>
      <c r="E48" s="11">
        <f>('[1]资源-玩家城池建筑时间'!F50-'[1]资源-玩家城池建筑时间'!F49)*'[1]功能-付费相关'!AJ50/节奏总纲!Y48</f>
        <v>4299.5551931190412</v>
      </c>
      <c r="F48" s="11">
        <f>('[1]资源-玩家城池建筑时间'!G50-'[1]资源-玩家城池建筑时间'!G49)*'[1]功能-付费相关'!AK50/节奏总纲!Z48</f>
        <v>6044.4163817383042</v>
      </c>
      <c r="G48" s="11">
        <f>('[1]资源-玩家城池建筑时间'!H50-'[1]资源-玩家城池建筑时间'!H49)*'[1]功能-付费相关'!AL50/节奏总纲!AA48</f>
        <v>8994.2515214411414</v>
      </c>
      <c r="I48" s="31">
        <f>('[1]资源-士兵训练时间'!C50-'[1]资源-士兵训练时间'!C49)*'[1]功能-付费相关'!AH50/节奏总纲!W48</f>
        <v>1170.0374837457205</v>
      </c>
      <c r="J48" s="31">
        <f>('[1]资源-士兵训练时间'!D50-'[1]资源-士兵训练时间'!D49)*'[1]功能-付费相关'!AI50/节奏总纲!X48</f>
        <v>1210.017314296033</v>
      </c>
      <c r="K48" s="31">
        <f>('[1]资源-士兵训练时间'!E50-'[1]资源-士兵训练时间'!E49)*'[1]功能-付费相关'!AJ50/节奏总纲!Y48</f>
        <v>1245.7556740411703</v>
      </c>
      <c r="L48" s="31">
        <f>('[1]资源-士兵训练时间'!F50-'[1]资源-士兵训练时间'!F49)*'[1]功能-付费相关'!AK50/节奏总纲!Z48</f>
        <v>1460.6599093907889</v>
      </c>
      <c r="M48" s="31">
        <f>('[1]资源-士兵训练时间'!G50-'[1]资源-士兵训练时间'!G49)*'[1]功能-付费相关'!AL50/节奏总纲!AA48</f>
        <v>2150.2990666924352</v>
      </c>
      <c r="O48" s="11">
        <f>('[1]资源-士兵招募时间'!D50-'[1]资源-士兵招募时间'!D49)*'[1]功能-付费相关'!AH50/节奏总纲!W48</f>
        <v>2102.8726552867515</v>
      </c>
      <c r="P48" s="11">
        <f>('[1]资源-士兵招募时间'!E50-'[1]资源-士兵招募时间'!E49)*'[1]功能-付费相关'!AI50/节奏总纲!X48</f>
        <v>2362.9573769089916</v>
      </c>
      <c r="Q48" s="11">
        <f>('[1]资源-士兵招募时间'!F50-'[1]资源-士兵招募时间'!F49)*'[1]功能-付费相关'!AJ50/节奏总纲!Y48</f>
        <v>2625.5800437271128</v>
      </c>
      <c r="R48" s="11">
        <f>('[1]资源-士兵招募时间'!G50-'[1]资源-士兵招募时间'!G49)*'[1]功能-付费相关'!AK50/节奏总纲!Z48</f>
        <v>3325.9512891400013</v>
      </c>
      <c r="S48" s="11">
        <f>('[1]资源-士兵招募时间'!H50-'[1]资源-士兵招募时间'!H49)*'[1]功能-付费相关'!AL50/节奏总纲!AA48</f>
        <v>4491.5043471371555</v>
      </c>
      <c r="U48" s="31">
        <f>('[1]资源-木石铜粮'!C50-'[1]资源-木石铜粮'!C49)*'[1]功能-付费相关'!S50/节奏总纲!W48</f>
        <v>2151.0648683896834</v>
      </c>
      <c r="V48" s="31">
        <f>('[1]资源-木石铜粮'!D50-'[1]资源-木石铜粮'!D49)*'[1]功能-付费相关'!T50/节奏总纲!X48</f>
        <v>2272.7954463781571</v>
      </c>
      <c r="W48" s="31">
        <f>('[1]资源-木石铜粮'!E50-'[1]资源-木石铜粮'!E49)*'[1]功能-付费相关'!U50/节奏总纲!Y48</f>
        <v>2444.1430514274266</v>
      </c>
      <c r="X48" s="31">
        <f>('[1]资源-木石铜粮'!F50-'[1]资源-木石铜粮'!F49)*'[1]功能-付费相关'!V50/节奏总纲!Z48</f>
        <v>2655.476850848434</v>
      </c>
      <c r="Y48" s="31">
        <f>('[1]资源-木石铜粮'!G50-'[1]资源-木石铜粮'!G49)*'[1]功能-付费相关'!W50/节奏总纲!AA48</f>
        <v>3420.2375948567433</v>
      </c>
      <c r="AA48" s="11">
        <f>('[1]资源-铁'!C50-'[1]资源-铁'!C49)*'[1]功能-付费相关'!X50/节奏总纲!W48</f>
        <v>74.336023990458614</v>
      </c>
      <c r="AB48" s="11">
        <f>('[1]资源-铁'!D50-'[1]资源-铁'!D49)*'[1]功能-付费相关'!Y50/节奏总纲!X48</f>
        <v>81.575953442531414</v>
      </c>
      <c r="AC48" s="11">
        <f>('[1]资源-铁'!E50-'[1]资源-铁'!E49)*'[1]功能-付费相关'!Z50/节奏总纲!Y48</f>
        <v>96.507988594374098</v>
      </c>
      <c r="AD48" s="11">
        <f>('[1]资源-铁'!F50-'[1]资源-铁'!F49)*'[1]功能-付费相关'!AA50/节奏总纲!Z48</f>
        <v>136.71967826443694</v>
      </c>
      <c r="AE48" s="11">
        <f>('[1]资源-铁'!G50-'[1]资源-铁'!G49)*'[1]功能-付费相关'!AB50/节奏总纲!AA48</f>
        <v>251.11084433779857</v>
      </c>
      <c r="AG48" s="11">
        <f>('[1]资源-银币'!C50-'[1]资源-银币'!C49)*'[1]功能-付费相关'!AQ50/节奏总纲!W48</f>
        <v>1093.5217853740153</v>
      </c>
      <c r="AH48" s="11">
        <f>('[1]资源-银币'!D50-'[1]资源-银币'!D49)*'[1]功能-付费相关'!AR50/节奏总纲!X48</f>
        <v>1199.402440848575</v>
      </c>
      <c r="AI48" s="11">
        <f>('[1]资源-银币'!E50-'[1]资源-银币'!E49)*'[1]功能-付费相关'!AS50/节奏总纲!Y48</f>
        <v>1246.2677049448193</v>
      </c>
      <c r="AJ48" s="11">
        <f>('[1]资源-银币'!F50-'[1]资源-银币'!F49)*'[1]功能-付费相关'!AT50/节奏总纲!Z48</f>
        <v>1648.8741924991623</v>
      </c>
      <c r="AK48" s="11">
        <f>('[1]资源-银币'!G50-'[1]资源-银币'!G49)*'[1]功能-付费相关'!AU50/节奏总纲!AA48</f>
        <v>2989.988193351553</v>
      </c>
      <c r="AM48" s="11" t="e">
        <f>(#REF!-#REF!)*'[1]功能-付费相关'!CA50/节奏总纲!W48</f>
        <v>#REF!</v>
      </c>
      <c r="AN48" s="11" t="e">
        <f>(#REF!-#REF!)*'[1]功能-付费相关'!CB50/节奏总纲!X48</f>
        <v>#REF!</v>
      </c>
      <c r="AO48" s="11" t="e">
        <f>(#REF!-#REF!)*'[1]功能-付费相关'!CC50/节奏总纲!Y48</f>
        <v>#REF!</v>
      </c>
      <c r="AP48" s="11" t="e">
        <f>(#REF!-#REF!)*'[1]功能-付费相关'!CD50/节奏总纲!Z48</f>
        <v>#REF!</v>
      </c>
      <c r="AQ48" s="11" t="e">
        <f>(#REF!-#REF!)*'[1]功能-付费相关'!CE50/节奏总纲!AA48</f>
        <v>#REF!</v>
      </c>
      <c r="AS48" s="11">
        <f>('[1]资源-装备经验'!C50-'[1]资源-装备经验'!C49)*'[1]功能-付费相关'!BI50/节奏总纲!W48</f>
        <v>1045.2954535256388</v>
      </c>
      <c r="AT48" s="11">
        <f>('[1]资源-装备经验'!D50-'[1]资源-装备经验'!D49)*'[1]功能-付费相关'!BJ50/节奏总纲!X48</f>
        <v>1435.4167775014344</v>
      </c>
      <c r="AU48" s="11">
        <f>('[1]资源-装备经验'!E50-'[1]资源-装备经验'!E49)*'[1]功能-付费相关'!BK50/节奏总纲!Y48</f>
        <v>1887.7951907222132</v>
      </c>
      <c r="AV48" s="11">
        <f>('[1]资源-装备经验'!F50-'[1]资源-装备经验'!F49)*'[1]功能-付费相关'!BL50/节奏总纲!Z48</f>
        <v>2457.404900571833</v>
      </c>
      <c r="AW48" s="11">
        <f>('[1]资源-装备经验'!G50-'[1]资源-装备经验'!G49)*'[1]功能-付费相关'!BM50/节奏总纲!AA48</f>
        <v>3023.5316014414948</v>
      </c>
      <c r="AY48" s="11">
        <f>('[1]资源-武将经验'!C50*节奏总纲!BJ48-'[1]资源-武将经验'!C49*节奏总纲!BJ47)*'[1]功能-付费相关'!AZ50/节奏总纲!W48</f>
        <v>5144.3476712417551</v>
      </c>
      <c r="AZ48" s="11">
        <f>('[1]资源-武将经验'!D50*节奏总纲!BK48-'[1]资源-武将经验'!D49*节奏总纲!BK47)*'[1]功能-付费相关'!BA50/节奏总纲!X48</f>
        <v>6279.1059549970605</v>
      </c>
      <c r="BA48" s="11">
        <f>('[1]资源-武将经验'!E50*节奏总纲!BL48-'[1]资源-武将经验'!E49*节奏总纲!BL47)*'[1]功能-付费相关'!BB50/节奏总纲!Y48</f>
        <v>7919.5379809835631</v>
      </c>
      <c r="BB48" s="11">
        <f>('[1]资源-武将经验'!F50*节奏总纲!BM48-'[1]资源-武将经验'!F49*节奏总纲!BM47)*'[1]功能-付费相关'!BC50/节奏总纲!Z48</f>
        <v>21201.122887017307</v>
      </c>
      <c r="BC48" s="11">
        <f>('[1]资源-武将经验'!G50*节奏总纲!BN48-'[1]资源-武将经验'!G49*节奏总纲!BN47)*'[1]功能-付费相关'!BD50/节奏总纲!AA48</f>
        <v>49386.347845618642</v>
      </c>
      <c r="BD48" s="33"/>
      <c r="BE48" s="30" t="e">
        <f t="shared" si="4"/>
        <v>#REF!</v>
      </c>
      <c r="BF48" s="30" t="e">
        <f t="shared" si="5"/>
        <v>#REF!</v>
      </c>
      <c r="BG48" s="30" t="e">
        <f t="shared" si="6"/>
        <v>#REF!</v>
      </c>
      <c r="BH48" s="30" t="e">
        <f t="shared" si="7"/>
        <v>#REF!</v>
      </c>
      <c r="BI48" s="30" t="e">
        <f t="shared" si="8"/>
        <v>#REF!</v>
      </c>
    </row>
    <row r="49" spans="2:61" x14ac:dyDescent="0.15">
      <c r="B49" s="31">
        <v>46</v>
      </c>
      <c r="C49" s="11">
        <f>('[1]资源-玩家城池建筑时间'!D51-'[1]资源-玩家城池建筑时间'!D50)*'[1]功能-付费相关'!AH51/节奏总纲!W49</f>
        <v>2988.8210038132656</v>
      </c>
      <c r="D49" s="11">
        <f>('[1]资源-玩家城池建筑时间'!E51-'[1]资源-玩家城池建筑时间'!E50)*'[1]功能-付费相关'!AI51/节奏总纲!X49</f>
        <v>3575.8503424532964</v>
      </c>
      <c r="E49" s="11">
        <f>('[1]资源-玩家城池建筑时间'!F51-'[1]资源-玩家城池建筑时间'!F50)*'[1]功能-付费相关'!AJ51/节奏总纲!Y49</f>
        <v>4157.463329244395</v>
      </c>
      <c r="F49" s="11">
        <f>('[1]资源-玩家城池建筑时间'!G51-'[1]资源-玩家城池建筑时间'!G50)*'[1]功能-付费相关'!AK51/节奏总纲!Z49</f>
        <v>6549.5438331658934</v>
      </c>
      <c r="G49" s="11">
        <f>('[1]资源-玩家城池建筑时间'!H51-'[1]资源-玩家城池建筑时间'!H50)*'[1]功能-付费相关'!AL51/节奏总纲!AA49</f>
        <v>8489.8424678597003</v>
      </c>
      <c r="I49" s="31">
        <f>('[1]资源-士兵训练时间'!C51-'[1]资源-士兵训练时间'!C50)*'[1]功能-付费相关'!AH51/节奏总纲!W49</f>
        <v>1144.4637867375254</v>
      </c>
      <c r="J49" s="31">
        <f>('[1]资源-士兵训练时间'!D51-'[1]资源-士兵训练时间'!D50)*'[1]功能-付费相关'!AI51/节奏总纲!X49</f>
        <v>1177.5875727800362</v>
      </c>
      <c r="K49" s="31">
        <f>('[1]资源-士兵训练时间'!E51-'[1]资源-士兵训练时间'!E50)*'[1]功能-付费相关'!AJ51/节奏总纲!Y49</f>
        <v>1204.4237323994653</v>
      </c>
      <c r="L49" s="31">
        <f>('[1]资源-士兵训练时间'!F51-'[1]资源-士兵训练时间'!F50)*'[1]功能-付费相关'!AK51/节奏总纲!Z49</f>
        <v>1586.7372492033555</v>
      </c>
      <c r="M49" s="31">
        <f>('[1]资源-士兵训练时间'!G51-'[1]资源-士兵训练时间'!G50)*'[1]功能-付费相关'!AL51/节奏总纲!AA49</f>
        <v>2022.8980207286263</v>
      </c>
      <c r="O49" s="11">
        <f>('[1]资源-士兵招募时间'!D51-'[1]资源-士兵招募时间'!D50)*'[1]功能-付费相关'!AH51/节奏总纲!W49</f>
        <v>2068.8841764401986</v>
      </c>
      <c r="P49" s="11">
        <f>('[1]资源-士兵招募时间'!E51-'[1]资源-士兵招募时间'!E50)*'[1]功能-付费相关'!AI51/节奏总纲!X49</f>
        <v>2327.1284973424445</v>
      </c>
      <c r="Q49" s="11">
        <f>('[1]资源-士兵招募时间'!F51-'[1]资源-士兵招募时间'!F50)*'[1]功能-付费相关'!AJ51/节奏总纲!Y49</f>
        <v>2547.0665537206901</v>
      </c>
      <c r="R49" s="11">
        <f>('[1]资源-士兵招募时间'!G51-'[1]资源-士兵招募时间'!G50)*'[1]功能-付费相关'!AK51/节奏总纲!Z49</f>
        <v>3440.6353749810492</v>
      </c>
      <c r="S49" s="11">
        <f>('[1]资源-士兵招募时间'!H51-'[1]资源-士兵招募时间'!H50)*'[1]功能-付费相关'!AL51/节奏总纲!AA49</f>
        <v>4318.6894702917798</v>
      </c>
      <c r="U49" s="31">
        <f>('[1]资源-木石铜粮'!C51-'[1]资源-木石铜粮'!C50)*'[1]功能-付费相关'!S51/节奏总纲!W49</f>
        <v>2088.7393225966071</v>
      </c>
      <c r="V49" s="31">
        <f>('[1]资源-木石铜粮'!D51-'[1]资源-木石铜粮'!D50)*'[1]功能-付费相关'!T51/节奏总纲!X49</f>
        <v>2224.7695850456012</v>
      </c>
      <c r="W49" s="31">
        <f>('[1]资源-木石铜粮'!E51-'[1]资源-木石铜粮'!E50)*'[1]功能-付费相关'!U51/节奏总纲!Y49</f>
        <v>2383.1446849354438</v>
      </c>
      <c r="X49" s="31">
        <f>('[1]资源-木石铜粮'!F51-'[1]资源-木石铜粮'!F50)*'[1]功能-付费相关'!V51/节奏总纲!Z49</f>
        <v>2698.4377732512808</v>
      </c>
      <c r="Y49" s="31">
        <f>('[1]资源-木石铜粮'!G51-'[1]资源-木石铜粮'!G50)*'[1]功能-付费相关'!W51/节奏总纲!AA49</f>
        <v>3276.236425283354</v>
      </c>
      <c r="AA49" s="11">
        <f>('[1]资源-铁'!C51-'[1]资源-铁'!C50)*'[1]功能-付费相关'!X51/节奏总纲!W49</f>
        <v>70.359671910250142</v>
      </c>
      <c r="AB49" s="11">
        <f>('[1]资源-铁'!D51-'[1]资源-铁'!D50)*'[1]功能-付费相关'!Y51/节奏总纲!X49</f>
        <v>80.329824143098477</v>
      </c>
      <c r="AC49" s="11">
        <f>('[1]资源-铁'!E51-'[1]资源-铁'!E50)*'[1]功能-付费相关'!Z51/节奏总纲!Y49</f>
        <v>90.839692532236427</v>
      </c>
      <c r="AD49" s="11">
        <f>('[1]资源-铁'!F51-'[1]资源-铁'!F50)*'[1]功能-付费相关'!AA51/节奏总纲!Z49</f>
        <v>156.19353365127063</v>
      </c>
      <c r="AE49" s="11">
        <f>('[1]资源-铁'!G51-'[1]资源-铁'!G50)*'[1]功能-付费相关'!AB51/节奏总纲!AA49</f>
        <v>232.97425745467058</v>
      </c>
      <c r="AG49" s="11">
        <f>('[1]资源-银币'!C51-'[1]资源-银币'!C50)*'[1]功能-付费相关'!AQ51/节奏总纲!W49</f>
        <v>1093.2252491746292</v>
      </c>
      <c r="AH49" s="11">
        <f>('[1]资源-银币'!D51-'[1]资源-银币'!D50)*'[1]功能-付费相关'!AR51/节奏总纲!X49</f>
        <v>1132.8107685798857</v>
      </c>
      <c r="AI49" s="11">
        <f>('[1]资源-银币'!E51-'[1]资源-银币'!E50)*'[1]功能-付费相关'!AS51/节奏总纲!Y49</f>
        <v>1209.2604346917915</v>
      </c>
      <c r="AJ49" s="11">
        <f>('[1]资源-银币'!F51-'[1]资源-银币'!F50)*'[1]功能-付费相关'!AT51/节奏总纲!Z49</f>
        <v>1861.0437638971011</v>
      </c>
      <c r="AK49" s="11">
        <f>('[1]资源-银币'!G51-'[1]资源-银币'!G50)*'[1]功能-付费相关'!AU51/节奏总纲!AA49</f>
        <v>2781.9218497951515</v>
      </c>
      <c r="AM49" s="11" t="e">
        <f>(#REF!-#REF!)*'[1]功能-付费相关'!CA51/节奏总纲!W49</f>
        <v>#REF!</v>
      </c>
      <c r="AN49" s="11" t="e">
        <f>(#REF!-#REF!)*'[1]功能-付费相关'!CB51/节奏总纲!X49</f>
        <v>#REF!</v>
      </c>
      <c r="AO49" s="11" t="e">
        <f>(#REF!-#REF!)*'[1]功能-付费相关'!CC51/节奏总纲!Y49</f>
        <v>#REF!</v>
      </c>
      <c r="AP49" s="11" t="e">
        <f>(#REF!-#REF!)*'[1]功能-付费相关'!CD51/节奏总纲!Z49</f>
        <v>#REF!</v>
      </c>
      <c r="AQ49" s="11" t="e">
        <f>(#REF!-#REF!)*'[1]功能-付费相关'!CE51/节奏总纲!AA49</f>
        <v>#REF!</v>
      </c>
      <c r="AS49" s="11">
        <f>('[1]资源-装备经验'!C51-'[1]资源-装备经验'!C50)*'[1]功能-付费相关'!BI51/节奏总纲!W49</f>
        <v>1008.5507127462192</v>
      </c>
      <c r="AT49" s="11">
        <f>('[1]资源-装备经验'!D51-'[1]资源-装备经验'!D50)*'[1]功能-付费相关'!BJ51/节奏总纲!X49</f>
        <v>1393.5212870332928</v>
      </c>
      <c r="AU49" s="11">
        <f>('[1]资源-装备经验'!E51-'[1]资源-装备经验'!E50)*'[1]功能-付费相关'!BK51/节奏总纲!Y49</f>
        <v>1833.4293305737983</v>
      </c>
      <c r="AV49" s="11">
        <f>('[1]资源-装备经验'!F51-'[1]资源-装备经验'!F50)*'[1]功能-付费相关'!BL51/节奏总纲!Z49</f>
        <v>2781.3110002389144</v>
      </c>
      <c r="AW49" s="11">
        <f>('[1]资源-装备经验'!G51-'[1]资源-装备经验'!G50)*'[1]功能-付费相关'!BM51/节奏总纲!AA49</f>
        <v>2877.1105362092703</v>
      </c>
      <c r="AY49" s="11">
        <f>('[1]资源-武将经验'!C51*节奏总纲!BJ49-'[1]资源-武将经验'!C50*节奏总纲!BJ48)*'[1]功能-付费相关'!AZ51/节奏总纲!W49</f>
        <v>4938.0102551860909</v>
      </c>
      <c r="AZ49" s="11">
        <f>('[1]资源-武将经验'!D51*节奏总纲!BK49-'[1]资源-武将经验'!D50*节奏总纲!BK48)*'[1]功能-付费相关'!BA51/节奏总纲!X49</f>
        <v>6067.6715959876865</v>
      </c>
      <c r="BA49" s="11">
        <f>('[1]资源-武将经验'!E51*节奏总纲!BL49-'[1]资源-武将经验'!E50*节奏总纲!BL48)*'[1]功能-付费相关'!BB51/节奏总纲!Y49</f>
        <v>7609.7717664195998</v>
      </c>
      <c r="BB49" s="11">
        <f>('[1]资源-武将经验'!F51*节奏总纲!BM49-'[1]资源-武将经验'!F50*节奏总纲!BM48)*'[1]功能-付费相关'!BC51/节奏总纲!Z49</f>
        <v>24813.774908377058</v>
      </c>
      <c r="BC49" s="11">
        <f>('[1]资源-武将经验'!G51*节奏总纲!BN49-'[1]资源-武将经验'!G50*节奏总纲!BN48)*'[1]功能-付费相关'!BD51/节奏总纲!AA49</f>
        <v>52486.313022202397</v>
      </c>
      <c r="BD49" s="33"/>
      <c r="BE49" s="30" t="e">
        <f t="shared" si="4"/>
        <v>#REF!</v>
      </c>
      <c r="BF49" s="30" t="e">
        <f t="shared" si="5"/>
        <v>#REF!</v>
      </c>
      <c r="BG49" s="30" t="e">
        <f t="shared" si="6"/>
        <v>#REF!</v>
      </c>
      <c r="BH49" s="30" t="e">
        <f t="shared" si="7"/>
        <v>#REF!</v>
      </c>
      <c r="BI49" s="30" t="e">
        <f t="shared" si="8"/>
        <v>#REF!</v>
      </c>
    </row>
    <row r="50" spans="2:61" x14ac:dyDescent="0.15">
      <c r="B50" s="31">
        <v>47</v>
      </c>
      <c r="C50" s="11">
        <f>('[1]资源-玩家城池建筑时间'!D52-'[1]资源-玩家城池建筑时间'!D51)*'[1]功能-付费相关'!AH52/节奏总纲!W50</f>
        <v>2902.1419784416207</v>
      </c>
      <c r="D50" s="11">
        <f>('[1]资源-玩家城池建筑时间'!E52-'[1]资源-玩家城池建筑时间'!E51)*'[1]功能-付费相关'!AI52/节奏总纲!X50</f>
        <v>3462.196003286675</v>
      </c>
      <c r="E50" s="11">
        <f>('[1]资源-玩家城池建筑时间'!F52-'[1]资源-玩家城池建筑时间'!F51)*'[1]功能-付费相关'!AJ52/节奏总纲!Y50</f>
        <v>4705.3944090552404</v>
      </c>
      <c r="F50" s="11">
        <f>('[1]资源-玩家城池建筑时间'!G52-'[1]资源-玩家城池建筑时间'!G51)*'[1]功能-付费相关'!AK52/节奏总纲!Z50</f>
        <v>6214.8968954977554</v>
      </c>
      <c r="G50" s="11">
        <f>('[1]资源-玩家城池建筑时间'!H52-'[1]资源-玩家城池建筑时间'!H51)*'[1]功能-付费相关'!AL52/节奏总纲!AA50</f>
        <v>8018.9461384654951</v>
      </c>
      <c r="I50" s="31">
        <f>('[1]资源-士兵训练时间'!C52-'[1]资源-士兵训练时间'!C51)*'[1]功能-付费相关'!AH52/节奏总纲!W50</f>
        <v>1110.2291927505919</v>
      </c>
      <c r="J50" s="31">
        <f>('[1]资源-士兵训练时间'!D52-'[1]资源-士兵训练时间'!D51)*'[1]功能-付费相关'!AI52/节奏总纲!X50</f>
        <v>1139.7348381378786</v>
      </c>
      <c r="K50" s="31">
        <f>('[1]资源-士兵训练时间'!E52-'[1]资源-士兵训练时间'!E51)*'[1]功能-付费相关'!AJ52/节奏总纲!Y50</f>
        <v>1342.3177840702083</v>
      </c>
      <c r="L50" s="31">
        <f>('[1]资源-士兵训练时间'!F52-'[1]资源-士兵训练时间'!F51)*'[1]功能-付费相关'!AK52/节奏总纲!Z50</f>
        <v>1499.4024427629802</v>
      </c>
      <c r="M50" s="31">
        <f>('[1]资源-士兵训练时间'!G52-'[1]资源-士兵训练时间'!G51)*'[1]功能-付费相关'!AL52/节奏总纲!AA50</f>
        <v>1907.4525862821538</v>
      </c>
      <c r="O50" s="11">
        <f>('[1]资源-士兵招募时间'!D52-'[1]资源-士兵招募时间'!D51)*'[1]功能-付费相关'!AH52/节奏总纲!W50</f>
        <v>2031.1319870899076</v>
      </c>
      <c r="P50" s="11">
        <f>('[1]资源-士兵招募时间'!E52-'[1]资源-士兵招募时间'!E51)*'[1]功能-付费相关'!AI52/节奏总纲!X50</f>
        <v>2273.8856914497032</v>
      </c>
      <c r="Q50" s="11">
        <f>('[1]资源-士兵招募时间'!F52-'[1]资源-士兵招募时间'!F51)*'[1]功能-付费相关'!AJ52/节奏总纲!Y50</f>
        <v>2652.7557847318026</v>
      </c>
      <c r="R50" s="11">
        <f>('[1]资源-士兵招募时间'!G52-'[1]资源-士兵招募时间'!G51)*'[1]功能-付费相关'!AK52/节奏总纲!Z50</f>
        <v>3324.9297226551657</v>
      </c>
      <c r="S50" s="11">
        <f>('[1]资源-士兵招募时间'!H52-'[1]资源-士兵招募时间'!H51)*'[1]功能-付费相关'!AL52/节奏总纲!AA50</f>
        <v>4140.0178753787141</v>
      </c>
      <c r="U50" s="31">
        <f>('[1]资源-木石铜粮'!C52-'[1]资源-木石铜粮'!C51)*'[1]功能-付费相关'!S52/节奏总纲!W50</f>
        <v>2037.0516929199209</v>
      </c>
      <c r="V50" s="31">
        <f>('[1]资源-木石铜粮'!D52-'[1]资源-木石铜粮'!D51)*'[1]功能-付费相关'!T52/节奏总纲!X50</f>
        <v>2160.0808554237756</v>
      </c>
      <c r="W50" s="31">
        <f>('[1]资源-木石铜粮'!E52-'[1]资源-木石铜粮'!E51)*'[1]功能-付费相关'!U52/节奏总纲!Y50</f>
        <v>2456.0760302312688</v>
      </c>
      <c r="X50" s="31">
        <f>('[1]资源-木石铜粮'!F52-'[1]资源-木石铜粮'!F51)*'[1]功能-付费相关'!V52/节奏总纲!Z50</f>
        <v>2605.8465876911305</v>
      </c>
      <c r="Y50" s="31">
        <f>('[1]资源-木石铜粮'!G52-'[1]资源-木石铜粮'!G51)*'[1]功能-付费相关'!W52/节奏总纲!AA50</f>
        <v>3145.721432810451</v>
      </c>
      <c r="AA50" s="11">
        <f>('[1]资源-铁'!C52-'[1]资源-铁'!C51)*'[1]功能-付费相关'!X52/节奏总纲!W50</f>
        <v>68.604829282803024</v>
      </c>
      <c r="AB50" s="11">
        <f>('[1]资源-铁'!D52-'[1]资源-铁'!D51)*'[1]功能-付费相关'!Y52/节奏总纲!X50</f>
        <v>76.313685600098239</v>
      </c>
      <c r="AC50" s="11">
        <f>('[1]资源-铁'!E52-'[1]资源-铁'!E51)*'[1]功能-付费相关'!Z52/节奏总纲!Y50</f>
        <v>121.92576493764312</v>
      </c>
      <c r="AD50" s="11">
        <f>('[1]资源-铁'!F52-'[1]资源-铁'!F51)*'[1]功能-付费相关'!AA52/节奏总纲!Z50</f>
        <v>146.37694059590265</v>
      </c>
      <c r="AE50" s="11">
        <f>('[1]资源-铁'!G52-'[1]资源-铁'!G51)*'[1]功能-付费相关'!AB52/节奏总纲!AA50</f>
        <v>216.72153711501926</v>
      </c>
      <c r="AG50" s="11">
        <f>('[1]资源-银币'!C52-'[1]资源-银币'!C51)*'[1]功能-付费相关'!AQ52/节奏总纲!W50</f>
        <v>1198.9336791292242</v>
      </c>
      <c r="AH50" s="11">
        <f>('[1]资源-银币'!D52-'[1]资源-银币'!D51)*'[1]功能-付费相关'!AR52/节奏总纲!X50</f>
        <v>1100.7302292052525</v>
      </c>
      <c r="AI50" s="11">
        <f>('[1]资源-银币'!E52-'[1]资源-银币'!E51)*'[1]功能-付费相关'!AS52/节奏总纲!Y50</f>
        <v>1461.2747177493795</v>
      </c>
      <c r="AJ50" s="11">
        <f>('[1]资源-银币'!F52-'[1]资源-银币'!F51)*'[1]功能-付费相关'!AT52/节奏总纲!Z50</f>
        <v>1818.1992626189754</v>
      </c>
      <c r="AK50" s="11">
        <f>('[1]资源-银币'!G52-'[1]资源-银币'!G51)*'[1]功能-付费相关'!AU52/节奏总纲!AA50</f>
        <v>2603.7356772905146</v>
      </c>
      <c r="AM50" s="11" t="e">
        <f>(#REF!-#REF!)*'[1]功能-付费相关'!CA52/节奏总纲!W50</f>
        <v>#REF!</v>
      </c>
      <c r="AN50" s="11" t="e">
        <f>(#REF!-#REF!)*'[1]功能-付费相关'!CB52/节奏总纲!X50</f>
        <v>#REF!</v>
      </c>
      <c r="AO50" s="11" t="e">
        <f>(#REF!-#REF!)*'[1]功能-付费相关'!CC52/节奏总纲!Y50</f>
        <v>#REF!</v>
      </c>
      <c r="AP50" s="11" t="e">
        <f>(#REF!-#REF!)*'[1]功能-付费相关'!CD52/节奏总纲!Z50</f>
        <v>#REF!</v>
      </c>
      <c r="AQ50" s="11" t="e">
        <f>(#REF!-#REF!)*'[1]功能-付费相关'!CE52/节奏总纲!AA50</f>
        <v>#REF!</v>
      </c>
      <c r="AS50" s="11">
        <f>('[1]资源-装备经验'!C52-'[1]资源-装备经验'!C51)*'[1]功能-付费相关'!BI52/节奏总纲!W50</f>
        <v>974.15641267246906</v>
      </c>
      <c r="AT50" s="11">
        <f>('[1]资源-装备经验'!D52-'[1]资源-装备经验'!D51)*'[1]功能-付费相关'!BJ52/节奏总纲!X50</f>
        <v>1347.6951151766459</v>
      </c>
      <c r="AU50" s="11">
        <f>('[1]资源-装备经验'!E52-'[1]资源-装备经验'!E51)*'[1]功能-付费相关'!BK52/节奏总纲!Y50</f>
        <v>2291.410780442583</v>
      </c>
      <c r="AV50" s="11">
        <f>('[1]资源-装备经验'!F52-'[1]资源-装备经验'!F51)*'[1]功能-付费相关'!BL52/节奏总纲!Z50</f>
        <v>2660.457616764636</v>
      </c>
      <c r="AW50" s="11">
        <f>('[1]资源-装备经验'!G52-'[1]资源-装备经验'!G51)*'[1]功能-付费相关'!BM52/节奏总纲!AA50</f>
        <v>2750.5382407656994</v>
      </c>
      <c r="AY50" s="11">
        <f>('[1]资源-武将经验'!C52*节奏总纲!BJ50-'[1]资源-武将经验'!C51*节奏总纲!BJ49)*'[1]功能-付费相关'!AZ52/节奏总纲!W50</f>
        <v>4729.8984351362551</v>
      </c>
      <c r="AZ50" s="11">
        <f>('[1]资源-武将经验'!D52*节奏总纲!BK50-'[1]资源-武将经验'!D51*节奏总纲!BK49)*'[1]功能-付费相关'!BA52/节奏总纲!X50</f>
        <v>5821.2744135060439</v>
      </c>
      <c r="BA50" s="11">
        <f>('[1]资源-武将经验'!E52*节奏总纲!BL50-'[1]资源-武将经验'!E51*节奏总纲!BL49)*'[1]功能-付费相关'!BB52/节奏总纲!Y50</f>
        <v>9899.4499245216211</v>
      </c>
      <c r="BB50" s="11">
        <f>('[1]资源-武将经验'!F52*节奏总纲!BM50-'[1]资源-武将经验'!F51*节奏总纲!BM49)*'[1]功能-付费相关'!BC52/节奏总纲!Z50</f>
        <v>26388.20049209657</v>
      </c>
      <c r="BC50" s="11">
        <f>('[1]资源-武将经验'!G52*节奏总纲!BN50-'[1]资源-武将经验'!G51*节奏总纲!BN49)*'[1]功能-付费相关'!BD52/节奏总纲!AA50</f>
        <v>57622.577648487779</v>
      </c>
      <c r="BD50" s="33"/>
      <c r="BE50" s="30" t="e">
        <f t="shared" si="4"/>
        <v>#REF!</v>
      </c>
      <c r="BF50" s="30" t="e">
        <f t="shared" si="5"/>
        <v>#REF!</v>
      </c>
      <c r="BG50" s="30" t="e">
        <f t="shared" si="6"/>
        <v>#REF!</v>
      </c>
      <c r="BH50" s="30" t="e">
        <f t="shared" si="7"/>
        <v>#REF!</v>
      </c>
      <c r="BI50" s="30" t="e">
        <f t="shared" si="8"/>
        <v>#REF!</v>
      </c>
    </row>
    <row r="51" spans="2:61" x14ac:dyDescent="0.15">
      <c r="B51" s="31">
        <v>48</v>
      </c>
      <c r="C51" s="11">
        <f>('[1]资源-玩家城池建筑时间'!D53-'[1]资源-玩家城池建筑时间'!D52)*'[1]功能-付费相关'!AH53/节奏总纲!W51</f>
        <v>2819.7595187495522</v>
      </c>
      <c r="D51" s="11">
        <f>('[1]资源-玩家城池建筑时间'!E53-'[1]资源-玩家城池建筑时间'!E52)*'[1]功能-付费相关'!AI53/节奏总纲!X51</f>
        <v>3519.0185718453581</v>
      </c>
      <c r="E51" s="11">
        <f>('[1]资源-玩家城池建筑时间'!F53-'[1]资源-玩家城池建筑时间'!F52)*'[1]功能-付费相关'!AJ53/节奏总纲!Y51</f>
        <v>4506.6007372299082</v>
      </c>
      <c r="F51" s="11">
        <f>('[1]资源-玩家城池建筑时间'!G53-'[1]资源-玩家城池建筑时间'!G52)*'[1]功能-付费相关'!AK53/节奏总纲!Z51</f>
        <v>5899.9507513873514</v>
      </c>
      <c r="G51" s="11">
        <f>('[1]资源-玩家城池建筑时间'!H53-'[1]资源-玩家城池建筑时间'!H52)*'[1]功能-付费相关'!AL53/节奏总纲!AA51</f>
        <v>7214.0754148950164</v>
      </c>
      <c r="I51" s="31">
        <f>('[1]资源-士兵训练时间'!C53-'[1]资源-士兵训练时间'!C52)*'[1]功能-付费相关'!AH53/节奏总纲!W51</f>
        <v>1077.1515268381938</v>
      </c>
      <c r="J51" s="31">
        <f>('[1]资源-士兵训练时间'!D53-'[1]资源-士兵训练时间'!D52)*'[1]功能-付费相关'!AI53/节奏总纲!X51</f>
        <v>1146.8756321040541</v>
      </c>
      <c r="K51" s="31">
        <f>('[1]资源-士兵训练时间'!E53-'[1]资源-士兵训练时间'!E52)*'[1]功能-付费相关'!AJ53/节奏总纲!Y51</f>
        <v>1287.7796452757236</v>
      </c>
      <c r="L51" s="31">
        <f>('[1]资源-士兵训练时间'!F53-'[1]资源-士兵训练时间'!F52)*'[1]功能-付费相关'!AK53/节奏总纲!Z51</f>
        <v>1421.9555165067463</v>
      </c>
      <c r="M51" s="31">
        <f>('[1]资源-士兵训练时间'!G53-'[1]资源-士兵训练时间'!G52)*'[1]功能-付费相关'!AL53/节奏总纲!AA51</f>
        <v>1708.398932129681</v>
      </c>
      <c r="O51" s="11">
        <f>('[1]资源-士兵招募时间'!D53-'[1]资源-士兵招募时间'!D52)*'[1]功能-付费相关'!AH53/节奏总纲!W51</f>
        <v>2002.6601649459185</v>
      </c>
      <c r="P51" s="11">
        <f>('[1]资源-士兵招募时间'!E53-'[1]资源-士兵招募时间'!E52)*'[1]功能-付费相关'!AI53/节奏总纲!X51</f>
        <v>2261.8010955342666</v>
      </c>
      <c r="Q51" s="11">
        <f>('[1]资源-士兵招募时间'!F53-'[1]资源-士兵招募时间'!F52)*'[1]功能-付费相关'!AJ53/节奏总纲!Y51</f>
        <v>2572.2268789684317</v>
      </c>
      <c r="R51" s="11">
        <f>('[1]资源-士兵招募时间'!G53-'[1]资源-士兵招募时间'!G52)*'[1]功能-付费相关'!AK53/节奏总纲!Z51</f>
        <v>3196.3856301414412</v>
      </c>
      <c r="S51" s="11">
        <f>('[1]资源-士兵招募时间'!H53-'[1]资源-士兵招募时间'!H52)*'[1]功能-付费相关'!AL53/节奏总纲!AA51</f>
        <v>3879.3575208278289</v>
      </c>
      <c r="U51" s="31">
        <f>('[1]资源-木石铜粮'!C53-'[1]资源-木石铜粮'!C52)*'[1]功能-付费相关'!S53/节奏总纲!W51</f>
        <v>1986.714715718517</v>
      </c>
      <c r="V51" s="31">
        <f>('[1]资源-木石铜粮'!D53-'[1]资源-木石铜粮'!D52)*'[1]功能-付费相关'!T53/节奏总纲!X51</f>
        <v>2134.8089316482574</v>
      </c>
      <c r="W51" s="31">
        <f>('[1]资源-木石铜粮'!E53-'[1]资源-木石铜粮'!E52)*'[1]功能-付费相关'!U53/节奏总纲!Y51</f>
        <v>2379.6503251393306</v>
      </c>
      <c r="X51" s="31">
        <f>('[1]资源-木石铜粮'!F53-'[1]资源-木石铜粮'!F52)*'[1]功能-付费相关'!V53/节奏总纲!Z51</f>
        <v>2514.5711732803156</v>
      </c>
      <c r="Y51" s="31">
        <f>('[1]资源-木石铜粮'!G53-'[1]资源-木石铜粮'!G52)*'[1]功能-付费相关'!W53/节奏总纲!AA51</f>
        <v>3000.6920628982321</v>
      </c>
      <c r="AA51" s="11">
        <f>('[1]资源-铁'!C53-'[1]资源-铁'!C52)*'[1]功能-付费相关'!X53/节奏总纲!W51</f>
        <v>66.729950072216354</v>
      </c>
      <c r="AB51" s="11">
        <f>('[1]资源-铁'!D53-'[1]资源-铁'!D52)*'[1]功能-付费相关'!Y53/节奏总纲!X51</f>
        <v>83.561443348783357</v>
      </c>
      <c r="AC51" s="11">
        <f>('[1]资源-铁'!E53-'[1]资源-铁'!E52)*'[1]功能-付费相关'!Z53/节奏总纲!Y51</f>
        <v>114.86835248110503</v>
      </c>
      <c r="AD51" s="11">
        <f>('[1]资源-铁'!F53-'[1]资源-铁'!F52)*'[1]功能-付费相关'!AA53/节奏总纲!Z51</f>
        <v>136.6857823626685</v>
      </c>
      <c r="AE51" s="11">
        <f>('[1]资源-铁'!G53-'[1]资源-铁'!G52)*'[1]功能-付费相关'!AB53/节奏总纲!AA51</f>
        <v>200.60188367976187</v>
      </c>
      <c r="AG51" s="11">
        <f>('[1]资源-银币'!C53-'[1]资源-银币'!C52)*'[1]功能-付费相关'!AQ53/节奏总纲!W51</f>
        <v>980.92704681750809</v>
      </c>
      <c r="AH51" s="11">
        <f>('[1]资源-银币'!D53-'[1]资源-银币'!D52)*'[1]功能-付费相关'!AR53/节奏总纲!X51</f>
        <v>1144.4681908263099</v>
      </c>
      <c r="AI51" s="11">
        <f>('[1]资源-银币'!E53-'[1]资源-银币'!E52)*'[1]功能-付费相关'!AS53/节奏总纲!Y51</f>
        <v>1397.1685570545408</v>
      </c>
      <c r="AJ51" s="11">
        <f>('[1]资源-银币'!F53-'[1]资源-银币'!F52)*'[1]功能-付费相关'!AT53/节奏总纲!Z51</f>
        <v>1715.5266289927213</v>
      </c>
      <c r="AK51" s="11">
        <f>('[1]资源-银币'!G53-'[1]资源-银币'!G52)*'[1]功能-付费相关'!AU53/节奏总纲!AA51</f>
        <v>2317.7994659994783</v>
      </c>
      <c r="AM51" s="11" t="e">
        <f>(#REF!-#REF!)*'[1]功能-付费相关'!CA53/节奏总纲!W51</f>
        <v>#REF!</v>
      </c>
      <c r="AN51" s="11" t="e">
        <f>(#REF!-#REF!)*'[1]功能-付费相关'!CB53/节奏总纲!X51</f>
        <v>#REF!</v>
      </c>
      <c r="AO51" s="11" t="e">
        <f>(#REF!-#REF!)*'[1]功能-付费相关'!CC53/节奏总纲!Y51</f>
        <v>#REF!</v>
      </c>
      <c r="AP51" s="11" t="e">
        <f>(#REF!-#REF!)*'[1]功能-付费相关'!CD53/节奏总纲!Z51</f>
        <v>#REF!</v>
      </c>
      <c r="AQ51" s="11" t="e">
        <f>(#REF!-#REF!)*'[1]功能-付费相关'!CE53/节奏总纲!AA51</f>
        <v>#REF!</v>
      </c>
      <c r="AS51" s="11">
        <f>('[1]资源-装备经验'!C53-'[1]资源-装备经验'!C52)*'[1]功能-付费相关'!BI53/节奏总纲!W51</f>
        <v>943.38243219300159</v>
      </c>
      <c r="AT51" s="11">
        <f>('[1]资源-装备经验'!D53-'[1]资源-装备经验'!D52)*'[1]功能-付费相关'!BJ53/节奏总纲!X51</f>
        <v>1427.8213020696378</v>
      </c>
      <c r="AU51" s="11">
        <f>('[1]资源-装备经验'!E53-'[1]资源-装备经验'!E52)*'[1]功能-付费相关'!BK53/节奏总纲!Y51</f>
        <v>2196.2078668730037</v>
      </c>
      <c r="AV51" s="11">
        <f>('[1]资源-装备经验'!F53-'[1]资源-装备经验'!F52)*'[1]功能-付费相关'!BL53/节奏总纲!Z51</f>
        <v>2534.3430195592841</v>
      </c>
      <c r="AW51" s="11">
        <f>('[1]资源-装备经验'!G53-'[1]资源-装备经验'!G52)*'[1]功能-付费相关'!BM53/节奏总纲!AA51</f>
        <v>2573.7122664306271</v>
      </c>
      <c r="AY51" s="11">
        <f>('[1]资源-武将经验'!C53*节奏总纲!BJ51-'[1]资源-武将经验'!C52*节奏总纲!BJ50)*'[1]功能-付费相关'!AZ53/节奏总纲!W51</f>
        <v>4540.074383492718</v>
      </c>
      <c r="AZ51" s="11">
        <f>('[1]资源-武将经验'!D53*节奏总纲!BK51-'[1]资源-武将经验'!D52*节奏总纲!BK50)*'[1]功能-付费相关'!BA53/节奏总纲!X51</f>
        <v>6745.1521391850501</v>
      </c>
      <c r="BA51" s="11">
        <f>('[1]资源-武将经验'!E53*节奏总纲!BL51-'[1]资源-武将经验'!E52*节奏总纲!BL50)*'[1]功能-付费相关'!BB53/节奏总纲!Y51</f>
        <v>11463.989829558166</v>
      </c>
      <c r="BB51" s="11">
        <f>('[1]资源-武将经验'!F53*节奏总纲!BM51-'[1]资源-武将经验'!F52*节奏总纲!BM50)*'[1]功能-付费相关'!BC53/节奏总纲!Z51</f>
        <v>27736.965496945624</v>
      </c>
      <c r="BC51" s="11">
        <f>('[1]资源-武将经验'!G53*节奏总纲!BN51-'[1]资源-武将经验'!G52*节奏总纲!BN50)*'[1]功能-付费相关'!BD53/节奏总纲!AA51</f>
        <v>49960.029540942276</v>
      </c>
      <c r="BD51" s="33"/>
      <c r="BE51" s="30" t="e">
        <f t="shared" si="4"/>
        <v>#REF!</v>
      </c>
      <c r="BF51" s="30" t="e">
        <f t="shared" si="5"/>
        <v>#REF!</v>
      </c>
      <c r="BG51" s="30" t="e">
        <f t="shared" si="6"/>
        <v>#REF!</v>
      </c>
      <c r="BH51" s="30" t="e">
        <f t="shared" si="7"/>
        <v>#REF!</v>
      </c>
      <c r="BI51" s="30" t="e">
        <f t="shared" si="8"/>
        <v>#REF!</v>
      </c>
    </row>
    <row r="52" spans="2:61" x14ac:dyDescent="0.15">
      <c r="B52" s="31">
        <v>49</v>
      </c>
      <c r="C52" s="11">
        <f>('[1]资源-玩家城池建筑时间'!D54-'[1]资源-玩家城池建筑时间'!D53)*'[1]功能-付费相关'!AH54/节奏总纲!W52</f>
        <v>2744.0234985778584</v>
      </c>
      <c r="D52" s="11">
        <f>('[1]资源-玩家城池建筑时间'!E54-'[1]资源-玩家城池建筑时间'!E53)*'[1]功能-付费相关'!AI54/节奏总纲!X52</f>
        <v>3474.788254190863</v>
      </c>
      <c r="E52" s="11">
        <f>('[1]资源-玩家城池建筑时间'!F54-'[1]资源-玩家城池建筑时间'!F53)*'[1]功能-付费相关'!AJ54/节奏总纲!Y52</f>
        <v>4089.6112227224062</v>
      </c>
      <c r="F52" s="11">
        <f>('[1]资源-玩家城池建筑时间'!G54-'[1]资源-玩家城池建筑时间'!G53)*'[1]功能-付费相关'!AK54/节奏总纲!Z52</f>
        <v>5293.3645234523474</v>
      </c>
      <c r="G52" s="11">
        <f>('[1]资源-玩家城池建筑时间'!H54-'[1]资源-玩家城池建筑时间'!H53)*'[1]功能-付费相关'!AL54/节奏总纲!AA52</f>
        <v>5471.2112993707133</v>
      </c>
      <c r="I52" s="31">
        <f>('[1]资源-士兵训练时间'!C54-'[1]资源-士兵训练时间'!C53)*'[1]功能-付费相关'!AH54/节奏总纲!W52</f>
        <v>1047.2842022370398</v>
      </c>
      <c r="J52" s="31">
        <f>('[1]资源-士兵训练时间'!D54-'[1]资源-士兵训练时间'!D53)*'[1]功能-付费相关'!AI54/节奏总纲!X52</f>
        <v>1129.3710795097436</v>
      </c>
      <c r="K52" s="31">
        <f>('[1]资源-士兵训练时间'!E54-'[1]资源-士兵训练时间'!E53)*'[1]功能-付费相关'!AJ54/节奏总纲!Y52</f>
        <v>1178.1660273732668</v>
      </c>
      <c r="L52" s="31">
        <f>('[1]资源-士兵训练时间'!F54-'[1]资源-士兵训练时间'!F53)*'[1]功能-付费相关'!AK54/节奏总纲!Z52</f>
        <v>1270.7445258064238</v>
      </c>
      <c r="M52" s="31">
        <f>('[1]资源-士兵训练时间'!G54-'[1]资源-士兵训练时间'!G53)*'[1]功能-付费相关'!AL54/节奏总纲!AA52</f>
        <v>1275.6716824625332</v>
      </c>
      <c r="O52" s="11">
        <f>('[1]资源-士兵招募时间'!D54-'[1]资源-士兵招募时间'!D53)*'[1]功能-付费相关'!AH54/节奏总纲!W52</f>
        <v>1959.5084537205241</v>
      </c>
      <c r="P52" s="11">
        <f>('[1]资源-士兵招募时间'!E54-'[1]资源-士兵招募时间'!E53)*'[1]功能-付费相关'!AI54/节奏总纲!X52</f>
        <v>2224.3165505700313</v>
      </c>
      <c r="Q52" s="11">
        <f>('[1]资源-士兵招募时间'!F54-'[1]资源-士兵招募时间'!F53)*'[1]功能-付费相关'!AJ54/节奏总纲!Y52</f>
        <v>2447.4796556610636</v>
      </c>
      <c r="R52" s="11">
        <f>('[1]资源-士兵招募时间'!G54-'[1]资源-士兵招募时间'!G53)*'[1]功能-付费相关'!AK54/节奏总纲!Z52</f>
        <v>2995.3703629756083</v>
      </c>
      <c r="S52" s="11">
        <f>('[1]资源-士兵招募时间'!H54-'[1]资源-士兵招募时间'!H53)*'[1]功能-付费相关'!AL54/节奏总纲!AA52</f>
        <v>3386.2008431298445</v>
      </c>
      <c r="U52" s="31">
        <f>('[1]资源-木石铜粮'!C54-'[1]资源-木石铜粮'!C53)*'[1]功能-付费相关'!S54/节奏总纲!W52</f>
        <v>1946.7379527200203</v>
      </c>
      <c r="V52" s="31">
        <f>('[1]资源-木石铜粮'!D54-'[1]资源-木石铜粮'!D53)*'[1]功能-付费相关'!T54/节奏总纲!X52</f>
        <v>2102.1348758125132</v>
      </c>
      <c r="W52" s="31">
        <f>('[1]资源-木石铜粮'!E54-'[1]资源-木石铜粮'!E53)*'[1]功能-付费相关'!U54/节奏总纲!Y52</f>
        <v>2266.8888221899069</v>
      </c>
      <c r="X52" s="31">
        <f>('[1]资源-木石铜粮'!F54-'[1]资源-木石铜粮'!F53)*'[1]功能-付费相关'!V54/节奏总纲!Z52</f>
        <v>2378.6251168837052</v>
      </c>
      <c r="Y52" s="31">
        <f>('[1]资源-木石铜粮'!G54-'[1]资源-木石铜粮'!G53)*'[1]功能-付费相关'!W54/节奏总纲!AA52</f>
        <v>2686.6256404419373</v>
      </c>
      <c r="AA52" s="11">
        <f>('[1]资源-铁'!C54-'[1]资源-铁'!C53)*'[1]功能-付费相关'!X54/节奏总纲!W52</f>
        <v>70.757290966100072</v>
      </c>
      <c r="AB52" s="11">
        <f>('[1]资源-铁'!D54-'[1]资源-铁'!D53)*'[1]功能-付费相关'!Y54/节奏总纲!X52</f>
        <v>93.953363417259538</v>
      </c>
      <c r="AC52" s="11">
        <f>('[1]资源-铁'!E54-'[1]资源-铁'!E53)*'[1]功能-付费相关'!Z54/节奏总纲!Y52</f>
        <v>103.46747132647779</v>
      </c>
      <c r="AD52" s="11">
        <f>('[1]资源-铁'!F54-'[1]资源-铁'!F53)*'[1]功能-付费相关'!AA54/节奏总纲!Z52</f>
        <v>121.70754222969641</v>
      </c>
      <c r="AE52" s="11">
        <f>('[1]资源-铁'!G54-'[1]资源-铁'!G53)*'[1]功能-付费相关'!AB54/节奏总纲!AA52</f>
        <v>188.41716696829897</v>
      </c>
      <c r="AG52" s="11">
        <f>('[1]资源-银币'!C54-'[1]资源-银币'!C53)*'[1]功能-付费相关'!AQ54/节奏总纲!W52</f>
        <v>963.22176030074138</v>
      </c>
      <c r="AH52" s="11">
        <f>('[1]资源-银币'!D54-'[1]资源-银币'!D53)*'[1]功能-付费相关'!AR54/节奏总纲!X52</f>
        <v>1119.8216037098853</v>
      </c>
      <c r="AI52" s="11">
        <f>('[1]资源-银币'!E54-'[1]资源-银币'!E53)*'[1]功能-付费相关'!AS54/节奏总纲!Y52</f>
        <v>1235.803953480671</v>
      </c>
      <c r="AJ52" s="11">
        <f>('[1]资源-银币'!F54-'[1]资源-银币'!F53)*'[1]功能-付费相关'!AT54/节奏总纲!Z52</f>
        <v>1457.9406777285444</v>
      </c>
      <c r="AK52" s="11">
        <f>('[1]资源-银币'!G54-'[1]资源-银币'!G53)*'[1]功能-付费相关'!AU54/节奏总纲!AA52</f>
        <v>1423.9760313444981</v>
      </c>
      <c r="AM52" s="11" t="e">
        <f>(#REF!-#REF!)*'[1]功能-付费相关'!CA54/节奏总纲!W52</f>
        <v>#REF!</v>
      </c>
      <c r="AN52" s="11" t="e">
        <f>(#REF!-#REF!)*'[1]功能-付费相关'!CB54/节奏总纲!X52</f>
        <v>#REF!</v>
      </c>
      <c r="AO52" s="11" t="e">
        <f>(#REF!-#REF!)*'[1]功能-付费相关'!CC54/节奏总纲!Y52</f>
        <v>#REF!</v>
      </c>
      <c r="AP52" s="11" t="e">
        <f>(#REF!-#REF!)*'[1]功能-付费相关'!CD54/节奏总纲!Z52</f>
        <v>#REF!</v>
      </c>
      <c r="AQ52" s="11" t="e">
        <f>(#REF!-#REF!)*'[1]功能-付费相关'!CE54/节奏总纲!AA52</f>
        <v>#REF!</v>
      </c>
      <c r="AS52" s="11">
        <f>('[1]资源-装备经验'!C54-'[1]资源-装备经验'!C53)*'[1]功能-付费相关'!BI54/节奏总纲!W52</f>
        <v>922.01646480948966</v>
      </c>
      <c r="AT52" s="11">
        <f>('[1]资源-装备经验'!D54-'[1]资源-装备经验'!D53)*'[1]功能-付费相关'!BJ54/节奏总纲!X52</f>
        <v>1447.6809797847745</v>
      </c>
      <c r="AU52" s="11">
        <f>('[1]资源-装备经验'!E54-'[1]资源-装备经验'!E53)*'[1]功能-付费相关'!BK54/节奏总纲!Y52</f>
        <v>1939.2736914400227</v>
      </c>
      <c r="AV52" s="11">
        <f>('[1]资源-装备经验'!F54-'[1]资源-装备经验'!F53)*'[1]功能-付费相关'!BL54/节奏总纲!Z52</f>
        <v>2243.6353323679223</v>
      </c>
      <c r="AW52" s="11">
        <f>('[1]资源-装备经验'!G54-'[1]资源-装备经验'!G53)*'[1]功能-付费相关'!BM54/节奏总纲!AA52</f>
        <v>2072.1157651105318</v>
      </c>
      <c r="AY52" s="11">
        <f>('[1]资源-武将经验'!C54*节奏总纲!BJ52-'[1]资源-武将经验'!C53*节奏总纲!BJ51)*'[1]功能-付费相关'!AZ54/节奏总纲!W52</f>
        <v>4995.1726365800414</v>
      </c>
      <c r="AZ52" s="11">
        <f>('[1]资源-武将经验'!D54*节奏总纲!BK52-'[1]资源-武将经验'!D53*节奏总纲!BK51)*'[1]功能-付费相关'!BA54/节奏总纲!X52</f>
        <v>7452.3426978730577</v>
      </c>
      <c r="BA52" s="11">
        <f>('[1]资源-武将经验'!E54*节奏总纲!BL52-'[1]资源-武将经验'!E53*节奏总纲!BL51)*'[1]功能-付费相关'!BB54/节奏总纲!Y52</f>
        <v>9651.7342104676627</v>
      </c>
      <c r="BB52" s="11">
        <f>('[1]资源-武将经验'!F54*节奏总纲!BM52-'[1]资源-武将经验'!F53*节奏总纲!BM51)*'[1]功能-付费相关'!BC54/节奏总纲!Z52</f>
        <v>22597.425890730628</v>
      </c>
      <c r="BC52" s="11">
        <f>('[1]资源-武将经验'!G54*节奏总纲!BN52-'[1]资源-武将经验'!G53*节奏总纲!BN51)*'[1]功能-付费相关'!BD54/节奏总纲!AA52</f>
        <v>29444.608385102805</v>
      </c>
      <c r="BD52" s="33"/>
      <c r="BE52" s="30" t="e">
        <f t="shared" si="4"/>
        <v>#REF!</v>
      </c>
      <c r="BF52" s="30" t="e">
        <f t="shared" si="5"/>
        <v>#REF!</v>
      </c>
      <c r="BG52" s="30" t="e">
        <f t="shared" si="6"/>
        <v>#REF!</v>
      </c>
      <c r="BH52" s="30" t="e">
        <f t="shared" si="7"/>
        <v>#REF!</v>
      </c>
      <c r="BI52" s="30" t="e">
        <f t="shared" si="8"/>
        <v>#REF!</v>
      </c>
    </row>
    <row r="53" spans="2:61" x14ac:dyDescent="0.15">
      <c r="B53" s="31">
        <v>50</v>
      </c>
      <c r="C53" s="11">
        <f>('[1]资源-玩家城池建筑时间'!D55-'[1]资源-玩家城池建筑时间'!D54)*'[1]功能-付费相关'!AH55/节奏总纲!W53</f>
        <v>2644.8177148206892</v>
      </c>
      <c r="D53" s="11">
        <f>('[1]资源-玩家城池建筑时间'!E55-'[1]资源-玩家城池建筑时间'!E54)*'[1]功能-付费相关'!AI55/节奏总纲!X53</f>
        <v>3132.3411934147634</v>
      </c>
      <c r="E53" s="11">
        <f>('[1]资源-玩家城池建筑时间'!F55-'[1]资源-玩家城池建筑时间'!F54)*'[1]功能-付费相关'!AJ55/节奏总纲!Y53</f>
        <v>3596.1197457479207</v>
      </c>
      <c r="F53" s="11">
        <f>('[1]资源-玩家城池建筑时间'!G55-'[1]资源-玩家城池建筑时间'!G54)*'[1]功能-付费相关'!AK55/节奏总纲!Z53</f>
        <v>4452.3810087592337</v>
      </c>
      <c r="G53" s="11">
        <f>('[1]资源-玩家城池建筑时间'!H55-'[1]资源-玩家城池建筑时间'!H54)*'[1]功能-付费相关'!AL55/节奏总纲!AA53</f>
        <v>4627.705382625838</v>
      </c>
      <c r="I53" s="31">
        <f>('[1]资源-士兵训练时间'!C55-'[1]资源-士兵训练时间'!C54)*'[1]功能-付费相关'!AH55/节奏总纲!W53</f>
        <v>1012.3683398476245</v>
      </c>
      <c r="J53" s="31">
        <f>('[1]资源-士兵训练时间'!D55-'[1]资源-士兵训练时间'!D54)*'[1]功能-付费相关'!AI55/节奏总纲!X53</f>
        <v>1034.9424857339964</v>
      </c>
      <c r="K53" s="31">
        <f>('[1]资源-士兵训练时间'!E55-'[1]资源-士兵训练时间'!E54)*'[1]功能-付费相关'!AJ55/节奏总纲!Y53</f>
        <v>1049.640522899678</v>
      </c>
      <c r="L53" s="31">
        <f>('[1]资源-士兵训练时间'!F55-'[1]资源-士兵训练时间'!F54)*'[1]功能-付费相关'!AK55/节奏总纲!Z53</f>
        <v>1061.8530247180852</v>
      </c>
      <c r="M53" s="31">
        <f>('[1]资源-士兵训练时间'!G55-'[1]资源-士兵训练时间'!G54)*'[1]功能-付费相关'!AL55/节奏总纲!AA53</f>
        <v>1080.1261321531315</v>
      </c>
      <c r="O53" s="11">
        <f>('[1]资源-士兵招募时间'!D55-'[1]资源-士兵招募时间'!D54)*'[1]功能-付费相关'!AH55/节奏总纲!W53</f>
        <v>1908.4595750926901</v>
      </c>
      <c r="P53" s="11">
        <f>('[1]资源-士兵招募时间'!E55-'[1]资源-士兵招募时间'!E54)*'[1]功能-付费相关'!AI55/节奏总纲!X53</f>
        <v>2126.8996747426404</v>
      </c>
      <c r="Q53" s="11">
        <f>('[1]资源-士兵招募时间'!F55-'[1]资源-士兵招募时间'!F54)*'[1]功能-付费相关'!AJ55/节奏总纲!Y53</f>
        <v>2313.0097416308099</v>
      </c>
      <c r="R53" s="11">
        <f>('[1]资源-士兵招募时间'!G55-'[1]资源-士兵招募时间'!G54)*'[1]功能-付费相关'!AK55/节奏总纲!Z53</f>
        <v>2737.7447518674221</v>
      </c>
      <c r="S53" s="11">
        <f>('[1]资源-士兵招募时间'!H55-'[1]资源-士兵招募时间'!H54)*'[1]功能-付费相关'!AL55/节奏总纲!AA53</f>
        <v>3131.2061394984025</v>
      </c>
      <c r="U53" s="31">
        <f>('[1]资源-木石铜粮'!C55-'[1]资源-木石铜粮'!C54)*'[1]功能-付费相关'!S55/节奏总纲!W53</f>
        <v>1885.387490300129</v>
      </c>
      <c r="V53" s="31">
        <f>('[1]资源-木石铜粮'!D55-'[1]资源-木石铜粮'!D54)*'[1]功能-付费相关'!T55/节奏总纲!X53</f>
        <v>1985.0924154376557</v>
      </c>
      <c r="W53" s="31">
        <f>('[1]资源-木石铜粮'!E55-'[1]资源-木石铜粮'!E54)*'[1]功能-付费相关'!U55/节奏总纲!Y53</f>
        <v>2129.8316634887751</v>
      </c>
      <c r="X53" s="31">
        <f>('[1]资源-木石铜粮'!F55-'[1]资源-木石铜粮'!F54)*'[1]功能-付费相关'!V55/节奏总纲!Z53</f>
        <v>2201.6215675604344</v>
      </c>
      <c r="Y53" s="31">
        <f>('[1]资源-木石铜粮'!G55-'[1]资源-木石铜粮'!G54)*'[1]功能-付费相关'!W55/节奏总纲!AA53</f>
        <v>2497.1367108372033</v>
      </c>
      <c r="AA53" s="11">
        <f>('[1]资源-铁'!C55-'[1]资源-铁'!C54)*'[1]功能-付费相关'!X55/节奏总纲!W53</f>
        <v>115.57012930373841</v>
      </c>
      <c r="AB53" s="11">
        <f>('[1]资源-铁'!D55-'[1]资源-铁'!D54)*'[1]功能-付费相关'!Y55/节奏总纲!X53</f>
        <v>118.72059849218164</v>
      </c>
      <c r="AC53" s="11">
        <f>('[1]资源-铁'!E55-'[1]资源-铁'!E54)*'[1]功能-付费相关'!Z55/节奏总纲!Y53</f>
        <v>138.54513288622638</v>
      </c>
      <c r="AD53" s="11">
        <f>('[1]资源-铁'!F55-'[1]资源-铁'!F54)*'[1]功能-付费相关'!AA55/节奏总纲!Z53</f>
        <v>133.85453866534627</v>
      </c>
      <c r="AE53" s="11">
        <f>('[1]资源-铁'!G55-'[1]资源-铁'!G54)*'[1]功能-付费相关'!AB55/节奏总纲!AA53</f>
        <v>232.04267872488626</v>
      </c>
      <c r="AG53" s="11">
        <f>('[1]资源-银币'!C55-'[1]资源-银币'!C54)*'[1]功能-付费相关'!AQ55/节奏总纲!W53</f>
        <v>920.23149013019099</v>
      </c>
      <c r="AH53" s="11">
        <f>('[1]资源-银币'!D55-'[1]资源-银币'!D54)*'[1]功能-付费相关'!AR55/节奏总纲!X53</f>
        <v>988.1295798274532</v>
      </c>
      <c r="AI53" s="11">
        <f>('[1]资源-银币'!E55-'[1]资源-银币'!E54)*'[1]功能-付费相关'!AS55/节奏总纲!Y53</f>
        <v>1038.6293709777144</v>
      </c>
      <c r="AJ53" s="11">
        <f>('[1]资源-银币'!F55-'[1]资源-银币'!F54)*'[1]功能-付费相关'!AT55/节奏总纲!Z53</f>
        <v>1059.3594115979645</v>
      </c>
      <c r="AK53" s="11">
        <f>('[1]资源-银币'!G55-'[1]资源-银币'!G54)*'[1]功能-付费相关'!AU55/节奏总纲!AA53</f>
        <v>1063.3373614420934</v>
      </c>
      <c r="AM53" s="11" t="e">
        <f>(#REF!-#REF!)*'[1]功能-付费相关'!CA55/节奏总纲!W53</f>
        <v>#REF!</v>
      </c>
      <c r="AN53" s="11" t="e">
        <f>(#REF!-#REF!)*'[1]功能-付费相关'!CB55/节奏总纲!X53</f>
        <v>#REF!</v>
      </c>
      <c r="AO53" s="11" t="e">
        <f>(#REF!-#REF!)*'[1]功能-付费相关'!CC55/节奏总纲!Y53</f>
        <v>#REF!</v>
      </c>
      <c r="AP53" s="11" t="e">
        <f>(#REF!-#REF!)*'[1]功能-付费相关'!CD55/节奏总纲!Z53</f>
        <v>#REF!</v>
      </c>
      <c r="AQ53" s="11" t="e">
        <f>(#REF!-#REF!)*'[1]功能-付费相关'!CE55/节奏总纲!AA53</f>
        <v>#REF!</v>
      </c>
      <c r="AS53" s="11">
        <f>('[1]资源-装备经验'!C55-'[1]资源-装备经验'!C54)*'[1]功能-付费相关'!BI55/节奏总纲!W53</f>
        <v>899.66815836067587</v>
      </c>
      <c r="AT53" s="11">
        <f>('[1]资源-装备经验'!D55-'[1]资源-装备经验'!D54)*'[1]功能-付费相关'!BJ55/节奏总纲!X53</f>
        <v>1251.3766028177499</v>
      </c>
      <c r="AU53" s="11">
        <f>('[1]资源-装备经验'!E55-'[1]资源-装备经验'!E54)*'[1]功能-付费相关'!BK55/节奏总纲!Y53</f>
        <v>1633.3994513262589</v>
      </c>
      <c r="AV53" s="11">
        <f>('[1]资源-装备经验'!F55-'[1]资源-装备经验'!F54)*'[1]功能-付费相关'!BL55/节奏总纲!Z53</f>
        <v>1816.3948657317901</v>
      </c>
      <c r="AW53" s="11">
        <f>('[1]资源-装备经验'!G55-'[1]资源-装备经验'!G54)*'[1]功能-付费相关'!BM55/节奏总纲!AA53</f>
        <v>1864.8104472652453</v>
      </c>
      <c r="AY53" s="11">
        <f>('[1]资源-武将经验'!C55*节奏总纲!BJ53-'[1]资源-武将经验'!C54*节奏总纲!BJ52)*'[1]功能-付费相关'!AZ55/节奏总纲!W53</f>
        <v>4838.7601743365303</v>
      </c>
      <c r="AZ53" s="11">
        <f>('[1]资源-武将经验'!D55*节奏总纲!BK53-'[1]资源-武将经验'!D54*节奏总纲!BK52)*'[1]功能-付费相关'!BA55/节奏总纲!X53</f>
        <v>6052.4047135378141</v>
      </c>
      <c r="BA53" s="11">
        <f>('[1]资源-武将经验'!E55*节奏总纲!BL53-'[1]资源-武将经验'!E54*节奏总纲!BL52)*'[1]功能-付费相关'!BB55/节奏总纲!Y53</f>
        <v>7458.2532317290543</v>
      </c>
      <c r="BB53" s="11">
        <f>('[1]资源-武将经验'!F55*节奏总纲!BM53-'[1]资源-武将经验'!F54*节奏总纲!BM52)*'[1]功能-付费相关'!BC55/节奏总纲!Z53</f>
        <v>15358.408953315957</v>
      </c>
      <c r="BC53" s="11">
        <f>('[1]资源-武将经验'!G55*节奏总纲!BN53-'[1]资源-武将经验'!G54*节奏总纲!BN52)*'[1]功能-付费相关'!BD55/节奏总纲!AA53</f>
        <v>21236.727376327653</v>
      </c>
      <c r="BD53" s="33"/>
      <c r="BE53" s="30" t="e">
        <f t="shared" si="4"/>
        <v>#REF!</v>
      </c>
      <c r="BF53" s="30" t="e">
        <f t="shared" si="5"/>
        <v>#REF!</v>
      </c>
      <c r="BG53" s="30" t="e">
        <f t="shared" si="6"/>
        <v>#REF!</v>
      </c>
      <c r="BH53" s="30" t="e">
        <f t="shared" si="7"/>
        <v>#REF!</v>
      </c>
      <c r="BI53" s="30" t="e">
        <f t="shared" si="8"/>
        <v>#REF!</v>
      </c>
    </row>
    <row r="54" spans="2:61" x14ac:dyDescent="0.15">
      <c r="B54" s="31">
        <v>51</v>
      </c>
      <c r="C54" s="11">
        <f>('[1]资源-玩家城池建筑时间'!D56-'[1]资源-玩家城池建筑时间'!D55)*'[1]功能-付费相关'!AH56/节奏总纲!W54</f>
        <v>2554.990885196903</v>
      </c>
      <c r="D54" s="11">
        <f>('[1]资源-玩家城池建筑时间'!E56-'[1]资源-玩家城池建筑时间'!E55)*'[1]功能-付费相关'!AI56/节奏总纲!X54</f>
        <v>2939.9921056428802</v>
      </c>
      <c r="E54" s="11">
        <f>('[1]资源-玩家城池建筑时间'!F56-'[1]资源-玩家城池建筑时间'!F55)*'[1]功能-付费相关'!AJ56/节奏总纲!Y54</f>
        <v>3366.5662046100383</v>
      </c>
      <c r="F54" s="11">
        <f>('[1]资源-玩家城池建筑时间'!G56-'[1]资源-玩家城池建筑时间'!G55)*'[1]功能-付费相关'!AK56/节奏总纲!Z54</f>
        <v>4149.0830652161703</v>
      </c>
      <c r="G54" s="11">
        <f>('[1]资源-玩家城池建筑时间'!H56-'[1]资源-玩家城池建筑时间'!H55)*'[1]功能-付费相关'!AL56/节奏总纲!AA54</f>
        <v>4295.3125153118426</v>
      </c>
      <c r="I54" s="31">
        <f>('[1]资源-士兵训练时间'!C56-'[1]资源-士兵训练时间'!C55)*'[1]功能-付费相关'!AH56/节奏总纲!W54</f>
        <v>979.14528896880495</v>
      </c>
      <c r="J54" s="31">
        <f>('[1]资源-士兵训练时间'!D56-'[1]资源-士兵训练时间'!D55)*'[1]功能-付费相关'!AI56/节奏总纲!X54</f>
        <v>979.66866782536567</v>
      </c>
      <c r="K54" s="31">
        <f>('[1]资源-士兵训练时间'!E56-'[1]资源-士兵训练时间'!E55)*'[1]功能-付费相关'!AJ56/节奏总纲!Y54</f>
        <v>988.15107830123543</v>
      </c>
      <c r="L54" s="31">
        <f>('[1]资源-士兵训练时间'!F56-'[1]资源-士兵训练时间'!F55)*'[1]功能-付费相关'!AK56/节奏总纲!Z54</f>
        <v>994.49661613780347</v>
      </c>
      <c r="M54" s="31">
        <f>('[1]资源-士兵训练时间'!G56-'[1]资源-士兵训练时间'!G55)*'[1]功能-付费相关'!AL56/节奏总纲!AA54</f>
        <v>1024.1533300439235</v>
      </c>
      <c r="O54" s="11">
        <f>('[1]资源-士兵招募时间'!D56-'[1]资源-士兵招募时间'!D55)*'[1]功能-付费相关'!AH56/节奏总纲!W54</f>
        <v>1860.3397780620899</v>
      </c>
      <c r="P54" s="11">
        <f>('[1]资源-士兵招募时间'!E56-'[1]资源-士兵招募时间'!E55)*'[1]功能-付费相关'!AI56/节奏总纲!X54</f>
        <v>2065.5997911963536</v>
      </c>
      <c r="Q54" s="11">
        <f>('[1]资源-士兵招募时间'!F56-'[1]资源-士兵招募时间'!F55)*'[1]功能-付费相关'!AJ56/节奏总纲!Y54</f>
        <v>2241.2264160922214</v>
      </c>
      <c r="R54" s="11">
        <f>('[1]资源-士兵招募时间'!G56-'[1]资源-士兵招募时间'!G55)*'[1]功能-付费相关'!AK56/节奏总纲!Z54</f>
        <v>2626.9397488244144</v>
      </c>
      <c r="S54" s="11">
        <f>('[1]资源-士兵招募时间'!H56-'[1]资源-士兵招募时间'!H55)*'[1]功能-付费相关'!AL56/节奏总纲!AA54</f>
        <v>3037.6186345400474</v>
      </c>
      <c r="U54" s="31">
        <f>('[1]资源-木石铜粮'!C56-'[1]资源-木石铜粮'!C55)*'[1]功能-付费相关'!S56/节奏总纲!W54</f>
        <v>1875.354754493655</v>
      </c>
      <c r="V54" s="31">
        <f>('[1]资源-木石铜粮'!D56-'[1]资源-木石铜粮'!D55)*'[1]功能-付费相关'!T56/节奏总纲!X54</f>
        <v>1973.4310146076732</v>
      </c>
      <c r="W54" s="31">
        <f>('[1]资源-木石铜粮'!E56-'[1]资源-木石铜粮'!E55)*'[1]功能-付费相关'!U56/节奏总纲!Y54</f>
        <v>2101.8789554447039</v>
      </c>
      <c r="X54" s="31">
        <f>('[1]资源-木石铜粮'!F56-'[1]资源-木石铜粮'!F55)*'[1]功能-付费相关'!V56/节奏总纲!Z54</f>
        <v>2176.7287466578091</v>
      </c>
      <c r="Y54" s="31">
        <f>('[1]资源-木石铜粮'!G56-'[1]资源-木石铜粮'!G55)*'[1]功能-付费相关'!W56/节奏总纲!AA54</f>
        <v>2477.2642856319198</v>
      </c>
      <c r="AA54" s="11">
        <f>('[1]资源-铁'!C56-'[1]资源-铁'!C55)*'[1]功能-付费相关'!X56/节奏总纲!W54</f>
        <v>278.25917328991676</v>
      </c>
      <c r="AB54" s="11">
        <f>('[1]资源-铁'!D56-'[1]资源-铁'!D55)*'[1]功能-付费相关'!Y56/节奏总纲!X54</f>
        <v>286.54110068616319</v>
      </c>
      <c r="AC54" s="11">
        <f>('[1]资源-铁'!E56-'[1]资源-铁'!E55)*'[1]功能-付费相关'!Z56/节奏总纲!Y54</f>
        <v>307.11762537460271</v>
      </c>
      <c r="AD54" s="11">
        <f>('[1]资源-铁'!F56-'[1]资源-铁'!F55)*'[1]功能-付费相关'!AA56/节奏总纲!Z54</f>
        <v>401.57788813453652</v>
      </c>
      <c r="AE54" s="11">
        <f>('[1]资源-铁'!G56-'[1]资源-铁'!G55)*'[1]功能-付费相关'!AB56/节奏总纲!AA54</f>
        <v>455.57534655304414</v>
      </c>
      <c r="AG54" s="11">
        <f>('[1]资源-银币'!C56-'[1]资源-银币'!C55)*'[1]功能-付费相关'!AQ56/节奏总纲!W54</f>
        <v>917.26401538705386</v>
      </c>
      <c r="AH54" s="11">
        <f>('[1]资源-银币'!D56-'[1]资源-银币'!D55)*'[1]功能-付费相关'!AR56/节奏总纲!X54</f>
        <v>931.98567302834829</v>
      </c>
      <c r="AI54" s="11">
        <f>('[1]资源-银币'!E56-'[1]资源-银币'!E55)*'[1]功能-付费相关'!AS56/节奏总纲!Y54</f>
        <v>968.06334216191453</v>
      </c>
      <c r="AJ54" s="11">
        <f>('[1]资源-银币'!F56-'[1]资源-银币'!F55)*'[1]功能-付费相关'!AT56/节奏总纲!Z54</f>
        <v>969.351103243593</v>
      </c>
      <c r="AK54" s="11">
        <f>('[1]资源-银币'!G56-'[1]资源-银币'!G55)*'[1]功能-付费相关'!AU56/节奏总纲!AA54</f>
        <v>993.29418740426877</v>
      </c>
      <c r="AM54" s="11" t="e">
        <f>(#REF!-#REF!)*'[1]功能-付费相关'!CA56/节奏总纲!W54</f>
        <v>#REF!</v>
      </c>
      <c r="AN54" s="11" t="e">
        <f>(#REF!-#REF!)*'[1]功能-付费相关'!CB56/节奏总纲!X54</f>
        <v>#REF!</v>
      </c>
      <c r="AO54" s="11" t="e">
        <f>(#REF!-#REF!)*'[1]功能-付费相关'!CC56/节奏总纲!Y54</f>
        <v>#REF!</v>
      </c>
      <c r="AP54" s="11" t="e">
        <f>(#REF!-#REF!)*'[1]功能-付费相关'!CD56/节奏总纲!Z54</f>
        <v>#REF!</v>
      </c>
      <c r="AQ54" s="11" t="e">
        <f>(#REF!-#REF!)*'[1]功能-付费相关'!CE56/节奏总纲!AA54</f>
        <v>#REF!</v>
      </c>
      <c r="AS54" s="11">
        <f>('[1]资源-装备经验'!C56-'[1]资源-装备经验'!C55)*'[1]功能-付费相关'!BI56/节奏总纲!W54</f>
        <v>1143.6788910636244</v>
      </c>
      <c r="AT54" s="11">
        <f>('[1]资源-装备经验'!D56-'[1]资源-装备经验'!D55)*'[1]功能-付费相关'!BJ56/节奏总纲!X54</f>
        <v>1494.0832514474623</v>
      </c>
      <c r="AU54" s="11">
        <f>('[1]资源-装备经验'!E56-'[1]资源-装备经验'!E55)*'[1]功能-付费相关'!BK56/节奏总纲!Y54</f>
        <v>1957.3410344601093</v>
      </c>
      <c r="AV54" s="11">
        <f>('[1]资源-装备经验'!F56-'[1]资源-装备经验'!F55)*'[1]功能-付费相关'!BL56/节奏总纲!Z54</f>
        <v>2091.3381683413727</v>
      </c>
      <c r="AW54" s="11">
        <f>('[1]资源-装备经验'!G56-'[1]资源-装备经验'!G55)*'[1]功能-付费相关'!BM56/节奏总纲!AA54</f>
        <v>2140.6633448271491</v>
      </c>
      <c r="AY54" s="11">
        <f>('[1]资源-武将经验'!C56*节奏总纲!BJ54-'[1]资源-武将经验'!C55*节奏总纲!BJ53)*'[1]功能-付费相关'!AZ56/节奏总纲!W54</f>
        <v>4693.6698781972946</v>
      </c>
      <c r="AZ54" s="11">
        <f>('[1]资源-武将经验'!D56*节奏总纲!BK54-'[1]资源-武将经验'!D55*节奏总纲!BK53)*'[1]功能-付费相关'!BA56/节奏总纲!X54</f>
        <v>5459.5298019529155</v>
      </c>
      <c r="BA54" s="11">
        <f>('[1]资源-武将经验'!E56*节奏总纲!BL54-'[1]资源-武将经验'!E55*节奏总纲!BL53)*'[1]功能-付费相关'!BB56/节奏总纲!Y54</f>
        <v>6765.4421603230294</v>
      </c>
      <c r="BB54" s="11">
        <f>('[1]资源-武将经验'!F56*节奏总纲!BM54-'[1]资源-武将经验'!F55*节奏总纲!BM53)*'[1]功能-付费相关'!BC56/节奏总纲!Z54</f>
        <v>13987.645302281433</v>
      </c>
      <c r="BC54" s="11">
        <f>('[1]资源-武将经验'!G56*节奏总纲!BN54-'[1]资源-武将经验'!G55*节奏总纲!BN53)*'[1]功能-付费相关'!BD56/节奏总纲!AA54</f>
        <v>19694.708350204484</v>
      </c>
      <c r="BD54" s="33"/>
      <c r="BE54" s="30" t="e">
        <f t="shared" si="4"/>
        <v>#REF!</v>
      </c>
      <c r="BF54" s="30" t="e">
        <f t="shared" si="5"/>
        <v>#REF!</v>
      </c>
      <c r="BG54" s="30" t="e">
        <f t="shared" si="6"/>
        <v>#REF!</v>
      </c>
      <c r="BH54" s="30" t="e">
        <f t="shared" si="7"/>
        <v>#REF!</v>
      </c>
      <c r="BI54" s="30" t="e">
        <f t="shared" si="8"/>
        <v>#REF!</v>
      </c>
    </row>
    <row r="55" spans="2:61" x14ac:dyDescent="0.15">
      <c r="B55" s="31">
        <v>52</v>
      </c>
      <c r="C55" s="11">
        <f>('[1]资源-玩家城池建筑时间'!D57-'[1]资源-玩家城池建筑时间'!D56)*'[1]功能-付费相关'!AH57/节奏总纲!W55</f>
        <v>2483.2066502417897</v>
      </c>
      <c r="D55" s="11">
        <f>('[1]资源-玩家城池建筑时间'!E57-'[1]资源-玩家城池建筑时间'!E56)*'[1]功能-付费相关'!AI57/节奏总纲!X55</f>
        <v>2912.6709839872719</v>
      </c>
      <c r="E55" s="11">
        <f>('[1]资源-玩家城池建筑时间'!F57-'[1]资源-玩家城池建筑时间'!F56)*'[1]功能-付费相关'!AJ57/节奏总纲!Y55</f>
        <v>3240.768605979531</v>
      </c>
      <c r="F55" s="11">
        <f>('[1]资源-玩家城池建筑时间'!G57-'[1]资源-玩家城池建筑时间'!G56)*'[1]功能-付费相关'!AK57/节奏总纲!Z55</f>
        <v>4092.8863418564956</v>
      </c>
      <c r="G55" s="11">
        <f>('[1]资源-玩家城池建筑时间'!H57-'[1]资源-玩家城池建筑时间'!H56)*'[1]功能-付费相关'!AL57/节奏总纲!AA55</f>
        <v>4543.2828204919651</v>
      </c>
      <c r="I55" s="31">
        <f>('[1]资源-士兵训练时间'!C57-'[1]资源-士兵训练时间'!C56)*'[1]功能-付费相关'!AH57/节奏总纲!W55</f>
        <v>951.58670210203854</v>
      </c>
      <c r="J55" s="31">
        <f>('[1]资源-士兵训练时间'!D57-'[1]资源-士兵训练时间'!D56)*'[1]功能-付费相关'!AI57/节奏总纲!X55</f>
        <v>966.10141242557074</v>
      </c>
      <c r="K55" s="31">
        <f>('[1]资源-士兵训练时间'!E57-'[1]资源-士兵训练时间'!E56)*'[1]功能-付费相关'!AJ57/节奏总纲!Y55</f>
        <v>956.87940304938331</v>
      </c>
      <c r="L55" s="31">
        <f>('[1]资源-士兵训练时间'!F57-'[1]资源-士兵训练时间'!F56)*'[1]功能-付费相关'!AK57/节奏总纲!Z55</f>
        <v>989.013383411321</v>
      </c>
      <c r="M55" s="31">
        <f>('[1]资源-士兵训练时间'!G57-'[1]资源-士兵训练时间'!G56)*'[1]功能-付费相关'!AL57/节奏总纲!AA55</f>
        <v>1096.0012828996239</v>
      </c>
      <c r="O55" s="11">
        <f>('[1]资源-士兵招募时间'!D57-'[1]资源-士兵招募时间'!D56)*'[1]功能-付费相关'!AH57/节奏总纲!W55</f>
        <v>1818.5449614236584</v>
      </c>
      <c r="P55" s="11">
        <f>('[1]资源-士兵招募时间'!E57-'[1]资源-士兵招募时间'!E56)*'[1]功能-付费相关'!AI57/节奏总纲!X55</f>
        <v>2031.0976435270022</v>
      </c>
      <c r="Q55" s="11">
        <f>('[1]资源-士兵招募时间'!F57-'[1]资源-士兵招募时间'!F56)*'[1]功能-付费相关'!AJ57/节奏总纲!Y55</f>
        <v>2208.7333276299655</v>
      </c>
      <c r="R55" s="11">
        <f>('[1]资源-士兵招募时间'!G57-'[1]资源-士兵招募时间'!G56)*'[1]功能-付费相关'!AK57/节奏总纲!Z55</f>
        <v>2616.6758285026449</v>
      </c>
      <c r="S55" s="11">
        <f>('[1]资源-士兵招募时间'!H57-'[1]资源-士兵招募时间'!H56)*'[1]功能-付费相关'!AL57/节奏总纲!AA55</f>
        <v>3053.3854310802317</v>
      </c>
      <c r="U55" s="31">
        <f>('[1]资源-木石铜粮'!C57-'[1]资源-木石铜粮'!C56)*'[1]功能-付费相关'!S57/节奏总纲!W55</f>
        <v>1814.6978224038751</v>
      </c>
      <c r="V55" s="31">
        <f>('[1]资源-木石铜粮'!D57-'[1]资源-木石铜粮'!D56)*'[1]功能-付费相关'!T57/节奏总纲!X55</f>
        <v>1928.7535584193931</v>
      </c>
      <c r="W55" s="31">
        <f>('[1]资源-木石铜粮'!E57-'[1]资源-木石铜粮'!E56)*'[1]功能-付费相关'!U57/节奏总纲!Y55</f>
        <v>2036.4294163501365</v>
      </c>
      <c r="X55" s="31">
        <f>('[1]资源-木石铜粮'!F57-'[1]资源-木石铜粮'!F56)*'[1]功能-付费相关'!V57/节奏总纲!Z55</f>
        <v>2146.5702523783675</v>
      </c>
      <c r="Y55" s="31">
        <f>('[1]资源-木石铜粮'!G57-'[1]资源-木石铜粮'!G56)*'[1]功能-付费相关'!W57/节奏总纲!AA55</f>
        <v>2513.4921372933563</v>
      </c>
      <c r="AA55" s="11">
        <f>('[1]资源-铁'!C57-'[1]资源-铁'!C56)*'[1]功能-付费相关'!X57/节奏总纲!W55</f>
        <v>319.09595840827859</v>
      </c>
      <c r="AB55" s="11">
        <f>('[1]资源-铁'!D57-'[1]资源-铁'!D56)*'[1]功能-付费相关'!Y57/节奏总纲!X55</f>
        <v>343.88570664904853</v>
      </c>
      <c r="AC55" s="11">
        <f>('[1]资源-铁'!E57-'[1]资源-铁'!E56)*'[1]功能-付费相关'!Z57/节奏总纲!Y55</f>
        <v>419.75753182265169</v>
      </c>
      <c r="AD55" s="11">
        <f>('[1]资源-铁'!F57-'[1]资源-铁'!F56)*'[1]功能-付费相关'!AA57/节奏总纲!Z55</f>
        <v>495.96931721653959</v>
      </c>
      <c r="AE55" s="11">
        <f>('[1]资源-铁'!G57-'[1]资源-铁'!G56)*'[1]功能-付费相关'!AB57/节奏总纲!AA55</f>
        <v>600.09299225490315</v>
      </c>
      <c r="AG55" s="11">
        <f>('[1]资源-银币'!C57-'[1]资源-银币'!C56)*'[1]功能-付费相关'!AQ57/节奏总纲!W55</f>
        <v>883.89706846607794</v>
      </c>
      <c r="AH55" s="11">
        <f>('[1]资源-银币'!D57-'[1]资源-银币'!D56)*'[1]功能-付费相关'!AR57/节奏总纲!X55</f>
        <v>950.73991773719536</v>
      </c>
      <c r="AI55" s="11">
        <f>('[1]资源-银币'!E57-'[1]资源-银币'!E56)*'[1]功能-付费相关'!AS57/节奏总纲!Y55</f>
        <v>927.05989279054938</v>
      </c>
      <c r="AJ55" s="11">
        <f>('[1]资源-银币'!F57-'[1]资源-银币'!F56)*'[1]功能-付费相关'!AT57/节奏总纲!Z55</f>
        <v>978.41200033287123</v>
      </c>
      <c r="AK55" s="11">
        <f>('[1]资源-银币'!G57-'[1]资源-银币'!G56)*'[1]功能-付费相关'!AU57/节奏总纲!AA55</f>
        <v>1174.6385107599353</v>
      </c>
      <c r="AM55" s="11" t="e">
        <f>(#REF!-#REF!)*'[1]功能-付费相关'!CA57/节奏总纲!W55</f>
        <v>#REF!</v>
      </c>
      <c r="AN55" s="11" t="e">
        <f>(#REF!-#REF!)*'[1]功能-付费相关'!CB57/节奏总纲!X55</f>
        <v>#REF!</v>
      </c>
      <c r="AO55" s="11" t="e">
        <f>(#REF!-#REF!)*'[1]功能-付费相关'!CC57/节奏总纲!Y55</f>
        <v>#REF!</v>
      </c>
      <c r="AP55" s="11" t="e">
        <f>(#REF!-#REF!)*'[1]功能-付费相关'!CD57/节奏总纲!Z55</f>
        <v>#REF!</v>
      </c>
      <c r="AQ55" s="11" t="e">
        <f>(#REF!-#REF!)*'[1]功能-付费相关'!CE57/节奏总纲!AA55</f>
        <v>#REF!</v>
      </c>
      <c r="AS55" s="11">
        <f>('[1]资源-装备经验'!C57-'[1]资源-装备经验'!C56)*'[1]功能-付费相关'!BI57/节奏总纲!W55</f>
        <v>1093.788455421125</v>
      </c>
      <c r="AT55" s="11">
        <f>('[1]资源-装备经验'!D57-'[1]资源-装备经验'!D56)*'[1]功能-付费相关'!BJ57/节奏总纲!X55</f>
        <v>1585.3434771113032</v>
      </c>
      <c r="AU55" s="11">
        <f>('[1]资源-装备经验'!E57-'[1]资源-装备经验'!E56)*'[1]功能-付费相关'!BK57/节奏总纲!Y55</f>
        <v>1892.7046770041286</v>
      </c>
      <c r="AV55" s="11">
        <f>('[1]资源-装备经验'!F57-'[1]资源-装备经验'!F56)*'[1]功能-付费相关'!BL57/节奏总纲!Z55</f>
        <v>2231.1088560555309</v>
      </c>
      <c r="AW55" s="11">
        <f>('[1]资源-装备经验'!G57-'[1]资源-装备经验'!G56)*'[1]功能-付费相关'!BM57/节奏总纲!AA55</f>
        <v>2504.4472499293229</v>
      </c>
      <c r="AY55" s="11">
        <f>('[1]资源-武将经验'!C57*节奏总纲!BJ55-'[1]资源-武将经验'!C56*节奏总纲!BJ54)*'[1]功能-付费相关'!AZ57/节奏总纲!W55</f>
        <v>4572.3213130520198</v>
      </c>
      <c r="AZ55" s="11">
        <f>('[1]资源-武将经验'!D57*节奏总纲!BK55-'[1]资源-武将经验'!D56*节奏总纲!BK54)*'[1]功能-付费相关'!BA57/节奏总纲!X55</f>
        <v>5705.6710640701749</v>
      </c>
      <c r="BA55" s="11">
        <f>('[1]资源-武将经验'!E57*节奏总纲!BL55-'[1]资源-武将经验'!E56*节奏总纲!BL54)*'[1]功能-付费相关'!BB57/节奏总纲!Y55</f>
        <v>6681.7895034138073</v>
      </c>
      <c r="BB55" s="11">
        <f>('[1]资源-武将经验'!F57*节奏总纲!BM55-'[1]资源-武将经验'!F56*节奏总纲!BM54)*'[1]功能-付费相关'!BC57/节奏总纲!Z55</f>
        <v>14780.934977342646</v>
      </c>
      <c r="BC55" s="11">
        <f>('[1]资源-武将经验'!G57*节奏总纲!BN55-'[1]资源-武将经验'!G56*节奏总纲!BN54)*'[1]功能-付费相关'!BD57/节奏总纲!AA55</f>
        <v>29778.0099401921</v>
      </c>
      <c r="BD55" s="33"/>
      <c r="BE55" s="30" t="e">
        <f t="shared" si="4"/>
        <v>#REF!</v>
      </c>
      <c r="BF55" s="30" t="e">
        <f t="shared" si="5"/>
        <v>#REF!</v>
      </c>
      <c r="BG55" s="30" t="e">
        <f t="shared" si="6"/>
        <v>#REF!</v>
      </c>
      <c r="BH55" s="30" t="e">
        <f t="shared" si="7"/>
        <v>#REF!</v>
      </c>
      <c r="BI55" s="30" t="e">
        <f t="shared" si="8"/>
        <v>#REF!</v>
      </c>
    </row>
    <row r="56" spans="2:61" x14ac:dyDescent="0.15">
      <c r="B56" s="31">
        <v>53</v>
      </c>
      <c r="C56" s="11">
        <f>('[1]资源-玩家城池建筑时间'!D58-'[1]资源-玩家城池建筑时间'!D57)*'[1]功能-付费相关'!AH58/节奏总纲!W56</f>
        <v>2395.9659369272181</v>
      </c>
      <c r="D56" s="11">
        <f>('[1]资源-玩家城池建筑时间'!E58-'[1]资源-玩家城池建筑时间'!E57)*'[1]功能-付费相关'!AI58/节奏总纲!X56</f>
        <v>2727.2459813161267</v>
      </c>
      <c r="E56" s="11">
        <f>('[1]资源-玩家城池建筑时间'!F58-'[1]资源-玩家城池建筑时间'!F57)*'[1]功能-付费相关'!AJ58/节奏总纲!Y56</f>
        <v>3146.3491141369486</v>
      </c>
      <c r="F56" s="11">
        <f>('[1]资源-玩家城池建筑时间'!G58-'[1]资源-玩家城池建筑时间'!G57)*'[1]功能-付费相关'!AK58/节奏总纲!Z56</f>
        <v>3989.3110276620923</v>
      </c>
      <c r="G56" s="11">
        <f>('[1]资源-玩家城池建筑时间'!H58-'[1]资源-玩家城池建筑时间'!H57)*'[1]功能-付费相关'!AL58/节奏总纲!AA56</f>
        <v>4803.5815548851397</v>
      </c>
      <c r="I56" s="31">
        <f>('[1]资源-士兵训练时间'!C58-'[1]资源-士兵训练时间'!C57)*'[1]功能-付费相关'!AH58/节奏总纲!W56</f>
        <v>920.22442594993265</v>
      </c>
      <c r="J56" s="31">
        <f>('[1]资源-士兵训练时间'!D58-'[1]资源-士兵训练时间'!D57)*'[1]功能-付费相关'!AI58/节奏总纲!X56</f>
        <v>914.8865422782859</v>
      </c>
      <c r="K56" s="31">
        <f>('[1]资源-士兵训练时间'!E58-'[1]资源-士兵训练时间'!E57)*'[1]功能-付费相关'!AJ58/节奏总纲!Y56</f>
        <v>931.12275126884799</v>
      </c>
      <c r="L56" s="31">
        <f>('[1]资源-士兵训练时间'!F58-'[1]资源-士兵训练时间'!F57)*'[1]功能-付费相关'!AK58/节奏总纲!Z56</f>
        <v>967.06248065044804</v>
      </c>
      <c r="M56" s="31">
        <f>('[1]资源-士兵训练时间'!G58-'[1]资源-士兵训练时间'!G57)*'[1]功能-付费相关'!AL58/节奏总纲!AA56</f>
        <v>1157.7330816493748</v>
      </c>
      <c r="O56" s="11">
        <f>('[1]资源-士兵招募时间'!D58-'[1]资源-士兵招募时间'!D57)*'[1]功能-付费相关'!AH58/节奏总纲!W56</f>
        <v>1773.5941952814596</v>
      </c>
      <c r="P56" s="11">
        <f>('[1]资源-士兵招募时间'!E58-'[1]资源-士兵招募时间'!E57)*'[1]功能-付费相关'!AI58/节奏总纲!X56</f>
        <v>1963.2662717810736</v>
      </c>
      <c r="Q56" s="11">
        <f>('[1]资源-士兵招募时间'!F58-'[1]资源-士兵招募时间'!F57)*'[1]功能-付费相关'!AJ58/节奏总纲!Y56</f>
        <v>2172.2630290818911</v>
      </c>
      <c r="R56" s="11">
        <f>('[1]资源-士兵招募时间'!G58-'[1]资源-士兵招募时间'!G57)*'[1]功能-付费相关'!AK58/节奏总纲!Z56</f>
        <v>2565.3748926583926</v>
      </c>
      <c r="S56" s="11">
        <f>('[1]资源-士兵招募时间'!H58-'[1]资源-士兵招募时间'!H57)*'[1]功能-付费相关'!AL58/节奏总纲!AA56</f>
        <v>3060.9361560644029</v>
      </c>
      <c r="U56" s="31">
        <f>('[1]资源-木石铜粮'!C58-'[1]资源-木石铜粮'!C57)*'[1]功能-付费相关'!S58/节奏总纲!W56</f>
        <v>1740.7384183881675</v>
      </c>
      <c r="V56" s="31">
        <f>('[1]资源-木石铜粮'!D58-'[1]资源-木石铜粮'!D57)*'[1]功能-付费相关'!T58/节奏总纲!X56</f>
        <v>1835.0043379826634</v>
      </c>
      <c r="W56" s="31">
        <f>('[1]资源-木石铜粮'!E58-'[1]资源-木石铜粮'!E57)*'[1]功能-付费相关'!U58/节奏总纲!Y56</f>
        <v>1976.4441213502098</v>
      </c>
      <c r="X56" s="31">
        <f>('[1]资源-木石铜粮'!F58-'[1]资源-木石铜粮'!F57)*'[1]功能-付费相关'!V58/节奏总纲!Z56</f>
        <v>2086.4007730082521</v>
      </c>
      <c r="Y56" s="31">
        <f>('[1]资源-木石铜粮'!G58-'[1]资源-木石铜粮'!G57)*'[1]功能-付费相关'!W58/节奏总纲!AA56</f>
        <v>2551.0236865300494</v>
      </c>
      <c r="AA56" s="11">
        <f>('[1]资源-铁'!C58-'[1]资源-铁'!C57)*'[1]功能-付费相关'!X58/节奏总纲!W56</f>
        <v>330.25810774554589</v>
      </c>
      <c r="AB56" s="11">
        <f>('[1]资源-铁'!D58-'[1]资源-铁'!D57)*'[1]功能-付费相关'!Y58/节奏总纲!X56</f>
        <v>403.38136956717238</v>
      </c>
      <c r="AC56" s="11">
        <f>('[1]资源-铁'!E58-'[1]资源-铁'!E57)*'[1]功能-付费相关'!Z58/节奏总纲!Y56</f>
        <v>449.80320563406235</v>
      </c>
      <c r="AD56" s="11">
        <f>('[1]资源-铁'!F58-'[1]资源-铁'!F57)*'[1]功能-付费相关'!AA58/节奏总纲!Z56</f>
        <v>520.44702413007792</v>
      </c>
      <c r="AE56" s="11">
        <f>('[1]资源-铁'!G58-'[1]资源-铁'!G57)*'[1]功能-付费相关'!AB58/节奏总纲!AA56</f>
        <v>733.74528988903216</v>
      </c>
      <c r="AG56" s="11">
        <f>('[1]资源-银币'!C58-'[1]资源-银币'!C57)*'[1]功能-付费相关'!AQ58/节奏总纲!W56</f>
        <v>865.64787129173817</v>
      </c>
      <c r="AH56" s="11">
        <f>('[1]资源-银币'!D58-'[1]资源-银币'!D57)*'[1]功能-付费相关'!AR58/节奏总纲!X56</f>
        <v>865.43682976189382</v>
      </c>
      <c r="AI56" s="11">
        <f>('[1]资源-银币'!E58-'[1]资源-银币'!E57)*'[1]功能-付费相关'!AS58/节奏总纲!Y56</f>
        <v>910.49025691436918</v>
      </c>
      <c r="AJ56" s="11">
        <f>('[1]资源-银币'!F58-'[1]资源-银币'!F57)*'[1]功能-付费相关'!AT58/节奏总纲!Z56</f>
        <v>975.71594697743956</v>
      </c>
      <c r="AK56" s="11">
        <f>('[1]资源-银币'!G58-'[1]资源-银币'!G57)*'[1]功能-付费相关'!AU58/节奏总纲!AA56</f>
        <v>1304.0918895836314</v>
      </c>
      <c r="AM56" s="11" t="e">
        <f>(#REF!-#REF!)*'[1]功能-付费相关'!CA58/节奏总纲!W56</f>
        <v>#REF!</v>
      </c>
      <c r="AN56" s="11" t="e">
        <f>(#REF!-#REF!)*'[1]功能-付费相关'!CB58/节奏总纲!X56</f>
        <v>#REF!</v>
      </c>
      <c r="AO56" s="11" t="e">
        <f>(#REF!-#REF!)*'[1]功能-付费相关'!CC58/节奏总纲!Y56</f>
        <v>#REF!</v>
      </c>
      <c r="AP56" s="11" t="e">
        <f>(#REF!-#REF!)*'[1]功能-付费相关'!CD58/节奏总纲!Z56</f>
        <v>#REF!</v>
      </c>
      <c r="AQ56" s="11" t="e">
        <f>(#REF!-#REF!)*'[1]功能-付费相关'!CE58/节奏总纲!AA56</f>
        <v>#REF!</v>
      </c>
      <c r="AS56" s="11">
        <f>('[1]资源-装备经验'!C58-'[1]资源-装备经验'!C57)*'[1]功能-付费相关'!BI58/节奏总纲!W56</f>
        <v>1051.3592305164714</v>
      </c>
      <c r="AT56" s="11">
        <f>('[1]资源-装备经验'!D58-'[1]资源-装备经验'!D57)*'[1]功能-付费相关'!BJ58/节奏总纲!X56</f>
        <v>1368.4076877706561</v>
      </c>
      <c r="AU56" s="11">
        <f>('[1]资源-装备经验'!E58-'[1]资源-装备经验'!E57)*'[1]功能-付费相关'!BK58/节奏总纲!Y56</f>
        <v>1841.9724770389594</v>
      </c>
      <c r="AV56" s="11">
        <f>('[1]资源-装备经验'!F58-'[1]资源-装备经验'!F57)*'[1]功能-付费相关'!BL58/节奏总纲!Z56</f>
        <v>2228.4041223203976</v>
      </c>
      <c r="AW56" s="11">
        <f>('[1]资源-装备经验'!G58-'[1]资源-装备经验'!G57)*'[1]功能-付费相关'!BM58/节奏总纲!AA56</f>
        <v>2837.7830680864777</v>
      </c>
      <c r="AY56" s="11">
        <f>('[1]资源-武将经验'!C58*节奏总纲!BJ56-'[1]资源-武将经验'!C57*节奏总纲!BJ55)*'[1]功能-付费相关'!AZ58/节奏总纲!W56</f>
        <v>4444.8437579534348</v>
      </c>
      <c r="AZ56" s="11">
        <f>('[1]资源-武将经验'!D58*节奏总纲!BK56-'[1]资源-武将经验'!D57*节奏总纲!BK55)*'[1]功能-付费相关'!BA58/节奏总纲!X56</f>
        <v>5198.7854770256372</v>
      </c>
      <c r="BA56" s="11">
        <f>('[1]资源-武将经验'!E58*节奏总纲!BL56-'[1]资源-武将经验'!E57*节奏总纲!BL55)*'[1]功能-付费相关'!BB58/节奏总纲!Y56</f>
        <v>6704.1008612439782</v>
      </c>
      <c r="BB56" s="11">
        <f>('[1]资源-武将经验'!F58*节奏总纲!BM56-'[1]资源-武将经验'!F57*节奏总纲!BM55)*'[1]功能-付费相关'!BC58/节奏总纲!Z56</f>
        <v>16747.544276786219</v>
      </c>
      <c r="BC56" s="11">
        <f>('[1]资源-武将经验'!G58*节奏总纲!BN56-'[1]资源-武将经验'!G57*节奏总纲!BN55)*'[1]功能-付费相关'!BD58/节奏总纲!AA56</f>
        <v>39305.021699697616</v>
      </c>
      <c r="BD56" s="33"/>
      <c r="BE56" s="30" t="e">
        <f t="shared" si="4"/>
        <v>#REF!</v>
      </c>
      <c r="BF56" s="30" t="e">
        <f t="shared" si="5"/>
        <v>#REF!</v>
      </c>
      <c r="BG56" s="30" t="e">
        <f t="shared" si="6"/>
        <v>#REF!</v>
      </c>
      <c r="BH56" s="30" t="e">
        <f t="shared" si="7"/>
        <v>#REF!</v>
      </c>
      <c r="BI56" s="30" t="e">
        <f t="shared" si="8"/>
        <v>#REF!</v>
      </c>
    </row>
    <row r="57" spans="2:61" x14ac:dyDescent="0.15">
      <c r="B57" s="31">
        <v>54</v>
      </c>
      <c r="C57" s="11">
        <f>('[1]资源-玩家城池建筑时间'!D59-'[1]资源-玩家城池建筑时间'!D58)*'[1]功能-付费相关'!AH59/节奏总纲!W57</f>
        <v>2309.0564652327353</v>
      </c>
      <c r="D57" s="11">
        <f>('[1]资源-玩家城池建筑时间'!E59-'[1]资源-玩家城池建筑时间'!E58)*'[1]功能-付费相关'!AI59/节奏总纲!X57</f>
        <v>2675.1612460950946</v>
      </c>
      <c r="E57" s="11">
        <f>('[1]资源-玩家城池建筑时间'!F59-'[1]资源-玩家城池建筑时间'!F58)*'[1]功能-付费相关'!AJ59/节奏总纲!Y57</f>
        <v>3133.2383136680482</v>
      </c>
      <c r="F57" s="11">
        <f>('[1]资源-玩家城池建筑时间'!G59-'[1]资源-玩家城池建筑时间'!G58)*'[1]功能-付费相关'!AK59/节奏总纲!Z57</f>
        <v>4248.7113165978508</v>
      </c>
      <c r="G57" s="11">
        <f>('[1]资源-玩家城池建筑时间'!H59-'[1]资源-玩家城池建筑时间'!H58)*'[1]功能-付费相关'!AL59/节奏总纲!AA57</f>
        <v>4965.5811517511174</v>
      </c>
      <c r="I57" s="31">
        <f>('[1]资源-士兵训练时间'!C59-'[1]资源-士兵训练时间'!C58)*'[1]功能-付费相关'!AH59/节奏总纲!W57</f>
        <v>890.24807040119219</v>
      </c>
      <c r="J57" s="31">
        <f>('[1]资源-士兵训练时间'!D59-'[1]资源-士兵训练时间'!D58)*'[1]功能-付费相关'!AI59/节奏总纲!X57</f>
        <v>895.77013298802638</v>
      </c>
      <c r="K57" s="31">
        <f>('[1]资源-士兵训练时间'!E59-'[1]资源-士兵训练时间'!E58)*'[1]功能-付费相关'!AJ59/节奏总纲!Y57</f>
        <v>926.28103701631653</v>
      </c>
      <c r="L57" s="31">
        <f>('[1]资源-士兵训练时间'!F59-'[1]资源-士兵训练时间'!F58)*'[1]功能-付费相关'!AK59/节奏总纲!Z57</f>
        <v>1031.6226321247204</v>
      </c>
      <c r="M57" s="31">
        <f>('[1]资源-士兵训练时间'!G59-'[1]资源-士兵训练时间'!G58)*'[1]功能-付费相关'!AL59/节奏总纲!AA57</f>
        <v>1200.1505654457305</v>
      </c>
      <c r="O57" s="11">
        <f>('[1]资源-士兵招募时间'!D59-'[1]资源-士兵招募时间'!D58)*'[1]功能-付费相关'!AH59/节奏总纲!W57</f>
        <v>1737.8572365227178</v>
      </c>
      <c r="P57" s="11">
        <f>('[1]资源-士兵招募时间'!E59-'[1]资源-士兵招募时间'!E58)*'[1]功能-付费相关'!AI59/节奏总纲!X57</f>
        <v>1926.3914510798381</v>
      </c>
      <c r="Q57" s="11">
        <f>('[1]资源-士兵招募时间'!F59-'[1]资源-士兵招募时间'!F58)*'[1]功能-付费相关'!AJ59/节奏总纲!Y57</f>
        <v>2139.781216365122</v>
      </c>
      <c r="R57" s="11">
        <f>('[1]资源-士兵招募时间'!G59-'[1]资源-士兵招募时间'!G58)*'[1]功能-付费相关'!AK59/节奏总纲!Z57</f>
        <v>2592.6147177443104</v>
      </c>
      <c r="S57" s="11">
        <f>('[1]资源-士兵招募时间'!H59-'[1]资源-士兵招募时间'!H58)*'[1]功能-付费相关'!AL59/节奏总纲!AA57</f>
        <v>3050.7301663201392</v>
      </c>
      <c r="U57" s="31">
        <f>('[1]资源-木石铜粮'!C59-'[1]资源-木石铜粮'!C58)*'[1]功能-付费相关'!S59/节奏总纲!W57</f>
        <v>1681.4184466453457</v>
      </c>
      <c r="V57" s="31">
        <f>('[1]资源-木石铜粮'!D59-'[1]资源-木石铜粮'!D58)*'[1]功能-付费相关'!T59/节奏总纲!X57</f>
        <v>1776.7753102444747</v>
      </c>
      <c r="W57" s="31">
        <f>('[1]资源-木石铜粮'!E59-'[1]资源-木石铜粮'!E58)*'[1]功能-付费相关'!U59/节奏总纲!Y57</f>
        <v>1943.3193937166641</v>
      </c>
      <c r="X57" s="31">
        <f>('[1]资源-木石铜粮'!F59-'[1]资源-木石铜粮'!F58)*'[1]功能-付费相关'!V59/节奏总纲!Z57</f>
        <v>2136.8816643203527</v>
      </c>
      <c r="Y57" s="31">
        <f>('[1]资源-木石铜粮'!G59-'[1]资源-木石铜粮'!G58)*'[1]功能-付费相关'!W59/节奏总纲!AA57</f>
        <v>2542.7138918601931</v>
      </c>
      <c r="AA57" s="11">
        <f>('[1]资源-铁'!C59-'[1]资源-铁'!C58)*'[1]功能-付费相关'!X59/节奏总纲!W57</f>
        <v>415.99395387444218</v>
      </c>
      <c r="AB57" s="11">
        <f>('[1]资源-铁'!D59-'[1]资源-铁'!D58)*'[1]功能-付费相关'!Y59/节奏总纲!X57</f>
        <v>449.13046614307922</v>
      </c>
      <c r="AC57" s="11">
        <f>('[1]资源-铁'!E59-'[1]资源-铁'!E58)*'[1]功能-付费相关'!Z59/节奏总纲!Y57</f>
        <v>506.30508661383766</v>
      </c>
      <c r="AD57" s="11">
        <f>('[1]资源-铁'!F59-'[1]资源-铁'!F58)*'[1]功能-付费相关'!AA59/节奏总纲!Z57</f>
        <v>690.34805086038148</v>
      </c>
      <c r="AE57" s="11">
        <f>('[1]资源-铁'!G59-'[1]资源-铁'!G58)*'[1]功能-付费相关'!AB59/节奏总纲!AA57</f>
        <v>808.72385143880115</v>
      </c>
      <c r="AG57" s="11">
        <f>('[1]资源-银币'!C59-'[1]资源-银币'!C58)*'[1]功能-付费相关'!AQ59/节奏总纲!W57</f>
        <v>833.89551991110579</v>
      </c>
      <c r="AH57" s="11">
        <f>('[1]资源-银币'!D59-'[1]资源-银币'!D58)*'[1]功能-付费相关'!AR59/节奏总纲!X57</f>
        <v>869.22336869569449</v>
      </c>
      <c r="AI57" s="11">
        <f>('[1]资源-银币'!E59-'[1]资源-银币'!E58)*'[1]功能-付费相关'!AS59/节奏总纲!Y57</f>
        <v>932.08214487307498</v>
      </c>
      <c r="AJ57" s="11">
        <f>('[1]资源-银币'!F59-'[1]资源-银币'!F58)*'[1]功能-付费相关'!AT59/节奏总纲!Z57</f>
        <v>1121.8580258511563</v>
      </c>
      <c r="AK57" s="11">
        <f>('[1]资源-银币'!G59-'[1]资源-银币'!G58)*'[1]功能-付费相关'!AU59/节奏总纲!AA57</f>
        <v>1427.5866500820816</v>
      </c>
      <c r="AM57" s="11" t="e">
        <f>(#REF!-#REF!)*'[1]功能-付费相关'!CA59/节奏总纲!W57</f>
        <v>#REF!</v>
      </c>
      <c r="AN57" s="11" t="e">
        <f>(#REF!-#REF!)*'[1]功能-付费相关'!CB59/节奏总纲!X57</f>
        <v>#REF!</v>
      </c>
      <c r="AO57" s="11" t="e">
        <f>(#REF!-#REF!)*'[1]功能-付费相关'!CC59/节奏总纲!Y57</f>
        <v>#REF!</v>
      </c>
      <c r="AP57" s="11" t="e">
        <f>(#REF!-#REF!)*'[1]功能-付费相关'!CD59/节奏总纲!Z57</f>
        <v>#REF!</v>
      </c>
      <c r="AQ57" s="11" t="e">
        <f>(#REF!-#REF!)*'[1]功能-付费相关'!CE59/节奏总纲!AA57</f>
        <v>#REF!</v>
      </c>
      <c r="AS57" s="11">
        <f>('[1]资源-装备经验'!C59-'[1]资源-装备经验'!C58)*'[1]功能-付费相关'!BI59/节奏总纲!W57</f>
        <v>1013.2881386426864</v>
      </c>
      <c r="AT57" s="11">
        <f>('[1]资源-装备经验'!D59-'[1]资源-装备经验'!D58)*'[1]功能-付费相关'!BJ59/节奏总纲!X57</f>
        <v>1384.9124825006895</v>
      </c>
      <c r="AU57" s="11">
        <f>('[1]资源-装备经验'!E59-'[1]资源-装备经验'!E58)*'[1]功能-付费相关'!BK59/节奏总纲!Y57</f>
        <v>1995.7800017638533</v>
      </c>
      <c r="AV57" s="11">
        <f>('[1]资源-装备经验'!F59-'[1]资源-装备经验'!F58)*'[1]功能-付费相关'!BL59/节奏总纲!Z57</f>
        <v>2821.2027732395113</v>
      </c>
      <c r="AW57" s="11">
        <f>('[1]资源-装备经验'!G59-'[1]资源-装备经验'!G58)*'[1]功能-付费相关'!BM59/节奏总纲!AA57</f>
        <v>3047.4294899108809</v>
      </c>
      <c r="AY57" s="11">
        <f>('[1]资源-武将经验'!C59*节奏总纲!BJ57-'[1]资源-武将经验'!C58*节奏总纲!BJ56)*'[1]功能-付费相关'!AZ59/节奏总纲!W57</f>
        <v>4325.9468937363426</v>
      </c>
      <c r="AZ57" s="11">
        <f>('[1]资源-武将经验'!D59*节奏总纲!BK57-'[1]资源-武将经验'!D58*节奏总纲!BK56)*'[1]功能-付费相关'!BA59/节奏总纲!X57</f>
        <v>5751.758567050766</v>
      </c>
      <c r="BA57" s="11">
        <f>('[1]资源-武将经验'!E59*节奏总纲!BL57-'[1]资源-武将经验'!E58*节奏总纲!BL56)*'[1]功能-付费相关'!BB59/节奏总纲!Y57</f>
        <v>8336.9703975366865</v>
      </c>
      <c r="BB57" s="11">
        <f>('[1]资源-武将经验'!F59*节奏总纲!BM57-'[1]资源-武将经验'!F58*节奏总纲!BM56)*'[1]功能-付费相关'!BC59/节奏总纲!Z57</f>
        <v>23594.456058996788</v>
      </c>
      <c r="BC57" s="11">
        <f>('[1]资源-武将经验'!G59*节奏总纲!BN57-'[1]资源-武将经验'!G58*节奏总纲!BN56)*'[1]功能-付费相关'!BD59/节奏总纲!AA57</f>
        <v>43383.215751620337</v>
      </c>
      <c r="BD57" s="33"/>
      <c r="BE57" s="30" t="e">
        <f t="shared" si="4"/>
        <v>#REF!</v>
      </c>
      <c r="BF57" s="30" t="e">
        <f t="shared" si="5"/>
        <v>#REF!</v>
      </c>
      <c r="BG57" s="30" t="e">
        <f t="shared" si="6"/>
        <v>#REF!</v>
      </c>
      <c r="BH57" s="30" t="e">
        <f t="shared" si="7"/>
        <v>#REF!</v>
      </c>
      <c r="BI57" s="30" t="e">
        <f t="shared" si="8"/>
        <v>#REF!</v>
      </c>
    </row>
    <row r="58" spans="2:61" x14ac:dyDescent="0.15">
      <c r="B58" s="31">
        <v>55</v>
      </c>
      <c r="C58" s="11">
        <f>('[1]资源-玩家城池建筑时间'!D60-'[1]资源-玩家城池建筑时间'!D59)*'[1]功能-付费相关'!AH60/节奏总纲!W58</f>
        <v>2241.6343081512314</v>
      </c>
      <c r="D58" s="11">
        <f>('[1]资源-玩家城池建筑时间'!E60-'[1]资源-玩家城池建筑时间'!E59)*'[1]功能-付费相关'!AI60/节奏总纲!X58</f>
        <v>2647.5272511011804</v>
      </c>
      <c r="E58" s="11">
        <f>('[1]资源-玩家城池建筑时间'!F60-'[1]资源-玩家城池建筑时间'!F59)*'[1]功能-付费相关'!AJ60/节奏总纲!Y58</f>
        <v>3084.3318474147436</v>
      </c>
      <c r="F58" s="11">
        <f>('[1]资源-玩家城池建筑时间'!G60-'[1]资源-玩家城池建筑时间'!G59)*'[1]功能-付费相关'!AK60/节奏总纲!Z58</f>
        <v>4239.8267579479007</v>
      </c>
      <c r="G58" s="11">
        <f>('[1]资源-玩家城池建筑时间'!H60-'[1]资源-玩家城池建筑时间'!H59)*'[1]功能-付费相关'!AL60/节奏总纲!AA58</f>
        <v>5167.1252956306862</v>
      </c>
      <c r="I58" s="31">
        <f>('[1]资源-士兵训练时间'!C60-'[1]资源-士兵训练时间'!C59)*'[1]功能-付费相关'!AH60/节奏总纲!W58</f>
        <v>864.75653382665496</v>
      </c>
      <c r="J58" s="31">
        <f>('[1]资源-士兵训练时间'!D60-'[1]资源-士兵训练时间'!D59)*'[1]功能-付费相关'!AI60/节奏总纲!X58</f>
        <v>884.50230908479659</v>
      </c>
      <c r="K58" s="31">
        <f>('[1]资源-士兵训练时间'!E60-'[1]资源-士兵训练时间'!E59)*'[1]功能-付费相关'!AJ60/节奏总纲!Y58</f>
        <v>909.99124017756833</v>
      </c>
      <c r="L58" s="31">
        <f>('[1]资源-士兵训练时间'!F60-'[1]资源-士兵训练时间'!F59)*'[1]功能-付费相关'!AK60/节奏总纲!Z58</f>
        <v>1030.2231248542864</v>
      </c>
      <c r="M58" s="31">
        <f>('[1]资源-士兵训练时间'!G60-'[1]资源-士兵训练时间'!G59)*'[1]功能-付费相关'!AL60/节奏总纲!AA58</f>
        <v>1251.9228620297226</v>
      </c>
      <c r="O58" s="11">
        <f>('[1]资源-士兵招募时间'!D60-'[1]资源-士兵招募时间'!D59)*'[1]功能-付费相关'!AH60/节奏总纲!W58</f>
        <v>1713.152014555948</v>
      </c>
      <c r="P58" s="11">
        <f>('[1]资源-士兵招募时间'!E60-'[1]资源-士兵招募时间'!E59)*'[1]功能-付费相关'!AI60/节奏总纲!X58</f>
        <v>1894.3315371132953</v>
      </c>
      <c r="Q58" s="11">
        <f>('[1]资源-士兵招募时间'!F60-'[1]资源-士兵招募时间'!F59)*'[1]功能-付费相关'!AJ60/节奏总纲!Y58</f>
        <v>2095.5764319379173</v>
      </c>
      <c r="R58" s="11">
        <f>('[1]资源-士兵招募时间'!G60-'[1]资源-士兵招募时间'!G59)*'[1]功能-付费相关'!AK60/节奏总纲!Z58</f>
        <v>2553.6513324567645</v>
      </c>
      <c r="S58" s="11">
        <f>('[1]资源-士兵招募时间'!H60-'[1]资源-士兵招募时间'!H59)*'[1]功能-付费相关'!AL60/节奏总纲!AA58</f>
        <v>3051.3056465533932</v>
      </c>
      <c r="U58" s="31">
        <f>('[1]资源-木石铜粮'!C60-'[1]资源-木石铜粮'!C59)*'[1]功能-付费相关'!S60/节奏总纲!W58</f>
        <v>1618.1057375970809</v>
      </c>
      <c r="V58" s="31">
        <f>('[1]资源-木石铜粮'!D60-'[1]资源-木石铜粮'!D59)*'[1]功能-付费相关'!T60/节奏总纲!X58</f>
        <v>1744.7621141465363</v>
      </c>
      <c r="W58" s="31">
        <f>('[1]资源-木石铜粮'!E60-'[1]资源-木石铜粮'!E59)*'[1]功能-付费相关'!U60/节奏总纲!Y58</f>
        <v>1887.5737055227814</v>
      </c>
      <c r="X58" s="31">
        <f>('[1]资源-木石铜粮'!F60-'[1]资源-木石铜粮'!F59)*'[1]功能-付费相关'!V60/节奏总纲!Z58</f>
        <v>2098.4625542199524</v>
      </c>
      <c r="Y58" s="31">
        <f>('[1]资源-木石铜粮'!G60-'[1]资源-木石铜粮'!G59)*'[1]功能-付费相关'!W60/节奏总纲!AA58</f>
        <v>2474.5410939720564</v>
      </c>
      <c r="AA58" s="11">
        <f>('[1]资源-铁'!C60-'[1]资源-铁'!C59)*'[1]功能-付费相关'!X60/节奏总纲!W58</f>
        <v>453.47610090211447</v>
      </c>
      <c r="AB58" s="11">
        <f>('[1]资源-铁'!D60-'[1]资源-铁'!D59)*'[1]功能-付费相关'!Y60/节奏总纲!X58</f>
        <v>494.39758300077312</v>
      </c>
      <c r="AC58" s="11">
        <f>('[1]资源-铁'!E60-'[1]资源-铁'!E59)*'[1]功能-付费相关'!Z60/节奏总纲!Y58</f>
        <v>534.44597474590375</v>
      </c>
      <c r="AD58" s="11">
        <f>('[1]资源-铁'!F60-'[1]资源-铁'!F59)*'[1]功能-付费相关'!AA60/节奏总纲!Z58</f>
        <v>740.92987676940334</v>
      </c>
      <c r="AE58" s="11">
        <f>('[1]资源-铁'!G60-'[1]资源-铁'!G59)*'[1]功能-付费相关'!AB60/节奏总纲!AA58</f>
        <v>797.63462785003139</v>
      </c>
      <c r="AG58" s="11">
        <f>('[1]资源-银币'!C60-'[1]资源-银币'!C59)*'[1]功能-付费相关'!AQ60/节奏总纲!W58</f>
        <v>817.01855147619449</v>
      </c>
      <c r="AH58" s="11">
        <f>('[1]资源-银币'!D60-'[1]资源-银币'!D59)*'[1]功能-付费相关'!AR60/节奏总纲!X58</f>
        <v>865.60019675881188</v>
      </c>
      <c r="AI58" s="11">
        <f>('[1]资源-银币'!E60-'[1]资源-银币'!E59)*'[1]功能-付费相关'!AS60/节奏总纲!Y58</f>
        <v>935.01665695425504</v>
      </c>
      <c r="AJ58" s="11">
        <f>('[1]资源-银币'!F60-'[1]资源-银币'!F59)*'[1]功能-付费相关'!AT60/节奏总纲!Z58</f>
        <v>1145.8863202012838</v>
      </c>
      <c r="AK58" s="11">
        <f>('[1]资源-银币'!G60-'[1]资源-银币'!G59)*'[1]功能-付费相关'!AU60/节奏总纲!AA58</f>
        <v>1550.2078432638521</v>
      </c>
      <c r="AM58" s="11" t="e">
        <f>(#REF!-#REF!)*'[1]功能-付费相关'!CA60/节奏总纲!W58</f>
        <v>#REF!</v>
      </c>
      <c r="AN58" s="11" t="e">
        <f>(#REF!-#REF!)*'[1]功能-付费相关'!CB60/节奏总纲!X58</f>
        <v>#REF!</v>
      </c>
      <c r="AO58" s="11" t="e">
        <f>(#REF!-#REF!)*'[1]功能-付费相关'!CC60/节奏总纲!Y58</f>
        <v>#REF!</v>
      </c>
      <c r="AP58" s="11" t="e">
        <f>(#REF!-#REF!)*'[1]功能-付费相关'!CD60/节奏总纲!Z58</f>
        <v>#REF!</v>
      </c>
      <c r="AQ58" s="11" t="e">
        <f>(#REF!-#REF!)*'[1]功能-付费相关'!CE60/节奏总纲!AA58</f>
        <v>#REF!</v>
      </c>
      <c r="AS58" s="11">
        <f>('[1]资源-装备经验'!C60-'[1]资源-装备经验'!C59)*'[1]功能-付费相关'!BI60/节奏总纲!W58</f>
        <v>977.61979110493564</v>
      </c>
      <c r="AT58" s="11">
        <f>('[1]资源-装备经验'!D60-'[1]资源-装备经验'!D59)*'[1]功能-付费相关'!BJ60/节奏总纲!X58</f>
        <v>1468.513887461698</v>
      </c>
      <c r="AU58" s="11">
        <f>('[1]资源-装备经验'!E60-'[1]资源-装备经验'!E59)*'[1]功能-付费相关'!BK60/节奏总纲!Y58</f>
        <v>2037.3377042944342</v>
      </c>
      <c r="AV58" s="11">
        <f>('[1]资源-装备经验'!F60-'[1]资源-装备经验'!F59)*'[1]功能-付费相关'!BL60/节奏总纲!Z58</f>
        <v>2945.8051784209492</v>
      </c>
      <c r="AW58" s="11">
        <f>('[1]资源-装备经验'!G60-'[1]资源-装备经验'!G59)*'[1]功能-付费相关'!BM60/节奏总纲!AA58</f>
        <v>3051.0101523947837</v>
      </c>
      <c r="AY58" s="11">
        <f>('[1]资源-武将经验'!C60*节奏总纲!BJ58-'[1]资源-武将经验'!C59*节奏总纲!BJ57)*'[1]功能-付费相关'!AZ60/节奏总纲!W58</f>
        <v>4989.6959538681594</v>
      </c>
      <c r="AZ58" s="11">
        <f>('[1]资源-武将经验'!D60*节奏总纲!BK58-'[1]资源-武将经验'!D59*节奏总纲!BK57)*'[1]功能-付费相关'!BA60/节奏总纲!X58</f>
        <v>6550.627338199587</v>
      </c>
      <c r="BA58" s="11">
        <f>('[1]资源-武将经验'!E60*节奏总纲!BL58-'[1]资源-武将经验'!E59*节奏总纲!BL57)*'[1]功能-付费相关'!BB60/节奏总纲!Y58</f>
        <v>8537.4201995974981</v>
      </c>
      <c r="BB58" s="11">
        <f>('[1]资源-武将经验'!F60*节奏总纲!BM58-'[1]资源-武将经验'!F59*节奏总纲!BM57)*'[1]功能-付费相关'!BC60/节奏总纲!Z58</f>
        <v>24662.875945874748</v>
      </c>
      <c r="BC58" s="11">
        <f>('[1]资源-武将经验'!G60*节奏总纲!BN58-'[1]资源-武将经验'!G59*节奏总纲!BN57)*'[1]功能-付费相关'!BD60/节奏总纲!AA58</f>
        <v>43312.640776160777</v>
      </c>
      <c r="BD58" s="33"/>
      <c r="BE58" s="30" t="e">
        <f t="shared" si="4"/>
        <v>#REF!</v>
      </c>
      <c r="BF58" s="30" t="e">
        <f t="shared" si="5"/>
        <v>#REF!</v>
      </c>
      <c r="BG58" s="30" t="e">
        <f t="shared" si="6"/>
        <v>#REF!</v>
      </c>
      <c r="BH58" s="30" t="e">
        <f t="shared" si="7"/>
        <v>#REF!</v>
      </c>
      <c r="BI58" s="30" t="e">
        <f t="shared" si="8"/>
        <v>#REF!</v>
      </c>
    </row>
    <row r="59" spans="2:61" x14ac:dyDescent="0.15">
      <c r="B59" s="31">
        <v>56</v>
      </c>
      <c r="C59" s="11">
        <f>('[1]资源-玩家城池建筑时间'!D61-'[1]资源-玩家城池建筑时间'!D60)*'[1]功能-付费相关'!AH61/节奏总纲!W59</f>
        <v>2163.1145192169229</v>
      </c>
      <c r="D59" s="11">
        <f>('[1]资源-玩家城池建筑时间'!E61-'[1]资源-玩家城池建筑时间'!E60)*'[1]功能-付费相关'!AI61/节奏总纲!X59</f>
        <v>2545.0309429233298</v>
      </c>
      <c r="E59" s="11">
        <f>('[1]资源-玩家城池建筑时间'!F61-'[1]资源-玩家城池建筑时间'!F60)*'[1]功能-付费相关'!AJ61/节奏总纲!Y59</f>
        <v>3154.832230541615</v>
      </c>
      <c r="F59" s="11">
        <f>('[1]资源-玩家城池建筑时间'!G61-'[1]资源-玩家城池建筑时间'!G60)*'[1]功能-付费相关'!AK61/节奏总纲!Z59</f>
        <v>4074.5351026516555</v>
      </c>
      <c r="G59" s="11">
        <f>('[1]资源-玩家城池建筑时间'!H61-'[1]资源-玩家城池建筑时间'!H60)*'[1]功能-付费相关'!AL61/节奏总纲!AA59</f>
        <v>4381.1644922631276</v>
      </c>
      <c r="I59" s="31">
        <f>('[1]资源-士兵训练时间'!C61-'[1]资源-士兵训练时间'!C60)*'[1]功能-付费相关'!AH61/节奏总纲!W59</f>
        <v>836.78622326861125</v>
      </c>
      <c r="J59" s="31">
        <f>('[1]资源-士兵训练时间'!D61-'[1]资源-士兵训练时间'!D60)*'[1]功能-付费相关'!AI61/节奏总纲!X59</f>
        <v>852.40773977946731</v>
      </c>
      <c r="K59" s="31">
        <f>('[1]资源-士兵训练时间'!E61-'[1]资源-士兵训练时间'!E60)*'[1]功能-付费相关'!AJ61/节奏总纲!Y59</f>
        <v>922.81626787139396</v>
      </c>
      <c r="L59" s="31">
        <f>('[1]资源-士兵训练时间'!F61-'[1]资源-士兵训练时间'!F60)*'[1]功能-付费相关'!AK61/节奏总纲!Z59</f>
        <v>989.5441750786656</v>
      </c>
      <c r="M59" s="31">
        <f>('[1]资源-士兵训练时间'!G61-'[1]资源-士兵训练时间'!G60)*'[1]功能-付费相关'!AL61/节奏总纲!AA59</f>
        <v>1058.40413726052</v>
      </c>
      <c r="O59" s="11">
        <f>('[1]资源-士兵招募时间'!D61-'[1]资源-士兵招募时间'!D60)*'[1]功能-付费相关'!AH61/节奏总纲!W59</f>
        <v>1672.7204081867269</v>
      </c>
      <c r="P59" s="11">
        <f>('[1]资源-士兵招募时间'!E61-'[1]资源-士兵招募时间'!E60)*'[1]功能-付费相关'!AI61/节奏总纲!X59</f>
        <v>1850.882916999122</v>
      </c>
      <c r="Q59" s="11">
        <f>('[1]资源-士兵招募时间'!F61-'[1]资源-士兵招募时间'!F60)*'[1]功能-付费相关'!AJ61/节奏总纲!Y59</f>
        <v>2078.921638660735</v>
      </c>
      <c r="R59" s="11">
        <f>('[1]资源-士兵招募时间'!G61-'[1]资源-士兵招募时间'!G60)*'[1]功能-付费相关'!AK61/节奏总纲!Z59</f>
        <v>2477.4456643136787</v>
      </c>
      <c r="S59" s="11">
        <f>('[1]资源-士兵招募时间'!H61-'[1]资源-士兵招募时间'!H60)*'[1]功能-付费相关'!AL61/节奏总纲!AA59</f>
        <v>2807.7255861580934</v>
      </c>
      <c r="U59" s="31">
        <f>('[1]资源-木石铜粮'!C61-'[1]资源-木石铜粮'!C60)*'[1]功能-付费相关'!S61/节奏总纲!W59</f>
        <v>1558.0168287977749</v>
      </c>
      <c r="V59" s="31">
        <f>('[1]资源-木石铜粮'!D61-'[1]资源-木石铜粮'!D60)*'[1]功能-付费相关'!T61/节奏总纲!X59</f>
        <v>1671.0790793212327</v>
      </c>
      <c r="W59" s="31">
        <f>('[1]资源-木石铜粮'!E61-'[1]资源-木石铜粮'!E60)*'[1]功能-付费相关'!U61/节奏总纲!Y59</f>
        <v>1877.7999760407458</v>
      </c>
      <c r="X59" s="31">
        <f>('[1]资源-木石铜粮'!F61-'[1]资源-木石铜粮'!F60)*'[1]功能-付费相关'!V61/节奏总纲!Z59</f>
        <v>1995.0841884023612</v>
      </c>
      <c r="Y59" s="31">
        <f>('[1]资源-木石铜粮'!G61-'[1]资源-木石铜粮'!G60)*'[1]功能-付费相关'!W61/节奏总纲!AA59</f>
        <v>2250.2611406066158</v>
      </c>
      <c r="AA59" s="11">
        <f>('[1]资源-铁'!C61-'[1]资源-铁'!C60)*'[1]功能-付费相关'!X61/节奏总纲!W59</f>
        <v>463.50610467210015</v>
      </c>
      <c r="AB59" s="11">
        <f>('[1]资源-铁'!D61-'[1]资源-铁'!D60)*'[1]功能-付费相关'!Y61/节奏总纲!X59</f>
        <v>492.87727481757764</v>
      </c>
      <c r="AC59" s="11">
        <f>('[1]资源-铁'!E61-'[1]资源-铁'!E60)*'[1]功能-付费相关'!Z61/节奏总纲!Y59</f>
        <v>609.13623605583871</v>
      </c>
      <c r="AD59" s="11">
        <f>('[1]资源-铁'!F61-'[1]资源-铁'!F60)*'[1]功能-付费相关'!AA61/节奏总纲!Z59</f>
        <v>698.50813647423342</v>
      </c>
      <c r="AE59" s="11">
        <f>('[1]资源-铁'!G61-'[1]资源-铁'!G60)*'[1]功能-付费相关'!AB61/节奏总纲!AA59</f>
        <v>559.60529737367131</v>
      </c>
      <c r="AG59" s="11">
        <f>('[1]资源-银币'!C61-'[1]资源-银币'!C60)*'[1]功能-付费相关'!AQ61/节奏总纲!W59</f>
        <v>791.83210680390732</v>
      </c>
      <c r="AH59" s="11">
        <f>('[1]资源-银币'!D61-'[1]资源-银币'!D60)*'[1]功能-付费相关'!AR61/节奏总纲!X59</f>
        <v>844.07752528521326</v>
      </c>
      <c r="AI59" s="11">
        <f>('[1]资源-银币'!E61-'[1]资源-银币'!E60)*'[1]功能-付费相关'!AS61/节奏总纲!Y59</f>
        <v>978.65577046815201</v>
      </c>
      <c r="AJ59" s="11">
        <f>('[1]资源-银币'!F61-'[1]资源-银币'!F60)*'[1]功能-付费相关'!AT61/节奏总纲!Z59</f>
        <v>1104.9897100301098</v>
      </c>
      <c r="AK59" s="11">
        <f>('[1]资源-银币'!G61-'[1]资源-银币'!G60)*'[1]功能-付费相关'!AU61/节奏总纲!AA59</f>
        <v>1189.3125293627741</v>
      </c>
      <c r="AM59" s="11" t="e">
        <f>(#REF!-#REF!)*'[1]功能-付费相关'!CA61/节奏总纲!W59</f>
        <v>#REF!</v>
      </c>
      <c r="AN59" s="11" t="e">
        <f>(#REF!-#REF!)*'[1]功能-付费相关'!CB61/节奏总纲!X59</f>
        <v>#REF!</v>
      </c>
      <c r="AO59" s="11" t="e">
        <f>(#REF!-#REF!)*'[1]功能-付费相关'!CC61/节奏总纲!Y59</f>
        <v>#REF!</v>
      </c>
      <c r="AP59" s="11" t="e">
        <f>(#REF!-#REF!)*'[1]功能-付费相关'!CD61/节奏总纲!Z59</f>
        <v>#REF!</v>
      </c>
      <c r="AQ59" s="11" t="e">
        <f>(#REF!-#REF!)*'[1]功能-付费相关'!CE61/节奏总纲!AA59</f>
        <v>#REF!</v>
      </c>
      <c r="AS59" s="11">
        <f>('[1]资源-装备经验'!C61-'[1]资源-装备经验'!C60)*'[1]功能-付费相关'!BI61/节奏总纲!W59</f>
        <v>946.27820473598865</v>
      </c>
      <c r="AT59" s="11">
        <f>('[1]资源-装备经验'!D61-'[1]资源-装备经验'!D60)*'[1]功能-付费相关'!BJ61/节奏总纲!X59</f>
        <v>1392.9874173286942</v>
      </c>
      <c r="AU59" s="11">
        <f>('[1]资源-装备经验'!E61-'[1]资源-装备经验'!E60)*'[1]功能-付费相关'!BK61/节奏总纲!Y59</f>
        <v>2265.164763044525</v>
      </c>
      <c r="AV59" s="11">
        <f>('[1]资源-装备经验'!F61-'[1]资源-装备经验'!F60)*'[1]功能-付费相关'!BL61/节奏总纲!Z59</f>
        <v>2687.8114746781489</v>
      </c>
      <c r="AW59" s="11">
        <f>('[1]资源-装备经验'!G61-'[1]资源-装备经验'!G60)*'[1]功能-付费相关'!BM61/节奏总纲!AA59</f>
        <v>2494.490104979529</v>
      </c>
      <c r="AY59" s="11">
        <f>('[1]资源-武将经验'!C61*节奏总纲!BJ59-'[1]资源-武将经验'!C60*节奏总纲!BJ58)*'[1]功能-付费相关'!AZ61/节奏总纲!W59</f>
        <v>4798.9407970376014</v>
      </c>
      <c r="AZ59" s="11">
        <f>('[1]资源-武将经验'!D61*节奏总纲!BK59-'[1]资源-武将经验'!D60*节奏总纲!BK58)*'[1]功能-付费相关'!BA61/节奏总纲!X59</f>
        <v>6185.8295189055461</v>
      </c>
      <c r="BA59" s="11">
        <f>('[1]资源-武将经验'!E61*节奏总纲!BL59-'[1]资源-武将经验'!E60*节奏总纲!BL58)*'[1]功能-付费相关'!BB61/节奏总纲!Y59</f>
        <v>9562.7637777124437</v>
      </c>
      <c r="BB59" s="11">
        <f>('[1]资源-武将经验'!F61*节奏总纲!BM59-'[1]资源-武将经验'!F60*节奏总纲!BM58)*'[1]功能-付费相关'!BC61/节奏总纲!Z59</f>
        <v>22163.957068733107</v>
      </c>
      <c r="BC59" s="11">
        <f>('[1]资源-武将经验'!G61*节奏总纲!BN59-'[1]资源-武将经验'!G60*节奏总纲!BN58)*'[1]功能-付费相关'!BD61/节奏总纲!AA59</f>
        <v>31559.415184996356</v>
      </c>
      <c r="BD59" s="33"/>
      <c r="BE59" s="30" t="e">
        <f t="shared" si="4"/>
        <v>#REF!</v>
      </c>
      <c r="BF59" s="30" t="e">
        <f t="shared" si="5"/>
        <v>#REF!</v>
      </c>
      <c r="BG59" s="30" t="e">
        <f t="shared" si="6"/>
        <v>#REF!</v>
      </c>
      <c r="BH59" s="30" t="e">
        <f t="shared" si="7"/>
        <v>#REF!</v>
      </c>
      <c r="BI59" s="30" t="e">
        <f t="shared" si="8"/>
        <v>#REF!</v>
      </c>
    </row>
    <row r="60" spans="2:61" x14ac:dyDescent="0.15">
      <c r="B60" s="31">
        <v>57</v>
      </c>
      <c r="C60" s="11">
        <f>('[1]资源-玩家城池建筑时间'!D62-'[1]资源-玩家城池建筑时间'!D61)*'[1]功能-付费相关'!AH62/节奏总纲!W60</f>
        <v>2087.3041336694932</v>
      </c>
      <c r="D60" s="11">
        <f>('[1]资源-玩家城池建筑时间'!E62-'[1]资源-玩家城池建筑时间'!E61)*'[1]功能-付费相关'!AI62/节奏总纲!X60</f>
        <v>2498.2261591367442</v>
      </c>
      <c r="E60" s="11">
        <f>('[1]资源-玩家城池建筑时间'!F62-'[1]资源-玩家城池建筑时间'!F61)*'[1]功能-付费相关'!AJ62/节奏总纲!Y60</f>
        <v>3001.2526736780683</v>
      </c>
      <c r="F60" s="11">
        <f>('[1]资源-玩家城池建筑时间'!G62-'[1]资源-玩家城池建筑时间'!G61)*'[1]功能-付费相关'!AK62/节奏总纲!Z60</f>
        <v>3876.7361605451479</v>
      </c>
      <c r="G60" s="11">
        <f>('[1]资源-玩家城池建筑时间'!H62-'[1]资源-玩家城池建筑时间'!H61)*'[1]功能-付费相关'!AL62/节奏总纲!AA60</f>
        <v>3952.1429321299543</v>
      </c>
      <c r="I60" s="31">
        <f>('[1]资源-士兵训练时间'!C62-'[1]资源-士兵训练时间'!C61)*'[1]功能-付费相关'!AH62/节奏总纲!W60</f>
        <v>809.84897216480897</v>
      </c>
      <c r="J60" s="31">
        <f>('[1]资源-士兵训练时间'!D62-'[1]资源-士兵训练时间'!D61)*'[1]功能-付费相关'!AI62/节奏总纲!X60</f>
        <v>834.26410319524973</v>
      </c>
      <c r="K60" s="31">
        <f>('[1]资源-士兵训练时间'!E62-'[1]资源-士兵训练时间'!E61)*'[1]功能-付费相关'!AJ62/节奏总纲!Y60</f>
        <v>880.4513024695575</v>
      </c>
      <c r="L60" s="31">
        <f>('[1]资源-士兵训练时间'!F62-'[1]资源-士兵训练时间'!F61)*'[1]功能-付费相关'!AK62/节奏总纲!Z60</f>
        <v>940.796164353986</v>
      </c>
      <c r="M60" s="31">
        <f>('[1]资源-士兵训练时间'!G62-'[1]资源-士兵训练时间'!G61)*'[1]功能-付费相关'!AL62/节奏总纲!AA60</f>
        <v>953.05916675787387</v>
      </c>
      <c r="O60" s="11">
        <f>('[1]资源-士兵招募时间'!D62-'[1]资源-士兵招募时间'!D61)*'[1]功能-付费相关'!AH62/节奏总纲!W60</f>
        <v>1632.8140003020376</v>
      </c>
      <c r="P60" s="11">
        <f>('[1]资源-士兵招募时间'!E62-'[1]资源-士兵招募时间'!E61)*'[1]功能-付费相关'!AI62/节奏总纲!X60</f>
        <v>1823.118063061318</v>
      </c>
      <c r="Q60" s="11">
        <f>('[1]资源-士兵招募时间'!F62-'[1]资源-士兵招募时间'!F61)*'[1]功能-付费相关'!AJ62/节奏总纲!Y60</f>
        <v>2008.4086131245886</v>
      </c>
      <c r="R60" s="11">
        <f>('[1]资源-士兵招募时间'!G62-'[1]资源-士兵招募时间'!G61)*'[1]功能-付费相关'!AK62/节奏总纲!Z60</f>
        <v>2398.2970514873832</v>
      </c>
      <c r="S60" s="11">
        <f>('[1]资源-士兵招募时间'!H62-'[1]资源-士兵招募时间'!H61)*'[1]功能-付费相关'!AL62/节奏总纲!AA60</f>
        <v>2653.6660280112515</v>
      </c>
      <c r="U60" s="31">
        <f>('[1]资源-木石铜粮'!C62-'[1]资源-木石铜粮'!C61)*'[1]功能-付费相关'!S62/节奏总纲!W60</f>
        <v>1502.1020605589501</v>
      </c>
      <c r="V60" s="31">
        <f>('[1]资源-木石铜粮'!D62-'[1]资源-木石铜粮'!D61)*'[1]功能-付费相关'!T62/节奏总纲!X60</f>
        <v>1620.3166466402668</v>
      </c>
      <c r="W60" s="31">
        <f>('[1]资源-木石铜粮'!E62-'[1]资源-木石铜粮'!E61)*'[1]功能-付费相关'!U62/节奏总纲!Y60</f>
        <v>1792.9625612188306</v>
      </c>
      <c r="X60" s="31">
        <f>('[1]资源-木石铜粮'!F62-'[1]资源-木石铜粮'!F61)*'[1]功能-付费相关'!V62/节奏总纲!Z60</f>
        <v>1906.2776258905408</v>
      </c>
      <c r="Y60" s="31">
        <f>('[1]资源-木石铜粮'!G62-'[1]资源-木石铜粮'!G61)*'[1]功能-付费相关'!W62/节奏总纲!AA60</f>
        <v>2105.8577159208617</v>
      </c>
      <c r="AA60" s="11">
        <f>('[1]资源-铁'!C62-'[1]资源-铁'!C61)*'[1]功能-付费相关'!X62/节奏总纲!W60</f>
        <v>474.318633186966</v>
      </c>
      <c r="AB60" s="11">
        <f>('[1]资源-铁'!D62-'[1]资源-铁'!D61)*'[1]功能-付费相关'!Y62/节奏总纲!X60</f>
        <v>512.23172804632827</v>
      </c>
      <c r="AC60" s="11">
        <f>('[1]资源-铁'!E62-'[1]资源-铁'!E61)*'[1]功能-付费相关'!Z62/节奏总纲!Y60</f>
        <v>590.54735973717561</v>
      </c>
      <c r="AD60" s="11">
        <f>('[1]资源-铁'!F62-'[1]资源-铁'!F61)*'[1]功能-付费相关'!AA62/节奏总纲!Z60</f>
        <v>672.31312705262826</v>
      </c>
      <c r="AE60" s="11">
        <f>('[1]资源-铁'!G62-'[1]资源-铁'!G61)*'[1]功能-付费相关'!AB62/节奏总纲!AA60</f>
        <v>433.28225131332988</v>
      </c>
      <c r="AG60" s="11">
        <f>('[1]资源-银币'!C62-'[1]资源-银币'!C61)*'[1]功能-付费相关'!AQ62/节奏总纲!W60</f>
        <v>767.5346270549893</v>
      </c>
      <c r="AH60" s="11">
        <f>('[1]资源-银币'!D62-'[1]资源-银币'!D61)*'[1]功能-付费相关'!AR62/节奏总纲!X60</f>
        <v>836.20385238202402</v>
      </c>
      <c r="AI60" s="11">
        <f>('[1]资源-银币'!E62-'[1]资源-银币'!E61)*'[1]功能-付费相关'!AS62/节奏总纲!Y60</f>
        <v>925.1913308573312</v>
      </c>
      <c r="AJ60" s="11">
        <f>('[1]资源-银币'!F62-'[1]资源-银币'!F61)*'[1]功能-付费相关'!AT62/节奏总纲!Z60</f>
        <v>1040.3733160573581</v>
      </c>
      <c r="AK60" s="11">
        <f>('[1]资源-银币'!G62-'[1]资源-银币'!G61)*'[1]功能-付费相关'!AU62/节奏总纲!AA60</f>
        <v>1008.5772854064187</v>
      </c>
      <c r="AM60" s="11" t="e">
        <f>(#REF!-#REF!)*'[1]功能-付费相关'!CA62/节奏总纲!W60</f>
        <v>#REF!</v>
      </c>
      <c r="AN60" s="11" t="e">
        <f>(#REF!-#REF!)*'[1]功能-付费相关'!CB62/节奏总纲!X60</f>
        <v>#REF!</v>
      </c>
      <c r="AO60" s="11" t="e">
        <f>(#REF!-#REF!)*'[1]功能-付费相关'!CC62/节奏总纲!Y60</f>
        <v>#REF!</v>
      </c>
      <c r="AP60" s="11" t="e">
        <f>(#REF!-#REF!)*'[1]功能-付费相关'!CD62/节奏总纲!Z60</f>
        <v>#REF!</v>
      </c>
      <c r="AQ60" s="11" t="e">
        <f>(#REF!-#REF!)*'[1]功能-付费相关'!CE62/节奏总纲!AA60</f>
        <v>#REF!</v>
      </c>
      <c r="AS60" s="11">
        <f>('[1]资源-装备经验'!C62-'[1]资源-装备经验'!C61)*'[1]功能-付费相关'!BI62/节奏总纲!W60</f>
        <v>920.51538288641189</v>
      </c>
      <c r="AT60" s="11">
        <f>('[1]资源-装备经验'!D62-'[1]资源-装备经验'!D61)*'[1]功能-付费相关'!BJ62/节奏总纲!X60</f>
        <v>1390.8855430287754</v>
      </c>
      <c r="AU60" s="11">
        <f>('[1]资源-装备经验'!E62-'[1]资源-装备经验'!E61)*'[1]功能-付费相关'!BK62/节奏总纲!Y60</f>
        <v>2099.8718548667975</v>
      </c>
      <c r="AV60" s="11">
        <f>('[1]资源-装备经验'!F62-'[1]资源-装备经验'!F61)*'[1]功能-付费相关'!BL62/节奏总纲!Z60</f>
        <v>2501.7333675930154</v>
      </c>
      <c r="AW60" s="11">
        <f>('[1]资源-装备经验'!G62-'[1]资源-装备经验'!G61)*'[1]功能-付费相关'!BM62/节奏总纲!AA60</f>
        <v>2207.967883716231</v>
      </c>
      <c r="AY60" s="11">
        <f>('[1]资源-武将经验'!C62*节奏总纲!BJ60-'[1]资源-武将经验'!C61*节奏总纲!BJ59)*'[1]功能-付费相关'!AZ62/节奏总纲!W60</f>
        <v>4625.5127098937173</v>
      </c>
      <c r="AZ60" s="11">
        <f>('[1]资源-武将经验'!D62*节奏总纲!BK60-'[1]资源-武将经验'!D61*节奏总纲!BK59)*'[1]功能-付费相关'!BA62/节奏总纲!X60</f>
        <v>6189.4335605277138</v>
      </c>
      <c r="BA60" s="11">
        <f>('[1]资源-武将经验'!E62*节奏总纲!BL60-'[1]资源-武将经验'!E61*节奏总纲!BL59)*'[1]功能-付费相关'!BB62/节奏总纲!Y60</f>
        <v>8803.3995216962376</v>
      </c>
      <c r="BB60" s="11">
        <f>('[1]资源-武将经验'!F62*节奏总纲!BM60-'[1]资源-武将经验'!F61*节奏总纲!BM59)*'[1]功能-付费相关'!BC62/节奏总纲!Z60</f>
        <v>20332.920678225739</v>
      </c>
      <c r="BC60" s="11">
        <f>('[1]资源-武将经验'!G62*节奏总纲!BN60-'[1]资源-武将经验'!G61*节奏总纲!BN59)*'[1]功能-付费相关'!BD62/节奏总纲!AA60</f>
        <v>25685.200978076966</v>
      </c>
      <c r="BD60" s="33"/>
      <c r="BE60" s="30" t="e">
        <f t="shared" si="4"/>
        <v>#REF!</v>
      </c>
      <c r="BF60" s="30" t="e">
        <f t="shared" si="5"/>
        <v>#REF!</v>
      </c>
      <c r="BG60" s="30" t="e">
        <f t="shared" si="6"/>
        <v>#REF!</v>
      </c>
      <c r="BH60" s="30" t="e">
        <f t="shared" si="7"/>
        <v>#REF!</v>
      </c>
      <c r="BI60" s="30" t="e">
        <f t="shared" si="8"/>
        <v>#REF!</v>
      </c>
    </row>
    <row r="61" spans="2:61" x14ac:dyDescent="0.15">
      <c r="B61" s="31">
        <v>58</v>
      </c>
      <c r="C61" s="11">
        <f>('[1]资源-玩家城池建筑时间'!D63-'[1]资源-玩家城池建筑时间'!D62)*'[1]功能-付费相关'!AH63/节奏总纲!W61</f>
        <v>2027.5960433509317</v>
      </c>
      <c r="D61" s="11">
        <f>('[1]资源-玩家城池建筑时间'!E63-'[1]资源-玩家城池建筑时间'!E62)*'[1]功能-付费相关'!AI63/节奏总纲!X61</f>
        <v>2455.4004928384807</v>
      </c>
      <c r="E61" s="11">
        <f>('[1]资源-玩家城池建筑时间'!F63-'[1]资源-玩家城池建筑时间'!F62)*'[1]功能-付费相关'!AJ63/节奏总纲!Y61</f>
        <v>2873.4681322038286</v>
      </c>
      <c r="F61" s="11">
        <f>('[1]资源-玩家城池建筑时间'!G63-'[1]资源-玩家城池建筑时间'!G62)*'[1]功能-付费相关'!AK63/节奏总纲!Z61</f>
        <v>3473.976354008646</v>
      </c>
      <c r="G61" s="11">
        <f>('[1]资源-玩家城池建筑时间'!H63-'[1]资源-玩家城池建筑时间'!H62)*'[1]功能-付费相关'!AL63/节奏总纲!AA61</f>
        <v>3771.2134187206284</v>
      </c>
      <c r="I61" s="31">
        <f>('[1]资源-士兵训练时间'!C63-'[1]资源-士兵训练时间'!C62)*'[1]功能-付费相关'!AH63/节奏总纲!W61</f>
        <v>786.52664998617729</v>
      </c>
      <c r="J61" s="31">
        <f>('[1]资源-士兵训练时间'!D63-'[1]资源-士兵训练时间'!D62)*'[1]功能-付费相关'!AI63/节奏总纲!X61</f>
        <v>817.20738483326159</v>
      </c>
      <c r="K61" s="31">
        <f>('[1]资源-士兵训练时间'!E63-'[1]资源-士兵训练时间'!E62)*'[1]功能-付费相关'!AJ63/节奏总纲!Y61</f>
        <v>844.66512336012374</v>
      </c>
      <c r="L61" s="31">
        <f>('[1]资源-士兵训练时间'!F63-'[1]资源-士兵训练时间'!F62)*'[1]功能-付费相关'!AK63/节奏总纲!Z61</f>
        <v>841.78295743541798</v>
      </c>
      <c r="M61" s="31">
        <f>('[1]资源-士兵训练时间'!G63-'[1]资源-士兵训练时间'!G62)*'[1]功能-付费相关'!AL63/节奏总纲!AA61</f>
        <v>914.22188383452067</v>
      </c>
      <c r="O61" s="11">
        <f>('[1]资源-士兵招募时间'!D63-'[1]资源-士兵招募时间'!D62)*'[1]功能-付费相关'!AH63/节奏总纲!W61</f>
        <v>1602.5346967949779</v>
      </c>
      <c r="P61" s="11">
        <f>('[1]资源-士兵招募时间'!E63-'[1]资源-士兵招募时间'!E62)*'[1]功能-付费相关'!AI63/节奏总纲!X61</f>
        <v>1784.9500437947511</v>
      </c>
      <c r="Q61" s="11">
        <f>('[1]资源-士兵招募时间'!F63-'[1]资源-士兵招募时间'!F62)*'[1]功能-付费相关'!AJ63/节奏总纲!Y61</f>
        <v>1946.0439506763546</v>
      </c>
      <c r="R61" s="11">
        <f>('[1]资源-士兵招募时间'!G63-'[1]资源-士兵招募时间'!G62)*'[1]功能-付费相关'!AK63/节奏总纲!Z61</f>
        <v>2281.5366465103675</v>
      </c>
      <c r="S61" s="11">
        <f>('[1]资源-士兵招募时间'!H63-'[1]资源-士兵招募时间'!H62)*'[1]功能-付费相关'!AL63/节奏总纲!AA61</f>
        <v>2567.6208101463462</v>
      </c>
      <c r="U61" s="31">
        <f>('[1]资源-木石铜粮'!C63-'[1]资源-木石铜粮'!C62)*'[1]功能-付费相关'!S63/节奏总纲!W61</f>
        <v>1468.293573082728</v>
      </c>
      <c r="V61" s="31">
        <f>('[1]资源-木石铜粮'!D63-'[1]资源-木石铜粮'!D62)*'[1]功能-付费相关'!T63/节奏总纲!X61</f>
        <v>1595.9199225926486</v>
      </c>
      <c r="W61" s="31">
        <f>('[1]资源-木石铜粮'!E63-'[1]资源-木石铜粮'!E62)*'[1]功能-付费相关'!U63/节奏总纲!Y61</f>
        <v>1732.4771098640647</v>
      </c>
      <c r="X61" s="31">
        <f>('[1]资源-木石铜粮'!F63-'[1]资源-木石铜粮'!F62)*'[1]功能-付费相关'!V63/节奏总纲!Z61</f>
        <v>1808.8794136480758</v>
      </c>
      <c r="Y61" s="31">
        <f>('[1]资源-木石铜粮'!G63-'[1]资源-木石铜粮'!G62)*'[1]功能-付费相关'!W63/节奏总纲!AA61</f>
        <v>2045.6356586640084</v>
      </c>
      <c r="AA61" s="11">
        <f>('[1]资源-铁'!C63-'[1]资源-铁'!C62)*'[1]功能-付费相关'!X63/节奏总纲!W61</f>
        <v>457.31976289740476</v>
      </c>
      <c r="AB61" s="11">
        <f>('[1]资源-铁'!D63-'[1]资源-铁'!D62)*'[1]功能-付费相关'!Y63/节奏总纲!X61</f>
        <v>509.82882545686368</v>
      </c>
      <c r="AC61" s="11">
        <f>('[1]资源-铁'!E63-'[1]资源-铁'!E62)*'[1]功能-付费相关'!Z63/节奏总纲!Y61</f>
        <v>548.24587983739514</v>
      </c>
      <c r="AD61" s="11">
        <f>('[1]资源-铁'!F63-'[1]资源-铁'!F62)*'[1]功能-付费相关'!AA63/节奏总纲!Z61</f>
        <v>559.947996433355</v>
      </c>
      <c r="AE61" s="11">
        <f>('[1]资源-铁'!G63-'[1]资源-铁'!G62)*'[1]功能-付费相关'!AB63/节奏总纲!AA61</f>
        <v>700.073355187846</v>
      </c>
      <c r="AG61" s="11">
        <f>('[1]资源-银币'!C63-'[1]资源-银币'!C62)*'[1]功能-付费相关'!AQ63/节奏总纲!W61</f>
        <v>755.93194011374385</v>
      </c>
      <c r="AH61" s="11">
        <f>('[1]资源-银币'!D63-'[1]资源-银币'!D62)*'[1]功能-付费相关'!AR63/节奏总纲!X61</f>
        <v>819.24730736518086</v>
      </c>
      <c r="AI61" s="11">
        <f>('[1]资源-银币'!E63-'[1]资源-银币'!E62)*'[1]功能-付费相关'!AS63/节奏总纲!Y61</f>
        <v>885.57475999825806</v>
      </c>
      <c r="AJ61" s="11">
        <f>('[1]资源-银币'!F63-'[1]资源-银币'!F62)*'[1]功能-付费相关'!AT63/节奏总纲!Z61</f>
        <v>853.06818122817958</v>
      </c>
      <c r="AK61" s="11">
        <f>('[1]资源-银币'!G63-'[1]资源-银币'!G62)*'[1]功能-付费相关'!AU63/节奏总纲!AA61</f>
        <v>941.62757802466319</v>
      </c>
      <c r="AM61" s="11" t="e">
        <f>(#REF!-#REF!)*'[1]功能-付费相关'!CA63/节奏总纲!W61</f>
        <v>#REF!</v>
      </c>
      <c r="AN61" s="11" t="e">
        <f>(#REF!-#REF!)*'[1]功能-付费相关'!CB63/节奏总纲!X61</f>
        <v>#REF!</v>
      </c>
      <c r="AO61" s="11" t="e">
        <f>(#REF!-#REF!)*'[1]功能-付费相关'!CC63/节奏总纲!Y61</f>
        <v>#REF!</v>
      </c>
      <c r="AP61" s="11" t="e">
        <f>(#REF!-#REF!)*'[1]功能-付费相关'!CD63/节奏总纲!Z61</f>
        <v>#REF!</v>
      </c>
      <c r="AQ61" s="11" t="e">
        <f>(#REF!-#REF!)*'[1]功能-付费相关'!CE63/节奏总纲!AA61</f>
        <v>#REF!</v>
      </c>
      <c r="AS61" s="11">
        <f>('[1]资源-装备经验'!C63-'[1]资源-装备经验'!C62)*'[1]功能-付费相关'!BI63/节奏总纲!W61</f>
        <v>897.54317484146213</v>
      </c>
      <c r="AT61" s="11">
        <f>('[1]资源-装备经验'!D63-'[1]资源-装备经验'!D62)*'[1]功能-付费相关'!BJ63/节奏总纲!X61</f>
        <v>1411.7371676868311</v>
      </c>
      <c r="AU61" s="11">
        <f>('[1]资源-装备经验'!E63-'[1]资源-装备经验'!E62)*'[1]功能-付费相关'!BK63/节奏总纲!Y61</f>
        <v>1964.5488782374721</v>
      </c>
      <c r="AV61" s="11">
        <f>('[1]资源-装备经验'!F63-'[1]资源-装备经验'!F62)*'[1]功能-付费相关'!BL63/节奏总纲!Z61</f>
        <v>2049.7493086538534</v>
      </c>
      <c r="AW61" s="11">
        <f>('[1]资源-装备经验'!G63-'[1]资源-装备经验'!G62)*'[1]功能-付费相关'!BM63/节奏总纲!AA61</f>
        <v>2116.7659572563721</v>
      </c>
      <c r="AY61" s="11">
        <f>('[1]资源-武将经验'!C63*节奏总纲!BJ61-'[1]资源-武将经验'!C62*节奏总纲!BJ60)*'[1]功能-付费相关'!AZ63/节奏总纲!W61</f>
        <v>4477.2696584915602</v>
      </c>
      <c r="AZ61" s="11">
        <f>('[1]资源-武将经验'!D63*节奏总纲!BK61-'[1]资源-武将经验'!D62*节奏总纲!BK60)*'[1]功能-付费相关'!BA63/节奏总纲!X61</f>
        <v>6283.3169824528695</v>
      </c>
      <c r="BA61" s="11">
        <f>('[1]资源-武将经验'!E63*节奏总纲!BL61-'[1]资源-武将经验'!E62*节奏总纲!BL60)*'[1]功能-付费相关'!BB63/节奏总纲!Y61</f>
        <v>8197.2913615782345</v>
      </c>
      <c r="BB61" s="11">
        <f>('[1]资源-武将经验'!F63*节奏总纲!BM61-'[1]资源-武将经验'!F62*节奏总纲!BM60)*'[1]功能-付费相关'!BC63/节奏总纲!Z61</f>
        <v>16105.878029062762</v>
      </c>
      <c r="BC61" s="11">
        <f>('[1]资源-武将经验'!G63*节奏总纲!BN61-'[1]资源-武将经验'!G62*节奏总纲!BN60)*'[1]功能-付费相关'!BD63/节奏总纲!AA61</f>
        <v>31956.387855804482</v>
      </c>
      <c r="BD61" s="33"/>
      <c r="BE61" s="30" t="e">
        <f t="shared" si="4"/>
        <v>#REF!</v>
      </c>
      <c r="BF61" s="30" t="e">
        <f t="shared" si="5"/>
        <v>#REF!</v>
      </c>
      <c r="BG61" s="30" t="e">
        <f t="shared" si="6"/>
        <v>#REF!</v>
      </c>
      <c r="BH61" s="30" t="e">
        <f t="shared" si="7"/>
        <v>#REF!</v>
      </c>
      <c r="BI61" s="30" t="e">
        <f t="shared" si="8"/>
        <v>#REF!</v>
      </c>
    </row>
    <row r="62" spans="2:61" x14ac:dyDescent="0.15">
      <c r="B62" s="31">
        <v>59</v>
      </c>
      <c r="C62" s="11">
        <f>('[1]资源-玩家城池建筑时间'!D64-'[1]资源-玩家城池建筑时间'!D63)*'[1]功能-付费相关'!AH64/节奏总纲!W62</f>
        <v>1960.5792742575679</v>
      </c>
      <c r="D62" s="11">
        <f>('[1]资源-玩家城池建筑时间'!E64-'[1]资源-玩家城池建筑时间'!E63)*'[1]功能-付费相关'!AI64/节奏总纲!X62</f>
        <v>2300.787437862004</v>
      </c>
      <c r="E62" s="11">
        <f>('[1]资源-玩家城池建筑时间'!F64-'[1]资源-玩家城池建筑时间'!F63)*'[1]功能-付费相关'!AJ64/节奏总纲!Y62</f>
        <v>2636.5983326178211</v>
      </c>
      <c r="F62" s="11">
        <f>('[1]资源-玩家城池建筑时间'!G64-'[1]资源-玩家城池建筑时间'!G63)*'[1]功能-付费相关'!AK64/节奏总纲!Z62</f>
        <v>3257.4282710031439</v>
      </c>
      <c r="G62" s="11">
        <f>('[1]资源-玩家城池建筑时间'!H64-'[1]资源-玩家城池建筑时间'!H63)*'[1]功能-付费相关'!AL64/节奏总纲!AA62</f>
        <v>3447.023897353582</v>
      </c>
      <c r="I62" s="31">
        <f>('[1]资源-士兵训练时间'!C64-'[1]资源-士兵训练时间'!C63)*'[1]功能-付费相关'!AH64/节奏总纲!W62</f>
        <v>761.39795193274199</v>
      </c>
      <c r="J62" s="31">
        <f>('[1]资源-士兵训练时间'!D64-'[1]资源-士兵训练时间'!D63)*'[1]功能-付费相关'!AI64/节奏总纲!X62</f>
        <v>772.48979811199115</v>
      </c>
      <c r="K62" s="31">
        <f>('[1]资源-士兵训练时间'!E64-'[1]资源-士兵训练时间'!E63)*'[1]功能-付费相关'!AJ64/节奏总纲!Y62</f>
        <v>781.98651092965224</v>
      </c>
      <c r="L62" s="31">
        <f>('[1]资源-士兵训练时间'!F64-'[1]资源-士兵训练时间'!F63)*'[1]功能-付费相关'!AK64/节奏总纲!Z62</f>
        <v>789.44424248267137</v>
      </c>
      <c r="M62" s="31">
        <f>('[1]资源-士兵训练时间'!G64-'[1]资源-士兵训练时间'!G63)*'[1]功能-付费相关'!AL64/节奏总纲!AA62</f>
        <v>837.284682585572</v>
      </c>
      <c r="O62" s="11">
        <f>('[1]资源-士兵招募时间'!D64-'[1]资源-士兵招募时间'!D63)*'[1]功能-付费相关'!AH64/节奏总纲!W62</f>
        <v>1573.1285323576674</v>
      </c>
      <c r="P62" s="11">
        <f>('[1]资源-士兵招募时间'!E64-'[1]资源-士兵招募时间'!E63)*'[1]功能-付费相关'!AI64/节奏总纲!X62</f>
        <v>1722.3676817031148</v>
      </c>
      <c r="Q62" s="11">
        <f>('[1]资源-士兵招募时间'!F64-'[1]资源-士兵招募时间'!F63)*'[1]功能-付费相关'!AJ64/节奏总纲!Y62</f>
        <v>1869.123857497138</v>
      </c>
      <c r="R62" s="11">
        <f>('[1]资源-士兵招募时间'!G64-'[1]资源-士兵招募时间'!G63)*'[1]功能-付费相关'!AK64/节奏总纲!Z62</f>
        <v>2199.149620573417</v>
      </c>
      <c r="S62" s="11">
        <f>('[1]资源-士兵招募时间'!H64-'[1]资源-士兵招募时间'!H63)*'[1]功能-付费相关'!AL64/节奏总纲!AA62</f>
        <v>2444.5596595163192</v>
      </c>
      <c r="U62" s="31">
        <f>('[1]资源-木石铜粮'!C64-'[1]资源-木石铜粮'!C63)*'[1]功能-付费相关'!S64/节奏总纲!W62</f>
        <v>1439.7812768532517</v>
      </c>
      <c r="V62" s="31">
        <f>('[1]资源-木石铜粮'!D64-'[1]资源-木石铜粮'!D63)*'[1]功能-付费相关'!T64/节奏总纲!X62</f>
        <v>1530.2524152245594</v>
      </c>
      <c r="W62" s="31">
        <f>('[1]资源-木石铜粮'!E64-'[1]资源-木石铜粮'!E63)*'[1]功能-付费相关'!U64/节奏总纲!Y62</f>
        <v>1654.2444933930194</v>
      </c>
      <c r="X62" s="31">
        <f>('[1]资源-木石铜粮'!F64-'[1]资源-木石铜粮'!F63)*'[1]功能-付费相关'!V64/节奏总纲!Z62</f>
        <v>1754.6992626169906</v>
      </c>
      <c r="Y62" s="31">
        <f>('[1]资源-木石铜粮'!G64-'[1]资源-木石铜粮'!G63)*'[1]功能-付费相关'!W64/节奏总纲!AA62</f>
        <v>1978.6772476008236</v>
      </c>
      <c r="AA62" s="11">
        <f>('[1]资源-铁'!C64-'[1]资源-铁'!C63)*'[1]功能-付费相关'!X64/节奏总纲!W62</f>
        <v>445.20144843403301</v>
      </c>
      <c r="AB62" s="11">
        <f>('[1]资源-铁'!D64-'[1]资源-铁'!D63)*'[1]功能-付费相关'!Y64/节奏总纲!X62</f>
        <v>458.59034642333262</v>
      </c>
      <c r="AC62" s="11">
        <f>('[1]资源-铁'!E64-'[1]资源-铁'!E63)*'[1]功能-付费相关'!Z64/节奏总纲!Y62</f>
        <v>468.52633800287919</v>
      </c>
      <c r="AD62" s="11">
        <f>('[1]资源-铁'!F64-'[1]资源-铁'!F63)*'[1]功能-付费相关'!AA64/节奏总纲!Z62</f>
        <v>505.59654142683928</v>
      </c>
      <c r="AE62" s="11">
        <f>('[1]资源-铁'!G64-'[1]资源-铁'!G63)*'[1]功能-付费相关'!AB64/节奏总纲!AA62</f>
        <v>630.19622659541676</v>
      </c>
      <c r="AG62" s="11">
        <f>('[1]资源-银币'!C64-'[1]资源-银币'!C63)*'[1]功能-付费相关'!AQ64/节奏总纲!W62</f>
        <v>725.3031077024674</v>
      </c>
      <c r="AH62" s="11">
        <f>('[1]资源-银币'!D64-'[1]资源-银币'!D63)*'[1]功能-付费相关'!AR64/节奏总纲!X62</f>
        <v>774.35736344466284</v>
      </c>
      <c r="AI62" s="11">
        <f>('[1]资源-银币'!E64-'[1]资源-银币'!E63)*'[1]功能-付费相关'!AS64/节奏总纲!Y62</f>
        <v>791.83014155786088</v>
      </c>
      <c r="AJ62" s="11">
        <f>('[1]资源-银币'!F64-'[1]资源-银币'!F63)*'[1]功能-付费相关'!AT64/节奏总纲!Z62</f>
        <v>788.14048563439655</v>
      </c>
      <c r="AK62" s="11">
        <f>('[1]资源-银币'!G64-'[1]资源-银币'!G63)*'[1]功能-付费相关'!AU64/节奏总纲!AA62</f>
        <v>829.13203146765545</v>
      </c>
      <c r="AM62" s="11" t="e">
        <f>(#REF!-#REF!)*'[1]功能-付费相关'!CA64/节奏总纲!W62</f>
        <v>#REF!</v>
      </c>
      <c r="AN62" s="11" t="e">
        <f>(#REF!-#REF!)*'[1]功能-付费相关'!CB64/节奏总纲!X62</f>
        <v>#REF!</v>
      </c>
      <c r="AO62" s="11" t="e">
        <f>(#REF!-#REF!)*'[1]功能-付费相关'!CC64/节奏总纲!Y62</f>
        <v>#REF!</v>
      </c>
      <c r="AP62" s="11" t="e">
        <f>(#REF!-#REF!)*'[1]功能-付费相关'!CD64/节奏总纲!Z62</f>
        <v>#REF!</v>
      </c>
      <c r="AQ62" s="11" t="e">
        <f>(#REF!-#REF!)*'[1]功能-付费相关'!CE64/节奏总纲!AA62</f>
        <v>#REF!</v>
      </c>
      <c r="AS62" s="11">
        <f>('[1]资源-装备经验'!C64-'[1]资源-装备经验'!C63)*'[1]功能-付费相关'!BI64/节奏总纲!W62</f>
        <v>874.48182639076379</v>
      </c>
      <c r="AT62" s="11">
        <f>('[1]资源-装备经验'!D64-'[1]资源-装备经验'!D63)*'[1]功能-付费相关'!BJ64/节奏总纲!X62</f>
        <v>1257.1997894119409</v>
      </c>
      <c r="AU62" s="11">
        <f>('[1]资源-装备经验'!E64-'[1]资源-装备经验'!E63)*'[1]功能-付费相关'!BK64/节奏总纲!Y62</f>
        <v>1618.3473419860832</v>
      </c>
      <c r="AV62" s="11">
        <f>('[1]资源-装备经验'!F64-'[1]资源-装备经验'!F63)*'[1]功能-付费相关'!BL64/节奏总纲!Z62</f>
        <v>1859.3628811537867</v>
      </c>
      <c r="AW62" s="11">
        <f>('[1]资源-装备经验'!G64-'[1]资源-装备经验'!G63)*'[1]功能-付费相关'!BM64/节奏总纲!AA62</f>
        <v>1964.1196971581473</v>
      </c>
      <c r="AY62" s="11">
        <f>('[1]资源-武将经验'!C64*节奏总纲!BJ62-'[1]资源-武将经验'!C63*节奏总纲!BJ61)*'[1]功能-付费相关'!AZ64/节奏总纲!W62</f>
        <v>4331.996570274423</v>
      </c>
      <c r="AZ62" s="11">
        <f>('[1]资源-武将经验'!D64*节奏总纲!BK62-'[1]资源-武将经验'!D63*节奏总纲!BK61)*'[1]功能-付费相关'!BA64/节奏总纲!X62</f>
        <v>5509.7752110279916</v>
      </c>
      <c r="BA62" s="11">
        <f>('[1]资源-武将经验'!E64*节奏总纲!BL62-'[1]资源-武将经验'!E63*节奏总纲!BL61)*'[1]功能-付费相关'!BB64/节奏总纲!Y62</f>
        <v>6894.3905010043645</v>
      </c>
      <c r="BB62" s="11">
        <f>('[1]资源-武将经验'!F64*节奏总纲!BM62-'[1]资源-武将经验'!F63*节奏总纲!BM61)*'[1]功能-付费相关'!BC64/节奏总纲!Z62</f>
        <v>16124.079687839901</v>
      </c>
      <c r="BC62" s="11">
        <f>('[1]资源-武将经验'!G64*节奏总纲!BN62-'[1]资源-武将经验'!G63*节奏总纲!BN61)*'[1]功能-付费相关'!BD64/节奏总纲!AA62</f>
        <v>25812.030410477575</v>
      </c>
      <c r="BD62" s="33"/>
      <c r="BE62" s="30" t="e">
        <f t="shared" si="4"/>
        <v>#REF!</v>
      </c>
      <c r="BF62" s="30" t="e">
        <f t="shared" si="5"/>
        <v>#REF!</v>
      </c>
      <c r="BG62" s="30" t="e">
        <f t="shared" si="6"/>
        <v>#REF!</v>
      </c>
      <c r="BH62" s="30" t="e">
        <f t="shared" si="7"/>
        <v>#REF!</v>
      </c>
      <c r="BI62" s="30" t="e">
        <f t="shared" si="8"/>
        <v>#REF!</v>
      </c>
    </row>
    <row r="63" spans="2:61" x14ac:dyDescent="0.15">
      <c r="B63" s="31">
        <v>60</v>
      </c>
      <c r="C63" s="11">
        <f>('[1]资源-玩家城池建筑时间'!D65-'[1]资源-玩家城池建筑时间'!D64)*'[1]功能-付费相关'!AH65/节奏总纲!W63</f>
        <v>1910.8469789973517</v>
      </c>
      <c r="D63" s="11">
        <f>('[1]资源-玩家城池建筑时间'!E65-'[1]资源-玩家城池建筑时间'!E64)*'[1]功能-付费相关'!AI65/节奏总纲!X63</f>
        <v>2214.8504984681977</v>
      </c>
      <c r="E63" s="11">
        <f>('[1]资源-玩家城池建筑时间'!F65-'[1]资源-玩家城池建筑时间'!F64)*'[1]功能-付费相关'!AJ65/节奏总纲!Y63</f>
        <v>2546.2452540316444</v>
      </c>
      <c r="F63" s="11">
        <f>('[1]资源-玩家城池建筑时间'!G65-'[1]资源-玩家城池建筑时间'!G64)*'[1]功能-付费相关'!AK65/节奏总纲!Z63</f>
        <v>3172.4525201317897</v>
      </c>
      <c r="G63" s="11">
        <f>('[1]资源-玩家城池建筑时间'!H65-'[1]资源-玩家城池建筑时间'!H64)*'[1]功能-付费相关'!AL65/节奏总纲!AA63</f>
        <v>3364.3742673099014</v>
      </c>
      <c r="I63" s="31">
        <f>('[1]资源-士兵训练时间'!C65-'[1]资源-士兵训练时间'!C64)*'[1]功能-付费相关'!AH65/节奏总纲!W63</f>
        <v>743.28350585919088</v>
      </c>
      <c r="J63" s="31">
        <f>('[1]资源-士兵训练时间'!D65-'[1]资源-士兵训练时间'!D64)*'[1]功能-付费相关'!AI65/节奏总纲!X63</f>
        <v>747.09369127760681</v>
      </c>
      <c r="K63" s="31">
        <f>('[1]资源-士兵训练时间'!E65-'[1]资源-士兵训练时间'!E64)*'[1]功能-付费相关'!AJ65/节奏总纲!Y63</f>
        <v>757.51026734155892</v>
      </c>
      <c r="L63" s="31">
        <f>('[1]资源-士兵训练时间'!F65-'[1]资源-士兵训练时间'!F64)*'[1]功能-付费相关'!AK65/节奏总纲!Z63</f>
        <v>770.96218020355741</v>
      </c>
      <c r="M63" s="31">
        <f>('[1]资源-士兵训练时间'!G65-'[1]资源-士兵训练时间'!G64)*'[1]功能-付费相关'!AL65/节奏总纲!AA63</f>
        <v>814.64457119128247</v>
      </c>
      <c r="O63" s="11">
        <f>('[1]资源-士兵招募时间'!D65-'[1]资源-士兵招募时间'!D64)*'[1]功能-付费相关'!AH65/节奏总纲!W63</f>
        <v>1583.6531231822594</v>
      </c>
      <c r="P63" s="11">
        <f>('[1]资源-士兵招募时间'!E65-'[1]资源-士兵招募时间'!E64)*'[1]功能-付费相关'!AI65/节奏总纲!X63</f>
        <v>1700.3639255200289</v>
      </c>
      <c r="Q63" s="11">
        <f>('[1]资源-士兵招募时间'!F65-'[1]资源-士兵招募时间'!F64)*'[1]功能-付费相关'!AJ65/节奏总纲!Y63</f>
        <v>1849.0126034921107</v>
      </c>
      <c r="R63" s="11">
        <f>('[1]资源-士兵招募时间'!G65-'[1]资源-士兵招募时间'!G64)*'[1]功能-付费相关'!AK65/节奏总纲!Z63</f>
        <v>2162.6750618479214</v>
      </c>
      <c r="S63" s="11">
        <f>('[1]资源-士兵招募时间'!H65-'[1]资源-士兵招募时间'!H64)*'[1]功能-付费相关'!AL65/节奏总纲!AA63</f>
        <v>2420.4777360105036</v>
      </c>
      <c r="U63" s="31">
        <f>('[1]资源-木石铜粮'!C65-'[1]资源-木石铜粮'!C64)*'[1]功能-付费相关'!S65/节奏总纲!W63</f>
        <v>1412.4106111649235</v>
      </c>
      <c r="V63" s="31">
        <f>('[1]资源-木石铜粮'!D65-'[1]资源-木石铜粮'!D64)*'[1]功能-付费相关'!T65/节奏总纲!X63</f>
        <v>1506.2851525163753</v>
      </c>
      <c r="W63" s="31">
        <f>('[1]资源-木石铜粮'!E65-'[1]资源-木石铜粮'!E64)*'[1]功能-付费相关'!U65/节奏总纲!Y63</f>
        <v>1628.7201403738279</v>
      </c>
      <c r="X63" s="31">
        <f>('[1]资源-木石铜粮'!F65-'[1]资源-木石铜粮'!F64)*'[1]功能-付费相关'!V65/节奏总纲!Z63</f>
        <v>1737.2047530593065</v>
      </c>
      <c r="Y63" s="31">
        <f>('[1]资源-木石铜粮'!G65-'[1]资源-木石铜粮'!G64)*'[1]功能-付费相关'!W65/节奏总纲!AA63</f>
        <v>1997.9681439537587</v>
      </c>
      <c r="AA63" s="11">
        <f>('[1]资源-铁'!C65-'[1]资源-铁'!C64)*'[1]功能-付费相关'!X65/节奏总纲!W63</f>
        <v>430.2359017830338</v>
      </c>
      <c r="AB63" s="11">
        <f>('[1]资源-铁'!D65-'[1]资源-铁'!D64)*'[1]功能-付费相关'!Y65/节奏总纲!X63</f>
        <v>434.58012690508991</v>
      </c>
      <c r="AC63" s="11">
        <f>('[1]资源-铁'!E65-'[1]资源-铁'!E64)*'[1]功能-付费相关'!Z65/节奏总纲!Y63</f>
        <v>451.81088698949742</v>
      </c>
      <c r="AD63" s="11">
        <f>('[1]资源-铁'!F65-'[1]资源-铁'!F64)*'[1]功能-付费相关'!AA65/节奏总纲!Z63</f>
        <v>495.96774229538636</v>
      </c>
      <c r="AE63" s="11">
        <f>('[1]资源-铁'!G65-'[1]资源-铁'!G64)*'[1]功能-付费相关'!AB65/节奏总纲!AA63</f>
        <v>658.25865986283293</v>
      </c>
      <c r="AG63" s="11">
        <f>('[1]资源-银币'!C65-'[1]资源-银币'!C64)*'[1]功能-付费相关'!AQ65/节奏总纲!W63</f>
        <v>725.88200106338127</v>
      </c>
      <c r="AH63" s="11">
        <f>('[1]资源-银币'!D65-'[1]资源-银币'!D64)*'[1]功能-付费相关'!AR65/节奏总纲!X63</f>
        <v>739.09243294756902</v>
      </c>
      <c r="AI63" s="11">
        <f>('[1]资源-银币'!E65-'[1]资源-银币'!E64)*'[1]功能-付费相关'!AS65/节奏总纲!Y63</f>
        <v>761.96073904899811</v>
      </c>
      <c r="AJ63" s="11">
        <f>('[1]资源-银币'!F65-'[1]资源-银币'!F64)*'[1]功能-付费相关'!AT65/节奏总纲!Z63</f>
        <v>768.15991665180002</v>
      </c>
      <c r="AK63" s="11">
        <f>('[1]资源-银币'!G65-'[1]资源-银币'!G64)*'[1]功能-付费相关'!AU65/节奏总纲!AA63</f>
        <v>792.09647443130837</v>
      </c>
      <c r="AM63" s="11" t="e">
        <f>(#REF!-#REF!)*'[1]功能-付费相关'!CA65/节奏总纲!W63</f>
        <v>#REF!</v>
      </c>
      <c r="AN63" s="11" t="e">
        <f>(#REF!-#REF!)*'[1]功能-付费相关'!CB65/节奏总纲!X63</f>
        <v>#REF!</v>
      </c>
      <c r="AO63" s="11" t="e">
        <f>(#REF!-#REF!)*'[1]功能-付费相关'!CC65/节奏总纲!Y63</f>
        <v>#REF!</v>
      </c>
      <c r="AP63" s="11" t="e">
        <f>(#REF!-#REF!)*'[1]功能-付费相关'!CD65/节奏总纲!Z63</f>
        <v>#REF!</v>
      </c>
      <c r="AQ63" s="11" t="e">
        <f>(#REF!-#REF!)*'[1]功能-付费相关'!CE65/节奏总纲!AA63</f>
        <v>#REF!</v>
      </c>
      <c r="AS63" s="11">
        <f>('[1]资源-装备经验'!C65-'[1]资源-装备经验'!C64)*'[1]功能-付费相关'!BI65/节奏总纲!W63</f>
        <v>856.45066215450674</v>
      </c>
      <c r="AT63" s="11">
        <f>('[1]资源-装备经验'!D65-'[1]资源-装备经验'!D64)*'[1]功能-付费相关'!BJ65/节奏总纲!X63</f>
        <v>1159.5463104097387</v>
      </c>
      <c r="AU63" s="11">
        <f>('[1]资源-装备经验'!E65-'[1]资源-装备经验'!E64)*'[1]功能-付费相关'!BK65/节奏总纲!Y63</f>
        <v>1557.9968636750602</v>
      </c>
      <c r="AV63" s="11">
        <f>('[1]资源-装备经验'!F65-'[1]资源-装备经验'!F64)*'[1]功能-付费相关'!BL65/节奏总纲!Z63</f>
        <v>1833.9185677178905</v>
      </c>
      <c r="AW63" s="11">
        <f>('[1]资源-装备经验'!G65-'[1]资源-装备经验'!G64)*'[1]功能-付费相关'!BM65/节奏总纲!AA63</f>
        <v>1931.1324447094307</v>
      </c>
      <c r="AY63" s="11">
        <f>('[1]资源-武将经验'!C65*节奏总纲!BJ63-'[1]资源-武将经验'!C64*节奏总纲!BJ62)*'[1]功能-付费相关'!AZ65/节奏总纲!W63</f>
        <v>4199.4069751636844</v>
      </c>
      <c r="AZ63" s="11">
        <f>('[1]资源-武将经验'!D65*节奏总纲!BK63-'[1]资源-武将经验'!D64*节奏总纲!BK62)*'[1]功能-付费相关'!BA65/节奏总纲!X63</f>
        <v>5430.4804069473967</v>
      </c>
      <c r="BA63" s="11">
        <f>('[1]资源-武将经验'!E65*节奏总纲!BL63-'[1]资源-武将经验'!E64*节奏总纲!BL62)*'[1]功能-付费相关'!BB65/节奏总纲!Y63</f>
        <v>7229.2808433204054</v>
      </c>
      <c r="BB63" s="11">
        <f>('[1]资源-武将经验'!F65*节奏总纲!BM63-'[1]资源-武将经验'!F64*节奏总纲!BM62)*'[1]功能-付费相关'!BC65/节奏总纲!Z63</f>
        <v>16207.765222490307</v>
      </c>
      <c r="BC63" s="11">
        <f>('[1]资源-武将经验'!G65*节奏总纲!BN63-'[1]资源-武将经验'!G64*节奏总纲!BN62)*'[1]功能-付费相关'!BD65/节奏总纲!AA63</f>
        <v>24605.185045344635</v>
      </c>
      <c r="BD63" s="33"/>
      <c r="BE63" s="30" t="e">
        <f t="shared" si="4"/>
        <v>#REF!</v>
      </c>
      <c r="BF63" s="30" t="e">
        <f t="shared" si="5"/>
        <v>#REF!</v>
      </c>
      <c r="BG63" s="30" t="e">
        <f t="shared" si="6"/>
        <v>#REF!</v>
      </c>
      <c r="BH63" s="30" t="e">
        <f t="shared" si="7"/>
        <v>#REF!</v>
      </c>
      <c r="BI63" s="30" t="e">
        <f t="shared" si="8"/>
        <v>#REF!</v>
      </c>
    </row>
    <row r="64" spans="2:61" x14ac:dyDescent="0.15">
      <c r="B64" s="31">
        <v>61</v>
      </c>
      <c r="C64" s="11">
        <f>('[1]资源-玩家城池建筑时间'!D66-'[1]资源-玩家城池建筑时间'!D65)*'[1]功能-付费相关'!AH66/节奏总纲!W64</f>
        <v>1910.4684802722213</v>
      </c>
      <c r="D64" s="11">
        <f>('[1]资源-玩家城池建筑时间'!E66-'[1]资源-玩家城池建筑时间'!E65)*'[1]功能-付费相关'!AI66/节奏总纲!X64</f>
        <v>2245.8218731547404</v>
      </c>
      <c r="E64" s="11">
        <f>('[1]资源-玩家城池建筑时间'!F66-'[1]资源-玩家城池建筑时间'!F65)*'[1]功能-付费相关'!AJ66/节奏总纲!Y64</f>
        <v>2597.811094050825</v>
      </c>
      <c r="F64" s="11">
        <f>('[1]资源-玩家城池建筑时间'!G66-'[1]资源-玩家城池建筑时间'!G65)*'[1]功能-付费相关'!AK66/节奏总纲!Z64</f>
        <v>3239.2787474221823</v>
      </c>
      <c r="G64" s="11">
        <f>('[1]资源-玩家城池建筑时间'!H66-'[1]资源-玩家城池建筑时间'!H65)*'[1]功能-付费相关'!AL66/节奏总纲!AA64</f>
        <v>3724.6060443285328</v>
      </c>
      <c r="I64" s="31">
        <f>('[1]资源-士兵训练时间'!C66-'[1]资源-士兵训练时间'!C65)*'[1]功能-付费相关'!AH66/节奏总纲!W64</f>
        <v>743.55460083372475</v>
      </c>
      <c r="J64" s="31">
        <f>('[1]资源-士兵训练时间'!D66-'[1]资源-士兵训练时间'!D65)*'[1]功能-付费相关'!AI66/节奏总纲!X64</f>
        <v>755.17916840188593</v>
      </c>
      <c r="K64" s="31">
        <f>('[1]资源-士兵训练时间'!E66-'[1]资源-士兵训练时间'!E65)*'[1]功能-付费相关'!AJ66/节奏总纲!Y64</f>
        <v>771.7989802644214</v>
      </c>
      <c r="L64" s="31">
        <f>('[1]资源-士兵训练时间'!F66-'[1]资源-士兵训练时间'!F65)*'[1]功能-付费相关'!AK66/节奏总纲!Z64</f>
        <v>786.84727932342855</v>
      </c>
      <c r="M64" s="31">
        <f>('[1]资源-士兵训练时间'!G66-'[1]资源-士兵训练时间'!G65)*'[1]功能-付费相关'!AL66/节奏总纲!AA64</f>
        <v>908.80230442663571</v>
      </c>
      <c r="O64" s="11">
        <f>('[1]资源-士兵招募时间'!D66-'[1]资源-士兵招募时间'!D65)*'[1]功能-付费相关'!AH66/节奏总纲!W64</f>
        <v>1604.8600662861122</v>
      </c>
      <c r="P64" s="11">
        <f>('[1]资源-士兵招募时间'!E66-'[1]资源-士兵招募时间'!E65)*'[1]功能-付费相关'!AI66/节奏总纲!X64</f>
        <v>1729.7734809709746</v>
      </c>
      <c r="Q64" s="11">
        <f>('[1]资源-士兵招募时间'!F66-'[1]资源-士兵招募时间'!F65)*'[1]功能-付费相关'!AJ66/节奏总纲!Y64</f>
        <v>1874.3599229395484</v>
      </c>
      <c r="R64" s="11">
        <f>('[1]资源-士兵招募时间'!G66-'[1]资源-士兵招募时间'!G65)*'[1]功能-付费相关'!AK66/节奏总纲!Z64</f>
        <v>2188.3872459881673</v>
      </c>
      <c r="S64" s="11">
        <f>('[1]资源-士兵招募时间'!H66-'[1]资源-士兵招募时间'!H65)*'[1]功能-付费相关'!AL66/节奏总纲!AA64</f>
        <v>2528.1490562088566</v>
      </c>
      <c r="U64" s="31">
        <f>('[1]资源-木石铜粮'!C66-'[1]资源-木石铜粮'!C65)*'[1]功能-付费相关'!S66/节奏总纲!W64</f>
        <v>1475.5344191127642</v>
      </c>
      <c r="V64" s="31">
        <f>('[1]资源-木石铜粮'!D66-'[1]资源-木石铜粮'!D65)*'[1]功能-付费相关'!T66/节奏总纲!X64</f>
        <v>1568.4053980958763</v>
      </c>
      <c r="W64" s="31">
        <f>('[1]资源-木石铜粮'!E66-'[1]资源-木石铜粮'!E65)*'[1]功能-付费相关'!U66/节奏总纲!Y64</f>
        <v>1710.1937079731565</v>
      </c>
      <c r="X64" s="31">
        <f>('[1]资源-木石铜粮'!F66-'[1]资源-木石铜粮'!F65)*'[1]功能-付费相关'!V66/节奏总纲!Z64</f>
        <v>1889.4504740149746</v>
      </c>
      <c r="Y64" s="31">
        <f>('[1]资源-木石铜粮'!G66-'[1]资源-木石铜粮'!G65)*'[1]功能-付费相关'!W66/节奏总纲!AA64</f>
        <v>2296.1834094636247</v>
      </c>
      <c r="AA64" s="11">
        <f>('[1]资源-铁'!C66-'[1]资源-铁'!C65)*'[1]功能-付费相关'!X66/节奏总纲!W64</f>
        <v>498.80058864241863</v>
      </c>
      <c r="AB64" s="11">
        <f>('[1]资源-铁'!D66-'[1]资源-铁'!D65)*'[1]功能-付费相关'!Y66/节奏总纲!X64</f>
        <v>512.27417051844441</v>
      </c>
      <c r="AC64" s="11">
        <f>('[1]资源-铁'!E66-'[1]资源-铁'!E65)*'[1]功能-付费相关'!Z66/节奏总纲!Y64</f>
        <v>552.86725301774982</v>
      </c>
      <c r="AD64" s="11">
        <f>('[1]资源-铁'!F66-'[1]资源-铁'!F65)*'[1]功能-付费相关'!AA66/节奏总纲!Z64</f>
        <v>668.57634935303986</v>
      </c>
      <c r="AE64" s="11">
        <f>('[1]资源-铁'!G66-'[1]资源-铁'!G65)*'[1]功能-付费相关'!AB66/节奏总纲!AA64</f>
        <v>1029.5974495142311</v>
      </c>
      <c r="AG64" s="11">
        <f>('[1]资源-银币'!C66-'[1]资源-银币'!C65)*'[1]功能-付费相关'!AQ66/节奏总纲!W64</f>
        <v>731.95809170134021</v>
      </c>
      <c r="AH64" s="11">
        <f>('[1]资源-银币'!D66-'[1]资源-银币'!D65)*'[1]功能-付费相关'!AR66/节奏总纲!X64</f>
        <v>772.91895882772428</v>
      </c>
      <c r="AI64" s="11">
        <f>('[1]资源-银币'!E66-'[1]资源-银币'!E65)*'[1]功能-付费相关'!AS66/节奏总纲!Y64</f>
        <v>800.64946955416394</v>
      </c>
      <c r="AJ64" s="11">
        <f>('[1]资源-银币'!F66-'[1]资源-银币'!F65)*'[1]功能-付费相关'!AT66/节奏总纲!Z64</f>
        <v>800.35025237081015</v>
      </c>
      <c r="AK64" s="11">
        <f>('[1]资源-银币'!G66-'[1]资源-银币'!G65)*'[1]功能-付费相关'!AU66/节奏总纲!AA64</f>
        <v>983.65840724110524</v>
      </c>
      <c r="AM64" s="11" t="e">
        <f>(#REF!-#REF!)*'[1]功能-付费相关'!CA66/节奏总纲!W64</f>
        <v>#REF!</v>
      </c>
      <c r="AN64" s="11" t="e">
        <f>(#REF!-#REF!)*'[1]功能-付费相关'!CB66/节奏总纲!X64</f>
        <v>#REF!</v>
      </c>
      <c r="AO64" s="11" t="e">
        <f>(#REF!-#REF!)*'[1]功能-付费相关'!CC66/节奏总纲!Y64</f>
        <v>#REF!</v>
      </c>
      <c r="AP64" s="11" t="e">
        <f>(#REF!-#REF!)*'[1]功能-付费相关'!CD66/节奏总纲!Z64</f>
        <v>#REF!</v>
      </c>
      <c r="AQ64" s="11" t="e">
        <f>(#REF!-#REF!)*'[1]功能-付费相关'!CE66/节奏总纲!AA64</f>
        <v>#REF!</v>
      </c>
      <c r="AS64" s="11">
        <f>('[1]资源-装备经验'!C66-'[1]资源-装备经验'!C65)*'[1]功能-付费相关'!BI66/节奏总纲!W64</f>
        <v>989.810584335165</v>
      </c>
      <c r="AT64" s="11">
        <f>('[1]资源-装备经验'!D66-'[1]资源-装备经验'!D65)*'[1]功能-付费相关'!BJ66/节奏总纲!X64</f>
        <v>1363.836738543509</v>
      </c>
      <c r="AU64" s="11">
        <f>('[1]资源-装备经验'!E66-'[1]资源-装备经验'!E65)*'[1]功能-付费相关'!BK66/节奏总纲!Y64</f>
        <v>1820.1978654585287</v>
      </c>
      <c r="AV64" s="11">
        <f>('[1]资源-装备经验'!F66-'[1]资源-装备经验'!F65)*'[1]功能-付费相关'!BL66/节奏总纲!Z64</f>
        <v>2091.1445185801813</v>
      </c>
      <c r="AW64" s="11">
        <f>('[1]资源-装备经验'!G66-'[1]资源-装备经验'!G65)*'[1]功能-付费相关'!BM66/节奏总纲!AA64</f>
        <v>2438.8898194977032</v>
      </c>
      <c r="AY64" s="11">
        <f>('[1]资源-武将经验'!C66*节奏总纲!BJ64-'[1]资源-武将经验'!C65*节奏总纲!BJ63)*'[1]功能-付费相关'!AZ66/节奏总纲!W64</f>
        <v>4896.2088409879998</v>
      </c>
      <c r="AZ64" s="11">
        <f>('[1]资源-武将经验'!D66*节奏总纲!BK64-'[1]资源-武将经验'!D65*节奏总纲!BK63)*'[1]功能-付费相关'!BA66/节奏总纲!X64</f>
        <v>6102.916836792695</v>
      </c>
      <c r="BA64" s="11">
        <f>('[1]资源-武将经验'!E66*节奏总纲!BL64-'[1]资源-武将经验'!E65*节奏总纲!BL63)*'[1]功能-付费相关'!BB66/节奏总纲!Y64</f>
        <v>7937.656473965777</v>
      </c>
      <c r="BB64" s="11">
        <f>('[1]资源-武将经验'!F66*节奏总纲!BM64-'[1]资源-武将经验'!F65*节奏总纲!BM63)*'[1]功能-付费相关'!BC66/节奏总纲!Z64</f>
        <v>17795.000566931714</v>
      </c>
      <c r="BC64" s="11">
        <f>('[1]资源-武将经验'!G66*节奏总纲!BN64-'[1]资源-武将经验'!G65*节奏总纲!BN63)*'[1]功能-付费相关'!BD66/节奏总纲!AA64</f>
        <v>33492.183979306246</v>
      </c>
      <c r="BD64" s="33"/>
      <c r="BE64" s="30" t="e">
        <f t="shared" si="4"/>
        <v>#REF!</v>
      </c>
      <c r="BF64" s="30" t="e">
        <f t="shared" si="5"/>
        <v>#REF!</v>
      </c>
      <c r="BG64" s="30" t="e">
        <f t="shared" si="6"/>
        <v>#REF!</v>
      </c>
      <c r="BH64" s="30" t="e">
        <f t="shared" si="7"/>
        <v>#REF!</v>
      </c>
      <c r="BI64" s="30" t="e">
        <f t="shared" si="8"/>
        <v>#REF!</v>
      </c>
    </row>
    <row r="65" spans="2:61" x14ac:dyDescent="0.15">
      <c r="B65" s="31">
        <v>62</v>
      </c>
      <c r="C65" s="11">
        <f>('[1]资源-玩家城池建筑时间'!D67-'[1]资源-玩家城池建筑时间'!D66)*'[1]功能-付费相关'!AH67/节奏总纲!W65</f>
        <v>1902.4239503273432</v>
      </c>
      <c r="D65" s="11">
        <f>('[1]资源-玩家城池建筑时间'!E67-'[1]资源-玩家城池建筑时间'!E66)*'[1]功能-付费相关'!AI67/节奏总纲!X65</f>
        <v>2245.0640696994719</v>
      </c>
      <c r="E65" s="11">
        <f>('[1]资源-玩家城池建筑时间'!F67-'[1]资源-玩家城池建筑时间'!F66)*'[1]功能-付费相关'!AJ67/节奏总纲!Y65</f>
        <v>2598.3246929600027</v>
      </c>
      <c r="F65" s="11">
        <f>('[1]资源-玩家城池建筑时间'!G67-'[1]资源-玩家城池建筑时间'!G66)*'[1]功能-付费相关'!AK67/节奏总纲!Z65</f>
        <v>3235.2754562192904</v>
      </c>
      <c r="G65" s="11">
        <f>('[1]资源-玩家城池建筑时间'!H67-'[1]资源-玩家城池建筑时间'!H66)*'[1]功能-付费相关'!AL67/节奏总纲!AA65</f>
        <v>3928.117152447488</v>
      </c>
      <c r="I65" s="31">
        <f>('[1]资源-士兵训练时间'!C67-'[1]资源-士兵训练时间'!C66)*'[1]功能-付费相关'!AH67/节奏总纲!W65</f>
        <v>741.7138298923868</v>
      </c>
      <c r="J65" s="31">
        <f>('[1]资源-士兵训练时间'!D67-'[1]资源-士兵训练时间'!D66)*'[1]功能-付费相关'!AI67/节奏总纲!X65</f>
        <v>756.02738131772151</v>
      </c>
      <c r="K65" s="31">
        <f>('[1]资源-士兵训练时间'!E67-'[1]资源-士兵训练时间'!E66)*'[1]功能-付费相关'!AJ67/节奏总纲!Y65</f>
        <v>771.79945808004766</v>
      </c>
      <c r="L65" s="31">
        <f>('[1]资源-士兵训练时间'!F67-'[1]资源-士兵训练时间'!F66)*'[1]功能-付费相关'!AK67/节奏总纲!Z65</f>
        <v>785.81909697959748</v>
      </c>
      <c r="M65" s="31">
        <f>('[1]资源-士兵训练时间'!G67-'[1]资源-士兵训练时间'!G66)*'[1]功能-付费相关'!AL67/节奏总纲!AA65</f>
        <v>963.36585011222178</v>
      </c>
      <c r="O65" s="11">
        <f>('[1]资源-士兵招募时间'!D67-'[1]资源-士兵招募时间'!D66)*'[1]功能-付费相关'!AH67/节奏总纲!W65</f>
        <v>1618.1480502542013</v>
      </c>
      <c r="P65" s="11">
        <f>('[1]资源-士兵招募时间'!E67-'[1]资源-士兵招募时间'!E66)*'[1]功能-付费相关'!AI67/节奏总纲!X65</f>
        <v>1776.3318564119868</v>
      </c>
      <c r="Q65" s="11">
        <f>('[1]资源-士兵招募时间'!F67-'[1]资源-士兵招募时间'!F66)*'[1]功能-付费相关'!AJ67/节奏总纲!Y65</f>
        <v>1885.5069155489311</v>
      </c>
      <c r="R65" s="11">
        <f>('[1]资源-士兵招募时间'!G67-'[1]资源-士兵招募时间'!G66)*'[1]功能-付费相关'!AK67/节奏总纲!Z65</f>
        <v>2197.7777383394514</v>
      </c>
      <c r="S65" s="11">
        <f>('[1]资源-士兵招募时间'!H67-'[1]资源-士兵招募时间'!H66)*'[1]功能-付费相关'!AL67/节奏总纲!AA65</f>
        <v>2591.2901260700719</v>
      </c>
      <c r="U65" s="31">
        <f>('[1]资源-木石铜粮'!C67-'[1]资源-木石铜粮'!C66)*'[1]功能-付费相关'!S67/节奏总纲!W65</f>
        <v>1472.8392808905326</v>
      </c>
      <c r="V65" s="31">
        <f>('[1]资源-木石铜粮'!D67-'[1]资源-木石铜粮'!D66)*'[1]功能-付费相关'!T67/节奏总纲!X65</f>
        <v>1588.986300633972</v>
      </c>
      <c r="W65" s="31">
        <f>('[1]资源-木石铜粮'!E67-'[1]资源-木石铜粮'!E66)*'[1]功能-付费相关'!U67/节奏总纲!Y65</f>
        <v>1739.4493553255074</v>
      </c>
      <c r="X65" s="31">
        <f>('[1]资源-木石铜粮'!F67-'[1]资源-木石铜粮'!F66)*'[1]功能-付费相关'!V67/节奏总纲!Z65</f>
        <v>1892.4487046308604</v>
      </c>
      <c r="Y65" s="31">
        <f>('[1]资源-木石铜粮'!G67-'[1]资源-木石铜粮'!G66)*'[1]功能-付费相关'!W67/节奏总纲!AA65</f>
        <v>2421.4442957437395</v>
      </c>
      <c r="AA65" s="11">
        <f>('[1]资源-铁'!C67-'[1]资源-铁'!C66)*'[1]功能-付费相关'!X67/节奏总纲!W65</f>
        <v>490.69141559281763</v>
      </c>
      <c r="AB65" s="11">
        <f>('[1]资源-铁'!D67-'[1]资源-铁'!D66)*'[1]功能-付费相关'!Y67/节奏总纲!X65</f>
        <v>518.78587109163925</v>
      </c>
      <c r="AC65" s="11">
        <f>('[1]资源-铁'!E67-'[1]资源-铁'!E66)*'[1]功能-付费相关'!Z67/节奏总纲!Y65</f>
        <v>572.23582901532063</v>
      </c>
      <c r="AD65" s="11">
        <f>('[1]资源-铁'!F67-'[1]资源-铁'!F66)*'[1]功能-付费相关'!AA67/节奏总纲!Z65</f>
        <v>666.04717790808093</v>
      </c>
      <c r="AE65" s="11">
        <f>('[1]资源-铁'!G67-'[1]资源-铁'!G66)*'[1]功能-付费相关'!AB67/节奏总纲!AA65</f>
        <v>1175.0910108545024</v>
      </c>
      <c r="AG65" s="11">
        <f>('[1]资源-银币'!C67-'[1]资源-银币'!C66)*'[1]功能-付费相关'!AQ67/节奏总纲!W65</f>
        <v>735.43705271154067</v>
      </c>
      <c r="AH65" s="11">
        <f>('[1]资源-银币'!D67-'[1]资源-银币'!D66)*'[1]功能-付费相关'!AR67/节奏总纲!X65</f>
        <v>768.02037880041928</v>
      </c>
      <c r="AI65" s="11">
        <f>('[1]资源-银币'!E67-'[1]资源-银币'!E66)*'[1]功能-付费相关'!AS67/节奏总纲!Y65</f>
        <v>800.50342134563016</v>
      </c>
      <c r="AJ65" s="11">
        <f>('[1]资源-银币'!F67-'[1]资源-银币'!F66)*'[1]功能-付费相关'!AT67/节奏总纲!Z65</f>
        <v>811.50197495761586</v>
      </c>
      <c r="AK65" s="11">
        <f>('[1]资源-银币'!G67-'[1]资源-银币'!G66)*'[1]功能-付费相关'!AU67/节奏总纲!AA65</f>
        <v>1071.5024287181857</v>
      </c>
      <c r="AM65" s="11" t="e">
        <f>(#REF!-#REF!)*'[1]功能-付费相关'!CA67/节奏总纲!W65</f>
        <v>#REF!</v>
      </c>
      <c r="AN65" s="11" t="e">
        <f>(#REF!-#REF!)*'[1]功能-付费相关'!CB67/节奏总纲!X65</f>
        <v>#REF!</v>
      </c>
      <c r="AO65" s="11" t="e">
        <f>(#REF!-#REF!)*'[1]功能-付费相关'!CC67/节奏总纲!Y65</f>
        <v>#REF!</v>
      </c>
      <c r="AP65" s="11" t="e">
        <f>(#REF!-#REF!)*'[1]功能-付费相关'!CD67/节奏总纲!Z65</f>
        <v>#REF!</v>
      </c>
      <c r="AQ65" s="11" t="e">
        <f>(#REF!-#REF!)*'[1]功能-付费相关'!CE67/节奏总纲!AA65</f>
        <v>#REF!</v>
      </c>
      <c r="AS65" s="11">
        <f>('[1]资源-装备经验'!C67-'[1]资源-装备经验'!C66)*'[1]功能-付费相关'!BI67/节奏总纲!W65</f>
        <v>956.32496933505456</v>
      </c>
      <c r="AT65" s="11">
        <f>('[1]资源-装备经验'!D67-'[1]资源-装备经验'!D66)*'[1]功能-付费相关'!BJ67/节奏总纲!X65</f>
        <v>1344.55909366695</v>
      </c>
      <c r="AU65" s="11">
        <f>('[1]资源-装备经验'!E67-'[1]资源-装备经验'!E66)*'[1]功能-付费相关'!BK67/节奏总纲!Y65</f>
        <v>1793.3807803808627</v>
      </c>
      <c r="AV65" s="11">
        <f>('[1]资源-装备经验'!F67-'[1]资源-装备经验'!F66)*'[1]功能-付费相关'!BL67/节奏总纲!Z65</f>
        <v>2065.4652101425104</v>
      </c>
      <c r="AW65" s="11">
        <f>('[1]资源-装备经验'!G67-'[1]资源-装备经验'!G66)*'[1]功能-付费相关'!BM67/节奏总纲!AA65</f>
        <v>2609.4809857872524</v>
      </c>
      <c r="AY65" s="11">
        <f>('[1]资源-武将经验'!C67*节奏总纲!BJ65-'[1]资源-武将经验'!C66*节奏总纲!BJ64)*'[1]功能-付费相关'!AZ67/节奏总纲!W65</f>
        <v>4856.3777472091251</v>
      </c>
      <c r="AZ65" s="11">
        <f>('[1]资源-武将经验'!D67*节奏总纲!BK65-'[1]资源-武将经验'!D66*节奏总纲!BK64)*'[1]功能-付费相关'!BA67/节奏总纲!X65</f>
        <v>6159.4385027480148</v>
      </c>
      <c r="BA65" s="11">
        <f>('[1]资源-武将经验'!E67*节奏总纲!BL65-'[1]资源-武将经验'!E66*节奏总纲!BL64)*'[1]功能-付费相关'!BB67/节奏总纲!Y65</f>
        <v>7999.5881780237787</v>
      </c>
      <c r="BB65" s="11">
        <f>('[1]资源-武将经验'!F67*节奏总纲!BM65-'[1]资源-武将经验'!F66*节奏总纲!BM64)*'[1]功能-付费相关'!BC67/节奏总纲!Z65</f>
        <v>17933.48121064412</v>
      </c>
      <c r="BC65" s="11">
        <f>('[1]资源-武将经验'!G67*节奏总纲!BN65-'[1]资源-武将经验'!G66*节奏总纲!BN64)*'[1]功能-付费相关'!BD67/节奏总纲!AA65</f>
        <v>38422.602696246526</v>
      </c>
      <c r="BD65" s="33"/>
      <c r="BE65" s="30" t="e">
        <f t="shared" si="4"/>
        <v>#REF!</v>
      </c>
      <c r="BF65" s="30" t="e">
        <f t="shared" si="5"/>
        <v>#REF!</v>
      </c>
      <c r="BG65" s="30" t="e">
        <f t="shared" si="6"/>
        <v>#REF!</v>
      </c>
      <c r="BH65" s="30" t="e">
        <f t="shared" si="7"/>
        <v>#REF!</v>
      </c>
      <c r="BI65" s="30" t="e">
        <f t="shared" si="8"/>
        <v>#REF!</v>
      </c>
    </row>
    <row r="66" spans="2:61" x14ac:dyDescent="0.15">
      <c r="B66" s="31">
        <v>63</v>
      </c>
      <c r="C66" s="11">
        <f>('[1]资源-玩家城池建筑时间'!D68-'[1]资源-玩家城池建筑时间'!D67)*'[1]功能-付费相关'!AH68/节奏总纲!W66</f>
        <v>1893.243278413755</v>
      </c>
      <c r="D66" s="11">
        <f>('[1]资源-玩家城池建筑时间'!E68-'[1]资源-玩家城池建筑时间'!E67)*'[1]功能-付费相关'!AI68/节奏总纲!X66</f>
        <v>2239.876499790148</v>
      </c>
      <c r="E66" s="11">
        <f>('[1]资源-玩家城池建筑时间'!F68-'[1]资源-玩家城池建筑时间'!F67)*'[1]功能-付费相关'!AJ68/节奏总纲!Y66</f>
        <v>2582.4903364986103</v>
      </c>
      <c r="F66" s="11">
        <f>('[1]资源-玩家城池建筑时间'!G68-'[1]资源-玩家城池建筑时间'!G67)*'[1]功能-付费相关'!AK68/节奏总纲!Z66</f>
        <v>3356.7840680330264</v>
      </c>
      <c r="G66" s="11">
        <f>('[1]资源-玩家城池建筑时间'!H68-'[1]资源-玩家城池建筑时间'!H67)*'[1]功能-付费相关'!AL68/节奏总纲!AA66</f>
        <v>3845.7174745048001</v>
      </c>
      <c r="I66" s="31">
        <f>('[1]资源-士兵训练时间'!C68-'[1]资源-士兵训练时间'!C67)*'[1]功能-付费相关'!AH68/节奏总纲!W66</f>
        <v>739.97147716385484</v>
      </c>
      <c r="J66" s="31">
        <f>('[1]资源-士兵训练时间'!D68-'[1]资源-士兵训练时间'!D67)*'[1]功能-付费相关'!AI68/节奏总纲!X66</f>
        <v>754.83079382720791</v>
      </c>
      <c r="K66" s="31">
        <f>('[1]资源-士兵训练时间'!E68-'[1]资源-士兵训练时间'!E67)*'[1]功能-付费相关'!AJ68/节奏总纲!Y66</f>
        <v>767.57399689624742</v>
      </c>
      <c r="L66" s="31">
        <f>('[1]资源-士兵训练时间'!F68-'[1]资源-士兵训练时间'!F67)*'[1]功能-付费相关'!AK68/节奏总纲!Z66</f>
        <v>818.51517875536638</v>
      </c>
      <c r="M66" s="31">
        <f>('[1]资源-士兵训练时间'!G68-'[1]资源-士兵训练时间'!G67)*'[1]功能-付费相关'!AL68/节奏总纲!AA66</f>
        <v>942.63529153315881</v>
      </c>
      <c r="O66" s="11">
        <f>('[1]资源-士兵招募时间'!D68-'[1]资源-士兵招募时间'!D67)*'[1]功能-付费相关'!AH68/节奏总纲!W66</f>
        <v>1635.1446946894523</v>
      </c>
      <c r="P66" s="11">
        <f>('[1]资源-士兵招募时间'!E68-'[1]资源-士兵招募时间'!E67)*'[1]功能-付费相关'!AI68/节奏总纲!X66</f>
        <v>1797.669468827359</v>
      </c>
      <c r="Q66" s="11">
        <f>('[1]资源-士兵招募时间'!F68-'[1]资源-士兵招募时间'!F67)*'[1]功能-付费相关'!AJ68/节奏总纲!Y66</f>
        <v>1911.5169760528745</v>
      </c>
      <c r="R66" s="11">
        <f>('[1]资源-士兵招募时间'!G68-'[1]资源-士兵招募时间'!G67)*'[1]功能-付费相关'!AK68/节奏总纲!Z66</f>
        <v>2242.6682862090424</v>
      </c>
      <c r="S66" s="11">
        <f>('[1]资源-士兵招募时间'!H68-'[1]资源-士兵招募时间'!H67)*'[1]功能-付费相关'!AL68/节奏总纲!AA66</f>
        <v>2579.5483557276539</v>
      </c>
      <c r="U66" s="31">
        <f>('[1]资源-木石铜粮'!C68-'[1]资源-木石铜粮'!C67)*'[1]功能-付费相关'!S68/节奏总纲!W66</f>
        <v>1486.9336840052079</v>
      </c>
      <c r="V66" s="31">
        <f>('[1]资源-木石铜粮'!D68-'[1]资源-木石铜粮'!D67)*'[1]功能-付费相关'!T68/节奏总纲!X66</f>
        <v>1584.0302053920564</v>
      </c>
      <c r="W66" s="31">
        <f>('[1]资源-木石铜粮'!E68-'[1]资源-木石铜粮'!E67)*'[1]功能-付费相关'!U68/节奏总纲!Y66</f>
        <v>1768.3206970866474</v>
      </c>
      <c r="X66" s="31">
        <f>('[1]资源-木石铜粮'!F68-'[1]资源-木石铜粮'!F67)*'[1]功能-付费相关'!V68/节奏总纲!Z66</f>
        <v>2013.2496520423035</v>
      </c>
      <c r="Y66" s="31">
        <f>('[1]资源-木石铜粮'!G68-'[1]资源-木石铜粮'!G67)*'[1]功能-付费相关'!W68/节奏总纲!AA66</f>
        <v>2382.6979120623319</v>
      </c>
      <c r="AA66" s="11">
        <f>('[1]资源-铁'!C68-'[1]资源-铁'!C67)*'[1]功能-付费相关'!X68/节奏总纲!W66</f>
        <v>491.31077867246546</v>
      </c>
      <c r="AB66" s="11">
        <f>('[1]资源-铁'!D68-'[1]资源-铁'!D67)*'[1]功能-付费相关'!Y68/节奏总纲!X66</f>
        <v>509.03722739391293</v>
      </c>
      <c r="AC66" s="11">
        <f>('[1]资源-铁'!E68-'[1]资源-铁'!E67)*'[1]功能-付费相关'!Z68/节奏总纲!Y66</f>
        <v>590.42470681965801</v>
      </c>
      <c r="AD66" s="11">
        <f>('[1]资源-铁'!F68-'[1]资源-铁'!F67)*'[1]功能-付费相关'!AA68/节奏总纲!Z66</f>
        <v>799.76829918486931</v>
      </c>
      <c r="AE66" s="11">
        <f>('[1]资源-铁'!G68-'[1]资源-铁'!G67)*'[1]功能-付费相关'!AB68/节奏总纲!AA66</f>
        <v>1116.4226727563134</v>
      </c>
      <c r="AG66" s="11">
        <f>('[1]资源-银币'!C68-'[1]资源-银币'!C67)*'[1]功能-付费相关'!AQ68/节奏总纲!W66</f>
        <v>730.63141856308857</v>
      </c>
      <c r="AH66" s="11">
        <f>('[1]资源-银币'!D68-'[1]资源-银币'!D67)*'[1]功能-付费相关'!AR68/节奏总纲!X66</f>
        <v>774.44272473618344</v>
      </c>
      <c r="AI66" s="11">
        <f>('[1]资源-银币'!E68-'[1]资源-银币'!E67)*'[1]功能-付费相关'!AS68/节奏总纲!Y66</f>
        <v>788.1820543331952</v>
      </c>
      <c r="AJ66" s="11">
        <f>('[1]资源-银币'!F68-'[1]资源-银币'!F67)*'[1]功能-付费相关'!AT68/节奏总纲!Z66</f>
        <v>861.07013598081539</v>
      </c>
      <c r="AK66" s="11">
        <f>('[1]资源-银币'!G68-'[1]资源-银币'!G67)*'[1]功能-付费相关'!AU68/节奏总纲!AA66</f>
        <v>1049.570054195063</v>
      </c>
      <c r="AM66" s="11" t="e">
        <f>(#REF!-#REF!)*'[1]功能-付费相关'!CA68/节奏总纲!W66</f>
        <v>#REF!</v>
      </c>
      <c r="AN66" s="11" t="e">
        <f>(#REF!-#REF!)*'[1]功能-付费相关'!CB68/节奏总纲!X66</f>
        <v>#REF!</v>
      </c>
      <c r="AO66" s="11" t="e">
        <f>(#REF!-#REF!)*'[1]功能-付费相关'!CC68/节奏总纲!Y66</f>
        <v>#REF!</v>
      </c>
      <c r="AP66" s="11" t="e">
        <f>(#REF!-#REF!)*'[1]功能-付费相关'!CD68/节奏总纲!Z66</f>
        <v>#REF!</v>
      </c>
      <c r="AQ66" s="11" t="e">
        <f>(#REF!-#REF!)*'[1]功能-付费相关'!CE68/节奏总纲!AA66</f>
        <v>#REF!</v>
      </c>
      <c r="AS66" s="11">
        <f>('[1]资源-装备经验'!C68-'[1]资源-装备经验'!C67)*'[1]功能-付费相关'!BI68/节奏总纲!W66</f>
        <v>931.06618488160063</v>
      </c>
      <c r="AT66" s="11">
        <f>('[1]资源-装备经验'!D68-'[1]资源-装备经验'!D67)*'[1]功能-付费相关'!BJ68/节奏总纲!X66</f>
        <v>1303.2856231695264</v>
      </c>
      <c r="AU66" s="11">
        <f>('[1]资源-装备经验'!E68-'[1]资源-装备经验'!E67)*'[1]功能-付费相关'!BK68/节奏总纲!Y66</f>
        <v>1732.9150505803809</v>
      </c>
      <c r="AV66" s="11">
        <f>('[1]资源-装备经验'!F68-'[1]资源-装备经验'!F67)*'[1]功能-付费相关'!BL68/节奏总纲!Z66</f>
        <v>2278.7662555291245</v>
      </c>
      <c r="AW66" s="11">
        <f>('[1]资源-装备经验'!G68-'[1]资源-装备经验'!G67)*'[1]功能-付费相关'!BM68/节奏总纲!AA66</f>
        <v>2491.2205671501911</v>
      </c>
      <c r="AY66" s="11">
        <f>('[1]资源-武将经验'!C68*节奏总纲!BJ66-'[1]资源-武将经验'!C67*节奏总纲!BJ65)*'[1]功能-付费相关'!AZ68/节奏总纲!W66</f>
        <v>4820.6264617126026</v>
      </c>
      <c r="AZ66" s="11">
        <f>('[1]资源-武将经验'!D68*节奏总纲!BK66-'[1]资源-武将经验'!D67*节奏总纲!BK65)*'[1]功能-付费相关'!BA68/节奏总纲!X66</f>
        <v>6112.9095766709488</v>
      </c>
      <c r="BA66" s="11">
        <f>('[1]资源-武将经验'!E68*节奏总纲!BL66-'[1]资源-武将经验'!E67*节奏总纲!BL65)*'[1]功能-付费相关'!BB68/节奏总纲!Y66</f>
        <v>7883.2930357839241</v>
      </c>
      <c r="BB66" s="11">
        <f>('[1]资源-武将经验'!F68*节奏总纲!BM66-'[1]资源-武将经验'!F67*节奏总纲!BM65)*'[1]功能-付费相关'!BC68/节奏总纲!Z66</f>
        <v>20967.507820033836</v>
      </c>
      <c r="BC66" s="11">
        <f>('[1]资源-武将经验'!G68*节奏总纲!BN66-'[1]资源-武将经验'!G67*节奏总纲!BN65)*'[1]功能-付费相关'!BD68/节奏总纲!AA66</f>
        <v>41544.856584233719</v>
      </c>
      <c r="BD66" s="33"/>
      <c r="BE66" s="30" t="e">
        <f t="shared" si="4"/>
        <v>#REF!</v>
      </c>
      <c r="BF66" s="30" t="e">
        <f t="shared" si="5"/>
        <v>#REF!</v>
      </c>
      <c r="BG66" s="30" t="e">
        <f t="shared" si="6"/>
        <v>#REF!</v>
      </c>
      <c r="BH66" s="30" t="e">
        <f t="shared" si="7"/>
        <v>#REF!</v>
      </c>
      <c r="BI66" s="30" t="e">
        <f t="shared" si="8"/>
        <v>#REF!</v>
      </c>
    </row>
    <row r="67" spans="2:61" x14ac:dyDescent="0.15">
      <c r="B67" s="31">
        <v>64</v>
      </c>
      <c r="C67" s="11">
        <f>('[1]资源-玩家城池建筑时间'!D69-'[1]资源-玩家城池建筑时间'!D68)*'[1]功能-付费相关'!AH69/节奏总纲!W67</f>
        <v>1892.1525163030719</v>
      </c>
      <c r="D67" s="11">
        <f>('[1]资源-玩家城池建筑时间'!E69-'[1]资源-玩家城池建筑时间'!E68)*'[1]功能-付费相关'!AI69/节奏总纲!X67</f>
        <v>2230.9991826996365</v>
      </c>
      <c r="E67" s="11">
        <f>('[1]资源-玩家城池建筑时间'!F69-'[1]资源-玩家城池建筑时间'!F68)*'[1]功能-付费相关'!AJ69/节奏总纲!Y67</f>
        <v>2587.8398245331373</v>
      </c>
      <c r="F67" s="11">
        <f>('[1]资源-玩家城池建筑时间'!G69-'[1]资源-玩家城池建筑时间'!G68)*'[1]功能-付费相关'!AK69/节奏总纲!Z67</f>
        <v>3367.8234298805837</v>
      </c>
      <c r="G67" s="11">
        <f>('[1]资源-玩家城池建筑时间'!H69-'[1]资源-玩家城池建筑时间'!H68)*'[1]功能-付费相关'!AL69/节奏总纲!AA67</f>
        <v>3797.4791977494779</v>
      </c>
      <c r="I67" s="31">
        <f>('[1]资源-士兵训练时间'!C69-'[1]资源-士兵训练时间'!C68)*'[1]功能-付费相关'!AH69/节奏总纲!W67</f>
        <v>739.96102806404076</v>
      </c>
      <c r="J67" s="31">
        <f>('[1]资源-士兵训练时间'!D69-'[1]资源-士兵训练时间'!D68)*'[1]功能-付费相关'!AI69/节奏总纲!X67</f>
        <v>752.42733706846877</v>
      </c>
      <c r="K67" s="31">
        <f>('[1]资源-士兵训练时间'!E69-'[1]资源-士兵训练时间'!E68)*'[1]功能-付费相关'!AJ69/节奏总纲!Y67</f>
        <v>769.27742522252731</v>
      </c>
      <c r="L67" s="31">
        <f>('[1]资源-士兵训练时间'!F69-'[1]资源-士兵训练时间'!F68)*'[1]功能-付费相关'!AK69/节奏总纲!Z67</f>
        <v>821.74262869612153</v>
      </c>
      <c r="M67" s="31">
        <f>('[1]资源-士兵训练时间'!G69-'[1]资源-士兵训练时间'!G68)*'[1]功能-付费相关'!AL69/节奏总纲!AA67</f>
        <v>930.49859922550763</v>
      </c>
      <c r="O67" s="11">
        <f>('[1]资源-士兵招募时间'!D69-'[1]资源-士兵招募时间'!D68)*'[1]功能-付费相关'!AH69/节奏总纲!W67</f>
        <v>1655.1913400627914</v>
      </c>
      <c r="P67" s="11">
        <f>('[1]资源-士兵招募时间'!E69-'[1]资源-士兵招募时间'!E68)*'[1]功能-付费相关'!AI69/节奏总纲!X67</f>
        <v>1806.5297423449977</v>
      </c>
      <c r="Q67" s="11">
        <f>('[1]资源-士兵招募时间'!F69-'[1]资源-士兵招募时间'!F68)*'[1]功能-付费相关'!AJ69/节奏总纲!Y67</f>
        <v>1930.9445295247613</v>
      </c>
      <c r="R67" s="11">
        <f>('[1]资源-士兵招募时间'!G69-'[1]资源-士兵招募时间'!G68)*'[1]功能-付费相关'!AK69/节奏总纲!Z67</f>
        <v>2258.6825576125621</v>
      </c>
      <c r="S67" s="11">
        <f>('[1]资源-士兵招募时间'!H69-'[1]资源-士兵招募时间'!H68)*'[1]功能-付费相关'!AL69/节奏总纲!AA67</f>
        <v>2577.215998534346</v>
      </c>
      <c r="U67" s="31">
        <f>('[1]资源-木石铜粮'!C69-'[1]资源-木石铜粮'!C68)*'[1]功能-付费相关'!S69/节奏总纲!W67</f>
        <v>1492.3483931826929</v>
      </c>
      <c r="V67" s="31">
        <f>('[1]资源-木石铜粮'!D69-'[1]资源-木石铜粮'!D68)*'[1]功能-付费相关'!T69/节奏总纲!X67</f>
        <v>1636.7673131499023</v>
      </c>
      <c r="W67" s="31">
        <f>('[1]资源-木石铜粮'!E69-'[1]资源-木石铜粮'!E68)*'[1]功能-付费相关'!U69/节奏总纲!Y67</f>
        <v>1786.9680508992587</v>
      </c>
      <c r="X67" s="31">
        <f>('[1]资源-木石铜粮'!F69-'[1]资源-木石铜粮'!F68)*'[1]功能-付费相关'!V69/节奏总纲!Z67</f>
        <v>2029.0799857170189</v>
      </c>
      <c r="Y67" s="31">
        <f>('[1]资源-木石铜粮'!G69-'[1]资源-木石铜粮'!G68)*'[1]功能-付费相关'!W69/节奏总纲!AA67</f>
        <v>2359.4533329197475</v>
      </c>
      <c r="AA67" s="11">
        <f>('[1]资源-铁'!C69-'[1]资源-铁'!C68)*'[1]功能-付费相关'!X69/节奏总纲!W67</f>
        <v>487.76783725315403</v>
      </c>
      <c r="AB67" s="11">
        <f>('[1]资源-铁'!D69-'[1]资源-铁'!D68)*'[1]功能-付费相关'!Y69/节奏总纲!X67</f>
        <v>551.75436869297516</v>
      </c>
      <c r="AC67" s="11">
        <f>('[1]资源-铁'!E69-'[1]资源-铁'!E68)*'[1]功能-付费相关'!Z69/节奏总纲!Y67</f>
        <v>607.26959638774269</v>
      </c>
      <c r="AD67" s="11">
        <f>('[1]资源-铁'!F69-'[1]资源-铁'!F68)*'[1]功能-付费相关'!AA69/节奏总纲!Z67</f>
        <v>811.07036978389135</v>
      </c>
      <c r="AE67" s="11">
        <f>('[1]资源-铁'!G69-'[1]资源-铁'!G68)*'[1]功能-付费相关'!AB69/节奏总纲!AA67</f>
        <v>1077.7406352255741</v>
      </c>
      <c r="AG67" s="11">
        <f>('[1]资源-银币'!C69-'[1]资源-银币'!C68)*'[1]功能-付费相关'!AQ69/节奏总纲!W67</f>
        <v>736.66603380363404</v>
      </c>
      <c r="AH67" s="11">
        <f>('[1]资源-银币'!D69-'[1]资源-银币'!D68)*'[1]功能-付费相关'!AR69/节奏总纲!X67</f>
        <v>757.318215931022</v>
      </c>
      <c r="AI67" s="11">
        <f>('[1]资源-银币'!E69-'[1]资源-银币'!E68)*'[1]功能-付费相关'!AS69/节奏总纲!Y67</f>
        <v>796.38249276736599</v>
      </c>
      <c r="AJ67" s="11">
        <f>('[1]资源-银币'!F69-'[1]资源-银币'!F68)*'[1]功能-付费相关'!AT69/节奏总纲!Z67</f>
        <v>866.00293676160209</v>
      </c>
      <c r="AK67" s="11">
        <f>('[1]资源-银币'!G69-'[1]资源-银币'!G68)*'[1]功能-付费相关'!AU69/节奏总纲!AA67</f>
        <v>1031.2651901828172</v>
      </c>
      <c r="AM67" s="11" t="e">
        <f>(#REF!-#REF!)*'[1]功能-付费相关'!CA69/节奏总纲!W67</f>
        <v>#REF!</v>
      </c>
      <c r="AN67" s="11" t="e">
        <f>(#REF!-#REF!)*'[1]功能-付费相关'!CB69/节奏总纲!X67</f>
        <v>#REF!</v>
      </c>
      <c r="AO67" s="11" t="e">
        <f>(#REF!-#REF!)*'[1]功能-付费相关'!CC69/节奏总纲!Y67</f>
        <v>#REF!</v>
      </c>
      <c r="AP67" s="11" t="e">
        <f>(#REF!-#REF!)*'[1]功能-付费相关'!CD69/节奏总纲!Z67</f>
        <v>#REF!</v>
      </c>
      <c r="AQ67" s="11" t="e">
        <f>(#REF!-#REF!)*'[1]功能-付费相关'!CE69/节奏总纲!AA67</f>
        <v>#REF!</v>
      </c>
      <c r="AS67" s="11">
        <f>('[1]资源-装备经验'!C69-'[1]资源-装备经验'!C68)*'[1]功能-付费相关'!BI69/节奏总纲!W67</f>
        <v>907.99483935261253</v>
      </c>
      <c r="AT67" s="11">
        <f>('[1]资源-装备经验'!D69-'[1]资源-装备经验'!D68)*'[1]功能-付费相关'!BJ69/节奏总纲!X67</f>
        <v>1266.5066186976726</v>
      </c>
      <c r="AU67" s="11">
        <f>('[1]资源-装备经验'!E69-'[1]资源-装备经验'!E68)*'[1]功能-付费相关'!BK69/节奏总纲!Y67</f>
        <v>1739.2163768009061</v>
      </c>
      <c r="AV67" s="11">
        <f>('[1]资源-装备经验'!F69-'[1]资源-装备经验'!F68)*'[1]功能-付费相关'!BL69/节奏总纲!Z67</f>
        <v>2263.4687696325309</v>
      </c>
      <c r="AW67" s="11">
        <f>('[1]资源-装备经验'!G69-'[1]资源-装备经验'!G68)*'[1]功能-付费相关'!BM69/节奏总纲!AA67</f>
        <v>2408.8141846896447</v>
      </c>
      <c r="AY67" s="11">
        <f>('[1]资源-武将经验'!C69*节奏总纲!BJ67-'[1]资源-武将经验'!C68*节奏总纲!BJ66)*'[1]功能-付费相关'!AZ69/节奏总纲!W67</f>
        <v>4791.8521301968713</v>
      </c>
      <c r="AZ67" s="11">
        <f>('[1]资源-武将经验'!D69*节奏总纲!BK67-'[1]资源-武将经验'!D68*节奏总纲!BK66)*'[1]功能-付费相关'!BA69/节奏总纲!X67</f>
        <v>6068.7266850961178</v>
      </c>
      <c r="BA67" s="11">
        <f>('[1]资源-武将经验'!E69*节奏总纲!BL67-'[1]资源-武将经验'!E68*节奏总纲!BL66)*'[1]功能-付费相关'!BB69/节奏总纲!Y67</f>
        <v>8108.6782959088632</v>
      </c>
      <c r="BB67" s="11">
        <f>('[1]资源-武将经验'!F69*节奏总纲!BM67-'[1]资源-武将经验'!F68*节奏总纲!BM66)*'[1]功能-付费相关'!BC69/节奏总纲!Z67</f>
        <v>21251.010835811565</v>
      </c>
      <c r="BC67" s="11">
        <f>('[1]资源-武将经验'!G69*节奏总纲!BN67-'[1]资源-武将经验'!G68*节奏总纲!BN66)*'[1]功能-付费相关'!BD69/节奏总纲!AA67</f>
        <v>50852.619872937175</v>
      </c>
      <c r="BD67" s="33"/>
      <c r="BE67" s="30" t="e">
        <f t="shared" si="4"/>
        <v>#REF!</v>
      </c>
      <c r="BF67" s="30" t="e">
        <f t="shared" si="5"/>
        <v>#REF!</v>
      </c>
      <c r="BG67" s="30" t="e">
        <f t="shared" si="6"/>
        <v>#REF!</v>
      </c>
      <c r="BH67" s="30" t="e">
        <f t="shared" si="7"/>
        <v>#REF!</v>
      </c>
      <c r="BI67" s="30" t="e">
        <f t="shared" si="8"/>
        <v>#REF!</v>
      </c>
    </row>
    <row r="68" spans="2:61" x14ac:dyDescent="0.15">
      <c r="B68" s="31">
        <v>65</v>
      </c>
      <c r="C68" s="11">
        <f>('[1]资源-玩家城池建筑时间'!D70-'[1]资源-玩家城池建筑时间'!D69)*'[1]功能-付费相关'!AH70/节奏总纲!W68</f>
        <v>1885.5933501384588</v>
      </c>
      <c r="D68" s="11">
        <f>('[1]资源-玩家城池建筑时间'!E70-'[1]资源-玩家城池建筑时间'!E69)*'[1]功能-付费相关'!AI70/节奏总纲!X68</f>
        <v>2221.3214573650794</v>
      </c>
      <c r="E68" s="11">
        <f>('[1]资源-玩家城池建筑时间'!F70-'[1]资源-玩家城池建筑时间'!F69)*'[1]功能-付费相关'!AJ70/节奏总纲!Y68</f>
        <v>2661.380853571728</v>
      </c>
      <c r="F68" s="11">
        <f>('[1]资源-玩家城池建筑时间'!G70-'[1]资源-玩家城池建筑时间'!G69)*'[1]功能-付费相关'!AK70/节奏总纲!Z68</f>
        <v>3361.0074391603666</v>
      </c>
      <c r="G68" s="11">
        <f>('[1]资源-玩家城池建筑时间'!H70-'[1]资源-玩家城池建筑时间'!H69)*'[1]功能-付费相关'!AL70/节奏总纲!AA68</f>
        <v>3562.4640776058254</v>
      </c>
      <c r="I68" s="31">
        <f>('[1]资源-士兵训练时间'!C70-'[1]资源-士兵训练时间'!C69)*'[1]功能-付费相关'!AH70/节奏总纲!W68</f>
        <v>738.35550420837797</v>
      </c>
      <c r="J68" s="31">
        <f>('[1]资源-士兵训练时间'!D70-'[1]资源-士兵训练时间'!D69)*'[1]功能-付费相关'!AI70/节奏总纲!X68</f>
        <v>750.08638318747501</v>
      </c>
      <c r="K68" s="31">
        <f>('[1]资源-士兵训练时间'!E70-'[1]资源-士兵训练时间'!E69)*'[1]功能-付费相关'!AJ70/节奏总纲!Y68</f>
        <v>788.97823597714807</v>
      </c>
      <c r="L68" s="31">
        <f>('[1]资源-士兵训练时间'!F70-'[1]资源-士兵训练时间'!F69)*'[1]功能-付费相关'!AK70/节奏总纲!Z68</f>
        <v>820.01419540617019</v>
      </c>
      <c r="M68" s="31">
        <f>('[1]资源-士兵训练时间'!G70-'[1]资源-士兵训练时间'!G69)*'[1]功能-付费相关'!AL70/节奏总纲!AA68</f>
        <v>871.97442769030192</v>
      </c>
      <c r="O68" s="11">
        <f>('[1]资源-士兵招募时间'!D70-'[1]资源-士兵招募时间'!D69)*'[1]功能-付费相关'!AH70/节奏总纲!W68</f>
        <v>1661.3744678887419</v>
      </c>
      <c r="P68" s="11">
        <f>('[1]资源-士兵招募时间'!E70-'[1]资源-士兵招募时间'!E69)*'[1]功能-付费相关'!AI70/节奏总纲!X68</f>
        <v>1823.750375381215</v>
      </c>
      <c r="Q68" s="11">
        <f>('[1]资源-士兵招募时间'!F70-'[1]资源-士兵招募时间'!F69)*'[1]功能-付费相关'!AJ70/节奏总纲!Y68</f>
        <v>1979.792770978393</v>
      </c>
      <c r="R68" s="11">
        <f>('[1]资源-士兵招募时间'!G70-'[1]资源-士兵招募时间'!G69)*'[1]功能-付费相关'!AK70/节奏总纲!Z68</f>
        <v>2271.206800624981</v>
      </c>
      <c r="S68" s="11">
        <f>('[1]资源-士兵招募时间'!H70-'[1]资源-士兵招募时间'!H69)*'[1]功能-付费相关'!AL70/节奏总纲!AA68</f>
        <v>2531.2115694994927</v>
      </c>
      <c r="U68" s="31">
        <f>('[1]资源-木石铜粮'!C70-'[1]资源-木石铜粮'!C69)*'[1]功能-付费相关'!S70/节奏总纲!W68</f>
        <v>1527.3248140857515</v>
      </c>
      <c r="V68" s="31">
        <f>('[1]资源-木石铜粮'!D70-'[1]资源-木石铜粮'!D69)*'[1]功能-付费相关'!T70/节奏总纲!X68</f>
        <v>1639.9449628518544</v>
      </c>
      <c r="W68" s="31">
        <f>('[1]资源-木石铜粮'!E70-'[1]资源-木石铜粮'!E69)*'[1]功能-付费相关'!U70/节奏总纲!Y68</f>
        <v>1875.8305095717283</v>
      </c>
      <c r="X68" s="31">
        <f>('[1]资源-木石铜粮'!F70-'[1]资源-木石铜粮'!F69)*'[1]功能-付费相关'!V70/节奏总纲!Z68</f>
        <v>2015.3942509825881</v>
      </c>
      <c r="Y68" s="31">
        <f>('[1]资源-木石铜粮'!G70-'[1]资源-木石铜粮'!G69)*'[1]功能-付费相关'!W70/节奏总纲!AA68</f>
        <v>2275.6436861683419</v>
      </c>
      <c r="AA68" s="11">
        <f>('[1]资源-铁'!C70-'[1]资源-铁'!C69)*'[1]功能-付费相关'!X70/节奏总纲!W68</f>
        <v>515.2167947363256</v>
      </c>
      <c r="AB68" s="11">
        <f>('[1]资源-铁'!D70-'[1]资源-铁'!D69)*'[1]功能-付费相关'!Y70/节奏总纲!X68</f>
        <v>547.1368752759862</v>
      </c>
      <c r="AC68" s="11">
        <f>('[1]资源-铁'!E70-'[1]资源-铁'!E69)*'[1]功能-付费相关'!Z70/节奏总纲!Y68</f>
        <v>701.58818246057785</v>
      </c>
      <c r="AD68" s="11">
        <f>('[1]资源-铁'!F70-'[1]资源-铁'!F69)*'[1]功能-付费相关'!AA70/节奏总纲!Z68</f>
        <v>788.0930022315398</v>
      </c>
      <c r="AE68" s="11">
        <f>('[1]资源-铁'!G70-'[1]资源-铁'!G69)*'[1]功能-付费相关'!AB70/节奏总纲!AA68</f>
        <v>951.65617272934867</v>
      </c>
      <c r="AG68" s="11">
        <f>('[1]资源-银币'!C70-'[1]资源-银币'!C69)*'[1]功能-付费相关'!AQ70/节奏总纲!W68</f>
        <v>734.50364830276692</v>
      </c>
      <c r="AH68" s="11">
        <f>('[1]资源-银币'!D70-'[1]资源-银币'!D69)*'[1]功能-付费相关'!AR70/节奏总纲!X68</f>
        <v>766.41615155776242</v>
      </c>
      <c r="AI68" s="11">
        <f>('[1]资源-银币'!E70-'[1]资源-银币'!E69)*'[1]功能-付费相关'!AS70/节奏总纲!Y68</f>
        <v>829.19554107192619</v>
      </c>
      <c r="AJ68" s="11">
        <f>('[1]资源-银币'!F70-'[1]资源-银币'!F69)*'[1]功能-付费相关'!AT70/节奏总纲!Z68</f>
        <v>874.18717199702621</v>
      </c>
      <c r="AK68" s="11">
        <f>('[1]资源-银币'!G70-'[1]资源-银币'!G69)*'[1]功能-付费相关'!AU70/节奏总纲!AA68</f>
        <v>907.73435336486148</v>
      </c>
      <c r="AM68" s="11" t="e">
        <f>(#REF!-#REF!)*'[1]功能-付费相关'!CA70/节奏总纲!W68</f>
        <v>#REF!</v>
      </c>
      <c r="AN68" s="11" t="e">
        <f>(#REF!-#REF!)*'[1]功能-付费相关'!CB70/节奏总纲!X68</f>
        <v>#REF!</v>
      </c>
      <c r="AO68" s="11" t="e">
        <f>(#REF!-#REF!)*'[1]功能-付费相关'!CC70/节奏总纲!Y68</f>
        <v>#REF!</v>
      </c>
      <c r="AP68" s="11" t="e">
        <f>(#REF!-#REF!)*'[1]功能-付费相关'!CD70/节奏总纲!Z68</f>
        <v>#REF!</v>
      </c>
      <c r="AQ68" s="11" t="e">
        <f>(#REF!-#REF!)*'[1]功能-付费相关'!CE70/节奏总纲!AA68</f>
        <v>#REF!</v>
      </c>
      <c r="AS68" s="11">
        <f>('[1]资源-装备经验'!C70-'[1]资源-装备经验'!C69)*'[1]功能-付费相关'!BI70/节奏总纲!W68</f>
        <v>883.85748942679766</v>
      </c>
      <c r="AT68" s="11">
        <f>('[1]资源-装备经验'!D70-'[1]资源-装备经验'!D69)*'[1]功能-付费相关'!BJ70/节奏总纲!X68</f>
        <v>1236.2372770482568</v>
      </c>
      <c r="AU68" s="11">
        <f>('[1]资源-装备经验'!E70-'[1]资源-装备经验'!E69)*'[1]功能-付费相关'!BK70/节奏总纲!Y68</f>
        <v>1871.200024193721</v>
      </c>
      <c r="AV68" s="11">
        <f>('[1]资源-装备经验'!F70-'[1]资源-装备经验'!F69)*'[1]功能-付费相关'!BL70/节奏总纲!Z68</f>
        <v>2186.2198127362694</v>
      </c>
      <c r="AW68" s="11">
        <f>('[1]资源-装备经验'!G70-'[1]资源-装备经验'!G69)*'[1]功能-付费相关'!BM70/节奏总纲!AA68</f>
        <v>2178.7617215263576</v>
      </c>
      <c r="AY68" s="11">
        <f>('[1]资源-武将经验'!C70*节奏总纲!BJ68-'[1]资源-武将经验'!C69*节奏总纲!BJ67)*'[1]功能-付费相关'!AZ70/节奏总纲!W68</f>
        <v>4762.447958194577</v>
      </c>
      <c r="AZ68" s="11">
        <f>('[1]资源-武将经验'!D70*节奏总纲!BK68-'[1]资源-武将经验'!D69*节奏总纲!BK67)*'[1]功能-付费相关'!BA70/节奏总纲!X68</f>
        <v>6018.1660391459764</v>
      </c>
      <c r="BA68" s="11">
        <f>('[1]资源-武将经验'!E70*节奏总纲!BL68-'[1]资源-武将经验'!E69*节奏总纲!BL67)*'[1]功能-付费相关'!BB70/节奏总纲!Y68</f>
        <v>9785.9076994504685</v>
      </c>
      <c r="BB68" s="11">
        <f>('[1]资源-武将经验'!F70*节奏总纲!BM68-'[1]资源-武将经验'!F69*节奏总纲!BM67)*'[1]功能-付费相关'!BC70/节奏总纲!Z68</f>
        <v>26718.487380784598</v>
      </c>
      <c r="BC68" s="11">
        <f>('[1]资源-武将经验'!G70*节奏总纲!BN68-'[1]资源-武将经验'!G69*节奏总纲!BN67)*'[1]功能-付费相关'!BD70/节奏总纲!AA68</f>
        <v>40885.711839266885</v>
      </c>
      <c r="BD68" s="33"/>
      <c r="BE68" s="30" t="e">
        <f t="shared" si="4"/>
        <v>#REF!</v>
      </c>
      <c r="BF68" s="30" t="e">
        <f t="shared" ref="BF68:BF103" si="9">D68+V68+AB68+AH68+AN68+AT68+AZ68</f>
        <v>#REF!</v>
      </c>
      <c r="BG68" s="30" t="e">
        <f t="shared" ref="BG68:BG103" si="10">E68+W68+AC68+AI68+AO68+AU68+BA68</f>
        <v>#REF!</v>
      </c>
      <c r="BH68" s="30" t="e">
        <f t="shared" ref="BH68:BH103" si="11">F68+X68+AD68+AJ68+AP68+AV68+BB68</f>
        <v>#REF!</v>
      </c>
      <c r="BI68" s="30" t="e">
        <f t="shared" ref="BI68:BI103" si="12">G68+Y68+AE68+AK68+AQ68+AW68+BC68</f>
        <v>#REF!</v>
      </c>
    </row>
    <row r="69" spans="2:61" x14ac:dyDescent="0.15">
      <c r="B69" s="31">
        <v>66</v>
      </c>
      <c r="C69" s="11">
        <f>('[1]资源-玩家城池建筑时间'!D71-'[1]资源-玩家城池建筑时间'!D70)*'[1]功能-付费相关'!AH71/节奏总纲!W69</f>
        <v>1879.4699432261414</v>
      </c>
      <c r="D69" s="11">
        <f>('[1]资源-玩家城池建筑时间'!E71-'[1]资源-玩家城池建筑时间'!E70)*'[1]功能-付费相关'!AI71/节奏总纲!X69</f>
        <v>2279.8044645994105</v>
      </c>
      <c r="E69" s="11">
        <f>('[1]资源-玩家城池建筑时间'!F71-'[1]资源-玩家城池建筑时间'!F70)*'[1]功能-付费相关'!AJ71/节奏总纲!Y69</f>
        <v>2650.423619933737</v>
      </c>
      <c r="F69" s="11">
        <f>('[1]资源-玩家城池建筑时间'!G71-'[1]资源-玩家城池建筑时间'!G70)*'[1]功能-付费相关'!AK71/节奏总纲!Z69</f>
        <v>3315.4051186233214</v>
      </c>
      <c r="G69" s="11">
        <f>('[1]资源-玩家城池建筑时间'!H71-'[1]资源-玩家城池建筑时间'!H70)*'[1]功能-付费相关'!AL71/节奏总纲!AA69</f>
        <v>3516.4530241345265</v>
      </c>
      <c r="I69" s="31">
        <f>('[1]资源-士兵训练时间'!C71-'[1]资源-士兵训练时间'!C70)*'[1]功能-付费相关'!AH71/节奏总纲!W69</f>
        <v>736.89865381199127</v>
      </c>
      <c r="J69" s="31">
        <f>('[1]资源-士兵训练时间'!D71-'[1]资源-士兵训练时间'!D70)*'[1]功能-付费相关'!AI71/节奏总纲!X69</f>
        <v>765.52600514590847</v>
      </c>
      <c r="K69" s="31">
        <f>('[1]资源-士兵训练时间'!E71-'[1]资源-士兵训练时间'!E70)*'[1]功能-付费相关'!AJ71/节奏总纲!Y69</f>
        <v>786.32607910970978</v>
      </c>
      <c r="L69" s="31">
        <f>('[1]资源-士兵训练时间'!F71-'[1]资源-士兵训练时间'!F70)*'[1]功能-付费相关'!AK71/节奏总纲!Z69</f>
        <v>808.629259527915</v>
      </c>
      <c r="M69" s="31">
        <f>('[1]资源-士兵训练时间'!G71-'[1]资源-士兵训练时间'!G70)*'[1]功能-付费相关'!AL71/节奏总纲!AA69</f>
        <v>860.47376748013028</v>
      </c>
      <c r="O69" s="11">
        <f>('[1]资源-士兵招募时间'!D71-'[1]资源-士兵招募时间'!D70)*'[1]功能-付费相关'!AH71/节奏总纲!W69</f>
        <v>1685.4126399999675</v>
      </c>
      <c r="P69" s="11">
        <f>('[1]资源-士兵招募时间'!E71-'[1]资源-士兵招募时间'!E70)*'[1]功能-付费相关'!AI71/节奏总纲!X69</f>
        <v>1852.7336425262849</v>
      </c>
      <c r="Q69" s="11">
        <f>('[1]资源-士兵招募时间'!F71-'[1]资源-士兵招募时间'!F70)*'[1]功能-付费相关'!AJ71/节奏总纲!Y69</f>
        <v>1984.3884905292471</v>
      </c>
      <c r="R69" s="11">
        <f>('[1]资源-士兵招募时间'!G71-'[1]资源-士兵招募时间'!G70)*'[1]功能-付费相关'!AK71/节奏总纲!Z69</f>
        <v>2268.068573041081</v>
      </c>
      <c r="S69" s="11">
        <f>('[1]资源-士兵招募时间'!H71-'[1]资源-士兵招募时间'!H70)*'[1]功能-付费相关'!AL71/节奏总纲!AA69</f>
        <v>2537.1708788280598</v>
      </c>
      <c r="U69" s="31">
        <f>('[1]资源-木石铜粮'!C71-'[1]资源-木石铜粮'!C70)*'[1]功能-付费相关'!S71/节奏总纲!W69</f>
        <v>1546.4317783301728</v>
      </c>
      <c r="V69" s="31">
        <f>('[1]资源-木石铜粮'!D71-'[1]资源-木石铜粮'!D70)*'[1]功能-付费相关'!T71/节奏总纲!X69</f>
        <v>1715.9875604907947</v>
      </c>
      <c r="W69" s="31">
        <f>('[1]资源-木石铜粮'!E71-'[1]资源-木石铜粮'!E70)*'[1]功能-付费相关'!U71/节奏总纲!Y69</f>
        <v>1875.356305179743</v>
      </c>
      <c r="X69" s="31">
        <f>('[1]资源-木石铜粮'!F71-'[1]资源-木石铜粮'!F70)*'[1]功能-付费相关'!V71/节奏总纲!Z69</f>
        <v>1999.4688055209056</v>
      </c>
      <c r="Y69" s="31">
        <f>('[1]资源-木石铜粮'!G71-'[1]资源-木石铜粮'!G70)*'[1]功能-付费相关'!W71/节奏总纲!AA69</f>
        <v>2258.8382696298959</v>
      </c>
      <c r="AA69" s="11">
        <f>('[1]资源-铁'!C71-'[1]资源-铁'!C70)*'[1]功能-付费相关'!X71/节奏总纲!W69</f>
        <v>527.84112144431526</v>
      </c>
      <c r="AB69" s="11">
        <f>('[1]资源-铁'!D71-'[1]资源-铁'!D70)*'[1]功能-付费相关'!Y71/节奏总纲!X69</f>
        <v>625.68720986793642</v>
      </c>
      <c r="AC69" s="11">
        <f>('[1]资源-铁'!E71-'[1]资源-铁'!E70)*'[1]功能-付费相关'!Z71/节奏总纲!Y69</f>
        <v>692.08248437470559</v>
      </c>
      <c r="AD69" s="11">
        <f>('[1]资源-铁'!F71-'[1]资源-铁'!F70)*'[1]功能-付费相关'!AA71/节奏总纲!Z69</f>
        <v>758.43126145193469</v>
      </c>
      <c r="AE69" s="11">
        <f>('[1]资源-铁'!G71-'[1]资源-铁'!G70)*'[1]功能-付费相关'!AB71/节奏总纲!AA69</f>
        <v>923.37690736286322</v>
      </c>
      <c r="AG69" s="11">
        <f>('[1]资源-银币'!C71-'[1]资源-银币'!C70)*'[1]功能-付费相关'!AQ71/节奏总纲!W69</f>
        <v>735.37774034984579</v>
      </c>
      <c r="AH69" s="11">
        <f>('[1]资源-银币'!D71-'[1]资源-银币'!D70)*'[1]功能-付费相关'!AR71/节奏总纲!X69</f>
        <v>787.80552944015915</v>
      </c>
      <c r="AI69" s="11">
        <f>('[1]资源-银币'!E71-'[1]资源-银币'!E70)*'[1]功能-付费相关'!AS71/节奏总纲!Y69</f>
        <v>828.93195109618478</v>
      </c>
      <c r="AJ69" s="11">
        <f>('[1]资源-银币'!F71-'[1]资源-银币'!F70)*'[1]功能-付费相关'!AT71/节奏总纲!Z69</f>
        <v>848.44314826909192</v>
      </c>
      <c r="AK69" s="11">
        <f>('[1]资源-银币'!G71-'[1]资源-银币'!G70)*'[1]功能-付费相关'!AU71/节奏总纲!AA69</f>
        <v>890.42049630391728</v>
      </c>
      <c r="AM69" s="11" t="e">
        <f>(#REF!-#REF!)*'[1]功能-付费相关'!CA71/节奏总纲!W69</f>
        <v>#REF!</v>
      </c>
      <c r="AN69" s="11" t="e">
        <f>(#REF!-#REF!)*'[1]功能-付费相关'!CB71/节奏总纲!X69</f>
        <v>#REF!</v>
      </c>
      <c r="AO69" s="11" t="e">
        <f>(#REF!-#REF!)*'[1]功能-付费相关'!CC71/节奏总纲!Y69</f>
        <v>#REF!</v>
      </c>
      <c r="AP69" s="11" t="e">
        <f>(#REF!-#REF!)*'[1]功能-付费相关'!CD71/节奏总纲!Z69</f>
        <v>#REF!</v>
      </c>
      <c r="AQ69" s="11" t="e">
        <f>(#REF!-#REF!)*'[1]功能-付费相关'!CE71/节奏总纲!AA69</f>
        <v>#REF!</v>
      </c>
      <c r="AS69" s="11">
        <f>('[1]资源-装备经验'!C71-'[1]资源-装备经验'!C70)*'[1]功能-付费相关'!BI71/节奏总纲!W69</f>
        <v>862.22715951084376</v>
      </c>
      <c r="AT69" s="11">
        <f>('[1]资源-装备经验'!D71-'[1]资源-装备经验'!D70)*'[1]功能-付费相关'!BJ71/节奏总纲!X69</f>
        <v>1324.377511297391</v>
      </c>
      <c r="AU69" s="11">
        <f>('[1]资源-装备经验'!E71-'[1]资源-装备经验'!E70)*'[1]功能-付费相关'!BK71/节奏总纲!Y69</f>
        <v>1824.4291918296678</v>
      </c>
      <c r="AV69" s="11">
        <f>('[1]资源-装备经验'!F71-'[1]资源-装备经验'!F70)*'[1]功能-付费相关'!BL71/节奏总纲!Z69</f>
        <v>2084.1421683896506</v>
      </c>
      <c r="AW69" s="11">
        <f>('[1]资源-装备经验'!G71-'[1]资源-装备经验'!G70)*'[1]功能-付费相关'!BM71/节奏总纲!AA69</f>
        <v>2121.2058451605953</v>
      </c>
      <c r="AY69" s="11">
        <f>('[1]资源-武将经验'!C71*节奏总纲!BJ69-'[1]资源-武将经验'!C70*节奏总纲!BJ68)*'[1]功能-付费相关'!AZ71/节奏总纲!W69</f>
        <v>4735.7507834015196</v>
      </c>
      <c r="AZ69" s="11">
        <f>('[1]资源-武将经验'!D71*节奏总纲!BK69-'[1]资源-武将经验'!D70*节奏总纲!BK68)*'[1]功能-付费相关'!BA71/节奏总纲!X69</f>
        <v>7661.8223774099133</v>
      </c>
      <c r="BA69" s="11">
        <f>('[1]资源-武将经验'!E71*节奏总纲!BL69-'[1]资源-武将经验'!E70*节奏总纲!BL68)*'[1]功能-付费相关'!BB71/节奏总纲!Y69</f>
        <v>11087.702511795418</v>
      </c>
      <c r="BB69" s="11">
        <f>('[1]资源-武将经验'!F71*节奏总纲!BM69-'[1]资源-武将经验'!F70*节奏总纲!BM68)*'[1]功能-付费相关'!BC71/节奏总纲!Z69</f>
        <v>25137.184436907926</v>
      </c>
      <c r="BC69" s="11">
        <f>('[1]资源-武将经验'!G71*节奏总纲!BN69-'[1]资源-武将经验'!G70*节奏总纲!BN68)*'[1]功能-付费相关'!BD71/节奏总纲!AA69</f>
        <v>39077.750775026681</v>
      </c>
      <c r="BD69" s="33"/>
      <c r="BE69" s="30" t="e">
        <f t="shared" ref="BE69:BE103" si="13">C69+I69+U69+AA69+AG69+AM69+AS69+AY69</f>
        <v>#REF!</v>
      </c>
      <c r="BF69" s="30" t="e">
        <f t="shared" si="9"/>
        <v>#REF!</v>
      </c>
      <c r="BG69" s="30" t="e">
        <f t="shared" si="10"/>
        <v>#REF!</v>
      </c>
      <c r="BH69" s="30" t="e">
        <f t="shared" si="11"/>
        <v>#REF!</v>
      </c>
      <c r="BI69" s="30" t="e">
        <f t="shared" si="12"/>
        <v>#REF!</v>
      </c>
    </row>
    <row r="70" spans="2:61" x14ac:dyDescent="0.15">
      <c r="B70" s="31">
        <v>67</v>
      </c>
      <c r="C70" s="11">
        <f>('[1]资源-玩家城池建筑时间'!D72-'[1]资源-玩家城池建筑时间'!D71)*'[1]功能-付费相关'!AH72/节奏总纲!W70</f>
        <v>1877.7185701081683</v>
      </c>
      <c r="D70" s="11">
        <f>('[1]资源-玩家城池建筑时间'!E72-'[1]资源-玩家城池建筑时间'!E71)*'[1]功能-付费相关'!AI72/节奏总纲!X70</f>
        <v>2235.6656170620026</v>
      </c>
      <c r="E70" s="11">
        <f>('[1]资源-玩家城池建筑时间'!F72-'[1]资源-玩家城池建筑时间'!F71)*'[1]功能-付费相关'!AJ72/节奏总纲!Y70</f>
        <v>2553.9598096995342</v>
      </c>
      <c r="F70" s="11">
        <f>('[1]资源-玩家城池建筑时间'!G72-'[1]资源-玩家城池建筑时间'!G71)*'[1]功能-付费相关'!AK72/节奏总纲!Z70</f>
        <v>3176.3231042723428</v>
      </c>
      <c r="G70" s="11">
        <f>('[1]资源-玩家城池建筑时间'!H72-'[1]资源-玩家城池建筑时间'!H71)*'[1]功能-付费相关'!AL72/节奏总纲!AA70</f>
        <v>3371.2732807421094</v>
      </c>
      <c r="I70" s="31">
        <f>('[1]资源-士兵训练时间'!C72-'[1]资源-士兵训练时间'!C71)*'[1]功能-付费相关'!AH72/节奏总纲!W70</f>
        <v>736.79191307800136</v>
      </c>
      <c r="J70" s="31">
        <f>('[1]资源-士兵训练时间'!D72-'[1]资源-士兵训练时间'!D71)*'[1]功能-付费相关'!AI72/节奏总纲!X70</f>
        <v>754.71551455514816</v>
      </c>
      <c r="K70" s="31">
        <f>('[1]资源-士兵训练时间'!E72-'[1]资源-士兵训练时间'!E71)*'[1]功能-付费相关'!AJ72/节奏总纲!Y70</f>
        <v>762.16717561122573</v>
      </c>
      <c r="L70" s="31">
        <f>('[1]资源-士兵训练时间'!F72-'[1]资源-士兵训练时间'!F71)*'[1]功能-付费相关'!AK72/节奏总纲!Z70</f>
        <v>773.79119801879119</v>
      </c>
      <c r="M70" s="31">
        <f>('[1]资源-士兵训练时间'!G72-'[1]资源-士兵训练时间'!G71)*'[1]功能-付费相关'!AL72/节奏总纲!AA70</f>
        <v>823.90347390350496</v>
      </c>
      <c r="O70" s="11">
        <f>('[1]资源-士兵招募时间'!D72-'[1]资源-士兵招募时间'!D71)*'[1]功能-付费相关'!AH72/节奏总纲!W70</f>
        <v>1690.0357431752977</v>
      </c>
      <c r="P70" s="11">
        <f>('[1]资源-士兵招募时间'!E72-'[1]资源-士兵招募时间'!E71)*'[1]功能-付费相关'!AI72/节奏总纲!X70</f>
        <v>1853.7341995362824</v>
      </c>
      <c r="Q70" s="11">
        <f>('[1]资源-士兵招募时间'!F72-'[1]资源-士兵招募时间'!F71)*'[1]功能-付费相关'!AJ72/节奏总纲!Y70</f>
        <v>1986.589643055959</v>
      </c>
      <c r="R70" s="11">
        <f>('[1]资源-士兵招募时间'!G72-'[1]资源-士兵招募时间'!G71)*'[1]功能-付费相关'!AK72/节奏总纲!Z70</f>
        <v>2245.7038180395916</v>
      </c>
      <c r="S70" s="11">
        <f>('[1]资源-士兵招募时间'!H72-'[1]资源-士兵招募时间'!H71)*'[1]功能-付费相关'!AL72/节奏总纲!AA70</f>
        <v>2521.5233954005694</v>
      </c>
      <c r="U70" s="31">
        <f>('[1]资源-木石铜粮'!C72-'[1]资源-木石铜粮'!C71)*'[1]功能-付费相关'!S72/节奏总纲!W70</f>
        <v>1576.5191443683955</v>
      </c>
      <c r="V70" s="31">
        <f>('[1]资源-木石铜粮'!D72-'[1]资源-木石铜粮'!D71)*'[1]功能-付费相关'!T72/节奏总纲!X70</f>
        <v>1717.3874361962719</v>
      </c>
      <c r="W70" s="31">
        <f>('[1]资源-木石铜粮'!E72-'[1]资源-木石铜粮'!E71)*'[1]功能-付费相关'!U72/节奏总纲!Y70</f>
        <v>1841.5177223876528</v>
      </c>
      <c r="X70" s="31">
        <f>('[1]资源-木石铜粮'!F72-'[1]资源-木石铜粮'!F71)*'[1]功能-付费相关'!V72/节奏总纲!Z70</f>
        <v>1950.7397203288438</v>
      </c>
      <c r="Y70" s="31">
        <f>('[1]资源-木石铜粮'!G72-'[1]资源-木石铜粮'!G71)*'[1]功能-付费相关'!W72/节奏总纲!AA70</f>
        <v>2205.8343196905944</v>
      </c>
      <c r="AA70" s="11">
        <f>('[1]资源-铁'!C72-'[1]资源-铁'!C71)*'[1]功能-付费相关'!X72/节奏总纲!W70</f>
        <v>550.75632474432712</v>
      </c>
      <c r="AB70" s="11">
        <f>('[1]资源-铁'!D72-'[1]资源-铁'!D71)*'[1]功能-付费相关'!Y72/节奏总纲!X70</f>
        <v>611.56023669473825</v>
      </c>
      <c r="AC70" s="11">
        <f>('[1]资源-铁'!E72-'[1]资源-铁'!E71)*'[1]功能-付费相关'!Z72/节奏总纲!Y70</f>
        <v>640.54975419650384</v>
      </c>
      <c r="AD70" s="11">
        <f>('[1]资源-铁'!F72-'[1]资源-铁'!F71)*'[1]功能-付费相关'!AA72/节奏总纲!Z70</f>
        <v>682.24578791447766</v>
      </c>
      <c r="AE70" s="11">
        <f>('[1]资源-铁'!G72-'[1]资源-铁'!G71)*'[1]功能-付费相关'!AB72/节奏总纲!AA70</f>
        <v>845.78507222586495</v>
      </c>
      <c r="AG70" s="11">
        <f>('[1]资源-银币'!C72-'[1]资源-银币'!C71)*'[1]功能-付费相关'!AQ72/节奏总纲!W70</f>
        <v>738.96873539743092</v>
      </c>
      <c r="AH70" s="11">
        <f>('[1]资源-银币'!D72-'[1]资源-银币'!D71)*'[1]功能-付费相关'!AR72/节奏总纲!X70</f>
        <v>771.85105182066513</v>
      </c>
      <c r="AI70" s="11">
        <f>('[1]资源-银币'!E72-'[1]资源-银币'!E71)*'[1]功能-付费相关'!AS72/节奏总纲!Y70</f>
        <v>792.99115186489996</v>
      </c>
      <c r="AJ70" s="11">
        <f>('[1]资源-银币'!F72-'[1]资源-银币'!F71)*'[1]功能-付费相关'!AT72/节奏总纲!Z70</f>
        <v>781.94741066512802</v>
      </c>
      <c r="AK70" s="11">
        <f>('[1]资源-银币'!G72-'[1]资源-银币'!G71)*'[1]功能-付费相关'!AU72/节奏总纲!AA70</f>
        <v>820.2730119078891</v>
      </c>
      <c r="AM70" s="11" t="e">
        <f>(#REF!-#REF!)*'[1]功能-付费相关'!CA72/节奏总纲!W70</f>
        <v>#REF!</v>
      </c>
      <c r="AN70" s="11" t="e">
        <f>(#REF!-#REF!)*'[1]功能-付费相关'!CB72/节奏总纲!X70</f>
        <v>#REF!</v>
      </c>
      <c r="AO70" s="11" t="e">
        <f>(#REF!-#REF!)*'[1]功能-付费相关'!CC72/节奏总纲!Y70</f>
        <v>#REF!</v>
      </c>
      <c r="AP70" s="11" t="e">
        <f>(#REF!-#REF!)*'[1]功能-付费相关'!CD72/节奏总纲!Z70</f>
        <v>#REF!</v>
      </c>
      <c r="AQ70" s="11" t="e">
        <f>(#REF!-#REF!)*'[1]功能-付费相关'!CE72/节奏总纲!AA70</f>
        <v>#REF!</v>
      </c>
      <c r="AS70" s="11">
        <f>('[1]资源-装备经验'!C72-'[1]资源-装备经验'!C71)*'[1]功能-付费相关'!BI72/节奏总纲!W70</f>
        <v>844.15804495569853</v>
      </c>
      <c r="AT70" s="11">
        <f>('[1]资源-装备经验'!D72-'[1]资源-装备经验'!D71)*'[1]功能-付费相关'!BJ72/节奏总纲!X70</f>
        <v>1237.657684505702</v>
      </c>
      <c r="AU70" s="11">
        <f>('[1]资源-装备经验'!E72-'[1]资源-装备经验'!E71)*'[1]功能-付费相关'!BK72/节奏总纲!Y70</f>
        <v>1662.1131294816253</v>
      </c>
      <c r="AV70" s="11">
        <f>('[1]资源-装备经验'!F72-'[1]资源-装备经验'!F71)*'[1]功能-付费相关'!BL72/节奏总纲!Z70</f>
        <v>1859.901654735623</v>
      </c>
      <c r="AW70" s="11">
        <f>('[1]资源-装备经验'!G72-'[1]资源-装备经验'!G71)*'[1]功能-付费相关'!BM72/节奏总纲!AA70</f>
        <v>1988.2897015102692</v>
      </c>
      <c r="AY70" s="11">
        <f>('[1]资源-武将经验'!C72*节奏总纲!BJ70-'[1]资源-武将经验'!C71*节奏总纲!BJ69)*'[1]功能-付费相关'!AZ72/节奏总纲!W70</f>
        <v>5478.9335573829958</v>
      </c>
      <c r="AZ70" s="11">
        <f>('[1]资源-武将经验'!D72*节奏总纲!BK70-'[1]资源-武将经验'!D71*节奏总纲!BK69)*'[1]功能-付费相关'!BA72/节奏总纲!X70</f>
        <v>7435.1534258652491</v>
      </c>
      <c r="BA70" s="11">
        <f>('[1]资源-武将经验'!E72*节奏总纲!BL70-'[1]资源-武将经验'!E71*节奏总纲!BL69)*'[1]功能-付费相关'!BB72/节奏总纲!Y70</f>
        <v>9661.7909754809589</v>
      </c>
      <c r="BB70" s="11">
        <f>('[1]资源-武将经验'!F72*节奏总纲!BM70-'[1]资源-武将经验'!F71*节奏总纲!BM69)*'[1]功能-付费相关'!BC72/节奏总纲!Z70</f>
        <v>20266.092776639362</v>
      </c>
      <c r="BC70" s="11">
        <f>('[1]资源-武将经验'!G72*节奏总纲!BN70-'[1]资源-武将经验'!G71*节奏总纲!BN69)*'[1]功能-付费相关'!BD72/节奏总纲!AA70</f>
        <v>33174.561745147148</v>
      </c>
      <c r="BD70" s="33"/>
      <c r="BE70" s="30" t="e">
        <f t="shared" si="13"/>
        <v>#REF!</v>
      </c>
      <c r="BF70" s="30" t="e">
        <f t="shared" si="9"/>
        <v>#REF!</v>
      </c>
      <c r="BG70" s="30" t="e">
        <f t="shared" si="10"/>
        <v>#REF!</v>
      </c>
      <c r="BH70" s="30" t="e">
        <f t="shared" si="11"/>
        <v>#REF!</v>
      </c>
      <c r="BI70" s="30" t="e">
        <f t="shared" si="12"/>
        <v>#REF!</v>
      </c>
    </row>
    <row r="71" spans="2:61" x14ac:dyDescent="0.15">
      <c r="B71" s="31">
        <v>68</v>
      </c>
      <c r="C71" s="11">
        <f>('[1]资源-玩家城池建筑时间'!D73-'[1]资源-玩家城池建筑时间'!D72)*'[1]功能-付费相关'!AH73/节奏总纲!W71</f>
        <v>1871.0995642905859</v>
      </c>
      <c r="D71" s="11">
        <f>('[1]资源-玩家城池建筑时间'!E73-'[1]资源-玩家城池建筑时间'!E72)*'[1]功能-付费相关'!AI73/节奏总纲!X71</f>
        <v>2187.2373480172673</v>
      </c>
      <c r="E71" s="11">
        <f>('[1]资源-玩家城池建筑时间'!F73-'[1]资源-玩家城池建筑时间'!F72)*'[1]功能-付费相关'!AJ73/节奏总纲!Y71</f>
        <v>2490.8914507976651</v>
      </c>
      <c r="F71" s="11">
        <f>('[1]资源-玩家城池建筑时间'!G73-'[1]资源-玩家城池建筑时间'!G72)*'[1]功能-付费相关'!AK73/节奏总纲!Z71</f>
        <v>3154.2517762791481</v>
      </c>
      <c r="G71" s="11">
        <f>('[1]资源-玩家城池建筑时间'!H73-'[1]资源-玩家城池建筑时间'!H72)*'[1]功能-付费相关'!AL73/节奏总纲!AA71</f>
        <v>3297.4007128965191</v>
      </c>
      <c r="I71" s="31">
        <f>('[1]资源-士兵训练时间'!C73-'[1]资源-士兵训练时间'!C72)*'[1]功能-付费相关'!AH73/节奏总纲!W71</f>
        <v>735.45543891276577</v>
      </c>
      <c r="J71" s="31">
        <f>('[1]资源-士兵训练时间'!D73-'[1]资源-士兵训练时间'!D72)*'[1]功能-付费相关'!AI73/节奏总纲!X71</f>
        <v>742.65474181672482</v>
      </c>
      <c r="K71" s="31">
        <f>('[1]资源-士兵训练时间'!E73-'[1]资源-士兵训练时间'!E72)*'[1]功能-付费相关'!AJ73/节奏总纲!Y71</f>
        <v>746.44902911522661</v>
      </c>
      <c r="L71" s="31">
        <f>('[1]资源-士兵训练时间'!F73-'[1]资源-士兵训练时间'!F72)*'[1]功能-付费相关'!AK73/节奏总纲!Z71</f>
        <v>768.20678202305419</v>
      </c>
      <c r="M71" s="31">
        <f>('[1]资源-士兵训练时间'!G73-'[1]资源-士兵训练时间'!G72)*'[1]功能-付费相关'!AL73/节奏总纲!AA71</f>
        <v>805.26670281739769</v>
      </c>
      <c r="O71" s="11">
        <f>('[1]资源-士兵招募时间'!D73-'[1]资源-士兵招募时间'!D72)*'[1]功能-付费相关'!AH73/节奏总纲!W71</f>
        <v>1693.7525479944823</v>
      </c>
      <c r="P71" s="11">
        <f>('[1]资源-士兵招募时间'!E73-'[1]资源-士兵招募时间'!E72)*'[1]功能-付费相关'!AI73/节奏总纲!X71</f>
        <v>1852.1460386525689</v>
      </c>
      <c r="Q71" s="11">
        <f>('[1]资源-士兵招募时间'!F73-'[1]资源-士兵招募时间'!F72)*'[1]功能-付费相关'!AJ73/节奏总纲!Y71</f>
        <v>1989.1369082464207</v>
      </c>
      <c r="R71" s="11">
        <f>('[1]资源-士兵招募时间'!G73-'[1]资源-士兵招募时间'!G72)*'[1]功能-付费相关'!AK73/节奏总纲!Z71</f>
        <v>2262.4734701540265</v>
      </c>
      <c r="S71" s="11">
        <f>('[1]资源-士兵招募时间'!H73-'[1]资源-士兵招募时间'!H72)*'[1]功能-付费相关'!AL73/节奏总纲!AA71</f>
        <v>2512.7005827976832</v>
      </c>
      <c r="U71" s="31">
        <f>('[1]资源-木石铜粮'!C73-'[1]资源-木石铜粮'!C72)*'[1]功能-付费相关'!S73/节奏总纲!W71</f>
        <v>1605.1484991429988</v>
      </c>
      <c r="V71" s="31">
        <f>('[1]资源-木石铜粮'!D73-'[1]资源-木石铜粮'!D72)*'[1]功能-付费相关'!T73/节奏总纲!X71</f>
        <v>1705.3571646852477</v>
      </c>
      <c r="W71" s="31">
        <f>('[1]资源-木石铜粮'!E73-'[1]资源-木石铜粮'!E72)*'[1]功能-付费相关'!U73/节奏总纲!Y71</f>
        <v>1828.8887488294397</v>
      </c>
      <c r="X71" s="31">
        <f>('[1]资源-木石铜粮'!F73-'[1]资源-木石铜粮'!F72)*'[1]功能-付费相关'!V73/节奏总纲!Z71</f>
        <v>1946.1955829728668</v>
      </c>
      <c r="Y71" s="31">
        <f>('[1]资源-木石铜粮'!G73-'[1]资源-木石铜粮'!G72)*'[1]功能-付费相关'!W73/节奏总纲!AA71</f>
        <v>2192.4359338145473</v>
      </c>
      <c r="AA71" s="11">
        <f>('[1]资源-铁'!C73-'[1]资源-铁'!C72)*'[1]功能-付费相关'!X73/节奏总纲!W71</f>
        <v>572.2452018793341</v>
      </c>
      <c r="AB71" s="11">
        <f>('[1]资源-铁'!D73-'[1]资源-铁'!D72)*'[1]功能-付费相关'!Y73/节奏总纲!X71</f>
        <v>588.37130440973999</v>
      </c>
      <c r="AC71" s="11">
        <f>('[1]资源-铁'!E73-'[1]资源-铁'!E72)*'[1]功能-付费相关'!Z73/节奏总纲!Y71</f>
        <v>606.34550127942782</v>
      </c>
      <c r="AD71" s="11">
        <f>('[1]资源-铁'!F73-'[1]资源-铁'!F72)*'[1]功能-付费相关'!AA73/节奏总纲!Z71</f>
        <v>664.11398359551504</v>
      </c>
      <c r="AE71" s="11">
        <f>('[1]资源-铁'!G73-'[1]资源-铁'!G72)*'[1]功能-付费相关'!AB73/节奏总纲!AA71</f>
        <v>812.24906517397562</v>
      </c>
      <c r="AG71" s="11">
        <f>('[1]资源-银币'!C73-'[1]资源-银币'!C72)*'[1]功能-付费相关'!AQ73/节奏总纲!W71</f>
        <v>748.13153196708504</v>
      </c>
      <c r="AH71" s="11">
        <f>('[1]资源-银币'!D73-'[1]资源-银币'!D72)*'[1]功能-付费相关'!AR73/节奏总纲!X71</f>
        <v>763.01064333517661</v>
      </c>
      <c r="AI71" s="11">
        <f>('[1]资源-银币'!E73-'[1]资源-银币'!E72)*'[1]功能-付费相关'!AS73/节奏总纲!Y71</f>
        <v>763.34219069134599</v>
      </c>
      <c r="AJ71" s="11">
        <f>('[1]资源-银币'!F73-'[1]资源-银币'!F72)*'[1]功能-付费相关'!AT73/节奏总纲!Z71</f>
        <v>780.09057365544072</v>
      </c>
      <c r="AK71" s="11">
        <f>('[1]资源-银币'!G73-'[1]资源-银币'!G72)*'[1]功能-付费相关'!AU73/节奏总纲!AA71</f>
        <v>791.93555901145999</v>
      </c>
      <c r="AM71" s="11" t="e">
        <f>(#REF!-#REF!)*'[1]功能-付费相关'!CA73/节奏总纲!W71</f>
        <v>#REF!</v>
      </c>
      <c r="AN71" s="11" t="e">
        <f>(#REF!-#REF!)*'[1]功能-付费相关'!CB73/节奏总纲!X71</f>
        <v>#REF!</v>
      </c>
      <c r="AO71" s="11" t="e">
        <f>(#REF!-#REF!)*'[1]功能-付费相关'!CC73/节奏总纲!Y71</f>
        <v>#REF!</v>
      </c>
      <c r="AP71" s="11" t="e">
        <f>(#REF!-#REF!)*'[1]功能-付费相关'!CD73/节奏总纲!Z71</f>
        <v>#REF!</v>
      </c>
      <c r="AQ71" s="11" t="e">
        <f>(#REF!-#REF!)*'[1]功能-付费相关'!CE73/节奏总纲!AA71</f>
        <v>#REF!</v>
      </c>
      <c r="AS71" s="11">
        <f>('[1]资源-装备经验'!C73-'[1]资源-装备经验'!C72)*'[1]功能-付费相关'!BI73/节奏总纲!W71</f>
        <v>830.04636459843539</v>
      </c>
      <c r="AT71" s="11">
        <f>('[1]资源-装备经验'!D73-'[1]资源-装备经验'!D72)*'[1]功能-付费相关'!BJ73/节奏总纲!X71</f>
        <v>1162.5523384111436</v>
      </c>
      <c r="AU71" s="11">
        <f>('[1]资源-装备经验'!E73-'[1]资源-装备经验'!E72)*'[1]功能-付费相关'!BK73/节奏总纲!Y71</f>
        <v>1525.6740261667214</v>
      </c>
      <c r="AV71" s="11">
        <f>('[1]资源-装备经验'!F73-'[1]资源-装备经验'!F72)*'[1]功能-付费相关'!BL73/节奏总纲!Z71</f>
        <v>1794.069217919784</v>
      </c>
      <c r="AW71" s="11">
        <f>('[1]资源-装备经验'!G73-'[1]资源-装备经验'!G72)*'[1]功能-付费相关'!BM73/节奏总纲!AA71</f>
        <v>1922.0664281753695</v>
      </c>
      <c r="AY71" s="11">
        <f>('[1]资源-武将经验'!C73*节奏总纲!BJ71-'[1]资源-武将经验'!C72*节奏总纲!BJ70)*'[1]功能-付费相关'!AZ73/节奏总纲!W71</f>
        <v>5452.6177361641967</v>
      </c>
      <c r="AZ71" s="11">
        <f>('[1]资源-武将经验'!D73*节奏总纲!BK71-'[1]资源-武将经验'!D72*节奏总纲!BK70)*'[1]功能-付费相关'!BA73/节奏总纲!X71</f>
        <v>6827.9691545586384</v>
      </c>
      <c r="BA71" s="11">
        <f>('[1]资源-武将经验'!E73*节奏总纲!BL71-'[1]资源-武将经验'!E72*节奏总纲!BL70)*'[1]功能-付费相关'!BB73/节奏总纲!Y71</f>
        <v>8414.2687939894095</v>
      </c>
      <c r="BB71" s="11">
        <f>('[1]资源-武将经验'!F73*节奏总纲!BM71-'[1]资源-武将经验'!F72*节奏总纲!BM70)*'[1]功能-付费相关'!BC73/节奏总纲!Z71</f>
        <v>19112.491278388949</v>
      </c>
      <c r="BC71" s="11">
        <f>('[1]资源-武将经验'!G73*节奏总纲!BN71-'[1]资源-武将经验'!G72*节奏总纲!BN70)*'[1]功能-付费相关'!BD73/节奏总纲!AA71</f>
        <v>30304.325374100496</v>
      </c>
      <c r="BD71" s="33"/>
      <c r="BE71" s="30" t="e">
        <f t="shared" si="13"/>
        <v>#REF!</v>
      </c>
      <c r="BF71" s="30" t="e">
        <f t="shared" si="9"/>
        <v>#REF!</v>
      </c>
      <c r="BG71" s="30" t="e">
        <f t="shared" si="10"/>
        <v>#REF!</v>
      </c>
      <c r="BH71" s="30" t="e">
        <f t="shared" si="11"/>
        <v>#REF!</v>
      </c>
      <c r="BI71" s="30" t="e">
        <f t="shared" si="12"/>
        <v>#REF!</v>
      </c>
    </row>
    <row r="72" spans="2:61" x14ac:dyDescent="0.15">
      <c r="B72" s="31">
        <v>69</v>
      </c>
      <c r="C72" s="11">
        <f>('[1]资源-玩家城池建筑时间'!D74-'[1]资源-玩家城池建筑时间'!D73)*'[1]功能-付费相关'!AH74/节奏总纲!W72</f>
        <v>1865.4714127706975</v>
      </c>
      <c r="D72" s="11">
        <f>('[1]资源-玩家城池建筑时间'!E74-'[1]资源-玩家城池建筑时间'!E73)*'[1]功能-付费相关'!AI74/节奏总纲!X72</f>
        <v>2171.3096952316796</v>
      </c>
      <c r="E72" s="11">
        <f>('[1]资源-玩家城池建筑时间'!F74-'[1]资源-玩家城池建筑时间'!F73)*'[1]功能-付费相关'!AJ74/节奏总纲!Y72</f>
        <v>2495.9897702808148</v>
      </c>
      <c r="F72" s="11">
        <f>('[1]资源-玩家城池建筑时间'!G74-'[1]资源-玩家城池建筑时间'!G73)*'[1]功能-付费相关'!AK74/节奏总纲!Z72</f>
        <v>3167.994087951377</v>
      </c>
      <c r="G72" s="11">
        <f>('[1]资源-玩家城池建筑时间'!H74-'[1]资源-玩家城池建筑时间'!H73)*'[1]功能-付费相关'!AL74/节奏总纲!AA72</f>
        <v>3264.1280254080771</v>
      </c>
      <c r="I72" s="31">
        <f>('[1]资源-士兵训练时间'!C74-'[1]资源-士兵训练时间'!C73)*'[1]功能-付费相关'!AH74/节奏总纲!W72</f>
        <v>734.18324711816115</v>
      </c>
      <c r="J72" s="31">
        <f>('[1]资源-士兵训练时间'!D74-'[1]资源-士兵训练时间'!D73)*'[1]功能-付费相关'!AI74/节奏总纲!X72</f>
        <v>738.78698158931911</v>
      </c>
      <c r="K72" s="31">
        <f>('[1]资源-士兵训练时间'!E74-'[1]资源-士兵训练时间'!E73)*'[1]功能-付费相关'!AJ74/节奏总纲!Y72</f>
        <v>747.78961906545749</v>
      </c>
      <c r="L72" s="31">
        <f>('[1]资源-士兵训练时间'!F74-'[1]资源-士兵训练时间'!F73)*'[1]功能-付费相关'!AK74/节奏总纲!Z72</f>
        <v>771.65604433255828</v>
      </c>
      <c r="M72" s="31">
        <f>('[1]资源-士兵训练时间'!G74-'[1]资源-士兵训练时间'!G73)*'[1]功能-付费相关'!AL74/节奏总纲!AA72</f>
        <v>796.95238491171312</v>
      </c>
      <c r="O72" s="11">
        <f>('[1]资源-士兵招募时间'!D74-'[1]资源-士兵招募时间'!D73)*'[1]功能-付费相关'!AH74/节奏总纲!W72</f>
        <v>1697.8883290160882</v>
      </c>
      <c r="P72" s="11">
        <f>('[1]资源-士兵招募时间'!E74-'[1]资源-士兵招募时间'!E73)*'[1]功能-付费相关'!AI74/节奏总纲!X72</f>
        <v>1867.9156054869891</v>
      </c>
      <c r="Q72" s="11">
        <f>('[1]资源-士兵招募时间'!F74-'[1]资源-士兵招募时间'!F73)*'[1]功能-付费相关'!AJ74/节奏总纲!Y72</f>
        <v>2013.3272220474378</v>
      </c>
      <c r="R72" s="11">
        <f>('[1]资源-士兵招募时间'!G74-'[1]资源-士兵招募时间'!G73)*'[1]功能-付费相关'!AK74/节奏总纲!Z72</f>
        <v>2289.3076564689222</v>
      </c>
      <c r="S72" s="11">
        <f>('[1]资源-士兵招募时间'!H74-'[1]资源-士兵招募时间'!H73)*'[1]功能-付费相关'!AL74/节奏总纲!AA72</f>
        <v>2515.5850168855372</v>
      </c>
      <c r="U72" s="31">
        <f>('[1]资源-木石铜粮'!C74-'[1]资源-木石铜粮'!C73)*'[1]功能-付费相关'!S74/节奏总纲!W72</f>
        <v>1610.7675354673331</v>
      </c>
      <c r="V72" s="31">
        <f>('[1]资源-木石铜粮'!D74-'[1]资源-木石铜粮'!D73)*'[1]功能-付费相关'!T74/节奏总纲!X72</f>
        <v>1713.1854105587042</v>
      </c>
      <c r="W72" s="31">
        <f>('[1]资源-木石铜粮'!E74-'[1]资源-木石铜粮'!E73)*'[1]功能-付费相关'!U74/节奏总纲!Y72</f>
        <v>1846.1629266570458</v>
      </c>
      <c r="X72" s="31">
        <f>('[1]资源-木石铜粮'!F74-'[1]资源-木石铜粮'!F73)*'[1]功能-付费相关'!V74/节奏总纲!Z72</f>
        <v>1963.4985173981531</v>
      </c>
      <c r="Y72" s="31">
        <f>('[1]资源-木石铜粮'!G74-'[1]资源-木石铜粮'!G73)*'[1]功能-付费相关'!W74/节奏总纲!AA72</f>
        <v>2181.8606490461407</v>
      </c>
      <c r="AA72" s="11">
        <f>('[1]资源-铁'!C74-'[1]资源-铁'!C73)*'[1]功能-付费相关'!X74/节奏总纲!W72</f>
        <v>571.84011796260029</v>
      </c>
      <c r="AB72" s="11">
        <f>('[1]资源-铁'!D74-'[1]资源-铁'!D73)*'[1]功能-付费相关'!Y74/节奏总纲!X72</f>
        <v>586.74677175043291</v>
      </c>
      <c r="AC72" s="11">
        <f>('[1]资源-铁'!E74-'[1]资源-铁'!E73)*'[1]功能-付费相关'!Z74/节奏总纲!Y72</f>
        <v>614.99194322020742</v>
      </c>
      <c r="AD72" s="11">
        <f>('[1]资源-铁'!F74-'[1]资源-铁'!F73)*'[1]功能-付费相关'!AA74/节奏总纲!Z72</f>
        <v>676.51509581243954</v>
      </c>
      <c r="AE72" s="11">
        <f>('[1]资源-铁'!G74-'[1]资源-铁'!G73)*'[1]功能-付费相关'!AB74/节奏总纲!AA72</f>
        <v>790.66470651206373</v>
      </c>
      <c r="AG72" s="11">
        <f>('[1]资源-银币'!C74-'[1]资源-银币'!C73)*'[1]功能-付费相关'!AQ74/节奏总纲!W72</f>
        <v>750.88074440835658</v>
      </c>
      <c r="AH72" s="11">
        <f>('[1]资源-银币'!D74-'[1]资源-银币'!D73)*'[1]功能-付费相关'!AR74/节奏总纲!X72</f>
        <v>757.84518592383313</v>
      </c>
      <c r="AI72" s="11">
        <f>('[1]资源-银币'!E74-'[1]资源-银币'!E73)*'[1]功能-付费相关'!AS74/节奏总纲!Y72</f>
        <v>774.92289819192933</v>
      </c>
      <c r="AJ72" s="11">
        <f>('[1]资源-银币'!F74-'[1]资源-银币'!F73)*'[1]功能-付费相关'!AT74/节奏总纲!Z72</f>
        <v>782.76286731367247</v>
      </c>
      <c r="AK72" s="11">
        <f>('[1]资源-银币'!G74-'[1]资源-银币'!G73)*'[1]功能-付费相关'!AU74/节奏总纲!AA72</f>
        <v>769.68764835490333</v>
      </c>
      <c r="AM72" s="11" t="e">
        <f>(#REF!-#REF!)*'[1]功能-付费相关'!CA74/节奏总纲!W72</f>
        <v>#REF!</v>
      </c>
      <c r="AN72" s="11" t="e">
        <f>(#REF!-#REF!)*'[1]功能-付费相关'!CB74/节奏总纲!X72</f>
        <v>#REF!</v>
      </c>
      <c r="AO72" s="11" t="e">
        <f>(#REF!-#REF!)*'[1]功能-付费相关'!CC74/节奏总纲!Y72</f>
        <v>#REF!</v>
      </c>
      <c r="AP72" s="11" t="e">
        <f>(#REF!-#REF!)*'[1]功能-付费相关'!CD74/节奏总纲!Z72</f>
        <v>#REF!</v>
      </c>
      <c r="AQ72" s="11" t="e">
        <f>(#REF!-#REF!)*'[1]功能-付费相关'!CE74/节奏总纲!AA72</f>
        <v>#REF!</v>
      </c>
      <c r="AS72" s="11">
        <f>('[1]资源-装备经验'!C74-'[1]资源-装备经验'!C73)*'[1]功能-付费相关'!BI74/节奏总纲!W72</f>
        <v>814.17044845653299</v>
      </c>
      <c r="AT72" s="11">
        <f>('[1]资源-装备经验'!D74-'[1]资源-装备经验'!D73)*'[1]功能-付费相关'!BJ74/节奏总纲!X72</f>
        <v>1127.5397788473683</v>
      </c>
      <c r="AU72" s="11">
        <f>('[1]资源-装备经验'!E74-'[1]资源-装备经验'!E73)*'[1]功能-付费相关'!BK74/节奏总纲!Y72</f>
        <v>1528.1697188365642</v>
      </c>
      <c r="AV72" s="11">
        <f>('[1]资源-装备经验'!F74-'[1]资源-装备经验'!F73)*'[1]功能-付费相关'!BL74/节奏总纲!Z72</f>
        <v>1794.1994946751681</v>
      </c>
      <c r="AW72" s="11">
        <f>('[1]资源-装备经验'!G74-'[1]资源-装备经验'!G73)*'[1]功能-付费相关'!BM74/节奏总纲!AA72</f>
        <v>1873.064751138412</v>
      </c>
      <c r="AY72" s="11">
        <f>('[1]资源-武将经验'!C74*节奏总纲!BJ72-'[1]资源-武将经验'!C73*节奏总纲!BJ71)*'[1]功能-付费相关'!AZ74/节奏总纲!W72</f>
        <v>5429.6083878457266</v>
      </c>
      <c r="AZ72" s="11">
        <f>('[1]资源-武将经验'!D74*节奏总纲!BK72-'[1]资源-武将经验'!D73*节奏总纲!BK71)*'[1]功能-付费相关'!BA74/节奏总纲!X72</f>
        <v>6623.3746789727338</v>
      </c>
      <c r="BA72" s="11">
        <f>('[1]资源-武将经验'!E74*节奏总纲!BL72-'[1]资源-武将经验'!E73*节奏总纲!BL71)*'[1]功能-付费相关'!BB74/节奏总纲!Y72</f>
        <v>8627.7512368027747</v>
      </c>
      <c r="BB72" s="11">
        <f>('[1]资源-武将经验'!F74*节奏总纲!BM72-'[1]资源-武将经验'!F73*节奏总纲!BM71)*'[1]功能-付费相关'!BC74/节奏总纲!Z72</f>
        <v>19624.964389106353</v>
      </c>
      <c r="BC72" s="11">
        <f>('[1]资源-武将经验'!G74*节奏总纲!BN72-'[1]资源-武将经验'!G73*节奏总纲!BN71)*'[1]功能-付费相关'!BD74/节奏总纲!AA72</f>
        <v>32321.218434511138</v>
      </c>
      <c r="BD72" s="33"/>
      <c r="BE72" s="30" t="e">
        <f t="shared" si="13"/>
        <v>#REF!</v>
      </c>
      <c r="BF72" s="30" t="e">
        <f t="shared" si="9"/>
        <v>#REF!</v>
      </c>
      <c r="BG72" s="30" t="e">
        <f t="shared" si="10"/>
        <v>#REF!</v>
      </c>
      <c r="BH72" s="30" t="e">
        <f t="shared" si="11"/>
        <v>#REF!</v>
      </c>
      <c r="BI72" s="30" t="e">
        <f t="shared" si="12"/>
        <v>#REF!</v>
      </c>
    </row>
    <row r="73" spans="2:61" x14ac:dyDescent="0.15">
      <c r="B73" s="31">
        <v>70</v>
      </c>
      <c r="C73" s="11">
        <f>('[1]资源-玩家城池建筑时间'!D75-'[1]资源-玩家城池建筑时间'!D74)*'[1]功能-付费相关'!AH75/节奏总纲!W73</f>
        <v>1864.454718232141</v>
      </c>
      <c r="D73" s="11">
        <f>('[1]资源-玩家城池建筑时间'!E75-'[1]资源-玩家城池建筑时间'!E74)*'[1]功能-付费相关'!AI75/节奏总纲!X73</f>
        <v>2180.3457491320073</v>
      </c>
      <c r="E73" s="11">
        <f>('[1]资源-玩家城池建筑时间'!F75-'[1]资源-玩家城池建筑时间'!F74)*'[1]功能-付费相关'!AJ75/节奏总纲!Y73</f>
        <v>2517.4568484440015</v>
      </c>
      <c r="F73" s="11">
        <f>('[1]资源-玩家城池建筑时间'!G75-'[1]资源-玩家城池建筑时间'!G74)*'[1]功能-付费相关'!AK75/节奏总纲!Z73</f>
        <v>3164.0691438452454</v>
      </c>
      <c r="G73" s="11">
        <f>('[1]资源-玩家城池建筑时间'!H75-'[1]资源-玩家城池建筑时间'!H74)*'[1]功能-付费相关'!AL75/节奏总纲!AA73</f>
        <v>3246.8840632413044</v>
      </c>
      <c r="I73" s="31">
        <f>('[1]资源-士兵训练时间'!C75-'[1]资源-士兵训练时间'!C74)*'[1]功能-付费相关'!AH75/节奏总纲!W73</f>
        <v>734.07254021865913</v>
      </c>
      <c r="J73" s="31">
        <f>('[1]资源-士兵训练时间'!D75-'[1]资源-士兵训练时间'!D74)*'[1]功能-付费相关'!AI75/节奏总纲!X73</f>
        <v>741.15803600561048</v>
      </c>
      <c r="K73" s="31">
        <f>('[1]资源-士兵训练时间'!E75-'[1]资源-士兵训练时间'!E74)*'[1]功能-付费相关'!AJ75/节奏总纲!Y73</f>
        <v>753.25152617522019</v>
      </c>
      <c r="L73" s="31">
        <f>('[1]资源-士兵训练时间'!F75-'[1]资源-士兵训练时间'!F74)*'[1]功能-付费相关'!AK75/节奏总纲!Z73</f>
        <v>770.70092965380275</v>
      </c>
      <c r="M73" s="31">
        <f>('[1]资源-士兵训练时间'!G75-'[1]资源-士兵训练时间'!G74)*'[1]功能-付费相关'!AL75/节奏总纲!AA73</f>
        <v>792.80005548106794</v>
      </c>
      <c r="O73" s="11">
        <f>('[1]资源-士兵招募时间'!D75-'[1]资源-士兵招募时间'!D74)*'[1]功能-付费相关'!AH75/节奏总纲!W73</f>
        <v>1703.6366522716703</v>
      </c>
      <c r="P73" s="11">
        <f>('[1]资源-士兵招募时间'!E75-'[1]资源-士兵招募时间'!E74)*'[1]功能-付费相关'!AI75/节奏总纲!X73</f>
        <v>1875.5524810399372</v>
      </c>
      <c r="Q73" s="11">
        <f>('[1]资源-士兵招募时间'!F75-'[1]资源-士兵招募时间'!F74)*'[1]功能-付费相关'!AJ75/节奏总纲!Y73</f>
        <v>2030.8108363585011</v>
      </c>
      <c r="R73" s="11">
        <f>('[1]资源-士兵招募时间'!G75-'[1]资源-士兵招募时间'!G74)*'[1]功能-付费相关'!AK75/节奏总纲!Z73</f>
        <v>2334.8522077224115</v>
      </c>
      <c r="S73" s="11">
        <f>('[1]资源-士兵招募时间'!H75-'[1]资源-士兵招募时间'!H74)*'[1]功能-付费相关'!AL75/节奏总纲!AA73</f>
        <v>2524.6742028574386</v>
      </c>
      <c r="U73" s="31">
        <f>('[1]资源-木石铜粮'!C75-'[1]资源-木石铜粮'!C74)*'[1]功能-付费相关'!S75/节奏总纲!W73</f>
        <v>1621.255347308276</v>
      </c>
      <c r="V73" s="31">
        <f>('[1]资源-木石铜粮'!D75-'[1]资源-木石铜粮'!D74)*'[1]功能-付费相关'!T75/节奏总纲!X73</f>
        <v>1723.0377354088932</v>
      </c>
      <c r="W73" s="31">
        <f>('[1]资源-木石铜粮'!E75-'[1]资源-木石铜粮'!E74)*'[1]功能-付费相关'!U75/节奏总纲!Y73</f>
        <v>1873.8521517728675</v>
      </c>
      <c r="X73" s="31">
        <f>('[1]资源-木石铜粮'!F75-'[1]资源-木石铜粮'!F74)*'[1]功能-付费相关'!V75/节奏总纲!Z73</f>
        <v>1974.6218331685322</v>
      </c>
      <c r="Y73" s="31">
        <f>('[1]资源-木石铜粮'!G75-'[1]资源-木石铜粮'!G74)*'[1]功能-付费相关'!W75/节奏总纲!AA73</f>
        <v>2178.1026737975985</v>
      </c>
      <c r="AA73" s="11">
        <f>('[1]资源-铁'!C75-'[1]资源-铁'!C74)*'[1]功能-付费相关'!X75/节奏总纲!W73</f>
        <v>574.77572069191922</v>
      </c>
      <c r="AB73" s="11">
        <f>('[1]资源-铁'!D75-'[1]资源-铁'!D74)*'[1]功能-付费相关'!Y75/节奏总纲!X73</f>
        <v>594.37377119200858</v>
      </c>
      <c r="AC73" s="11">
        <f>('[1]资源-铁'!E75-'[1]资源-铁'!E74)*'[1]功能-付费相关'!Z75/节奏总纲!Y73</f>
        <v>633.32410182084459</v>
      </c>
      <c r="AD73" s="11">
        <f>('[1]资源-铁'!F75-'[1]资源-铁'!F74)*'[1]功能-付费相关'!AA75/节奏总纲!Z73</f>
        <v>679.18400777855027</v>
      </c>
      <c r="AE73" s="11">
        <f>('[1]资源-铁'!G75-'[1]资源-铁'!G74)*'[1]功能-付费相关'!AB75/节奏总纲!AA73</f>
        <v>779.56473286979485</v>
      </c>
      <c r="AG73" s="11">
        <f>('[1]资源-银币'!C75-'[1]资源-银币'!C74)*'[1]功能-付费相关'!AQ75/节奏总纲!W73</f>
        <v>744.22478208170503</v>
      </c>
      <c r="AH73" s="11">
        <f>('[1]资源-银币'!D75-'[1]资源-银币'!D74)*'[1]功能-付费相关'!AR75/节奏总纲!X73</f>
        <v>777.77652522614119</v>
      </c>
      <c r="AI73" s="11">
        <f>('[1]资源-银币'!E75-'[1]资源-银币'!E74)*'[1]功能-付费相关'!AS75/节奏总纲!Y73</f>
        <v>785.56674513468465</v>
      </c>
      <c r="AJ73" s="11">
        <f>('[1]资源-银币'!F75-'[1]资源-银币'!F74)*'[1]功能-付费相关'!AT75/节奏总纲!Z73</f>
        <v>790.28298905598638</v>
      </c>
      <c r="AK73" s="11">
        <f>('[1]资源-银币'!G75-'[1]资源-银币'!G74)*'[1]功能-付费相关'!AU75/节奏总纲!AA73</f>
        <v>759.25324773616387</v>
      </c>
      <c r="AM73" s="11" t="e">
        <f>(#REF!-#REF!)*'[1]功能-付费相关'!CA75/节奏总纲!W73</f>
        <v>#REF!</v>
      </c>
      <c r="AN73" s="11" t="e">
        <f>(#REF!-#REF!)*'[1]功能-付费相关'!CB75/节奏总纲!X73</f>
        <v>#REF!</v>
      </c>
      <c r="AO73" s="11" t="e">
        <f>(#REF!-#REF!)*'[1]功能-付费相关'!CC75/节奏总纲!Y73</f>
        <v>#REF!</v>
      </c>
      <c r="AP73" s="11" t="e">
        <f>(#REF!-#REF!)*'[1]功能-付费相关'!CD75/节奏总纲!Z73</f>
        <v>#REF!</v>
      </c>
      <c r="AQ73" s="11" t="e">
        <f>(#REF!-#REF!)*'[1]功能-付费相关'!CE75/节奏总纲!AA73</f>
        <v>#REF!</v>
      </c>
      <c r="AS73" s="11">
        <f>('[1]资源-装备经验'!C75-'[1]资源-装备经验'!C74)*'[1]功能-付费相关'!BI75/节奏总纲!W73</f>
        <v>799.91702774112423</v>
      </c>
      <c r="AT73" s="11">
        <f>('[1]资源-装备经验'!D75-'[1]资源-装备经验'!D74)*'[1]功能-付费相关'!BJ75/节奏总纲!X73</f>
        <v>1135.8167261052315</v>
      </c>
      <c r="AU73" s="11">
        <f>('[1]资源-装备经验'!E75-'[1]资源-装备经验'!E74)*'[1]功能-付费相关'!BK75/节奏总纲!Y73</f>
        <v>1542.914859737253</v>
      </c>
      <c r="AV73" s="11">
        <f>('[1]资源-装备经验'!F75-'[1]资源-装备经验'!F74)*'[1]功能-付费相关'!BL75/节奏总纲!Z73</f>
        <v>1778.5066795865746</v>
      </c>
      <c r="AW73" s="11">
        <f>('[1]资源-装备经验'!G75-'[1]资源-装备经验'!G74)*'[1]功能-付费相关'!BM75/节奏总纲!AA73</f>
        <v>1844.6984738626763</v>
      </c>
      <c r="AY73" s="11">
        <f>('[1]资源-武将经验'!C75*节奏总纲!BJ73-'[1]资源-武将经验'!C74*节奏总纲!BJ72)*'[1]功能-付费相关'!AZ75/节奏总纲!W73</f>
        <v>5411.706062228468</v>
      </c>
      <c r="AZ73" s="11">
        <f>('[1]资源-武将经验'!D75*节奏总纲!BK73-'[1]资源-武将经验'!D74*节奏总纲!BK72)*'[1]功能-付费相关'!BA75/节奏总纲!X73</f>
        <v>6873.2679253020815</v>
      </c>
      <c r="BA73" s="11">
        <f>('[1]资源-武将经验'!E75*节奏总纲!BL73-'[1]资源-武将经验'!E74*节奏总纲!BL72)*'[1]功能-付费相关'!BB75/节奏总纲!Y73</f>
        <v>9025.1321855300375</v>
      </c>
      <c r="BB73" s="11">
        <f>('[1]资源-武将经验'!F75*节奏总纲!BM73-'[1]资源-武将经验'!F74*节奏总纲!BM72)*'[1]功能-付费相关'!BC75/节奏总纲!Z73</f>
        <v>20119.46472799675</v>
      </c>
      <c r="BC73" s="11">
        <f>('[1]资源-武将经验'!G75*节奏总纲!BN73-'[1]资源-武将经验'!G74*节奏总纲!BN72)*'[1]功能-付费相关'!BD75/节奏总纲!AA73</f>
        <v>33050.68588907276</v>
      </c>
      <c r="BD73" s="33"/>
      <c r="BE73" s="30" t="e">
        <f t="shared" si="13"/>
        <v>#REF!</v>
      </c>
      <c r="BF73" s="30" t="e">
        <f t="shared" si="9"/>
        <v>#REF!</v>
      </c>
      <c r="BG73" s="30" t="e">
        <f t="shared" si="10"/>
        <v>#REF!</v>
      </c>
      <c r="BH73" s="30" t="e">
        <f t="shared" si="11"/>
        <v>#REF!</v>
      </c>
      <c r="BI73" s="30" t="e">
        <f t="shared" si="12"/>
        <v>#REF!</v>
      </c>
    </row>
    <row r="74" spans="2:61" x14ac:dyDescent="0.15">
      <c r="B74" s="31">
        <v>71</v>
      </c>
      <c r="C74" s="11">
        <f>('[1]资源-玩家城池建筑时间'!D76-'[1]资源-玩家城池建筑时间'!D75)*'[1]功能-付费相关'!AH76/节奏总纲!W74</f>
        <v>1859.9200804628872</v>
      </c>
      <c r="D74" s="11">
        <f>('[1]资源-玩家城池建筑时间'!E76-'[1]资源-玩家城池建筑时间'!E75)*'[1]功能-付费相关'!AI76/节奏总纲!X74</f>
        <v>2191.6784043137245</v>
      </c>
      <c r="E74" s="11">
        <f>('[1]资源-玩家城池建筑时间'!F76-'[1]资源-玩家城池建筑时间'!F75)*'[1]功能-付费相关'!AJ76/节奏总纲!Y74</f>
        <v>2515.2322935326465</v>
      </c>
      <c r="F74" s="11">
        <f>('[1]资源-玩家城池建筑时间'!G76-'[1]资源-玩家城池建筑时间'!G75)*'[1]功能-付费相关'!AK76/节奏总纲!Z74</f>
        <v>3145.8687217697798</v>
      </c>
      <c r="G74" s="11">
        <f>('[1]资源-玩家城池建筑时间'!H76-'[1]资源-玩家城池建筑时间'!H75)*'[1]功能-付费相关'!AL76/节奏总纲!AA74</f>
        <v>4003.5154285790722</v>
      </c>
      <c r="I74" s="31">
        <f>('[1]资源-士兵训练时间'!C76-'[1]资源-士兵训练时间'!C75)*'[1]功能-付费相关'!AH76/节奏总纲!W74</f>
        <v>733.04792991468094</v>
      </c>
      <c r="J74" s="31">
        <f>('[1]资源-士兵训练时间'!D76-'[1]资源-士兵训练时间'!D75)*'[1]功能-付费相关'!AI76/节奏总纲!X74</f>
        <v>744.0795627607796</v>
      </c>
      <c r="K74" s="31">
        <f>('[1]资源-士兵训练时间'!E76-'[1]资源-士兵训练时间'!E75)*'[1]功能-付费相关'!AJ76/节奏总纲!Y74</f>
        <v>752.73406935489527</v>
      </c>
      <c r="L74" s="31">
        <f>('[1]资源-士兵训练时间'!F76-'[1]资源-士兵训练时间'!F75)*'[1]功能-付费相关'!AK76/节奏总纲!Z74</f>
        <v>766.11721035012476</v>
      </c>
      <c r="M74" s="31">
        <f>('[1]资源-士兵训练时间'!G76-'[1]资源-士兵训练时间'!G75)*'[1]功能-付费相关'!AL76/节奏总纲!AA74</f>
        <v>986.83642230738064</v>
      </c>
      <c r="O74" s="11">
        <f>('[1]资源-士兵招募时间'!D76-'[1]资源-士兵招募时间'!D75)*'[1]功能-付费相关'!AH76/节奏总纲!W74</f>
        <v>1718.2049628593804</v>
      </c>
      <c r="P74" s="11">
        <f>('[1]资源-士兵招募时间'!E76-'[1]资源-士兵招募时间'!E75)*'[1]功能-付费相关'!AI76/节奏总纲!X74</f>
        <v>1883.8796583643052</v>
      </c>
      <c r="Q74" s="11">
        <f>('[1]资源-士兵招募时间'!F76-'[1]资源-士兵招募时间'!F75)*'[1]功能-付费相关'!AJ76/节奏总纲!Y74</f>
        <v>2044.0768680133592</v>
      </c>
      <c r="R74" s="11">
        <f>('[1]资源-士兵招募时间'!G76-'[1]资源-士兵招募时间'!G75)*'[1]功能-付费相关'!AK76/节奏总纲!Z74</f>
        <v>2357.4978442817733</v>
      </c>
      <c r="S74" s="11">
        <f>('[1]资源-士兵招募时间'!H76-'[1]资源-士兵招募时间'!H75)*'[1]功能-付费相关'!AL76/节奏总纲!AA74</f>
        <v>2733.9059085599056</v>
      </c>
      <c r="U74" s="31">
        <f>('[1]资源-木石铜粮'!C76-'[1]资源-木石铜粮'!C75)*'[1]功能-付费相关'!S76/节奏总纲!W74</f>
        <v>1671.9802523810088</v>
      </c>
      <c r="V74" s="31">
        <f>('[1]资源-木石铜粮'!D76-'[1]资源-木石铜粮'!D75)*'[1]功能-付费相关'!T76/节奏总纲!X74</f>
        <v>1795.4479298148563</v>
      </c>
      <c r="W74" s="31">
        <f>('[1]资源-木石铜粮'!E76-'[1]资源-木石铜粮'!E75)*'[1]功能-付费相关'!U76/节奏总纲!Y74</f>
        <v>1939.6286361110108</v>
      </c>
      <c r="X74" s="31">
        <f>('[1]资源-木石铜粮'!F76-'[1]资源-木石铜粮'!F75)*'[1]功能-付费相关'!V76/节奏总纲!Z74</f>
        <v>2034.7640117423239</v>
      </c>
      <c r="Y74" s="31">
        <f>('[1]资源-木石铜粮'!G76-'[1]资源-木石铜粮'!G75)*'[1]功能-付费相关'!W76/节奏总纲!AA74</f>
        <v>2303.4495460717949</v>
      </c>
      <c r="AA74" s="11">
        <f>('[1]资源-铁'!C76-'[1]资源-铁'!C75)*'[1]功能-付费相关'!X76/节奏总纲!W74</f>
        <v>644.71736096751636</v>
      </c>
      <c r="AB74" s="11">
        <f>('[1]资源-铁'!D76-'[1]资源-铁'!D75)*'[1]功能-付费相关'!Y76/节奏总纲!X74</f>
        <v>685.078963446432</v>
      </c>
      <c r="AC74" s="11">
        <f>('[1]资源-铁'!E76-'[1]资源-铁'!E75)*'[1]功能-付费相关'!Z76/节奏总纲!Y74</f>
        <v>722.79818491311403</v>
      </c>
      <c r="AD74" s="11">
        <f>('[1]资源-铁'!F76-'[1]资源-铁'!F75)*'[1]功能-付费相关'!AA76/节奏总纲!Z74</f>
        <v>755.13136355423296</v>
      </c>
      <c r="AE74" s="11">
        <f>('[1]资源-铁'!G76-'[1]资源-铁'!G75)*'[1]功能-付费相关'!AB76/节奏总纲!AA74</f>
        <v>931.11510736522575</v>
      </c>
      <c r="AG74" s="11">
        <f>('[1]资源-银币'!C76-'[1]资源-银币'!C75)*'[1]功能-付费相关'!AQ76/节奏总纲!W74</f>
        <v>750.07466923182494</v>
      </c>
      <c r="AH74" s="11">
        <f>('[1]资源-银币'!D76-'[1]资源-银币'!D75)*'[1]功能-付费相关'!AR76/节奏总纲!X74</f>
        <v>793.90986915038593</v>
      </c>
      <c r="AI74" s="11">
        <f>('[1]资源-银币'!E76-'[1]资源-银币'!E75)*'[1]功能-付费相关'!AS76/节奏总纲!Y74</f>
        <v>804.39881926185262</v>
      </c>
      <c r="AJ74" s="11">
        <f>('[1]资源-银币'!F76-'[1]资源-银币'!F75)*'[1]功能-付费相关'!AT76/节奏总纲!Z74</f>
        <v>788.30834460788003</v>
      </c>
      <c r="AK74" s="11">
        <f>('[1]资源-银币'!G76-'[1]资源-银币'!G75)*'[1]功能-付费相关'!AU76/节奏总纲!AA74</f>
        <v>999.89284081310836</v>
      </c>
      <c r="AM74" s="11" t="e">
        <f>(#REF!-#REF!)*'[1]功能-付费相关'!CA76/节奏总纲!W74</f>
        <v>#REF!</v>
      </c>
      <c r="AN74" s="11" t="e">
        <f>(#REF!-#REF!)*'[1]功能-付费相关'!CB76/节奏总纲!X74</f>
        <v>#REF!</v>
      </c>
      <c r="AO74" s="11" t="e">
        <f>(#REF!-#REF!)*'[1]功能-付费相关'!CC76/节奏总纲!Y74</f>
        <v>#REF!</v>
      </c>
      <c r="AP74" s="11" t="e">
        <f>(#REF!-#REF!)*'[1]功能-付费相关'!CD76/节奏总纲!Z74</f>
        <v>#REF!</v>
      </c>
      <c r="AQ74" s="11" t="e">
        <f>(#REF!-#REF!)*'[1]功能-付费相关'!CE76/节奏总纲!AA74</f>
        <v>#REF!</v>
      </c>
      <c r="AS74" s="11">
        <f>('[1]资源-装备经验'!C76-'[1]资源-装备经验'!C75)*'[1]功能-付费相关'!BI76/节奏总纲!W74</f>
        <v>870.64052412548926</v>
      </c>
      <c r="AT74" s="11">
        <f>('[1]资源-装备经验'!D76-'[1]资源-装备经验'!D75)*'[1]功能-付费相关'!BJ76/节奏总纲!X74</f>
        <v>1241.4319674137787</v>
      </c>
      <c r="AU74" s="11">
        <f>('[1]资源-装备经验'!E76-'[1]资源-装备经验'!E75)*'[1]功能-付费相关'!BK76/节奏总纲!Y74</f>
        <v>1663.2375820166417</v>
      </c>
      <c r="AV74" s="11">
        <f>('[1]资源-装备经验'!F76-'[1]资源-装备经验'!F75)*'[1]功能-付费相关'!BL76/节奏总纲!Z74</f>
        <v>1867.5269057173809</v>
      </c>
      <c r="AW74" s="11">
        <f>('[1]资源-装备经验'!G76-'[1]资源-装备经验'!G75)*'[1]功能-付费相关'!BM76/节奏总纲!AA74</f>
        <v>1952.3454720246225</v>
      </c>
      <c r="AY74" s="11">
        <f>('[1]资源-武将经验'!C76*节奏总纲!BJ74-'[1]资源-武将经验'!C75*节奏总纲!BJ73)*'[1]功能-付费相关'!AZ76/节奏总纲!W74</f>
        <v>5393.3714682924219</v>
      </c>
      <c r="AZ74" s="11">
        <f>('[1]资源-武将经验'!D76*节奏总纲!BK74-'[1]资源-武将经验'!D75*节奏总纲!BK73)*'[1]功能-付费相关'!BA76/节奏总纲!X74</f>
        <v>6888.6297671015373</v>
      </c>
      <c r="BA74" s="11">
        <f>('[1]资源-武将经验'!E76*节奏总纲!BL74-'[1]资源-武将经验'!E75*节奏总纲!BL73)*'[1]功能-付费相关'!BB76/节奏总纲!Y74</f>
        <v>9305.2484737934046</v>
      </c>
      <c r="BB74" s="11">
        <f>('[1]资源-武将经验'!F76*节奏总纲!BM74-'[1]资源-武将经验'!F75*节奏总纲!BM73)*'[1]功能-付费相关'!BC76/节奏总纲!Z74</f>
        <v>20583.292047510531</v>
      </c>
      <c r="BC74" s="11">
        <f>('[1]资源-武将经验'!G76*节奏总纲!BN74-'[1]资源-武将经验'!G75*节奏总纲!BN73)*'[1]功能-付费相关'!BD76/节奏总纲!AA74</f>
        <v>32472.435411850027</v>
      </c>
      <c r="BD74" s="33"/>
      <c r="BE74" s="30" t="e">
        <f t="shared" si="13"/>
        <v>#REF!</v>
      </c>
      <c r="BF74" s="30" t="e">
        <f t="shared" si="9"/>
        <v>#REF!</v>
      </c>
      <c r="BG74" s="30" t="e">
        <f t="shared" si="10"/>
        <v>#REF!</v>
      </c>
      <c r="BH74" s="30" t="e">
        <f t="shared" si="11"/>
        <v>#REF!</v>
      </c>
      <c r="BI74" s="30" t="e">
        <f t="shared" si="12"/>
        <v>#REF!</v>
      </c>
    </row>
    <row r="75" spans="2:61" x14ac:dyDescent="0.15">
      <c r="B75" s="31">
        <v>72</v>
      </c>
      <c r="C75" s="11">
        <f>('[1]资源-玩家城池建筑时间'!D77-'[1]资源-玩家城池建筑时间'!D76)*'[1]功能-付费相关'!AH77/节奏总纲!W75</f>
        <v>1855.2482261595674</v>
      </c>
      <c r="D75" s="11">
        <f>('[1]资源-玩家城池建筑时间'!E77-'[1]资源-玩家城池建筑时间'!E76)*'[1]功能-付费相关'!AI77/节奏总纲!X75</f>
        <v>2189.9212218296911</v>
      </c>
      <c r="E75" s="11">
        <f>('[1]资源-玩家城池建筑时间'!F77-'[1]资源-玩家城池建筑时间'!F76)*'[1]功能-付费相关'!AJ77/节奏总纲!Y75</f>
        <v>2491.8966242930928</v>
      </c>
      <c r="F75" s="11">
        <f>('[1]资源-玩家城池建筑时间'!G77-'[1]资源-玩家城池建筑时间'!G76)*'[1]功能-付费相关'!AK77/节奏总纲!Z75</f>
        <v>3135.1724759469957</v>
      </c>
      <c r="G75" s="11">
        <f>('[1]资源-玩家城池建筑时间'!H77-'[1]资源-玩家城池建筑时间'!H76)*'[1]功能-付费相关'!AL77/节奏总纲!AA75</f>
        <v>3363.2127813702796</v>
      </c>
      <c r="I75" s="31">
        <f>('[1]资源-士兵训练时间'!C77-'[1]资源-士兵训练时间'!C76)*'[1]功能-付费相关'!AH77/节奏总纲!W75</f>
        <v>731.98867144163103</v>
      </c>
      <c r="J75" s="31">
        <f>('[1]资源-士兵训练时间'!D77-'[1]资源-士兵训练时间'!D76)*'[1]功能-付费相关'!AI77/节奏总纲!X75</f>
        <v>743.70366810387463</v>
      </c>
      <c r="K75" s="31">
        <f>('[1]资源-士兵训练时间'!E77-'[1]资源-士兵训练时间'!E76)*'[1]功能-付费相关'!AJ77/节奏总纲!Y75</f>
        <v>746.89761889282022</v>
      </c>
      <c r="L75" s="31">
        <f>('[1]资源-士兵训练时间'!F77-'[1]资源-士兵训练时间'!F76)*'[1]功能-付费相关'!AK77/节奏总纲!Z75</f>
        <v>764.76896515489238</v>
      </c>
      <c r="M75" s="31">
        <f>('[1]资源-士兵训练时间'!G77-'[1]资源-士兵训练时间'!G76)*'[1]功能-付费相关'!AL77/节奏总纲!AA75</f>
        <v>825.6190868233308</v>
      </c>
      <c r="O75" s="11">
        <f>('[1]资源-士兵招募时间'!D77-'[1]资源-士兵招募时间'!D76)*'[1]功能-付费相关'!AH77/节奏总纲!W75</f>
        <v>1738.2934788933028</v>
      </c>
      <c r="P75" s="11">
        <f>('[1]资源-士兵招募时间'!E77-'[1]资源-士兵招募时间'!E76)*'[1]功能-付费相关'!AI77/节奏总纲!X75</f>
        <v>1889.6821478868653</v>
      </c>
      <c r="Q75" s="11">
        <f>('[1]资源-士兵招募时间'!F77-'[1]资源-士兵招募时间'!F76)*'[1]功能-付费相关'!AJ77/节奏总纲!Y75</f>
        <v>2056.3722591774572</v>
      </c>
      <c r="R75" s="11">
        <f>('[1]资源-士兵招募时间'!G77-'[1]资源-士兵招募时间'!G76)*'[1]功能-付费相关'!AK77/节奏总纲!Z75</f>
        <v>2379.7847377180833</v>
      </c>
      <c r="S75" s="11">
        <f>('[1]资源-士兵招募时间'!H77-'[1]资源-士兵招募时间'!H76)*'[1]功能-付费相关'!AL77/节奏总纲!AA75</f>
        <v>2601.4445518746552</v>
      </c>
      <c r="U75" s="31">
        <f>('[1]资源-木石铜粮'!C77-'[1]资源-木石铜粮'!C76)*'[1]功能-付费相关'!S77/节奏总纲!W75</f>
        <v>1681.6514576377381</v>
      </c>
      <c r="V75" s="31">
        <f>('[1]资源-木石铜粮'!D77-'[1]资源-木石铜粮'!D76)*'[1]功能-付费相关'!T77/节奏总纲!X75</f>
        <v>1786.3393003649664</v>
      </c>
      <c r="W75" s="31">
        <f>('[1]资源-木石铜粮'!E77-'[1]资源-木石铜粮'!E76)*'[1]功能-付费相关'!U77/节奏总纲!Y75</f>
        <v>1920.4552828185947</v>
      </c>
      <c r="X75" s="31">
        <f>('[1]资源-木石铜粮'!F77-'[1]资源-木石铜粮'!F76)*'[1]功能-付费相关'!V77/节奏总纲!Z75</f>
        <v>2037.4862328706272</v>
      </c>
      <c r="Y75" s="31">
        <f>('[1]资源-木石铜粮'!G77-'[1]资源-木石铜粮'!G76)*'[1]功能-付费相关'!W77/节奏总纲!AA75</f>
        <v>2287.3313586113272</v>
      </c>
      <c r="AA75" s="11">
        <f>('[1]资源-铁'!C77-'[1]资源-铁'!C76)*'[1]功能-付费相关'!X77/节奏总纲!W75</f>
        <v>644.66448021009126</v>
      </c>
      <c r="AB75" s="11">
        <f>('[1]资源-铁'!D77-'[1]资源-铁'!D76)*'[1]功能-付费相关'!Y77/节奏总纲!X75</f>
        <v>666.20841444297128</v>
      </c>
      <c r="AC75" s="11">
        <f>('[1]资源-铁'!E77-'[1]资源-铁'!E76)*'[1]功能-付费相关'!Z77/节奏总纲!Y75</f>
        <v>680.17186785225522</v>
      </c>
      <c r="AD75" s="11">
        <f>('[1]资源-铁'!F77-'[1]资源-铁'!F76)*'[1]功能-付费相关'!AA77/节奏总纲!Z75</f>
        <v>744.14322023394288</v>
      </c>
      <c r="AE75" s="11">
        <f>('[1]资源-铁'!G77-'[1]资源-铁'!G76)*'[1]功能-付费相关'!AB77/节奏总纲!AA75</f>
        <v>902.11293638733673</v>
      </c>
      <c r="AG75" s="11">
        <f>('[1]资源-银币'!C77-'[1]资源-银币'!C76)*'[1]功能-付费相关'!AQ77/节奏总纲!W75</f>
        <v>745.84659717321608</v>
      </c>
      <c r="AH75" s="11">
        <f>('[1]资源-银币'!D77-'[1]资源-银币'!D76)*'[1]功能-付费相关'!AR77/节奏总纲!X75</f>
        <v>791.70552196614381</v>
      </c>
      <c r="AI75" s="11">
        <f>('[1]资源-银币'!E77-'[1]资源-银币'!E76)*'[1]功能-付费相关'!AS77/节奏总纲!Y75</f>
        <v>790.95751171047516</v>
      </c>
      <c r="AJ75" s="11">
        <f>('[1]资源-银币'!F77-'[1]资源-银币'!F76)*'[1]功能-付费相关'!AT77/节奏总纲!Z75</f>
        <v>783.87155528062488</v>
      </c>
      <c r="AK75" s="11">
        <f>('[1]资源-银币'!G77-'[1]资源-银币'!G76)*'[1]功能-付费相关'!AU77/节奏总纲!AA75</f>
        <v>803.24428403343791</v>
      </c>
      <c r="AM75" s="11" t="e">
        <f>(#REF!-#REF!)*'[1]功能-付费相关'!CA77/节奏总纲!W75</f>
        <v>#REF!</v>
      </c>
      <c r="AN75" s="11" t="e">
        <f>(#REF!-#REF!)*'[1]功能-付费相关'!CB77/节奏总纲!X75</f>
        <v>#REF!</v>
      </c>
      <c r="AO75" s="11" t="e">
        <f>(#REF!-#REF!)*'[1]功能-付费相关'!CC77/节奏总纲!Y75</f>
        <v>#REF!</v>
      </c>
      <c r="AP75" s="11" t="e">
        <f>(#REF!-#REF!)*'[1]功能-付费相关'!CD77/节奏总纲!Z75</f>
        <v>#REF!</v>
      </c>
      <c r="AQ75" s="11" t="e">
        <f>(#REF!-#REF!)*'[1]功能-付费相关'!CE77/节奏总纲!AA75</f>
        <v>#REF!</v>
      </c>
      <c r="AS75" s="11">
        <f>('[1]资源-装备经验'!C77-'[1]资源-装备经验'!C76)*'[1]功能-付费相关'!BI77/节奏总纲!W75</f>
        <v>853.17876910003622</v>
      </c>
      <c r="AT75" s="11">
        <f>('[1]资源-装备经验'!D77-'[1]资源-装备经验'!D76)*'[1]功能-付费相关'!BJ77/节奏总纲!X75</f>
        <v>1195.9564823405585</v>
      </c>
      <c r="AU75" s="11">
        <f>('[1]资源-装备经验'!E77-'[1]资源-装备经验'!E76)*'[1]功能-付费相关'!BK77/节奏总纲!Y75</f>
        <v>1550.3704333822625</v>
      </c>
      <c r="AV75" s="11">
        <f>('[1]资源-装备经验'!F77-'[1]资源-装备经验'!F76)*'[1]功能-付费相关'!BL77/节奏总纲!Z75</f>
        <v>1818.8787130855951</v>
      </c>
      <c r="AW75" s="11">
        <f>('[1]资源-装备经验'!G77-'[1]资源-装备经验'!G76)*'[1]功能-付费相关'!BM77/节奏总纲!AA75</f>
        <v>1909.7740261161637</v>
      </c>
      <c r="AY75" s="11">
        <f>('[1]资源-武将经验'!C77*节奏总纲!BJ75-'[1]资源-武将经验'!C76*节奏总纲!BJ74)*'[1]功能-付费相关'!AZ77/节奏总纲!W75</f>
        <v>5376.7849329785731</v>
      </c>
      <c r="AZ75" s="11">
        <f>('[1]资源-武将经验'!D77*节奏总纲!BK75-'[1]资源-武将经验'!D76*节奏总纲!BK74)*'[1]功能-付费相关'!BA77/节奏总纲!X75</f>
        <v>7300.1611898197361</v>
      </c>
      <c r="BA75" s="11">
        <f>('[1]资源-武将经验'!E77*节奏总纲!BL75-'[1]资源-武将经验'!E76*节奏总纲!BL74)*'[1]功能-付费相关'!BB77/节奏总纲!Y75</f>
        <v>8969.0963401449389</v>
      </c>
      <c r="BB75" s="11">
        <f>('[1]资源-武将经验'!F77*节奏总纲!BM75-'[1]资源-武将经验'!F76*节奏总纲!BM74)*'[1]功能-付费相关'!BC77/节奏总纲!Z75</f>
        <v>19864.348462577229</v>
      </c>
      <c r="BC75" s="11">
        <f>('[1]资源-武将经验'!G77*节奏总纲!BN75-'[1]资源-武将经验'!G76*节奏总纲!BN74)*'[1]功能-付费相关'!BD77/节奏总纲!AA75</f>
        <v>30478.352485768919</v>
      </c>
      <c r="BD75" s="33"/>
      <c r="BE75" s="30" t="e">
        <f t="shared" si="13"/>
        <v>#REF!</v>
      </c>
      <c r="BF75" s="30" t="e">
        <f t="shared" si="9"/>
        <v>#REF!</v>
      </c>
      <c r="BG75" s="30" t="e">
        <f t="shared" si="10"/>
        <v>#REF!</v>
      </c>
      <c r="BH75" s="30" t="e">
        <f t="shared" si="11"/>
        <v>#REF!</v>
      </c>
      <c r="BI75" s="30" t="e">
        <f t="shared" si="12"/>
        <v>#REF!</v>
      </c>
    </row>
    <row r="76" spans="2:61" x14ac:dyDescent="0.15">
      <c r="B76" s="31">
        <v>73</v>
      </c>
      <c r="C76" s="11">
        <f>('[1]资源-玩家城池建筑时间'!D78-'[1]资源-玩家城池建筑时间'!D77)*'[1]功能-付费相关'!AH78/节奏总纲!W76</f>
        <v>1865.9906618219625</v>
      </c>
      <c r="D76" s="11">
        <f>('[1]资源-玩家城池建筑时间'!E78-'[1]资源-玩家城池建筑时间'!E77)*'[1]功能-付费相关'!AI78/节奏总纲!X76</f>
        <v>2178.4017809569204</v>
      </c>
      <c r="E76" s="11">
        <f>('[1]资源-玩家城池建筑时间'!F78-'[1]资源-玩家城池建筑时间'!F77)*'[1]功能-付费相关'!AJ78/节奏总纲!Y76</f>
        <v>2499.2653216636613</v>
      </c>
      <c r="F76" s="11">
        <f>('[1]资源-玩家城池建筑时间'!G78-'[1]资源-玩家城池建筑时间'!G77)*'[1]功能-付费相关'!AK78/节奏总纲!Z76</f>
        <v>3548.8765664159077</v>
      </c>
      <c r="G76" s="11">
        <f>('[1]资源-玩家城池建筑时间'!H78-'[1]资源-玩家城池建筑时间'!H77)*'[1]功能-付费相关'!AL78/节奏总纲!AA76</f>
        <v>3384.1278322373778</v>
      </c>
      <c r="I76" s="31">
        <f>('[1]资源-士兵训练时间'!C78-'[1]资源-士兵训练时间'!C77)*'[1]功能-付费相关'!AH78/节奏总纲!W76</f>
        <v>734.77585608888944</v>
      </c>
      <c r="J76" s="31">
        <f>('[1]资源-士兵训练时间'!D78-'[1]资源-士兵训练时间'!D77)*'[1]功能-付费相关'!AI78/节奏总纲!X76</f>
        <v>740.85993861920304</v>
      </c>
      <c r="K76" s="31">
        <f>('[1]资源-士兵训练时间'!E78-'[1]资源-士兵训练时间'!E77)*'[1]功能-付费相关'!AJ78/节奏总纲!Y76</f>
        <v>749.32531136874547</v>
      </c>
      <c r="L76" s="31">
        <f>('[1]资源-士兵训练时间'!F78-'[1]资源-士兵训练时间'!F77)*'[1]功能-付费相关'!AK78/节奏总纲!Z76</f>
        <v>868.56342502715461</v>
      </c>
      <c r="M76" s="31">
        <f>('[1]资源-士兵训练时间'!G78-'[1]资源-士兵训练时间'!G77)*'[1]功能-付费相关'!AL78/节奏总纲!AA76</f>
        <v>829.69003753536742</v>
      </c>
      <c r="O76" s="11">
        <f>('[1]资源-士兵招募时间'!D78-'[1]资源-士兵招募时间'!D77)*'[1]功能-付费相关'!AH78/节奏总纲!W76</f>
        <v>1784.7241392883186</v>
      </c>
      <c r="P76" s="11">
        <f>('[1]资源-士兵招募时间'!E78-'[1]资源-士兵招募时间'!E77)*'[1]功能-付费相关'!AI78/节奏总纲!X76</f>
        <v>1908.1586327243763</v>
      </c>
      <c r="Q76" s="11">
        <f>('[1]资源-士兵招募时间'!F78-'[1]资源-士兵招募时间'!F77)*'[1]功能-付费相关'!AJ78/节奏总纲!Y76</f>
        <v>2066.343827485462</v>
      </c>
      <c r="R76" s="11">
        <f>('[1]资源-士兵招募时间'!G78-'[1]资源-士兵招募时间'!G77)*'[1]功能-付费相关'!AK78/节奏总纲!Z76</f>
        <v>2511.6189451230525</v>
      </c>
      <c r="S76" s="11">
        <f>('[1]资源-士兵招募时间'!H78-'[1]资源-士兵招募时间'!H77)*'[1]功能-付费相关'!AL78/节奏总纲!AA76</f>
        <v>2623.4720102498131</v>
      </c>
      <c r="U76" s="31">
        <f>('[1]资源-木石铜粮'!C78-'[1]资源-木石铜粮'!C77)*'[1]功能-付费相关'!S78/节奏总纲!W76</f>
        <v>1682.2200861516239</v>
      </c>
      <c r="V76" s="31">
        <f>('[1]资源-木石铜粮'!D78-'[1]资源-木石铜粮'!D77)*'[1]功能-付费相关'!T78/节奏总纲!X76</f>
        <v>1785.5477016689358</v>
      </c>
      <c r="W76" s="31">
        <f>('[1]资源-木石铜粮'!E78-'[1]资源-木石铜粮'!E77)*'[1]功能-付费相关'!U78/节奏总纲!Y76</f>
        <v>1927.7396303048038</v>
      </c>
      <c r="X76" s="31">
        <f>('[1]资源-木石铜粮'!F78-'[1]资源-木石铜粮'!F77)*'[1]功能-付费相关'!V78/节奏总纲!Z76</f>
        <v>2048.3630516876183</v>
      </c>
      <c r="Y76" s="31">
        <f>('[1]资源-木石铜粮'!G78-'[1]资源-木石铜粮'!G77)*'[1]功能-付费相关'!W78/节奏总纲!AA76</f>
        <v>2289.6827575659163</v>
      </c>
      <c r="AA76" s="11">
        <f>('[1]资源-铁'!C78-'[1]资源-铁'!C77)*'[1]功能-付费相关'!X78/节奏总纲!W76</f>
        <v>638.39474245527072</v>
      </c>
      <c r="AB76" s="11">
        <f>('[1]资源-铁'!D78-'[1]资源-铁'!D77)*'[1]功能-付费相关'!Y78/节奏总纲!X76</f>
        <v>646.55366599177876</v>
      </c>
      <c r="AC76" s="11">
        <f>('[1]资源-铁'!E78-'[1]资源-铁'!E77)*'[1]功能-付费相关'!Z78/节奏总纲!Y76</f>
        <v>681.06053981449463</v>
      </c>
      <c r="AD76" s="11">
        <f>('[1]资源-铁'!F78-'[1]资源-铁'!F77)*'[1]功能-付费相关'!AA78/节奏总纲!Z76</f>
        <v>747.75650442323251</v>
      </c>
      <c r="AE76" s="11">
        <f>('[1]资源-铁'!G78-'[1]资源-铁'!G77)*'[1]功能-付费相关'!AB78/节奏总纲!AA76</f>
        <v>898.29878433523618</v>
      </c>
      <c r="AG76" s="11">
        <f>('[1]资源-银币'!C78-'[1]资源-银币'!C77)*'[1]功能-付费相关'!AQ78/节奏总纲!W76</f>
        <v>746.55034935589572</v>
      </c>
      <c r="AH76" s="11">
        <f>('[1]资源-银币'!D78-'[1]资源-银币'!D77)*'[1]功能-付费相关'!AR78/节奏总纲!X76</f>
        <v>767.06837076931981</v>
      </c>
      <c r="AI76" s="11">
        <f>('[1]资源-银币'!E78-'[1]资源-银币'!E77)*'[1]功能-付费相关'!AS78/节奏总纲!Y76</f>
        <v>801.63004489760067</v>
      </c>
      <c r="AJ76" s="11">
        <f>('[1]资源-银币'!F78-'[1]资源-银币'!F77)*'[1]功能-付费相关'!AT78/节奏总纲!Z76</f>
        <v>912.86585358261129</v>
      </c>
      <c r="AK76" s="11">
        <f>('[1]资源-银币'!G78-'[1]资源-银币'!G77)*'[1]功能-付费相关'!AU78/节奏总纲!AA76</f>
        <v>805.71681570393332</v>
      </c>
      <c r="AM76" s="11" t="e">
        <f>(#REF!-#REF!)*'[1]功能-付费相关'!CA78/节奏总纲!W76</f>
        <v>#REF!</v>
      </c>
      <c r="AN76" s="11" t="e">
        <f>(#REF!-#REF!)*'[1]功能-付费相关'!CB78/节奏总纲!X76</f>
        <v>#REF!</v>
      </c>
      <c r="AO76" s="11" t="e">
        <f>(#REF!-#REF!)*'[1]功能-付费相关'!CC78/节奏总纲!Y76</f>
        <v>#REF!</v>
      </c>
      <c r="AP76" s="11" t="e">
        <f>(#REF!-#REF!)*'[1]功能-付费相关'!CD78/节奏总纲!Z76</f>
        <v>#REF!</v>
      </c>
      <c r="AQ76" s="11" t="e">
        <f>(#REF!-#REF!)*'[1]功能-付费相关'!CE78/节奏总纲!AA76</f>
        <v>#REF!</v>
      </c>
      <c r="AS76" s="11">
        <f>('[1]资源-装备经验'!C78-'[1]资源-装备经验'!C77)*'[1]功能-付费相关'!BI78/节奏总纲!W76</f>
        <v>835.67361904604513</v>
      </c>
      <c r="AT76" s="11">
        <f>('[1]资源-装备经验'!D78-'[1]资源-装备经验'!D77)*'[1]功能-付费相关'!BJ78/节奏总纲!X76</f>
        <v>1134.5154941147784</v>
      </c>
      <c r="AU76" s="11">
        <f>('[1]资源-装备经验'!E78-'[1]资源-装备经验'!E77)*'[1]功能-付费相关'!BK78/节奏总纲!Y76</f>
        <v>1531.0376709257662</v>
      </c>
      <c r="AV76" s="11">
        <f>('[1]资源-装备经验'!F78-'[1]资源-装备经验'!F77)*'[1]功能-付费相关'!BL78/节奏总纲!Z76</f>
        <v>1807.6552314781893</v>
      </c>
      <c r="AW76" s="11">
        <f>('[1]资源-装备经验'!G78-'[1]资源-装备经验'!G77)*'[1]功能-付费相关'!BM78/节奏总纲!AA76</f>
        <v>1892.6259295464956</v>
      </c>
      <c r="AY76" s="11">
        <f>('[1]资源-武将经验'!C78*节奏总纲!BJ76-'[1]资源-武将经验'!C77*节奏总纲!BJ75)*'[1]功能-付费相关'!AZ78/节奏总纲!W76</f>
        <v>5954.9284689330261</v>
      </c>
      <c r="AZ76" s="11">
        <f>('[1]资源-武将经验'!D78*节奏总纲!BK76-'[1]资源-武将经验'!D77*节奏总纲!BK75)*'[1]功能-付费相关'!BA78/节奏总纲!X76</f>
        <v>6992.29805953087</v>
      </c>
      <c r="BA76" s="11">
        <f>('[1]资源-武将经验'!E78*节奏总纲!BL76-'[1]资源-武将经验'!E77*节奏总纲!BL75)*'[1]功能-付费相关'!BB78/节奏总纲!Y76</f>
        <v>8917.132643285915</v>
      </c>
      <c r="BB76" s="11">
        <f>('[1]资源-武将经验'!F78*节奏总纲!BM76-'[1]资源-武将经验'!F77*节奏总纲!BM75)*'[1]功能-付费相关'!BC78/节奏总纲!Z76</f>
        <v>20163.667806443842</v>
      </c>
      <c r="BC76" s="11">
        <f>('[1]资源-武将经验'!G78*节奏总纲!BN76-'[1]资源-武将经验'!G77*节奏总纲!BN75)*'[1]功能-付费相关'!BD78/节奏总纲!AA76</f>
        <v>30174.756695768494</v>
      </c>
      <c r="BD76" s="33"/>
      <c r="BE76" s="30" t="e">
        <f t="shared" si="13"/>
        <v>#REF!</v>
      </c>
      <c r="BF76" s="30" t="e">
        <f t="shared" si="9"/>
        <v>#REF!</v>
      </c>
      <c r="BG76" s="30" t="e">
        <f t="shared" si="10"/>
        <v>#REF!</v>
      </c>
      <c r="BH76" s="30" t="e">
        <f t="shared" si="11"/>
        <v>#REF!</v>
      </c>
      <c r="BI76" s="30" t="e">
        <f t="shared" si="12"/>
        <v>#REF!</v>
      </c>
    </row>
    <row r="77" spans="2:61" x14ac:dyDescent="0.15">
      <c r="B77" s="31">
        <v>74</v>
      </c>
      <c r="C77" s="11">
        <f>('[1]资源-玩家城池建筑时间'!D79-'[1]资源-玩家城池建筑时间'!D78)*'[1]功能-付费相关'!AH79/节奏总纲!W77</f>
        <v>1873.527577913798</v>
      </c>
      <c r="D77" s="11">
        <f>('[1]资源-玩家城池建筑时间'!E79-'[1]资源-玩家城池建筑时间'!E78)*'[1]功能-付费相关'!AI79/节奏总纲!X77</f>
        <v>2213.1092598721889</v>
      </c>
      <c r="E77" s="11">
        <f>('[1]资源-玩家城池建筑时间'!F79-'[1]资源-玩家城池建筑时间'!F78)*'[1]功能-付费相关'!AJ79/节奏总纲!Y77</f>
        <v>2531.6955169780745</v>
      </c>
      <c r="F77" s="11">
        <f>('[1]资源-玩家城池建筑时间'!G79-'[1]资源-玩家城池建筑时间'!G78)*'[1]功能-付费相关'!AK79/节奏总纲!Z77</f>
        <v>3258.23489509919</v>
      </c>
      <c r="G77" s="11">
        <f>('[1]资源-玩家城池建筑时间'!H79-'[1]资源-玩家城池建筑时间'!H78)*'[1]功能-付费相关'!AL79/节奏总纲!AA77</f>
        <v>3790.5660459369169</v>
      </c>
      <c r="I77" s="31">
        <f>('[1]资源-士兵训练时间'!C79-'[1]资源-士兵训练时间'!C78)*'[1]功能-付费相关'!AH79/节奏总纲!W77</f>
        <v>736.77295353180079</v>
      </c>
      <c r="J77" s="31">
        <f>('[1]资源-士兵训练时间'!D79-'[1]资源-士兵训练时间'!D78)*'[1]功能-付费相关'!AI79/节奏总纲!X77</f>
        <v>749.79630957434745</v>
      </c>
      <c r="K77" s="31">
        <f>('[1]资源-士兵训练时间'!E79-'[1]资源-士兵训练时间'!E78)*'[1]功能-付费相关'!AJ79/节奏总纲!Y77</f>
        <v>757.93930982105928</v>
      </c>
      <c r="L77" s="31">
        <f>('[1]资源-士兵训练时间'!F79-'[1]资源-士兵训练时间'!F78)*'[1]功能-付费相关'!AK79/节奏总纲!Z77</f>
        <v>795.25422346336927</v>
      </c>
      <c r="M77" s="31">
        <f>('[1]资源-士兵训练时间'!G79-'[1]资源-士兵训练时间'!G78)*'[1]功能-付费相关'!AL79/节奏总纲!AA77</f>
        <v>934.18665589220609</v>
      </c>
      <c r="O77" s="11">
        <f>('[1]资源-士兵招募时间'!D79-'[1]资源-士兵招募时间'!D78)*'[1]功能-付费相关'!AH79/节奏总纲!W77</f>
        <v>1811.8767624213726</v>
      </c>
      <c r="P77" s="11">
        <f>('[1]资源-士兵招募时间'!E79-'[1]资源-士兵招募时间'!E78)*'[1]功能-付费相关'!AI79/节奏总纲!X77</f>
        <v>1939.2644466704107</v>
      </c>
      <c r="Q77" s="11">
        <f>('[1]资源-士兵招募时间'!F79-'[1]资源-士兵招募时间'!F78)*'[1]功能-付费相关'!AJ79/节奏总纲!Y77</f>
        <v>2081.8190878712012</v>
      </c>
      <c r="R77" s="11">
        <f>('[1]资源-士兵招募时间'!G79-'[1]资源-士兵招募时间'!G78)*'[1]功能-付费相关'!AK79/节奏总纲!Z77</f>
        <v>2444.0807276987171</v>
      </c>
      <c r="S77" s="11">
        <f>('[1]资源-士兵招募时间'!H79-'[1]资源-士兵招募时间'!H78)*'[1]功能-付费相关'!AL79/节奏总纲!AA77</f>
        <v>2737.5729453795029</v>
      </c>
      <c r="U77" s="31">
        <f>('[1]资源-木石铜粮'!C79-'[1]资源-木石铜粮'!C78)*'[1]功能-付费相关'!S79/节奏总纲!W77</f>
        <v>1697.9214559887653</v>
      </c>
      <c r="V77" s="31">
        <f>('[1]资源-木石铜粮'!D79-'[1]资源-木石铜粮'!D78)*'[1]功能-付费相关'!T79/节奏总纲!X77</f>
        <v>1804.4888105911459</v>
      </c>
      <c r="W77" s="31">
        <f>('[1]资源-木石铜粮'!E79-'[1]资源-木石铜粮'!E78)*'[1]功能-付费相关'!U79/节奏总纲!Y77</f>
        <v>1951.8111164546979</v>
      </c>
      <c r="X77" s="31">
        <f>('[1]资源-木石铜粮'!F79-'[1]资源-木石铜粮'!F78)*'[1]功能-付费相关'!V79/节奏总纲!Z77</f>
        <v>2078.8866073066683</v>
      </c>
      <c r="Y77" s="31">
        <f>('[1]资源-木石铜粮'!G79-'[1]资源-木石铜粮'!G78)*'[1]功能-付费相关'!W79/节奏总纲!AA77</f>
        <v>2474.4726709732204</v>
      </c>
      <c r="AA77" s="11">
        <f>('[1]资源-铁'!C79-'[1]资源-铁'!C78)*'[1]功能-付费相关'!X79/节奏总纲!W77</f>
        <v>642.16066147032313</v>
      </c>
      <c r="AB77" s="11">
        <f>('[1]资源-铁'!D79-'[1]资源-铁'!D78)*'[1]功能-付费相关'!Y79/节奏总纲!X77</f>
        <v>664.81158007614761</v>
      </c>
      <c r="AC77" s="11">
        <f>('[1]资源-铁'!E79-'[1]资源-铁'!E78)*'[1]功能-付费相关'!Z79/节奏总纲!Y77</f>
        <v>707.01556845526954</v>
      </c>
      <c r="AD77" s="11">
        <f>('[1]资源-铁'!F79-'[1]资源-铁'!F78)*'[1]功能-付费相关'!AA79/节奏总纲!Z77</f>
        <v>776.27682796101556</v>
      </c>
      <c r="AE77" s="11">
        <f>('[1]资源-铁'!G79-'[1]资源-铁'!G78)*'[1]功能-付费相关'!AB79/节奏总纲!AA77</f>
        <v>1111.8470910385342</v>
      </c>
      <c r="AG77" s="11">
        <f>('[1]资源-银币'!C79-'[1]资源-银币'!C78)*'[1]功能-付费相关'!AQ79/节奏总纲!W77</f>
        <v>731.81072597853313</v>
      </c>
      <c r="AH77" s="11">
        <f>('[1]资源-银币'!D79-'[1]资源-银币'!D78)*'[1]功能-付费相关'!AR79/节奏总纲!X77</f>
        <v>778.68705614530757</v>
      </c>
      <c r="AI77" s="11">
        <f>('[1]资源-银币'!E79-'[1]资源-银币'!E78)*'[1]功能-付费相关'!AS79/节奏总纲!Y77</f>
        <v>810.86575744736263</v>
      </c>
      <c r="AJ77" s="11">
        <f>('[1]资源-银币'!F79-'[1]资源-银币'!F78)*'[1]功能-付费相关'!AT79/节奏总纲!Z77</f>
        <v>821.94894626213329</v>
      </c>
      <c r="AK77" s="11">
        <f>('[1]资源-银币'!G79-'[1]资源-银币'!G78)*'[1]功能-付费相关'!AU79/节奏总纲!AA77</f>
        <v>951.31670825245681</v>
      </c>
      <c r="AM77" s="11" t="e">
        <f>(#REF!-#REF!)*'[1]功能-付费相关'!CA79/节奏总纲!W77</f>
        <v>#REF!</v>
      </c>
      <c r="AN77" s="11" t="e">
        <f>(#REF!-#REF!)*'[1]功能-付费相关'!CB79/节奏总纲!X77</f>
        <v>#REF!</v>
      </c>
      <c r="AO77" s="11" t="e">
        <f>(#REF!-#REF!)*'[1]功能-付费相关'!CC79/节奏总纲!Y77</f>
        <v>#REF!</v>
      </c>
      <c r="AP77" s="11" t="e">
        <f>(#REF!-#REF!)*'[1]功能-付费相关'!CD79/节奏总纲!Z77</f>
        <v>#REF!</v>
      </c>
      <c r="AQ77" s="11" t="e">
        <f>(#REF!-#REF!)*'[1]功能-付费相关'!CE79/节奏总纲!AA77</f>
        <v>#REF!</v>
      </c>
      <c r="AS77" s="11">
        <f>('[1]资源-装备经验'!C79-'[1]资源-装备经验'!C78)*'[1]功能-付费相关'!BI79/节奏总纲!W77</f>
        <v>818.79215790997705</v>
      </c>
      <c r="AT77" s="11">
        <f>('[1]资源-装备经验'!D79-'[1]资源-装备经验'!D78)*'[1]功能-付费相关'!BJ79/节奏总纲!X77</f>
        <v>1154.011073222553</v>
      </c>
      <c r="AU77" s="11">
        <f>('[1]资源-装备经验'!E79-'[1]资源-装备经验'!E78)*'[1]功能-付费相关'!BK79/节奏总纲!Y77</f>
        <v>1559.2651360591203</v>
      </c>
      <c r="AV77" s="11">
        <f>('[1]资源-装备经验'!F79-'[1]资源-装备经验'!F78)*'[1]功能-付费相关'!BL79/节奏总纲!Z77</f>
        <v>1831.255870991597</v>
      </c>
      <c r="AW77" s="11">
        <f>('[1]资源-装备经验'!G79-'[1]资源-装备经验'!G78)*'[1]功能-付费相关'!BM79/节奏总纲!AA77</f>
        <v>2087.4433661019598</v>
      </c>
      <c r="AY77" s="11">
        <f>('[1]资源-武将经验'!C79*节奏总纲!BJ77-'[1]资源-武将经验'!C78*节奏总纲!BJ76)*'[1]功能-付费相关'!AZ79/节奏总纲!W77</f>
        <v>5866.8814472632394</v>
      </c>
      <c r="AZ77" s="11">
        <f>('[1]资源-武将经验'!D79*节奏总纲!BK77-'[1]资源-武将经验'!D78*节奏总纲!BK76)*'[1]功能-付费相关'!BA79/节奏总纲!X77</f>
        <v>7336.1422359898361</v>
      </c>
      <c r="BA77" s="11">
        <f>('[1]资源-武将经验'!E79*节奏总纲!BL77-'[1]资源-武将经验'!E78*节奏总纲!BL76)*'[1]功能-付费相关'!BB79/节奏总纲!Y77</f>
        <v>9431.673482274864</v>
      </c>
      <c r="BB77" s="11">
        <f>('[1]资源-武将经验'!F79*节奏总纲!BM77-'[1]资源-武将经验'!F78*节奏总纲!BM76)*'[1]功能-付费相关'!BC79/节奏总纲!Z77</f>
        <v>20979.961887584694</v>
      </c>
      <c r="BC77" s="11">
        <f>('[1]资源-武将经验'!G79*节奏总纲!BN77-'[1]资源-武将经验'!G78*节奏总纲!BN76)*'[1]功能-付费相关'!BD79/节奏总纲!AA77</f>
        <v>41779.385062267618</v>
      </c>
      <c r="BD77" s="33"/>
      <c r="BE77" s="30" t="e">
        <f t="shared" si="13"/>
        <v>#REF!</v>
      </c>
      <c r="BF77" s="30" t="e">
        <f t="shared" si="9"/>
        <v>#REF!</v>
      </c>
      <c r="BG77" s="30" t="e">
        <f t="shared" si="10"/>
        <v>#REF!</v>
      </c>
      <c r="BH77" s="30" t="e">
        <f t="shared" si="11"/>
        <v>#REF!</v>
      </c>
      <c r="BI77" s="30" t="e">
        <f t="shared" si="12"/>
        <v>#REF!</v>
      </c>
    </row>
    <row r="78" spans="2:61" x14ac:dyDescent="0.15">
      <c r="B78" s="31">
        <v>75</v>
      </c>
      <c r="C78" s="11">
        <f>('[1]资源-玩家城池建筑时间'!D80-'[1]资源-玩家城池建筑时间'!D79)*'[1]功能-付费相关'!AH80/节奏总纲!W78</f>
        <v>1881.2805275973894</v>
      </c>
      <c r="D78" s="11">
        <f>('[1]资源-玩家城池建筑时间'!E80-'[1]资源-玩家城池建筑时间'!E79)*'[1]功能-付费相关'!AI80/节奏总纲!X78</f>
        <v>2216.1793593463331</v>
      </c>
      <c r="E78" s="11">
        <f>('[1]资源-玩家城池建筑时间'!F80-'[1]资源-玩家城池建筑时间'!F79)*'[1]功能-付费相关'!AJ80/节奏总纲!Y78</f>
        <v>2538.0510637748016</v>
      </c>
      <c r="F78" s="11">
        <f>('[1]资源-玩家城池建筑时间'!G80-'[1]资源-玩家城池建筑时间'!G79)*'[1]功能-付费相关'!AK80/节奏总纲!Z78</f>
        <v>3274.5403457214816</v>
      </c>
      <c r="G78" s="11">
        <f>('[1]资源-玩家城池建筑时间'!H80-'[1]资源-玩家城池建筑时间'!H79)*'[1]功能-付费相关'!AL80/节奏总纲!AA78</f>
        <v>3847.8565459874826</v>
      </c>
      <c r="I78" s="31">
        <f>('[1]资源-士兵训练时间'!C80-'[1]资源-士兵训练时间'!C79)*'[1]功能-付费相关'!AH80/节奏总纲!W78</f>
        <v>738.80218402409707</v>
      </c>
      <c r="J78" s="31">
        <f>('[1]资源-士兵训练时间'!D80-'[1]资源-士兵训练时间'!D79)*'[1]功能-付费相关'!AI80/节奏总纲!X78</f>
        <v>751.02226946983001</v>
      </c>
      <c r="K78" s="31">
        <f>('[1]资源-士兵训练时间'!E80-'[1]资源-士兵训练时间'!E79)*'[1]功能-付费相关'!AJ80/节奏总纲!Y78</f>
        <v>759.29924406586463</v>
      </c>
      <c r="L78" s="31">
        <f>('[1]资源-士兵训练时间'!F80-'[1]资源-士兵训练时间'!F79)*'[1]功能-付费相关'!AK80/节奏总纲!Z78</f>
        <v>799.40663989439781</v>
      </c>
      <c r="M78" s="31">
        <f>('[1]资源-士兵训练时间'!G80-'[1]资源-士兵训练时间'!G79)*'[1]功能-付费相关'!AL80/节奏总纲!AA78</f>
        <v>949.33053507021805</v>
      </c>
      <c r="O78" s="11">
        <f>('[1]资源-士兵招募时间'!D80-'[1]资源-士兵招募时间'!D79)*'[1]功能-付费相关'!AH80/节奏总纲!W78</f>
        <v>1822.7036737733713</v>
      </c>
      <c r="P78" s="11">
        <f>('[1]资源-士兵招募时间'!E80-'[1]资源-士兵招募时间'!E79)*'[1]功能-付费相关'!AI80/节奏总纲!X78</f>
        <v>1979.7461471892425</v>
      </c>
      <c r="Q78" s="11">
        <f>('[1]资源-士兵招募时间'!F80-'[1]资源-士兵招募时间'!F79)*'[1]功能-付费相关'!AJ80/节奏总纲!Y78</f>
        <v>2090.2856632466455</v>
      </c>
      <c r="R78" s="11">
        <f>('[1]资源-士兵招募时间'!G80-'[1]资源-士兵招募时间'!G79)*'[1]功能-付费相关'!AK80/节奏总纲!Z78</f>
        <v>2476.4904222990913</v>
      </c>
      <c r="S78" s="11">
        <f>('[1]资源-士兵招募时间'!H80-'[1]资源-士兵招募时间'!H79)*'[1]功能-付费相关'!AL80/节奏总纲!AA78</f>
        <v>2761.935726764927</v>
      </c>
      <c r="U78" s="31">
        <f>('[1]资源-木石铜粮'!C80-'[1]资源-木石铜粮'!C79)*'[1]功能-付费相关'!S80/节奏总纲!W78</f>
        <v>1695.7695456171498</v>
      </c>
      <c r="V78" s="31">
        <f>('[1]资源-木石铜粮'!D80-'[1]资源-木石铜粮'!D79)*'[1]功能-付费相关'!T80/节奏总纲!X78</f>
        <v>1814.4894901045682</v>
      </c>
      <c r="W78" s="31">
        <f>('[1]资源-木石铜粮'!E80-'[1]资源-木石铜粮'!E79)*'[1]功能-付费相关'!U80/节奏总纲!Y78</f>
        <v>1957.3634481159975</v>
      </c>
      <c r="X78" s="31">
        <f>('[1]资源-木石铜粮'!F80-'[1]资源-木石铜粮'!F79)*'[1]功能-付费相关'!V80/节奏总纲!Z78</f>
        <v>2077.3573092139177</v>
      </c>
      <c r="Y78" s="31">
        <f>('[1]资源-木石铜粮'!G80-'[1]资源-木石铜粮'!G79)*'[1]功能-付费相关'!W80/节奏总纲!AA78</f>
        <v>2502.7326337640284</v>
      </c>
      <c r="AA78" s="11">
        <f>('[1]资源-铁'!C80-'[1]资源-铁'!C79)*'[1]功能-付费相关'!X80/节奏总纲!W78</f>
        <v>636.31509170233653</v>
      </c>
      <c r="AB78" s="11">
        <f>('[1]资源-铁'!D80-'[1]资源-铁'!D79)*'[1]功能-付费相关'!Y80/节奏总纲!X78</f>
        <v>664.91045741294602</v>
      </c>
      <c r="AC78" s="11">
        <f>('[1]资源-铁'!E80-'[1]资源-铁'!E79)*'[1]功能-付费相关'!Z80/节奏总纲!Y78</f>
        <v>704.98578657255985</v>
      </c>
      <c r="AD78" s="11">
        <f>('[1]资源-铁'!F80-'[1]资源-铁'!F79)*'[1]功能-付费相关'!AA80/节奏总纲!Z78</f>
        <v>772.37197530061565</v>
      </c>
      <c r="AE78" s="11">
        <f>('[1]资源-铁'!G80-'[1]资源-铁'!G79)*'[1]功能-付费相关'!AB80/节奏总纲!AA78</f>
        <v>1134.8057896095922</v>
      </c>
      <c r="AG78" s="11">
        <f>('[1]资源-银币'!C80-'[1]资源-银币'!C79)*'[1]功能-付费相关'!AQ80/节奏总纲!W78</f>
        <v>731.78806574223745</v>
      </c>
      <c r="AH78" s="11">
        <f>('[1]资源-银币'!D80-'[1]资源-银币'!D79)*'[1]功能-付费相关'!AR80/节奏总纲!X78</f>
        <v>767.64114129813413</v>
      </c>
      <c r="AI78" s="11">
        <f>('[1]资源-银币'!E80-'[1]资源-银币'!E79)*'[1]功能-付费相关'!AS80/节奏总纲!Y78</f>
        <v>800.7180579268354</v>
      </c>
      <c r="AJ78" s="11">
        <f>('[1]资源-银币'!F80-'[1]资源-银币'!F79)*'[1]功能-付费相关'!AT80/节奏总纲!Z78</f>
        <v>836.76924700563609</v>
      </c>
      <c r="AK78" s="11">
        <f>('[1]资源-银币'!G80-'[1]资源-银币'!G79)*'[1]功能-付费相关'!AU80/节奏总纲!AA78</f>
        <v>975.43490073702162</v>
      </c>
      <c r="AM78" s="11" t="e">
        <f>(#REF!-#REF!)*'[1]功能-付费相关'!CA80/节奏总纲!W78</f>
        <v>#REF!</v>
      </c>
      <c r="AN78" s="11" t="e">
        <f>(#REF!-#REF!)*'[1]功能-付费相关'!CB80/节奏总纲!X78</f>
        <v>#REF!</v>
      </c>
      <c r="AO78" s="11" t="e">
        <f>(#REF!-#REF!)*'[1]功能-付费相关'!CC80/节奏总纲!Y78</f>
        <v>#REF!</v>
      </c>
      <c r="AP78" s="11" t="e">
        <f>(#REF!-#REF!)*'[1]功能-付费相关'!CD80/节奏总纲!Z78</f>
        <v>#REF!</v>
      </c>
      <c r="AQ78" s="11" t="e">
        <f>(#REF!-#REF!)*'[1]功能-付费相关'!CE80/节奏总纲!AA78</f>
        <v>#REF!</v>
      </c>
      <c r="AS78" s="11">
        <f>('[1]资源-装备经验'!C80-'[1]资源-装备经验'!C79)*'[1]功能-付费相关'!BI80/节奏总纲!W78</f>
        <v>803.66323966127106</v>
      </c>
      <c r="AT78" s="11">
        <f>('[1]资源-装备经验'!D80-'[1]资源-装备经验'!D79)*'[1]功能-付费相关'!BJ80/节奏总纲!X78</f>
        <v>1132.1866066273549</v>
      </c>
      <c r="AU78" s="11">
        <f>('[1]资源-装备经验'!E80-'[1]资源-装备经验'!E79)*'[1]功能-付费相关'!BK80/节奏总纲!Y78</f>
        <v>1531.5357833783107</v>
      </c>
      <c r="AV78" s="11">
        <f>('[1]资源-装备经验'!F80-'[1]资源-装备经验'!F79)*'[1]功能-付费相关'!BL80/节奏总纲!Z78</f>
        <v>1814.0650692136435</v>
      </c>
      <c r="AW78" s="11">
        <f>('[1]资源-装备经验'!G80-'[1]资源-装备经验'!G79)*'[1]功能-付费相关'!BM80/节奏总纲!AA78</f>
        <v>2093.3398408009552</v>
      </c>
      <c r="AY78" s="11">
        <f>('[1]资源-武将经验'!C80*节奏总纲!BJ78-'[1]资源-武将经验'!C79*节奏总纲!BJ77)*'[1]功能-付费相关'!AZ80/节奏总纲!W78</f>
        <v>5785.8189518441031</v>
      </c>
      <c r="AZ78" s="11">
        <f>('[1]资源-武将经验'!D80*节奏总纲!BK78-'[1]资源-武将经验'!D79*节奏总纲!BK77)*'[1]功能-付费相关'!BA80/节奏总纲!X78</f>
        <v>7206.8223581989332</v>
      </c>
      <c r="BA78" s="11">
        <f>('[1]资源-武将经验'!E80*节奏总纲!BL78-'[1]资源-武将经验'!E79*节奏总纲!BL77)*'[1]功能-付费相关'!BB80/节奏总纲!Y78</f>
        <v>9278.2420052800171</v>
      </c>
      <c r="BB78" s="11">
        <f>('[1]资源-武将经验'!F80*节奏总纲!BM78-'[1]资源-武将经验'!F79*节奏总纲!BM77)*'[1]功能-付费相关'!BC80/节奏总纲!Z78</f>
        <v>20949.670460190762</v>
      </c>
      <c r="BC78" s="11">
        <f>('[1]资源-武将经验'!G80*节奏总纲!BN78-'[1]资源-武将经验'!G79*节奏总纲!BN77)*'[1]功能-付费相关'!BD80/节奏总纲!AA78</f>
        <v>56278.528643701356</v>
      </c>
      <c r="BD78" s="33"/>
      <c r="BE78" s="30" t="e">
        <f t="shared" si="13"/>
        <v>#REF!</v>
      </c>
      <c r="BF78" s="30" t="e">
        <f t="shared" si="9"/>
        <v>#REF!</v>
      </c>
      <c r="BG78" s="30" t="e">
        <f t="shared" si="10"/>
        <v>#REF!</v>
      </c>
      <c r="BH78" s="30" t="e">
        <f t="shared" si="11"/>
        <v>#REF!</v>
      </c>
      <c r="BI78" s="30" t="e">
        <f t="shared" si="12"/>
        <v>#REF!</v>
      </c>
    </row>
    <row r="79" spans="2:61" x14ac:dyDescent="0.15">
      <c r="B79" s="31">
        <v>76</v>
      </c>
      <c r="C79" s="11">
        <f>('[1]资源-玩家城池建筑时间'!D81-'[1]资源-玩家城池建筑时间'!D80)*'[1]功能-付费相关'!AH81/节奏总纲!W79</f>
        <v>1890.9962019575892</v>
      </c>
      <c r="D79" s="11">
        <f>('[1]资源-玩家城池建筑时间'!E81-'[1]资源-玩家城池建筑时间'!E80)*'[1]功能-付费相关'!AI81/节奏总纲!X79</f>
        <v>2490.3694095267842</v>
      </c>
      <c r="E79" s="11">
        <f>('[1]资源-玩家城池建筑时间'!F81-'[1]资源-玩家城池建筑时间'!F80)*'[1]功能-付费相关'!AJ81/节奏总纲!Y79</f>
        <v>2851.6850437771386</v>
      </c>
      <c r="F79" s="11">
        <f>('[1]资源-玩家城池建筑时间'!G81-'[1]资源-玩家城池建筑时间'!G80)*'[1]功能-付费相关'!AK81/节奏总纲!Z79</f>
        <v>3439.7707547483069</v>
      </c>
      <c r="G79" s="11">
        <f>('[1]资源-玩家城池建筑时间'!H81-'[1]资源-玩家城池建筑时间'!H80)*'[1]功能-付费相关'!AL81/节奏总纲!AA79</f>
        <v>3831.7232295070039</v>
      </c>
      <c r="I79" s="31">
        <f>('[1]资源-士兵训练时间'!C81-'[1]资源-士兵训练时间'!C80)*'[1]功能-付费相关'!AH81/节奏总纲!W79</f>
        <v>741.61907118142869</v>
      </c>
      <c r="J79" s="31">
        <f>('[1]资源-士兵训练时间'!D81-'[1]资源-士兵训练时间'!D80)*'[1]功能-付费相关'!AI81/节奏总纲!X79</f>
        <v>819.59544328649088</v>
      </c>
      <c r="K79" s="31">
        <f>('[1]资源-士兵训练时间'!E81-'[1]资源-士兵训练时间'!E80)*'[1]功能-付费相关'!AJ81/节奏总纲!Y79</f>
        <v>837.58960297416502</v>
      </c>
      <c r="L79" s="31">
        <f>('[1]资源-士兵训练时间'!F81-'[1]资源-士兵训练时间'!F80)*'[1]功能-付费相关'!AK81/节奏总纲!Z79</f>
        <v>842.0165816734625</v>
      </c>
      <c r="M79" s="31">
        <f>('[1]资源-士兵训练时间'!G81-'[1]资源-士兵训练时间'!G80)*'[1]功能-付费相关'!AL81/节奏总纲!AA79</f>
        <v>945.27734189451667</v>
      </c>
      <c r="O79" s="11">
        <f>('[1]资源-士兵招募时间'!D81-'[1]资源-士兵招募时间'!D80)*'[1]功能-付费相关'!AH81/节奏总纲!W79</f>
        <v>1844.3838171522743</v>
      </c>
      <c r="P79" s="11">
        <f>('[1]资源-士兵招募时间'!E81-'[1]资源-士兵招募时间'!E80)*'[1]功能-付费相关'!AI81/节奏总纲!X79</f>
        <v>2073.8428921817476</v>
      </c>
      <c r="Q79" s="11">
        <f>('[1]资源-士兵招募时间'!F81-'[1]资源-士兵招募时间'!F80)*'[1]功能-付费相关'!AJ81/节奏总纲!Y79</f>
        <v>2196.338250007338</v>
      </c>
      <c r="R79" s="11">
        <f>('[1]资源-士兵招募时间'!G81-'[1]资源-士兵招募时间'!G80)*'[1]功能-付费相关'!AK81/节奏总纲!Z79</f>
        <v>2523.2335312383202</v>
      </c>
      <c r="S79" s="11">
        <f>('[1]资源-士兵招募时间'!H81-'[1]资源-士兵招募时间'!H80)*'[1]功能-付费相关'!AL81/节奏总纲!AA79</f>
        <v>2767.0543836377815</v>
      </c>
      <c r="U79" s="31">
        <f>('[1]资源-木石铜粮'!C81-'[1]资源-木石铜粮'!C80)*'[1]功能-付费相关'!S81/节奏总纲!W79</f>
        <v>1714.0208553171015</v>
      </c>
      <c r="V79" s="31">
        <f>('[1]资源-木石铜粮'!D81-'[1]资源-木石铜粮'!D80)*'[1]功能-付费相关'!T81/节奏总纲!X79</f>
        <v>1817.0808985531428</v>
      </c>
      <c r="W79" s="31">
        <f>('[1]资源-木石铜粮'!E81-'[1]资源-木石铜粮'!E80)*'[1]功能-付费相关'!U81/节奏总纲!Y79</f>
        <v>1961.3782682756846</v>
      </c>
      <c r="X79" s="31">
        <f>('[1]资源-木石铜粮'!F81-'[1]资源-木石铜粮'!F80)*'[1]功能-付费相关'!V81/节奏总纲!Z79</f>
        <v>2168.9781163840453</v>
      </c>
      <c r="Y79" s="31">
        <f>('[1]资源-木石铜粮'!G81-'[1]资源-木石铜粮'!G80)*'[1]功能-付费相关'!W81/节奏总纲!AA79</f>
        <v>2485.8007150230737</v>
      </c>
      <c r="AA79" s="11">
        <f>('[1]资源-铁'!C81-'[1]资源-铁'!C80)*'[1]功能-付费相关'!X81/节奏总纲!W79</f>
        <v>643.40591409458887</v>
      </c>
      <c r="AB79" s="11">
        <f>('[1]资源-铁'!D81-'[1]资源-铁'!D80)*'[1]功能-付费相关'!Y81/节奏总纲!X79</f>
        <v>664.65822041000251</v>
      </c>
      <c r="AC79" s="11">
        <f>('[1]资源-铁'!E81-'[1]资源-铁'!E80)*'[1]功能-付费相关'!Z81/节奏总纲!Y79</f>
        <v>704.26516416409743</v>
      </c>
      <c r="AD79" s="11">
        <f>('[1]资源-铁'!F81-'[1]资源-铁'!F80)*'[1]功能-付费相关'!AA81/节奏总纲!Z79</f>
        <v>871.88443166420893</v>
      </c>
      <c r="AE79" s="11">
        <f>('[1]资源-铁'!G81-'[1]资源-铁'!G80)*'[1]功能-付费相关'!AB81/节奏总纲!AA79</f>
        <v>1110.9025725634024</v>
      </c>
      <c r="AG79" s="11">
        <f>('[1]资源-银币'!C81-'[1]资源-银币'!C80)*'[1]功能-付费相关'!AQ81/节奏总纲!W79</f>
        <v>718.74054174981518</v>
      </c>
      <c r="AH79" s="11">
        <f>('[1]资源-银币'!D81-'[1]资源-银币'!D80)*'[1]功能-付费相关'!AR81/节奏总纲!X79</f>
        <v>843.84022033010262</v>
      </c>
      <c r="AI79" s="11">
        <f>('[1]资源-银币'!E81-'[1]资源-银币'!E80)*'[1]功能-付费相关'!AS81/节奏总纲!Y79</f>
        <v>883.01191327756885</v>
      </c>
      <c r="AJ79" s="11">
        <f>('[1]资源-银币'!F81-'[1]资源-银币'!F80)*'[1]功能-付费相关'!AT81/节奏总纲!Z79</f>
        <v>889.75204081631239</v>
      </c>
      <c r="AK79" s="11">
        <f>('[1]资源-银币'!G81-'[1]资源-银币'!G80)*'[1]功能-付费相关'!AU81/节奏总纲!AA79</f>
        <v>968.95437343852609</v>
      </c>
      <c r="AM79" s="11" t="e">
        <f>(#REF!-#REF!)*'[1]功能-付费相关'!CA81/节奏总纲!W79</f>
        <v>#REF!</v>
      </c>
      <c r="AN79" s="11" t="e">
        <f>(#REF!-#REF!)*'[1]功能-付费相关'!CB81/节奏总纲!X79</f>
        <v>#REF!</v>
      </c>
      <c r="AO79" s="11" t="e">
        <f>(#REF!-#REF!)*'[1]功能-付费相关'!CC81/节奏总纲!Y79</f>
        <v>#REF!</v>
      </c>
      <c r="AP79" s="11" t="e">
        <f>(#REF!-#REF!)*'[1]功能-付费相关'!CD81/节奏总纲!Z79</f>
        <v>#REF!</v>
      </c>
      <c r="AQ79" s="11" t="e">
        <f>(#REF!-#REF!)*'[1]功能-付费相关'!CE81/节奏总纲!AA79</f>
        <v>#REF!</v>
      </c>
      <c r="AS79" s="11">
        <f>('[1]资源-装备经验'!C81-'[1]资源-装备经验'!C80)*'[1]功能-付费相关'!BI81/节奏总纲!W79</f>
        <v>791.48922890661777</v>
      </c>
      <c r="AT79" s="11">
        <f>('[1]资源-装备经验'!D81-'[1]资源-装备经验'!D80)*'[1]功能-付费相关'!BJ81/节奏总纲!X79</f>
        <v>1119.2608709264571</v>
      </c>
      <c r="AU79" s="11">
        <f>('[1]资源-装备经验'!E81-'[1]资源-装备经验'!E80)*'[1]功能-付费相关'!BK81/节奏总纲!Y79</f>
        <v>1512.5114661510659</v>
      </c>
      <c r="AV79" s="11">
        <f>('[1]资源-装备经验'!F81-'[1]资源-装备经验'!F80)*'[1]功能-付费相关'!BL81/节奏总纲!Z79</f>
        <v>1955.3279911924812</v>
      </c>
      <c r="AW79" s="11">
        <f>('[1]资源-装备经验'!G81-'[1]资源-装备经验'!G80)*'[1]功能-付费相关'!BM81/节奏总纲!AA79</f>
        <v>2056.700365347383</v>
      </c>
      <c r="AY79" s="11">
        <f>('[1]资源-武将经验'!C81*节奏总纲!BJ79-'[1]资源-武将经验'!C80*节奏总纲!BJ78)*'[1]功能-付费相关'!AZ81/节奏总纲!W79</f>
        <v>5712.7011241246328</v>
      </c>
      <c r="AZ79" s="11">
        <f>('[1]资源-武将经验'!D81*节奏总纲!BK79-'[1]资源-武将经验'!D80*节奏总纲!BK78)*'[1]功能-付费相关'!BA81/节奏总纲!X79</f>
        <v>7251.7620458766287</v>
      </c>
      <c r="BA79" s="11">
        <f>('[1]资源-武将经验'!E81*节奏总纲!BL79-'[1]资源-武将经验'!E80*节奏总纲!BL78)*'[1]功能-付费相关'!BB81/节奏总纲!Y79</f>
        <v>9285.1903005725562</v>
      </c>
      <c r="BB79" s="11">
        <f>('[1]资源-武将经验'!F81*节奏总纲!BM79-'[1]资源-武将经验'!F80*节奏总纲!BM78)*'[1]功能-付费相关'!BC81/节奏总纲!Z79</f>
        <v>27170.190998294598</v>
      </c>
      <c r="BC79" s="11">
        <f>('[1]资源-武将经验'!G81*节奏总纲!BN79-'[1]资源-武将经验'!G80*节奏总纲!BN78)*'[1]功能-付费相关'!BD81/节奏总纲!AA79</f>
        <v>55404.985388382294</v>
      </c>
      <c r="BD79" s="33"/>
      <c r="BE79" s="30" t="e">
        <f t="shared" si="13"/>
        <v>#REF!</v>
      </c>
      <c r="BF79" s="30" t="e">
        <f t="shared" si="9"/>
        <v>#REF!</v>
      </c>
      <c r="BG79" s="30" t="e">
        <f t="shared" si="10"/>
        <v>#REF!</v>
      </c>
      <c r="BH79" s="30" t="e">
        <f t="shared" si="11"/>
        <v>#REF!</v>
      </c>
      <c r="BI79" s="30" t="e">
        <f t="shared" si="12"/>
        <v>#REF!</v>
      </c>
    </row>
    <row r="80" spans="2:61" x14ac:dyDescent="0.15">
      <c r="B80" s="31">
        <v>77</v>
      </c>
      <c r="C80" s="11">
        <f>('[1]资源-玩家城池建筑时间'!D82-'[1]资源-玩家城池建筑时间'!D81)*'[1]功能-付费相关'!AH82/节奏总纲!W80</f>
        <v>1899.092475117877</v>
      </c>
      <c r="D80" s="11">
        <f>('[1]资源-玩家城池建筑时间'!E82-'[1]资源-玩家城池建筑时间'!E81)*'[1]功能-付费相关'!AI82/节奏总纲!X80</f>
        <v>2264.4958024360435</v>
      </c>
      <c r="E80" s="11">
        <f>('[1]资源-玩家城池建筑时间'!F82-'[1]资源-玩家城池建筑时间'!F81)*'[1]功能-付费相关'!AJ82/节奏总纲!Y80</f>
        <v>2621.2822454415832</v>
      </c>
      <c r="F80" s="11">
        <f>('[1]资源-玩家城池建筑时间'!G82-'[1]资源-玩家城池建筑时间'!G81)*'[1]功能-付费相关'!AK82/节奏总纲!Z80</f>
        <v>3407.9405477158198</v>
      </c>
      <c r="G80" s="11">
        <f>('[1]资源-玩家城池建筑时间'!H82-'[1]资源-玩家城池建筑时间'!H81)*'[1]功能-付费相关'!AL82/节奏总纲!AA80</f>
        <v>5400.5549913904606</v>
      </c>
      <c r="I80" s="31">
        <f>('[1]资源-士兵训练时间'!C82-'[1]资源-士兵训练时间'!C81)*'[1]功能-付费相关'!AH82/节奏总纲!W80</f>
        <v>743.73079520077658</v>
      </c>
      <c r="J80" s="31">
        <f>('[1]资源-士兵训练时间'!D82-'[1]资源-士兵训练时间'!D81)*'[1]功能-付费相关'!AI82/节奏总纲!X80</f>
        <v>762.9925484495451</v>
      </c>
      <c r="K80" s="31">
        <f>('[1]资源-士兵训练时间'!E82-'[1]资源-士兵训练时间'!E81)*'[1]功能-付费相关'!AJ82/节奏总纲!Y80</f>
        <v>780.31469478589395</v>
      </c>
      <c r="L80" s="31">
        <f>('[1]资源-士兵训练时间'!F82-'[1]资源-士兵训练时间'!F81)*'[1]功能-付费相关'!AK82/节奏总纲!Z80</f>
        <v>834.05266677398356</v>
      </c>
      <c r="M80" s="31">
        <f>('[1]资源-士兵训练时间'!G82-'[1]资源-士兵训练时间'!G81)*'[1]功能-付费相关'!AL82/节奏总纲!AA80</f>
        <v>1337.447182312158</v>
      </c>
      <c r="O80" s="11">
        <f>('[1]资源-士兵招募时间'!D82-'[1]资源-士兵招募时间'!D81)*'[1]功能-付费相关'!AH82/节奏总纲!W80</f>
        <v>1866.7044073076197</v>
      </c>
      <c r="P80" s="11">
        <f>('[1]资源-士兵招募时间'!E82-'[1]资源-士兵招募时间'!E81)*'[1]功能-付费相关'!AI82/节奏总纲!X80</f>
        <v>2028.3687424089128</v>
      </c>
      <c r="Q80" s="11">
        <f>('[1]资源-士兵招募时间'!F82-'[1]资源-士兵招募时间'!F81)*'[1]功能-付费相关'!AJ82/节奏总纲!Y80</f>
        <v>2156.9619613122609</v>
      </c>
      <c r="R80" s="11">
        <f>('[1]资源-士兵招募时间'!G82-'[1]资源-士兵招募时间'!G81)*'[1]功能-付费相关'!AK82/节奏总纲!Z80</f>
        <v>2519.6001107155616</v>
      </c>
      <c r="S80" s="11">
        <f>('[1]资源-士兵招募时间'!H82-'[1]资源-士兵招募时间'!H81)*'[1]功能-付费相关'!AL82/节奏总纲!AA80</f>
        <v>3182.718521204426</v>
      </c>
      <c r="U80" s="31">
        <f>('[1]资源-木石铜粮'!C82-'[1]资源-木石铜粮'!C81)*'[1]功能-付费相关'!S82/节奏总纲!W80</f>
        <v>1712.6242180020147</v>
      </c>
      <c r="V80" s="31">
        <f>('[1]资源-木石铜粮'!D82-'[1]资源-木石铜粮'!D81)*'[1]功能-付费相关'!T82/节奏总纲!X80</f>
        <v>1829.1125277130916</v>
      </c>
      <c r="W80" s="31">
        <f>('[1]资源-木石铜粮'!E82-'[1]资源-木石铜粮'!E81)*'[1]功能-付费相关'!U82/节奏总纲!Y80</f>
        <v>1982.9199438129212</v>
      </c>
      <c r="X80" s="31">
        <f>('[1]资源-木石铜粮'!F82-'[1]资源-木石铜粮'!F81)*'[1]功能-付费相关'!V82/节奏总纲!Z80</f>
        <v>2153.5300586070584</v>
      </c>
      <c r="Y80" s="31">
        <f>('[1]资源-木石铜粮'!G82-'[1]资源-木石铜粮'!G81)*'[1]功能-付费相关'!W82/节奏总纲!AA80</f>
        <v>2461.219345003085</v>
      </c>
      <c r="AA80" s="11">
        <f>('[1]资源-铁'!C82-'[1]资源-铁'!C81)*'[1]功能-付费相关'!X82/节奏总纲!W80</f>
        <v>639.82760966036142</v>
      </c>
      <c r="AB80" s="11">
        <f>('[1]资源-铁'!D82-'[1]资源-铁'!D81)*'[1]功能-付费相关'!Y82/节奏总纲!X80</f>
        <v>669.09479981394406</v>
      </c>
      <c r="AC80" s="11">
        <f>('[1]资源-铁'!E82-'[1]资源-铁'!E81)*'[1]功能-付费相关'!Z82/节奏总纲!Y80</f>
        <v>726.5489926884519</v>
      </c>
      <c r="AD80" s="11">
        <f>('[1]资源-铁'!F82-'[1]资源-铁'!F81)*'[1]功能-付费相关'!AA82/节奏总纲!Z80</f>
        <v>851.36369114021682</v>
      </c>
      <c r="AE80" s="11">
        <f>('[1]资源-铁'!G82-'[1]资源-铁'!G81)*'[1]功能-付费相关'!AB82/节奏总纲!AA80</f>
        <v>1077.7668240496073</v>
      </c>
      <c r="AG80" s="11">
        <f>('[1]资源-银币'!C82-'[1]资源-银币'!C81)*'[1]功能-付费相关'!AQ82/节奏总纲!W80</f>
        <v>720.21552130792429</v>
      </c>
      <c r="AH80" s="11">
        <f>('[1]资源-银币'!D82-'[1]资源-银币'!D81)*'[1]功能-付费相关'!AR82/节奏总纲!X80</f>
        <v>761.1085313924516</v>
      </c>
      <c r="AI80" s="11">
        <f>('[1]资源-银币'!E82-'[1]资源-银币'!E81)*'[1]功能-付费相关'!AS82/节奏总纲!Y80</f>
        <v>820.97980713537868</v>
      </c>
      <c r="AJ80" s="11">
        <f>('[1]资源-银币'!F82-'[1]资源-银币'!F81)*'[1]功能-付费相关'!AT82/节奏总纲!Z80</f>
        <v>891.66206144992486</v>
      </c>
      <c r="AK80" s="11">
        <f>('[1]资源-银币'!G82-'[1]资源-银币'!G81)*'[1]功能-付费相关'!AU82/节奏总纲!AA80</f>
        <v>895.2572009937146</v>
      </c>
      <c r="AM80" s="11" t="e">
        <f>(#REF!-#REF!)*'[1]功能-付费相关'!CA82/节奏总纲!W80</f>
        <v>#REF!</v>
      </c>
      <c r="AN80" s="11" t="e">
        <f>(#REF!-#REF!)*'[1]功能-付费相关'!CB82/节奏总纲!X80</f>
        <v>#REF!</v>
      </c>
      <c r="AO80" s="11" t="e">
        <f>(#REF!-#REF!)*'[1]功能-付费相关'!CC82/节奏总纲!Y80</f>
        <v>#REF!</v>
      </c>
      <c r="AP80" s="11" t="e">
        <f>(#REF!-#REF!)*'[1]功能-付费相关'!CD82/节奏总纲!Z80</f>
        <v>#REF!</v>
      </c>
      <c r="AQ80" s="11" t="e">
        <f>(#REF!-#REF!)*'[1]功能-付费相关'!CE82/节奏总纲!AA80</f>
        <v>#REF!</v>
      </c>
      <c r="AS80" s="11">
        <f>('[1]资源-装备经验'!C82-'[1]资源-装备经验'!C81)*'[1]功能-付费相关'!BI82/节奏总纲!W80</f>
        <v>782.21919601212051</v>
      </c>
      <c r="AT80" s="11">
        <f>('[1]资源-装备经验'!D82-'[1]资源-装备经验'!D81)*'[1]功能-付费相关'!BJ82/节奏总纲!X80</f>
        <v>1102.1416367159043</v>
      </c>
      <c r="AU80" s="11">
        <f>('[1]资源-装备经验'!E82-'[1]资源-装备经验'!E81)*'[1]功能-付费相关'!BK82/节奏总纲!Y80</f>
        <v>1536.1579950995276</v>
      </c>
      <c r="AV80" s="11">
        <f>('[1]资源-装备经验'!F82-'[1]资源-装备经验'!F81)*'[1]功能-付费相关'!BL82/节奏总纲!Z80</f>
        <v>1910.2925038214046</v>
      </c>
      <c r="AW80" s="11">
        <f>('[1]资源-装备经验'!G82-'[1]资源-装备经验'!G81)*'[1]功能-付费相关'!BM82/节奏总纲!AA80</f>
        <v>2013.0409599712523</v>
      </c>
      <c r="AY80" s="11">
        <f>('[1]资源-武将经验'!C82*节奏总纲!BJ80-'[1]资源-武将经验'!C81*节奏总纲!BJ79)*'[1]功能-付费相关'!AZ82/节奏总纲!W80</f>
        <v>5643.3450104794119</v>
      </c>
      <c r="AZ80" s="11">
        <f>('[1]资源-武将经验'!D82*节奏总纲!BK80-'[1]资源-武将经验'!D81*节奏总纲!BK79)*'[1]功能-付费相关'!BA82/节奏总纲!X80</f>
        <v>7099.1998275191972</v>
      </c>
      <c r="BA80" s="11">
        <f>('[1]资源-武将经验'!E82*节奏总纲!BL80-'[1]资源-武将经验'!E81*节奏总纲!BL79)*'[1]功能-付费相关'!BB82/节奏总纲!Y80</f>
        <v>10451.005132124126</v>
      </c>
      <c r="BB80" s="11">
        <f>('[1]资源-武将经验'!F82*节奏总纲!BM80-'[1]资源-武将经验'!F81*节奏总纲!BM79)*'[1]功能-付费相关'!BC82/节奏总纲!Z80</f>
        <v>29503.410408949559</v>
      </c>
      <c r="BC80" s="11">
        <f>('[1]资源-武将经验'!G82*节奏总纲!BN80-'[1]资源-武将经验'!G81*节奏总纲!BN79)*'[1]功能-付费相关'!BD82/节奏总纲!AA80</f>
        <v>53769.086988062947</v>
      </c>
      <c r="BD80" s="33"/>
      <c r="BE80" s="30" t="e">
        <f t="shared" si="13"/>
        <v>#REF!</v>
      </c>
      <c r="BF80" s="30" t="e">
        <f t="shared" si="9"/>
        <v>#REF!</v>
      </c>
      <c r="BG80" s="30" t="e">
        <f t="shared" si="10"/>
        <v>#REF!</v>
      </c>
      <c r="BH80" s="30" t="e">
        <f t="shared" si="11"/>
        <v>#REF!</v>
      </c>
      <c r="BI80" s="30" t="e">
        <f t="shared" si="12"/>
        <v>#REF!</v>
      </c>
    </row>
    <row r="81" spans="2:61" x14ac:dyDescent="0.15">
      <c r="B81" s="31">
        <v>78</v>
      </c>
      <c r="C81" s="11">
        <f>('[1]资源-玩家城池建筑时间'!D83-'[1]资源-玩家城池建筑时间'!D82)*'[1]功能-付费相关'!AH83/节奏总纲!W81</f>
        <v>1907.9994548628254</v>
      </c>
      <c r="D81" s="11">
        <f>('[1]资源-玩家城池建筑时间'!E83-'[1]资源-玩家城池建筑时间'!E82)*'[1]功能-付费相关'!AI83/节奏总纲!X81</f>
        <v>2205.3991476665951</v>
      </c>
      <c r="E81" s="11">
        <f>('[1]资源-玩家城池建筑时间'!F83-'[1]资源-玩家城池建筑时间'!F82)*'[1]功能-付费相关'!AJ83/节奏总纲!Y81</f>
        <v>2611.5261659508124</v>
      </c>
      <c r="F81" s="11">
        <f>('[1]资源-玩家城池建筑时间'!G83-'[1]资源-玩家城池建筑时间'!G82)*'[1]功能-付费相关'!AK83/节奏总纲!Z81</f>
        <v>3375.8610798434474</v>
      </c>
      <c r="G81" s="11">
        <f>('[1]资源-玩家城池建筑时间'!H83-'[1]资源-玩家城池建筑时间'!H82)*'[1]功能-付费相关'!AL83/节奏总纲!AA81</f>
        <v>3323.8734245235364</v>
      </c>
      <c r="I81" s="31">
        <f>('[1]资源-士兵训练时间'!C83-'[1]资源-士兵训练时间'!C82)*'[1]功能-付费相关'!AH83/节奏总纲!W81</f>
        <v>745.93252526021831</v>
      </c>
      <c r="J81" s="31">
        <f>('[1]资源-士兵训练时间'!D83-'[1]资源-士兵训练时间'!D82)*'[1]功能-付费相关'!AI83/节奏总纲!X81</f>
        <v>748.29058919062129</v>
      </c>
      <c r="K81" s="31">
        <f>('[1]资源-士兵训练时间'!E83-'[1]资源-士兵训练时间'!E82)*'[1]功能-付费相关'!AJ83/节奏总纲!Y81</f>
        <v>778.42381889385024</v>
      </c>
      <c r="L81" s="31">
        <f>('[1]资源-士兵训练时间'!F83-'[1]资源-士兵训练时间'!F82)*'[1]功能-付费相关'!AK83/节奏总纲!Z81</f>
        <v>826.03500077032845</v>
      </c>
      <c r="M81" s="31">
        <f>('[1]资源-士兵训练时间'!G83-'[1]资源-士兵训练时间'!G82)*'[1]功能-付费相关'!AL83/节奏总纲!AA81</f>
        <v>818.24949851631811</v>
      </c>
      <c r="O81" s="11">
        <f>('[1]资源-士兵招募时间'!D83-'[1]资源-士兵招募时间'!D82)*'[1]功能-付费相关'!AH83/节奏总纲!W81</f>
        <v>1872.2734522276187</v>
      </c>
      <c r="P81" s="11">
        <f>('[1]资源-士兵招募时间'!E83-'[1]资源-士兵招募时间'!E82)*'[1]功能-付费相关'!AI83/节奏总纲!X81</f>
        <v>2032.8477110147203</v>
      </c>
      <c r="Q81" s="11">
        <f>('[1]资源-士兵招募时间'!F83-'[1]资源-士兵招募时间'!F82)*'[1]功能-付费相关'!AJ83/节奏总纲!Y81</f>
        <v>2183.9366055032515</v>
      </c>
      <c r="R81" s="11">
        <f>('[1]资源-士兵招募时间'!G83-'[1]资源-士兵招募时间'!G82)*'[1]功能-付费相关'!AK83/节奏总纲!Z81</f>
        <v>2516.9273814543894</v>
      </c>
      <c r="S81" s="11">
        <f>('[1]资源-士兵招募时间'!H83-'[1]资源-士兵招募时间'!H82)*'[1]功能-付费相关'!AL83/节奏总纲!AA81</f>
        <v>2688.1281844575478</v>
      </c>
      <c r="U81" s="31">
        <f>('[1]资源-木石铜粮'!C83-'[1]资源-木石铜粮'!C82)*'[1]功能-付费相关'!S83/节奏总纲!W81</f>
        <v>1726.454181065898</v>
      </c>
      <c r="V81" s="31">
        <f>('[1]资源-木石铜粮'!D83-'[1]资源-木石铜粮'!D82)*'[1]功能-付费相关'!T83/节奏总纲!X81</f>
        <v>1827.6633011021499</v>
      </c>
      <c r="W81" s="31">
        <f>('[1]资源-木石铜粮'!E83-'[1]资源-木石铜粮'!E82)*'[1]功能-付费相关'!U83/节奏总纲!Y81</f>
        <v>2023.8377746231827</v>
      </c>
      <c r="X81" s="31">
        <f>('[1]资源-木石铜粮'!F83-'[1]资源-木石铜粮'!F82)*'[1]功能-付费相关'!V83/节奏总纲!Z81</f>
        <v>2143.2995597455019</v>
      </c>
      <c r="Y81" s="31">
        <f>('[1]资源-木石铜粮'!G83-'[1]资源-木石铜粮'!G82)*'[1]功能-付费相关'!W83/节奏总纲!AA81</f>
        <v>2332.3119854041638</v>
      </c>
      <c r="AA81" s="11">
        <f>('[1]资源-铁'!C83-'[1]资源-铁'!C82)*'[1]功能-付费相关'!X83/节奏总纲!W81</f>
        <v>646.97731530389058</v>
      </c>
      <c r="AB81" s="11">
        <f>('[1]资源-铁'!D83-'[1]资源-铁'!D82)*'[1]功能-付费相关'!Y83/节奏总纲!X81</f>
        <v>666.86270473481943</v>
      </c>
      <c r="AC81" s="11">
        <f>('[1]资源-铁'!E83-'[1]资源-铁'!E82)*'[1]功能-付费相关'!Z83/节奏总纲!Y81</f>
        <v>769.05841469529526</v>
      </c>
      <c r="AD81" s="11">
        <f>('[1]资源-铁'!F83-'[1]资源-铁'!F82)*'[1]功能-付费相关'!AA83/节奏总纲!Z81</f>
        <v>837.93023982629393</v>
      </c>
      <c r="AE81" s="11">
        <f>('[1]资源-铁'!G83-'[1]资源-铁'!G82)*'[1]功能-付费相关'!AB83/节奏总纲!AA81</f>
        <v>970.15475126184481</v>
      </c>
      <c r="AG81" s="11">
        <f>('[1]资源-银币'!C83-'[1]资源-银币'!C82)*'[1]功能-付费相关'!AQ83/节奏总纲!W81</f>
        <v>709.97385389182432</v>
      </c>
      <c r="AH81" s="11">
        <f>('[1]资源-银币'!D83-'[1]资源-银币'!D82)*'[1]功能-付费相关'!AR83/节奏总纲!X81</f>
        <v>748.77205344525476</v>
      </c>
      <c r="AI81" s="11">
        <f>('[1]资源-银币'!E83-'[1]资源-银币'!E82)*'[1]功能-付费相关'!AS83/节奏总纲!Y81</f>
        <v>818.80613501579239</v>
      </c>
      <c r="AJ81" s="11">
        <f>('[1]资源-银币'!F83-'[1]资源-银币'!F82)*'[1]功能-付费相关'!AT83/节奏总纲!Z81</f>
        <v>890.44836236740753</v>
      </c>
      <c r="AK81" s="11">
        <f>('[1]资源-银币'!G83-'[1]资源-银币'!G82)*'[1]功能-付费相关'!AU83/节奏总纲!AA81</f>
        <v>738.29765089707359</v>
      </c>
      <c r="AM81" s="11" t="e">
        <f>(#REF!-#REF!)*'[1]功能-付费相关'!CA83/节奏总纲!W81</f>
        <v>#REF!</v>
      </c>
      <c r="AN81" s="11" t="e">
        <f>(#REF!-#REF!)*'[1]功能-付费相关'!CB83/节奏总纲!X81</f>
        <v>#REF!</v>
      </c>
      <c r="AO81" s="11" t="e">
        <f>(#REF!-#REF!)*'[1]功能-付费相关'!CC83/节奏总纲!Y81</f>
        <v>#REF!</v>
      </c>
      <c r="AP81" s="11" t="e">
        <f>(#REF!-#REF!)*'[1]功能-付费相关'!CD83/节奏总纲!Z81</f>
        <v>#REF!</v>
      </c>
      <c r="AQ81" s="11" t="e">
        <f>(#REF!-#REF!)*'[1]功能-付费相关'!CE83/节奏总纲!AA81</f>
        <v>#REF!</v>
      </c>
      <c r="AS81" s="11">
        <f>('[1]资源-装备经验'!C83-'[1]资源-装备经验'!C82)*'[1]功能-付费相关'!BI83/节奏总纲!W81</f>
        <v>771.08954578876205</v>
      </c>
      <c r="AT81" s="11">
        <f>('[1]资源-装备经验'!D83-'[1]资源-装备经验'!D82)*'[1]功能-付费相关'!BJ83/节奏总纲!X81</f>
        <v>1091.3187102550764</v>
      </c>
      <c r="AU81" s="11">
        <f>('[1]资源-装备经验'!E83-'[1]资源-装备经验'!E82)*'[1]功能-付费相关'!BK83/节奏总纲!Y81</f>
        <v>1583.0534548114974</v>
      </c>
      <c r="AV81" s="11">
        <f>('[1]资源-装备经验'!F83-'[1]资源-装备经验'!F82)*'[1]功能-付费相关'!BL83/节奏总纲!Z81</f>
        <v>1875.3380964147198</v>
      </c>
      <c r="AW81" s="11">
        <f>('[1]资源-装备经验'!G83-'[1]资源-装备经验'!G82)*'[1]功能-付费相关'!BM83/节奏总纲!AA81</f>
        <v>1841.893521321766</v>
      </c>
      <c r="AY81" s="11">
        <f>('[1]资源-武将经验'!C83*节奏总纲!BJ81-'[1]资源-武将经验'!C82*节奏总纲!BJ80)*'[1]功能-付费相关'!AZ83/节奏总纲!W81</f>
        <v>5579.0199632186259</v>
      </c>
      <c r="AZ81" s="11">
        <f>('[1]资源-武将经验'!D83*节奏总纲!BK81-'[1]资源-武将经验'!D82*节奏总纲!BK80)*'[1]功能-付费相关'!BA83/节奏总纲!X81</f>
        <v>7667.148656330216</v>
      </c>
      <c r="BA81" s="11">
        <f>('[1]资源-武将经验'!E83*节奏总纲!BL81-'[1]资源-武将经验'!E82*节奏总纲!BL80)*'[1]功能-付费相关'!BB83/节奏总纲!Y81</f>
        <v>12278.427340401819</v>
      </c>
      <c r="BB81" s="11">
        <f>('[1]资源-武将经验'!F83*节奏总纲!BM81-'[1]资源-武将经验'!F82*节奏总纲!BM80)*'[1]功能-付费相关'!BC83/节奏总纲!Z81</f>
        <v>28537.784179373739</v>
      </c>
      <c r="BC81" s="11">
        <f>('[1]资源-武将经验'!G83*节奏总纲!BN81-'[1]资源-武将经验'!G82*节奏总纲!BN80)*'[1]功能-付费相关'!BD83/节奏总纲!AA81</f>
        <v>35690.244619298712</v>
      </c>
      <c r="BD81" s="33"/>
      <c r="BE81" s="30" t="e">
        <f t="shared" si="13"/>
        <v>#REF!</v>
      </c>
      <c r="BF81" s="30" t="e">
        <f t="shared" si="9"/>
        <v>#REF!</v>
      </c>
      <c r="BG81" s="30" t="e">
        <f t="shared" si="10"/>
        <v>#REF!</v>
      </c>
      <c r="BH81" s="30" t="e">
        <f t="shared" si="11"/>
        <v>#REF!</v>
      </c>
      <c r="BI81" s="30" t="e">
        <f t="shared" si="12"/>
        <v>#REF!</v>
      </c>
    </row>
    <row r="82" spans="2:61" x14ac:dyDescent="0.15">
      <c r="B82" s="31">
        <v>79</v>
      </c>
      <c r="C82" s="11">
        <f>('[1]资源-玩家城池建筑时间'!D84-'[1]资源-玩家城池建筑时间'!D83)*'[1]功能-付费相关'!AH84/节奏总纲!W82</f>
        <v>1907.04690532564</v>
      </c>
      <c r="D82" s="11">
        <f>('[1]资源-玩家城池建筑时间'!E84-'[1]资源-玩家城池建筑时间'!E83)*'[1]功能-付费相关'!AI84/节奏总纲!X82</f>
        <v>2225.0356164445393</v>
      </c>
      <c r="E82" s="11">
        <f>('[1]资源-玩家城池建筑时间'!F84-'[1]资源-玩家城池建筑时间'!F83)*'[1]功能-付费相关'!AJ84/节奏总纲!Y82</f>
        <v>2539.6926696673413</v>
      </c>
      <c r="F82" s="11">
        <f>('[1]资源-玩家城池建筑时间'!G84-'[1]资源-玩家城池建筑时间'!G83)*'[1]功能-付费相关'!AK84/节奏总纲!Z82</f>
        <v>3177.2313152467918</v>
      </c>
      <c r="G82" s="11">
        <f>('[1]资源-玩家城池建筑时间'!H84-'[1]资源-玩家城池建筑时间'!H83)*'[1]功能-付费相关'!AL84/节奏总纲!AA82</f>
        <v>3203.9116627704871</v>
      </c>
      <c r="I82" s="31">
        <f>('[1]资源-士兵训练时间'!C84-'[1]资源-士兵训练时间'!C83)*'[1]功能-付费相关'!AH84/节奏总纲!W82</f>
        <v>745.7530095141185</v>
      </c>
      <c r="J82" s="31">
        <f>('[1]资源-士兵训练时间'!D84-'[1]资源-士兵训练时间'!D83)*'[1]功能-付费相关'!AI84/节奏总纲!X82</f>
        <v>753.72406323668349</v>
      </c>
      <c r="K82" s="31">
        <f>('[1]资源-士兵训练时间'!E84-'[1]资源-士兵训练时间'!E83)*'[1]功能-付费相关'!AJ84/节奏总纲!Y82</f>
        <v>760.53107152575592</v>
      </c>
      <c r="L82" s="31">
        <f>('[1]资源-士兵训练时间'!F84-'[1]资源-士兵训练时间'!F83)*'[1]功能-付费相关'!AK84/节奏总纲!Z82</f>
        <v>776.36343369305212</v>
      </c>
      <c r="M82" s="31">
        <f>('[1]资源-士兵训练时间'!G84-'[1]资源-士兵训练时间'!G83)*'[1]功能-付费相关'!AL84/节奏总纲!AA82</f>
        <v>788.24894747486587</v>
      </c>
      <c r="O82" s="11">
        <f>('[1]资源-士兵招募时间'!D84-'[1]资源-士兵招募时间'!D83)*'[1]功能-付费相关'!AH84/节奏总纲!W82</f>
        <v>1898.5146612480949</v>
      </c>
      <c r="P82" s="11">
        <f>('[1]资源-士兵招募时间'!E84-'[1]资源-士兵招募时间'!E83)*'[1]功能-付费相关'!AI84/节奏总纲!X82</f>
        <v>2050.44544253095</v>
      </c>
      <c r="Q82" s="11">
        <f>('[1]资源-士兵招募时间'!F84-'[1]资源-士兵招募时间'!F83)*'[1]功能-付费相关'!AJ84/节奏总纲!Y82</f>
        <v>2172.1841652073776</v>
      </c>
      <c r="R82" s="11">
        <f>('[1]资源-士兵招募时间'!G84-'[1]资源-士兵招募时间'!G83)*'[1]功能-付费相关'!AK84/节奏总纲!Z82</f>
        <v>2473.6449952023218</v>
      </c>
      <c r="S82" s="11">
        <f>('[1]资源-士兵招募时间'!H84-'[1]资源-士兵招募时间'!H83)*'[1]功能-付费相关'!AL84/节奏总纲!AA82</f>
        <v>2694.6200220258488</v>
      </c>
      <c r="U82" s="31">
        <f>('[1]资源-木石铜粮'!C84-'[1]资源-木石铜粮'!C83)*'[1]功能-付费相关'!S84/节奏总纲!W82</f>
        <v>1727.5371632071683</v>
      </c>
      <c r="V82" s="31">
        <f>('[1]资源-木石铜粮'!D84-'[1]资源-木石铜粮'!D83)*'[1]功能-付费相关'!T84/节奏总纲!X82</f>
        <v>1877.833184219736</v>
      </c>
      <c r="W82" s="31">
        <f>('[1]资源-木石铜粮'!E84-'[1]资源-木石铜粮'!E83)*'[1]功能-付费相关'!U84/节奏总纲!Y82</f>
        <v>2015.6981533539263</v>
      </c>
      <c r="X82" s="31">
        <f>('[1]资源-木石铜粮'!F84-'[1]资源-木石铜粮'!F83)*'[1]功能-付费相关'!V84/节奏总纲!Z82</f>
        <v>2113.9149223157697</v>
      </c>
      <c r="Y82" s="31">
        <f>('[1]资源-木石铜粮'!G84-'[1]资源-木石铜粮'!G83)*'[1]功能-付费相关'!W84/节奏总纲!AA82</f>
        <v>2323.9384076656693</v>
      </c>
      <c r="AA82" s="11">
        <f>('[1]资源-铁'!C84-'[1]资源-铁'!C83)*'[1]功能-付费相关'!X84/节奏总纲!W82</f>
        <v>646.2120737753969</v>
      </c>
      <c r="AB82" s="11">
        <f>('[1]资源-铁'!D84-'[1]资源-铁'!D83)*'[1]功能-付费相关'!Y84/节奏总纲!X82</f>
        <v>717.83199332555546</v>
      </c>
      <c r="AC82" s="11">
        <f>('[1]资源-铁'!E84-'[1]资源-铁'!E83)*'[1]功能-付费相关'!Z84/节奏总纲!Y82</f>
        <v>757.6306706090736</v>
      </c>
      <c r="AD82" s="11">
        <f>('[1]资源-铁'!F84-'[1]资源-铁'!F83)*'[1]功能-付费相关'!AA84/节奏总纲!Z82</f>
        <v>824.08657584373259</v>
      </c>
      <c r="AE82" s="11">
        <f>('[1]资源-铁'!G84-'[1]资源-铁'!G83)*'[1]功能-付费相关'!AB84/节奏总纲!AA82</f>
        <v>959.94726988710056</v>
      </c>
      <c r="AG82" s="11">
        <f>('[1]资源-银币'!C84-'[1]资源-银币'!C83)*'[1]功能-付费相关'!AQ84/节奏总纲!W82</f>
        <v>708.43679028486133</v>
      </c>
      <c r="AH82" s="11">
        <f>('[1]资源-银币'!D84-'[1]资源-银币'!D83)*'[1]功能-付费相关'!AR84/节奏总纲!X82</f>
        <v>750.22581754223722</v>
      </c>
      <c r="AI82" s="11">
        <f>('[1]资源-银币'!E84-'[1]资源-银币'!E83)*'[1]功能-付费相关'!AS84/节奏总纲!Y82</f>
        <v>798.37147018628264</v>
      </c>
      <c r="AJ82" s="11">
        <f>('[1]资源-银币'!F84-'[1]资源-银币'!F83)*'[1]功能-付费相关'!AT84/节奏总纲!Z82</f>
        <v>806.32674231370959</v>
      </c>
      <c r="AK82" s="11">
        <f>('[1]资源-银币'!G84-'[1]资源-银币'!G83)*'[1]功能-付费相关'!AU84/节奏总纲!AA82</f>
        <v>738.80973832186885</v>
      </c>
      <c r="AM82" s="11" t="e">
        <f>(#REF!-#REF!)*'[1]功能-付费相关'!CA84/节奏总纲!W82</f>
        <v>#REF!</v>
      </c>
      <c r="AN82" s="11" t="e">
        <f>(#REF!-#REF!)*'[1]功能-付费相关'!CB84/节奏总纲!X82</f>
        <v>#REF!</v>
      </c>
      <c r="AO82" s="11" t="e">
        <f>(#REF!-#REF!)*'[1]功能-付费相关'!CC84/节奏总纲!Y82</f>
        <v>#REF!</v>
      </c>
      <c r="AP82" s="11" t="e">
        <f>(#REF!-#REF!)*'[1]功能-付费相关'!CD84/节奏总纲!Z82</f>
        <v>#REF!</v>
      </c>
      <c r="AQ82" s="11" t="e">
        <f>(#REF!-#REF!)*'[1]功能-付费相关'!CE84/节奏总纲!AA82</f>
        <v>#REF!</v>
      </c>
      <c r="AS82" s="11">
        <f>('[1]资源-装备经验'!C84-'[1]资源-装备经验'!C83)*'[1]功能-付费相关'!BI84/节奏总纲!W82</f>
        <v>761.08136308147448</v>
      </c>
      <c r="AT82" s="11">
        <f>('[1]资源-装备经验'!D84-'[1]资源-装备经验'!D83)*'[1]功能-付费相关'!BJ84/节奏总纲!X82</f>
        <v>1143.2185802983415</v>
      </c>
      <c r="AU82" s="11">
        <f>('[1]资源-装备经验'!E84-'[1]资源-装备经验'!E83)*'[1]功能-付费相关'!BK84/节奏总纲!Y82</f>
        <v>1553.0366360052653</v>
      </c>
      <c r="AV82" s="11">
        <f>('[1]资源-装备经验'!F84-'[1]资源-装备经验'!F83)*'[1]功能-付费相关'!BL84/节奏总纲!Z82</f>
        <v>1785.12105885801</v>
      </c>
      <c r="AW82" s="11">
        <f>('[1]资源-装备经验'!G84-'[1]资源-装备经验'!G83)*'[1]功能-付费相关'!BM84/节奏总纲!AA82</f>
        <v>1822.3102960654821</v>
      </c>
      <c r="AY82" s="11">
        <f>('[1]资源-武将经验'!C84*节奏总纲!BJ82-'[1]资源-武将经验'!C83*节奏总纲!BJ81)*'[1]功能-付费相关'!AZ84/节奏总纲!W82</f>
        <v>6134.7952011356811</v>
      </c>
      <c r="AZ82" s="11">
        <f>('[1]资源-武将经验'!D84*节奏总纲!BK82-'[1]资源-武将经验'!D83*节奏总纲!BK81)*'[1]功能-付费相关'!BA84/节奏总纲!X82</f>
        <v>9141.529475190604</v>
      </c>
      <c r="BA82" s="11">
        <f>('[1]资源-武将经验'!E84*节奏总纲!BL82-'[1]资源-武将经验'!E83*节奏总纲!BL81)*'[1]功能-付费相关'!BB84/节奏总纲!Y82</f>
        <v>11866.908621556004</v>
      </c>
      <c r="BB82" s="11">
        <f>('[1]资源-武将经验'!F84*节奏总纲!BM82-'[1]资源-武将经验'!F83*节奏总纲!BM81)*'[1]功能-付费相关'!BC84/节奏总纲!Z82</f>
        <v>24884.194218582725</v>
      </c>
      <c r="BC82" s="11">
        <f>('[1]资源-武将经验'!G84*节奏总纲!BN82-'[1]资源-武将经验'!G83*节奏总纲!BN81)*'[1]功能-付费相关'!BD84/节奏总纲!AA82</f>
        <v>34107.997616051995</v>
      </c>
      <c r="BD82" s="33"/>
      <c r="BE82" s="30" t="e">
        <f t="shared" si="13"/>
        <v>#REF!</v>
      </c>
      <c r="BF82" s="30" t="e">
        <f t="shared" si="9"/>
        <v>#REF!</v>
      </c>
      <c r="BG82" s="30" t="e">
        <f t="shared" si="10"/>
        <v>#REF!</v>
      </c>
      <c r="BH82" s="30" t="e">
        <f t="shared" si="11"/>
        <v>#REF!</v>
      </c>
      <c r="BI82" s="30" t="e">
        <f t="shared" si="12"/>
        <v>#REF!</v>
      </c>
    </row>
    <row r="83" spans="2:61" x14ac:dyDescent="0.15">
      <c r="B83" s="31">
        <v>80</v>
      </c>
      <c r="C83" s="11">
        <f>('[1]资源-玩家城池建筑时间'!D85-'[1]资源-玩家城池建筑时间'!D84)*'[1]功能-付费相关'!AH85/节奏总纲!W83</f>
        <v>1903.372192179467</v>
      </c>
      <c r="D83" s="11">
        <f>('[1]资源-玩家城池建筑时间'!E85-'[1]资源-玩家城池建筑时间'!E84)*'[1]功能-付费相关'!AI85/节奏总纲!X83</f>
        <v>2201.6147299592917</v>
      </c>
      <c r="E83" s="11">
        <f>('[1]资源-玩家城池建筑时间'!F85-'[1]资源-玩家城池建筑时间'!F84)*'[1]功能-付费相关'!AJ85/节奏总纲!Y83</f>
        <v>2507.8020797650602</v>
      </c>
      <c r="F83" s="11">
        <f>('[1]资源-玩家城池建筑时间'!G85-'[1]资源-玩家城池建筑时间'!G84)*'[1]功能-付费相关'!AK85/节奏总纲!Z83</f>
        <v>3110.7178021621985</v>
      </c>
      <c r="G83" s="11">
        <f>('[1]资源-玩家城池建筑时间'!H85-'[1]资源-玩家城池建筑时间'!H84)*'[1]功能-付费相关'!AL85/节奏总纲!AA83</f>
        <v>3210.3811625723547</v>
      </c>
      <c r="I83" s="31">
        <f>('[1]资源-士兵训练时间'!C85-'[1]资源-士兵训练时间'!C84)*'[1]功能-付费相关'!AH85/节奏总纲!W83</f>
        <v>745.05489449176855</v>
      </c>
      <c r="J83" s="31">
        <f>('[1]资源-士兵训练时间'!D85-'[1]资源-士兵训练时间'!D84)*'[1]功能-付费相关'!AI85/节奏总纲!X83</f>
        <v>747.88718311833861</v>
      </c>
      <c r="K83" s="31">
        <f>('[1]资源-士兵训练时间'!E85-'[1]资源-士兵训练时间'!E84)*'[1]功能-付费相关'!AJ85/节奏总纲!Y83</f>
        <v>752.5253279808901</v>
      </c>
      <c r="L83" s="31">
        <f>('[1]资源-士兵训练时间'!F85-'[1]资源-士兵训练时间'!F84)*'[1]功能-付费相关'!AK85/节奏总纲!Z83</f>
        <v>759.66563211360983</v>
      </c>
      <c r="M83" s="31">
        <f>('[1]资源-士兵训练时间'!G85-'[1]资源-士兵训练时间'!G84)*'[1]功能-付费相关'!AL85/节奏总纲!AA83</f>
        <v>789.83866779832147</v>
      </c>
      <c r="O83" s="11">
        <f>('[1]资源-士兵招募时间'!D85-'[1]资源-士兵招募时间'!D84)*'[1]功能-付费相关'!AH85/节奏总纲!W83</f>
        <v>1902.9572587525511</v>
      </c>
      <c r="P83" s="11">
        <f>('[1]资源-士兵招募时间'!E85-'[1]资源-士兵招募时间'!E84)*'[1]功能-付费相关'!AI85/节奏总纲!X83</f>
        <v>2054.7460185755081</v>
      </c>
      <c r="Q83" s="11">
        <f>('[1]资源-士兵招募时间'!F85-'[1]资源-士兵招募时间'!F84)*'[1]功能-付费相关'!AJ85/节奏总纲!Y83</f>
        <v>2190.3407464939178</v>
      </c>
      <c r="R83" s="11">
        <f>('[1]资源-士兵招募时间'!G85-'[1]资源-士兵招募时间'!G84)*'[1]功能-付费相关'!AK85/节奏总纲!Z83</f>
        <v>2467.5304827346308</v>
      </c>
      <c r="S83" s="11">
        <f>('[1]资源-士兵招募时间'!H85-'[1]资源-士兵招募时间'!H84)*'[1]功能-付费相关'!AL85/节奏总纲!AA83</f>
        <v>2724.075860988361</v>
      </c>
      <c r="U83" s="31">
        <f>('[1]资源-木石铜粮'!C85-'[1]资源-木石铜粮'!C84)*'[1]功能-付费相关'!S85/节奏总纲!W83</f>
        <v>1741.0190438099214</v>
      </c>
      <c r="V83" s="31">
        <f>('[1]资源-木石铜粮'!D85-'[1]资源-木石铜粮'!D84)*'[1]功能-付费相关'!T85/节奏总纲!X83</f>
        <v>1849.3084369664118</v>
      </c>
      <c r="W83" s="31">
        <f>('[1]资源-木石铜粮'!E85-'[1]资源-木石铜粮'!E84)*'[1]功能-付费相关'!U85/节奏总纲!Y83</f>
        <v>1978.1721703639796</v>
      </c>
      <c r="X83" s="31">
        <f>('[1]资源-木石铜粮'!F85-'[1]资源-木石铜粮'!F84)*'[1]功能-付费相关'!V85/节奏总纲!Z83</f>
        <v>2065.1545178633764</v>
      </c>
      <c r="Y83" s="31">
        <f>('[1]资源-木石铜粮'!G85-'[1]资源-木石铜粮'!G84)*'[1]功能-付费相关'!W85/节奏总纲!AA83</f>
        <v>2344.3348624871505</v>
      </c>
      <c r="AA83" s="11">
        <f>('[1]资源-铁'!C85-'[1]资源-铁'!C84)*'[1]功能-付费相关'!X85/节奏总纲!W83</f>
        <v>652.81676635894337</v>
      </c>
      <c r="AB83" s="11">
        <f>('[1]资源-铁'!D85-'[1]资源-铁'!D84)*'[1]功能-付费相关'!Y85/节奏总纲!X83</f>
        <v>679.63739785239216</v>
      </c>
      <c r="AC83" s="11">
        <f>('[1]资源-铁'!E85-'[1]资源-铁'!E84)*'[1]功能-付费相关'!Z85/节奏总纲!Y83</f>
        <v>722.18766647679354</v>
      </c>
      <c r="AD83" s="11">
        <f>('[1]资源-铁'!F85-'[1]资源-铁'!F84)*'[1]功能-付费相关'!AA85/节奏总纲!Z83</f>
        <v>793.31773294007405</v>
      </c>
      <c r="AE83" s="11">
        <f>('[1]资源-铁'!G85-'[1]资源-铁'!G84)*'[1]功能-付费相关'!AB85/节奏总纲!AA83</f>
        <v>1037.6168216928975</v>
      </c>
      <c r="AG83" s="11">
        <f>('[1]资源-银币'!C85-'[1]资源-银币'!C84)*'[1]功能-付费相关'!AQ85/节奏总纲!W83</f>
        <v>700.25690804437818</v>
      </c>
      <c r="AH83" s="11">
        <f>('[1]资源-银币'!D85-'[1]资源-银币'!D84)*'[1]功能-付费相关'!AR85/节奏总纲!X83</f>
        <v>740.48314696148714</v>
      </c>
      <c r="AI83" s="11">
        <f>('[1]资源-银币'!E85-'[1]资源-银币'!E84)*'[1]功能-付费相关'!AS85/节奏总纲!Y83</f>
        <v>777.41835457794434</v>
      </c>
      <c r="AJ83" s="11">
        <f>('[1]资源-银币'!F85-'[1]资源-银币'!F84)*'[1]功能-付费相关'!AT85/节奏总纲!Z83</f>
        <v>785.98697840795489</v>
      </c>
      <c r="AK83" s="11">
        <f>('[1]资源-银币'!G85-'[1]资源-银币'!G84)*'[1]功能-付费相关'!AU85/节奏总纲!AA83</f>
        <v>734.58494937448029</v>
      </c>
      <c r="AM83" s="11" t="e">
        <f>(#REF!-#REF!)*'[1]功能-付费相关'!CA85/节奏总纲!W83</f>
        <v>#REF!</v>
      </c>
      <c r="AN83" s="11" t="e">
        <f>(#REF!-#REF!)*'[1]功能-付费相关'!CB85/节奏总纲!X83</f>
        <v>#REF!</v>
      </c>
      <c r="AO83" s="11" t="e">
        <f>(#REF!-#REF!)*'[1]功能-付费相关'!CC85/节奏总纲!Y83</f>
        <v>#REF!</v>
      </c>
      <c r="AP83" s="11" t="e">
        <f>(#REF!-#REF!)*'[1]功能-付费相关'!CD85/节奏总纲!Z83</f>
        <v>#REF!</v>
      </c>
      <c r="AQ83" s="11" t="e">
        <f>(#REF!-#REF!)*'[1]功能-付费相关'!CE85/节奏总纲!AA83</f>
        <v>#REF!</v>
      </c>
      <c r="AS83" s="11">
        <f>('[1]资源-装备经验'!C85-'[1]资源-装备经验'!C84)*'[1]功能-付费相关'!BI85/节奏总纲!W83</f>
        <v>752.0753550236243</v>
      </c>
      <c r="AT83" s="11">
        <f>('[1]资源-装备经验'!D85-'[1]资源-装备经验'!D84)*'[1]功能-付费相关'!BJ85/节奏总纲!X83</f>
        <v>1080.0801899496748</v>
      </c>
      <c r="AU83" s="11">
        <f>('[1]资源-装备经验'!E85-'[1]资源-装备经验'!E84)*'[1]功能-付费相关'!BK85/节奏总纲!Y83</f>
        <v>1448.2400932977571</v>
      </c>
      <c r="AV83" s="11">
        <f>('[1]资源-装备经验'!F85-'[1]资源-装备经验'!F84)*'[1]功能-付费相关'!BL85/节奏总纲!Z83</f>
        <v>1666.5375618658554</v>
      </c>
      <c r="AW83" s="11">
        <f>('[1]资源-装备经验'!G85-'[1]资源-装备经验'!G84)*'[1]功能-付费相关'!BM85/节奏总纲!AA83</f>
        <v>1815.2507942346429</v>
      </c>
      <c r="AY83" s="11">
        <f>('[1]资源-武将经验'!C85*节奏总纲!BJ83-'[1]资源-武将经验'!C84*节奏总纲!BJ82)*'[1]功能-付费相关'!AZ85/节奏总纲!W83</f>
        <v>6060.9846646924407</v>
      </c>
      <c r="AZ83" s="11">
        <f>('[1]资源-武将经验'!D85*节奏总纲!BK83-'[1]资源-武将经验'!D84*节奏总纲!BK82)*'[1]功能-付费相关'!BA85/节奏总纲!X83</f>
        <v>7882.3008306713509</v>
      </c>
      <c r="BA83" s="11">
        <f>('[1]资源-武将经验'!E85*节奏总纲!BL83-'[1]资源-武将经验'!E84*节奏总纲!BL82)*'[1]功能-付费相关'!BB85/节奏总纲!Y83</f>
        <v>9761.1159779756163</v>
      </c>
      <c r="BB83" s="11">
        <f>('[1]资源-武将经验'!F85*节奏总纲!BM83-'[1]资源-武将经验'!F84*节奏总纲!BM82)*'[1]功能-付费相关'!BC85/节奏总纲!Z83</f>
        <v>19768.643773403026</v>
      </c>
      <c r="BC83" s="11">
        <f>('[1]资源-武将经验'!G85*节奏总纲!BN83-'[1]资源-武将经验'!G84*节奏总纲!BN82)*'[1]功能-付费相关'!BD85/节奏总纲!AA83</f>
        <v>32243.543864381114</v>
      </c>
      <c r="BD83" s="33"/>
      <c r="BE83" s="30" t="e">
        <f t="shared" si="13"/>
        <v>#REF!</v>
      </c>
      <c r="BF83" s="30" t="e">
        <f t="shared" si="9"/>
        <v>#REF!</v>
      </c>
      <c r="BG83" s="30" t="e">
        <f t="shared" si="10"/>
        <v>#REF!</v>
      </c>
      <c r="BH83" s="30" t="e">
        <f t="shared" si="11"/>
        <v>#REF!</v>
      </c>
      <c r="BI83" s="30" t="e">
        <f t="shared" si="12"/>
        <v>#REF!</v>
      </c>
    </row>
    <row r="84" spans="2:61" x14ac:dyDescent="0.15">
      <c r="B84" s="31">
        <v>81</v>
      </c>
      <c r="C84" s="11">
        <f>('[1]资源-玩家城池建筑时间'!D86-'[1]资源-玩家城池建筑时间'!D85)*'[1]功能-付费相关'!AH86/节奏总纲!W84</f>
        <v>1900.6077025833272</v>
      </c>
      <c r="D84" s="11">
        <f>('[1]资源-玩家城池建筑时间'!E86-'[1]资源-玩家城池建筑时间'!E85)*'[1]功能-付费相关'!AI86/节奏总纲!X84</f>
        <v>2188.1615368877378</v>
      </c>
      <c r="E84" s="11">
        <f>('[1]资源-玩家城池建筑时间'!F86-'[1]资源-玩家城池建筑时间'!F85)*'[1]功能-付费相关'!AJ86/节奏总纲!Y84</f>
        <v>2491.6774638007892</v>
      </c>
      <c r="F84" s="11">
        <f>('[1]资源-玩家城池建筑时间'!G86-'[1]资源-玩家城池建筑时间'!G85)*'[1]功能-付费相关'!AK86/节奏总纲!Z84</f>
        <v>3124.9082673804219</v>
      </c>
      <c r="G84" s="11">
        <f>('[1]资源-玩家城池建筑时间'!H86-'[1]资源-玩家城池建筑时间'!H85)*'[1]功能-付费相关'!AL86/节奏总纲!AA84</f>
        <v>3172.8120098278873</v>
      </c>
      <c r="I84" s="31">
        <f>('[1]资源-士兵训练时间'!C86-'[1]资源-士兵训练时间'!C85)*'[1]功能-付费相关'!AH86/节奏总纲!W84</f>
        <v>744.48426802956385</v>
      </c>
      <c r="J84" s="31">
        <f>('[1]资源-士兵训练时间'!D86-'[1]资源-士兵训练时间'!D85)*'[1]功能-付费相关'!AI86/节奏总纲!X84</f>
        <v>744.53310395291487</v>
      </c>
      <c r="K84" s="31">
        <f>('[1]资源-士兵训练时间'!E86-'[1]资源-士兵训练时间'!E85)*'[1]功能-付费相关'!AJ86/节奏总纲!Y84</f>
        <v>748.45857073909372</v>
      </c>
      <c r="L84" s="31">
        <f>('[1]资源-士兵训练时间'!F86-'[1]资源-士兵训练时间'!F85)*'[1]功能-付费相关'!AK86/节奏总纲!Z84</f>
        <v>763.22906141714861</v>
      </c>
      <c r="M84" s="31">
        <f>('[1]资源-士兵训练时间'!G86-'[1]资源-士兵训练时间'!G85)*'[1]功能-付费相关'!AL86/节奏总纲!AA84</f>
        <v>780.40320526832352</v>
      </c>
      <c r="O84" s="11">
        <f>('[1]资源-士兵招募时间'!D86-'[1]资源-士兵招募时间'!D85)*'[1]功能-付费相关'!AH86/节奏总纲!W84</f>
        <v>1907.9282508699102</v>
      </c>
      <c r="P84" s="11">
        <f>('[1]资源-士兵招募时间'!E86-'[1]资源-士兵招募时间'!E85)*'[1]功能-付费相关'!AI86/节奏总纲!X84</f>
        <v>2077.7142163172489</v>
      </c>
      <c r="Q84" s="11">
        <f>('[1]资源-士兵招募时间'!F86-'[1]资源-士兵招募时间'!F85)*'[1]功能-付费相关'!AJ86/节奏总纲!Y84</f>
        <v>2217.8972122190407</v>
      </c>
      <c r="R84" s="11">
        <f>('[1]资源-士兵招募时间'!G86-'[1]资源-士兵招募时间'!G85)*'[1]功能-付费相关'!AK86/节奏总纲!Z84</f>
        <v>2500.9361990860821</v>
      </c>
      <c r="S84" s="11">
        <f>('[1]资源-士兵招募时间'!H86-'[1]资源-士兵招募时间'!H85)*'[1]功能-付费相关'!AL86/节奏总纲!AA84</f>
        <v>2733.9472857628502</v>
      </c>
      <c r="U84" s="31">
        <f>('[1]资源-木石铜粮'!C86-'[1]资源-木石铜粮'!C85)*'[1]功能-付费相关'!S86/节奏总纲!W84</f>
        <v>1805.9998780429878</v>
      </c>
      <c r="V84" s="31">
        <f>('[1]资源-木石铜粮'!D86-'[1]资源-木石铜粮'!D85)*'[1]功能-付费相关'!T86/节奏总纲!X84</f>
        <v>1902.0727354096991</v>
      </c>
      <c r="W84" s="31">
        <f>('[1]资源-木石铜粮'!E86-'[1]资源-木石铜粮'!E85)*'[1]功能-付费相关'!U86/节奏总纲!Y84</f>
        <v>2021.2317959435441</v>
      </c>
      <c r="X84" s="31">
        <f>('[1]资源-木石铜粮'!F86-'[1]资源-木石铜粮'!F85)*'[1]功能-付费相关'!V86/节奏总纲!Z84</f>
        <v>2182.3094836716082</v>
      </c>
      <c r="Y84" s="31">
        <f>('[1]资源-木石铜粮'!G86-'[1]资源-木石铜粮'!G85)*'[1]功能-付费相关'!W86/节奏总纲!AA84</f>
        <v>2476.068149312021</v>
      </c>
      <c r="AA84" s="11">
        <f>('[1]资源-铁'!C86-'[1]资源-铁'!C85)*'[1]功能-付费相关'!X86/节奏总纲!W84</f>
        <v>738.6714047025647</v>
      </c>
      <c r="AB84" s="11">
        <f>('[1]资源-铁'!D86-'[1]资源-铁'!D85)*'[1]功能-付费相关'!Y86/节奏总纲!X84</f>
        <v>772.81172333200334</v>
      </c>
      <c r="AC84" s="11">
        <f>('[1]资源-铁'!E86-'[1]资源-铁'!E85)*'[1]功能-付费相关'!Z86/节奏总纲!Y84</f>
        <v>808.57436173102349</v>
      </c>
      <c r="AD84" s="11">
        <f>('[1]资源-铁'!F86-'[1]资源-铁'!F85)*'[1]功能-付费相关'!AA86/节奏总纲!Z84</f>
        <v>987.20893894747951</v>
      </c>
      <c r="AE84" s="11">
        <f>('[1]资源-铁'!G86-'[1]资源-铁'!G85)*'[1]功能-付费相关'!AB86/节奏总纲!AA84</f>
        <v>1211.219340633337</v>
      </c>
      <c r="AG84" s="11">
        <f>('[1]资源-银币'!C86-'[1]资源-银币'!C85)*'[1]功能-付费相关'!AQ86/节奏总纲!W84</f>
        <v>670.96896642345359</v>
      </c>
      <c r="AH84" s="11">
        <f>('[1]资源-银币'!D86-'[1]资源-银币'!D85)*'[1]功能-付费相关'!AR86/节奏总纲!X84</f>
        <v>737.47080329034031</v>
      </c>
      <c r="AI84" s="11">
        <f>('[1]资源-银币'!E86-'[1]资源-银币'!E85)*'[1]功能-付费相关'!AS86/节奏总纲!Y84</f>
        <v>771.23287037622833</v>
      </c>
      <c r="AJ84" s="11">
        <f>('[1]资源-银币'!F86-'[1]资源-银币'!F85)*'[1]功能-付费相关'!AT86/节奏总纲!Z84</f>
        <v>794.38157351149596</v>
      </c>
      <c r="AK84" s="11">
        <f>('[1]资源-银币'!G86-'[1]资源-银币'!G85)*'[1]功能-付费相关'!AU86/节奏总纲!AA84</f>
        <v>764.91634717694774</v>
      </c>
      <c r="AM84" s="11" t="e">
        <f>(#REF!-#REF!)*'[1]功能-付费相关'!CA86/节奏总纲!W84</f>
        <v>#REF!</v>
      </c>
      <c r="AN84" s="11" t="e">
        <f>(#REF!-#REF!)*'[1]功能-付费相关'!CB86/节奏总纲!X84</f>
        <v>#REF!</v>
      </c>
      <c r="AO84" s="11" t="e">
        <f>(#REF!-#REF!)*'[1]功能-付费相关'!CC86/节奏总纲!Y84</f>
        <v>#REF!</v>
      </c>
      <c r="AP84" s="11" t="e">
        <f>(#REF!-#REF!)*'[1]功能-付费相关'!CD86/节奏总纲!Z84</f>
        <v>#REF!</v>
      </c>
      <c r="AQ84" s="11" t="e">
        <f>(#REF!-#REF!)*'[1]功能-付费相关'!CE86/节奏总纲!AA84</f>
        <v>#REF!</v>
      </c>
      <c r="AS84" s="11">
        <f>('[1]资源-装备经验'!C86-'[1]资源-装备经验'!C85)*'[1]功能-付费相关'!BI86/节奏总纲!W84</f>
        <v>785.38838071959242</v>
      </c>
      <c r="AT84" s="11">
        <f>('[1]资源-装备经验'!D86-'[1]资源-装备经验'!D85)*'[1]功能-付费相关'!BJ86/节奏总纲!X84</f>
        <v>1103.6261905588758</v>
      </c>
      <c r="AU84" s="11">
        <f>('[1]资源-装备经验'!E86-'[1]资源-装备经验'!E85)*'[1]功能-付费相关'!BK86/节奏总纲!Y84</f>
        <v>1452.0900607927974</v>
      </c>
      <c r="AV84" s="11">
        <f>('[1]资源-装备经验'!F86-'[1]资源-装备经验'!F85)*'[1]功能-付费相关'!BL86/节奏总纲!Z84</f>
        <v>1765.5726702605475</v>
      </c>
      <c r="AW84" s="11">
        <f>('[1]资源-装备经验'!G86-'[1]资源-装备经验'!G85)*'[1]功能-付费相关'!BM86/节奏总纲!AA84</f>
        <v>2197.1795452304191</v>
      </c>
      <c r="AY84" s="11">
        <f>('[1]资源-武将经验'!C86*节奏总纲!BJ84-'[1]资源-武将经验'!C85*节奏总纲!BJ83)*'[1]功能-付费相关'!AZ86/节奏总纲!W84</f>
        <v>5993.1628953173295</v>
      </c>
      <c r="AZ84" s="11">
        <f>('[1]资源-武将经验'!D86*节奏总纲!BK84-'[1]资源-武将经验'!D85*节奏总纲!BK83)*'[1]功能-付费相关'!BA86/节奏总纲!X84</f>
        <v>7190.3209179169453</v>
      </c>
      <c r="BA84" s="11">
        <f>('[1]资源-武将经验'!E86*节奏总纲!BL84-'[1]资源-武将经验'!E85*节奏总纲!BL83)*'[1]功能-付费相关'!BB86/节奏总纲!Y84</f>
        <v>8775.9303679251389</v>
      </c>
      <c r="BB84" s="11">
        <f>('[1]资源-武将经验'!F86*节奏总纲!BM84-'[1]资源-武将经验'!F85*节奏总纲!BM83)*'[1]功能-付费相关'!BC86/节奏总纲!Z84</f>
        <v>20776.183159749024</v>
      </c>
      <c r="BC84" s="11">
        <f>('[1]资源-武将经验'!G86*节奏总纲!BN84-'[1]资源-武将经验'!G85*节奏总纲!BN83)*'[1]功能-付费相关'!BD86/节奏总纲!AA84</f>
        <v>24404.00652970629</v>
      </c>
      <c r="BD84" s="33"/>
      <c r="BE84" s="30" t="e">
        <f t="shared" si="13"/>
        <v>#REF!</v>
      </c>
      <c r="BF84" s="30" t="e">
        <f t="shared" si="9"/>
        <v>#REF!</v>
      </c>
      <c r="BG84" s="30" t="e">
        <f t="shared" si="10"/>
        <v>#REF!</v>
      </c>
      <c r="BH84" s="30" t="e">
        <f t="shared" si="11"/>
        <v>#REF!</v>
      </c>
      <c r="BI84" s="30" t="e">
        <f t="shared" si="12"/>
        <v>#REF!</v>
      </c>
    </row>
    <row r="85" spans="2:61" x14ac:dyDescent="0.15">
      <c r="B85" s="31">
        <v>82</v>
      </c>
      <c r="C85" s="11">
        <f>('[1]资源-玩家城池建筑时间'!D87-'[1]资源-玩家城池建筑时间'!D86)*'[1]功能-付费相关'!AH87/节奏总纲!W85</f>
        <v>1899.6400636259384</v>
      </c>
      <c r="D85" s="11">
        <f>('[1]资源-玩家城池建筑时间'!E87-'[1]资源-玩家城池建筑时间'!E86)*'[1]功能-付费相关'!AI87/节奏总纲!X85</f>
        <v>2185.8104788919677</v>
      </c>
      <c r="E85" s="11">
        <f>('[1]资源-玩家城池建筑时间'!F87-'[1]资源-玩家城池建筑时间'!F86)*'[1]功能-付费相关'!AJ87/节奏总纲!Y85</f>
        <v>2511.1002063931396</v>
      </c>
      <c r="F85" s="11">
        <f>('[1]资源-玩家城池建筑时间'!G87-'[1]资源-玩家城池建筑时间'!G86)*'[1]功能-付费相关'!AK87/节奏总纲!Z85</f>
        <v>3144.2521200323831</v>
      </c>
      <c r="G85" s="11">
        <f>('[1]资源-玩家城池建筑时间'!H87-'[1]资源-玩家城池建筑时间'!H86)*'[1]功能-付费相关'!AL87/节奏总纲!AA85</f>
        <v>3091.7793093689643</v>
      </c>
      <c r="I85" s="31">
        <f>('[1]资源-士兵训练时间'!C87-'[1]资源-士兵训练时间'!C86)*'[1]功能-付费相关'!AH87/节奏总纲!W85</f>
        <v>744.32048148915999</v>
      </c>
      <c r="J85" s="31">
        <f>('[1]资源-士兵训练时间'!D87-'[1]资源-士兵训练时间'!D86)*'[1]功能-付费相关'!AI87/节奏总纲!X85</f>
        <v>743.97290923156174</v>
      </c>
      <c r="K85" s="31">
        <f>('[1]资源-士兵训练时间'!E87-'[1]资源-士兵训练时间'!E86)*'[1]功能-付费相关'!AJ87/节奏总纲!Y85</f>
        <v>753.40548600922568</v>
      </c>
      <c r="L85" s="31">
        <f>('[1]资源-士兵训练时间'!F87-'[1]资源-士兵训练时间'!F86)*'[1]功能-付费相关'!AK87/节奏总纲!Z85</f>
        <v>768.10796307472094</v>
      </c>
      <c r="M85" s="31">
        <f>('[1]资源-士兵训练时间'!G87-'[1]资源-士兵训练时间'!G86)*'[1]功能-付费相关'!AL87/节奏总纲!AA85</f>
        <v>760.16316668957859</v>
      </c>
      <c r="O85" s="11">
        <f>('[1]资源-士兵招募时间'!D87-'[1]资源-士兵招募时间'!D86)*'[1]功能-付费相关'!AH87/节奏总纲!W85</f>
        <v>1913.7514261506519</v>
      </c>
      <c r="P85" s="11">
        <f>('[1]资源-士兵招募时间'!E87-'[1]资源-士兵招募时间'!E86)*'[1]功能-付费相关'!AI87/节奏总纲!X85</f>
        <v>2084.2270993322054</v>
      </c>
      <c r="Q85" s="11">
        <f>('[1]资源-士兵招募时间'!F87-'[1]资源-士兵招募时间'!F86)*'[1]功能-付费相关'!AJ87/节奏总纲!Y85</f>
        <v>2241.5354967133217</v>
      </c>
      <c r="R85" s="11">
        <f>('[1]资源-士兵招募时间'!G87-'[1]资源-士兵招募时间'!G86)*'[1]功能-付费相关'!AK87/节奏总纲!Z85</f>
        <v>2526.7982300235772</v>
      </c>
      <c r="S85" s="11">
        <f>('[1]资源-士兵招募时间'!H87-'[1]资源-士兵招募时间'!H86)*'[1]功能-付费相关'!AL87/节奏总纲!AA85</f>
        <v>2741.5840443996162</v>
      </c>
      <c r="U85" s="31">
        <f>('[1]资源-木石铜粮'!C87-'[1]资源-木石铜粮'!C86)*'[1]功能-付费相关'!S87/节奏总纲!W85</f>
        <v>1823.3983369811544</v>
      </c>
      <c r="V85" s="31">
        <f>('[1]资源-木石铜粮'!D87-'[1]资源-木石铜粮'!D86)*'[1]功能-付费相关'!T87/节奏总纲!X85</f>
        <v>1914.5586092886808</v>
      </c>
      <c r="W85" s="31">
        <f>('[1]资源-木石铜粮'!E87-'[1]资源-木石铜粮'!E86)*'[1]功能-付费相关'!U87/节奏总纲!Y85</f>
        <v>2107.815625300696</v>
      </c>
      <c r="X85" s="31">
        <f>('[1]资源-木石铜粮'!F87-'[1]资源-木石铜粮'!F86)*'[1]功能-付费相关'!V87/节奏总纲!Z85</f>
        <v>2232.6999933370957</v>
      </c>
      <c r="Y85" s="31">
        <f>('[1]资源-木石铜粮'!G87-'[1]资源-木石铜粮'!G86)*'[1]功能-付费相关'!W87/节奏总纲!AA85</f>
        <v>2465.0678084264318</v>
      </c>
      <c r="AA85" s="11">
        <f>('[1]资源-铁'!C87-'[1]资源-铁'!C86)*'[1]功能-付费相关'!X87/节奏总纲!W85</f>
        <v>776.8129642617248</v>
      </c>
      <c r="AB85" s="11">
        <f>('[1]资源-铁'!D87-'[1]资源-铁'!D86)*'[1]功能-付费相关'!Y87/节奏总纲!X85</f>
        <v>801.29780996990098</v>
      </c>
      <c r="AC85" s="11">
        <f>('[1]资源-铁'!E87-'[1]资源-铁'!E86)*'[1]功能-付费相关'!Z87/节奏总纲!Y85</f>
        <v>965.12215012523166</v>
      </c>
      <c r="AD85" s="11">
        <f>('[1]资源-铁'!F87-'[1]资源-铁'!F86)*'[1]功能-付费相关'!AA87/节奏总纲!Z85</f>
        <v>1051.6922989414538</v>
      </c>
      <c r="AE85" s="11">
        <f>('[1]资源-铁'!G87-'[1]资源-铁'!G86)*'[1]功能-付费相关'!AB87/节奏总纲!AA85</f>
        <v>1176.5193567308052</v>
      </c>
      <c r="AG85" s="11">
        <f>('[1]资源-银币'!C87-'[1]资源-银币'!C86)*'[1]功能-付费相关'!AQ87/节奏总纲!W85</f>
        <v>649.95071674645305</v>
      </c>
      <c r="AH85" s="11">
        <f>('[1]资源-银币'!D87-'[1]资源-银币'!D86)*'[1]功能-付费相关'!AR87/节奏总纲!X85</f>
        <v>734.78516275345748</v>
      </c>
      <c r="AI85" s="11">
        <f>('[1]资源-银币'!E87-'[1]资源-银币'!E86)*'[1]功能-付费相关'!AS87/节奏总纲!Y85</f>
        <v>780.12102995461726</v>
      </c>
      <c r="AJ85" s="11">
        <f>('[1]资源-银币'!F87-'[1]资源-银币'!F86)*'[1]功能-付费相关'!AT87/节奏总纲!Z85</f>
        <v>814.0060055538188</v>
      </c>
      <c r="AK85" s="11">
        <f>('[1]资源-银币'!G87-'[1]资源-银币'!G86)*'[1]功能-付费相关'!AU87/节奏总纲!AA85</f>
        <v>758.40939651862709</v>
      </c>
      <c r="AM85" s="11" t="e">
        <f>(#REF!-#REF!)*'[1]功能-付费相关'!CA87/节奏总纲!W85</f>
        <v>#REF!</v>
      </c>
      <c r="AN85" s="11" t="e">
        <f>(#REF!-#REF!)*'[1]功能-付费相关'!CB87/节奏总纲!X85</f>
        <v>#REF!</v>
      </c>
      <c r="AO85" s="11" t="e">
        <f>(#REF!-#REF!)*'[1]功能-付费相关'!CC87/节奏总纲!Y85</f>
        <v>#REF!</v>
      </c>
      <c r="AP85" s="11" t="e">
        <f>(#REF!-#REF!)*'[1]功能-付费相关'!CD87/节奏总纲!Z85</f>
        <v>#REF!</v>
      </c>
      <c r="AQ85" s="11" t="e">
        <f>(#REF!-#REF!)*'[1]功能-付费相关'!CE87/节奏总纲!AA85</f>
        <v>#REF!</v>
      </c>
      <c r="AS85" s="11">
        <f>('[1]资源-装备经验'!C87-'[1]资源-装备经验'!C86)*'[1]功能-付费相关'!BI87/节奏总纲!W85</f>
        <v>766.68051375151163</v>
      </c>
      <c r="AT85" s="11">
        <f>('[1]资源-装备经验'!D87-'[1]资源-装备经验'!D86)*'[1]功能-付费相关'!BJ87/节奏总纲!X85</f>
        <v>1086.598680284467</v>
      </c>
      <c r="AU85" s="11">
        <f>('[1]资源-装备经验'!E87-'[1]资源-装备经验'!E86)*'[1]功能-付费相关'!BK87/节奏总纲!Y85</f>
        <v>1530.8982476600713</v>
      </c>
      <c r="AV85" s="11">
        <f>('[1]资源-装备经验'!F87-'[1]资源-装备经验'!F86)*'[1]功能-付费相关'!BL87/节奏总纲!Z85</f>
        <v>1809.2339225817173</v>
      </c>
      <c r="AW85" s="11">
        <f>('[1]资源-装备经验'!G87-'[1]资源-装备经验'!G86)*'[1]功能-付费相关'!BM87/节奏总纲!AA85</f>
        <v>2084.1960314730336</v>
      </c>
      <c r="AY85" s="11">
        <f>('[1]资源-武将经验'!C87*节奏总纲!BJ85-'[1]资源-武将经验'!C86*节奏总纲!BJ84)*'[1]功能-付费相关'!AZ87/节奏总纲!W85</f>
        <v>5931.7966991567928</v>
      </c>
      <c r="AZ85" s="11">
        <f>('[1]资源-武将经验'!D87*节奏总纲!BK85-'[1]资源-武将经验'!D86*节奏总纲!BK84)*'[1]功能-付费相关'!BA87/节奏总纲!X85</f>
        <v>7120.547128417682</v>
      </c>
      <c r="BA85" s="11">
        <f>('[1]资源-武将经验'!E87*节奏总纲!BL85-'[1]资源-武将经验'!E86*节奏总纲!BL84)*'[1]功能-付费相关'!BB87/节奏总纲!Y85</f>
        <v>9913.3783747425077</v>
      </c>
      <c r="BB85" s="11">
        <f>('[1]资源-武将经验'!F87*节奏总纲!BM85-'[1]资源-武将经验'!F86*节奏总纲!BM84)*'[1]功能-付费相关'!BC87/节奏总纲!Z85</f>
        <v>20310.368104870147</v>
      </c>
      <c r="BC85" s="11">
        <f>('[1]资源-武将经验'!G87*节奏总纲!BN85-'[1]资源-武将经验'!G86*节奏总纲!BN84)*'[1]功能-付费相关'!BD87/节奏总纲!AA85</f>
        <v>23684.514108742394</v>
      </c>
      <c r="BD85" s="33"/>
      <c r="BE85" s="30" t="e">
        <f t="shared" si="13"/>
        <v>#REF!</v>
      </c>
      <c r="BF85" s="30" t="e">
        <f t="shared" si="9"/>
        <v>#REF!</v>
      </c>
      <c r="BG85" s="30" t="e">
        <f t="shared" si="10"/>
        <v>#REF!</v>
      </c>
      <c r="BH85" s="30" t="e">
        <f t="shared" si="11"/>
        <v>#REF!</v>
      </c>
      <c r="BI85" s="30" t="e">
        <f t="shared" si="12"/>
        <v>#REF!</v>
      </c>
    </row>
    <row r="86" spans="2:61" x14ac:dyDescent="0.15">
      <c r="B86" s="31">
        <v>83</v>
      </c>
      <c r="C86" s="11">
        <f>('[1]资源-玩家城池建筑时间'!D88-'[1]资源-玩家城池建筑时间'!D87)*'[1]功能-付费相关'!AH88/节奏总纲!W86</f>
        <v>1896.8943412252358</v>
      </c>
      <c r="D86" s="11">
        <f>('[1]资源-玩家城池建筑时间'!E88-'[1]资源-玩家城池建筑时间'!E87)*'[1]功能-付费相关'!AI88/节奏总纲!X86</f>
        <v>2216.3497015035141</v>
      </c>
      <c r="E86" s="11">
        <f>('[1]资源-玩家城池建筑时间'!F88-'[1]资源-玩家城池建筑时间'!F87)*'[1]功能-付费相关'!AJ88/节奏总纲!Y86</f>
        <v>2517.7547080871254</v>
      </c>
      <c r="F86" s="11">
        <f>('[1]资源-玩家城池建筑时间'!G88-'[1]资源-玩家城池建筑时间'!G87)*'[1]功能-付费相关'!AK88/节奏总纲!Z86</f>
        <v>3238.4758616303916</v>
      </c>
      <c r="G86" s="11">
        <f>('[1]资源-玩家城池建筑时间'!H88-'[1]资源-玩家城池建筑时间'!H87)*'[1]功能-付费相关'!AL88/节奏总纲!AA86</f>
        <v>3065.9045520509358</v>
      </c>
      <c r="I86" s="31">
        <f>('[1]资源-士兵训练时间'!C88-'[1]资源-士兵训练时间'!C87)*'[1]功能-付费相关'!AH88/节奏总纲!W86</f>
        <v>743.70279304664371</v>
      </c>
      <c r="J86" s="31">
        <f>('[1]资源-士兵训练时间'!D88-'[1]资源-士兵训练时间'!D87)*'[1]功能-付费相关'!AI88/节奏总纲!X86</f>
        <v>751.71692879245393</v>
      </c>
      <c r="K86" s="31">
        <f>('[1]资源-士兵训练时间'!E88-'[1]资源-士兵训练时间'!E87)*'[1]功能-付费相关'!AJ88/节奏总纲!Y86</f>
        <v>755.14960301790563</v>
      </c>
      <c r="L86" s="31">
        <f>('[1]资源-士兵训练时间'!F88-'[1]资源-士兵训练时间'!F87)*'[1]功能-付费相关'!AK88/节奏总纲!Z86</f>
        <v>791.66909641562006</v>
      </c>
      <c r="M86" s="31">
        <f>('[1]资源-士兵训练时间'!G88-'[1]资源-士兵训练时间'!G87)*'[1]功能-付费相关'!AL88/节奏总纲!AA86</f>
        <v>754.36487637251946</v>
      </c>
      <c r="O86" s="11">
        <f>('[1]资源-士兵招募时间'!D88-'[1]资源-士兵招募时间'!D87)*'[1]功能-付费相关'!AH88/节奏总纲!W86</f>
        <v>1919.5964895871543</v>
      </c>
      <c r="P86" s="11">
        <f>('[1]资源-士兵招募时间'!E88-'[1]资源-士兵招募时间'!E87)*'[1]功能-付费相关'!AI88/节奏总纲!X86</f>
        <v>2096.7658457450716</v>
      </c>
      <c r="Q86" s="11">
        <f>('[1]资源-士兵招募时间'!F88-'[1]资源-士兵招募时间'!F87)*'[1]功能-付费相关'!AJ88/节奏总纲!Y86</f>
        <v>2246.6576291766446</v>
      </c>
      <c r="R86" s="11">
        <f>('[1]资源-士兵招募时间'!G88-'[1]资源-士兵招募时间'!G87)*'[1]功能-付费相关'!AK88/节奏总纲!Z86</f>
        <v>2582.4105914821653</v>
      </c>
      <c r="S86" s="11">
        <f>('[1]资源-士兵招募时间'!H88-'[1]资源-士兵招募时间'!H87)*'[1]功能-付费相关'!AL88/节奏总纲!AA86</f>
        <v>2745.1877489940521</v>
      </c>
      <c r="U86" s="31">
        <f>('[1]资源-木石铜粮'!C88-'[1]资源-木石铜粮'!C87)*'[1]功能-付费相关'!S88/节奏总纲!W86</f>
        <v>1836.2994428249788</v>
      </c>
      <c r="V86" s="31">
        <f>('[1]资源-木石铜粮'!D88-'[1]资源-木石铜粮'!D87)*'[1]功能-付费相关'!T88/节奏总纲!X86</f>
        <v>1978.0505577602976</v>
      </c>
      <c r="W86" s="31">
        <f>('[1]资源-木石铜粮'!E88-'[1]资源-木石铜粮'!E87)*'[1]功能-付费相关'!U88/节奏总纲!Y86</f>
        <v>2140.5333942121724</v>
      </c>
      <c r="X86" s="31">
        <f>('[1]资源-木石铜粮'!F88-'[1]资源-木石铜粮'!F87)*'[1]功能-付费相关'!V88/节奏总纲!Z86</f>
        <v>2231.8004460499201</v>
      </c>
      <c r="Y86" s="31">
        <f>('[1]资源-木石铜粮'!G88-'[1]资源-木石铜粮'!G87)*'[1]功能-付费相关'!W88/节奏总纲!AA86</f>
        <v>2524.9271251450923</v>
      </c>
      <c r="AA86" s="11">
        <f>('[1]资源-铁'!C88-'[1]资源-铁'!C87)*'[1]功能-付费相关'!X88/节奏总纲!W86</f>
        <v>801.19886604239616</v>
      </c>
      <c r="AB86" s="11">
        <f>('[1]资源-铁'!D88-'[1]资源-铁'!D87)*'[1]功能-付费相关'!Y88/节奏总纲!X86</f>
        <v>915.03357842422497</v>
      </c>
      <c r="AC86" s="11">
        <f>('[1]资源-铁'!E88-'[1]资源-铁'!E87)*'[1]功能-付费相关'!Z88/节奏总纲!Y86</f>
        <v>1004.2210273866477</v>
      </c>
      <c r="AD86" s="11">
        <f>('[1]资源-铁'!F88-'[1]资源-铁'!F87)*'[1]功能-付费相关'!AA88/节奏总纲!Z86</f>
        <v>1036.4735408427068</v>
      </c>
      <c r="AE86" s="11">
        <f>('[1]资源-铁'!G88-'[1]资源-铁'!G87)*'[1]功能-付费相关'!AB88/节奏总纲!AA86</f>
        <v>1241.1550968281458</v>
      </c>
      <c r="AG86" s="11">
        <f>('[1]资源-银币'!C88-'[1]资源-银币'!C87)*'[1]功能-付费相关'!AQ88/节奏总纲!W86</f>
        <v>640.91014758556992</v>
      </c>
      <c r="AH86" s="11">
        <f>('[1]资源-银币'!D88-'[1]资源-银币'!D87)*'[1]功能-付费相关'!AR88/节奏总纲!X86</f>
        <v>704.08731598791076</v>
      </c>
      <c r="AI86" s="11">
        <f>('[1]资源-银币'!E88-'[1]资源-银币'!E87)*'[1]功能-付费相关'!AS88/节奏总纲!Y86</f>
        <v>787.14200357483412</v>
      </c>
      <c r="AJ86" s="11">
        <f>('[1]资源-银币'!F88-'[1]资源-银币'!F87)*'[1]功能-付费相关'!AT88/节奏总纲!Z86</f>
        <v>802.30744083682907</v>
      </c>
      <c r="AK86" s="11">
        <f>('[1]资源-银币'!G88-'[1]资源-银币'!G87)*'[1]功能-付费相关'!AU88/节奏总纲!AA86</f>
        <v>770.53988352348881</v>
      </c>
      <c r="AM86" s="11" t="e">
        <f>(#REF!-#REF!)*'[1]功能-付费相关'!CA88/节奏总纲!W86</f>
        <v>#REF!</v>
      </c>
      <c r="AN86" s="11" t="e">
        <f>(#REF!-#REF!)*'[1]功能-付费相关'!CB88/节奏总纲!X86</f>
        <v>#REF!</v>
      </c>
      <c r="AO86" s="11" t="e">
        <f>(#REF!-#REF!)*'[1]功能-付费相关'!CC88/节奏总纲!Y86</f>
        <v>#REF!</v>
      </c>
      <c r="AP86" s="11" t="e">
        <f>(#REF!-#REF!)*'[1]功能-付费相关'!CD88/节奏总纲!Z86</f>
        <v>#REF!</v>
      </c>
      <c r="AQ86" s="11" t="e">
        <f>(#REF!-#REF!)*'[1]功能-付费相关'!CE88/节奏总纲!AA86</f>
        <v>#REF!</v>
      </c>
      <c r="AS86" s="11">
        <f>('[1]资源-装备经验'!C88-'[1]资源-装备经验'!C87)*'[1]功能-付费相关'!BI88/节奏总纲!W86</f>
        <v>755.57955118129871</v>
      </c>
      <c r="AT86" s="11">
        <f>('[1]资源-装备经验'!D88-'[1]资源-装备经验'!D87)*'[1]功能-付费相关'!BJ88/节奏总纲!X86</f>
        <v>1119.4043458587182</v>
      </c>
      <c r="AU86" s="11">
        <f>('[1]资源-装备经验'!E88-'[1]资源-装备经验'!E87)*'[1]功能-付费相关'!BK88/节奏总纲!Y86</f>
        <v>1552.9645801416921</v>
      </c>
      <c r="AV86" s="11">
        <f>('[1]资源-装备经验'!F88-'[1]资源-装备经验'!F87)*'[1]功能-付费相关'!BL88/节奏总纲!Z86</f>
        <v>1764.6737296799583</v>
      </c>
      <c r="AW86" s="11">
        <f>('[1]资源-装备经验'!G88-'[1]资源-装备经验'!G87)*'[1]功能-付费相关'!BM88/节奏总纲!AA86</f>
        <v>2149.3006019274944</v>
      </c>
      <c r="AY86" s="11">
        <f>('[1]资源-武将经验'!C88*节奏总纲!BJ86-'[1]资源-武将经验'!C87*节奏总纲!BJ85)*'[1]功能-付费相关'!AZ88/节奏总纲!W86</f>
        <v>5873.7861406354987</v>
      </c>
      <c r="AZ86" s="11">
        <f>('[1]资源-武将经验'!D88*节奏总纲!BK86-'[1]资源-武将经验'!D87*节奏总纲!BK85)*'[1]功能-付费相关'!BA88/节奏总纲!X86</f>
        <v>7852.1333462786297</v>
      </c>
      <c r="BA86" s="11">
        <f>('[1]资源-武将经验'!E88*节奏总纲!BL86-'[1]资源-武将经验'!E87*节奏总纲!BL85)*'[1]功能-付费相关'!BB88/节奏总纲!Y86</f>
        <v>9290.913336350126</v>
      </c>
      <c r="BB86" s="11">
        <f>('[1]资源-武将经验'!F88*节奏总纲!BM86-'[1]资源-武将经验'!F87*节奏总纲!BM85)*'[1]功能-付费相关'!BC88/节奏总纲!Z86</f>
        <v>18271.788866597701</v>
      </c>
      <c r="BC86" s="11">
        <f>('[1]资源-武将经验'!G88*节奏总纲!BN86-'[1]资源-武将经验'!G87*节奏总纲!BN85)*'[1]功能-付费相关'!BD88/节奏总纲!AA86</f>
        <v>24349.85123207602</v>
      </c>
      <c r="BD86" s="33"/>
      <c r="BE86" s="30" t="e">
        <f t="shared" si="13"/>
        <v>#REF!</v>
      </c>
      <c r="BF86" s="30" t="e">
        <f t="shared" si="9"/>
        <v>#REF!</v>
      </c>
      <c r="BG86" s="30" t="e">
        <f t="shared" si="10"/>
        <v>#REF!</v>
      </c>
      <c r="BH86" s="30" t="e">
        <f t="shared" si="11"/>
        <v>#REF!</v>
      </c>
      <c r="BI86" s="30" t="e">
        <f t="shared" si="12"/>
        <v>#REF!</v>
      </c>
    </row>
    <row r="87" spans="2:61" x14ac:dyDescent="0.15">
      <c r="B87" s="31">
        <v>84</v>
      </c>
      <c r="C87" s="11">
        <f>('[1]资源-玩家城池建筑时间'!D89-'[1]资源-玩家城池建筑时间'!D88)*'[1]功能-付费相关'!AH89/节奏总纲!W87</f>
        <v>1896.4418087597692</v>
      </c>
      <c r="D87" s="11">
        <f>('[1]资源-玩家城池建筑时间'!E89-'[1]资源-玩家城池建筑时间'!E88)*'[1]功能-付费相关'!AI89/节奏总纲!X87</f>
        <v>2219.5841328541837</v>
      </c>
      <c r="E87" s="11">
        <f>('[1]资源-玩家城池建筑时间'!F89-'[1]资源-玩家城池建筑时间'!F88)*'[1]功能-付费相关'!AJ89/节奏总纲!Y87</f>
        <v>2508.0271455691909</v>
      </c>
      <c r="F87" s="11">
        <f>('[1]资源-玩家城池建筑时间'!G89-'[1]资源-玩家城池建筑时间'!G88)*'[1]功能-付费相关'!AK89/节奏总纲!Z87</f>
        <v>3254.2149264181076</v>
      </c>
      <c r="G87" s="11">
        <f>('[1]资源-玩家城池建筑时间'!H89-'[1]资源-玩家城池建筑时间'!H88)*'[1]功能-付费相关'!AL89/节奏总纲!AA87</f>
        <v>3065.3931938817232</v>
      </c>
      <c r="I87" s="31">
        <f>('[1]资源-士兵训练时间'!C89-'[1]资源-士兵训练时间'!C88)*'[1]功能-付费相关'!AH89/节奏总纲!W87</f>
        <v>743.64661679927519</v>
      </c>
      <c r="J87" s="31">
        <f>('[1]资源-士兵训练时间'!D89-'[1]资源-士兵训练时间'!D88)*'[1]功能-付费相关'!AI89/节奏总纲!X87</f>
        <v>752.57926599378061</v>
      </c>
      <c r="K87" s="31">
        <f>('[1]资源-士兵训练时间'!E89-'[1]资源-士兵训练时间'!E88)*'[1]功能-付费相关'!AJ89/节奏总纲!Y87</f>
        <v>752.71993690386228</v>
      </c>
      <c r="L87" s="31">
        <f>('[1]资源-士兵训练时间'!F89-'[1]资源-士兵训练时间'!F88)*'[1]功能-付费相关'!AK89/节奏总纲!Z87</f>
        <v>795.5755670141881</v>
      </c>
      <c r="M87" s="31">
        <f>('[1]资源-士兵训练时间'!G89-'[1]资源-士兵训练时间'!G88)*'[1]功能-付费相关'!AL89/节奏总纲!AA87</f>
        <v>755.69165635545107</v>
      </c>
      <c r="O87" s="11">
        <f>('[1]资源-士兵招募时间'!D89-'[1]资源-士兵招募时间'!D88)*'[1]功能-付费相关'!AH89/节奏总纲!W87</f>
        <v>1944.0027422667079</v>
      </c>
      <c r="P87" s="11">
        <f>('[1]资源-士兵招募时间'!E89-'[1]资源-士兵招募时间'!E88)*'[1]功能-付费相关'!AI89/节奏总纲!X87</f>
        <v>2102.4729817102639</v>
      </c>
      <c r="Q87" s="11">
        <f>('[1]资源-士兵招募时间'!F89-'[1]资源-士兵招募时间'!F88)*'[1]功能-付费相关'!AJ89/节奏总纲!Y87</f>
        <v>2266.6787803054353</v>
      </c>
      <c r="R87" s="11">
        <f>('[1]资源-士兵招募时间'!G89-'[1]资源-士兵招募时间'!G88)*'[1]功能-付费相关'!AK89/节奏总纲!Z87</f>
        <v>2612.7882811554682</v>
      </c>
      <c r="S87" s="11">
        <f>('[1]资源-士兵招募时间'!H89-'[1]资源-士兵招募时间'!H88)*'[1]功能-付费相关'!AL89/节奏总纲!AA87</f>
        <v>2772.7900472244396</v>
      </c>
      <c r="U87" s="31">
        <f>('[1]资源-木石铜粮'!C89-'[1]资源-木石铜粮'!C88)*'[1]功能-付费相关'!S89/节奏总纲!W87</f>
        <v>1852.3349222285697</v>
      </c>
      <c r="V87" s="31">
        <f>('[1]资源-木石铜粮'!D89-'[1]资源-木石铜粮'!D88)*'[1]功能-付费相关'!T89/节奏总纲!X87</f>
        <v>1977.0286754044109</v>
      </c>
      <c r="W87" s="31">
        <f>('[1]资源-木石铜粮'!E89-'[1]资源-木石铜粮'!E88)*'[1]功能-付费相关'!U89/节奏总纲!Y87</f>
        <v>2111.8616421317652</v>
      </c>
      <c r="X87" s="31">
        <f>('[1]资源-木石铜粮'!F89-'[1]资源-木石铜粮'!F88)*'[1]功能-付费相关'!V89/节奏总纲!Z87</f>
        <v>2204.9594985744284</v>
      </c>
      <c r="Y87" s="31">
        <f>('[1]资源-木石铜粮'!G89-'[1]资源-木石铜粮'!G88)*'[1]功能-付费相关'!W89/节奏总纲!AA87</f>
        <v>2538.3502103350056</v>
      </c>
      <c r="AA87" s="11">
        <f>('[1]资源-铁'!C89-'[1]资源-铁'!C88)*'[1]功能-付费相关'!X89/节奏总纲!W87</f>
        <v>835.16655548594986</v>
      </c>
      <c r="AB87" s="11">
        <f>('[1]资源-铁'!D89-'[1]资源-铁'!D88)*'[1]功能-付费相关'!Y89/节奏总纲!X87</f>
        <v>918.45574137066944</v>
      </c>
      <c r="AC87" s="11">
        <f>('[1]资源-铁'!E89-'[1]资源-铁'!E88)*'[1]功能-付费相关'!Z89/节奏总纲!Y87</f>
        <v>949.51702124983262</v>
      </c>
      <c r="AD87" s="11">
        <f>('[1]资源-铁'!F89-'[1]资源-铁'!F88)*'[1]功能-付费相关'!AA89/节奏总纲!Z87</f>
        <v>994.34886689430346</v>
      </c>
      <c r="AE87" s="11">
        <f>('[1]资源-铁'!G89-'[1]资源-铁'!G88)*'[1]功能-付费相关'!AB89/节奏总纲!AA87</f>
        <v>1240.3499751351269</v>
      </c>
      <c r="AG87" s="11">
        <f>('[1]资源-银币'!C89-'[1]资源-银币'!C88)*'[1]功能-付费相关'!AQ89/节奏总纲!W87</f>
        <v>635.75826322802106</v>
      </c>
      <c r="AH87" s="11">
        <f>('[1]资源-银币'!D89-'[1]资源-银币'!D88)*'[1]功能-付费相关'!AR89/节奏总纲!X87</f>
        <v>687.98245313672726</v>
      </c>
      <c r="AI87" s="11">
        <f>('[1]资源-银币'!E89-'[1]资源-银币'!E88)*'[1]功能-付费相关'!AS89/节奏总纲!Y87</f>
        <v>772.84024617837815</v>
      </c>
      <c r="AJ87" s="11">
        <f>('[1]资源-银币'!F89-'[1]资源-银币'!F88)*'[1]功能-付费相关'!AT89/节奏总纲!Z87</f>
        <v>795.16553645527063</v>
      </c>
      <c r="AK87" s="11">
        <f>('[1]资源-银币'!G89-'[1]资源-银币'!G88)*'[1]功能-付费相关'!AU89/节奏总纲!AA87</f>
        <v>770.32559483583861</v>
      </c>
      <c r="AM87" s="11" t="e">
        <f>(#REF!-#REF!)*'[1]功能-付费相关'!CA89/节奏总纲!W87</f>
        <v>#REF!</v>
      </c>
      <c r="AN87" s="11" t="e">
        <f>(#REF!-#REF!)*'[1]功能-付费相关'!CB89/节奏总纲!X87</f>
        <v>#REF!</v>
      </c>
      <c r="AO87" s="11" t="e">
        <f>(#REF!-#REF!)*'[1]功能-付费相关'!CC89/节奏总纲!Y87</f>
        <v>#REF!</v>
      </c>
      <c r="AP87" s="11" t="e">
        <f>(#REF!-#REF!)*'[1]功能-付费相关'!CD89/节奏总纲!Z87</f>
        <v>#REF!</v>
      </c>
      <c r="AQ87" s="11" t="e">
        <f>(#REF!-#REF!)*'[1]功能-付费相关'!CE89/节奏总纲!AA87</f>
        <v>#REF!</v>
      </c>
      <c r="AS87" s="11">
        <f>('[1]资源-装备经验'!C89-'[1]资源-装备经验'!C88)*'[1]功能-付费相关'!BI89/节奏总纲!W87</f>
        <v>745.67792122718004</v>
      </c>
      <c r="AT87" s="11">
        <f>('[1]资源-装备经验'!D89-'[1]资源-装备经验'!D88)*'[1]功能-付费相关'!BJ89/节奏总纲!X87</f>
        <v>1086.8600348248965</v>
      </c>
      <c r="AU87" s="11">
        <f>('[1]资源-装备经验'!E89-'[1]资源-装备经验'!E88)*'[1]功能-付费相关'!BK89/节奏总纲!Y87</f>
        <v>1478.4560235360566</v>
      </c>
      <c r="AV87" s="11">
        <f>('[1]资源-装备经验'!F89-'[1]资源-装备经验'!F88)*'[1]功能-付费相关'!BL89/节奏总纲!Z87</f>
        <v>1705.341561063135</v>
      </c>
      <c r="AW87" s="11">
        <f>('[1]资源-装备经验'!G89-'[1]资源-装备经验'!G88)*'[1]功能-付费相关'!BM89/节奏总纲!AA87</f>
        <v>2097.6445196267009</v>
      </c>
      <c r="AY87" s="11">
        <f>('[1]资源-武将经验'!C89*节奏总纲!BJ87-'[1]资源-武将经验'!C88*节奏总纲!BJ86)*'[1]功能-付费相关'!AZ89/节奏总纲!W87</f>
        <v>5819.868601091739</v>
      </c>
      <c r="AZ87" s="11">
        <f>('[1]资源-武将经验'!D89*节奏总纲!BK87-'[1]资源-武将经验'!D88*节奏总纲!BK86)*'[1]功能-付费相关'!BA89/节奏总纲!X87</f>
        <v>6805.6392700657116</v>
      </c>
      <c r="BA87" s="11">
        <f>('[1]资源-武将经验'!E89*节奏总纲!BL87-'[1]资源-武将经验'!E88*节奏总纲!BL86)*'[1]功能-付费相关'!BB89/节奏总纲!Y87</f>
        <v>8393.9687600676825</v>
      </c>
      <c r="BB87" s="11">
        <f>('[1]资源-武将经验'!F89*节奏总纲!BM87-'[1]资源-武将经验'!F88*节奏总纲!BM86)*'[1]功能-付费相关'!BC89/节奏总纲!Z87</f>
        <v>17678.532298110607</v>
      </c>
      <c r="BC87" s="11">
        <f>('[1]资源-武将经验'!G89*节奏总纲!BN87-'[1]资源-武将经验'!G88*节奏总纲!BN86)*'[1]功能-付费相关'!BD89/节奏总纲!AA87</f>
        <v>24121.333654739799</v>
      </c>
      <c r="BD87" s="33"/>
      <c r="BE87" s="30" t="e">
        <f t="shared" si="13"/>
        <v>#REF!</v>
      </c>
      <c r="BF87" s="30" t="e">
        <f t="shared" si="9"/>
        <v>#REF!</v>
      </c>
      <c r="BG87" s="30" t="e">
        <f t="shared" si="10"/>
        <v>#REF!</v>
      </c>
      <c r="BH87" s="30" t="e">
        <f t="shared" si="11"/>
        <v>#REF!</v>
      </c>
      <c r="BI87" s="30" t="e">
        <f t="shared" si="12"/>
        <v>#REF!</v>
      </c>
    </row>
    <row r="88" spans="2:61" x14ac:dyDescent="0.15">
      <c r="B88" s="31">
        <v>85</v>
      </c>
      <c r="C88" s="11">
        <f>('[1]资源-玩家城池建筑时间'!D90-'[1]资源-玩家城池建筑时间'!D89)*'[1]功能-付费相关'!AH90/节奏总纲!W88</f>
        <v>1896.6741615802807</v>
      </c>
      <c r="D88" s="11">
        <f>('[1]资源-玩家城池建筑时间'!E90-'[1]资源-玩家城池建筑时间'!E89)*'[1]功能-付费相关'!AI90/节奏总纲!X88</f>
        <v>2208.9946244109165</v>
      </c>
      <c r="E88" s="11">
        <f>('[1]资源-玩家城池建筑时间'!F90-'[1]资源-玩家城池建筑时间'!F89)*'[1]功能-付费相关'!AJ90/节奏总纲!Y88</f>
        <v>2514.6106431792145</v>
      </c>
      <c r="F88" s="11">
        <f>('[1]资源-玩家城池建筑时间'!G90-'[1]资源-玩家城池建筑时间'!G89)*'[1]功能-付费相关'!AK90/节奏总纲!Z88</f>
        <v>3188.0382949756749</v>
      </c>
      <c r="G88" s="11">
        <f>('[1]资源-玩家城池建筑时间'!H90-'[1]资源-玩家城池建筑时间'!H89)*'[1]功能-付费相关'!AL90/节奏总纲!AA88</f>
        <v>3070.5089458529001</v>
      </c>
      <c r="I88" s="31">
        <f>('[1]资源-士兵训练时间'!C90-'[1]资源-士兵训练时间'!C89)*'[1]功能-付费相关'!AH90/节奏总纲!W88</f>
        <v>743.75883128675912</v>
      </c>
      <c r="J88" s="31">
        <f>('[1]资源-士兵训练时间'!D90-'[1]资源-士兵训练时间'!D89)*'[1]功能-付费相关'!AI90/节奏总纲!X88</f>
        <v>749.94035568334175</v>
      </c>
      <c r="K88" s="31">
        <f>('[1]资源-士兵训练时间'!E90-'[1]资源-士兵训练时间'!E89)*'[1]功能-付费相关'!AJ90/节奏总纲!Y88</f>
        <v>754.33165526902826</v>
      </c>
      <c r="L88" s="31">
        <f>('[1]资源-士兵训练时间'!F90-'[1]资源-士兵训练时间'!F89)*'[1]功能-付费相关'!AK90/节奏总纲!Z88</f>
        <v>779.6943925339059</v>
      </c>
      <c r="M88" s="31">
        <f>('[1]资源-士兵训练时间'!G90-'[1]资源-士兵训练时间'!G89)*'[1]功能-付费相关'!AL90/节奏总纲!AA88</f>
        <v>756.89946936357956</v>
      </c>
      <c r="O88" s="11">
        <f>('[1]资源-士兵招募时间'!D90-'[1]资源-士兵招募时间'!D89)*'[1]功能-付费相关'!AH90/节奏总纲!W88</f>
        <v>1965.2045412274006</v>
      </c>
      <c r="P88" s="11">
        <f>('[1]资源-士兵招募时间'!E90-'[1]资源-士兵招募时间'!E89)*'[1]功能-付费相关'!AI90/节奏总纲!X88</f>
        <v>2105.8779846896468</v>
      </c>
      <c r="Q88" s="11">
        <f>('[1]资源-士兵招募时间'!F90-'[1]资源-士兵招募时间'!F89)*'[1]功能-付费相关'!AJ90/节奏总纲!Y88</f>
        <v>2278.1837292368691</v>
      </c>
      <c r="R88" s="11">
        <f>('[1]资源-士兵招募时间'!G90-'[1]资源-士兵招募时间'!G89)*'[1]功能-付费相关'!AK90/节奏总纲!Z88</f>
        <v>2617.8324507348857</v>
      </c>
      <c r="S88" s="11">
        <f>('[1]资源-士兵招募时间'!H90-'[1]资源-士兵招募时间'!H89)*'[1]功能-付费相关'!AL90/节奏总纲!AA88</f>
        <v>2780.4811561954502</v>
      </c>
      <c r="U88" s="31">
        <f>('[1]资源-木石铜粮'!C90-'[1]资源-木石铜粮'!C89)*'[1]功能-付费相关'!S90/节奏总纲!W88</f>
        <v>1868.8083682760152</v>
      </c>
      <c r="V88" s="31">
        <f>('[1]资源-木石铜粮'!D90-'[1]资源-木石铜粮'!D89)*'[1]功能-付费相关'!T90/节奏总纲!X88</f>
        <v>1967.9701581934942</v>
      </c>
      <c r="W88" s="31">
        <f>('[1]资源-木石铜粮'!E90-'[1]资源-木石铜粮'!E89)*'[1]功能-付费相关'!U90/节奏总纲!Y88</f>
        <v>2096.2529698131816</v>
      </c>
      <c r="X88" s="31">
        <f>('[1]资源-木石铜粮'!F90-'[1]资源-木石铜粮'!F89)*'[1]功能-付费相关'!V90/节奏总纲!Z88</f>
        <v>2229.1198363447625</v>
      </c>
      <c r="Y88" s="31">
        <f>('[1]资源-木石铜粮'!G90-'[1]资源-木石铜粮'!G89)*'[1]功能-付费相关'!W90/节奏总纲!AA88</f>
        <v>2538.1433583274711</v>
      </c>
      <c r="AA88" s="11">
        <f>('[1]资源-铁'!C90-'[1]资源-铁'!C89)*'[1]功能-付费相关'!X90/节奏总纲!W88</f>
        <v>869.4030080064498</v>
      </c>
      <c r="AB88" s="11">
        <f>('[1]资源-铁'!D90-'[1]资源-铁'!D89)*'[1]功能-付费相关'!Y90/节奏总纲!X88</f>
        <v>889.27744665812475</v>
      </c>
      <c r="AC88" s="11">
        <f>('[1]资源-铁'!E90-'[1]资源-铁'!E89)*'[1]功能-付费相关'!Z90/节奏总纲!Y88</f>
        <v>909.39961962463724</v>
      </c>
      <c r="AD88" s="11">
        <f>('[1]资源-铁'!F90-'[1]资源-铁'!F89)*'[1]功能-付费相关'!AA90/节奏总纲!Z88</f>
        <v>1005.3771832301381</v>
      </c>
      <c r="AE88" s="11">
        <f>('[1]资源-铁'!G90-'[1]资源-铁'!G89)*'[1]功能-付费相关'!AB90/节奏总纲!AA88</f>
        <v>1227.1028101753579</v>
      </c>
      <c r="AG88" s="11">
        <f>('[1]资源-银币'!C90-'[1]资源-银币'!C89)*'[1]功能-付费相关'!AQ90/节奏总纲!W88</f>
        <v>632.46064236660175</v>
      </c>
      <c r="AH88" s="11">
        <f>('[1]资源-银币'!D90-'[1]资源-银币'!D89)*'[1]功能-付费相关'!AR90/节奏总纲!X88</f>
        <v>675.74149795694916</v>
      </c>
      <c r="AI88" s="11">
        <f>('[1]资源-银币'!E90-'[1]资源-银币'!E89)*'[1]功能-付费相关'!AS90/节奏总纲!Y88</f>
        <v>762.44005145700407</v>
      </c>
      <c r="AJ88" s="11">
        <f>('[1]资源-银币'!F90-'[1]资源-银币'!F89)*'[1]功能-付费相关'!AT90/节奏总纲!Z88</f>
        <v>782.71935888214409</v>
      </c>
      <c r="AK88" s="11">
        <f>('[1]资源-银币'!G90-'[1]资源-银币'!G89)*'[1]功能-付费相关'!AU90/节奏总纲!AA88</f>
        <v>780.76601495003763</v>
      </c>
      <c r="AM88" s="11" t="e">
        <f>(#REF!-#REF!)*'[1]功能-付费相关'!CA90/节奏总纲!W88</f>
        <v>#REF!</v>
      </c>
      <c r="AN88" s="11" t="e">
        <f>(#REF!-#REF!)*'[1]功能-付费相关'!CB90/节奏总纲!X88</f>
        <v>#REF!</v>
      </c>
      <c r="AO88" s="11" t="e">
        <f>(#REF!-#REF!)*'[1]功能-付费相关'!CC90/节奏总纲!Y88</f>
        <v>#REF!</v>
      </c>
      <c r="AP88" s="11" t="e">
        <f>(#REF!-#REF!)*'[1]功能-付费相关'!CD90/节奏总纲!Z88</f>
        <v>#REF!</v>
      </c>
      <c r="AQ88" s="11" t="e">
        <f>(#REF!-#REF!)*'[1]功能-付费相关'!CE90/节奏总纲!AA88</f>
        <v>#REF!</v>
      </c>
      <c r="AS88" s="11">
        <f>('[1]资源-装备经验'!C90-'[1]资源-装备经验'!C89)*'[1]功能-付费相关'!BI90/节奏总纲!W88</f>
        <v>736.84379703303239</v>
      </c>
      <c r="AT88" s="11">
        <f>('[1]资源-装备经验'!D90-'[1]资源-装备经验'!D89)*'[1]功能-付费相关'!BJ90/节奏总纲!X88</f>
        <v>1047.544501651073</v>
      </c>
      <c r="AU88" s="11">
        <f>('[1]资源-装备经验'!E90-'[1]资源-装备经验'!E89)*'[1]功能-付费相关'!BK90/节奏总纲!Y88</f>
        <v>1421.4184263582727</v>
      </c>
      <c r="AV88" s="11">
        <f>('[1]资源-装备经验'!F90-'[1]资源-装备经验'!F89)*'[1]功能-付费相关'!BL90/节奏总纲!Z88</f>
        <v>1691.5276304043223</v>
      </c>
      <c r="AW88" s="11">
        <f>('[1]资源-装备经验'!G90-'[1]资源-装备经验'!G89)*'[1]功能-付费相关'!BM90/节奏总纲!AA88</f>
        <v>2048.4915281761673</v>
      </c>
      <c r="AY88" s="11">
        <f>('[1]资源-武将经验'!C90*节奏总纲!BJ88-'[1]资源-武将经验'!C89*节奏总纲!BJ87)*'[1]功能-付费相关'!AZ90/节奏总纲!W88</f>
        <v>5145.579863174632</v>
      </c>
      <c r="AZ88" s="11">
        <f>('[1]资源-武将经验'!D90*节奏总纲!BK88-'[1]资源-武将经验'!D89*节奏总纲!BK87)*'[1]功能-付费相关'!BA90/节奏总纲!X88</f>
        <v>6421.8114951546922</v>
      </c>
      <c r="BA88" s="11">
        <f>('[1]资源-武将经验'!E90*节奏总纲!BL88-'[1]资源-武将经验'!E89*节奏总纲!BL87)*'[1]功能-付费相关'!BB90/节奏总纲!Y88</f>
        <v>8063.8587782426366</v>
      </c>
      <c r="BB88" s="11">
        <f>('[1]资源-武将经验'!F90*节奏总纲!BM88-'[1]资源-武将经验'!F89*节奏总纲!BM87)*'[1]功能-付费相关'!BC90/节奏总纲!Z88</f>
        <v>17589.661776560242</v>
      </c>
      <c r="BC88" s="11">
        <f>('[1]资源-武将经验'!G90*节奏总纲!BN88-'[1]资源-武将经验'!G89*节奏总纲!BN87)*'[1]功能-付费相关'!BD90/节奏总纲!AA88</f>
        <v>23882.261266261983</v>
      </c>
      <c r="BD88" s="33"/>
      <c r="BE88" s="30" t="e">
        <f t="shared" si="13"/>
        <v>#REF!</v>
      </c>
      <c r="BF88" s="30" t="e">
        <f t="shared" si="9"/>
        <v>#REF!</v>
      </c>
      <c r="BG88" s="30" t="e">
        <f t="shared" si="10"/>
        <v>#REF!</v>
      </c>
      <c r="BH88" s="30" t="e">
        <f t="shared" si="11"/>
        <v>#REF!</v>
      </c>
      <c r="BI88" s="30" t="e">
        <f t="shared" si="12"/>
        <v>#REF!</v>
      </c>
    </row>
    <row r="89" spans="2:61" x14ac:dyDescent="0.15">
      <c r="B89" s="31">
        <v>86</v>
      </c>
      <c r="C89" s="11">
        <f>('[1]资源-玩家城池建筑时间'!D91-'[1]资源-玩家城池建筑时间'!D90)*'[1]功能-付费相关'!AH91/节奏总纲!W89</f>
        <v>1899.5556312151955</v>
      </c>
      <c r="D89" s="11">
        <f>('[1]资源-玩家城池建筑时间'!E91-'[1]资源-玩家城池建筑时间'!E90)*'[1]功能-付费相关'!AI91/节奏总纲!X89</f>
        <v>2219.0723615284305</v>
      </c>
      <c r="E89" s="11">
        <f>('[1]资源-玩家城池建筑时间'!F91-'[1]资源-玩家城池建筑时间'!F90)*'[1]功能-付费相关'!AJ91/节奏总纲!Y89</f>
        <v>2523.9314698294038</v>
      </c>
      <c r="F89" s="11">
        <f>('[1]资源-玩家城池建筑时间'!G91-'[1]资源-玩家城池建筑时间'!G90)*'[1]功能-付费相关'!AK91/节奏总纲!Z89</f>
        <v>3084.1146727086616</v>
      </c>
      <c r="G89" s="11">
        <f>('[1]资源-玩家城池建筑时间'!H91-'[1]资源-玩家城池建筑时间'!H90)*'[1]功能-付费相关'!AL91/节奏总纲!AA89</f>
        <v>3080.1320123452192</v>
      </c>
      <c r="I89" s="31">
        <f>('[1]资源-士兵训练时间'!C91-'[1]资源-士兵训练时间'!C90)*'[1]功能-付费相关'!AH91/节奏总纲!W89</f>
        <v>744.52803042319954</v>
      </c>
      <c r="J89" s="31">
        <f>('[1]资源-士兵训练时间'!D91-'[1]资源-士兵训练时间'!D90)*'[1]功能-付费相关'!AI91/节奏总纲!X89</f>
        <v>752.46077849321046</v>
      </c>
      <c r="K89" s="31">
        <f>('[1]资源-士兵训练时间'!E91-'[1]资源-士兵训练时间'!E90)*'[1]功能-付费相关'!AJ91/节奏总纲!Y89</f>
        <v>756.98012384050651</v>
      </c>
      <c r="L89" s="31">
        <f>('[1]资源-士兵训练时间'!F91-'[1]资源-士兵训练时间'!F90)*'[1]功能-付费相关'!AK91/节奏总纲!Z89</f>
        <v>753.80968438414516</v>
      </c>
      <c r="M89" s="31">
        <f>('[1]资源-士兵训练时间'!G91-'[1]资源-士兵训练时间'!G90)*'[1]功能-付费相关'!AL91/节奏总纲!AA89</f>
        <v>759.18779748949476</v>
      </c>
      <c r="O89" s="11">
        <f>('[1]资源-士兵招募时间'!D91-'[1]资源-士兵招募时间'!D90)*'[1]功能-付费相关'!AH91/节奏总纲!W89</f>
        <v>1997.4858939993526</v>
      </c>
      <c r="P89" s="11">
        <f>('[1]资源-士兵招募时间'!E91-'[1]资源-士兵招募时间'!E90)*'[1]功能-付费相关'!AI91/节奏总纲!X89</f>
        <v>2137.2488581280682</v>
      </c>
      <c r="Q89" s="11">
        <f>('[1]资源-士兵招募时间'!F91-'[1]资源-士兵招募时间'!F90)*'[1]功能-付费相关'!AJ91/节奏总纲!Y89</f>
        <v>2286.5741435244236</v>
      </c>
      <c r="R89" s="11">
        <f>('[1]资源-士兵招募时间'!G91-'[1]资源-士兵招募时间'!G90)*'[1]功能-付费相关'!AK91/节奏总纲!Z89</f>
        <v>2612.1557986357338</v>
      </c>
      <c r="S89" s="11">
        <f>('[1]资源-士兵招募时间'!H91-'[1]资源-士兵招募时间'!H90)*'[1]功能-付费相关'!AL91/节奏总纲!AA89</f>
        <v>2785.6312580745489</v>
      </c>
      <c r="U89" s="31">
        <f>('[1]资源-木石铜粮'!C91-'[1]资源-木石铜粮'!C90)*'[1]功能-付费相关'!S91/节奏总纲!W89</f>
        <v>1882.7207822702326</v>
      </c>
      <c r="V89" s="31">
        <f>('[1]资源-木石铜粮'!D91-'[1]资源-木石铜粮'!D90)*'[1]功能-付费相关'!T91/节奏总纲!X89</f>
        <v>1979.825078006292</v>
      </c>
      <c r="W89" s="31">
        <f>('[1]资源-木石铜粮'!E91-'[1]资源-木石铜粮'!E90)*'[1]功能-付费相关'!U91/节奏总纲!Y89</f>
        <v>2129.478182734309</v>
      </c>
      <c r="X89" s="31">
        <f>('[1]资源-木石铜粮'!F91-'[1]资源-木石铜粮'!F90)*'[1]功能-付费相关'!V91/节奏总纲!Z89</f>
        <v>2249.5072593299765</v>
      </c>
      <c r="Y89" s="31">
        <f>('[1]资源-木石铜粮'!G91-'[1]资源-木石铜粮'!G90)*'[1]功能-付费相关'!W91/节奏总纲!AA89</f>
        <v>2706.4584464672121</v>
      </c>
      <c r="AA89" s="11">
        <f>('[1]资源-铁'!C91-'[1]资源-铁'!C90)*'[1]功能-付费相关'!X91/节奏总纲!W89</f>
        <v>871.54945285488736</v>
      </c>
      <c r="AB89" s="11">
        <f>('[1]资源-铁'!D91-'[1]资源-铁'!D90)*'[1]功能-付费相关'!Y91/节奏总纲!X89</f>
        <v>884.6898772344731</v>
      </c>
      <c r="AC89" s="11">
        <f>('[1]资源-铁'!E91-'[1]资源-铁'!E90)*'[1]功能-付费相关'!Z91/节奏总纲!Y89</f>
        <v>934.98804758739652</v>
      </c>
      <c r="AD89" s="11">
        <f>('[1]资源-铁'!F91-'[1]资源-铁'!F90)*'[1]功能-付费相关'!AA91/节奏总纲!Z89</f>
        <v>1019.4956137105638</v>
      </c>
      <c r="AE89" s="11">
        <f>('[1]资源-铁'!G91-'[1]资源-铁'!G90)*'[1]功能-付费相关'!AB91/节奏总纲!AA89</f>
        <v>1414.5202343771339</v>
      </c>
      <c r="AG89" s="11">
        <f>('[1]资源-银币'!C91-'[1]资源-银币'!C90)*'[1]功能-付费相关'!AQ91/节奏总纲!W89</f>
        <v>630.78728527168494</v>
      </c>
      <c r="AH89" s="11">
        <f>('[1]资源-银币'!D91-'[1]资源-银币'!D90)*'[1]功能-付费相关'!AR91/节奏总纲!X89</f>
        <v>663.71488129805209</v>
      </c>
      <c r="AI89" s="11">
        <f>('[1]资源-银币'!E91-'[1]资源-银币'!E90)*'[1]功能-付费相关'!AS91/节奏总纲!Y89</f>
        <v>721.80015627672583</v>
      </c>
      <c r="AJ89" s="11">
        <f>('[1]资源-银币'!F91-'[1]资源-银币'!F90)*'[1]功能-付费相关'!AT91/节奏总纲!Z89</f>
        <v>785.70320276098346</v>
      </c>
      <c r="AK89" s="11">
        <f>('[1]资源-银币'!G91-'[1]资源-银币'!G90)*'[1]功能-付费相关'!AU91/节奏总纲!AA89</f>
        <v>807.54070074766469</v>
      </c>
      <c r="AM89" s="11" t="e">
        <f>(#REF!-#REF!)*'[1]功能-付费相关'!CA91/节奏总纲!W89</f>
        <v>#REF!</v>
      </c>
      <c r="AN89" s="11" t="e">
        <f>(#REF!-#REF!)*'[1]功能-付费相关'!CB91/节奏总纲!X89</f>
        <v>#REF!</v>
      </c>
      <c r="AO89" s="11" t="e">
        <f>(#REF!-#REF!)*'[1]功能-付费相关'!CC91/节奏总纲!Y89</f>
        <v>#REF!</v>
      </c>
      <c r="AP89" s="11" t="e">
        <f>(#REF!-#REF!)*'[1]功能-付费相关'!CD91/节奏总纲!Z89</f>
        <v>#REF!</v>
      </c>
      <c r="AQ89" s="11" t="e">
        <f>(#REF!-#REF!)*'[1]功能-付费相关'!CE91/节奏总纲!AA89</f>
        <v>#REF!</v>
      </c>
      <c r="AS89" s="11">
        <f>('[1]资源-装备经验'!C91-'[1]资源-装备经验'!C90)*'[1]功能-付费相关'!BI91/节奏总纲!W89</f>
        <v>728.95995233700785</v>
      </c>
      <c r="AT89" s="11">
        <f>('[1]资源-装备经验'!D91-'[1]资源-装备经验'!D90)*'[1]功能-付费相关'!BJ91/节奏总纲!X89</f>
        <v>1028.5883026684642</v>
      </c>
      <c r="AU89" s="11">
        <f>('[1]资源-装备经验'!E91-'[1]资源-装备经验'!E90)*'[1]功能-付费相关'!BK91/节奏总纲!Y89</f>
        <v>1413.4985135489953</v>
      </c>
      <c r="AV89" s="11">
        <f>('[1]资源-装备经验'!F91-'[1]资源-装备经验'!F90)*'[1]功能-付费相关'!BL91/节奏总纲!Z89</f>
        <v>1695.4962928364203</v>
      </c>
      <c r="AW89" s="11">
        <f>('[1]资源-装备经验'!G91-'[1]资源-装备经验'!G90)*'[1]功能-付费相关'!BM91/节奏总纲!AA89</f>
        <v>2262.3514091507891</v>
      </c>
      <c r="AY89" s="11">
        <f>('[1]资源-武将经验'!C91*节奏总纲!BJ89-'[1]资源-武将经验'!C90*节奏总纲!BJ88)*'[1]功能-付费相关'!AZ91/节奏总纲!W89</f>
        <v>5088.22999569277</v>
      </c>
      <c r="AZ89" s="11">
        <f>('[1]资源-武将经验'!D91*节奏总纲!BK89-'[1]资源-武将经验'!D90*节奏总纲!BK88)*'[1]功能-付费相关'!BA91/节奏总纲!X89</f>
        <v>6309.1467724359563</v>
      </c>
      <c r="BA89" s="11">
        <f>('[1]资源-武将经验'!E91*节奏总纲!BL89-'[1]资源-武将经验'!E90*节奏总纲!BL88)*'[1]功能-付费相关'!BB91/节奏总纲!Y89</f>
        <v>8158.5019220836903</v>
      </c>
      <c r="BB89" s="11">
        <f>('[1]资源-武将经验'!F91*节奏总纲!BM89-'[1]资源-武将经验'!F90*节奏总纲!BM88)*'[1]功能-付费相关'!BC91/节奏总纲!Z89</f>
        <v>17686.107912876956</v>
      </c>
      <c r="BC89" s="11">
        <f>('[1]资源-武将经验'!G91*节奏总纲!BN89-'[1]资源-武将经验'!G90*节奏总纲!BN88)*'[1]功能-付费相关'!BD91/节奏总纲!AA89</f>
        <v>26044.354945002888</v>
      </c>
      <c r="BD89" s="33"/>
      <c r="BE89" s="30" t="e">
        <f t="shared" si="13"/>
        <v>#REF!</v>
      </c>
      <c r="BF89" s="30" t="e">
        <f t="shared" si="9"/>
        <v>#REF!</v>
      </c>
      <c r="BG89" s="30" t="e">
        <f t="shared" si="10"/>
        <v>#REF!</v>
      </c>
      <c r="BH89" s="30" t="e">
        <f t="shared" si="11"/>
        <v>#REF!</v>
      </c>
      <c r="BI89" s="30" t="e">
        <f t="shared" si="12"/>
        <v>#REF!</v>
      </c>
    </row>
    <row r="90" spans="2:61" x14ac:dyDescent="0.15">
      <c r="B90" s="31">
        <v>87</v>
      </c>
      <c r="C90" s="11">
        <f>('[1]资源-玩家城池建筑时间'!D92-'[1]资源-玩家城池建筑时间'!D91)*'[1]功能-付费相关'!AH92/节奏总纲!W90</f>
        <v>1902.5918457551991</v>
      </c>
      <c r="D90" s="11">
        <f>('[1]资源-玩家城池建筑时间'!E92-'[1]资源-玩家城池建筑时间'!E91)*'[1]功能-付费相关'!AI92/节奏总纲!X90</f>
        <v>2255.3152003566966</v>
      </c>
      <c r="E90" s="11">
        <f>('[1]资源-玩家城池建筑时间'!F92-'[1]资源-玩家城池建筑时间'!F91)*'[1]功能-付费相关'!AJ92/节奏总纲!Y90</f>
        <v>2541.4110115314056</v>
      </c>
      <c r="F90" s="11">
        <f>('[1]资源-玩家城池建筑时间'!G92-'[1]资源-玩家城池建筑时间'!G91)*'[1]功能-付费相关'!AK92/节奏总纲!Z90</f>
        <v>3092.5120262488153</v>
      </c>
      <c r="G90" s="11">
        <f>('[1]资源-玩家城池建筑时间'!H92-'[1]资源-玩家城池建筑时间'!H91)*'[1]功能-付费相关'!AL92/节奏总纲!AA90</f>
        <v>3087.2246401397106</v>
      </c>
      <c r="I90" s="31">
        <f>('[1]资源-士兵训练时间'!C92-'[1]资源-士兵训练时间'!C91)*'[1]功能-付费相关'!AH92/节奏总纲!W90</f>
        <v>745.33728484864116</v>
      </c>
      <c r="J90" s="31">
        <f>('[1]资源-士兵训练时间'!D92-'[1]资源-士兵训练时间'!D91)*'[1]功能-付费相关'!AI92/节奏总纲!X90</f>
        <v>761.69144538438502</v>
      </c>
      <c r="K90" s="31">
        <f>('[1]资源-士兵训练时间'!E92-'[1]资源-士兵训练时间'!E91)*'[1]功能-付费相关'!AJ92/节奏总纲!Y90</f>
        <v>761.50430599466165</v>
      </c>
      <c r="L90" s="31">
        <f>('[1]资源-士兵训练时间'!F92-'[1]资源-士兵训练时间'!F91)*'[1]功能-付费相关'!AK92/节奏总纲!Z90</f>
        <v>755.91453469765202</v>
      </c>
      <c r="M90" s="31">
        <f>('[1]资源-士兵训练时间'!G92-'[1]资源-士兵训练时间'!G91)*'[1]功能-付费相关'!AL92/节奏总纲!AA90</f>
        <v>761.01467867375959</v>
      </c>
      <c r="O90" s="11">
        <f>('[1]资源-士兵招募时间'!D92-'[1]资源-士兵招募时间'!D91)*'[1]功能-付费相关'!AH92/节奏总纲!W90</f>
        <v>2022.6225086551028</v>
      </c>
      <c r="P90" s="11">
        <f>('[1]资源-士兵招募时间'!E92-'[1]资源-士兵招募时间'!E91)*'[1]功能-付费相关'!AI92/节奏总纲!X90</f>
        <v>2164.1057259591694</v>
      </c>
      <c r="Q90" s="11">
        <f>('[1]资源-士兵招募时间'!F92-'[1]资源-士兵招募时间'!F91)*'[1]功能-付费相关'!AJ92/节奏总纲!Y90</f>
        <v>2295.1498740576158</v>
      </c>
      <c r="R90" s="11">
        <f>('[1]资源-士兵招募时间'!G92-'[1]资源-士兵招募时间'!G91)*'[1]功能-付费相关'!AK92/节奏总纲!Z90</f>
        <v>2623.0677223814278</v>
      </c>
      <c r="S90" s="11">
        <f>('[1]资源-士兵招募时间'!H92-'[1]资源-士兵招募时间'!H91)*'[1]功能-付费相关'!AL92/节奏总纲!AA90</f>
        <v>2789.9633936557357</v>
      </c>
      <c r="U90" s="31">
        <f>('[1]资源-木石铜粮'!C92-'[1]资源-木石铜粮'!C91)*'[1]功能-付费相关'!S92/节奏总纲!W90</f>
        <v>1902.8342661900051</v>
      </c>
      <c r="V90" s="31">
        <f>('[1]资源-木石铜粮'!D92-'[1]资源-木石铜粮'!D91)*'[1]功能-付费相关'!T92/节奏总纲!X90</f>
        <v>2014.9684300283416</v>
      </c>
      <c r="W90" s="31">
        <f>('[1]资源-木石铜粮'!E92-'[1]资源-木石铜粮'!E91)*'[1]功能-付费相关'!U92/节奏总纲!Y90</f>
        <v>2171.082526451904</v>
      </c>
      <c r="X90" s="31">
        <f>('[1]资源-木石铜粮'!F92-'[1]资源-木石铜粮'!F91)*'[1]功能-付费相关'!V92/节奏总纲!Z90</f>
        <v>2388.3364639845558</v>
      </c>
      <c r="Y90" s="31">
        <f>('[1]资源-木石铜粮'!G92-'[1]资源-木石铜粮'!G91)*'[1]功能-付费相关'!W92/节奏总纲!AA90</f>
        <v>2770.8758178530102</v>
      </c>
      <c r="AA90" s="11">
        <f>('[1]资源-铁'!C92-'[1]资源-铁'!C91)*'[1]功能-付费相关'!X92/节奏总纲!W90</f>
        <v>878.70925962594299</v>
      </c>
      <c r="AB90" s="11">
        <f>('[1]资源-铁'!D92-'[1]资源-铁'!D91)*'[1]功能-付费相关'!Y92/节奏总纲!X90</f>
        <v>916.14605038694424</v>
      </c>
      <c r="AC90" s="11">
        <f>('[1]资源-铁'!E92-'[1]资源-铁'!E91)*'[1]功能-付费相关'!Z92/节奏总纲!Y90</f>
        <v>978.80913804767874</v>
      </c>
      <c r="AD90" s="11">
        <f>('[1]资源-铁'!F92-'[1]资源-铁'!F91)*'[1]功能-付费相关'!AA92/节奏总纲!Z90</f>
        <v>1173.9225701557648</v>
      </c>
      <c r="AE90" s="11">
        <f>('[1]资源-铁'!G92-'[1]资源-铁'!G91)*'[1]功能-付费相关'!AB92/节奏总纲!AA90</f>
        <v>1483.0802428403181</v>
      </c>
      <c r="AG90" s="11">
        <f>('[1]资源-银币'!C92-'[1]资源-银币'!C91)*'[1]功能-付费相关'!AQ92/节奏总纲!W90</f>
        <v>625.18255791399827</v>
      </c>
      <c r="AH90" s="11">
        <f>('[1]资源-银币'!D92-'[1]资源-银币'!D91)*'[1]功能-付费相关'!AR92/节奏总纲!X90</f>
        <v>661.37111808203269</v>
      </c>
      <c r="AI90" s="11">
        <f>('[1]资源-银币'!E92-'[1]资源-银币'!E91)*'[1]功能-付费相关'!AS92/节奏总纲!Y90</f>
        <v>719.76890259422203</v>
      </c>
      <c r="AJ90" s="11">
        <f>('[1]资源-银币'!F92-'[1]资源-银币'!F91)*'[1]功能-付费相关'!AT92/节奏总纲!Z90</f>
        <v>792.73776277381137</v>
      </c>
      <c r="AK90" s="11">
        <f>('[1]资源-银币'!G92-'[1]资源-银币'!G91)*'[1]功能-付费相关'!AU92/节奏总纲!AA90</f>
        <v>824.8307676178265</v>
      </c>
      <c r="AM90" s="11" t="e">
        <f>(#REF!-#REF!)*'[1]功能-付费相关'!CA92/节奏总纲!W90</f>
        <v>#REF!</v>
      </c>
      <c r="AN90" s="11" t="e">
        <f>(#REF!-#REF!)*'[1]功能-付费相关'!CB92/节奏总纲!X90</f>
        <v>#REF!</v>
      </c>
      <c r="AO90" s="11" t="e">
        <f>(#REF!-#REF!)*'[1]功能-付费相关'!CC92/节奏总纲!Y90</f>
        <v>#REF!</v>
      </c>
      <c r="AP90" s="11" t="e">
        <f>(#REF!-#REF!)*'[1]功能-付费相关'!CD92/节奏总纲!Z90</f>
        <v>#REF!</v>
      </c>
      <c r="AQ90" s="11" t="e">
        <f>(#REF!-#REF!)*'[1]功能-付费相关'!CE92/节奏总纲!AA90</f>
        <v>#REF!</v>
      </c>
      <c r="AS90" s="11">
        <f>('[1]资源-装备经验'!C92-'[1]资源-装备经验'!C91)*'[1]功能-付费相关'!BI92/节奏总纲!W90</f>
        <v>721.92213903272057</v>
      </c>
      <c r="AT90" s="11">
        <f>('[1]资源-装备经验'!D92-'[1]资源-装备经验'!D91)*'[1]功能-付费相关'!BJ92/节奏总纲!X90</f>
        <v>1041.4607056156631</v>
      </c>
      <c r="AU90" s="11">
        <f>('[1]资源-装备经验'!E92-'[1]资源-装备经验'!E91)*'[1]功能-付费相关'!BK92/节奏总纲!Y90</f>
        <v>1437.1142528182788</v>
      </c>
      <c r="AV90" s="11">
        <f>('[1]资源-装备经验'!F92-'[1]资源-装备经验'!F91)*'[1]功能-付费相关'!BL92/节奏总纲!Z90</f>
        <v>1801.8725119777205</v>
      </c>
      <c r="AW90" s="11">
        <f>('[1]资源-装备经验'!G92-'[1]资源-装备经验'!G91)*'[1]功能-付费相关'!BM92/节奏总纲!AA90</f>
        <v>2318.6938174096349</v>
      </c>
      <c r="AY90" s="11">
        <f>('[1]资源-武将经验'!C92*节奏总纲!BJ90-'[1]资源-武将经验'!C91*节奏总纲!BJ89)*'[1]功能-付费相关'!AZ92/节奏总纲!W90</f>
        <v>5033.3075587970525</v>
      </c>
      <c r="AZ90" s="11">
        <f>('[1]资源-武将经验'!D92*节奏总纲!BK90-'[1]资源-武将经验'!D91*节奏总纲!BK89)*'[1]功能-付费相关'!BA92/节奏总纲!X90</f>
        <v>6453.094664736439</v>
      </c>
      <c r="BA90" s="11">
        <f>('[1]资源-武将经验'!E92*节奏总纲!BL90-'[1]资源-武将经验'!E91*节奏总纲!BL89)*'[1]功能-付费相关'!BB92/节奏总纲!Y90</f>
        <v>8440.3428515775213</v>
      </c>
      <c r="BB90" s="11">
        <f>('[1]资源-武将经验'!F92*节奏总纲!BM90-'[1]资源-武将经验'!F91*节奏总纲!BM89)*'[1]功能-付费相关'!BC92/节奏总纲!Z90</f>
        <v>19600.467444969068</v>
      </c>
      <c r="BC90" s="11">
        <f>('[1]资源-武将经验'!G92*节奏总纲!BN90-'[1]资源-武将经验'!G91*节奏总纲!BN89)*'[1]功能-付费相关'!BD92/节奏总纲!AA90</f>
        <v>26791.756087281079</v>
      </c>
      <c r="BD90" s="33"/>
      <c r="BE90" s="30" t="e">
        <f t="shared" si="13"/>
        <v>#REF!</v>
      </c>
      <c r="BF90" s="30" t="e">
        <f t="shared" si="9"/>
        <v>#REF!</v>
      </c>
      <c r="BG90" s="30" t="e">
        <f t="shared" si="10"/>
        <v>#REF!</v>
      </c>
      <c r="BH90" s="30" t="e">
        <f t="shared" si="11"/>
        <v>#REF!</v>
      </c>
      <c r="BI90" s="30" t="e">
        <f t="shared" si="12"/>
        <v>#REF!</v>
      </c>
    </row>
    <row r="91" spans="2:61" x14ac:dyDescent="0.15">
      <c r="B91" s="31">
        <v>88</v>
      </c>
      <c r="C91" s="11">
        <f>('[1]资源-玩家城池建筑时间'!D93-'[1]资源-玩家城池建筑时间'!D92)*'[1]功能-付费相关'!AH93/节奏总纲!W91</f>
        <v>1906.827607170623</v>
      </c>
      <c r="D91" s="11">
        <f>('[1]资源-玩家城池建筑时间'!E93-'[1]资源-玩家城池建筑时间'!E92)*'[1]功能-付费相关'!AI93/节奏总纲!X91</f>
        <v>2253.4263564368121</v>
      </c>
      <c r="E91" s="11">
        <f>('[1]资源-玩家城池建筑时间'!F93-'[1]资源-玩家城池建筑时间'!F92)*'[1]功能-付费相关'!AJ93/节奏总纲!Y91</f>
        <v>2564.1696941153068</v>
      </c>
      <c r="F91" s="11">
        <f>('[1]资源-玩家城池建筑时间'!G93-'[1]资源-玩家城池建筑时间'!G92)*'[1]功能-付费相关'!AK93/节奏总纲!Z91</f>
        <v>3098.0983962114315</v>
      </c>
      <c r="G91" s="11">
        <f>('[1]资源-玩家城池建筑时间'!H93-'[1]资源-玩家城池建筑时间'!H92)*'[1]功能-付费相关'!AL93/节奏总纲!AA91</f>
        <v>3091.9927039097447</v>
      </c>
      <c r="I91" s="31">
        <f>('[1]资源-士兵训练时间'!C93-'[1]资源-士兵训练时间'!C92)*'[1]功能-付费相关'!AH93/节奏总纲!W91</f>
        <v>746.46117772662274</v>
      </c>
      <c r="J91" s="31">
        <f>('[1]资源-士兵训练时间'!D93-'[1]资源-士兵训练时间'!D92)*'[1]功能-付费相关'!AI93/节奏总纲!X91</f>
        <v>761.37354131659947</v>
      </c>
      <c r="K91" s="31">
        <f>('[1]资源-士兵训练时间'!E93-'[1]资源-士兵训练时间'!E92)*'[1]功能-付费相关'!AJ93/节奏总纲!Y91</f>
        <v>767.20181442685646</v>
      </c>
      <c r="L91" s="31">
        <f>('[1]资源-士兵训练时间'!F93-'[1]资源-士兵训练时间'!F92)*'[1]功能-付费相关'!AK93/节奏总纲!Z91</f>
        <v>757.30350278929564</v>
      </c>
      <c r="M91" s="31">
        <f>('[1]资源-士兵训练时间'!G93-'[1]资源-士兵训练时间'!G92)*'[1]功能-付费相关'!AL93/节奏总纲!AA91</f>
        <v>762.16001644012408</v>
      </c>
      <c r="O91" s="11">
        <f>('[1]资源-士兵招募时间'!D93-'[1]资源-士兵招募时间'!D92)*'[1]功能-付费相关'!AH93/节奏总纲!W91</f>
        <v>2026.7087861869138</v>
      </c>
      <c r="P91" s="11">
        <f>('[1]资源-士兵招募时间'!E93-'[1]资源-士兵招募时间'!E92)*'[1]功能-付费相关'!AI93/节奏总纲!X91</f>
        <v>2195.0252417567726</v>
      </c>
      <c r="Q91" s="11">
        <f>('[1]资源-士兵招募时间'!F93-'[1]资源-士兵招募时间'!F92)*'[1]功能-付费相关'!AJ93/节奏总纲!Y91</f>
        <v>2304.7484870745457</v>
      </c>
      <c r="R91" s="11">
        <f>('[1]资源-士兵招募时间'!G93-'[1]资源-士兵招募时间'!G92)*'[1]功能-付费相关'!AK93/节奏总纲!Z91</f>
        <v>2624.1980421720968</v>
      </c>
      <c r="S91" s="11">
        <f>('[1]资源-士兵招募时间'!H93-'[1]资源-士兵招募时间'!H92)*'[1]功能-付费相关'!AL93/节奏总纲!AA91</f>
        <v>2793.9900407755458</v>
      </c>
      <c r="U91" s="31">
        <f>('[1]资源-木石铜粮'!C93-'[1]资源-木石铜粮'!C92)*'[1]功能-付费相关'!S93/节奏总纲!W91</f>
        <v>1913.5313029491354</v>
      </c>
      <c r="V91" s="31">
        <f>('[1]资源-木石铜粮'!D93-'[1]资源-木石铜粮'!D92)*'[1]功能-付费相关'!T93/节奏总纲!X91</f>
        <v>2034.764486942468</v>
      </c>
      <c r="W91" s="31">
        <f>('[1]资源-木石铜粮'!E93-'[1]资源-木石铜粮'!E92)*'[1]功能-付费相关'!U93/节奏总纲!Y91</f>
        <v>2192.5277046977844</v>
      </c>
      <c r="X91" s="31">
        <f>('[1]资源-木石铜粮'!F93-'[1]资源-木石铜粮'!F92)*'[1]功能-付费相关'!V93/节奏总纲!Z91</f>
        <v>2382.8422228746281</v>
      </c>
      <c r="Y91" s="31">
        <f>('[1]资源-木石铜粮'!G93-'[1]资源-木石铜粮'!G92)*'[1]功能-付费相关'!W93/节奏总纲!AA91</f>
        <v>2723.9172466792279</v>
      </c>
      <c r="AA91" s="11">
        <f>('[1]资源-铁'!C93-'[1]资源-铁'!C92)*'[1]功能-付费相关'!X93/节奏总纲!W91</f>
        <v>879.64668435970418</v>
      </c>
      <c r="AB91" s="11">
        <f>('[1]资源-铁'!D93-'[1]资源-铁'!D92)*'[1]功能-付费相关'!Y93/节奏总纲!X91</f>
        <v>924.47189067524505</v>
      </c>
      <c r="AC91" s="11">
        <f>('[1]资源-铁'!E93-'[1]资源-铁'!E92)*'[1]功能-付费相关'!Z93/节奏总纲!Y91</f>
        <v>992.38608579189111</v>
      </c>
      <c r="AD91" s="11">
        <f>('[1]资源-铁'!F93-'[1]资源-铁'!F92)*'[1]功能-付费相关'!AA93/节奏总纲!Z91</f>
        <v>1156.2751035373049</v>
      </c>
      <c r="AE91" s="11">
        <f>('[1]资源-铁'!G93-'[1]资源-铁'!G92)*'[1]功能-付费相关'!AB93/节奏总纲!AA91</f>
        <v>1414.3608729416064</v>
      </c>
      <c r="AG91" s="11">
        <f>('[1]资源-银币'!C93-'[1]资源-银币'!C92)*'[1]功能-付费相关'!AQ93/节奏总纲!W91</f>
        <v>624.05095731141012</v>
      </c>
      <c r="AH91" s="11">
        <f>('[1]资源-银币'!D93-'[1]资源-银币'!D92)*'[1]功能-付费相关'!AR93/节奏总纲!X91</f>
        <v>657.78573783673414</v>
      </c>
      <c r="AI91" s="11">
        <f>('[1]资源-银币'!E93-'[1]资源-银币'!E92)*'[1]功能-付费相关'!AS93/节奏总纲!Y91</f>
        <v>714.96891948202347</v>
      </c>
      <c r="AJ91" s="11">
        <f>('[1]资源-银币'!F93-'[1]资源-银币'!F92)*'[1]功能-付费相关'!AT93/节奏总纲!Z91</f>
        <v>791.92839372653248</v>
      </c>
      <c r="AK91" s="11">
        <f>('[1]资源-银币'!G93-'[1]资源-银币'!G92)*'[1]功能-付费相关'!AU93/节奏总纲!AA91</f>
        <v>823.92229600220503</v>
      </c>
      <c r="AM91" s="11" t="e">
        <f>(#REF!-#REF!)*'[1]功能-付费相关'!CA93/节奏总纲!W91</f>
        <v>#REF!</v>
      </c>
      <c r="AN91" s="11" t="e">
        <f>(#REF!-#REF!)*'[1]功能-付费相关'!CB93/节奏总纲!X91</f>
        <v>#REF!</v>
      </c>
      <c r="AO91" s="11" t="e">
        <f>(#REF!-#REF!)*'[1]功能-付费相关'!CC93/节奏总纲!Y91</f>
        <v>#REF!</v>
      </c>
      <c r="AP91" s="11" t="e">
        <f>(#REF!-#REF!)*'[1]功能-付费相关'!CD93/节奏总纲!Z91</f>
        <v>#REF!</v>
      </c>
      <c r="AQ91" s="11" t="e">
        <f>(#REF!-#REF!)*'[1]功能-付费相关'!CE93/节奏总纲!AA91</f>
        <v>#REF!</v>
      </c>
      <c r="AS91" s="11">
        <f>('[1]资源-装备经验'!C93-'[1]资源-装备经验'!C92)*'[1]功能-付费相关'!BI93/节奏总纲!W91</f>
        <v>715.63764527381795</v>
      </c>
      <c r="AT91" s="11">
        <f>('[1]资源-装备经验'!D93-'[1]资源-装备经验'!D92)*'[1]功能-付费相关'!BJ93/节奏总纲!X91</f>
        <v>1035.3655244696631</v>
      </c>
      <c r="AU91" s="11">
        <f>('[1]资源-装备经验'!E93-'[1]资源-装备经验'!E92)*'[1]功能-付费相关'!BK93/节奏总纲!Y91</f>
        <v>1435.5644033828357</v>
      </c>
      <c r="AV91" s="11">
        <f>('[1]资源-装备经验'!F93-'[1]资源-装备经验'!F92)*'[1]功能-付费相关'!BL93/节奏总纲!Z91</f>
        <v>1773.1791406512546</v>
      </c>
      <c r="AW91" s="11">
        <f>('[1]资源-装备经验'!G93-'[1]资源-装备经验'!G92)*'[1]功能-付费相关'!BM93/节奏总纲!AA91</f>
        <v>2199.124417933283</v>
      </c>
      <c r="AY91" s="11">
        <f>('[1]资源-武将经验'!C93*节奏总纲!BJ91-'[1]资源-武将经验'!C92*节奏总纲!BJ90)*'[1]功能-付费相关'!AZ93/节奏总纲!W91</f>
        <v>4981.5443617502078</v>
      </c>
      <c r="AZ91" s="11">
        <f>('[1]资源-武将经验'!D93*节奏总纲!BK91-'[1]资源-武将经验'!D92*节奏总纲!BK90)*'[1]功能-付费相关'!BA93/节奏总纲!X91</f>
        <v>6426.6719269007672</v>
      </c>
      <c r="BA91" s="11">
        <f>('[1]资源-武将经验'!E93*节奏总纲!BL91-'[1]资源-武将经验'!E92*节奏总纲!BL90)*'[1]功能-付费相关'!BB93/节奏总纲!Y91</f>
        <v>8486.5895268748027</v>
      </c>
      <c r="BB91" s="11">
        <f>('[1]资源-武将经验'!F93*节奏总纲!BM91-'[1]资源-武将经验'!F92*节奏总纲!BM90)*'[1]功能-付费相关'!BC93/节奏总纲!Z91</f>
        <v>19260.910843182606</v>
      </c>
      <c r="BC91" s="11">
        <f>('[1]资源-武将经验'!G93*节奏总纲!BN91-'[1]资源-武将经验'!G92*节奏总纲!BN90)*'[1]功能-付费相关'!BD93/节奏总纲!AA91</f>
        <v>25805.197618885821</v>
      </c>
      <c r="BD91" s="33"/>
      <c r="BE91" s="30" t="e">
        <f t="shared" si="13"/>
        <v>#REF!</v>
      </c>
      <c r="BF91" s="30" t="e">
        <f t="shared" si="9"/>
        <v>#REF!</v>
      </c>
      <c r="BG91" s="30" t="e">
        <f t="shared" si="10"/>
        <v>#REF!</v>
      </c>
      <c r="BH91" s="30" t="e">
        <f t="shared" si="11"/>
        <v>#REF!</v>
      </c>
      <c r="BI91" s="30" t="e">
        <f t="shared" si="12"/>
        <v>#REF!</v>
      </c>
    </row>
    <row r="92" spans="2:61" x14ac:dyDescent="0.15">
      <c r="B92" s="31">
        <v>89</v>
      </c>
      <c r="C92" s="11">
        <f>('[1]资源-玩家城池建筑时间'!D94-'[1]资源-玩家城池建筑时间'!D93)*'[1]功能-付费相关'!AH94/节奏总纲!W92</f>
        <v>1908.9946377788074</v>
      </c>
      <c r="D92" s="11">
        <f>('[1]资源-玩家城池建筑时间'!E94-'[1]资源-玩家城池建筑时间'!E93)*'[1]功能-付费相关'!AI94/节奏总纲!X92</f>
        <v>2249.7009918540302</v>
      </c>
      <c r="E92" s="11">
        <f>('[1]资源-玩家城池建筑时间'!F94-'[1]资源-玩家城池建筑时间'!F93)*'[1]功能-付费相关'!AJ94/节奏总纲!Y92</f>
        <v>2677.6067653483019</v>
      </c>
      <c r="F92" s="11">
        <f>('[1]资源-玩家城池建筑时间'!G94-'[1]资源-玩家城池建筑时间'!G93)*'[1]功能-付费相关'!AK94/节奏总纲!Z92</f>
        <v>3101.7445227651715</v>
      </c>
      <c r="G92" s="11">
        <f>('[1]资源-玩家城池建筑时间'!H94-'[1]资源-玩家城池建筑时间'!H93)*'[1]功能-付费相关'!AL94/节奏总纲!AA92</f>
        <v>3081.1417783088391</v>
      </c>
      <c r="I92" s="31">
        <f>('[1]资源-士兵训练时间'!C94-'[1]资源-士兵训练时间'!C93)*'[1]功能-付费相关'!AH94/节奏总纲!W92</f>
        <v>746.93775652122497</v>
      </c>
      <c r="J92" s="31">
        <f>('[1]资源-士兵训练时间'!D94-'[1]资源-士兵训练时间'!D93)*'[1]功能-付费相关'!AI94/节奏总纲!X92</f>
        <v>760.27457088423466</v>
      </c>
      <c r="K92" s="31">
        <f>('[1]资源-士兵训练时间'!E94-'[1]资源-士兵训练时间'!E93)*'[1]功能-付费相关'!AJ94/节奏总纲!Y92</f>
        <v>795.47259072287147</v>
      </c>
      <c r="L92" s="31">
        <f>('[1]资源-士兵训练时间'!F94-'[1]资源-士兵训练时间'!F93)*'[1]功能-付费相关'!AK94/节奏总纲!Z92</f>
        <v>758.16343765667284</v>
      </c>
      <c r="M92" s="31">
        <f>('[1]资源-士兵训练时间'!G94-'[1]资源-士兵训练时间'!G93)*'[1]功能-付费相关'!AL94/节奏总纲!AA92</f>
        <v>256.6016941480384</v>
      </c>
      <c r="O92" s="11">
        <f>('[1]资源-士兵招募时间'!D94-'[1]资源-士兵招募时间'!D93)*'[1]功能-付费相关'!AH94/节奏总纲!W92</f>
        <v>2033.1395463056904</v>
      </c>
      <c r="P92" s="11">
        <f>('[1]资源-士兵招募时间'!E94-'[1]资源-士兵招募时间'!E93)*'[1]功能-付费相关'!AI94/节奏总纲!X92</f>
        <v>2220.0100453949481</v>
      </c>
      <c r="Q92" s="11">
        <f>('[1]资源-士兵招募时间'!F94-'[1]资源-士兵招募时间'!F93)*'[1]功能-付费相关'!AJ94/节奏总纲!Y92</f>
        <v>2337.0181670243483</v>
      </c>
      <c r="R92" s="11">
        <f>('[1]资源-士兵招募时间'!G94-'[1]资源-士兵招募时间'!G93)*'[1]功能-付费相关'!AK94/节奏总纲!Z92</f>
        <v>2627.656204724668</v>
      </c>
      <c r="S92" s="11">
        <f>('[1]资源-士兵招募时间'!H94-'[1]资源-士兵招募时间'!H93)*'[1]功能-付费相关'!AL94/节奏总纲!AA92</f>
        <v>2843.5728662999886</v>
      </c>
      <c r="U92" s="31">
        <f>('[1]资源-木石铜粮'!C94-'[1]资源-木石铜粮'!C93)*'[1]功能-付费相关'!S94/节奏总纲!W92</f>
        <v>1935.5641839853215</v>
      </c>
      <c r="V92" s="31">
        <f>('[1]资源-木石铜粮'!D94-'[1]资源-木石铜粮'!D93)*'[1]功能-付费相关'!T94/节奏总纲!X92</f>
        <v>2041.347547728712</v>
      </c>
      <c r="W92" s="31">
        <f>('[1]资源-木石铜粮'!E94-'[1]资源-木石铜粮'!E93)*'[1]功能-付费相关'!U94/节奏总纲!Y92</f>
        <v>2235.1653663784236</v>
      </c>
      <c r="X92" s="31">
        <f>('[1]资源-木石铜粮'!F94-'[1]资源-木石铜粮'!F93)*'[1]功能-付费相关'!V94/节奏总纲!Z92</f>
        <v>2354.0868329705813</v>
      </c>
      <c r="Y92" s="31">
        <f>('[1]资源-木石铜粮'!G94-'[1]资源-木石铜粮'!G93)*'[1]功能-付费相关'!W94/节奏总纲!AA92</f>
        <v>1853.1111614948093</v>
      </c>
      <c r="AA92" s="11">
        <f>('[1]资源-铁'!C94-'[1]资源-铁'!C93)*'[1]功能-付费相关'!X94/节奏总纲!W92</f>
        <v>889.75398499884943</v>
      </c>
      <c r="AB92" s="11">
        <f>('[1]资源-铁'!D94-'[1]资源-铁'!D93)*'[1]功能-付费相关'!Y94/节奏总纲!X92</f>
        <v>920.20246037959703</v>
      </c>
      <c r="AC92" s="11">
        <f>('[1]资源-铁'!E94-'[1]资源-铁'!E93)*'[1]功能-付费相关'!Z94/节奏总纲!Y92</f>
        <v>1031.0235517125391</v>
      </c>
      <c r="AD92" s="11">
        <f>('[1]资源-铁'!F94-'[1]资源-铁'!F93)*'[1]功能-付费相关'!AA94/节奏总纲!Z92</f>
        <v>1110.5403954757446</v>
      </c>
      <c r="AE92" s="11">
        <f>('[1]资源-铁'!G94-'[1]资源-铁'!G93)*'[1]功能-付费相关'!AB94/节奏总纲!AA92</f>
        <v>540.04603390231921</v>
      </c>
      <c r="AG92" s="11">
        <f>('[1]资源-银币'!C94-'[1]资源-银币'!C93)*'[1]功能-付费相关'!AQ94/节奏总纲!W92</f>
        <v>619.24842684643124</v>
      </c>
      <c r="AH92" s="11">
        <f>('[1]资源-银币'!D94-'[1]资源-银币'!D93)*'[1]功能-付费相关'!AR94/节奏总纲!X92</f>
        <v>658.55612842655478</v>
      </c>
      <c r="AI92" s="11">
        <f>('[1]资源-银币'!E94-'[1]资源-银币'!E93)*'[1]功能-付费相关'!AS94/节奏总纲!Y92</f>
        <v>710.241272320505</v>
      </c>
      <c r="AJ92" s="11">
        <f>('[1]资源-银币'!F94-'[1]资源-银币'!F93)*'[1]功能-付费相关'!AT94/节奏总纲!Z92</f>
        <v>790.74597327623212</v>
      </c>
      <c r="AK92" s="11">
        <f>('[1]资源-银币'!G94-'[1]资源-银币'!G93)*'[1]功能-付费相关'!AU94/节奏总纲!AA92</f>
        <v>4773.0700987813743</v>
      </c>
      <c r="AM92" s="11" t="e">
        <f>(#REF!-#REF!)*'[1]功能-付费相关'!CA94/节奏总纲!W92</f>
        <v>#REF!</v>
      </c>
      <c r="AN92" s="11" t="e">
        <f>(#REF!-#REF!)*'[1]功能-付费相关'!CB94/节奏总纲!X92</f>
        <v>#REF!</v>
      </c>
      <c r="AO92" s="11" t="e">
        <f>(#REF!-#REF!)*'[1]功能-付费相关'!CC94/节奏总纲!Y92</f>
        <v>#REF!</v>
      </c>
      <c r="AP92" s="11" t="e">
        <f>(#REF!-#REF!)*'[1]功能-付费相关'!CD94/节奏总纲!Z92</f>
        <v>#REF!</v>
      </c>
      <c r="AQ92" s="11" t="e">
        <f>(#REF!-#REF!)*'[1]功能-付费相关'!CE94/节奏总纲!AA92</f>
        <v>#REF!</v>
      </c>
      <c r="AS92" s="11">
        <f>('[1]资源-装备经验'!C94-'[1]资源-装备经验'!C93)*'[1]功能-付费相关'!BI94/节奏总纲!W92</f>
        <v>710.02401401899419</v>
      </c>
      <c r="AT92" s="11">
        <f>('[1]资源-装备经验'!D94-'[1]资源-装备经验'!D93)*'[1]功能-付费相关'!BJ94/节奏总纲!X92</f>
        <v>1024.7425137302218</v>
      </c>
      <c r="AU92" s="11">
        <f>('[1]资源-装备经验'!E94-'[1]资源-装备经验'!E93)*'[1]功能-付费相关'!BK94/节奏总纲!Y92</f>
        <v>1448.639574521538</v>
      </c>
      <c r="AV92" s="11">
        <f>('[1]资源-装备经验'!F94-'[1]资源-装备经验'!F93)*'[1]功能-付费相关'!BL94/节奏总纲!Z92</f>
        <v>1725.7631329909418</v>
      </c>
      <c r="AW92" s="11">
        <f>('[1]资源-装备经验'!G94-'[1]资源-装备经验'!G93)*'[1]功能-付费相关'!BM94/节奏总纲!AA92</f>
        <v>1754.0974895643208</v>
      </c>
      <c r="AY92" s="11">
        <f>('[1]资源-武将经验'!C94*节奏总纲!BJ92-'[1]资源-武将经验'!C93*节奏总纲!BJ91)*'[1]功能-付费相关'!AZ94/节奏总纲!W92</f>
        <v>4931.1340077473224</v>
      </c>
      <c r="AZ92" s="11">
        <f>('[1]资源-武将经验'!D94*节奏总纲!BK92-'[1]资源-武将经验'!D93*节奏总纲!BK91)*'[1]功能-付费相关'!BA94/节奏总纲!X92</f>
        <v>6350.7762327265027</v>
      </c>
      <c r="BA92" s="11">
        <f>('[1]资源-武将经验'!E94*节奏总纲!BL92-'[1]资源-武将经验'!E93*节奏总纲!BL91)*'[1]功能-付费相关'!BB94/节奏总纲!Y92</f>
        <v>8696.6935787583061</v>
      </c>
      <c r="BB92" s="11">
        <f>('[1]资源-武将经验'!F94*节奏总纲!BM92-'[1]资源-武将经验'!F93*节奏总纲!BM91)*'[1]功能-付费相关'!BC94/节奏总纲!Z92</f>
        <v>18560.010163251452</v>
      </c>
      <c r="BC92" s="11">
        <f>('[1]资源-武将经验'!G94*节奏总纲!BN92-'[1]资源-武将经验'!G93*节奏总纲!BN91)*'[1]功能-付费相关'!BD94/节奏总纲!AA92</f>
        <v>21377.96929425696</v>
      </c>
      <c r="BD92" s="33"/>
      <c r="BE92" s="30" t="e">
        <f t="shared" si="13"/>
        <v>#REF!</v>
      </c>
      <c r="BF92" s="30" t="e">
        <f t="shared" si="9"/>
        <v>#REF!</v>
      </c>
      <c r="BG92" s="30" t="e">
        <f t="shared" si="10"/>
        <v>#REF!</v>
      </c>
      <c r="BH92" s="30" t="e">
        <f t="shared" si="11"/>
        <v>#REF!</v>
      </c>
      <c r="BI92" s="30" t="e">
        <f t="shared" si="12"/>
        <v>#REF!</v>
      </c>
    </row>
    <row r="93" spans="2:61" x14ac:dyDescent="0.15">
      <c r="B93" s="31">
        <v>90</v>
      </c>
      <c r="C93" s="11">
        <f>('[1]资源-玩家城池建筑时间'!D95-'[1]资源-玩家城池建筑时间'!D94)*'[1]功能-付费相关'!AH95/节奏总纲!W93</f>
        <v>1911.4002050271076</v>
      </c>
      <c r="D93" s="11">
        <f>('[1]资源-玩家城池建筑时间'!E95-'[1]资源-玩家城池建筑时间'!E94)*'[1]功能-付费相关'!AI95/节奏总纲!X93</f>
        <v>2305.0240164363563</v>
      </c>
      <c r="E93" s="11">
        <f>('[1]资源-玩家城池建筑时间'!F95-'[1]资源-玩家城池建筑时间'!F94)*'[1]功能-付费相关'!AJ95/节奏总纲!Y93</f>
        <v>2752.9742831685467</v>
      </c>
      <c r="F93" s="11">
        <f>('[1]资源-玩家城池建筑时间'!G95-'[1]资源-玩家城池建筑时间'!G94)*'[1]功能-付费相关'!AK95/节奏总纲!Z93</f>
        <v>3101.7746261449402</v>
      </c>
      <c r="G93" s="11">
        <f>('[1]资源-玩家城池建筑时间'!H95-'[1]资源-玩家城池建筑时间'!H94)*'[1]功能-付费相关'!AL95/节奏总纲!AA93</f>
        <v>3084.9292716412533</v>
      </c>
      <c r="I93" s="31">
        <f>('[1]资源-士兵训练时间'!C95-'[1]资源-士兵训练时间'!C94)*'[1]功能-付费相关'!AH95/节奏总纲!W93</f>
        <v>747.29696124842144</v>
      </c>
      <c r="J93" s="31">
        <f>('[1]资源-士兵训练时间'!D95-'[1]资源-士兵训练时间'!D94)*'[1]功能-付费相关'!AI95/节奏总纲!X93</f>
        <v>773.98478957158318</v>
      </c>
      <c r="K93" s="31">
        <f>('[1]资源-士兵训练时间'!E95-'[1]资源-士兵训练时间'!E94)*'[1]功能-付费相关'!AJ95/节奏总纲!Y93</f>
        <v>814.21517980116255</v>
      </c>
      <c r="L93" s="31">
        <f>('[1]资源-士兵训练时间'!F95-'[1]资源-士兵训练时间'!F94)*'[1]功能-付费相关'!AK95/节奏总纲!Z93</f>
        <v>409.05958616321169</v>
      </c>
      <c r="M93" s="31">
        <f>('[1]资源-士兵训练时间'!G95-'[1]资源-士兵训练时间'!G94)*'[1]功能-付费相关'!AL95/节奏总纲!AA93</f>
        <v>208.26677624774501</v>
      </c>
      <c r="O93" s="11">
        <f>('[1]资源-士兵招募时间'!D95-'[1]资源-士兵招募时间'!D94)*'[1]功能-付费相关'!AH95/节奏总纲!W93</f>
        <v>2040.431596338153</v>
      </c>
      <c r="P93" s="11">
        <f>('[1]资源-士兵招募时间'!E95-'[1]资源-士兵招募时间'!E94)*'[1]功能-付费相关'!AI95/节奏总纲!X93</f>
        <v>2235.4474803754974</v>
      </c>
      <c r="Q93" s="11">
        <f>('[1]资源-士兵招募时间'!F95-'[1]资源-士兵招募时间'!F94)*'[1]功能-付费相关'!AJ95/节奏总纲!Y93</f>
        <v>2379.277921946536</v>
      </c>
      <c r="R93" s="11">
        <f>('[1]资源-士兵招募时间'!G95-'[1]资源-士兵招募时间'!G94)*'[1]功能-付费相关'!AK95/节奏总纲!Z93</f>
        <v>2655.7122692860953</v>
      </c>
      <c r="S93" s="11">
        <f>('[1]资源-士兵招募时间'!H95-'[1]资源-士兵招募时间'!H94)*'[1]功能-付费相关'!AL95/节奏总纲!AA93</f>
        <v>2986.3606281605585</v>
      </c>
      <c r="U93" s="31">
        <f>('[1]资源-木石铜粮'!C95-'[1]资源-木石铜粮'!C94)*'[1]功能-付费相关'!S95/节奏总纲!W93</f>
        <v>1943.4997640436491</v>
      </c>
      <c r="V93" s="31">
        <f>('[1]资源-木石铜粮'!D95-'[1]资源-木石铜粮'!D94)*'[1]功能-付费相关'!T95/节奏总纲!X93</f>
        <v>2092.8727196502446</v>
      </c>
      <c r="W93" s="31">
        <f>('[1]资源-木石铜粮'!E95-'[1]资源-木石铜粮'!E94)*'[1]功能-付费相关'!U95/节奏总纲!Y93</f>
        <v>2229.4665631257176</v>
      </c>
      <c r="X93" s="31">
        <f>('[1]资源-木石铜粮'!F95-'[1]资源-木石铜粮'!F94)*'[1]功能-付费相关'!V95/节奏总纲!Z93</f>
        <v>1863.980620383631</v>
      </c>
      <c r="Y93" s="31">
        <f>('[1]资源-木石铜粮'!G95-'[1]资源-木石铜粮'!G94)*'[1]功能-付费相关'!W95/节奏总纲!AA93</f>
        <v>1781.182927945983</v>
      </c>
      <c r="AA93" s="11">
        <f>('[1]资源-铁'!C95-'[1]资源-铁'!C94)*'[1]功能-付费相关'!X95/节奏总纲!W93</f>
        <v>889.51538417950917</v>
      </c>
      <c r="AB93" s="11">
        <f>('[1]资源-铁'!D95-'[1]资源-铁'!D94)*'[1]功能-付费相关'!Y95/节奏总纲!X93</f>
        <v>969.29179979418041</v>
      </c>
      <c r="AC93" s="11">
        <f>('[1]资源-铁'!E95-'[1]资源-铁'!E94)*'[1]功能-付费相关'!Z95/节奏总纲!Y93</f>
        <v>1011.9581092254936</v>
      </c>
      <c r="AD93" s="11">
        <f>('[1]资源-铁'!F95-'[1]资源-铁'!F94)*'[1]功能-付费相关'!AA95/节奏总纲!Z93</f>
        <v>642.53106119512074</v>
      </c>
      <c r="AE93" s="11">
        <f>('[1]资源-铁'!G95-'[1]资源-铁'!G94)*'[1]功能-付费相关'!AB95/节奏总纲!AA93</f>
        <v>456.18421172770314</v>
      </c>
      <c r="AG93" s="11">
        <f>('[1]资源-银币'!C95-'[1]资源-银币'!C94)*'[1]功能-付费相关'!AQ95/节奏总纲!W93</f>
        <v>617.98730033153936</v>
      </c>
      <c r="AH93" s="11">
        <f>('[1]资源-银币'!D95-'[1]资源-银币'!D94)*'[1]功能-付费相关'!AR95/节奏总纲!X93</f>
        <v>656.22900141119135</v>
      </c>
      <c r="AI93" s="11">
        <f>('[1]资源-银币'!E95-'[1]资源-银币'!E94)*'[1]功能-付费相关'!AS95/节奏总纲!Y93</f>
        <v>711.13903086757318</v>
      </c>
      <c r="AJ93" s="11">
        <f>('[1]资源-银币'!F95-'[1]资源-银币'!F94)*'[1]功能-付费相关'!AT95/节奏总纲!Z93</f>
        <v>1431.2634363194477</v>
      </c>
      <c r="AK93" s="11">
        <f>('[1]资源-银币'!G95-'[1]资源-银币'!G94)*'[1]功能-付费相关'!AU95/节奏总纲!AA93</f>
        <v>4382.917018994629</v>
      </c>
      <c r="AM93" s="11" t="e">
        <f>(#REF!-#REF!)*'[1]功能-付费相关'!CA95/节奏总纲!W93</f>
        <v>#REF!</v>
      </c>
      <c r="AN93" s="11" t="e">
        <f>(#REF!-#REF!)*'[1]功能-付费相关'!CB95/节奏总纲!X93</f>
        <v>#REF!</v>
      </c>
      <c r="AO93" s="11" t="e">
        <f>(#REF!-#REF!)*'[1]功能-付费相关'!CC95/节奏总纲!Y93</f>
        <v>#REF!</v>
      </c>
      <c r="AP93" s="11" t="e">
        <f>(#REF!-#REF!)*'[1]功能-付费相关'!CD95/节奏总纲!Z93</f>
        <v>#REF!</v>
      </c>
      <c r="AQ93" s="11" t="e">
        <f>(#REF!-#REF!)*'[1]功能-付费相关'!CE95/节奏总纲!AA93</f>
        <v>#REF!</v>
      </c>
      <c r="AS93" s="11">
        <f>('[1]资源-装备经验'!C95-'[1]资源-装备经验'!C94)*'[1]功能-付费相关'!BI95/节奏总纲!W93</f>
        <v>705.00790415356926</v>
      </c>
      <c r="AT93" s="11">
        <f>('[1]资源-装备经验'!D95-'[1]资源-装备经验'!D94)*'[1]功能-付费相关'!BJ95/节奏总纲!X93</f>
        <v>1043.2899761011859</v>
      </c>
      <c r="AU93" s="11">
        <f>('[1]资源-装备经验'!E95-'[1]资源-装备经验'!E94)*'[1]功能-付费相关'!BK95/节奏总纲!Y93</f>
        <v>1426.0806400491329</v>
      </c>
      <c r="AV93" s="11">
        <f>('[1]资源-装备经验'!F95-'[1]资源-装备经验'!F94)*'[1]功能-付费相关'!BL95/节奏总纲!Z93</f>
        <v>1632.930431135436</v>
      </c>
      <c r="AW93" s="11">
        <f>('[1]资源-装备经验'!G95-'[1]资源-装备经验'!G94)*'[1]功能-付费相关'!BM95/节奏总纲!AA93</f>
        <v>1712.3142123942987</v>
      </c>
      <c r="AY93" s="11">
        <f>('[1]资源-武将经验'!C95*节奏总纲!BJ93-'[1]资源-武将经验'!C94*节奏总纲!BJ92)*'[1]功能-付费相关'!AZ95/节奏总纲!W93</f>
        <v>4882.9043966989093</v>
      </c>
      <c r="AZ93" s="11">
        <f>('[1]资源-武将经验'!D95*节奏总纲!BK93-'[1]资源-武将经验'!D94*节奏总纲!BK92)*'[1]功能-付费相关'!BA95/节奏总纲!X93</f>
        <v>6593.0136687544955</v>
      </c>
      <c r="BA93" s="11">
        <f>('[1]资源-武将经验'!E95*节奏总纲!BL93-'[1]资源-武将经验'!E94*节奏总纲!BL92)*'[1]功能-付费相关'!BB95/节奏总纲!Y93</f>
        <v>8545.0782621863254</v>
      </c>
      <c r="BB93" s="11">
        <f>('[1]资源-武将经验'!F95*节奏总纲!BM93-'[1]资源-武将经验'!F94*节奏总纲!BM92)*'[1]功能-付费相关'!BC95/节奏总纲!Z93</f>
        <v>16943.674799584129</v>
      </c>
      <c r="BC93" s="11">
        <f>('[1]资源-武将经验'!G95*节奏总纲!BN93-'[1]资源-武将经验'!G94*节奏总纲!BN92)*'[1]功能-付费相关'!BD95/节奏总纲!AA93</f>
        <v>20970.724297049954</v>
      </c>
      <c r="BD93" s="33"/>
      <c r="BE93" s="30" t="e">
        <f t="shared" si="13"/>
        <v>#REF!</v>
      </c>
      <c r="BF93" s="30" t="e">
        <f t="shared" si="9"/>
        <v>#REF!</v>
      </c>
      <c r="BG93" s="30" t="e">
        <f t="shared" si="10"/>
        <v>#REF!</v>
      </c>
      <c r="BH93" s="30" t="e">
        <f t="shared" si="11"/>
        <v>#REF!</v>
      </c>
      <c r="BI93" s="30" t="e">
        <f t="shared" si="12"/>
        <v>#REF!</v>
      </c>
    </row>
    <row r="94" spans="2:61" x14ac:dyDescent="0.15">
      <c r="B94" s="31">
        <v>91</v>
      </c>
      <c r="C94" s="11">
        <f>('[1]资源-玩家城池建筑时间'!D96-'[1]资源-玩家城池建筑时间'!D95)*'[1]功能-付费相关'!AH96/节奏总纲!W94</f>
        <v>1915.2826552440754</v>
      </c>
      <c r="D94" s="11">
        <f>('[1]资源-玩家城池建筑时间'!E96-'[1]资源-玩家城池建筑时间'!E95)*'[1]功能-付费相关'!AI96/节奏总纲!X94</f>
        <v>2237.8613721358465</v>
      </c>
      <c r="E94" s="11">
        <f>('[1]资源-玩家城池建筑时间'!F96-'[1]资源-玩家城池建筑时间'!F95)*'[1]功能-付费相关'!AJ96/节奏总纲!Y94</f>
        <v>2544.6993708656514</v>
      </c>
      <c r="F94" s="11">
        <f>('[1]资源-玩家城池建筑时间'!G96-'[1]资源-玩家城池建筑时间'!G95)*'[1]功能-付费相关'!AK96/节奏总纲!Z94</f>
        <v>3104.6268158516918</v>
      </c>
      <c r="G94" s="11">
        <f>('[1]资源-玩家城池建筑时间'!H96-'[1]资源-玩家城池建筑时间'!H95)*'[1]功能-付费相关'!AL96/节奏总纲!AA94</f>
        <v>3090.2451597927147</v>
      </c>
      <c r="I94" s="31">
        <f>('[1]资源-士兵训练时间'!C96-'[1]资源-士兵训练时间'!C95)*'[1]功能-付费相关'!AH96/节奏总纲!W94</f>
        <v>748.02583247965902</v>
      </c>
      <c r="J94" s="31">
        <f>('[1]资源-士兵训练时间'!D96-'[1]资源-士兵训练时间'!D95)*'[1]功能-付费相关'!AI96/节奏总纲!X94</f>
        <v>756.98207008422742</v>
      </c>
      <c r="K94" s="31">
        <f>('[1]资源-士兵训练时间'!E96-'[1]资源-士兵训练时间'!E95)*'[1]功能-付费相关'!AJ96/节奏总纲!Y94</f>
        <v>326.00630660710789</v>
      </c>
      <c r="L94" s="31">
        <f>('[1]资源-士兵训练时间'!F96-'[1]资源-士兵训练时间'!F95)*'[1]功能-付费相关'!AK96/节奏总纲!Z94</f>
        <v>205.14342626770491</v>
      </c>
      <c r="M94" s="31">
        <f>('[1]资源-士兵训练时间'!G96-'[1]资源-士兵训练时间'!G95)*'[1]功能-付费相关'!AL96/节奏总纲!AA94</f>
        <v>209.59141445122205</v>
      </c>
      <c r="O94" s="11">
        <f>('[1]资源-士兵招募时间'!D96-'[1]资源-士兵招募时间'!D95)*'[1]功能-付费相关'!AH96/节奏总纲!W94</f>
        <v>2048.3805534032404</v>
      </c>
      <c r="P94" s="11">
        <f>('[1]资源-士兵招募时间'!E96-'[1]资源-士兵招募时间'!E95)*'[1]功能-付费相关'!AI96/节奏总纲!X94</f>
        <v>2224.6681028635612</v>
      </c>
      <c r="Q94" s="11">
        <f>('[1]资源-士兵招募时间'!F96-'[1]资源-士兵招募时间'!F95)*'[1]功能-付费相关'!AJ96/节奏总纲!Y94</f>
        <v>2406.16334656036</v>
      </c>
      <c r="R94" s="11">
        <f>('[1]资源-士兵招募时间'!G96-'[1]资源-士兵招募时间'!G95)*'[1]功能-付费相关'!AK96/节奏总纲!Z94</f>
        <v>2777.1027136694056</v>
      </c>
      <c r="S94" s="11">
        <f>('[1]资源-士兵招募时间'!H96-'[1]资源-士兵招募时间'!H95)*'[1]功能-付费相关'!AL96/节奏总纲!AA94</f>
        <v>3108.0380740615351</v>
      </c>
      <c r="U94" s="31">
        <f>('[1]资源-木石铜粮'!C96-'[1]资源-木石铜粮'!C95)*'[1]功能-付费相关'!S96/节奏总纲!W94</f>
        <v>2033.3756042518244</v>
      </c>
      <c r="V94" s="31">
        <f>('[1]资源-木石铜粮'!D96-'[1]资源-木石铜粮'!D95)*'[1]功能-付费相关'!T96/节奏总纲!X94</f>
        <v>2143.2098011545781</v>
      </c>
      <c r="W94" s="31">
        <f>('[1]资源-木石铜粮'!E96-'[1]资源-木石铜粮'!E95)*'[1]功能-付费相关'!U96/节奏总纲!Y94</f>
        <v>1687.2965940946146</v>
      </c>
      <c r="X94" s="31">
        <f>('[1]资源-木石铜粮'!F96-'[1]资源-木石铜粮'!F95)*'[1]功能-付费相关'!V96/节奏总纲!Z94</f>
        <v>1600.7570639196761</v>
      </c>
      <c r="Y94" s="31">
        <f>('[1]资源-木石铜粮'!G96-'[1]资源-木石铜粮'!G95)*'[1]功能-付费相关'!W96/节奏总纲!AA94</f>
        <v>1804.4614752763482</v>
      </c>
      <c r="AA94" s="11">
        <f>('[1]资源-铁'!C96-'[1]资源-铁'!C95)*'[1]功能-付费相关'!X96/节奏总纲!W94</f>
        <v>920.72495667733881</v>
      </c>
      <c r="AB94" s="11">
        <f>('[1]资源-铁'!D96-'[1]资源-铁'!D95)*'[1]功能-付费相关'!Y96/节奏总纲!X94</f>
        <v>946.01768246394772</v>
      </c>
      <c r="AC94" s="11">
        <f>('[1]资源-铁'!E96-'[1]资源-铁'!E95)*'[1]功能-付费相关'!Z96/节奏总纲!Y94</f>
        <v>489.3038737115441</v>
      </c>
      <c r="AD94" s="11">
        <f>('[1]资源-铁'!F96-'[1]资源-铁'!F95)*'[1]功能-付费相关'!AA96/节奏总纲!Z94</f>
        <v>376.7506598772481</v>
      </c>
      <c r="AE94" s="11">
        <f>('[1]资源-铁'!G96-'[1]资源-铁'!G95)*'[1]功能-付费相关'!AB96/节奏总纲!AA94</f>
        <v>456.97387660233568</v>
      </c>
      <c r="AG94" s="11">
        <f>('[1]资源-银币'!C96-'[1]资源-银币'!C95)*'[1]功能-付费相关'!AQ96/节奏总纲!W94</f>
        <v>547.52686292359897</v>
      </c>
      <c r="AH94" s="11">
        <f>('[1]资源-银币'!D96-'[1]资源-银币'!D95)*'[1]功能-付费相关'!AR96/节奏总纲!X94</f>
        <v>562.4552613109945</v>
      </c>
      <c r="AI94" s="11">
        <f>('[1]资源-银币'!E96-'[1]资源-银币'!E95)*'[1]功能-付费相关'!AS96/节奏总纲!Y94</f>
        <v>1199.2393047886801</v>
      </c>
      <c r="AJ94" s="11">
        <f>('[1]资源-银币'!F96-'[1]资源-银币'!F95)*'[1]功能-付费相关'!AT96/节奏总纲!Z94</f>
        <v>484.58644149166912</v>
      </c>
      <c r="AK94" s="11">
        <f>('[1]资源-银币'!G96-'[1]资源-银币'!G95)*'[1]功能-付费相关'!AU96/节奏总纲!AA94</f>
        <v>2054.298377534155</v>
      </c>
      <c r="AM94" s="11" t="e">
        <f>(#REF!-#REF!)*'[1]功能-付费相关'!CA96/节奏总纲!W94</f>
        <v>#REF!</v>
      </c>
      <c r="AN94" s="11" t="e">
        <f>(#REF!-#REF!)*'[1]功能-付费相关'!CB96/节奏总纲!X94</f>
        <v>#REF!</v>
      </c>
      <c r="AO94" s="11" t="e">
        <f>(#REF!-#REF!)*'[1]功能-付费相关'!CC96/节奏总纲!Y94</f>
        <v>#REF!</v>
      </c>
      <c r="AP94" s="11" t="e">
        <f>(#REF!-#REF!)*'[1]功能-付费相关'!CD96/节奏总纲!Z94</f>
        <v>#REF!</v>
      </c>
      <c r="AQ94" s="11" t="e">
        <f>(#REF!-#REF!)*'[1]功能-付费相关'!CE96/节奏总纲!AA94</f>
        <v>#REF!</v>
      </c>
      <c r="AS94" s="11">
        <f>('[1]资源-装备经验'!C96-'[1]资源-装备经验'!C95)*'[1]功能-付费相关'!BI96/节奏总纲!W94</f>
        <v>733.20923553567513</v>
      </c>
      <c r="AT94" s="11">
        <f>('[1]资源-装备经验'!D96-'[1]资源-装备经验'!D95)*'[1]功能-付费相关'!BJ96/节奏总纲!X94</f>
        <v>1090.5091816161373</v>
      </c>
      <c r="AU94" s="11">
        <f>('[1]资源-装备经验'!E96-'[1]资源-装备经验'!E95)*'[1]功能-付费相关'!BK96/节奏总纲!Y94</f>
        <v>1404.7386460217124</v>
      </c>
      <c r="AV94" s="11">
        <f>('[1]资源-装备经验'!F96-'[1]资源-装备经验'!F95)*'[1]功能-付费相关'!BL96/节奏总纲!Z94</f>
        <v>1615.3199062242136</v>
      </c>
      <c r="AW94" s="11">
        <f>('[1]资源-装备经验'!G96-'[1]资源-装备经验'!G95)*'[1]功能-付费相关'!BM96/节奏总纲!AA94</f>
        <v>1731.8293888013732</v>
      </c>
      <c r="AY94" s="11">
        <f>('[1]资源-武将经验'!C96*节奏总纲!BJ94-'[1]资源-武将经验'!C95*节奏总纲!BJ93)*'[1]功能-付费相关'!AZ96/节奏总纲!W94</f>
        <v>4837.4645140047796</v>
      </c>
      <c r="AZ94" s="11">
        <f>('[1]资源-武将经验'!D96*节奏总纲!BK94-'[1]资源-武将经验'!D95*节奏总纲!BK93)*'[1]功能-付费相关'!BA96/节奏总纲!X94</f>
        <v>6211.83166915937</v>
      </c>
      <c r="BA94" s="11">
        <f>('[1]资源-武将经验'!E96*节奏总纲!BL94-'[1]资源-武将经验'!E95*节奏总纲!BL93)*'[1]功能-付费相关'!BB96/节奏总纲!Y94</f>
        <v>7625.5566951356795</v>
      </c>
      <c r="BB94" s="11">
        <f>('[1]资源-武将经验'!F96*节奏总纲!BM94-'[1]资源-武将经验'!F95*节奏总纲!BM93)*'[1]功能-付费相关'!BC96/节奏总纲!Z94</f>
        <v>16055.244285820965</v>
      </c>
      <c r="BC94" s="11">
        <f>('[1]资源-武将经验'!G96*节奏总纲!BN94-'[1]资源-武将经验'!G95*节奏总纲!BN93)*'[1]功能-付费相关'!BD96/节奏总纲!AA94</f>
        <v>20978.888172615083</v>
      </c>
      <c r="BD94" s="33"/>
      <c r="BE94" s="30" t="e">
        <f t="shared" si="13"/>
        <v>#REF!</v>
      </c>
      <c r="BF94" s="30" t="e">
        <f t="shared" si="9"/>
        <v>#REF!</v>
      </c>
      <c r="BG94" s="30" t="e">
        <f t="shared" si="10"/>
        <v>#REF!</v>
      </c>
      <c r="BH94" s="30" t="e">
        <f t="shared" si="11"/>
        <v>#REF!</v>
      </c>
      <c r="BI94" s="30" t="e">
        <f t="shared" si="12"/>
        <v>#REF!</v>
      </c>
    </row>
    <row r="95" spans="2:61" x14ac:dyDescent="0.15">
      <c r="B95" s="31">
        <v>92</v>
      </c>
      <c r="C95" s="11">
        <f>('[1]资源-玩家城池建筑时间'!D97-'[1]资源-玩家城池建筑时间'!D96)*'[1]功能-付费相关'!AH97/节奏总纲!W95</f>
        <v>1917.8316176724445</v>
      </c>
      <c r="D95" s="11">
        <f>('[1]资源-玩家城池建筑时间'!E97-'[1]资源-玩家城池建筑时间'!E96)*'[1]功能-付费相关'!AI97/节奏总纲!X95</f>
        <v>2203.6145173590435</v>
      </c>
      <c r="E95" s="11">
        <f>('[1]资源-玩家城池建筑时间'!F97-'[1]资源-玩家城池建筑时间'!F96)*'[1]功能-付费相关'!AJ97/节奏总纲!Y95</f>
        <v>2517.6684214977668</v>
      </c>
      <c r="F95" s="11">
        <f>('[1]资源-玩家城池建筑时间'!G97-'[1]资源-玩家城池建筑时间'!G96)*'[1]功能-付费相关'!AK97/节奏总纲!Z95</f>
        <v>3109.8435331300743</v>
      </c>
      <c r="G95" s="11">
        <f>('[1]资源-玩家城池建筑时间'!H97-'[1]资源-玩家城池建筑时间'!H96)*'[1]功能-付费相关'!AL97/节奏总纲!AA95</f>
        <v>3095.568922641477</v>
      </c>
      <c r="I95" s="31">
        <f>('[1]资源-士兵训练时间'!C97-'[1]资源-士兵训练时间'!C96)*'[1]功能-付费相关'!AH97/节奏总纲!W95</f>
        <v>748.42061204312722</v>
      </c>
      <c r="J95" s="31">
        <f>('[1]资源-士兵训练时间'!D97-'[1]资源-士兵训练时间'!D96)*'[1]功能-付费相关'!AI97/节奏总纲!X95</f>
        <v>245.05111133231094</v>
      </c>
      <c r="K95" s="31">
        <f>('[1]资源-士兵训练时间'!E97-'[1]资源-士兵训练时间'!E96)*'[1]功能-付费相关'!AJ97/节奏总纲!Y95</f>
        <v>201.15850023104184</v>
      </c>
      <c r="L95" s="31">
        <f>('[1]资源-士兵训练时间'!F97-'[1]资源-士兵训练时间'!F96)*'[1]功能-付费相关'!AK97/节奏总纲!Z95</f>
        <v>206.44695040043993</v>
      </c>
      <c r="M95" s="31">
        <f>('[1]资源-士兵训练时间'!G97-'[1]资源-士兵训练时间'!G96)*'[1]功能-付费相关'!AL97/节奏总纲!AA95</f>
        <v>210.92159391809955</v>
      </c>
      <c r="O95" s="11">
        <f>('[1]资源-士兵招募时间'!D97-'[1]资源-士兵招募时间'!D96)*'[1]功能-付费相关'!AH97/节奏总纲!W95</f>
        <v>2056.5465997906826</v>
      </c>
      <c r="P95" s="11">
        <f>('[1]资源-士兵招募时间'!E97-'[1]资源-士兵招募时间'!E96)*'[1]功能-付费相关'!AI97/节奏总纲!X95</f>
        <v>2235.8359090907311</v>
      </c>
      <c r="Q95" s="11">
        <f>('[1]资源-士兵招募时间'!F97-'[1]资源-士兵招募时间'!F96)*'[1]功能-付费相关'!AJ97/节奏总纲!Y95</f>
        <v>2423.9057332851576</v>
      </c>
      <c r="R95" s="11">
        <f>('[1]资源-士兵招募时间'!G97-'[1]资源-士兵招募时间'!G96)*'[1]功能-付费相关'!AK97/节奏总纲!Z95</f>
        <v>2803.024236815394</v>
      </c>
      <c r="S95" s="11">
        <f>('[1]资源-士兵招募时间'!H97-'[1]资源-士兵招募时间'!H96)*'[1]功能-付费相关'!AL97/节奏总纲!AA95</f>
        <v>3134.3282535284152</v>
      </c>
      <c r="U95" s="31">
        <f>('[1]资源-木石铜粮'!C97-'[1]资源-木石铜粮'!C96)*'[1]功能-付费相关'!S97/节奏总纲!W95</f>
        <v>2035.5510776411593</v>
      </c>
      <c r="V95" s="31">
        <f>('[1]资源-木石铜粮'!D97-'[1]资源-木石铜粮'!D96)*'[1]功能-付费相关'!T97/节奏总纲!X95</f>
        <v>1480.0718260103911</v>
      </c>
      <c r="W95" s="31">
        <f>('[1]资源-木石铜粮'!E97-'[1]资源-木石铜粮'!E96)*'[1]功能-付费相关'!U97/节奏总纲!Y95</f>
        <v>1531.653288566778</v>
      </c>
      <c r="X95" s="31">
        <f>('[1]资源-木石铜粮'!F97-'[1]资源-木石铜粮'!F96)*'[1]功能-付费相关'!V97/节奏总纲!Z95</f>
        <v>1609.6956300804613</v>
      </c>
      <c r="Y95" s="31">
        <f>('[1]资源-木石铜粮'!G97-'[1]资源-木石铜粮'!G96)*'[1]功能-付费相关'!W97/节奏总纲!AA95</f>
        <v>1814.7399605757405</v>
      </c>
      <c r="AA95" s="11">
        <f>('[1]资源-铁'!C97-'[1]资源-铁'!C96)*'[1]功能-付费相关'!X97/节奏总纲!W95</f>
        <v>918.25686419864576</v>
      </c>
      <c r="AB95" s="11">
        <f>('[1]资源-铁'!D97-'[1]资源-铁'!D96)*'[1]功能-付费相关'!Y97/节奏总纲!X95</f>
        <v>399.6284050632824</v>
      </c>
      <c r="AC95" s="11">
        <f>('[1]资源-铁'!E97-'[1]资源-铁'!E96)*'[1]功能-付费相关'!Z97/节奏总纲!Y95</f>
        <v>356.55470132878082</v>
      </c>
      <c r="AD95" s="11">
        <f>('[1]资源-铁'!F97-'[1]资源-铁'!F96)*'[1]功能-付费相关'!AA97/节奏总纲!Z95</f>
        <v>378.38750085608393</v>
      </c>
      <c r="AE95" s="11">
        <f>('[1]资源-铁'!G97-'[1]资源-铁'!G96)*'[1]功能-付费相关'!AB97/节奏总纲!AA95</f>
        <v>459.14135074670219</v>
      </c>
      <c r="AG95" s="11">
        <f>('[1]资源-银币'!C97-'[1]资源-银币'!C96)*'[1]功能-付费相关'!AQ97/节奏总纲!W95</f>
        <v>547.1351228853423</v>
      </c>
      <c r="AH95" s="11">
        <f>('[1]资源-银币'!D97-'[1]资源-银币'!D96)*'[1]功能-付费相关'!AR97/节奏总纲!X95</f>
        <v>2113.7060814005777</v>
      </c>
      <c r="AI95" s="11">
        <f>('[1]资源-银币'!E97-'[1]资源-银币'!E96)*'[1]功能-付费相关'!AS97/节奏总纲!Y95</f>
        <v>786.62352703985653</v>
      </c>
      <c r="AJ95" s="11">
        <f>('[1]资源-银币'!F97-'[1]资源-银币'!F96)*'[1]功能-付费相关'!AT97/节奏总纲!Z95</f>
        <v>472.69094159721442</v>
      </c>
      <c r="AK95" s="11">
        <f>('[1]资源-银币'!G97-'[1]资源-银币'!G96)*'[1]功能-付费相关'!AU97/节奏总纲!AA95</f>
        <v>2004.7168711165655</v>
      </c>
      <c r="AM95" s="11" t="e">
        <f>(#REF!-#REF!)*'[1]功能-付费相关'!CA97/节奏总纲!W95</f>
        <v>#REF!</v>
      </c>
      <c r="AN95" s="11" t="e">
        <f>(#REF!-#REF!)*'[1]功能-付费相关'!CB97/节奏总纲!X95</f>
        <v>#REF!</v>
      </c>
      <c r="AO95" s="11" t="e">
        <f>(#REF!-#REF!)*'[1]功能-付费相关'!CC97/节奏总纲!Y95</f>
        <v>#REF!</v>
      </c>
      <c r="AP95" s="11" t="e">
        <f>(#REF!-#REF!)*'[1]功能-付费相关'!CD97/节奏总纲!Z95</f>
        <v>#REF!</v>
      </c>
      <c r="AQ95" s="11" t="e">
        <f>(#REF!-#REF!)*'[1]功能-付费相关'!CE97/节奏总纲!AA95</f>
        <v>#REF!</v>
      </c>
      <c r="AS95" s="11">
        <f>('[1]资源-装备经验'!C97-'[1]资源-装备经验'!C96)*'[1]功能-付费相关'!BI97/节奏总纲!W95</f>
        <v>725.55862713443184</v>
      </c>
      <c r="AT95" s="11">
        <f>('[1]资源-装备经验'!D97-'[1]资源-装备经验'!D96)*'[1]功能-付费相关'!BJ97/节奏总纲!X95</f>
        <v>991.99555389571924</v>
      </c>
      <c r="AU95" s="11">
        <f>('[1]资源-装备经验'!E97-'[1]资源-装备经验'!E96)*'[1]功能-付费相关'!BK97/节奏总纲!Y95</f>
        <v>1354.4939508300777</v>
      </c>
      <c r="AV95" s="11">
        <f>('[1]资源-装备经验'!F97-'[1]资源-装备经验'!F96)*'[1]功能-付费相关'!BL97/节奏总纲!Z95</f>
        <v>1607.8466442282572</v>
      </c>
      <c r="AW95" s="11">
        <f>('[1]资源-装备经验'!G97-'[1]资源-装备经验'!G96)*'[1]功能-付费相关'!BM97/节奏总纲!AA95</f>
        <v>1723.7016836581122</v>
      </c>
      <c r="AY95" s="11">
        <f>('[1]资源-武将经验'!C97*节奏总纲!BJ95-'[1]资源-武将经验'!C96*节奏总纲!BJ94)*'[1]功能-付费相关'!AZ97/节奏总纲!W95</f>
        <v>4793.3074096013088</v>
      </c>
      <c r="AZ95" s="11">
        <f>('[1]资源-武将经验'!D97*节奏总纲!BK95-'[1]资源-武将经验'!D96*节奏总纲!BK94)*'[1]功能-付费相关'!BA97/节奏总纲!X95</f>
        <v>5794.0527499683885</v>
      </c>
      <c r="BA95" s="11">
        <f>('[1]资源-武将经验'!E97*节奏总纲!BL95-'[1]资源-武将经验'!E96*节奏总纲!BL94)*'[1]功能-付费相关'!BB97/节奏总纲!Y95</f>
        <v>7500.3616488415546</v>
      </c>
      <c r="BB95" s="11">
        <f>('[1]资源-武将经验'!F97*节奏总纲!BM95-'[1]资源-武将经验'!F96*节奏总纲!BM94)*'[1]功能-付费相关'!BC97/节奏总纲!Z95</f>
        <v>16146.398208693778</v>
      </c>
      <c r="BC95" s="11">
        <f>('[1]资源-武将经验'!G97*节奏总纲!BN95-'[1]资源-武将经验'!G96*节奏总纲!BN94)*'[1]功能-付费相关'!BD97/节奏总纲!AA95</f>
        <v>21093.566047820474</v>
      </c>
      <c r="BD95" s="33"/>
      <c r="BE95" s="30" t="e">
        <f t="shared" si="13"/>
        <v>#REF!</v>
      </c>
      <c r="BF95" s="30" t="e">
        <f t="shared" si="9"/>
        <v>#REF!</v>
      </c>
      <c r="BG95" s="30" t="e">
        <f t="shared" si="10"/>
        <v>#REF!</v>
      </c>
      <c r="BH95" s="30" t="e">
        <f t="shared" si="11"/>
        <v>#REF!</v>
      </c>
      <c r="BI95" s="30" t="e">
        <f t="shared" si="12"/>
        <v>#REF!</v>
      </c>
    </row>
    <row r="96" spans="2:61" x14ac:dyDescent="0.15">
      <c r="B96" s="31">
        <v>93</v>
      </c>
      <c r="C96" s="11">
        <f>('[1]资源-玩家城池建筑时间'!D98-'[1]资源-玩家城池建筑时间'!D97)*'[1]功能-付费相关'!AH98/节奏总纲!W96</f>
        <v>1920.6701705884873</v>
      </c>
      <c r="D96" s="11">
        <f>('[1]资源-玩家城池建筑时间'!E98-'[1]资源-玩家城池建筑时间'!E97)*'[1]功能-付费相关'!AI98/节奏总纲!X96</f>
        <v>2209.1781548967565</v>
      </c>
      <c r="E96" s="11">
        <f>('[1]资源-玩家城池建筑时间'!F98-'[1]资源-玩家城池建筑时间'!F97)*'[1]功能-付费相关'!AJ98/节奏总纲!Y96</f>
        <v>2523.4403650275958</v>
      </c>
      <c r="F96" s="11">
        <f>('[1]资源-玩家城池建筑时间'!G98-'[1]资源-玩家城池建筑时间'!G97)*'[1]功能-付费相关'!AK98/节奏总纲!Z96</f>
        <v>3115.6743488178263</v>
      </c>
      <c r="G96" s="11">
        <f>('[1]资源-玩家城池建筑时间'!H98-'[1]资源-玩家城池建筑时间'!H97)*'[1]功能-付费相关'!AL98/节奏总纲!AA96</f>
        <v>3101.5287757030337</v>
      </c>
      <c r="I96" s="31">
        <f>('[1]资源-士兵训练时间'!C98-'[1]资源-士兵训练时间'!C97)*'[1]功能-付费相关'!AH98/节奏总纲!W96</f>
        <v>209.02207271812193</v>
      </c>
      <c r="J96" s="31">
        <f>('[1]资源-士兵训练时间'!D98-'[1]资源-士兵训练时间'!D97)*'[1]功能-付费相关'!AI98/节奏总纲!X96</f>
        <v>195.43434792771495</v>
      </c>
      <c r="K96" s="31">
        <f>('[1]资源-士兵训练时间'!E98-'[1]资源-士兵训练时间'!E97)*'[1]功能-付费相关'!AJ98/节奏总纲!Y96</f>
        <v>202.6210312341299</v>
      </c>
      <c r="L96" s="31">
        <f>('[1]资源-士兵训练时间'!F98-'[1]资源-士兵训练时间'!F97)*'[1]功能-付费相关'!AK98/节奏总纲!Z96</f>
        <v>207.92437995039953</v>
      </c>
      <c r="M96" s="31">
        <f>('[1]资源-士兵训练时间'!G98-'[1]资源-士兵训练时间'!G97)*'[1]功能-付费相关'!AL98/节奏总纲!AA96</f>
        <v>212.43190662121651</v>
      </c>
      <c r="O96" s="11">
        <f>('[1]资源-士兵招募时间'!D98-'[1]资源-士兵招募时间'!D97)*'[1]功能-付费相关'!AH98/节奏总纲!W96</f>
        <v>2057.6189126838149</v>
      </c>
      <c r="P96" s="11">
        <f>('[1]资源-士兵招募时间'!E98-'[1]资源-士兵招募时间'!E97)*'[1]功能-付费相关'!AI98/节奏总纲!X96</f>
        <v>2237.8094000068786</v>
      </c>
      <c r="Q96" s="11">
        <f>('[1]资源-士兵招募时间'!F98-'[1]资源-士兵招募时间'!F97)*'[1]功能-付费相关'!AJ98/节奏总纲!Y96</f>
        <v>2425.9318297217742</v>
      </c>
      <c r="R96" s="11">
        <f>('[1]资源-士兵招募时间'!G98-'[1]资源-士兵招募时间'!G97)*'[1]功能-付费相关'!AK98/节奏总纲!Z96</f>
        <v>2804.8436673521019</v>
      </c>
      <c r="S96" s="11">
        <f>('[1]资源-士兵招募时间'!H98-'[1]资源-士兵招募时间'!H97)*'[1]功能-付费相关'!AL98/节奏总纲!AA96</f>
        <v>3135.8385662315295</v>
      </c>
      <c r="U96" s="31">
        <f>('[1]资源-木石铜粮'!C98-'[1]资源-木石铜粮'!C97)*'[1]功能-付费相关'!S98/节奏总纲!W96</f>
        <v>1417.6972935408883</v>
      </c>
      <c r="V96" s="31">
        <f>('[1]资源-木石铜粮'!D98-'[1]资源-木石铜粮'!D97)*'[1]功能-付费相关'!T98/节奏总纲!X96</f>
        <v>1486.1397963377515</v>
      </c>
      <c r="W96" s="31">
        <f>('[1]资源-木石铜粮'!E98-'[1]资源-木石铜粮'!E97)*'[1]功能-付费相关'!U98/节奏总纲!Y96</f>
        <v>1600.6458293276783</v>
      </c>
      <c r="X96" s="31">
        <f>('[1]资源-木石铜粮'!F98-'[1]资源-木石铜粮'!F97)*'[1]功能-付费相关'!V98/节奏总纲!Z96</f>
        <v>1676.3308812043226</v>
      </c>
      <c r="Y96" s="31">
        <f>('[1]资源-木石铜粮'!G98-'[1]资源-木石铜粮'!G97)*'[1]功能-付费相关'!W98/节奏总纲!AA96</f>
        <v>1883.593620465947</v>
      </c>
      <c r="AA96" s="11">
        <f>('[1]资源-铁'!C98-'[1]资源-铁'!C97)*'[1]功能-付费相关'!X98/节奏总纲!W96</f>
        <v>407.84023969239382</v>
      </c>
      <c r="AB96" s="11">
        <f>('[1]资源-铁'!D98-'[1]资源-铁'!D97)*'[1]功能-付费相关'!Y98/节奏总纲!X96</f>
        <v>395.37856270619852</v>
      </c>
      <c r="AC96" s="11">
        <f>('[1]资源-铁'!E98-'[1]资源-铁'!E97)*'[1]功能-付费相关'!Z98/节奏总纲!Y96</f>
        <v>402.91723821633576</v>
      </c>
      <c r="AD96" s="11">
        <f>('[1]资源-铁'!F98-'[1]资源-铁'!F97)*'[1]功能-付费相关'!AA98/节奏总纲!Z96</f>
        <v>419.0054222015454</v>
      </c>
      <c r="AE96" s="11">
        <f>('[1]资源-铁'!G98-'[1]资源-铁'!G97)*'[1]功能-付费相关'!AB98/节奏总纲!AA96</f>
        <v>499.64766314540168</v>
      </c>
      <c r="AG96" s="11">
        <f>('[1]资源-银币'!C98-'[1]资源-银币'!C97)*'[1]功能-付费相关'!AQ98/节奏总纲!W96</f>
        <v>6431.3461791844029</v>
      </c>
      <c r="AH96" s="11">
        <f>('[1]资源-银币'!D98-'[1]资源-银币'!D97)*'[1]功能-付费相关'!AR98/节奏总纲!X96</f>
        <v>1807.9290932442439</v>
      </c>
      <c r="AI96" s="11">
        <f>('[1]资源-银币'!E98-'[1]资源-银币'!E97)*'[1]功能-付费相关'!AS98/节奏总纲!Y96</f>
        <v>826.14257541947427</v>
      </c>
      <c r="AJ96" s="11">
        <f>('[1]资源-银币'!F98-'[1]资源-银币'!F97)*'[1]功能-付费相关'!AT98/节奏总纲!Z96</f>
        <v>495.69322419440442</v>
      </c>
      <c r="AK96" s="11">
        <f>('[1]资源-银币'!G98-'[1]资源-银币'!G97)*'[1]功能-付费相关'!AU98/节奏总纲!AA96</f>
        <v>2102.8933738203755</v>
      </c>
      <c r="AM96" s="11" t="e">
        <f>(#REF!-#REF!)*'[1]功能-付费相关'!CA98/节奏总纲!W96</f>
        <v>#REF!</v>
      </c>
      <c r="AN96" s="11" t="e">
        <f>(#REF!-#REF!)*'[1]功能-付费相关'!CB98/节奏总纲!X96</f>
        <v>#REF!</v>
      </c>
      <c r="AO96" s="11" t="e">
        <f>(#REF!-#REF!)*'[1]功能-付费相关'!CC98/节奏总纲!Y96</f>
        <v>#REF!</v>
      </c>
      <c r="AP96" s="11" t="e">
        <f>(#REF!-#REF!)*'[1]功能-付费相关'!CD98/节奏总纲!Z96</f>
        <v>#REF!</v>
      </c>
      <c r="AQ96" s="11" t="e">
        <f>(#REF!-#REF!)*'[1]功能-付费相关'!CE98/节奏总纲!AA96</f>
        <v>#REF!</v>
      </c>
      <c r="AS96" s="11">
        <f>('[1]资源-装备经验'!C98-'[1]资源-装备经验'!C97)*'[1]功能-付费相关'!BI98/节奏总纲!W96</f>
        <v>718.73624176624253</v>
      </c>
      <c r="AT96" s="11">
        <f>('[1]资源-装备经验'!D98-'[1]资源-装备经验'!D97)*'[1]功能-付费相关'!BJ98/节奏总纲!X96</f>
        <v>1042.0071739435928</v>
      </c>
      <c r="AU96" s="11">
        <f>('[1]资源-装备经验'!E98-'[1]资源-装备经验'!E97)*'[1]功能-付费相关'!BK98/节奏总纲!Y96</f>
        <v>1439.7099489052603</v>
      </c>
      <c r="AV96" s="11">
        <f>('[1]资源-装备经验'!F98-'[1]资源-装备经验'!F97)*'[1]功能-付费相关'!BL98/节奏总纲!Z96</f>
        <v>1718.6130020927885</v>
      </c>
      <c r="AW96" s="11">
        <f>('[1]资源-装备经验'!G98-'[1]资源-装备经验'!G97)*'[1]功能-付费相关'!BM98/节奏总纲!AA96</f>
        <v>1838.333040726133</v>
      </c>
      <c r="AY96" s="11">
        <f>('[1]资源-武将经验'!C98*节奏总纲!BJ96-'[1]资源-武将经验'!C97*节奏总纲!BJ95)*'[1]功能-付费相关'!AZ98/节奏总纲!W96</f>
        <v>4751.1221091660391</v>
      </c>
      <c r="AZ96" s="11">
        <f>('[1]资源-武将经验'!D98*节奏总纲!BK96-'[1]资源-武将经验'!D97*节奏总纲!BK95)*'[1]功能-付费相关'!BA98/节奏总纲!X96</f>
        <v>6126.0755662683496</v>
      </c>
      <c r="BA96" s="11">
        <f>('[1]资源-武将经验'!E98*节奏总纲!BL96-'[1]资源-武将经验'!E97*节奏总纲!BL95)*'[1]功能-付费相关'!BB98/节奏总纲!Y96</f>
        <v>8004.4304675363583</v>
      </c>
      <c r="BB96" s="11">
        <f>('[1]资源-武将经验'!F98*节奏总纲!BM96-'[1]资源-武将经验'!F97*节奏总纲!BM95)*'[1]功能-付费相关'!BC98/节奏总纲!Z96</f>
        <v>17320.491003298146</v>
      </c>
      <c r="BC96" s="11">
        <f>('[1]资源-武将经验'!G98*节奏总纲!BN96-'[1]资源-武将经验'!G97*节奏总纲!BN95)*'[1]功能-付费相关'!BD98/节奏总纲!AA96</f>
        <v>22785.381819910406</v>
      </c>
      <c r="BD96" s="33"/>
      <c r="BE96" s="30" t="e">
        <f t="shared" si="13"/>
        <v>#REF!</v>
      </c>
      <c r="BF96" s="30" t="e">
        <f t="shared" si="9"/>
        <v>#REF!</v>
      </c>
      <c r="BG96" s="30" t="e">
        <f t="shared" si="10"/>
        <v>#REF!</v>
      </c>
      <c r="BH96" s="30" t="e">
        <f t="shared" si="11"/>
        <v>#REF!</v>
      </c>
      <c r="BI96" s="30" t="e">
        <f t="shared" si="12"/>
        <v>#REF!</v>
      </c>
    </row>
    <row r="97" spans="2:61" x14ac:dyDescent="0.15">
      <c r="B97" s="31">
        <v>94</v>
      </c>
      <c r="C97" s="11">
        <f>('[1]资源-玩家城池建筑时间'!D99-'[1]资源-玩家城池建筑时间'!D98)*'[1]功能-付费相关'!AH99/节奏总纲!W97</f>
        <v>1925.0301946442485</v>
      </c>
      <c r="D97" s="11">
        <f>('[1]资源-玩家城池建筑时间'!E99-'[1]资源-玩家城池建筑时间'!E98)*'[1]功能-付费相关'!AI99/节奏总纲!X97</f>
        <v>2214.2983219168914</v>
      </c>
      <c r="E97" s="11">
        <f>('[1]资源-玩家城池建筑时间'!F99-'[1]资源-玩家城池建筑时间'!F98)*'[1]功能-付费相关'!AJ99/节奏总纲!Y97</f>
        <v>2528.6476233587368</v>
      </c>
      <c r="F97" s="11">
        <f>('[1]资源-玩家城池建筑时间'!G99-'[1]资源-玩家城池建筑时间'!G98)*'[1]功能-付费相关'!AK99/节奏总纲!Z97</f>
        <v>3120.9200505552094</v>
      </c>
      <c r="G97" s="11">
        <f>('[1]资源-玩家城池建筑时间'!H99-'[1]资源-玩家城池建筑时间'!H98)*'[1]功能-付费相关'!AL99/节奏总纲!AA97</f>
        <v>3106.8777573103735</v>
      </c>
      <c r="I97" s="31">
        <f>('[1]资源-士兵训练时间'!C99-'[1]资源-士兵训练时间'!C98)*'[1]功能-付费相关'!AH99/节奏总纲!W97</f>
        <v>195.77464294154842</v>
      </c>
      <c r="J97" s="31">
        <f>('[1]资源-士兵训练时间'!D99-'[1]资源-士兵训练时间'!D98)*'[1]功能-付费相关'!AI99/节奏总纲!X97</f>
        <v>196.71404104820496</v>
      </c>
      <c r="K97" s="31">
        <f>('[1]资源-士兵训练时间'!E99-'[1]资源-士兵训练时间'!E98)*'[1]功能-付费相关'!AJ99/节奏总纲!Y97</f>
        <v>203.92365005769469</v>
      </c>
      <c r="L97" s="31">
        <f>('[1]资源-士兵训练时间'!F99-'[1]资源-士兵训练时间'!F98)*'[1]功能-付费相关'!AK99/节奏总纲!Z97</f>
        <v>209.23611213962477</v>
      </c>
      <c r="M97" s="31">
        <f>('[1]资源-士兵训练时间'!G99-'[1]资源-士兵训练时间'!G98)*'[1]功能-付费相关'!AL99/节奏总纲!AA97</f>
        <v>213.76922774269352</v>
      </c>
      <c r="O97" s="11">
        <f>('[1]资源-士兵招募时间'!D99-'[1]资源-士兵招募时间'!D98)*'[1]功能-付费相关'!AH99/节奏总纲!W97</f>
        <v>2058.7110662376467</v>
      </c>
      <c r="P97" s="11">
        <f>('[1]资源-士兵招募时间'!E99-'[1]资源-士兵招募时间'!E98)*'[1]功能-付费相关'!AI99/节奏总纲!X97</f>
        <v>2239.0890931273721</v>
      </c>
      <c r="Q97" s="11">
        <f>('[1]资源-士兵招募时间'!F99-'[1]资源-士兵招募时间'!F98)*'[1]功能-付费相关'!AJ99/节奏总纲!Y97</f>
        <v>2427.2344485453359</v>
      </c>
      <c r="R97" s="11">
        <f>('[1]资源-士兵招募时间'!G99-'[1]资源-士兵招募时间'!G98)*'[1]功能-付费相关'!AK99/节奏总纲!Z97</f>
        <v>2806.1553995413228</v>
      </c>
      <c r="S97" s="11">
        <f>('[1]资源-士兵招募时间'!H99-'[1]资源-士兵招募时间'!H98)*'[1]功能-付费相关'!AL99/节奏总纲!AA97</f>
        <v>3137.1758873530171</v>
      </c>
      <c r="U97" s="31">
        <f>('[1]资源-木石铜粮'!C99-'[1]资源-木石铜粮'!C98)*'[1]功能-付费相关'!S99/节奏总纲!W97</f>
        <v>1404.3032567553803</v>
      </c>
      <c r="V97" s="31">
        <f>('[1]资源-木石铜粮'!D99-'[1]资源-木石铜粮'!D98)*'[1]功能-付费相关'!T99/节奏总纲!X97</f>
        <v>1494.4197613095362</v>
      </c>
      <c r="W97" s="31">
        <f>('[1]资源-木石铜粮'!E99-'[1]资源-木石铜粮'!E98)*'[1]功能-付费相关'!U99/节奏总纲!Y97</f>
        <v>1612.6820964981462</v>
      </c>
      <c r="X97" s="31">
        <f>('[1]资源-木石铜粮'!F99-'[1]资源-木石铜粮'!F98)*'[1]功能-付费相关'!V99/节奏总纲!Z97</f>
        <v>1687.1629223835344</v>
      </c>
      <c r="Y97" s="31">
        <f>('[1]资源-木石铜粮'!G99-'[1]资源-木石铜粮'!G98)*'[1]功能-付费相关'!W99/节奏总纲!AA97</f>
        <v>1895.364010712</v>
      </c>
      <c r="AA97" s="11">
        <f>('[1]资源-铁'!C99-'[1]资源-铁'!C98)*'[1]功能-付费相关'!X99/节奏总纲!W97</f>
        <v>392.38141907826298</v>
      </c>
      <c r="AB97" s="11">
        <f>('[1]资源-铁'!D99-'[1]资源-铁'!D98)*'[1]功能-付费相关'!Y99/节奏总纲!X97</f>
        <v>397.32228177703013</v>
      </c>
      <c r="AC97" s="11">
        <f>('[1]资源-铁'!E99-'[1]资源-铁'!E98)*'[1]功能-付费相关'!Z99/节奏总纲!Y97</f>
        <v>407.56263170795381</v>
      </c>
      <c r="AD97" s="11">
        <f>('[1]资源-铁'!F99-'[1]资源-铁'!F98)*'[1]功能-付费相关'!AA99/节奏总纲!Z97</f>
        <v>422.65982302748114</v>
      </c>
      <c r="AE97" s="11">
        <f>('[1]资源-铁'!G99-'[1]资源-铁'!G98)*'[1]功能-付费相关'!AB99/节奏总纲!AA97</f>
        <v>503.55506453667255</v>
      </c>
      <c r="AG97" s="11">
        <f>('[1]资源-银币'!C99-'[1]资源-银币'!C98)*'[1]功能-付费相关'!AQ99/节奏总纲!W97</f>
        <v>6030.5224487383957</v>
      </c>
      <c r="AH97" s="11">
        <f>('[1]资源-银币'!D99-'[1]资源-银币'!D98)*'[1]功能-付费相关'!AR99/节奏总纲!X97</f>
        <v>1812.960710703295</v>
      </c>
      <c r="AI97" s="11">
        <f>('[1]资源-银币'!E99-'[1]资源-银币'!E98)*'[1]功能-付费相关'!AS99/节奏总纲!Y97</f>
        <v>830.50738085213288</v>
      </c>
      <c r="AJ97" s="11">
        <f>('[1]资源-银币'!F99-'[1]资源-银币'!F98)*'[1]功能-付费相关'!AT99/节奏总纲!Z97</f>
        <v>497.68916759687306</v>
      </c>
      <c r="AK97" s="11">
        <f>('[1]资源-银币'!G99-'[1]资源-银币'!G98)*'[1]功能-付费相关'!AU99/节奏总纲!AA97</f>
        <v>2110.2675675159007</v>
      </c>
      <c r="AM97" s="11" t="e">
        <f>(#REF!-#REF!)*'[1]功能-付费相关'!CA99/节奏总纲!W97</f>
        <v>#REF!</v>
      </c>
      <c r="AN97" s="11" t="e">
        <f>(#REF!-#REF!)*'[1]功能-付费相关'!CB99/节奏总纲!X97</f>
        <v>#REF!</v>
      </c>
      <c r="AO97" s="11" t="e">
        <f>(#REF!-#REF!)*'[1]功能-付费相关'!CC99/节奏总纲!Y97</f>
        <v>#REF!</v>
      </c>
      <c r="AP97" s="11" t="e">
        <f>(#REF!-#REF!)*'[1]功能-付费相关'!CD99/节奏总纲!Z97</f>
        <v>#REF!</v>
      </c>
      <c r="AQ97" s="11" t="e">
        <f>(#REF!-#REF!)*'[1]功能-付费相关'!CE99/节奏总纲!AA97</f>
        <v>#REF!</v>
      </c>
      <c r="AS97" s="11">
        <f>('[1]资源-装备经验'!C99-'[1]资源-装备经验'!C98)*'[1]功能-付费相关'!BI99/节奏总纲!W97</f>
        <v>712.65096217087716</v>
      </c>
      <c r="AT97" s="11">
        <f>('[1]资源-装备经验'!D99-'[1]资源-装备经验'!D98)*'[1]功能-付费相关'!BJ99/节奏总纲!X97</f>
        <v>1036.8838599016535</v>
      </c>
      <c r="AU97" s="11">
        <f>('[1]资源-装备经验'!E99-'[1]资源-装备经验'!E98)*'[1]功能-付费相关'!BK99/节奏总纲!Y97</f>
        <v>1437.1044982558722</v>
      </c>
      <c r="AV97" s="11">
        <f>('[1]资源-装备经验'!F99-'[1]资源-装备经验'!F98)*'[1]功能-付费相关'!BL99/节奏总纲!Z97</f>
        <v>1712.586479392312</v>
      </c>
      <c r="AW97" s="11">
        <f>('[1]资源-装备经验'!G99-'[1]资源-装备经验'!G98)*'[1]功能-付费相关'!BM99/节奏总纲!AA97</f>
        <v>1830.8866857547171</v>
      </c>
      <c r="AY97" s="11">
        <f>('[1]资源-武将经验'!C99*节奏总纲!BJ97-'[1]资源-武将经验'!C98*节奏总纲!BJ96)*'[1]功能-付费相关'!AZ99/节奏总纲!W97</f>
        <v>4711.4137011592211</v>
      </c>
      <c r="AZ97" s="11">
        <f>('[1]资源-武将经验'!D99*节奏总纲!BK97-'[1]资源-武将经验'!D98*节奏总纲!BK96)*'[1]功能-付费相关'!BA99/节奏总纲!X97</f>
        <v>6122.2355452290731</v>
      </c>
      <c r="BA97" s="11">
        <f>('[1]资源-武将经验'!E99*节奏总纲!BL97-'[1]资源-武将经验'!E98*节奏总纲!BL96)*'[1]功能-付费相关'!BB99/节奏总纲!Y97</f>
        <v>8045.331390122632</v>
      </c>
      <c r="BB97" s="11">
        <f>('[1]资源-武将经验'!F99*节奏总纲!BM97-'[1]资源-武将经验'!F98*节奏总纲!BM96)*'[1]功能-付费相关'!BC99/节奏总纲!Z97</f>
        <v>17396.100904542393</v>
      </c>
      <c r="BC97" s="11">
        <f>('[1]资源-武将经验'!G99*节奏总纲!BN97-'[1]资源-武将经验'!G98*节奏总纲!BN96)*'[1]功能-付费相关'!BD99/节奏总纲!AA97</f>
        <v>22865.626172834254</v>
      </c>
      <c r="BD97" s="33"/>
      <c r="BE97" s="30" t="e">
        <f t="shared" si="13"/>
        <v>#REF!</v>
      </c>
      <c r="BF97" s="30" t="e">
        <f t="shared" si="9"/>
        <v>#REF!</v>
      </c>
      <c r="BG97" s="30" t="e">
        <f t="shared" si="10"/>
        <v>#REF!</v>
      </c>
      <c r="BH97" s="30" t="e">
        <f t="shared" si="11"/>
        <v>#REF!</v>
      </c>
      <c r="BI97" s="30" t="e">
        <f t="shared" si="12"/>
        <v>#REF!</v>
      </c>
    </row>
    <row r="98" spans="2:61" x14ac:dyDescent="0.15">
      <c r="B98" s="31">
        <v>95</v>
      </c>
      <c r="C98" s="11">
        <f>('[1]资源-玩家城池建筑时间'!D100-'[1]资源-玩家城池建筑时间'!D99)*'[1]功能-付费相关'!AH100/节奏总纲!W98</f>
        <v>1928.6679115241759</v>
      </c>
      <c r="D98" s="11">
        <f>('[1]资源-玩家城池建筑时间'!E100-'[1]资源-玩家城池建筑时间'!E99)*'[1]功能-付费相关'!AI100/节奏总纲!X98</f>
        <v>2219.3618309947083</v>
      </c>
      <c r="E98" s="11">
        <f>('[1]资源-玩家城池建筑时间'!F100-'[1]资源-玩家城池建筑时间'!F99)*'[1]功能-付费相关'!AJ100/节奏总纲!Y98</f>
        <v>2533.7704874679143</v>
      </c>
      <c r="F98" s="11">
        <f>('[1]资源-玩家城池建筑时间'!G100-'[1]资源-玩家城池建筑时间'!G99)*'[1]功能-付费相关'!AK100/节奏总纲!Z98</f>
        <v>3126.1124354000199</v>
      </c>
      <c r="G98" s="11">
        <f>('[1]资源-玩家城池建筑时间'!H100-'[1]资源-玩家城池建筑时间'!H99)*'[1]功能-付费相关'!AL100/节奏总纲!AA98</f>
        <v>3112.1714286799197</v>
      </c>
      <c r="I98" s="31">
        <f>('[1]资源-士兵训练时间'!C100-'[1]资源-士兵训练时间'!C99)*'[1]功能-付费相关'!AH100/节奏总纲!W98</f>
        <v>196.68222192158387</v>
      </c>
      <c r="J98" s="31">
        <f>('[1]资源-士兵训练时间'!D100-'[1]资源-士兵训练时间'!D99)*'[1]功能-付费相关'!AI100/节奏总纲!X98</f>
        <v>197.97768930854082</v>
      </c>
      <c r="K98" s="31">
        <f>('[1]资源-士兵训练时间'!E100-'[1]资源-士兵训练时间'!E99)*'[1]功能-付费相关'!AJ100/节奏总纲!Y98</f>
        <v>205.20236943427901</v>
      </c>
      <c r="L98" s="31">
        <f>('[1]资源-士兵训练时间'!F100-'[1]资源-士兵训练时间'!F99)*'[1]功能-付费相关'!AK100/节奏总纲!Z98</f>
        <v>210.53274561453489</v>
      </c>
      <c r="M98" s="31">
        <f>('[1]资源-士兵训练时间'!G100-'[1]资源-士兵训练时间'!G99)*'[1]功能-付费相关'!AL100/节奏总纲!AA98</f>
        <v>215.0908856580327</v>
      </c>
      <c r="O98" s="11">
        <f>('[1]资源-士兵招募时间'!D100-'[1]资源-士兵招募时间'!D99)*'[1]功能-付费相关'!AH100/节奏总纲!W98</f>
        <v>2059.6186452176753</v>
      </c>
      <c r="P98" s="11">
        <f>('[1]资源-士兵招募时间'!E100-'[1]资源-士兵招募时间'!E99)*'[1]功能-付费相关'!AI100/节奏总纲!X98</f>
        <v>2240.3527413877105</v>
      </c>
      <c r="Q98" s="11">
        <f>('[1]资源-士兵招募时间'!F100-'[1]资源-士兵招募时间'!F99)*'[1]功能-付费相关'!AJ100/节奏总纲!Y98</f>
        <v>2428.5131679219285</v>
      </c>
      <c r="R98" s="11">
        <f>('[1]资源-士兵招募时间'!G100-'[1]资源-士兵招募时间'!G99)*'[1]功能-付费相关'!AK100/节奏总纲!Z98</f>
        <v>2807.4520330162381</v>
      </c>
      <c r="S98" s="11">
        <f>('[1]资源-士兵招募时间'!H100-'[1]资源-士兵招募时间'!H99)*'[1]功能-付费相关'!AL100/节奏总纲!AA98</f>
        <v>3138.4975452683293</v>
      </c>
      <c r="U98" s="31">
        <f>('[1]资源-木石铜粮'!C100-'[1]资源-木石铜粮'!C99)*'[1]功能-付费相关'!S100/节奏总纲!W98</f>
        <v>1407.7900401769552</v>
      </c>
      <c r="V98" s="31">
        <f>('[1]资源-木石铜粮'!D100-'[1]资源-木石铜粮'!D99)*'[1]功能-付费相关'!T100/节奏总纲!X98</f>
        <v>1496.9176779037227</v>
      </c>
      <c r="W98" s="31">
        <f>('[1]资源-木石铜粮'!E100-'[1]资源-木石铜粮'!E99)*'[1]功能-付费相关'!U100/节奏总纲!Y98</f>
        <v>1616.2091932356798</v>
      </c>
      <c r="X98" s="31">
        <f>('[1]资源-木石铜粮'!F100-'[1]资源-木石铜粮'!F99)*'[1]功能-付费相关'!V100/节奏总纲!Z98</f>
        <v>1692.9111518016468</v>
      </c>
      <c r="Y98" s="31">
        <f>('[1]资源-木石铜粮'!G100-'[1]资源-木石铜粮'!G99)*'[1]功能-付费相关'!W100/节奏总纲!AA98</f>
        <v>1901.9659007862738</v>
      </c>
      <c r="AA98" s="11">
        <f>('[1]资源-铁'!C100-'[1]资源-铁'!C99)*'[1]功能-付费相关'!X100/节奏总纲!W98</f>
        <v>390.72154335609264</v>
      </c>
      <c r="AB98" s="11">
        <f>('[1]资源-铁'!D100-'[1]资源-铁'!D99)*'[1]功能-付费相关'!Y100/节奏总纲!X98</f>
        <v>394.93232035667972</v>
      </c>
      <c r="AC98" s="11">
        <f>('[1]资源-铁'!E100-'[1]资源-铁'!E99)*'[1]功能-付费相关'!Z100/节奏总纲!Y98</f>
        <v>405.97252324711536</v>
      </c>
      <c r="AD98" s="11">
        <f>('[1]资源-铁'!F100-'[1]资源-铁'!F99)*'[1]功能-付费相关'!AA100/节奏总纲!Z98</f>
        <v>422.94554928068879</v>
      </c>
      <c r="AE98" s="11">
        <f>('[1]资源-铁'!G100-'[1]资源-铁'!G99)*'[1]功能-付费相关'!AB100/节奏总纲!AA98</f>
        <v>504.14810383590947</v>
      </c>
      <c r="AG98" s="11">
        <f>('[1]资源-银币'!C100-'[1]资源-银币'!C99)*'[1]功能-付费相关'!AQ100/节奏总纲!W98</f>
        <v>6022.5477298377309</v>
      </c>
      <c r="AH98" s="11">
        <f>('[1]资源-银币'!D100-'[1]资源-银币'!D99)*'[1]功能-付费相关'!AR100/节奏总纲!X98</f>
        <v>1809.8264467943486</v>
      </c>
      <c r="AI98" s="11">
        <f>('[1]资源-银币'!E100-'[1]资源-银币'!E99)*'[1]功能-付费相关'!AS100/节奏总纲!Y98</f>
        <v>829.61825898458096</v>
      </c>
      <c r="AJ98" s="11">
        <f>('[1]资源-银币'!F100-'[1]资源-银币'!F99)*'[1]功能-付费相关'!AT100/节奏总纲!Z98</f>
        <v>497.77096636293646</v>
      </c>
      <c r="AK98" s="11">
        <f>('[1]资源-银币'!G100-'[1]资源-银币'!G99)*'[1]功能-付费相关'!AU100/节奏总纲!AA98</f>
        <v>2109.4202323355403</v>
      </c>
      <c r="AM98" s="11" t="e">
        <f>(#REF!-#REF!)*'[1]功能-付费相关'!CA100/节奏总纲!W98</f>
        <v>#REF!</v>
      </c>
      <c r="AN98" s="11" t="e">
        <f>(#REF!-#REF!)*'[1]功能-付费相关'!CB100/节奏总纲!X98</f>
        <v>#REF!</v>
      </c>
      <c r="AO98" s="11" t="e">
        <f>(#REF!-#REF!)*'[1]功能-付费相关'!CC100/节奏总纲!Y98</f>
        <v>#REF!</v>
      </c>
      <c r="AP98" s="11" t="e">
        <f>(#REF!-#REF!)*'[1]功能-付费相关'!CD100/节奏总纲!Z98</f>
        <v>#REF!</v>
      </c>
      <c r="AQ98" s="11" t="e">
        <f>(#REF!-#REF!)*'[1]功能-付费相关'!CE100/节奏总纲!AA98</f>
        <v>#REF!</v>
      </c>
      <c r="AS98" s="11">
        <f>('[1]资源-装备经验'!C100-'[1]资源-装备经验'!C99)*'[1]功能-付费相关'!BI100/节奏总纲!W98</f>
        <v>707.22176679482925</v>
      </c>
      <c r="AT98" s="11">
        <f>('[1]资源-装备经验'!D100-'[1]资源-装备经验'!D99)*'[1]功能-付费相关'!BJ100/节奏总纲!X98</f>
        <v>1027.1499075408194</v>
      </c>
      <c r="AU98" s="11">
        <f>('[1]资源-装备经验'!E100-'[1]资源-装备经验'!E99)*'[1]功能-付费相关'!BK100/节奏总纲!Y98</f>
        <v>1423.1286996170436</v>
      </c>
      <c r="AV98" s="11">
        <f>('[1]资源-装备经验'!F100-'[1]资源-装备经验'!F99)*'[1]功能-付费相关'!BL100/节奏总纲!Z98</f>
        <v>1697.5569809642025</v>
      </c>
      <c r="AW98" s="11">
        <f>('[1]资源-装备经验'!G100-'[1]资源-装备经验'!G99)*'[1]功能-付费相关'!BM100/节奏总纲!AA98</f>
        <v>1814.1994931266829</v>
      </c>
      <c r="AY98" s="11">
        <f>('[1]资源-武将经验'!C100*节奏总纲!BJ98-'[1]资源-武将经验'!C99*节奏总纲!BJ97)*'[1]功能-付费相关'!AZ100/节奏总纲!W98</f>
        <v>4672.9262950706379</v>
      </c>
      <c r="AZ98" s="11">
        <f>('[1]资源-武将经验'!D100*节奏总纲!BK98-'[1]资源-武将经验'!D99*节奏总纲!BK97)*'[1]功能-付费相关'!BA100/节奏总纲!X98</f>
        <v>6082.2482020736115</v>
      </c>
      <c r="BA98" s="11">
        <f>('[1]资源-武将经验'!E100*节奏总纲!BL98-'[1]资源-武将经验'!E99*节奏总纲!BL97)*'[1]功能-付费相关'!BB100/节奏总纲!Y98</f>
        <v>8013.5488598305046</v>
      </c>
      <c r="BB98" s="11">
        <f>('[1]资源-武将经验'!F100*节奏总纲!BM98-'[1]资源-武将经验'!F99*节奏总纲!BM97)*'[1]功能-付费相关'!BC100/节奏总纲!Z98</f>
        <v>17367.113570734342</v>
      </c>
      <c r="BC98" s="11">
        <f>('[1]资源-武将经验'!G100*节奏总纲!BN98-'[1]资源-武将经验'!G99*节奏总纲!BN97)*'[1]功能-付费相关'!BD100/节奏总纲!AA98</f>
        <v>22796.139137826718</v>
      </c>
      <c r="BD98" s="33"/>
      <c r="BE98" s="30" t="e">
        <f t="shared" si="13"/>
        <v>#REF!</v>
      </c>
      <c r="BF98" s="30" t="e">
        <f t="shared" si="9"/>
        <v>#REF!</v>
      </c>
      <c r="BG98" s="30" t="e">
        <f t="shared" si="10"/>
        <v>#REF!</v>
      </c>
      <c r="BH98" s="30" t="e">
        <f t="shared" si="11"/>
        <v>#REF!</v>
      </c>
      <c r="BI98" s="30" t="e">
        <f t="shared" si="12"/>
        <v>#REF!</v>
      </c>
    </row>
    <row r="99" spans="2:61" x14ac:dyDescent="0.15">
      <c r="B99" s="31">
        <v>96</v>
      </c>
      <c r="C99" s="11">
        <f>('[1]资源-玩家城池建筑时间'!D101-'[1]资源-玩家城池建筑时间'!D100)*'[1]功能-付费相关'!AH101/节奏总纲!W99</f>
        <v>1932.4021712712779</v>
      </c>
      <c r="D99" s="11">
        <f>('[1]资源-玩家城池建筑时间'!E101-'[1]资源-玩家城池建筑时间'!E100)*'[1]功能-付费相关'!AI101/节奏总纲!X99</f>
        <v>2224.4566088382812</v>
      </c>
      <c r="E99" s="11">
        <f>('[1]资源-玩家城池建筑时间'!F101-'[1]资源-玩家城池建筑时间'!F100)*'[1]功能-付费相关'!AJ101/节奏总纲!Y99</f>
        <v>2538.9038016659824</v>
      </c>
      <c r="F99" s="11">
        <f>('[1]资源-玩家城池建筑时间'!G101-'[1]资源-玩家城池建筑时间'!G100)*'[1]功能-付费相关'!AK101/节奏总纲!Z99</f>
        <v>3131.2950242048928</v>
      </c>
      <c r="G99" s="11">
        <f>('[1]资源-玩家城池建筑时间'!H101-'[1]资源-玩家城池建筑时间'!H100)*'[1]功能-付费相关'!AL101/节奏总纲!AA99</f>
        <v>3117.4622231822882</v>
      </c>
      <c r="I99" s="31">
        <f>('[1]资源-士兵训练时间'!C101-'[1]资源-士兵训练时间'!C100)*'[1]功能-付费相关'!AH101/节奏总纲!W99</f>
        <v>197.61406052344546</v>
      </c>
      <c r="J99" s="31">
        <f>('[1]资源-士兵训练时间'!D101-'[1]资源-士兵训练时间'!D100)*'[1]功能-付费相关'!AI101/节奏总纲!X99</f>
        <v>199.25019251406465</v>
      </c>
      <c r="K99" s="31">
        <f>('[1]资源-士兵训练时间'!E101-'[1]资源-士兵训练时间'!E100)*'[1]功能-付费相关'!AJ101/节奏总纲!Y99</f>
        <v>206.48404815261486</v>
      </c>
      <c r="L99" s="31">
        <f>('[1]资源-士兵训练时间'!F101-'[1]资源-士兵训练时间'!F100)*'[1]功能-付费相关'!AK101/节奏总纲!Z99</f>
        <v>211.8266049666135</v>
      </c>
      <c r="M99" s="31">
        <f>('[1]资源-士兵训练时间'!G101-'[1]资源-士兵训练时间'!G100)*'[1]功能-付费相关'!AL101/节奏总纲!AA99</f>
        <v>216.41172887855214</v>
      </c>
      <c r="O99" s="11">
        <f>('[1]资源-士兵招募时间'!D101-'[1]资源-士兵招募时间'!D100)*'[1]功能-付费相关'!AH101/节奏总纲!W99</f>
        <v>2060.5504838195347</v>
      </c>
      <c r="P99" s="11">
        <f>('[1]资源-士兵招募时间'!E101-'[1]资源-士兵招募时间'!E100)*'[1]功能-付费相关'!AI101/节奏总纲!X99</f>
        <v>2241.6252445932309</v>
      </c>
      <c r="Q99" s="11">
        <f>('[1]资源-士兵招募时间'!F101-'[1]资源-士兵招募时间'!F100)*'[1]功能-付费相关'!AJ101/节奏总纲!Y99</f>
        <v>2429.7948466402568</v>
      </c>
      <c r="R99" s="11">
        <f>('[1]资源-士兵招募时间'!G101-'[1]资源-士兵招募时间'!G100)*'[1]功能-付费相关'!AK101/节奏总纲!Z99</f>
        <v>2808.745892368318</v>
      </c>
      <c r="S99" s="11">
        <f>('[1]资源-士兵招募时间'!H101-'[1]资源-士兵招募时间'!H100)*'[1]功能-付费相关'!AL101/节奏总纲!AA99</f>
        <v>3139.8183884888676</v>
      </c>
      <c r="U99" s="31">
        <f>('[1]资源-木石铜粮'!C101-'[1]资源-木石铜粮'!C100)*'[1]功能-付费相关'!S101/节奏总纲!W99</f>
        <v>1411.6609478936209</v>
      </c>
      <c r="V99" s="31">
        <f>('[1]资源-木石铜粮'!D101-'[1]资源-木石铜粮'!D100)*'[1]功能-付费相关'!T101/节奏总纲!X99</f>
        <v>1502.6066301924161</v>
      </c>
      <c r="W99" s="31">
        <f>('[1]资源-木石铜粮'!E101-'[1]资源-木石铜粮'!E100)*'[1]功能-付费相关'!U101/节奏总纲!Y99</f>
        <v>1620.7899354150288</v>
      </c>
      <c r="X99" s="31">
        <f>('[1]资源-木石铜粮'!F101-'[1]资源-木石铜粮'!F100)*'[1]功能-付费相关'!V101/节奏总纲!Z99</f>
        <v>1697.725320347809</v>
      </c>
      <c r="Y99" s="31">
        <f>('[1]资源-木石铜粮'!G101-'[1]资源-木石铜粮'!G100)*'[1]功能-付费相关'!W101/节奏总纲!AA99</f>
        <v>1908.298960183098</v>
      </c>
      <c r="AA99" s="11">
        <f>('[1]资源-铁'!C101-'[1]资源-铁'!C100)*'[1]功能-付费相关'!X101/节奏总纲!W99</f>
        <v>389.35318991597541</v>
      </c>
      <c r="AB99" s="11">
        <f>('[1]资源-铁'!D101-'[1]资源-铁'!D100)*'[1]功能-付费相关'!Y101/节奏总纲!X99</f>
        <v>394.9340596335403</v>
      </c>
      <c r="AC99" s="11">
        <f>('[1]资源-铁'!E101-'[1]资源-铁'!E100)*'[1]功能-付费相关'!Z101/节奏总纲!Y99</f>
        <v>405.1545239197626</v>
      </c>
      <c r="AD99" s="11">
        <f>('[1]资源-铁'!F101-'[1]资源-铁'!F100)*'[1]功能-付费相关'!AA101/节奏总纲!Z99</f>
        <v>422.6123409122859</v>
      </c>
      <c r="AE99" s="11">
        <f>('[1]资源-铁'!G101-'[1]资源-铁'!G100)*'[1]功能-付费相关'!AB101/节奏总纲!AA99</f>
        <v>504.56875227186674</v>
      </c>
      <c r="AG99" s="11">
        <f>('[1]资源-银币'!C101-'[1]资源-银币'!C100)*'[1]功能-付费相关'!AQ101/节奏总纲!W99</f>
        <v>6016.6520755906467</v>
      </c>
      <c r="AH99" s="11">
        <f>('[1]资源-银币'!D101-'[1]资源-银币'!D100)*'[1]功能-付费相关'!AR101/节奏总纲!X99</f>
        <v>1811.1988243419951</v>
      </c>
      <c r="AI99" s="11">
        <f>('[1]资源-银币'!E101-'[1]资源-银币'!E100)*'[1]功能-付费相关'!AS101/节奏总纲!Y99</f>
        <v>829.37970306761156</v>
      </c>
      <c r="AJ99" s="11">
        <f>('[1]资源-银币'!F101-'[1]资源-银币'!F100)*'[1]功能-付费相关'!AT101/节奏总纲!Z99</f>
        <v>497.50107476512943</v>
      </c>
      <c r="AK99" s="11">
        <f>('[1]资源-银币'!G101-'[1]资源-银币'!G100)*'[1]功能-付费相关'!AU101/节奏总纲!AA99</f>
        <v>2108.1452684226979</v>
      </c>
      <c r="AM99" s="11" t="e">
        <f>(#REF!-#REF!)*'[1]功能-付费相关'!CA101/节奏总纲!W99</f>
        <v>#REF!</v>
      </c>
      <c r="AN99" s="11" t="e">
        <f>(#REF!-#REF!)*'[1]功能-付费相关'!CB101/节奏总纲!X99</f>
        <v>#REF!</v>
      </c>
      <c r="AO99" s="11" t="e">
        <f>(#REF!-#REF!)*'[1]功能-付费相关'!CC101/节奏总纲!Y99</f>
        <v>#REF!</v>
      </c>
      <c r="AP99" s="11" t="e">
        <f>(#REF!-#REF!)*'[1]功能-付费相关'!CD101/节奏总纲!Z99</f>
        <v>#REF!</v>
      </c>
      <c r="AQ99" s="11" t="e">
        <f>(#REF!-#REF!)*'[1]功能-付费相关'!CE101/节奏总纲!AA99</f>
        <v>#REF!</v>
      </c>
      <c r="AS99" s="11">
        <f>('[1]资源-装备经验'!C101-'[1]资源-装备经验'!C100)*'[1]功能-付费相关'!BI101/节奏总纲!W99</f>
        <v>702.37660775340896</v>
      </c>
      <c r="AT99" s="11">
        <f>('[1]资源-装备经验'!D101-'[1]资源-装备经验'!D100)*'[1]功能-付费相关'!BJ101/节奏总纲!X99</f>
        <v>1020.7315608610816</v>
      </c>
      <c r="AU99" s="11">
        <f>('[1]资源-装备经验'!E101-'[1]资源-装备经验'!E100)*'[1]功能-付费相关'!BK101/节奏总纲!Y99</f>
        <v>1411.5394115366287</v>
      </c>
      <c r="AV99" s="11">
        <f>('[1]资源-装备经验'!F101-'[1]资源-装备经验'!F100)*'[1]功能-付费相关'!BL101/节奏总纲!Z99</f>
        <v>1681.9941027544276</v>
      </c>
      <c r="AW99" s="11">
        <f>('[1]资源-装备经验'!G101-'[1]资源-装备经验'!G100)*'[1]功能-付费相关'!BM101/节奏总纲!AA99</f>
        <v>1798.2697590012563</v>
      </c>
      <c r="AY99" s="11">
        <f>('[1]资源-武将经验'!C101*节奏总纲!BJ99-'[1]资源-武将经验'!C100*节奏总纲!BJ98)*'[1]功能-付费相关'!AZ101/节奏总纲!W99</f>
        <v>4636.2315219779048</v>
      </c>
      <c r="AZ99" s="11">
        <f>('[1]资源-武将经验'!D101*节奏总纲!BK99-'[1]资源-武将经验'!D100*节奏总纲!BK98)*'[1]功能-付费相关'!BA101/节奏总纲!X99</f>
        <v>6062.5600181505388</v>
      </c>
      <c r="BA99" s="11">
        <f>('[1]资源-武将经验'!E101*节奏总纲!BL99-'[1]资源-武将经验'!E100*节奏总纲!BL98)*'[1]功能-付费相关'!BB101/节奏总纲!Y99</f>
        <v>7990.6612263888019</v>
      </c>
      <c r="BB99" s="11">
        <f>('[1]资源-武将经验'!F101*节奏总纲!BM99-'[1]资源-武将经验'!F100*节奏总纲!BM98)*'[1]功能-付费相关'!BC101/节奏总纲!Z99</f>
        <v>17318.014904814652</v>
      </c>
      <c r="BC99" s="11">
        <f>('[1]资源-武将经验'!G101*节奏总纲!BN99-'[1]资源-武将经验'!G100*节奏总纲!BN98)*'[1]功能-付费相关'!BD101/节奏总纲!AA99</f>
        <v>22719.345168859458</v>
      </c>
      <c r="BD99" s="33"/>
      <c r="BE99" s="30" t="e">
        <f t="shared" si="13"/>
        <v>#REF!</v>
      </c>
      <c r="BF99" s="30" t="e">
        <f t="shared" si="9"/>
        <v>#REF!</v>
      </c>
      <c r="BG99" s="30" t="e">
        <f t="shared" si="10"/>
        <v>#REF!</v>
      </c>
      <c r="BH99" s="30" t="e">
        <f t="shared" si="11"/>
        <v>#REF!</v>
      </c>
      <c r="BI99" s="30" t="e">
        <f t="shared" si="12"/>
        <v>#REF!</v>
      </c>
    </row>
    <row r="100" spans="2:61" x14ac:dyDescent="0.15">
      <c r="B100" s="31">
        <v>97</v>
      </c>
      <c r="C100" s="11">
        <f>('[1]资源-玩家城池建筑时间'!D102-'[1]资源-玩家城池建筑时间'!D101)*'[1]功能-付费相关'!AH102/节奏总纲!W100</f>
        <v>1936.8648539209094</v>
      </c>
      <c r="D100" s="11">
        <f>('[1]资源-玩家城池建筑时间'!E102-'[1]资源-玩家城池建筑时间'!E101)*'[1]功能-付费相关'!AI102/节奏总纲!X100</f>
        <v>2229.5237724466911</v>
      </c>
      <c r="E100" s="11">
        <f>('[1]资源-玩家城池建筑时间'!F102-'[1]资源-玩家城池建筑时间'!F101)*'[1]功能-付费相关'!AJ102/节奏总纲!Y100</f>
        <v>2544.0424735272472</v>
      </c>
      <c r="F100" s="11">
        <f>('[1]资源-玩家城池建筑时间'!G102-'[1]资源-玩家城池建筑时间'!G101)*'[1]功能-付费相关'!AK102/节奏总纲!Z100</f>
        <v>3136.4852207741556</v>
      </c>
      <c r="G100" s="11">
        <f>('[1]资源-玩家城池建筑时间'!H102-'[1]资源-玩家城池建筑时间'!H101)*'[1]功能-付费相关'!AL102/节奏总纲!AA100</f>
        <v>3122.7657414108867</v>
      </c>
      <c r="I100" s="31">
        <f>('[1]资源-士兵训练时间'!C102-'[1]资源-士兵训练时间'!C101)*'[1]功能-付费相关'!AH102/节奏总纲!W100</f>
        <v>198.72812045842076</v>
      </c>
      <c r="J100" s="31">
        <f>('[1]资源-士兵训练时间'!D102-'[1]资源-士兵训练时间'!D101)*'[1]功能-付费相关'!AI102/节奏总纲!X100</f>
        <v>200.51487569430688</v>
      </c>
      <c r="K100" s="31">
        <f>('[1]资源-士兵训练时间'!E102-'[1]资源-士兵训练时间'!E101)*'[1]功能-付费相关'!AJ102/节奏总纲!Y100</f>
        <v>207.76724409790756</v>
      </c>
      <c r="L100" s="31">
        <f>('[1]资源-士兵训练时间'!F102-'[1]资源-士兵训练时间'!F101)*'[1]功能-付费相关'!AK102/节奏总纲!Z100</f>
        <v>213.12261874773347</v>
      </c>
      <c r="M100" s="31">
        <f>('[1]资源-士兵训练时间'!G102-'[1]资源-士兵训练时间'!G101)*'[1]功能-付费相关'!AL102/节奏总纲!AA100</f>
        <v>217.7361753080842</v>
      </c>
      <c r="O100" s="11">
        <f>('[1]资源-士兵招募时间'!D102-'[1]资源-士兵招募时间'!D101)*'[1]功能-付费相关'!AH102/节奏总纲!W100</f>
        <v>2061.6645437545153</v>
      </c>
      <c r="P100" s="11">
        <f>('[1]资源-士兵招募时间'!E102-'[1]资源-士兵招募时间'!E101)*'[1]功能-付费相关'!AI102/节奏总纲!X100</f>
        <v>2242.8899277734786</v>
      </c>
      <c r="Q100" s="11">
        <f>('[1]资源-士兵招募时间'!F102-'[1]资源-士兵招募时间'!F101)*'[1]功能-付费相关'!AJ102/节奏总纲!Y100</f>
        <v>2431.0780425855487</v>
      </c>
      <c r="R100" s="11">
        <f>('[1]资源-士兵招募时间'!G102-'[1]资源-士兵招募时间'!G101)*'[1]功能-付费相关'!AK102/节奏总纲!Z100</f>
        <v>2810.0419061494267</v>
      </c>
      <c r="S100" s="11">
        <f>('[1]资源-士兵招募时间'!H102-'[1]资源-士兵招募时间'!H101)*'[1]功能-付费相关'!AL102/节奏总纲!AA100</f>
        <v>3141.1428349183902</v>
      </c>
      <c r="U100" s="31">
        <f>('[1]资源-木石铜粮'!C102-'[1]资源-木石铜粮'!C101)*'[1]功能-付费相关'!S102/节奏总纲!W100</f>
        <v>1415.8902562504227</v>
      </c>
      <c r="V100" s="31">
        <f>('[1]资源-木石铜粮'!D102-'[1]资源-木石铜粮'!D101)*'[1]功能-付费相关'!T102/节奏总纲!X100</f>
        <v>1505.477498431472</v>
      </c>
      <c r="W100" s="31">
        <f>('[1]资源-木石铜粮'!E102-'[1]资源-木石铜粮'!E101)*'[1]功能-付费相关'!U102/节奏总纲!Y100</f>
        <v>1625.9108717974959</v>
      </c>
      <c r="X100" s="31">
        <f>('[1]资源-木石铜粮'!F102-'[1]资源-木石铜粮'!F101)*'[1]功能-付费相关'!V102/节奏总纲!Z100</f>
        <v>1703.2648958024852</v>
      </c>
      <c r="Y100" s="31">
        <f>('[1]资源-木石铜粮'!G102-'[1]资源-木石铜粮'!G101)*'[1]功能-付费相关'!W102/节奏总纲!AA100</f>
        <v>1915.8209962320782</v>
      </c>
      <c r="AA100" s="11">
        <f>('[1]资源-铁'!C102-'[1]资源-铁'!C101)*'[1]功能-付费相关'!X102/节奏总纲!W100</f>
        <v>388.25683638278025</v>
      </c>
      <c r="AB100" s="11">
        <f>('[1]资源-铁'!D102-'[1]资源-铁'!D101)*'[1]功能-付费相关'!Y102/节奏总纲!X100</f>
        <v>392.82362774354721</v>
      </c>
      <c r="AC100" s="11">
        <f>('[1]资源-铁'!E102-'[1]资源-铁'!E101)*'[1]功能-付费相关'!Z102/节奏总纲!Y100</f>
        <v>404.73237775280711</v>
      </c>
      <c r="AD100" s="11">
        <f>('[1]资源-铁'!F102-'[1]资源-铁'!F101)*'[1]功能-付费相关'!AA102/节奏总纲!Z100</f>
        <v>422.75980726639216</v>
      </c>
      <c r="AE100" s="11">
        <f>('[1]资源-铁'!G102-'[1]资源-铁'!G101)*'[1]功能-付费相关'!AB102/节奏总纲!AA100</f>
        <v>505.7518461007337</v>
      </c>
      <c r="AG100" s="11">
        <f>('[1]资源-银币'!C102-'[1]资源-银币'!C101)*'[1]功能-付费相关'!AQ102/节奏总纲!W100</f>
        <v>6012.6962572568236</v>
      </c>
      <c r="AH100" s="11">
        <f>('[1]资源-银币'!D102-'[1]资源-银币'!D101)*'[1]功能-付费相关'!AR102/节奏总纲!X100</f>
        <v>1808.5912732325564</v>
      </c>
      <c r="AI100" s="11">
        <f>('[1]资源-银币'!E102-'[1]资源-银币'!E101)*'[1]功能-付费相关'!AS102/节奏总纲!Y100</f>
        <v>829.4746862533849</v>
      </c>
      <c r="AJ100" s="11">
        <f>('[1]资源-银币'!F102-'[1]资源-银币'!F101)*'[1]功能-付费相关'!AT102/节奏总纲!Z100</f>
        <v>497.5043116402839</v>
      </c>
      <c r="AK100" s="11">
        <f>('[1]资源-银币'!G102-'[1]资源-银币'!G101)*'[1]功能-付费相关'!AU102/节奏总纲!AA100</f>
        <v>2108.7616086703574</v>
      </c>
      <c r="AM100" s="11" t="e">
        <f>(#REF!-#REF!)*'[1]功能-付费相关'!CA102/节奏总纲!W100</f>
        <v>#REF!</v>
      </c>
      <c r="AN100" s="11" t="e">
        <f>(#REF!-#REF!)*'[1]功能-付费相关'!CB102/节奏总纲!X100</f>
        <v>#REF!</v>
      </c>
      <c r="AO100" s="11" t="e">
        <f>(#REF!-#REF!)*'[1]功能-付费相关'!CC102/节奏总纲!Y100</f>
        <v>#REF!</v>
      </c>
      <c r="AP100" s="11" t="e">
        <f>(#REF!-#REF!)*'[1]功能-付费相关'!CD102/节奏总纲!Z100</f>
        <v>#REF!</v>
      </c>
      <c r="AQ100" s="11" t="e">
        <f>(#REF!-#REF!)*'[1]功能-付费相关'!CE102/节奏总纲!AA100</f>
        <v>#REF!</v>
      </c>
      <c r="AS100" s="11">
        <f>('[1]资源-装备经验'!C102-'[1]资源-装备经验'!C101)*'[1]功能-付费相关'!BI102/节奏总纲!W100</f>
        <v>698.05141366109672</v>
      </c>
      <c r="AT100" s="11">
        <f>('[1]资源-装备经验'!D102-'[1]资源-装备经验'!D101)*'[1]功能-付费相关'!BJ102/节奏总纲!X100</f>
        <v>1012.5934634844283</v>
      </c>
      <c r="AU100" s="11">
        <f>('[1]资源-装备经验'!E102-'[1]资源-装备经验'!E101)*'[1]功能-付费相关'!BK102/节奏总纲!Y100</f>
        <v>1401.457206766361</v>
      </c>
      <c r="AV100" s="11">
        <f>('[1]资源-装备经验'!F102-'[1]资源-装备经验'!F101)*'[1]功能-付费相关'!BL102/节奏总纲!Z100</f>
        <v>1668.786347372506</v>
      </c>
      <c r="AW100" s="11">
        <f>('[1]资源-装备经验'!G102-'[1]资源-装备经验'!G101)*'[1]功能-付费相关'!BM102/节奏总纲!AA100</f>
        <v>1785.5355482269879</v>
      </c>
      <c r="AY100" s="11">
        <f>('[1]资源-武将经验'!C102*节奏总纲!BJ100-'[1]资源-武将经验'!C101*节奏总纲!BJ99)*'[1]功能-付费相关'!AZ102/节奏总纲!W100</f>
        <v>4601.7483751359005</v>
      </c>
      <c r="AZ100" s="11">
        <f>('[1]资源-武将经验'!D102*节奏总纲!BK100-'[1]资源-武将经验'!D101*节奏总纲!BK99)*'[1]功能-付费相关'!BA102/节奏总纲!X100</f>
        <v>6023.5234416247213</v>
      </c>
      <c r="BA100" s="11">
        <f>('[1]资源-武将经验'!E102*节奏总纲!BL100-'[1]资源-武将经验'!E101*节奏总纲!BL99)*'[1]功能-付费相关'!BB102/节奏总纲!Y100</f>
        <v>7972.2563559417185</v>
      </c>
      <c r="BB100" s="11">
        <f>('[1]资源-武将经验'!F102*节奏总纲!BM100-'[1]资源-武将经验'!F101*节奏总纲!BM99)*'[1]功能-付费相关'!BC102/节奏总纲!Z100</f>
        <v>17284.223013965318</v>
      </c>
      <c r="BC100" s="11">
        <f>('[1]资源-武将经验'!G102*节奏总纲!BN100-'[1]资源-武将经验'!G101*节奏总纲!BN99)*'[1]功能-付费相关'!BD102/节奏总纲!AA100</f>
        <v>22679.241704003169</v>
      </c>
      <c r="BD100" s="33"/>
      <c r="BE100" s="30" t="e">
        <f t="shared" si="13"/>
        <v>#REF!</v>
      </c>
      <c r="BF100" s="30" t="e">
        <f t="shared" si="9"/>
        <v>#REF!</v>
      </c>
      <c r="BG100" s="30" t="e">
        <f t="shared" si="10"/>
        <v>#REF!</v>
      </c>
      <c r="BH100" s="30" t="e">
        <f t="shared" si="11"/>
        <v>#REF!</v>
      </c>
      <c r="BI100" s="30" t="e">
        <f t="shared" si="12"/>
        <v>#REF!</v>
      </c>
    </row>
    <row r="101" spans="2:61" x14ac:dyDescent="0.15">
      <c r="B101" s="31">
        <v>98</v>
      </c>
      <c r="C101" s="11">
        <f>('[1]资源-玩家城池建筑时间'!D103-'[1]资源-玩家城池建筑时间'!D102)*'[1]功能-付费相关'!AH103/节奏总纲!W101</f>
        <v>1940.7304887256762</v>
      </c>
      <c r="D101" s="11">
        <f>('[1]资源-玩家城池建筑时间'!E103-'[1]资源-玩家城池建筑时间'!E102)*'[1]功能-付费相关'!AI103/节奏总纲!X101</f>
        <v>2234.6280058888015</v>
      </c>
      <c r="E101" s="11">
        <f>('[1]资源-玩家城池建筑时间'!F103-'[1]资源-玩家城池建筑时间'!F102)*'[1]功能-付费相关'!AJ103/节奏总纲!Y101</f>
        <v>2549.1784952303246</v>
      </c>
      <c r="F101" s="11">
        <f>('[1]资源-玩家城池建筑时间'!G103-'[1]资源-玩家城池建筑时间'!G102)*'[1]功能-付费相关'!AK103/节奏总纲!Z101</f>
        <v>3141.6785191600943</v>
      </c>
      <c r="G101" s="11">
        <f>('[1]资源-玩家城池建筑时间'!H103-'[1]资源-玩家城池建筑时间'!H102)*'[1]功能-付费相关'!AL103/节奏总纲!AA101</f>
        <v>3128.071258111514</v>
      </c>
      <c r="I101" s="31">
        <f>('[1]资源-士兵训练时间'!C103-'[1]资源-士兵训练时间'!C102)*'[1]功能-付费相关'!AH103/节奏总纲!W101</f>
        <v>199.69302629777903</v>
      </c>
      <c r="J101" s="31">
        <f>('[1]资源-士兵训练时间'!D103-'[1]资源-士兵训练时间'!D102)*'[1]功能-付费相关'!AI103/节奏总纲!X101</f>
        <v>201.7900566136706</v>
      </c>
      <c r="K101" s="31">
        <f>('[1]资源-士兵训练时间'!E103-'[1]资源-士兵训练时间'!E102)*'[1]功能-付费相关'!AJ103/节奏总纲!Y101</f>
        <v>209.04968954969038</v>
      </c>
      <c r="L101" s="31">
        <f>('[1]资源-士兵训练时间'!F103-'[1]资源-士兵训练时间'!F102)*'[1]功能-付费相关'!AK103/节奏总纲!Z101</f>
        <v>214.41951092669566</v>
      </c>
      <c r="M101" s="31">
        <f>('[1]资源-士兵训练时间'!G103-'[1]资源-士兵训练时间'!G102)*'[1]功能-付费相关'!AL103/节奏总纲!AA101</f>
        <v>219.06118768129434</v>
      </c>
      <c r="O101" s="11">
        <f>('[1]资源-士兵招募时间'!D103-'[1]资源-士兵招募时间'!D102)*'[1]功能-付费相关'!AH103/节奏总纲!W101</f>
        <v>2062.6294495938691</v>
      </c>
      <c r="P101" s="11">
        <f>('[1]资源-士兵招募时间'!E103-'[1]资源-士兵招募时间'!E102)*'[1]功能-付费相关'!AI103/节奏总纲!X101</f>
        <v>2244.1651086928359</v>
      </c>
      <c r="Q101" s="11">
        <f>('[1]资源-士兵招募时间'!F103-'[1]资源-士兵招募时间'!F102)*'[1]功能-付费相关'!AJ103/节奏总纲!Y101</f>
        <v>2432.3604880373441</v>
      </c>
      <c r="R101" s="11">
        <f>('[1]资源-士兵招募时间'!G103-'[1]资源-士兵招募时间'!G102)*'[1]功能-付费相关'!AK103/节奏总纲!Z101</f>
        <v>2811.338798328391</v>
      </c>
      <c r="S101" s="11">
        <f>('[1]资源-士兵招募时间'!H103-'[1]资源-士兵招募时间'!H102)*'[1]功能-付费相关'!AL103/节奏总纲!AA101</f>
        <v>3142.4678472916148</v>
      </c>
      <c r="U101" s="31">
        <f>('[1]资源-木石铜粮'!C103-'[1]资源-木石铜粮'!C102)*'[1]功能-付费相关'!S103/节奏总纲!W101</f>
        <v>1420.453964228695</v>
      </c>
      <c r="V101" s="31">
        <f>('[1]资源-木石铜粮'!D103-'[1]资源-木石铜粮'!D102)*'[1]功能-付费相关'!T103/节奏总纲!X101</f>
        <v>1512.1314121345613</v>
      </c>
      <c r="W101" s="31">
        <f>('[1]资源-木石铜粮'!E103-'[1]资源-木石铜粮'!E102)*'[1]功能-付费相关'!U103/节奏总纲!Y101</f>
        <v>1630.7646021161984</v>
      </c>
      <c r="X101" s="31">
        <f>('[1]资源-木石铜粮'!F103-'[1]资源-木石铜粮'!F102)*'[1]功能-付费相关'!V103/节奏总纲!Z101</f>
        <v>1709.1002321546189</v>
      </c>
      <c r="Y101" s="31">
        <f>('[1]资源-木石铜粮'!G103-'[1]资源-木石铜粮'!G102)*'[1]功能-付费相关'!W103/节奏总纲!AA101</f>
        <v>1923.5297807654836</v>
      </c>
      <c r="AA101" s="11">
        <f>('[1]资源-铁'!C103-'[1]资源-铁'!C102)*'[1]功能-付费相关'!X103/节奏总纲!W101</f>
        <v>387.41426773643678</v>
      </c>
      <c r="AB101" s="11">
        <f>('[1]资源-铁'!D103-'[1]资源-铁'!D102)*'[1]功能-付费相关'!Y103/节奏总纲!X101</f>
        <v>393.54861148036849</v>
      </c>
      <c r="AC101" s="11">
        <f>('[1]资源-铁'!E103-'[1]资源-铁'!E102)*'[1]功能-付费相关'!Z103/节奏总纲!Y101</f>
        <v>404.11442355198278</v>
      </c>
      <c r="AD101" s="11">
        <f>('[1]资源-铁'!F103-'[1]资源-铁'!F102)*'[1]功能-付费相关'!AA103/节奏总纲!Z101</f>
        <v>423.1032529882815</v>
      </c>
      <c r="AE101" s="11">
        <f>('[1]资源-铁'!G103-'[1]资源-铁'!G102)*'[1]功能-付费相关'!AB103/节奏总纲!AA101</f>
        <v>507.05469461218189</v>
      </c>
      <c r="AG101" s="11">
        <f>('[1]资源-银币'!C103-'[1]资源-银币'!C102)*'[1]功能-付费相关'!AQ103/节奏总纲!W101</f>
        <v>6010.5503698282691</v>
      </c>
      <c r="AH101" s="11">
        <f>('[1]资源-银币'!D103-'[1]资源-银币'!D102)*'[1]功能-付费相关'!AR103/节奏总纲!X101</f>
        <v>1811.3264481696617</v>
      </c>
      <c r="AI101" s="11">
        <f>('[1]资源-银币'!E103-'[1]资源-银币'!E102)*'[1]功能-付费相关'!AS103/节奏总纲!Y101</f>
        <v>829.40468493869844</v>
      </c>
      <c r="AJ101" s="11">
        <f>('[1]资源-银币'!F103-'[1]资源-银币'!F102)*'[1]功能-付费相关'!AT103/节奏总纲!Z101</f>
        <v>497.6189077006527</v>
      </c>
      <c r="AK101" s="11">
        <f>('[1]资源-银币'!G103-'[1]资源-银币'!G102)*'[1]功能-付费相关'!AU103/节奏总纲!AA101</f>
        <v>2109.6750095751077</v>
      </c>
      <c r="AM101" s="11" t="e">
        <f>(#REF!-#REF!)*'[1]功能-付费相关'!CA103/节奏总纲!W101</f>
        <v>#REF!</v>
      </c>
      <c r="AN101" s="11" t="e">
        <f>(#REF!-#REF!)*'[1]功能-付费相关'!CB103/节奏总纲!X101</f>
        <v>#REF!</v>
      </c>
      <c r="AO101" s="11" t="e">
        <f>(#REF!-#REF!)*'[1]功能-付费相关'!CC103/节奏总纲!Y101</f>
        <v>#REF!</v>
      </c>
      <c r="AP101" s="11" t="e">
        <f>(#REF!-#REF!)*'[1]功能-付费相关'!CD103/节奏总纲!Z101</f>
        <v>#REF!</v>
      </c>
      <c r="AQ101" s="11" t="e">
        <f>(#REF!-#REF!)*'[1]功能-付费相关'!CE103/节奏总纲!AA101</f>
        <v>#REF!</v>
      </c>
      <c r="AS101" s="11">
        <f>('[1]资源-装备经验'!C103-'[1]资源-装备经验'!C102)*'[1]功能-付费相关'!BI103/节奏总纲!W101</f>
        <v>694.18920342606634</v>
      </c>
      <c r="AT101" s="11">
        <f>('[1]资源-装备经验'!D103-'[1]资源-装备经验'!D102)*'[1]功能-付费相关'!BJ103/节奏总纲!X101</f>
        <v>1007.8495568837988</v>
      </c>
      <c r="AU101" s="11">
        <f>('[1]资源-装备经验'!E103-'[1]资源-装备经验'!E102)*'[1]功能-付费相关'!BK103/节奏总纲!Y101</f>
        <v>1391.804945167062</v>
      </c>
      <c r="AV101" s="11">
        <f>('[1]资源-装备经验'!F103-'[1]资源-装备经验'!F102)*'[1]功能-付费相关'!BL103/节奏总纲!Z101</f>
        <v>1657.0155589880492</v>
      </c>
      <c r="AW101" s="11">
        <f>('[1]资源-装备经验'!G103-'[1]资源-装备经验'!G102)*'[1]功能-付费相关'!BM103/节奏总纲!AA101</f>
        <v>1774.0295060274962</v>
      </c>
      <c r="AY101" s="11">
        <f>('[1]资源-武将经验'!C103*节奏总纲!BJ101-'[1]资源-武将经验'!C102*节奏总纲!BJ100)*'[1]功能-付费相关'!AZ103/节奏总纲!W101</f>
        <v>4568.4277171550748</v>
      </c>
      <c r="AZ101" s="11">
        <f>('[1]资源-武将经验'!D103*节奏总纲!BK101-'[1]资源-武将经验'!D102*节奏总纲!BK100)*'[1]功能-付费相关'!BA103/节奏总纲!X101</f>
        <v>6010.8511910475172</v>
      </c>
      <c r="BA101" s="11">
        <f>('[1]资源-武将经验'!E103*节奏总纲!BL101-'[1]资源-武将经验'!E102*节奏总纲!BL100)*'[1]功能-付费相关'!BB103/节奏总纲!Y101</f>
        <v>7950.7621124364096</v>
      </c>
      <c r="BB101" s="11">
        <f>('[1]资源-武将经验'!F103*节奏总纲!BM101-'[1]资源-武将经验'!F102*节奏总纲!BM100)*'[1]功能-付费相关'!BC103/节奏总纲!Z101</f>
        <v>17256.341103494666</v>
      </c>
      <c r="BC101" s="11">
        <f>('[1]资源-武将经验'!G103*节奏总纲!BN101-'[1]资源-武将经验'!G102*节奏总纲!BN100)*'[1]功能-付费相关'!BD103/节奏总纲!AA101</f>
        <v>22644.708540899224</v>
      </c>
      <c r="BD101" s="33"/>
      <c r="BE101" s="30" t="e">
        <f t="shared" si="13"/>
        <v>#REF!</v>
      </c>
      <c r="BF101" s="30" t="e">
        <f t="shared" si="9"/>
        <v>#REF!</v>
      </c>
      <c r="BG101" s="30" t="e">
        <f t="shared" si="10"/>
        <v>#REF!</v>
      </c>
      <c r="BH101" s="30" t="e">
        <f t="shared" si="11"/>
        <v>#REF!</v>
      </c>
      <c r="BI101" s="30" t="e">
        <f t="shared" si="12"/>
        <v>#REF!</v>
      </c>
    </row>
    <row r="102" spans="2:61" x14ac:dyDescent="0.15">
      <c r="B102" s="31">
        <v>99</v>
      </c>
      <c r="C102" s="11">
        <f>('[1]资源-玩家城池建筑时间'!D104-'[1]资源-玩家城池建筑时间'!D103)*'[1]功能-付费相关'!AH104/节奏总纲!W102</f>
        <v>1944.6774034160123</v>
      </c>
      <c r="D102" s="11">
        <f>('[1]资源-玩家城池建筑时间'!E104-'[1]资源-玩家城池建筑时间'!E103)*'[1]功能-付费相关'!AI104/节奏总纲!X102</f>
        <v>2239.6989099495368</v>
      </c>
      <c r="E102" s="11">
        <f>('[1]资源-玩家城池建筑时间'!F104-'[1]资源-玩家城池建筑时间'!F103)*'[1]功能-付费相关'!AJ104/节奏总纲!Y102</f>
        <v>2554.3220416786435</v>
      </c>
      <c r="F102" s="11">
        <f>('[1]资源-玩家城池建筑时间'!G104-'[1]资源-玩家城池建筑时间'!G103)*'[1]功能-付费相关'!AK104/节奏总纲!Z102</f>
        <v>3146.8651262243666</v>
      </c>
      <c r="G102" s="11">
        <f>('[1]资源-玩家城池建筑时间'!H104-'[1]资源-玩家城池建筑时间'!H103)*'[1]功能-付费相关'!AL104/节奏总纲!AA102</f>
        <v>3133.3655101895361</v>
      </c>
      <c r="I102" s="31">
        <f>('[1]资源-士兵训练时间'!C104-'[1]资源-士兵训练时间'!C103)*'[1]功能-付费相关'!AH104/节奏总纲!W102</f>
        <v>200.67835275069328</v>
      </c>
      <c r="J102" s="31">
        <f>('[1]资源-士兵训练时间'!D104-'[1]资源-士兵训练时间'!D103)*'[1]功能-付费相关'!AI104/节奏总纲!X102</f>
        <v>203.05579904583837</v>
      </c>
      <c r="K102" s="31">
        <f>('[1]资源-士兵训练时间'!E104-'[1]资源-士兵训练时间'!E103)*'[1]功能-付费相关'!AJ104/节奏总纲!Y102</f>
        <v>210.33426592046158</v>
      </c>
      <c r="L102" s="31">
        <f>('[1]资源-士兵训练时间'!F104-'[1]资源-士兵训练时间'!F103)*'[1]功能-付费相关'!AK104/节奏总纲!Z102</f>
        <v>215.71450820238667</v>
      </c>
      <c r="M102" s="31">
        <f>('[1]资源-士兵训练时间'!G104-'[1]资源-士兵训练时间'!G103)*'[1]功能-付费相关'!AL104/节奏总纲!AA102</f>
        <v>220.38301004640448</v>
      </c>
      <c r="O102" s="11">
        <f>('[1]资源-士兵招募时间'!D104-'[1]资源-士兵招募时间'!D103)*'[1]功能-付费相关'!AH104/节奏总纲!W102</f>
        <v>2063.614776046787</v>
      </c>
      <c r="P102" s="11">
        <f>('[1]资源-士兵招募时间'!E104-'[1]资源-士兵招募时间'!E103)*'[1]功能-付费相关'!AI104/节奏总纲!X102</f>
        <v>2245.430851124996</v>
      </c>
      <c r="Q102" s="11">
        <f>('[1]资源-士兵招募时间'!F104-'[1]资源-士兵招募时间'!F103)*'[1]功能-付费相关'!AJ104/节奏总纲!Y102</f>
        <v>2433.6450644081074</v>
      </c>
      <c r="R102" s="11">
        <f>('[1]资源-士兵招募时间'!G104-'[1]资源-士兵招募时间'!G103)*'[1]功能-付费相关'!AK104/节奏总纲!Z102</f>
        <v>2812.6337956040957</v>
      </c>
      <c r="S102" s="11">
        <f>('[1]资源-士兵招募时间'!H104-'[1]资源-士兵招募时间'!H103)*'[1]功能-付费相关'!AL104/节奏总纲!AA102</f>
        <v>3143.7896696567218</v>
      </c>
      <c r="U102" s="31">
        <f>('[1]资源-木石铜粮'!C104-'[1]资源-木石铜粮'!C103)*'[1]功能-付费相关'!S104/节奏总纲!W102</f>
        <v>1425.3296780861383</v>
      </c>
      <c r="V102" s="31">
        <f>('[1]资源-木石铜粮'!D104-'[1]资源-木石铜粮'!D103)*'[1]功能-付费相关'!T104/节奏总纲!X102</f>
        <v>1515.3840004879912</v>
      </c>
      <c r="W102" s="31">
        <f>('[1]资源-木石铜粮'!E104-'[1]资源-木石铜粮'!E103)*'[1]功能-付费相关'!U104/节奏总纲!Y102</f>
        <v>1636.3770258401046</v>
      </c>
      <c r="X102" s="31">
        <f>('[1]资源-木石铜粮'!F104-'[1]资源-木石铜粮'!F103)*'[1]功能-付费相关'!V104/节奏总纲!Z102</f>
        <v>1714.297545206131</v>
      </c>
      <c r="Y102" s="31">
        <f>('[1]资源-木石铜粮'!G104-'[1]资源-木石铜粮'!G103)*'[1]功能-付费相关'!W104/节奏总纲!AA102</f>
        <v>1930.1859355063511</v>
      </c>
      <c r="AA102" s="11">
        <f>('[1]资源-铁'!C104-'[1]资源-铁'!C103)*'[1]功能-付费相关'!X104/节奏总纲!W102</f>
        <v>386.80848876228322</v>
      </c>
      <c r="AB102" s="11">
        <f>('[1]资源-铁'!D104-'[1]资源-铁'!D103)*'[1]功能-付费相关'!Y104/节奏总纲!X102</f>
        <v>391.72428114206201</v>
      </c>
      <c r="AC102" s="11">
        <f>('[1]资源-铁'!E104-'[1]资源-铁'!E103)*'[1]功能-付费相关'!Z104/节奏总纲!Y102</f>
        <v>404.05243826102327</v>
      </c>
      <c r="AD102" s="11">
        <f>('[1]资源-铁'!F104-'[1]资源-铁'!F103)*'[1]功能-付费相关'!AA104/节奏总纲!Z102</f>
        <v>423.02392678812345</v>
      </c>
      <c r="AE102" s="11">
        <f>('[1]资源-铁'!G104-'[1]资源-铁'!G103)*'[1]功能-付费相关'!AB104/节奏总纲!AA102</f>
        <v>507.68253177307633</v>
      </c>
      <c r="AG102" s="11">
        <f>('[1]资源-银币'!C104-'[1]资源-银币'!C103)*'[1]功能-付费相关'!AQ104/节奏总纲!W102</f>
        <v>6010.0932076466379</v>
      </c>
      <c r="AH102" s="11">
        <f>('[1]资源-银币'!D104-'[1]资源-银币'!D103)*'[1]功能-付费相关'!AR104/节奏总纲!X102</f>
        <v>1809.2579934091896</v>
      </c>
      <c r="AI102" s="11">
        <f>('[1]资源-银币'!E104-'[1]资源-银币'!E103)*'[1]功能-付费相关'!AS104/节奏总纲!Y102</f>
        <v>829.80313351880136</v>
      </c>
      <c r="AJ102" s="11">
        <f>('[1]资源-银币'!F104-'[1]资源-银币'!F103)*'[1]功能-付费相关'!AT104/节奏总纲!Z102</f>
        <v>497.49327675496409</v>
      </c>
      <c r="AK102" s="11">
        <f>('[1]资源-银币'!G104-'[1]资源-银币'!G103)*'[1]功能-付费相关'!AU104/节奏总纲!AA102</f>
        <v>2108.9139931542913</v>
      </c>
      <c r="AM102" s="11" t="e">
        <f>(#REF!-#REF!)*'[1]功能-付费相关'!CA104/节奏总纲!W102</f>
        <v>#REF!</v>
      </c>
      <c r="AN102" s="11" t="e">
        <f>(#REF!-#REF!)*'[1]功能-付费相关'!CB104/节奏总纲!X102</f>
        <v>#REF!</v>
      </c>
      <c r="AO102" s="11" t="e">
        <f>(#REF!-#REF!)*'[1]功能-付费相关'!CC104/节奏总纲!Y102</f>
        <v>#REF!</v>
      </c>
      <c r="AP102" s="11" t="e">
        <f>(#REF!-#REF!)*'[1]功能-付费相关'!CD104/节奏总纲!Z102</f>
        <v>#REF!</v>
      </c>
      <c r="AQ102" s="11" t="e">
        <f>(#REF!-#REF!)*'[1]功能-付费相关'!CE104/节奏总纲!AA102</f>
        <v>#REF!</v>
      </c>
      <c r="AS102" s="11">
        <f>('[1]资源-装备经验'!C104-'[1]资源-装备经验'!C103)*'[1]功能-付费相关'!BI104/节奏总纲!W102</f>
        <v>690.73929865341017</v>
      </c>
      <c r="AT102" s="11">
        <f>('[1]资源-装备经验'!D104-'[1]资源-装备经验'!D103)*'[1]功能-付费相关'!BJ104/节奏总纲!X102</f>
        <v>1001.0541886365681</v>
      </c>
      <c r="AU102" s="11">
        <f>('[1]资源-装备经验'!E104-'[1]资源-装备经验'!E103)*'[1]功能-付费相关'!BK104/节奏总纲!Y102</f>
        <v>1383.7031542198404</v>
      </c>
      <c r="AV102" s="11">
        <f>('[1]资源-装备经验'!F104-'[1]资源-装备经验'!F103)*'[1]功能-付费相关'!BL104/节奏总纲!Z102</f>
        <v>1645.161029576456</v>
      </c>
      <c r="AW102" s="11">
        <f>('[1]资源-装备经验'!G104-'[1]资源-装备经验'!G103)*'[1]功能-付费相关'!BM104/节奏总纲!AA102</f>
        <v>1761.760221966611</v>
      </c>
      <c r="AY102" s="11">
        <f>('[1]资源-武将经验'!C104*节奏总纲!BJ102-'[1]资源-武将经验'!C103*节奏总纲!BJ101)*'[1]功能-付费相关'!AZ104/节奏总纲!W102</f>
        <v>4536.7439574800164</v>
      </c>
      <c r="AZ102" s="11">
        <f>('[1]资源-武将经验'!D104*节奏总纲!BK102-'[1]资源-武将经验'!D103*节奏总纲!BK101)*'[1]功能-付费相关'!BA104/节奏总纲!X102</f>
        <v>5972.6541482346402</v>
      </c>
      <c r="BA102" s="11">
        <f>('[1]资源-武将经验'!E104*节奏总纲!BL102-'[1]资源-武将经验'!E103*节奏总纲!BL101)*'[1]功能-付费相关'!BB104/节奏总纲!Y102</f>
        <v>7936.2927330470575</v>
      </c>
      <c r="BB102" s="11">
        <f>('[1]资源-武将经验'!F104*节奏总纲!BM102-'[1]资源-武将经验'!F103*节奏总纲!BM101)*'[1]功能-付费相关'!BC104/节奏总纲!Z102</f>
        <v>17212.347045602259</v>
      </c>
      <c r="BC102" s="11">
        <f>('[1]资源-武将经验'!G104*节奏总纲!BN102-'[1]资源-武将经验'!G103*节奏总纲!BN101)*'[1]功能-付费相关'!BD104/节奏总纲!AA102</f>
        <v>22574.899220620577</v>
      </c>
      <c r="BD102" s="33"/>
      <c r="BE102" s="30" t="e">
        <f t="shared" si="13"/>
        <v>#REF!</v>
      </c>
      <c r="BF102" s="30" t="e">
        <f t="shared" si="9"/>
        <v>#REF!</v>
      </c>
      <c r="BG102" s="30" t="e">
        <f t="shared" si="10"/>
        <v>#REF!</v>
      </c>
      <c r="BH102" s="30" t="e">
        <f t="shared" si="11"/>
        <v>#REF!</v>
      </c>
      <c r="BI102" s="30" t="e">
        <f t="shared" si="12"/>
        <v>#REF!</v>
      </c>
    </row>
    <row r="103" spans="2:61" x14ac:dyDescent="0.15">
      <c r="B103" s="31">
        <v>100</v>
      </c>
      <c r="C103" s="11">
        <f>('[1]资源-玩家城池建筑时间'!D105-'[1]资源-玩家城池建筑时间'!D104)*'[1]功能-付费相关'!AH105/节奏总纲!W103</f>
        <v>1934.5278916551672</v>
      </c>
      <c r="D103" s="11">
        <f>('[1]资源-玩家城池建筑时间'!E105-'[1]资源-玩家城池建筑时间'!E104)*'[1]功能-付费相关'!AI105/节奏总纲!X103</f>
        <v>2244.8065683723294</v>
      </c>
      <c r="E103" s="11">
        <f>('[1]资源-玩家城池建筑时间'!F105-'[1]资源-玩家城池建筑时间'!F104)*'[1]功能-付费相关'!AJ105/节奏总纲!Y103</f>
        <v>2559.4665918828882</v>
      </c>
      <c r="F103" s="11">
        <f>('[1]资源-玩家城池建筑时间'!G105-'[1]资源-玩家城池建筑时间'!G104)*'[1]功能-付费相关'!AK105/节奏总纲!Z103</f>
        <v>3152.0704856945713</v>
      </c>
      <c r="G103" s="11">
        <f>('[1]资源-玩家城池建筑时间'!H105-'[1]资源-玩家城池建筑时间'!H104)*'[1]功能-付费相关'!AL105/节奏总纲!AA103</f>
        <v>3138.6762672183891</v>
      </c>
      <c r="I103" s="31">
        <f>('[1]资源-士兵训练时间'!C105-'[1]资源-士兵训练时间'!C104)*'[1]功能-付费相关'!AH105/节奏总纲!W103</f>
        <v>198.13966649326835</v>
      </c>
      <c r="J103" s="31">
        <f>('[1]资源-士兵训练时间'!D105-'[1]资源-士兵训练时间'!D104)*'[1]功能-付费相关'!AI105/节奏总纲!X103</f>
        <v>204.33194987927706</v>
      </c>
      <c r="K103" s="31">
        <f>('[1]资源-士兵训练时间'!E105-'[1]资源-士兵训练时间'!E104)*'[1]功能-付费相关'!AJ105/节奏总纲!Y103</f>
        <v>211.61912654305854</v>
      </c>
      <c r="L103" s="31">
        <f>('[1]资源-士兵训练时间'!F105-'[1]资源-士兵训练时间'!F104)*'[1]功能-付费相关'!AK105/节奏总纲!Z103</f>
        <v>217.01481593797735</v>
      </c>
      <c r="M103" s="31">
        <f>('[1]资源-士兵训练时间'!G105-'[1]资源-士兵训练时间'!G104)*'[1]功能-付费相关'!AL105/节奏总纲!AA103</f>
        <v>221.70950641868421</v>
      </c>
      <c r="O103" s="11">
        <f>('[1]资源-士兵招募时间'!D105-'[1]资源-士兵招募时间'!D104)*'[1]功能-付费相关'!AH105/节奏总纲!W103</f>
        <v>2061.076089789357</v>
      </c>
      <c r="P103" s="11">
        <f>('[1]资源-士兵招募时间'!E105-'[1]资源-士兵招募时间'!E104)*'[1]功能-付费相关'!AI105/节奏总纲!X103</f>
        <v>2246.7070019584485</v>
      </c>
      <c r="Q103" s="11">
        <f>('[1]资源-士兵招募时间'!F105-'[1]资源-士兵招募时间'!F104)*'[1]功能-付费相关'!AJ105/节奏总纲!Y103</f>
        <v>2434.929925030704</v>
      </c>
      <c r="R103" s="11">
        <f>('[1]资源-士兵招募时间'!G105-'[1]资源-士兵招募时间'!G104)*'[1]功能-付费相关'!AK105/节奏总纲!Z103</f>
        <v>2813.9341033396727</v>
      </c>
      <c r="S103" s="11">
        <f>('[1]资源-士兵招募时间'!H105-'[1]资源-士兵招募时间'!H104)*'[1]功能-付费相关'!AL105/节奏总纲!AA103</f>
        <v>3145.1161660289886</v>
      </c>
      <c r="U103" s="31">
        <f>('[1]资源-木石铜粮'!C105-'[1]资源-木石铜粮'!C104)*'[1]功能-付费相关'!S105/节奏总纲!W103</f>
        <v>1430.4965037224174</v>
      </c>
      <c r="V103" s="31">
        <f>('[1]资源-木石铜粮'!D105-'[1]资源-木石铜粮'!D104)*'[1]功能-付费相关'!T105/节奏总纲!X103</f>
        <v>1522.3874398381577</v>
      </c>
      <c r="W103" s="31">
        <f>('[1]资源-木石铜粮'!E105-'[1]资源-木石铜粮'!E104)*'[1]功能-付费相关'!U105/节奏总纲!Y103</f>
        <v>1642.0906547207962</v>
      </c>
      <c r="X103" s="31">
        <f>('[1]资源-木石铜粮'!F105-'[1]资源-木石铜粮'!F104)*'[1]功能-付费相关'!V105/节奏总纲!Z103</f>
        <v>1721.2829163619633</v>
      </c>
      <c r="Y103" s="31">
        <f>('[1]资源-木石铜粮'!G105-'[1]资源-木石铜粮'!G104)*'[1]功能-付费相关'!W105/节奏总纲!AA103</f>
        <v>1938.384405827911</v>
      </c>
      <c r="AA103" s="11">
        <f>('[1]资源-铁'!C105-'[1]资源-铁'!C104)*'[1]功能-付费相关'!X105/节奏总纲!W103</f>
        <v>386.42364236433576</v>
      </c>
      <c r="AB103" s="11">
        <f>('[1]资源-铁'!D105-'[1]资源-铁'!D104)*'[1]功能-付费相关'!Y105/节奏总纲!X103</f>
        <v>392.71123648115093</v>
      </c>
      <c r="AC103" s="11">
        <f>('[1]资源-铁'!E105-'[1]资源-铁'!E104)*'[1]功能-付费相关'!Z105/节奏总纲!Y103</f>
        <v>404.06461589319872</v>
      </c>
      <c r="AD103" s="11">
        <f>('[1]资源-铁'!F105-'[1]资源-铁'!F104)*'[1]功能-付费相关'!AA105/节奏总纲!Z103</f>
        <v>424.12941744460664</v>
      </c>
      <c r="AE103" s="11">
        <f>('[1]资源-铁'!G105-'[1]资源-铁'!G104)*'[1]功能-付费相关'!AB105/节奏总纲!AA103</f>
        <v>509.29939710938731</v>
      </c>
      <c r="AG103" s="11">
        <f>('[1]资源-银币'!C105-'[1]资源-银币'!C104)*'[1]功能-付费相关'!AQ105/节奏总纲!W103</f>
        <v>4944.9084847592439</v>
      </c>
      <c r="AH103" s="11">
        <f>('[1]资源-银币'!D105-'[1]资源-银币'!D104)*'[1]功能-付费相关'!AR105/节奏总纲!X103</f>
        <v>1515.7565445806574</v>
      </c>
      <c r="AI103" s="11">
        <f>('[1]资源-银币'!E105-'[1]资源-银币'!E104)*'[1]功能-付费相关'!AS105/节奏总纲!Y103</f>
        <v>703.44894659975364</v>
      </c>
      <c r="AJ103" s="11">
        <f>('[1]资源-银币'!F105-'[1]资源-银币'!F104)*'[1]功能-付费相关'!AT105/节奏总纲!Z103</f>
        <v>424.97506296802607</v>
      </c>
      <c r="AK103" s="11">
        <f>('[1]资源-银币'!G105-'[1]资源-银币'!G104)*'[1]功能-付费相关'!AU105/节奏总纲!AA103</f>
        <v>1810.6903095213761</v>
      </c>
      <c r="AM103" s="11" t="e">
        <f>(#REF!-#REF!)*'[1]功能-付费相关'!CA105/节奏总纲!W103</f>
        <v>#REF!</v>
      </c>
      <c r="AN103" s="11" t="e">
        <f>(#REF!-#REF!)*'[1]功能-付费相关'!CB105/节奏总纲!X103</f>
        <v>#REF!</v>
      </c>
      <c r="AO103" s="11" t="e">
        <f>(#REF!-#REF!)*'[1]功能-付费相关'!CC105/节奏总纲!Y103</f>
        <v>#REF!</v>
      </c>
      <c r="AP103" s="11" t="e">
        <f>(#REF!-#REF!)*'[1]功能-付费相关'!CD105/节奏总纲!Z103</f>
        <v>#REF!</v>
      </c>
      <c r="AQ103" s="11" t="e">
        <f>(#REF!-#REF!)*'[1]功能-付费相关'!CE105/节奏总纲!AA103</f>
        <v>#REF!</v>
      </c>
      <c r="AS103" s="11">
        <f>('[1]资源-装备经验'!C105-'[1]资源-装备经验'!C104)*'[1]功能-付费相关'!BI105/节奏总纲!W103</f>
        <v>687.65662367759512</v>
      </c>
      <c r="AT103" s="11">
        <f>('[1]资源-装备经验'!D105-'[1]资源-装备经验'!D104)*'[1]功能-付费相关'!BJ105/节奏总纲!X103</f>
        <v>997.27549028800127</v>
      </c>
      <c r="AU103" s="11">
        <f>('[1]资源-装备经验'!E105-'[1]资源-装备经验'!E104)*'[1]功能-付费相关'!BK105/节奏总纲!Y103</f>
        <v>1376.3004335704391</v>
      </c>
      <c r="AV103" s="11">
        <f>('[1]资源-装备经验'!F105-'[1]资源-装备经验'!F104)*'[1]功能-付费相关'!BL105/节奏总纲!Z103</f>
        <v>1636.7464834172397</v>
      </c>
      <c r="AW103" s="11">
        <f>('[1]资源-装备经验'!G105-'[1]资源-装备经验'!G104)*'[1]功能-付费相关'!BM105/节奏总纲!AA103</f>
        <v>1752.6698006158977</v>
      </c>
      <c r="AY103" s="11">
        <f>('[1]资源-武将经验'!C105*节奏总纲!BJ103-'[1]资源-武将经验'!C104*节奏总纲!BJ102)*'[1]功能-付费相关'!AZ105/节奏总纲!W103</f>
        <v>4504.1406767380604</v>
      </c>
      <c r="AZ103" s="11">
        <f>('[1]资源-武将经验'!D105*节奏总纲!BK103-'[1]资源-武将经验'!D104*节奏总纲!BK102)*'[1]功能-付费相关'!BA105/节奏总纲!X103</f>
        <v>5963.1350659517911</v>
      </c>
      <c r="BA103" s="11">
        <f>('[1]资源-武将经验'!E105*节奏总纲!BL103-'[1]资源-武将经验'!E104*节奏总纲!BL102)*'[1]功能-付费相关'!BB105/节奏总纲!Y103</f>
        <v>7922.2479787147386</v>
      </c>
      <c r="BB103" s="11">
        <f>('[1]资源-武将经验'!F105*节奏总纲!BM103-'[1]资源-武将经验'!F104*节奏总纲!BM102)*'[1]功能-付费相关'!BC105/节奏总纲!Z103</f>
        <v>17211.402481589317</v>
      </c>
      <c r="BC103" s="11">
        <f>('[1]资源-武将经验'!G105*节奏总纲!BN103-'[1]资源-武将经验'!G104*节奏总纲!BN102)*'[1]功能-付费相关'!BD105/节奏总纲!AA103</f>
        <v>22557.153858767681</v>
      </c>
      <c r="BD103" s="33"/>
      <c r="BE103" s="30" t="e">
        <f t="shared" si="13"/>
        <v>#REF!</v>
      </c>
      <c r="BF103" s="30" t="e">
        <f t="shared" si="9"/>
        <v>#REF!</v>
      </c>
      <c r="BG103" s="30" t="e">
        <f t="shared" si="10"/>
        <v>#REF!</v>
      </c>
      <c r="BH103" s="30" t="e">
        <f t="shared" si="11"/>
        <v>#REF!</v>
      </c>
      <c r="BI103" s="30" t="e">
        <f t="shared" si="12"/>
        <v>#REF!</v>
      </c>
    </row>
  </sheetData>
  <mergeCells count="10">
    <mergeCell ref="AS2:AW2"/>
    <mergeCell ref="AY2:BC2"/>
    <mergeCell ref="BE2:BI2"/>
    <mergeCell ref="C2:G2"/>
    <mergeCell ref="I2:M2"/>
    <mergeCell ref="U2:Y2"/>
    <mergeCell ref="AA2:AE2"/>
    <mergeCell ref="AG2:AK2"/>
    <mergeCell ref="AM2:AQ2"/>
    <mergeCell ref="O2:S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AP114"/>
  <sheetViews>
    <sheetView tabSelected="1" workbookViewId="0">
      <selection activeCell="K8" sqref="K8"/>
    </sheetView>
  </sheetViews>
  <sheetFormatPr defaultColWidth="6.625" defaultRowHeight="11.25" x14ac:dyDescent="0.15"/>
  <cols>
    <col min="1" max="2" width="6.625" style="36"/>
    <col min="3" max="3" width="6.625" style="37"/>
    <col min="4" max="11" width="6.625" style="36"/>
    <col min="12" max="13" width="6.625" style="37"/>
    <col min="14" max="30" width="6.625" style="36"/>
    <col min="31" max="42" width="6.625" style="37"/>
    <col min="43" max="16384" width="6.625" style="36"/>
  </cols>
  <sheetData>
    <row r="3" spans="3:42" x14ac:dyDescent="0.15">
      <c r="C3" s="37" t="s">
        <v>62</v>
      </c>
      <c r="Q3" s="37" t="s">
        <v>66</v>
      </c>
      <c r="AE3" s="37" t="s">
        <v>67</v>
      </c>
    </row>
    <row r="4" spans="3:42" x14ac:dyDescent="0.15">
      <c r="C4" s="37" t="s">
        <v>53</v>
      </c>
      <c r="D4" s="37" t="s">
        <v>54</v>
      </c>
      <c r="E4" s="37" t="s">
        <v>55</v>
      </c>
      <c r="F4" s="37" t="s">
        <v>56</v>
      </c>
      <c r="G4" s="37" t="s">
        <v>57</v>
      </c>
      <c r="H4" s="37" t="s">
        <v>58</v>
      </c>
      <c r="I4" s="37" t="s">
        <v>59</v>
      </c>
      <c r="J4" s="37" t="s">
        <v>60</v>
      </c>
      <c r="K4" s="37" t="s">
        <v>61</v>
      </c>
      <c r="L4" s="37" t="s">
        <v>64</v>
      </c>
      <c r="M4" s="37" t="s">
        <v>65</v>
      </c>
      <c r="N4" s="37" t="s">
        <v>63</v>
      </c>
      <c r="Q4" s="37" t="s">
        <v>53</v>
      </c>
      <c r="R4" s="37" t="s">
        <v>54</v>
      </c>
      <c r="S4" s="37" t="s">
        <v>55</v>
      </c>
      <c r="T4" s="37" t="s">
        <v>56</v>
      </c>
      <c r="U4" s="37" t="s">
        <v>57</v>
      </c>
      <c r="V4" s="37" t="s">
        <v>58</v>
      </c>
      <c r="W4" s="37" t="s">
        <v>59</v>
      </c>
      <c r="X4" s="37" t="s">
        <v>60</v>
      </c>
      <c r="Y4" s="37" t="s">
        <v>61</v>
      </c>
      <c r="Z4" s="37" t="s">
        <v>64</v>
      </c>
      <c r="AA4" s="37" t="s">
        <v>65</v>
      </c>
      <c r="AB4" s="37" t="s">
        <v>63</v>
      </c>
      <c r="AE4" s="37" t="s">
        <v>53</v>
      </c>
      <c r="AF4" s="37" t="s">
        <v>54</v>
      </c>
      <c r="AG4" s="37" t="s">
        <v>55</v>
      </c>
      <c r="AH4" s="37" t="s">
        <v>56</v>
      </c>
      <c r="AI4" s="37" t="s">
        <v>57</v>
      </c>
      <c r="AJ4" s="37" t="s">
        <v>58</v>
      </c>
      <c r="AK4" s="37" t="s">
        <v>59</v>
      </c>
      <c r="AL4" s="37" t="s">
        <v>60</v>
      </c>
      <c r="AM4" s="37" t="s">
        <v>61</v>
      </c>
      <c r="AN4" s="37" t="s">
        <v>64</v>
      </c>
      <c r="AO4" s="37" t="s">
        <v>65</v>
      </c>
      <c r="AP4" s="37" t="s">
        <v>63</v>
      </c>
    </row>
    <row r="5" spans="3:42" x14ac:dyDescent="0.15">
      <c r="C5" s="37">
        <v>1</v>
      </c>
      <c r="D5" s="38">
        <f>MAX('[1]资源-银币'!AY6,0)</f>
        <v>0</v>
      </c>
      <c r="E5" s="38">
        <f>MAX('[1]资源-木石铜粮'!AO6,0)</f>
        <v>0</v>
      </c>
      <c r="F5" s="38">
        <f>MAX('[1]资源-铁'!AN6,0)</f>
        <v>0</v>
      </c>
      <c r="G5" s="38">
        <f>MAX('[1]资源-士兵训练时间'!AR6,0)</f>
        <v>0.10521361595969347</v>
      </c>
      <c r="H5" s="38">
        <f>MAX('[1]资源-玩家城池建筑时间'!BH6,0)</f>
        <v>0</v>
      </c>
      <c r="I5" s="38">
        <f>MAX('[1]资源-士兵招募时间'!AS6,0)</f>
        <v>0</v>
      </c>
      <c r="J5" s="38">
        <f>MAX('[1]资源-圣人研究时间'!AV5,0)</f>
        <v>0</v>
      </c>
      <c r="K5" s="38">
        <f>MAX([2]士兵治疗!BX5,0)</f>
        <v>0</v>
      </c>
      <c r="L5" s="38">
        <f>[4]武将数量星级阶位验证!$CW4</f>
        <v>0.12112499999999998</v>
      </c>
      <c r="M5" s="38">
        <f>[3]投放验证!$AL$4</f>
        <v>0.2</v>
      </c>
      <c r="N5" s="48">
        <f>SUM(D5:M5)</f>
        <v>0.42633861595969347</v>
      </c>
      <c r="Q5" s="37">
        <v>1</v>
      </c>
      <c r="R5" s="38">
        <f>MAX('[1]资源-银币'!BA6,0)</f>
        <v>0</v>
      </c>
      <c r="S5" s="38">
        <f>MAX('[1]资源-木石铜粮'!AQ6,0)</f>
        <v>0</v>
      </c>
      <c r="T5" s="38">
        <f>MAX('[1]资源-铁'!AP6,0)</f>
        <v>0</v>
      </c>
      <c r="U5" s="38">
        <f>MAX('[1]资源-士兵训练时间'!AT6,0)</f>
        <v>0.2461998066114659</v>
      </c>
      <c r="V5" s="38">
        <f>MAX('[1]资源-玩家城池建筑时间'!BJ6,0)</f>
        <v>0</v>
      </c>
      <c r="W5" s="38">
        <f>MAX('[1]资源-士兵招募时间'!AU6,0)</f>
        <v>0</v>
      </c>
      <c r="X5" s="38">
        <f>MAX('[1]资源-圣人研究时间'!AX5,0)</f>
        <v>0</v>
      </c>
      <c r="Y5" s="38">
        <f>MAX([2]士兵治疗!BZ5,0)</f>
        <v>0</v>
      </c>
      <c r="Z5" s="38">
        <f>[4]武将数量星级阶位验证!$CY4</f>
        <v>0.12112499999999998</v>
      </c>
      <c r="AA5" s="38">
        <f>M5</f>
        <v>0.2</v>
      </c>
      <c r="AB5" s="48">
        <f>SUM(R5:AA5)</f>
        <v>0.56732480661146589</v>
      </c>
      <c r="AE5" s="37">
        <v>1</v>
      </c>
      <c r="AF5" s="38">
        <f>MAX('[1]资源-银币'!BC6,0)</f>
        <v>0</v>
      </c>
      <c r="AG5" s="38">
        <f>MAX('[1]资源-木石铜粮'!AS6,0)</f>
        <v>0</v>
      </c>
      <c r="AH5" s="38">
        <f>MAX('[1]资源-铁'!AR6,0)</f>
        <v>0</v>
      </c>
      <c r="AI5" s="38">
        <f>MAX('[1]资源-士兵训练时间'!AV6,0)</f>
        <v>0.19291548529007269</v>
      </c>
      <c r="AJ5" s="38">
        <f>MAX('[1]资源-玩家城池建筑时间'!BL6,0)</f>
        <v>0</v>
      </c>
      <c r="AK5" s="38">
        <f>MAX('[1]资源-士兵招募时间'!AW6,0)</f>
        <v>0</v>
      </c>
      <c r="AL5" s="38">
        <f>MAX('[1]资源-圣人研究时间'!AZ5,0)</f>
        <v>0</v>
      </c>
      <c r="AM5" s="38">
        <f>MAX([2]士兵治疗!CB5,0)</f>
        <v>0</v>
      </c>
      <c r="AN5" s="38">
        <f>[4]武将数量星级阶位验证!$DA4</f>
        <v>0.12112499999999998</v>
      </c>
      <c r="AO5" s="38">
        <f>AA5</f>
        <v>0.2</v>
      </c>
      <c r="AP5" s="48">
        <f>SUM(AF5:AO5)</f>
        <v>0.51404048529007262</v>
      </c>
    </row>
    <row r="6" spans="3:42" x14ac:dyDescent="0.15">
      <c r="C6" s="37">
        <v>2</v>
      </c>
      <c r="D6" s="38">
        <f>MAX('[1]资源-银币'!AY7,0)</f>
        <v>0</v>
      </c>
      <c r="E6" s="38">
        <f>MAX('[1]资源-木石铜粮'!AO7,0)</f>
        <v>0</v>
      </c>
      <c r="F6" s="38">
        <f>MAX('[1]资源-铁'!AN7,0)</f>
        <v>0</v>
      </c>
      <c r="G6" s="38">
        <f>MAX('[1]资源-士兵训练时间'!AR7,0)</f>
        <v>0</v>
      </c>
      <c r="H6" s="38">
        <f>MAX('[1]资源-玩家城池建筑时间'!BH7,0)</f>
        <v>0</v>
      </c>
      <c r="I6" s="38">
        <f>MAX('[1]资源-士兵招募时间'!AS7,0)</f>
        <v>0</v>
      </c>
      <c r="J6" s="38">
        <f>MAX('[1]资源-圣人研究时间'!AV6,0)</f>
        <v>0</v>
      </c>
      <c r="K6" s="38">
        <f>MAX([2]士兵治疗!BX6,0)</f>
        <v>0</v>
      </c>
      <c r="L6" s="38">
        <f>[4]武将数量星级阶位验证!$CW5</f>
        <v>0.24224999999999997</v>
      </c>
      <c r="M6" s="38">
        <f>[3]投放验证!$AL$4</f>
        <v>0.2</v>
      </c>
      <c r="N6" s="48">
        <f t="shared" ref="N6:N69" si="0">SUM(D6:M6)</f>
        <v>0.44224999999999998</v>
      </c>
      <c r="O6" s="37"/>
      <c r="Q6" s="37">
        <v>2</v>
      </c>
      <c r="R6" s="38">
        <f>MAX('[1]资源-银币'!BA7,0)</f>
        <v>0</v>
      </c>
      <c r="S6" s="38">
        <f>MAX('[1]资源-木石铜粮'!AQ7,0)</f>
        <v>0</v>
      </c>
      <c r="T6" s="38">
        <f>MAX('[1]资源-铁'!AP7,0)</f>
        <v>0</v>
      </c>
      <c r="U6" s="38">
        <f>MAX('[1]资源-士兵训练时间'!AT7,0)</f>
        <v>0.10851207126715952</v>
      </c>
      <c r="V6" s="38">
        <f>MAX('[1]资源-玩家城池建筑时间'!BJ7,0)</f>
        <v>0</v>
      </c>
      <c r="W6" s="38">
        <f>MAX('[1]资源-士兵招募时间'!AU7,0)</f>
        <v>0</v>
      </c>
      <c r="X6" s="38">
        <f>MAX('[1]资源-圣人研究时间'!AX6,0)</f>
        <v>0</v>
      </c>
      <c r="Y6" s="38">
        <f>MAX([2]士兵治疗!BZ6,0)</f>
        <v>0</v>
      </c>
      <c r="Z6" s="38">
        <f>[4]武将数量星级阶位验证!$CY5</f>
        <v>0.24224999999999997</v>
      </c>
      <c r="AA6" s="38">
        <f t="shared" ref="AA6:AA69" si="1">M6</f>
        <v>0.2</v>
      </c>
      <c r="AB6" s="48">
        <f t="shared" ref="AB6:AB69" si="2">SUM(R6:AA6)</f>
        <v>0.55076207126715948</v>
      </c>
      <c r="AE6" s="37">
        <v>2</v>
      </c>
      <c r="AF6" s="38">
        <f>MAX('[1]资源-银币'!BC7,0)</f>
        <v>0</v>
      </c>
      <c r="AG6" s="38">
        <f>MAX('[1]资源-木石铜粮'!AS7,0)</f>
        <v>0</v>
      </c>
      <c r="AH6" s="38">
        <f>MAX('[1]资源-铁'!AR7,0)</f>
        <v>0</v>
      </c>
      <c r="AI6" s="38">
        <f>MAX('[1]资源-士兵训练时间'!AV7,0)</f>
        <v>0.11010933561509428</v>
      </c>
      <c r="AJ6" s="38">
        <f>MAX('[1]资源-玩家城池建筑时间'!BL7,0)</f>
        <v>0</v>
      </c>
      <c r="AK6" s="38">
        <f>MAX('[1]资源-士兵招募时间'!AW7,0)</f>
        <v>0</v>
      </c>
      <c r="AL6" s="38">
        <f>MAX('[1]资源-圣人研究时间'!AZ6,0)</f>
        <v>0</v>
      </c>
      <c r="AM6" s="38">
        <f>MAX([2]士兵治疗!CB6,0)</f>
        <v>0</v>
      </c>
      <c r="AN6" s="38">
        <f>[4]武将数量星级阶位验证!$DA5</f>
        <v>0.24224999999999997</v>
      </c>
      <c r="AO6" s="38">
        <f t="shared" ref="AO6:AO69" si="3">AA6</f>
        <v>0.2</v>
      </c>
      <c r="AP6" s="48">
        <f t="shared" ref="AP6:AP69" si="4">SUM(AF6:AO6)</f>
        <v>0.5523593356150942</v>
      </c>
    </row>
    <row r="7" spans="3:42" x14ac:dyDescent="0.15">
      <c r="C7" s="37">
        <v>3</v>
      </c>
      <c r="D7" s="38">
        <f>MAX('[1]资源-银币'!AY8,0)</f>
        <v>0</v>
      </c>
      <c r="E7" s="38">
        <f>MAX('[1]资源-木石铜粮'!AO8,0)</f>
        <v>0</v>
      </c>
      <c r="F7" s="38">
        <f>MAX('[1]资源-铁'!AN8,0)</f>
        <v>0</v>
      </c>
      <c r="G7" s="38">
        <f>MAX('[1]资源-士兵训练时间'!AR8,0)</f>
        <v>0</v>
      </c>
      <c r="H7" s="38">
        <f>MAX('[1]资源-玩家城池建筑时间'!BH8,0)</f>
        <v>0</v>
      </c>
      <c r="I7" s="38">
        <f>MAX('[1]资源-士兵招募时间'!AS8,0)</f>
        <v>0</v>
      </c>
      <c r="J7" s="38">
        <f>MAX('[1]资源-圣人研究时间'!AV7,0)</f>
        <v>0</v>
      </c>
      <c r="K7" s="38">
        <f>MAX([2]士兵治疗!BX7,0)</f>
        <v>0</v>
      </c>
      <c r="L7" s="38">
        <f>[4]武将数量星级阶位验证!$CW6</f>
        <v>0.363375</v>
      </c>
      <c r="M7" s="38">
        <f>[3]投放验证!$AL$4</f>
        <v>0.2</v>
      </c>
      <c r="N7" s="48">
        <f t="shared" si="0"/>
        <v>0.56337499999999996</v>
      </c>
      <c r="O7" s="37"/>
      <c r="Q7" s="37">
        <v>3</v>
      </c>
      <c r="R7" s="38">
        <f>MAX('[1]资源-银币'!BA8,0)</f>
        <v>0</v>
      </c>
      <c r="S7" s="38">
        <f>MAX('[1]资源-木石铜粮'!AQ8,0)</f>
        <v>0</v>
      </c>
      <c r="T7" s="38">
        <f>MAX('[1]资源-铁'!AP8,0)</f>
        <v>0</v>
      </c>
      <c r="U7" s="38">
        <f>MAX('[1]资源-士兵训练时间'!AT8,0)</f>
        <v>5.8861036583221844E-2</v>
      </c>
      <c r="V7" s="38">
        <f>MAX('[1]资源-玩家城池建筑时间'!BJ8,0)</f>
        <v>0</v>
      </c>
      <c r="W7" s="38">
        <f>MAX('[1]资源-士兵招募时间'!AU8,0)</f>
        <v>0</v>
      </c>
      <c r="X7" s="38">
        <f>MAX('[1]资源-圣人研究时间'!AX7,0)</f>
        <v>0</v>
      </c>
      <c r="Y7" s="38">
        <f>MAX([2]士兵治疗!BZ7,0)</f>
        <v>0</v>
      </c>
      <c r="Z7" s="38">
        <f>[4]武将数量星级阶位验证!$CY6</f>
        <v>0.363375</v>
      </c>
      <c r="AA7" s="38">
        <f t="shared" si="1"/>
        <v>0.2</v>
      </c>
      <c r="AB7" s="48">
        <f t="shared" si="2"/>
        <v>0.6222360365832218</v>
      </c>
      <c r="AE7" s="37">
        <v>3</v>
      </c>
      <c r="AF7" s="38">
        <f>MAX('[1]资源-银币'!BC8,0)</f>
        <v>0</v>
      </c>
      <c r="AG7" s="38">
        <f>MAX('[1]资源-木石铜粮'!AS8,0)</f>
        <v>0</v>
      </c>
      <c r="AH7" s="38">
        <f>MAX('[1]资源-铁'!AR8,0)</f>
        <v>0</v>
      </c>
      <c r="AI7" s="38">
        <f>MAX('[1]资源-士兵训练时间'!AV8,0)</f>
        <v>8.3374505888072728E-2</v>
      </c>
      <c r="AJ7" s="38">
        <f>MAX('[1]资源-玩家城池建筑时间'!BL8,0)</f>
        <v>0</v>
      </c>
      <c r="AK7" s="38">
        <f>MAX('[1]资源-士兵招募时间'!AW8,0)</f>
        <v>0</v>
      </c>
      <c r="AL7" s="38">
        <f>MAX('[1]资源-圣人研究时间'!AZ7,0)</f>
        <v>0</v>
      </c>
      <c r="AM7" s="38">
        <f>MAX([2]士兵治疗!CB7,0)</f>
        <v>0</v>
      </c>
      <c r="AN7" s="38">
        <f>[4]武将数量星级阶位验证!$DA6</f>
        <v>0.363375</v>
      </c>
      <c r="AO7" s="38">
        <f t="shared" si="3"/>
        <v>0.2</v>
      </c>
      <c r="AP7" s="48">
        <f t="shared" si="4"/>
        <v>0.64674950588807278</v>
      </c>
    </row>
    <row r="8" spans="3:42" x14ac:dyDescent="0.15">
      <c r="C8" s="37">
        <v>4</v>
      </c>
      <c r="D8" s="38">
        <f>MAX('[1]资源-银币'!AY9,0)</f>
        <v>0</v>
      </c>
      <c r="E8" s="38">
        <f>MAX('[1]资源-木石铜粮'!AO9,0)</f>
        <v>0</v>
      </c>
      <c r="F8" s="38">
        <f>MAX('[1]资源-铁'!AN9,0)</f>
        <v>0</v>
      </c>
      <c r="G8" s="38">
        <f>MAX('[1]资源-士兵训练时间'!AR9,0)</f>
        <v>0</v>
      </c>
      <c r="H8" s="38">
        <f>MAX('[1]资源-玩家城池建筑时间'!BH9,0)</f>
        <v>0</v>
      </c>
      <c r="I8" s="38">
        <f>MAX('[1]资源-士兵招募时间'!AS9,0)</f>
        <v>0</v>
      </c>
      <c r="J8" s="38">
        <f>MAX('[1]资源-圣人研究时间'!AV8,0)</f>
        <v>0</v>
      </c>
      <c r="K8" s="38">
        <f>MAX([2]士兵治疗!BX8,0)</f>
        <v>0</v>
      </c>
      <c r="L8" s="38">
        <f>[4]武将数量星级阶位验证!$CW7</f>
        <v>0.48449999999999999</v>
      </c>
      <c r="M8" s="38">
        <f>[3]投放验证!$AL$4</f>
        <v>0.2</v>
      </c>
      <c r="N8" s="48">
        <f t="shared" si="0"/>
        <v>0.6845</v>
      </c>
      <c r="O8" s="37"/>
      <c r="Q8" s="37">
        <v>4</v>
      </c>
      <c r="R8" s="38">
        <f>MAX('[1]资源-银币'!BA9,0)</f>
        <v>0</v>
      </c>
      <c r="S8" s="38">
        <f>MAX('[1]资源-木石铜粮'!AQ9,0)</f>
        <v>0</v>
      </c>
      <c r="T8" s="38">
        <f>MAX('[1]资源-铁'!AP9,0)</f>
        <v>0</v>
      </c>
      <c r="U8" s="38">
        <f>MAX('[1]资源-士兵训练时间'!AT9,0)</f>
        <v>4.469724494447587E-2</v>
      </c>
      <c r="V8" s="38">
        <f>MAX('[1]资源-玩家城池建筑时间'!BJ9,0)</f>
        <v>0</v>
      </c>
      <c r="W8" s="38">
        <f>MAX('[1]资源-士兵招募时间'!AU9,0)</f>
        <v>0</v>
      </c>
      <c r="X8" s="38">
        <f>MAX('[1]资源-圣人研究时间'!AX8,0)</f>
        <v>0</v>
      </c>
      <c r="Y8" s="38">
        <f>MAX([2]士兵治疗!BZ8,0)</f>
        <v>0</v>
      </c>
      <c r="Z8" s="38">
        <f>[4]武将数量星级阶位验证!$CY7</f>
        <v>0.48449999999999999</v>
      </c>
      <c r="AA8" s="38">
        <f t="shared" si="1"/>
        <v>0.2</v>
      </c>
      <c r="AB8" s="48">
        <f t="shared" si="2"/>
        <v>0.72919724494447591</v>
      </c>
      <c r="AE8" s="37">
        <v>4</v>
      </c>
      <c r="AF8" s="38">
        <f>MAX('[1]资源-银币'!BC9,0)</f>
        <v>0</v>
      </c>
      <c r="AG8" s="38">
        <f>MAX('[1]资源-木石铜粮'!AS9,0)</f>
        <v>0</v>
      </c>
      <c r="AH8" s="38">
        <f>MAX('[1]资源-铁'!AR9,0)</f>
        <v>0</v>
      </c>
      <c r="AI8" s="38">
        <f>MAX('[1]资源-士兵训练时间'!AV9,0)</f>
        <v>7.6037861086301464E-2</v>
      </c>
      <c r="AJ8" s="38">
        <f>MAX('[1]资源-玩家城池建筑时间'!BL9,0)</f>
        <v>0</v>
      </c>
      <c r="AK8" s="38">
        <f>MAX('[1]资源-士兵招募时间'!AW9,0)</f>
        <v>0</v>
      </c>
      <c r="AL8" s="38">
        <f>MAX('[1]资源-圣人研究时间'!AZ8,0)</f>
        <v>0</v>
      </c>
      <c r="AM8" s="38">
        <f>MAX([2]士兵治疗!CB8,0)</f>
        <v>0</v>
      </c>
      <c r="AN8" s="38">
        <f>[4]武将数量星级阶位验证!$DA7</f>
        <v>0.48449999999999999</v>
      </c>
      <c r="AO8" s="38">
        <f t="shared" si="3"/>
        <v>0.2</v>
      </c>
      <c r="AP8" s="48">
        <f t="shared" si="4"/>
        <v>0.76053786108630139</v>
      </c>
    </row>
    <row r="9" spans="3:42" x14ac:dyDescent="0.15">
      <c r="C9" s="37">
        <v>5</v>
      </c>
      <c r="D9" s="38">
        <f>MAX('[1]资源-银币'!AY10,0)</f>
        <v>0</v>
      </c>
      <c r="E9" s="38">
        <f>MAX('[1]资源-木石铜粮'!AO10,0)</f>
        <v>0</v>
      </c>
      <c r="F9" s="38">
        <f>MAX('[1]资源-铁'!AN10,0)</f>
        <v>0</v>
      </c>
      <c r="G9" s="38">
        <f>MAX('[1]资源-士兵训练时间'!AR10,0)</f>
        <v>0</v>
      </c>
      <c r="H9" s="38">
        <f>MAX('[1]资源-玩家城池建筑时间'!BH10,0)</f>
        <v>0</v>
      </c>
      <c r="I9" s="38">
        <f>MAX('[1]资源-士兵招募时间'!AS10,0)</f>
        <v>0</v>
      </c>
      <c r="J9" s="38">
        <f>MAX('[1]资源-圣人研究时间'!AV9,0)</f>
        <v>0</v>
      </c>
      <c r="K9" s="38">
        <f>MAX([2]士兵治疗!BX9,0)</f>
        <v>0</v>
      </c>
      <c r="L9" s="38">
        <f>[4]武将数量星级阶位验证!$CW8</f>
        <v>0.60562499999999997</v>
      </c>
      <c r="M9" s="38">
        <f>[3]投放验证!$AL$4</f>
        <v>0.2</v>
      </c>
      <c r="N9" s="48">
        <f t="shared" si="0"/>
        <v>0.80562500000000004</v>
      </c>
      <c r="O9" s="37"/>
      <c r="Q9" s="37">
        <v>5</v>
      </c>
      <c r="R9" s="38">
        <f>MAX('[1]资源-银币'!BA10,0)</f>
        <v>0</v>
      </c>
      <c r="S9" s="38">
        <f>MAX('[1]资源-木石铜粮'!AQ10,0)</f>
        <v>0</v>
      </c>
      <c r="T9" s="38">
        <f>MAX('[1]资源-铁'!AP10,0)</f>
        <v>0</v>
      </c>
      <c r="U9" s="38">
        <f>MAX('[1]资源-士兵训练时间'!AT10,0)</f>
        <v>3.8952889162516879E-2</v>
      </c>
      <c r="V9" s="38">
        <f>MAX('[1]资源-玩家城池建筑时间'!BJ10,0)</f>
        <v>0</v>
      </c>
      <c r="W9" s="38">
        <f>MAX('[1]资源-士兵招募时间'!AU10,0)</f>
        <v>0</v>
      </c>
      <c r="X9" s="38">
        <f>MAX('[1]资源-圣人研究时间'!AX9,0)</f>
        <v>0</v>
      </c>
      <c r="Y9" s="38">
        <f>MAX([2]士兵治疗!BZ9,0)</f>
        <v>0</v>
      </c>
      <c r="Z9" s="38">
        <f>[4]武将数量星级阶位验证!$CY8</f>
        <v>0.60562499999999997</v>
      </c>
      <c r="AA9" s="38">
        <f t="shared" si="1"/>
        <v>0.2</v>
      </c>
      <c r="AB9" s="48">
        <f t="shared" si="2"/>
        <v>0.84457788916251686</v>
      </c>
      <c r="AE9" s="37">
        <v>5</v>
      </c>
      <c r="AF9" s="38">
        <f>MAX('[1]资源-银币'!BC10,0)</f>
        <v>0</v>
      </c>
      <c r="AG9" s="38">
        <f>MAX('[1]资源-木石铜粮'!AS10,0)</f>
        <v>0</v>
      </c>
      <c r="AH9" s="38">
        <f>MAX('[1]资源-铁'!AR10,0)</f>
        <v>0</v>
      </c>
      <c r="AI9" s="38">
        <f>MAX('[1]资源-士兵训练时间'!AV10,0)</f>
        <v>7.1488743820808553E-2</v>
      </c>
      <c r="AJ9" s="38">
        <f>MAX('[1]资源-玩家城池建筑时间'!BL10,0)</f>
        <v>0</v>
      </c>
      <c r="AK9" s="38">
        <f>MAX('[1]资源-士兵招募时间'!AW10,0)</f>
        <v>0</v>
      </c>
      <c r="AL9" s="38">
        <f>MAX('[1]资源-圣人研究时间'!AZ9,0)</f>
        <v>0</v>
      </c>
      <c r="AM9" s="38">
        <f>MAX([2]士兵治疗!CB9,0)</f>
        <v>0</v>
      </c>
      <c r="AN9" s="38">
        <f>[4]武将数量星级阶位验证!$DA8</f>
        <v>0.60562499999999997</v>
      </c>
      <c r="AO9" s="38">
        <f t="shared" si="3"/>
        <v>0.2</v>
      </c>
      <c r="AP9" s="48">
        <f t="shared" si="4"/>
        <v>0.87711374382080853</v>
      </c>
    </row>
    <row r="10" spans="3:42" x14ac:dyDescent="0.15">
      <c r="C10" s="37">
        <v>6</v>
      </c>
      <c r="D10" s="38">
        <f>MAX('[1]资源-银币'!AY11,0)</f>
        <v>0</v>
      </c>
      <c r="E10" s="38">
        <f>MAX('[1]资源-木石铜粮'!AO11,0)</f>
        <v>0</v>
      </c>
      <c r="F10" s="38">
        <f>MAX('[1]资源-铁'!AN11,0)</f>
        <v>0</v>
      </c>
      <c r="G10" s="38">
        <f>MAX('[1]资源-士兵训练时间'!AR11,0)</f>
        <v>0</v>
      </c>
      <c r="H10" s="38">
        <f>MAX('[1]资源-玩家城池建筑时间'!BH11,0)</f>
        <v>0</v>
      </c>
      <c r="I10" s="38">
        <f>MAX('[1]资源-士兵招募时间'!AS11,0)</f>
        <v>0</v>
      </c>
      <c r="J10" s="38">
        <f>MAX('[1]资源-圣人研究时间'!AV10,0)</f>
        <v>0</v>
      </c>
      <c r="K10" s="38">
        <f>MAX([2]士兵治疗!BX10,0)</f>
        <v>0</v>
      </c>
      <c r="L10" s="38">
        <f>[4]武将数量星级阶位验证!$CW9</f>
        <v>0.60562499999999997</v>
      </c>
      <c r="M10" s="38">
        <f>[3]投放验证!$AL$4</f>
        <v>0.2</v>
      </c>
      <c r="N10" s="48">
        <f t="shared" si="0"/>
        <v>0.80562500000000004</v>
      </c>
      <c r="O10" s="37"/>
      <c r="Q10" s="37">
        <v>6</v>
      </c>
      <c r="R10" s="38">
        <f>MAX('[1]资源-银币'!BA11,0)</f>
        <v>0</v>
      </c>
      <c r="S10" s="38">
        <f>MAX('[1]资源-木石铜粮'!AQ11,0)</f>
        <v>0</v>
      </c>
      <c r="T10" s="38">
        <f>MAX('[1]资源-铁'!AP11,0)</f>
        <v>0</v>
      </c>
      <c r="U10" s="38">
        <f>MAX('[1]资源-士兵训练时间'!AT11,0)</f>
        <v>3.3826936875569293E-2</v>
      </c>
      <c r="V10" s="38">
        <f>MAX('[1]资源-玩家城池建筑时间'!BJ11,0)</f>
        <v>0</v>
      </c>
      <c r="W10" s="38">
        <f>MAX('[1]资源-士兵招募时间'!AU11,0)</f>
        <v>0</v>
      </c>
      <c r="X10" s="38">
        <f>MAX('[1]资源-圣人研究时间'!AX10,0)</f>
        <v>0</v>
      </c>
      <c r="Y10" s="38">
        <f>MAX([2]士兵治疗!BZ10,0)</f>
        <v>0</v>
      </c>
      <c r="Z10" s="38">
        <f>[4]武将数量星级阶位验证!$CY9</f>
        <v>0.60562499999999997</v>
      </c>
      <c r="AA10" s="38">
        <f t="shared" si="1"/>
        <v>0.2</v>
      </c>
      <c r="AB10" s="48">
        <f t="shared" si="2"/>
        <v>0.83945193687556929</v>
      </c>
      <c r="AE10" s="37">
        <v>6</v>
      </c>
      <c r="AF10" s="38">
        <f>MAX('[1]资源-银币'!BC11,0)</f>
        <v>0</v>
      </c>
      <c r="AG10" s="38">
        <f>MAX('[1]资源-木石铜粮'!AS11,0)</f>
        <v>0</v>
      </c>
      <c r="AH10" s="38">
        <f>MAX('[1]资源-铁'!AR11,0)</f>
        <v>0</v>
      </c>
      <c r="AI10" s="38">
        <f>MAX('[1]资源-士兵训练时间'!AV11,0)</f>
        <v>6.7173574349823045E-2</v>
      </c>
      <c r="AJ10" s="38">
        <f>MAX('[1]资源-玩家城池建筑时间'!BL11,0)</f>
        <v>0</v>
      </c>
      <c r="AK10" s="38">
        <f>MAX('[1]资源-士兵招募时间'!AW11,0)</f>
        <v>0</v>
      </c>
      <c r="AL10" s="38">
        <f>MAX('[1]资源-圣人研究时间'!AZ10,0)</f>
        <v>0</v>
      </c>
      <c r="AM10" s="38">
        <f>MAX([2]士兵治疗!CB10,0)</f>
        <v>0</v>
      </c>
      <c r="AN10" s="38">
        <f>[4]武将数量星级阶位验证!$DA9</f>
        <v>0.60562499999999997</v>
      </c>
      <c r="AO10" s="38">
        <f t="shared" si="3"/>
        <v>0.2</v>
      </c>
      <c r="AP10" s="48">
        <f t="shared" si="4"/>
        <v>0.872798574349823</v>
      </c>
    </row>
    <row r="11" spans="3:42" x14ac:dyDescent="0.15">
      <c r="C11" s="37">
        <v>7</v>
      </c>
      <c r="D11" s="38">
        <f>MAX('[1]资源-银币'!AY12,0)</f>
        <v>0</v>
      </c>
      <c r="E11" s="38">
        <f>MAX('[1]资源-木石铜粮'!AO12,0)</f>
        <v>0</v>
      </c>
      <c r="F11" s="38">
        <f>MAX('[1]资源-铁'!AN12,0)</f>
        <v>0</v>
      </c>
      <c r="G11" s="38">
        <f>MAX('[1]资源-士兵训练时间'!AR12,0)</f>
        <v>0</v>
      </c>
      <c r="H11" s="38">
        <f>MAX('[1]资源-玩家城池建筑时间'!BH12,0)</f>
        <v>0</v>
      </c>
      <c r="I11" s="38">
        <f>MAX('[1]资源-士兵招募时间'!AS12,0)</f>
        <v>0</v>
      </c>
      <c r="J11" s="38">
        <f>MAX('[1]资源-圣人研究时间'!AV11,0)</f>
        <v>0</v>
      </c>
      <c r="K11" s="38">
        <f>MAX([2]士兵治疗!BX11,0)</f>
        <v>0</v>
      </c>
      <c r="L11" s="38">
        <f>[4]武将数量星级阶位验证!$CW10</f>
        <v>0.60562499999999997</v>
      </c>
      <c r="M11" s="38">
        <f>[3]投放验证!$AL$4</f>
        <v>0.2</v>
      </c>
      <c r="N11" s="48">
        <f t="shared" si="0"/>
        <v>0.80562500000000004</v>
      </c>
      <c r="O11" s="37"/>
      <c r="Q11" s="37">
        <v>7</v>
      </c>
      <c r="R11" s="38">
        <f>MAX('[1]资源-银币'!BA12,0)</f>
        <v>0</v>
      </c>
      <c r="S11" s="38">
        <f>MAX('[1]资源-木石铜粮'!AQ12,0)</f>
        <v>0</v>
      </c>
      <c r="T11" s="38">
        <f>MAX('[1]资源-铁'!AP12,0)</f>
        <v>0</v>
      </c>
      <c r="U11" s="38">
        <f>MAX('[1]资源-士兵训练时间'!AT12,0)</f>
        <v>2.8377676626425243E-2</v>
      </c>
      <c r="V11" s="38">
        <f>MAX('[1]资源-玩家城池建筑时间'!BJ12,0)</f>
        <v>0</v>
      </c>
      <c r="W11" s="38">
        <f>MAX('[1]资源-士兵招募时间'!AU12,0)</f>
        <v>0</v>
      </c>
      <c r="X11" s="38">
        <f>MAX('[1]资源-圣人研究时间'!AX11,0)</f>
        <v>0</v>
      </c>
      <c r="Y11" s="38">
        <f>MAX([2]士兵治疗!BZ11,0)</f>
        <v>0</v>
      </c>
      <c r="Z11" s="38">
        <f>[4]武将数量星级阶位验证!$CY10</f>
        <v>0.60562499999999997</v>
      </c>
      <c r="AA11" s="38">
        <f t="shared" si="1"/>
        <v>0.2</v>
      </c>
      <c r="AB11" s="48">
        <f t="shared" si="2"/>
        <v>0.83400267662642524</v>
      </c>
      <c r="AE11" s="37">
        <v>7</v>
      </c>
      <c r="AF11" s="38">
        <f>MAX('[1]资源-银币'!BC12,0)</f>
        <v>0</v>
      </c>
      <c r="AG11" s="38">
        <f>MAX('[1]资源-木石铜粮'!AS12,0)</f>
        <v>0</v>
      </c>
      <c r="AH11" s="38">
        <f>MAX('[1]资源-铁'!AR12,0)</f>
        <v>0</v>
      </c>
      <c r="AI11" s="38">
        <f>MAX('[1]资源-士兵训练时间'!AV12,0)</f>
        <v>6.338950348285706E-2</v>
      </c>
      <c r="AJ11" s="38">
        <f>MAX('[1]资源-玩家城池建筑时间'!BL12,0)</f>
        <v>0</v>
      </c>
      <c r="AK11" s="38">
        <f>MAX('[1]资源-士兵招募时间'!AW12,0)</f>
        <v>0</v>
      </c>
      <c r="AL11" s="38">
        <f>MAX('[1]资源-圣人研究时间'!AZ11,0)</f>
        <v>0</v>
      </c>
      <c r="AM11" s="38">
        <f>MAX([2]士兵治疗!CB11,0)</f>
        <v>0</v>
      </c>
      <c r="AN11" s="38">
        <f>[4]武将数量星级阶位验证!$DA10</f>
        <v>0.60562499999999997</v>
      </c>
      <c r="AO11" s="38">
        <f t="shared" si="3"/>
        <v>0.2</v>
      </c>
      <c r="AP11" s="48">
        <f t="shared" si="4"/>
        <v>0.86901450348285714</v>
      </c>
    </row>
    <row r="12" spans="3:42" x14ac:dyDescent="0.15">
      <c r="C12" s="37">
        <v>8</v>
      </c>
      <c r="D12" s="38">
        <f>MAX('[1]资源-银币'!AY13,0)</f>
        <v>0</v>
      </c>
      <c r="E12" s="38">
        <f>MAX('[1]资源-木石铜粮'!AO13,0)</f>
        <v>0</v>
      </c>
      <c r="F12" s="38">
        <f>MAX('[1]资源-铁'!AN13,0)</f>
        <v>0</v>
      </c>
      <c r="G12" s="38">
        <f>MAX('[1]资源-士兵训练时间'!AR13,0)</f>
        <v>0</v>
      </c>
      <c r="H12" s="38">
        <f>MAX('[1]资源-玩家城池建筑时间'!BH13,0)</f>
        <v>0</v>
      </c>
      <c r="I12" s="38">
        <f>MAX('[1]资源-士兵招募时间'!AS13,0)</f>
        <v>0</v>
      </c>
      <c r="J12" s="38">
        <f>MAX('[1]资源-圣人研究时间'!AV12,0)</f>
        <v>0</v>
      </c>
      <c r="K12" s="38">
        <f>MAX([2]士兵治疗!BX12,0)</f>
        <v>0</v>
      </c>
      <c r="L12" s="38">
        <f>[4]武将数量星级阶位验证!$CW11</f>
        <v>0.60562499999999997</v>
      </c>
      <c r="M12" s="38">
        <f>[3]投放验证!$AL$4</f>
        <v>0.2</v>
      </c>
      <c r="N12" s="48">
        <f t="shared" si="0"/>
        <v>0.80562500000000004</v>
      </c>
      <c r="O12" s="37"/>
      <c r="Q12" s="37">
        <v>8</v>
      </c>
      <c r="R12" s="38">
        <f>MAX('[1]资源-银币'!BA13,0)</f>
        <v>0</v>
      </c>
      <c r="S12" s="38">
        <f>MAX('[1]资源-木石铜粮'!AQ13,0)</f>
        <v>0</v>
      </c>
      <c r="T12" s="38">
        <f>MAX('[1]资源-铁'!AP13,0)</f>
        <v>0</v>
      </c>
      <c r="U12" s="38">
        <f>MAX('[1]资源-士兵训练时间'!AT13,0)</f>
        <v>2.3998276134207224E-2</v>
      </c>
      <c r="V12" s="38">
        <f>MAX('[1]资源-玩家城池建筑时间'!BJ13,0)</f>
        <v>0</v>
      </c>
      <c r="W12" s="38">
        <f>MAX('[1]资源-士兵招募时间'!AU13,0)</f>
        <v>0</v>
      </c>
      <c r="X12" s="38">
        <f>MAX('[1]资源-圣人研究时间'!AX12,0)</f>
        <v>0</v>
      </c>
      <c r="Y12" s="38">
        <f>MAX([2]士兵治疗!BZ12,0)</f>
        <v>0</v>
      </c>
      <c r="Z12" s="38">
        <f>[4]武将数量星级阶位验证!$CY11</f>
        <v>0.60562499999999997</v>
      </c>
      <c r="AA12" s="38">
        <f t="shared" si="1"/>
        <v>0.2</v>
      </c>
      <c r="AB12" s="48">
        <f t="shared" si="2"/>
        <v>0.82962327613420728</v>
      </c>
      <c r="AE12" s="37">
        <v>8</v>
      </c>
      <c r="AF12" s="38">
        <f>MAX('[1]资源-银币'!BC13,0)</f>
        <v>0</v>
      </c>
      <c r="AG12" s="38">
        <f>MAX('[1]资源-木石铜粮'!AS13,0)</f>
        <v>0</v>
      </c>
      <c r="AH12" s="38">
        <f>MAX('[1]资源-铁'!AR13,0)</f>
        <v>0</v>
      </c>
      <c r="AI12" s="38">
        <f>MAX('[1]资源-士兵训练时间'!AV13,0)</f>
        <v>6.072493696139105E-2</v>
      </c>
      <c r="AJ12" s="38">
        <f>MAX('[1]资源-玩家城池建筑时间'!BL13,0)</f>
        <v>0</v>
      </c>
      <c r="AK12" s="38">
        <f>MAX('[1]资源-士兵招募时间'!AW13,0)</f>
        <v>0</v>
      </c>
      <c r="AL12" s="38">
        <f>MAX('[1]资源-圣人研究时间'!AZ12,0)</f>
        <v>0</v>
      </c>
      <c r="AM12" s="38">
        <f>MAX([2]士兵治疗!CB12,0)</f>
        <v>0</v>
      </c>
      <c r="AN12" s="38">
        <f>[4]武将数量星级阶位验证!$DA11</f>
        <v>0.60562499999999997</v>
      </c>
      <c r="AO12" s="38">
        <f t="shared" si="3"/>
        <v>0.2</v>
      </c>
      <c r="AP12" s="48">
        <f t="shared" si="4"/>
        <v>0.86634993696139095</v>
      </c>
    </row>
    <row r="13" spans="3:42" x14ac:dyDescent="0.15">
      <c r="C13" s="37">
        <v>9</v>
      </c>
      <c r="D13" s="38">
        <f>MAX('[1]资源-银币'!AY14,0)</f>
        <v>0</v>
      </c>
      <c r="E13" s="38">
        <f>MAX('[1]资源-木石铜粮'!AO14,0)</f>
        <v>0</v>
      </c>
      <c r="F13" s="38">
        <f>MAX('[1]资源-铁'!AN14,0)</f>
        <v>0</v>
      </c>
      <c r="G13" s="38">
        <f>MAX('[1]资源-士兵训练时间'!AR14,0)</f>
        <v>0</v>
      </c>
      <c r="H13" s="38">
        <f>MAX('[1]资源-玩家城池建筑时间'!BH14,0)</f>
        <v>0</v>
      </c>
      <c r="I13" s="38">
        <f>MAX('[1]资源-士兵招募时间'!AS14,0)</f>
        <v>0</v>
      </c>
      <c r="J13" s="38">
        <f>MAX('[1]资源-圣人研究时间'!AV13,0)</f>
        <v>0</v>
      </c>
      <c r="K13" s="38">
        <f>MAX([2]士兵治疗!BX13,0)</f>
        <v>0</v>
      </c>
      <c r="L13" s="38">
        <f>[4]武将数量星级阶位验证!$CW12</f>
        <v>0.60562499999999997</v>
      </c>
      <c r="M13" s="38">
        <f>[3]投放验证!$AL$4</f>
        <v>0.2</v>
      </c>
      <c r="N13" s="48">
        <f t="shared" si="0"/>
        <v>0.80562500000000004</v>
      </c>
      <c r="O13" s="37"/>
      <c r="Q13" s="37">
        <v>9</v>
      </c>
      <c r="R13" s="38">
        <f>MAX('[1]资源-银币'!BA14,0)</f>
        <v>0</v>
      </c>
      <c r="S13" s="38">
        <f>MAX('[1]资源-木石铜粮'!AQ14,0)</f>
        <v>0</v>
      </c>
      <c r="T13" s="38">
        <f>MAX('[1]资源-铁'!AP14,0)</f>
        <v>0</v>
      </c>
      <c r="U13" s="38">
        <f>MAX('[1]资源-士兵训练时间'!AT14,0)</f>
        <v>2.1680596381934914E-2</v>
      </c>
      <c r="V13" s="38">
        <f>MAX('[1]资源-玩家城池建筑时间'!BJ14,0)</f>
        <v>0</v>
      </c>
      <c r="W13" s="38">
        <f>MAX('[1]资源-士兵招募时间'!AU14,0)</f>
        <v>0</v>
      </c>
      <c r="X13" s="38">
        <f>MAX('[1]资源-圣人研究时间'!AX13,0)</f>
        <v>0</v>
      </c>
      <c r="Y13" s="38">
        <f>MAX([2]士兵治疗!BZ13,0)</f>
        <v>0</v>
      </c>
      <c r="Z13" s="38">
        <f>[4]武将数量星级阶位验证!$CY12</f>
        <v>0.60562499999999997</v>
      </c>
      <c r="AA13" s="38">
        <f t="shared" si="1"/>
        <v>0.2</v>
      </c>
      <c r="AB13" s="48">
        <f t="shared" si="2"/>
        <v>0.8273055963819349</v>
      </c>
      <c r="AE13" s="37">
        <v>9</v>
      </c>
      <c r="AF13" s="38">
        <f>MAX('[1]资源-银币'!BC14,0)</f>
        <v>0</v>
      </c>
      <c r="AG13" s="38">
        <f>MAX('[1]资源-木石铜粮'!AS14,0)</f>
        <v>0</v>
      </c>
      <c r="AH13" s="38">
        <f>MAX('[1]资源-铁'!AR14,0)</f>
        <v>0</v>
      </c>
      <c r="AI13" s="38">
        <f>MAX('[1]资源-士兵训练时间'!AV14,0)</f>
        <v>6.0645597192743844E-2</v>
      </c>
      <c r="AJ13" s="38">
        <f>MAX('[1]资源-玩家城池建筑时间'!BL14,0)</f>
        <v>0</v>
      </c>
      <c r="AK13" s="38">
        <f>MAX('[1]资源-士兵招募时间'!AW14,0)</f>
        <v>0</v>
      </c>
      <c r="AL13" s="38">
        <f>MAX('[1]资源-圣人研究时间'!AZ13,0)</f>
        <v>0</v>
      </c>
      <c r="AM13" s="38">
        <f>MAX([2]士兵治疗!CB13,0)</f>
        <v>0</v>
      </c>
      <c r="AN13" s="38">
        <f>[4]武将数量星级阶位验证!$DA12</f>
        <v>0.60562499999999997</v>
      </c>
      <c r="AO13" s="38">
        <f t="shared" si="3"/>
        <v>0.2</v>
      </c>
      <c r="AP13" s="48">
        <f t="shared" si="4"/>
        <v>0.8662705971927438</v>
      </c>
    </row>
    <row r="14" spans="3:42" x14ac:dyDescent="0.15">
      <c r="C14" s="37">
        <v>10</v>
      </c>
      <c r="D14" s="38">
        <f>MAX('[1]资源-银币'!AY15,0)</f>
        <v>0</v>
      </c>
      <c r="E14" s="38">
        <f>MAX('[1]资源-木石铜粮'!AO15,0)</f>
        <v>0</v>
      </c>
      <c r="F14" s="38">
        <f>MAX('[1]资源-铁'!AN15,0)</f>
        <v>0</v>
      </c>
      <c r="G14" s="38">
        <f>MAX('[1]资源-士兵训练时间'!AR15,0)</f>
        <v>0</v>
      </c>
      <c r="H14" s="38">
        <f>MAX('[1]资源-玩家城池建筑时间'!BH15,0)</f>
        <v>1.4737992707451138E-2</v>
      </c>
      <c r="I14" s="38">
        <f>MAX('[1]资源-士兵招募时间'!AS15,0)</f>
        <v>0</v>
      </c>
      <c r="J14" s="38">
        <f>MAX('[1]资源-圣人研究时间'!AV14,0)</f>
        <v>0</v>
      </c>
      <c r="K14" s="38">
        <f>MAX([2]士兵治疗!BX14,0)</f>
        <v>0</v>
      </c>
      <c r="L14" s="38">
        <f>[4]武将数量星级阶位验证!$CW13</f>
        <v>0.60562499999999997</v>
      </c>
      <c r="M14" s="38">
        <f>[3]投放验证!$AL$4</f>
        <v>0.2</v>
      </c>
      <c r="N14" s="48">
        <f t="shared" si="0"/>
        <v>0.82036299270745117</v>
      </c>
      <c r="O14" s="37"/>
      <c r="Q14" s="37">
        <v>10</v>
      </c>
      <c r="R14" s="38">
        <f>MAX('[1]资源-银币'!BA15,0)</f>
        <v>0</v>
      </c>
      <c r="S14" s="38">
        <f>MAX('[1]资源-木石铜粮'!AQ15,0)</f>
        <v>0</v>
      </c>
      <c r="T14" s="38">
        <f>MAX('[1]资源-铁'!AP15,0)</f>
        <v>0</v>
      </c>
      <c r="U14" s="38">
        <f>MAX('[1]资源-士兵训练时间'!AT15,0)</f>
        <v>2.2567805952981159E-2</v>
      </c>
      <c r="V14" s="38">
        <f>MAX('[1]资源-玩家城池建筑时间'!BJ15,0)</f>
        <v>0</v>
      </c>
      <c r="W14" s="38">
        <f>MAX('[1]资源-士兵招募时间'!AU15,0)</f>
        <v>0</v>
      </c>
      <c r="X14" s="38">
        <f>MAX('[1]资源-圣人研究时间'!AX14,0)</f>
        <v>0</v>
      </c>
      <c r="Y14" s="38">
        <f>MAX([2]士兵治疗!BZ14,0)</f>
        <v>0</v>
      </c>
      <c r="Z14" s="38">
        <f>[4]武将数量星级阶位验证!$CY13</f>
        <v>0.60562499999999997</v>
      </c>
      <c r="AA14" s="38">
        <f t="shared" si="1"/>
        <v>0.2</v>
      </c>
      <c r="AB14" s="48">
        <f t="shared" si="2"/>
        <v>0.82819280595298106</v>
      </c>
      <c r="AE14" s="37">
        <v>10</v>
      </c>
      <c r="AF14" s="38">
        <f>MAX('[1]资源-银币'!BC15,0)</f>
        <v>0</v>
      </c>
      <c r="AG14" s="38">
        <f>MAX('[1]资源-木石铜粮'!AS15,0)</f>
        <v>0</v>
      </c>
      <c r="AH14" s="38">
        <f>MAX('[1]资源-铁'!AR15,0)</f>
        <v>0</v>
      </c>
      <c r="AI14" s="38">
        <f>MAX('[1]资源-士兵训练时间'!AV15,0)</f>
        <v>5.9124383646454559E-2</v>
      </c>
      <c r="AJ14" s="38">
        <f>MAX('[1]资源-玩家城池建筑时间'!BL15,0)</f>
        <v>1.388621959053152E-2</v>
      </c>
      <c r="AK14" s="38">
        <f>MAX('[1]资源-士兵招募时间'!AW15,0)</f>
        <v>0</v>
      </c>
      <c r="AL14" s="38">
        <f>MAX('[1]资源-圣人研究时间'!AZ14,0)</f>
        <v>0</v>
      </c>
      <c r="AM14" s="38">
        <f>MAX([2]士兵治疗!CB14,0)</f>
        <v>0</v>
      </c>
      <c r="AN14" s="38">
        <f>[4]武将数量星级阶位验证!$DA13</f>
        <v>0.60562499999999997</v>
      </c>
      <c r="AO14" s="38">
        <f t="shared" si="3"/>
        <v>0.2</v>
      </c>
      <c r="AP14" s="48">
        <f t="shared" si="4"/>
        <v>0.87863560323698597</v>
      </c>
    </row>
    <row r="15" spans="3:42" x14ac:dyDescent="0.15">
      <c r="C15" s="37">
        <v>11</v>
      </c>
      <c r="D15" s="38">
        <f>MAX('[1]资源-银币'!AY16,0)</f>
        <v>0</v>
      </c>
      <c r="E15" s="38">
        <f>MAX('[1]资源-木石铜粮'!AO16,0)</f>
        <v>0</v>
      </c>
      <c r="F15" s="38">
        <f>MAX('[1]资源-铁'!AN16,0)</f>
        <v>0</v>
      </c>
      <c r="G15" s="38">
        <f>MAX('[1]资源-士兵训练时间'!AR16,0)</f>
        <v>0</v>
      </c>
      <c r="H15" s="38">
        <f>MAX('[1]资源-玩家城池建筑时间'!BH16,0)</f>
        <v>5.1693168453020646E-2</v>
      </c>
      <c r="I15" s="38">
        <f>MAX('[1]资源-士兵招募时间'!AS16,0)</f>
        <v>0</v>
      </c>
      <c r="J15" s="38">
        <f>MAX('[1]资源-圣人研究时间'!AV15,0)</f>
        <v>0</v>
      </c>
      <c r="K15" s="38">
        <f>MAX([2]士兵治疗!BX15,0)</f>
        <v>0</v>
      </c>
      <c r="L15" s="38">
        <f>[4]武将数量星级阶位验证!$CW14</f>
        <v>0.60040949999999993</v>
      </c>
      <c r="M15" s="38">
        <f>[3]投放验证!$AL$4</f>
        <v>0.2</v>
      </c>
      <c r="N15" s="48">
        <f t="shared" si="0"/>
        <v>0.85210266845302063</v>
      </c>
      <c r="O15" s="37"/>
      <c r="Q15" s="37">
        <v>11</v>
      </c>
      <c r="R15" s="38">
        <f>MAX('[1]资源-银币'!BA16,0)</f>
        <v>0</v>
      </c>
      <c r="S15" s="38">
        <f>MAX('[1]资源-木石铜粮'!AQ16,0)</f>
        <v>0</v>
      </c>
      <c r="T15" s="38">
        <f>MAX('[1]资源-铁'!AP16,0)</f>
        <v>0</v>
      </c>
      <c r="U15" s="38">
        <f>MAX('[1]资源-士兵训练时间'!AT16,0)</f>
        <v>2.1749303928541512E-2</v>
      </c>
      <c r="V15" s="38">
        <f>MAX('[1]资源-玩家城池建筑时间'!BJ16,0)</f>
        <v>9.7807696569185143E-3</v>
      </c>
      <c r="W15" s="38">
        <f>MAX('[1]资源-士兵招募时间'!AU16,0)</f>
        <v>0</v>
      </c>
      <c r="X15" s="38">
        <f>MAX('[1]资源-圣人研究时间'!AX15,0)</f>
        <v>0</v>
      </c>
      <c r="Y15" s="38">
        <f>MAX([2]士兵治疗!BZ15,0)</f>
        <v>0</v>
      </c>
      <c r="Z15" s="38">
        <f>[4]武将数量星级阶位验证!$CY14</f>
        <v>0.60040949999999993</v>
      </c>
      <c r="AA15" s="38">
        <f t="shared" si="1"/>
        <v>0.2</v>
      </c>
      <c r="AB15" s="48">
        <f t="shared" si="2"/>
        <v>0.83193957358546</v>
      </c>
      <c r="AE15" s="37">
        <v>11</v>
      </c>
      <c r="AF15" s="38">
        <f>MAX('[1]资源-银币'!BC16,0)</f>
        <v>0</v>
      </c>
      <c r="AG15" s="38">
        <f>MAX('[1]资源-木石铜粮'!AS16,0)</f>
        <v>0</v>
      </c>
      <c r="AH15" s="38">
        <f>MAX('[1]资源-铁'!AR16,0)</f>
        <v>0</v>
      </c>
      <c r="AI15" s="38">
        <f>MAX('[1]资源-士兵训练时间'!AV16,0)</f>
        <v>5.9372909370464626E-2</v>
      </c>
      <c r="AJ15" s="38">
        <f>MAX('[1]资源-玩家城池建筑时间'!BL16,0)</f>
        <v>2.5240568616610715E-2</v>
      </c>
      <c r="AK15" s="38">
        <f>MAX('[1]资源-士兵招募时间'!AW16,0)</f>
        <v>0</v>
      </c>
      <c r="AL15" s="38">
        <f>MAX('[1]资源-圣人研究时间'!AZ15,0)</f>
        <v>0</v>
      </c>
      <c r="AM15" s="38">
        <f>MAX([2]士兵治疗!CB15,0)</f>
        <v>0</v>
      </c>
      <c r="AN15" s="38">
        <f>[4]武将数量星级阶位验证!$DA14</f>
        <v>0.60040949999999993</v>
      </c>
      <c r="AO15" s="38">
        <f t="shared" si="3"/>
        <v>0.2</v>
      </c>
      <c r="AP15" s="48">
        <f t="shared" si="4"/>
        <v>0.8850229779870753</v>
      </c>
    </row>
    <row r="16" spans="3:42" x14ac:dyDescent="0.15">
      <c r="C16" s="37">
        <v>12</v>
      </c>
      <c r="D16" s="38">
        <f>MAX('[1]资源-银币'!AY17,0)</f>
        <v>0</v>
      </c>
      <c r="E16" s="38">
        <f>MAX('[1]资源-木石铜粮'!AO17,0)</f>
        <v>0</v>
      </c>
      <c r="F16" s="38">
        <f>MAX('[1]资源-铁'!AN17,0)</f>
        <v>0</v>
      </c>
      <c r="G16" s="38">
        <f>MAX('[1]资源-士兵训练时间'!AR17,0)</f>
        <v>0</v>
      </c>
      <c r="H16" s="38">
        <f>MAX('[1]资源-玩家城池建筑时间'!BH17,0)</f>
        <v>5.7857817179850467E-2</v>
      </c>
      <c r="I16" s="38">
        <f>MAX('[1]资源-士兵招募时间'!AS17,0)</f>
        <v>0</v>
      </c>
      <c r="J16" s="38">
        <f>MAX('[1]资源-圣人研究时间'!AV16,0)</f>
        <v>0</v>
      </c>
      <c r="K16" s="38">
        <f>MAX([2]士兵治疗!BX16,0)</f>
        <v>0</v>
      </c>
      <c r="L16" s="38">
        <f>[4]武将数量星级阶位验证!$CW15</f>
        <v>0.595194</v>
      </c>
      <c r="M16" s="38">
        <f>[3]投放验证!$AL$4</f>
        <v>0.2</v>
      </c>
      <c r="N16" s="48">
        <f t="shared" si="0"/>
        <v>0.85305181717985046</v>
      </c>
      <c r="O16" s="37"/>
      <c r="Q16" s="37">
        <v>12</v>
      </c>
      <c r="R16" s="38">
        <f>MAX('[1]资源-银币'!BA17,0)</f>
        <v>0</v>
      </c>
      <c r="S16" s="38">
        <f>MAX('[1]资源-木石铜粮'!AQ17,0)</f>
        <v>0</v>
      </c>
      <c r="T16" s="38">
        <f>MAX('[1]资源-铁'!AP17,0)</f>
        <v>0</v>
      </c>
      <c r="U16" s="38">
        <f>MAX('[1]资源-士兵训练时间'!AT17,0)</f>
        <v>2.2277517021290827E-2</v>
      </c>
      <c r="V16" s="38">
        <f>MAX('[1]资源-玩家城池建筑时间'!BJ17,0)</f>
        <v>1.6744926697575904E-2</v>
      </c>
      <c r="W16" s="38">
        <f>MAX('[1]资源-士兵招募时间'!AU17,0)</f>
        <v>7.1575648204045359E-3</v>
      </c>
      <c r="X16" s="38">
        <f>MAX('[1]资源-圣人研究时间'!AX16,0)</f>
        <v>0</v>
      </c>
      <c r="Y16" s="38">
        <f>MAX([2]士兵治疗!BZ16,0)</f>
        <v>0</v>
      </c>
      <c r="Z16" s="38">
        <f>[4]武将数量星级阶位验证!$CY15</f>
        <v>0.595194</v>
      </c>
      <c r="AA16" s="38">
        <f t="shared" si="1"/>
        <v>0.2</v>
      </c>
      <c r="AB16" s="48">
        <f t="shared" si="2"/>
        <v>0.84137400853927136</v>
      </c>
      <c r="AE16" s="37">
        <v>12</v>
      </c>
      <c r="AF16" s="38">
        <f>MAX('[1]资源-银币'!BC17,0)</f>
        <v>0</v>
      </c>
      <c r="AG16" s="38">
        <f>MAX('[1]资源-木石铜粮'!AS17,0)</f>
        <v>0</v>
      </c>
      <c r="AH16" s="38">
        <f>MAX('[1]资源-铁'!AR17,0)</f>
        <v>0</v>
      </c>
      <c r="AI16" s="38">
        <f>MAX('[1]资源-士兵训练时间'!AV17,0)</f>
        <v>6.1078627694236824E-2</v>
      </c>
      <c r="AJ16" s="38">
        <f>MAX('[1]资源-玩家城池建筑时间'!BL17,0)</f>
        <v>3.1113066754248759E-2</v>
      </c>
      <c r="AK16" s="38">
        <f>MAX('[1]资源-士兵招募时间'!AW17,0)</f>
        <v>0</v>
      </c>
      <c r="AL16" s="38">
        <f>MAX('[1]资源-圣人研究时间'!AZ16,0)</f>
        <v>8.4924934178430664E-4</v>
      </c>
      <c r="AM16" s="38">
        <f>MAX([2]士兵治疗!CB16,0)</f>
        <v>0</v>
      </c>
      <c r="AN16" s="38">
        <f>[4]武将数量星级阶位验证!$DA15</f>
        <v>0.595194</v>
      </c>
      <c r="AO16" s="38">
        <f t="shared" si="3"/>
        <v>0.2</v>
      </c>
      <c r="AP16" s="48">
        <f t="shared" si="4"/>
        <v>0.8882349437902699</v>
      </c>
    </row>
    <row r="17" spans="3:42" x14ac:dyDescent="0.15">
      <c r="C17" s="37">
        <v>13</v>
      </c>
      <c r="D17" s="38">
        <f>MAX('[1]资源-银币'!AY18,0)</f>
        <v>0</v>
      </c>
      <c r="E17" s="38">
        <f>MAX('[1]资源-木石铜粮'!AO18,0)</f>
        <v>0</v>
      </c>
      <c r="F17" s="38">
        <f>MAX('[1]资源-铁'!AN18,0)</f>
        <v>0</v>
      </c>
      <c r="G17" s="38">
        <f>MAX('[1]资源-士兵训练时间'!AR18,0)</f>
        <v>0</v>
      </c>
      <c r="H17" s="38">
        <f>MAX('[1]资源-玩家城池建筑时间'!BH18,0)</f>
        <v>5.8780651770233575E-2</v>
      </c>
      <c r="I17" s="38">
        <f>MAX('[1]资源-士兵招募时间'!AS18,0)</f>
        <v>0</v>
      </c>
      <c r="J17" s="38">
        <f>MAX('[1]资源-圣人研究时间'!AV17,0)</f>
        <v>0</v>
      </c>
      <c r="K17" s="38">
        <f>MAX([2]士兵治疗!BX17,0)</f>
        <v>0</v>
      </c>
      <c r="L17" s="38">
        <f>[4]武将数量星级阶位验证!$CW16</f>
        <v>0.58997849999999996</v>
      </c>
      <c r="M17" s="38">
        <f>[3]投放验证!$AL$4</f>
        <v>0.2</v>
      </c>
      <c r="N17" s="48">
        <f t="shared" si="0"/>
        <v>0.84875915177023353</v>
      </c>
      <c r="O17" s="37"/>
      <c r="Q17" s="37">
        <v>13</v>
      </c>
      <c r="R17" s="38">
        <f>MAX('[1]资源-银币'!BA18,0)</f>
        <v>0</v>
      </c>
      <c r="S17" s="38">
        <f>MAX('[1]资源-木石铜粮'!AQ18,0)</f>
        <v>0</v>
      </c>
      <c r="T17" s="38">
        <f>MAX('[1]资源-铁'!AP18,0)</f>
        <v>0</v>
      </c>
      <c r="U17" s="38">
        <f>MAX('[1]资源-士兵训练时间'!AT18,0)</f>
        <v>2.5484802111606877E-2</v>
      </c>
      <c r="V17" s="38">
        <f>MAX('[1]资源-玩家城池建筑时间'!BJ18,0)</f>
        <v>2.0439641078751729E-2</v>
      </c>
      <c r="W17" s="38">
        <f>MAX('[1]资源-士兵招募时间'!AU18,0)</f>
        <v>1.4841115775681877E-2</v>
      </c>
      <c r="X17" s="38">
        <f>MAX('[1]资源-圣人研究时间'!AX17,0)</f>
        <v>0</v>
      </c>
      <c r="Y17" s="38">
        <f>MAX([2]士兵治疗!BZ17,0)</f>
        <v>0</v>
      </c>
      <c r="Z17" s="38">
        <f>[4]武将数量星级阶位验证!$CY16</f>
        <v>0.58997849999999996</v>
      </c>
      <c r="AA17" s="38">
        <f t="shared" si="1"/>
        <v>0.2</v>
      </c>
      <c r="AB17" s="48">
        <f t="shared" si="2"/>
        <v>0.85074405896604044</v>
      </c>
      <c r="AE17" s="37">
        <v>13</v>
      </c>
      <c r="AF17" s="38">
        <f>MAX('[1]资源-银币'!BC18,0)</f>
        <v>0</v>
      </c>
      <c r="AG17" s="38">
        <f>MAX('[1]资源-木石铜粮'!AS18,0)</f>
        <v>0</v>
      </c>
      <c r="AH17" s="38">
        <f>MAX('[1]资源-铁'!AR18,0)</f>
        <v>0</v>
      </c>
      <c r="AI17" s="38">
        <f>MAX('[1]资源-士兵训练时间'!AV18,0)</f>
        <v>6.3739013298600461E-2</v>
      </c>
      <c r="AJ17" s="38">
        <f>MAX('[1]资源-玩家城池建筑时间'!BL18,0)</f>
        <v>3.8533495917082522E-2</v>
      </c>
      <c r="AK17" s="38">
        <f>MAX('[1]资源-士兵招募时间'!AW18,0)</f>
        <v>0</v>
      </c>
      <c r="AL17" s="38">
        <f>MAX('[1]资源-圣人研究时间'!AZ17,0)</f>
        <v>5.9434367206900951E-3</v>
      </c>
      <c r="AM17" s="38">
        <f>MAX([2]士兵治疗!CB17,0)</f>
        <v>0</v>
      </c>
      <c r="AN17" s="38">
        <f>[4]武将数量星级阶位验证!$DA16</f>
        <v>0.58997849999999996</v>
      </c>
      <c r="AO17" s="38">
        <f t="shared" si="3"/>
        <v>0.2</v>
      </c>
      <c r="AP17" s="48">
        <f t="shared" si="4"/>
        <v>0.8981944459363731</v>
      </c>
    </row>
    <row r="18" spans="3:42" x14ac:dyDescent="0.15">
      <c r="C18" s="37">
        <v>14</v>
      </c>
      <c r="D18" s="38">
        <f>MAX('[1]资源-银币'!AY19,0)</f>
        <v>0</v>
      </c>
      <c r="E18" s="38">
        <f>MAX('[1]资源-木石铜粮'!AO19,0)</f>
        <v>0</v>
      </c>
      <c r="F18" s="38">
        <f>MAX('[1]资源-铁'!AN19,0)</f>
        <v>0</v>
      </c>
      <c r="G18" s="38">
        <f>MAX('[1]资源-士兵训练时间'!AR19,0)</f>
        <v>0</v>
      </c>
      <c r="H18" s="38">
        <f>MAX('[1]资源-玩家城池建筑时间'!BH19,0)</f>
        <v>5.7451392883628168E-2</v>
      </c>
      <c r="I18" s="38">
        <f>MAX('[1]资源-士兵招募时间'!AS19,0)</f>
        <v>0</v>
      </c>
      <c r="J18" s="38">
        <f>MAX('[1]资源-圣人研究时间'!AV18,0)</f>
        <v>0</v>
      </c>
      <c r="K18" s="38">
        <f>MAX([2]士兵治疗!BX18,0)</f>
        <v>0</v>
      </c>
      <c r="L18" s="38">
        <f>[4]武将数量星级阶位验证!$CW17</f>
        <v>0.58476300000000003</v>
      </c>
      <c r="M18" s="38">
        <f>[3]投放验证!$AL$4</f>
        <v>0.2</v>
      </c>
      <c r="N18" s="48">
        <f t="shared" si="0"/>
        <v>0.84221439288362832</v>
      </c>
      <c r="O18" s="37"/>
      <c r="Q18" s="37">
        <v>14</v>
      </c>
      <c r="R18" s="38">
        <f>MAX('[1]资源-银币'!BA19,0)</f>
        <v>0</v>
      </c>
      <c r="S18" s="38">
        <f>MAX('[1]资源-木石铜粮'!AQ19,0)</f>
        <v>0</v>
      </c>
      <c r="T18" s="38">
        <f>MAX('[1]资源-铁'!AP19,0)</f>
        <v>0</v>
      </c>
      <c r="U18" s="38">
        <f>MAX('[1]资源-士兵训练时间'!AT19,0)</f>
        <v>3.1060799271981805E-2</v>
      </c>
      <c r="V18" s="38">
        <f>MAX('[1]资源-玩家城池建筑时间'!BJ19,0)</f>
        <v>2.6577647459297412E-2</v>
      </c>
      <c r="W18" s="38">
        <f>MAX('[1]资源-士兵招募时间'!AU19,0)</f>
        <v>2.8083601515152049E-2</v>
      </c>
      <c r="X18" s="38">
        <f>MAX('[1]资源-圣人研究时间'!AX18,0)</f>
        <v>0</v>
      </c>
      <c r="Y18" s="38">
        <f>MAX([2]士兵治疗!BZ18,0)</f>
        <v>0</v>
      </c>
      <c r="Z18" s="38">
        <f>[4]武将数量星级阶位验证!$CY17</f>
        <v>0.58476300000000003</v>
      </c>
      <c r="AA18" s="38">
        <f t="shared" si="1"/>
        <v>0.2</v>
      </c>
      <c r="AB18" s="48">
        <f t="shared" si="2"/>
        <v>0.87048504824643125</v>
      </c>
      <c r="AE18" s="37">
        <v>14</v>
      </c>
      <c r="AF18" s="38">
        <f>MAX('[1]资源-银币'!BC19,0)</f>
        <v>0</v>
      </c>
      <c r="AG18" s="38">
        <f>MAX('[1]资源-木石铜粮'!AS19,0)</f>
        <v>0</v>
      </c>
      <c r="AH18" s="38">
        <f>MAX('[1]资源-铁'!AR19,0)</f>
        <v>0</v>
      </c>
      <c r="AI18" s="38">
        <f>MAX('[1]资源-士兵训练时间'!AV19,0)</f>
        <v>6.9820837353333415E-2</v>
      </c>
      <c r="AJ18" s="38">
        <f>MAX('[1]资源-玩家城池建筑时间'!BL19,0)</f>
        <v>4.6651605179477015E-2</v>
      </c>
      <c r="AK18" s="38">
        <f>MAX('[1]资源-士兵招募时间'!AW19,0)</f>
        <v>0</v>
      </c>
      <c r="AL18" s="38">
        <f>MAX('[1]资源-圣人研究时间'!AZ18,0)</f>
        <v>1.0143774488099231E-2</v>
      </c>
      <c r="AM18" s="38">
        <f>MAX([2]士兵治疗!CB18,0)</f>
        <v>0</v>
      </c>
      <c r="AN18" s="38">
        <f>[4]武将数量星级阶位验证!$DA17</f>
        <v>0.58476300000000003</v>
      </c>
      <c r="AO18" s="38">
        <f t="shared" si="3"/>
        <v>0.2</v>
      </c>
      <c r="AP18" s="48">
        <f t="shared" si="4"/>
        <v>0.91137921702090963</v>
      </c>
    </row>
    <row r="19" spans="3:42" x14ac:dyDescent="0.15">
      <c r="C19" s="37">
        <v>15</v>
      </c>
      <c r="D19" s="38">
        <f>MAX('[1]资源-银币'!AY20,0)</f>
        <v>0</v>
      </c>
      <c r="E19" s="38">
        <f>MAX('[1]资源-木石铜粮'!AO20,0)</f>
        <v>0</v>
      </c>
      <c r="F19" s="38">
        <f>MAX('[1]资源-铁'!AN20,0)</f>
        <v>0</v>
      </c>
      <c r="G19" s="38">
        <f>MAX('[1]资源-士兵训练时间'!AR20,0)</f>
        <v>0</v>
      </c>
      <c r="H19" s="38">
        <f>MAX('[1]资源-玩家城池建筑时间'!BH20,0)</f>
        <v>5.7716383345486698E-2</v>
      </c>
      <c r="I19" s="38">
        <f>MAX('[1]资源-士兵招募时间'!AS20,0)</f>
        <v>0</v>
      </c>
      <c r="J19" s="38">
        <f>MAX('[1]资源-圣人研究时间'!AV19,0)</f>
        <v>0</v>
      </c>
      <c r="K19" s="38">
        <f>MAX([2]士兵治疗!BX19,0)</f>
        <v>0</v>
      </c>
      <c r="L19" s="38">
        <f>[4]武将数量星级阶位验证!$CW18</f>
        <v>0.57954749999999999</v>
      </c>
      <c r="M19" s="38">
        <f>[3]投放验证!$AL$4</f>
        <v>0.2</v>
      </c>
      <c r="N19" s="48">
        <f t="shared" si="0"/>
        <v>0.83726388334548663</v>
      </c>
      <c r="O19" s="37"/>
      <c r="Q19" s="37">
        <v>15</v>
      </c>
      <c r="R19" s="38">
        <f>MAX('[1]资源-银币'!BA20,0)</f>
        <v>0</v>
      </c>
      <c r="S19" s="38">
        <f>MAX('[1]资源-木石铜粮'!AQ20,0)</f>
        <v>0</v>
      </c>
      <c r="T19" s="38">
        <f>MAX('[1]资源-铁'!AP20,0)</f>
        <v>0</v>
      </c>
      <c r="U19" s="38">
        <f>MAX('[1]资源-士兵训练时间'!AT20,0)</f>
        <v>3.783860389029077E-2</v>
      </c>
      <c r="V19" s="38">
        <f>MAX('[1]资源-玩家城池建筑时间'!BJ20,0)</f>
        <v>3.3812716657209523E-2</v>
      </c>
      <c r="W19" s="38">
        <f>MAX('[1]资源-士兵招募时间'!AU20,0)</f>
        <v>3.1269269105655299E-2</v>
      </c>
      <c r="X19" s="38">
        <f>MAX('[1]资源-圣人研究时间'!AX19,0)</f>
        <v>0</v>
      </c>
      <c r="Y19" s="38">
        <f>MAX([2]士兵治疗!BZ19,0)</f>
        <v>0</v>
      </c>
      <c r="Z19" s="38">
        <f>[4]武将数量星级阶位验证!$CY18</f>
        <v>0.57954749999999999</v>
      </c>
      <c r="AA19" s="38">
        <f t="shared" si="1"/>
        <v>0.2</v>
      </c>
      <c r="AB19" s="48">
        <f t="shared" si="2"/>
        <v>0.8824680896531556</v>
      </c>
      <c r="AE19" s="37">
        <v>15</v>
      </c>
      <c r="AF19" s="38">
        <f>MAX('[1]资源-银币'!BC20,0)</f>
        <v>0</v>
      </c>
      <c r="AG19" s="38">
        <f>MAX('[1]资源-木石铜粮'!AS20,0)</f>
        <v>0</v>
      </c>
      <c r="AH19" s="38">
        <f>MAX('[1]资源-铁'!AR20,0)</f>
        <v>0</v>
      </c>
      <c r="AI19" s="38">
        <f>MAX('[1]资源-士兵训练时间'!AV20,0)</f>
        <v>7.7709805627558928E-2</v>
      </c>
      <c r="AJ19" s="38">
        <f>MAX('[1]资源-玩家城池建筑时间'!BL20,0)</f>
        <v>5.5496853871507067E-2</v>
      </c>
      <c r="AK19" s="38">
        <f>MAX('[1]资源-士兵招募时间'!AW20,0)</f>
        <v>0</v>
      </c>
      <c r="AL19" s="38">
        <f>MAX('[1]资源-圣人研究时间'!AZ19,0)</f>
        <v>1.4237194276775989E-2</v>
      </c>
      <c r="AM19" s="38">
        <f>MAX([2]士兵治疗!CB19,0)</f>
        <v>0</v>
      </c>
      <c r="AN19" s="38">
        <f>[4]武将数量星级阶位验证!$DA18</f>
        <v>0.57954749999999999</v>
      </c>
      <c r="AO19" s="38">
        <f t="shared" si="3"/>
        <v>0.2</v>
      </c>
      <c r="AP19" s="48">
        <f t="shared" si="4"/>
        <v>0.92699135377584208</v>
      </c>
    </row>
    <row r="20" spans="3:42" x14ac:dyDescent="0.15">
      <c r="C20" s="37">
        <v>16</v>
      </c>
      <c r="D20" s="38">
        <f>MAX('[1]资源-银币'!AY21,0)</f>
        <v>0</v>
      </c>
      <c r="E20" s="38">
        <f>MAX('[1]资源-木石铜粮'!AO21,0)</f>
        <v>0</v>
      </c>
      <c r="F20" s="38">
        <f>MAX('[1]资源-铁'!AN21,0)</f>
        <v>0</v>
      </c>
      <c r="G20" s="38">
        <f>MAX('[1]资源-士兵训练时间'!AR21,0)</f>
        <v>0</v>
      </c>
      <c r="H20" s="38">
        <f>MAX('[1]资源-玩家城池建筑时间'!BH21,0)</f>
        <v>5.7525306142781209E-2</v>
      </c>
      <c r="I20" s="38">
        <f>MAX('[1]资源-士兵招募时间'!AS21,0)</f>
        <v>0</v>
      </c>
      <c r="J20" s="38">
        <f>MAX('[1]资源-圣人研究时间'!AV20,0)</f>
        <v>0</v>
      </c>
      <c r="K20" s="38">
        <f>MAX([2]士兵治疗!BX20,0)</f>
        <v>0</v>
      </c>
      <c r="L20" s="38">
        <f>[4]武将数量星级阶位验证!$CW19</f>
        <v>0.57449216999999997</v>
      </c>
      <c r="M20" s="38">
        <f>[3]投放验证!$AL$4</f>
        <v>0.2</v>
      </c>
      <c r="N20" s="48">
        <f t="shared" si="0"/>
        <v>0.83201747614278121</v>
      </c>
      <c r="O20" s="37"/>
      <c r="Q20" s="37">
        <v>16</v>
      </c>
      <c r="R20" s="38">
        <f>MAX('[1]资源-银币'!BA21,0)</f>
        <v>0</v>
      </c>
      <c r="S20" s="38">
        <f>MAX('[1]资源-木石铜粮'!AQ21,0)</f>
        <v>0</v>
      </c>
      <c r="T20" s="38">
        <f>MAX('[1]资源-铁'!AP21,0)</f>
        <v>0</v>
      </c>
      <c r="U20" s="38">
        <f>MAX('[1]资源-士兵训练时间'!AT21,0)</f>
        <v>5.4465614952213671E-2</v>
      </c>
      <c r="V20" s="38">
        <f>MAX('[1]资源-玩家城池建筑时间'!BJ21,0)</f>
        <v>5.0279554696580159E-2</v>
      </c>
      <c r="W20" s="38">
        <f>MAX('[1]资源-士兵招募时间'!AU21,0)</f>
        <v>3.3149277760941176E-2</v>
      </c>
      <c r="X20" s="38">
        <f>MAX('[1]资源-圣人研究时间'!AX20,0)</f>
        <v>0</v>
      </c>
      <c r="Y20" s="38">
        <f>MAX([2]士兵治疗!BZ20,0)</f>
        <v>0</v>
      </c>
      <c r="Z20" s="38">
        <f>[4]武将数量星级阶位验证!$CY19</f>
        <v>0.57449216999999997</v>
      </c>
      <c r="AA20" s="38">
        <f t="shared" si="1"/>
        <v>0.2</v>
      </c>
      <c r="AB20" s="48">
        <f t="shared" si="2"/>
        <v>0.91238661740973503</v>
      </c>
      <c r="AE20" s="37">
        <v>16</v>
      </c>
      <c r="AF20" s="38">
        <f>MAX('[1]资源-银币'!BC21,0)</f>
        <v>0</v>
      </c>
      <c r="AG20" s="38">
        <f>MAX('[1]资源-木石铜粮'!AS21,0)</f>
        <v>0</v>
      </c>
      <c r="AH20" s="38">
        <f>MAX('[1]资源-铁'!AR21,0)</f>
        <v>0</v>
      </c>
      <c r="AI20" s="38">
        <f>MAX('[1]资源-士兵训练时间'!AV21,0)</f>
        <v>8.8121967021553102E-2</v>
      </c>
      <c r="AJ20" s="38">
        <f>MAX('[1]资源-玩家城池建筑时间'!BL21,0)</f>
        <v>6.2386621338519729E-2</v>
      </c>
      <c r="AK20" s="38">
        <f>MAX('[1]资源-士兵招募时间'!AW21,0)</f>
        <v>0</v>
      </c>
      <c r="AL20" s="38">
        <f>MAX('[1]资源-圣人研究时间'!AZ20,0)</f>
        <v>1.9381655999727056E-2</v>
      </c>
      <c r="AM20" s="38">
        <f>MAX([2]士兵治疗!CB20,0)</f>
        <v>0</v>
      </c>
      <c r="AN20" s="38">
        <f>[4]武将数量星级阶位验证!$DA19</f>
        <v>0.57449216999999997</v>
      </c>
      <c r="AO20" s="38">
        <f t="shared" si="3"/>
        <v>0.2</v>
      </c>
      <c r="AP20" s="48">
        <f t="shared" si="4"/>
        <v>0.94438241435979986</v>
      </c>
    </row>
    <row r="21" spans="3:42" x14ac:dyDescent="0.15">
      <c r="C21" s="37">
        <v>17</v>
      </c>
      <c r="D21" s="38">
        <f>MAX('[1]资源-银币'!AY22,0)</f>
        <v>0</v>
      </c>
      <c r="E21" s="38">
        <f>MAX('[1]资源-木石铜粮'!AO22,0)</f>
        <v>0</v>
      </c>
      <c r="F21" s="38">
        <f>MAX('[1]资源-铁'!AN22,0)</f>
        <v>0</v>
      </c>
      <c r="G21" s="38">
        <f>MAX('[1]资源-士兵训练时间'!AR22,0)</f>
        <v>0</v>
      </c>
      <c r="H21" s="38">
        <f>MAX('[1]资源-玩家城池建筑时间'!BH22,0)</f>
        <v>6.663866986315517E-2</v>
      </c>
      <c r="I21" s="38">
        <f>MAX('[1]资源-士兵招募时间'!AS22,0)</f>
        <v>0</v>
      </c>
      <c r="J21" s="38">
        <f>MAX('[1]资源-圣人研究时间'!AV21,0)</f>
        <v>0</v>
      </c>
      <c r="K21" s="38">
        <f>MAX([2]士兵治疗!BX21,0)</f>
        <v>0</v>
      </c>
      <c r="L21" s="38">
        <f>[4]武将数量星级阶位验证!$CW20</f>
        <v>0.56943684000000006</v>
      </c>
      <c r="M21" s="38">
        <f>[3]投放验证!$AL$4</f>
        <v>0.2</v>
      </c>
      <c r="N21" s="48">
        <f t="shared" si="0"/>
        <v>0.83607550986315515</v>
      </c>
      <c r="O21" s="37"/>
      <c r="Q21" s="37">
        <v>17</v>
      </c>
      <c r="R21" s="38">
        <f>MAX('[1]资源-银币'!BA22,0)</f>
        <v>0</v>
      </c>
      <c r="S21" s="38">
        <f>MAX('[1]资源-木石铜粮'!AQ22,0)</f>
        <v>0</v>
      </c>
      <c r="T21" s="38">
        <f>MAX('[1]资源-铁'!AP22,0)</f>
        <v>0</v>
      </c>
      <c r="U21" s="38">
        <f>MAX('[1]资源-士兵训练时间'!AT22,0)</f>
        <v>6.9725522125047498E-2</v>
      </c>
      <c r="V21" s="38">
        <f>MAX('[1]资源-玩家城池建筑时间'!BJ22,0)</f>
        <v>6.2014983687171073E-2</v>
      </c>
      <c r="W21" s="38">
        <f>MAX('[1]资源-士兵招募时间'!AU22,0)</f>
        <v>3.3867449134523601E-2</v>
      </c>
      <c r="X21" s="38">
        <f>MAX('[1]资源-圣人研究时间'!AX21,0)</f>
        <v>0</v>
      </c>
      <c r="Y21" s="38">
        <f>MAX([2]士兵治疗!BZ21,0)</f>
        <v>0</v>
      </c>
      <c r="Z21" s="38">
        <f>[4]武将数量星级阶位验证!$CY20</f>
        <v>0.56943684000000006</v>
      </c>
      <c r="AA21" s="38">
        <f t="shared" si="1"/>
        <v>0.2</v>
      </c>
      <c r="AB21" s="48">
        <f t="shared" si="2"/>
        <v>0.9350447949467422</v>
      </c>
      <c r="AE21" s="37">
        <v>17</v>
      </c>
      <c r="AF21" s="38">
        <f>MAX('[1]资源-银币'!BC22,0)</f>
        <v>0</v>
      </c>
      <c r="AG21" s="38">
        <f>MAX('[1]资源-木石铜粮'!AS22,0)</f>
        <v>0</v>
      </c>
      <c r="AH21" s="38">
        <f>MAX('[1]资源-铁'!AR22,0)</f>
        <v>0</v>
      </c>
      <c r="AI21" s="38">
        <f>MAX('[1]资源-士兵训练时间'!AV22,0)</f>
        <v>9.4484316652721806E-2</v>
      </c>
      <c r="AJ21" s="38">
        <f>MAX('[1]资源-玩家城池建筑时间'!BL22,0)</f>
        <v>6.6279592830283757E-2</v>
      </c>
      <c r="AK21" s="38">
        <f>MAX('[1]资源-士兵招募时间'!AW22,0)</f>
        <v>0</v>
      </c>
      <c r="AL21" s="38">
        <f>MAX('[1]资源-圣人研究时间'!AZ21,0)</f>
        <v>2.2833144004838806E-2</v>
      </c>
      <c r="AM21" s="38">
        <f>MAX([2]士兵治疗!CB21,0)</f>
        <v>0</v>
      </c>
      <c r="AN21" s="38">
        <f>[4]武将数量星级阶位验证!$DA20</f>
        <v>0.56943684000000006</v>
      </c>
      <c r="AO21" s="38">
        <f t="shared" si="3"/>
        <v>0.2</v>
      </c>
      <c r="AP21" s="48">
        <f t="shared" si="4"/>
        <v>0.9530338934878444</v>
      </c>
    </row>
    <row r="22" spans="3:42" x14ac:dyDescent="0.15">
      <c r="C22" s="37">
        <v>18</v>
      </c>
      <c r="D22" s="38">
        <f>MAX('[1]资源-银币'!AY23,0)</f>
        <v>0</v>
      </c>
      <c r="E22" s="38">
        <f>MAX('[1]资源-木石铜粮'!AO23,0)</f>
        <v>0</v>
      </c>
      <c r="F22" s="38">
        <f>MAX('[1]资源-铁'!AN23,0)</f>
        <v>0</v>
      </c>
      <c r="G22" s="38">
        <f>MAX('[1]资源-士兵训练时间'!AR23,0)</f>
        <v>0</v>
      </c>
      <c r="H22" s="38">
        <f>MAX('[1]资源-玩家城池建筑时间'!BH23,0)</f>
        <v>7.8061373008890697E-2</v>
      </c>
      <c r="I22" s="38">
        <f>MAX('[1]资源-士兵招募时间'!AS23,0)</f>
        <v>0</v>
      </c>
      <c r="J22" s="38">
        <f>MAX('[1]资源-圣人研究时间'!AV22,0)</f>
        <v>0</v>
      </c>
      <c r="K22" s="38">
        <f>MAX([2]士兵治疗!BX22,0)</f>
        <v>0</v>
      </c>
      <c r="L22" s="38">
        <f>[4]武将数量星级阶位验证!$CW21</f>
        <v>0.56438151000000003</v>
      </c>
      <c r="M22" s="38">
        <f>[3]投放验证!$AL$4</f>
        <v>0.2</v>
      </c>
      <c r="N22" s="48">
        <f t="shared" si="0"/>
        <v>0.84244288300889081</v>
      </c>
      <c r="O22" s="37"/>
      <c r="Q22" s="37">
        <v>18</v>
      </c>
      <c r="R22" s="38">
        <f>MAX('[1]资源-银币'!BA23,0)</f>
        <v>0</v>
      </c>
      <c r="S22" s="38">
        <f>MAX('[1]资源-木石铜粮'!AQ23,0)</f>
        <v>0</v>
      </c>
      <c r="T22" s="38">
        <f>MAX('[1]资源-铁'!AP23,0)</f>
        <v>0</v>
      </c>
      <c r="U22" s="38">
        <f>MAX('[1]资源-士兵训练时间'!AT23,0)</f>
        <v>8.964612428953174E-2</v>
      </c>
      <c r="V22" s="38">
        <f>MAX('[1]资源-玩家城池建筑时间'!BJ23,0)</f>
        <v>7.1516531090826327E-2</v>
      </c>
      <c r="W22" s="38">
        <f>MAX('[1]资源-士兵招募时间'!AU23,0)</f>
        <v>3.3317633611876847E-2</v>
      </c>
      <c r="X22" s="38">
        <f>MAX('[1]资源-圣人研究时间'!AX22,0)</f>
        <v>0</v>
      </c>
      <c r="Y22" s="38">
        <f>MAX([2]士兵治疗!BZ22,0)</f>
        <v>0</v>
      </c>
      <c r="Z22" s="38">
        <f>[4]武将数量星级阶位验证!$CY21</f>
        <v>0.56438151000000003</v>
      </c>
      <c r="AA22" s="38">
        <f t="shared" si="1"/>
        <v>0.2</v>
      </c>
      <c r="AB22" s="48">
        <f t="shared" si="2"/>
        <v>0.958861798992235</v>
      </c>
      <c r="AE22" s="37">
        <v>18</v>
      </c>
      <c r="AF22" s="38">
        <f>MAX('[1]资源-银币'!BC23,0)</f>
        <v>0</v>
      </c>
      <c r="AG22" s="38">
        <f>MAX('[1]资源-木石铜粮'!AS23,0)</f>
        <v>0</v>
      </c>
      <c r="AH22" s="38">
        <f>MAX('[1]资源-铁'!AR23,0)</f>
        <v>0</v>
      </c>
      <c r="AI22" s="38">
        <f>MAX('[1]资源-士兵训练时间'!AV23,0)</f>
        <v>9.842764466609466E-2</v>
      </c>
      <c r="AJ22" s="38">
        <f>MAX('[1]资源-玩家城池建筑时间'!BL23,0)</f>
        <v>7.0384520283411675E-2</v>
      </c>
      <c r="AK22" s="38">
        <f>MAX('[1]资源-士兵招募时间'!AW23,0)</f>
        <v>0</v>
      </c>
      <c r="AL22" s="38">
        <f>MAX('[1]资源-圣人研究时间'!AZ22,0)</f>
        <v>2.7122703341415696E-2</v>
      </c>
      <c r="AM22" s="38">
        <f>MAX([2]士兵治疗!CB22,0)</f>
        <v>0</v>
      </c>
      <c r="AN22" s="38">
        <f>[4]武将数量星级阶位验证!$DA21</f>
        <v>0.56438151000000003</v>
      </c>
      <c r="AO22" s="38">
        <f t="shared" si="3"/>
        <v>0.2</v>
      </c>
      <c r="AP22" s="48">
        <f t="shared" si="4"/>
        <v>0.96031637829092209</v>
      </c>
    </row>
    <row r="23" spans="3:42" x14ac:dyDescent="0.15">
      <c r="C23" s="37">
        <v>19</v>
      </c>
      <c r="D23" s="38">
        <f>MAX('[1]资源-银币'!AY24,0)</f>
        <v>0</v>
      </c>
      <c r="E23" s="38">
        <f>MAX('[1]资源-木石铜粮'!AO24,0)</f>
        <v>0</v>
      </c>
      <c r="F23" s="38">
        <f>MAX('[1]资源-铁'!AN24,0)</f>
        <v>0</v>
      </c>
      <c r="G23" s="38">
        <f>MAX('[1]资源-士兵训练时间'!AR24,0)</f>
        <v>0</v>
      </c>
      <c r="H23" s="38">
        <f>MAX('[1]资源-玩家城池建筑时间'!BH24,0)</f>
        <v>8.2322274497883596E-2</v>
      </c>
      <c r="I23" s="38">
        <f>MAX('[1]资源-士兵招募时间'!AS24,0)</f>
        <v>0</v>
      </c>
      <c r="J23" s="38">
        <f>MAX('[1]资源-圣人研究时间'!AV23,0)</f>
        <v>0</v>
      </c>
      <c r="K23" s="38">
        <f>MAX([2]士兵治疗!BX23,0)</f>
        <v>0</v>
      </c>
      <c r="L23" s="38">
        <f>[4]武将数量星级阶位验证!$CW22</f>
        <v>0.55932618000000012</v>
      </c>
      <c r="M23" s="38">
        <f>[3]投放验证!$AL$4</f>
        <v>0.2</v>
      </c>
      <c r="N23" s="48">
        <f t="shared" si="0"/>
        <v>0.84164845449788372</v>
      </c>
      <c r="O23" s="37"/>
      <c r="Q23" s="37">
        <v>19</v>
      </c>
      <c r="R23" s="38">
        <f>MAX('[1]资源-银币'!BA24,0)</f>
        <v>0</v>
      </c>
      <c r="S23" s="38">
        <f>MAX('[1]资源-木石铜粮'!AQ24,0)</f>
        <v>0</v>
      </c>
      <c r="T23" s="38">
        <f>MAX('[1]资源-铁'!AP24,0)</f>
        <v>0</v>
      </c>
      <c r="U23" s="38">
        <f>MAX('[1]资源-士兵训练时间'!AT24,0)</f>
        <v>0.10473570542498055</v>
      </c>
      <c r="V23" s="38">
        <f>MAX('[1]资源-玩家城池建筑时间'!BJ24,0)</f>
        <v>7.9994442561302448E-2</v>
      </c>
      <c r="W23" s="38">
        <f>MAX('[1]资源-士兵招募时间'!AU24,0)</f>
        <v>3.2080209796722207E-2</v>
      </c>
      <c r="X23" s="38">
        <f>MAX('[1]资源-圣人研究时间'!AX23,0)</f>
        <v>0</v>
      </c>
      <c r="Y23" s="38">
        <f>MAX([2]士兵治疗!BZ23,0)</f>
        <v>0</v>
      </c>
      <c r="Z23" s="38">
        <f>[4]武将数量星级阶位验证!$CY22</f>
        <v>0.55932618000000012</v>
      </c>
      <c r="AA23" s="38">
        <f t="shared" si="1"/>
        <v>0.2</v>
      </c>
      <c r="AB23" s="48">
        <f t="shared" si="2"/>
        <v>0.97613653778300535</v>
      </c>
      <c r="AE23" s="37">
        <v>19</v>
      </c>
      <c r="AF23" s="38">
        <f>MAX('[1]资源-银币'!BC24,0)</f>
        <v>0</v>
      </c>
      <c r="AG23" s="38">
        <f>MAX('[1]资源-木石铜粮'!AS24,0)</f>
        <v>0</v>
      </c>
      <c r="AH23" s="38">
        <f>MAX('[1]资源-铁'!AR24,0)</f>
        <v>0</v>
      </c>
      <c r="AI23" s="38">
        <f>MAX('[1]资源-士兵训练时间'!AV24,0)</f>
        <v>0.10261502077212356</v>
      </c>
      <c r="AJ23" s="38">
        <f>MAX('[1]资源-玩家城池建筑时间'!BL24,0)</f>
        <v>7.3799555205410067E-2</v>
      </c>
      <c r="AK23" s="38">
        <f>MAX('[1]资源-士兵招募时间'!AW24,0)</f>
        <v>0</v>
      </c>
      <c r="AL23" s="38">
        <f>MAX('[1]资源-圣人研究时间'!AZ23,0)</f>
        <v>3.1144054229474926E-2</v>
      </c>
      <c r="AM23" s="38">
        <f>MAX([2]士兵治疗!CB23,0)</f>
        <v>0</v>
      </c>
      <c r="AN23" s="38">
        <f>[4]武将数量星级阶位验证!$DA22</f>
        <v>0.55932618000000012</v>
      </c>
      <c r="AO23" s="38">
        <f t="shared" si="3"/>
        <v>0.2</v>
      </c>
      <c r="AP23" s="48">
        <f t="shared" si="4"/>
        <v>0.96688481020700867</v>
      </c>
    </row>
    <row r="24" spans="3:42" x14ac:dyDescent="0.15">
      <c r="C24" s="37">
        <v>20</v>
      </c>
      <c r="D24" s="38">
        <f>MAX('[1]资源-银币'!AY25,0)</f>
        <v>0</v>
      </c>
      <c r="E24" s="38">
        <f>MAX('[1]资源-木石铜粮'!AO25,0)</f>
        <v>0</v>
      </c>
      <c r="F24" s="38">
        <f>MAX('[1]资源-铁'!AN25,0)</f>
        <v>0</v>
      </c>
      <c r="G24" s="38">
        <f>MAX('[1]资源-士兵训练时间'!AR25,0)</f>
        <v>0</v>
      </c>
      <c r="H24" s="38">
        <f>MAX('[1]资源-玩家城池建筑时间'!BH25,0)</f>
        <v>8.4684522919475883E-2</v>
      </c>
      <c r="I24" s="38">
        <f>MAX('[1]资源-士兵招募时间'!AS25,0)</f>
        <v>0</v>
      </c>
      <c r="J24" s="38">
        <f>MAX('[1]资源-圣人研究时间'!AV24,0)</f>
        <v>0</v>
      </c>
      <c r="K24" s="38">
        <f>MAX([2]士兵治疗!BX24,0)</f>
        <v>0</v>
      </c>
      <c r="L24" s="38">
        <f>[4]武将数量星级阶位验证!$CW23</f>
        <v>0.55427085000000009</v>
      </c>
      <c r="M24" s="38">
        <f>[3]投放验证!$AL$4</f>
        <v>0.2</v>
      </c>
      <c r="N24" s="48">
        <f t="shared" si="0"/>
        <v>0.83895537291947608</v>
      </c>
      <c r="O24" s="37"/>
      <c r="Q24" s="37">
        <v>20</v>
      </c>
      <c r="R24" s="38">
        <f>MAX('[1]资源-银币'!BA25,0)</f>
        <v>0</v>
      </c>
      <c r="S24" s="38">
        <f>MAX('[1]资源-木石铜粮'!AQ25,0)</f>
        <v>0</v>
      </c>
      <c r="T24" s="38">
        <f>MAX('[1]资源-铁'!AP25,0)</f>
        <v>0</v>
      </c>
      <c r="U24" s="38">
        <f>MAX('[1]资源-士兵训练时间'!AT25,0)</f>
        <v>0.11459301455041344</v>
      </c>
      <c r="V24" s="38">
        <f>MAX('[1]资源-玩家城池建筑时间'!BJ25,0)</f>
        <v>8.6670621521923771E-2</v>
      </c>
      <c r="W24" s="38">
        <f>MAX('[1]资源-士兵招募时间'!AU25,0)</f>
        <v>3.1440339447479954E-2</v>
      </c>
      <c r="X24" s="38">
        <f>MAX('[1]资源-圣人研究时间'!AX24,0)</f>
        <v>0</v>
      </c>
      <c r="Y24" s="38">
        <f>MAX([2]士兵治疗!BZ24,0)</f>
        <v>0</v>
      </c>
      <c r="Z24" s="38">
        <f>[4]武将数量星级阶位验证!$CY23</f>
        <v>0.55427085000000009</v>
      </c>
      <c r="AA24" s="38">
        <f t="shared" si="1"/>
        <v>0.2</v>
      </c>
      <c r="AB24" s="48">
        <f t="shared" si="2"/>
        <v>0.98697482551981719</v>
      </c>
      <c r="AE24" s="37">
        <v>20</v>
      </c>
      <c r="AF24" s="38">
        <f>MAX('[1]资源-银币'!BC25,0)</f>
        <v>0</v>
      </c>
      <c r="AG24" s="38">
        <f>MAX('[1]资源-木石铜粮'!AS25,0)</f>
        <v>0</v>
      </c>
      <c r="AH24" s="38">
        <f>MAX('[1]资源-铁'!AR25,0)</f>
        <v>0</v>
      </c>
      <c r="AI24" s="38">
        <f>MAX('[1]资源-士兵训练时间'!AV25,0)</f>
        <v>0.1072702806042128</v>
      </c>
      <c r="AJ24" s="38">
        <f>MAX('[1]资源-玩家城池建筑时间'!BL25,0)</f>
        <v>7.5484536838268973E-2</v>
      </c>
      <c r="AK24" s="38">
        <f>MAX('[1]资源-士兵招募时间'!AW25,0)</f>
        <v>0</v>
      </c>
      <c r="AL24" s="38">
        <f>MAX('[1]资源-圣人研究时间'!AZ24,0)</f>
        <v>3.4759211227416029E-2</v>
      </c>
      <c r="AM24" s="38">
        <f>MAX([2]士兵治疗!CB24,0)</f>
        <v>0</v>
      </c>
      <c r="AN24" s="38">
        <f>[4]武将数量星级阶位验证!$DA23</f>
        <v>0.55427085000000009</v>
      </c>
      <c r="AO24" s="38">
        <f t="shared" si="3"/>
        <v>0.2</v>
      </c>
      <c r="AP24" s="48">
        <f t="shared" si="4"/>
        <v>0.97178487866989793</v>
      </c>
    </row>
    <row r="25" spans="3:42" x14ac:dyDescent="0.15">
      <c r="C25" s="37">
        <v>21</v>
      </c>
      <c r="D25" s="38">
        <f>MAX('[1]资源-银币'!AY26,0)</f>
        <v>0</v>
      </c>
      <c r="E25" s="38">
        <f>MAX('[1]资源-木石铜粮'!AO26,0)</f>
        <v>0</v>
      </c>
      <c r="F25" s="38">
        <f>MAX('[1]资源-铁'!AN26,0)</f>
        <v>0</v>
      </c>
      <c r="G25" s="38">
        <f>MAX('[1]资源-士兵训练时间'!AR26,0)</f>
        <v>0</v>
      </c>
      <c r="H25" s="38">
        <f>MAX('[1]资源-玩家城池建筑时间'!BH26,0)</f>
        <v>8.788097930770572E-2</v>
      </c>
      <c r="I25" s="38">
        <f>MAX('[1]资源-士兵招募时间'!AS26,0)</f>
        <v>0</v>
      </c>
      <c r="J25" s="38">
        <f>MAX('[1]资源-圣人研究时间'!AV25,0)</f>
        <v>0</v>
      </c>
      <c r="K25" s="38">
        <f>MAX([2]士兵治疗!BX25,0)</f>
        <v>0</v>
      </c>
      <c r="L25" s="38">
        <f>[4]武将数量星级阶位验证!$CW24</f>
        <v>0.54937136940000009</v>
      </c>
      <c r="M25" s="38">
        <f>[3]投放验证!$AL$4</f>
        <v>0.2</v>
      </c>
      <c r="N25" s="48">
        <f t="shared" si="0"/>
        <v>0.83725234870770571</v>
      </c>
      <c r="O25" s="37"/>
      <c r="Q25" s="37">
        <v>21</v>
      </c>
      <c r="R25" s="38">
        <f>MAX('[1]资源-银币'!BA26,0)</f>
        <v>0</v>
      </c>
      <c r="S25" s="38">
        <f>MAX('[1]资源-木石铜粮'!AQ26,0)</f>
        <v>0</v>
      </c>
      <c r="T25" s="38">
        <f>MAX('[1]资源-铁'!AP26,0)</f>
        <v>0</v>
      </c>
      <c r="U25" s="38">
        <f>MAX('[1]资源-士兵训练时间'!AT26,0)</f>
        <v>0.12584936861713952</v>
      </c>
      <c r="V25" s="38">
        <f>MAX('[1]资源-玩家城池建筑时间'!BJ26,0)</f>
        <v>9.171407322741762E-2</v>
      </c>
      <c r="W25" s="38">
        <f>MAX('[1]资源-士兵招募时间'!AU26,0)</f>
        <v>3.1086921102584861E-2</v>
      </c>
      <c r="X25" s="38">
        <f>MAX('[1]资源-圣人研究时间'!AX25,0)</f>
        <v>0</v>
      </c>
      <c r="Y25" s="38">
        <f>MAX([2]士兵治疗!BZ25,0)</f>
        <v>0</v>
      </c>
      <c r="Z25" s="38">
        <f>[4]武将数量星级阶位验证!$CY24</f>
        <v>0.54937136940000009</v>
      </c>
      <c r="AA25" s="38">
        <f t="shared" si="1"/>
        <v>0.2</v>
      </c>
      <c r="AB25" s="48">
        <f t="shared" si="2"/>
        <v>0.99802173234714209</v>
      </c>
      <c r="AE25" s="37">
        <v>21</v>
      </c>
      <c r="AF25" s="38">
        <f>MAX('[1]资源-银币'!BC26,0)</f>
        <v>2.113465842908023E-3</v>
      </c>
      <c r="AG25" s="38">
        <f>MAX('[1]资源-木石铜粮'!AS26,0)</f>
        <v>0</v>
      </c>
      <c r="AH25" s="38">
        <f>MAX('[1]资源-铁'!AR26,0)</f>
        <v>0</v>
      </c>
      <c r="AI25" s="38">
        <f>MAX('[1]资源-士兵训练时间'!AV26,0)</f>
        <v>0.1115303467023054</v>
      </c>
      <c r="AJ25" s="38">
        <f>MAX('[1]资源-玩家城池建筑时间'!BL26,0)</f>
        <v>7.7252966495253872E-2</v>
      </c>
      <c r="AK25" s="38">
        <f>MAX('[1]资源-士兵招募时间'!AW26,0)</f>
        <v>0</v>
      </c>
      <c r="AL25" s="38">
        <f>MAX('[1]资源-圣人研究时间'!AZ25,0)</f>
        <v>3.8499514580156886E-2</v>
      </c>
      <c r="AM25" s="38">
        <f>MAX([2]士兵治疗!CB25,0)</f>
        <v>0</v>
      </c>
      <c r="AN25" s="38">
        <f>[4]武将数量星级阶位验证!$DA24</f>
        <v>0.54937136940000009</v>
      </c>
      <c r="AO25" s="38">
        <f t="shared" si="3"/>
        <v>0.2</v>
      </c>
      <c r="AP25" s="48">
        <f t="shared" si="4"/>
        <v>0.97876766302062435</v>
      </c>
    </row>
    <row r="26" spans="3:42" x14ac:dyDescent="0.15">
      <c r="C26" s="37">
        <v>22</v>
      </c>
      <c r="D26" s="38">
        <f>MAX('[1]资源-银币'!AY27,0)</f>
        <v>0</v>
      </c>
      <c r="E26" s="38">
        <f>MAX('[1]资源-木石铜粮'!AO27,0)</f>
        <v>0</v>
      </c>
      <c r="F26" s="38">
        <f>MAX('[1]资源-铁'!AN27,0)</f>
        <v>0</v>
      </c>
      <c r="G26" s="38">
        <f>MAX('[1]资源-士兵训练时间'!AR27,0)</f>
        <v>0</v>
      </c>
      <c r="H26" s="38">
        <f>MAX('[1]资源-玩家城池建筑时间'!BH27,0)</f>
        <v>8.836096917669832E-2</v>
      </c>
      <c r="I26" s="38">
        <f>MAX('[1]资源-士兵招募时间'!AS27,0)</f>
        <v>0</v>
      </c>
      <c r="J26" s="38">
        <f>MAX('[1]资源-圣人研究时间'!AV26,0)</f>
        <v>0</v>
      </c>
      <c r="K26" s="38">
        <f>MAX([2]士兵治疗!BX26,0)</f>
        <v>0</v>
      </c>
      <c r="L26" s="38">
        <f>[4]武将数量星级阶位验证!$CW25</f>
        <v>0.54447188880000008</v>
      </c>
      <c r="M26" s="38">
        <f>[3]投放验证!$AL$4</f>
        <v>0.2</v>
      </c>
      <c r="N26" s="48">
        <f t="shared" si="0"/>
        <v>0.83283285797669837</v>
      </c>
      <c r="O26" s="37"/>
      <c r="Q26" s="37">
        <v>22</v>
      </c>
      <c r="R26" s="38">
        <f>MAX('[1]资源-银币'!BA27,0)</f>
        <v>0</v>
      </c>
      <c r="S26" s="38">
        <f>MAX('[1]资源-木石铜粮'!AQ27,0)</f>
        <v>0</v>
      </c>
      <c r="T26" s="38">
        <f>MAX('[1]资源-铁'!AP27,0)</f>
        <v>0</v>
      </c>
      <c r="U26" s="38">
        <f>MAX('[1]资源-士兵训练时间'!AT27,0)</f>
        <v>0.13902269155214728</v>
      </c>
      <c r="V26" s="38">
        <f>MAX('[1]资源-玩家城池建筑时间'!BJ27,0)</f>
        <v>9.6597072704525805E-2</v>
      </c>
      <c r="W26" s="38">
        <f>MAX('[1]资源-士兵招募时间'!AU27,0)</f>
        <v>3.0275328639083603E-2</v>
      </c>
      <c r="X26" s="38">
        <f>MAX('[1]资源-圣人研究时间'!AX26,0)</f>
        <v>6.3725900544326962E-3</v>
      </c>
      <c r="Y26" s="38">
        <f>MAX([2]士兵治疗!BZ26,0)</f>
        <v>1.2041611580299531E-3</v>
      </c>
      <c r="Z26" s="38">
        <f>[4]武将数量星级阶位验证!$CY25</f>
        <v>0.54447188880000008</v>
      </c>
      <c r="AA26" s="38">
        <f t="shared" si="1"/>
        <v>0.2</v>
      </c>
      <c r="AB26" s="48">
        <f t="shared" si="2"/>
        <v>1.0179437329082195</v>
      </c>
      <c r="AE26" s="37">
        <v>22</v>
      </c>
      <c r="AF26" s="38">
        <f>MAX('[1]资源-银币'!BC27,0)</f>
        <v>9.1611236091423184E-3</v>
      </c>
      <c r="AG26" s="38">
        <f>MAX('[1]资源-木石铜粮'!AS27,0)</f>
        <v>0</v>
      </c>
      <c r="AH26" s="38">
        <f>MAX('[1]资源-铁'!AR27,0)</f>
        <v>0</v>
      </c>
      <c r="AI26" s="38">
        <f>MAX('[1]资源-士兵训练时间'!AV27,0)</f>
        <v>0.11367539834595207</v>
      </c>
      <c r="AJ26" s="38">
        <f>MAX('[1]资源-玩家城池建筑时间'!BL27,0)</f>
        <v>7.991113810808971E-2</v>
      </c>
      <c r="AK26" s="38">
        <f>MAX('[1]资源-士兵招募时间'!AW27,0)</f>
        <v>0</v>
      </c>
      <c r="AL26" s="38">
        <f>MAX('[1]资源-圣人研究时间'!AZ26,0)</f>
        <v>4.389942614617677E-2</v>
      </c>
      <c r="AM26" s="38">
        <f>MAX([2]士兵治疗!CB26,0)</f>
        <v>0</v>
      </c>
      <c r="AN26" s="38">
        <f>[4]武将数量星级阶位验证!$DA25</f>
        <v>0.54447188880000008</v>
      </c>
      <c r="AO26" s="38">
        <f t="shared" si="3"/>
        <v>0.2</v>
      </c>
      <c r="AP26" s="48">
        <f t="shared" si="4"/>
        <v>0.99111897500936097</v>
      </c>
    </row>
    <row r="27" spans="3:42" x14ac:dyDescent="0.15">
      <c r="C27" s="37">
        <v>23</v>
      </c>
      <c r="D27" s="38">
        <f>MAX('[1]资源-银币'!AY28,0)</f>
        <v>0</v>
      </c>
      <c r="E27" s="38">
        <f>MAX('[1]资源-木石铜粮'!AO28,0)</f>
        <v>0</v>
      </c>
      <c r="F27" s="38">
        <f>MAX('[1]资源-铁'!AN28,0)</f>
        <v>0</v>
      </c>
      <c r="G27" s="38">
        <f>MAX('[1]资源-士兵训练时间'!AR28,0)</f>
        <v>0</v>
      </c>
      <c r="H27" s="38">
        <f>MAX('[1]资源-玩家城池建筑时间'!BH28,0)</f>
        <v>9.0174654321030279E-2</v>
      </c>
      <c r="I27" s="38">
        <f>MAX('[1]资源-士兵招募时间'!AS28,0)</f>
        <v>0</v>
      </c>
      <c r="J27" s="38">
        <f>MAX('[1]资源-圣人研究时间'!AV27,0)</f>
        <v>0</v>
      </c>
      <c r="K27" s="38">
        <f>MAX([2]士兵治疗!BX27,0)</f>
        <v>0</v>
      </c>
      <c r="L27" s="38">
        <f>[4]武将数量星级阶位验证!$CW26</f>
        <v>0.53957240820000019</v>
      </c>
      <c r="M27" s="38">
        <f>[3]投放验证!$AL$4</f>
        <v>0.2</v>
      </c>
      <c r="N27" s="48">
        <f t="shared" si="0"/>
        <v>0.82974706252103037</v>
      </c>
      <c r="O27" s="37"/>
      <c r="Q27" s="37">
        <v>23</v>
      </c>
      <c r="R27" s="38">
        <f>MAX('[1]资源-银币'!BA28,0)</f>
        <v>0</v>
      </c>
      <c r="S27" s="38">
        <f>MAX('[1]资源-木石铜粮'!AQ28,0)</f>
        <v>0</v>
      </c>
      <c r="T27" s="38">
        <f>MAX('[1]资源-铁'!AP28,0)</f>
        <v>0</v>
      </c>
      <c r="U27" s="38">
        <f>MAX('[1]资源-士兵训练时间'!AT28,0)</f>
        <v>0.15065001870561365</v>
      </c>
      <c r="V27" s="38">
        <f>MAX('[1]资源-玩家城池建筑时间'!BJ28,0)</f>
        <v>0.10120311573262142</v>
      </c>
      <c r="W27" s="38">
        <f>MAX('[1]资源-士兵招募时间'!AU28,0)</f>
        <v>2.830043165019494E-2</v>
      </c>
      <c r="X27" s="38">
        <f>MAX('[1]资源-圣人研究时间'!AX27,0)</f>
        <v>1.7004212332813511E-2</v>
      </c>
      <c r="Y27" s="38">
        <f>MAX([2]士兵治疗!BZ27,0)</f>
        <v>3.0135907010304065E-3</v>
      </c>
      <c r="Z27" s="38">
        <f>[4]武将数量星级阶位验证!$CY26</f>
        <v>0.53957240820000019</v>
      </c>
      <c r="AA27" s="38">
        <f t="shared" si="1"/>
        <v>0.2</v>
      </c>
      <c r="AB27" s="48">
        <f t="shared" si="2"/>
        <v>1.0397437773222742</v>
      </c>
      <c r="AE27" s="37">
        <v>23</v>
      </c>
      <c r="AF27" s="38">
        <f>MAX('[1]资源-银币'!BC28,0)</f>
        <v>1.4452057400513623E-2</v>
      </c>
      <c r="AG27" s="38">
        <f>MAX('[1]资源-木石铜粮'!AS28,0)</f>
        <v>0</v>
      </c>
      <c r="AH27" s="38">
        <f>MAX('[1]资源-铁'!AR28,0)</f>
        <v>0</v>
      </c>
      <c r="AI27" s="38">
        <f>MAX('[1]资源-士兵训练时间'!AV28,0)</f>
        <v>0.1198675206849012</v>
      </c>
      <c r="AJ27" s="38">
        <f>MAX('[1]资源-玩家城池建筑时间'!BL28,0)</f>
        <v>8.5415520230040565E-2</v>
      </c>
      <c r="AK27" s="38">
        <f>MAX('[1]资源-士兵招募时间'!AW28,0)</f>
        <v>0</v>
      </c>
      <c r="AL27" s="38">
        <f>MAX('[1]资源-圣人研究时间'!AZ27,0)</f>
        <v>5.0982884028715446E-2</v>
      </c>
      <c r="AM27" s="38">
        <f>MAX([2]士兵治疗!CB27,0)</f>
        <v>0</v>
      </c>
      <c r="AN27" s="38">
        <f>[4]武将数量星级阶位验证!$DA26</f>
        <v>0.53957240820000019</v>
      </c>
      <c r="AO27" s="38">
        <f t="shared" si="3"/>
        <v>0.2</v>
      </c>
      <c r="AP27" s="48">
        <f t="shared" si="4"/>
        <v>1.0102903905441709</v>
      </c>
    </row>
    <row r="28" spans="3:42" x14ac:dyDescent="0.15">
      <c r="C28" s="37">
        <v>24</v>
      </c>
      <c r="D28" s="38">
        <f>MAX('[1]资源-银币'!AY29,0)</f>
        <v>0</v>
      </c>
      <c r="E28" s="38">
        <f>MAX('[1]资源-木石铜粮'!AO29,0)</f>
        <v>0</v>
      </c>
      <c r="F28" s="38">
        <f>MAX('[1]资源-铁'!AN29,0)</f>
        <v>0</v>
      </c>
      <c r="G28" s="38">
        <f>MAX('[1]资源-士兵训练时间'!AR29,0)</f>
        <v>6.7093527283326139E-3</v>
      </c>
      <c r="H28" s="38">
        <f>MAX('[1]资源-玩家城池建筑时间'!BH29,0)</f>
        <v>9.2262850298246282E-2</v>
      </c>
      <c r="I28" s="38">
        <f>MAX('[1]资源-士兵招募时间'!AS29,0)</f>
        <v>0</v>
      </c>
      <c r="J28" s="38">
        <f>MAX('[1]资源-圣人研究时间'!AV28,0)</f>
        <v>0</v>
      </c>
      <c r="K28" s="38">
        <f>MAX([2]士兵治疗!BX28,0)</f>
        <v>0</v>
      </c>
      <c r="L28" s="38">
        <f>[4]武将数量星级阶位验证!$CW27</f>
        <v>0.53467292760000018</v>
      </c>
      <c r="M28" s="38">
        <f>[3]投放验证!$AL$4</f>
        <v>0.2</v>
      </c>
      <c r="N28" s="48">
        <f t="shared" si="0"/>
        <v>0.83364513062657908</v>
      </c>
      <c r="O28" s="37"/>
      <c r="Q28" s="37">
        <v>24</v>
      </c>
      <c r="R28" s="38">
        <f>MAX('[1]资源-银币'!BA29,0)</f>
        <v>0</v>
      </c>
      <c r="S28" s="38">
        <f>MAX('[1]资源-木石铜粮'!AQ29,0)</f>
        <v>0</v>
      </c>
      <c r="T28" s="38">
        <f>MAX('[1]资源-铁'!AP29,0)</f>
        <v>0</v>
      </c>
      <c r="U28" s="38">
        <f>MAX('[1]资源-士兵训练时间'!AT29,0)</f>
        <v>0.15961145157050866</v>
      </c>
      <c r="V28" s="38">
        <f>MAX('[1]资源-玩家城池建筑时间'!BJ29,0)</f>
        <v>0.10785236967118975</v>
      </c>
      <c r="W28" s="38">
        <f>MAX('[1]资源-士兵招募时间'!AU29,0)</f>
        <v>2.4797780167939418E-2</v>
      </c>
      <c r="X28" s="38">
        <f>MAX('[1]资源-圣人研究时间'!AX28,0)</f>
        <v>3.1661217331128734E-2</v>
      </c>
      <c r="Y28" s="38">
        <f>MAX([2]士兵治疗!BZ28,0)</f>
        <v>3.521488654620692E-3</v>
      </c>
      <c r="Z28" s="38">
        <f>[4]武将数量星级阶位验证!$CY27</f>
        <v>0.53467292760000018</v>
      </c>
      <c r="AA28" s="38">
        <f t="shared" si="1"/>
        <v>0.2</v>
      </c>
      <c r="AB28" s="48">
        <f t="shared" si="2"/>
        <v>1.0621172349953876</v>
      </c>
      <c r="AE28" s="37">
        <v>24</v>
      </c>
      <c r="AF28" s="38">
        <f>MAX('[1]资源-银币'!BC29,0)</f>
        <v>1.876241963396549E-2</v>
      </c>
      <c r="AG28" s="38">
        <f>MAX('[1]资源-木石铜粮'!AS29,0)</f>
        <v>0</v>
      </c>
      <c r="AH28" s="38">
        <f>MAX('[1]资源-铁'!AR29,0)</f>
        <v>0</v>
      </c>
      <c r="AI28" s="38">
        <f>MAX('[1]资源-士兵训练时间'!AV29,0)</f>
        <v>0.1274790188008359</v>
      </c>
      <c r="AJ28" s="38">
        <f>MAX('[1]资源-玩家城池建筑时间'!BL29,0)</f>
        <v>9.3220182410575364E-2</v>
      </c>
      <c r="AK28" s="38">
        <f>MAX('[1]资源-士兵招募时间'!AW29,0)</f>
        <v>0</v>
      </c>
      <c r="AL28" s="38">
        <f>MAX('[1]资源-圣人研究时间'!AZ28,0)</f>
        <v>6.0123609010073319E-2</v>
      </c>
      <c r="AM28" s="38">
        <f>MAX([2]士兵治疗!CB28,0)</f>
        <v>0</v>
      </c>
      <c r="AN28" s="38">
        <f>[4]武将数量星级阶位验证!$DA27</f>
        <v>0.53467292760000018</v>
      </c>
      <c r="AO28" s="38">
        <f t="shared" si="3"/>
        <v>0.2</v>
      </c>
      <c r="AP28" s="48">
        <f t="shared" si="4"/>
        <v>1.0342581574554501</v>
      </c>
    </row>
    <row r="29" spans="3:42" x14ac:dyDescent="0.15">
      <c r="C29" s="37">
        <v>25</v>
      </c>
      <c r="D29" s="38">
        <f>MAX('[1]资源-银币'!AY30,0)</f>
        <v>0</v>
      </c>
      <c r="E29" s="38">
        <f>MAX('[1]资源-木石铜粮'!AO30,0)</f>
        <v>0</v>
      </c>
      <c r="F29" s="38">
        <f>MAX('[1]资源-铁'!AN30,0)</f>
        <v>0</v>
      </c>
      <c r="G29" s="38">
        <f>MAX('[1]资源-士兵训练时间'!AR30,0)</f>
        <v>1.424652275864993E-2</v>
      </c>
      <c r="H29" s="38">
        <f>MAX('[1]资源-玩家城池建筑时间'!BH30,0)</f>
        <v>9.2977367321532722E-2</v>
      </c>
      <c r="I29" s="38">
        <f>MAX('[1]资源-士兵招募时间'!AS30,0)</f>
        <v>0</v>
      </c>
      <c r="J29" s="38">
        <f>MAX('[1]资源-圣人研究时间'!AV29,0)</f>
        <v>0</v>
      </c>
      <c r="K29" s="38">
        <f>MAX([2]士兵治疗!BX29,0)</f>
        <v>0</v>
      </c>
      <c r="L29" s="38">
        <f>[4]武将数量星级阶位验证!$CW28</f>
        <v>0.52977344700000017</v>
      </c>
      <c r="M29" s="38">
        <f>[3]投放验证!$AL$4</f>
        <v>0.2</v>
      </c>
      <c r="N29" s="48">
        <f t="shared" si="0"/>
        <v>0.83699733708018287</v>
      </c>
      <c r="O29" s="37"/>
      <c r="Q29" s="37">
        <v>25</v>
      </c>
      <c r="R29" s="38">
        <f>MAX('[1]资源-银币'!BA30,0)</f>
        <v>0</v>
      </c>
      <c r="S29" s="38">
        <f>MAX('[1]资源-木石铜粮'!AQ30,0)</f>
        <v>0</v>
      </c>
      <c r="T29" s="38">
        <f>MAX('[1]资源-铁'!AP30,0)</f>
        <v>0</v>
      </c>
      <c r="U29" s="38">
        <f>MAX('[1]资源-士兵训练时间'!AT30,0)</f>
        <v>0.16628840274376522</v>
      </c>
      <c r="V29" s="38">
        <f>MAX('[1]资源-玩家城池建筑时间'!BJ30,0)</f>
        <v>0.11304117761612574</v>
      </c>
      <c r="W29" s="38">
        <f>MAX('[1]资源-士兵招募时间'!AU30,0)</f>
        <v>2.3252373351586378E-2</v>
      </c>
      <c r="X29" s="38">
        <f>MAX('[1]资源-圣人研究时间'!AX29,0)</f>
        <v>4.4335075612330029E-2</v>
      </c>
      <c r="Y29" s="38">
        <f>MAX([2]士兵治疗!BZ29,0)</f>
        <v>5.5460058391510123E-3</v>
      </c>
      <c r="Z29" s="38">
        <f>[4]武将数量星级阶位验证!$CY28</f>
        <v>0.52977344700000017</v>
      </c>
      <c r="AA29" s="38">
        <f t="shared" si="1"/>
        <v>0.2</v>
      </c>
      <c r="AB29" s="48">
        <f t="shared" si="2"/>
        <v>1.0822364821629584</v>
      </c>
      <c r="AE29" s="37">
        <v>25</v>
      </c>
      <c r="AF29" s="38">
        <f>MAX('[1]资源-银币'!BC30,0)</f>
        <v>2.6079282438330229E-2</v>
      </c>
      <c r="AG29" s="38">
        <f>MAX('[1]资源-木石铜粮'!AS30,0)</f>
        <v>0</v>
      </c>
      <c r="AH29" s="38">
        <f>MAX('[1]资源-铁'!AR30,0)</f>
        <v>0</v>
      </c>
      <c r="AI29" s="38">
        <f>MAX('[1]资源-士兵训练时间'!AV30,0)</f>
        <v>0.13329607140483221</v>
      </c>
      <c r="AJ29" s="38">
        <f>MAX('[1]资源-玩家城池建筑时间'!BL30,0)</f>
        <v>9.9170391529212171E-2</v>
      </c>
      <c r="AK29" s="38">
        <f>MAX('[1]资源-士兵招募时间'!AW30,0)</f>
        <v>0</v>
      </c>
      <c r="AL29" s="38">
        <f>MAX('[1]资源-圣人研究时间'!AZ29,0)</f>
        <v>6.8109596394946056E-2</v>
      </c>
      <c r="AM29" s="38">
        <f>MAX([2]士兵治疗!CB29,0)</f>
        <v>0</v>
      </c>
      <c r="AN29" s="38">
        <f>[4]武将数量星级阶位验证!$DA28</f>
        <v>0.52977344700000017</v>
      </c>
      <c r="AO29" s="38">
        <f t="shared" si="3"/>
        <v>0.2</v>
      </c>
      <c r="AP29" s="48">
        <f t="shared" si="4"/>
        <v>1.0564287887673209</v>
      </c>
    </row>
    <row r="30" spans="3:42" x14ac:dyDescent="0.15">
      <c r="C30" s="37">
        <v>26</v>
      </c>
      <c r="D30" s="38">
        <f>MAX('[1]资源-银币'!AY31,0)</f>
        <v>0</v>
      </c>
      <c r="E30" s="38">
        <f>MAX('[1]资源-木石铜粮'!AO31,0)</f>
        <v>0</v>
      </c>
      <c r="F30" s="38">
        <f>MAX('[1]资源-铁'!AN31,0)</f>
        <v>0</v>
      </c>
      <c r="G30" s="38">
        <f>MAX('[1]资源-士兵训练时间'!AR31,0)</f>
        <v>1.9843627044866596E-2</v>
      </c>
      <c r="H30" s="38">
        <f>MAX('[1]资源-玩家城池建筑时间'!BH31,0)</f>
        <v>9.4125537160460321E-2</v>
      </c>
      <c r="I30" s="38">
        <f>MAX('[1]资源-士兵招募时间'!AS31,0)</f>
        <v>0</v>
      </c>
      <c r="J30" s="38">
        <f>MAX('[1]资源-圣人研究时间'!AV30,0)</f>
        <v>0</v>
      </c>
      <c r="K30" s="38">
        <f>MAX([2]士兵治疗!BX30,0)</f>
        <v>0</v>
      </c>
      <c r="L30" s="38">
        <f>[4]武将数量星级阶位验证!$CW29</f>
        <v>0.52502560395600018</v>
      </c>
      <c r="M30" s="38">
        <f>[3]投放验证!$AL$4</f>
        <v>0.2</v>
      </c>
      <c r="N30" s="48">
        <f t="shared" si="0"/>
        <v>0.83899476816132701</v>
      </c>
      <c r="O30" s="37"/>
      <c r="Q30" s="37">
        <v>26</v>
      </c>
      <c r="R30" s="38">
        <f>MAX('[1]资源-银币'!BA31,0)</f>
        <v>0</v>
      </c>
      <c r="S30" s="38">
        <f>MAX('[1]资源-木石铜粮'!AQ31,0)</f>
        <v>0</v>
      </c>
      <c r="T30" s="38">
        <f>MAX('[1]资源-铁'!AP31,0)</f>
        <v>0</v>
      </c>
      <c r="U30" s="38">
        <f>MAX('[1]资源-士兵训练时间'!AT31,0)</f>
        <v>0.17189451762099098</v>
      </c>
      <c r="V30" s="38">
        <f>MAX('[1]资源-玩家城池建筑时间'!BJ31,0)</f>
        <v>0.11708308269691584</v>
      </c>
      <c r="W30" s="38">
        <f>MAX('[1]资源-士兵招募时间'!AU31,0)</f>
        <v>2.0917144998885782E-2</v>
      </c>
      <c r="X30" s="38">
        <f>MAX('[1]资源-圣人研究时间'!AX30,0)</f>
        <v>5.6707877471951537E-2</v>
      </c>
      <c r="Y30" s="38">
        <f>MAX([2]士兵治疗!BZ30,0)</f>
        <v>6.9774717029476895E-3</v>
      </c>
      <c r="Z30" s="38">
        <f>[4]武将数量星级阶位验证!$CY29</f>
        <v>0.52502560395600018</v>
      </c>
      <c r="AA30" s="38">
        <f t="shared" si="1"/>
        <v>0.2</v>
      </c>
      <c r="AB30" s="48">
        <f t="shared" si="2"/>
        <v>1.098605698447692</v>
      </c>
      <c r="AE30" s="37">
        <v>26</v>
      </c>
      <c r="AF30" s="38">
        <f>MAX('[1]资源-银币'!BC31,0)</f>
        <v>3.3090976100190274E-2</v>
      </c>
      <c r="AG30" s="38">
        <f>MAX('[1]资源-木石铜粮'!AS31,0)</f>
        <v>1.6888122220046055E-3</v>
      </c>
      <c r="AH30" s="38">
        <f>MAX('[1]资源-铁'!AR31,0)</f>
        <v>0</v>
      </c>
      <c r="AI30" s="38">
        <f>MAX('[1]资源-士兵训练时间'!AV31,0)</f>
        <v>0.13793974668233597</v>
      </c>
      <c r="AJ30" s="38">
        <f>MAX('[1]资源-玩家城池建筑时间'!BL31,0)</f>
        <v>0.10390564029194922</v>
      </c>
      <c r="AK30" s="38">
        <f>MAX('[1]资源-士兵招募时间'!AW31,0)</f>
        <v>0</v>
      </c>
      <c r="AL30" s="38">
        <f>MAX('[1]资源-圣人研究时间'!AZ30,0)</f>
        <v>7.48700901319551E-2</v>
      </c>
      <c r="AM30" s="38">
        <f>MAX([2]士兵治疗!CB30,0)</f>
        <v>0</v>
      </c>
      <c r="AN30" s="38">
        <f>[4]武将数量星级阶位验证!$DA29</f>
        <v>0.52502560395600018</v>
      </c>
      <c r="AO30" s="38">
        <f t="shared" si="3"/>
        <v>0.2</v>
      </c>
      <c r="AP30" s="48">
        <f t="shared" si="4"/>
        <v>1.0765208693844353</v>
      </c>
    </row>
    <row r="31" spans="3:42" x14ac:dyDescent="0.15">
      <c r="C31" s="37">
        <v>27</v>
      </c>
      <c r="D31" s="38">
        <f>MAX('[1]资源-银币'!AY32,0)</f>
        <v>0</v>
      </c>
      <c r="E31" s="38">
        <f>MAX('[1]资源-木石铜粮'!AO32,0)</f>
        <v>0</v>
      </c>
      <c r="F31" s="38">
        <f>MAX('[1]资源-铁'!AN32,0)</f>
        <v>0</v>
      </c>
      <c r="G31" s="38">
        <f>MAX('[1]资源-士兵训练时间'!AR32,0)</f>
        <v>2.5120815713135469E-2</v>
      </c>
      <c r="H31" s="38">
        <f>MAX('[1]资源-玩家城池建筑时间'!BH32,0)</f>
        <v>9.568164140269067E-2</v>
      </c>
      <c r="I31" s="38">
        <f>MAX('[1]资源-士兵招募时间'!AS32,0)</f>
        <v>0</v>
      </c>
      <c r="J31" s="38">
        <f>MAX('[1]资源-圣人研究时间'!AV31,0)</f>
        <v>0</v>
      </c>
      <c r="K31" s="38">
        <f>MAX([2]士兵治疗!BX31,0)</f>
        <v>0</v>
      </c>
      <c r="L31" s="38">
        <f>[4]武将数量星级阶位验证!$CW30</f>
        <v>0.52027776091200018</v>
      </c>
      <c r="M31" s="38">
        <f>[3]投放验证!$AL$4</f>
        <v>0.2</v>
      </c>
      <c r="N31" s="48">
        <f t="shared" si="0"/>
        <v>0.84108021802782629</v>
      </c>
      <c r="O31" s="37"/>
      <c r="Q31" s="37">
        <v>27</v>
      </c>
      <c r="R31" s="38">
        <f>MAX('[1]资源-银币'!BA32,0)</f>
        <v>0</v>
      </c>
      <c r="S31" s="38">
        <f>MAX('[1]资源-木石铜粮'!AQ32,0)</f>
        <v>2.3106358936846017E-3</v>
      </c>
      <c r="T31" s="38">
        <f>MAX('[1]资源-铁'!AP32,0)</f>
        <v>0</v>
      </c>
      <c r="U31" s="38">
        <f>MAX('[1]资源-士兵训练时间'!AT32,0)</f>
        <v>0.17630599270774774</v>
      </c>
      <c r="V31" s="38">
        <f>MAX('[1]资源-玩家城池建筑时间'!BJ32,0)</f>
        <v>0.12048918854909434</v>
      </c>
      <c r="W31" s="38">
        <f>MAX('[1]资源-士兵招募时间'!AU32,0)</f>
        <v>1.8282915574418652E-2</v>
      </c>
      <c r="X31" s="38">
        <f>MAX('[1]资源-圣人研究时间'!AX31,0)</f>
        <v>6.8148815683430994E-2</v>
      </c>
      <c r="Y31" s="38">
        <f>MAX([2]士兵治疗!BZ31,0)</f>
        <v>7.9875674494255342E-3</v>
      </c>
      <c r="Z31" s="38">
        <f>[4]武将数量星级阶位验证!$CY30</f>
        <v>0.52027776091200018</v>
      </c>
      <c r="AA31" s="38">
        <f t="shared" si="1"/>
        <v>0.2</v>
      </c>
      <c r="AB31" s="48">
        <f t="shared" si="2"/>
        <v>1.1138028767698021</v>
      </c>
      <c r="AE31" s="37">
        <v>27</v>
      </c>
      <c r="AF31" s="38">
        <f>MAX('[1]资源-银币'!BC32,0)</f>
        <v>4.1737784803602733E-2</v>
      </c>
      <c r="AG31" s="38">
        <f>MAX('[1]资源-木石铜粮'!AS32,0)</f>
        <v>5.7943625945245788E-3</v>
      </c>
      <c r="AH31" s="38">
        <f>MAX('[1]资源-铁'!AR32,0)</f>
        <v>3.4611233350229965E-5</v>
      </c>
      <c r="AI31" s="38">
        <f>MAX('[1]资源-士兵训练时间'!AV32,0)</f>
        <v>0.14253245168732726</v>
      </c>
      <c r="AJ31" s="38">
        <f>MAX('[1]资源-玩家城池建筑时间'!BL32,0)</f>
        <v>0.10896108434031766</v>
      </c>
      <c r="AK31" s="38">
        <f>MAX('[1]资源-士兵招募时间'!AW32,0)</f>
        <v>0</v>
      </c>
      <c r="AL31" s="38">
        <f>MAX('[1]资源-圣人研究时间'!AZ31,0)</f>
        <v>8.1534124492897667E-2</v>
      </c>
      <c r="AM31" s="38">
        <f>MAX([2]士兵治疗!CB31,0)</f>
        <v>0</v>
      </c>
      <c r="AN31" s="38">
        <f>[4]武将数量星级阶位验证!$DA30</f>
        <v>0.52027776091200018</v>
      </c>
      <c r="AO31" s="38">
        <f t="shared" si="3"/>
        <v>0.2</v>
      </c>
      <c r="AP31" s="48">
        <f t="shared" si="4"/>
        <v>1.1008721800640202</v>
      </c>
    </row>
    <row r="32" spans="3:42" x14ac:dyDescent="0.15">
      <c r="C32" s="37">
        <v>28</v>
      </c>
      <c r="D32" s="38">
        <f>MAX('[1]资源-银币'!AY33,0)</f>
        <v>0</v>
      </c>
      <c r="E32" s="38">
        <f>MAX('[1]资源-木石铜粮'!AO33,0)</f>
        <v>0</v>
      </c>
      <c r="F32" s="38">
        <f>MAX('[1]资源-铁'!AN33,0)</f>
        <v>0</v>
      </c>
      <c r="G32" s="38">
        <f>MAX('[1]资源-士兵训练时间'!AR33,0)</f>
        <v>2.9650562509597904E-2</v>
      </c>
      <c r="H32" s="38">
        <f>MAX('[1]资源-玩家城池建筑时间'!BH33,0)</f>
        <v>9.5948057479856283E-2</v>
      </c>
      <c r="I32" s="38">
        <f>MAX('[1]资源-士兵招募时间'!AS33,0)</f>
        <v>0</v>
      </c>
      <c r="J32" s="38">
        <f>MAX('[1]资源-圣人研究时间'!AV32,0)</f>
        <v>0</v>
      </c>
      <c r="K32" s="38">
        <f>MAX([2]士兵治疗!BX32,0)</f>
        <v>0</v>
      </c>
      <c r="L32" s="38">
        <f>[4]武将数量星级阶位验证!$CW31</f>
        <v>0.51552991786800006</v>
      </c>
      <c r="M32" s="38">
        <f>[3]投放验证!$AL$4</f>
        <v>0.2</v>
      </c>
      <c r="N32" s="48">
        <f t="shared" si="0"/>
        <v>0.84112853785745423</v>
      </c>
      <c r="O32" s="37"/>
      <c r="Q32" s="37">
        <v>28</v>
      </c>
      <c r="R32" s="38">
        <f>MAX('[1]资源-银币'!BA33,0)</f>
        <v>0</v>
      </c>
      <c r="S32" s="38">
        <f>MAX('[1]资源-木石铜粮'!AQ33,0)</f>
        <v>9.3632446759113284E-3</v>
      </c>
      <c r="T32" s="38">
        <f>MAX('[1]资源-铁'!AP33,0)</f>
        <v>0</v>
      </c>
      <c r="U32" s="38">
        <f>MAX('[1]资源-士兵训练时间'!AT33,0)</f>
        <v>0.17994995326392824</v>
      </c>
      <c r="V32" s="38">
        <f>MAX('[1]资源-玩家城池建筑时间'!BJ33,0)</f>
        <v>0.12373651755627725</v>
      </c>
      <c r="W32" s="38">
        <f>MAX('[1]资源-士兵招募时间'!AU33,0)</f>
        <v>1.564498937307527E-2</v>
      </c>
      <c r="X32" s="38">
        <f>MAX('[1]资源-圣人研究时间'!AX32,0)</f>
        <v>7.9203532394924253E-2</v>
      </c>
      <c r="Y32" s="38">
        <f>MAX([2]士兵治疗!BZ32,0)</f>
        <v>8.8346425916211672E-3</v>
      </c>
      <c r="Z32" s="38">
        <f>[4]武将数量星级阶位验证!$CY31</f>
        <v>0.51552991786800006</v>
      </c>
      <c r="AA32" s="38">
        <f t="shared" si="1"/>
        <v>0.2</v>
      </c>
      <c r="AB32" s="48">
        <f t="shared" si="2"/>
        <v>1.1322627977237376</v>
      </c>
      <c r="AE32" s="37">
        <v>28</v>
      </c>
      <c r="AF32" s="38">
        <f>MAX('[1]资源-银币'!BC33,0)</f>
        <v>5.1232169305542856E-2</v>
      </c>
      <c r="AG32" s="38">
        <f>MAX('[1]资源-木石铜粮'!AS33,0)</f>
        <v>9.5504663124318864E-3</v>
      </c>
      <c r="AH32" s="38">
        <f>MAX('[1]资源-铁'!AR33,0)</f>
        <v>7.2155454042755463E-5</v>
      </c>
      <c r="AI32" s="38">
        <f>MAX('[1]资源-士兵训练时间'!AV33,0)</f>
        <v>0.14704379055781536</v>
      </c>
      <c r="AJ32" s="38">
        <f>MAX('[1]资源-玩家城池建筑时间'!BL33,0)</f>
        <v>0.11433924014588391</v>
      </c>
      <c r="AK32" s="38">
        <f>MAX('[1]资源-士兵招募时间'!AW33,0)</f>
        <v>0</v>
      </c>
      <c r="AL32" s="38">
        <f>MAX('[1]资源-圣人研究时间'!AZ32,0)</f>
        <v>8.8221490621136905E-2</v>
      </c>
      <c r="AM32" s="38">
        <f>MAX([2]士兵治疗!CB32,0)</f>
        <v>0</v>
      </c>
      <c r="AN32" s="38">
        <f>[4]武将数量星级阶位验证!$DA31</f>
        <v>0.51552991786800006</v>
      </c>
      <c r="AO32" s="38">
        <f t="shared" si="3"/>
        <v>0.2</v>
      </c>
      <c r="AP32" s="48">
        <f t="shared" si="4"/>
        <v>1.1259892302648538</v>
      </c>
    </row>
    <row r="33" spans="3:42" x14ac:dyDescent="0.15">
      <c r="C33" s="37">
        <v>29</v>
      </c>
      <c r="D33" s="38">
        <f>MAX('[1]资源-银币'!AY34,0)</f>
        <v>0</v>
      </c>
      <c r="E33" s="38">
        <f>MAX('[1]资源-木石铜粮'!AO34,0)</f>
        <v>6.4769663953004038E-4</v>
      </c>
      <c r="F33" s="38">
        <f>MAX('[1]资源-铁'!AN34,0)</f>
        <v>0</v>
      </c>
      <c r="G33" s="38">
        <f>MAX('[1]资源-士兵训练时间'!AR34,0)</f>
        <v>3.3620619713384189E-2</v>
      </c>
      <c r="H33" s="38">
        <f>MAX('[1]资源-玩家城池建筑时间'!BH34,0)</f>
        <v>9.6364777881306055E-2</v>
      </c>
      <c r="I33" s="38">
        <f>MAX('[1]资源-士兵招募时间'!AS34,0)</f>
        <v>0</v>
      </c>
      <c r="J33" s="38">
        <f>MAX('[1]资源-圣人研究时间'!AV33,0)</f>
        <v>0</v>
      </c>
      <c r="K33" s="38">
        <f>MAX([2]士兵治疗!BX33,0)</f>
        <v>0</v>
      </c>
      <c r="L33" s="38">
        <f>[4]武将数量星级阶位验证!$CW32</f>
        <v>0.51078207482400007</v>
      </c>
      <c r="M33" s="38">
        <f>[3]投放验证!$AL$4</f>
        <v>0.2</v>
      </c>
      <c r="N33" s="48">
        <f t="shared" si="0"/>
        <v>0.84141516905822034</v>
      </c>
      <c r="O33" s="37"/>
      <c r="Q33" s="37">
        <v>29</v>
      </c>
      <c r="R33" s="38">
        <f>MAX('[1]资源-银币'!BA34,0)</f>
        <v>4.4403757267668601E-3</v>
      </c>
      <c r="S33" s="38">
        <f>MAX('[1]资源-木石铜粮'!AQ34,0)</f>
        <v>1.5456661867424327E-2</v>
      </c>
      <c r="T33" s="38">
        <f>MAX('[1]资源-铁'!AP34,0)</f>
        <v>3.2592239396929434E-5</v>
      </c>
      <c r="U33" s="38">
        <f>MAX('[1]资源-士兵训练时间'!AT34,0)</f>
        <v>0.18351570447940696</v>
      </c>
      <c r="V33" s="38">
        <f>MAX('[1]资源-玩家城池建筑时间'!BJ34,0)</f>
        <v>0.12749501104847988</v>
      </c>
      <c r="W33" s="38">
        <f>MAX('[1]资源-士兵招募时间'!AU34,0)</f>
        <v>1.2442820534667593E-2</v>
      </c>
      <c r="X33" s="38">
        <f>MAX('[1]资源-圣人研究时间'!AX33,0)</f>
        <v>8.9926649511210835E-2</v>
      </c>
      <c r="Y33" s="38">
        <f>MAX([2]士兵治疗!BZ33,0)</f>
        <v>9.2177797547586642E-3</v>
      </c>
      <c r="Z33" s="38">
        <f>[4]武将数量星级阶位验证!$CY32</f>
        <v>0.51078207482400007</v>
      </c>
      <c r="AA33" s="38">
        <f t="shared" si="1"/>
        <v>0.2</v>
      </c>
      <c r="AB33" s="48">
        <f t="shared" si="2"/>
        <v>1.1533096699861121</v>
      </c>
      <c r="AE33" s="37">
        <v>29</v>
      </c>
      <c r="AF33" s="38">
        <f>MAX('[1]资源-银币'!BC34,0)</f>
        <v>5.8531762969247544E-2</v>
      </c>
      <c r="AG33" s="38">
        <f>MAX('[1]资源-木石铜粮'!AS34,0)</f>
        <v>1.3170255108856926E-2</v>
      </c>
      <c r="AH33" s="38">
        <f>MAX('[1]资源-铁'!AR34,0)</f>
        <v>1.328813415887131E-4</v>
      </c>
      <c r="AI33" s="38">
        <f>MAX('[1]资源-士兵训练时间'!AV34,0)</f>
        <v>0.15123979459196013</v>
      </c>
      <c r="AJ33" s="38">
        <f>MAX('[1]资源-玩家城池建筑时间'!BL34,0)</f>
        <v>0.12032689823399399</v>
      </c>
      <c r="AK33" s="38">
        <f>MAX('[1]资源-士兵招募时间'!AW34,0)</f>
        <v>0</v>
      </c>
      <c r="AL33" s="38">
        <f>MAX('[1]资源-圣人研究时间'!AZ33,0)</f>
        <v>9.4645297945365706E-2</v>
      </c>
      <c r="AM33" s="38">
        <f>MAX([2]士兵治疗!CB33,0)</f>
        <v>0</v>
      </c>
      <c r="AN33" s="38">
        <f>[4]武将数量星级阶位验证!$DA32</f>
        <v>0.51078207482400007</v>
      </c>
      <c r="AO33" s="38">
        <f t="shared" si="3"/>
        <v>0.2</v>
      </c>
      <c r="AP33" s="48">
        <f t="shared" si="4"/>
        <v>1.148828965015013</v>
      </c>
    </row>
    <row r="34" spans="3:42" x14ac:dyDescent="0.15">
      <c r="C34" s="37">
        <v>30</v>
      </c>
      <c r="D34" s="38">
        <f>MAX('[1]资源-银币'!AY35,0)</f>
        <v>0</v>
      </c>
      <c r="E34" s="38">
        <f>MAX('[1]资源-木石铜粮'!AO35,0)</f>
        <v>2.8155992615585467E-3</v>
      </c>
      <c r="F34" s="38">
        <f>MAX('[1]资源-铁'!AN35,0)</f>
        <v>0</v>
      </c>
      <c r="G34" s="38">
        <f>MAX('[1]资源-士兵训练时间'!AR35,0)</f>
        <v>3.7235140337984633E-2</v>
      </c>
      <c r="H34" s="38">
        <f>MAX('[1]资源-玩家城池建筑时间'!BH35,0)</f>
        <v>9.7664782606171202E-2</v>
      </c>
      <c r="I34" s="38">
        <f>MAX('[1]资源-士兵招募时间'!AS35,0)</f>
        <v>0</v>
      </c>
      <c r="J34" s="38">
        <f>MAX('[1]资源-圣人研究时间'!AV34,0)</f>
        <v>0</v>
      </c>
      <c r="K34" s="38">
        <f>MAX([2]士兵治疗!BX34,0)</f>
        <v>0</v>
      </c>
      <c r="L34" s="38">
        <f>[4]武将数量星级阶位验证!$CW33</f>
        <v>0.50603423178000007</v>
      </c>
      <c r="M34" s="38">
        <f>[3]投放验证!$AL$4</f>
        <v>0.2</v>
      </c>
      <c r="N34" s="48">
        <f t="shared" si="0"/>
        <v>0.84374975398571439</v>
      </c>
      <c r="O34" s="37"/>
      <c r="Q34" s="37">
        <v>30</v>
      </c>
      <c r="R34" s="38">
        <f>MAX('[1]资源-银币'!BA35,0)</f>
        <v>2.1800358414726145E-2</v>
      </c>
      <c r="S34" s="38">
        <f>MAX('[1]资源-木石铜粮'!AQ35,0)</f>
        <v>2.1457042249942198E-2</v>
      </c>
      <c r="T34" s="38">
        <f>MAX('[1]资源-铁'!AP35,0)</f>
        <v>8.7338282426036587E-5</v>
      </c>
      <c r="U34" s="38">
        <f>MAX('[1]资源-士兵训练时间'!AT35,0)</f>
        <v>0.18640803867488642</v>
      </c>
      <c r="V34" s="38">
        <f>MAX('[1]资源-玩家城池建筑时间'!BJ35,0)</f>
        <v>0.1306990449881355</v>
      </c>
      <c r="W34" s="38">
        <f>MAX('[1]资源-士兵招募时间'!AU35,0)</f>
        <v>9.4068417987277272E-3</v>
      </c>
      <c r="X34" s="38">
        <f>MAX('[1]资源-圣人研究时间'!AX34,0)</f>
        <v>9.8775829254291014E-2</v>
      </c>
      <c r="Y34" s="38">
        <f>MAX([2]士兵治疗!BZ34,0)</f>
        <v>9.6114963414180906E-3</v>
      </c>
      <c r="Z34" s="38">
        <f>[4]武将数量星级阶位验证!$CY33</f>
        <v>0.50603423178000007</v>
      </c>
      <c r="AA34" s="38">
        <f t="shared" si="1"/>
        <v>0.2</v>
      </c>
      <c r="AB34" s="48">
        <f t="shared" si="2"/>
        <v>1.1842802217845532</v>
      </c>
      <c r="AE34" s="37">
        <v>30</v>
      </c>
      <c r="AF34" s="38">
        <f>MAX('[1]资源-银币'!BC35,0)</f>
        <v>6.4433245598950112E-2</v>
      </c>
      <c r="AG34" s="38">
        <f>MAX('[1]资源-木石铜粮'!AS35,0)</f>
        <v>1.6422776509347783E-2</v>
      </c>
      <c r="AH34" s="38">
        <f>MAX('[1]资源-铁'!AR35,0)</f>
        <v>1.8051479377018177E-4</v>
      </c>
      <c r="AI34" s="38">
        <f>MAX('[1]资源-士兵训练时间'!AV35,0)</f>
        <v>0.15430356920272703</v>
      </c>
      <c r="AJ34" s="38">
        <f>MAX('[1]资源-玩家城池建筑时间'!BL35,0)</f>
        <v>0.12497088301489738</v>
      </c>
      <c r="AK34" s="38">
        <f>MAX('[1]资源-士兵招募时间'!AW35,0)</f>
        <v>0</v>
      </c>
      <c r="AL34" s="38">
        <f>MAX('[1]资源-圣人研究时间'!AZ34,0)</f>
        <v>9.9763829283570901E-2</v>
      </c>
      <c r="AM34" s="38">
        <f>MAX([2]士兵治疗!CB34,0)</f>
        <v>0</v>
      </c>
      <c r="AN34" s="38">
        <f>[4]武将数量星级阶位验证!$DA33</f>
        <v>0.50603423178000007</v>
      </c>
      <c r="AO34" s="38">
        <f t="shared" si="3"/>
        <v>0.2</v>
      </c>
      <c r="AP34" s="48">
        <f t="shared" si="4"/>
        <v>1.1661090501832634</v>
      </c>
    </row>
    <row r="35" spans="3:42" x14ac:dyDescent="0.15">
      <c r="C35" s="37">
        <v>31</v>
      </c>
      <c r="D35" s="38">
        <f>MAX('[1]资源-银币'!AY36,0)</f>
        <v>0</v>
      </c>
      <c r="E35" s="38">
        <f>MAX('[1]资源-木石铜粮'!AO36,0)</f>
        <v>1.2202715761720167E-2</v>
      </c>
      <c r="F35" s="38">
        <f>MAX('[1]资源-铁'!AN36,0)</f>
        <v>1.107937305327904E-5</v>
      </c>
      <c r="G35" s="38">
        <f>MAX('[1]资源-士兵训练时间'!AR36,0)</f>
        <v>4.0937224771083809E-2</v>
      </c>
      <c r="H35" s="38">
        <f>MAX('[1]资源-玩家城池建筑时间'!BH36,0)</f>
        <v>9.9516120362610025E-2</v>
      </c>
      <c r="I35" s="38">
        <f>MAX('[1]资源-士兵招募时间'!AS36,0)</f>
        <v>0</v>
      </c>
      <c r="J35" s="38">
        <f>MAX('[1]资源-圣人研究时间'!AV35,0)</f>
        <v>1.8584498634374364E-3</v>
      </c>
      <c r="K35" s="38">
        <f>MAX([2]士兵治疗!BX35,0)</f>
        <v>0</v>
      </c>
      <c r="L35" s="38">
        <f>[4]武将数量星级阶位验证!$CW34</f>
        <v>0.50143392058200009</v>
      </c>
      <c r="M35" s="38">
        <f>[3]投放验证!$AL$4</f>
        <v>0.2</v>
      </c>
      <c r="N35" s="48">
        <f t="shared" si="0"/>
        <v>0.85595951071390486</v>
      </c>
      <c r="O35" s="37"/>
      <c r="Q35" s="37">
        <v>31</v>
      </c>
      <c r="R35" s="38">
        <f>MAX('[1]资源-银币'!BA36,0)</f>
        <v>3.8528287527303369E-2</v>
      </c>
      <c r="S35" s="38">
        <f>MAX('[1]资源-木石铜粮'!AQ36,0)</f>
        <v>3.1765725733750694E-2</v>
      </c>
      <c r="T35" s="38">
        <f>MAX('[1]资源-铁'!AP36,0)</f>
        <v>1.5155345488073027E-4</v>
      </c>
      <c r="U35" s="38">
        <f>MAX('[1]资源-士兵训练时间'!AT36,0)</f>
        <v>0.18884227666008935</v>
      </c>
      <c r="V35" s="38">
        <f>MAX('[1]资源-玩家城池建筑时间'!BJ36,0)</f>
        <v>0.13435280325101812</v>
      </c>
      <c r="W35" s="38">
        <f>MAX('[1]资源-士兵招募时间'!AU36,0)</f>
        <v>6.1664585777086185E-3</v>
      </c>
      <c r="X35" s="38">
        <f>MAX('[1]资源-圣人研究时间'!AX35,0)</f>
        <v>0.10694251762815113</v>
      </c>
      <c r="Y35" s="38">
        <f>MAX([2]士兵治疗!BZ35,0)</f>
        <v>9.6869523921751625E-3</v>
      </c>
      <c r="Z35" s="38">
        <f>[4]武将数量星级阶位验证!$CY34</f>
        <v>0.50143392058200009</v>
      </c>
      <c r="AA35" s="38">
        <f t="shared" si="1"/>
        <v>0.2</v>
      </c>
      <c r="AB35" s="48">
        <f t="shared" si="2"/>
        <v>1.2178704958070774</v>
      </c>
      <c r="AE35" s="37">
        <v>31</v>
      </c>
      <c r="AF35" s="38">
        <f>MAX('[1]资源-银币'!BC36,0)</f>
        <v>6.8804757776586983E-2</v>
      </c>
      <c r="AG35" s="38">
        <f>MAX('[1]资源-木石铜粮'!AS36,0)</f>
        <v>2.1474093621402138E-2</v>
      </c>
      <c r="AH35" s="38">
        <f>MAX('[1]资源-铁'!AR36,0)</f>
        <v>2.1365125106938282E-4</v>
      </c>
      <c r="AI35" s="38">
        <f>MAX('[1]资源-士兵训练时间'!AV36,0)</f>
        <v>0.15493526794246779</v>
      </c>
      <c r="AJ35" s="38">
        <f>MAX('[1]资源-玩家城池建筑时间'!BL36,0)</f>
        <v>0.12929983798220041</v>
      </c>
      <c r="AK35" s="38">
        <f>MAX('[1]资源-士兵招募时间'!AW36,0)</f>
        <v>0</v>
      </c>
      <c r="AL35" s="38">
        <f>MAX('[1]资源-圣人研究时间'!AZ35,0)</f>
        <v>0.10518604946697124</v>
      </c>
      <c r="AM35" s="38">
        <f>MAX([2]士兵治疗!CB35,0)</f>
        <v>0</v>
      </c>
      <c r="AN35" s="38">
        <f>[4]武将数量星级阶位验证!$DA34</f>
        <v>0.50143392058200009</v>
      </c>
      <c r="AO35" s="38">
        <f t="shared" si="3"/>
        <v>0.2</v>
      </c>
      <c r="AP35" s="48">
        <f t="shared" si="4"/>
        <v>1.1813475786226979</v>
      </c>
    </row>
    <row r="36" spans="3:42" x14ac:dyDescent="0.15">
      <c r="C36" s="37">
        <v>32</v>
      </c>
      <c r="D36" s="38">
        <f>MAX('[1]资源-银币'!AY37,0)</f>
        <v>0</v>
      </c>
      <c r="E36" s="38">
        <f>MAX('[1]资源-木石铜粮'!AO37,0)</f>
        <v>1.4564006464481008E-2</v>
      </c>
      <c r="F36" s="38">
        <f>MAX('[1]资源-铁'!AN37,0)</f>
        <v>5.5817056963656514E-5</v>
      </c>
      <c r="G36" s="38">
        <f>MAX('[1]资源-士兵训练时间'!AR37,0)</f>
        <v>4.4802927694559527E-2</v>
      </c>
      <c r="H36" s="38">
        <f>MAX('[1]资源-玩家城池建筑时间'!BH37,0)</f>
        <v>0.10194967837324205</v>
      </c>
      <c r="I36" s="38">
        <f>MAX('[1]资源-士兵招募时间'!AS37,0)</f>
        <v>0</v>
      </c>
      <c r="J36" s="38">
        <f>MAX('[1]资源-圣人研究时间'!AV36,0)</f>
        <v>1.2259763002641684E-2</v>
      </c>
      <c r="K36" s="38">
        <f>MAX([2]士兵治疗!BX36,0)</f>
        <v>0</v>
      </c>
      <c r="L36" s="38">
        <f>[4]武将数量星级阶位验证!$CW35</f>
        <v>0.49683360938400006</v>
      </c>
      <c r="M36" s="38">
        <f>[3]投放验证!$AL$4</f>
        <v>0.2</v>
      </c>
      <c r="N36" s="48">
        <f t="shared" si="0"/>
        <v>0.87046580197588797</v>
      </c>
      <c r="O36" s="37"/>
      <c r="Q36" s="37">
        <v>32</v>
      </c>
      <c r="R36" s="38">
        <f>MAX('[1]资源-银币'!BA37,0)</f>
        <v>5.0510688956578474E-2</v>
      </c>
      <c r="S36" s="38">
        <f>MAX('[1]资源-木石铜粮'!AQ37,0)</f>
        <v>3.6554593029239205E-2</v>
      </c>
      <c r="T36" s="38">
        <f>MAX('[1]资源-铁'!AP37,0)</f>
        <v>2.2668369008427392E-4</v>
      </c>
      <c r="U36" s="38">
        <f>MAX('[1]资源-士兵训练时间'!AT37,0)</f>
        <v>0.19056969070784632</v>
      </c>
      <c r="V36" s="38">
        <f>MAX('[1]资源-玩家城池建筑时间'!BJ37,0)</f>
        <v>0.13801216021960466</v>
      </c>
      <c r="W36" s="38">
        <f>MAX('[1]资源-士兵招募时间'!AU37,0)</f>
        <v>2.9083891681811725E-3</v>
      </c>
      <c r="X36" s="38">
        <f>MAX('[1]资源-圣人研究时间'!AX36,0)</f>
        <v>0.11373004238158256</v>
      </c>
      <c r="Y36" s="38">
        <f>MAX([2]士兵治疗!BZ36,0)</f>
        <v>9.6386199698053482E-3</v>
      </c>
      <c r="Z36" s="38">
        <f>[4]武将数量星级阶位验证!$CY35</f>
        <v>0.49683360938400006</v>
      </c>
      <c r="AA36" s="38">
        <f t="shared" si="1"/>
        <v>0.2</v>
      </c>
      <c r="AB36" s="48">
        <f t="shared" si="2"/>
        <v>1.2389844775069219</v>
      </c>
      <c r="AE36" s="37">
        <v>32</v>
      </c>
      <c r="AF36" s="38">
        <f>MAX('[1]资源-银币'!BC37,0)</f>
        <v>7.2657138005222818E-2</v>
      </c>
      <c r="AG36" s="38">
        <f>MAX('[1]资源-木石铜粮'!AS37,0)</f>
        <v>2.4362649812247426E-2</v>
      </c>
      <c r="AH36" s="38">
        <f>MAX('[1]资源-铁'!AR37,0)</f>
        <v>2.4306872499985142E-4</v>
      </c>
      <c r="AI36" s="38">
        <f>MAX('[1]资源-士兵训练时间'!AV37,0)</f>
        <v>0.15531278134225754</v>
      </c>
      <c r="AJ36" s="38">
        <f>MAX('[1]资源-玩家城池建筑时间'!BL37,0)</f>
        <v>0.1333493139015772</v>
      </c>
      <c r="AK36" s="38">
        <f>MAX('[1]资源-士兵招募时间'!AW37,0)</f>
        <v>0</v>
      </c>
      <c r="AL36" s="38">
        <f>MAX('[1]资源-圣人研究时间'!AZ36,0)</f>
        <v>0.11017794105113592</v>
      </c>
      <c r="AM36" s="38">
        <f>MAX([2]士兵治疗!CB36,0)</f>
        <v>0</v>
      </c>
      <c r="AN36" s="38">
        <f>[4]武将数量星级阶位验证!$DA35</f>
        <v>0.49683360938400006</v>
      </c>
      <c r="AO36" s="38">
        <f t="shared" si="3"/>
        <v>0.2</v>
      </c>
      <c r="AP36" s="48">
        <f t="shared" si="4"/>
        <v>1.1929365022214409</v>
      </c>
    </row>
    <row r="37" spans="3:42" x14ac:dyDescent="0.15">
      <c r="C37" s="37">
        <v>33</v>
      </c>
      <c r="D37" s="38">
        <f>MAX('[1]资源-银币'!AY38,0)</f>
        <v>0</v>
      </c>
      <c r="E37" s="38">
        <f>MAX('[1]资源-木石铜粮'!AO38,0)</f>
        <v>1.6585958675496001E-2</v>
      </c>
      <c r="F37" s="38">
        <f>MAX('[1]资源-铁'!AN38,0)</f>
        <v>9.6124054291163311E-5</v>
      </c>
      <c r="G37" s="38">
        <f>MAX('[1]资源-士兵训练时间'!AR38,0)</f>
        <v>4.8361570616964479E-2</v>
      </c>
      <c r="H37" s="38">
        <f>MAX('[1]资源-玩家城池建筑时间'!BH38,0)</f>
        <v>0.10439385856064161</v>
      </c>
      <c r="I37" s="38">
        <f>MAX('[1]资源-士兵招募时间'!AS38,0)</f>
        <v>0</v>
      </c>
      <c r="J37" s="38">
        <f>MAX('[1]资源-圣人研究时间'!AV37,0)</f>
        <v>2.1904936061218294E-2</v>
      </c>
      <c r="K37" s="38">
        <f>MAX([2]士兵治疗!BX37,0)</f>
        <v>0</v>
      </c>
      <c r="L37" s="38">
        <f>[4]武将数量星级阶位验证!$CW36</f>
        <v>0.49223329818600003</v>
      </c>
      <c r="M37" s="38">
        <f>[3]投放验证!$AL$4</f>
        <v>0.2</v>
      </c>
      <c r="N37" s="48">
        <f t="shared" si="0"/>
        <v>0.88357574615461165</v>
      </c>
      <c r="O37" s="37"/>
      <c r="Q37" s="37">
        <v>33</v>
      </c>
      <c r="R37" s="38">
        <f>MAX('[1]资源-银币'!BA38,0)</f>
        <v>6.0037367566646301E-2</v>
      </c>
      <c r="S37" s="38">
        <f>MAX('[1]资源-木石铜粮'!AQ38,0)</f>
        <v>4.056272970702271E-2</v>
      </c>
      <c r="T37" s="38">
        <f>MAX('[1]资源-铁'!AP38,0)</f>
        <v>2.8952043215368537E-4</v>
      </c>
      <c r="U37" s="38">
        <f>MAX('[1]资源-士兵训练时间'!AT38,0)</f>
        <v>0.19115302844027562</v>
      </c>
      <c r="V37" s="38">
        <f>MAX('[1]资源-玩家城池建筑时间'!BJ38,0)</f>
        <v>0.14161274049408587</v>
      </c>
      <c r="W37" s="38">
        <f>MAX('[1]资源-士兵招募时间'!AU38,0)</f>
        <v>0</v>
      </c>
      <c r="X37" s="38">
        <f>MAX('[1]资源-圣人研究时间'!AX37,0)</f>
        <v>0.12021810732684944</v>
      </c>
      <c r="Y37" s="38">
        <f>MAX([2]士兵治疗!BZ37,0)</f>
        <v>9.3066515934269768E-3</v>
      </c>
      <c r="Z37" s="38">
        <f>[4]武将数量星级阶位验证!$CY36</f>
        <v>0.49223329818600003</v>
      </c>
      <c r="AA37" s="38">
        <f t="shared" si="1"/>
        <v>0.2</v>
      </c>
      <c r="AB37" s="48">
        <f t="shared" si="2"/>
        <v>1.2554134437464606</v>
      </c>
      <c r="AE37" s="37">
        <v>33</v>
      </c>
      <c r="AF37" s="38">
        <f>MAX('[1]资源-银币'!BC38,0)</f>
        <v>7.468202793681826E-2</v>
      </c>
      <c r="AG37" s="38">
        <f>MAX('[1]资源-木石铜粮'!AS38,0)</f>
        <v>2.7115393498478309E-2</v>
      </c>
      <c r="AH37" s="38">
        <f>MAX('[1]资源-铁'!AR38,0)</f>
        <v>6.1315202974844703E-4</v>
      </c>
      <c r="AI37" s="38">
        <f>MAX('[1]资源-士兵训练时间'!AV38,0)</f>
        <v>0.15734172513223643</v>
      </c>
      <c r="AJ37" s="38">
        <f>MAX('[1]资源-玩家城池建筑时间'!BL38,0)</f>
        <v>0.13598746062318517</v>
      </c>
      <c r="AK37" s="38">
        <f>MAX('[1]资源-士兵招募时间'!AW38,0)</f>
        <v>0</v>
      </c>
      <c r="AL37" s="38">
        <f>MAX('[1]资源-圣人研究时间'!AZ37,0)</f>
        <v>0.11374175777203588</v>
      </c>
      <c r="AM37" s="38">
        <f>MAX([2]士兵治疗!CB37,0)</f>
        <v>0</v>
      </c>
      <c r="AN37" s="38">
        <f>[4]武将数量星级阶位验证!$DA36</f>
        <v>0.49223329818600003</v>
      </c>
      <c r="AO37" s="38">
        <f t="shared" si="3"/>
        <v>0.2</v>
      </c>
      <c r="AP37" s="48">
        <f t="shared" si="4"/>
        <v>1.2017148151785024</v>
      </c>
    </row>
    <row r="38" spans="3:42" x14ac:dyDescent="0.15">
      <c r="C38" s="37">
        <v>34</v>
      </c>
      <c r="D38" s="38">
        <f>MAX('[1]资源-银币'!AY39,0)</f>
        <v>0</v>
      </c>
      <c r="E38" s="38">
        <f>MAX('[1]资源-木石铜粮'!AO39,0)</f>
        <v>1.8631247352968661E-2</v>
      </c>
      <c r="F38" s="38">
        <f>MAX('[1]资源-铁'!AN39,0)</f>
        <v>1.595970768567136E-4</v>
      </c>
      <c r="G38" s="38">
        <f>MAX('[1]资源-士兵训练时间'!AR39,0)</f>
        <v>5.1415998571083726E-2</v>
      </c>
      <c r="H38" s="38">
        <f>MAX('[1]资源-玩家城池建筑时间'!BH39,0)</f>
        <v>0.10723966228908605</v>
      </c>
      <c r="I38" s="38">
        <f>MAX('[1]资源-士兵招募时间'!AS39,0)</f>
        <v>0</v>
      </c>
      <c r="J38" s="38">
        <f>MAX('[1]资源-圣人研究时间'!AV38,0)</f>
        <v>3.0478152434575585E-2</v>
      </c>
      <c r="K38" s="38">
        <f>MAX([2]士兵治疗!BX38,0)</f>
        <v>0</v>
      </c>
      <c r="L38" s="38">
        <f>[4]武将数量星级阶位验证!$CW37</f>
        <v>0.48763298698800006</v>
      </c>
      <c r="M38" s="38">
        <f>[3]投放验证!$AL$4</f>
        <v>0.2</v>
      </c>
      <c r="N38" s="48">
        <f t="shared" si="0"/>
        <v>0.89555764471257082</v>
      </c>
      <c r="O38" s="37"/>
      <c r="Q38" s="37">
        <v>34</v>
      </c>
      <c r="R38" s="38">
        <f>MAX('[1]资源-银币'!BA39,0)</f>
        <v>6.5939888747654524E-2</v>
      </c>
      <c r="S38" s="38">
        <f>MAX('[1]资源-木石铜粮'!AQ39,0)</f>
        <v>4.412898616949492E-2</v>
      </c>
      <c r="T38" s="38">
        <f>MAX('[1]资源-铁'!AP39,0)</f>
        <v>3.346160663762292E-4</v>
      </c>
      <c r="U38" s="38">
        <f>MAX('[1]资源-士兵训练时间'!AT39,0)</f>
        <v>0.18893139948482132</v>
      </c>
      <c r="V38" s="38">
        <f>MAX('[1]资源-玩家城池建筑时间'!BJ39,0)</f>
        <v>0.14561327971599025</v>
      </c>
      <c r="W38" s="38">
        <f>MAX('[1]资源-士兵招募时间'!AU39,0)</f>
        <v>0</v>
      </c>
      <c r="X38" s="38">
        <f>MAX('[1]资源-圣人研究时间'!AX38,0)</f>
        <v>0.12746208059939343</v>
      </c>
      <c r="Y38" s="38">
        <f>MAX([2]士兵治疗!BZ38,0)</f>
        <v>8.7536272892814078E-3</v>
      </c>
      <c r="Z38" s="38">
        <f>[4]武将数量星级阶位验证!$CY37</f>
        <v>0.48763298698800006</v>
      </c>
      <c r="AA38" s="38">
        <f t="shared" si="1"/>
        <v>0.2</v>
      </c>
      <c r="AB38" s="48">
        <f t="shared" si="2"/>
        <v>1.268796865061012</v>
      </c>
      <c r="AE38" s="37">
        <v>34</v>
      </c>
      <c r="AF38" s="38">
        <f>MAX('[1]资源-银币'!BC39,0)</f>
        <v>7.6101297149229863E-2</v>
      </c>
      <c r="AG38" s="38">
        <f>MAX('[1]资源-木石铜粮'!AS39,0)</f>
        <v>2.9584102969056877E-2</v>
      </c>
      <c r="AH38" s="38">
        <f>MAX('[1]资源-铁'!AR39,0)</f>
        <v>1.0087950059708261E-3</v>
      </c>
      <c r="AI38" s="38">
        <f>MAX('[1]资源-士兵训练时间'!AV39,0)</f>
        <v>0.15941943945301223</v>
      </c>
      <c r="AJ38" s="38">
        <f>MAX('[1]资源-玩家城池建筑时间'!BL39,0)</f>
        <v>0.13852300382416097</v>
      </c>
      <c r="AK38" s="38">
        <f>MAX('[1]资源-士兵招募时间'!AW39,0)</f>
        <v>0</v>
      </c>
      <c r="AL38" s="38">
        <f>MAX('[1]资源-圣人研究时间'!AZ38,0)</f>
        <v>0.1172325014975938</v>
      </c>
      <c r="AM38" s="38">
        <f>MAX([2]士兵治疗!CB38,0)</f>
        <v>0</v>
      </c>
      <c r="AN38" s="38">
        <f>[4]武将数量星级阶位验证!$DA37</f>
        <v>0.48763298698800006</v>
      </c>
      <c r="AO38" s="38">
        <f t="shared" si="3"/>
        <v>0.2</v>
      </c>
      <c r="AP38" s="48">
        <f t="shared" si="4"/>
        <v>1.2095021268870245</v>
      </c>
    </row>
    <row r="39" spans="3:42" x14ac:dyDescent="0.15">
      <c r="C39" s="37">
        <v>35</v>
      </c>
      <c r="D39" s="38">
        <f>MAX('[1]资源-银币'!AY40,0)</f>
        <v>0</v>
      </c>
      <c r="E39" s="38">
        <f>MAX('[1]资源-木石铜粮'!AO40,0)</f>
        <v>2.0299836846050287E-2</v>
      </c>
      <c r="F39" s="38">
        <f>MAX('[1]资源-铁'!AN40,0)</f>
        <v>2.1553921383911238E-4</v>
      </c>
      <c r="G39" s="38">
        <f>MAX('[1]资源-士兵训练时间'!AR40,0)</f>
        <v>5.420430447717807E-2</v>
      </c>
      <c r="H39" s="38">
        <f>MAX('[1]资源-玩家城池建筑时间'!BH40,0)</f>
        <v>0.10989943530162288</v>
      </c>
      <c r="I39" s="38">
        <f>MAX('[1]资源-士兵招募时间'!AS40,0)</f>
        <v>0</v>
      </c>
      <c r="J39" s="38">
        <f>MAX('[1]资源-圣人研究时间'!AV39,0)</f>
        <v>3.8387313768342569E-2</v>
      </c>
      <c r="K39" s="38">
        <f>MAX([2]士兵治疗!BX39,0)</f>
        <v>0</v>
      </c>
      <c r="L39" s="38">
        <f>[4]武将数量星级阶位验证!$CW38</f>
        <v>0.48303267579000003</v>
      </c>
      <c r="M39" s="38">
        <f>[3]投放验证!$AL$4</f>
        <v>0.2</v>
      </c>
      <c r="N39" s="48">
        <f t="shared" si="0"/>
        <v>0.90603910539703292</v>
      </c>
      <c r="O39" s="37"/>
      <c r="Q39" s="37">
        <v>35</v>
      </c>
      <c r="R39" s="38">
        <f>MAX('[1]资源-银币'!BA40,0)</f>
        <v>7.1705813502921517E-2</v>
      </c>
      <c r="S39" s="38">
        <f>MAX('[1]资源-木石铜粮'!AQ40,0)</f>
        <v>4.74866506831274E-2</v>
      </c>
      <c r="T39" s="38">
        <f>MAX('[1]资源-铁'!AP40,0)</f>
        <v>3.8417856427381273E-4</v>
      </c>
      <c r="U39" s="38">
        <f>MAX('[1]资源-士兵训练时间'!AT40,0)</f>
        <v>0.1882813914997645</v>
      </c>
      <c r="V39" s="38">
        <f>MAX('[1]资源-玩家城池建筑时间'!BJ40,0)</f>
        <v>0.14988193560290552</v>
      </c>
      <c r="W39" s="38">
        <f>MAX('[1]资源-士兵招募时间'!AU40,0)</f>
        <v>0</v>
      </c>
      <c r="X39" s="38">
        <f>MAX('[1]资源-圣人研究时间'!AX39,0)</f>
        <v>0.13465965860145201</v>
      </c>
      <c r="Y39" s="38">
        <f>MAX([2]士兵治疗!BZ39,0)</f>
        <v>7.8010055198220254E-3</v>
      </c>
      <c r="Z39" s="38">
        <f>[4]武将数量星级阶位验证!$CY38</f>
        <v>0.48303267579000003</v>
      </c>
      <c r="AA39" s="38">
        <f t="shared" si="1"/>
        <v>0.2</v>
      </c>
      <c r="AB39" s="48">
        <f t="shared" si="2"/>
        <v>1.2832333097642667</v>
      </c>
      <c r="AE39" s="37">
        <v>35</v>
      </c>
      <c r="AF39" s="38">
        <f>MAX('[1]资源-银币'!BC40,0)</f>
        <v>7.7194300511494882E-2</v>
      </c>
      <c r="AG39" s="38">
        <f>MAX('[1]资源-木石铜粮'!AS40,0)</f>
        <v>3.1838001914719916E-2</v>
      </c>
      <c r="AH39" s="38">
        <f>MAX('[1]资源-铁'!AR40,0)</f>
        <v>1.3494146224715849E-3</v>
      </c>
      <c r="AI39" s="38">
        <f>MAX('[1]资源-士兵训练时间'!AV40,0)</f>
        <v>0.16082090309333993</v>
      </c>
      <c r="AJ39" s="38">
        <f>MAX('[1]资源-玩家城池建筑时间'!BL40,0)</f>
        <v>0.14074416071658846</v>
      </c>
      <c r="AK39" s="38">
        <f>MAX('[1]资源-士兵招募时间'!AW40,0)</f>
        <v>0</v>
      </c>
      <c r="AL39" s="38">
        <f>MAX('[1]资源-圣人研究时间'!AZ39,0)</f>
        <v>0.120731658779242</v>
      </c>
      <c r="AM39" s="38">
        <f>MAX([2]士兵治疗!CB39,0)</f>
        <v>0</v>
      </c>
      <c r="AN39" s="38">
        <f>[4]武将数量星级阶位验证!$DA38</f>
        <v>0.48303267579000003</v>
      </c>
      <c r="AO39" s="38">
        <f t="shared" si="3"/>
        <v>0.2</v>
      </c>
      <c r="AP39" s="48">
        <f t="shared" si="4"/>
        <v>1.2157111154278568</v>
      </c>
    </row>
    <row r="40" spans="3:42" x14ac:dyDescent="0.15">
      <c r="C40" s="37">
        <v>36</v>
      </c>
      <c r="D40" s="38">
        <f>MAX('[1]资源-银币'!AY41,0)</f>
        <v>0</v>
      </c>
      <c r="E40" s="38">
        <f>MAX('[1]资源-木石铜粮'!AO41,0)</f>
        <v>2.2009838411134311E-2</v>
      </c>
      <c r="F40" s="38">
        <f>MAX('[1]资源-铁'!AN41,0)</f>
        <v>2.5715791899224313E-4</v>
      </c>
      <c r="G40" s="38">
        <f>MAX('[1]资源-士兵训练时间'!AR41,0)</f>
        <v>5.4666911453777882E-2</v>
      </c>
      <c r="H40" s="38">
        <f>MAX('[1]资源-玩家城池建筑时间'!BH41,0)</f>
        <v>0.11326006468170935</v>
      </c>
      <c r="I40" s="38">
        <f>MAX('[1]资源-士兵招募时间'!AS41,0)</f>
        <v>0</v>
      </c>
      <c r="J40" s="38">
        <f>MAX('[1]资源-圣人研究时间'!AV40,0)</f>
        <v>4.7336201514566002E-2</v>
      </c>
      <c r="K40" s="38">
        <f>MAX([2]士兵治疗!BX40,0)</f>
        <v>0</v>
      </c>
      <c r="L40" s="38">
        <f>[4]武将数量星级阶位验证!$CW39</f>
        <v>0.47857589430137765</v>
      </c>
      <c r="M40" s="38">
        <f>[3]投放验证!$AL$4</f>
        <v>0.2</v>
      </c>
      <c r="N40" s="48">
        <f t="shared" si="0"/>
        <v>0.91610606828155738</v>
      </c>
      <c r="O40" s="37"/>
      <c r="Q40" s="37">
        <v>36</v>
      </c>
      <c r="R40" s="38">
        <f>MAX('[1]资源-银币'!BA41,0)</f>
        <v>7.4871456240257428E-2</v>
      </c>
      <c r="S40" s="38">
        <f>MAX('[1]资源-木石铜粮'!AQ41,0)</f>
        <v>5.128621182111575E-2</v>
      </c>
      <c r="T40" s="38">
        <f>MAX('[1]资源-铁'!AP41,0)</f>
        <v>1.0420711285801393E-3</v>
      </c>
      <c r="U40" s="38">
        <f>MAX('[1]资源-士兵训练时间'!AT41,0)</f>
        <v>0.19162049383800561</v>
      </c>
      <c r="V40" s="38">
        <f>MAX('[1]资源-玩家城池建筑时间'!BJ41,0)</f>
        <v>0.15366703375931387</v>
      </c>
      <c r="W40" s="38">
        <f>MAX('[1]资源-士兵招募时间'!AU41,0)</f>
        <v>0</v>
      </c>
      <c r="X40" s="38">
        <f>MAX('[1]资源-圣人研究时间'!AX40,0)</f>
        <v>0.1408813813459821</v>
      </c>
      <c r="Y40" s="38">
        <f>MAX([2]士兵治疗!BZ40,0)</f>
        <v>7.0778039801527061E-3</v>
      </c>
      <c r="Z40" s="38">
        <f>[4]武将数量星级阶位验证!$CY39</f>
        <v>0.47857589430137765</v>
      </c>
      <c r="AA40" s="38">
        <f t="shared" si="1"/>
        <v>0.2</v>
      </c>
      <c r="AB40" s="48">
        <f t="shared" si="2"/>
        <v>1.2990223464147852</v>
      </c>
      <c r="AE40" s="37">
        <v>36</v>
      </c>
      <c r="AF40" s="38">
        <f>MAX('[1]资源-银币'!BC41,0)</f>
        <v>7.8192535220668033E-2</v>
      </c>
      <c r="AG40" s="38">
        <f>MAX('[1]资源-木石铜粮'!AS41,0)</f>
        <v>3.3870165040621729E-2</v>
      </c>
      <c r="AH40" s="38">
        <f>MAX('[1]资源-铁'!AR41,0)</f>
        <v>1.717100198088314E-3</v>
      </c>
      <c r="AI40" s="38">
        <f>MAX('[1]资源-士兵训练时间'!AV41,0)</f>
        <v>0.16079649223303752</v>
      </c>
      <c r="AJ40" s="38">
        <f>MAX('[1]资源-玩家城池建筑时间'!BL41,0)</f>
        <v>0.14423622100581912</v>
      </c>
      <c r="AK40" s="38">
        <f>MAX('[1]资源-士兵招募时间'!AW41,0)</f>
        <v>0</v>
      </c>
      <c r="AL40" s="38">
        <f>MAX('[1]资源-圣人研究时间'!AZ40,0)</f>
        <v>0.12745125409274757</v>
      </c>
      <c r="AM40" s="38">
        <f>MAX([2]士兵治疗!CB40,0)</f>
        <v>0</v>
      </c>
      <c r="AN40" s="38">
        <f>[4]武将数量星级阶位验证!$DA39</f>
        <v>0.47857589430137765</v>
      </c>
      <c r="AO40" s="38">
        <f t="shared" si="3"/>
        <v>0.2</v>
      </c>
      <c r="AP40" s="48">
        <f t="shared" si="4"/>
        <v>1.2248396620923598</v>
      </c>
    </row>
    <row r="41" spans="3:42" x14ac:dyDescent="0.15">
      <c r="C41" s="37">
        <v>37</v>
      </c>
      <c r="D41" s="38">
        <f>MAX('[1]资源-银币'!AY42,0)</f>
        <v>0</v>
      </c>
      <c r="E41" s="38">
        <f>MAX('[1]资源-木石铜粮'!AO42,0)</f>
        <v>2.3419679390143146E-2</v>
      </c>
      <c r="F41" s="38">
        <f>MAX('[1]资源-铁'!AN42,0)</f>
        <v>2.9154157650856661E-4</v>
      </c>
      <c r="G41" s="38">
        <f>MAX('[1]资源-士兵训练时间'!AR42,0)</f>
        <v>5.4405421593458576E-2</v>
      </c>
      <c r="H41" s="38">
        <f>MAX('[1]资源-玩家城池建筑时间'!BH42,0)</f>
        <v>0.11600433235850598</v>
      </c>
      <c r="I41" s="38">
        <f>MAX('[1]资源-士兵招募时间'!AS42,0)</f>
        <v>0</v>
      </c>
      <c r="J41" s="38">
        <f>MAX('[1]资源-圣人研究时间'!AV41,0)</f>
        <v>5.5791096399369702E-2</v>
      </c>
      <c r="K41" s="38">
        <f>MAX([2]士兵治疗!BX41,0)</f>
        <v>0</v>
      </c>
      <c r="L41" s="38">
        <f>[4]武将数量星级阶位验证!$CW40</f>
        <v>0.47411911281275521</v>
      </c>
      <c r="M41" s="38">
        <f>[3]投放验证!$AL$4</f>
        <v>0.2</v>
      </c>
      <c r="N41" s="48">
        <f t="shared" si="0"/>
        <v>0.92403118413074115</v>
      </c>
      <c r="O41" s="37"/>
      <c r="Q41" s="37">
        <v>37</v>
      </c>
      <c r="R41" s="38">
        <f>MAX('[1]资源-银币'!BA42,0)</f>
        <v>7.7475350309231389E-2</v>
      </c>
      <c r="S41" s="38">
        <f>MAX('[1]资源-木石铜粮'!AQ42,0)</f>
        <v>5.4899077409271323E-2</v>
      </c>
      <c r="T41" s="38">
        <f>MAX('[1]资源-铁'!AP42,0)</f>
        <v>1.6195191817705303E-3</v>
      </c>
      <c r="U41" s="38">
        <f>MAX('[1]资源-士兵训练时间'!AT42,0)</f>
        <v>0.19440507873889237</v>
      </c>
      <c r="V41" s="38">
        <f>MAX('[1]资源-玩家城池建筑时间'!BJ42,0)</f>
        <v>0.15689774036182111</v>
      </c>
      <c r="W41" s="38">
        <f>MAX('[1]资源-士兵招募时间'!AU42,0)</f>
        <v>0</v>
      </c>
      <c r="X41" s="38">
        <f>MAX('[1]资源-圣人研究时间'!AX41,0)</f>
        <v>0.14635874330030654</v>
      </c>
      <c r="Y41" s="38">
        <f>MAX([2]士兵治疗!BZ41,0)</f>
        <v>6.3676523780186968E-3</v>
      </c>
      <c r="Z41" s="38">
        <f>[4]武将数量星级阶位验证!$CY40</f>
        <v>0.47411911281275521</v>
      </c>
      <c r="AA41" s="38">
        <f t="shared" si="1"/>
        <v>0.2</v>
      </c>
      <c r="AB41" s="48">
        <f t="shared" si="2"/>
        <v>1.3121422744920672</v>
      </c>
      <c r="AE41" s="37">
        <v>37</v>
      </c>
      <c r="AF41" s="38">
        <f>MAX('[1]资源-银币'!BC42,0)</f>
        <v>7.863207320800579E-2</v>
      </c>
      <c r="AG41" s="38">
        <f>MAX('[1]资源-木石铜粮'!AS42,0)</f>
        <v>3.5537823652542572E-2</v>
      </c>
      <c r="AH41" s="38">
        <f>MAX('[1]资源-铁'!AR42,0)</f>
        <v>2.0740011034034453E-3</v>
      </c>
      <c r="AI41" s="38">
        <f>MAX('[1]资源-士兵训练时间'!AV42,0)</f>
        <v>0.16060671356635517</v>
      </c>
      <c r="AJ41" s="38">
        <f>MAX('[1]资源-玩家城池建筑时间'!BL42,0)</f>
        <v>0.14696186163251715</v>
      </c>
      <c r="AK41" s="38">
        <f>MAX('[1]资源-士兵招募时间'!AW42,0)</f>
        <v>0</v>
      </c>
      <c r="AL41" s="38">
        <f>MAX('[1]资源-圣人研究时间'!AZ41,0)</f>
        <v>0.13343145171810689</v>
      </c>
      <c r="AM41" s="38">
        <f>MAX([2]士兵治疗!CB41,0)</f>
        <v>0</v>
      </c>
      <c r="AN41" s="38">
        <f>[4]武将数量星级阶位验证!$DA40</f>
        <v>0.47411911281275521</v>
      </c>
      <c r="AO41" s="38">
        <f t="shared" si="3"/>
        <v>0.2</v>
      </c>
      <c r="AP41" s="48">
        <f t="shared" si="4"/>
        <v>1.2313630376936862</v>
      </c>
    </row>
    <row r="42" spans="3:42" x14ac:dyDescent="0.15">
      <c r="C42" s="37">
        <v>38</v>
      </c>
      <c r="D42" s="38">
        <f>MAX('[1]资源-银币'!AY43,0)</f>
        <v>0</v>
      </c>
      <c r="E42" s="38">
        <f>MAX('[1]资源-木石铜粮'!AO43,0)</f>
        <v>2.4528073869797194E-2</v>
      </c>
      <c r="F42" s="38">
        <f>MAX('[1]资源-铁'!AN43,0)</f>
        <v>6.7515002812208594E-4</v>
      </c>
      <c r="G42" s="38">
        <f>MAX('[1]资源-士兵训练时间'!AR43,0)</f>
        <v>5.6448310417663475E-2</v>
      </c>
      <c r="H42" s="38">
        <f>MAX('[1]资源-玩家城池建筑时间'!BH43,0)</f>
        <v>0.11923803395101951</v>
      </c>
      <c r="I42" s="38">
        <f>MAX('[1]资源-士兵招募时间'!AS43,0)</f>
        <v>0</v>
      </c>
      <c r="J42" s="38">
        <f>MAX('[1]资源-圣人研究时间'!AV42,0)</f>
        <v>6.4063614283843287E-2</v>
      </c>
      <c r="K42" s="38">
        <f>MAX([2]士兵治疗!BX42,0)</f>
        <v>0</v>
      </c>
      <c r="L42" s="38">
        <f>[4]武将数量星级阶位验证!$CW41</f>
        <v>0.46966233132413282</v>
      </c>
      <c r="M42" s="38">
        <f>[3]投放验证!$AL$4</f>
        <v>0.2</v>
      </c>
      <c r="N42" s="48">
        <f t="shared" si="0"/>
        <v>0.93461551387457842</v>
      </c>
      <c r="O42" s="37"/>
      <c r="Q42" s="37">
        <v>38</v>
      </c>
      <c r="R42" s="38">
        <f>MAX('[1]资源-银币'!BA43,0)</f>
        <v>7.9375979042217451E-2</v>
      </c>
      <c r="S42" s="38">
        <f>MAX('[1]资源-木石铜粮'!AQ43,0)</f>
        <v>5.7308489930276305E-2</v>
      </c>
      <c r="T42" s="38">
        <f>MAX('[1]资源-铁'!AP43,0)</f>
        <v>2.242555284550583E-3</v>
      </c>
      <c r="U42" s="38">
        <f>MAX('[1]资源-士兵训练时间'!AT43,0)</f>
        <v>0.19611025213133471</v>
      </c>
      <c r="V42" s="38">
        <f>MAX('[1]资源-玩家城池建筑时间'!BJ43,0)</f>
        <v>0.16107748143909645</v>
      </c>
      <c r="W42" s="38">
        <f>MAX('[1]资源-士兵招募时间'!AU43,0)</f>
        <v>0</v>
      </c>
      <c r="X42" s="38">
        <f>MAX('[1]资源-圣人研究时间'!AX42,0)</f>
        <v>0.15482390260471135</v>
      </c>
      <c r="Y42" s="38">
        <f>MAX([2]士兵治疗!BZ42,0)</f>
        <v>5.0679159689035738E-3</v>
      </c>
      <c r="Z42" s="38">
        <f>[4]武将数量星级阶位验证!$CY41</f>
        <v>0.46966233132413282</v>
      </c>
      <c r="AA42" s="38">
        <f t="shared" si="1"/>
        <v>0.2</v>
      </c>
      <c r="AB42" s="48">
        <f t="shared" si="2"/>
        <v>1.3256689077252231</v>
      </c>
      <c r="AE42" s="37">
        <v>38</v>
      </c>
      <c r="AF42" s="38">
        <f>MAX('[1]资源-银币'!BC43,0)</f>
        <v>7.7525920003409118E-2</v>
      </c>
      <c r="AG42" s="38">
        <f>MAX('[1]资源-木石铜粮'!AS43,0)</f>
        <v>3.6829288891720491E-2</v>
      </c>
      <c r="AH42" s="38">
        <f>MAX('[1]资源-铁'!AR43,0)</f>
        <v>3.167042365540045E-3</v>
      </c>
      <c r="AI42" s="38">
        <f>MAX('[1]资源-士兵训练时间'!AV43,0)</f>
        <v>0.16335828400997279</v>
      </c>
      <c r="AJ42" s="38">
        <f>MAX('[1]资源-玩家城池建筑时间'!BL43,0)</f>
        <v>0.15007564979303989</v>
      </c>
      <c r="AK42" s="38">
        <f>MAX('[1]资源-士兵招募时间'!AW43,0)</f>
        <v>0</v>
      </c>
      <c r="AL42" s="38">
        <f>MAX('[1]资源-圣人研究时间'!AZ42,0)</f>
        <v>0.1416621593942187</v>
      </c>
      <c r="AM42" s="38">
        <f>MAX([2]士兵治疗!CB42,0)</f>
        <v>0</v>
      </c>
      <c r="AN42" s="38">
        <f>[4]武将数量星级阶位验证!$DA41</f>
        <v>0.46966233132413282</v>
      </c>
      <c r="AO42" s="38">
        <f t="shared" si="3"/>
        <v>0.2</v>
      </c>
      <c r="AP42" s="48">
        <f t="shared" si="4"/>
        <v>1.2422806757820337</v>
      </c>
    </row>
    <row r="43" spans="3:42" x14ac:dyDescent="0.15">
      <c r="C43" s="37">
        <v>39</v>
      </c>
      <c r="D43" s="38">
        <f>MAX('[1]资源-银币'!AY44,0)</f>
        <v>0</v>
      </c>
      <c r="E43" s="38">
        <f>MAX('[1]资源-木石铜粮'!AO44,0)</f>
        <v>2.5340306974667246E-2</v>
      </c>
      <c r="F43" s="38">
        <f>MAX('[1]资源-铁'!AN44,0)</f>
        <v>1.2708745273919532E-3</v>
      </c>
      <c r="G43" s="38">
        <f>MAX('[1]资源-士兵训练时间'!AR44,0)</f>
        <v>6.0007641770548882E-2</v>
      </c>
      <c r="H43" s="38">
        <f>MAX('[1]资源-玩家城池建筑时间'!BH44,0)</f>
        <v>0.12273136006953241</v>
      </c>
      <c r="I43" s="38">
        <f>MAX('[1]资源-士兵招募时间'!AS44,0)</f>
        <v>0</v>
      </c>
      <c r="J43" s="38">
        <f>MAX('[1]资源-圣人研究时间'!AV43,0)</f>
        <v>7.2003735157161283E-2</v>
      </c>
      <c r="K43" s="38">
        <f>MAX([2]士兵治疗!BX43,0)</f>
        <v>0</v>
      </c>
      <c r="L43" s="38">
        <f>[4]武将数量星级阶位验证!$CW42</f>
        <v>0.46520554983551038</v>
      </c>
      <c r="M43" s="38">
        <f>[3]投放验证!$AL$4</f>
        <v>0.2</v>
      </c>
      <c r="N43" s="48">
        <f t="shared" si="0"/>
        <v>0.94655946833481219</v>
      </c>
      <c r="O43" s="37"/>
      <c r="Q43" s="37">
        <v>39</v>
      </c>
      <c r="R43" s="38">
        <f>MAX('[1]资源-银币'!BA44,0)</f>
        <v>8.0871110988021577E-2</v>
      </c>
      <c r="S43" s="38">
        <f>MAX('[1]资源-木石铜粮'!AQ44,0)</f>
        <v>5.7868142203905883E-2</v>
      </c>
      <c r="T43" s="38">
        <f>MAX('[1]资源-铁'!AP44,0)</f>
        <v>2.9348835208115524E-3</v>
      </c>
      <c r="U43" s="38">
        <f>MAX('[1]资源-士兵训练时间'!AT44,0)</f>
        <v>0.19580407103156641</v>
      </c>
      <c r="V43" s="38">
        <f>MAX('[1]资源-玩家城池建筑时间'!BJ44,0)</f>
        <v>0.16755515350301575</v>
      </c>
      <c r="W43" s="38">
        <f>MAX('[1]资源-士兵招募时间'!AU44,0)</f>
        <v>0</v>
      </c>
      <c r="X43" s="38">
        <f>MAX('[1]资源-圣人研究时间'!AX43,0)</f>
        <v>0.16893487493673395</v>
      </c>
      <c r="Y43" s="38">
        <f>MAX([2]士兵治疗!BZ43,0)</f>
        <v>3.3044672053457714E-3</v>
      </c>
      <c r="Z43" s="38">
        <f>[4]武将数量星级阶位验证!$CY42</f>
        <v>0.46520554983551038</v>
      </c>
      <c r="AA43" s="38">
        <f t="shared" si="1"/>
        <v>0.2</v>
      </c>
      <c r="AB43" s="48">
        <f t="shared" si="2"/>
        <v>1.3424782532249113</v>
      </c>
      <c r="AE43" s="37">
        <v>39</v>
      </c>
      <c r="AF43" s="38">
        <f>MAX('[1]资源-银币'!BC44,0)</f>
        <v>7.6617980182707227E-2</v>
      </c>
      <c r="AG43" s="38">
        <f>MAX('[1]资源-木石铜粮'!AS44,0)</f>
        <v>3.7720710303956212E-2</v>
      </c>
      <c r="AH43" s="38">
        <f>MAX('[1]资源-铁'!AR44,0)</f>
        <v>4.3703870400613768E-3</v>
      </c>
      <c r="AI43" s="38">
        <f>MAX('[1]资源-士兵训练时间'!AV44,0)</f>
        <v>0.16640329636404086</v>
      </c>
      <c r="AJ43" s="38">
        <f>MAX('[1]资源-玩家城池建筑时间'!BL44,0)</f>
        <v>0.15314204444584401</v>
      </c>
      <c r="AK43" s="38">
        <f>MAX('[1]资源-士兵招募时间'!AW44,0)</f>
        <v>0</v>
      </c>
      <c r="AL43" s="38">
        <f>MAX('[1]资源-圣人研究时间'!AZ43,0)</f>
        <v>0.14969701059082399</v>
      </c>
      <c r="AM43" s="38">
        <f>MAX([2]士兵治疗!CB43,0)</f>
        <v>0</v>
      </c>
      <c r="AN43" s="38">
        <f>[4]武将数量星级阶位验证!$DA42</f>
        <v>0.46520554983551038</v>
      </c>
      <c r="AO43" s="38">
        <f t="shared" si="3"/>
        <v>0.2</v>
      </c>
      <c r="AP43" s="48">
        <f t="shared" si="4"/>
        <v>1.253156978762944</v>
      </c>
    </row>
    <row r="44" spans="3:42" x14ac:dyDescent="0.15">
      <c r="C44" s="37">
        <v>40</v>
      </c>
      <c r="D44" s="38">
        <f>MAX('[1]资源-银币'!AY45,0)</f>
        <v>0</v>
      </c>
      <c r="E44" s="38">
        <f>MAX('[1]资源-木石铜粮'!AO45,0)</f>
        <v>2.585398077179878E-2</v>
      </c>
      <c r="F44" s="38">
        <f>MAX('[1]资源-铁'!AN45,0)</f>
        <v>1.779272188434947E-3</v>
      </c>
      <c r="G44" s="38">
        <f>MAX('[1]资源-士兵训练时间'!AR45,0)</f>
        <v>6.1694062309503715E-2</v>
      </c>
      <c r="H44" s="38">
        <f>MAX('[1]资源-玩家城池建筑时间'!BH45,0)</f>
        <v>0.12442109119855474</v>
      </c>
      <c r="I44" s="38">
        <f>MAX('[1]资源-士兵招募时间'!AS45,0)</f>
        <v>0</v>
      </c>
      <c r="J44" s="38">
        <f>MAX('[1]资源-圣人研究时间'!AV44,0)</f>
        <v>8.0232708172217726E-2</v>
      </c>
      <c r="K44" s="38">
        <f>MAX([2]士兵治疗!BX44,0)</f>
        <v>0</v>
      </c>
      <c r="L44" s="38">
        <f>[4]武将数量星级阶位验证!$CW43</f>
        <v>0.46074876834688799</v>
      </c>
      <c r="M44" s="38">
        <f>[3]投放验证!$AL$4</f>
        <v>0.2</v>
      </c>
      <c r="N44" s="48">
        <f t="shared" si="0"/>
        <v>0.9547298829873978</v>
      </c>
      <c r="O44" s="37"/>
      <c r="Q44" s="37">
        <v>40</v>
      </c>
      <c r="R44" s="38">
        <f>MAX('[1]资源-银币'!BA45,0)</f>
        <v>8.2604168073762987E-2</v>
      </c>
      <c r="S44" s="38">
        <f>MAX('[1]资源-木石铜粮'!AQ45,0)</f>
        <v>5.912059434377754E-2</v>
      </c>
      <c r="T44" s="38">
        <f>MAX('[1]资源-铁'!AP45,0)</f>
        <v>4.0753699101269223E-3</v>
      </c>
      <c r="U44" s="38">
        <f>MAX('[1]资源-士兵训练时间'!AT45,0)</f>
        <v>0.19791854093948744</v>
      </c>
      <c r="V44" s="38">
        <f>MAX('[1]资源-玩家城池建筑时间'!BJ45,0)</f>
        <v>0.1725490092314409</v>
      </c>
      <c r="W44" s="38">
        <f>MAX('[1]资源-士兵招募时间'!AU45,0)</f>
        <v>0</v>
      </c>
      <c r="X44" s="38">
        <f>MAX('[1]资源-圣人研究时间'!AX44,0)</f>
        <v>0.18191710004963033</v>
      </c>
      <c r="Y44" s="38">
        <f>MAX([2]士兵治疗!BZ44,0)</f>
        <v>1.7728013310844787E-3</v>
      </c>
      <c r="Z44" s="38">
        <f>[4]武将数量星级阶位验证!$CY43</f>
        <v>0.46074876834688799</v>
      </c>
      <c r="AA44" s="38">
        <f t="shared" si="1"/>
        <v>0.2</v>
      </c>
      <c r="AB44" s="48">
        <f t="shared" si="2"/>
        <v>1.3607063522261986</v>
      </c>
      <c r="AE44" s="37">
        <v>40</v>
      </c>
      <c r="AF44" s="38">
        <f>MAX('[1]资源-银币'!BC45,0)</f>
        <v>7.6640144121737919E-2</v>
      </c>
      <c r="AG44" s="38">
        <f>MAX('[1]资源-木石铜粮'!AS45,0)</f>
        <v>3.8605687087733299E-2</v>
      </c>
      <c r="AH44" s="38">
        <f>MAX('[1]资源-铁'!AR45,0)</f>
        <v>5.8126712050170131E-3</v>
      </c>
      <c r="AI44" s="38">
        <f>MAX('[1]资源-士兵训练时间'!AV45,0)</f>
        <v>0.17013425275654437</v>
      </c>
      <c r="AJ44" s="38">
        <f>MAX('[1]资源-玩家城池建筑时间'!BL45,0)</f>
        <v>0.15575428410729122</v>
      </c>
      <c r="AK44" s="38">
        <f>MAX('[1]资源-士兵招募时间'!AW45,0)</f>
        <v>0</v>
      </c>
      <c r="AL44" s="38">
        <f>MAX('[1]资源-圣人研究时间'!AZ44,0)</f>
        <v>0.15707210380646111</v>
      </c>
      <c r="AM44" s="38">
        <f>MAX([2]士兵治疗!CB44,0)</f>
        <v>0</v>
      </c>
      <c r="AN44" s="38">
        <f>[4]武将数量星级阶位验证!$DA43</f>
        <v>0.46074876834688799</v>
      </c>
      <c r="AO44" s="38">
        <f t="shared" si="3"/>
        <v>0.2</v>
      </c>
      <c r="AP44" s="48">
        <f t="shared" si="4"/>
        <v>1.2647679114316728</v>
      </c>
    </row>
    <row r="45" spans="3:42" x14ac:dyDescent="0.15">
      <c r="C45" s="37">
        <v>41</v>
      </c>
      <c r="D45" s="38">
        <f>MAX('[1]资源-银币'!AY46,0)</f>
        <v>0</v>
      </c>
      <c r="E45" s="38">
        <f>MAX('[1]资源-木石铜粮'!AO46,0)</f>
        <v>2.6299038427199394E-2</v>
      </c>
      <c r="F45" s="38">
        <f>MAX('[1]资源-铁'!AN46,0)</f>
        <v>2.1380216256678525E-3</v>
      </c>
      <c r="G45" s="38">
        <f>MAX('[1]资源-士兵训练时间'!AR46,0)</f>
        <v>6.1411853676628055E-2</v>
      </c>
      <c r="H45" s="38">
        <f>MAX('[1]资源-玩家城池建筑时间'!BH46,0)</f>
        <v>0.12643538332743495</v>
      </c>
      <c r="I45" s="38">
        <f>MAX('[1]资源-士兵招募时间'!AS46,0)</f>
        <v>0</v>
      </c>
      <c r="J45" s="38">
        <f>MAX('[1]资源-圣人研究时间'!AV45,0)</f>
        <v>9.1413067010158222E-2</v>
      </c>
      <c r="K45" s="38">
        <f>MAX([2]士兵治疗!BX45,0)</f>
        <v>0</v>
      </c>
      <c r="L45" s="38">
        <f>[4]武将数量星级阶位验证!$CW44</f>
        <v>0.45643161550374728</v>
      </c>
      <c r="M45" s="38">
        <f>[3]投放验证!$AL$4</f>
        <v>0.2</v>
      </c>
      <c r="N45" s="48">
        <f t="shared" si="0"/>
        <v>0.96412897957083565</v>
      </c>
      <c r="O45" s="37"/>
      <c r="Q45" s="37">
        <v>41</v>
      </c>
      <c r="R45" s="38">
        <f>MAX('[1]资源-银币'!BA46,0)</f>
        <v>8.473616550373568E-2</v>
      </c>
      <c r="S45" s="38">
        <f>MAX('[1]资源-木石铜粮'!AQ46,0)</f>
        <v>6.0502665852841156E-2</v>
      </c>
      <c r="T45" s="38">
        <f>MAX('[1]资源-铁'!AP46,0)</f>
        <v>5.4379672200064412E-3</v>
      </c>
      <c r="U45" s="38">
        <f>MAX('[1]资源-士兵训练时间'!AT46,0)</f>
        <v>0.20149336786807817</v>
      </c>
      <c r="V45" s="38">
        <f>MAX('[1]资源-玩家城池建筑时间'!BJ46,0)</f>
        <v>0.1763966133656826</v>
      </c>
      <c r="W45" s="38">
        <f>MAX('[1]资源-士兵招募时间'!AU46,0)</f>
        <v>0</v>
      </c>
      <c r="X45" s="38">
        <f>MAX('[1]资源-圣人研究时间'!AX45,0)</f>
        <v>0.194327471526509</v>
      </c>
      <c r="Y45" s="38">
        <f>MAX([2]士兵治疗!BZ45,0)</f>
        <v>3.5050458000775018E-4</v>
      </c>
      <c r="Z45" s="38">
        <f>[4]武将数量星级阶位验证!$CY44</f>
        <v>0.45643161550374728</v>
      </c>
      <c r="AA45" s="38">
        <f t="shared" si="1"/>
        <v>0.2</v>
      </c>
      <c r="AB45" s="48">
        <f t="shared" si="2"/>
        <v>1.3796763714206079</v>
      </c>
      <c r="AE45" s="37">
        <v>41</v>
      </c>
      <c r="AF45" s="38">
        <f>MAX('[1]资源-银币'!BC46,0)</f>
        <v>7.6562144534135013E-2</v>
      </c>
      <c r="AG45" s="38">
        <f>MAX('[1]资源-木石铜粮'!AS46,0)</f>
        <v>3.9439879591415233E-2</v>
      </c>
      <c r="AH45" s="38">
        <f>MAX('[1]资源-铁'!AR46,0)</f>
        <v>7.2102247743745362E-3</v>
      </c>
      <c r="AI45" s="38">
        <f>MAX('[1]资源-士兵训练时间'!AV46,0)</f>
        <v>0.17313223492111329</v>
      </c>
      <c r="AJ45" s="38">
        <f>MAX('[1]资源-玩家城池建筑时间'!BL46,0)</f>
        <v>0.15768504156110633</v>
      </c>
      <c r="AK45" s="38">
        <f>MAX('[1]资源-士兵招募时间'!AW46,0)</f>
        <v>0</v>
      </c>
      <c r="AL45" s="38">
        <f>MAX('[1]资源-圣人研究时间'!AZ45,0)</f>
        <v>0.16301309045896731</v>
      </c>
      <c r="AM45" s="38">
        <f>MAX([2]士兵治疗!CB45,0)</f>
        <v>0</v>
      </c>
      <c r="AN45" s="38">
        <f>[4]武将数量星级阶位验证!$DA44</f>
        <v>0.45643161550374728</v>
      </c>
      <c r="AO45" s="38">
        <f t="shared" si="3"/>
        <v>0.2</v>
      </c>
      <c r="AP45" s="48">
        <f t="shared" si="4"/>
        <v>1.2734742313448588</v>
      </c>
    </row>
    <row r="46" spans="3:42" x14ac:dyDescent="0.15">
      <c r="C46" s="37">
        <v>42</v>
      </c>
      <c r="D46" s="38">
        <f>MAX('[1]资源-银币'!AY47,0)</f>
        <v>0</v>
      </c>
      <c r="E46" s="38">
        <f>MAX('[1]资源-木石铜粮'!AO47,0)</f>
        <v>2.6522083353267934E-2</v>
      </c>
      <c r="F46" s="38">
        <f>MAX('[1]资源-铁'!AN47,0)</f>
        <v>2.4828778170882635E-3</v>
      </c>
      <c r="G46" s="38">
        <f>MAX('[1]资源-士兵训练时间'!AR47,0)</f>
        <v>6.1271083732187537E-2</v>
      </c>
      <c r="H46" s="38">
        <f>MAX('[1]资源-玩家城池建筑时间'!BH47,0)</f>
        <v>0.12821829145220973</v>
      </c>
      <c r="I46" s="38">
        <f>MAX('[1]资源-士兵招募时间'!AS47,0)</f>
        <v>0</v>
      </c>
      <c r="J46" s="38">
        <f>MAX('[1]资源-圣人研究时间'!AV46,0)</f>
        <v>0.10149478801935465</v>
      </c>
      <c r="K46" s="38">
        <f>MAX([2]士兵治疗!BX46,0)</f>
        <v>0</v>
      </c>
      <c r="L46" s="38">
        <f>[4]武将数量星级阶位验证!$CW45</f>
        <v>0.45211446266060656</v>
      </c>
      <c r="M46" s="38">
        <f>[3]投放验证!$AL$4</f>
        <v>0.2</v>
      </c>
      <c r="N46" s="48">
        <f t="shared" si="0"/>
        <v>0.97210358703471456</v>
      </c>
      <c r="O46" s="37"/>
      <c r="Q46" s="37">
        <v>42</v>
      </c>
      <c r="R46" s="38">
        <f>MAX('[1]资源-银币'!BA47,0)</f>
        <v>8.5510477251710681E-2</v>
      </c>
      <c r="S46" s="38">
        <f>MAX('[1]资源-木石铜粮'!AQ47,0)</f>
        <v>6.1643484420880849E-2</v>
      </c>
      <c r="T46" s="38">
        <f>MAX('[1]资源-铁'!AP47,0)</f>
        <v>7.1374345931812253E-3</v>
      </c>
      <c r="U46" s="38">
        <f>MAX('[1]资源-士兵训练时间'!AT47,0)</f>
        <v>0.20588081669598973</v>
      </c>
      <c r="V46" s="38">
        <f>MAX('[1]资源-玩家城池建筑时间'!BJ47,0)</f>
        <v>0.17996753513767277</v>
      </c>
      <c r="W46" s="38">
        <f>MAX('[1]资源-士兵招募时间'!AU47,0)</f>
        <v>0</v>
      </c>
      <c r="X46" s="38">
        <f>MAX('[1]资源-圣人研究时间'!AX46,0)</f>
        <v>0.2062737085895518</v>
      </c>
      <c r="Y46" s="38">
        <f>MAX([2]士兵治疗!BZ46,0)</f>
        <v>0</v>
      </c>
      <c r="Z46" s="38">
        <f>[4]武将数量星级阶位验证!$CY45</f>
        <v>0.45211446266060656</v>
      </c>
      <c r="AA46" s="38">
        <f t="shared" si="1"/>
        <v>0.2</v>
      </c>
      <c r="AB46" s="48">
        <f t="shared" si="2"/>
        <v>1.3985279193495936</v>
      </c>
      <c r="AE46" s="37">
        <v>42</v>
      </c>
      <c r="AF46" s="38">
        <f>MAX('[1]资源-银币'!BC47,0)</f>
        <v>7.6434177276347687E-2</v>
      </c>
      <c r="AG46" s="38">
        <f>MAX('[1]资源-木石铜粮'!AS47,0)</f>
        <v>4.0339290470371977E-2</v>
      </c>
      <c r="AH46" s="38">
        <f>MAX('[1]资源-铁'!AR47,0)</f>
        <v>8.4513959005955101E-3</v>
      </c>
      <c r="AI46" s="38">
        <f>MAX('[1]资源-士兵训练时间'!AV47,0)</f>
        <v>0.17533039538239203</v>
      </c>
      <c r="AJ46" s="38">
        <f>MAX('[1]资源-玩家城池建筑时间'!BL47,0)</f>
        <v>0.15886254786002216</v>
      </c>
      <c r="AK46" s="38">
        <f>MAX('[1]资源-士兵招募时间'!AW47,0)</f>
        <v>0</v>
      </c>
      <c r="AL46" s="38">
        <f>MAX('[1]资源-圣人研究时间'!AZ46,0)</f>
        <v>0.16746187455234066</v>
      </c>
      <c r="AM46" s="38">
        <f>MAX([2]士兵治疗!CB46,0)</f>
        <v>0</v>
      </c>
      <c r="AN46" s="38">
        <f>[4]武将数量星级阶位验证!$DA45</f>
        <v>0.45211446266060656</v>
      </c>
      <c r="AO46" s="38">
        <f t="shared" si="3"/>
        <v>0.2</v>
      </c>
      <c r="AP46" s="48">
        <f t="shared" si="4"/>
        <v>1.2789941441026764</v>
      </c>
    </row>
    <row r="47" spans="3:42" x14ac:dyDescent="0.15">
      <c r="C47" s="37">
        <v>43</v>
      </c>
      <c r="D47" s="38">
        <f>MAX('[1]资源-银币'!AY48,0)</f>
        <v>0</v>
      </c>
      <c r="E47" s="38">
        <f>MAX('[1]资源-木石铜粮'!AO48,0)</f>
        <v>2.6896294011407331E-2</v>
      </c>
      <c r="F47" s="38">
        <f>MAX('[1]资源-铁'!AN48,0)</f>
        <v>3.3787758619621437E-3</v>
      </c>
      <c r="G47" s="38">
        <f>MAX('[1]资源-士兵训练时间'!AR48,0)</f>
        <v>6.4378708231495135E-2</v>
      </c>
      <c r="H47" s="38">
        <f>MAX('[1]资源-玩家城池建筑时间'!BH48,0)</f>
        <v>0.12986729375285916</v>
      </c>
      <c r="I47" s="38">
        <f>MAX('[1]资源-士兵招募时间'!AS48,0)</f>
        <v>0</v>
      </c>
      <c r="J47" s="38">
        <f>MAX('[1]资源-圣人研究时间'!AV47,0)</f>
        <v>0.11347798901267186</v>
      </c>
      <c r="K47" s="38">
        <f>MAX([2]士兵治疗!BX47,0)</f>
        <v>0</v>
      </c>
      <c r="L47" s="38">
        <f>[4]武将数量星级阶位验证!$CW46</f>
        <v>0.44779730981746585</v>
      </c>
      <c r="M47" s="38">
        <f>[3]投放验证!$AL$4</f>
        <v>0.2</v>
      </c>
      <c r="N47" s="48">
        <f t="shared" si="0"/>
        <v>0.98579637068786141</v>
      </c>
      <c r="O47" s="37"/>
      <c r="Q47" s="37">
        <v>43</v>
      </c>
      <c r="R47" s="38">
        <f>MAX('[1]资源-银币'!BA48,0)</f>
        <v>8.6812272418405223E-2</v>
      </c>
      <c r="S47" s="38">
        <f>MAX('[1]资源-木石铜粮'!AQ48,0)</f>
        <v>6.3289432934413511E-2</v>
      </c>
      <c r="T47" s="38">
        <f>MAX('[1]资源-铁'!AP48,0)</f>
        <v>8.9351522290949965E-3</v>
      </c>
      <c r="U47" s="38">
        <f>MAX('[1]资源-士兵训练时间'!AT48,0)</f>
        <v>0.21050756144832189</v>
      </c>
      <c r="V47" s="38">
        <f>MAX('[1]资源-玩家城池建筑时间'!BJ48,0)</f>
        <v>0.18272422395665286</v>
      </c>
      <c r="W47" s="38">
        <f>MAX('[1]资源-士兵招募时间'!AU48,0)</f>
        <v>0</v>
      </c>
      <c r="X47" s="38">
        <f>MAX('[1]资源-圣人研究时间'!AX47,0)</f>
        <v>0.21659875559716271</v>
      </c>
      <c r="Y47" s="38">
        <f>MAX([2]士兵治疗!BZ47,0)</f>
        <v>0</v>
      </c>
      <c r="Z47" s="38">
        <f>[4]武将数量星级阶位验证!$CY46</f>
        <v>0.44779730981746585</v>
      </c>
      <c r="AA47" s="38">
        <f t="shared" si="1"/>
        <v>0.2</v>
      </c>
      <c r="AB47" s="48">
        <f t="shared" si="2"/>
        <v>1.4166647084015169</v>
      </c>
      <c r="AE47" s="37">
        <v>43</v>
      </c>
      <c r="AF47" s="38">
        <f>MAX('[1]资源-银币'!BC48,0)</f>
        <v>7.7253008202405937E-2</v>
      </c>
      <c r="AG47" s="38">
        <f>MAX('[1]资源-木石铜粮'!AS48,0)</f>
        <v>4.1511925140734027E-2</v>
      </c>
      <c r="AH47" s="38">
        <f>MAX('[1]资源-铁'!AR48,0)</f>
        <v>9.4535804129091648E-3</v>
      </c>
      <c r="AI47" s="38">
        <f>MAX('[1]资源-士兵训练时间'!AV48,0)</f>
        <v>0.17660648049291081</v>
      </c>
      <c r="AJ47" s="38">
        <f>MAX('[1]资源-玩家城池建筑时间'!BL48,0)</f>
        <v>0.1593028436707315</v>
      </c>
      <c r="AK47" s="38">
        <f>MAX('[1]资源-士兵招募时间'!AW48,0)</f>
        <v>0</v>
      </c>
      <c r="AL47" s="38">
        <f>MAX('[1]资源-圣人研究时间'!AZ47,0)</f>
        <v>0.17032952988246169</v>
      </c>
      <c r="AM47" s="38">
        <f>MAX([2]士兵治疗!CB47,0)</f>
        <v>0</v>
      </c>
      <c r="AN47" s="38">
        <f>[4]武将数量星级阶位验证!$DA46</f>
        <v>0.44779730981746585</v>
      </c>
      <c r="AO47" s="38">
        <f t="shared" si="3"/>
        <v>0.2</v>
      </c>
      <c r="AP47" s="48">
        <f t="shared" si="4"/>
        <v>1.2822546776196189</v>
      </c>
    </row>
    <row r="48" spans="3:42" x14ac:dyDescent="0.15">
      <c r="C48" s="37">
        <v>44</v>
      </c>
      <c r="D48" s="38">
        <f>MAX('[1]资源-银币'!AY49,0)</f>
        <v>6.0242080802060847E-5</v>
      </c>
      <c r="E48" s="38">
        <f>MAX('[1]资源-木石铜粮'!AO49,0)</f>
        <v>2.7082623262980676E-2</v>
      </c>
      <c r="F48" s="38">
        <f>MAX('[1]资源-铁'!AN49,0)</f>
        <v>4.1507336003075001E-3</v>
      </c>
      <c r="G48" s="38">
        <f>MAX('[1]资源-士兵训练时间'!AR49,0)</f>
        <v>6.7041942917026864E-2</v>
      </c>
      <c r="H48" s="38">
        <f>MAX('[1]资源-玩家城池建筑时间'!BH49,0)</f>
        <v>0.13112032279377725</v>
      </c>
      <c r="I48" s="38">
        <f>MAX('[1]资源-士兵招募时间'!AS49,0)</f>
        <v>0</v>
      </c>
      <c r="J48" s="38">
        <f>MAX('[1]资源-圣人研究时间'!AV48,0)</f>
        <v>0.12402173543365042</v>
      </c>
      <c r="K48" s="38">
        <f>MAX([2]士兵治疗!BX48,0)</f>
        <v>0</v>
      </c>
      <c r="L48" s="38">
        <f>[4]武将数量星级阶位验证!$CW47</f>
        <v>0.44348015697432513</v>
      </c>
      <c r="M48" s="38">
        <f>[3]投放验证!$AL$4</f>
        <v>0.2</v>
      </c>
      <c r="N48" s="48">
        <f t="shared" si="0"/>
        <v>0.99695775706286982</v>
      </c>
      <c r="O48" s="37"/>
      <c r="Q48" s="37">
        <v>44</v>
      </c>
      <c r="R48" s="38">
        <f>MAX('[1]资源-银币'!BA49,0)</f>
        <v>8.8156047409527802E-2</v>
      </c>
      <c r="S48" s="38">
        <f>MAX('[1]资源-木石铜粮'!AQ49,0)</f>
        <v>6.4424330446043163E-2</v>
      </c>
      <c r="T48" s="38">
        <f>MAX('[1]资源-铁'!AP49,0)</f>
        <v>1.0688898911690729E-2</v>
      </c>
      <c r="U48" s="38">
        <f>MAX('[1]资源-士兵训练时间'!AT49,0)</f>
        <v>0.21396892037297763</v>
      </c>
      <c r="V48" s="38">
        <f>MAX('[1]资源-玩家城池建筑时间'!BJ49,0)</f>
        <v>0.18430464194765875</v>
      </c>
      <c r="W48" s="38">
        <f>MAX('[1]资源-士兵招募时间'!AU49,0)</f>
        <v>0</v>
      </c>
      <c r="X48" s="38">
        <f>MAX('[1]资源-圣人研究时间'!AX48,0)</f>
        <v>0.22519458321897731</v>
      </c>
      <c r="Y48" s="38">
        <f>MAX([2]士兵治疗!BZ48,0)</f>
        <v>0</v>
      </c>
      <c r="Z48" s="38">
        <f>[4]武将数量星级阶位验证!$CY47</f>
        <v>0.44348015697432513</v>
      </c>
      <c r="AA48" s="38">
        <f t="shared" si="1"/>
        <v>0.2</v>
      </c>
      <c r="AB48" s="48">
        <f t="shared" si="2"/>
        <v>1.4302175792812004</v>
      </c>
      <c r="AE48" s="37">
        <v>44</v>
      </c>
      <c r="AF48" s="38">
        <f>MAX('[1]资源-银币'!BC49,0)</f>
        <v>7.8741710182761687E-2</v>
      </c>
      <c r="AG48" s="38">
        <f>MAX('[1]资源-木石铜粮'!AS49,0)</f>
        <v>4.3445210202315183E-2</v>
      </c>
      <c r="AH48" s="38">
        <f>MAX('[1]资源-铁'!AR49,0)</f>
        <v>1.0115535365268009E-2</v>
      </c>
      <c r="AI48" s="38">
        <f>MAX('[1]资源-士兵训练时间'!AV49,0)</f>
        <v>0.17689535170970125</v>
      </c>
      <c r="AJ48" s="38">
        <f>MAX('[1]资源-玩家城池建筑时间'!BL49,0)</f>
        <v>0.15886174725955313</v>
      </c>
      <c r="AK48" s="38">
        <f>MAX('[1]资源-士兵招募时间'!AW49,0)</f>
        <v>0</v>
      </c>
      <c r="AL48" s="38">
        <f>MAX('[1]资源-圣人研究时间'!AZ48,0)</f>
        <v>0.17125299030794103</v>
      </c>
      <c r="AM48" s="38">
        <f>MAX([2]士兵治疗!CB48,0)</f>
        <v>0</v>
      </c>
      <c r="AN48" s="38">
        <f>[4]武将数量星级阶位验证!$DA47</f>
        <v>0.44348015697432513</v>
      </c>
      <c r="AO48" s="38">
        <f t="shared" si="3"/>
        <v>0.2</v>
      </c>
      <c r="AP48" s="48">
        <f t="shared" si="4"/>
        <v>1.2827927020018655</v>
      </c>
    </row>
    <row r="49" spans="3:42" x14ac:dyDescent="0.15">
      <c r="C49" s="37">
        <v>45</v>
      </c>
      <c r="D49" s="38">
        <f>MAX('[1]资源-银币'!AY50,0)</f>
        <v>1.3649434304224164E-3</v>
      </c>
      <c r="E49" s="38">
        <f>MAX('[1]资源-木石铜粮'!AO50,0)</f>
        <v>2.7479701454692234E-2</v>
      </c>
      <c r="F49" s="38">
        <f>MAX('[1]资源-铁'!AN50,0)</f>
        <v>5.3685579311464953E-3</v>
      </c>
      <c r="G49" s="38">
        <f>MAX('[1]资源-士兵训练时间'!AR50,0)</f>
        <v>7.0995346686730895E-2</v>
      </c>
      <c r="H49" s="38">
        <f>MAX('[1]资源-玩家城池建筑时间'!BH50,0)</f>
        <v>0.13248541163110564</v>
      </c>
      <c r="I49" s="38">
        <f>MAX('[1]资源-士兵招募时间'!AS50,0)</f>
        <v>0</v>
      </c>
      <c r="J49" s="38">
        <f>MAX('[1]资源-圣人研究时间'!AV49,0)</f>
        <v>0.1344582501595048</v>
      </c>
      <c r="K49" s="38">
        <f>MAX([2]士兵治疗!BX49,0)</f>
        <v>0</v>
      </c>
      <c r="L49" s="38">
        <f>[4]武将数量星级阶位验证!$CW48</f>
        <v>0.43916300413118442</v>
      </c>
      <c r="M49" s="38">
        <f>[3]投放验证!$AL$4</f>
        <v>0.2</v>
      </c>
      <c r="N49" s="48">
        <f t="shared" si="0"/>
        <v>1.0113152154247869</v>
      </c>
      <c r="O49" s="37"/>
      <c r="Q49" s="37">
        <v>45</v>
      </c>
      <c r="R49" s="38">
        <f>MAX('[1]资源-银币'!BA50,0)</f>
        <v>8.9036451362830657E-2</v>
      </c>
      <c r="S49" s="38">
        <f>MAX('[1]资源-木石铜粮'!AQ50,0)</f>
        <v>6.539101871962183E-2</v>
      </c>
      <c r="T49" s="38">
        <f>MAX('[1]资源-铁'!AP50,0)</f>
        <v>1.2699062141760056E-2</v>
      </c>
      <c r="U49" s="38">
        <f>MAX('[1]资源-士兵训练时间'!AT50,0)</f>
        <v>0.21694705380588564</v>
      </c>
      <c r="V49" s="38">
        <f>MAX('[1]资源-玩家城池建筑时间'!BJ50,0)</f>
        <v>0.18550884193646502</v>
      </c>
      <c r="W49" s="38">
        <f>MAX('[1]资源-士兵招募时间'!AU50,0)</f>
        <v>0</v>
      </c>
      <c r="X49" s="38">
        <f>MAX('[1]资源-圣人研究时间'!AX49,0)</f>
        <v>0.23264250707040748</v>
      </c>
      <c r="Y49" s="38">
        <f>MAX([2]士兵治疗!BZ49,0)</f>
        <v>0</v>
      </c>
      <c r="Z49" s="38">
        <f>[4]武将数量星级阶位验证!$CY48</f>
        <v>0.43916300413118442</v>
      </c>
      <c r="AA49" s="38">
        <f t="shared" si="1"/>
        <v>0.2</v>
      </c>
      <c r="AB49" s="48">
        <f t="shared" si="2"/>
        <v>1.441387939168155</v>
      </c>
      <c r="AE49" s="37">
        <v>45</v>
      </c>
      <c r="AF49" s="38">
        <f>MAX('[1]资源-银币'!BC50,0)</f>
        <v>8.0005102691284399E-2</v>
      </c>
      <c r="AG49" s="38">
        <f>MAX('[1]资源-木石铜粮'!AS50,0)</f>
        <v>4.5310895753844324E-2</v>
      </c>
      <c r="AH49" s="38">
        <f>MAX('[1]资源-铁'!AR50,0)</f>
        <v>1.0774881500979128E-2</v>
      </c>
      <c r="AI49" s="38">
        <f>MAX('[1]资源-士兵训练时间'!AV50,0)</f>
        <v>0.17710881208966306</v>
      </c>
      <c r="AJ49" s="38">
        <f>MAX('[1]资源-玩家城池建筑时间'!BL50,0)</f>
        <v>0.15845725713131076</v>
      </c>
      <c r="AK49" s="38">
        <f>MAX('[1]资源-士兵招募时间'!AW50,0)</f>
        <v>0</v>
      </c>
      <c r="AL49" s="38">
        <f>MAX('[1]资源-圣人研究时间'!AZ49,0)</f>
        <v>0.17212998199601184</v>
      </c>
      <c r="AM49" s="38">
        <f>MAX([2]士兵治疗!CB49,0)</f>
        <v>0</v>
      </c>
      <c r="AN49" s="38">
        <f>[4]武将数量星级阶位验证!$DA48</f>
        <v>0.43916300413118442</v>
      </c>
      <c r="AO49" s="38">
        <f t="shared" si="3"/>
        <v>0.2</v>
      </c>
      <c r="AP49" s="48">
        <f t="shared" si="4"/>
        <v>1.2829499352942779</v>
      </c>
    </row>
    <row r="50" spans="3:42" x14ac:dyDescent="0.15">
      <c r="C50" s="37">
        <v>46</v>
      </c>
      <c r="D50" s="38">
        <f>MAX('[1]资源-银币'!AY51,0)</f>
        <v>2.103216367407683E-3</v>
      </c>
      <c r="E50" s="38">
        <f>MAX('[1]资源-木石铜粮'!AO51,0)</f>
        <v>2.7781275443783823E-2</v>
      </c>
      <c r="F50" s="38">
        <f>MAX('[1]资源-铁'!AN51,0)</f>
        <v>6.5523163316888074E-3</v>
      </c>
      <c r="G50" s="38">
        <f>MAX('[1]资源-士兵训练时间'!AR51,0)</f>
        <v>7.4769416521496573E-2</v>
      </c>
      <c r="H50" s="38">
        <f>MAX('[1]资源-玩家城池建筑时间'!BH51,0)</f>
        <v>0.13332382817998595</v>
      </c>
      <c r="I50" s="38">
        <f>MAX('[1]资源-士兵招募时间'!AS51,0)</f>
        <v>0</v>
      </c>
      <c r="J50" s="38">
        <f>MAX('[1]资源-圣人研究时间'!AV50,0)</f>
        <v>0.14381324111743946</v>
      </c>
      <c r="K50" s="38">
        <f>MAX([2]士兵治疗!BX50,0)</f>
        <v>0</v>
      </c>
      <c r="L50" s="38">
        <f>[4]武将数量星级阶位验证!$CW49</f>
        <v>0.43498167750030159</v>
      </c>
      <c r="M50" s="38">
        <f>[3]投放验证!$AL$4</f>
        <v>0.2</v>
      </c>
      <c r="N50" s="48">
        <f t="shared" si="0"/>
        <v>1.0233249714621038</v>
      </c>
      <c r="O50" s="37"/>
      <c r="Q50" s="37">
        <v>46</v>
      </c>
      <c r="R50" s="38">
        <f>MAX('[1]资源-银币'!BA51,0)</f>
        <v>8.9376756557884213E-2</v>
      </c>
      <c r="S50" s="38">
        <f>MAX('[1]资源-木石铜粮'!AQ51,0)</f>
        <v>6.5987299918932027E-2</v>
      </c>
      <c r="T50" s="38">
        <f>MAX('[1]资源-铁'!AP51,0)</f>
        <v>1.4436521212942217E-2</v>
      </c>
      <c r="U50" s="38">
        <f>MAX('[1]资源-士兵训练时间'!AT51,0)</f>
        <v>0.21926534373458537</v>
      </c>
      <c r="V50" s="38">
        <f>MAX('[1]资源-玩家城池建筑时间'!BJ51,0)</f>
        <v>0.18631134484058484</v>
      </c>
      <c r="W50" s="38">
        <f>MAX('[1]资源-士兵招募时间'!AU51,0)</f>
        <v>0</v>
      </c>
      <c r="X50" s="38">
        <f>MAX('[1]资源-圣人研究时间'!AX50,0)</f>
        <v>0.23900791964765722</v>
      </c>
      <c r="Y50" s="38">
        <f>MAX([2]士兵治疗!BZ50,0)</f>
        <v>0</v>
      </c>
      <c r="Z50" s="38">
        <f>[4]武将数量星级阶位验证!$CY49</f>
        <v>0.43498167750030159</v>
      </c>
      <c r="AA50" s="38">
        <f t="shared" si="1"/>
        <v>0.2</v>
      </c>
      <c r="AB50" s="48">
        <f t="shared" si="2"/>
        <v>1.4493668634128876</v>
      </c>
      <c r="AE50" s="37">
        <v>46</v>
      </c>
      <c r="AF50" s="38">
        <f>MAX('[1]资源-银币'!BC51,0)</f>
        <v>8.1091780748559938E-2</v>
      </c>
      <c r="AG50" s="38">
        <f>MAX('[1]资源-木石铜粮'!AS51,0)</f>
        <v>4.7116531024346923E-2</v>
      </c>
      <c r="AH50" s="38">
        <f>MAX('[1]资源-铁'!AR51,0)</f>
        <v>1.1395301393827304E-2</v>
      </c>
      <c r="AI50" s="38">
        <f>MAX('[1]资源-士兵训练时间'!AV51,0)</f>
        <v>0.1771969550139571</v>
      </c>
      <c r="AJ50" s="38">
        <f>MAX('[1]资源-玩家城池建筑时间'!BL51,0)</f>
        <v>0.1579980349512925</v>
      </c>
      <c r="AK50" s="38">
        <f>MAX('[1]资源-士兵招募时间'!AW51,0)</f>
        <v>0</v>
      </c>
      <c r="AL50" s="38">
        <f>MAX('[1]资源-圣人研究时间'!AZ50,0)</f>
        <v>0.17287621138491188</v>
      </c>
      <c r="AM50" s="38">
        <f>MAX([2]士兵治疗!CB50,0)</f>
        <v>0</v>
      </c>
      <c r="AN50" s="38">
        <f>[4]武将数量星级阶位验证!$DA49</f>
        <v>0.43498167750030159</v>
      </c>
      <c r="AO50" s="38">
        <f t="shared" si="3"/>
        <v>0.2</v>
      </c>
      <c r="AP50" s="48">
        <f t="shared" si="4"/>
        <v>1.2826564920171972</v>
      </c>
    </row>
    <row r="51" spans="3:42" x14ac:dyDescent="0.15">
      <c r="C51" s="37">
        <v>47</v>
      </c>
      <c r="D51" s="38">
        <f>MAX('[1]资源-银币'!AY52,0)</f>
        <v>1.4375702561294093E-3</v>
      </c>
      <c r="E51" s="38">
        <f>MAX('[1]资源-木石铜粮'!AO52,0)</f>
        <v>2.8035193291587959E-2</v>
      </c>
      <c r="F51" s="38">
        <f>MAX('[1]资源-铁'!AN52,0)</f>
        <v>7.8589916749235971E-3</v>
      </c>
      <c r="G51" s="38">
        <f>MAX('[1]资源-士兵训练时间'!AR52,0)</f>
        <v>7.8290476695201158E-2</v>
      </c>
      <c r="H51" s="38">
        <f>MAX('[1]资源-玩家城池建筑时间'!BH52,0)</f>
        <v>0.13410510196821948</v>
      </c>
      <c r="I51" s="38">
        <f>MAX('[1]资源-士兵招募时间'!AS52,0)</f>
        <v>0</v>
      </c>
      <c r="J51" s="38">
        <f>MAX('[1]资源-圣人研究时间'!AV51,0)</f>
        <v>0.15219353285422785</v>
      </c>
      <c r="K51" s="38">
        <f>MAX([2]士兵治疗!BX51,0)</f>
        <v>0</v>
      </c>
      <c r="L51" s="38">
        <f>[4]武将数量星级阶位验证!$CW50</f>
        <v>0.43080035086941881</v>
      </c>
      <c r="M51" s="38">
        <f>[3]投放验证!$AL$4</f>
        <v>0.2</v>
      </c>
      <c r="N51" s="48">
        <f t="shared" si="0"/>
        <v>1.0327212176097083</v>
      </c>
      <c r="O51" s="37"/>
      <c r="Q51" s="37">
        <v>47</v>
      </c>
      <c r="R51" s="38">
        <f>MAX('[1]资源-银币'!BA52,0)</f>
        <v>9.1247083959868872E-2</v>
      </c>
      <c r="S51" s="38">
        <f>MAX('[1]资源-木石铜粮'!AQ52,0)</f>
        <v>7.0392904452343766E-2</v>
      </c>
      <c r="T51" s="38">
        <f>MAX('[1]资源-铁'!AP52,0)</f>
        <v>1.5770945828424868E-2</v>
      </c>
      <c r="U51" s="38">
        <f>MAX('[1]资源-士兵训练时间'!AT52,0)</f>
        <v>0.21972331670031151</v>
      </c>
      <c r="V51" s="38">
        <f>MAX('[1]资源-玩家城池建筑时间'!BJ52,0)</f>
        <v>0.18546220291921398</v>
      </c>
      <c r="W51" s="38">
        <f>MAX('[1]资源-士兵招募时间'!AU52,0)</f>
        <v>0</v>
      </c>
      <c r="X51" s="38">
        <f>MAX('[1]资源-圣人研究时间'!AX51,0)</f>
        <v>0.24095809583471228</v>
      </c>
      <c r="Y51" s="38">
        <f>MAX([2]士兵治疗!BZ51,0)</f>
        <v>0</v>
      </c>
      <c r="Z51" s="38">
        <f>[4]武将数量星级阶位验证!$CY50</f>
        <v>0.43080035086941881</v>
      </c>
      <c r="AA51" s="38">
        <f t="shared" si="1"/>
        <v>0.2</v>
      </c>
      <c r="AB51" s="48">
        <f t="shared" si="2"/>
        <v>1.454354900564294</v>
      </c>
      <c r="AE51" s="37">
        <v>47</v>
      </c>
      <c r="AF51" s="38">
        <f>MAX('[1]资源-银币'!BC52,0)</f>
        <v>8.200279565604475E-2</v>
      </c>
      <c r="AG51" s="38">
        <f>MAX('[1]资源-木石铜粮'!AS52,0)</f>
        <v>4.88808710510319E-2</v>
      </c>
      <c r="AH51" s="38">
        <f>MAX('[1]资源-铁'!AR52,0)</f>
        <v>1.1973449956605322E-2</v>
      </c>
      <c r="AI51" s="38">
        <f>MAX('[1]资源-士兵训练时间'!AV52,0)</f>
        <v>0.17715405292299824</v>
      </c>
      <c r="AJ51" s="38">
        <f>MAX('[1]资源-玩家城池建筑时间'!BL52,0)</f>
        <v>0.15748035767265944</v>
      </c>
      <c r="AK51" s="38">
        <f>MAX('[1]资源-士兵招募时间'!AW52,0)</f>
        <v>0</v>
      </c>
      <c r="AL51" s="38">
        <f>MAX('[1]资源-圣人研究时间'!AZ51,0)</f>
        <v>0.17348189706234105</v>
      </c>
      <c r="AM51" s="38">
        <f>MAX([2]士兵治疗!CB51,0)</f>
        <v>0</v>
      </c>
      <c r="AN51" s="38">
        <f>[4]武将数量星级阶位验证!$DA50</f>
        <v>0.43080035086941881</v>
      </c>
      <c r="AO51" s="38">
        <f t="shared" si="3"/>
        <v>0.2</v>
      </c>
      <c r="AP51" s="48">
        <f t="shared" si="4"/>
        <v>1.2817737751910994</v>
      </c>
    </row>
    <row r="52" spans="3:42" x14ac:dyDescent="0.15">
      <c r="C52" s="37">
        <v>48</v>
      </c>
      <c r="D52" s="38">
        <f>MAX('[1]资源-银币'!AY53,0)</f>
        <v>1.9477092151940908E-3</v>
      </c>
      <c r="E52" s="38">
        <f>MAX('[1]资源-木石铜粮'!AO53,0)</f>
        <v>2.8239071545567363E-2</v>
      </c>
      <c r="F52" s="38">
        <f>MAX('[1]资源-铁'!AN53,0)</f>
        <v>9.2230990328536037E-3</v>
      </c>
      <c r="G52" s="38">
        <f>MAX('[1]资源-士兵训练时间'!AR53,0)</f>
        <v>8.1541166835926077E-2</v>
      </c>
      <c r="H52" s="38">
        <f>MAX('[1]资源-玩家城池建筑时间'!BH53,0)</f>
        <v>0.13478035279015071</v>
      </c>
      <c r="I52" s="38">
        <f>MAX('[1]资源-士兵招募时间'!AS53,0)</f>
        <v>0</v>
      </c>
      <c r="J52" s="38">
        <f>MAX('[1]资源-圣人研究时间'!AV52,0)</f>
        <v>0.15964837019917197</v>
      </c>
      <c r="K52" s="38">
        <f>MAX([2]士兵治疗!BX52,0)</f>
        <v>0</v>
      </c>
      <c r="L52" s="38">
        <f>[4]武将数量星级阶位验证!$CW51</f>
        <v>0.42661902423853598</v>
      </c>
      <c r="M52" s="38">
        <f>[3]投放验证!$AL$4</f>
        <v>0.2</v>
      </c>
      <c r="N52" s="48">
        <f t="shared" si="0"/>
        <v>1.0419987938573998</v>
      </c>
      <c r="O52" s="37"/>
      <c r="Q52" s="37">
        <v>48</v>
      </c>
      <c r="R52" s="38">
        <f>MAX('[1]资源-银币'!BA53,0)</f>
        <v>9.2824106393386743E-2</v>
      </c>
      <c r="S52" s="38">
        <f>MAX('[1]资源-木石铜粮'!AQ53,0)</f>
        <v>7.4730889463463859E-2</v>
      </c>
      <c r="T52" s="38">
        <f>MAX('[1]资源-铁'!AP53,0)</f>
        <v>1.7009014620831608E-2</v>
      </c>
      <c r="U52" s="38">
        <f>MAX('[1]资源-士兵训练时间'!AT53,0)</f>
        <v>0.21999533818236602</v>
      </c>
      <c r="V52" s="38">
        <f>MAX('[1]资源-玩家城池建筑时间'!BJ53,0)</f>
        <v>0.18458831976102053</v>
      </c>
      <c r="W52" s="38">
        <f>MAX('[1]资源-士兵招募时间'!AU53,0)</f>
        <v>0</v>
      </c>
      <c r="X52" s="38">
        <f>MAX('[1]资源-圣人研究时间'!AX52,0)</f>
        <v>0.24265234708295255</v>
      </c>
      <c r="Y52" s="38">
        <f>MAX([2]士兵治疗!BZ52,0)</f>
        <v>0</v>
      </c>
      <c r="Z52" s="38">
        <f>[4]武将数量星级阶位验证!$CY51</f>
        <v>0.42661902423853598</v>
      </c>
      <c r="AA52" s="38">
        <f t="shared" si="1"/>
        <v>0.2</v>
      </c>
      <c r="AB52" s="48">
        <f t="shared" si="2"/>
        <v>1.4584190397425574</v>
      </c>
      <c r="AE52" s="37">
        <v>48</v>
      </c>
      <c r="AF52" s="38">
        <f>MAX('[1]资源-银币'!BC53,0)</f>
        <v>8.2646963509636934E-2</v>
      </c>
      <c r="AG52" s="38">
        <f>MAX('[1]资源-木石铜粮'!AS53,0)</f>
        <v>5.0499539537553116E-2</v>
      </c>
      <c r="AH52" s="38">
        <f>MAX('[1]资源-铁'!AR53,0)</f>
        <v>1.2560462408020251E-2</v>
      </c>
      <c r="AI52" s="38">
        <f>MAX('[1]资源-士兵训练时间'!AV53,0)</f>
        <v>0.17690280430187449</v>
      </c>
      <c r="AJ52" s="38">
        <f>MAX('[1]资源-玩家城池建筑时间'!BL53,0)</f>
        <v>0.15697913901233701</v>
      </c>
      <c r="AK52" s="38">
        <f>MAX('[1]资源-士兵招募时间'!AW53,0)</f>
        <v>0</v>
      </c>
      <c r="AL52" s="38">
        <f>MAX('[1]资源-圣人研究时间'!AZ52,0)</f>
        <v>0.17398541838504525</v>
      </c>
      <c r="AM52" s="38">
        <f>MAX([2]士兵治疗!CB52,0)</f>
        <v>0</v>
      </c>
      <c r="AN52" s="38">
        <f>[4]武将数量星级阶位验证!$DA51</f>
        <v>0.42661902423853598</v>
      </c>
      <c r="AO52" s="38">
        <f t="shared" si="3"/>
        <v>0.2</v>
      </c>
      <c r="AP52" s="48">
        <f t="shared" si="4"/>
        <v>1.2801933513930031</v>
      </c>
    </row>
    <row r="53" spans="3:42" x14ac:dyDescent="0.15">
      <c r="C53" s="37">
        <v>49</v>
      </c>
      <c r="D53" s="38">
        <f>MAX('[1]资源-银币'!AY54,0)</f>
        <v>2.1753204525112443E-3</v>
      </c>
      <c r="E53" s="38">
        <f>MAX('[1]资源-木石铜粮'!AO54,0)</f>
        <v>2.8358954184412137E-2</v>
      </c>
      <c r="F53" s="38">
        <f>MAX('[1]资源-铁'!AN54,0)</f>
        <v>1.0704843642840748E-2</v>
      </c>
      <c r="G53" s="38">
        <f>MAX('[1]资源-士兵训练时间'!AR54,0)</f>
        <v>8.4292553861044908E-2</v>
      </c>
      <c r="H53" s="38">
        <f>MAX('[1]资源-玩家城池建筑时间'!BH54,0)</f>
        <v>0.1351851283327164</v>
      </c>
      <c r="I53" s="38">
        <f>MAX('[1]资源-士兵招募时间'!AS54,0)</f>
        <v>0</v>
      </c>
      <c r="J53" s="38">
        <f>MAX('[1]资源-圣人研究时间'!AV53,0)</f>
        <v>0.16593517445934666</v>
      </c>
      <c r="K53" s="38">
        <f>MAX([2]士兵治疗!BX53,0)</f>
        <v>0</v>
      </c>
      <c r="L53" s="38">
        <f>[4]武将数量星级阶位验证!$CW52</f>
        <v>0.42243769760765321</v>
      </c>
      <c r="M53" s="38">
        <f>[3]投放验证!$AL$4</f>
        <v>0.2</v>
      </c>
      <c r="N53" s="48">
        <f t="shared" si="0"/>
        <v>1.0490896725405252</v>
      </c>
      <c r="O53" s="37"/>
      <c r="Q53" s="37">
        <v>49</v>
      </c>
      <c r="R53" s="38">
        <f>MAX('[1]资源-银币'!BA54,0)</f>
        <v>9.356726790298843E-2</v>
      </c>
      <c r="S53" s="38">
        <f>MAX('[1]资源-木石铜粮'!AQ54,0)</f>
        <v>7.7933455968502943E-2</v>
      </c>
      <c r="T53" s="38">
        <f>MAX('[1]资源-铁'!AP54,0)</f>
        <v>1.8480923229608585E-2</v>
      </c>
      <c r="U53" s="38">
        <f>MAX('[1]资源-士兵训练时间'!AT54,0)</f>
        <v>0.220249785803316</v>
      </c>
      <c r="V53" s="38">
        <f>MAX('[1]资源-玩家城池建筑时间'!BJ54,0)</f>
        <v>0.18399197046140614</v>
      </c>
      <c r="W53" s="38">
        <f>MAX('[1]资源-士兵招募时间'!AU54,0)</f>
        <v>0</v>
      </c>
      <c r="X53" s="38">
        <f>MAX('[1]资源-圣人研究时间'!AX53,0)</f>
        <v>0.24464664807454317</v>
      </c>
      <c r="Y53" s="38">
        <f>MAX([2]士兵治疗!BZ53,0)</f>
        <v>0</v>
      </c>
      <c r="Z53" s="38">
        <f>[4]武将数量星级阶位验证!$CY52</f>
        <v>0.42243769760765321</v>
      </c>
      <c r="AA53" s="38">
        <f t="shared" si="1"/>
        <v>0.2</v>
      </c>
      <c r="AB53" s="48">
        <f t="shared" si="2"/>
        <v>1.4613077490480184</v>
      </c>
      <c r="AE53" s="37">
        <v>49</v>
      </c>
      <c r="AF53" s="38">
        <f>MAX('[1]资源-银币'!BC54,0)</f>
        <v>8.19435368628528E-2</v>
      </c>
      <c r="AG53" s="38">
        <f>MAX('[1]资源-木石铜粮'!AS54,0)</f>
        <v>5.0685675408549562E-2</v>
      </c>
      <c r="AH53" s="38">
        <f>MAX('[1]资源-铁'!AR54,0)</f>
        <v>1.3868070365622012E-2</v>
      </c>
      <c r="AI53" s="38">
        <f>MAX('[1]资源-士兵训练时间'!AV54,0)</f>
        <v>0.1751225509092845</v>
      </c>
      <c r="AJ53" s="38">
        <f>MAX('[1]资源-玩家城池建筑时间'!BL54,0)</f>
        <v>0.15728605832058976</v>
      </c>
      <c r="AK53" s="38">
        <f>MAX('[1]资源-士兵招募时间'!AW54,0)</f>
        <v>0</v>
      </c>
      <c r="AL53" s="38">
        <f>MAX('[1]资源-圣人研究时间'!AZ53,0)</f>
        <v>0.17494737066587215</v>
      </c>
      <c r="AM53" s="38">
        <f>MAX([2]士兵治疗!CB53,0)</f>
        <v>0</v>
      </c>
      <c r="AN53" s="38">
        <f>[4]武将数量星级阶位验证!$DA52</f>
        <v>0.42243769760765321</v>
      </c>
      <c r="AO53" s="38">
        <f t="shared" si="3"/>
        <v>0.2</v>
      </c>
      <c r="AP53" s="48">
        <f t="shared" si="4"/>
        <v>1.276290960140424</v>
      </c>
    </row>
    <row r="54" spans="3:42" x14ac:dyDescent="0.15">
      <c r="C54" s="37">
        <v>50</v>
      </c>
      <c r="D54" s="38">
        <f>MAX('[1]资源-银币'!AY55,0)</f>
        <v>3.1155366352236366E-3</v>
      </c>
      <c r="E54" s="38">
        <f>MAX('[1]资源-木石铜粮'!AO55,0)</f>
        <v>2.8435829763244297E-2</v>
      </c>
      <c r="F54" s="38">
        <f>MAX('[1]资源-铁'!AN55,0)</f>
        <v>1.2647233684689889E-2</v>
      </c>
      <c r="G54" s="38">
        <f>MAX('[1]资源-士兵训练时间'!AR55,0)</f>
        <v>8.6022274333808338E-2</v>
      </c>
      <c r="H54" s="38">
        <f>MAX('[1]资源-玩家城池建筑时间'!BH55,0)</f>
        <v>0.13480687379101863</v>
      </c>
      <c r="I54" s="38">
        <f>MAX('[1]资源-士兵招募时间'!AS55,0)</f>
        <v>0</v>
      </c>
      <c r="J54" s="38">
        <f>MAX('[1]资源-圣人研究时间'!AV54,0)</f>
        <v>0.16981920728804142</v>
      </c>
      <c r="K54" s="38">
        <f>MAX([2]士兵治疗!BX54,0)</f>
        <v>0</v>
      </c>
      <c r="L54" s="38">
        <f>[4]武将数量星级阶位验证!$CW53</f>
        <v>0.41825637097677038</v>
      </c>
      <c r="M54" s="38">
        <f>[3]投放验证!$AL$4</f>
        <v>0.2</v>
      </c>
      <c r="N54" s="48">
        <f t="shared" si="0"/>
        <v>1.0531033264727967</v>
      </c>
      <c r="O54" s="37"/>
      <c r="Q54" s="37">
        <v>50</v>
      </c>
      <c r="R54" s="38">
        <f>MAX('[1]资源-银币'!BA55,0)</f>
        <v>9.1737179053023629E-2</v>
      </c>
      <c r="S54" s="38">
        <f>MAX('[1]资源-木石铜粮'!AQ55,0)</f>
        <v>7.6792472502477394E-2</v>
      </c>
      <c r="T54" s="38">
        <f>MAX('[1]资源-铁'!AP55,0)</f>
        <v>2.0968994129303069E-2</v>
      </c>
      <c r="U54" s="38">
        <f>MAX('[1]资源-士兵训练时间'!AT55,0)</f>
        <v>0.21943844869116233</v>
      </c>
      <c r="V54" s="38">
        <f>MAX('[1]资源-玩家城池建筑时间'!BJ55,0)</f>
        <v>0.18449052171247424</v>
      </c>
      <c r="W54" s="38">
        <f>MAX('[1]资源-士兵招募时间'!AU55,0)</f>
        <v>0</v>
      </c>
      <c r="X54" s="38">
        <f>MAX('[1]资源-圣人研究时间'!AX54,0)</f>
        <v>0.24770737084341782</v>
      </c>
      <c r="Y54" s="38">
        <f>MAX([2]士兵治疗!BZ54,0)</f>
        <v>0</v>
      </c>
      <c r="Z54" s="38">
        <f>[4]武将数量星级阶位验证!$CY53</f>
        <v>0.41825637097677038</v>
      </c>
      <c r="AA54" s="38">
        <f t="shared" si="1"/>
        <v>0.2</v>
      </c>
      <c r="AB54" s="48">
        <f t="shared" si="2"/>
        <v>1.4593913579086288</v>
      </c>
      <c r="AE54" s="37">
        <v>50</v>
      </c>
      <c r="AF54" s="38">
        <f>MAX('[1]资源-银币'!BC55,0)</f>
        <v>7.8351772662623498E-2</v>
      </c>
      <c r="AG54" s="38">
        <f>MAX('[1]资源-木石铜粮'!AS55,0)</f>
        <v>4.8218943184801515E-2</v>
      </c>
      <c r="AH54" s="38">
        <f>MAX('[1]资源-铁'!AR55,0)</f>
        <v>1.7906107628863254E-2</v>
      </c>
      <c r="AI54" s="38">
        <f>MAX('[1]资源-士兵训练时间'!AV55,0)</f>
        <v>0.17679249427942345</v>
      </c>
      <c r="AJ54" s="38">
        <f>MAX('[1]资源-玩家城池建筑时间'!BL55,0)</f>
        <v>0.15940887704993226</v>
      </c>
      <c r="AK54" s="38">
        <f>MAX('[1]资源-士兵招募时间'!AW55,0)</f>
        <v>0</v>
      </c>
      <c r="AL54" s="38">
        <f>MAX('[1]资源-圣人研究时间'!AZ54,0)</f>
        <v>0.17670886827538798</v>
      </c>
      <c r="AM54" s="38">
        <f>MAX([2]士兵治疗!CB54,0)</f>
        <v>0</v>
      </c>
      <c r="AN54" s="38">
        <f>[4]武将数量星级阶位验证!$DA53</f>
        <v>0.41825637097677038</v>
      </c>
      <c r="AO54" s="38">
        <f t="shared" si="3"/>
        <v>0.2</v>
      </c>
      <c r="AP54" s="48">
        <f t="shared" si="4"/>
        <v>1.2756434340578024</v>
      </c>
    </row>
    <row r="55" spans="3:42" x14ac:dyDescent="0.15">
      <c r="C55" s="37">
        <v>51</v>
      </c>
      <c r="D55" s="38">
        <f>MAX('[1]资源-银币'!AY56,0)</f>
        <v>6.0474916354405096E-3</v>
      </c>
      <c r="E55" s="38">
        <f>MAX('[1]资源-木石铜粮'!AO56,0)</f>
        <v>2.8012092427738066E-2</v>
      </c>
      <c r="F55" s="38">
        <f>MAX('[1]资源-铁'!AN56,0)</f>
        <v>1.3484542731117828E-2</v>
      </c>
      <c r="G55" s="38">
        <f>MAX('[1]资源-士兵训练时间'!AR56,0)</f>
        <v>8.6694392227953013E-2</v>
      </c>
      <c r="H55" s="38">
        <f>MAX('[1]资源-玩家城池建筑时间'!BH56,0)</f>
        <v>0.13318187025202655</v>
      </c>
      <c r="I55" s="38">
        <f>MAX('[1]资源-士兵招募时间'!AS56,0)</f>
        <v>0</v>
      </c>
      <c r="J55" s="38">
        <f>MAX('[1]资源-圣人研究时间'!AV55,0)</f>
        <v>0.17153384488319459</v>
      </c>
      <c r="K55" s="38">
        <f>MAX([2]士兵治疗!BX55,0)</f>
        <v>0</v>
      </c>
      <c r="L55" s="38">
        <f>[4]武将数量星级阶位验证!$CW54</f>
        <v>0.41420716437079241</v>
      </c>
      <c r="M55" s="38">
        <f>[3]投放验证!$AL$4</f>
        <v>0.2</v>
      </c>
      <c r="N55" s="48">
        <f t="shared" si="0"/>
        <v>1.0531613985282631</v>
      </c>
      <c r="O55" s="37"/>
      <c r="Q55" s="37">
        <v>51</v>
      </c>
      <c r="R55" s="38">
        <f>MAX('[1]资源-银币'!BA56,0)</f>
        <v>8.8608417660150873E-2</v>
      </c>
      <c r="S55" s="38">
        <f>MAX('[1]资源-木石铜粮'!AQ56,0)</f>
        <v>7.2057203650307516E-2</v>
      </c>
      <c r="T55" s="38">
        <f>MAX('[1]资源-铁'!AP56,0)</f>
        <v>2.3517344377741743E-2</v>
      </c>
      <c r="U55" s="38">
        <f>MAX('[1]资源-士兵训练时间'!AT56,0)</f>
        <v>0.21529116570019827</v>
      </c>
      <c r="V55" s="38">
        <f>MAX('[1]资源-玩家城池建筑时间'!BJ56,0)</f>
        <v>0.18576827041718691</v>
      </c>
      <c r="W55" s="38">
        <f>MAX('[1]资源-士兵招募时间'!AU56,0)</f>
        <v>0</v>
      </c>
      <c r="X55" s="38">
        <f>MAX('[1]资源-圣人研究时间'!AX55,0)</f>
        <v>0.25014926141242794</v>
      </c>
      <c r="Y55" s="38">
        <f>MAX([2]士兵治疗!BZ55,0)</f>
        <v>0</v>
      </c>
      <c r="Z55" s="38">
        <f>[4]武将数量星级阶位验证!$CY54</f>
        <v>0.41420716437079241</v>
      </c>
      <c r="AA55" s="38">
        <f t="shared" si="1"/>
        <v>0.2</v>
      </c>
      <c r="AB55" s="48">
        <f t="shared" si="2"/>
        <v>1.4495988275888056</v>
      </c>
      <c r="AE55" s="37">
        <v>51</v>
      </c>
      <c r="AF55" s="38">
        <f>MAX('[1]资源-银币'!BC56,0)</f>
        <v>7.4544225536991957E-2</v>
      </c>
      <c r="AG55" s="38">
        <f>MAX('[1]资源-木石铜粮'!AS56,0)</f>
        <v>4.5009079949517916E-2</v>
      </c>
      <c r="AH55" s="38">
        <f>MAX('[1]资源-铁'!AR56,0)</f>
        <v>2.3451366949876068E-2</v>
      </c>
      <c r="AI55" s="38">
        <f>MAX('[1]资源-士兵训练时间'!AV56,0)</f>
        <v>0.17966940465718667</v>
      </c>
      <c r="AJ55" s="38">
        <f>MAX('[1]资源-玩家城池建筑时间'!BL56,0)</f>
        <v>0.16164513440496867</v>
      </c>
      <c r="AK55" s="38">
        <f>MAX('[1]资源-士兵招募时间'!AW56,0)</f>
        <v>0</v>
      </c>
      <c r="AL55" s="38">
        <f>MAX('[1]资源-圣人研究时间'!AZ55,0)</f>
        <v>0.17608462051883433</v>
      </c>
      <c r="AM55" s="38">
        <f>MAX([2]士兵治疗!CB55,0)</f>
        <v>0</v>
      </c>
      <c r="AN55" s="38">
        <f>[4]武将数量星级阶位验证!$DA54</f>
        <v>0.41420716437079241</v>
      </c>
      <c r="AO55" s="38">
        <f t="shared" si="3"/>
        <v>0.2</v>
      </c>
      <c r="AP55" s="48">
        <f t="shared" si="4"/>
        <v>1.274610996388168</v>
      </c>
    </row>
    <row r="56" spans="3:42" x14ac:dyDescent="0.15">
      <c r="C56" s="37">
        <v>52</v>
      </c>
      <c r="D56" s="38">
        <f>MAX('[1]资源-银币'!AY57,0)</f>
        <v>8.1125607679749263E-3</v>
      </c>
      <c r="E56" s="38">
        <f>MAX('[1]资源-木石铜粮'!AO57,0)</f>
        <v>2.764471018304825E-2</v>
      </c>
      <c r="F56" s="38">
        <f>MAX('[1]资源-铁'!AN57,0)</f>
        <v>1.4305908163102045E-2</v>
      </c>
      <c r="G56" s="38">
        <f>MAX('[1]资源-士兵训练时间'!AR57,0)</f>
        <v>8.5045291769790088E-2</v>
      </c>
      <c r="H56" s="38">
        <f>MAX('[1]资源-玩家城池建筑时间'!BH57,0)</f>
        <v>0.13185669339385803</v>
      </c>
      <c r="I56" s="38">
        <f>MAX('[1]资源-士兵招募时间'!AS57,0)</f>
        <v>0</v>
      </c>
      <c r="J56" s="38">
        <f>MAX('[1]资源-圣人研究时间'!AV56,0)</f>
        <v>0.17194411422250536</v>
      </c>
      <c r="K56" s="38">
        <f>MAX([2]士兵治疗!BX56,0)</f>
        <v>0</v>
      </c>
      <c r="L56" s="38">
        <f>[4]武将数量星级阶位验证!$CW55</f>
        <v>0.4101579577648144</v>
      </c>
      <c r="M56" s="38">
        <f>[3]投放验证!$AL$4</f>
        <v>0.2</v>
      </c>
      <c r="N56" s="48">
        <f t="shared" si="0"/>
        <v>1.049067236265093</v>
      </c>
      <c r="O56" s="37"/>
      <c r="Q56" s="37">
        <v>52</v>
      </c>
      <c r="R56" s="38">
        <f>MAX('[1]资源-银币'!BA57,0)</f>
        <v>8.4075385090469287E-2</v>
      </c>
      <c r="S56" s="38">
        <f>MAX('[1]资源-木石铜粮'!AQ57,0)</f>
        <v>6.7993345425021737E-2</v>
      </c>
      <c r="T56" s="38">
        <f>MAX('[1]资源-铁'!AP57,0)</f>
        <v>2.8742217007995109E-2</v>
      </c>
      <c r="U56" s="38">
        <f>MAX('[1]资源-士兵训练时间'!AT57,0)</f>
        <v>0.2193224022207157</v>
      </c>
      <c r="V56" s="38">
        <f>MAX('[1]资源-玩家城池建筑时间'!BJ57,0)</f>
        <v>0.18696090133818047</v>
      </c>
      <c r="W56" s="38">
        <f>MAX('[1]资源-士兵招募时间'!AU57,0)</f>
        <v>0</v>
      </c>
      <c r="X56" s="38">
        <f>MAX('[1]资源-圣人研究时间'!AX56,0)</f>
        <v>0.25008213939751928</v>
      </c>
      <c r="Y56" s="38">
        <f>MAX([2]士兵治疗!BZ56,0)</f>
        <v>0</v>
      </c>
      <c r="Z56" s="38">
        <f>[4]武将数量星级阶位验证!$CY55</f>
        <v>0.4101579577648144</v>
      </c>
      <c r="AA56" s="38">
        <f t="shared" si="1"/>
        <v>0.2</v>
      </c>
      <c r="AB56" s="48">
        <f t="shared" si="2"/>
        <v>1.4473343482447161</v>
      </c>
      <c r="AE56" s="37">
        <v>52</v>
      </c>
      <c r="AF56" s="38">
        <f>MAX('[1]资源-银币'!BC57,0)</f>
        <v>7.3461362902535743E-2</v>
      </c>
      <c r="AG56" s="38">
        <f>MAX('[1]资源-木石铜粮'!AS57,0)</f>
        <v>4.4807333410538316E-2</v>
      </c>
      <c r="AH56" s="38">
        <f>MAX('[1]资源-铁'!AR57,0)</f>
        <v>2.5971839148423471E-2</v>
      </c>
      <c r="AI56" s="38">
        <f>MAX('[1]资源-士兵训练时间'!AV57,0)</f>
        <v>0.17939184693449112</v>
      </c>
      <c r="AJ56" s="38">
        <f>MAX('[1]资源-玩家城池建筑时间'!BL57,0)</f>
        <v>0.16208329512253225</v>
      </c>
      <c r="AK56" s="38">
        <f>MAX('[1]资源-士兵招募时间'!AW57,0)</f>
        <v>0</v>
      </c>
      <c r="AL56" s="38">
        <f>MAX('[1]资源-圣人研究时间'!AZ56,0)</f>
        <v>0.1752243460783233</v>
      </c>
      <c r="AM56" s="38">
        <f>MAX([2]士兵治疗!CB56,0)</f>
        <v>0</v>
      </c>
      <c r="AN56" s="38">
        <f>[4]武将数量星级阶位验证!$DA55</f>
        <v>0.4101579577648144</v>
      </c>
      <c r="AO56" s="38">
        <f t="shared" si="3"/>
        <v>0.2</v>
      </c>
      <c r="AP56" s="48">
        <f t="shared" si="4"/>
        <v>1.2710979813616585</v>
      </c>
    </row>
    <row r="57" spans="3:42" x14ac:dyDescent="0.15">
      <c r="C57" s="37">
        <v>53</v>
      </c>
      <c r="D57" s="38">
        <f>MAX('[1]资源-银币'!AY58,0)</f>
        <v>9.6083337558643626E-3</v>
      </c>
      <c r="E57" s="38">
        <f>MAX('[1]资源-木石铜粮'!AO58,0)</f>
        <v>2.7220224434876861E-2</v>
      </c>
      <c r="F57" s="38">
        <f>MAX('[1]资源-铁'!AN58,0)</f>
        <v>1.4848492478274317E-2</v>
      </c>
      <c r="G57" s="38">
        <f>MAX('[1]资源-士兵训练时间'!AR58,0)</f>
        <v>8.3367954208394476E-2</v>
      </c>
      <c r="H57" s="38">
        <f>MAX('[1]资源-玩家城池建筑时间'!BH58,0)</f>
        <v>0.13048821613080996</v>
      </c>
      <c r="I57" s="38">
        <f>MAX('[1]资源-士兵招募时间'!AS58,0)</f>
        <v>0</v>
      </c>
      <c r="J57" s="38">
        <f>MAX('[1]资源-圣人研究时间'!AV57,0)</f>
        <v>0.17190176192225931</v>
      </c>
      <c r="K57" s="38">
        <f>MAX([2]士兵治疗!BX57,0)</f>
        <v>0</v>
      </c>
      <c r="L57" s="38">
        <f>[4]武将数量星级阶位验证!$CW56</f>
        <v>0.40610875115883643</v>
      </c>
      <c r="M57" s="38">
        <f>[3]投放验证!$AL$4</f>
        <v>0.2</v>
      </c>
      <c r="N57" s="48">
        <f t="shared" si="0"/>
        <v>1.0435437340893157</v>
      </c>
      <c r="O57" s="37"/>
      <c r="Q57" s="37">
        <v>53</v>
      </c>
      <c r="R57" s="38">
        <f>MAX('[1]资源-银币'!BA58,0)</f>
        <v>8.0232881135445314E-2</v>
      </c>
      <c r="S57" s="38">
        <f>MAX('[1]资源-木石铜粮'!AQ58,0)</f>
        <v>6.4290263443168447E-2</v>
      </c>
      <c r="T57" s="38">
        <f>MAX('[1]资源-铁'!AP58,0)</f>
        <v>3.3355751038982945E-2</v>
      </c>
      <c r="U57" s="38">
        <f>MAX('[1]资源-士兵训练时间'!AT58,0)</f>
        <v>0.22166778241635277</v>
      </c>
      <c r="V57" s="38">
        <f>MAX('[1]资源-玩家城池建筑时间'!BJ58,0)</f>
        <v>0.18772257392530911</v>
      </c>
      <c r="W57" s="38">
        <f>MAX('[1]资源-士兵招募时间'!AU58,0)</f>
        <v>0</v>
      </c>
      <c r="X57" s="38">
        <f>MAX('[1]资源-圣人研究时间'!AX57,0)</f>
        <v>0.24848135825603715</v>
      </c>
      <c r="Y57" s="38">
        <f>MAX([2]士兵治疗!BZ57,0)</f>
        <v>0</v>
      </c>
      <c r="Z57" s="38">
        <f>[4]武将数量星级阶位验证!$CY56</f>
        <v>0.40610875115883643</v>
      </c>
      <c r="AA57" s="38">
        <f t="shared" si="1"/>
        <v>0.2</v>
      </c>
      <c r="AB57" s="48">
        <f t="shared" si="2"/>
        <v>1.4418593613741322</v>
      </c>
      <c r="AE57" s="37">
        <v>53</v>
      </c>
      <c r="AF57" s="38">
        <f>MAX('[1]资源-银币'!BC58,0)</f>
        <v>7.2725405090250425E-2</v>
      </c>
      <c r="AG57" s="38">
        <f>MAX('[1]资源-木石铜粮'!AS58,0)</f>
        <v>4.5492938029202443E-2</v>
      </c>
      <c r="AH57" s="38">
        <f>MAX('[1]资源-铁'!AR58,0)</f>
        <v>2.8329094681526359E-2</v>
      </c>
      <c r="AI57" s="38">
        <f>MAX('[1]资源-士兵训练时间'!AV58,0)</f>
        <v>0.17891799586953197</v>
      </c>
      <c r="AJ57" s="38">
        <f>MAX('[1]资源-玩家城池建筑时间'!BL58,0)</f>
        <v>0.16206475646207935</v>
      </c>
      <c r="AK57" s="38">
        <f>MAX('[1]资源-士兵招募时间'!AW58,0)</f>
        <v>0</v>
      </c>
      <c r="AL57" s="38">
        <f>MAX('[1]资源-圣人研究时间'!AZ57,0)</f>
        <v>0.17479876222633717</v>
      </c>
      <c r="AM57" s="38">
        <f>MAX([2]士兵治疗!CB57,0)</f>
        <v>0</v>
      </c>
      <c r="AN57" s="38">
        <f>[4]武将数量星级阶位验证!$DA56</f>
        <v>0.40610875115883643</v>
      </c>
      <c r="AO57" s="38">
        <f t="shared" si="3"/>
        <v>0.2</v>
      </c>
      <c r="AP57" s="48">
        <f t="shared" si="4"/>
        <v>1.2684377035177641</v>
      </c>
    </row>
    <row r="58" spans="3:42" x14ac:dyDescent="0.15">
      <c r="C58" s="37">
        <v>54</v>
      </c>
      <c r="D58" s="38">
        <f>MAX('[1]资源-银币'!AY59,0)</f>
        <v>1.006613073840632E-2</v>
      </c>
      <c r="E58" s="38">
        <f>MAX('[1]资源-木石铜粮'!AO59,0)</f>
        <v>2.6849403701309213E-2</v>
      </c>
      <c r="F58" s="38">
        <f>MAX('[1]资源-铁'!AN59,0)</f>
        <v>1.644682564622774E-2</v>
      </c>
      <c r="G58" s="38">
        <f>MAX('[1]资源-士兵训练时间'!AR59,0)</f>
        <v>8.4906722872986617E-2</v>
      </c>
      <c r="H58" s="38">
        <f>MAX('[1]资源-玩家城池建筑时间'!BH59,0)</f>
        <v>0.12935810039232529</v>
      </c>
      <c r="I58" s="38">
        <f>MAX('[1]资源-士兵招募时间'!AS59,0)</f>
        <v>0</v>
      </c>
      <c r="J58" s="38">
        <f>MAX('[1]资源-圣人研究时间'!AV58,0)</f>
        <v>0.17080725055010035</v>
      </c>
      <c r="K58" s="38">
        <f>MAX([2]士兵治疗!BX58,0)</f>
        <v>0</v>
      </c>
      <c r="L58" s="38">
        <f>[4]武将数量星级阶位验证!$CW57</f>
        <v>0.40205954455285842</v>
      </c>
      <c r="M58" s="38">
        <f>[3]投放验证!$AL$4</f>
        <v>0.2</v>
      </c>
      <c r="N58" s="48">
        <f t="shared" si="0"/>
        <v>1.040493978454214</v>
      </c>
      <c r="O58" s="37"/>
      <c r="Q58" s="37">
        <v>54</v>
      </c>
      <c r="R58" s="38">
        <f>MAX('[1]资源-银币'!BA59,0)</f>
        <v>7.851986558525359E-2</v>
      </c>
      <c r="S58" s="38">
        <f>MAX('[1]资源-木石铜粮'!AQ59,0)</f>
        <v>6.3562514052357411E-2</v>
      </c>
      <c r="T58" s="38">
        <f>MAX('[1]资源-铁'!AP59,0)</f>
        <v>3.5753465992848191E-2</v>
      </c>
      <c r="U58" s="38">
        <f>MAX('[1]资源-士兵训练时间'!AT59,0)</f>
        <v>0.21982557002521599</v>
      </c>
      <c r="V58" s="38">
        <f>MAX('[1]资源-玩家城池建筑时间'!BJ59,0)</f>
        <v>0.18699324999773129</v>
      </c>
      <c r="W58" s="38">
        <f>MAX('[1]资源-士兵招募时间'!AU59,0)</f>
        <v>0</v>
      </c>
      <c r="X58" s="38">
        <f>MAX('[1]资源-圣人研究时间'!AX58,0)</f>
        <v>0.24528310706921941</v>
      </c>
      <c r="Y58" s="38">
        <f>MAX([2]士兵治疗!BZ58,0)</f>
        <v>0</v>
      </c>
      <c r="Z58" s="38">
        <f>[4]武将数量星级阶位验证!$CY57</f>
        <v>0.40205954455285842</v>
      </c>
      <c r="AA58" s="38">
        <f t="shared" si="1"/>
        <v>0.2</v>
      </c>
      <c r="AB58" s="48">
        <f t="shared" si="2"/>
        <v>1.4319973172754843</v>
      </c>
      <c r="AE58" s="37">
        <v>54</v>
      </c>
      <c r="AF58" s="38">
        <f>MAX('[1]资源-银币'!BC59,0)</f>
        <v>7.2281303020806806E-2</v>
      </c>
      <c r="AG58" s="38">
        <f>MAX('[1]资源-木石铜粮'!AS59,0)</f>
        <v>4.6499987658055145E-2</v>
      </c>
      <c r="AH58" s="38">
        <f>MAX('[1]资源-铁'!AR59,0)</f>
        <v>2.9920975384049229E-2</v>
      </c>
      <c r="AI58" s="38">
        <f>MAX('[1]资源-士兵训练时间'!AV59,0)</f>
        <v>0.17837087604636809</v>
      </c>
      <c r="AJ58" s="38">
        <f>MAX('[1]资源-玩家城池建筑时间'!BL59,0)</f>
        <v>0.16177691487342452</v>
      </c>
      <c r="AK58" s="38">
        <f>MAX('[1]资源-士兵招募时间'!AW59,0)</f>
        <v>0</v>
      </c>
      <c r="AL58" s="38">
        <f>MAX('[1]资源-圣人研究时间'!AZ58,0)</f>
        <v>0.1742909452410901</v>
      </c>
      <c r="AM58" s="38">
        <f>MAX([2]士兵治疗!CB58,0)</f>
        <v>0</v>
      </c>
      <c r="AN58" s="38">
        <f>[4]武将数量星级阶位验证!$DA57</f>
        <v>0.40205954455285842</v>
      </c>
      <c r="AO58" s="38">
        <f t="shared" si="3"/>
        <v>0.2</v>
      </c>
      <c r="AP58" s="48">
        <f t="shared" si="4"/>
        <v>1.2652005467766523</v>
      </c>
    </row>
    <row r="59" spans="3:42" x14ac:dyDescent="0.15">
      <c r="C59" s="37">
        <v>55</v>
      </c>
      <c r="D59" s="38">
        <f>MAX('[1]资源-银币'!AY60,0)</f>
        <v>9.9587505351311431E-3</v>
      </c>
      <c r="E59" s="38">
        <f>MAX('[1]资源-木石铜粮'!AO60,0)</f>
        <v>2.6463668019126984E-2</v>
      </c>
      <c r="F59" s="38">
        <f>MAX('[1]资源-铁'!AN60,0)</f>
        <v>1.8140476617493507E-2</v>
      </c>
      <c r="G59" s="38">
        <f>MAX('[1]资源-士兵训练时间'!AR60,0)</f>
        <v>8.7323781339805923E-2</v>
      </c>
      <c r="H59" s="38">
        <f>MAX('[1]资源-玩家城池建筑时间'!BH60,0)</f>
        <v>0.12816196028686477</v>
      </c>
      <c r="I59" s="38">
        <f>MAX('[1]资源-士兵招募时间'!AS60,0)</f>
        <v>0</v>
      </c>
      <c r="J59" s="38">
        <f>MAX('[1]资源-圣人研究时间'!AV59,0)</f>
        <v>0.1691724398693151</v>
      </c>
      <c r="K59" s="38">
        <f>MAX([2]士兵治疗!BX59,0)</f>
        <v>0</v>
      </c>
      <c r="L59" s="38">
        <f>[4]武将数量星级阶位验证!$CW58</f>
        <v>0.39801033794688045</v>
      </c>
      <c r="M59" s="38">
        <f>[3]投放验证!$AL$4</f>
        <v>0.2</v>
      </c>
      <c r="N59" s="48">
        <f t="shared" si="0"/>
        <v>1.037231414614618</v>
      </c>
      <c r="O59" s="37"/>
      <c r="Q59" s="37">
        <v>55</v>
      </c>
      <c r="R59" s="38">
        <f>MAX('[1]资源-银币'!BA60,0)</f>
        <v>7.6722500582081493E-2</v>
      </c>
      <c r="S59" s="38">
        <f>MAX('[1]资源-木石铜粮'!AQ60,0)</f>
        <v>6.3425324726972099E-2</v>
      </c>
      <c r="T59" s="38">
        <f>MAX('[1]资源-铁'!AP60,0)</f>
        <v>3.7224598797949746E-2</v>
      </c>
      <c r="U59" s="38">
        <f>MAX('[1]资源-士兵训练时间'!AT60,0)</f>
        <v>0.21671089749504052</v>
      </c>
      <c r="V59" s="38">
        <f>MAX('[1]资源-玩家城池建筑时间'!BJ60,0)</f>
        <v>0.18488375164892931</v>
      </c>
      <c r="W59" s="38">
        <f>MAX('[1]资源-士兵招募时间'!AU60,0)</f>
        <v>0</v>
      </c>
      <c r="X59" s="38">
        <f>MAX('[1]资源-圣人研究时间'!AX59,0)</f>
        <v>0.24099712504863796</v>
      </c>
      <c r="Y59" s="38">
        <f>MAX([2]士兵治疗!BZ59,0)</f>
        <v>0</v>
      </c>
      <c r="Z59" s="38">
        <f>[4]武将数量星级阶位验证!$CY58</f>
        <v>0.39801033794688045</v>
      </c>
      <c r="AA59" s="38">
        <f t="shared" si="1"/>
        <v>0.2</v>
      </c>
      <c r="AB59" s="48">
        <f t="shared" si="2"/>
        <v>1.4179745362464915</v>
      </c>
      <c r="AE59" s="37">
        <v>55</v>
      </c>
      <c r="AF59" s="38">
        <f>MAX('[1]资源-银币'!BC60,0)</f>
        <v>7.1839667189746617E-2</v>
      </c>
      <c r="AG59" s="38">
        <f>MAX('[1]资源-木石铜粮'!AS60,0)</f>
        <v>4.7577542526282199E-2</v>
      </c>
      <c r="AH59" s="38">
        <f>MAX('[1]资源-铁'!AR60,0)</f>
        <v>3.1215750788071872E-2</v>
      </c>
      <c r="AI59" s="38">
        <f>MAX('[1]资源-士兵训练时间'!AV60,0)</f>
        <v>0.1777062952184793</v>
      </c>
      <c r="AJ59" s="38">
        <f>MAX('[1]资源-玩家城池建筑时间'!BL60,0)</f>
        <v>0.16126160525005806</v>
      </c>
      <c r="AK59" s="38">
        <f>MAX('[1]资源-士兵招募时间'!AW60,0)</f>
        <v>0</v>
      </c>
      <c r="AL59" s="38">
        <f>MAX('[1]资源-圣人研究时间'!AZ59,0)</f>
        <v>0.17366422520825295</v>
      </c>
      <c r="AM59" s="38">
        <f>MAX([2]士兵治疗!CB59,0)</f>
        <v>0</v>
      </c>
      <c r="AN59" s="38">
        <f>[4]武将数量星级阶位验证!$DA58</f>
        <v>0.39801033794688045</v>
      </c>
      <c r="AO59" s="38">
        <f t="shared" si="3"/>
        <v>0.2</v>
      </c>
      <c r="AP59" s="48">
        <f t="shared" si="4"/>
        <v>1.2612754241277713</v>
      </c>
    </row>
    <row r="60" spans="3:42" x14ac:dyDescent="0.15">
      <c r="C60" s="37">
        <v>56</v>
      </c>
      <c r="D60" s="38">
        <f>MAX('[1]资源-银币'!AY61,0)</f>
        <v>9.9934803590537857E-3</v>
      </c>
      <c r="E60" s="38">
        <f>MAX('[1]资源-木石铜粮'!AO61,0)</f>
        <v>2.6058165291738062E-2</v>
      </c>
      <c r="F60" s="38">
        <f>MAX('[1]资源-铁'!AN61,0)</f>
        <v>1.9544109984771723E-2</v>
      </c>
      <c r="G60" s="38">
        <f>MAX('[1]资源-士兵训练时间'!AR61,0)</f>
        <v>8.8366659489969981E-2</v>
      </c>
      <c r="H60" s="38">
        <f>MAX('[1]资源-玩家城池建筑时间'!BH61,0)</f>
        <v>0.12706217881191004</v>
      </c>
      <c r="I60" s="38">
        <f>MAX('[1]资源-士兵招募时间'!AS61,0)</f>
        <v>0</v>
      </c>
      <c r="J60" s="38">
        <f>MAX('[1]资源-圣人研究时间'!AV60,0)</f>
        <v>0.16691838392860769</v>
      </c>
      <c r="K60" s="38">
        <f>MAX([2]士兵治疗!BX60,0)</f>
        <v>0</v>
      </c>
      <c r="L60" s="38">
        <f>[4]武将数量星级阶位验证!$CW59</f>
        <v>0.39408963909546341</v>
      </c>
      <c r="M60" s="38">
        <f>[3]投放验证!$AL$4</f>
        <v>0.2</v>
      </c>
      <c r="N60" s="48">
        <f t="shared" si="0"/>
        <v>1.0320326169615146</v>
      </c>
      <c r="O60" s="37"/>
      <c r="Q60" s="37">
        <v>56</v>
      </c>
      <c r="R60" s="38">
        <f>MAX('[1]资源-银币'!BA61,0)</f>
        <v>7.5336129432008736E-2</v>
      </c>
      <c r="S60" s="38">
        <f>MAX('[1]资源-木石铜粮'!AQ61,0)</f>
        <v>6.5216167302329389E-2</v>
      </c>
      <c r="T60" s="38">
        <f>MAX('[1]资源-铁'!AP61,0)</f>
        <v>3.9446705517151653E-2</v>
      </c>
      <c r="U60" s="38">
        <f>MAX('[1]资源-士兵训练时间'!AT61,0)</f>
        <v>0.21437278200955981</v>
      </c>
      <c r="V60" s="38">
        <f>MAX('[1]资源-玩家城池建筑时间'!BJ61,0)</f>
        <v>0.18320300104831286</v>
      </c>
      <c r="W60" s="38">
        <f>MAX('[1]资源-士兵招募时间'!AU61,0)</f>
        <v>0</v>
      </c>
      <c r="X60" s="38">
        <f>MAX('[1]资源-圣人研究时间'!AX60,0)</f>
        <v>0.23849485501919815</v>
      </c>
      <c r="Y60" s="38">
        <f>MAX([2]士兵治疗!BZ60,0)</f>
        <v>0</v>
      </c>
      <c r="Z60" s="38">
        <f>[4]武将数量星级阶位验证!$CY59</f>
        <v>0.39408963909546341</v>
      </c>
      <c r="AA60" s="38">
        <f t="shared" si="1"/>
        <v>0.2</v>
      </c>
      <c r="AB60" s="48">
        <f t="shared" si="2"/>
        <v>1.4101592794240239</v>
      </c>
      <c r="AE60" s="37">
        <v>56</v>
      </c>
      <c r="AF60" s="38">
        <f>MAX('[1]资源-银币'!BC61,0)</f>
        <v>7.0939104812613771E-2</v>
      </c>
      <c r="AG60" s="38">
        <f>MAX('[1]资源-木石铜粮'!AS61,0)</f>
        <v>4.8005029580947343E-2</v>
      </c>
      <c r="AH60" s="38">
        <f>MAX('[1]资源-铁'!AR61,0)</f>
        <v>3.3816269063906619E-2</v>
      </c>
      <c r="AI60" s="38">
        <f>MAX('[1]资源-士兵训练时间'!AV61,0)</f>
        <v>0.17680377666208585</v>
      </c>
      <c r="AJ60" s="38">
        <f>MAX('[1]资源-玩家城池建筑时间'!BL61,0)</f>
        <v>0.16074012983329347</v>
      </c>
      <c r="AK60" s="38">
        <f>MAX('[1]资源-士兵招募时间'!AW61,0)</f>
        <v>0</v>
      </c>
      <c r="AL60" s="38">
        <f>MAX('[1]资源-圣人研究时间'!AZ60,0)</f>
        <v>0.17307351386199485</v>
      </c>
      <c r="AM60" s="38">
        <f>MAX([2]士兵治疗!CB60,0)</f>
        <v>0</v>
      </c>
      <c r="AN60" s="38">
        <f>[4]武将数量星级阶位验证!$DA59</f>
        <v>0.39408963909546341</v>
      </c>
      <c r="AO60" s="38">
        <f t="shared" si="3"/>
        <v>0.2</v>
      </c>
      <c r="AP60" s="48">
        <f t="shared" si="4"/>
        <v>1.2574674629103053</v>
      </c>
    </row>
    <row r="61" spans="3:42" x14ac:dyDescent="0.15">
      <c r="C61" s="37">
        <v>57</v>
      </c>
      <c r="D61" s="38">
        <f>MAX('[1]资源-银币'!AY62,0)</f>
        <v>1.0230985224596676E-2</v>
      </c>
      <c r="E61" s="38">
        <f>MAX('[1]资源-木石铜粮'!AO62,0)</f>
        <v>2.5646908106967521E-2</v>
      </c>
      <c r="F61" s="38">
        <f>MAX('[1]资源-铁'!AN62,0)</f>
        <v>2.0721595351430869E-2</v>
      </c>
      <c r="G61" s="38">
        <f>MAX('[1]资源-士兵训练时间'!AR62,0)</f>
        <v>8.7977110511520379E-2</v>
      </c>
      <c r="H61" s="38">
        <f>MAX('[1]资源-玩家城池建筑时间'!BH62,0)</f>
        <v>0.12608757487747838</v>
      </c>
      <c r="I61" s="38">
        <f>MAX('[1]资源-士兵招募时间'!AS62,0)</f>
        <v>0</v>
      </c>
      <c r="J61" s="38">
        <f>MAX('[1]资源-圣人研究时间'!AV61,0)</f>
        <v>0.16401727846475406</v>
      </c>
      <c r="K61" s="38">
        <f>MAX([2]士兵治疗!BX61,0)</f>
        <v>0</v>
      </c>
      <c r="L61" s="38">
        <f>[4]武将数量星级阶位验证!$CW60</f>
        <v>0.39016894024404636</v>
      </c>
      <c r="M61" s="38">
        <f>[3]投放验证!$AL$4</f>
        <v>0.2</v>
      </c>
      <c r="N61" s="48">
        <f t="shared" si="0"/>
        <v>1.0248503927807942</v>
      </c>
      <c r="O61" s="37"/>
      <c r="Q61" s="37">
        <v>57</v>
      </c>
      <c r="R61" s="38">
        <f>MAX('[1]资源-银币'!BA62,0)</f>
        <v>7.3615081703986424E-2</v>
      </c>
      <c r="S61" s="38">
        <f>MAX('[1]资源-木石铜粮'!AQ62,0)</f>
        <v>6.6504685228874066E-2</v>
      </c>
      <c r="T61" s="38">
        <f>MAX('[1]资源-铁'!AP62,0)</f>
        <v>4.1564215288459584E-2</v>
      </c>
      <c r="U61" s="38">
        <f>MAX('[1]资源-士兵训练时间'!AT62,0)</f>
        <v>0.21170596995270924</v>
      </c>
      <c r="V61" s="38">
        <f>MAX('[1]资源-玩家城池建筑时间'!BJ62,0)</f>
        <v>0.18136832348835474</v>
      </c>
      <c r="W61" s="38">
        <f>MAX('[1]资源-士兵招募时间'!AU62,0)</f>
        <v>0</v>
      </c>
      <c r="X61" s="38">
        <f>MAX('[1]资源-圣人研究时间'!AX61,0)</f>
        <v>0.23562512114334566</v>
      </c>
      <c r="Y61" s="38">
        <f>MAX([2]士兵治疗!BZ61,0)</f>
        <v>0</v>
      </c>
      <c r="Z61" s="38">
        <f>[4]武将数量星级阶位验证!$CY60</f>
        <v>0.39016894024404636</v>
      </c>
      <c r="AA61" s="38">
        <f t="shared" si="1"/>
        <v>0.2</v>
      </c>
      <c r="AB61" s="48">
        <f t="shared" si="2"/>
        <v>1.4005523370497761</v>
      </c>
      <c r="AE61" s="37">
        <v>57</v>
      </c>
      <c r="AF61" s="38">
        <f>MAX('[1]资源-银币'!BC62,0)</f>
        <v>6.9600296530757957E-2</v>
      </c>
      <c r="AG61" s="38">
        <f>MAX('[1]资源-木石铜粮'!AS62,0)</f>
        <v>4.7710726227980241E-2</v>
      </c>
      <c r="AH61" s="38">
        <f>MAX('[1]资源-铁'!AR62,0)</f>
        <v>3.7582707866560927E-2</v>
      </c>
      <c r="AI61" s="38">
        <f>MAX('[1]资源-士兵训练时间'!AV62,0)</f>
        <v>0.17572547817825118</v>
      </c>
      <c r="AJ61" s="38">
        <f>MAX('[1]资源-玩家城池建筑时间'!BL62,0)</f>
        <v>0.16025717598626013</v>
      </c>
      <c r="AK61" s="38">
        <f>MAX('[1]资源-士兵招募时间'!AW62,0)</f>
        <v>0</v>
      </c>
      <c r="AL61" s="38">
        <f>MAX('[1]资源-圣人研究时间'!AZ61,0)</f>
        <v>0.17256901766553795</v>
      </c>
      <c r="AM61" s="38">
        <f>MAX([2]士兵治疗!CB61,0)</f>
        <v>0</v>
      </c>
      <c r="AN61" s="38">
        <f>[4]武将数量星级阶位验证!$DA60</f>
        <v>0.39016894024404636</v>
      </c>
      <c r="AO61" s="38">
        <f t="shared" si="3"/>
        <v>0.2</v>
      </c>
      <c r="AP61" s="48">
        <f t="shared" si="4"/>
        <v>1.2536143426993946</v>
      </c>
    </row>
    <row r="62" spans="3:42" x14ac:dyDescent="0.15">
      <c r="C62" s="37">
        <v>58</v>
      </c>
      <c r="D62" s="38">
        <f>MAX('[1]资源-银币'!AY63,0)</f>
        <v>1.0080141824332761E-2</v>
      </c>
      <c r="E62" s="38">
        <f>MAX('[1]资源-木石铜粮'!AO63,0)</f>
        <v>2.5199474936832507E-2</v>
      </c>
      <c r="F62" s="38">
        <f>MAX('[1]资源-铁'!AN63,0)</f>
        <v>2.199677484532887E-2</v>
      </c>
      <c r="G62" s="38">
        <f>MAX('[1]资源-士兵训练时间'!AR63,0)</f>
        <v>8.7419233022885262E-2</v>
      </c>
      <c r="H62" s="38">
        <f>MAX('[1]资源-玩家城池建筑时间'!BH63,0)</f>
        <v>0.12498938541311386</v>
      </c>
      <c r="I62" s="38">
        <f>MAX('[1]资源-士兵招募时间'!AS63,0)</f>
        <v>0</v>
      </c>
      <c r="J62" s="38">
        <f>MAX('[1]资源-圣人研究时间'!AV62,0)</f>
        <v>0.16121473595115612</v>
      </c>
      <c r="K62" s="38">
        <f>MAX([2]士兵治疗!BX62,0)</f>
        <v>0</v>
      </c>
      <c r="L62" s="38">
        <f>[4]武将数量星级阶位验证!$CW61</f>
        <v>0.38624824139262931</v>
      </c>
      <c r="M62" s="38">
        <f>[3]投放验证!$AL$4</f>
        <v>0.2</v>
      </c>
      <c r="N62" s="48">
        <f t="shared" si="0"/>
        <v>1.0171479873862785</v>
      </c>
      <c r="O62" s="37"/>
      <c r="Q62" s="37">
        <v>58</v>
      </c>
      <c r="R62" s="38">
        <f>MAX('[1]资源-银币'!BA63,0)</f>
        <v>7.1550259810056652E-2</v>
      </c>
      <c r="S62" s="38">
        <f>MAX('[1]资源-木石铜粮'!AQ63,0)</f>
        <v>6.7284023485401648E-2</v>
      </c>
      <c r="T62" s="38">
        <f>MAX('[1]资源-铁'!AP63,0)</f>
        <v>4.3570596348113819E-2</v>
      </c>
      <c r="U62" s="38">
        <f>MAX('[1]资源-士兵训练时间'!AT63,0)</f>
        <v>0.20869205531290611</v>
      </c>
      <c r="V62" s="38">
        <f>MAX('[1]资源-玩家城池建筑时间'!BJ63,0)</f>
        <v>0.17932855359098721</v>
      </c>
      <c r="W62" s="38">
        <f>MAX('[1]资源-士兵招募时间'!AU63,0)</f>
        <v>0</v>
      </c>
      <c r="X62" s="38">
        <f>MAX('[1]资源-圣人研究时间'!AX62,0)</f>
        <v>0.23236857443711417</v>
      </c>
      <c r="Y62" s="38">
        <f>MAX([2]士兵治疗!BZ62,0)</f>
        <v>0</v>
      </c>
      <c r="Z62" s="38">
        <f>[4]武将数量星级阶位验证!$CY61</f>
        <v>0.38624824139262931</v>
      </c>
      <c r="AA62" s="38">
        <f t="shared" si="1"/>
        <v>0.2</v>
      </c>
      <c r="AB62" s="48">
        <f t="shared" si="2"/>
        <v>1.3890423043772089</v>
      </c>
      <c r="AE62" s="37">
        <v>58</v>
      </c>
      <c r="AF62" s="38">
        <f>MAX('[1]资源-银币'!BC63,0)</f>
        <v>6.8480582098519732E-2</v>
      </c>
      <c r="AG62" s="38">
        <f>MAX('[1]资源-木石铜粮'!AS63,0)</f>
        <v>4.7416937776272337E-2</v>
      </c>
      <c r="AH62" s="38">
        <f>MAX('[1]资源-铁'!AR63,0)</f>
        <v>4.1628475491098521E-2</v>
      </c>
      <c r="AI62" s="38">
        <f>MAX('[1]资源-士兵训练时间'!AV63,0)</f>
        <v>0.17537419138433483</v>
      </c>
      <c r="AJ62" s="38">
        <f>MAX('[1]资源-玩家城池建筑时间'!BL63,0)</f>
        <v>0.16040175874380505</v>
      </c>
      <c r="AK62" s="38">
        <f>MAX('[1]资源-士兵招募时间'!AW63,0)</f>
        <v>0</v>
      </c>
      <c r="AL62" s="38">
        <f>MAX('[1]资源-圣人研究时间'!AZ62,0)</f>
        <v>0.17305658986619643</v>
      </c>
      <c r="AM62" s="38">
        <f>MAX([2]士兵治疗!CB62,0)</f>
        <v>0</v>
      </c>
      <c r="AN62" s="38">
        <f>[4]武将数量星级阶位验证!$DA61</f>
        <v>0.38624824139262931</v>
      </c>
      <c r="AO62" s="38">
        <f t="shared" si="3"/>
        <v>0.2</v>
      </c>
      <c r="AP62" s="48">
        <f t="shared" si="4"/>
        <v>1.2526067767528561</v>
      </c>
    </row>
    <row r="63" spans="3:42" x14ac:dyDescent="0.15">
      <c r="C63" s="37">
        <v>59</v>
      </c>
      <c r="D63" s="38">
        <f>MAX('[1]资源-银币'!AY64,0)</f>
        <v>9.2434927328978039E-3</v>
      </c>
      <c r="E63" s="38">
        <f>MAX('[1]资源-木石铜粮'!AO64,0)</f>
        <v>2.4834877255742453E-2</v>
      </c>
      <c r="F63" s="38">
        <f>MAX('[1]资源-铁'!AN64,0)</f>
        <v>2.4755819383677595E-2</v>
      </c>
      <c r="G63" s="38">
        <f>MAX('[1]资源-士兵训练时间'!AR64,0)</f>
        <v>8.6686304021747193E-2</v>
      </c>
      <c r="H63" s="38">
        <f>MAX('[1]资源-玩家城池建筑时间'!BH64,0)</f>
        <v>0.12409321475527336</v>
      </c>
      <c r="I63" s="38">
        <f>MAX('[1]资源-士兵招募时间'!AS64,0)</f>
        <v>0</v>
      </c>
      <c r="J63" s="38">
        <f>MAX('[1]资源-圣人研究时间'!AV63,0)</f>
        <v>0.15911044344115033</v>
      </c>
      <c r="K63" s="38">
        <f>MAX([2]士兵治疗!BX63,0)</f>
        <v>0</v>
      </c>
      <c r="L63" s="38">
        <f>[4]武将数量星级阶位验证!$CW62</f>
        <v>0.38232754254121226</v>
      </c>
      <c r="M63" s="38">
        <f>[3]投放验证!$AL$4</f>
        <v>0.2</v>
      </c>
      <c r="N63" s="48">
        <f t="shared" si="0"/>
        <v>1.0110516941317009</v>
      </c>
      <c r="O63" s="37"/>
      <c r="Q63" s="37">
        <v>59</v>
      </c>
      <c r="R63" s="38">
        <f>MAX('[1]资源-银币'!BA64,0)</f>
        <v>6.6950010645659253E-2</v>
      </c>
      <c r="S63" s="38">
        <f>MAX('[1]资源-木石铜粮'!AQ64,0)</f>
        <v>6.307417353960891E-2</v>
      </c>
      <c r="T63" s="38">
        <f>MAX('[1]资源-铁'!AP64,0)</f>
        <v>4.9302682769998871E-2</v>
      </c>
      <c r="U63" s="38">
        <f>MAX('[1]资源-士兵训练时间'!AT64,0)</f>
        <v>0.20338499890172543</v>
      </c>
      <c r="V63" s="38">
        <f>MAX('[1]资源-玩家城池建筑时间'!BJ64,0)</f>
        <v>0.17629225873003204</v>
      </c>
      <c r="W63" s="38">
        <f>MAX('[1]资源-士兵招募时间'!AU64,0)</f>
        <v>0</v>
      </c>
      <c r="X63" s="38">
        <f>MAX('[1]资源-圣人研究时间'!AX63,0)</f>
        <v>0.22741977684210832</v>
      </c>
      <c r="Y63" s="38">
        <f>MAX([2]士兵治疗!BZ63,0)</f>
        <v>0</v>
      </c>
      <c r="Z63" s="38">
        <f>[4]武将数量星级阶位验证!$CY62</f>
        <v>0.38232754254121226</v>
      </c>
      <c r="AA63" s="38">
        <f t="shared" si="1"/>
        <v>0.2</v>
      </c>
      <c r="AB63" s="48">
        <f t="shared" si="2"/>
        <v>1.3687514439703452</v>
      </c>
      <c r="AE63" s="37">
        <v>59</v>
      </c>
      <c r="AF63" s="38">
        <f>MAX('[1]资源-银币'!BC64,0)</f>
        <v>6.7048916697477881E-2</v>
      </c>
      <c r="AG63" s="38">
        <f>MAX('[1]资源-木石铜粮'!AS64,0)</f>
        <v>4.6039224026709444E-2</v>
      </c>
      <c r="AH63" s="38">
        <f>MAX('[1]资源-铁'!AR64,0)</f>
        <v>4.6993657721172491E-2</v>
      </c>
      <c r="AI63" s="38">
        <f>MAX('[1]资源-士兵训练时间'!AV64,0)</f>
        <v>0.17470511701036553</v>
      </c>
      <c r="AJ63" s="38">
        <f>MAX('[1]资源-玩家城池建筑时间'!BL64,0)</f>
        <v>0.16051972923617125</v>
      </c>
      <c r="AK63" s="38">
        <f>MAX('[1]资源-士兵招募时间'!AW64,0)</f>
        <v>0</v>
      </c>
      <c r="AL63" s="38">
        <f>MAX('[1]资源-圣人研究时间'!AZ63,0)</f>
        <v>0.17378579470938846</v>
      </c>
      <c r="AM63" s="38">
        <f>MAX([2]士兵治疗!CB63,0)</f>
        <v>0</v>
      </c>
      <c r="AN63" s="38">
        <f>[4]武将数量星级阶位验证!$DA62</f>
        <v>0.38232754254121226</v>
      </c>
      <c r="AO63" s="38">
        <f t="shared" si="3"/>
        <v>0.2</v>
      </c>
      <c r="AP63" s="48">
        <f t="shared" si="4"/>
        <v>1.2514199819424972</v>
      </c>
    </row>
    <row r="64" spans="3:42" x14ac:dyDescent="0.15">
      <c r="C64" s="37">
        <v>60</v>
      </c>
      <c r="D64" s="38">
        <f>MAX('[1]资源-银币'!AY65,0)</f>
        <v>9.1664791502651215E-3</v>
      </c>
      <c r="E64" s="38">
        <f>MAX('[1]资源-木石铜粮'!AO65,0)</f>
        <v>2.4410272629280288E-2</v>
      </c>
      <c r="F64" s="38">
        <f>MAX('[1]资源-铁'!AN65,0)</f>
        <v>2.706695709505872E-2</v>
      </c>
      <c r="G64" s="38">
        <f>MAX('[1]资源-士兵训练时间'!AR65,0)</f>
        <v>8.5900706519812464E-2</v>
      </c>
      <c r="H64" s="38">
        <f>MAX('[1]资源-玩家城池建筑时间'!BH65,0)</f>
        <v>0.12313919794063827</v>
      </c>
      <c r="I64" s="38">
        <f>MAX('[1]资源-士兵招募时间'!AS65,0)</f>
        <v>0</v>
      </c>
      <c r="J64" s="38">
        <f>MAX('[1]资源-圣人研究时间'!AV64,0)</f>
        <v>0.15697765664763449</v>
      </c>
      <c r="K64" s="38">
        <f>MAX([2]士兵治疗!BX64,0)</f>
        <v>0</v>
      </c>
      <c r="L64" s="38">
        <f>[4]武将数量星级阶位验证!$CW63</f>
        <v>0.37840684368979521</v>
      </c>
      <c r="M64" s="38">
        <f>[3]投放验证!$AL$4</f>
        <v>0.2</v>
      </c>
      <c r="N64" s="48">
        <f t="shared" si="0"/>
        <v>1.0050681136724846</v>
      </c>
      <c r="O64" s="37"/>
      <c r="Q64" s="37">
        <v>60</v>
      </c>
      <c r="R64" s="38">
        <f>MAX('[1]资源-银币'!BA65,0)</f>
        <v>6.3563582900000651E-2</v>
      </c>
      <c r="S64" s="38">
        <f>MAX('[1]资源-木石铜粮'!AQ65,0)</f>
        <v>5.8189025340219198E-2</v>
      </c>
      <c r="T64" s="38">
        <f>MAX('[1]资源-铁'!AP65,0)</f>
        <v>5.5773340630623669E-2</v>
      </c>
      <c r="U64" s="38">
        <f>MAX('[1]资源-士兵训练时间'!AT65,0)</f>
        <v>0.19830827538324361</v>
      </c>
      <c r="V64" s="38">
        <f>MAX('[1]资源-玩家城池建筑时间'!BJ65,0)</f>
        <v>0.17345768963202476</v>
      </c>
      <c r="W64" s="38">
        <f>MAX('[1]资源-士兵招募时间'!AU65,0)</f>
        <v>0</v>
      </c>
      <c r="X64" s="38">
        <f>MAX('[1]资源-圣人研究时间'!AX64,0)</f>
        <v>0.2233129724418178</v>
      </c>
      <c r="Y64" s="38">
        <f>MAX([2]士兵治疗!BZ64,0)</f>
        <v>0</v>
      </c>
      <c r="Z64" s="38">
        <f>[4]武将数量星级阶位验证!$CY63</f>
        <v>0.37840684368979521</v>
      </c>
      <c r="AA64" s="38">
        <f t="shared" si="1"/>
        <v>0.2</v>
      </c>
      <c r="AB64" s="48">
        <f t="shared" si="2"/>
        <v>1.3510117300177249</v>
      </c>
      <c r="AE64" s="37">
        <v>60</v>
      </c>
      <c r="AF64" s="38">
        <f>MAX('[1]资源-银币'!BC65,0)</f>
        <v>6.5781308604931296E-2</v>
      </c>
      <c r="AG64" s="38">
        <f>MAX('[1]资源-木石铜粮'!AS65,0)</f>
        <v>4.4628187320716203E-2</v>
      </c>
      <c r="AH64" s="38">
        <f>MAX('[1]资源-铁'!AR65,0)</f>
        <v>5.1939702031799449E-2</v>
      </c>
      <c r="AI64" s="38">
        <f>MAX('[1]资源-士兵训练时间'!AV65,0)</f>
        <v>0.17380477024141741</v>
      </c>
      <c r="AJ64" s="38">
        <f>MAX('[1]资源-玩家城池建筑时间'!BL65,0)</f>
        <v>0.1605383266576873</v>
      </c>
      <c r="AK64" s="38">
        <f>MAX('[1]资源-士兵招募时间'!AW65,0)</f>
        <v>0</v>
      </c>
      <c r="AL64" s="38">
        <f>MAX('[1]资源-圣人研究时间'!AZ64,0)</f>
        <v>0.1745206745176649</v>
      </c>
      <c r="AM64" s="38">
        <f>MAX([2]士兵治疗!CB64,0)</f>
        <v>0</v>
      </c>
      <c r="AN64" s="38">
        <f>[4]武将数量星级阶位验证!$DA63</f>
        <v>0.37840684368979521</v>
      </c>
      <c r="AO64" s="38">
        <f t="shared" si="3"/>
        <v>0.2</v>
      </c>
      <c r="AP64" s="48">
        <f t="shared" si="4"/>
        <v>1.2496198130640117</v>
      </c>
    </row>
    <row r="65" spans="3:42" x14ac:dyDescent="0.15">
      <c r="C65" s="37">
        <v>61</v>
      </c>
      <c r="D65" s="38">
        <f>MAX('[1]资源-银币'!AY66,0)</f>
        <v>1.0251724339079282E-2</v>
      </c>
      <c r="E65" s="38">
        <f>MAX('[1]资源-木石铜粮'!AO66,0)</f>
        <v>2.4072763039877744E-2</v>
      </c>
      <c r="F65" s="38">
        <f>MAX('[1]资源-铁'!AN66,0)</f>
        <v>3.0413567527988804E-2</v>
      </c>
      <c r="G65" s="38">
        <f>MAX('[1]资源-士兵训练时间'!AR66,0)</f>
        <v>8.5590411512132161E-2</v>
      </c>
      <c r="H65" s="38">
        <f>MAX('[1]资源-玩家城池建筑时间'!BH66,0)</f>
        <v>0.12262344436550841</v>
      </c>
      <c r="I65" s="38">
        <f>MAX('[1]资源-士兵招募时间'!AS66,0)</f>
        <v>0</v>
      </c>
      <c r="J65" s="38">
        <f>MAX('[1]资源-圣人研究时间'!AV65,0)</f>
        <v>0.15625128702500399</v>
      </c>
      <c r="K65" s="38">
        <f>MAX([2]士兵治疗!BX65,0)</f>
        <v>0</v>
      </c>
      <c r="L65" s="38">
        <f>[4]武将数量星级阶位验证!$CW64</f>
        <v>0.37461113196539908</v>
      </c>
      <c r="M65" s="38">
        <f>[3]投放验证!$AL$4</f>
        <v>0.2</v>
      </c>
      <c r="N65" s="48">
        <f t="shared" si="0"/>
        <v>1.0038143297749895</v>
      </c>
      <c r="O65" s="37"/>
      <c r="Q65" s="37">
        <v>61</v>
      </c>
      <c r="R65" s="38">
        <f>MAX('[1]资源-银币'!BA66,0)</f>
        <v>6.2751026774980734E-2</v>
      </c>
      <c r="S65" s="38">
        <f>MAX('[1]资源-木石铜粮'!AQ66,0)</f>
        <v>5.6786198938667327E-2</v>
      </c>
      <c r="T65" s="38">
        <f>MAX('[1]资源-铁'!AP66,0)</f>
        <v>6.0099970746777823E-2</v>
      </c>
      <c r="U65" s="38">
        <f>MAX('[1]资源-士兵训练时间'!AT66,0)</f>
        <v>0.19548459849518554</v>
      </c>
      <c r="V65" s="38">
        <f>MAX('[1]资源-玩家城池建筑时间'!BJ66,0)</f>
        <v>0.17174335187727133</v>
      </c>
      <c r="W65" s="38">
        <f>MAX('[1]资源-士兵招募时间'!AU66,0)</f>
        <v>0</v>
      </c>
      <c r="X65" s="38">
        <f>MAX('[1]资源-圣人研究时间'!AX65,0)</f>
        <v>0.22161201120008336</v>
      </c>
      <c r="Y65" s="38">
        <f>MAX([2]士兵治疗!BZ65,0)</f>
        <v>0</v>
      </c>
      <c r="Z65" s="38">
        <f>[4]武将数量星级阶位验证!$CY64</f>
        <v>0.37461113196539908</v>
      </c>
      <c r="AA65" s="38">
        <f t="shared" si="1"/>
        <v>0.2</v>
      </c>
      <c r="AB65" s="48">
        <f t="shared" si="2"/>
        <v>1.3430882899983649</v>
      </c>
      <c r="AE65" s="37">
        <v>61</v>
      </c>
      <c r="AF65" s="38">
        <f>MAX('[1]资源-银币'!BC66,0)</f>
        <v>6.5898443411741725E-2</v>
      </c>
      <c r="AG65" s="38">
        <f>MAX('[1]资源-木石铜粮'!AS66,0)</f>
        <v>4.5154934394427908E-2</v>
      </c>
      <c r="AH65" s="38">
        <f>MAX('[1]资源-铁'!AR66,0)</f>
        <v>5.3858097906111256E-2</v>
      </c>
      <c r="AI65" s="38">
        <f>MAX('[1]资源-士兵训练时间'!AV66,0)</f>
        <v>0.17283497748983007</v>
      </c>
      <c r="AJ65" s="38">
        <f>MAX('[1]资源-玩家城池建筑时间'!BL66,0)</f>
        <v>0.16040767145627163</v>
      </c>
      <c r="AK65" s="38">
        <f>MAX('[1]资源-士兵招募时间'!AW66,0)</f>
        <v>0</v>
      </c>
      <c r="AL65" s="38">
        <f>MAX('[1]资源-圣人研究时间'!AZ65,0)</f>
        <v>0.17476467240743471</v>
      </c>
      <c r="AM65" s="38">
        <f>MAX([2]士兵治疗!CB65,0)</f>
        <v>0</v>
      </c>
      <c r="AN65" s="38">
        <f>[4]武将数量星级阶位验证!$DA64</f>
        <v>0.37461113196539908</v>
      </c>
      <c r="AO65" s="38">
        <f t="shared" si="3"/>
        <v>0.2</v>
      </c>
      <c r="AP65" s="48">
        <f t="shared" si="4"/>
        <v>1.2475299290312163</v>
      </c>
    </row>
    <row r="66" spans="3:42" x14ac:dyDescent="0.15">
      <c r="C66" s="37">
        <v>62</v>
      </c>
      <c r="D66" s="38">
        <f>MAX('[1]资源-银币'!AY67,0)</f>
        <v>1.1076839436811594E-2</v>
      </c>
      <c r="E66" s="38">
        <f>MAX('[1]资源-木石铜粮'!AO67,0)</f>
        <v>2.4018552004021587E-2</v>
      </c>
      <c r="F66" s="38">
        <f>MAX('[1]资源-铁'!AN67,0)</f>
        <v>3.3559498827341924E-2</v>
      </c>
      <c r="G66" s="38">
        <f>MAX('[1]资源-士兵训练时间'!AR67,0)</f>
        <v>8.5367031215968531E-2</v>
      </c>
      <c r="H66" s="38">
        <f>MAX('[1]资源-玩家城池建筑时间'!BH67,0)</f>
        <v>0.12224451481969308</v>
      </c>
      <c r="I66" s="38">
        <f>MAX('[1]资源-士兵招募时间'!AS67,0)</f>
        <v>0</v>
      </c>
      <c r="J66" s="38">
        <f>MAX('[1]资源-圣人研究时间'!AV66,0)</f>
        <v>0.15574644306279939</v>
      </c>
      <c r="K66" s="38">
        <f>MAX([2]士兵治疗!BX66,0)</f>
        <v>0</v>
      </c>
      <c r="L66" s="38">
        <f>[4]武将数量星级阶位验证!$CW65</f>
        <v>0.370815420241003</v>
      </c>
      <c r="M66" s="38">
        <f>[3]投放验证!$AL$4</f>
        <v>0.2</v>
      </c>
      <c r="N66" s="48">
        <f t="shared" si="0"/>
        <v>1.002828299607639</v>
      </c>
      <c r="O66" s="37"/>
      <c r="Q66" s="37">
        <v>62</v>
      </c>
      <c r="R66" s="38">
        <f>MAX('[1]资源-银币'!BA67,0)</f>
        <v>6.1919487085695689E-2</v>
      </c>
      <c r="S66" s="38">
        <f>MAX('[1]资源-木石铜粮'!AQ67,0)</f>
        <v>5.571899641768454E-2</v>
      </c>
      <c r="T66" s="38">
        <f>MAX('[1]资源-铁'!AP67,0)</f>
        <v>6.3881560878151028E-2</v>
      </c>
      <c r="U66" s="38">
        <f>MAX('[1]资源-士兵训练时间'!AT67,0)</f>
        <v>0.19304341329068953</v>
      </c>
      <c r="V66" s="38">
        <f>MAX('[1]资源-玩家城池建筑时间'!BJ67,0)</f>
        <v>0.17036654917719521</v>
      </c>
      <c r="W66" s="38">
        <f>MAX('[1]资源-士兵招募时间'!AU67,0)</f>
        <v>0</v>
      </c>
      <c r="X66" s="38">
        <f>MAX('[1]资源-圣人研究时间'!AX66,0)</f>
        <v>0.22034214599427804</v>
      </c>
      <c r="Y66" s="38">
        <f>MAX([2]士兵治疗!BZ66,0)</f>
        <v>0</v>
      </c>
      <c r="Z66" s="38">
        <f>[4]武将数量星级阶位验证!$CY65</f>
        <v>0.370815420241003</v>
      </c>
      <c r="AA66" s="38">
        <f t="shared" si="1"/>
        <v>0.2</v>
      </c>
      <c r="AB66" s="48">
        <f t="shared" si="2"/>
        <v>1.3360875730846968</v>
      </c>
      <c r="AE66" s="37">
        <v>62</v>
      </c>
      <c r="AF66" s="38">
        <f>MAX('[1]资源-银币'!BC67,0)</f>
        <v>6.6203062378890787E-2</v>
      </c>
      <c r="AG66" s="38">
        <f>MAX('[1]资源-木石铜粮'!AS67,0)</f>
        <v>4.6160924567445527E-2</v>
      </c>
      <c r="AH66" s="38">
        <f>MAX('[1]资源-铁'!AR67,0)</f>
        <v>5.5120770054355395E-2</v>
      </c>
      <c r="AI66" s="38">
        <f>MAX('[1]资源-士兵训练时间'!AV67,0)</f>
        <v>0.17174267966839943</v>
      </c>
      <c r="AJ66" s="38">
        <f>MAX('[1]资源-玩家城池建筑时间'!BL67,0)</f>
        <v>0.16027057051303847</v>
      </c>
      <c r="AK66" s="38">
        <f>MAX('[1]资源-士兵招募时间'!AW67,0)</f>
        <v>0</v>
      </c>
      <c r="AL66" s="38">
        <f>MAX('[1]资源-圣人研究时间'!AZ66,0)</f>
        <v>0.1749008671057693</v>
      </c>
      <c r="AM66" s="38">
        <f>MAX([2]士兵治疗!CB66,0)</f>
        <v>0</v>
      </c>
      <c r="AN66" s="38">
        <f>[4]武将数量星级阶位验证!$DA65</f>
        <v>0.370815420241003</v>
      </c>
      <c r="AO66" s="38">
        <f t="shared" si="3"/>
        <v>0.2</v>
      </c>
      <c r="AP66" s="48">
        <f t="shared" si="4"/>
        <v>1.245214294528902</v>
      </c>
    </row>
    <row r="67" spans="3:42" x14ac:dyDescent="0.15">
      <c r="C67" s="37">
        <v>63</v>
      </c>
      <c r="D67" s="38">
        <f>MAX('[1]资源-银币'!AY68,0)</f>
        <v>1.1699166800728217E-2</v>
      </c>
      <c r="E67" s="38">
        <f>MAX('[1]资源-木石铜粮'!AO68,0)</f>
        <v>2.4314190552581296E-2</v>
      </c>
      <c r="F67" s="38">
        <f>MAX('[1]资源-铁'!AN68,0)</f>
        <v>3.714971923047488E-2</v>
      </c>
      <c r="G67" s="38">
        <f>MAX('[1]资源-士兵训练时间'!AR68,0)</f>
        <v>8.5408243517294272E-2</v>
      </c>
      <c r="H67" s="38">
        <f>MAX('[1]资源-玩家城池建筑时间'!BH68,0)</f>
        <v>0.12217066641517235</v>
      </c>
      <c r="I67" s="38">
        <f>MAX('[1]资源-士兵招募时间'!AS68,0)</f>
        <v>0</v>
      </c>
      <c r="J67" s="38">
        <f>MAX('[1]资源-圣人研究时间'!AV67,0)</f>
        <v>0.15614648332239869</v>
      </c>
      <c r="K67" s="38">
        <f>MAX([2]士兵治疗!BX67,0)</f>
        <v>0</v>
      </c>
      <c r="L67" s="38">
        <f>[4]武将数量星级阶位验证!$CW66</f>
        <v>0.36701970851660687</v>
      </c>
      <c r="M67" s="38">
        <f>[3]投放验证!$AL$4</f>
        <v>0.2</v>
      </c>
      <c r="N67" s="48">
        <f t="shared" si="0"/>
        <v>1.0039081783552566</v>
      </c>
      <c r="O67" s="37"/>
      <c r="Q67" s="37">
        <v>63</v>
      </c>
      <c r="R67" s="38">
        <f>MAX('[1]资源-银币'!BA68,0)</f>
        <v>6.0802684507189196E-2</v>
      </c>
      <c r="S67" s="38">
        <f>MAX('[1]资源-木石铜粮'!AQ68,0)</f>
        <v>5.4500701757224816E-2</v>
      </c>
      <c r="T67" s="38">
        <f>MAX('[1]资源-铁'!AP68,0)</f>
        <v>6.7610991125571146E-2</v>
      </c>
      <c r="U67" s="38">
        <f>MAX('[1]资源-士兵训练时间'!AT68,0)</f>
        <v>0.19076782255984878</v>
      </c>
      <c r="V67" s="38">
        <f>MAX('[1]资源-玩家城池建筑时间'!BJ68,0)</f>
        <v>0.16930060207265191</v>
      </c>
      <c r="W67" s="38">
        <f>MAX('[1]资源-士兵招募时间'!AU68,0)</f>
        <v>0</v>
      </c>
      <c r="X67" s="38">
        <f>MAX('[1]资源-圣人研究时间'!AX67,0)</f>
        <v>0.21947513514885214</v>
      </c>
      <c r="Y67" s="38">
        <f>MAX([2]士兵治疗!BZ67,0)</f>
        <v>0</v>
      </c>
      <c r="Z67" s="38">
        <f>[4]武将数量星级阶位验证!$CY66</f>
        <v>0.36701970851660687</v>
      </c>
      <c r="AA67" s="38">
        <f t="shared" si="1"/>
        <v>0.2</v>
      </c>
      <c r="AB67" s="48">
        <f t="shared" si="2"/>
        <v>1.3294776456879449</v>
      </c>
      <c r="AE67" s="37">
        <v>63</v>
      </c>
      <c r="AF67" s="38">
        <f>MAX('[1]资源-银币'!BC68,0)</f>
        <v>6.6417601866271922E-2</v>
      </c>
      <c r="AG67" s="38">
        <f>MAX('[1]资源-木石铜粮'!AS68,0)</f>
        <v>4.7175368992603203E-2</v>
      </c>
      <c r="AH67" s="38">
        <f>MAX('[1]资源-铁'!AR68,0)</f>
        <v>5.6362899678752194E-2</v>
      </c>
      <c r="AI67" s="38">
        <f>MAX('[1]资源-士兵训练时间'!AV68,0)</f>
        <v>0.17063349051992116</v>
      </c>
      <c r="AJ67" s="38">
        <f>MAX('[1]资源-玩家城池建筑时间'!BL68,0)</f>
        <v>0.16016441978865878</v>
      </c>
      <c r="AK67" s="38">
        <f>MAX('[1]资源-士兵招募时间'!AW68,0)</f>
        <v>0</v>
      </c>
      <c r="AL67" s="38">
        <f>MAX('[1]资源-圣人研究时间'!AZ67,0)</f>
        <v>0.17504890782996052</v>
      </c>
      <c r="AM67" s="38">
        <f>MAX([2]士兵治疗!CB67,0)</f>
        <v>0</v>
      </c>
      <c r="AN67" s="38">
        <f>[4]武将数量星级阶位验证!$DA66</f>
        <v>0.36701970851660687</v>
      </c>
      <c r="AO67" s="38">
        <f t="shared" si="3"/>
        <v>0.2</v>
      </c>
      <c r="AP67" s="48">
        <f t="shared" si="4"/>
        <v>1.2428223971927745</v>
      </c>
    </row>
    <row r="68" spans="3:42" x14ac:dyDescent="0.15">
      <c r="C68" s="37">
        <v>64</v>
      </c>
      <c r="D68" s="38">
        <f>MAX('[1]资源-银币'!AY69,0)</f>
        <v>1.2078313280660209E-2</v>
      </c>
      <c r="E68" s="38">
        <f>MAX('[1]资源-木石铜粮'!AO69,0)</f>
        <v>2.4387900161950027E-2</v>
      </c>
      <c r="F68" s="38">
        <f>MAX('[1]资源-铁'!AN69,0)</f>
        <v>4.0558400900400221E-2</v>
      </c>
      <c r="G68" s="38">
        <f>MAX('[1]资源-士兵训练时间'!AR69,0)</f>
        <v>8.5517527708880769E-2</v>
      </c>
      <c r="H68" s="38">
        <f>MAX('[1]资源-玩家城池建筑时间'!BH69,0)</f>
        <v>0.12217487714375387</v>
      </c>
      <c r="I68" s="38">
        <f>MAX('[1]资源-士兵招募时间'!AS69,0)</f>
        <v>0</v>
      </c>
      <c r="J68" s="38">
        <f>MAX('[1]资源-圣人研究时间'!AV68,0)</f>
        <v>0.15677439981335148</v>
      </c>
      <c r="K68" s="38">
        <f>MAX([2]士兵治疗!BX68,0)</f>
        <v>0</v>
      </c>
      <c r="L68" s="38">
        <f>[4]武将数量星级阶位验证!$CW67</f>
        <v>0.36322399679221079</v>
      </c>
      <c r="M68" s="38">
        <f>[3]投放验证!$AL$4</f>
        <v>0.2</v>
      </c>
      <c r="N68" s="48">
        <f t="shared" si="0"/>
        <v>1.0047154158012073</v>
      </c>
      <c r="O68" s="37"/>
      <c r="Q68" s="37">
        <v>64</v>
      </c>
      <c r="R68" s="38">
        <f>MAX('[1]资源-银币'!BA69,0)</f>
        <v>5.9973669380120401E-2</v>
      </c>
      <c r="S68" s="38">
        <f>MAX('[1]资源-木石铜粮'!AQ69,0)</f>
        <v>5.4132550880595057E-2</v>
      </c>
      <c r="T68" s="38">
        <f>MAX('[1]资源-铁'!AP69,0)</f>
        <v>7.0419017062859302E-2</v>
      </c>
      <c r="U68" s="38">
        <f>MAX('[1]资源-士兵训练时间'!AT69,0)</f>
        <v>0.18857601469629412</v>
      </c>
      <c r="V68" s="38">
        <f>MAX('[1]资源-玩家城池建筑时间'!BJ69,0)</f>
        <v>0.16845984189952248</v>
      </c>
      <c r="W68" s="38">
        <f>MAX('[1]资源-士兵招募时间'!AU69,0)</f>
        <v>0</v>
      </c>
      <c r="X68" s="38">
        <f>MAX('[1]资源-圣人研究时间'!AX68,0)</f>
        <v>0.21875648352024857</v>
      </c>
      <c r="Y68" s="38">
        <f>MAX([2]士兵治疗!BZ68,0)</f>
        <v>0</v>
      </c>
      <c r="Z68" s="38">
        <f>[4]武将数量星级阶位验证!$CY67</f>
        <v>0.36322399679221079</v>
      </c>
      <c r="AA68" s="38">
        <f t="shared" si="1"/>
        <v>0.2</v>
      </c>
      <c r="AB68" s="48">
        <f t="shared" si="2"/>
        <v>1.3235415742318506</v>
      </c>
      <c r="AE68" s="37">
        <v>64</v>
      </c>
      <c r="AF68" s="38">
        <f>MAX('[1]资源-银币'!BC69,0)</f>
        <v>6.6576049673539889E-2</v>
      </c>
      <c r="AG68" s="38">
        <f>MAX('[1]资源-木石铜粮'!AS69,0)</f>
        <v>4.8205210711313042E-2</v>
      </c>
      <c r="AH68" s="38">
        <f>MAX('[1]资源-铁'!AR69,0)</f>
        <v>5.7537797001290303E-2</v>
      </c>
      <c r="AI68" s="38">
        <f>MAX('[1]资源-士兵训练时间'!AV69,0)</f>
        <v>0.16954116687297321</v>
      </c>
      <c r="AJ68" s="38">
        <f>MAX('[1]资源-玩家城池建筑时间'!BL69,0)</f>
        <v>0.1600798703403547</v>
      </c>
      <c r="AK68" s="38">
        <f>MAX('[1]资源-士兵招募时间'!AW69,0)</f>
        <v>0</v>
      </c>
      <c r="AL68" s="38">
        <f>MAX('[1]资源-圣人研究时间'!AZ68,0)</f>
        <v>0.17520064213491646</v>
      </c>
      <c r="AM68" s="38">
        <f>MAX([2]士兵治疗!CB68,0)</f>
        <v>0</v>
      </c>
      <c r="AN68" s="38">
        <f>[4]武将数量星级阶位验证!$DA67</f>
        <v>0.36322399679221079</v>
      </c>
      <c r="AO68" s="38">
        <f t="shared" si="3"/>
        <v>0.2</v>
      </c>
      <c r="AP68" s="48">
        <f t="shared" si="4"/>
        <v>1.2403647335265984</v>
      </c>
    </row>
    <row r="69" spans="3:42" x14ac:dyDescent="0.15">
      <c r="C69" s="37">
        <v>65</v>
      </c>
      <c r="D69" s="38">
        <f>MAX('[1]资源-银币'!AY70,0)</f>
        <v>1.2125534146214962E-2</v>
      </c>
      <c r="E69" s="38">
        <f>MAX('[1]资源-木石铜粮'!AO70,0)</f>
        <v>2.4148173424671012E-2</v>
      </c>
      <c r="F69" s="38">
        <f>MAX('[1]资源-铁'!AN70,0)</f>
        <v>4.3855757669483561E-2</v>
      </c>
      <c r="G69" s="38">
        <f>MAX('[1]资源-士兵训练时间'!AR70,0)</f>
        <v>8.5641202296493954E-2</v>
      </c>
      <c r="H69" s="38">
        <f>MAX('[1]资源-玩家城池建筑时间'!BH70,0)</f>
        <v>0.12240367175225057</v>
      </c>
      <c r="I69" s="38">
        <f>MAX('[1]资源-士兵招募时间'!AS70,0)</f>
        <v>0</v>
      </c>
      <c r="J69" s="38">
        <f>MAX('[1]资源-圣人研究时间'!AV69,0)</f>
        <v>0.15768690928505086</v>
      </c>
      <c r="K69" s="38">
        <f>MAX([2]士兵治疗!BX69,0)</f>
        <v>0</v>
      </c>
      <c r="L69" s="38">
        <f>[4]武将数量星级阶位验证!$CW68</f>
        <v>0.35942828506781466</v>
      </c>
      <c r="M69" s="38">
        <f>[3]投放验证!$AL$4</f>
        <v>0.2</v>
      </c>
      <c r="N69" s="48">
        <f t="shared" si="0"/>
        <v>1.0052895336419796</v>
      </c>
      <c r="O69" s="37"/>
      <c r="Q69" s="37">
        <v>65</v>
      </c>
      <c r="R69" s="38">
        <f>MAX('[1]资源-银币'!BA70,0)</f>
        <v>5.979768732523065E-2</v>
      </c>
      <c r="S69" s="38">
        <f>MAX('[1]资源-木石铜粮'!AQ70,0)</f>
        <v>5.5758517993073471E-2</v>
      </c>
      <c r="T69" s="38">
        <f>MAX('[1]资源-铁'!AP70,0)</f>
        <v>7.1977416802888647E-2</v>
      </c>
      <c r="U69" s="38">
        <f>MAX('[1]资源-士兵训练时间'!AT70,0)</f>
        <v>0.18616390753516879</v>
      </c>
      <c r="V69" s="38">
        <f>MAX('[1]资源-玩家城池建筑时间'!BJ70,0)</f>
        <v>0.16787390717139455</v>
      </c>
      <c r="W69" s="38">
        <f>MAX('[1]资源-士兵招募时间'!AU70,0)</f>
        <v>0</v>
      </c>
      <c r="X69" s="38">
        <f>MAX('[1]资源-圣人研究时间'!AX69,0)</f>
        <v>0.21822323125523405</v>
      </c>
      <c r="Y69" s="38">
        <f>MAX([2]士兵治疗!BZ69,0)</f>
        <v>0</v>
      </c>
      <c r="Z69" s="38">
        <f>[4]武将数量星级阶位验证!$CY68</f>
        <v>0.35942828506781466</v>
      </c>
      <c r="AA69" s="38">
        <f t="shared" si="1"/>
        <v>0.2</v>
      </c>
      <c r="AB69" s="48">
        <f t="shared" si="2"/>
        <v>1.3192229531508048</v>
      </c>
      <c r="AE69" s="37">
        <v>65</v>
      </c>
      <c r="AF69" s="38">
        <f>MAX('[1]资源-银币'!BC70,0)</f>
        <v>6.5966111913015713E-2</v>
      </c>
      <c r="AG69" s="38">
        <f>MAX('[1]资源-木石铜粮'!AS70,0)</f>
        <v>4.8841238894836235E-2</v>
      </c>
      <c r="AH69" s="38">
        <f>MAX('[1]资源-铁'!AR70,0)</f>
        <v>5.9456426826618287E-2</v>
      </c>
      <c r="AI69" s="38">
        <f>MAX('[1]资源-士兵训练时间'!AV70,0)</f>
        <v>0.16986320928377024</v>
      </c>
      <c r="AJ69" s="38">
        <f>MAX('[1]资源-玩家城池建筑时间'!BL70,0)</f>
        <v>0.1602074558121635</v>
      </c>
      <c r="AK69" s="38">
        <f>MAX('[1]资源-士兵招募时间'!AW70,0)</f>
        <v>0</v>
      </c>
      <c r="AL69" s="38">
        <f>MAX('[1]资源-圣人研究时间'!AZ69,0)</f>
        <v>0.1752443629602492</v>
      </c>
      <c r="AM69" s="38">
        <f>MAX([2]士兵治疗!CB69,0)</f>
        <v>0</v>
      </c>
      <c r="AN69" s="38">
        <f>[4]武将数量星级阶位验证!$DA68</f>
        <v>0.35942828506781466</v>
      </c>
      <c r="AO69" s="38">
        <f t="shared" si="3"/>
        <v>0.2</v>
      </c>
      <c r="AP69" s="48">
        <f t="shared" si="4"/>
        <v>1.2390070907584676</v>
      </c>
    </row>
    <row r="70" spans="3:42" x14ac:dyDescent="0.15">
      <c r="C70" s="37">
        <v>66</v>
      </c>
      <c r="D70" s="38">
        <f>MAX('[1]资源-银币'!AY71,0)</f>
        <v>1.2669413456872492E-2</v>
      </c>
      <c r="E70" s="38">
        <f>MAX('[1]资源-木石铜粮'!AO71,0)</f>
        <v>2.4358254006534172E-2</v>
      </c>
      <c r="F70" s="38">
        <f>MAX('[1]资源-铁'!AN71,0)</f>
        <v>4.8032459600753578E-2</v>
      </c>
      <c r="G70" s="38">
        <f>MAX('[1]资源-士兵训练时间'!AR71,0)</f>
        <v>8.7785866174231189E-2</v>
      </c>
      <c r="H70" s="38">
        <f>MAX('[1]资源-玩家城池建筑时间'!BH71,0)</f>
        <v>0.12563864160586849</v>
      </c>
      <c r="I70" s="38">
        <f>MAX('[1]资源-士兵招募时间'!AS71,0)</f>
        <v>0</v>
      </c>
      <c r="J70" s="38">
        <f>MAX('[1]资源-圣人研究时间'!AV70,0)</f>
        <v>0.16244691022845148</v>
      </c>
      <c r="K70" s="38">
        <f>MAX([2]士兵治疗!BX70,0)</f>
        <v>0</v>
      </c>
      <c r="L70" s="38">
        <f>[4]武将数量星级阶位验证!$CW69</f>
        <v>0.35575412926489924</v>
      </c>
      <c r="M70" s="38">
        <f>[3]投放验证!$AL$4</f>
        <v>0.2</v>
      </c>
      <c r="N70" s="48">
        <f t="shared" ref="N70:N114" si="5">SUM(D70:M70)</f>
        <v>1.0166856743376107</v>
      </c>
      <c r="O70" s="37"/>
      <c r="Q70" s="37">
        <v>66</v>
      </c>
      <c r="R70" s="38">
        <f>MAX('[1]资源-银币'!BA71,0)</f>
        <v>5.9960784619549741E-2</v>
      </c>
      <c r="S70" s="38">
        <f>MAX('[1]资源-木石铜粮'!AQ71,0)</f>
        <v>5.7512123817594844E-2</v>
      </c>
      <c r="T70" s="38">
        <f>MAX('[1]资源-铁'!AP71,0)</f>
        <v>7.3381831050755339E-2</v>
      </c>
      <c r="U70" s="38">
        <f>MAX('[1]资源-士兵训练时间'!AT71,0)</f>
        <v>0.18386014126870545</v>
      </c>
      <c r="V70" s="38">
        <f>MAX('[1]资源-玩家城池建筑时间'!BJ71,0)</f>
        <v>0.16733793391063298</v>
      </c>
      <c r="W70" s="38">
        <f>MAX('[1]资源-士兵招募时间'!AU71,0)</f>
        <v>0</v>
      </c>
      <c r="X70" s="38">
        <f>MAX('[1]资源-圣人研究时间'!AX70,0)</f>
        <v>0.21771941446113258</v>
      </c>
      <c r="Y70" s="38">
        <f>MAX([2]士兵治疗!BZ70,0)</f>
        <v>0</v>
      </c>
      <c r="Z70" s="38">
        <f>[4]武将数量星级阶位验证!$CY69</f>
        <v>0.35575412926489924</v>
      </c>
      <c r="AA70" s="38">
        <f t="shared" ref="AA70:AA114" si="6">M70</f>
        <v>0.2</v>
      </c>
      <c r="AB70" s="48">
        <f t="shared" ref="AB70:AB114" si="7">SUM(R70:AA70)</f>
        <v>1.3155263583932701</v>
      </c>
      <c r="AE70" s="37">
        <v>66</v>
      </c>
      <c r="AF70" s="38">
        <f>MAX('[1]资源-银币'!BC71,0)</f>
        <v>6.5588046398126196E-2</v>
      </c>
      <c r="AG70" s="38">
        <f>MAX('[1]资源-木石铜粮'!AS71,0)</f>
        <v>4.947054257696664E-2</v>
      </c>
      <c r="AH70" s="38">
        <f>MAX('[1]资源-铁'!AR71,0)</f>
        <v>6.1298087717394117E-2</v>
      </c>
      <c r="AI70" s="38">
        <f>MAX('[1]资源-士兵训练时间'!AV71,0)</f>
        <v>0.17037483877296147</v>
      </c>
      <c r="AJ70" s="38">
        <f>MAX('[1]资源-玩家城池建筑时间'!BL71,0)</f>
        <v>0.16037081562691782</v>
      </c>
      <c r="AK70" s="38">
        <f>MAX('[1]资源-士兵招募时间'!AW71,0)</f>
        <v>0</v>
      </c>
      <c r="AL70" s="38">
        <f>MAX('[1]资源-圣人研究时间'!AZ70,0)</f>
        <v>0.17527332500377071</v>
      </c>
      <c r="AM70" s="38">
        <f>MAX([2]士兵治疗!CB70,0)</f>
        <v>0</v>
      </c>
      <c r="AN70" s="38">
        <f>[4]武将数量星级阶位验证!$DA69</f>
        <v>0.35575412926489924</v>
      </c>
      <c r="AO70" s="38">
        <f t="shared" ref="AO70:AO114" si="8">AA70</f>
        <v>0.2</v>
      </c>
      <c r="AP70" s="48">
        <f t="shared" ref="AP70:AP114" si="9">SUM(AF70:AO70)</f>
        <v>1.2381297853610362</v>
      </c>
    </row>
    <row r="71" spans="3:42" x14ac:dyDescent="0.15">
      <c r="C71" s="37">
        <v>67</v>
      </c>
      <c r="D71" s="38">
        <f>MAX('[1]资源-银币'!AY72,0)</f>
        <v>1.2910844197444116E-2</v>
      </c>
      <c r="E71" s="38">
        <f>MAX('[1]资源-木石铜粮'!AO72,0)</f>
        <v>2.4575807716069126E-2</v>
      </c>
      <c r="F71" s="38">
        <f>MAX('[1]资源-铁'!AN72,0)</f>
        <v>5.1973799678611037E-2</v>
      </c>
      <c r="G71" s="38">
        <f>MAX('[1]资源-士兵训练时间'!AR72,0)</f>
        <v>8.9232979901175499E-2</v>
      </c>
      <c r="H71" s="38">
        <f>MAX('[1]资源-玩家城池建筑时间'!BH72,0)</f>
        <v>0.12915558173817346</v>
      </c>
      <c r="I71" s="38">
        <f>MAX('[1]资源-士兵招募时间'!AS72,0)</f>
        <v>0</v>
      </c>
      <c r="J71" s="38">
        <f>MAX('[1]资源-圣人研究时间'!AV71,0)</f>
        <v>0.16734986933843932</v>
      </c>
      <c r="K71" s="38">
        <f>MAX([2]士兵治疗!BX71,0)</f>
        <v>0</v>
      </c>
      <c r="L71" s="38">
        <f>[4]武将数量星级阶位验证!$CW70</f>
        <v>0.35207997346198378</v>
      </c>
      <c r="M71" s="38">
        <f>[3]投放验证!$AL$4</f>
        <v>0.2</v>
      </c>
      <c r="N71" s="48">
        <f t="shared" si="5"/>
        <v>1.0272788560318964</v>
      </c>
      <c r="O71" s="37"/>
      <c r="Q71" s="37">
        <v>67</v>
      </c>
      <c r="R71" s="38">
        <f>MAX('[1]资源-银币'!BA72,0)</f>
        <v>5.9295649579233924E-2</v>
      </c>
      <c r="S71" s="38">
        <f>MAX('[1]资源-木石铜粮'!AQ72,0)</f>
        <v>5.815120865942381E-2</v>
      </c>
      <c r="T71" s="38">
        <f>MAX('[1]资源-铁'!AP72,0)</f>
        <v>7.5208036591290967E-2</v>
      </c>
      <c r="U71" s="38">
        <f>MAX('[1]资源-士兵训练时间'!AT72,0)</f>
        <v>0.1811629437930356</v>
      </c>
      <c r="V71" s="38">
        <f>MAX('[1]资源-玩家城池建筑时间'!BJ72,0)</f>
        <v>0.16695865720212719</v>
      </c>
      <c r="W71" s="38">
        <f>MAX('[1]资源-士兵招募时间'!AU72,0)</f>
        <v>0</v>
      </c>
      <c r="X71" s="38">
        <f>MAX('[1]资源-圣人研究时间'!AX71,0)</f>
        <v>0.21711464635266126</v>
      </c>
      <c r="Y71" s="38">
        <f>MAX([2]士兵治疗!BZ71,0)</f>
        <v>0</v>
      </c>
      <c r="Z71" s="38">
        <f>[4]武将数量星级阶位验证!$CY70</f>
        <v>0.35207997346198378</v>
      </c>
      <c r="AA71" s="38">
        <f t="shared" si="6"/>
        <v>0.2</v>
      </c>
      <c r="AB71" s="48">
        <f t="shared" si="7"/>
        <v>1.3099711156397564</v>
      </c>
      <c r="AE71" s="37">
        <v>67</v>
      </c>
      <c r="AF71" s="38">
        <f>MAX('[1]资源-银币'!BC72,0)</f>
        <v>6.5048029182074266E-2</v>
      </c>
      <c r="AG71" s="38">
        <f>MAX('[1]资源-木石铜粮'!AS72,0)</f>
        <v>4.9561549199929E-2</v>
      </c>
      <c r="AH71" s="38">
        <f>MAX('[1]资源-铁'!AR72,0)</f>
        <v>6.3343311314185774E-2</v>
      </c>
      <c r="AI71" s="38">
        <f>MAX('[1]资源-士兵训练时间'!AV72,0)</f>
        <v>0.17038510842113347</v>
      </c>
      <c r="AJ71" s="38">
        <f>MAX('[1]资源-玩家城池建筑时间'!BL72,0)</f>
        <v>0.16074301616554088</v>
      </c>
      <c r="AK71" s="38">
        <f>MAX('[1]资源-士兵招募时间'!AW72,0)</f>
        <v>0</v>
      </c>
      <c r="AL71" s="38">
        <f>MAX('[1]资源-圣人研究时间'!AZ71,0)</f>
        <v>0.17531313335956941</v>
      </c>
      <c r="AM71" s="38">
        <f>MAX([2]士兵治疗!CB71,0)</f>
        <v>0</v>
      </c>
      <c r="AN71" s="38">
        <f>[4]武将数量星级阶位验证!$DA70</f>
        <v>0.35207997346198378</v>
      </c>
      <c r="AO71" s="38">
        <f t="shared" si="8"/>
        <v>0.2</v>
      </c>
      <c r="AP71" s="48">
        <f t="shared" si="9"/>
        <v>1.2364741211044166</v>
      </c>
    </row>
    <row r="72" spans="3:42" x14ac:dyDescent="0.15">
      <c r="C72" s="37">
        <v>68</v>
      </c>
      <c r="D72" s="38">
        <f>MAX('[1]资源-银币'!AY73,0)</f>
        <v>1.2784970495937308E-2</v>
      </c>
      <c r="E72" s="38">
        <f>MAX('[1]资源-木石铜粮'!AO73,0)</f>
        <v>2.4766138289104362E-2</v>
      </c>
      <c r="F72" s="38">
        <f>MAX('[1]资源-铁'!AN73,0)</f>
        <v>5.5594635192498042E-2</v>
      </c>
      <c r="G72" s="38">
        <f>MAX('[1]资源-士兵训练时间'!AR73,0)</f>
        <v>8.9866033091836217E-2</v>
      </c>
      <c r="H72" s="38">
        <f>MAX('[1]资源-玩家城池建筑时间'!BH73,0)</f>
        <v>0.13272936633294358</v>
      </c>
      <c r="I72" s="38">
        <f>MAX('[1]资源-士兵招募时间'!AS73,0)</f>
        <v>0</v>
      </c>
      <c r="J72" s="38">
        <f>MAX('[1]资源-圣人研究时间'!AV72,0)</f>
        <v>0.17208333008651167</v>
      </c>
      <c r="K72" s="38">
        <f>MAX([2]士兵治疗!BX72,0)</f>
        <v>0</v>
      </c>
      <c r="L72" s="38">
        <f>[4]武将数量星级阶位验证!$CW71</f>
        <v>0.34840581765906836</v>
      </c>
      <c r="M72" s="38">
        <f>[3]投放验证!$AL$4</f>
        <v>0.2</v>
      </c>
      <c r="N72" s="48">
        <f t="shared" si="5"/>
        <v>1.0362302911478996</v>
      </c>
      <c r="O72" s="37"/>
      <c r="Q72" s="37">
        <v>68</v>
      </c>
      <c r="R72" s="38">
        <f>MAX('[1]资源-银币'!BA73,0)</f>
        <v>5.625346074486326E-2</v>
      </c>
      <c r="S72" s="38">
        <f>MAX('[1]资源-木石铜粮'!AQ73,0)</f>
        <v>5.67837585507849E-2</v>
      </c>
      <c r="T72" s="38">
        <f>MAX('[1]资源-铁'!AP73,0)</f>
        <v>7.8717098547476036E-2</v>
      </c>
      <c r="U72" s="38">
        <f>MAX('[1]资源-士兵训练时间'!AT73,0)</f>
        <v>0.18122632877520681</v>
      </c>
      <c r="V72" s="38">
        <f>MAX('[1]资源-玩家城池建筑时间'!BJ73,0)</f>
        <v>0.16700617652215038</v>
      </c>
      <c r="W72" s="38">
        <f>MAX('[1]资源-士兵招募时间'!AU73,0)</f>
        <v>0</v>
      </c>
      <c r="X72" s="38">
        <f>MAX('[1]资源-圣人研究时间'!AX72,0)</f>
        <v>0.21586724180814529</v>
      </c>
      <c r="Y72" s="38">
        <f>MAX([2]士兵治疗!BZ72,0)</f>
        <v>0</v>
      </c>
      <c r="Z72" s="38">
        <f>[4]武将数量星级阶位验证!$CY71</f>
        <v>0.34840581765906836</v>
      </c>
      <c r="AA72" s="38">
        <f t="shared" si="6"/>
        <v>0.2</v>
      </c>
      <c r="AB72" s="48">
        <f t="shared" si="7"/>
        <v>1.304259882607695</v>
      </c>
      <c r="AE72" s="37">
        <v>68</v>
      </c>
      <c r="AF72" s="38">
        <f>MAX('[1]资源-银币'!BC73,0)</f>
        <v>6.4508166939066358E-2</v>
      </c>
      <c r="AG72" s="38">
        <f>MAX('[1]资源-木石铜粮'!AS73,0)</f>
        <v>4.9337584233474258E-2</v>
      </c>
      <c r="AH72" s="38">
        <f>MAX('[1]资源-铁'!AR73,0)</f>
        <v>6.5189524877996105E-2</v>
      </c>
      <c r="AI72" s="38">
        <f>MAX('[1]资源-士兵训练时间'!AV73,0)</f>
        <v>0.16926240161444189</v>
      </c>
      <c r="AJ72" s="38">
        <f>MAX('[1]资源-玩家城池建筑时间'!BL73,0)</f>
        <v>0.16131677108694953</v>
      </c>
      <c r="AK72" s="38">
        <f>MAX('[1]资源-士兵招募时间'!AW73,0)</f>
        <v>0</v>
      </c>
      <c r="AL72" s="38">
        <f>MAX('[1]资源-圣人研究时间'!AZ72,0)</f>
        <v>0.17533062902689117</v>
      </c>
      <c r="AM72" s="38">
        <f>MAX([2]士兵治疗!CB72,0)</f>
        <v>0</v>
      </c>
      <c r="AN72" s="38">
        <f>[4]武将数量星级阶位验证!$DA71</f>
        <v>0.34840581765906836</v>
      </c>
      <c r="AO72" s="38">
        <f t="shared" si="8"/>
        <v>0.2</v>
      </c>
      <c r="AP72" s="48">
        <f t="shared" si="9"/>
        <v>1.2333508954378876</v>
      </c>
    </row>
    <row r="73" spans="3:42" x14ac:dyDescent="0.15">
      <c r="C73" s="37">
        <v>69</v>
      </c>
      <c r="D73" s="38">
        <f>MAX('[1]资源-银币'!AY74,0)</f>
        <v>1.2247055055119612E-2</v>
      </c>
      <c r="E73" s="38">
        <f>MAX('[1]资源-木石铜粮'!AO74,0)</f>
        <v>2.4930337764229864E-2</v>
      </c>
      <c r="F73" s="38">
        <f>MAX('[1]资源-铁'!AN74,0)</f>
        <v>5.9237490748166498E-2</v>
      </c>
      <c r="G73" s="38">
        <f>MAX('[1]资源-士兵训练时间'!AR74,0)</f>
        <v>9.1525419275364311E-2</v>
      </c>
      <c r="H73" s="38">
        <f>MAX('[1]资源-玩家城池建筑时间'!BH74,0)</f>
        <v>0.13632758470624073</v>
      </c>
      <c r="I73" s="38">
        <f>MAX('[1]资源-士兵招募时间'!AS74,0)</f>
        <v>0</v>
      </c>
      <c r="J73" s="38">
        <f>MAX('[1]资源-圣人研究时间'!AV73,0)</f>
        <v>0.17652132526180861</v>
      </c>
      <c r="K73" s="38">
        <f>MAX([2]士兵治疗!BX73,0)</f>
        <v>0</v>
      </c>
      <c r="L73" s="38">
        <f>[4]武将数量星级阶位验证!$CW72</f>
        <v>0.34473166185615289</v>
      </c>
      <c r="M73" s="38">
        <f>[3]投放验证!$AL$4</f>
        <v>0.2</v>
      </c>
      <c r="N73" s="48">
        <f t="shared" si="5"/>
        <v>1.0455208746670825</v>
      </c>
      <c r="O73" s="37"/>
      <c r="Q73" s="37">
        <v>69</v>
      </c>
      <c r="R73" s="38">
        <f>MAX('[1]资源-银币'!BA74,0)</f>
        <v>5.4141764692102037E-2</v>
      </c>
      <c r="S73" s="38">
        <f>MAX('[1]资源-木石铜粮'!AQ74,0)</f>
        <v>5.6474947427159868E-2</v>
      </c>
      <c r="T73" s="38">
        <f>MAX('[1]资源-铁'!AP74,0)</f>
        <v>8.1137581848532772E-2</v>
      </c>
      <c r="U73" s="38">
        <f>MAX('[1]资源-士兵训练时间'!AT74,0)</f>
        <v>0.18047236054614563</v>
      </c>
      <c r="V73" s="38">
        <f>MAX('[1]资源-玩家城池建筑时间'!BJ74,0)</f>
        <v>0.16711426447045796</v>
      </c>
      <c r="W73" s="38">
        <f>MAX('[1]资源-士兵招募时间'!AU74,0)</f>
        <v>0</v>
      </c>
      <c r="X73" s="38">
        <f>MAX('[1]资源-圣人研究时间'!AX73,0)</f>
        <v>0.21484491286219093</v>
      </c>
      <c r="Y73" s="38">
        <f>MAX([2]士兵治疗!BZ73,0)</f>
        <v>0</v>
      </c>
      <c r="Z73" s="38">
        <f>[4]武将数量星级阶位验证!$CY72</f>
        <v>0.34473166185615289</v>
      </c>
      <c r="AA73" s="38">
        <f t="shared" si="6"/>
        <v>0.2</v>
      </c>
      <c r="AB73" s="48">
        <f t="shared" si="7"/>
        <v>1.2989174937027421</v>
      </c>
      <c r="AE73" s="37">
        <v>69</v>
      </c>
      <c r="AF73" s="38">
        <f>MAX('[1]资源-银币'!BC74,0)</f>
        <v>6.2785515589779309E-2</v>
      </c>
      <c r="AG73" s="38">
        <f>MAX('[1]资源-木石铜粮'!AS74,0)</f>
        <v>4.8401503308693937E-2</v>
      </c>
      <c r="AH73" s="38">
        <f>MAX('[1]资源-铁'!AR74,0)</f>
        <v>6.6733004142492225E-2</v>
      </c>
      <c r="AI73" s="38">
        <f>MAX('[1]资源-士兵训练时间'!AV74,0)</f>
        <v>0.16710821418608232</v>
      </c>
      <c r="AJ73" s="38">
        <f>MAX('[1]资源-玩家城池建筑时间'!BL74,0)</f>
        <v>0.16088535141511498</v>
      </c>
      <c r="AK73" s="38">
        <f>MAX('[1]资源-士兵招募时间'!AW74,0)</f>
        <v>0</v>
      </c>
      <c r="AL73" s="38">
        <f>MAX('[1]资源-圣人研究时间'!AZ73,0)</f>
        <v>0.17387673311004564</v>
      </c>
      <c r="AM73" s="38">
        <f>MAX([2]士兵治疗!CB73,0)</f>
        <v>0</v>
      </c>
      <c r="AN73" s="38">
        <f>[4]武将数量星级阶位验证!$DA72</f>
        <v>0.34473166185615289</v>
      </c>
      <c r="AO73" s="38">
        <f t="shared" si="8"/>
        <v>0.2</v>
      </c>
      <c r="AP73" s="48">
        <f t="shared" si="9"/>
        <v>1.2245219836083612</v>
      </c>
    </row>
    <row r="74" spans="3:42" x14ac:dyDescent="0.15">
      <c r="C74" s="37">
        <v>70</v>
      </c>
      <c r="D74" s="38">
        <f>MAX('[1]资源-银币'!AY75,0)</f>
        <v>1.1497769034534906E-2</v>
      </c>
      <c r="E74" s="38">
        <f>MAX('[1]资源-木石铜粮'!AO75,0)</f>
        <v>2.5070511147039991E-2</v>
      </c>
      <c r="F74" s="38">
        <f>MAX('[1]资源-铁'!AN75,0)</f>
        <v>6.305694362078898E-2</v>
      </c>
      <c r="G74" s="38">
        <f>MAX('[1]资源-士兵训练时间'!AR75,0)</f>
        <v>9.4830873348497061E-2</v>
      </c>
      <c r="H74" s="38">
        <f>MAX('[1]资源-玩家城池建筑时间'!BH75,0)</f>
        <v>0.13997883550088033</v>
      </c>
      <c r="I74" s="38">
        <f>MAX('[1]资源-士兵招募时间'!AS75,0)</f>
        <v>0</v>
      </c>
      <c r="J74" s="38">
        <f>MAX('[1]资源-圣人研究时间'!AV74,0)</f>
        <v>0.18056309207311635</v>
      </c>
      <c r="K74" s="38">
        <f>MAX([2]士兵治疗!BX74,0)</f>
        <v>0</v>
      </c>
      <c r="L74" s="38">
        <f>[4]武将数量星级阶位验证!$CW73</f>
        <v>0.34105750605323748</v>
      </c>
      <c r="M74" s="38">
        <f>[3]投放验证!$AL$4</f>
        <v>0.2</v>
      </c>
      <c r="N74" s="48">
        <f t="shared" si="5"/>
        <v>1.0560555307780952</v>
      </c>
      <c r="O74" s="37"/>
      <c r="Q74" s="37">
        <v>70</v>
      </c>
      <c r="R74" s="38">
        <f>MAX('[1]资源-银币'!BA75,0)</f>
        <v>5.335865786977001E-2</v>
      </c>
      <c r="S74" s="38">
        <f>MAX('[1]资源-木石铜粮'!AQ75,0)</f>
        <v>5.6870562888224202E-2</v>
      </c>
      <c r="T74" s="38">
        <f>MAX('[1]资源-铁'!AP75,0)</f>
        <v>8.2509434129761125E-2</v>
      </c>
      <c r="U74" s="38">
        <f>MAX('[1]资源-士兵训练时间'!AT75,0)</f>
        <v>0.17855980175093519</v>
      </c>
      <c r="V74" s="38">
        <f>MAX('[1]资源-玩家城池建筑时间'!BJ75,0)</f>
        <v>0.16727382064886462</v>
      </c>
      <c r="W74" s="38">
        <f>MAX('[1]资源-士兵招募时间'!AU75,0)</f>
        <v>0</v>
      </c>
      <c r="X74" s="38">
        <f>MAX('[1]资源-圣人研究时间'!AX74,0)</f>
        <v>0.21402034952486426</v>
      </c>
      <c r="Y74" s="38">
        <f>MAX([2]士兵治疗!BZ74,0)</f>
        <v>0</v>
      </c>
      <c r="Z74" s="38">
        <f>[4]武将数量星级阶位验证!$CY73</f>
        <v>0.34105750605323748</v>
      </c>
      <c r="AA74" s="38">
        <f t="shared" si="6"/>
        <v>0.2</v>
      </c>
      <c r="AB74" s="48">
        <f t="shared" si="7"/>
        <v>1.2936501328656569</v>
      </c>
      <c r="AE74" s="37">
        <v>70</v>
      </c>
      <c r="AF74" s="38">
        <f>MAX('[1]资源-银币'!BC75,0)</f>
        <v>6.0529270648847812E-2</v>
      </c>
      <c r="AG74" s="38">
        <f>MAX('[1]资源-木石铜粮'!AS75,0)</f>
        <v>4.7391228695203652E-2</v>
      </c>
      <c r="AH74" s="38">
        <f>MAX('[1]资源-铁'!AR75,0)</f>
        <v>6.8182717871410156E-2</v>
      </c>
      <c r="AI74" s="38">
        <f>MAX('[1]资源-士兵训练时间'!AV75,0)</f>
        <v>0.1652095121904609</v>
      </c>
      <c r="AJ74" s="38">
        <f>MAX('[1]资源-玩家城池建筑时间'!BL75,0)</f>
        <v>0.16055022730238055</v>
      </c>
      <c r="AK74" s="38">
        <f>MAX('[1]资源-士兵招募时间'!AW75,0)</f>
        <v>0</v>
      </c>
      <c r="AL74" s="38">
        <f>MAX('[1]资源-圣人研究时间'!AZ74,0)</f>
        <v>0.17234318394233641</v>
      </c>
      <c r="AM74" s="38">
        <f>MAX([2]士兵治疗!CB74,0)</f>
        <v>0</v>
      </c>
      <c r="AN74" s="38">
        <f>[4]武将数量星级阶位验证!$DA73</f>
        <v>0.34105750605323748</v>
      </c>
      <c r="AO74" s="38">
        <f t="shared" si="8"/>
        <v>0.2</v>
      </c>
      <c r="AP74" s="48">
        <f t="shared" si="9"/>
        <v>1.2152636467038769</v>
      </c>
    </row>
    <row r="75" spans="3:42" x14ac:dyDescent="0.15">
      <c r="C75" s="37">
        <v>71</v>
      </c>
      <c r="D75" s="38">
        <f>MAX('[1]资源-银币'!AY76,0)</f>
        <v>1.2573479737245586E-2</v>
      </c>
      <c r="E75" s="38">
        <f>MAX('[1]资源-木石铜粮'!AO76,0)</f>
        <v>2.5127735792818264E-2</v>
      </c>
      <c r="F75" s="38">
        <f>MAX('[1]资源-铁'!AN76,0)</f>
        <v>6.6223657897899121E-2</v>
      </c>
      <c r="G75" s="38">
        <f>MAX('[1]资源-士兵训练时间'!AR76,0)</f>
        <v>9.7562411999478349E-2</v>
      </c>
      <c r="H75" s="38">
        <f>MAX('[1]资源-玩家城池建筑时间'!BH76,0)</f>
        <v>0.14359852286865218</v>
      </c>
      <c r="I75" s="38">
        <f>MAX('[1]资源-士兵招募时间'!AS76,0)</f>
        <v>0</v>
      </c>
      <c r="J75" s="38">
        <f>MAX('[1]资源-圣人研究时间'!AV75,0)</f>
        <v>0.18445378282395908</v>
      </c>
      <c r="K75" s="38">
        <f>MAX([2]士兵治疗!BX75,0)</f>
        <v>0</v>
      </c>
      <c r="L75" s="38">
        <f>[4]武将数量星级阶位验证!$CW74</f>
        <v>0.33750156221963323</v>
      </c>
      <c r="M75" s="38">
        <f>[3]投放验证!$AL$4</f>
        <v>0.2</v>
      </c>
      <c r="N75" s="48">
        <f t="shared" si="5"/>
        <v>1.0670411533396857</v>
      </c>
      <c r="O75" s="37"/>
      <c r="Q75" s="37">
        <v>71</v>
      </c>
      <c r="R75" s="38">
        <f>MAX('[1]资源-银币'!BA76,0)</f>
        <v>5.4168698206312246E-2</v>
      </c>
      <c r="S75" s="38">
        <f>MAX('[1]资源-木石铜粮'!AQ76,0)</f>
        <v>5.7218382772826586E-2</v>
      </c>
      <c r="T75" s="38">
        <f>MAX('[1]资源-铁'!AP76,0)</f>
        <v>8.4646260710471211E-2</v>
      </c>
      <c r="U75" s="38">
        <f>MAX('[1]资源-士兵训练时间'!AT76,0)</f>
        <v>0.17881671410029307</v>
      </c>
      <c r="V75" s="38">
        <f>MAX('[1]资源-玩家城池建筑时间'!BJ76,0)</f>
        <v>0.1694928087355454</v>
      </c>
      <c r="W75" s="38">
        <f>MAX('[1]资源-士兵招募时间'!AU76,0)</f>
        <v>0</v>
      </c>
      <c r="X75" s="38">
        <f>MAX('[1]资源-圣人研究时间'!AX75,0)</f>
        <v>0.21568448011287575</v>
      </c>
      <c r="Y75" s="38">
        <f>MAX([2]士兵治疗!BZ75,0)</f>
        <v>0</v>
      </c>
      <c r="Z75" s="38">
        <f>[4]武将数量星级阶位验证!$CY74</f>
        <v>0.33750156221963323</v>
      </c>
      <c r="AA75" s="38">
        <f t="shared" si="6"/>
        <v>0.2</v>
      </c>
      <c r="AB75" s="48">
        <f t="shared" si="7"/>
        <v>1.2975289068579574</v>
      </c>
      <c r="AE75" s="37">
        <v>71</v>
      </c>
      <c r="AF75" s="38">
        <f>MAX('[1]资源-银币'!BC76,0)</f>
        <v>5.9277343387260088E-2</v>
      </c>
      <c r="AG75" s="38">
        <f>MAX('[1]资源-木石铜粮'!AS76,0)</f>
        <v>4.6662892366747796E-2</v>
      </c>
      <c r="AH75" s="38">
        <f>MAX('[1]资源-铁'!AR76,0)</f>
        <v>6.9371110492722945E-2</v>
      </c>
      <c r="AI75" s="38">
        <f>MAX('[1]资源-士兵训练时间'!AV76,0)</f>
        <v>0.16332404495078282</v>
      </c>
      <c r="AJ75" s="38">
        <f>MAX('[1]资源-玩家城池建筑时间'!BL76,0)</f>
        <v>0.15967991846661109</v>
      </c>
      <c r="AK75" s="38">
        <f>MAX('[1]资源-士兵招募时间'!AW76,0)</f>
        <v>0</v>
      </c>
      <c r="AL75" s="38">
        <f>MAX('[1]资源-圣人研究时间'!AZ75,0)</f>
        <v>0.17056605860187754</v>
      </c>
      <c r="AM75" s="38">
        <f>MAX([2]士兵治疗!CB75,0)</f>
        <v>0</v>
      </c>
      <c r="AN75" s="38">
        <f>[4]武将数量星级阶位验证!$DA74</f>
        <v>0.33750156221963323</v>
      </c>
      <c r="AO75" s="38">
        <f t="shared" si="8"/>
        <v>0.2</v>
      </c>
      <c r="AP75" s="48">
        <f t="shared" si="9"/>
        <v>1.2063829304856355</v>
      </c>
    </row>
    <row r="76" spans="3:42" x14ac:dyDescent="0.15">
      <c r="C76" s="37">
        <v>72</v>
      </c>
      <c r="D76" s="38">
        <f>MAX('[1]资源-银币'!AY77,0)</f>
        <v>1.3760280577523947E-2</v>
      </c>
      <c r="E76" s="38">
        <f>MAX('[1]资源-木石铜粮'!AO77,0)</f>
        <v>2.5337233021438706E-2</v>
      </c>
      <c r="F76" s="38">
        <f>MAX('[1]资源-铁'!AN77,0)</f>
        <v>6.8820205233633774E-2</v>
      </c>
      <c r="G76" s="38">
        <f>MAX('[1]资源-士兵训练时间'!AR77,0)</f>
        <v>9.8808821544907832E-2</v>
      </c>
      <c r="H76" s="38">
        <f>MAX('[1]资源-玩家城池建筑时间'!BH77,0)</f>
        <v>0.14732521034999474</v>
      </c>
      <c r="I76" s="38">
        <f>MAX('[1]资源-士兵招募时间'!AS77,0)</f>
        <v>0</v>
      </c>
      <c r="J76" s="38">
        <f>MAX('[1]资源-圣人研究时间'!AV76,0)</f>
        <v>0.18816952545574461</v>
      </c>
      <c r="K76" s="38">
        <f>MAX([2]士兵治疗!BX76,0)</f>
        <v>0</v>
      </c>
      <c r="L76" s="38">
        <f>[4]武将数量星级阶位验证!$CW75</f>
        <v>0.33394561838602899</v>
      </c>
      <c r="M76" s="38">
        <f>[3]投放验证!$AL$4</f>
        <v>0.2</v>
      </c>
      <c r="N76" s="48">
        <f t="shared" si="5"/>
        <v>1.0761668945692726</v>
      </c>
      <c r="O76" s="37"/>
      <c r="Q76" s="37">
        <v>72</v>
      </c>
      <c r="R76" s="38">
        <f>MAX('[1]资源-银币'!BA77,0)</f>
        <v>5.3435500731628297E-2</v>
      </c>
      <c r="S76" s="38">
        <f>MAX('[1]资源-木石铜粮'!AQ77,0)</f>
        <v>5.5890896466292098E-2</v>
      </c>
      <c r="T76" s="38">
        <f>MAX('[1]资源-铁'!AP77,0)</f>
        <v>8.8482992648929282E-2</v>
      </c>
      <c r="U76" s="38">
        <f>MAX('[1]资源-士兵训练时间'!AT77,0)</f>
        <v>0.18104415864856493</v>
      </c>
      <c r="V76" s="38">
        <f>MAX('[1]资源-玩家城池建筑时间'!BJ77,0)</f>
        <v>0.17412971475400793</v>
      </c>
      <c r="W76" s="38">
        <f>MAX('[1]资源-士兵招募时间'!AU77,0)</f>
        <v>0</v>
      </c>
      <c r="X76" s="38">
        <f>MAX('[1]资源-圣人研究时间'!AX76,0)</f>
        <v>0.2191835399486729</v>
      </c>
      <c r="Y76" s="38">
        <f>MAX([2]士兵治疗!BZ76,0)</f>
        <v>0</v>
      </c>
      <c r="Z76" s="38">
        <f>[4]武将数量星级阶位验证!$CY75</f>
        <v>0.33394561838602899</v>
      </c>
      <c r="AA76" s="38">
        <f t="shared" si="6"/>
        <v>0.2</v>
      </c>
      <c r="AB76" s="48">
        <f t="shared" si="7"/>
        <v>1.3061124215841244</v>
      </c>
      <c r="AE76" s="37">
        <v>72</v>
      </c>
      <c r="AF76" s="38">
        <f>MAX('[1]资源-银币'!BC77,0)</f>
        <v>5.8272010988528779E-2</v>
      </c>
      <c r="AG76" s="38">
        <f>MAX('[1]资源-木石铜粮'!AS77,0)</f>
        <v>4.5873883622668622E-2</v>
      </c>
      <c r="AH76" s="38">
        <f>MAX('[1]资源-铁'!AR77,0)</f>
        <v>7.0247782631810779E-2</v>
      </c>
      <c r="AI76" s="38">
        <f>MAX('[1]资源-士兵训练时间'!AV77,0)</f>
        <v>0.16178968393352769</v>
      </c>
      <c r="AJ76" s="38">
        <f>MAX('[1]资源-玩家城池建筑时间'!BL77,0)</f>
        <v>0.15962051205434474</v>
      </c>
      <c r="AK76" s="38">
        <f>MAX('[1]资源-士兵招募时间'!AW77,0)</f>
        <v>0</v>
      </c>
      <c r="AL76" s="38">
        <f>MAX('[1]资源-圣人研究时间'!AZ76,0)</f>
        <v>0.16884055692530342</v>
      </c>
      <c r="AM76" s="38">
        <f>MAX([2]士兵治疗!CB76,0)</f>
        <v>0</v>
      </c>
      <c r="AN76" s="38">
        <f>[4]武将数量星级阶位验证!$DA75</f>
        <v>0.33394561838602899</v>
      </c>
      <c r="AO76" s="38">
        <f t="shared" si="8"/>
        <v>0.2</v>
      </c>
      <c r="AP76" s="48">
        <f t="shared" si="9"/>
        <v>1.198590048542213</v>
      </c>
    </row>
    <row r="77" spans="3:42" x14ac:dyDescent="0.15">
      <c r="C77" s="37">
        <v>73</v>
      </c>
      <c r="D77" s="38">
        <f>MAX('[1]资源-银币'!AY78,0)</f>
        <v>1.4753022633273058E-2</v>
      </c>
      <c r="E77" s="38">
        <f>MAX('[1]资源-木石铜粮'!AO78,0)</f>
        <v>2.553371533348953E-2</v>
      </c>
      <c r="F77" s="38">
        <f>MAX('[1]资源-铁'!AN78,0)</f>
        <v>7.1230018788795771E-2</v>
      </c>
      <c r="G77" s="38">
        <f>MAX('[1]资源-士兵训练时间'!AR78,0)</f>
        <v>0.10002449483182421</v>
      </c>
      <c r="H77" s="38">
        <f>MAX('[1]资源-玩家城池建筑时间'!BH78,0)</f>
        <v>0.15085979794705218</v>
      </c>
      <c r="I77" s="38">
        <f>MAX('[1]资源-士兵招募时间'!AS78,0)</f>
        <v>0</v>
      </c>
      <c r="J77" s="38">
        <f>MAX('[1]资源-圣人研究时间'!AV77,0)</f>
        <v>0.19167128806952374</v>
      </c>
      <c r="K77" s="38">
        <f>MAX([2]士兵治疗!BX77,0)</f>
        <v>0</v>
      </c>
      <c r="L77" s="38">
        <f>[4]武将数量星级阶位验证!$CW76</f>
        <v>0.33038967455242479</v>
      </c>
      <c r="M77" s="38">
        <f>[3]投放验证!$AL$4</f>
        <v>0.2</v>
      </c>
      <c r="N77" s="48">
        <f t="shared" si="5"/>
        <v>1.0844620121563833</v>
      </c>
      <c r="O77" s="37"/>
      <c r="Q77" s="37">
        <v>73</v>
      </c>
      <c r="R77" s="38">
        <f>MAX('[1]资源-银币'!BA78,0)</f>
        <v>5.3045269593342714E-2</v>
      </c>
      <c r="S77" s="38">
        <f>MAX('[1]资源-木石铜粮'!AQ78,0)</f>
        <v>5.4913197173941115E-2</v>
      </c>
      <c r="T77" s="38">
        <f>MAX('[1]资源-铁'!AP78,0)</f>
        <v>9.1861915387789816E-2</v>
      </c>
      <c r="U77" s="38">
        <f>MAX('[1]资源-士兵训练时间'!AT78,0)</f>
        <v>0.18307427419158112</v>
      </c>
      <c r="V77" s="38">
        <f>MAX('[1]资源-玩家城池建筑时间'!BJ78,0)</f>
        <v>0.17849838849694799</v>
      </c>
      <c r="W77" s="38">
        <f>MAX('[1]资源-士兵招募时间'!AU78,0)</f>
        <v>0</v>
      </c>
      <c r="X77" s="38">
        <f>MAX('[1]资源-圣人研究时间'!AX77,0)</f>
        <v>0.2221983805208807</v>
      </c>
      <c r="Y77" s="38">
        <f>MAX([2]士兵治疗!BZ77,0)</f>
        <v>0</v>
      </c>
      <c r="Z77" s="38">
        <f>[4]武将数量星级阶位验证!$CY76</f>
        <v>0.33038967455242479</v>
      </c>
      <c r="AA77" s="38">
        <f t="shared" si="6"/>
        <v>0.2</v>
      </c>
      <c r="AB77" s="48">
        <f t="shared" si="7"/>
        <v>1.3139810999169081</v>
      </c>
      <c r="AE77" s="37">
        <v>73</v>
      </c>
      <c r="AF77" s="38">
        <f>MAX('[1]资源-银币'!BC78,0)</f>
        <v>5.749355504386728E-2</v>
      </c>
      <c r="AG77" s="38">
        <f>MAX('[1]资源-木石铜粮'!AS78,0)</f>
        <v>4.5326175764165089E-2</v>
      </c>
      <c r="AH77" s="38">
        <f>MAX('[1]资源-铁'!AR78,0)</f>
        <v>7.0759937552463736E-2</v>
      </c>
      <c r="AI77" s="38">
        <f>MAX('[1]资源-士兵训练时间'!AV78,0)</f>
        <v>0.1605489625889574</v>
      </c>
      <c r="AJ77" s="38">
        <f>MAX('[1]资源-玩家城池建筑时间'!BL78,0)</f>
        <v>0.15964911073288898</v>
      </c>
      <c r="AK77" s="38">
        <f>MAX('[1]资源-士兵招募时间'!AW78,0)</f>
        <v>0</v>
      </c>
      <c r="AL77" s="38">
        <f>MAX('[1]资源-圣人研究时间'!AZ77,0)</f>
        <v>0.16714804040175357</v>
      </c>
      <c r="AM77" s="38">
        <f>MAX([2]士兵治疗!CB77,0)</f>
        <v>0</v>
      </c>
      <c r="AN77" s="38">
        <f>[4]武将数量星级阶位验证!$DA76</f>
        <v>0.33038967455242479</v>
      </c>
      <c r="AO77" s="38">
        <f t="shared" si="8"/>
        <v>0.2</v>
      </c>
      <c r="AP77" s="48">
        <f t="shared" si="9"/>
        <v>1.1913154566365207</v>
      </c>
    </row>
    <row r="78" spans="3:42" x14ac:dyDescent="0.15">
      <c r="C78" s="37">
        <v>74</v>
      </c>
      <c r="D78" s="38">
        <f>MAX('[1]资源-银币'!AY79,0)</f>
        <v>1.5017175659033421E-2</v>
      </c>
      <c r="E78" s="38">
        <f>MAX('[1]资源-木石铜粮'!AO79,0)</f>
        <v>2.5808405478532928E-2</v>
      </c>
      <c r="F78" s="38">
        <f>MAX('[1]资源-铁'!AN79,0)</f>
        <v>7.3683011382867342E-2</v>
      </c>
      <c r="G78" s="38">
        <f>MAX('[1]资源-士兵训练时间'!AR79,0)</f>
        <v>0.1014671925901786</v>
      </c>
      <c r="H78" s="38">
        <f>MAX('[1]资源-玩家城池建筑时间'!BH79,0)</f>
        <v>0.15444818987165052</v>
      </c>
      <c r="I78" s="38">
        <f>MAX('[1]资源-士兵招募时间'!AS79,0)</f>
        <v>0</v>
      </c>
      <c r="J78" s="38">
        <f>MAX('[1]资源-圣人研究时间'!AV78,0)</f>
        <v>0.19466248748697576</v>
      </c>
      <c r="K78" s="38">
        <f>MAX([2]士兵治疗!BX78,0)</f>
        <v>0</v>
      </c>
      <c r="L78" s="38">
        <f>[4]武将数量星级阶位验证!$CW77</f>
        <v>0.32683373071882055</v>
      </c>
      <c r="M78" s="38">
        <f>[3]投放验证!$AL$4</f>
        <v>0.2</v>
      </c>
      <c r="N78" s="48">
        <f t="shared" si="5"/>
        <v>1.0919201931880591</v>
      </c>
      <c r="O78" s="37"/>
      <c r="Q78" s="37">
        <v>74</v>
      </c>
      <c r="R78" s="38">
        <f>MAX('[1]资源-银币'!BA79,0)</f>
        <v>5.341634972309748E-2</v>
      </c>
      <c r="S78" s="38">
        <f>MAX('[1]资源-木石铜粮'!AQ79,0)</f>
        <v>5.5742561505624996E-2</v>
      </c>
      <c r="T78" s="38">
        <f>MAX('[1]资源-铁'!AP79,0)</f>
        <v>9.4125220323320213E-2</v>
      </c>
      <c r="U78" s="38">
        <f>MAX('[1]资源-士兵训练时间'!AT79,0)</f>
        <v>0.18450081440674762</v>
      </c>
      <c r="V78" s="38">
        <f>MAX('[1]资源-玩家城池建筑时间'!BJ79,0)</f>
        <v>0.18160311141895291</v>
      </c>
      <c r="W78" s="38">
        <f>MAX('[1]资源-士兵招募时间'!AU79,0)</f>
        <v>0</v>
      </c>
      <c r="X78" s="38">
        <f>MAX('[1]资源-圣人研究时间'!AX78,0)</f>
        <v>0.22422896912804957</v>
      </c>
      <c r="Y78" s="38">
        <f>MAX([2]士兵治疗!BZ78,0)</f>
        <v>0</v>
      </c>
      <c r="Z78" s="38">
        <f>[4]武将数量星级阶位验证!$CY77</f>
        <v>0.32683373071882055</v>
      </c>
      <c r="AA78" s="38">
        <f t="shared" si="6"/>
        <v>0.2</v>
      </c>
      <c r="AB78" s="48">
        <f t="shared" si="7"/>
        <v>1.3204507572246134</v>
      </c>
      <c r="AE78" s="37">
        <v>74</v>
      </c>
      <c r="AF78" s="38">
        <f>MAX('[1]资源-银币'!BC79,0)</f>
        <v>5.7705492514995599E-2</v>
      </c>
      <c r="AG78" s="38">
        <f>MAX('[1]资源-木石铜粮'!AS79,0)</f>
        <v>4.6564681338997979E-2</v>
      </c>
      <c r="AH78" s="38">
        <f>MAX('[1]资源-铁'!AR79,0)</f>
        <v>7.0948676605036357E-2</v>
      </c>
      <c r="AI78" s="38">
        <f>MAX('[1]资源-士兵训练时间'!AV79,0)</f>
        <v>0.15993298879094509</v>
      </c>
      <c r="AJ78" s="38">
        <f>MAX('[1]资源-玩家城池建筑时间'!BL79,0)</f>
        <v>0.15954638279964189</v>
      </c>
      <c r="AK78" s="38">
        <f>MAX('[1]资源-士兵招募时间'!AW79,0)</f>
        <v>0</v>
      </c>
      <c r="AL78" s="38">
        <f>MAX('[1]资源-圣人研究时间'!AZ78,0)</f>
        <v>0.16647731835477281</v>
      </c>
      <c r="AM78" s="38">
        <f>MAX([2]士兵治疗!CB78,0)</f>
        <v>0</v>
      </c>
      <c r="AN78" s="38">
        <f>[4]武将数量星级阶位验证!$DA77</f>
        <v>0.32683373071882055</v>
      </c>
      <c r="AO78" s="38">
        <f t="shared" si="8"/>
        <v>0.2</v>
      </c>
      <c r="AP78" s="48">
        <f t="shared" si="9"/>
        <v>1.1880092711232102</v>
      </c>
    </row>
    <row r="79" spans="3:42" x14ac:dyDescent="0.15">
      <c r="C79" s="37">
        <v>75</v>
      </c>
      <c r="D79" s="38">
        <f>MAX('[1]资源-银币'!AY80,0)</f>
        <v>1.5063258967482245E-2</v>
      </c>
      <c r="E79" s="38">
        <f>MAX('[1]资源-木石铜粮'!AO80,0)</f>
        <v>2.6053861942597917E-2</v>
      </c>
      <c r="F79" s="38">
        <f>MAX('[1]资源-铁'!AN80,0)</f>
        <v>7.5901753658183399E-2</v>
      </c>
      <c r="G79" s="38">
        <f>MAX('[1]资源-士兵训练时间'!AR80,0)</f>
        <v>0.10283187965749999</v>
      </c>
      <c r="H79" s="38">
        <f>MAX('[1]资源-玩家城池建筑时间'!BH80,0)</f>
        <v>0.15782363988480227</v>
      </c>
      <c r="I79" s="38">
        <f>MAX('[1]资源-士兵招募时间'!AS80,0)</f>
        <v>0</v>
      </c>
      <c r="J79" s="38">
        <f>MAX('[1]资源-圣人研究时间'!AV79,0)</f>
        <v>0.19750964302705309</v>
      </c>
      <c r="K79" s="38">
        <f>MAX([2]士兵治疗!BX79,0)</f>
        <v>0</v>
      </c>
      <c r="L79" s="38">
        <f>[4]武将数量星级阶位验证!$CW78</f>
        <v>0.3232777868852163</v>
      </c>
      <c r="M79" s="38">
        <f>[3]投放验证!$AL$4</f>
        <v>0.2</v>
      </c>
      <c r="N79" s="48">
        <f t="shared" si="5"/>
        <v>1.0984618240228352</v>
      </c>
      <c r="O79" s="37"/>
      <c r="Q79" s="37">
        <v>75</v>
      </c>
      <c r="R79" s="38">
        <f>MAX('[1]资源-银币'!BA80,0)</f>
        <v>5.3480166074119269E-2</v>
      </c>
      <c r="S79" s="38">
        <f>MAX('[1]资源-木石铜粮'!AQ80,0)</f>
        <v>5.6493116022757271E-2</v>
      </c>
      <c r="T79" s="38">
        <f>MAX('[1]资源-铁'!AP80,0)</f>
        <v>9.6035428068945314E-2</v>
      </c>
      <c r="U79" s="38">
        <f>MAX('[1]资源-士兵训练时间'!AT80,0)</f>
        <v>0.1859762792722181</v>
      </c>
      <c r="V79" s="38">
        <f>MAX('[1]资源-玩家城池建筑时间'!BJ80,0)</f>
        <v>0.18475057496113148</v>
      </c>
      <c r="W79" s="38">
        <f>MAX('[1]资源-士兵招募时间'!AU80,0)</f>
        <v>0</v>
      </c>
      <c r="X79" s="38">
        <f>MAX('[1]资源-圣人研究时间'!AX79,0)</f>
        <v>0.22587769250548279</v>
      </c>
      <c r="Y79" s="38">
        <f>MAX([2]士兵治疗!BZ79,0)</f>
        <v>0</v>
      </c>
      <c r="Z79" s="38">
        <f>[4]武将数量星级阶位验证!$CY78</f>
        <v>0.3232777868852163</v>
      </c>
      <c r="AA79" s="38">
        <f t="shared" si="6"/>
        <v>0.2</v>
      </c>
      <c r="AB79" s="48">
        <f t="shared" si="7"/>
        <v>1.3258910437898705</v>
      </c>
      <c r="AE79" s="37">
        <v>75</v>
      </c>
      <c r="AF79" s="38">
        <f>MAX('[1]资源-银币'!BC80,0)</f>
        <v>5.7994141147775319E-2</v>
      </c>
      <c r="AG79" s="38">
        <f>MAX('[1]资源-木石铜粮'!AS80,0)</f>
        <v>4.7961777454480825E-2</v>
      </c>
      <c r="AH79" s="38">
        <f>MAX('[1]资源-铁'!AR80,0)</f>
        <v>7.1079796998284164E-2</v>
      </c>
      <c r="AI79" s="38">
        <f>MAX('[1]资源-士兵训练时间'!AV80,0)</f>
        <v>0.15937798763444441</v>
      </c>
      <c r="AJ79" s="38">
        <f>MAX('[1]资源-玩家城池建筑时间'!BL80,0)</f>
        <v>0.15945210641490976</v>
      </c>
      <c r="AK79" s="38">
        <f>MAX('[1]资源-士兵招募时间'!AW80,0)</f>
        <v>0</v>
      </c>
      <c r="AL79" s="38">
        <f>MAX('[1]资源-圣人研究时间'!AZ79,0)</f>
        <v>0.16591135072001226</v>
      </c>
      <c r="AM79" s="38">
        <f>MAX([2]士兵治疗!CB79,0)</f>
        <v>0</v>
      </c>
      <c r="AN79" s="38">
        <f>[4]武将数量星级阶位验证!$DA78</f>
        <v>0.3232777868852163</v>
      </c>
      <c r="AO79" s="38">
        <f t="shared" si="8"/>
        <v>0.2</v>
      </c>
      <c r="AP79" s="48">
        <f t="shared" si="9"/>
        <v>1.1850549472551231</v>
      </c>
    </row>
    <row r="80" spans="3:42" x14ac:dyDescent="0.15">
      <c r="C80" s="37">
        <v>76</v>
      </c>
      <c r="D80" s="38">
        <f>MAX('[1]资源-银币'!AY81,0)</f>
        <v>1.4701855528193784E-2</v>
      </c>
      <c r="E80" s="38">
        <f>MAX('[1]资源-木石铜粮'!AO81,0)</f>
        <v>2.6444343230436606E-2</v>
      </c>
      <c r="F80" s="38">
        <f>MAX('[1]资源-铁'!AN81,0)</f>
        <v>7.7281548390025878E-2</v>
      </c>
      <c r="G80" s="38">
        <f>MAX('[1]资源-士兵训练时间'!AR81,0)</f>
        <v>0.10330669647315253</v>
      </c>
      <c r="H80" s="38">
        <f>MAX('[1]资源-玩家城池建筑时间'!BH81,0)</f>
        <v>0.15998332468675888</v>
      </c>
      <c r="I80" s="38">
        <f>MAX('[1]资源-士兵招募时间'!AS81,0)</f>
        <v>0</v>
      </c>
      <c r="J80" s="38">
        <f>MAX('[1]资源-圣人研究时间'!AV80,0)</f>
        <v>0.19840915142185339</v>
      </c>
      <c r="K80" s="38">
        <f>MAX([2]士兵治疗!BX80,0)</f>
        <v>0</v>
      </c>
      <c r="L80" s="38">
        <f>[4]武将数量星级阶位验证!$CW79</f>
        <v>0.31983679620447197</v>
      </c>
      <c r="M80" s="38">
        <f>[3]投放验证!$AL$4</f>
        <v>0.2</v>
      </c>
      <c r="N80" s="48">
        <f t="shared" si="5"/>
        <v>1.0999637159348929</v>
      </c>
      <c r="O80" s="37"/>
      <c r="Q80" s="37">
        <v>76</v>
      </c>
      <c r="R80" s="38">
        <f>MAX('[1]资源-银币'!BA81,0)</f>
        <v>5.3001834679633472E-2</v>
      </c>
      <c r="S80" s="38">
        <f>MAX('[1]资源-木石铜粮'!AQ81,0)</f>
        <v>5.7406121697322336E-2</v>
      </c>
      <c r="T80" s="38">
        <f>MAX('[1]资源-铁'!AP81,0)</f>
        <v>9.7603773134326957E-2</v>
      </c>
      <c r="U80" s="38">
        <f>MAX('[1]资源-士兵训练时间'!AT81,0)</f>
        <v>0.18710878984667642</v>
      </c>
      <c r="V80" s="38">
        <f>MAX('[1]资源-玩家城池建筑时间'!BJ81,0)</f>
        <v>0.18655395568760189</v>
      </c>
      <c r="W80" s="38">
        <f>MAX('[1]资源-士兵招募时间'!AU81,0)</f>
        <v>0</v>
      </c>
      <c r="X80" s="38">
        <f>MAX('[1]资源-圣人研究时间'!AX80,0)</f>
        <v>0.22692661870653524</v>
      </c>
      <c r="Y80" s="38">
        <f>MAX([2]士兵治疗!BZ80,0)</f>
        <v>0</v>
      </c>
      <c r="Z80" s="38">
        <f>[4]武将数量星级阶位验证!$CY79</f>
        <v>0.31983679620447197</v>
      </c>
      <c r="AA80" s="38">
        <f t="shared" si="6"/>
        <v>0.2</v>
      </c>
      <c r="AB80" s="48">
        <f t="shared" si="7"/>
        <v>1.3284378899565683</v>
      </c>
      <c r="AE80" s="37">
        <v>76</v>
      </c>
      <c r="AF80" s="38">
        <f>MAX('[1]资源-银币'!BC81,0)</f>
        <v>5.8235107290587604E-2</v>
      </c>
      <c r="AG80" s="38">
        <f>MAX('[1]资源-木石铜粮'!AS81,0)</f>
        <v>4.9404513363170262E-2</v>
      </c>
      <c r="AH80" s="38">
        <f>MAX('[1]资源-铁'!AR81,0)</f>
        <v>7.1162266148358827E-2</v>
      </c>
      <c r="AI80" s="38">
        <f>MAX('[1]资源-士兵训练时间'!AV81,0)</f>
        <v>0.15884035560307067</v>
      </c>
      <c r="AJ80" s="38">
        <f>MAX('[1]资源-玩家城池建筑时间'!BL81,0)</f>
        <v>0.15936702168373559</v>
      </c>
      <c r="AK80" s="38">
        <f>MAX('[1]资源-士兵招募时间'!AW81,0)</f>
        <v>0</v>
      </c>
      <c r="AL80" s="38">
        <f>MAX('[1]资源-圣人研究时间'!AZ80,0)</f>
        <v>0.16536316355051725</v>
      </c>
      <c r="AM80" s="38">
        <f>MAX([2]士兵治疗!CB80,0)</f>
        <v>0</v>
      </c>
      <c r="AN80" s="38">
        <f>[4]武将数量星级阶位验证!$DA79</f>
        <v>0.31983679620447197</v>
      </c>
      <c r="AO80" s="38">
        <f t="shared" si="8"/>
        <v>0.2</v>
      </c>
      <c r="AP80" s="48">
        <f t="shared" si="9"/>
        <v>1.1822092238439121</v>
      </c>
    </row>
    <row r="81" spans="3:42" x14ac:dyDescent="0.15">
      <c r="C81" s="37">
        <v>77</v>
      </c>
      <c r="D81" s="38">
        <f>MAX('[1]资源-银币'!AY82,0)</f>
        <v>1.4201780417343332E-2</v>
      </c>
      <c r="E81" s="38">
        <f>MAX('[1]资源-木石铜粮'!AO82,0)</f>
        <v>2.6785877965515233E-2</v>
      </c>
      <c r="F81" s="38">
        <f>MAX('[1]资源-铁'!AN82,0)</f>
        <v>7.8435172316883101E-2</v>
      </c>
      <c r="G81" s="38">
        <f>MAX('[1]资源-士兵训练时间'!AR82,0)</f>
        <v>0.10373737517154862</v>
      </c>
      <c r="H81" s="38">
        <f>MAX('[1]资源-玩家城池建筑时间'!BH82,0)</f>
        <v>0.16195625076788825</v>
      </c>
      <c r="I81" s="38">
        <f>MAX('[1]资源-士兵招募时间'!AS82,0)</f>
        <v>0</v>
      </c>
      <c r="J81" s="38">
        <f>MAX('[1]资源-圣人研究时间'!AV81,0)</f>
        <v>0.19923720135449824</v>
      </c>
      <c r="K81" s="38">
        <f>MAX([2]士兵治疗!BX81,0)</f>
        <v>0</v>
      </c>
      <c r="L81" s="38">
        <f>[4]武将数量星级阶位验证!$CW80</f>
        <v>0.31639580552372765</v>
      </c>
      <c r="M81" s="38">
        <f>[3]投放验证!$AL$4</f>
        <v>0.2</v>
      </c>
      <c r="N81" s="48">
        <f t="shared" si="5"/>
        <v>1.1007494635174044</v>
      </c>
      <c r="O81" s="37"/>
      <c r="Q81" s="37">
        <v>77</v>
      </c>
      <c r="R81" s="38">
        <f>MAX('[1]资源-银币'!BA82,0)</f>
        <v>5.3066588758349083E-2</v>
      </c>
      <c r="S81" s="38">
        <f>MAX('[1]资源-木石铜粮'!AQ82,0)</f>
        <v>5.9452747774363428E-2</v>
      </c>
      <c r="T81" s="38">
        <f>MAX('[1]资源-铁'!AP82,0)</f>
        <v>9.8733403691479787E-2</v>
      </c>
      <c r="U81" s="38">
        <f>MAX('[1]资源-士兵训练时间'!AT82,0)</f>
        <v>0.18810211250134329</v>
      </c>
      <c r="V81" s="38">
        <f>MAX('[1]资源-玩家城池建筑时间'!BJ82,0)</f>
        <v>0.18873073672733495</v>
      </c>
      <c r="W81" s="38">
        <f>MAX('[1]资源-士兵招募时间'!AU82,0)</f>
        <v>0</v>
      </c>
      <c r="X81" s="38">
        <f>MAX('[1]资源-圣人研究时间'!AX81,0)</f>
        <v>0.22799728423101337</v>
      </c>
      <c r="Y81" s="38">
        <f>MAX([2]士兵治疗!BZ81,0)</f>
        <v>0</v>
      </c>
      <c r="Z81" s="38">
        <f>[4]武将数量星级阶位验证!$CY80</f>
        <v>0.31639580552372765</v>
      </c>
      <c r="AA81" s="38">
        <f t="shared" si="6"/>
        <v>0.2</v>
      </c>
      <c r="AB81" s="48">
        <f t="shared" si="7"/>
        <v>1.3324786792076115</v>
      </c>
      <c r="AE81" s="37">
        <v>77</v>
      </c>
      <c r="AF81" s="38">
        <f>MAX('[1]资源-银币'!BC82,0)</f>
        <v>5.8425084112196921E-2</v>
      </c>
      <c r="AG81" s="38">
        <f>MAX('[1]资源-木石铜粮'!AS82,0)</f>
        <v>5.0807952055071638E-2</v>
      </c>
      <c r="AH81" s="38">
        <f>MAX('[1]资源-铁'!AR82,0)</f>
        <v>7.1201370926235436E-2</v>
      </c>
      <c r="AI81" s="38">
        <f>MAX('[1]资源-士兵训练时间'!AV82,0)</f>
        <v>0.1581373927284899</v>
      </c>
      <c r="AJ81" s="38">
        <f>MAX('[1]资源-玩家城池建筑时间'!BL82,0)</f>
        <v>0.15862309913090034</v>
      </c>
      <c r="AK81" s="38">
        <f>MAX('[1]资源-士兵招募时间'!AW82,0)</f>
        <v>0</v>
      </c>
      <c r="AL81" s="38">
        <f>MAX('[1]资源-圣人研究时间'!AZ81,0)</f>
        <v>0.16464971991372201</v>
      </c>
      <c r="AM81" s="38">
        <f>MAX([2]士兵治疗!CB81,0)</f>
        <v>0</v>
      </c>
      <c r="AN81" s="38">
        <f>[4]武将数量星级阶位验证!$DA80</f>
        <v>0.31639580552372765</v>
      </c>
      <c r="AO81" s="38">
        <f t="shared" si="8"/>
        <v>0.2</v>
      </c>
      <c r="AP81" s="48">
        <f t="shared" si="9"/>
        <v>1.1782404243903439</v>
      </c>
    </row>
    <row r="82" spans="3:42" x14ac:dyDescent="0.15">
      <c r="C82" s="37">
        <v>78</v>
      </c>
      <c r="D82" s="38">
        <f>MAX('[1]资源-银币'!AY83,0)</f>
        <v>1.3800686367762743E-2</v>
      </c>
      <c r="E82" s="38">
        <f>MAX('[1]资源-木石铜粮'!AO83,0)</f>
        <v>2.7274596992565771E-2</v>
      </c>
      <c r="F82" s="38">
        <f>MAX('[1]资源-铁'!AN83,0)</f>
        <v>7.913768603701038E-2</v>
      </c>
      <c r="G82" s="38">
        <f>MAX('[1]资源-士兵训练时间'!AR83,0)</f>
        <v>0.10424225377983688</v>
      </c>
      <c r="H82" s="38">
        <f>MAX('[1]资源-玩家城池建筑时间'!BH83,0)</f>
        <v>0.16400382857395412</v>
      </c>
      <c r="I82" s="38">
        <f>MAX('[1]资源-士兵招募时间'!AS83,0)</f>
        <v>0</v>
      </c>
      <c r="J82" s="38">
        <f>MAX('[1]资源-圣人研究时间'!AV82,0)</f>
        <v>0.19954712515399803</v>
      </c>
      <c r="K82" s="38">
        <f>MAX([2]士兵治疗!BX82,0)</f>
        <v>0</v>
      </c>
      <c r="L82" s="38">
        <f>[4]武将数量星级阶位验证!$CW81</f>
        <v>0.31295481484298326</v>
      </c>
      <c r="M82" s="38">
        <f>[3]投放验证!$AL$4</f>
        <v>0.2</v>
      </c>
      <c r="N82" s="48">
        <f t="shared" si="5"/>
        <v>1.1009609917481111</v>
      </c>
      <c r="O82" s="37"/>
      <c r="Q82" s="37">
        <v>78</v>
      </c>
      <c r="R82" s="38">
        <f>MAX('[1]资源-银币'!BA83,0)</f>
        <v>5.3487023122592979E-2</v>
      </c>
      <c r="S82" s="38">
        <f>MAX('[1]资源-木石铜粮'!AQ83,0)</f>
        <v>6.2877631885455518E-2</v>
      </c>
      <c r="T82" s="38">
        <f>MAX('[1]资源-铁'!AP83,0)</f>
        <v>9.9509096742231018E-2</v>
      </c>
      <c r="U82" s="38">
        <f>MAX('[1]资源-士兵训练时间'!AT83,0)</f>
        <v>0.18873970043674193</v>
      </c>
      <c r="V82" s="38">
        <f>MAX('[1]资源-玩家城池建筑时间'!BJ83,0)</f>
        <v>0.1903699473644033</v>
      </c>
      <c r="W82" s="38">
        <f>MAX('[1]资源-士兵招募时间'!AU83,0)</f>
        <v>0</v>
      </c>
      <c r="X82" s="38">
        <f>MAX('[1]资源-圣人研究时间'!AX82,0)</f>
        <v>0.22886982091859473</v>
      </c>
      <c r="Y82" s="38">
        <f>MAX([2]士兵治疗!BZ82,0)</f>
        <v>0</v>
      </c>
      <c r="Z82" s="38">
        <f>[4]武将数量星级阶位验证!$CY81</f>
        <v>0.31295481484298326</v>
      </c>
      <c r="AA82" s="38">
        <f t="shared" si="6"/>
        <v>0.2</v>
      </c>
      <c r="AB82" s="48">
        <f t="shared" si="7"/>
        <v>1.3368080353130027</v>
      </c>
      <c r="AE82" s="37">
        <v>78</v>
      </c>
      <c r="AF82" s="38">
        <f>MAX('[1]资源-银币'!BC83,0)</f>
        <v>5.7472835669183465E-2</v>
      </c>
      <c r="AG82" s="38">
        <f>MAX('[1]资源-木石铜粮'!AS83,0)</f>
        <v>5.0807621523763419E-2</v>
      </c>
      <c r="AH82" s="38">
        <f>MAX('[1]资源-铁'!AR83,0)</f>
        <v>7.1315398375800212E-2</v>
      </c>
      <c r="AI82" s="38">
        <f>MAX('[1]资源-士兵训练时间'!AV83,0)</f>
        <v>0.15737760776258469</v>
      </c>
      <c r="AJ82" s="38">
        <f>MAX('[1]资源-玩家城池建筑时间'!BL83,0)</f>
        <v>0.15907127199475171</v>
      </c>
      <c r="AK82" s="38">
        <f>MAX('[1]资源-士兵招募时间'!AW83,0)</f>
        <v>0</v>
      </c>
      <c r="AL82" s="38">
        <f>MAX('[1]资源-圣人研究时间'!AZ82,0)</f>
        <v>0.16368523531265766</v>
      </c>
      <c r="AM82" s="38">
        <f>MAX([2]士兵治疗!CB82,0)</f>
        <v>0</v>
      </c>
      <c r="AN82" s="38">
        <f>[4]武将数量星级阶位验证!$DA81</f>
        <v>0.31295481484298326</v>
      </c>
      <c r="AO82" s="38">
        <f t="shared" si="8"/>
        <v>0.2</v>
      </c>
      <c r="AP82" s="48">
        <f t="shared" si="9"/>
        <v>1.1726847854817244</v>
      </c>
    </row>
    <row r="83" spans="3:42" x14ac:dyDescent="0.15">
      <c r="C83" s="37">
        <v>79</v>
      </c>
      <c r="D83" s="38">
        <f>MAX('[1]资源-银币'!AY84,0)</f>
        <v>1.3745404310273495E-2</v>
      </c>
      <c r="E83" s="38">
        <f>MAX('[1]资源-木石铜粮'!AO84,0)</f>
        <v>2.7738793543570433E-2</v>
      </c>
      <c r="F83" s="38">
        <f>MAX('[1]资源-铁'!AN84,0)</f>
        <v>7.9617829329069911E-2</v>
      </c>
      <c r="G83" s="38">
        <f>MAX('[1]资源-士兵训练时间'!AR84,0)</f>
        <v>0.10473646180339211</v>
      </c>
      <c r="H83" s="38">
        <f>MAX('[1]资源-玩家城池建筑时间'!BH84,0)</f>
        <v>0.16597572606847538</v>
      </c>
      <c r="I83" s="38">
        <f>MAX('[1]资源-士兵招募时间'!AS84,0)</f>
        <v>0</v>
      </c>
      <c r="J83" s="38">
        <f>MAX('[1]资源-圣人研究时间'!AV83,0)</f>
        <v>0.19976806348172899</v>
      </c>
      <c r="K83" s="38">
        <f>MAX([2]士兵治疗!BX83,0)</f>
        <v>0</v>
      </c>
      <c r="L83" s="38">
        <f>[4]武将数量星级阶位验证!$CW82</f>
        <v>0.30951382416223894</v>
      </c>
      <c r="M83" s="38">
        <f>[3]投放验证!$AL$4</f>
        <v>0.2</v>
      </c>
      <c r="N83" s="48">
        <f t="shared" si="5"/>
        <v>1.1010961026987494</v>
      </c>
      <c r="O83" s="37"/>
      <c r="Q83" s="37">
        <v>79</v>
      </c>
      <c r="R83" s="38">
        <f>MAX('[1]资源-银币'!BA84,0)</f>
        <v>5.4547707501938734E-2</v>
      </c>
      <c r="S83" s="38">
        <f>MAX('[1]资源-木石铜粮'!AQ84,0)</f>
        <v>6.6268250394952516E-2</v>
      </c>
      <c r="T83" s="38">
        <f>MAX('[1]资源-铁'!AP84,0)</f>
        <v>0.10022388537612288</v>
      </c>
      <c r="U83" s="38">
        <f>MAX('[1]资源-士兵训练时间'!AT84,0)</f>
        <v>0.18942737941969759</v>
      </c>
      <c r="V83" s="38">
        <f>MAX('[1]资源-玩家城池建筑时间'!BJ84,0)</f>
        <v>0.19220117215125954</v>
      </c>
      <c r="W83" s="38">
        <f>MAX('[1]资源-士兵招募时间'!AU84,0)</f>
        <v>0</v>
      </c>
      <c r="X83" s="38">
        <f>MAX('[1]资源-圣人研究时间'!AX83,0)</f>
        <v>0.22979536339356668</v>
      </c>
      <c r="Y83" s="38">
        <f>MAX([2]士兵治疗!BZ83,0)</f>
        <v>0</v>
      </c>
      <c r="Z83" s="38">
        <f>[4]武将数量星级阶位验证!$CY82</f>
        <v>0.30951382416223894</v>
      </c>
      <c r="AA83" s="38">
        <f t="shared" si="6"/>
        <v>0.2</v>
      </c>
      <c r="AB83" s="48">
        <f t="shared" si="7"/>
        <v>1.3419775823997768</v>
      </c>
      <c r="AE83" s="37">
        <v>79</v>
      </c>
      <c r="AF83" s="38">
        <f>MAX('[1]资源-银币'!BC84,0)</f>
        <v>5.6508891157856643E-2</v>
      </c>
      <c r="AG83" s="38">
        <f>MAX('[1]资源-木石铜粮'!AS84,0)</f>
        <v>5.0678106819387239E-2</v>
      </c>
      <c r="AH83" s="38">
        <f>MAX('[1]资源-铁'!AR84,0)</f>
        <v>7.1318380083507923E-2</v>
      </c>
      <c r="AI83" s="38">
        <f>MAX('[1]资源-士兵训练时间'!AV84,0)</f>
        <v>0.15668633949218463</v>
      </c>
      <c r="AJ83" s="38">
        <f>MAX('[1]资源-玩家城池建筑时间'!BL84,0)</f>
        <v>0.15960366228974532</v>
      </c>
      <c r="AK83" s="38">
        <f>MAX('[1]资源-士兵招募时间'!AW84,0)</f>
        <v>0</v>
      </c>
      <c r="AL83" s="38">
        <f>MAX('[1]资源-圣人研究时间'!AZ83,0)</f>
        <v>0.16279300326599055</v>
      </c>
      <c r="AM83" s="38">
        <f>MAX([2]士兵治疗!CB83,0)</f>
        <v>0</v>
      </c>
      <c r="AN83" s="38">
        <f>[4]武将数量星级阶位验证!$DA82</f>
        <v>0.30951382416223894</v>
      </c>
      <c r="AO83" s="38">
        <f t="shared" si="8"/>
        <v>0.2</v>
      </c>
      <c r="AP83" s="48">
        <f t="shared" si="9"/>
        <v>1.1671022072709112</v>
      </c>
    </row>
    <row r="84" spans="3:42" x14ac:dyDescent="0.15">
      <c r="C84" s="37">
        <v>80</v>
      </c>
      <c r="D84" s="38">
        <f>MAX('[1]资源-银币'!AY85,0)</f>
        <v>1.3393057232358585E-2</v>
      </c>
      <c r="E84" s="38">
        <f>MAX('[1]资源-木石铜粮'!AO85,0)</f>
        <v>2.8292869126122062E-2</v>
      </c>
      <c r="F84" s="38">
        <f>MAX('[1]资源-铁'!AN85,0)</f>
        <v>8.0153801623283144E-2</v>
      </c>
      <c r="G84" s="38">
        <f>MAX('[1]资源-士兵训练时间'!AR85,0)</f>
        <v>0.10510373151620385</v>
      </c>
      <c r="H84" s="38">
        <f>MAX('[1]资源-玩家城池建筑时间'!BH85,0)</f>
        <v>0.16806909515946677</v>
      </c>
      <c r="I84" s="38">
        <f>MAX('[1]资源-士兵招募时间'!AS85,0)</f>
        <v>0</v>
      </c>
      <c r="J84" s="38">
        <f>MAX('[1]资源-圣人研究时间'!AV84,0)</f>
        <v>0.20024922683552501</v>
      </c>
      <c r="K84" s="38">
        <f>MAX([2]士兵治疗!BX84,0)</f>
        <v>0</v>
      </c>
      <c r="L84" s="38">
        <f>[4]武将数量星级阶位验证!$CW83</f>
        <v>0.30607283348149461</v>
      </c>
      <c r="M84" s="38">
        <f>[3]投放验证!$AL$4</f>
        <v>0.2</v>
      </c>
      <c r="N84" s="48">
        <f t="shared" si="5"/>
        <v>1.1013346149744541</v>
      </c>
      <c r="O84" s="37"/>
      <c r="Q84" s="37">
        <v>80</v>
      </c>
      <c r="R84" s="38">
        <f>MAX('[1]资源-银币'!BA85,0)</f>
        <v>5.4264143030299576E-2</v>
      </c>
      <c r="S84" s="38">
        <f>MAX('[1]资源-木石铜粮'!AQ85,0)</f>
        <v>6.6923373449932905E-2</v>
      </c>
      <c r="T84" s="38">
        <f>MAX('[1]资源-铁'!AP85,0)</f>
        <v>0.1014391333441817</v>
      </c>
      <c r="U84" s="38">
        <f>MAX('[1]资源-士兵训练时间'!AT85,0)</f>
        <v>0.190700543325829</v>
      </c>
      <c r="V84" s="38">
        <f>MAX('[1]资源-玩家城池建筑时间'!BJ85,0)</f>
        <v>0.19557436996712371</v>
      </c>
      <c r="W84" s="38">
        <f>MAX('[1]资源-士兵招募时间'!AU85,0)</f>
        <v>0</v>
      </c>
      <c r="X84" s="38">
        <f>MAX('[1]资源-圣人研究时间'!AX84,0)</f>
        <v>0.23137759150195764</v>
      </c>
      <c r="Y84" s="38">
        <f>MAX([2]士兵治疗!BZ84,0)</f>
        <v>0</v>
      </c>
      <c r="Z84" s="38">
        <f>[4]武将数量星级阶位验证!$CY83</f>
        <v>0.30607283348149461</v>
      </c>
      <c r="AA84" s="38">
        <f t="shared" si="6"/>
        <v>0.2</v>
      </c>
      <c r="AB84" s="48">
        <f t="shared" si="7"/>
        <v>1.346351988100819</v>
      </c>
      <c r="AE84" s="37">
        <v>80</v>
      </c>
      <c r="AF84" s="38">
        <f>MAX('[1]资源-银币'!BC85,0)</f>
        <v>5.5490967984893926E-2</v>
      </c>
      <c r="AG84" s="38">
        <f>MAX('[1]资源-木石铜粮'!AS85,0)</f>
        <v>5.0924851572348953E-2</v>
      </c>
      <c r="AH84" s="38">
        <f>MAX('[1]资源-铁'!AR85,0)</f>
        <v>7.1357269510587337E-2</v>
      </c>
      <c r="AI84" s="38">
        <f>MAX('[1]资源-士兵训练时间'!AV85,0)</f>
        <v>0.15597377192452283</v>
      </c>
      <c r="AJ84" s="38">
        <f>MAX('[1]资源-玩家城池建筑时间'!BL85,0)</f>
        <v>0.16021698420522715</v>
      </c>
      <c r="AK84" s="38">
        <f>MAX('[1]资源-士兵招募时间'!AW85,0)</f>
        <v>0</v>
      </c>
      <c r="AL84" s="38">
        <f>MAX('[1]资源-圣人研究时间'!AZ84,0)</f>
        <v>0.16244980696860956</v>
      </c>
      <c r="AM84" s="38">
        <f>MAX([2]士兵治疗!CB84,0)</f>
        <v>0</v>
      </c>
      <c r="AN84" s="38">
        <f>[4]武将数量星级阶位验证!$DA83</f>
        <v>0.30607283348149461</v>
      </c>
      <c r="AO84" s="38">
        <f t="shared" si="8"/>
        <v>0.2</v>
      </c>
      <c r="AP84" s="48">
        <f t="shared" si="9"/>
        <v>1.1624864856476844</v>
      </c>
    </row>
    <row r="85" spans="3:42" x14ac:dyDescent="0.15">
      <c r="C85" s="37">
        <v>81</v>
      </c>
      <c r="D85" s="38">
        <f>MAX('[1]资源-银币'!AY86,0)</f>
        <v>1.6393557182057539E-2</v>
      </c>
      <c r="E85" s="38">
        <f>MAX('[1]资源-木石铜粮'!AO86,0)</f>
        <v>2.8758224930904162E-2</v>
      </c>
      <c r="F85" s="38">
        <f>MAX('[1]资源-铁'!AN86,0)</f>
        <v>8.0334280593546706E-2</v>
      </c>
      <c r="G85" s="38">
        <f>MAX('[1]资源-士兵训练时间'!AR86,0)</f>
        <v>0.10541612282797076</v>
      </c>
      <c r="H85" s="38">
        <f>MAX('[1]资源-玩家城池建筑时间'!BH86,0)</f>
        <v>0.17013132699739483</v>
      </c>
      <c r="I85" s="38">
        <f>MAX('[1]资源-士兵招募时间'!AS86,0)</f>
        <v>0</v>
      </c>
      <c r="J85" s="38">
        <f>MAX('[1]资源-圣人研究时间'!AV85,0)</f>
        <v>0.2008019609173978</v>
      </c>
      <c r="K85" s="38">
        <f>MAX([2]士兵治疗!BX85,0)</f>
        <v>0</v>
      </c>
      <c r="L85" s="38">
        <f>[4]武将数量星级阶位验证!$CW84</f>
        <v>0.30274362020502926</v>
      </c>
      <c r="M85" s="38">
        <f>[3]投放验证!$AL$4</f>
        <v>0.2</v>
      </c>
      <c r="N85" s="48">
        <f t="shared" si="5"/>
        <v>1.104579093654301</v>
      </c>
      <c r="O85" s="37"/>
      <c r="Q85" s="37">
        <v>81</v>
      </c>
      <c r="R85" s="38">
        <f>MAX('[1]资源-银币'!BA86,0)</f>
        <v>5.3469031361206773E-2</v>
      </c>
      <c r="S85" s="38">
        <f>MAX('[1]资源-木石铜粮'!AQ86,0)</f>
        <v>6.2992017324821237E-2</v>
      </c>
      <c r="T85" s="38">
        <f>MAX('[1]资源-铁'!AP86,0)</f>
        <v>0.10235916461188026</v>
      </c>
      <c r="U85" s="38">
        <f>MAX('[1]资源-士兵训练时间'!AT86,0)</f>
        <v>0.19166169639607755</v>
      </c>
      <c r="V85" s="38">
        <f>MAX('[1]资源-玩家城池建筑时间'!BJ86,0)</f>
        <v>0.19987616708563744</v>
      </c>
      <c r="W85" s="38">
        <f>MAX('[1]资源-士兵招募时间'!AU86,0)</f>
        <v>0</v>
      </c>
      <c r="X85" s="38">
        <f>MAX('[1]资源-圣人研究时间'!AX85,0)</f>
        <v>0.23227300583219121</v>
      </c>
      <c r="Y85" s="38">
        <f>MAX([2]士兵治疗!BZ85,0)</f>
        <v>0</v>
      </c>
      <c r="Z85" s="38">
        <f>[4]武将数量星级阶位验证!$CY84</f>
        <v>0.30274362020502926</v>
      </c>
      <c r="AA85" s="38">
        <f t="shared" si="6"/>
        <v>0.2</v>
      </c>
      <c r="AB85" s="48">
        <f t="shared" si="7"/>
        <v>1.3453747028168437</v>
      </c>
      <c r="AE85" s="37">
        <v>81</v>
      </c>
      <c r="AF85" s="38">
        <f>MAX('[1]资源-银币'!BC86,0)</f>
        <v>5.536687524913321E-2</v>
      </c>
      <c r="AG85" s="38">
        <f>MAX('[1]资源-木石铜粮'!AS86,0)</f>
        <v>5.0822901757383708E-2</v>
      </c>
      <c r="AH85" s="38">
        <f>MAX('[1]资源-铁'!AR86,0)</f>
        <v>7.1278567200551077E-2</v>
      </c>
      <c r="AI85" s="38">
        <f>MAX('[1]资源-士兵训练时间'!AV86,0)</f>
        <v>0.15520803374577877</v>
      </c>
      <c r="AJ85" s="38">
        <f>MAX('[1]资源-玩家城池建筑时间'!BL86,0)</f>
        <v>0.16091678164889198</v>
      </c>
      <c r="AK85" s="38">
        <f>MAX('[1]资源-士兵招募时间'!AW86,0)</f>
        <v>0</v>
      </c>
      <c r="AL85" s="38">
        <f>MAX('[1]资源-圣人研究时间'!AZ85,0)</f>
        <v>0.16210237583699164</v>
      </c>
      <c r="AM85" s="38">
        <f>MAX([2]士兵治疗!CB85,0)</f>
        <v>0</v>
      </c>
      <c r="AN85" s="38">
        <f>[4]武将数量星级阶位验证!$DA84</f>
        <v>0.30274362020502926</v>
      </c>
      <c r="AO85" s="38">
        <f t="shared" si="8"/>
        <v>0.2</v>
      </c>
      <c r="AP85" s="48">
        <f t="shared" si="9"/>
        <v>1.1584391556437597</v>
      </c>
    </row>
    <row r="86" spans="3:42" x14ac:dyDescent="0.15">
      <c r="C86" s="37">
        <v>82</v>
      </c>
      <c r="D86" s="38">
        <f>MAX('[1]资源-银币'!AY87,0)</f>
        <v>1.9645865612471967E-2</v>
      </c>
      <c r="E86" s="38">
        <f>MAX('[1]资源-木石铜粮'!AO87,0)</f>
        <v>2.9265734735189369E-2</v>
      </c>
      <c r="F86" s="38">
        <f>MAX('[1]资源-铁'!AN87,0)</f>
        <v>8.0393972846006023E-2</v>
      </c>
      <c r="G86" s="38">
        <f>MAX('[1]资源-士兵训练时间'!AR87,0)</f>
        <v>0.10579386640133892</v>
      </c>
      <c r="H86" s="38">
        <f>MAX('[1]资源-玩家城池建筑时间'!BH87,0)</f>
        <v>0.17225648980618624</v>
      </c>
      <c r="I86" s="38">
        <f>MAX('[1]资源-士兵招募时间'!AS87,0)</f>
        <v>0</v>
      </c>
      <c r="J86" s="38">
        <f>MAX('[1]资源-圣人研究时间'!AV86,0)</f>
        <v>0.20126820698637782</v>
      </c>
      <c r="K86" s="38">
        <f>MAX([2]士兵治疗!BX86,0)</f>
        <v>0</v>
      </c>
      <c r="L86" s="38">
        <f>[4]武将数量星级阶位验证!$CW85</f>
        <v>0.29941440692856386</v>
      </c>
      <c r="M86" s="38">
        <f>[3]投放验证!$AL$4</f>
        <v>0.2</v>
      </c>
      <c r="N86" s="48">
        <f t="shared" si="5"/>
        <v>1.1080385433161342</v>
      </c>
      <c r="O86" s="37"/>
      <c r="Q86" s="37">
        <v>82</v>
      </c>
      <c r="R86" s="38">
        <f>MAX('[1]资源-银币'!BA87,0)</f>
        <v>5.5163417411741432E-2</v>
      </c>
      <c r="S86" s="38">
        <f>MAX('[1]资源-木石铜粮'!AQ87,0)</f>
        <v>6.4490138618492829E-2</v>
      </c>
      <c r="T86" s="38">
        <f>MAX('[1]资源-铁'!AP87,0)</f>
        <v>0.10253263451510128</v>
      </c>
      <c r="U86" s="38">
        <f>MAX('[1]资源-士兵训练时间'!AT87,0)</f>
        <v>0.19166608091281648</v>
      </c>
      <c r="V86" s="38">
        <f>MAX('[1]资源-玩家城池建筑时间'!BJ87,0)</f>
        <v>0.20177332927760727</v>
      </c>
      <c r="W86" s="38">
        <f>MAX('[1]资源-士兵招募时间'!AU87,0)</f>
        <v>0</v>
      </c>
      <c r="X86" s="38">
        <f>MAX('[1]资源-圣人研究时间'!AX86,0)</f>
        <v>0.23295860746721112</v>
      </c>
      <c r="Y86" s="38">
        <f>MAX([2]士兵治疗!BZ86,0)</f>
        <v>0</v>
      </c>
      <c r="Z86" s="38">
        <f>[4]武将数量星级阶位验证!$CY85</f>
        <v>0.29941440692856386</v>
      </c>
      <c r="AA86" s="38">
        <f t="shared" si="6"/>
        <v>0.2</v>
      </c>
      <c r="AB86" s="48">
        <f t="shared" si="7"/>
        <v>1.3479986151315342</v>
      </c>
      <c r="AE86" s="37">
        <v>82</v>
      </c>
      <c r="AF86" s="38">
        <f>MAX('[1]资源-银币'!BC87,0)</f>
        <v>5.4791872429539895E-2</v>
      </c>
      <c r="AG86" s="38">
        <f>MAX('[1]资源-木石铜粮'!AS87,0)</f>
        <v>5.0379287319707797E-2</v>
      </c>
      <c r="AH86" s="38">
        <f>MAX('[1]资源-铁'!AR87,0)</f>
        <v>7.1633050026872841E-2</v>
      </c>
      <c r="AI86" s="38">
        <f>MAX('[1]资源-士兵训练时间'!AV87,0)</f>
        <v>0.15419713465055968</v>
      </c>
      <c r="AJ86" s="38">
        <f>MAX('[1]资源-玩家城池建筑时间'!BL87,0)</f>
        <v>0.16193914183245611</v>
      </c>
      <c r="AK86" s="38">
        <f>MAX('[1]资源-士兵招募时间'!AW87,0)</f>
        <v>0</v>
      </c>
      <c r="AL86" s="38">
        <f>MAX('[1]资源-圣人研究时间'!AZ86,0)</f>
        <v>0.16188806897164848</v>
      </c>
      <c r="AM86" s="38">
        <f>MAX([2]士兵治疗!CB86,0)</f>
        <v>0</v>
      </c>
      <c r="AN86" s="38">
        <f>[4]武将数量星级阶位验证!$DA85</f>
        <v>0.29941440692856386</v>
      </c>
      <c r="AO86" s="38">
        <f t="shared" si="8"/>
        <v>0.2</v>
      </c>
      <c r="AP86" s="48">
        <f t="shared" si="9"/>
        <v>1.1542429621593486</v>
      </c>
    </row>
    <row r="87" spans="3:42" x14ac:dyDescent="0.15">
      <c r="C87" s="37">
        <v>83</v>
      </c>
      <c r="D87" s="38">
        <f>MAX('[1]资源-银币'!AY88,0)</f>
        <v>2.2044700235672687E-2</v>
      </c>
      <c r="E87" s="38">
        <f>MAX('[1]资源-木石铜粮'!AO88,0)</f>
        <v>2.9798531884688218E-2</v>
      </c>
      <c r="F87" s="38">
        <f>MAX('[1]资源-铁'!AN88,0)</f>
        <v>8.0353286091572704E-2</v>
      </c>
      <c r="G87" s="38">
        <f>MAX('[1]资源-士兵训练时间'!AR88,0)</f>
        <v>0.1062062296356272</v>
      </c>
      <c r="H87" s="38">
        <f>MAX('[1]资源-玩家城池建筑时间'!BH88,0)</f>
        <v>0.17438760401966252</v>
      </c>
      <c r="I87" s="38">
        <f>MAX('[1]资源-士兵招募时间'!AS88,0)</f>
        <v>0</v>
      </c>
      <c r="J87" s="38">
        <f>MAX('[1]资源-圣人研究时间'!AV87,0)</f>
        <v>0.20167614597908176</v>
      </c>
      <c r="K87" s="38">
        <f>MAX([2]士兵治疗!BX87,0)</f>
        <v>0</v>
      </c>
      <c r="L87" s="38">
        <f>[4]武将数量星级阶位验证!$CW86</f>
        <v>0.29608519365209851</v>
      </c>
      <c r="M87" s="38">
        <f>[3]投放验证!$AL$4</f>
        <v>0.2</v>
      </c>
      <c r="N87" s="48">
        <f t="shared" si="5"/>
        <v>1.1105516914984037</v>
      </c>
      <c r="O87" s="37"/>
      <c r="Q87" s="37">
        <v>83</v>
      </c>
      <c r="R87" s="38">
        <f>MAX('[1]资源-银币'!BA88,0)</f>
        <v>5.6932128453273806E-2</v>
      </c>
      <c r="S87" s="38">
        <f>MAX('[1]资源-木石铜粮'!AQ88,0)</f>
        <v>6.7160665731526029E-2</v>
      </c>
      <c r="T87" s="38">
        <f>MAX('[1]资源-铁'!AP88,0)</f>
        <v>0.10256778039433098</v>
      </c>
      <c r="U87" s="38">
        <f>MAX('[1]资源-士兵训练时间'!AT88,0)</f>
        <v>0.1916597333185055</v>
      </c>
      <c r="V87" s="38">
        <f>MAX('[1]资源-玩家城池建筑时间'!BJ88,0)</f>
        <v>0.20320580925469062</v>
      </c>
      <c r="W87" s="38">
        <f>MAX('[1]资源-士兵招募时间'!AU88,0)</f>
        <v>0</v>
      </c>
      <c r="X87" s="38">
        <f>MAX('[1]资源-圣人研究时间'!AX87,0)</f>
        <v>0.23349600665131576</v>
      </c>
      <c r="Y87" s="38">
        <f>MAX([2]士兵治疗!BZ87,0)</f>
        <v>0</v>
      </c>
      <c r="Z87" s="38">
        <f>[4]武将数量星级阶位验证!$CY86</f>
        <v>0.29608519365209851</v>
      </c>
      <c r="AA87" s="38">
        <f t="shared" si="6"/>
        <v>0.2</v>
      </c>
      <c r="AB87" s="48">
        <f t="shared" si="7"/>
        <v>1.3511073174557413</v>
      </c>
      <c r="AE87" s="37">
        <v>83</v>
      </c>
      <c r="AF87" s="38">
        <f>MAX('[1]资源-银币'!BC88,0)</f>
        <v>5.4829338801467661E-2</v>
      </c>
      <c r="AG87" s="38">
        <f>MAX('[1]资源-木石铜粮'!AS88,0)</f>
        <v>5.0841435951541447E-2</v>
      </c>
      <c r="AH87" s="38">
        <f>MAX('[1]资源-铁'!AR88,0)</f>
        <v>7.2045327947697926E-2</v>
      </c>
      <c r="AI87" s="38">
        <f>MAX('[1]资源-士兵训练时间'!AV88,0)</f>
        <v>0.1534014434944331</v>
      </c>
      <c r="AJ87" s="38">
        <f>MAX('[1]资源-玩家城池建筑时间'!BL88,0)</f>
        <v>0.1627186903242735</v>
      </c>
      <c r="AK87" s="38">
        <f>MAX('[1]资源-士兵招募时间'!AW88,0)</f>
        <v>0</v>
      </c>
      <c r="AL87" s="38">
        <f>MAX('[1]资源-圣人研究时间'!AZ87,0)</f>
        <v>0.16234747103217256</v>
      </c>
      <c r="AM87" s="38">
        <f>MAX([2]士兵治疗!CB87,0)</f>
        <v>0</v>
      </c>
      <c r="AN87" s="38">
        <f>[4]武将数量星级阶位验证!$DA86</f>
        <v>0.29608519365209851</v>
      </c>
      <c r="AO87" s="38">
        <f t="shared" si="8"/>
        <v>0.2</v>
      </c>
      <c r="AP87" s="48">
        <f t="shared" si="9"/>
        <v>1.1522689012036846</v>
      </c>
    </row>
    <row r="88" spans="3:42" x14ac:dyDescent="0.15">
      <c r="C88" s="37">
        <v>84</v>
      </c>
      <c r="D88" s="38">
        <f>MAX('[1]资源-银币'!AY89,0)</f>
        <v>2.3737089938819553E-2</v>
      </c>
      <c r="E88" s="38">
        <f>MAX('[1]资源-木石铜粮'!AO89,0)</f>
        <v>3.0453900324906247E-2</v>
      </c>
      <c r="F88" s="38">
        <f>MAX('[1]资源-铁'!AN89,0)</f>
        <v>8.0275546513999207E-2</v>
      </c>
      <c r="G88" s="38">
        <f>MAX('[1]资源-士兵训练时间'!AR89,0)</f>
        <v>0.10652578752680128</v>
      </c>
      <c r="H88" s="38">
        <f>MAX('[1]资源-玩家城池建筑时间'!BH89,0)</f>
        <v>0.17654385301298814</v>
      </c>
      <c r="I88" s="38">
        <f>MAX('[1]资源-士兵招募时间'!AS89,0)</f>
        <v>0</v>
      </c>
      <c r="J88" s="38">
        <f>MAX('[1]资源-圣人研究时间'!AV88,0)</f>
        <v>0.2024464782347698</v>
      </c>
      <c r="K88" s="38">
        <f>MAX([2]士兵治疗!BX88,0)</f>
        <v>0</v>
      </c>
      <c r="L88" s="38">
        <f>[4]武将数量星级阶位验证!$CW87</f>
        <v>0.29275598037563311</v>
      </c>
      <c r="M88" s="38">
        <f>[3]投放验证!$AL$4</f>
        <v>0.2</v>
      </c>
      <c r="N88" s="48">
        <f t="shared" si="5"/>
        <v>1.1127386359279174</v>
      </c>
      <c r="O88" s="37"/>
      <c r="Q88" s="37">
        <v>84</v>
      </c>
      <c r="R88" s="38">
        <f>MAX('[1]资源-银币'!BA89,0)</f>
        <v>5.7345584506128228E-2</v>
      </c>
      <c r="S88" s="38">
        <f>MAX('[1]资源-木石铜粮'!AQ89,0)</f>
        <v>6.8236737971032496E-2</v>
      </c>
      <c r="T88" s="38">
        <f>MAX('[1]资源-铁'!AP89,0)</f>
        <v>0.10293931831734401</v>
      </c>
      <c r="U88" s="38">
        <f>MAX('[1]资源-士兵训练时间'!AT89,0)</f>
        <v>0.19154693182899249</v>
      </c>
      <c r="V88" s="38">
        <f>MAX('[1]资源-玩家城池建筑时间'!BJ89,0)</f>
        <v>0.20524512041817325</v>
      </c>
      <c r="W88" s="38">
        <f>MAX('[1]资源-士兵招募时间'!AU89,0)</f>
        <v>0</v>
      </c>
      <c r="X88" s="38">
        <f>MAX('[1]资源-圣人研究时间'!AX88,0)</f>
        <v>0.23428558321491721</v>
      </c>
      <c r="Y88" s="38">
        <f>MAX([2]士兵治疗!BZ88,0)</f>
        <v>0</v>
      </c>
      <c r="Z88" s="38">
        <f>[4]武将数量星级阶位验证!$CY87</f>
        <v>0.29275598037563311</v>
      </c>
      <c r="AA88" s="38">
        <f t="shared" si="6"/>
        <v>0.2</v>
      </c>
      <c r="AB88" s="48">
        <f t="shared" si="7"/>
        <v>1.3523552566322208</v>
      </c>
      <c r="AE88" s="37">
        <v>84</v>
      </c>
      <c r="AF88" s="38">
        <f>MAX('[1]资源-银币'!BC89,0)</f>
        <v>5.4645222593273375E-2</v>
      </c>
      <c r="AG88" s="38">
        <f>MAX('[1]资源-木石铜粮'!AS89,0)</f>
        <v>5.1863116915315387E-2</v>
      </c>
      <c r="AH88" s="38">
        <f>MAX('[1]资源-铁'!AR89,0)</f>
        <v>7.3250090622478323E-2</v>
      </c>
      <c r="AI88" s="38">
        <f>MAX('[1]资源-士兵训练时间'!AV89,0)</f>
        <v>0.15301581904047334</v>
      </c>
      <c r="AJ88" s="38">
        <f>MAX('[1]资源-玩家城池建筑时间'!BL89,0)</f>
        <v>0.16420407517123251</v>
      </c>
      <c r="AK88" s="38">
        <f>MAX('[1]资源-士兵招募时间'!AW89,0)</f>
        <v>0</v>
      </c>
      <c r="AL88" s="38">
        <f>MAX('[1]资源-圣人研究时间'!AZ88,0)</f>
        <v>0.16481950682835084</v>
      </c>
      <c r="AM88" s="38">
        <f>MAX([2]士兵治疗!CB88,0)</f>
        <v>0</v>
      </c>
      <c r="AN88" s="38">
        <f>[4]武将数量星级阶位验证!$DA87</f>
        <v>0.29275598037563311</v>
      </c>
      <c r="AO88" s="38">
        <f t="shared" si="8"/>
        <v>0.2</v>
      </c>
      <c r="AP88" s="48">
        <f t="shared" si="9"/>
        <v>1.1545538115467568</v>
      </c>
    </row>
    <row r="89" spans="3:42" x14ac:dyDescent="0.15">
      <c r="C89" s="37">
        <v>85</v>
      </c>
      <c r="D89" s="38">
        <f>MAX('[1]资源-银币'!AY90,0)</f>
        <v>2.2379622710845377E-2</v>
      </c>
      <c r="E89" s="38">
        <f>MAX('[1]资源-木石铜粮'!AO90,0)</f>
        <v>3.1401903400870915E-2</v>
      </c>
      <c r="F89" s="38">
        <f>MAX('[1]资源-铁'!AN90,0)</f>
        <v>8.05781923348588E-2</v>
      </c>
      <c r="G89" s="38">
        <f>MAX('[1]资源-士兵训练时间'!AR90,0)</f>
        <v>0.10721894873066677</v>
      </c>
      <c r="H89" s="38">
        <f>MAX('[1]资源-玩家城池建筑时间'!BH90,0)</f>
        <v>0.1795102865748531</v>
      </c>
      <c r="I89" s="38">
        <f>MAX('[1]资源-士兵招募时间'!AS90,0)</f>
        <v>0</v>
      </c>
      <c r="J89" s="38">
        <f>MAX('[1]资源-圣人研究时间'!AV89,0)</f>
        <v>0.20447253284460806</v>
      </c>
      <c r="K89" s="38">
        <f>MAX([2]士兵治疗!BX89,0)</f>
        <v>0</v>
      </c>
      <c r="L89" s="38">
        <f>[4]武将数量星级阶位验证!$CW88</f>
        <v>0.28942676709916776</v>
      </c>
      <c r="M89" s="38">
        <f>[3]投放验证!$AL$4</f>
        <v>0.2</v>
      </c>
      <c r="N89" s="48">
        <f t="shared" si="5"/>
        <v>1.1149882536958708</v>
      </c>
      <c r="O89" s="37"/>
      <c r="Q89" s="37">
        <v>85</v>
      </c>
      <c r="R89" s="38">
        <f>MAX('[1]资源-银币'!BA90,0)</f>
        <v>5.3962067407265148E-2</v>
      </c>
      <c r="S89" s="38">
        <f>MAX('[1]资源-木石铜粮'!AQ90,0)</f>
        <v>6.6494961445868556E-2</v>
      </c>
      <c r="T89" s="38">
        <f>MAX('[1]资源-铁'!AP90,0)</f>
        <v>0.10411623442576325</v>
      </c>
      <c r="U89" s="38">
        <f>MAX('[1]资源-士兵训练时间'!AT90,0)</f>
        <v>0.19114148996834951</v>
      </c>
      <c r="V89" s="38">
        <f>MAX('[1]资源-玩家城池建筑时间'!BJ90,0)</f>
        <v>0.20826527926132835</v>
      </c>
      <c r="W89" s="38">
        <f>MAX('[1]资源-士兵招募时间'!AU90,0)</f>
        <v>0</v>
      </c>
      <c r="X89" s="38">
        <f>MAX('[1]资源-圣人研究时间'!AX89,0)</f>
        <v>0.23551848170527412</v>
      </c>
      <c r="Y89" s="38">
        <f>MAX([2]士兵治疗!BZ89,0)</f>
        <v>0</v>
      </c>
      <c r="Z89" s="38">
        <f>[4]武将数量星级阶位验证!$CY88</f>
        <v>0.28942676709916776</v>
      </c>
      <c r="AA89" s="38">
        <f t="shared" si="6"/>
        <v>0.2</v>
      </c>
      <c r="AB89" s="48">
        <f t="shared" si="7"/>
        <v>1.3489252813130166</v>
      </c>
      <c r="AE89" s="37">
        <v>85</v>
      </c>
      <c r="AF89" s="38">
        <f>MAX('[1]资源-银币'!BC90,0)</f>
        <v>5.3687999279336485E-2</v>
      </c>
      <c r="AG89" s="38">
        <f>MAX('[1]资源-木石铜粮'!AS90,0)</f>
        <v>5.2927154624156557E-2</v>
      </c>
      <c r="AH89" s="38">
        <f>MAX('[1]资源-铁'!AR90,0)</f>
        <v>7.402114863088155E-2</v>
      </c>
      <c r="AI89" s="38">
        <f>MAX('[1]资源-士兵训练时间'!AV90,0)</f>
        <v>0.15087313123456517</v>
      </c>
      <c r="AJ89" s="38">
        <f>MAX('[1]资源-玩家城池建筑时间'!BL90,0)</f>
        <v>0.16571262030933573</v>
      </c>
      <c r="AK89" s="38">
        <f>MAX('[1]资源-士兵招募时间'!AW90,0)</f>
        <v>0</v>
      </c>
      <c r="AL89" s="38">
        <f>MAX('[1]资源-圣人研究时间'!AZ89,0)</f>
        <v>0.16746816095175776</v>
      </c>
      <c r="AM89" s="38">
        <f>MAX([2]士兵治疗!CB89,0)</f>
        <v>0</v>
      </c>
      <c r="AN89" s="38">
        <f>[4]武将数量星级阶位验证!$DA88</f>
        <v>0.28942676709916776</v>
      </c>
      <c r="AO89" s="38">
        <f t="shared" si="8"/>
        <v>0.2</v>
      </c>
      <c r="AP89" s="48">
        <f t="shared" si="9"/>
        <v>1.154116982129201</v>
      </c>
    </row>
    <row r="90" spans="3:42" x14ac:dyDescent="0.15">
      <c r="C90" s="37">
        <v>86</v>
      </c>
      <c r="D90" s="38">
        <f>MAX('[1]资源-银币'!AY91,0)</f>
        <v>2.0603129210485179E-2</v>
      </c>
      <c r="E90" s="38">
        <f>MAX('[1]资源-木石铜粮'!AO91,0)</f>
        <v>3.2537767611314619E-2</v>
      </c>
      <c r="F90" s="38">
        <f>MAX('[1]资源-铁'!AN91,0)</f>
        <v>8.1401017968176198E-2</v>
      </c>
      <c r="G90" s="38">
        <f>MAX('[1]资源-士兵训练时间'!AR91,0)</f>
        <v>0.10822594082077901</v>
      </c>
      <c r="H90" s="38">
        <f>MAX('[1]资源-玩家城池建筑时间'!BH91,0)</f>
        <v>0.1831743075028632</v>
      </c>
      <c r="I90" s="38">
        <f>MAX('[1]资源-士兵招募时间'!AS91,0)</f>
        <v>0</v>
      </c>
      <c r="J90" s="38">
        <f>MAX('[1]资源-圣人研究时间'!AV90,0)</f>
        <v>0.20731195922926135</v>
      </c>
      <c r="K90" s="38">
        <f>MAX([2]士兵治疗!BX90,0)</f>
        <v>0</v>
      </c>
      <c r="L90" s="38">
        <f>[4]武将数量星级阶位验证!$CW89</f>
        <v>0.28620623652708249</v>
      </c>
      <c r="M90" s="38">
        <f>[3]投放验证!$AL$4</f>
        <v>0.2</v>
      </c>
      <c r="N90" s="48">
        <f t="shared" si="5"/>
        <v>1.1194603588699621</v>
      </c>
      <c r="O90" s="37"/>
      <c r="Q90" s="37">
        <v>86</v>
      </c>
      <c r="R90" s="38">
        <f>MAX('[1]资源-银币'!BA91,0)</f>
        <v>5.1640277460731611E-2</v>
      </c>
      <c r="S90" s="38">
        <f>MAX('[1]资源-木石铜粮'!AQ91,0)</f>
        <v>6.7244399390040357E-2</v>
      </c>
      <c r="T90" s="38">
        <f>MAX('[1]资源-铁'!AP91,0)</f>
        <v>0.10610868309823936</v>
      </c>
      <c r="U90" s="38">
        <f>MAX('[1]资源-士兵训练时间'!AT91,0)</f>
        <v>0.19039665913399925</v>
      </c>
      <c r="V90" s="38">
        <f>MAX('[1]资源-玩家城池建筑时间'!BJ91,0)</f>
        <v>0.21076309520087702</v>
      </c>
      <c r="W90" s="38">
        <f>MAX('[1]资源-士兵招募时间'!AU91,0)</f>
        <v>0</v>
      </c>
      <c r="X90" s="38">
        <f>MAX('[1]资源-圣人研究时间'!AX90,0)</f>
        <v>0.23941653770229501</v>
      </c>
      <c r="Y90" s="38">
        <f>MAX([2]士兵治疗!BZ90,0)</f>
        <v>0</v>
      </c>
      <c r="Z90" s="38">
        <f>[4]武将数量星级阶位验证!$CY89</f>
        <v>0.28620623652708249</v>
      </c>
      <c r="AA90" s="38">
        <f t="shared" si="6"/>
        <v>0.2</v>
      </c>
      <c r="AB90" s="48">
        <f t="shared" si="7"/>
        <v>1.3517758885132649</v>
      </c>
      <c r="AE90" s="37">
        <v>86</v>
      </c>
      <c r="AF90" s="38">
        <f>MAX('[1]资源-银币'!BC91,0)</f>
        <v>5.3437456865050824E-2</v>
      </c>
      <c r="AG90" s="38">
        <f>MAX('[1]资源-木石铜粮'!AS91,0)</f>
        <v>5.5036119062533105E-2</v>
      </c>
      <c r="AH90" s="38">
        <f>MAX('[1]资源-铁'!AR91,0)</f>
        <v>7.3327492636004743E-2</v>
      </c>
      <c r="AI90" s="38">
        <f>MAX('[1]资源-士兵训练时间'!AV91,0)</f>
        <v>0.14502233333452613</v>
      </c>
      <c r="AJ90" s="38">
        <f>MAX('[1]资源-玩家城池建筑时间'!BL91,0)</f>
        <v>0.16660302840400623</v>
      </c>
      <c r="AK90" s="38">
        <f>MAX('[1]资源-士兵招募时间'!AW91,0)</f>
        <v>0</v>
      </c>
      <c r="AL90" s="38">
        <f>MAX('[1]资源-圣人研究时间'!AZ90,0)</f>
        <v>0.16948474840002617</v>
      </c>
      <c r="AM90" s="38">
        <f>MAX([2]士兵治疗!CB90,0)</f>
        <v>0</v>
      </c>
      <c r="AN90" s="38">
        <f>[4]武将数量星级阶位验证!$DA89</f>
        <v>0.28620623652708249</v>
      </c>
      <c r="AO90" s="38">
        <f t="shared" si="8"/>
        <v>0.2</v>
      </c>
      <c r="AP90" s="48">
        <f t="shared" si="9"/>
        <v>1.1491174152292296</v>
      </c>
    </row>
    <row r="91" spans="3:42" x14ac:dyDescent="0.15">
      <c r="C91" s="37">
        <v>87</v>
      </c>
      <c r="D91" s="38">
        <f>MAX('[1]资源-银币'!AY92,0)</f>
        <v>1.8764362707947659E-2</v>
      </c>
      <c r="E91" s="38">
        <f>MAX('[1]资源-木石铜粮'!AO92,0)</f>
        <v>3.3895065263256578E-2</v>
      </c>
      <c r="F91" s="38">
        <f>MAX('[1]资源-铁'!AN92,0)</f>
        <v>8.2867323069753029E-2</v>
      </c>
      <c r="G91" s="38">
        <f>MAX('[1]资源-士兵训练时间'!AR92,0)</f>
        <v>0.10944491450024935</v>
      </c>
      <c r="H91" s="38">
        <f>MAX('[1]资源-玩家城池建筑时间'!BH92,0)</f>
        <v>0.18760739823662054</v>
      </c>
      <c r="I91" s="38">
        <f>MAX('[1]资源-士兵招募时间'!AS92,0)</f>
        <v>0</v>
      </c>
      <c r="J91" s="38">
        <f>MAX('[1]资源-圣人研究时间'!AV91,0)</f>
        <v>0.21097345219981375</v>
      </c>
      <c r="K91" s="38">
        <f>MAX([2]士兵治疗!BX91,0)</f>
        <v>0</v>
      </c>
      <c r="L91" s="38">
        <f>[4]武将数量星级阶位验证!$CW90</f>
        <v>0.28298570595499722</v>
      </c>
      <c r="M91" s="38">
        <f>[3]投放验证!$AL$4</f>
        <v>0.2</v>
      </c>
      <c r="N91" s="48">
        <f t="shared" si="5"/>
        <v>1.1265382219326381</v>
      </c>
      <c r="O91" s="37"/>
      <c r="Q91" s="37">
        <v>87</v>
      </c>
      <c r="R91" s="38">
        <f>MAX('[1]资源-银币'!BA92,0)</f>
        <v>5.0519943078027187E-2</v>
      </c>
      <c r="S91" s="38">
        <f>MAX('[1]资源-木石铜粮'!AQ92,0)</f>
        <v>7.0307650654823098E-2</v>
      </c>
      <c r="T91" s="38">
        <f>MAX('[1]资源-铁'!AP92,0)</f>
        <v>0.10758389350587752</v>
      </c>
      <c r="U91" s="38">
        <f>MAX('[1]资源-士兵训练时间'!AT92,0)</f>
        <v>0.1898000710600343</v>
      </c>
      <c r="V91" s="38">
        <f>MAX('[1]资源-玩家城池建筑时间'!BJ92,0)</f>
        <v>0.21236951941157717</v>
      </c>
      <c r="W91" s="38">
        <f>MAX('[1]资源-士兵招募时间'!AU92,0)</f>
        <v>0</v>
      </c>
      <c r="X91" s="38">
        <f>MAX('[1]资源-圣人研究时间'!AX91,0)</f>
        <v>0.24262852464630838</v>
      </c>
      <c r="Y91" s="38">
        <f>MAX([2]士兵治疗!BZ91,0)</f>
        <v>0</v>
      </c>
      <c r="Z91" s="38">
        <f>[4]武将数量星级阶位验证!$CY90</f>
        <v>0.28298570595499722</v>
      </c>
      <c r="AA91" s="38">
        <f t="shared" si="6"/>
        <v>0.2</v>
      </c>
      <c r="AB91" s="48">
        <f t="shared" si="7"/>
        <v>1.3561953083116449</v>
      </c>
      <c r="AE91" s="37">
        <v>87</v>
      </c>
      <c r="AF91" s="38">
        <f>MAX('[1]资源-银币'!BC92,0)</f>
        <v>5.3313467695812522E-2</v>
      </c>
      <c r="AG91" s="38">
        <f>MAX('[1]资源-木石铜粮'!AS92,0)</f>
        <v>5.7403139818037699E-2</v>
      </c>
      <c r="AH91" s="38">
        <f>MAX('[1]资源-铁'!AR92,0)</f>
        <v>7.2748374881912298E-2</v>
      </c>
      <c r="AI91" s="38">
        <f>MAX('[1]资源-士兵训练时间'!AV92,0)</f>
        <v>0.14029477354882791</v>
      </c>
      <c r="AJ91" s="38">
        <f>MAX('[1]资源-玩家城池建筑时间'!BL92,0)</f>
        <v>0.16731981445775815</v>
      </c>
      <c r="AK91" s="38">
        <f>MAX('[1]资源-士兵招募时间'!AW92,0)</f>
        <v>0</v>
      </c>
      <c r="AL91" s="38">
        <f>MAX('[1]资源-圣人研究时间'!AZ91,0)</f>
        <v>0.1711133875396029</v>
      </c>
      <c r="AM91" s="38">
        <f>MAX([2]士兵治疗!CB91,0)</f>
        <v>0</v>
      </c>
      <c r="AN91" s="38">
        <f>[4]武将数量星级阶位验证!$DA90</f>
        <v>0.28298570595499722</v>
      </c>
      <c r="AO91" s="38">
        <f t="shared" si="8"/>
        <v>0.2</v>
      </c>
      <c r="AP91" s="48">
        <f t="shared" si="9"/>
        <v>1.1451786638969488</v>
      </c>
    </row>
    <row r="92" spans="3:42" x14ac:dyDescent="0.15">
      <c r="C92" s="37">
        <v>88</v>
      </c>
      <c r="D92" s="38">
        <f>MAX('[1]资源-银币'!AY93,0)</f>
        <v>1.7048117637955256E-2</v>
      </c>
      <c r="E92" s="38">
        <f>MAX('[1]资源-木石铜粮'!AO93,0)</f>
        <v>3.564042197058466E-2</v>
      </c>
      <c r="F92" s="38">
        <f>MAX('[1]资源-铁'!AN93,0)</f>
        <v>8.4913917557936328E-2</v>
      </c>
      <c r="G92" s="38">
        <f>MAX('[1]资源-士兵训练时间'!AR93,0)</f>
        <v>0.1109136544240146</v>
      </c>
      <c r="H92" s="38">
        <f>MAX('[1]资源-玩家城池建筑时间'!BH93,0)</f>
        <v>0.19261525052277839</v>
      </c>
      <c r="I92" s="38">
        <f>MAX('[1]资源-士兵招募时间'!AS93,0)</f>
        <v>0</v>
      </c>
      <c r="J92" s="38">
        <f>MAX('[1]资源-圣人研究时间'!AV92,0)</f>
        <v>0.21615229236340533</v>
      </c>
      <c r="K92" s="38">
        <f>MAX([2]士兵治疗!BX92,0)</f>
        <v>0</v>
      </c>
      <c r="L92" s="38">
        <f>[4]武将数量星级阶位验证!$CW91</f>
        <v>0.2797651753829119</v>
      </c>
      <c r="M92" s="38">
        <f>[3]投放验证!$AL$4</f>
        <v>0.2</v>
      </c>
      <c r="N92" s="48">
        <f t="shared" si="5"/>
        <v>1.1370488298595864</v>
      </c>
      <c r="O92" s="37"/>
      <c r="Q92" s="37">
        <v>88</v>
      </c>
      <c r="R92" s="38">
        <f>MAX('[1]资源-银币'!BA93,0)</f>
        <v>4.9627789457728944E-2</v>
      </c>
      <c r="S92" s="38">
        <f>MAX('[1]资源-木石铜粮'!AQ93,0)</f>
        <v>7.4049928109053614E-2</v>
      </c>
      <c r="T92" s="38">
        <f>MAX('[1]资源-铁'!AP93,0)</f>
        <v>0.10800081647935694</v>
      </c>
      <c r="U92" s="38">
        <f>MAX('[1]资源-士兵训练时间'!AT93,0)</f>
        <v>0.18568266203226641</v>
      </c>
      <c r="V92" s="38">
        <f>MAX('[1]资源-玩家城池建筑时间'!BJ93,0)</f>
        <v>0.21377546395603522</v>
      </c>
      <c r="W92" s="38">
        <f>MAX('[1]资源-士兵招募时间'!AU93,0)</f>
        <v>0</v>
      </c>
      <c r="X92" s="38">
        <f>MAX('[1]资源-圣人研究时间'!AX92,0)</f>
        <v>0.24592799685497813</v>
      </c>
      <c r="Y92" s="38">
        <f>MAX([2]士兵治疗!BZ92,0)</f>
        <v>0</v>
      </c>
      <c r="Z92" s="38">
        <f>[4]武将数量星级阶位验证!$CY91</f>
        <v>0.2797651753829119</v>
      </c>
      <c r="AA92" s="38">
        <f t="shared" si="6"/>
        <v>0.2</v>
      </c>
      <c r="AB92" s="48">
        <f t="shared" si="7"/>
        <v>1.3568298322723311</v>
      </c>
      <c r="AE92" s="37">
        <v>88</v>
      </c>
      <c r="AF92" s="38">
        <f>MAX('[1]资源-银币'!BC93,0)</f>
        <v>5.3083834940548719E-2</v>
      </c>
      <c r="AG92" s="38">
        <f>MAX('[1]资源-木石铜粮'!AS93,0)</f>
        <v>5.9727776410025198E-2</v>
      </c>
      <c r="AH92" s="38">
        <f>MAX('[1]资源-铁'!AR93,0)</f>
        <v>7.2128607308689016E-2</v>
      </c>
      <c r="AI92" s="38">
        <f>MAX('[1]资源-士兵训练时间'!AV93,0)</f>
        <v>0.13509667420204571</v>
      </c>
      <c r="AJ92" s="38">
        <f>MAX('[1]资源-玩家城池建筑时间'!BL93,0)</f>
        <v>0.16810590411627668</v>
      </c>
      <c r="AK92" s="38">
        <f>MAX('[1]资源-士兵招募时间'!AW93,0)</f>
        <v>0</v>
      </c>
      <c r="AL92" s="38">
        <f>MAX('[1]资源-圣人研究时间'!AZ92,0)</f>
        <v>0.17290352291208616</v>
      </c>
      <c r="AM92" s="38">
        <f>MAX([2]士兵治疗!CB92,0)</f>
        <v>0</v>
      </c>
      <c r="AN92" s="38">
        <f>[4]武将数量星级阶位验证!$DA91</f>
        <v>0.2797651753829119</v>
      </c>
      <c r="AO92" s="38">
        <f t="shared" si="8"/>
        <v>0.2</v>
      </c>
      <c r="AP92" s="48">
        <f t="shared" si="9"/>
        <v>1.1408114952725834</v>
      </c>
    </row>
    <row r="93" spans="3:42" x14ac:dyDescent="0.15">
      <c r="C93" s="37">
        <v>89</v>
      </c>
      <c r="D93" s="38">
        <f>MAX('[1]资源-银币'!AY94,0)</f>
        <v>1.5597422523073886E-2</v>
      </c>
      <c r="E93" s="38">
        <f>MAX('[1]资源-木石铜粮'!AO94,0)</f>
        <v>3.8404805845883593E-2</v>
      </c>
      <c r="F93" s="38">
        <f>MAX('[1]资源-铁'!AN94,0)</f>
        <v>8.833645109511129E-2</v>
      </c>
      <c r="G93" s="38">
        <f>MAX('[1]资源-士兵训练时间'!AR94,0)</f>
        <v>0.11237986550062733</v>
      </c>
      <c r="H93" s="38">
        <f>MAX('[1]资源-玩家城池建筑时间'!BH94,0)</f>
        <v>0.19841358639481788</v>
      </c>
      <c r="I93" s="38">
        <f>MAX('[1]资源-士兵招募时间'!AS94,0)</f>
        <v>0</v>
      </c>
      <c r="J93" s="38">
        <f>MAX('[1]资源-圣人研究时间'!AV93,0)</f>
        <v>0.22496637709842107</v>
      </c>
      <c r="K93" s="38">
        <f>MAX([2]士兵治疗!BX93,0)</f>
        <v>0</v>
      </c>
      <c r="L93" s="38">
        <f>[4]武将数量星级阶位验证!$CW92</f>
        <v>0.27654464481082663</v>
      </c>
      <c r="M93" s="38">
        <f>[3]投放验证!$AL$4</f>
        <v>0.2</v>
      </c>
      <c r="N93" s="48">
        <f t="shared" si="5"/>
        <v>1.1546431532687618</v>
      </c>
      <c r="O93" s="37"/>
      <c r="Q93" s="37">
        <v>89</v>
      </c>
      <c r="R93" s="38">
        <f>MAX('[1]资源-银币'!BA94,0)</f>
        <v>4.9122145551533894E-2</v>
      </c>
      <c r="S93" s="38">
        <f>MAX('[1]资源-木石铜粮'!AQ94,0)</f>
        <v>7.9027493324055051E-2</v>
      </c>
      <c r="T93" s="38">
        <f>MAX('[1]资源-铁'!AP94,0)</f>
        <v>0.10688834816546701</v>
      </c>
      <c r="U93" s="38">
        <f>MAX('[1]资源-士兵训练时间'!AT94,0)</f>
        <v>0.17646046486006045</v>
      </c>
      <c r="V93" s="38">
        <f>MAX('[1]资源-玩家城池建筑时间'!BJ94,0)</f>
        <v>0.21472033621346967</v>
      </c>
      <c r="W93" s="38">
        <f>MAX('[1]资源-士兵招募时间'!AU94,0)</f>
        <v>0</v>
      </c>
      <c r="X93" s="38">
        <f>MAX('[1]资源-圣人研究时间'!AX93,0)</f>
        <v>0.24930246720651611</v>
      </c>
      <c r="Y93" s="38">
        <f>MAX([2]士兵治疗!BZ93,0)</f>
        <v>0</v>
      </c>
      <c r="Z93" s="38">
        <f>[4]武将数量星级阶位验证!$CY92</f>
        <v>0.27654464481082663</v>
      </c>
      <c r="AA93" s="38">
        <f t="shared" si="6"/>
        <v>0.2</v>
      </c>
      <c r="AB93" s="48">
        <f t="shared" si="7"/>
        <v>1.3520659001319288</v>
      </c>
      <c r="AE93" s="37">
        <v>89</v>
      </c>
      <c r="AF93" s="38">
        <f>MAX('[1]资源-银币'!BC94,0)</f>
        <v>4.344258633889056E-2</v>
      </c>
      <c r="AG93" s="38">
        <f>MAX('[1]资源-木石铜粮'!AS94,0)</f>
        <v>4.8257735353778496E-2</v>
      </c>
      <c r="AH93" s="38">
        <f>MAX('[1]资源-铁'!AR94,0)</f>
        <v>5.7194098285386907E-2</v>
      </c>
      <c r="AI93" s="38">
        <f>MAX('[1]资源-士兵训练时间'!AV94,0)</f>
        <v>0.10582444556925577</v>
      </c>
      <c r="AJ93" s="38">
        <f>MAX('[1]资源-玩家城池建筑时间'!BL94,0)</f>
        <v>0.12902943232144606</v>
      </c>
      <c r="AK93" s="38">
        <f>MAX('[1]资源-士兵招募时间'!AW94,0)</f>
        <v>0</v>
      </c>
      <c r="AL93" s="38">
        <f>MAX('[1]资源-圣人研究时间'!AZ93,0)</f>
        <v>0.13995407707121044</v>
      </c>
      <c r="AM93" s="38">
        <f>MAX([2]士兵治疗!CB93,0)</f>
        <v>0</v>
      </c>
      <c r="AN93" s="38">
        <f>[4]武将数量星级阶位验证!$DA92</f>
        <v>0.27654464481082663</v>
      </c>
      <c r="AO93" s="38">
        <f t="shared" si="8"/>
        <v>0.2</v>
      </c>
      <c r="AP93" s="48">
        <f t="shared" si="9"/>
        <v>1.0002470197507949</v>
      </c>
    </row>
    <row r="94" spans="3:42" x14ac:dyDescent="0.15">
      <c r="C94" s="37">
        <v>90</v>
      </c>
      <c r="D94" s="38">
        <f>MAX('[1]资源-银币'!AY95,0)</f>
        <v>1.4183145972155243E-2</v>
      </c>
      <c r="E94" s="38">
        <f>MAX('[1]资源-木石铜粮'!AO95,0)</f>
        <v>4.1493705471305674E-2</v>
      </c>
      <c r="F94" s="38">
        <f>MAX('[1]资源-铁'!AN95,0)</f>
        <v>9.1694704057386292E-2</v>
      </c>
      <c r="G94" s="38">
        <f>MAX('[1]资源-士兵训练时间'!AR95,0)</f>
        <v>0.11284307189240235</v>
      </c>
      <c r="H94" s="38">
        <f>MAX('[1]资源-玩家城池建筑时间'!BH95,0)</f>
        <v>0.20473291065104357</v>
      </c>
      <c r="I94" s="38">
        <f>MAX('[1]资源-士兵招募时间'!AS95,0)</f>
        <v>0</v>
      </c>
      <c r="J94" s="38">
        <f>MAX('[1]资源-圣人研究时间'!AV94,0)</f>
        <v>0.23453204475261863</v>
      </c>
      <c r="K94" s="38">
        <f>MAX([2]士兵治疗!BX94,0)</f>
        <v>0</v>
      </c>
      <c r="L94" s="38">
        <f>[4]武将数量星级阶位验证!$CW93</f>
        <v>0.27332411423874137</v>
      </c>
      <c r="M94" s="38">
        <f>[3]投放验证!$AL$4</f>
        <v>0.2</v>
      </c>
      <c r="N94" s="48">
        <f t="shared" si="5"/>
        <v>1.1728036970356532</v>
      </c>
      <c r="O94" s="37"/>
      <c r="Q94" s="37">
        <v>90</v>
      </c>
      <c r="R94" s="38">
        <f>MAX('[1]资源-银币'!BA95,0)</f>
        <v>4.8451069278139594E-2</v>
      </c>
      <c r="S94" s="38">
        <f>MAX('[1]资源-木石铜粮'!AQ95,0)</f>
        <v>8.3917118028346949E-2</v>
      </c>
      <c r="T94" s="38">
        <f>MAX('[1]资源-铁'!AP95,0)</f>
        <v>0.10574724211824506</v>
      </c>
      <c r="U94" s="38">
        <f>MAX('[1]资源-士兵训练时间'!AT95,0)</f>
        <v>0.16661876645864299</v>
      </c>
      <c r="V94" s="38">
        <f>MAX('[1]资源-玩家城池建筑时间'!BJ95,0)</f>
        <v>0.2155145426145392</v>
      </c>
      <c r="W94" s="38">
        <f>MAX('[1]资源-士兵招募时间'!AU95,0)</f>
        <v>0</v>
      </c>
      <c r="X94" s="38">
        <f>MAX('[1]资源-圣人研究时间'!AX94,0)</f>
        <v>0.25283186432290028</v>
      </c>
      <c r="Y94" s="38">
        <f>MAX([2]士兵治疗!BZ94,0)</f>
        <v>0</v>
      </c>
      <c r="Z94" s="38">
        <f>[4]武将数量星级阶位验证!$CY93</f>
        <v>0.27332411423874137</v>
      </c>
      <c r="AA94" s="38">
        <f t="shared" si="6"/>
        <v>0.2</v>
      </c>
      <c r="AB94" s="48">
        <f t="shared" si="7"/>
        <v>1.3464047170595552</v>
      </c>
      <c r="AE94" s="37">
        <v>90</v>
      </c>
      <c r="AF94" s="38">
        <f>MAX('[1]资源-银币'!BC95,0)</f>
        <v>8.2011921692840602E-3</v>
      </c>
      <c r="AG94" s="38">
        <f>MAX('[1]资源-木石铜粮'!AS95,0)</f>
        <v>2.6123629728157408E-2</v>
      </c>
      <c r="AH94" s="38">
        <f>MAX('[1]资源-铁'!AR95,0)</f>
        <v>3.2625732921223373E-2</v>
      </c>
      <c r="AI94" s="38">
        <f>MAX('[1]资源-士兵训练时间'!AV95,0)</f>
        <v>6.2034198844246331E-2</v>
      </c>
      <c r="AJ94" s="38">
        <f>MAX('[1]资源-玩家城池建筑时间'!BL95,0)</f>
        <v>6.2232884988139753E-2</v>
      </c>
      <c r="AK94" s="38">
        <f>MAX('[1]资源-士兵招募时间'!AW95,0)</f>
        <v>0</v>
      </c>
      <c r="AL94" s="38">
        <f>MAX('[1]资源-圣人研究时间'!AZ94,0)</f>
        <v>8.2264367123920573E-2</v>
      </c>
      <c r="AM94" s="38">
        <f>MAX([2]士兵治疗!CB94,0)</f>
        <v>0</v>
      </c>
      <c r="AN94" s="38">
        <f>[4]武将数量星级阶位验证!$DA93</f>
        <v>0.27332411423874137</v>
      </c>
      <c r="AO94" s="38">
        <f t="shared" si="8"/>
        <v>0.2</v>
      </c>
      <c r="AP94" s="48">
        <f t="shared" si="9"/>
        <v>0.74680612001371283</v>
      </c>
    </row>
    <row r="95" spans="3:42" x14ac:dyDescent="0.15">
      <c r="C95" s="37">
        <v>91</v>
      </c>
      <c r="D95" s="38">
        <f>MAX('[1]资源-银币'!AY96,0)</f>
        <v>1.4149572124594258E-2</v>
      </c>
      <c r="E95" s="38">
        <f>MAX('[1]资源-木石铜粮'!AO96,0)</f>
        <v>4.5621826212697641E-2</v>
      </c>
      <c r="F95" s="38">
        <f>MAX('[1]资源-铁'!AN96,0)</f>
        <v>9.2398487123535156E-2</v>
      </c>
      <c r="G95" s="38">
        <f>MAX('[1]资源-士兵训练时间'!AR96,0)</f>
        <v>0.10141902027486835</v>
      </c>
      <c r="H95" s="38">
        <f>MAX('[1]资源-玩家城池建筑时间'!BH96,0)</f>
        <v>0.21189293539636836</v>
      </c>
      <c r="I95" s="38">
        <f>MAX('[1]资源-士兵招募时间'!AS96,0)</f>
        <v>0</v>
      </c>
      <c r="J95" s="38">
        <f>MAX('[1]资源-圣人研究时间'!AV95,0)</f>
        <v>0.2469370117378715</v>
      </c>
      <c r="K95" s="38">
        <f>MAX([2]士兵治疗!BX95,0)</f>
        <v>0</v>
      </c>
      <c r="L95" s="38">
        <f>[4]武将数量星级阶位验证!$CW94</f>
        <v>0.27020925074817154</v>
      </c>
      <c r="M95" s="38">
        <f>[3]投放验证!$AL$4</f>
        <v>0.2</v>
      </c>
      <c r="N95" s="48">
        <f t="shared" si="5"/>
        <v>1.1826281036181068</v>
      </c>
      <c r="O95" s="37"/>
      <c r="Q95" s="37">
        <v>91</v>
      </c>
      <c r="R95" s="38">
        <f>MAX('[1]资源-银币'!BA96,0)</f>
        <v>4.933900782617575E-2</v>
      </c>
      <c r="S95" s="38">
        <f>MAX('[1]资源-木石铜粮'!AQ96,0)</f>
        <v>8.3714978725353245E-2</v>
      </c>
      <c r="T95" s="38">
        <f>MAX('[1]资源-铁'!AP96,0)</f>
        <v>0.10280085568185221</v>
      </c>
      <c r="U95" s="38">
        <f>MAX('[1]资源-士兵训练时间'!AT96,0)</f>
        <v>0.15546455681987734</v>
      </c>
      <c r="V95" s="38">
        <f>MAX('[1]资源-玩家城池建筑时间'!BJ96,0)</f>
        <v>0.19102501777413752</v>
      </c>
      <c r="W95" s="38">
        <f>MAX('[1]资源-士兵招募时间'!AU96,0)</f>
        <v>0</v>
      </c>
      <c r="X95" s="38">
        <f>MAX('[1]资源-圣人研究时间'!AX95,0)</f>
        <v>0.25460756193025547</v>
      </c>
      <c r="Y95" s="38">
        <f>MAX([2]士兵治疗!BZ95,0)</f>
        <v>0</v>
      </c>
      <c r="Z95" s="38">
        <f>[4]武将数量星级阶位验证!$CY94</f>
        <v>0.27020925074817154</v>
      </c>
      <c r="AA95" s="38">
        <f t="shared" si="6"/>
        <v>0.2</v>
      </c>
      <c r="AB95" s="48">
        <f t="shared" si="7"/>
        <v>1.307161229505823</v>
      </c>
      <c r="AE95" s="37">
        <v>91</v>
      </c>
      <c r="AF95" s="38">
        <f>MAX('[1]资源-银币'!BC96,0)</f>
        <v>0</v>
      </c>
      <c r="AG95" s="38">
        <f>MAX('[1]资源-木石铜粮'!AS96,0)</f>
        <v>1.6324980311232525E-2</v>
      </c>
      <c r="AH95" s="38">
        <f>MAX('[1]资源-铁'!AR96,0)</f>
        <v>2.1637687735440111E-2</v>
      </c>
      <c r="AI95" s="38">
        <f>MAX('[1]资源-士兵训练时间'!AV96,0)</f>
        <v>4.3069162184596742E-2</v>
      </c>
      <c r="AJ95" s="38">
        <f>MAX('[1]资源-玩家城池建筑时间'!BL96,0)</f>
        <v>2.8098183298893045E-2</v>
      </c>
      <c r="AK95" s="38">
        <f>MAX('[1]资源-士兵招募时间'!AW96,0)</f>
        <v>0</v>
      </c>
      <c r="AL95" s="38">
        <f>MAX('[1]资源-圣人研究时间'!AZ95,0)</f>
        <v>5.736829283059227E-2</v>
      </c>
      <c r="AM95" s="38">
        <f>MAX([2]士兵治疗!CB95,0)</f>
        <v>0</v>
      </c>
      <c r="AN95" s="38">
        <f>[4]武将数量星级阶位验证!$DA94</f>
        <v>0.27020925074817154</v>
      </c>
      <c r="AO95" s="38">
        <f t="shared" si="8"/>
        <v>0.2</v>
      </c>
      <c r="AP95" s="48">
        <f t="shared" si="9"/>
        <v>0.63670755710892624</v>
      </c>
    </row>
    <row r="96" spans="3:42" x14ac:dyDescent="0.15">
      <c r="C96" s="37">
        <v>92</v>
      </c>
      <c r="D96" s="38">
        <f>MAX('[1]资源-银币'!AY97,0)</f>
        <v>1.4055373619303145E-2</v>
      </c>
      <c r="E96" s="38">
        <f>MAX('[1]资源-木石铜粮'!AO97,0)</f>
        <v>5.0338574352446971E-2</v>
      </c>
      <c r="F96" s="38">
        <f>MAX('[1]资源-铁'!AN97,0)</f>
        <v>9.3412436932649195E-2</v>
      </c>
      <c r="G96" s="38">
        <f>MAX('[1]资源-士兵训练时间'!AR97,0)</f>
        <v>9.0528251723839687E-2</v>
      </c>
      <c r="H96" s="38">
        <f>MAX('[1]资源-玩家城池建筑时间'!BH97,0)</f>
        <v>0.21953855962780375</v>
      </c>
      <c r="I96" s="38">
        <f>MAX('[1]资源-士兵招募时间'!AS97,0)</f>
        <v>0</v>
      </c>
      <c r="J96" s="38">
        <f>MAX('[1]资源-圣人研究时间'!AV96,0)</f>
        <v>0.25984624807305029</v>
      </c>
      <c r="K96" s="38">
        <f>MAX([2]士兵治疗!BX96,0)</f>
        <v>0</v>
      </c>
      <c r="L96" s="38">
        <f>[4]武将数量星级阶位验证!$CW95</f>
        <v>0.26709438725760171</v>
      </c>
      <c r="M96" s="38">
        <f>[3]投放验证!$AL$4</f>
        <v>0.2</v>
      </c>
      <c r="N96" s="48">
        <f t="shared" si="5"/>
        <v>1.1948138315866947</v>
      </c>
      <c r="O96" s="37"/>
      <c r="Q96" s="37">
        <v>92</v>
      </c>
      <c r="R96" s="38">
        <f>MAX('[1]资源-银币'!BA97,0)</f>
        <v>3.0549213095268722E-2</v>
      </c>
      <c r="S96" s="38">
        <f>MAX('[1]资源-木石铜粮'!AQ97,0)</f>
        <v>7.4822871773136512E-2</v>
      </c>
      <c r="T96" s="38">
        <f>MAX('[1]资源-铁'!AP97,0)</f>
        <v>9.2552530318500109E-2</v>
      </c>
      <c r="U96" s="38">
        <f>MAX('[1]资源-士兵训练时间'!AT97,0)</f>
        <v>0.14331173748577972</v>
      </c>
      <c r="V96" s="38">
        <f>MAX('[1]资源-玩家城池建筑时间'!BJ97,0)</f>
        <v>0.10838414736639754</v>
      </c>
      <c r="W96" s="38">
        <f>MAX('[1]资源-士兵招募时间'!AU97,0)</f>
        <v>0</v>
      </c>
      <c r="X96" s="38">
        <f>MAX('[1]资源-圣人研究时间'!AX96,0)</f>
        <v>0.23793401619928412</v>
      </c>
      <c r="Y96" s="38">
        <f>MAX([2]士兵治疗!BZ96,0)</f>
        <v>0</v>
      </c>
      <c r="Z96" s="38">
        <f>[4]武将数量星级阶位验证!$CY95</f>
        <v>0.26709438725760171</v>
      </c>
      <c r="AA96" s="38">
        <f t="shared" si="6"/>
        <v>0.2</v>
      </c>
      <c r="AB96" s="48">
        <f t="shared" si="7"/>
        <v>1.1546489034959684</v>
      </c>
      <c r="AE96" s="37">
        <v>92</v>
      </c>
      <c r="AF96" s="38">
        <f>MAX('[1]资源-银币'!BC97,0)</f>
        <v>0</v>
      </c>
      <c r="AG96" s="38">
        <f>MAX('[1]资源-木石铜粮'!AS97,0)</f>
        <v>1.0625434283285325E-2</v>
      </c>
      <c r="AH96" s="38">
        <f>MAX('[1]资源-铁'!AR97,0)</f>
        <v>1.5423142951240537E-2</v>
      </c>
      <c r="AI96" s="38">
        <f>MAX('[1]资源-士兵训练时间'!AV97,0)</f>
        <v>3.2486811030625458E-2</v>
      </c>
      <c r="AJ96" s="38">
        <f>MAX('[1]资源-玩家城池建筑时间'!BL97,0)</f>
        <v>7.8415709797444982E-3</v>
      </c>
      <c r="AK96" s="38">
        <f>MAX('[1]资源-士兵招募时间'!AW97,0)</f>
        <v>0</v>
      </c>
      <c r="AL96" s="38">
        <f>MAX('[1]资源-圣人研究时间'!AZ96,0)</f>
        <v>4.349843082856681E-2</v>
      </c>
      <c r="AM96" s="38">
        <f>MAX([2]士兵治疗!CB96,0)</f>
        <v>0</v>
      </c>
      <c r="AN96" s="38">
        <f>[4]武将数量星级阶位验证!$DA95</f>
        <v>0.26709438725760171</v>
      </c>
      <c r="AO96" s="38">
        <f t="shared" si="8"/>
        <v>0.2</v>
      </c>
      <c r="AP96" s="48">
        <f t="shared" si="9"/>
        <v>0.57696977733106425</v>
      </c>
    </row>
    <row r="97" spans="3:42" x14ac:dyDescent="0.15">
      <c r="C97" s="37">
        <v>93</v>
      </c>
      <c r="D97" s="38">
        <f>MAX('[1]资源-银币'!AY98,0)</f>
        <v>2.5016869903903404E-2</v>
      </c>
      <c r="E97" s="38">
        <f>MAX('[1]资源-木石铜粮'!AO98,0)</f>
        <v>5.008291902626049E-2</v>
      </c>
      <c r="F97" s="38">
        <f>MAX('[1]资源-铁'!AN98,0)</f>
        <v>8.7776715892869714E-2</v>
      </c>
      <c r="G97" s="38">
        <f>MAX('[1]资源-士兵训练时间'!AR98,0)</f>
        <v>8.4937380030617238E-2</v>
      </c>
      <c r="H97" s="38">
        <f>MAX('[1]资源-玩家城池建筑时间'!BH98,0)</f>
        <v>0.19413437493425981</v>
      </c>
      <c r="I97" s="38">
        <f>MAX('[1]资源-士兵招募时间'!AS98,0)</f>
        <v>0</v>
      </c>
      <c r="J97" s="38">
        <f>MAX('[1]资源-圣人研究时间'!AV97,0)</f>
        <v>0.24794297281878097</v>
      </c>
      <c r="K97" s="38">
        <f>MAX([2]士兵治疗!BX97,0)</f>
        <v>0</v>
      </c>
      <c r="L97" s="38">
        <f>[4]武将数量星级阶位验证!$CW96</f>
        <v>0.26397952376703193</v>
      </c>
      <c r="M97" s="38">
        <f>[3]投放验证!$AL$4</f>
        <v>0.2</v>
      </c>
      <c r="N97" s="48">
        <f t="shared" si="5"/>
        <v>1.1538707563737236</v>
      </c>
      <c r="O97" s="37"/>
      <c r="Q97" s="37">
        <v>93</v>
      </c>
      <c r="R97" s="38">
        <f>MAX('[1]资源-银币'!BA98,0)</f>
        <v>2.9439334577567873E-2</v>
      </c>
      <c r="S97" s="38">
        <f>MAX('[1]资源-木石铜粮'!AQ98,0)</f>
        <v>7.6403438590416997E-2</v>
      </c>
      <c r="T97" s="38">
        <f>MAX('[1]资源-铁'!AP98,0)</f>
        <v>8.7220718617096113E-2</v>
      </c>
      <c r="U97" s="38">
        <f>MAX('[1]资源-士兵训练时间'!AT98,0)</f>
        <v>0.13629048142237568</v>
      </c>
      <c r="V97" s="38">
        <f>MAX('[1]资源-玩家城池建筑时间'!BJ98,0)</f>
        <v>8.477595318369488E-2</v>
      </c>
      <c r="W97" s="38">
        <f>MAX('[1]资源-士兵招募时间'!AU98,0)</f>
        <v>0</v>
      </c>
      <c r="X97" s="38">
        <f>MAX('[1]资源-圣人研究时间'!AX97,0)</f>
        <v>0.22715561889896327</v>
      </c>
      <c r="Y97" s="38">
        <f>MAX([2]士兵治疗!BZ97,0)</f>
        <v>0</v>
      </c>
      <c r="Z97" s="38">
        <f>[4]武将数量星级阶位验证!$CY96</f>
        <v>0.26397952376703193</v>
      </c>
      <c r="AA97" s="38">
        <f t="shared" si="6"/>
        <v>0.2</v>
      </c>
      <c r="AB97" s="48">
        <f t="shared" si="7"/>
        <v>1.1052650690571468</v>
      </c>
      <c r="AE97" s="37">
        <v>93</v>
      </c>
      <c r="AF97" s="38">
        <f>MAX('[1]资源-银币'!BC98,0)</f>
        <v>0</v>
      </c>
      <c r="AG97" s="38">
        <f>MAX('[1]资源-木石铜粮'!AS98,0)</f>
        <v>8.6513781115885573E-3</v>
      </c>
      <c r="AH97" s="38">
        <f>MAX('[1]资源-铁'!AR98,0)</f>
        <v>1.2290409853528174E-2</v>
      </c>
      <c r="AI97" s="38">
        <f>MAX('[1]资源-士兵训练时间'!AV98,0)</f>
        <v>2.6348968585730524E-2</v>
      </c>
      <c r="AJ97" s="38">
        <f>MAX('[1]资源-玩家城池建筑时间'!BL98,0)</f>
        <v>3.4704291736904151E-3</v>
      </c>
      <c r="AK97" s="38">
        <f>MAX('[1]资源-士兵招募时间'!AW98,0)</f>
        <v>0</v>
      </c>
      <c r="AL97" s="38">
        <f>MAX('[1]资源-圣人研究时间'!AZ97,0)</f>
        <v>3.532942689951913E-2</v>
      </c>
      <c r="AM97" s="38">
        <f>MAX([2]士兵治疗!CB97,0)</f>
        <v>0</v>
      </c>
      <c r="AN97" s="38">
        <f>[4]武将数量星级阶位验证!$DA96</f>
        <v>0.26397952376703193</v>
      </c>
      <c r="AO97" s="38">
        <f t="shared" si="8"/>
        <v>0.2</v>
      </c>
      <c r="AP97" s="48">
        <f t="shared" si="9"/>
        <v>0.5500701363910887</v>
      </c>
    </row>
    <row r="98" spans="3:42" x14ac:dyDescent="0.15">
      <c r="C98" s="37">
        <v>94</v>
      </c>
      <c r="D98" s="38">
        <f>MAX('[1]资源-银币'!AY99,0)</f>
        <v>3.193682669534223E-2</v>
      </c>
      <c r="E98" s="38">
        <f>MAX('[1]资源-木石铜粮'!AO99,0)</f>
        <v>5.0293313292687894E-2</v>
      </c>
      <c r="F98" s="38">
        <f>MAX('[1]资源-铁'!AN99,0)</f>
        <v>8.2280847630198745E-2</v>
      </c>
      <c r="G98" s="38">
        <f>MAX('[1]资源-士兵训练时间'!AR99,0)</f>
        <v>7.9779512035718841E-2</v>
      </c>
      <c r="H98" s="38">
        <f>MAX('[1]资源-玩家城池建筑时间'!BH99,0)</f>
        <v>0.16864048144557542</v>
      </c>
      <c r="I98" s="38">
        <f>MAX('[1]资源-士兵招募时间'!AS99,0)</f>
        <v>0</v>
      </c>
      <c r="J98" s="38">
        <f>MAX('[1]资源-圣人研究时间'!AV98,0)</f>
        <v>0.23618625100020874</v>
      </c>
      <c r="K98" s="38">
        <f>MAX([2]士兵治疗!BX98,0)</f>
        <v>0</v>
      </c>
      <c r="L98" s="38">
        <f>[4]武将数量星级阶位验证!$CW97</f>
        <v>0.2608646602764621</v>
      </c>
      <c r="M98" s="38">
        <f>[3]投放验证!$AL$4</f>
        <v>0.2</v>
      </c>
      <c r="N98" s="48">
        <f t="shared" si="5"/>
        <v>1.1099818923761939</v>
      </c>
      <c r="O98" s="37"/>
      <c r="Q98" s="37">
        <v>94</v>
      </c>
      <c r="R98" s="38">
        <f>MAX('[1]资源-银币'!BA99,0)</f>
        <v>2.8618721366004955E-2</v>
      </c>
      <c r="S98" s="38">
        <f>MAX('[1]资源-木石铜粮'!AQ99,0)</f>
        <v>7.8187925584402324E-2</v>
      </c>
      <c r="T98" s="38">
        <f>MAX('[1]资源-铁'!AP99,0)</f>
        <v>8.2311409333312019E-2</v>
      </c>
      <c r="U98" s="38">
        <f>MAX('[1]资源-士兵训练时间'!AT99,0)</f>
        <v>0.12981891026146483</v>
      </c>
      <c r="V98" s="38">
        <f>MAX('[1]资源-玩家城池建筑时间'!BJ99,0)</f>
        <v>6.3410018611896365E-2</v>
      </c>
      <c r="W98" s="38">
        <f>MAX('[1]资源-士兵招募时间'!AU99,0)</f>
        <v>0</v>
      </c>
      <c r="X98" s="38">
        <f>MAX('[1]资源-圣人研究时间'!AX98,0)</f>
        <v>0.21720688140512573</v>
      </c>
      <c r="Y98" s="38">
        <f>MAX([2]士兵治疗!BZ98,0)</f>
        <v>0</v>
      </c>
      <c r="Z98" s="38">
        <f>[4]武将数量星级阶位验证!$CY97</f>
        <v>0.2608646602764621</v>
      </c>
      <c r="AA98" s="38">
        <f t="shared" si="6"/>
        <v>0.2</v>
      </c>
      <c r="AB98" s="48">
        <f t="shared" si="7"/>
        <v>1.0604185268386683</v>
      </c>
      <c r="AE98" s="37">
        <v>94</v>
      </c>
      <c r="AF98" s="38">
        <f>MAX('[1]资源-银币'!BC99,0)</f>
        <v>0</v>
      </c>
      <c r="AG98" s="38">
        <f>MAX('[1]资源-木石铜粮'!AS99,0)</f>
        <v>7.3160748443290976E-3</v>
      </c>
      <c r="AH98" s="38">
        <f>MAX('[1]资源-铁'!AR99,0)</f>
        <v>1.0124381240784026E-2</v>
      </c>
      <c r="AI98" s="38">
        <f>MAX('[1]资源-士兵训练时间'!AV99,0)</f>
        <v>2.2107178577206069E-2</v>
      </c>
      <c r="AJ98" s="38">
        <f>MAX('[1]资源-玩家城池建筑时间'!BL99,0)</f>
        <v>4.5259013717088338E-4</v>
      </c>
      <c r="AK98" s="38">
        <f>MAX('[1]资源-士兵招募时间'!AW99,0)</f>
        <v>0</v>
      </c>
      <c r="AL98" s="38">
        <f>MAX('[1]资源-圣人研究时间'!AZ98,0)</f>
        <v>2.9684167699109715E-2</v>
      </c>
      <c r="AM98" s="38">
        <f>MAX([2]士兵治疗!CB98,0)</f>
        <v>0</v>
      </c>
      <c r="AN98" s="38">
        <f>[4]武将数量星级阶位验证!$DA97</f>
        <v>0.2608646602764621</v>
      </c>
      <c r="AO98" s="38">
        <f t="shared" si="8"/>
        <v>0.2</v>
      </c>
      <c r="AP98" s="48">
        <f t="shared" si="9"/>
        <v>0.53054905277506192</v>
      </c>
    </row>
    <row r="99" spans="3:42" x14ac:dyDescent="0.15">
      <c r="C99" s="37">
        <v>95</v>
      </c>
      <c r="D99" s="38">
        <f>MAX('[1]资源-银币'!AY100,0)</f>
        <v>3.5124648516498255E-2</v>
      </c>
      <c r="E99" s="38">
        <f>MAX('[1]资源-木石铜粮'!AO100,0)</f>
        <v>5.2759119170878568E-2</v>
      </c>
      <c r="F99" s="38">
        <f>MAX('[1]资源-铁'!AN100,0)</f>
        <v>7.7068976151428104E-2</v>
      </c>
      <c r="G99" s="38">
        <f>MAX('[1]资源-士兵训练时间'!AR100,0)</f>
        <v>7.4878086568917535E-2</v>
      </c>
      <c r="H99" s="38">
        <f>MAX('[1]资源-玩家城池建筑时间'!BH100,0)</f>
        <v>0.14380900471228339</v>
      </c>
      <c r="I99" s="38">
        <f>MAX('[1]资源-士兵招募时间'!AS100,0)</f>
        <v>0</v>
      </c>
      <c r="J99" s="38">
        <f>MAX('[1]资源-圣人研究时间'!AV99,0)</f>
        <v>0.22517278544679531</v>
      </c>
      <c r="K99" s="38">
        <f>MAX([2]士兵治疗!BX99,0)</f>
        <v>0</v>
      </c>
      <c r="L99" s="38">
        <f>[4]武将数量星级阶位验证!$CW98</f>
        <v>0.25774979678589227</v>
      </c>
      <c r="M99" s="38">
        <f>[3]投放验证!$AL$4</f>
        <v>0.2</v>
      </c>
      <c r="N99" s="48">
        <f t="shared" si="5"/>
        <v>1.0665624173526935</v>
      </c>
      <c r="O99" s="37"/>
      <c r="Q99" s="37">
        <v>95</v>
      </c>
      <c r="R99" s="38">
        <f>MAX('[1]资源-银币'!BA100,0)</f>
        <v>2.7468714757725731E-2</v>
      </c>
      <c r="S99" s="38">
        <f>MAX('[1]资源-木石铜粮'!AQ100,0)</f>
        <v>8.0141607782021576E-2</v>
      </c>
      <c r="T99" s="38">
        <f>MAX('[1]资源-铁'!AP100,0)</f>
        <v>7.7627552651863024E-2</v>
      </c>
      <c r="U99" s="38">
        <f>MAX('[1]资源-士兵训练时间'!AT100,0)</f>
        <v>0.12368472415694647</v>
      </c>
      <c r="V99" s="38">
        <f>MAX('[1]资源-玩家城池建筑时间'!BJ100,0)</f>
        <v>4.2141413788150804E-2</v>
      </c>
      <c r="W99" s="38">
        <f>MAX('[1]资源-士兵招募时间'!AU100,0)</f>
        <v>0</v>
      </c>
      <c r="X99" s="38">
        <f>MAX('[1]资源-圣人研究时间'!AX99,0)</f>
        <v>0.20783071090910907</v>
      </c>
      <c r="Y99" s="38">
        <f>MAX([2]士兵治疗!BZ99,0)</f>
        <v>0</v>
      </c>
      <c r="Z99" s="38">
        <f>[4]武将数量星级阶位验证!$CY98</f>
        <v>0.25774979678589227</v>
      </c>
      <c r="AA99" s="38">
        <f t="shared" si="6"/>
        <v>0.2</v>
      </c>
      <c r="AB99" s="48">
        <f t="shared" si="7"/>
        <v>1.016644520831709</v>
      </c>
      <c r="AE99" s="37">
        <v>95</v>
      </c>
      <c r="AF99" s="38">
        <f>MAX('[1]资源-银币'!BC100,0)</f>
        <v>0</v>
      </c>
      <c r="AG99" s="38">
        <f>MAX('[1]资源-木石铜粮'!AS100,0)</f>
        <v>6.3366214086885897E-3</v>
      </c>
      <c r="AH99" s="38">
        <f>MAX('[1]资源-铁'!AR100,0)</f>
        <v>8.5219651274069455E-3</v>
      </c>
      <c r="AI99" s="38">
        <f>MAX('[1]资源-士兵训练时间'!AV100,0)</f>
        <v>1.8989620030901294E-2</v>
      </c>
      <c r="AJ99" s="38">
        <f>MAX('[1]资源-玩家城池建筑时间'!BL100,0)</f>
        <v>0</v>
      </c>
      <c r="AK99" s="38">
        <f>MAX('[1]资源-士兵招募时间'!AW100,0)</f>
        <v>0</v>
      </c>
      <c r="AL99" s="38">
        <f>MAX('[1]资源-圣人研究时间'!AZ99,0)</f>
        <v>2.553783839412322E-2</v>
      </c>
      <c r="AM99" s="38">
        <f>MAX([2]士兵治疗!CB99,0)</f>
        <v>0</v>
      </c>
      <c r="AN99" s="38">
        <f>[4]武将数量星级阶位验证!$DA98</f>
        <v>0.25774979678589227</v>
      </c>
      <c r="AO99" s="38">
        <f t="shared" si="8"/>
        <v>0.2</v>
      </c>
      <c r="AP99" s="48">
        <f t="shared" si="9"/>
        <v>0.51713584174701233</v>
      </c>
    </row>
    <row r="100" spans="3:42" x14ac:dyDescent="0.15">
      <c r="C100" s="37">
        <v>96</v>
      </c>
      <c r="D100" s="38">
        <f>MAX('[1]资源-银币'!AY101,0)</f>
        <v>3.4711623443822434E-2</v>
      </c>
      <c r="E100" s="38">
        <f>MAX('[1]资源-木石铜粮'!AO101,0)</f>
        <v>5.533230224361961E-2</v>
      </c>
      <c r="F100" s="38">
        <f>MAX('[1]资源-铁'!AN101,0)</f>
        <v>7.2099888036118928E-2</v>
      </c>
      <c r="G100" s="38">
        <f>MAX('[1]资源-士兵训练时间'!AR101,0)</f>
        <v>7.0194929365885964E-2</v>
      </c>
      <c r="H100" s="38">
        <f>MAX('[1]资源-玩家城池建筑时间'!BH101,0)</f>
        <v>0.11947642112771058</v>
      </c>
      <c r="I100" s="38">
        <f>MAX('[1]资源-士兵招募时间'!AS101,0)</f>
        <v>0</v>
      </c>
      <c r="J100" s="38">
        <f>MAX('[1]资源-圣人研究时间'!AV100,0)</f>
        <v>0.21481024488887454</v>
      </c>
      <c r="K100" s="38">
        <f>MAX([2]士兵治疗!BX100,0)</f>
        <v>0</v>
      </c>
      <c r="L100" s="38">
        <f>[4]武将数量星级阶位验证!$CW99</f>
        <v>0.25774979678589227</v>
      </c>
      <c r="M100" s="38">
        <f>[3]投放验证!$AL$4</f>
        <v>0.2</v>
      </c>
      <c r="N100" s="48">
        <f t="shared" si="5"/>
        <v>1.0243752058919242</v>
      </c>
      <c r="O100" s="37"/>
      <c r="Q100" s="37">
        <v>96</v>
      </c>
      <c r="R100" s="38">
        <f>MAX('[1]资源-银币'!BA101,0)</f>
        <v>2.6039724487690142E-2</v>
      </c>
      <c r="S100" s="38">
        <f>MAX('[1]资源-木石铜粮'!AQ101,0)</f>
        <v>8.2276213782983304E-2</v>
      </c>
      <c r="T100" s="38">
        <f>MAX('[1]资源-铁'!AP101,0)</f>
        <v>7.3149411087143582E-2</v>
      </c>
      <c r="U100" s="38">
        <f>MAX('[1]资源-士兵训练时间'!AT101,0)</f>
        <v>0.11785713598559155</v>
      </c>
      <c r="V100" s="38">
        <f>MAX('[1]资源-玩家城池建筑时间'!BJ101,0)</f>
        <v>2.1018258570223724E-2</v>
      </c>
      <c r="W100" s="38">
        <f>MAX('[1]资源-士兵招募时间'!AU101,0)</f>
        <v>0</v>
      </c>
      <c r="X100" s="38">
        <f>MAX('[1]资源-圣人研究时间'!AX100,0)</f>
        <v>0.19897270966130831</v>
      </c>
      <c r="Y100" s="38">
        <f>MAX([2]士兵治疗!BZ100,0)</f>
        <v>0</v>
      </c>
      <c r="Z100" s="38">
        <f>[4]武将数量星级阶位验证!$CY99</f>
        <v>0.25774979678589227</v>
      </c>
      <c r="AA100" s="38">
        <f t="shared" si="6"/>
        <v>0.2</v>
      </c>
      <c r="AB100" s="48">
        <f t="shared" si="7"/>
        <v>0.97706325036083297</v>
      </c>
      <c r="AE100" s="37">
        <v>96</v>
      </c>
      <c r="AF100" s="38">
        <f>MAX('[1]资源-银币'!BC101,0)</f>
        <v>0</v>
      </c>
      <c r="AG100" s="38">
        <f>MAX('[1]资源-木石铜粮'!AS101,0)</f>
        <v>5.5821635428751635E-3</v>
      </c>
      <c r="AH100" s="38">
        <f>MAX('[1]资源-铁'!AR101,0)</f>
        <v>7.2806369483659986E-3</v>
      </c>
      <c r="AI100" s="38">
        <f>MAX('[1]资源-士兵训练时间'!AV101,0)</f>
        <v>1.6596161247355853E-2</v>
      </c>
      <c r="AJ100" s="38">
        <f>MAX('[1]资源-玩家城池建筑时间'!BL101,0)</f>
        <v>0</v>
      </c>
      <c r="AK100" s="38">
        <f>MAX('[1]资源-士兵招募时间'!AW101,0)</f>
        <v>0</v>
      </c>
      <c r="AL100" s="38">
        <f>MAX('[1]资源-圣人研究时间'!AZ100,0)</f>
        <v>2.2357449327459571E-2</v>
      </c>
      <c r="AM100" s="38">
        <f>MAX([2]士兵治疗!CB100,0)</f>
        <v>0</v>
      </c>
      <c r="AN100" s="38">
        <f>[4]武将数量星级阶位验证!$DA99</f>
        <v>0.25774979678589227</v>
      </c>
      <c r="AO100" s="38">
        <f t="shared" si="8"/>
        <v>0.2</v>
      </c>
      <c r="AP100" s="48">
        <f t="shared" si="9"/>
        <v>0.50956620785194895</v>
      </c>
    </row>
    <row r="101" spans="3:42" x14ac:dyDescent="0.15">
      <c r="C101" s="37">
        <v>97</v>
      </c>
      <c r="D101" s="38">
        <f>MAX('[1]资源-银币'!AY102,0)</f>
        <v>3.0790312087758554E-2</v>
      </c>
      <c r="E101" s="38">
        <f>MAX('[1]资源-木石铜粮'!AO102,0)</f>
        <v>5.8019206471114283E-2</v>
      </c>
      <c r="F101" s="38">
        <f>MAX('[1]资源-铁'!AN102,0)</f>
        <v>6.7337400321923466E-2</v>
      </c>
      <c r="G101" s="38">
        <f>MAX('[1]资源-士兵训练时间'!AR102,0)</f>
        <v>6.569485154727453E-2</v>
      </c>
      <c r="H101" s="38">
        <f>MAX('[1]资源-玩家城池建筑时间'!BH102,0)</f>
        <v>9.5489169602149024E-2</v>
      </c>
      <c r="I101" s="38">
        <f>MAX('[1]资源-士兵招募时间'!AS102,0)</f>
        <v>0</v>
      </c>
      <c r="J101" s="38">
        <f>MAX('[1]资源-圣人研究时间'!AV101,0)</f>
        <v>0.20501684574305179</v>
      </c>
      <c r="K101" s="38">
        <f>MAX([2]士兵治疗!BX101,0)</f>
        <v>0</v>
      </c>
      <c r="L101" s="38">
        <f>[4]武将数量星级阶位验证!$CW100</f>
        <v>0.25774979678589227</v>
      </c>
      <c r="M101" s="38">
        <f>[3]投放验证!$AL$4</f>
        <v>0.2</v>
      </c>
      <c r="N101" s="48">
        <f t="shared" si="5"/>
        <v>0.98009758255916402</v>
      </c>
      <c r="O101" s="37"/>
      <c r="Q101" s="37">
        <v>97</v>
      </c>
      <c r="R101" s="38">
        <f>MAX('[1]资源-银币'!BA102,0)</f>
        <v>2.435038468722699E-2</v>
      </c>
      <c r="S101" s="38">
        <f>MAX('[1]资源-木石铜粮'!AQ102,0)</f>
        <v>8.4599092534529227E-2</v>
      </c>
      <c r="T101" s="38">
        <f>MAX('[1]资源-铁'!AP102,0)</f>
        <v>6.8853346468657137E-2</v>
      </c>
      <c r="U101" s="38">
        <f>MAX('[1]资源-士兵训练时间'!AT102,0)</f>
        <v>0.11230284729328033</v>
      </c>
      <c r="V101" s="38">
        <f>MAX('[1]资源-玩家城池建筑时间'!BJ102,0)</f>
        <v>9.0378499786429646E-7</v>
      </c>
      <c r="W101" s="38">
        <f>MAX('[1]资源-士兵招募时间'!AU102,0)</f>
        <v>0</v>
      </c>
      <c r="X101" s="38">
        <f>MAX('[1]资源-圣人研究时间'!AX101,0)</f>
        <v>0.19057844628825971</v>
      </c>
      <c r="Y101" s="38">
        <f>MAX([2]士兵治疗!BZ101,0)</f>
        <v>0</v>
      </c>
      <c r="Z101" s="38">
        <f>[4]武将数量星级阶位验证!$CY100</f>
        <v>0.25774979678589227</v>
      </c>
      <c r="AA101" s="38">
        <f t="shared" si="6"/>
        <v>0.2</v>
      </c>
      <c r="AB101" s="48">
        <f t="shared" si="7"/>
        <v>0.93843481784284344</v>
      </c>
      <c r="AE101" s="37">
        <v>97</v>
      </c>
      <c r="AF101" s="38">
        <f>MAX('[1]资源-银币'!BC102,0)</f>
        <v>0</v>
      </c>
      <c r="AG101" s="38">
        <f>MAX('[1]资源-木石铜粮'!AS102,0)</f>
        <v>4.987181220584452E-3</v>
      </c>
      <c r="AH101" s="38">
        <f>MAX('[1]资源-铁'!AR102,0)</f>
        <v>6.2874100704613687E-3</v>
      </c>
      <c r="AI101" s="38">
        <f>MAX('[1]资源-士兵训练时间'!AV102,0)</f>
        <v>1.4698476840950428E-2</v>
      </c>
      <c r="AJ101" s="38">
        <f>MAX('[1]资源-玩家城池建筑时间'!BL102,0)</f>
        <v>0</v>
      </c>
      <c r="AK101" s="38">
        <f>MAX('[1]资源-士兵招募时间'!AW102,0)</f>
        <v>0</v>
      </c>
      <c r="AL101" s="38">
        <f>MAX('[1]资源-圣人研究时间'!AZ101,0)</f>
        <v>1.9838184744483317E-2</v>
      </c>
      <c r="AM101" s="38">
        <f>MAX([2]士兵治疗!CB101,0)</f>
        <v>0</v>
      </c>
      <c r="AN101" s="38">
        <f>[4]武将数量星级阶位验证!$DA100</f>
        <v>0.25774979678589227</v>
      </c>
      <c r="AO101" s="38">
        <f t="shared" si="8"/>
        <v>0.2</v>
      </c>
      <c r="AP101" s="48">
        <f t="shared" si="9"/>
        <v>0.50356104966237192</v>
      </c>
    </row>
    <row r="102" spans="3:42" x14ac:dyDescent="0.15">
      <c r="C102" s="37">
        <v>98</v>
      </c>
      <c r="D102" s="38">
        <f>MAX('[1]资源-银币'!AY103,0)</f>
        <v>2.3419653474882417E-2</v>
      </c>
      <c r="E102" s="38">
        <f>MAX('[1]资源-木石铜粮'!AO103,0)</f>
        <v>6.0826385643046529E-2</v>
      </c>
      <c r="F102" s="38">
        <f>MAX('[1]资源-铁'!AN103,0)</f>
        <v>6.2749447163986172E-2</v>
      </c>
      <c r="G102" s="38">
        <f>MAX('[1]资源-士兵训练时间'!AR103,0)</f>
        <v>6.1349809220079161E-2</v>
      </c>
      <c r="H102" s="38">
        <f>MAX('[1]资源-玩家城池建筑时间'!BH103,0)</f>
        <v>7.1720383482231934E-2</v>
      </c>
      <c r="I102" s="38">
        <f>MAX('[1]资源-士兵招募时间'!AS103,0)</f>
        <v>0</v>
      </c>
      <c r="J102" s="38">
        <f>MAX('[1]资源-圣人研究时间'!AV102,0)</f>
        <v>0.19572422202202283</v>
      </c>
      <c r="K102" s="38">
        <f>MAX([2]士兵治疗!BX102,0)</f>
        <v>0</v>
      </c>
      <c r="L102" s="38">
        <f>[4]武将数量星级阶位验证!$CW101</f>
        <v>0.25774979678589227</v>
      </c>
      <c r="M102" s="38">
        <f>[3]投放验证!$AL$4</f>
        <v>0.2</v>
      </c>
      <c r="N102" s="48">
        <f t="shared" si="5"/>
        <v>0.9335396977921413</v>
      </c>
      <c r="O102" s="37"/>
      <c r="Q102" s="37">
        <v>98</v>
      </c>
      <c r="R102" s="38">
        <f>MAX('[1]资源-银币'!BA103,0)</f>
        <v>2.2342516630573704E-2</v>
      </c>
      <c r="S102" s="38">
        <f>MAX('[1]资源-木石铜粮'!AQ103,0)</f>
        <v>8.7100289596941952E-2</v>
      </c>
      <c r="T102" s="38">
        <f>MAX('[1]资源-铁'!AP103,0)</f>
        <v>6.4699149142549733E-2</v>
      </c>
      <c r="U102" s="38">
        <f>MAX('[1]资源-士兵训练时间'!AT103,0)</f>
        <v>0.10697313568687487</v>
      </c>
      <c r="V102" s="38">
        <f>MAX('[1]资源-玩家城池建筑时间'!BJ103,0)</f>
        <v>0</v>
      </c>
      <c r="W102" s="38">
        <f>MAX('[1]资源-士兵招募时间'!AU103,0)</f>
        <v>0</v>
      </c>
      <c r="X102" s="38">
        <f>MAX('[1]资源-圣人研究时间'!AX102,0)</f>
        <v>0.18257888747585371</v>
      </c>
      <c r="Y102" s="38">
        <f>MAX([2]士兵治疗!BZ102,0)</f>
        <v>0</v>
      </c>
      <c r="Z102" s="38">
        <f>[4]武将数量星级阶位验证!$CY101</f>
        <v>0.25774979678589227</v>
      </c>
      <c r="AA102" s="38">
        <f t="shared" si="6"/>
        <v>0.2</v>
      </c>
      <c r="AB102" s="48">
        <f t="shared" si="7"/>
        <v>0.92144377531868615</v>
      </c>
      <c r="AE102" s="37">
        <v>98</v>
      </c>
      <c r="AF102" s="38">
        <f>MAX('[1]资源-银币'!BC103,0)</f>
        <v>0</v>
      </c>
      <c r="AG102" s="38">
        <f>MAX('[1]资源-木石铜粮'!AS103,0)</f>
        <v>4.5055860426304536E-3</v>
      </c>
      <c r="AH102" s="38">
        <f>MAX('[1]资源-铁'!AR103,0)</f>
        <v>5.4701154826314454E-3</v>
      </c>
      <c r="AI102" s="38">
        <f>MAX('[1]资源-士兵训练时间'!AV103,0)</f>
        <v>1.315380327187105E-2</v>
      </c>
      <c r="AJ102" s="38">
        <f>MAX('[1]资源-玩家城池建筑时间'!BL103,0)</f>
        <v>0</v>
      </c>
      <c r="AK102" s="38">
        <f>MAX('[1]资源-士兵招募时间'!AW103,0)</f>
        <v>0</v>
      </c>
      <c r="AL102" s="38">
        <f>MAX('[1]资源-圣人研究时间'!AZ102,0)</f>
        <v>1.7789854589530321E-2</v>
      </c>
      <c r="AM102" s="38">
        <f>MAX([2]士兵治疗!CB102,0)</f>
        <v>0</v>
      </c>
      <c r="AN102" s="38">
        <f>[4]武将数量星级阶位验证!$DA101</f>
        <v>0.25774979678589227</v>
      </c>
      <c r="AO102" s="38">
        <f t="shared" si="8"/>
        <v>0.2</v>
      </c>
      <c r="AP102" s="48">
        <f t="shared" si="9"/>
        <v>0.49866915617255553</v>
      </c>
    </row>
    <row r="103" spans="3:42" x14ac:dyDescent="0.15">
      <c r="C103" s="37">
        <v>99</v>
      </c>
      <c r="D103" s="38">
        <f>MAX('[1]资源-银币'!AY104,0)</f>
        <v>1.2628956085917785E-2</v>
      </c>
      <c r="E103" s="38">
        <f>MAX('[1]资源-木石铜粮'!AO104,0)</f>
        <v>6.3760632686657506E-2</v>
      </c>
      <c r="F103" s="38">
        <f>MAX('[1]资源-铁'!AN104,0)</f>
        <v>5.830734229094247E-2</v>
      </c>
      <c r="G103" s="38">
        <f>MAX('[1]资源-士兵训练时间'!AR104,0)</f>
        <v>5.7133101574239967E-2</v>
      </c>
      <c r="H103" s="38">
        <f>MAX('[1]资源-玩家城池建筑时间'!BH104,0)</f>
        <v>4.8046741144619126E-2</v>
      </c>
      <c r="I103" s="38">
        <f>MAX('[1]资源-士兵招募时间'!AS104,0)</f>
        <v>0</v>
      </c>
      <c r="J103" s="38">
        <f>MAX('[1]资源-圣人研究时间'!AV103,0)</f>
        <v>0.18687058786098634</v>
      </c>
      <c r="K103" s="38">
        <f>MAX([2]士兵治疗!BX103,0)</f>
        <v>0</v>
      </c>
      <c r="L103" s="38">
        <f>[4]武将数量星级阶位验证!$CW102</f>
        <v>0.25774979678589227</v>
      </c>
      <c r="M103" s="38">
        <f>[3]投放验证!$AL$4</f>
        <v>0.2</v>
      </c>
      <c r="N103" s="48">
        <f t="shared" si="5"/>
        <v>0.88449715842925536</v>
      </c>
      <c r="O103" s="37"/>
      <c r="Q103" s="37">
        <v>99</v>
      </c>
      <c r="R103" s="38">
        <f>MAX('[1]资源-银币'!BA104,0)</f>
        <v>2.0058900346990073E-2</v>
      </c>
      <c r="S103" s="38">
        <f>MAX('[1]资源-木石铜粮'!AQ104,0)</f>
        <v>8.9796148638231529E-2</v>
      </c>
      <c r="T103" s="38">
        <f>MAX('[1]资源-铁'!AP104,0)</f>
        <v>6.0676089956617697E-2</v>
      </c>
      <c r="U103" s="38">
        <f>MAX('[1]资源-士兵训练时间'!AT104,0)</f>
        <v>0.10185000169787412</v>
      </c>
      <c r="V103" s="38">
        <f>MAX('[1]资源-玩家城池建筑时间'!BJ104,0)</f>
        <v>0</v>
      </c>
      <c r="W103" s="38">
        <f>MAX('[1]资源-士兵招募时间'!AU104,0)</f>
        <v>0</v>
      </c>
      <c r="X103" s="38">
        <f>MAX('[1]资源-圣人研究时间'!AX103,0)</f>
        <v>0.17494062637366115</v>
      </c>
      <c r="Y103" s="38">
        <f>MAX([2]士兵治疗!BZ103,0)</f>
        <v>0</v>
      </c>
      <c r="Z103" s="38">
        <f>[4]武将数量星级阶位验证!$CY102</f>
        <v>0.25774979678589227</v>
      </c>
      <c r="AA103" s="38">
        <f t="shared" si="6"/>
        <v>0.2</v>
      </c>
      <c r="AB103" s="48">
        <f t="shared" si="7"/>
        <v>0.90507156379926679</v>
      </c>
      <c r="AE103" s="37">
        <v>99</v>
      </c>
      <c r="AF103" s="38">
        <f>MAX('[1]资源-银币'!BC104,0)</f>
        <v>0</v>
      </c>
      <c r="AG103" s="38">
        <f>MAX('[1]资源-木石铜粮'!AS104,0)</f>
        <v>4.0959728972928692E-3</v>
      </c>
      <c r="AH103" s="38">
        <f>MAX('[1]资源-铁'!AR104,0)</f>
        <v>4.7771773851235776E-3</v>
      </c>
      <c r="AI103" s="38">
        <f>MAX('[1]资源-士兵训练时间'!AV104,0)</f>
        <v>1.186595228363967E-2</v>
      </c>
      <c r="AJ103" s="38">
        <f>MAX('[1]资源-玩家城池建筑时间'!BL104,0)</f>
        <v>0</v>
      </c>
      <c r="AK103" s="38">
        <f>MAX('[1]资源-士兵招募时间'!AW104,0)</f>
        <v>0</v>
      </c>
      <c r="AL103" s="38">
        <f>MAX('[1]资源-圣人研究时间'!AZ103,0)</f>
        <v>1.608509032449576E-2</v>
      </c>
      <c r="AM103" s="38">
        <f>MAX([2]士兵治疗!CB103,0)</f>
        <v>0</v>
      </c>
      <c r="AN103" s="38">
        <f>[4]武将数量星级阶位验证!$DA102</f>
        <v>0.25774979678589227</v>
      </c>
      <c r="AO103" s="38">
        <f t="shared" si="8"/>
        <v>0.2</v>
      </c>
      <c r="AP103" s="48">
        <f t="shared" si="9"/>
        <v>0.49457398967644417</v>
      </c>
    </row>
    <row r="104" spans="3:42" x14ac:dyDescent="0.15">
      <c r="C104" s="37">
        <v>100</v>
      </c>
      <c r="D104" s="38">
        <f>MAX('[1]资源-银币'!AY105,0)</f>
        <v>1.0548888013323194E-2</v>
      </c>
      <c r="E104" s="38">
        <f>MAX('[1]资源-木石铜粮'!AO105,0)</f>
        <v>6.6829007071146612E-2</v>
      </c>
      <c r="F104" s="38">
        <f>MAX('[1]资源-铁'!AN105,0)</f>
        <v>5.3985177758898571E-2</v>
      </c>
      <c r="G104" s="38">
        <f>MAX('[1]资源-士兵训练时间'!AR105,0)</f>
        <v>5.3060867929778217E-2</v>
      </c>
      <c r="H104" s="38">
        <f>MAX('[1]资源-玩家城池建筑时间'!BH105,0)</f>
        <v>2.451448378076776E-2</v>
      </c>
      <c r="I104" s="38">
        <f>MAX('[1]资源-士兵招募时间'!AS105,0)</f>
        <v>0</v>
      </c>
      <c r="J104" s="38">
        <f>MAX('[1]资源-圣人研究时间'!AV104,0)</f>
        <v>0.17844139647171384</v>
      </c>
      <c r="K104" s="38">
        <f>MAX([2]士兵治疗!BX104,0)</f>
        <v>0</v>
      </c>
      <c r="L104" s="38">
        <f>[4]武将数量星级阶位验证!$CW103</f>
        <v>0.25774979678589227</v>
      </c>
      <c r="M104" s="38">
        <f>[3]投放验证!$AL$4</f>
        <v>0.2</v>
      </c>
      <c r="N104" s="48">
        <f t="shared" si="5"/>
        <v>0.84512961781152041</v>
      </c>
      <c r="O104" s="37"/>
      <c r="Q104" s="37">
        <v>100</v>
      </c>
      <c r="R104" s="38">
        <f>MAX('[1]资源-银币'!BA105,0)</f>
        <v>1.860532587922227E-2</v>
      </c>
      <c r="S104" s="38">
        <f>MAX('[1]资源-木石铜粮'!AQ105,0)</f>
        <v>9.268726880795547E-2</v>
      </c>
      <c r="T104" s="38">
        <f>MAX('[1]资源-铁'!AP105,0)</f>
        <v>5.6758173499934422E-2</v>
      </c>
      <c r="U104" s="38">
        <f>MAX('[1]资源-士兵训练时间'!AT105,0)</f>
        <v>9.6901008204397024E-2</v>
      </c>
      <c r="V104" s="38">
        <f>MAX('[1]资源-玩家城池建筑时间'!BJ105,0)</f>
        <v>0</v>
      </c>
      <c r="W104" s="38">
        <f>MAX('[1]资源-士兵招募时间'!AU105,0)</f>
        <v>0</v>
      </c>
      <c r="X104" s="38">
        <f>MAX('[1]资源-圣人研究时间'!AX104,0)</f>
        <v>0.16761609375055622</v>
      </c>
      <c r="Y104" s="38">
        <f>MAX([2]士兵治疗!BZ104,0)</f>
        <v>0</v>
      </c>
      <c r="Z104" s="38">
        <f>[4]武将数量星级阶位验证!$CY103</f>
        <v>0.25774979678589227</v>
      </c>
      <c r="AA104" s="38">
        <f t="shared" si="6"/>
        <v>0.2</v>
      </c>
      <c r="AB104" s="48">
        <f t="shared" si="7"/>
        <v>0.89031766692795777</v>
      </c>
      <c r="AE104" s="37">
        <v>100</v>
      </c>
      <c r="AF104" s="38">
        <f>MAX('[1]资源-银币'!BC105,0)</f>
        <v>0</v>
      </c>
      <c r="AG104" s="38">
        <f>MAX('[1]资源-木石铜粮'!AS105,0)</f>
        <v>3.7505532579379663E-3</v>
      </c>
      <c r="AH104" s="38">
        <f>MAX('[1]资源-铁'!AR105,0)</f>
        <v>4.1815841051387279E-3</v>
      </c>
      <c r="AI104" s="38">
        <f>MAX('[1]资源-士兵训练时间'!AV105,0)</f>
        <v>1.0775220305280626E-2</v>
      </c>
      <c r="AJ104" s="38">
        <f>MAX('[1]资源-玩家城池建筑时间'!BL105,0)</f>
        <v>0</v>
      </c>
      <c r="AK104" s="38">
        <f>MAX('[1]资源-士兵招募时间'!AW105,0)</f>
        <v>0</v>
      </c>
      <c r="AL104" s="38">
        <f>MAX('[1]资源-圣人研究时间'!AZ104,0)</f>
        <v>1.4643522440787113E-2</v>
      </c>
      <c r="AM104" s="38">
        <f>MAX([2]士兵治疗!CB104,0)</f>
        <v>0</v>
      </c>
      <c r="AN104" s="38">
        <f>[4]武将数量星级阶位验证!$DA103</f>
        <v>0.25774979678589227</v>
      </c>
      <c r="AO104" s="38">
        <f t="shared" si="8"/>
        <v>0.2</v>
      </c>
      <c r="AP104" s="48">
        <f t="shared" si="9"/>
        <v>0.49110067689503673</v>
      </c>
    </row>
    <row r="105" spans="3:42" x14ac:dyDescent="0.15">
      <c r="C105" s="37">
        <v>101</v>
      </c>
      <c r="D105" s="38">
        <f>MAX('[1]资源-银币'!AY106,0)</f>
        <v>0</v>
      </c>
      <c r="E105" s="38">
        <f>MAX('[1]资源-木石铜粮'!AO106,0)</f>
        <v>0</v>
      </c>
      <c r="F105" s="38">
        <f>MAX('[1]资源-铁'!AN106,0)</f>
        <v>0</v>
      </c>
      <c r="G105" s="38">
        <f>MAX('[1]资源-士兵训练时间'!AR106,0)</f>
        <v>0</v>
      </c>
      <c r="H105" s="38">
        <f>MAX('[1]资源-玩家城池建筑时间'!BH106,0)</f>
        <v>0</v>
      </c>
      <c r="I105" s="38">
        <f>MAX('[1]资源-士兵招募时间'!AS106,0)</f>
        <v>0</v>
      </c>
      <c r="J105" s="38" t="e">
        <f>MAX('[1]资源-圣人研究时间'!AV105,0)</f>
        <v>#DIV/0!</v>
      </c>
      <c r="K105" s="38">
        <f>MAX([2]士兵治疗!BX105,0)</f>
        <v>0</v>
      </c>
      <c r="L105" s="38">
        <f>[4]武将数量星级阶位验证!$CW104</f>
        <v>0</v>
      </c>
      <c r="M105" s="38">
        <f>[3]投放验证!$AL$4</f>
        <v>0.2</v>
      </c>
      <c r="N105" s="48" t="e">
        <f t="shared" si="5"/>
        <v>#DIV/0!</v>
      </c>
      <c r="O105" s="37"/>
      <c r="Q105" s="37">
        <v>101</v>
      </c>
      <c r="R105" s="38">
        <f>MAX('[1]资源-银币'!BA106,0)</f>
        <v>0</v>
      </c>
      <c r="S105" s="38">
        <f>MAX('[1]资源-木石铜粮'!AQ106,0)</f>
        <v>0</v>
      </c>
      <c r="T105" s="38">
        <f>MAX('[1]资源-铁'!AP106,0)</f>
        <v>0</v>
      </c>
      <c r="U105" s="38">
        <f>MAX('[1]资源-士兵训练时间'!AT106,0)</f>
        <v>0</v>
      </c>
      <c r="V105" s="38">
        <f>MAX('[1]资源-玩家城池建筑时间'!BJ106,0)</f>
        <v>0</v>
      </c>
      <c r="W105" s="38">
        <f>MAX('[1]资源-士兵招募时间'!AU106,0)</f>
        <v>0</v>
      </c>
      <c r="X105" s="38" t="e">
        <f>MAX('[1]资源-圣人研究时间'!AX105,0)</f>
        <v>#DIV/0!</v>
      </c>
      <c r="Y105" s="38">
        <f>MAX([2]士兵治疗!BZ105,0)</f>
        <v>0</v>
      </c>
      <c r="Z105" s="38">
        <f>[4]武将数量星级阶位验证!$CY104</f>
        <v>0</v>
      </c>
      <c r="AA105" s="38">
        <f t="shared" si="6"/>
        <v>0.2</v>
      </c>
      <c r="AB105" s="48" t="e">
        <f t="shared" si="7"/>
        <v>#DIV/0!</v>
      </c>
      <c r="AE105" s="37">
        <v>101</v>
      </c>
      <c r="AF105" s="38">
        <f>MAX('[1]资源-银币'!BC106,0)</f>
        <v>0</v>
      </c>
      <c r="AG105" s="38">
        <f>MAX('[1]资源-木石铜粮'!AS106,0)</f>
        <v>0</v>
      </c>
      <c r="AH105" s="38">
        <f>MAX('[1]资源-铁'!AR106,0)</f>
        <v>0</v>
      </c>
      <c r="AI105" s="38">
        <f>MAX('[1]资源-士兵训练时间'!AV106,0)</f>
        <v>0</v>
      </c>
      <c r="AJ105" s="38">
        <f>MAX('[1]资源-玩家城池建筑时间'!BL106,0)</f>
        <v>0</v>
      </c>
      <c r="AK105" s="38">
        <f>MAX('[1]资源-士兵招募时间'!AW106,0)</f>
        <v>0</v>
      </c>
      <c r="AL105" s="38" t="e">
        <f>MAX('[1]资源-圣人研究时间'!AZ105,0)</f>
        <v>#DIV/0!</v>
      </c>
      <c r="AM105" s="38">
        <f>MAX([2]士兵治疗!CB105,0)</f>
        <v>0</v>
      </c>
      <c r="AN105" s="38">
        <f>[4]武将数量星级阶位验证!$DA104</f>
        <v>0</v>
      </c>
      <c r="AO105" s="38">
        <f t="shared" si="8"/>
        <v>0.2</v>
      </c>
      <c r="AP105" s="48" t="e">
        <f t="shared" si="9"/>
        <v>#DIV/0!</v>
      </c>
    </row>
    <row r="106" spans="3:42" x14ac:dyDescent="0.15">
      <c r="C106" s="37">
        <v>102</v>
      </c>
      <c r="D106" s="38">
        <f>MAX('[1]资源-银币'!AY107,0)</f>
        <v>0</v>
      </c>
      <c r="E106" s="38">
        <f>MAX('[1]资源-木石铜粮'!AO107,0)</f>
        <v>0</v>
      </c>
      <c r="F106" s="38">
        <f>MAX('[1]资源-铁'!AN107,0)</f>
        <v>0</v>
      </c>
      <c r="G106" s="38">
        <f>MAX('[1]资源-士兵训练时间'!AR107,0)</f>
        <v>0</v>
      </c>
      <c r="H106" s="38">
        <f>MAX('[1]资源-玩家城池建筑时间'!BH107,0)</f>
        <v>0</v>
      </c>
      <c r="I106" s="38">
        <f>MAX('[1]资源-士兵招募时间'!AS107,0)</f>
        <v>0</v>
      </c>
      <c r="J106" s="38" t="e">
        <f>MAX('[1]资源-圣人研究时间'!AV106,0)</f>
        <v>#DIV/0!</v>
      </c>
      <c r="K106" s="38">
        <f>MAX([2]士兵治疗!BX106,0)</f>
        <v>0</v>
      </c>
      <c r="L106" s="38">
        <f>[4]武将数量星级阶位验证!$CW105</f>
        <v>0</v>
      </c>
      <c r="M106" s="38">
        <f>[3]投放验证!$AL$4</f>
        <v>0.2</v>
      </c>
      <c r="N106" s="48" t="e">
        <f t="shared" si="5"/>
        <v>#DIV/0!</v>
      </c>
      <c r="O106" s="37"/>
      <c r="Q106" s="37">
        <v>102</v>
      </c>
      <c r="R106" s="38">
        <f>MAX('[1]资源-银币'!BA107,0)</f>
        <v>0</v>
      </c>
      <c r="S106" s="38">
        <f>MAX('[1]资源-木石铜粮'!AQ107,0)</f>
        <v>0</v>
      </c>
      <c r="T106" s="38">
        <f>MAX('[1]资源-铁'!AP107,0)</f>
        <v>0</v>
      </c>
      <c r="U106" s="38">
        <f>MAX('[1]资源-士兵训练时间'!AT107,0)</f>
        <v>0</v>
      </c>
      <c r="V106" s="38">
        <f>MAX('[1]资源-玩家城池建筑时间'!BJ107,0)</f>
        <v>0</v>
      </c>
      <c r="W106" s="38">
        <f>MAX('[1]资源-士兵招募时间'!AU107,0)</f>
        <v>0</v>
      </c>
      <c r="X106" s="38" t="e">
        <f>MAX('[1]资源-圣人研究时间'!AX106,0)</f>
        <v>#DIV/0!</v>
      </c>
      <c r="Y106" s="38">
        <f>MAX([2]士兵治疗!BZ106,0)</f>
        <v>0</v>
      </c>
      <c r="Z106" s="38">
        <f>[4]武将数量星级阶位验证!$CY105</f>
        <v>0</v>
      </c>
      <c r="AA106" s="38">
        <f t="shared" si="6"/>
        <v>0.2</v>
      </c>
      <c r="AB106" s="48" t="e">
        <f t="shared" si="7"/>
        <v>#DIV/0!</v>
      </c>
      <c r="AE106" s="37">
        <v>102</v>
      </c>
      <c r="AF106" s="38">
        <f>MAX('[1]资源-银币'!BC107,0)</f>
        <v>0</v>
      </c>
      <c r="AG106" s="38">
        <f>MAX('[1]资源-木石铜粮'!AS107,0)</f>
        <v>0</v>
      </c>
      <c r="AH106" s="38">
        <f>MAX('[1]资源-铁'!AR107,0)</f>
        <v>0</v>
      </c>
      <c r="AI106" s="38">
        <f>MAX('[1]资源-士兵训练时间'!AV107,0)</f>
        <v>0</v>
      </c>
      <c r="AJ106" s="38">
        <f>MAX('[1]资源-玩家城池建筑时间'!BL107,0)</f>
        <v>0</v>
      </c>
      <c r="AK106" s="38">
        <f>MAX('[1]资源-士兵招募时间'!AW107,0)</f>
        <v>0</v>
      </c>
      <c r="AL106" s="38" t="e">
        <f>MAX('[1]资源-圣人研究时间'!AZ106,0)</f>
        <v>#DIV/0!</v>
      </c>
      <c r="AM106" s="38">
        <f>MAX([2]士兵治疗!CB106,0)</f>
        <v>0</v>
      </c>
      <c r="AN106" s="38">
        <f>[4]武将数量星级阶位验证!$DA105</f>
        <v>0</v>
      </c>
      <c r="AO106" s="38">
        <f t="shared" si="8"/>
        <v>0.2</v>
      </c>
      <c r="AP106" s="48" t="e">
        <f t="shared" si="9"/>
        <v>#DIV/0!</v>
      </c>
    </row>
    <row r="107" spans="3:42" x14ac:dyDescent="0.15">
      <c r="C107" s="37">
        <v>103</v>
      </c>
      <c r="D107" s="38">
        <f>MAX('[1]资源-银币'!AY108,0)</f>
        <v>0</v>
      </c>
      <c r="E107" s="38">
        <f>MAX('[1]资源-木石铜粮'!AO108,0)</f>
        <v>0</v>
      </c>
      <c r="F107" s="38">
        <f>MAX('[1]资源-铁'!AN108,0)</f>
        <v>0</v>
      </c>
      <c r="G107" s="38">
        <f>MAX('[1]资源-士兵训练时间'!AR108,0)</f>
        <v>0</v>
      </c>
      <c r="H107" s="38">
        <f>MAX('[1]资源-玩家城池建筑时间'!BH108,0)</f>
        <v>0</v>
      </c>
      <c r="I107" s="38">
        <f>MAX('[1]资源-士兵招募时间'!AS108,0)</f>
        <v>0</v>
      </c>
      <c r="J107" s="38" t="e">
        <f>MAX('[1]资源-圣人研究时间'!AV107,0)</f>
        <v>#DIV/0!</v>
      </c>
      <c r="K107" s="38">
        <f>MAX([2]士兵治疗!BX107,0)</f>
        <v>0</v>
      </c>
      <c r="L107" s="38">
        <f>[4]武将数量星级阶位验证!$CW106</f>
        <v>0</v>
      </c>
      <c r="M107" s="38">
        <f>[3]投放验证!$AL$4</f>
        <v>0.2</v>
      </c>
      <c r="N107" s="48" t="e">
        <f t="shared" si="5"/>
        <v>#DIV/0!</v>
      </c>
      <c r="O107" s="37"/>
      <c r="Q107" s="37">
        <v>103</v>
      </c>
      <c r="R107" s="38">
        <f>MAX('[1]资源-银币'!BA108,0)</f>
        <v>0</v>
      </c>
      <c r="S107" s="38">
        <f>MAX('[1]资源-木石铜粮'!AQ108,0)</f>
        <v>0</v>
      </c>
      <c r="T107" s="38">
        <f>MAX('[1]资源-铁'!AP108,0)</f>
        <v>0</v>
      </c>
      <c r="U107" s="38">
        <f>MAX('[1]资源-士兵训练时间'!AT108,0)</f>
        <v>0</v>
      </c>
      <c r="V107" s="38">
        <f>MAX('[1]资源-玩家城池建筑时间'!BJ108,0)</f>
        <v>0</v>
      </c>
      <c r="W107" s="38">
        <f>MAX('[1]资源-士兵招募时间'!AU108,0)</f>
        <v>0</v>
      </c>
      <c r="X107" s="38" t="e">
        <f>MAX('[1]资源-圣人研究时间'!AX107,0)</f>
        <v>#DIV/0!</v>
      </c>
      <c r="Y107" s="38">
        <f>MAX([2]士兵治疗!BZ107,0)</f>
        <v>0</v>
      </c>
      <c r="Z107" s="38">
        <f>[4]武将数量星级阶位验证!$CY106</f>
        <v>0</v>
      </c>
      <c r="AA107" s="38">
        <f t="shared" si="6"/>
        <v>0.2</v>
      </c>
      <c r="AB107" s="48" t="e">
        <f t="shared" si="7"/>
        <v>#DIV/0!</v>
      </c>
      <c r="AE107" s="37">
        <v>103</v>
      </c>
      <c r="AF107" s="38">
        <f>MAX('[1]资源-银币'!BC108,0)</f>
        <v>0</v>
      </c>
      <c r="AG107" s="38">
        <f>MAX('[1]资源-木石铜粮'!AS108,0)</f>
        <v>0</v>
      </c>
      <c r="AH107" s="38">
        <f>MAX('[1]资源-铁'!AR108,0)</f>
        <v>0</v>
      </c>
      <c r="AI107" s="38">
        <f>MAX('[1]资源-士兵训练时间'!AV108,0)</f>
        <v>0</v>
      </c>
      <c r="AJ107" s="38">
        <f>MAX('[1]资源-玩家城池建筑时间'!BL108,0)</f>
        <v>0</v>
      </c>
      <c r="AK107" s="38">
        <f>MAX('[1]资源-士兵招募时间'!AW108,0)</f>
        <v>0</v>
      </c>
      <c r="AL107" s="38" t="e">
        <f>MAX('[1]资源-圣人研究时间'!AZ107,0)</f>
        <v>#DIV/0!</v>
      </c>
      <c r="AM107" s="38">
        <f>MAX([2]士兵治疗!CB107,0)</f>
        <v>0</v>
      </c>
      <c r="AN107" s="38">
        <f>[4]武将数量星级阶位验证!$DA106</f>
        <v>0</v>
      </c>
      <c r="AO107" s="38">
        <f t="shared" si="8"/>
        <v>0.2</v>
      </c>
      <c r="AP107" s="48" t="e">
        <f t="shared" si="9"/>
        <v>#DIV/0!</v>
      </c>
    </row>
    <row r="108" spans="3:42" x14ac:dyDescent="0.15">
      <c r="C108" s="37">
        <v>104</v>
      </c>
      <c r="D108" s="38">
        <f>MAX('[1]资源-银币'!AY109,0)</f>
        <v>0</v>
      </c>
      <c r="E108" s="38">
        <f>MAX('[1]资源-木石铜粮'!AO109,0)</f>
        <v>0</v>
      </c>
      <c r="F108" s="38">
        <f>MAX('[1]资源-铁'!AN109,0)</f>
        <v>0</v>
      </c>
      <c r="G108" s="38">
        <f>MAX('[1]资源-士兵训练时间'!AR109,0)</f>
        <v>0</v>
      </c>
      <c r="H108" s="38">
        <f>MAX('[1]资源-玩家城池建筑时间'!BH109,0)</f>
        <v>0</v>
      </c>
      <c r="I108" s="38">
        <f>MAX('[1]资源-士兵招募时间'!AS109,0)</f>
        <v>0</v>
      </c>
      <c r="J108" s="38" t="e">
        <f>MAX('[1]资源-圣人研究时间'!AV108,0)</f>
        <v>#DIV/0!</v>
      </c>
      <c r="K108" s="38">
        <f>MAX([2]士兵治疗!BX108,0)</f>
        <v>0</v>
      </c>
      <c r="L108" s="38">
        <f>[4]武将数量星级阶位验证!$CW107</f>
        <v>0</v>
      </c>
      <c r="M108" s="38">
        <f>[3]投放验证!$AL$4</f>
        <v>0.2</v>
      </c>
      <c r="N108" s="48" t="e">
        <f t="shared" si="5"/>
        <v>#DIV/0!</v>
      </c>
      <c r="O108" s="37"/>
      <c r="Q108" s="37">
        <v>104</v>
      </c>
      <c r="R108" s="38">
        <f>MAX('[1]资源-银币'!BA109,0)</f>
        <v>0</v>
      </c>
      <c r="S108" s="38">
        <f>MAX('[1]资源-木石铜粮'!AQ109,0)</f>
        <v>0</v>
      </c>
      <c r="T108" s="38">
        <f>MAX('[1]资源-铁'!AP109,0)</f>
        <v>0</v>
      </c>
      <c r="U108" s="38">
        <f>MAX('[1]资源-士兵训练时间'!AT109,0)</f>
        <v>0</v>
      </c>
      <c r="V108" s="38">
        <f>MAX('[1]资源-玩家城池建筑时间'!BJ109,0)</f>
        <v>0</v>
      </c>
      <c r="W108" s="38">
        <f>MAX('[1]资源-士兵招募时间'!AU109,0)</f>
        <v>0</v>
      </c>
      <c r="X108" s="38" t="e">
        <f>MAX('[1]资源-圣人研究时间'!AX108,0)</f>
        <v>#DIV/0!</v>
      </c>
      <c r="Y108" s="38">
        <f>MAX([2]士兵治疗!BZ108,0)</f>
        <v>0</v>
      </c>
      <c r="Z108" s="38">
        <f>[4]武将数量星级阶位验证!$CY107</f>
        <v>0</v>
      </c>
      <c r="AA108" s="38">
        <f t="shared" si="6"/>
        <v>0.2</v>
      </c>
      <c r="AB108" s="48" t="e">
        <f t="shared" si="7"/>
        <v>#DIV/0!</v>
      </c>
      <c r="AE108" s="37">
        <v>104</v>
      </c>
      <c r="AF108" s="38">
        <f>MAX('[1]资源-银币'!BC109,0)</f>
        <v>0</v>
      </c>
      <c r="AG108" s="38">
        <f>MAX('[1]资源-木石铜粮'!AS109,0)</f>
        <v>0</v>
      </c>
      <c r="AH108" s="38">
        <f>MAX('[1]资源-铁'!AR109,0)</f>
        <v>0</v>
      </c>
      <c r="AI108" s="38">
        <f>MAX('[1]资源-士兵训练时间'!AV109,0)</f>
        <v>0</v>
      </c>
      <c r="AJ108" s="38">
        <f>MAX('[1]资源-玩家城池建筑时间'!BL109,0)</f>
        <v>0</v>
      </c>
      <c r="AK108" s="38">
        <f>MAX('[1]资源-士兵招募时间'!AW109,0)</f>
        <v>0</v>
      </c>
      <c r="AL108" s="38" t="e">
        <f>MAX('[1]资源-圣人研究时间'!AZ108,0)</f>
        <v>#DIV/0!</v>
      </c>
      <c r="AM108" s="38">
        <f>MAX([2]士兵治疗!CB108,0)</f>
        <v>0</v>
      </c>
      <c r="AN108" s="38">
        <f>[4]武将数量星级阶位验证!$DA107</f>
        <v>0</v>
      </c>
      <c r="AO108" s="38">
        <f t="shared" si="8"/>
        <v>0.2</v>
      </c>
      <c r="AP108" s="48" t="e">
        <f t="shared" si="9"/>
        <v>#DIV/0!</v>
      </c>
    </row>
    <row r="109" spans="3:42" x14ac:dyDescent="0.15">
      <c r="C109" s="37">
        <v>105</v>
      </c>
      <c r="D109" s="38">
        <f>MAX('[1]资源-银币'!AY110,0)</f>
        <v>0</v>
      </c>
      <c r="E109" s="38">
        <f>MAX('[1]资源-木石铜粮'!AO110,0)</f>
        <v>0</v>
      </c>
      <c r="F109" s="38">
        <f>MAX('[1]资源-铁'!AN110,0)</f>
        <v>0</v>
      </c>
      <c r="G109" s="38">
        <f>MAX('[1]资源-士兵训练时间'!AR110,0)</f>
        <v>0</v>
      </c>
      <c r="H109" s="38">
        <f>MAX('[1]资源-玩家城池建筑时间'!BH110,0)</f>
        <v>0</v>
      </c>
      <c r="I109" s="38">
        <f>MAX('[1]资源-士兵招募时间'!AS110,0)</f>
        <v>0</v>
      </c>
      <c r="J109" s="38" t="e">
        <f>MAX('[1]资源-圣人研究时间'!AV109,0)</f>
        <v>#DIV/0!</v>
      </c>
      <c r="K109" s="38">
        <f>MAX([2]士兵治疗!BX109,0)</f>
        <v>0</v>
      </c>
      <c r="L109" s="38">
        <f>[4]武将数量星级阶位验证!$CW108</f>
        <v>0</v>
      </c>
      <c r="M109" s="38">
        <f>[3]投放验证!$AL$4</f>
        <v>0.2</v>
      </c>
      <c r="N109" s="48" t="e">
        <f t="shared" si="5"/>
        <v>#DIV/0!</v>
      </c>
      <c r="O109" s="37"/>
      <c r="Q109" s="37">
        <v>105</v>
      </c>
      <c r="R109" s="38">
        <f>MAX('[1]资源-银币'!BA110,0)</f>
        <v>0</v>
      </c>
      <c r="S109" s="38">
        <f>MAX('[1]资源-木石铜粮'!AQ110,0)</f>
        <v>0</v>
      </c>
      <c r="T109" s="38">
        <f>MAX('[1]资源-铁'!AP110,0)</f>
        <v>0</v>
      </c>
      <c r="U109" s="38">
        <f>MAX('[1]资源-士兵训练时间'!AT110,0)</f>
        <v>0</v>
      </c>
      <c r="V109" s="38">
        <f>MAX('[1]资源-玩家城池建筑时间'!BJ110,0)</f>
        <v>0</v>
      </c>
      <c r="W109" s="38">
        <f>MAX('[1]资源-士兵招募时间'!AU110,0)</f>
        <v>0</v>
      </c>
      <c r="X109" s="38" t="e">
        <f>MAX('[1]资源-圣人研究时间'!AX109,0)</f>
        <v>#DIV/0!</v>
      </c>
      <c r="Y109" s="38">
        <f>MAX([2]士兵治疗!BZ109,0)</f>
        <v>0</v>
      </c>
      <c r="Z109" s="38">
        <f>[4]武将数量星级阶位验证!$CY108</f>
        <v>0</v>
      </c>
      <c r="AA109" s="38">
        <f t="shared" si="6"/>
        <v>0.2</v>
      </c>
      <c r="AB109" s="48" t="e">
        <f t="shared" si="7"/>
        <v>#DIV/0!</v>
      </c>
      <c r="AE109" s="37">
        <v>105</v>
      </c>
      <c r="AF109" s="38">
        <f>MAX('[1]资源-银币'!BC110,0)</f>
        <v>0</v>
      </c>
      <c r="AG109" s="38">
        <f>MAX('[1]资源-木石铜粮'!AS110,0)</f>
        <v>0</v>
      </c>
      <c r="AH109" s="38">
        <f>MAX('[1]资源-铁'!AR110,0)</f>
        <v>0</v>
      </c>
      <c r="AI109" s="38">
        <f>MAX('[1]资源-士兵训练时间'!AV110,0)</f>
        <v>0</v>
      </c>
      <c r="AJ109" s="38">
        <f>MAX('[1]资源-玩家城池建筑时间'!BL110,0)</f>
        <v>0</v>
      </c>
      <c r="AK109" s="38">
        <f>MAX('[1]资源-士兵招募时间'!AW110,0)</f>
        <v>0</v>
      </c>
      <c r="AL109" s="38" t="e">
        <f>MAX('[1]资源-圣人研究时间'!AZ109,0)</f>
        <v>#DIV/0!</v>
      </c>
      <c r="AM109" s="38">
        <f>MAX([2]士兵治疗!CB109,0)</f>
        <v>0</v>
      </c>
      <c r="AN109" s="38">
        <f>[4]武将数量星级阶位验证!$DA108</f>
        <v>0</v>
      </c>
      <c r="AO109" s="38">
        <f t="shared" si="8"/>
        <v>0.2</v>
      </c>
      <c r="AP109" s="48" t="e">
        <f t="shared" si="9"/>
        <v>#DIV/0!</v>
      </c>
    </row>
    <row r="110" spans="3:42" x14ac:dyDescent="0.15">
      <c r="C110" s="37">
        <v>106</v>
      </c>
      <c r="D110" s="38">
        <f>MAX('[1]资源-银币'!AY111,0)</f>
        <v>0</v>
      </c>
      <c r="E110" s="38">
        <f>MAX('[1]资源-木石铜粮'!AO111,0)</f>
        <v>0</v>
      </c>
      <c r="F110" s="38">
        <f>MAX('[1]资源-铁'!AN111,0)</f>
        <v>0</v>
      </c>
      <c r="G110" s="38">
        <f>MAX('[1]资源-士兵训练时间'!AR111,0)</f>
        <v>0</v>
      </c>
      <c r="H110" s="38">
        <f>MAX('[1]资源-玩家城池建筑时间'!BH111,0)</f>
        <v>0</v>
      </c>
      <c r="I110" s="38">
        <f>MAX('[1]资源-士兵招募时间'!AS111,0)</f>
        <v>0</v>
      </c>
      <c r="J110" s="38" t="e">
        <f>MAX('[1]资源-圣人研究时间'!AV110,0)</f>
        <v>#DIV/0!</v>
      </c>
      <c r="K110" s="38">
        <f>MAX([2]士兵治疗!BX110,0)</f>
        <v>0</v>
      </c>
      <c r="L110" s="38">
        <f>[4]武将数量星级阶位验证!$CW109</f>
        <v>0</v>
      </c>
      <c r="M110" s="38">
        <f>[3]投放验证!$AL$4</f>
        <v>0.2</v>
      </c>
      <c r="N110" s="48" t="e">
        <f t="shared" si="5"/>
        <v>#DIV/0!</v>
      </c>
      <c r="O110" s="37"/>
      <c r="Q110" s="37">
        <v>106</v>
      </c>
      <c r="R110" s="38">
        <f>MAX('[1]资源-银币'!BA111,0)</f>
        <v>0</v>
      </c>
      <c r="S110" s="38">
        <f>MAX('[1]资源-木石铜粮'!AQ111,0)</f>
        <v>0</v>
      </c>
      <c r="T110" s="38">
        <f>MAX('[1]资源-铁'!AP111,0)</f>
        <v>0</v>
      </c>
      <c r="U110" s="38">
        <f>MAX('[1]资源-士兵训练时间'!AT111,0)</f>
        <v>0</v>
      </c>
      <c r="V110" s="38">
        <f>MAX('[1]资源-玩家城池建筑时间'!BJ111,0)</f>
        <v>0</v>
      </c>
      <c r="W110" s="38">
        <f>MAX('[1]资源-士兵招募时间'!AU111,0)</f>
        <v>0</v>
      </c>
      <c r="X110" s="38" t="e">
        <f>MAX('[1]资源-圣人研究时间'!AX110,0)</f>
        <v>#DIV/0!</v>
      </c>
      <c r="Y110" s="38">
        <f>MAX([2]士兵治疗!BZ110,0)</f>
        <v>0</v>
      </c>
      <c r="Z110" s="38">
        <f>[4]武将数量星级阶位验证!$CY109</f>
        <v>0</v>
      </c>
      <c r="AA110" s="38">
        <f t="shared" si="6"/>
        <v>0.2</v>
      </c>
      <c r="AB110" s="48" t="e">
        <f t="shared" si="7"/>
        <v>#DIV/0!</v>
      </c>
      <c r="AE110" s="37">
        <v>106</v>
      </c>
      <c r="AF110" s="38">
        <f>MAX('[1]资源-银币'!BC111,0)</f>
        <v>0</v>
      </c>
      <c r="AG110" s="38">
        <f>MAX('[1]资源-木石铜粮'!AS111,0)</f>
        <v>0</v>
      </c>
      <c r="AH110" s="38">
        <f>MAX('[1]资源-铁'!AR111,0)</f>
        <v>0</v>
      </c>
      <c r="AI110" s="38">
        <f>MAX('[1]资源-士兵训练时间'!AV111,0)</f>
        <v>0</v>
      </c>
      <c r="AJ110" s="38">
        <f>MAX('[1]资源-玩家城池建筑时间'!BL111,0)</f>
        <v>0</v>
      </c>
      <c r="AK110" s="38">
        <f>MAX('[1]资源-士兵招募时间'!AW111,0)</f>
        <v>0</v>
      </c>
      <c r="AL110" s="38" t="e">
        <f>MAX('[1]资源-圣人研究时间'!AZ110,0)</f>
        <v>#DIV/0!</v>
      </c>
      <c r="AM110" s="38">
        <f>MAX([2]士兵治疗!CB110,0)</f>
        <v>0</v>
      </c>
      <c r="AN110" s="38">
        <f>[4]武将数量星级阶位验证!$DA109</f>
        <v>0</v>
      </c>
      <c r="AO110" s="38">
        <f t="shared" si="8"/>
        <v>0.2</v>
      </c>
      <c r="AP110" s="48" t="e">
        <f t="shared" si="9"/>
        <v>#DIV/0!</v>
      </c>
    </row>
    <row r="111" spans="3:42" x14ac:dyDescent="0.15">
      <c r="C111" s="37">
        <v>107</v>
      </c>
      <c r="D111" s="38">
        <f>MAX('[1]资源-银币'!AY112,0)</f>
        <v>0</v>
      </c>
      <c r="E111" s="38">
        <f>MAX('[1]资源-木石铜粮'!AO112,0)</f>
        <v>0</v>
      </c>
      <c r="F111" s="38">
        <f>MAX('[1]资源-铁'!AN112,0)</f>
        <v>0</v>
      </c>
      <c r="G111" s="38">
        <f>MAX('[1]资源-士兵训练时间'!AR112,0)</f>
        <v>0</v>
      </c>
      <c r="H111" s="38">
        <f>MAX('[1]资源-玩家城池建筑时间'!BH112,0)</f>
        <v>0</v>
      </c>
      <c r="I111" s="38">
        <f>MAX('[1]资源-士兵招募时间'!AS112,0)</f>
        <v>0</v>
      </c>
      <c r="J111" s="38" t="e">
        <f>MAX('[1]资源-圣人研究时间'!AV111,0)</f>
        <v>#DIV/0!</v>
      </c>
      <c r="K111" s="38">
        <f>MAX([2]士兵治疗!BX111,0)</f>
        <v>0</v>
      </c>
      <c r="L111" s="38">
        <f>[4]武将数量星级阶位验证!$CW110</f>
        <v>0</v>
      </c>
      <c r="M111" s="38">
        <f>[3]投放验证!$AL$4</f>
        <v>0.2</v>
      </c>
      <c r="N111" s="48" t="e">
        <f t="shared" si="5"/>
        <v>#DIV/0!</v>
      </c>
      <c r="O111" s="37"/>
      <c r="Q111" s="37">
        <v>107</v>
      </c>
      <c r="R111" s="38">
        <f>MAX('[1]资源-银币'!BA112,0)</f>
        <v>0</v>
      </c>
      <c r="S111" s="38">
        <f>MAX('[1]资源-木石铜粮'!AQ112,0)</f>
        <v>0</v>
      </c>
      <c r="T111" s="38">
        <f>MAX('[1]资源-铁'!AP112,0)</f>
        <v>0</v>
      </c>
      <c r="U111" s="38">
        <f>MAX('[1]资源-士兵训练时间'!AT112,0)</f>
        <v>0</v>
      </c>
      <c r="V111" s="38">
        <f>MAX('[1]资源-玩家城池建筑时间'!BJ112,0)</f>
        <v>0</v>
      </c>
      <c r="W111" s="38">
        <f>MAX('[1]资源-士兵招募时间'!AU112,0)</f>
        <v>0</v>
      </c>
      <c r="X111" s="38" t="e">
        <f>MAX('[1]资源-圣人研究时间'!AX111,0)</f>
        <v>#DIV/0!</v>
      </c>
      <c r="Y111" s="38">
        <f>MAX([2]士兵治疗!BZ111,0)</f>
        <v>0</v>
      </c>
      <c r="Z111" s="38">
        <f>[4]武将数量星级阶位验证!$CY110</f>
        <v>0</v>
      </c>
      <c r="AA111" s="38">
        <f t="shared" si="6"/>
        <v>0.2</v>
      </c>
      <c r="AB111" s="48" t="e">
        <f t="shared" si="7"/>
        <v>#DIV/0!</v>
      </c>
      <c r="AE111" s="37">
        <v>107</v>
      </c>
      <c r="AF111" s="38">
        <f>MAX('[1]资源-银币'!BC112,0)</f>
        <v>0</v>
      </c>
      <c r="AG111" s="38">
        <f>MAX('[1]资源-木石铜粮'!AS112,0)</f>
        <v>0</v>
      </c>
      <c r="AH111" s="38">
        <f>MAX('[1]资源-铁'!AR112,0)</f>
        <v>0</v>
      </c>
      <c r="AI111" s="38">
        <f>MAX('[1]资源-士兵训练时间'!AV112,0)</f>
        <v>0</v>
      </c>
      <c r="AJ111" s="38">
        <f>MAX('[1]资源-玩家城池建筑时间'!BL112,0)</f>
        <v>0</v>
      </c>
      <c r="AK111" s="38">
        <f>MAX('[1]资源-士兵招募时间'!AW112,0)</f>
        <v>0</v>
      </c>
      <c r="AL111" s="38" t="e">
        <f>MAX('[1]资源-圣人研究时间'!AZ111,0)</f>
        <v>#DIV/0!</v>
      </c>
      <c r="AM111" s="38">
        <f>MAX([2]士兵治疗!CB111,0)</f>
        <v>0</v>
      </c>
      <c r="AN111" s="38">
        <f>[4]武将数量星级阶位验证!$DA110</f>
        <v>0</v>
      </c>
      <c r="AO111" s="38">
        <f t="shared" si="8"/>
        <v>0.2</v>
      </c>
      <c r="AP111" s="48" t="e">
        <f t="shared" si="9"/>
        <v>#DIV/0!</v>
      </c>
    </row>
    <row r="112" spans="3:42" x14ac:dyDescent="0.15">
      <c r="C112" s="37">
        <v>108</v>
      </c>
      <c r="D112" s="38">
        <f>MAX('[1]资源-银币'!AY113,0)</f>
        <v>0</v>
      </c>
      <c r="E112" s="38">
        <f>MAX('[1]资源-木石铜粮'!AO113,0)</f>
        <v>0</v>
      </c>
      <c r="F112" s="38">
        <f>MAX('[1]资源-铁'!AN113,0)</f>
        <v>0</v>
      </c>
      <c r="G112" s="38">
        <f>MAX('[1]资源-士兵训练时间'!AR113,0)</f>
        <v>0</v>
      </c>
      <c r="H112" s="38">
        <f>MAX('[1]资源-玩家城池建筑时间'!BH113,0)</f>
        <v>0</v>
      </c>
      <c r="I112" s="38">
        <f>MAX('[1]资源-士兵招募时间'!AS113,0)</f>
        <v>0</v>
      </c>
      <c r="J112" s="38" t="e">
        <f>MAX('[1]资源-圣人研究时间'!AV112,0)</f>
        <v>#DIV/0!</v>
      </c>
      <c r="K112" s="38">
        <f>MAX([2]士兵治疗!BX112,0)</f>
        <v>0</v>
      </c>
      <c r="L112" s="38">
        <f>[4]武将数量星级阶位验证!$CW111</f>
        <v>0</v>
      </c>
      <c r="M112" s="38">
        <f>[3]投放验证!$AL$4</f>
        <v>0.2</v>
      </c>
      <c r="N112" s="48" t="e">
        <f t="shared" si="5"/>
        <v>#DIV/0!</v>
      </c>
      <c r="O112" s="37"/>
      <c r="Q112" s="37">
        <v>108</v>
      </c>
      <c r="R112" s="38">
        <f>MAX('[1]资源-银币'!BA113,0)</f>
        <v>0</v>
      </c>
      <c r="S112" s="38">
        <f>MAX('[1]资源-木石铜粮'!AQ113,0)</f>
        <v>0</v>
      </c>
      <c r="T112" s="38">
        <f>MAX('[1]资源-铁'!AP113,0)</f>
        <v>0</v>
      </c>
      <c r="U112" s="38">
        <f>MAX('[1]资源-士兵训练时间'!AT113,0)</f>
        <v>0</v>
      </c>
      <c r="V112" s="38">
        <f>MAX('[1]资源-玩家城池建筑时间'!BJ113,0)</f>
        <v>0</v>
      </c>
      <c r="W112" s="38">
        <f>MAX('[1]资源-士兵招募时间'!AU113,0)</f>
        <v>0</v>
      </c>
      <c r="X112" s="38" t="e">
        <f>MAX('[1]资源-圣人研究时间'!AX112,0)</f>
        <v>#DIV/0!</v>
      </c>
      <c r="Y112" s="38">
        <f>MAX([2]士兵治疗!BZ112,0)</f>
        <v>0</v>
      </c>
      <c r="Z112" s="38">
        <f>[4]武将数量星级阶位验证!$CY111</f>
        <v>0</v>
      </c>
      <c r="AA112" s="38">
        <f t="shared" si="6"/>
        <v>0.2</v>
      </c>
      <c r="AB112" s="48" t="e">
        <f t="shared" si="7"/>
        <v>#DIV/0!</v>
      </c>
      <c r="AE112" s="37">
        <v>108</v>
      </c>
      <c r="AF112" s="38">
        <f>MAX('[1]资源-银币'!BC113,0)</f>
        <v>0</v>
      </c>
      <c r="AG112" s="38">
        <f>MAX('[1]资源-木石铜粮'!AS113,0)</f>
        <v>0</v>
      </c>
      <c r="AH112" s="38">
        <f>MAX('[1]资源-铁'!AR113,0)</f>
        <v>0</v>
      </c>
      <c r="AI112" s="38">
        <f>MAX('[1]资源-士兵训练时间'!AV113,0)</f>
        <v>0</v>
      </c>
      <c r="AJ112" s="38">
        <f>MAX('[1]资源-玩家城池建筑时间'!BL113,0)</f>
        <v>0</v>
      </c>
      <c r="AK112" s="38">
        <f>MAX('[1]资源-士兵招募时间'!AW113,0)</f>
        <v>0</v>
      </c>
      <c r="AL112" s="38" t="e">
        <f>MAX('[1]资源-圣人研究时间'!AZ112,0)</f>
        <v>#DIV/0!</v>
      </c>
      <c r="AM112" s="38">
        <f>MAX([2]士兵治疗!CB112,0)</f>
        <v>0</v>
      </c>
      <c r="AN112" s="38">
        <f>[4]武将数量星级阶位验证!$DA111</f>
        <v>0</v>
      </c>
      <c r="AO112" s="38">
        <f t="shared" si="8"/>
        <v>0.2</v>
      </c>
      <c r="AP112" s="48" t="e">
        <f t="shared" si="9"/>
        <v>#DIV/0!</v>
      </c>
    </row>
    <row r="113" spans="3:42" x14ac:dyDescent="0.15">
      <c r="C113" s="37">
        <v>109</v>
      </c>
      <c r="D113" s="38">
        <f>MAX('[1]资源-银币'!AY114,0)</f>
        <v>0</v>
      </c>
      <c r="E113" s="38">
        <f>MAX('[1]资源-木石铜粮'!AO114,0)</f>
        <v>0</v>
      </c>
      <c r="F113" s="38">
        <f>MAX('[1]资源-铁'!AN114,0)</f>
        <v>0</v>
      </c>
      <c r="G113" s="38">
        <f>MAX('[1]资源-士兵训练时间'!AR114,0)</f>
        <v>0</v>
      </c>
      <c r="H113" s="38">
        <f>MAX('[1]资源-玩家城池建筑时间'!BH114,0)</f>
        <v>0</v>
      </c>
      <c r="I113" s="38">
        <f>MAX('[1]资源-士兵招募时间'!AS114,0)</f>
        <v>0</v>
      </c>
      <c r="J113" s="38" t="e">
        <f>MAX('[1]资源-圣人研究时间'!AV113,0)</f>
        <v>#DIV/0!</v>
      </c>
      <c r="K113" s="38">
        <f>MAX([2]士兵治疗!BX113,0)</f>
        <v>0</v>
      </c>
      <c r="L113" s="38">
        <f>[4]武将数量星级阶位验证!$CW112</f>
        <v>0</v>
      </c>
      <c r="M113" s="38">
        <f>[3]投放验证!$AL$4</f>
        <v>0.2</v>
      </c>
      <c r="N113" s="48" t="e">
        <f t="shared" si="5"/>
        <v>#DIV/0!</v>
      </c>
      <c r="O113" s="37"/>
      <c r="Q113" s="37">
        <v>109</v>
      </c>
      <c r="R113" s="38">
        <f>MAX('[1]资源-银币'!BA114,0)</f>
        <v>0</v>
      </c>
      <c r="S113" s="38">
        <f>MAX('[1]资源-木石铜粮'!AQ114,0)</f>
        <v>0</v>
      </c>
      <c r="T113" s="38">
        <f>MAX('[1]资源-铁'!AP114,0)</f>
        <v>0</v>
      </c>
      <c r="U113" s="38">
        <f>MAX('[1]资源-士兵训练时间'!AT114,0)</f>
        <v>0</v>
      </c>
      <c r="V113" s="38">
        <f>MAX('[1]资源-玩家城池建筑时间'!BJ114,0)</f>
        <v>0</v>
      </c>
      <c r="W113" s="38">
        <f>MAX('[1]资源-士兵招募时间'!AU114,0)</f>
        <v>0</v>
      </c>
      <c r="X113" s="38" t="e">
        <f>MAX('[1]资源-圣人研究时间'!AX113,0)</f>
        <v>#DIV/0!</v>
      </c>
      <c r="Y113" s="38">
        <f>MAX([2]士兵治疗!BZ113,0)</f>
        <v>0</v>
      </c>
      <c r="Z113" s="38">
        <f>[4]武将数量星级阶位验证!$CY112</f>
        <v>0</v>
      </c>
      <c r="AA113" s="38">
        <f t="shared" si="6"/>
        <v>0.2</v>
      </c>
      <c r="AB113" s="48" t="e">
        <f t="shared" si="7"/>
        <v>#DIV/0!</v>
      </c>
      <c r="AE113" s="37">
        <v>109</v>
      </c>
      <c r="AF113" s="38">
        <f>MAX('[1]资源-银币'!BC114,0)</f>
        <v>0</v>
      </c>
      <c r="AG113" s="38">
        <f>MAX('[1]资源-木石铜粮'!AS114,0)</f>
        <v>0</v>
      </c>
      <c r="AH113" s="38">
        <f>MAX('[1]资源-铁'!AR114,0)</f>
        <v>0</v>
      </c>
      <c r="AI113" s="38">
        <f>MAX('[1]资源-士兵训练时间'!AV114,0)</f>
        <v>0</v>
      </c>
      <c r="AJ113" s="38">
        <f>MAX('[1]资源-玩家城池建筑时间'!BL114,0)</f>
        <v>0</v>
      </c>
      <c r="AK113" s="38">
        <f>MAX('[1]资源-士兵招募时间'!AW114,0)</f>
        <v>0</v>
      </c>
      <c r="AL113" s="38" t="e">
        <f>MAX('[1]资源-圣人研究时间'!AZ113,0)</f>
        <v>#DIV/0!</v>
      </c>
      <c r="AM113" s="38">
        <f>MAX([2]士兵治疗!CB113,0)</f>
        <v>0</v>
      </c>
      <c r="AN113" s="38">
        <f>[4]武将数量星级阶位验证!$DA112</f>
        <v>0</v>
      </c>
      <c r="AO113" s="38">
        <f t="shared" si="8"/>
        <v>0.2</v>
      </c>
      <c r="AP113" s="48" t="e">
        <f t="shared" si="9"/>
        <v>#DIV/0!</v>
      </c>
    </row>
    <row r="114" spans="3:42" x14ac:dyDescent="0.15">
      <c r="C114" s="37">
        <v>110</v>
      </c>
      <c r="D114" s="38">
        <f>MAX('[1]资源-银币'!AY115,0)</f>
        <v>0</v>
      </c>
      <c r="E114" s="38">
        <f>MAX('[1]资源-木石铜粮'!AO115,0)</f>
        <v>0</v>
      </c>
      <c r="F114" s="38">
        <f>MAX('[1]资源-铁'!AN115,0)</f>
        <v>0</v>
      </c>
      <c r="G114" s="38">
        <f>MAX('[1]资源-士兵训练时间'!AR115,0)</f>
        <v>0</v>
      </c>
      <c r="H114" s="38">
        <f>MAX('[1]资源-玩家城池建筑时间'!BH115,0)</f>
        <v>0</v>
      </c>
      <c r="I114" s="38">
        <f>MAX('[1]资源-士兵招募时间'!AS115,0)</f>
        <v>0</v>
      </c>
      <c r="J114" s="38" t="e">
        <f>MAX('[1]资源-圣人研究时间'!AV114,0)</f>
        <v>#DIV/0!</v>
      </c>
      <c r="K114" s="38">
        <f>MAX([2]士兵治疗!BX114,0)</f>
        <v>0</v>
      </c>
      <c r="L114" s="38">
        <f>[4]武将数量星级阶位验证!$CW113</f>
        <v>0</v>
      </c>
      <c r="M114" s="38">
        <f>[3]投放验证!$AL$4</f>
        <v>0.2</v>
      </c>
      <c r="N114" s="48" t="e">
        <f t="shared" si="5"/>
        <v>#DIV/0!</v>
      </c>
      <c r="O114" s="37"/>
      <c r="Q114" s="37">
        <v>110</v>
      </c>
      <c r="R114" s="38">
        <f>MAX('[1]资源-银币'!BA115,0)</f>
        <v>0</v>
      </c>
      <c r="S114" s="38">
        <f>MAX('[1]资源-木石铜粮'!AQ115,0)</f>
        <v>0</v>
      </c>
      <c r="T114" s="38">
        <f>MAX('[1]资源-铁'!AP115,0)</f>
        <v>0</v>
      </c>
      <c r="U114" s="38">
        <f>MAX('[1]资源-士兵训练时间'!AT115,0)</f>
        <v>0</v>
      </c>
      <c r="V114" s="38">
        <f>MAX('[1]资源-玩家城池建筑时间'!BJ115,0)</f>
        <v>0</v>
      </c>
      <c r="W114" s="38">
        <f>MAX('[1]资源-士兵招募时间'!AU115,0)</f>
        <v>0</v>
      </c>
      <c r="X114" s="38" t="e">
        <f>MAX('[1]资源-圣人研究时间'!AX114,0)</f>
        <v>#DIV/0!</v>
      </c>
      <c r="Y114" s="38">
        <f>MAX([2]士兵治疗!BZ114,0)</f>
        <v>0</v>
      </c>
      <c r="Z114" s="38">
        <f>[4]武将数量星级阶位验证!$CY113</f>
        <v>0</v>
      </c>
      <c r="AA114" s="38">
        <f t="shared" si="6"/>
        <v>0.2</v>
      </c>
      <c r="AB114" s="48" t="e">
        <f t="shared" si="7"/>
        <v>#DIV/0!</v>
      </c>
      <c r="AE114" s="37">
        <v>110</v>
      </c>
      <c r="AF114" s="38">
        <f>MAX('[1]资源-银币'!BC115,0)</f>
        <v>0</v>
      </c>
      <c r="AG114" s="38">
        <f>MAX('[1]资源-木石铜粮'!AS115,0)</f>
        <v>0</v>
      </c>
      <c r="AH114" s="38">
        <f>MAX('[1]资源-铁'!AR115,0)</f>
        <v>0</v>
      </c>
      <c r="AI114" s="38">
        <f>MAX('[1]资源-士兵训练时间'!AV115,0)</f>
        <v>0</v>
      </c>
      <c r="AJ114" s="38">
        <f>MAX('[1]资源-玩家城池建筑时间'!BL115,0)</f>
        <v>0</v>
      </c>
      <c r="AK114" s="38">
        <f>MAX('[1]资源-士兵招募时间'!AW115,0)</f>
        <v>0</v>
      </c>
      <c r="AL114" s="38" t="e">
        <f>MAX('[1]资源-圣人研究时间'!AZ114,0)</f>
        <v>#DIV/0!</v>
      </c>
      <c r="AM114" s="38">
        <f>MAX([2]士兵治疗!CB114,0)</f>
        <v>0</v>
      </c>
      <c r="AN114" s="38">
        <f>[4]武将数量星级阶位验证!$DA113</f>
        <v>0</v>
      </c>
      <c r="AO114" s="38">
        <f t="shared" si="8"/>
        <v>0.2</v>
      </c>
      <c r="AP114" s="48" t="e">
        <f t="shared" si="9"/>
        <v>#DIV/0!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I91"/>
  <sheetViews>
    <sheetView workbookViewId="0">
      <selection activeCell="L27" sqref="L27"/>
    </sheetView>
  </sheetViews>
  <sheetFormatPr defaultRowHeight="13.5" x14ac:dyDescent="0.15"/>
  <sheetData>
    <row r="3" spans="4:9" x14ac:dyDescent="0.15">
      <c r="D3">
        <v>1</v>
      </c>
      <c r="E3">
        <f>消耗预期!AG4/消耗预期!C4</f>
        <v>1.9762468387993881</v>
      </c>
      <c r="F3">
        <f>消耗预期!AH4/消耗预期!D4</f>
        <v>2.1710112644209261</v>
      </c>
      <c r="G3">
        <f>消耗预期!AI4/消耗预期!E4</f>
        <v>2.5610270956595862</v>
      </c>
      <c r="H3">
        <f>消耗预期!AJ4/消耗预期!F4</f>
        <v>2.5987440750459201</v>
      </c>
      <c r="I3">
        <f>消耗预期!AK4/消耗预期!G4</f>
        <v>3.1213053487868869</v>
      </c>
    </row>
    <row r="4" spans="4:9" x14ac:dyDescent="0.15">
      <c r="D4">
        <v>2</v>
      </c>
      <c r="E4">
        <f>消耗预期!AG5/消耗预期!C5</f>
        <v>1.5580704411438147</v>
      </c>
      <c r="F4">
        <f>消耗预期!AH5/消耗预期!D5</f>
        <v>1.6677113360510183</v>
      </c>
      <c r="G4">
        <f>消耗预期!AI5/消耗预期!E5</f>
        <v>1.8441853535175097</v>
      </c>
      <c r="H4">
        <f>消耗预期!AJ5/消耗预期!F5</f>
        <v>1.7133635931149105</v>
      </c>
      <c r="I4">
        <f>消耗预期!AK5/消耗预期!G5</f>
        <v>2.0321965722970292</v>
      </c>
    </row>
    <row r="5" spans="4:9" x14ac:dyDescent="0.15">
      <c r="D5">
        <v>3</v>
      </c>
      <c r="E5">
        <f>消耗预期!AG6/消耗预期!C6</f>
        <v>0.96554371260609695</v>
      </c>
      <c r="F5">
        <f>消耗预期!AH6/消耗预期!D6</f>
        <v>1.0172339057430615</v>
      </c>
      <c r="G5">
        <f>消耗预期!AI6/消耗预期!E6</f>
        <v>1.131571754149258</v>
      </c>
      <c r="H5">
        <f>消耗预期!AJ6/消耗预期!F6</f>
        <v>1.0506650530390369</v>
      </c>
      <c r="I5">
        <f>消耗预期!AK6/消耗预期!G6</f>
        <v>1.2697374870549738</v>
      </c>
    </row>
    <row r="6" spans="4:9" x14ac:dyDescent="0.15">
      <c r="D6">
        <v>4</v>
      </c>
      <c r="E6">
        <f>消耗预期!AG7/消耗预期!C7</f>
        <v>0.71387342630903339</v>
      </c>
      <c r="F6">
        <f>消耗预期!AH7/消耗预期!D7</f>
        <v>0.66468585886880671</v>
      </c>
      <c r="G6">
        <f>消耗预期!AI7/消耗预期!E7</f>
        <v>0.66950865418920402</v>
      </c>
      <c r="H6">
        <f>消耗预期!AJ7/消耗预期!F7</f>
        <v>0.58101951764882342</v>
      </c>
      <c r="I6">
        <f>消耗预期!AK7/消耗预期!G7</f>
        <v>0.52634189096334671</v>
      </c>
    </row>
    <row r="7" spans="4:9" x14ac:dyDescent="0.15">
      <c r="D7">
        <v>5</v>
      </c>
      <c r="E7">
        <f>消耗预期!AG8/消耗预期!C8</f>
        <v>0.40513186024775216</v>
      </c>
      <c r="F7">
        <f>消耗预期!AH8/消耗预期!D8</f>
        <v>0.42288591365060796</v>
      </c>
      <c r="G7">
        <f>消耗预期!AI8/消耗预期!E8</f>
        <v>0.43110428690853003</v>
      </c>
      <c r="H7">
        <f>消耗预期!AJ8/消耗预期!F8</f>
        <v>0.35605639285893165</v>
      </c>
      <c r="I7">
        <f>消耗预期!AK8/消耗预期!G8</f>
        <v>0.3483285669547187</v>
      </c>
    </row>
    <row r="8" spans="4:9" x14ac:dyDescent="0.15">
      <c r="D8">
        <v>6</v>
      </c>
      <c r="E8">
        <f>消耗预期!AG9/消耗预期!C9</f>
        <v>0.20964208711401575</v>
      </c>
      <c r="F8">
        <f>消耗预期!AH9/消耗预期!D9</f>
        <v>0.22291059325439097</v>
      </c>
      <c r="G8">
        <f>消耗预期!AI9/消耗预期!E9</f>
        <v>0.25940818963957057</v>
      </c>
      <c r="H8">
        <f>消耗预期!AJ9/消耗预期!F9</f>
        <v>0.24198412873715036</v>
      </c>
      <c r="I8">
        <f>消耗预期!AK9/消耗预期!G9</f>
        <v>0.25645924722884311</v>
      </c>
    </row>
    <row r="9" spans="4:9" x14ac:dyDescent="0.15">
      <c r="D9">
        <v>7</v>
      </c>
      <c r="E9">
        <f>消耗预期!AG10/消耗预期!C10</f>
        <v>0.18399211112061736</v>
      </c>
      <c r="F9">
        <f>消耗预期!AH10/消耗预期!D10</f>
        <v>0.19074976254156956</v>
      </c>
      <c r="G9">
        <f>消耗预期!AI10/消耗预期!E10</f>
        <v>0.21450992300221777</v>
      </c>
      <c r="H9">
        <f>消耗预期!AJ10/消耗预期!F10</f>
        <v>0.21759258764806697</v>
      </c>
      <c r="I9">
        <f>消耗预期!AK10/消耗预期!G10</f>
        <v>0.26790175852838305</v>
      </c>
    </row>
    <row r="10" spans="4:9" x14ac:dyDescent="0.15">
      <c r="D10">
        <v>8</v>
      </c>
      <c r="E10">
        <f>消耗预期!AG11/消耗预期!C11</f>
        <v>0.16717466133905148</v>
      </c>
      <c r="F10">
        <f>消耗预期!AH11/消耗预期!D11</f>
        <v>0.19802091292319321</v>
      </c>
      <c r="G10">
        <f>消耗预期!AI11/消耗预期!E11</f>
        <v>0.2580632236794338</v>
      </c>
      <c r="H10">
        <f>消耗预期!AJ11/消耗预期!F11</f>
        <v>0.29464175658773212</v>
      </c>
      <c r="I10">
        <f>消耗预期!AK11/消耗预期!G11</f>
        <v>0.31846192367222503</v>
      </c>
    </row>
    <row r="11" spans="4:9" x14ac:dyDescent="0.15">
      <c r="D11">
        <v>9</v>
      </c>
      <c r="E11">
        <f>消耗预期!AG12/消耗预期!C12</f>
        <v>0.21429696497881126</v>
      </c>
      <c r="F11">
        <f>消耗预期!AH12/消耗预期!D12</f>
        <v>0.23874927435709245</v>
      </c>
      <c r="G11">
        <f>消耗预期!AI12/消耗预期!E12</f>
        <v>0.26774936688549755</v>
      </c>
      <c r="H11">
        <f>消耗预期!AJ12/消耗预期!F12</f>
        <v>0.25343123748086283</v>
      </c>
      <c r="I11">
        <f>消耗预期!AK12/消耗预期!G12</f>
        <v>0.26984331370774406</v>
      </c>
    </row>
    <row r="12" spans="4:9" x14ac:dyDescent="0.15">
      <c r="D12">
        <v>10</v>
      </c>
      <c r="E12">
        <f>消耗预期!AG13/消耗预期!C13</f>
        <v>0.19004766562467909</v>
      </c>
      <c r="F12">
        <f>消耗预期!AH13/消耗预期!D13</f>
        <v>0.19343194943570663</v>
      </c>
      <c r="G12">
        <f>消耗预期!AI13/消耗预期!E13</f>
        <v>0.22394352826521413</v>
      </c>
      <c r="H12">
        <f>消耗预期!AJ13/消耗预期!F13</f>
        <v>0.28593038357134781</v>
      </c>
      <c r="I12">
        <f>消耗预期!AK13/消耗预期!G13</f>
        <v>0.46147452848771325</v>
      </c>
    </row>
    <row r="13" spans="4:9" x14ac:dyDescent="0.15">
      <c r="D13">
        <v>11</v>
      </c>
      <c r="E13">
        <f>消耗预期!AG14/消耗预期!C14</f>
        <v>0.56146186978579327</v>
      </c>
      <c r="F13">
        <f>消耗预期!AH14/消耗预期!D14</f>
        <v>0.6166620988298247</v>
      </c>
      <c r="G13">
        <f>消耗预期!AI14/消耗预期!E14</f>
        <v>0.72079588606740896</v>
      </c>
      <c r="H13">
        <f>消耗预期!AJ14/消耗预期!F14</f>
        <v>0.81150181277575273</v>
      </c>
      <c r="I13">
        <f>消耗预期!AK14/消耗预期!G14</f>
        <v>0.69073954943948213</v>
      </c>
    </row>
    <row r="14" spans="4:9" x14ac:dyDescent="0.15">
      <c r="D14">
        <v>12</v>
      </c>
      <c r="E14">
        <f>消耗预期!AG15/消耗预期!C15</f>
        <v>0.83359011658293303</v>
      </c>
      <c r="F14">
        <f>消耗预期!AH15/消耗预期!D15</f>
        <v>0.85333036684694652</v>
      </c>
      <c r="G14">
        <f>消耗预期!AI15/消耗预期!E15</f>
        <v>0.72972221531660142</v>
      </c>
      <c r="H14">
        <f>消耗预期!AJ15/消耗预期!F15</f>
        <v>0.59265410342308456</v>
      </c>
      <c r="I14">
        <f>消耗预期!AK15/消耗预期!G15</f>
        <v>0.62438700651037371</v>
      </c>
    </row>
    <row r="15" spans="4:9" x14ac:dyDescent="0.15">
      <c r="D15">
        <v>13</v>
      </c>
      <c r="E15">
        <f>消耗预期!AG16/消耗预期!C16</f>
        <v>0.75183545696942344</v>
      </c>
      <c r="F15">
        <f>消耗预期!AH16/消耗预期!D16</f>
        <v>0.59874077685315719</v>
      </c>
      <c r="G15">
        <f>消耗预期!AI16/消耗预期!E16</f>
        <v>0.576966570840584</v>
      </c>
      <c r="H15">
        <f>消耗预期!AJ16/消耗预期!F16</f>
        <v>0.56791829104615144</v>
      </c>
      <c r="I15">
        <f>消耗预期!AK16/消耗预期!G16</f>
        <v>0.58768601793521469</v>
      </c>
    </row>
    <row r="16" spans="4:9" x14ac:dyDescent="0.15">
      <c r="D16">
        <v>14</v>
      </c>
      <c r="E16">
        <f>消耗预期!AG17/消耗预期!C17</f>
        <v>0.56345231252817574</v>
      </c>
      <c r="F16">
        <f>消耗预期!AH17/消耗预期!D17</f>
        <v>0.55774767576496309</v>
      </c>
      <c r="G16">
        <f>消耗预期!AI17/消耗预期!E17</f>
        <v>0.54234689640779954</v>
      </c>
      <c r="H16">
        <f>消耗预期!AJ17/消耗预期!F17</f>
        <v>0.55848595203513041</v>
      </c>
      <c r="I16">
        <f>消耗预期!AK17/消耗预期!G17</f>
        <v>0.535765778571204</v>
      </c>
    </row>
    <row r="17" spans="4:9" x14ac:dyDescent="0.15">
      <c r="D17">
        <v>15</v>
      </c>
      <c r="E17">
        <f>消耗预期!AG18/消耗预期!C18</f>
        <v>0.51257048700417862</v>
      </c>
      <c r="F17">
        <f>消耗预期!AH18/消耗预期!D18</f>
        <v>0.48734323663555734</v>
      </c>
      <c r="G17">
        <f>消耗预期!AI18/消耗预期!E18</f>
        <v>0.50378500885778643</v>
      </c>
      <c r="H17">
        <f>消耗预期!AJ18/消耗预期!F18</f>
        <v>0.45522232284871106</v>
      </c>
      <c r="I17">
        <f>消耗预期!AK18/消耗预期!G18</f>
        <v>0.4769472650165052</v>
      </c>
    </row>
    <row r="18" spans="4:9" x14ac:dyDescent="0.15">
      <c r="D18">
        <v>16</v>
      </c>
      <c r="E18">
        <f>消耗预期!AG19/消耗预期!C19</f>
        <v>0.47604568680473103</v>
      </c>
      <c r="F18">
        <f>消耗预期!AH19/消耗预期!D19</f>
        <v>0.43748536764903329</v>
      </c>
      <c r="G18">
        <f>消耗预期!AI19/消耗预期!E19</f>
        <v>0.41799017611216399</v>
      </c>
      <c r="H18">
        <f>消耗预期!AJ19/消耗预期!F19</f>
        <v>0.43472975114075296</v>
      </c>
      <c r="I18">
        <f>消耗预期!AK19/消耗预期!G19</f>
        <v>0.46131792521700171</v>
      </c>
    </row>
    <row r="19" spans="4:9" x14ac:dyDescent="0.15">
      <c r="D19">
        <v>17</v>
      </c>
      <c r="E19">
        <f>消耗预期!AG20/消耗预期!C20</f>
        <v>0.40038037664574638</v>
      </c>
      <c r="F19">
        <f>消耗预期!AH20/消耗预期!D20</f>
        <v>0.38943453406137341</v>
      </c>
      <c r="G19">
        <f>消耗预期!AI20/消耗预期!E20</f>
        <v>0.42159387716320013</v>
      </c>
      <c r="H19">
        <f>消耗预期!AJ20/消耗预期!F20</f>
        <v>0.44144950794971177</v>
      </c>
      <c r="I19">
        <f>消耗预期!AK20/消耗预期!G20</f>
        <v>0.47753385978962148</v>
      </c>
    </row>
    <row r="20" spans="4:9" x14ac:dyDescent="0.15">
      <c r="D20">
        <v>18</v>
      </c>
      <c r="E20">
        <f>消耗预期!AG21/消耗预期!C21</f>
        <v>0.36778572159611234</v>
      </c>
      <c r="F20">
        <f>消耗预期!AH21/消耗预期!D21</f>
        <v>0.3679957648134532</v>
      </c>
      <c r="G20">
        <f>消耗预期!AI21/消耗预期!E21</f>
        <v>0.39471674916819061</v>
      </c>
      <c r="H20">
        <f>消耗预期!AJ21/消耗预期!F21</f>
        <v>0.3959069441645236</v>
      </c>
      <c r="I20">
        <f>消耗预期!AK21/消耗预期!G21</f>
        <v>0.38269045057031326</v>
      </c>
    </row>
    <row r="21" spans="4:9" x14ac:dyDescent="0.15">
      <c r="D21">
        <v>19</v>
      </c>
      <c r="E21">
        <f>消耗预期!AG22/消耗预期!C22</f>
        <v>0.35524880217960042</v>
      </c>
      <c r="F21">
        <f>消耗预期!AH22/消耗预期!D22</f>
        <v>0.35956264856857267</v>
      </c>
      <c r="G21">
        <f>消耗预期!AI22/消耗预期!E22</f>
        <v>0.36459866493083248</v>
      </c>
      <c r="H21">
        <f>消耗预期!AJ22/消耗预期!F22</f>
        <v>0.34954631976282302</v>
      </c>
      <c r="I21">
        <f>消耗预期!AK22/消耗预期!G22</f>
        <v>0.36092466146013497</v>
      </c>
    </row>
    <row r="22" spans="4:9" x14ac:dyDescent="0.15">
      <c r="D22">
        <v>20</v>
      </c>
      <c r="E22">
        <f>消耗预期!AG23/消耗预期!C23</f>
        <v>0.34578007671051003</v>
      </c>
      <c r="F22">
        <f>消耗预期!AH23/消耗预期!D23</f>
        <v>0.3415812781738809</v>
      </c>
      <c r="G22">
        <f>消耗预期!AI23/消耗预期!E23</f>
        <v>0.33041134552697626</v>
      </c>
      <c r="H22">
        <f>消耗预期!AJ23/消耗预期!F23</f>
        <v>0.34649803301737331</v>
      </c>
      <c r="I22">
        <f>消耗预期!AK23/消耗预期!G23</f>
        <v>0.33624743378657218</v>
      </c>
    </row>
    <row r="23" spans="4:9" x14ac:dyDescent="0.15">
      <c r="D23">
        <v>21</v>
      </c>
      <c r="E23">
        <f>消耗预期!AG24/消耗预期!C24</f>
        <v>0.65994562305558746</v>
      </c>
      <c r="F23">
        <f>消耗预期!AH24/消耗预期!D24</f>
        <v>0.63378526266620239</v>
      </c>
      <c r="G23">
        <f>消耗预期!AI24/消耗预期!E24</f>
        <v>0.63335853888306604</v>
      </c>
      <c r="H23">
        <f>消耗预期!AJ24/消耗预期!F24</f>
        <v>0.60863273252864258</v>
      </c>
      <c r="I23">
        <f>消耗预期!AK24/消耗预期!G24</f>
        <v>0.62334250503226096</v>
      </c>
    </row>
    <row r="24" spans="4:9" x14ac:dyDescent="0.15">
      <c r="D24">
        <v>22</v>
      </c>
      <c r="E24">
        <f>消耗预期!AG25/消耗预期!C25</f>
        <v>0.61801967021945547</v>
      </c>
      <c r="F24">
        <f>消耗预期!AH25/消耗预期!D25</f>
        <v>0.60400632794801601</v>
      </c>
      <c r="G24">
        <f>消耗预期!AI25/消耗预期!E25</f>
        <v>0.59867587292530788</v>
      </c>
      <c r="H24">
        <f>消耗预期!AJ25/消耗预期!F25</f>
        <v>0.57113338934401636</v>
      </c>
      <c r="I24">
        <f>消耗预期!AK25/消耗预期!G25</f>
        <v>0.54679513103202504</v>
      </c>
    </row>
    <row r="25" spans="4:9" x14ac:dyDescent="0.15">
      <c r="D25">
        <v>23</v>
      </c>
      <c r="E25">
        <f>消耗预期!AG26/消耗预期!C26</f>
        <v>0.53544917742792897</v>
      </c>
      <c r="F25">
        <f>消耗预期!AH26/消耗预期!D26</f>
        <v>0.53506370785275503</v>
      </c>
      <c r="G25">
        <f>消耗预期!AI26/消耗预期!E26</f>
        <v>0.53670010202357143</v>
      </c>
      <c r="H25">
        <f>消耗预期!AJ26/消耗预期!F26</f>
        <v>0.4829592768844222</v>
      </c>
      <c r="I25">
        <f>消耗预期!AK26/消耗预期!G26</f>
        <v>0.4956734616555325</v>
      </c>
    </row>
    <row r="26" spans="4:9" x14ac:dyDescent="0.15">
      <c r="D26">
        <v>24</v>
      </c>
      <c r="E26">
        <f>消耗预期!AG27/消耗预期!C27</f>
        <v>0.4982403930968215</v>
      </c>
      <c r="F26">
        <f>消耗预期!AH27/消耗预期!D27</f>
        <v>0.46646178850293057</v>
      </c>
      <c r="G26">
        <f>消耗预期!AI27/消耗预期!E27</f>
        <v>0.44807912938651501</v>
      </c>
      <c r="H26">
        <f>消耗预期!AJ27/消耗预期!F27</f>
        <v>0.41478464922934549</v>
      </c>
      <c r="I26">
        <f>消耗预期!AK27/消耗预期!G27</f>
        <v>0.40471322705700513</v>
      </c>
    </row>
    <row r="27" spans="4:9" x14ac:dyDescent="0.15">
      <c r="D27">
        <v>25</v>
      </c>
      <c r="E27">
        <f>消耗预期!AG28/消耗预期!C28</f>
        <v>0.47671258690311641</v>
      </c>
      <c r="F27">
        <f>消耗预期!AH28/消耗预期!D28</f>
        <v>0.45105371824600515</v>
      </c>
      <c r="G27">
        <f>消耗预期!AI28/消耗预期!E28</f>
        <v>0.43836517274478604</v>
      </c>
      <c r="H27">
        <f>消耗预期!AJ28/消耗预期!F28</f>
        <v>0.39140743584023102</v>
      </c>
      <c r="I27">
        <f>消耗预期!AK28/消耗预期!G28</f>
        <v>0.60608847855889458</v>
      </c>
    </row>
    <row r="28" spans="4:9" x14ac:dyDescent="0.15">
      <c r="D28">
        <v>26</v>
      </c>
      <c r="E28">
        <f>消耗预期!AG29/消耗预期!C29</f>
        <v>0.45858528720498637</v>
      </c>
      <c r="F28">
        <f>消耗预期!AH29/消耗预期!D29</f>
        <v>0.41663299477057752</v>
      </c>
      <c r="G28">
        <f>消耗预期!AI29/消耗预期!E29</f>
        <v>0.39773126207545423</v>
      </c>
      <c r="H28">
        <f>消耗预期!AJ29/消耗预期!F29</f>
        <v>0.5492225778717531</v>
      </c>
      <c r="I28">
        <f>消耗预期!AK29/消耗预期!G29</f>
        <v>0.65885248979219546</v>
      </c>
    </row>
    <row r="29" spans="4:9" x14ac:dyDescent="0.15">
      <c r="D29">
        <v>27</v>
      </c>
      <c r="E29">
        <f>消耗预期!AG30/消耗预期!C30</f>
        <v>0.40844611782583046</v>
      </c>
      <c r="F29">
        <f>消耗预期!AH30/消耗预期!D30</f>
        <v>0.38147745381213127</v>
      </c>
      <c r="G29">
        <f>消耗预期!AI30/消耗预期!E30</f>
        <v>0.49280763209145589</v>
      </c>
      <c r="H29">
        <f>消耗预期!AJ30/消耗预期!F30</f>
        <v>0.60494212803801062</v>
      </c>
      <c r="I29">
        <f>消耗预期!AK30/消耗预期!G30</f>
        <v>0.75167759304694548</v>
      </c>
    </row>
    <row r="30" spans="4:9" x14ac:dyDescent="0.15">
      <c r="D30">
        <v>28</v>
      </c>
      <c r="E30">
        <f>消耗预期!AG31/消耗预期!C31</f>
        <v>0.37059017043447545</v>
      </c>
      <c r="F30">
        <f>消耗预期!AH31/消耗预期!D31</f>
        <v>0.44884452560073074</v>
      </c>
      <c r="G30">
        <f>消耗预期!AI31/消耗预期!E31</f>
        <v>0.5764782561674896</v>
      </c>
      <c r="H30">
        <f>消耗预期!AJ31/消耗预期!F31</f>
        <v>0.68794273553150753</v>
      </c>
      <c r="I30">
        <f>消耗预期!AK31/消耗预期!G31</f>
        <v>0.79063027553650433</v>
      </c>
    </row>
    <row r="31" spans="4:9" x14ac:dyDescent="0.15">
      <c r="D31">
        <v>29</v>
      </c>
      <c r="E31">
        <f>消耗预期!AG32/消耗预期!C32</f>
        <v>0.44400709720234727</v>
      </c>
      <c r="F31">
        <f>消耗预期!AH32/消耗预期!D32</f>
        <v>0.5586630333602195</v>
      </c>
      <c r="G31">
        <f>消耗预期!AI32/消耗预期!E32</f>
        <v>0.67140183961023525</v>
      </c>
      <c r="H31">
        <f>消耗预期!AJ32/消耗预期!F32</f>
        <v>0.76401240077949861</v>
      </c>
      <c r="I31">
        <f>消耗预期!AK32/消耗预期!G32</f>
        <v>0.62918152955841211</v>
      </c>
    </row>
    <row r="32" spans="4:9" x14ac:dyDescent="0.15">
      <c r="D32">
        <v>30</v>
      </c>
      <c r="E32">
        <f>消耗预期!AG33/消耗预期!C33</f>
        <v>0.50188262896397773</v>
      </c>
      <c r="F32">
        <f>消耗预期!AH33/消耗预期!D33</f>
        <v>0.5698627166280501</v>
      </c>
      <c r="G32">
        <f>消耗预期!AI33/消耗预期!E33</f>
        <v>0.72362350456600855</v>
      </c>
      <c r="H32">
        <f>消耗预期!AJ33/消耗预期!F33</f>
        <v>0.63138921019530614</v>
      </c>
      <c r="I32">
        <f>消耗预期!AK33/消耗预期!G33</f>
        <v>0.62792131378160321</v>
      </c>
    </row>
    <row r="33" spans="4:9" x14ac:dyDescent="0.15">
      <c r="D33">
        <v>31</v>
      </c>
      <c r="E33">
        <f>消耗预期!AG34/消耗预期!C34</f>
        <v>0.62172390780185804</v>
      </c>
      <c r="F33">
        <f>消耗预期!AH34/消耗预期!D34</f>
        <v>0.69940399721116309</v>
      </c>
      <c r="G33">
        <f>消耗预期!AI34/消耗预期!E34</f>
        <v>0.71714924370573196</v>
      </c>
      <c r="H33">
        <f>消耗预期!AJ34/消耗预期!F34</f>
        <v>0.65212203307719185</v>
      </c>
      <c r="I33">
        <f>消耗预期!AK34/消耗预期!G34</f>
        <v>0.56381998322177862</v>
      </c>
    </row>
    <row r="34" spans="4:9" x14ac:dyDescent="0.15">
      <c r="D34">
        <v>32</v>
      </c>
      <c r="E34">
        <f>消耗预期!AG35/消耗预期!C35</f>
        <v>0.64640425775608401</v>
      </c>
      <c r="F34">
        <f>消耗预期!AH35/消耗预期!D35</f>
        <v>0.66113438124356183</v>
      </c>
      <c r="G34">
        <f>消耗预期!AI35/消耗预期!E35</f>
        <v>0.61831207508526131</v>
      </c>
      <c r="H34">
        <f>消耗预期!AJ35/消耗预期!F35</f>
        <v>0.56669300875864348</v>
      </c>
      <c r="I34">
        <f>消耗预期!AK35/消耗预期!G35</f>
        <v>0.55021930652034268</v>
      </c>
    </row>
    <row r="35" spans="4:9" x14ac:dyDescent="0.15">
      <c r="D35">
        <v>33</v>
      </c>
      <c r="E35">
        <f>消耗预期!AG36/消耗预期!C36</f>
        <v>0.62695511822336714</v>
      </c>
      <c r="F35">
        <f>消耗预期!AH36/消耗预期!D36</f>
        <v>0.53098422508675336</v>
      </c>
      <c r="G35">
        <f>消耗预期!AI36/消耗预期!E36</f>
        <v>0.57301226113147463</v>
      </c>
      <c r="H35">
        <f>消耗预期!AJ36/消耗预期!F36</f>
        <v>0.50438270999753987</v>
      </c>
      <c r="I35">
        <f>消耗预期!AK36/消耗预期!G36</f>
        <v>0.50662219518659246</v>
      </c>
    </row>
    <row r="36" spans="4:9" x14ac:dyDescent="0.15">
      <c r="D36">
        <v>34</v>
      </c>
      <c r="E36">
        <f>消耗预期!AG37/消耗预期!C37</f>
        <v>0.48497991144182823</v>
      </c>
      <c r="F36">
        <f>消耗预期!AH37/消耗预期!D37</f>
        <v>0.51739332086032852</v>
      </c>
      <c r="G36">
        <f>消耗预期!AI37/消耗预期!E37</f>
        <v>0.47517407130694395</v>
      </c>
      <c r="H36">
        <f>消耗预期!AJ37/消耗预期!F37</f>
        <v>0.4769119795428432</v>
      </c>
      <c r="I36">
        <f>消耗预期!AK37/消耗预期!G37</f>
        <v>0.47166971620333142</v>
      </c>
    </row>
    <row r="37" spans="4:9" x14ac:dyDescent="0.15">
      <c r="D37">
        <v>35</v>
      </c>
      <c r="E37">
        <f>消耗预期!AG38/消耗预期!C38</f>
        <v>0.48832788958598511</v>
      </c>
      <c r="F37">
        <f>消耗预期!AH38/消耗预期!D38</f>
        <v>0.42800594755914734</v>
      </c>
      <c r="G37">
        <f>消耗预期!AI38/消耗预期!E38</f>
        <v>0.4855317873857381</v>
      </c>
      <c r="H37">
        <f>消耗预期!AJ38/消耗预期!F38</f>
        <v>0.43381004405547752</v>
      </c>
      <c r="I37">
        <f>消耗预期!AK38/消耗预期!G38</f>
        <v>0.46206083233267936</v>
      </c>
    </row>
    <row r="38" spans="4:9" x14ac:dyDescent="0.15">
      <c r="D38">
        <v>36</v>
      </c>
      <c r="E38">
        <f>消耗预期!AG39/消耗预期!C39</f>
        <v>0.41701761580724683</v>
      </c>
      <c r="F38">
        <f>消耗预期!AH39/消耗预期!D39</f>
        <v>0.42116154250258753</v>
      </c>
      <c r="G38">
        <f>消耗预期!AI39/消耗预期!E39</f>
        <v>0.42928418772840771</v>
      </c>
      <c r="H38">
        <f>消耗预期!AJ39/消耗预期!F39</f>
        <v>0.42254111456991578</v>
      </c>
      <c r="I38">
        <f>消耗预期!AK39/消耗预期!G39</f>
        <v>0.42779836459033799</v>
      </c>
    </row>
    <row r="39" spans="4:9" x14ac:dyDescent="0.15">
      <c r="D39">
        <v>37</v>
      </c>
      <c r="E39">
        <f>消耗预期!AG40/消耗预期!C40</f>
        <v>0.39141334948535866</v>
      </c>
      <c r="F39">
        <f>消耗预期!AH40/消耗预期!D40</f>
        <v>0.38506047307927105</v>
      </c>
      <c r="G39">
        <f>消耗预期!AI40/消耗预期!E40</f>
        <v>0.42576722658272448</v>
      </c>
      <c r="H39">
        <f>消耗预期!AJ40/消耗预期!F40</f>
        <v>0.39560191016423157</v>
      </c>
      <c r="I39">
        <f>消耗预期!AK40/消耗预期!G40</f>
        <v>0.41699478285489266</v>
      </c>
    </row>
    <row r="40" spans="4:9" x14ac:dyDescent="0.15">
      <c r="D40">
        <v>38</v>
      </c>
      <c r="E40">
        <f>消耗预期!AG41/消耗预期!C41</f>
        <v>0.34444820703533252</v>
      </c>
      <c r="F40">
        <f>消耗预期!AH41/消耗预期!D41</f>
        <v>0.34889321177635879</v>
      </c>
      <c r="G40">
        <f>消耗预期!AI41/消耗预期!E41</f>
        <v>0.38501708261555129</v>
      </c>
      <c r="H40">
        <f>消耗预期!AJ41/消耗预期!F41</f>
        <v>0.37041116574233152</v>
      </c>
      <c r="I40">
        <f>消耗预期!AK41/消耗预期!G41</f>
        <v>0.32689202423743169</v>
      </c>
    </row>
    <row r="41" spans="4:9" x14ac:dyDescent="0.15">
      <c r="D41">
        <v>39</v>
      </c>
      <c r="E41">
        <f>消耗预期!AG42/消耗预期!C42</f>
        <v>0.31000554489316623</v>
      </c>
      <c r="F41">
        <f>消耗预期!AH42/消耗预期!D42</f>
        <v>0.32018480801544225</v>
      </c>
      <c r="G41">
        <f>消耗预期!AI42/消耗预期!E42</f>
        <v>0.34974531746966997</v>
      </c>
      <c r="H41">
        <f>消耗预期!AJ42/消耗预期!F42</f>
        <v>0.31016756110646898</v>
      </c>
      <c r="I41">
        <f>消耗预期!AK42/消耗预期!G42</f>
        <v>0.33085853398907239</v>
      </c>
    </row>
    <row r="42" spans="4:9" x14ac:dyDescent="0.15">
      <c r="D42">
        <v>40</v>
      </c>
      <c r="E42">
        <f>消耗预期!AG43/消耗预期!C43</f>
        <v>0.3038840186130532</v>
      </c>
      <c r="F42">
        <f>消耗预期!AH43/消耗预期!D43</f>
        <v>0.33162720290747849</v>
      </c>
      <c r="G42">
        <f>消耗预期!AI43/消耗预期!E43</f>
        <v>0.36070967506717433</v>
      </c>
      <c r="H42">
        <f>消耗预期!AJ43/消耗预期!F43</f>
        <v>0.34097274987113863</v>
      </c>
      <c r="I42">
        <f>消耗预期!AK43/消耗预期!G43</f>
        <v>0.37065789377620872</v>
      </c>
    </row>
    <row r="43" spans="4:9" x14ac:dyDescent="0.15">
      <c r="D43">
        <v>41</v>
      </c>
      <c r="E43">
        <f>消耗预期!AG44/消耗预期!C44</f>
        <v>0.35093389825500038</v>
      </c>
      <c r="F43">
        <f>消耗预期!AH44/消耗预期!D44</f>
        <v>0.37949428243106215</v>
      </c>
      <c r="G43">
        <f>消耗预期!AI44/消耗预期!E44</f>
        <v>0.39234399806235021</v>
      </c>
      <c r="H43">
        <f>消耗预期!AJ44/消耗预期!F44</f>
        <v>0.36839573831812489</v>
      </c>
      <c r="I43">
        <f>消耗预期!AK44/消耗预期!G44</f>
        <v>0.37256580451324034</v>
      </c>
    </row>
    <row r="44" spans="4:9" x14ac:dyDescent="0.15">
      <c r="D44">
        <v>42</v>
      </c>
      <c r="E44">
        <f>消耗预期!AG45/消耗预期!C45</f>
        <v>0.33916144850984203</v>
      </c>
      <c r="F44">
        <f>消耗预期!AH45/消耗预期!D45</f>
        <v>0.31834306245662441</v>
      </c>
      <c r="G44">
        <f>消耗预期!AI45/消耗预期!E45</f>
        <v>0.37871081190155792</v>
      </c>
      <c r="H44">
        <f>消耗预期!AJ45/消耗预期!F45</f>
        <v>0.35894311946218393</v>
      </c>
      <c r="I44">
        <f>消耗预期!AK45/消耗预期!G45</f>
        <v>0.3776312385119574</v>
      </c>
    </row>
    <row r="45" spans="4:9" x14ac:dyDescent="0.15">
      <c r="D45">
        <v>43</v>
      </c>
      <c r="E45">
        <f>消耗预期!AG46/消耗预期!C46</f>
        <v>0.2824102571200825</v>
      </c>
      <c r="F45">
        <f>消耗预期!AH46/消耗预期!D46</f>
        <v>0.31980040541226207</v>
      </c>
      <c r="G45">
        <f>消耗预期!AI46/消耗预期!E46</f>
        <v>0.38493400309298303</v>
      </c>
      <c r="H45">
        <f>消耗预期!AJ46/消耗预期!F46</f>
        <v>0.37873315760365389</v>
      </c>
      <c r="I45">
        <f>消耗预期!AK46/消耗预期!G46</f>
        <v>0.47071027627397682</v>
      </c>
    </row>
    <row r="46" spans="4:9" x14ac:dyDescent="0.15">
      <c r="D46">
        <v>44</v>
      </c>
      <c r="E46">
        <f>消耗预期!AG47/消耗预期!C47</f>
        <v>0.27642346082253799</v>
      </c>
      <c r="F46">
        <f>消耗预期!AH47/消耗预期!D47</f>
        <v>0.37095405954408328</v>
      </c>
      <c r="G46">
        <f>消耗预期!AI47/消耗预期!E47</f>
        <v>0.39301496713032763</v>
      </c>
      <c r="H46">
        <f>消耗预期!AJ47/消耗预期!F47</f>
        <v>0.41152423095999008</v>
      </c>
      <c r="I46">
        <f>消耗预期!AK47/消耗预期!G47</f>
        <v>0.72052184877172543</v>
      </c>
    </row>
    <row r="47" spans="4:9" x14ac:dyDescent="0.15">
      <c r="D47">
        <v>45</v>
      </c>
      <c r="E47">
        <f>消耗预期!AG48/消耗预期!C48</f>
        <v>0.28492479231944273</v>
      </c>
      <c r="F47">
        <f>消耗预期!AH48/消耗预期!D48</f>
        <v>0.40573797609727125</v>
      </c>
      <c r="G47">
        <f>消耗预期!AI48/消耗预期!E48</f>
        <v>0.38140343500134638</v>
      </c>
      <c r="H47">
        <f>消耗预期!AJ48/消耗预期!F48</f>
        <v>0.49134481571012167</v>
      </c>
      <c r="I47">
        <f>消耗预期!AK48/消耗预期!G48</f>
        <v>0.67660086075938497</v>
      </c>
    </row>
    <row r="48" spans="4:9" x14ac:dyDescent="0.15">
      <c r="D48">
        <v>46</v>
      </c>
      <c r="E48">
        <f>消耗预期!AG49/消耗预期!C49</f>
        <v>0.27811733006603817</v>
      </c>
      <c r="F48">
        <f>消耗预期!AH49/消耗预期!D49</f>
        <v>0.38168050951124727</v>
      </c>
      <c r="G48">
        <f>消耗预期!AI49/消耗预期!E49</f>
        <v>0.37152948437820471</v>
      </c>
      <c r="H48">
        <f>消耗预期!AJ49/消耗预期!F49</f>
        <v>0.60148231301957811</v>
      </c>
      <c r="I48">
        <f>消耗预期!AK49/消耗预期!G49</f>
        <v>0.65543521681877603</v>
      </c>
    </row>
    <row r="49" spans="4:9" x14ac:dyDescent="0.15">
      <c r="D49">
        <v>47</v>
      </c>
      <c r="E49">
        <f>消耗预期!AG50/消耗预期!C50</f>
        <v>0.26613521838507248</v>
      </c>
      <c r="F49">
        <f>消耗预期!AH50/消耗预期!D50</f>
        <v>0.3657356667291029</v>
      </c>
      <c r="G49">
        <f>消耗预期!AI50/消耗预期!E50</f>
        <v>0.53997539120374571</v>
      </c>
      <c r="H49">
        <f>消耗预期!AJ50/消耗预期!F50</f>
        <v>0.5859920804072567</v>
      </c>
      <c r="I49">
        <f>消耗预期!AK50/消耗预期!G50</f>
        <v>0.63662834070048913</v>
      </c>
    </row>
    <row r="50" spans="4:9" x14ac:dyDescent="0.15">
      <c r="D50">
        <v>48</v>
      </c>
      <c r="E50">
        <f>消耗预期!AG51/消耗预期!C51</f>
        <v>0.25575123713375347</v>
      </c>
      <c r="F50">
        <f>消耗预期!AH51/消耗预期!D51</f>
        <v>0.42568602785129328</v>
      </c>
      <c r="G50">
        <f>消耗预期!AI51/消耗预期!E51</f>
        <v>0.52583906691721061</v>
      </c>
      <c r="H50">
        <f>消耗预期!AJ51/消耗预期!F51</f>
        <v>0.56458416643154696</v>
      </c>
      <c r="I50">
        <f>消耗预期!AK51/消耗预期!G51</f>
        <v>0.58899851880386611</v>
      </c>
    </row>
    <row r="51" spans="4:9" x14ac:dyDescent="0.15">
      <c r="D51">
        <v>49</v>
      </c>
      <c r="E51">
        <f>消耗预期!AG52/消耗预期!C52</f>
        <v>0.24988499401441946</v>
      </c>
      <c r="F51">
        <f>消耗预期!AH52/消耗预期!D52</f>
        <v>0.44749808133913327</v>
      </c>
      <c r="G51">
        <f>消耗预期!AI52/消耗预期!E52</f>
        <v>0.44363823547144882</v>
      </c>
      <c r="H51">
        <f>消耗预期!AJ52/消耗预期!F52</f>
        <v>0.47763911901736161</v>
      </c>
      <c r="I51">
        <f>消耗预期!AK52/消耗预期!G52</f>
        <v>0.39561693468063042</v>
      </c>
    </row>
    <row r="52" spans="4:9" x14ac:dyDescent="0.15">
      <c r="D52">
        <v>50</v>
      </c>
      <c r="E52">
        <f>消耗预期!AG53/消耗预期!C53</f>
        <v>0.26891847628265464</v>
      </c>
      <c r="F52">
        <f>消耗预期!AH53/消耗预期!D53</f>
        <v>0.32010238084857484</v>
      </c>
      <c r="G52">
        <f>消耗预期!AI53/消耗预期!E53</f>
        <v>0.32408054577726259</v>
      </c>
      <c r="H52">
        <f>消耗预期!AJ53/消耗预期!F53</f>
        <v>0.31433322600866553</v>
      </c>
      <c r="I52">
        <f>消耗预期!AK53/消耗预期!G53</f>
        <v>0.28731452114900091</v>
      </c>
    </row>
    <row r="53" spans="4:9" x14ac:dyDescent="0.15">
      <c r="D53">
        <v>51</v>
      </c>
      <c r="E53">
        <f>消耗预期!AG54/消耗预期!C54</f>
        <v>0.35137719466257006</v>
      </c>
      <c r="F53">
        <f>消耗预期!AH54/消耗预期!D54</f>
        <v>0.27739433740495567</v>
      </c>
      <c r="G53">
        <f>消耗预期!AI54/消耗预期!E54</f>
        <v>0.29994133702596754</v>
      </c>
      <c r="H53">
        <f>消耗预期!AJ54/消耗预期!F54</f>
        <v>0.24682931012762702</v>
      </c>
      <c r="I53">
        <f>消耗预期!AK54/消耗预期!G54</f>
        <v>0.28202547440324605</v>
      </c>
    </row>
    <row r="54" spans="4:9" x14ac:dyDescent="0.15">
      <c r="D54">
        <v>52</v>
      </c>
      <c r="E54">
        <f>消耗预期!AG55/消耗预期!C55</f>
        <v>0.32590953700794706</v>
      </c>
      <c r="F54">
        <f>消耗预期!AH55/消耗预期!D55</f>
        <v>0.3016431289079966</v>
      </c>
      <c r="G54">
        <f>消耗预期!AI55/消耗预期!E55</f>
        <v>0.25222459854345963</v>
      </c>
      <c r="H54">
        <f>消耗预期!AJ55/消耗预期!F55</f>
        <v>0.27909810392817452</v>
      </c>
      <c r="I54">
        <f>消耗预期!AK55/消耗预期!G55</f>
        <v>0.32814402002284987</v>
      </c>
    </row>
    <row r="55" spans="4:9" x14ac:dyDescent="0.15">
      <c r="D55">
        <v>53</v>
      </c>
      <c r="E55">
        <f>消耗预期!AG56/消耗预期!C56</f>
        <v>0.31635680075276801</v>
      </c>
      <c r="F55">
        <f>消耗预期!AH56/消耗预期!D56</f>
        <v>0.2257629135871583</v>
      </c>
      <c r="G55">
        <f>消耗预期!AI56/消耗预期!E56</f>
        <v>0.2569009392704098</v>
      </c>
      <c r="H55">
        <f>消耗预期!AJ56/消耗预期!F56</f>
        <v>0.30615031167424878</v>
      </c>
      <c r="I55">
        <f>消耗预期!AK56/消耗预期!G56</f>
        <v>0.33039897296759774</v>
      </c>
    </row>
    <row r="56" spans="4:9" x14ac:dyDescent="0.15">
      <c r="D56">
        <v>54</v>
      </c>
      <c r="E56">
        <f>消耗预期!AG57/消耗预期!C57</f>
        <v>0.2780730683422748</v>
      </c>
      <c r="F56">
        <f>消耗预期!AH57/消耗预期!D57</f>
        <v>0.2257597857600924</v>
      </c>
      <c r="G56">
        <f>消耗预期!AI57/消耗预期!E57</f>
        <v>0.30409715610961957</v>
      </c>
      <c r="H56">
        <f>消耗预期!AJ57/消耗预期!F57</f>
        <v>0.33024853909493435</v>
      </c>
      <c r="I56">
        <f>消耗预期!AK57/消耗预期!G57</f>
        <v>0.36138443078389804</v>
      </c>
    </row>
    <row r="57" spans="4:9" x14ac:dyDescent="0.15">
      <c r="D57">
        <v>55</v>
      </c>
      <c r="E57">
        <f>消耗预期!AG58/消耗预期!C58</f>
        <v>0.25895589932544821</v>
      </c>
      <c r="F57">
        <f>消耗预期!AH58/消耗预期!D58</f>
        <v>0.28053523719688506</v>
      </c>
      <c r="G57">
        <f>消耗预期!AI58/消耗预期!E58</f>
        <v>0.31378943361780703</v>
      </c>
      <c r="H57">
        <f>消耗预期!AJ58/消耗预期!F58</f>
        <v>0.34432107858593891</v>
      </c>
      <c r="I57">
        <f>消耗预期!AK58/消耗预期!G58</f>
        <v>0.37155468396133645</v>
      </c>
    </row>
    <row r="58" spans="4:9" x14ac:dyDescent="0.15">
      <c r="D58">
        <v>56</v>
      </c>
      <c r="E58">
        <f>消耗预期!AG59/消耗预期!C59</f>
        <v>0.26329717308972567</v>
      </c>
      <c r="F58">
        <f>消耗预期!AH59/消耗预期!D59</f>
        <v>0.26920358485973001</v>
      </c>
      <c r="G58">
        <f>消耗预期!AI59/消耗预期!E59</f>
        <v>0.30717182160923778</v>
      </c>
      <c r="H58">
        <f>消耗预期!AJ59/消耗预期!F59</f>
        <v>0.32313415686494806</v>
      </c>
      <c r="I58">
        <f>消耗预期!AK59/消耗预期!G59</f>
        <v>0.33308668119267226</v>
      </c>
    </row>
    <row r="59" spans="4:9" x14ac:dyDescent="0.15">
      <c r="D59">
        <v>57</v>
      </c>
      <c r="E59">
        <f>消耗预期!AG60/消耗预期!C60</f>
        <v>0.27070292120132927</v>
      </c>
      <c r="F59">
        <f>消耗预期!AH60/消耗预期!D60</f>
        <v>0.25832094160606478</v>
      </c>
      <c r="G59">
        <f>消耗预期!AI60/消耗预期!E60</f>
        <v>0.28959017886948862</v>
      </c>
      <c r="H59">
        <f>消耗预期!AJ60/消耗预期!F60</f>
        <v>0.30783584432094868</v>
      </c>
      <c r="I59">
        <f>消耗预期!AK60/消耗预期!G60</f>
        <v>0.31312387921001633</v>
      </c>
    </row>
    <row r="60" spans="4:9" x14ac:dyDescent="0.15">
      <c r="D60">
        <v>58</v>
      </c>
      <c r="E60">
        <f>消耗预期!AG61/消耗预期!C61</f>
        <v>0.25786664613293436</v>
      </c>
      <c r="F60">
        <f>消耗预期!AH61/消耗预期!D61</f>
        <v>0.24533291057081988</v>
      </c>
      <c r="G60">
        <f>消耗预期!AI61/消耗预期!E61</f>
        <v>0.27431099332676984</v>
      </c>
      <c r="H60">
        <f>消耗预期!AJ61/消耗预期!F61</f>
        <v>0.28070048806162995</v>
      </c>
      <c r="I60">
        <f>消耗预期!AK61/消耗预期!G61</f>
        <v>0.30823659759992617</v>
      </c>
    </row>
    <row r="61" spans="4:9" x14ac:dyDescent="0.15">
      <c r="D61">
        <v>59</v>
      </c>
      <c r="E61">
        <f>消耗预期!AG62/消耗预期!C62</f>
        <v>0.21984699470525784</v>
      </c>
      <c r="F61">
        <f>消耗预期!AH62/消耗预期!D62</f>
        <v>0.20926892956103765</v>
      </c>
      <c r="G61">
        <f>消耗预期!AI62/消耗预期!E62</f>
        <v>0.23822970804203844</v>
      </c>
      <c r="H61">
        <f>消耗预期!AJ62/消耗预期!F62</f>
        <v>0.27079182132306312</v>
      </c>
      <c r="I61">
        <f>消耗预期!AK62/消耗预期!G62</f>
        <v>0.30982758917736752</v>
      </c>
    </row>
    <row r="62" spans="4:9" x14ac:dyDescent="0.15">
      <c r="D62">
        <v>60</v>
      </c>
      <c r="E62">
        <f>消耗预期!AG63/消耗预期!C63</f>
        <v>0.25805848642603962</v>
      </c>
      <c r="F62">
        <f>消耗预期!AH63/消耗预期!D63</f>
        <v>0.24061556013844568</v>
      </c>
      <c r="G62">
        <f>消耗预期!AI63/消耗预期!E63</f>
        <v>0.27007489030344317</v>
      </c>
      <c r="H62">
        <f>消耗预期!AJ63/消耗预期!F63</f>
        <v>0.30704374542570895</v>
      </c>
      <c r="I62">
        <f>消耗预期!AK63/消耗预期!G63</f>
        <v>0.31153116129011149</v>
      </c>
    </row>
    <row r="63" spans="4:9" x14ac:dyDescent="0.15">
      <c r="D63">
        <v>61</v>
      </c>
      <c r="E63">
        <f>消耗预期!AG64/消耗预期!C64</f>
        <v>0.31055445253416286</v>
      </c>
      <c r="F63">
        <f>消耗预期!AH64/消耗预期!D64</f>
        <v>0.30326375830266644</v>
      </c>
      <c r="G63">
        <f>消耗预期!AI64/消耗预期!E64</f>
        <v>0.3304076668301652</v>
      </c>
      <c r="H63">
        <f>消耗预期!AJ64/消耗预期!F64</f>
        <v>0.33455873949320775</v>
      </c>
      <c r="I63">
        <f>消耗预期!AK64/消耗预期!G64</f>
        <v>0.39674364895633973</v>
      </c>
    </row>
    <row r="64" spans="4:9" x14ac:dyDescent="0.15">
      <c r="D64">
        <v>62</v>
      </c>
      <c r="E64">
        <f>消耗预期!AG65/消耗预期!C65</f>
        <v>0.30270787484687578</v>
      </c>
      <c r="F64">
        <f>消耗预期!AH65/消耗预期!D65</f>
        <v>0.30059759075791059</v>
      </c>
      <c r="G64">
        <f>消耗预期!AI65/消耗预期!E65</f>
        <v>0.32253549847484825</v>
      </c>
      <c r="H64">
        <f>消耗预期!AJ65/消耗预期!F65</f>
        <v>0.3345344350021584</v>
      </c>
      <c r="I64">
        <f>消耗预期!AK65/消耗预期!G65</f>
        <v>0.43335099605619176</v>
      </c>
    </row>
    <row r="65" spans="4:9" x14ac:dyDescent="0.15">
      <c r="D65">
        <v>63</v>
      </c>
      <c r="E65">
        <f>消耗预期!AG66/消耗预期!C66</f>
        <v>0.29157820918705246</v>
      </c>
      <c r="F65">
        <f>消耗预期!AH66/消耗预期!D66</f>
        <v>0.29286744530454045</v>
      </c>
      <c r="G65">
        <f>消耗预期!AI66/消耗预期!E66</f>
        <v>0.30224554024185529</v>
      </c>
      <c r="H65">
        <f>消耗预期!AJ66/消耗预期!F66</f>
        <v>0.37626426441684097</v>
      </c>
      <c r="I65">
        <f>消耗预期!AK66/消耗预期!G66</f>
        <v>0.41809686472645674</v>
      </c>
    </row>
    <row r="66" spans="4:9" x14ac:dyDescent="0.15">
      <c r="D66">
        <v>64</v>
      </c>
      <c r="E66">
        <f>消耗预期!AG67/消耗预期!C67</f>
        <v>0.2832229995403785</v>
      </c>
      <c r="F66">
        <f>消耗预期!AH67/消耗预期!D67</f>
        <v>0.2698354007101621</v>
      </c>
      <c r="G66">
        <f>消耗预期!AI67/消耗预期!E67</f>
        <v>0.30709332217602148</v>
      </c>
      <c r="H66">
        <f>消耗预期!AJ67/消耗预期!F67</f>
        <v>0.37917375253027275</v>
      </c>
      <c r="I66">
        <f>消耗预期!AK67/消耗预期!G67</f>
        <v>0.40946662233273262</v>
      </c>
    </row>
    <row r="67" spans="4:9" x14ac:dyDescent="0.15">
      <c r="D67">
        <v>65</v>
      </c>
      <c r="E67">
        <f>消耗预期!AG68/消耗预期!C68</f>
        <v>0.26569631205379718</v>
      </c>
      <c r="F67">
        <f>消耗预期!AH68/消耗预期!D68</f>
        <v>0.26990753600566297</v>
      </c>
      <c r="G67">
        <f>消耗预期!AI68/消耗预期!E68</f>
        <v>0.33744468986832699</v>
      </c>
      <c r="H67">
        <f>消耗预期!AJ68/消耗预期!F68</f>
        <v>0.36927542492568849</v>
      </c>
      <c r="I67">
        <f>消耗预期!AK68/消耗预期!G68</f>
        <v>0.31369791487119919</v>
      </c>
    </row>
    <row r="68" spans="4:9" x14ac:dyDescent="0.15">
      <c r="D68">
        <v>66</v>
      </c>
      <c r="E68">
        <f>消耗预期!AG69/消耗预期!C69</f>
        <v>0.27464428174674976</v>
      </c>
      <c r="F68">
        <f>消耗预期!AH69/消耗预期!D69</f>
        <v>0.3230788171846426</v>
      </c>
      <c r="G68">
        <f>消耗预期!AI69/消耗预期!E69</f>
        <v>0.3632100323905329</v>
      </c>
      <c r="H68">
        <f>消耗预期!AJ69/消耗预期!F69</f>
        <v>0.38407558919871487</v>
      </c>
      <c r="I68">
        <f>消耗预期!AK69/消耗预期!G69</f>
        <v>0.33430648998227103</v>
      </c>
    </row>
    <row r="69" spans="4:9" x14ac:dyDescent="0.15">
      <c r="D69">
        <v>67</v>
      </c>
      <c r="E69">
        <f>消耗预期!AG70/消耗预期!C70</f>
        <v>0.26006717942267421</v>
      </c>
      <c r="F69">
        <f>消耗预期!AH70/消耗预期!D70</f>
        <v>0.28077321287304224</v>
      </c>
      <c r="G69">
        <f>消耗预期!AI70/消耗预期!E70</f>
        <v>0.30625205841206715</v>
      </c>
      <c r="H69">
        <f>消耗预期!AJ70/消耗预期!F70</f>
        <v>0.27806898644905392</v>
      </c>
      <c r="I69">
        <f>消耗预期!AK70/消耗预期!G70</f>
        <v>0.32310524692281678</v>
      </c>
    </row>
    <row r="70" spans="4:9" x14ac:dyDescent="0.15">
      <c r="D70">
        <v>68</v>
      </c>
      <c r="E70">
        <f>消耗预期!AG71/消耗预期!C71</f>
        <v>0.24543423724799951</v>
      </c>
      <c r="F70">
        <f>消耗预期!AH71/消耗预期!D71</f>
        <v>0.23766930013275661</v>
      </c>
      <c r="G70">
        <f>消耗预期!AI71/消耗预期!E71</f>
        <v>0.22081441552090741</v>
      </c>
      <c r="H70">
        <f>消耗预期!AJ71/消耗预期!F71</f>
        <v>0.26725372622726834</v>
      </c>
      <c r="I70">
        <f>消耗预期!AK71/消耗预期!G71</f>
        <v>0.32219862885202122</v>
      </c>
    </row>
    <row r="71" spans="4:9" x14ac:dyDescent="0.15">
      <c r="D71">
        <v>69</v>
      </c>
      <c r="E71">
        <f>消耗预期!AG72/消耗预期!C72</f>
        <v>0.22708682920694997</v>
      </c>
      <c r="F71">
        <f>消耗预期!AH72/消耗预期!D72</f>
        <v>0.19886617840729029</v>
      </c>
      <c r="G71">
        <f>消耗预期!AI72/消耗预期!E72</f>
        <v>0.23529608312990172</v>
      </c>
      <c r="H71">
        <f>消耗预期!AJ72/消耗预期!F72</f>
        <v>0.29511382538746778</v>
      </c>
      <c r="I71">
        <f>消耗预期!AK72/消耗预期!G72</f>
        <v>0.27749056122537613</v>
      </c>
    </row>
    <row r="72" spans="4:9" x14ac:dyDescent="0.15">
      <c r="D72">
        <v>70</v>
      </c>
      <c r="E72">
        <f>消耗预期!AG73/消耗预期!C73</f>
        <v>0.2137323808480886</v>
      </c>
      <c r="F72">
        <f>消耗预期!AH73/消耗预期!D73</f>
        <v>0.22743642734256309</v>
      </c>
      <c r="G72">
        <f>消耗预期!AI73/消耗预期!E73</f>
        <v>0.27639672706137081</v>
      </c>
      <c r="H72">
        <f>消耗预期!AJ73/消耗预期!F73</f>
        <v>0.26115326016864865</v>
      </c>
      <c r="I72">
        <f>消耗预期!AK73/消耗预期!G73</f>
        <v>0.23956653839972236</v>
      </c>
    </row>
    <row r="73" spans="4:9" x14ac:dyDescent="0.15">
      <c r="D73">
        <v>71</v>
      </c>
      <c r="E73">
        <f>消耗预期!AG74/消耗预期!C74</f>
        <v>0.28953838926646586</v>
      </c>
      <c r="F73">
        <f>消耗预期!AH74/消耗预期!D74</f>
        <v>0.31070935040125602</v>
      </c>
      <c r="G73">
        <f>消耗预期!AI74/消耗预期!E74</f>
        <v>0.32409176974142073</v>
      </c>
      <c r="H73">
        <f>消耗预期!AJ74/消耗预期!F74</f>
        <v>0.25858857758417392</v>
      </c>
      <c r="I73">
        <f>消耗预期!AK74/消耗预期!G74</f>
        <v>0.29529011942220273</v>
      </c>
    </row>
    <row r="74" spans="4:9" x14ac:dyDescent="0.15">
      <c r="D74">
        <v>72</v>
      </c>
      <c r="E74">
        <f>消耗预期!AG75/消耗预期!C75</f>
        <v>0.29199878882850944</v>
      </c>
      <c r="F74">
        <f>消耗预期!AH75/消耗预期!D75</f>
        <v>0.28582303553175281</v>
      </c>
      <c r="G74">
        <f>消耗预期!AI75/消耗预期!E75</f>
        <v>0.24469918882782227</v>
      </c>
      <c r="H74">
        <f>消耗预期!AJ75/消耗预期!F75</f>
        <v>0.26561765282526967</v>
      </c>
      <c r="I74">
        <f>消耗预期!AK75/消耗预期!G75</f>
        <v>0.29207765276960562</v>
      </c>
    </row>
    <row r="75" spans="4:9" x14ac:dyDescent="0.15">
      <c r="D75">
        <v>73</v>
      </c>
      <c r="E75">
        <f>消耗预期!AG76/消耗预期!C76</f>
        <v>0.28593295034571659</v>
      </c>
      <c r="F75">
        <f>消耗预期!AH76/消耗预期!D76</f>
        <v>0.22873624277026888</v>
      </c>
      <c r="G75">
        <f>消耗预期!AI76/消耗预期!E76</f>
        <v>0.25437498963470911</v>
      </c>
      <c r="H75">
        <f>消耗预期!AJ76/消耗预期!F76</f>
        <v>0.28290853960541068</v>
      </c>
      <c r="I75">
        <f>消耗预期!AK76/消耗预期!G76</f>
        <v>0.29520072001200665</v>
      </c>
    </row>
    <row r="76" spans="4:9" x14ac:dyDescent="0.15">
      <c r="D76">
        <v>74</v>
      </c>
      <c r="E76">
        <f>消耗预期!AG77/消耗预期!C77</f>
        <v>0.25198442850661884</v>
      </c>
      <c r="F76">
        <f>消耗预期!AH77/消耗预期!D77</f>
        <v>0.25431309645337635</v>
      </c>
      <c r="G76">
        <f>消耗预期!AI77/消耗预期!E77</f>
        <v>0.28310604669333622</v>
      </c>
      <c r="H76">
        <f>消耗预期!AJ77/消耗预期!F77</f>
        <v>0.29995044299702561</v>
      </c>
      <c r="I76">
        <f>消耗预期!AK77/消耗预期!G77</f>
        <v>0.36836054532788592</v>
      </c>
    </row>
    <row r="77" spans="4:9" x14ac:dyDescent="0.15">
      <c r="D77">
        <v>75</v>
      </c>
      <c r="E77">
        <f>消耗预期!AG78/消耗预期!C78</f>
        <v>0.24400623098028881</v>
      </c>
      <c r="F77">
        <f>消耗预期!AH78/消耗预期!D78</f>
        <v>0.24246983788492676</v>
      </c>
      <c r="G77">
        <f>消耗预期!AI78/消耗预期!E78</f>
        <v>0.26690978069175292</v>
      </c>
      <c r="H77">
        <f>消耗预期!AJ78/消耗预期!F78</f>
        <v>0.28597618156195276</v>
      </c>
      <c r="I77">
        <f>消耗预期!AK78/消耗预期!G78</f>
        <v>0.383298871541773</v>
      </c>
    </row>
    <row r="78" spans="4:9" x14ac:dyDescent="0.15">
      <c r="D78">
        <v>76</v>
      </c>
      <c r="E78">
        <f>消耗预期!AG79/消耗预期!C79</f>
        <v>0.22681990394756046</v>
      </c>
      <c r="F78">
        <f>消耗预期!AH79/消耗预期!D79</f>
        <v>0.23077780614825166</v>
      </c>
      <c r="G78">
        <f>消耗预期!AI79/消耗预期!E79</f>
        <v>0.25691113829293377</v>
      </c>
      <c r="H78">
        <f>消耗预期!AJ79/消耗预期!F79</f>
        <v>0.33404808915940454</v>
      </c>
      <c r="I78">
        <f>消耗预期!AK79/消耗预期!G79</f>
        <v>0.37750529926307297</v>
      </c>
    </row>
    <row r="79" spans="4:9" x14ac:dyDescent="0.15">
      <c r="D79">
        <v>77</v>
      </c>
      <c r="E79">
        <f>消耗预期!AG80/消耗预期!C80</f>
        <v>0.22113171478756788</v>
      </c>
      <c r="F79">
        <f>消耗预期!AH80/消耗预期!D80</f>
        <v>0.22548101124720429</v>
      </c>
      <c r="G79">
        <f>消耗预期!AI80/消耗预期!E80</f>
        <v>0.26787434423200607</v>
      </c>
      <c r="H79">
        <f>消耗预期!AJ80/消耗预期!F80</f>
        <v>0.3231098321291313</v>
      </c>
      <c r="I79">
        <f>消耗预期!AK80/消耗预期!G80</f>
        <v>0.36661970492177726</v>
      </c>
    </row>
    <row r="80" spans="4:9" x14ac:dyDescent="0.15">
      <c r="D80">
        <v>78</v>
      </c>
      <c r="E80">
        <f>消耗预期!AG81/消耗预期!C81</f>
        <v>0.21866192500361484</v>
      </c>
      <c r="F80">
        <f>消耗预期!AH81/消耗预期!D81</f>
        <v>0.23358915449740847</v>
      </c>
      <c r="G80">
        <f>消耗预期!AI81/消耗预期!E81</f>
        <v>0.29238752514215299</v>
      </c>
      <c r="H80">
        <f>消耗预期!AJ81/消耗预期!F81</f>
        <v>0.31632069330128854</v>
      </c>
      <c r="I80">
        <f>消耗预期!AK81/消耗预期!G81</f>
        <v>0.26481260007711266</v>
      </c>
    </row>
    <row r="81" spans="4:9" x14ac:dyDescent="0.15">
      <c r="D81">
        <v>79</v>
      </c>
      <c r="E81">
        <f>消耗预期!AG82/消耗预期!C82</f>
        <v>0.22985047660104344</v>
      </c>
      <c r="F81">
        <f>消耗预期!AH82/消耗预期!D82</f>
        <v>0.28676076334515876</v>
      </c>
      <c r="G81">
        <f>消耗预期!AI82/消耗预期!E82</f>
        <v>0.33231261727494127</v>
      </c>
      <c r="H81">
        <f>消耗预期!AJ82/消耗预期!F82</f>
        <v>0.27298778930190221</v>
      </c>
      <c r="I81">
        <f>消耗预期!AK82/消耗预期!G82</f>
        <v>0.26065129744736448</v>
      </c>
    </row>
    <row r="82" spans="4:9" x14ac:dyDescent="0.15">
      <c r="D82">
        <v>80</v>
      </c>
      <c r="E82">
        <f>消耗预期!AG83/消耗预期!C83</f>
        <v>0.21469444872073545</v>
      </c>
      <c r="F82">
        <f>消耗预期!AH83/消耗预期!D83</f>
        <v>0.23063902895069296</v>
      </c>
      <c r="G82">
        <f>消耗预期!AI83/消耗预期!E83</f>
        <v>0.24720867167260488</v>
      </c>
      <c r="H82">
        <f>消耗预期!AJ83/消耗预期!F83</f>
        <v>0.21020094704071871</v>
      </c>
      <c r="I82">
        <f>消耗预期!AK83/消耗预期!G83</f>
        <v>0.24415169591217759</v>
      </c>
    </row>
    <row r="83" spans="4:9" x14ac:dyDescent="0.15">
      <c r="D83">
        <v>81</v>
      </c>
      <c r="E83">
        <f>消耗预期!AG84/消耗预期!C84</f>
        <v>0.32790333069903144</v>
      </c>
      <c r="F83">
        <f>消耗预期!AH84/消耗预期!D84</f>
        <v>0.27662501495956099</v>
      </c>
      <c r="G83">
        <f>消耗预期!AI84/消耗预期!E84</f>
        <v>0.24364821696374181</v>
      </c>
      <c r="H83">
        <f>消耗预期!AJ84/消耗预期!F84</f>
        <v>0.29252212355623758</v>
      </c>
      <c r="I83">
        <f>消耗预期!AK84/消耗预期!G84</f>
        <v>0.305335588493234</v>
      </c>
    </row>
    <row r="84" spans="4:9" x14ac:dyDescent="0.15">
      <c r="D84">
        <v>82</v>
      </c>
      <c r="E84">
        <f>消耗预期!AG85/消耗预期!C85</f>
        <v>0.33580123529156602</v>
      </c>
      <c r="F84">
        <f>消耗预期!AH85/消耗预期!D85</f>
        <v>0.27854320552659989</v>
      </c>
      <c r="G84">
        <f>消耗预期!AI85/消耗预期!E85</f>
        <v>0.3380311731028926</v>
      </c>
      <c r="H84">
        <f>消耗预期!AJ85/消耗预期!F85</f>
        <v>0.3408753056476278</v>
      </c>
      <c r="I84">
        <f>消耗预期!AK85/消耗预期!G85</f>
        <v>0.27691642814881273</v>
      </c>
    </row>
    <row r="85" spans="4:9" x14ac:dyDescent="0.15">
      <c r="D85">
        <v>83</v>
      </c>
      <c r="E85">
        <f>消耗预期!AG86/消耗预期!C86</f>
        <v>0.30844493259727379</v>
      </c>
      <c r="F85">
        <f>消耗预期!AH86/消耗预期!D86</f>
        <v>0.33054310635395334</v>
      </c>
      <c r="G85">
        <f>消耗预期!AI86/消耗预期!E86</f>
        <v>0.36542373015922219</v>
      </c>
      <c r="H85">
        <f>消耗预期!AJ86/消耗预期!F86</f>
        <v>0.29798739323481466</v>
      </c>
      <c r="I85">
        <f>消耗预期!AK86/消耗预期!G86</f>
        <v>0.30781986309035259</v>
      </c>
    </row>
    <row r="86" spans="4:9" x14ac:dyDescent="0.15">
      <c r="D86">
        <v>84</v>
      </c>
      <c r="E86">
        <f>消耗预期!AG87/消耗预期!C87</f>
        <v>0.28543904208541715</v>
      </c>
      <c r="F86">
        <f>消耗预期!AH87/消耗预期!D87</f>
        <v>0.29738067455924283</v>
      </c>
      <c r="G86">
        <f>消耗预期!AI87/消耗预期!E87</f>
        <v>0.28521779417389409</v>
      </c>
      <c r="H86">
        <f>消耗预期!AJ87/消耗预期!F87</f>
        <v>0.23557174614190202</v>
      </c>
      <c r="I86">
        <f>消耗预期!AK87/消耗预期!G87</f>
        <v>0.2744471747174464</v>
      </c>
    </row>
    <row r="87" spans="4:9" x14ac:dyDescent="0.15">
      <c r="D87">
        <v>85</v>
      </c>
      <c r="E87">
        <f>消耗预期!AG88/消耗预期!C88</f>
        <v>0.17500881874027999</v>
      </c>
      <c r="F87">
        <f>消耗预期!AH88/消耗预期!D88</f>
        <v>0.16211029269983815</v>
      </c>
      <c r="G87">
        <f>消耗预期!AI88/消耗预期!E88</f>
        <v>0.17338674882328869</v>
      </c>
      <c r="H87">
        <f>消耗预期!AJ88/消耗预期!F88</f>
        <v>0.1900289575635398</v>
      </c>
      <c r="I87">
        <f>消耗预期!AK88/消耗预期!G88</f>
        <v>0.21811435446265354</v>
      </c>
    </row>
    <row r="88" spans="4:9" x14ac:dyDescent="0.15">
      <c r="D88">
        <v>86</v>
      </c>
      <c r="E88">
        <f>消耗预期!AG89/消耗预期!C89</f>
        <v>0.15353716326765113</v>
      </c>
      <c r="F88">
        <f>消耗预期!AH89/消耗预期!D89</f>
        <v>0.14109532950346426</v>
      </c>
      <c r="G88">
        <f>消耗预期!AI89/消耗预期!E89</f>
        <v>0.17227993572791153</v>
      </c>
      <c r="H88">
        <f>消耗预期!AJ89/消耗预期!F89</f>
        <v>0.1942837643523572</v>
      </c>
      <c r="I88">
        <f>消耗预期!AK89/消耗预期!G89</f>
        <v>0.24901062006487443</v>
      </c>
    </row>
    <row r="89" spans="4:9" x14ac:dyDescent="0.15">
      <c r="D89">
        <v>87</v>
      </c>
      <c r="E89">
        <f>消耗预期!AG90/消耗预期!C90</f>
        <v>0.14321234504333677</v>
      </c>
      <c r="F89">
        <f>消耗预期!AH90/消耗预期!D90</f>
        <v>0.15506955457393076</v>
      </c>
      <c r="G89">
        <f>消耗预期!AI90/消耗预期!E90</f>
        <v>0.18860866182290784</v>
      </c>
      <c r="H89">
        <f>消耗预期!AJ90/消耗预期!F90</f>
        <v>0.23490772904367918</v>
      </c>
      <c r="I89">
        <f>消耗预期!AK90/消耗预期!G90</f>
        <v>0.26119484244137625</v>
      </c>
    </row>
    <row r="90" spans="4:9" x14ac:dyDescent="0.15">
      <c r="D90">
        <v>88</v>
      </c>
      <c r="E90">
        <f>消耗预期!AG91/消耗预期!C91</f>
        <v>0.14189927316535392</v>
      </c>
      <c r="F90">
        <f>消耗预期!AH91/消耗预期!D91</f>
        <v>0.15758802658614252</v>
      </c>
      <c r="G90">
        <f>消耗预期!AI91/消耗预期!E91</f>
        <v>0.19121485799369994</v>
      </c>
      <c r="H90">
        <f>消耗预期!AJ91/消耗预期!F91</f>
        <v>0.22937589021180405</v>
      </c>
      <c r="I90">
        <f>消耗预期!AK91/消耗预期!G91</f>
        <v>0.24931461195598725</v>
      </c>
    </row>
    <row r="91" spans="4:9" x14ac:dyDescent="0.15">
      <c r="D91">
        <v>89</v>
      </c>
      <c r="E91">
        <f>消耗预期!AG92/消耗预期!C92</f>
        <v>0.14407910660179957</v>
      </c>
      <c r="F91">
        <f>消耗预期!AH92/消耗预期!D92</f>
        <v>0.15353820720415295</v>
      </c>
      <c r="G91">
        <f>消耗预期!AI92/消耗预期!E92</f>
        <v>0.20069719962960642</v>
      </c>
      <c r="H91">
        <f>消耗预期!AJ92/消耗预期!F92</f>
        <v>0.21567450630490706</v>
      </c>
      <c r="I91">
        <f>消耗预期!AK92/消耗预期!G92</f>
        <v>3.1729336887146844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节奏总纲</vt:lpstr>
      <vt:lpstr>信息索引</vt:lpstr>
      <vt:lpstr>消耗预期</vt:lpstr>
      <vt:lpstr>产出预期</vt:lpstr>
      <vt:lpstr>付费空间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2020-10-27T08:48:04Z</dcterms:modified>
</cp:coreProperties>
</file>