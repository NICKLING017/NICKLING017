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FD3102D-B4AB-42E4-8F02-6581484C1AD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羁绊简述" sheetId="1" r:id="rId1"/>
    <sheet name="羁绊设计" sheetId="8" r:id="rId2"/>
    <sheet name="羁绊解锁统计" sheetId="4" r:id="rId3"/>
    <sheet name="分列处理" sheetId="6" r:id="rId4"/>
    <sheet name="Sheet1" sheetId="7" r:id="rId5"/>
  </sheets>
  <functionGroups builtInGroupCount="19"/>
  <externalReferences>
    <externalReference r:id="rId6"/>
  </externalReferences>
  <definedNames>
    <definedName name="_xlnm._FilterDatabase" localSheetId="4" hidden="1">Sheet1!$I$1:$M$124</definedName>
    <definedName name="_xlnm._FilterDatabase" localSheetId="3" hidden="1">分列处理!$C$1:$G$111</definedName>
  </definedNames>
  <calcPr calcId="191029"/>
</workbook>
</file>

<file path=xl/calcChain.xml><?xml version="1.0" encoding="utf-8"?>
<calcChain xmlns="http://schemas.openxmlformats.org/spreadsheetml/2006/main">
  <c r="K80" i="4" l="1"/>
  <c r="B105" i="4"/>
  <c r="I52" i="4"/>
  <c r="R497" i="8" l="1"/>
  <c r="Q497" i="8"/>
  <c r="O497" i="8"/>
  <c r="H497" i="8"/>
  <c r="K497" i="8" s="1"/>
  <c r="R496" i="8"/>
  <c r="Q496" i="8"/>
  <c r="O496" i="8"/>
  <c r="H496" i="8"/>
  <c r="M496" i="8" s="1"/>
  <c r="R495" i="8"/>
  <c r="Q495" i="8"/>
  <c r="O495" i="8"/>
  <c r="H495" i="8"/>
  <c r="K495" i="8" s="1"/>
  <c r="R494" i="8"/>
  <c r="Q494" i="8"/>
  <c r="O494" i="8"/>
  <c r="H494" i="8"/>
  <c r="K494" i="8" s="1"/>
  <c r="R493" i="8"/>
  <c r="Q493" i="8"/>
  <c r="O493" i="8"/>
  <c r="H493" i="8"/>
  <c r="M493" i="8" s="1"/>
  <c r="O490" i="8"/>
  <c r="Q490" i="8"/>
  <c r="R490" i="8"/>
  <c r="O491" i="8"/>
  <c r="Q491" i="8"/>
  <c r="R491" i="8"/>
  <c r="O492" i="8"/>
  <c r="Q492" i="8"/>
  <c r="R492" i="8"/>
  <c r="S492" i="8" s="1"/>
  <c r="E105" i="8"/>
  <c r="F105" i="8"/>
  <c r="H492" i="8"/>
  <c r="K492" i="8" s="1"/>
  <c r="H489" i="8"/>
  <c r="H490" i="8"/>
  <c r="M490" i="8" s="1"/>
  <c r="H491" i="8"/>
  <c r="K491" i="8" s="1"/>
  <c r="O484" i="8"/>
  <c r="R489" i="8"/>
  <c r="Q489" i="8"/>
  <c r="O489" i="8"/>
  <c r="R488" i="8"/>
  <c r="Q488" i="8"/>
  <c r="O488" i="8"/>
  <c r="H488" i="8"/>
  <c r="M488" i="8" s="1"/>
  <c r="R487" i="8"/>
  <c r="Q487" i="8"/>
  <c r="O487" i="8"/>
  <c r="H487" i="8"/>
  <c r="K487" i="8" s="1"/>
  <c r="R486" i="8"/>
  <c r="Q486" i="8"/>
  <c r="O486" i="8"/>
  <c r="H486" i="8"/>
  <c r="R485" i="8"/>
  <c r="Q485" i="8"/>
  <c r="P485" i="8"/>
  <c r="O485" i="8"/>
  <c r="H485" i="8"/>
  <c r="R484" i="8"/>
  <c r="Q484" i="8"/>
  <c r="H484" i="8"/>
  <c r="M484" i="8" s="1"/>
  <c r="E104" i="8"/>
  <c r="P486" i="8" s="1"/>
  <c r="F104" i="8"/>
  <c r="S494" i="8" l="1"/>
  <c r="S495" i="8"/>
  <c r="S490" i="8"/>
  <c r="S491" i="8"/>
  <c r="S496" i="8"/>
  <c r="S493" i="8"/>
  <c r="S497" i="8"/>
  <c r="P493" i="8"/>
  <c r="P490" i="8"/>
  <c r="P496" i="8"/>
  <c r="P492" i="8"/>
  <c r="M497" i="8"/>
  <c r="M494" i="8"/>
  <c r="M491" i="8"/>
  <c r="M492" i="8" s="1"/>
  <c r="P484" i="8"/>
  <c r="S484" i="8"/>
  <c r="S487" i="8"/>
  <c r="P488" i="8"/>
  <c r="S488" i="8"/>
  <c r="S485" i="8"/>
  <c r="S486" i="8"/>
  <c r="S489" i="8"/>
  <c r="M485" i="8"/>
  <c r="M489" i="8"/>
  <c r="K489" i="8"/>
  <c r="M486" i="8"/>
  <c r="K485" i="8"/>
  <c r="M495" i="8" l="1"/>
  <c r="M487" i="8"/>
  <c r="R464" i="8" l="1"/>
  <c r="R465" i="8"/>
  <c r="R466" i="8"/>
  <c r="R467" i="8"/>
  <c r="R468" i="8"/>
  <c r="R469" i="8"/>
  <c r="R470" i="8"/>
  <c r="R471" i="8"/>
  <c r="R472" i="8"/>
  <c r="R473" i="8"/>
  <c r="R474" i="8"/>
  <c r="R475" i="8"/>
  <c r="R476" i="8"/>
  <c r="R477" i="8"/>
  <c r="R478" i="8"/>
  <c r="R479" i="8"/>
  <c r="R480" i="8"/>
  <c r="R481" i="8"/>
  <c r="R482" i="8"/>
  <c r="R483" i="8"/>
  <c r="K479" i="8"/>
  <c r="K472" i="8"/>
  <c r="Q483" i="8"/>
  <c r="O483" i="8"/>
  <c r="H483" i="8"/>
  <c r="K483" i="8" s="1"/>
  <c r="Q482" i="8"/>
  <c r="O482" i="8"/>
  <c r="H482" i="8"/>
  <c r="M482" i="8" s="1"/>
  <c r="Q481" i="8"/>
  <c r="O481" i="8"/>
  <c r="H481" i="8"/>
  <c r="K481" i="8" s="1"/>
  <c r="Q480" i="8"/>
  <c r="O480" i="8"/>
  <c r="H480" i="8"/>
  <c r="M480" i="8" s="1"/>
  <c r="Q479" i="8"/>
  <c r="O479" i="8"/>
  <c r="Q478" i="8"/>
  <c r="O478" i="8"/>
  <c r="H478" i="8"/>
  <c r="K478" i="8" s="1"/>
  <c r="Q477" i="8"/>
  <c r="O477" i="8"/>
  <c r="H477" i="8"/>
  <c r="M477" i="8" s="1"/>
  <c r="F103" i="8"/>
  <c r="E103" i="8"/>
  <c r="P475" i="8" s="1"/>
  <c r="F102" i="8"/>
  <c r="E102" i="8"/>
  <c r="P466" i="8" s="1"/>
  <c r="O464" i="8"/>
  <c r="O472" i="8"/>
  <c r="Q472" i="8"/>
  <c r="S472" i="8" s="1"/>
  <c r="Q476" i="8"/>
  <c r="S476" i="8" s="1"/>
  <c r="O476" i="8"/>
  <c r="H476" i="8"/>
  <c r="K476" i="8" s="1"/>
  <c r="Q475" i="8"/>
  <c r="O475" i="8"/>
  <c r="H475" i="8"/>
  <c r="M475" i="8" s="1"/>
  <c r="Q474" i="8"/>
  <c r="O474" i="8"/>
  <c r="H474" i="8"/>
  <c r="K474" i="8" s="1"/>
  <c r="Q473" i="8"/>
  <c r="S473" i="8" s="1"/>
  <c r="O473" i="8"/>
  <c r="H473" i="8"/>
  <c r="Q471" i="8"/>
  <c r="S471" i="8" s="1"/>
  <c r="O471" i="8"/>
  <c r="H471" i="8"/>
  <c r="K471" i="8" s="1"/>
  <c r="Q470" i="8"/>
  <c r="S470" i="8" s="1"/>
  <c r="O470" i="8"/>
  <c r="H470" i="8"/>
  <c r="M470" i="8" s="1"/>
  <c r="Q469" i="8"/>
  <c r="S469" i="8" s="1"/>
  <c r="O469" i="8"/>
  <c r="H469" i="8"/>
  <c r="K469" i="8" s="1"/>
  <c r="Q468" i="8"/>
  <c r="S468" i="8" s="1"/>
  <c r="O468" i="8"/>
  <c r="H468" i="8"/>
  <c r="M468" i="8" s="1"/>
  <c r="Q467" i="8"/>
  <c r="O467" i="8"/>
  <c r="H467" i="8"/>
  <c r="K467" i="8" s="1"/>
  <c r="Q466" i="8"/>
  <c r="S466" i="8" s="1"/>
  <c r="O466" i="8"/>
  <c r="H466" i="8"/>
  <c r="M466" i="8" s="1"/>
  <c r="Q465" i="8"/>
  <c r="S465" i="8" s="1"/>
  <c r="O465" i="8"/>
  <c r="H465" i="8"/>
  <c r="K465" i="8" s="1"/>
  <c r="Q464" i="8"/>
  <c r="S464" i="8" s="1"/>
  <c r="H464" i="8"/>
  <c r="M464" i="8" s="1"/>
  <c r="C105" i="4"/>
  <c r="D105" i="4"/>
  <c r="E105" i="4"/>
  <c r="F105" i="4"/>
  <c r="G105" i="4"/>
  <c r="C106" i="4"/>
  <c r="D106" i="4"/>
  <c r="E106" i="4"/>
  <c r="F106" i="4"/>
  <c r="G106" i="4"/>
  <c r="C107" i="4"/>
  <c r="D107" i="4"/>
  <c r="E107" i="4"/>
  <c r="F107" i="4"/>
  <c r="G107" i="4"/>
  <c r="U99" i="8"/>
  <c r="V99" i="8"/>
  <c r="W99" i="8"/>
  <c r="X99" i="8"/>
  <c r="Y99" i="8"/>
  <c r="Z99" i="8"/>
  <c r="AA99" i="8"/>
  <c r="AB99" i="8"/>
  <c r="U100" i="8"/>
  <c r="V100" i="8"/>
  <c r="W100" i="8"/>
  <c r="X100" i="8"/>
  <c r="Y100" i="8"/>
  <c r="Z100" i="8"/>
  <c r="AA100" i="8"/>
  <c r="AB100" i="8"/>
  <c r="U101" i="8"/>
  <c r="V101" i="8"/>
  <c r="W101" i="8"/>
  <c r="X101" i="8"/>
  <c r="Y101" i="8"/>
  <c r="Z101" i="8"/>
  <c r="AA101" i="8"/>
  <c r="AB101" i="8"/>
  <c r="U102" i="8"/>
  <c r="V102" i="8"/>
  <c r="W102" i="8"/>
  <c r="X102" i="8"/>
  <c r="Y102" i="8"/>
  <c r="Z102" i="8"/>
  <c r="AA102" i="8"/>
  <c r="AB102" i="8"/>
  <c r="U103" i="8"/>
  <c r="V103" i="8"/>
  <c r="W103" i="8"/>
  <c r="X103" i="8"/>
  <c r="Y103" i="8"/>
  <c r="Z103" i="8"/>
  <c r="AA103" i="8"/>
  <c r="AB103" i="8"/>
  <c r="U104" i="8"/>
  <c r="V104" i="8"/>
  <c r="W104" i="8"/>
  <c r="X104" i="8"/>
  <c r="Y104" i="8"/>
  <c r="Z104" i="8"/>
  <c r="AA104" i="8"/>
  <c r="AB104" i="8"/>
  <c r="U105" i="8"/>
  <c r="V105" i="8"/>
  <c r="W105" i="8"/>
  <c r="X105" i="8"/>
  <c r="Y105" i="8"/>
  <c r="Z105" i="8"/>
  <c r="AA105" i="8"/>
  <c r="AB105" i="8"/>
  <c r="U106" i="8"/>
  <c r="V106" i="8"/>
  <c r="W106" i="8"/>
  <c r="X106" i="8"/>
  <c r="Y106" i="8"/>
  <c r="Z106" i="8"/>
  <c r="AA106" i="8"/>
  <c r="AB106" i="8"/>
  <c r="U107" i="8"/>
  <c r="V107" i="8"/>
  <c r="W107" i="8"/>
  <c r="X107" i="8"/>
  <c r="Y107" i="8"/>
  <c r="Z107" i="8"/>
  <c r="AA107" i="8"/>
  <c r="AB107" i="8"/>
  <c r="U108" i="8"/>
  <c r="V108" i="8"/>
  <c r="W108" i="8"/>
  <c r="X108" i="8"/>
  <c r="Y108" i="8"/>
  <c r="Z108" i="8"/>
  <c r="AA108" i="8"/>
  <c r="AB108" i="8"/>
  <c r="U109" i="8"/>
  <c r="V109" i="8"/>
  <c r="W109" i="8"/>
  <c r="X109" i="8"/>
  <c r="Y109" i="8"/>
  <c r="Z109" i="8"/>
  <c r="AA109" i="8"/>
  <c r="AB109" i="8"/>
  <c r="U110" i="8"/>
  <c r="V110" i="8"/>
  <c r="W110" i="8"/>
  <c r="X110" i="8"/>
  <c r="Y110" i="8"/>
  <c r="Z110" i="8"/>
  <c r="AA110" i="8"/>
  <c r="AB110" i="8"/>
  <c r="U111" i="8"/>
  <c r="V111" i="8"/>
  <c r="W111" i="8"/>
  <c r="X111" i="8"/>
  <c r="Y111" i="8"/>
  <c r="Z111" i="8"/>
  <c r="AA111" i="8"/>
  <c r="AB111" i="8"/>
  <c r="U112" i="8"/>
  <c r="V112" i="8"/>
  <c r="W112" i="8"/>
  <c r="X112" i="8"/>
  <c r="Y112" i="8"/>
  <c r="Z112" i="8"/>
  <c r="AA112" i="8"/>
  <c r="AB112" i="8"/>
  <c r="U113" i="8"/>
  <c r="V113" i="8"/>
  <c r="W113" i="8"/>
  <c r="X113" i="8"/>
  <c r="Y113" i="8"/>
  <c r="Z113" i="8"/>
  <c r="AA113" i="8"/>
  <c r="AB113" i="8"/>
  <c r="U114" i="8"/>
  <c r="V114" i="8"/>
  <c r="W114" i="8"/>
  <c r="X114" i="8"/>
  <c r="Y114" i="8"/>
  <c r="Z114" i="8"/>
  <c r="AA114" i="8"/>
  <c r="AB114" i="8"/>
  <c r="U115" i="8"/>
  <c r="V115" i="8"/>
  <c r="W115" i="8"/>
  <c r="X115" i="8"/>
  <c r="Y115" i="8"/>
  <c r="Z115" i="8"/>
  <c r="AA115" i="8"/>
  <c r="AB115" i="8"/>
  <c r="U116" i="8"/>
  <c r="V116" i="8"/>
  <c r="W116" i="8"/>
  <c r="X116" i="8"/>
  <c r="Y116" i="8"/>
  <c r="Z116" i="8"/>
  <c r="AA116" i="8"/>
  <c r="AB116" i="8"/>
  <c r="U117" i="8"/>
  <c r="V117" i="8"/>
  <c r="W117" i="8"/>
  <c r="X117" i="8"/>
  <c r="Y117" i="8"/>
  <c r="Z117" i="8"/>
  <c r="AA117" i="8"/>
  <c r="AB117" i="8"/>
  <c r="U118" i="8"/>
  <c r="V118" i="8"/>
  <c r="W118" i="8"/>
  <c r="X118" i="8"/>
  <c r="Y118" i="8"/>
  <c r="Z118" i="8"/>
  <c r="AA118" i="8"/>
  <c r="AB118" i="8"/>
  <c r="U119" i="8"/>
  <c r="V119" i="8"/>
  <c r="W119" i="8"/>
  <c r="X119" i="8"/>
  <c r="Y119" i="8"/>
  <c r="Z119" i="8"/>
  <c r="AA119" i="8"/>
  <c r="AB119" i="8"/>
  <c r="U120" i="8"/>
  <c r="V120" i="8"/>
  <c r="W120" i="8"/>
  <c r="X120" i="8"/>
  <c r="Y120" i="8"/>
  <c r="Z120" i="8"/>
  <c r="AA120" i="8"/>
  <c r="AB120" i="8"/>
  <c r="U121" i="8"/>
  <c r="V121" i="8"/>
  <c r="W121" i="8"/>
  <c r="X121" i="8"/>
  <c r="Y121" i="8"/>
  <c r="Z121" i="8"/>
  <c r="AA121" i="8"/>
  <c r="AB121" i="8"/>
  <c r="U122" i="8"/>
  <c r="V122" i="8"/>
  <c r="W122" i="8"/>
  <c r="X122" i="8"/>
  <c r="Y122" i="8"/>
  <c r="Z122" i="8"/>
  <c r="AA122" i="8"/>
  <c r="AB122" i="8"/>
  <c r="U123" i="8"/>
  <c r="V123" i="8"/>
  <c r="W123" i="8"/>
  <c r="X123" i="8"/>
  <c r="Y123" i="8"/>
  <c r="Z123" i="8"/>
  <c r="AA123" i="8"/>
  <c r="AB123" i="8"/>
  <c r="U124" i="8"/>
  <c r="V124" i="8"/>
  <c r="W124" i="8"/>
  <c r="X124" i="8"/>
  <c r="Y124" i="8"/>
  <c r="Z124" i="8"/>
  <c r="AA124" i="8"/>
  <c r="AB124" i="8"/>
  <c r="U125" i="8"/>
  <c r="V125" i="8"/>
  <c r="W125" i="8"/>
  <c r="X125" i="8"/>
  <c r="Y125" i="8"/>
  <c r="Z125" i="8"/>
  <c r="AA125" i="8"/>
  <c r="AB125" i="8"/>
  <c r="U126" i="8"/>
  <c r="V126" i="8"/>
  <c r="W126" i="8"/>
  <c r="X126" i="8"/>
  <c r="Y126" i="8"/>
  <c r="Z126" i="8"/>
  <c r="AA126" i="8"/>
  <c r="AB126" i="8"/>
  <c r="U127" i="8"/>
  <c r="V127" i="8"/>
  <c r="W127" i="8"/>
  <c r="X127" i="8"/>
  <c r="Y127" i="8"/>
  <c r="Z127" i="8"/>
  <c r="AA127" i="8"/>
  <c r="AB127" i="8"/>
  <c r="U128" i="8"/>
  <c r="V128" i="8"/>
  <c r="W128" i="8"/>
  <c r="X128" i="8"/>
  <c r="Y128" i="8"/>
  <c r="Z128" i="8"/>
  <c r="AA128" i="8"/>
  <c r="AB128" i="8"/>
  <c r="U129" i="8"/>
  <c r="V129" i="8"/>
  <c r="W129" i="8"/>
  <c r="X129" i="8"/>
  <c r="Y129" i="8"/>
  <c r="Z129" i="8"/>
  <c r="AA129" i="8"/>
  <c r="AB129" i="8"/>
  <c r="U130" i="8"/>
  <c r="V130" i="8"/>
  <c r="W130" i="8"/>
  <c r="X130" i="8"/>
  <c r="Y130" i="8"/>
  <c r="Z130" i="8"/>
  <c r="AA130" i="8"/>
  <c r="AB130" i="8"/>
  <c r="U131" i="8"/>
  <c r="V131" i="8"/>
  <c r="W131" i="8"/>
  <c r="X131" i="8"/>
  <c r="Y131" i="8"/>
  <c r="Z131" i="8"/>
  <c r="AA131" i="8"/>
  <c r="AB131" i="8"/>
  <c r="U132" i="8"/>
  <c r="V132" i="8"/>
  <c r="W132" i="8"/>
  <c r="X132" i="8"/>
  <c r="Y132" i="8"/>
  <c r="Z132" i="8"/>
  <c r="AA132" i="8"/>
  <c r="AB132" i="8"/>
  <c r="U133" i="8"/>
  <c r="V133" i="8"/>
  <c r="W133" i="8"/>
  <c r="X133" i="8"/>
  <c r="Y133" i="8"/>
  <c r="Z133" i="8"/>
  <c r="AA133" i="8"/>
  <c r="AB133" i="8"/>
  <c r="U134" i="8"/>
  <c r="V134" i="8"/>
  <c r="W134" i="8"/>
  <c r="X134" i="8"/>
  <c r="Y134" i="8"/>
  <c r="Z134" i="8"/>
  <c r="AA134" i="8"/>
  <c r="AB134" i="8"/>
  <c r="U135" i="8"/>
  <c r="V135" i="8"/>
  <c r="W135" i="8"/>
  <c r="X135" i="8"/>
  <c r="Y135" i="8"/>
  <c r="Z135" i="8"/>
  <c r="AA135" i="8"/>
  <c r="AB135" i="8"/>
  <c r="U136" i="8"/>
  <c r="V136" i="8"/>
  <c r="W136" i="8"/>
  <c r="X136" i="8"/>
  <c r="Y136" i="8"/>
  <c r="Z136" i="8"/>
  <c r="AA136" i="8"/>
  <c r="AB136" i="8"/>
  <c r="U137" i="8"/>
  <c r="V137" i="8"/>
  <c r="W137" i="8"/>
  <c r="X137" i="8"/>
  <c r="Y137" i="8"/>
  <c r="Z137" i="8"/>
  <c r="AA137" i="8"/>
  <c r="AB137" i="8"/>
  <c r="U138" i="8"/>
  <c r="V138" i="8"/>
  <c r="W138" i="8"/>
  <c r="X138" i="8"/>
  <c r="Y138" i="8"/>
  <c r="Z138" i="8"/>
  <c r="AA138" i="8"/>
  <c r="AB138" i="8"/>
  <c r="U139" i="8"/>
  <c r="V139" i="8"/>
  <c r="W139" i="8"/>
  <c r="X139" i="8"/>
  <c r="Y139" i="8"/>
  <c r="Z139" i="8"/>
  <c r="AA139" i="8"/>
  <c r="AB139" i="8"/>
  <c r="U140" i="8"/>
  <c r="V140" i="8"/>
  <c r="W140" i="8"/>
  <c r="X140" i="8"/>
  <c r="Y140" i="8"/>
  <c r="Z140" i="8"/>
  <c r="AA140" i="8"/>
  <c r="AB140" i="8"/>
  <c r="U141" i="8"/>
  <c r="V141" i="8"/>
  <c r="W141" i="8"/>
  <c r="X141" i="8"/>
  <c r="Y141" i="8"/>
  <c r="Z141" i="8"/>
  <c r="AA141" i="8"/>
  <c r="AB141" i="8"/>
  <c r="U142" i="8"/>
  <c r="V142" i="8"/>
  <c r="W142" i="8"/>
  <c r="X142" i="8"/>
  <c r="Y142" i="8"/>
  <c r="Z142" i="8"/>
  <c r="AA142" i="8"/>
  <c r="AB142" i="8"/>
  <c r="U143" i="8"/>
  <c r="V143" i="8"/>
  <c r="W143" i="8"/>
  <c r="X143" i="8"/>
  <c r="Y143" i="8"/>
  <c r="Z143" i="8"/>
  <c r="AA143" i="8"/>
  <c r="AB143" i="8"/>
  <c r="U144" i="8"/>
  <c r="V144" i="8"/>
  <c r="W144" i="8"/>
  <c r="X144" i="8"/>
  <c r="Y144" i="8"/>
  <c r="Z144" i="8"/>
  <c r="AA144" i="8"/>
  <c r="AB144" i="8"/>
  <c r="U145" i="8"/>
  <c r="V145" i="8"/>
  <c r="W145" i="8"/>
  <c r="X145" i="8"/>
  <c r="Y145" i="8"/>
  <c r="Z145" i="8"/>
  <c r="AA145" i="8"/>
  <c r="AB145" i="8"/>
  <c r="U146" i="8"/>
  <c r="V146" i="8"/>
  <c r="W146" i="8"/>
  <c r="X146" i="8"/>
  <c r="Y146" i="8"/>
  <c r="Z146" i="8"/>
  <c r="AA146" i="8"/>
  <c r="AB146" i="8"/>
  <c r="U147" i="8"/>
  <c r="V147" i="8"/>
  <c r="W147" i="8"/>
  <c r="X147" i="8"/>
  <c r="Y147" i="8"/>
  <c r="Z147" i="8"/>
  <c r="AA147" i="8"/>
  <c r="AB147" i="8"/>
  <c r="U148" i="8"/>
  <c r="V148" i="8"/>
  <c r="W148" i="8"/>
  <c r="X148" i="8"/>
  <c r="Y148" i="8"/>
  <c r="Z148" i="8"/>
  <c r="AA148" i="8"/>
  <c r="AB148" i="8"/>
  <c r="U149" i="8"/>
  <c r="V149" i="8"/>
  <c r="W149" i="8"/>
  <c r="X149" i="8"/>
  <c r="Y149" i="8"/>
  <c r="Z149" i="8"/>
  <c r="AA149" i="8"/>
  <c r="AB149" i="8"/>
  <c r="U150" i="8"/>
  <c r="V150" i="8"/>
  <c r="W150" i="8"/>
  <c r="X150" i="8"/>
  <c r="Y150" i="8"/>
  <c r="Z150" i="8"/>
  <c r="AA150" i="8"/>
  <c r="AB150" i="8"/>
  <c r="U151" i="8"/>
  <c r="V151" i="8"/>
  <c r="W151" i="8"/>
  <c r="X151" i="8"/>
  <c r="Y151" i="8"/>
  <c r="Z151" i="8"/>
  <c r="AA151" i="8"/>
  <c r="AB151" i="8"/>
  <c r="U152" i="8"/>
  <c r="V152" i="8"/>
  <c r="W152" i="8"/>
  <c r="X152" i="8"/>
  <c r="Y152" i="8"/>
  <c r="Z152" i="8"/>
  <c r="AA152" i="8"/>
  <c r="AB152" i="8"/>
  <c r="U153" i="8"/>
  <c r="V153" i="8"/>
  <c r="W153" i="8"/>
  <c r="X153" i="8"/>
  <c r="Y153" i="8"/>
  <c r="Z153" i="8"/>
  <c r="AA153" i="8"/>
  <c r="AB153" i="8"/>
  <c r="U154" i="8"/>
  <c r="V154" i="8"/>
  <c r="W154" i="8"/>
  <c r="X154" i="8"/>
  <c r="Y154" i="8"/>
  <c r="Z154" i="8"/>
  <c r="AA154" i="8"/>
  <c r="AB154" i="8"/>
  <c r="U155" i="8"/>
  <c r="V155" i="8"/>
  <c r="W155" i="8"/>
  <c r="X155" i="8"/>
  <c r="Y155" i="8"/>
  <c r="Z155" i="8"/>
  <c r="AA155" i="8"/>
  <c r="AB155" i="8"/>
  <c r="U156" i="8"/>
  <c r="V156" i="8"/>
  <c r="W156" i="8"/>
  <c r="X156" i="8"/>
  <c r="Y156" i="8"/>
  <c r="Z156" i="8"/>
  <c r="AA156" i="8"/>
  <c r="AB156" i="8"/>
  <c r="U157" i="8"/>
  <c r="V157" i="8"/>
  <c r="W157" i="8"/>
  <c r="X157" i="8"/>
  <c r="Y157" i="8"/>
  <c r="Z157" i="8"/>
  <c r="AA157" i="8"/>
  <c r="AB157" i="8"/>
  <c r="U158" i="8"/>
  <c r="V158" i="8"/>
  <c r="W158" i="8"/>
  <c r="X158" i="8"/>
  <c r="Y158" i="8"/>
  <c r="Z158" i="8"/>
  <c r="AA158" i="8"/>
  <c r="AB158" i="8"/>
  <c r="U159" i="8"/>
  <c r="V159" i="8"/>
  <c r="W159" i="8"/>
  <c r="X159" i="8"/>
  <c r="Y159" i="8"/>
  <c r="Z159" i="8"/>
  <c r="AA159" i="8"/>
  <c r="AB159" i="8"/>
  <c r="U160" i="8"/>
  <c r="V160" i="8"/>
  <c r="W160" i="8"/>
  <c r="X160" i="8"/>
  <c r="Y160" i="8"/>
  <c r="Z160" i="8"/>
  <c r="AA160" i="8"/>
  <c r="AB160" i="8"/>
  <c r="U161" i="8"/>
  <c r="V161" i="8"/>
  <c r="W161" i="8"/>
  <c r="X161" i="8"/>
  <c r="Y161" i="8"/>
  <c r="Z161" i="8"/>
  <c r="AA161" i="8"/>
  <c r="AB161" i="8"/>
  <c r="U162" i="8"/>
  <c r="V162" i="8"/>
  <c r="W162" i="8"/>
  <c r="X162" i="8"/>
  <c r="Y162" i="8"/>
  <c r="Z162" i="8"/>
  <c r="AA162" i="8"/>
  <c r="AB162" i="8"/>
  <c r="U163" i="8"/>
  <c r="V163" i="8"/>
  <c r="W163" i="8"/>
  <c r="X163" i="8"/>
  <c r="Y163" i="8"/>
  <c r="Z163" i="8"/>
  <c r="AA163" i="8"/>
  <c r="AB163" i="8"/>
  <c r="U164" i="8"/>
  <c r="V164" i="8"/>
  <c r="W164" i="8"/>
  <c r="X164" i="8"/>
  <c r="Y164" i="8"/>
  <c r="Z164" i="8"/>
  <c r="AA164" i="8"/>
  <c r="AB164" i="8"/>
  <c r="U165" i="8"/>
  <c r="V165" i="8"/>
  <c r="W165" i="8"/>
  <c r="X165" i="8"/>
  <c r="Y165" i="8"/>
  <c r="Z165" i="8"/>
  <c r="AA165" i="8"/>
  <c r="AB165" i="8"/>
  <c r="U166" i="8"/>
  <c r="V166" i="8"/>
  <c r="W166" i="8"/>
  <c r="X166" i="8"/>
  <c r="Y166" i="8"/>
  <c r="Z166" i="8"/>
  <c r="AA166" i="8"/>
  <c r="AB166" i="8"/>
  <c r="U167" i="8"/>
  <c r="V167" i="8"/>
  <c r="W167" i="8"/>
  <c r="X167" i="8"/>
  <c r="Y167" i="8"/>
  <c r="Z167" i="8"/>
  <c r="AA167" i="8"/>
  <c r="AB167" i="8"/>
  <c r="U168" i="8"/>
  <c r="V168" i="8"/>
  <c r="W168" i="8"/>
  <c r="X168" i="8"/>
  <c r="Y168" i="8"/>
  <c r="Z168" i="8"/>
  <c r="AA168" i="8"/>
  <c r="AB168" i="8"/>
  <c r="U169" i="8"/>
  <c r="V169" i="8"/>
  <c r="W169" i="8"/>
  <c r="X169" i="8"/>
  <c r="Y169" i="8"/>
  <c r="Z169" i="8"/>
  <c r="AA169" i="8"/>
  <c r="AB169" i="8"/>
  <c r="U170" i="8"/>
  <c r="V170" i="8"/>
  <c r="W170" i="8"/>
  <c r="X170" i="8"/>
  <c r="Y170" i="8"/>
  <c r="Z170" i="8"/>
  <c r="AA170" i="8"/>
  <c r="AB170" i="8"/>
  <c r="U171" i="8"/>
  <c r="V171" i="8"/>
  <c r="W171" i="8"/>
  <c r="X171" i="8"/>
  <c r="Y171" i="8"/>
  <c r="Z171" i="8"/>
  <c r="AA171" i="8"/>
  <c r="AB171" i="8"/>
  <c r="U172" i="8"/>
  <c r="V172" i="8"/>
  <c r="W172" i="8"/>
  <c r="X172" i="8"/>
  <c r="Y172" i="8"/>
  <c r="Z172" i="8"/>
  <c r="AA172" i="8"/>
  <c r="AB172" i="8"/>
  <c r="U173" i="8"/>
  <c r="V173" i="8"/>
  <c r="W173" i="8"/>
  <c r="X173" i="8"/>
  <c r="Y173" i="8"/>
  <c r="Z173" i="8"/>
  <c r="AA173" i="8"/>
  <c r="AB173" i="8"/>
  <c r="U174" i="8"/>
  <c r="V174" i="8"/>
  <c r="W174" i="8"/>
  <c r="X174" i="8"/>
  <c r="Y174" i="8"/>
  <c r="Z174" i="8"/>
  <c r="AA174" i="8"/>
  <c r="AB174" i="8"/>
  <c r="M478" i="8" l="1"/>
  <c r="M479" i="8" s="1"/>
  <c r="N479" i="8" s="1"/>
  <c r="S474" i="8"/>
  <c r="S483" i="8"/>
  <c r="S467" i="8"/>
  <c r="S482" i="8"/>
  <c r="S481" i="8"/>
  <c r="S480" i="8"/>
  <c r="S479" i="8"/>
  <c r="S478" i="8"/>
  <c r="S477" i="8"/>
  <c r="S475" i="8"/>
  <c r="P473" i="8"/>
  <c r="P470" i="8"/>
  <c r="P465" i="8"/>
  <c r="M467" i="8"/>
  <c r="M481" i="8"/>
  <c r="M483" i="8"/>
  <c r="M469" i="8"/>
  <c r="M476" i="8"/>
  <c r="M473" i="8"/>
  <c r="M474" i="8" s="1"/>
  <c r="M465" i="8"/>
  <c r="M471" i="8"/>
  <c r="P468" i="8"/>
  <c r="P464" i="8"/>
  <c r="E101" i="8"/>
  <c r="F101" i="8"/>
  <c r="O450" i="8"/>
  <c r="P450" i="8"/>
  <c r="Q450" i="8"/>
  <c r="R450" i="8"/>
  <c r="O451" i="8"/>
  <c r="Q451" i="8"/>
  <c r="R451" i="8"/>
  <c r="O452" i="8"/>
  <c r="Q452" i="8"/>
  <c r="R452" i="8"/>
  <c r="O453" i="8"/>
  <c r="Q453" i="8"/>
  <c r="R453" i="8"/>
  <c r="O454" i="8"/>
  <c r="Q454" i="8"/>
  <c r="R454" i="8"/>
  <c r="O455" i="8"/>
  <c r="Q455" i="8"/>
  <c r="R455" i="8"/>
  <c r="O456" i="8"/>
  <c r="Q456" i="8"/>
  <c r="R456" i="8"/>
  <c r="O457" i="8"/>
  <c r="Q457" i="8"/>
  <c r="R457" i="8"/>
  <c r="O458" i="8"/>
  <c r="Q458" i="8"/>
  <c r="R458" i="8"/>
  <c r="O459" i="8"/>
  <c r="Q459" i="8"/>
  <c r="R459" i="8"/>
  <c r="O460" i="8"/>
  <c r="P460" i="8"/>
  <c r="Q460" i="8"/>
  <c r="R460" i="8"/>
  <c r="O461" i="8"/>
  <c r="Q461" i="8"/>
  <c r="R461" i="8"/>
  <c r="O462" i="8"/>
  <c r="Q462" i="8"/>
  <c r="R462" i="8"/>
  <c r="O463" i="8"/>
  <c r="Q463" i="8"/>
  <c r="R463" i="8"/>
  <c r="H457" i="8"/>
  <c r="H458" i="8"/>
  <c r="K458" i="8" s="1"/>
  <c r="H459" i="8"/>
  <c r="H460" i="8"/>
  <c r="K460" i="8" s="1"/>
  <c r="H461" i="8"/>
  <c r="H462" i="8"/>
  <c r="K462" i="8" s="1"/>
  <c r="H463" i="8"/>
  <c r="K463" i="8" s="1"/>
  <c r="S461" i="8" l="1"/>
  <c r="S456" i="8"/>
  <c r="S450" i="8"/>
  <c r="S460" i="8"/>
  <c r="S455" i="8"/>
  <c r="S454" i="8"/>
  <c r="S459" i="8"/>
  <c r="S453" i="8"/>
  <c r="S463" i="8"/>
  <c r="S458" i="8"/>
  <c r="S452" i="8"/>
  <c r="S462" i="8"/>
  <c r="S457" i="8"/>
  <c r="S451" i="8"/>
  <c r="P461" i="8"/>
  <c r="M457" i="8"/>
  <c r="M458" i="8" s="1"/>
  <c r="M461" i="8"/>
  <c r="M459" i="8"/>
  <c r="M472" i="8"/>
  <c r="N478" i="8"/>
  <c r="M460" i="8"/>
  <c r="P457" i="8"/>
  <c r="P459" i="8"/>
  <c r="M462" i="8" l="1"/>
  <c r="N477" i="8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6" i="4"/>
  <c r="B107" i="4"/>
  <c r="E97" i="8"/>
  <c r="P483" i="8" s="1"/>
  <c r="F97" i="8"/>
  <c r="U97" i="8"/>
  <c r="V97" i="8"/>
  <c r="W97" i="8"/>
  <c r="X97" i="8"/>
  <c r="Y97" i="8"/>
  <c r="Z97" i="8"/>
  <c r="AA97" i="8"/>
  <c r="AB97" i="8"/>
  <c r="U98" i="8"/>
  <c r="V98" i="8"/>
  <c r="W98" i="8"/>
  <c r="X98" i="8"/>
  <c r="Y98" i="8"/>
  <c r="Z98" i="8"/>
  <c r="AA98" i="8"/>
  <c r="AB98" i="8"/>
  <c r="M463" i="8" l="1"/>
  <c r="P476" i="8"/>
  <c r="P467" i="8"/>
  <c r="P463" i="8"/>
  <c r="P451" i="8"/>
  <c r="P454" i="8"/>
  <c r="F100" i="8"/>
  <c r="H436" i="8"/>
  <c r="O436" i="8"/>
  <c r="Q436" i="8"/>
  <c r="R436" i="8"/>
  <c r="H437" i="8"/>
  <c r="K437" i="8" s="1"/>
  <c r="O437" i="8"/>
  <c r="Q437" i="8"/>
  <c r="R437" i="8"/>
  <c r="H438" i="8"/>
  <c r="O438" i="8"/>
  <c r="Q438" i="8"/>
  <c r="R438" i="8"/>
  <c r="H439" i="8"/>
  <c r="K439" i="8" s="1"/>
  <c r="O439" i="8"/>
  <c r="Q439" i="8"/>
  <c r="R439" i="8"/>
  <c r="H440" i="8"/>
  <c r="O440" i="8"/>
  <c r="Q440" i="8"/>
  <c r="R440" i="8"/>
  <c r="H441" i="8"/>
  <c r="K441" i="8" s="1"/>
  <c r="O441" i="8"/>
  <c r="Q441" i="8"/>
  <c r="R441" i="8"/>
  <c r="H442" i="8"/>
  <c r="O442" i="8"/>
  <c r="P442" i="8"/>
  <c r="Q442" i="8"/>
  <c r="S442" i="8" s="1"/>
  <c r="R442" i="8"/>
  <c r="H443" i="8"/>
  <c r="K443" i="8" s="1"/>
  <c r="O443" i="8"/>
  <c r="Q443" i="8"/>
  <c r="S443" i="8" s="1"/>
  <c r="R443" i="8"/>
  <c r="H444" i="8"/>
  <c r="K444" i="8" s="1"/>
  <c r="O444" i="8"/>
  <c r="P444" i="8"/>
  <c r="Q444" i="8"/>
  <c r="R444" i="8"/>
  <c r="H445" i="8"/>
  <c r="O445" i="8"/>
  <c r="P445" i="8"/>
  <c r="Q445" i="8"/>
  <c r="R445" i="8"/>
  <c r="H446" i="8"/>
  <c r="K446" i="8" s="1"/>
  <c r="O446" i="8"/>
  <c r="Q446" i="8"/>
  <c r="R446" i="8"/>
  <c r="H447" i="8"/>
  <c r="O447" i="8"/>
  <c r="P447" i="8"/>
  <c r="Q447" i="8"/>
  <c r="R447" i="8"/>
  <c r="H448" i="8"/>
  <c r="K448" i="8" s="1"/>
  <c r="O448" i="8"/>
  <c r="Q448" i="8"/>
  <c r="R448" i="8"/>
  <c r="H449" i="8"/>
  <c r="O449" i="8"/>
  <c r="P449" i="8"/>
  <c r="Q449" i="8"/>
  <c r="R449" i="8"/>
  <c r="H450" i="8"/>
  <c r="K450" i="8" s="1"/>
  <c r="H451" i="8"/>
  <c r="H452" i="8"/>
  <c r="K452" i="8" s="1"/>
  <c r="H453" i="8"/>
  <c r="K453" i="8" s="1"/>
  <c r="H454" i="8"/>
  <c r="H455" i="8"/>
  <c r="K455" i="8" s="1"/>
  <c r="H456" i="8"/>
  <c r="K456" i="8" s="1"/>
  <c r="O427" i="8"/>
  <c r="Q427" i="8"/>
  <c r="R427" i="8"/>
  <c r="O428" i="8"/>
  <c r="Q428" i="8"/>
  <c r="R428" i="8"/>
  <c r="O429" i="8"/>
  <c r="Q429" i="8"/>
  <c r="R429" i="8"/>
  <c r="O430" i="8"/>
  <c r="Q430" i="8"/>
  <c r="R430" i="8"/>
  <c r="O431" i="8"/>
  <c r="Q431" i="8"/>
  <c r="R431" i="8"/>
  <c r="O432" i="8"/>
  <c r="Q432" i="8"/>
  <c r="R432" i="8"/>
  <c r="O433" i="8"/>
  <c r="P433" i="8"/>
  <c r="Q433" i="8"/>
  <c r="R433" i="8"/>
  <c r="O434" i="8"/>
  <c r="Q434" i="8"/>
  <c r="R434" i="8"/>
  <c r="O435" i="8"/>
  <c r="Q435" i="8"/>
  <c r="R435" i="8"/>
  <c r="O222" i="8"/>
  <c r="F99" i="8"/>
  <c r="H431" i="8"/>
  <c r="K431" i="8" s="1"/>
  <c r="H432" i="8"/>
  <c r="M432" i="8" s="1"/>
  <c r="H433" i="8"/>
  <c r="K433" i="8" s="1"/>
  <c r="H434" i="8"/>
  <c r="M434" i="8" s="1"/>
  <c r="H435" i="8"/>
  <c r="K435" i="8" s="1"/>
  <c r="O423" i="8"/>
  <c r="Q423" i="8"/>
  <c r="R423" i="8"/>
  <c r="O424" i="8"/>
  <c r="Q424" i="8"/>
  <c r="R424" i="8"/>
  <c r="O425" i="8"/>
  <c r="Q425" i="8"/>
  <c r="R425" i="8"/>
  <c r="O426" i="8"/>
  <c r="Q426" i="8"/>
  <c r="R426" i="8"/>
  <c r="H423" i="8"/>
  <c r="K423" i="8" s="1"/>
  <c r="H424" i="8"/>
  <c r="K424" i="8" s="1"/>
  <c r="H425" i="8"/>
  <c r="M425" i="8" s="1"/>
  <c r="H426" i="8"/>
  <c r="K426" i="8" s="1"/>
  <c r="H427" i="8"/>
  <c r="K427" i="8" s="1"/>
  <c r="H428" i="8"/>
  <c r="H429" i="8"/>
  <c r="K429" i="8" s="1"/>
  <c r="H430" i="8"/>
  <c r="K430" i="8" s="1"/>
  <c r="H389" i="8"/>
  <c r="H390" i="8"/>
  <c r="H391" i="8"/>
  <c r="H392" i="8"/>
  <c r="H393" i="8"/>
  <c r="K393" i="8" s="1"/>
  <c r="H394" i="8"/>
  <c r="K394" i="8" s="1"/>
  <c r="H395" i="8"/>
  <c r="M395" i="8" s="1"/>
  <c r="H396" i="8"/>
  <c r="K396" i="8" s="1"/>
  <c r="H397" i="8"/>
  <c r="M397" i="8" s="1"/>
  <c r="H398" i="8"/>
  <c r="K398" i="8" s="1"/>
  <c r="H399" i="8"/>
  <c r="K399" i="8" s="1"/>
  <c r="H400" i="8"/>
  <c r="K400" i="8" s="1"/>
  <c r="H401" i="8"/>
  <c r="M401" i="8" s="1"/>
  <c r="H402" i="8"/>
  <c r="K402" i="8" s="1"/>
  <c r="H403" i="8"/>
  <c r="H404" i="8"/>
  <c r="K404" i="8" s="1"/>
  <c r="H405" i="8"/>
  <c r="M405" i="8" s="1"/>
  <c r="H406" i="8"/>
  <c r="H407" i="8"/>
  <c r="M407" i="8" s="1"/>
  <c r="H408" i="8"/>
  <c r="K408" i="8" s="1"/>
  <c r="H409" i="8"/>
  <c r="M409" i="8" s="1"/>
  <c r="H410" i="8"/>
  <c r="K410" i="8" s="1"/>
  <c r="H411" i="8"/>
  <c r="M411" i="8" s="1"/>
  <c r="H412" i="8"/>
  <c r="K412" i="8" s="1"/>
  <c r="H413" i="8"/>
  <c r="M413" i="8" s="1"/>
  <c r="H414" i="8"/>
  <c r="K414" i="8" s="1"/>
  <c r="H415" i="8"/>
  <c r="M415" i="8" s="1"/>
  <c r="H416" i="8"/>
  <c r="K416" i="8" s="1"/>
  <c r="H417" i="8"/>
  <c r="K417" i="8" s="1"/>
  <c r="H418" i="8"/>
  <c r="M418" i="8" s="1"/>
  <c r="H419" i="8"/>
  <c r="K419" i="8" s="1"/>
  <c r="H420" i="8"/>
  <c r="K420" i="8" s="1"/>
  <c r="H421" i="8"/>
  <c r="H422" i="8"/>
  <c r="O393" i="8"/>
  <c r="Q393" i="8"/>
  <c r="R393" i="8"/>
  <c r="O394" i="8"/>
  <c r="Q394" i="8"/>
  <c r="R394" i="8"/>
  <c r="O395" i="8"/>
  <c r="Q395" i="8"/>
  <c r="R395" i="8"/>
  <c r="O396" i="8"/>
  <c r="Q396" i="8"/>
  <c r="S396" i="8" s="1"/>
  <c r="R396" i="8"/>
  <c r="O397" i="8"/>
  <c r="Q397" i="8"/>
  <c r="R397" i="8"/>
  <c r="O398" i="8"/>
  <c r="Q398" i="8"/>
  <c r="R398" i="8"/>
  <c r="O399" i="8"/>
  <c r="Q399" i="8"/>
  <c r="R399" i="8"/>
  <c r="O400" i="8"/>
  <c r="Q400" i="8"/>
  <c r="S400" i="8" s="1"/>
  <c r="R400" i="8"/>
  <c r="O401" i="8"/>
  <c r="Q401" i="8"/>
  <c r="R401" i="8"/>
  <c r="O402" i="8"/>
  <c r="Q402" i="8"/>
  <c r="S402" i="8" s="1"/>
  <c r="R402" i="8"/>
  <c r="O403" i="8"/>
  <c r="Q403" i="8"/>
  <c r="S403" i="8" s="1"/>
  <c r="R403" i="8"/>
  <c r="O404" i="8"/>
  <c r="Q404" i="8"/>
  <c r="S404" i="8" s="1"/>
  <c r="R404" i="8"/>
  <c r="O405" i="8"/>
  <c r="Q405" i="8"/>
  <c r="R405" i="8"/>
  <c r="O406" i="8"/>
  <c r="Q406" i="8"/>
  <c r="R406" i="8"/>
  <c r="O407" i="8"/>
  <c r="Q407" i="8"/>
  <c r="R407" i="8"/>
  <c r="O408" i="8"/>
  <c r="Q408" i="8"/>
  <c r="R408" i="8"/>
  <c r="O409" i="8"/>
  <c r="Q409" i="8"/>
  <c r="R409" i="8"/>
  <c r="O410" i="8"/>
  <c r="Q410" i="8"/>
  <c r="R410" i="8"/>
  <c r="O411" i="8"/>
  <c r="Q411" i="8"/>
  <c r="R411" i="8"/>
  <c r="O412" i="8"/>
  <c r="Q412" i="8"/>
  <c r="S412" i="8" s="1"/>
  <c r="R412" i="8"/>
  <c r="O413" i="8"/>
  <c r="Q413" i="8"/>
  <c r="R413" i="8"/>
  <c r="O414" i="8"/>
  <c r="Q414" i="8"/>
  <c r="R414" i="8"/>
  <c r="O415" i="8"/>
  <c r="Q415" i="8"/>
  <c r="R415" i="8"/>
  <c r="O416" i="8"/>
  <c r="Q416" i="8"/>
  <c r="S416" i="8" s="1"/>
  <c r="R416" i="8"/>
  <c r="O417" i="8"/>
  <c r="Q417" i="8"/>
  <c r="R417" i="8"/>
  <c r="O418" i="8"/>
  <c r="Q418" i="8"/>
  <c r="R418" i="8"/>
  <c r="O419" i="8"/>
  <c r="Q419" i="8"/>
  <c r="S419" i="8" s="1"/>
  <c r="R419" i="8"/>
  <c r="O420" i="8"/>
  <c r="Q420" i="8"/>
  <c r="S420" i="8" s="1"/>
  <c r="R420" i="8"/>
  <c r="O421" i="8"/>
  <c r="Q421" i="8"/>
  <c r="R421" i="8"/>
  <c r="O422" i="8"/>
  <c r="Q422" i="8"/>
  <c r="R422" i="8"/>
  <c r="S427" i="8" l="1"/>
  <c r="S406" i="8"/>
  <c r="S418" i="8"/>
  <c r="S407" i="8"/>
  <c r="S423" i="8"/>
  <c r="S433" i="8"/>
  <c r="S428" i="8"/>
  <c r="S417" i="8"/>
  <c r="S401" i="8"/>
  <c r="S448" i="8"/>
  <c r="S441" i="8"/>
  <c r="S437" i="8"/>
  <c r="S422" i="8"/>
  <c r="S411" i="8"/>
  <c r="S395" i="8"/>
  <c r="S432" i="8"/>
  <c r="S444" i="8"/>
  <c r="S447" i="8"/>
  <c r="S440" i="8"/>
  <c r="S436" i="8"/>
  <c r="S405" i="8"/>
  <c r="S410" i="8"/>
  <c r="S394" i="8"/>
  <c r="S426" i="8"/>
  <c r="S431" i="8"/>
  <c r="S421" i="8"/>
  <c r="S415" i="8"/>
  <c r="S399" i="8"/>
  <c r="S409" i="8"/>
  <c r="S393" i="8"/>
  <c r="S425" i="8"/>
  <c r="S435" i="8"/>
  <c r="S430" i="8"/>
  <c r="S439" i="8"/>
  <c r="S414" i="8"/>
  <c r="S398" i="8"/>
  <c r="S446" i="8"/>
  <c r="S408" i="8"/>
  <c r="S424" i="8"/>
  <c r="S434" i="8"/>
  <c r="S429" i="8"/>
  <c r="S449" i="8"/>
  <c r="S413" i="8"/>
  <c r="S397" i="8"/>
  <c r="S438" i="8"/>
  <c r="S445" i="8"/>
  <c r="M428" i="8"/>
  <c r="M429" i="8" s="1"/>
  <c r="M454" i="8"/>
  <c r="M451" i="8"/>
  <c r="M449" i="8"/>
  <c r="M442" i="8"/>
  <c r="M443" i="8" s="1"/>
  <c r="M444" i="8" s="1"/>
  <c r="M438" i="8"/>
  <c r="M445" i="8"/>
  <c r="M440" i="8"/>
  <c r="M436" i="8"/>
  <c r="M447" i="8"/>
  <c r="M435" i="8"/>
  <c r="M416" i="8"/>
  <c r="M417" i="8" s="1"/>
  <c r="M402" i="8"/>
  <c r="M426" i="8"/>
  <c r="M427" i="8" s="1"/>
  <c r="M414" i="8"/>
  <c r="M433" i="8"/>
  <c r="M396" i="8"/>
  <c r="M412" i="8"/>
  <c r="M406" i="8"/>
  <c r="M398" i="8"/>
  <c r="M399" i="8" s="1"/>
  <c r="K406" i="8"/>
  <c r="M408" i="8"/>
  <c r="M419" i="8"/>
  <c r="M420" i="8" s="1"/>
  <c r="M421" i="8" s="1"/>
  <c r="M422" i="8" s="1"/>
  <c r="M423" i="8" s="1"/>
  <c r="M403" i="8"/>
  <c r="M410" i="8"/>
  <c r="M448" i="8" l="1"/>
  <c r="M450" i="8"/>
  <c r="M452" i="8"/>
  <c r="M455" i="8"/>
  <c r="M437" i="8"/>
  <c r="M446" i="8"/>
  <c r="M439" i="8"/>
  <c r="M441" i="8"/>
  <c r="M430" i="8"/>
  <c r="M424" i="8"/>
  <c r="M400" i="8"/>
  <c r="M404" i="8"/>
  <c r="M456" i="8" l="1"/>
  <c r="M453" i="8"/>
  <c r="M431" i="8"/>
  <c r="E96" i="8"/>
  <c r="F96" i="8"/>
  <c r="P425" i="8" l="1"/>
  <c r="P418" i="8"/>
  <c r="E95" i="8"/>
  <c r="F95" i="8"/>
  <c r="F93" i="8"/>
  <c r="F94" i="8"/>
  <c r="E93" i="8"/>
  <c r="E94" i="8"/>
  <c r="P439" i="8" l="1"/>
  <c r="P497" i="8"/>
  <c r="P489" i="8"/>
  <c r="P462" i="8"/>
  <c r="P455" i="8"/>
  <c r="P443" i="8"/>
  <c r="P435" i="8"/>
  <c r="P412" i="8"/>
  <c r="P409" i="8"/>
  <c r="P407" i="8"/>
  <c r="P405" i="8"/>
  <c r="P397" i="8"/>
  <c r="P401" i="8"/>
  <c r="P403" i="8"/>
  <c r="P415" i="8"/>
  <c r="P413" i="8"/>
  <c r="P411" i="8"/>
  <c r="O385" i="8"/>
  <c r="Q385" i="8"/>
  <c r="R385" i="8"/>
  <c r="O386" i="8"/>
  <c r="Q386" i="8"/>
  <c r="R386" i="8"/>
  <c r="O387" i="8"/>
  <c r="Q387" i="8"/>
  <c r="R387" i="8"/>
  <c r="O388" i="8"/>
  <c r="Q388" i="8"/>
  <c r="R388" i="8"/>
  <c r="O389" i="8"/>
  <c r="Q389" i="8"/>
  <c r="R389" i="8"/>
  <c r="O390" i="8"/>
  <c r="Q390" i="8"/>
  <c r="R390" i="8"/>
  <c r="O391" i="8"/>
  <c r="P391" i="8"/>
  <c r="Q391" i="8"/>
  <c r="R391" i="8"/>
  <c r="M392" i="8"/>
  <c r="M393" i="8" s="1"/>
  <c r="O392" i="8"/>
  <c r="Q392" i="8"/>
  <c r="R392" i="8"/>
  <c r="K389" i="8"/>
  <c r="M390" i="8"/>
  <c r="K391" i="8"/>
  <c r="U94" i="8"/>
  <c r="V94" i="8"/>
  <c r="W94" i="8"/>
  <c r="X94" i="8"/>
  <c r="Y94" i="8"/>
  <c r="Z94" i="8"/>
  <c r="AA94" i="8"/>
  <c r="AB94" i="8"/>
  <c r="U95" i="8"/>
  <c r="V95" i="8"/>
  <c r="W95" i="8"/>
  <c r="X95" i="8"/>
  <c r="Y95" i="8"/>
  <c r="Z95" i="8"/>
  <c r="AA95" i="8"/>
  <c r="AB95" i="8"/>
  <c r="U96" i="8"/>
  <c r="V96" i="8"/>
  <c r="W96" i="8"/>
  <c r="X96" i="8"/>
  <c r="Y96" i="8"/>
  <c r="Z96" i="8"/>
  <c r="AA96" i="8"/>
  <c r="AB96" i="8"/>
  <c r="F92" i="8"/>
  <c r="S389" i="8" l="1"/>
  <c r="S388" i="8"/>
  <c r="S392" i="8"/>
  <c r="S387" i="8"/>
  <c r="S391" i="8"/>
  <c r="S386" i="8"/>
  <c r="S385" i="8"/>
  <c r="S390" i="8"/>
  <c r="M394" i="8"/>
  <c r="M391" i="8"/>
  <c r="H383" i="8"/>
  <c r="M383" i="8" s="1"/>
  <c r="H384" i="8"/>
  <c r="K384" i="8" s="1"/>
  <c r="H374" i="8"/>
  <c r="O374" i="8"/>
  <c r="Q374" i="8"/>
  <c r="R374" i="8"/>
  <c r="H375" i="8"/>
  <c r="M375" i="8" s="1"/>
  <c r="S374" i="8" l="1"/>
  <c r="M384" i="8"/>
  <c r="K374" i="8"/>
  <c r="O375" i="8"/>
  <c r="Q375" i="8"/>
  <c r="R375" i="8"/>
  <c r="H376" i="8"/>
  <c r="O376" i="8"/>
  <c r="Q376" i="8"/>
  <c r="R376" i="8"/>
  <c r="H377" i="8"/>
  <c r="M377" i="8" s="1"/>
  <c r="S376" i="8" l="1"/>
  <c r="S375" i="8"/>
  <c r="K376" i="8"/>
  <c r="M376" i="8"/>
  <c r="O377" i="8"/>
  <c r="Q377" i="8"/>
  <c r="R377" i="8"/>
  <c r="H378" i="8"/>
  <c r="O378" i="8"/>
  <c r="Q378" i="8"/>
  <c r="R378" i="8"/>
  <c r="H379" i="8"/>
  <c r="S378" i="8" l="1"/>
  <c r="S377" i="8"/>
  <c r="M379" i="8"/>
  <c r="K378" i="8"/>
  <c r="M378" i="8"/>
  <c r="O379" i="8"/>
  <c r="Q379" i="8"/>
  <c r="R379" i="8"/>
  <c r="H380" i="8"/>
  <c r="O380" i="8"/>
  <c r="Q380" i="8"/>
  <c r="R380" i="8"/>
  <c r="H381" i="8"/>
  <c r="S380" i="8" l="1"/>
  <c r="S379" i="8"/>
  <c r="M381" i="8"/>
  <c r="M380" i="8"/>
  <c r="K380" i="8"/>
  <c r="O381" i="8"/>
  <c r="Q381" i="8"/>
  <c r="R381" i="8"/>
  <c r="H382" i="8"/>
  <c r="O382" i="8"/>
  <c r="Q382" i="8"/>
  <c r="R382" i="8"/>
  <c r="S382" i="8" l="1"/>
  <c r="S381" i="8"/>
  <c r="M382" i="8"/>
  <c r="K382" i="8"/>
  <c r="O383" i="8"/>
  <c r="Q383" i="8"/>
  <c r="R383" i="8"/>
  <c r="O384" i="8"/>
  <c r="Q384" i="8"/>
  <c r="R384" i="8"/>
  <c r="H385" i="8"/>
  <c r="M385" i="8" s="1"/>
  <c r="S384" i="8" l="1"/>
  <c r="S383" i="8"/>
  <c r="H386" i="8"/>
  <c r="M386" i="8" s="1"/>
  <c r="H387" i="8"/>
  <c r="H388" i="8"/>
  <c r="M388" i="8" s="1"/>
  <c r="M389" i="8" s="1"/>
  <c r="M387" i="8" l="1"/>
  <c r="K387" i="8"/>
  <c r="K386" i="8"/>
  <c r="F91" i="8"/>
  <c r="K421" i="8"/>
  <c r="U90" i="8" l="1"/>
  <c r="V90" i="8"/>
  <c r="W90" i="8"/>
  <c r="X90" i="8"/>
  <c r="Y90" i="8"/>
  <c r="Z90" i="8"/>
  <c r="AA90" i="8"/>
  <c r="AB90" i="8"/>
  <c r="U91" i="8"/>
  <c r="V91" i="8"/>
  <c r="W91" i="8"/>
  <c r="X91" i="8"/>
  <c r="Y91" i="8"/>
  <c r="Z91" i="8"/>
  <c r="AA91" i="8"/>
  <c r="AB91" i="8"/>
  <c r="U92" i="8"/>
  <c r="V92" i="8"/>
  <c r="W92" i="8"/>
  <c r="X92" i="8"/>
  <c r="Y92" i="8"/>
  <c r="Z92" i="8"/>
  <c r="AA92" i="8"/>
  <c r="AB92" i="8"/>
  <c r="U93" i="8"/>
  <c r="V93" i="8"/>
  <c r="W93" i="8"/>
  <c r="X93" i="8"/>
  <c r="Y93" i="8"/>
  <c r="Z93" i="8"/>
  <c r="AA93" i="8"/>
  <c r="AB93" i="8"/>
  <c r="B90" i="4"/>
  <c r="H370" i="8" l="1"/>
  <c r="H371" i="8"/>
  <c r="K371" i="8" s="1"/>
  <c r="H372" i="8"/>
  <c r="H373" i="8"/>
  <c r="M373" i="8" s="1"/>
  <c r="O370" i="8"/>
  <c r="Q370" i="8"/>
  <c r="R370" i="8"/>
  <c r="O371" i="8"/>
  <c r="Q371" i="8"/>
  <c r="R371" i="8"/>
  <c r="O372" i="8"/>
  <c r="Q372" i="8"/>
  <c r="R372" i="8"/>
  <c r="O373" i="8"/>
  <c r="Q373" i="8"/>
  <c r="R373" i="8"/>
  <c r="R369" i="8"/>
  <c r="Q369" i="8"/>
  <c r="O369" i="8"/>
  <c r="H369" i="8"/>
  <c r="R368" i="8"/>
  <c r="Q368" i="8"/>
  <c r="O368" i="8"/>
  <c r="H368" i="8"/>
  <c r="O360" i="8"/>
  <c r="Q360" i="8"/>
  <c r="R360" i="8"/>
  <c r="O361" i="8"/>
  <c r="Q361" i="8"/>
  <c r="R361" i="8"/>
  <c r="O362" i="8"/>
  <c r="Q362" i="8"/>
  <c r="R362" i="8"/>
  <c r="O363" i="8"/>
  <c r="Q363" i="8"/>
  <c r="R363" i="8"/>
  <c r="O364" i="8"/>
  <c r="Q364" i="8"/>
  <c r="R364" i="8"/>
  <c r="O365" i="8"/>
  <c r="Q365" i="8"/>
  <c r="R365" i="8"/>
  <c r="O366" i="8"/>
  <c r="Q366" i="8"/>
  <c r="R366" i="8"/>
  <c r="O367" i="8"/>
  <c r="Q367" i="8"/>
  <c r="R367" i="8"/>
  <c r="H363" i="8"/>
  <c r="K363" i="8" s="1"/>
  <c r="H364" i="8"/>
  <c r="M364" i="8" s="1"/>
  <c r="H365" i="8"/>
  <c r="K365" i="8" s="1"/>
  <c r="H366" i="8"/>
  <c r="M366" i="8" s="1"/>
  <c r="H367" i="8"/>
  <c r="K367" i="8" s="1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" i="8"/>
  <c r="M374" i="8" l="1"/>
  <c r="K372" i="8"/>
  <c r="S360" i="8"/>
  <c r="S373" i="8"/>
  <c r="S364" i="8"/>
  <c r="S368" i="8"/>
  <c r="S363" i="8"/>
  <c r="S371" i="8"/>
  <c r="S362" i="8"/>
  <c r="S369" i="8"/>
  <c r="S366" i="8"/>
  <c r="S361" i="8"/>
  <c r="S365" i="8"/>
  <c r="S372" i="8"/>
  <c r="M365" i="8"/>
  <c r="S367" i="8"/>
  <c r="S370" i="8"/>
  <c r="M370" i="8"/>
  <c r="M368" i="8"/>
  <c r="K369" i="8"/>
  <c r="M367" i="8"/>
  <c r="O357" i="8"/>
  <c r="Q357" i="8"/>
  <c r="R357" i="8"/>
  <c r="O358" i="8"/>
  <c r="Q358" i="8"/>
  <c r="R358" i="8"/>
  <c r="O359" i="8"/>
  <c r="Q359" i="8"/>
  <c r="R359" i="8"/>
  <c r="H357" i="8"/>
  <c r="M357" i="8" s="1"/>
  <c r="H358" i="8"/>
  <c r="K358" i="8" s="1"/>
  <c r="H359" i="8"/>
  <c r="M359" i="8" s="1"/>
  <c r="H360" i="8"/>
  <c r="H361" i="8"/>
  <c r="H362" i="8"/>
  <c r="S358" i="8" l="1"/>
  <c r="K360" i="8"/>
  <c r="M360" i="8"/>
  <c r="M361" i="8" s="1"/>
  <c r="M358" i="8"/>
  <c r="M362" i="8"/>
  <c r="K361" i="8"/>
  <c r="M371" i="8"/>
  <c r="M372" i="8" s="1"/>
  <c r="M369" i="8"/>
  <c r="S359" i="8"/>
  <c r="S357" i="8"/>
  <c r="B89" i="4"/>
  <c r="M363" i="8" l="1"/>
  <c r="H356" i="8"/>
  <c r="K356" i="8" s="1"/>
  <c r="O356" i="8"/>
  <c r="Q356" i="8"/>
  <c r="R356" i="8"/>
  <c r="R355" i="8"/>
  <c r="Q355" i="8"/>
  <c r="O355" i="8"/>
  <c r="H355" i="8"/>
  <c r="K355" i="8" s="1"/>
  <c r="R354" i="8"/>
  <c r="Q354" i="8"/>
  <c r="O354" i="8"/>
  <c r="H354" i="8"/>
  <c r="R353" i="8"/>
  <c r="Q353" i="8"/>
  <c r="O353" i="8"/>
  <c r="H353" i="8"/>
  <c r="K353" i="8" s="1"/>
  <c r="R352" i="8"/>
  <c r="Q352" i="8"/>
  <c r="O352" i="8"/>
  <c r="H352" i="8"/>
  <c r="S356" i="8" l="1"/>
  <c r="S353" i="8"/>
  <c r="S355" i="8"/>
  <c r="S354" i="8"/>
  <c r="S352" i="8"/>
  <c r="M354" i="8"/>
  <c r="M355" i="8" s="1"/>
  <c r="M356" i="8" s="1"/>
  <c r="M352" i="8"/>
  <c r="H325" i="8"/>
  <c r="H326" i="8"/>
  <c r="M326" i="8" s="1"/>
  <c r="M327" i="8" s="1"/>
  <c r="H327" i="8"/>
  <c r="H328" i="8"/>
  <c r="K328" i="8" s="1"/>
  <c r="H329" i="8"/>
  <c r="M329" i="8" s="1"/>
  <c r="H330" i="8"/>
  <c r="K330" i="8" s="1"/>
  <c r="H331" i="8"/>
  <c r="M331" i="8" s="1"/>
  <c r="H332" i="8"/>
  <c r="K332" i="8" s="1"/>
  <c r="H333" i="8"/>
  <c r="K333" i="8" s="1"/>
  <c r="H334" i="8"/>
  <c r="H335" i="8"/>
  <c r="M335" i="8" s="1"/>
  <c r="H336" i="8"/>
  <c r="H337" i="8"/>
  <c r="K337" i="8" s="1"/>
  <c r="H338" i="8"/>
  <c r="M338" i="8" s="1"/>
  <c r="H339" i="8"/>
  <c r="K339" i="8" s="1"/>
  <c r="H340" i="8"/>
  <c r="H341" i="8"/>
  <c r="H342" i="8"/>
  <c r="K342" i="8" s="1"/>
  <c r="H343" i="8"/>
  <c r="M343" i="8" s="1"/>
  <c r="H344" i="8"/>
  <c r="K344" i="8" s="1"/>
  <c r="H345" i="8"/>
  <c r="M345" i="8" s="1"/>
  <c r="H346" i="8"/>
  <c r="K346" i="8" s="1"/>
  <c r="H347" i="8"/>
  <c r="H348" i="8"/>
  <c r="H349" i="8"/>
  <c r="K349" i="8" s="1"/>
  <c r="H350" i="8"/>
  <c r="M350" i="8" s="1"/>
  <c r="H351" i="8"/>
  <c r="H324" i="8"/>
  <c r="M324" i="8" s="1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18" i="8"/>
  <c r="Q320" i="8"/>
  <c r="R320" i="8"/>
  <c r="Q321" i="8"/>
  <c r="R321" i="8"/>
  <c r="Q322" i="8"/>
  <c r="R322" i="8"/>
  <c r="Q323" i="8"/>
  <c r="R323" i="8"/>
  <c r="Q324" i="8"/>
  <c r="R324" i="8"/>
  <c r="Q325" i="8"/>
  <c r="R325" i="8"/>
  <c r="Q326" i="8"/>
  <c r="R326" i="8"/>
  <c r="Q327" i="8"/>
  <c r="R327" i="8"/>
  <c r="Q328" i="8"/>
  <c r="R328" i="8"/>
  <c r="Q329" i="8"/>
  <c r="R329" i="8"/>
  <c r="Q330" i="8"/>
  <c r="R330" i="8"/>
  <c r="Q331" i="8"/>
  <c r="R331" i="8"/>
  <c r="Q332" i="8"/>
  <c r="R332" i="8"/>
  <c r="Q333" i="8"/>
  <c r="R333" i="8"/>
  <c r="Q334" i="8"/>
  <c r="R334" i="8"/>
  <c r="Q335" i="8"/>
  <c r="R335" i="8"/>
  <c r="Q336" i="8"/>
  <c r="R336" i="8"/>
  <c r="Q337" i="8"/>
  <c r="R337" i="8"/>
  <c r="Q338" i="8"/>
  <c r="R338" i="8"/>
  <c r="Q339" i="8"/>
  <c r="R339" i="8"/>
  <c r="Q340" i="8"/>
  <c r="R340" i="8"/>
  <c r="Q341" i="8"/>
  <c r="R341" i="8"/>
  <c r="Q342" i="8"/>
  <c r="R342" i="8"/>
  <c r="Q343" i="8"/>
  <c r="R343" i="8"/>
  <c r="Q344" i="8"/>
  <c r="R344" i="8"/>
  <c r="Q345" i="8"/>
  <c r="R345" i="8"/>
  <c r="Q346" i="8"/>
  <c r="R346" i="8"/>
  <c r="Q347" i="8"/>
  <c r="R347" i="8"/>
  <c r="Q348" i="8"/>
  <c r="R348" i="8"/>
  <c r="Q349" i="8"/>
  <c r="R349" i="8"/>
  <c r="Q350" i="8"/>
  <c r="R350" i="8"/>
  <c r="Q351" i="8"/>
  <c r="R351" i="8"/>
  <c r="Q319" i="8"/>
  <c r="K336" i="8"/>
  <c r="K351" i="8"/>
  <c r="K334" i="8"/>
  <c r="K325" i="8"/>
  <c r="K327" i="8"/>
  <c r="M344" i="8" l="1"/>
  <c r="M336" i="8"/>
  <c r="M337" i="8" s="1"/>
  <c r="M325" i="8"/>
  <c r="M339" i="8"/>
  <c r="M346" i="8"/>
  <c r="M347" i="8" s="1"/>
  <c r="M348" i="8" s="1"/>
  <c r="M349" i="8" s="1"/>
  <c r="M332" i="8"/>
  <c r="M333" i="8" s="1"/>
  <c r="M334" i="8" s="1"/>
  <c r="M351" i="8"/>
  <c r="M330" i="8"/>
  <c r="S341" i="8"/>
  <c r="S338" i="8"/>
  <c r="S335" i="8"/>
  <c r="S332" i="8"/>
  <c r="S329" i="8"/>
  <c r="S326" i="8"/>
  <c r="S323" i="8"/>
  <c r="S320" i="8"/>
  <c r="S350" i="8"/>
  <c r="S347" i="8"/>
  <c r="S344" i="8"/>
  <c r="S340" i="8"/>
  <c r="S337" i="8"/>
  <c r="S334" i="8"/>
  <c r="S331" i="8"/>
  <c r="S328" i="8"/>
  <c r="S325" i="8"/>
  <c r="S322" i="8"/>
  <c r="S349" i="8"/>
  <c r="S346" i="8"/>
  <c r="S343" i="8"/>
  <c r="S351" i="8"/>
  <c r="S348" i="8"/>
  <c r="S345" i="8"/>
  <c r="S342" i="8"/>
  <c r="S339" i="8"/>
  <c r="S336" i="8"/>
  <c r="S333" i="8"/>
  <c r="S330" i="8"/>
  <c r="S327" i="8"/>
  <c r="S324" i="8"/>
  <c r="S321" i="8"/>
  <c r="M353" i="8"/>
  <c r="M328" i="8"/>
  <c r="M340" i="8"/>
  <c r="M341" i="8" s="1"/>
  <c r="M342" i="8" s="1"/>
  <c r="N334" i="8" l="1"/>
  <c r="N333" i="8"/>
  <c r="U89" i="8" l="1"/>
  <c r="V89" i="8"/>
  <c r="W89" i="8"/>
  <c r="X89" i="8"/>
  <c r="Y89" i="8"/>
  <c r="Z89" i="8"/>
  <c r="AA89" i="8"/>
  <c r="AB89" i="8"/>
  <c r="U87" i="8"/>
  <c r="V87" i="8"/>
  <c r="W87" i="8"/>
  <c r="X87" i="8"/>
  <c r="Y87" i="8"/>
  <c r="Z87" i="8"/>
  <c r="AA87" i="8"/>
  <c r="AB87" i="8"/>
  <c r="U88" i="8"/>
  <c r="V88" i="8"/>
  <c r="W88" i="8"/>
  <c r="X88" i="8"/>
  <c r="Y88" i="8"/>
  <c r="Z88" i="8"/>
  <c r="AA88" i="8"/>
  <c r="AB88" i="8"/>
  <c r="B87" i="4"/>
  <c r="B88" i="4"/>
  <c r="O313" i="8" l="1"/>
  <c r="Q313" i="8"/>
  <c r="R313" i="8"/>
  <c r="O314" i="8"/>
  <c r="Q314" i="8"/>
  <c r="R314" i="8"/>
  <c r="O315" i="8"/>
  <c r="Q315" i="8"/>
  <c r="R315" i="8"/>
  <c r="O316" i="8"/>
  <c r="Q316" i="8"/>
  <c r="R316" i="8"/>
  <c r="O317" i="8"/>
  <c r="Q317" i="8"/>
  <c r="R317" i="8"/>
  <c r="Q318" i="8"/>
  <c r="R318" i="8"/>
  <c r="R319" i="8"/>
  <c r="S317" i="8" l="1"/>
  <c r="S316" i="8"/>
  <c r="S318" i="8"/>
  <c r="S315" i="8"/>
  <c r="S319" i="8"/>
  <c r="S313" i="8"/>
  <c r="S314" i="8"/>
  <c r="K341" i="8"/>
  <c r="K347" i="8" l="1"/>
  <c r="H323" i="8" l="1"/>
  <c r="K323" i="8" s="1"/>
  <c r="H322" i="8"/>
  <c r="K322" i="8" s="1"/>
  <c r="H321" i="8"/>
  <c r="H320" i="8"/>
  <c r="H319" i="8"/>
  <c r="H318" i="8"/>
  <c r="H317" i="8"/>
  <c r="H316" i="8"/>
  <c r="H315" i="8"/>
  <c r="H314" i="8"/>
  <c r="H313" i="8"/>
  <c r="H312" i="8"/>
  <c r="K312" i="8" s="1"/>
  <c r="H311" i="8"/>
  <c r="K311" i="8" s="1"/>
  <c r="H310" i="8"/>
  <c r="H309" i="8"/>
  <c r="K309" i="8" s="1"/>
  <c r="R312" i="8"/>
  <c r="Q312" i="8"/>
  <c r="O312" i="8"/>
  <c r="R311" i="8"/>
  <c r="Q311" i="8"/>
  <c r="O311" i="8"/>
  <c r="R310" i="8"/>
  <c r="Q310" i="8"/>
  <c r="O310" i="8"/>
  <c r="R309" i="8"/>
  <c r="Q309" i="8"/>
  <c r="O309" i="8"/>
  <c r="M313" i="8" l="1"/>
  <c r="M314" i="8" s="1"/>
  <c r="K314" i="8"/>
  <c r="M315" i="8"/>
  <c r="M316" i="8" s="1"/>
  <c r="K316" i="8"/>
  <c r="M317" i="8"/>
  <c r="M318" i="8" s="1"/>
  <c r="K318" i="8"/>
  <c r="K319" i="8"/>
  <c r="K320" i="8"/>
  <c r="M321" i="8"/>
  <c r="S311" i="8"/>
  <c r="S312" i="8"/>
  <c r="S310" i="8"/>
  <c r="S309" i="8"/>
  <c r="U86" i="8"/>
  <c r="V86" i="8"/>
  <c r="W86" i="8"/>
  <c r="X86" i="8"/>
  <c r="Y86" i="8"/>
  <c r="Z86" i="8"/>
  <c r="AA86" i="8"/>
  <c r="AB86" i="8"/>
  <c r="B83" i="4"/>
  <c r="B84" i="4"/>
  <c r="B85" i="4"/>
  <c r="B86" i="4"/>
  <c r="M319" i="8" l="1"/>
  <c r="M322" i="8"/>
  <c r="M323" i="8" l="1"/>
  <c r="M320" i="8"/>
  <c r="R308" i="8"/>
  <c r="Q308" i="8"/>
  <c r="O308" i="8"/>
  <c r="H308" i="8"/>
  <c r="R307" i="8"/>
  <c r="Q307" i="8"/>
  <c r="O307" i="8"/>
  <c r="H307" i="8"/>
  <c r="K307" i="8" s="1"/>
  <c r="R306" i="8"/>
  <c r="Q306" i="8"/>
  <c r="O306" i="8"/>
  <c r="H306" i="8"/>
  <c r="M308" i="8" l="1"/>
  <c r="M309" i="8" s="1"/>
  <c r="M306" i="8"/>
  <c r="M307" i="8" s="1"/>
  <c r="M310" i="8"/>
  <c r="S306" i="8"/>
  <c r="S307" i="8"/>
  <c r="S308" i="8"/>
  <c r="M311" i="8" l="1"/>
  <c r="R305" i="8"/>
  <c r="Q305" i="8"/>
  <c r="O305" i="8"/>
  <c r="H305" i="8"/>
  <c r="K305" i="8" s="1"/>
  <c r="R304" i="8"/>
  <c r="Q304" i="8"/>
  <c r="O304" i="8"/>
  <c r="H304" i="8"/>
  <c r="R303" i="8"/>
  <c r="Q303" i="8"/>
  <c r="O303" i="8"/>
  <c r="H303" i="8"/>
  <c r="K303" i="8" s="1"/>
  <c r="R302" i="8"/>
  <c r="Q302" i="8"/>
  <c r="O302" i="8"/>
  <c r="H302" i="8"/>
  <c r="K302" i="8" s="1"/>
  <c r="R301" i="8"/>
  <c r="Q301" i="8"/>
  <c r="O301" i="8"/>
  <c r="H301" i="8"/>
  <c r="H298" i="8"/>
  <c r="O298" i="8"/>
  <c r="Q298" i="8"/>
  <c r="R298" i="8"/>
  <c r="H299" i="8"/>
  <c r="K299" i="8" s="1"/>
  <c r="O299" i="8"/>
  <c r="Q299" i="8"/>
  <c r="R299" i="8"/>
  <c r="H300" i="8"/>
  <c r="K300" i="8" s="1"/>
  <c r="O300" i="8"/>
  <c r="Q300" i="8"/>
  <c r="R300" i="8"/>
  <c r="H295" i="8"/>
  <c r="M312" i="8" l="1"/>
  <c r="S298" i="8"/>
  <c r="S303" i="8"/>
  <c r="S301" i="8"/>
  <c r="S304" i="8"/>
  <c r="S299" i="8"/>
  <c r="S302" i="8"/>
  <c r="S305" i="8"/>
  <c r="M304" i="8"/>
  <c r="M301" i="8"/>
  <c r="S300" i="8"/>
  <c r="M298" i="8"/>
  <c r="H288" i="8"/>
  <c r="M288" i="8" s="1"/>
  <c r="O288" i="8"/>
  <c r="Q288" i="8"/>
  <c r="R288" i="8"/>
  <c r="H289" i="8"/>
  <c r="O289" i="8"/>
  <c r="Q289" i="8"/>
  <c r="R289" i="8"/>
  <c r="H290" i="8"/>
  <c r="K290" i="8" s="1"/>
  <c r="O290" i="8"/>
  <c r="Q290" i="8"/>
  <c r="R290" i="8"/>
  <c r="H291" i="8"/>
  <c r="O291" i="8"/>
  <c r="Q291" i="8"/>
  <c r="R291" i="8"/>
  <c r="H292" i="8"/>
  <c r="O292" i="8"/>
  <c r="Q292" i="8"/>
  <c r="R292" i="8"/>
  <c r="H293" i="8"/>
  <c r="K293" i="8" s="1"/>
  <c r="O293" i="8"/>
  <c r="Q293" i="8"/>
  <c r="R293" i="8"/>
  <c r="H294" i="8"/>
  <c r="K294" i="8" s="1"/>
  <c r="O294" i="8"/>
  <c r="Q294" i="8"/>
  <c r="R294" i="8"/>
  <c r="O295" i="8"/>
  <c r="Q295" i="8"/>
  <c r="R295" i="8"/>
  <c r="H296" i="8"/>
  <c r="O296" i="8"/>
  <c r="Q296" i="8"/>
  <c r="R296" i="8"/>
  <c r="H297" i="8"/>
  <c r="K297" i="8" s="1"/>
  <c r="O297" i="8"/>
  <c r="Q297" i="8"/>
  <c r="R297" i="8"/>
  <c r="H286" i="8"/>
  <c r="K286" i="8" s="1"/>
  <c r="O286" i="8"/>
  <c r="Q286" i="8"/>
  <c r="R286" i="8"/>
  <c r="H287" i="8"/>
  <c r="K287" i="8" s="1"/>
  <c r="O287" i="8"/>
  <c r="Q287" i="8"/>
  <c r="R287" i="8"/>
  <c r="S292" i="8" l="1"/>
  <c r="S289" i="8"/>
  <c r="S294" i="8"/>
  <c r="S286" i="8"/>
  <c r="S295" i="8"/>
  <c r="S296" i="8"/>
  <c r="M305" i="8"/>
  <c r="M302" i="8"/>
  <c r="S297" i="8"/>
  <c r="S290" i="8"/>
  <c r="S287" i="8"/>
  <c r="S291" i="8"/>
  <c r="S288" i="8"/>
  <c r="M299" i="8"/>
  <c r="S293" i="8"/>
  <c r="M289" i="8"/>
  <c r="M290" i="8" s="1"/>
  <c r="M291" i="8" s="1"/>
  <c r="M292" i="8" s="1"/>
  <c r="M293" i="8" s="1"/>
  <c r="K289" i="8"/>
  <c r="H277" i="8"/>
  <c r="O277" i="8"/>
  <c r="Q277" i="8"/>
  <c r="R277" i="8"/>
  <c r="H278" i="8"/>
  <c r="O278" i="8"/>
  <c r="Q278" i="8"/>
  <c r="R278" i="8"/>
  <c r="H279" i="8"/>
  <c r="K279" i="8" s="1"/>
  <c r="O279" i="8"/>
  <c r="Q279" i="8"/>
  <c r="R279" i="8"/>
  <c r="H280" i="8"/>
  <c r="O280" i="8"/>
  <c r="Q280" i="8"/>
  <c r="R280" i="8"/>
  <c r="H281" i="8"/>
  <c r="K281" i="8" s="1"/>
  <c r="O281" i="8"/>
  <c r="Q281" i="8"/>
  <c r="R281" i="8"/>
  <c r="H282" i="8"/>
  <c r="O282" i="8"/>
  <c r="Q282" i="8"/>
  <c r="R282" i="8"/>
  <c r="H283" i="8"/>
  <c r="K283" i="8" s="1"/>
  <c r="O283" i="8"/>
  <c r="Q283" i="8"/>
  <c r="R283" i="8"/>
  <c r="H284" i="8"/>
  <c r="O284" i="8"/>
  <c r="Q284" i="8"/>
  <c r="R284" i="8"/>
  <c r="H285" i="8"/>
  <c r="K285" i="8" s="1"/>
  <c r="O285" i="8"/>
  <c r="Q285" i="8"/>
  <c r="R285" i="8"/>
  <c r="H270" i="8"/>
  <c r="M270" i="8" s="1"/>
  <c r="O270" i="8"/>
  <c r="Q270" i="8"/>
  <c r="R270" i="8"/>
  <c r="H271" i="8"/>
  <c r="O271" i="8"/>
  <c r="Q271" i="8"/>
  <c r="R271" i="8"/>
  <c r="H272" i="8"/>
  <c r="K272" i="8" s="1"/>
  <c r="O272" i="8"/>
  <c r="Q272" i="8"/>
  <c r="R272" i="8"/>
  <c r="H273" i="8"/>
  <c r="O273" i="8"/>
  <c r="Q273" i="8"/>
  <c r="R273" i="8"/>
  <c r="H274" i="8"/>
  <c r="O274" i="8"/>
  <c r="Q274" i="8"/>
  <c r="R274" i="8"/>
  <c r="H275" i="8"/>
  <c r="O275" i="8"/>
  <c r="Q275" i="8"/>
  <c r="R275" i="8"/>
  <c r="H276" i="8"/>
  <c r="K276" i="8" s="1"/>
  <c r="O276" i="8"/>
  <c r="Q276" i="8"/>
  <c r="R276" i="8"/>
  <c r="S279" i="8" l="1"/>
  <c r="S282" i="8"/>
  <c r="S272" i="8"/>
  <c r="S270" i="8"/>
  <c r="S280" i="8"/>
  <c r="S275" i="8"/>
  <c r="S285" i="8"/>
  <c r="M303" i="8"/>
  <c r="S274" i="8"/>
  <c r="S281" i="8"/>
  <c r="S278" i="8"/>
  <c r="S276" i="8"/>
  <c r="S273" i="8"/>
  <c r="S283" i="8"/>
  <c r="S277" i="8"/>
  <c r="M300" i="8"/>
  <c r="M294" i="8"/>
  <c r="S284" i="8"/>
  <c r="K278" i="8"/>
  <c r="M277" i="8"/>
  <c r="S271" i="8"/>
  <c r="M271" i="8"/>
  <c r="K271" i="8"/>
  <c r="M295" i="8" l="1"/>
  <c r="M296" i="8" s="1"/>
  <c r="M297" i="8" s="1"/>
  <c r="M278" i="8"/>
  <c r="M272" i="8"/>
  <c r="M279" i="8" l="1"/>
  <c r="M280" i="8" s="1"/>
  <c r="M281" i="8" s="1"/>
  <c r="M282" i="8" s="1"/>
  <c r="M283" i="8" s="1"/>
  <c r="M284" i="8" s="1"/>
  <c r="M285" i="8" s="1"/>
  <c r="M286" i="8" s="1"/>
  <c r="M273" i="8"/>
  <c r="M274" i="8" s="1"/>
  <c r="M275" i="8" s="1"/>
  <c r="K296" i="8"/>
  <c r="K292" i="8"/>
  <c r="M287" i="8" l="1"/>
  <c r="M276" i="8"/>
  <c r="K274" i="8"/>
  <c r="K282" i="8"/>
  <c r="H259" i="8" l="1"/>
  <c r="O259" i="8"/>
  <c r="Q259" i="8"/>
  <c r="R259" i="8"/>
  <c r="H260" i="8"/>
  <c r="O260" i="8"/>
  <c r="Q260" i="8"/>
  <c r="R260" i="8"/>
  <c r="H261" i="8"/>
  <c r="O261" i="8"/>
  <c r="Q261" i="8"/>
  <c r="R261" i="8"/>
  <c r="H262" i="8"/>
  <c r="O262" i="8"/>
  <c r="Q262" i="8"/>
  <c r="R262" i="8"/>
  <c r="H263" i="8"/>
  <c r="K263" i="8" s="1"/>
  <c r="O263" i="8"/>
  <c r="Q263" i="8"/>
  <c r="R263" i="8"/>
  <c r="H264" i="8"/>
  <c r="O264" i="8"/>
  <c r="Q264" i="8"/>
  <c r="R264" i="8"/>
  <c r="H265" i="8"/>
  <c r="K265" i="8" s="1"/>
  <c r="O265" i="8"/>
  <c r="Q265" i="8"/>
  <c r="R265" i="8"/>
  <c r="H266" i="8"/>
  <c r="O266" i="8"/>
  <c r="Q266" i="8"/>
  <c r="R266" i="8"/>
  <c r="H267" i="8"/>
  <c r="K267" i="8" s="1"/>
  <c r="O267" i="8"/>
  <c r="Q267" i="8"/>
  <c r="R267" i="8"/>
  <c r="H268" i="8"/>
  <c r="O268" i="8"/>
  <c r="Q268" i="8"/>
  <c r="R268" i="8"/>
  <c r="H269" i="8"/>
  <c r="K269" i="8" s="1"/>
  <c r="O269" i="8"/>
  <c r="Q269" i="8"/>
  <c r="R269" i="8"/>
  <c r="U85" i="8"/>
  <c r="V85" i="8"/>
  <c r="W85" i="8"/>
  <c r="X85" i="8"/>
  <c r="Y85" i="8"/>
  <c r="Z85" i="8"/>
  <c r="AA85" i="8"/>
  <c r="AB85" i="8"/>
  <c r="U84" i="8"/>
  <c r="V84" i="8"/>
  <c r="W84" i="8"/>
  <c r="X84" i="8"/>
  <c r="Y84" i="8"/>
  <c r="Z84" i="8"/>
  <c r="AA84" i="8"/>
  <c r="AB84" i="8"/>
  <c r="H257" i="8"/>
  <c r="O257" i="8"/>
  <c r="Q257" i="8"/>
  <c r="R257" i="8"/>
  <c r="H258" i="8"/>
  <c r="O258" i="8"/>
  <c r="Q258" i="8"/>
  <c r="R258" i="8"/>
  <c r="H250" i="8"/>
  <c r="O250" i="8"/>
  <c r="Q250" i="8"/>
  <c r="R250" i="8"/>
  <c r="H251" i="8"/>
  <c r="K251" i="8" s="1"/>
  <c r="O251" i="8"/>
  <c r="Q251" i="8"/>
  <c r="R251" i="8"/>
  <c r="H252" i="8"/>
  <c r="O252" i="8"/>
  <c r="Q252" i="8"/>
  <c r="R252" i="8"/>
  <c r="H253" i="8"/>
  <c r="K253" i="8" s="1"/>
  <c r="O253" i="8"/>
  <c r="Q253" i="8"/>
  <c r="R253" i="8"/>
  <c r="H254" i="8"/>
  <c r="O254" i="8"/>
  <c r="Q254" i="8"/>
  <c r="R254" i="8"/>
  <c r="H255" i="8"/>
  <c r="O255" i="8"/>
  <c r="Q255" i="8"/>
  <c r="R255" i="8"/>
  <c r="H256" i="8"/>
  <c r="O256" i="8"/>
  <c r="Q256" i="8"/>
  <c r="R256" i="8"/>
  <c r="S255" i="8" l="1"/>
  <c r="S252" i="8"/>
  <c r="S258" i="8"/>
  <c r="S269" i="8"/>
  <c r="S266" i="8"/>
  <c r="S260" i="8"/>
  <c r="S254" i="8"/>
  <c r="S251" i="8"/>
  <c r="S257" i="8"/>
  <c r="S268" i="8"/>
  <c r="S262" i="8"/>
  <c r="S259" i="8"/>
  <c r="S256" i="8"/>
  <c r="S253" i="8"/>
  <c r="S250" i="8"/>
  <c r="S261" i="8"/>
  <c r="S265" i="8"/>
  <c r="S267" i="8"/>
  <c r="S264" i="8"/>
  <c r="S263" i="8"/>
  <c r="K260" i="8"/>
  <c r="M259" i="8"/>
  <c r="M260" i="8" s="1"/>
  <c r="M261" i="8" s="1"/>
  <c r="M262" i="8" s="1"/>
  <c r="K258" i="8"/>
  <c r="M252" i="8"/>
  <c r="M253" i="8" s="1"/>
  <c r="M254" i="8" s="1"/>
  <c r="M255" i="8" s="1"/>
  <c r="M256" i="8" s="1"/>
  <c r="M257" i="8" s="1"/>
  <c r="M258" i="8" s="1"/>
  <c r="M250" i="8"/>
  <c r="M251" i="8" s="1"/>
  <c r="M263" i="8" l="1"/>
  <c r="M264" i="8" s="1"/>
  <c r="M265" i="8" s="1"/>
  <c r="K257" i="8"/>
  <c r="K256" i="8"/>
  <c r="K254" i="8"/>
  <c r="M266" i="8" l="1"/>
  <c r="R246" i="8"/>
  <c r="R247" i="8"/>
  <c r="R248" i="8"/>
  <c r="R249" i="8"/>
  <c r="U83" i="8"/>
  <c r="V83" i="8"/>
  <c r="W83" i="8"/>
  <c r="X83" i="8"/>
  <c r="Y83" i="8"/>
  <c r="Z83" i="8"/>
  <c r="AA83" i="8"/>
  <c r="AB83" i="8"/>
  <c r="O249" i="8"/>
  <c r="Q249" i="8"/>
  <c r="O248" i="8"/>
  <c r="Q248" i="8"/>
  <c r="H244" i="8"/>
  <c r="K244" i="8" s="1"/>
  <c r="H245" i="8"/>
  <c r="K245" i="8" s="1"/>
  <c r="H246" i="8"/>
  <c r="M246" i="8" s="1"/>
  <c r="H247" i="8"/>
  <c r="K247" i="8" s="1"/>
  <c r="H248" i="8"/>
  <c r="M248" i="8" s="1"/>
  <c r="H249" i="8"/>
  <c r="K249" i="8" s="1"/>
  <c r="O247" i="8"/>
  <c r="Q247" i="8"/>
  <c r="O246" i="8"/>
  <c r="Q246" i="8"/>
  <c r="H243" i="8"/>
  <c r="M243" i="8" s="1"/>
  <c r="O243" i="8"/>
  <c r="Q243" i="8"/>
  <c r="R243" i="8"/>
  <c r="O244" i="8"/>
  <c r="Q244" i="8"/>
  <c r="R244" i="8"/>
  <c r="O245" i="8"/>
  <c r="Q245" i="8"/>
  <c r="R245" i="8"/>
  <c r="U82" i="8"/>
  <c r="V82" i="8"/>
  <c r="W82" i="8"/>
  <c r="X82" i="8"/>
  <c r="Y82" i="8"/>
  <c r="Z82" i="8"/>
  <c r="AA82" i="8"/>
  <c r="AB82" i="8"/>
  <c r="B82" i="4"/>
  <c r="R242" i="8"/>
  <c r="Q242" i="8"/>
  <c r="O242" i="8"/>
  <c r="H242" i="8"/>
  <c r="K242" i="8" s="1"/>
  <c r="R241" i="8"/>
  <c r="Q241" i="8"/>
  <c r="O241" i="8"/>
  <c r="H241" i="8"/>
  <c r="K241" i="8" s="1"/>
  <c r="R240" i="8"/>
  <c r="Q240" i="8"/>
  <c r="O240" i="8"/>
  <c r="H240" i="8"/>
  <c r="K240" i="8" s="1"/>
  <c r="R239" i="8"/>
  <c r="Q239" i="8"/>
  <c r="O239" i="8"/>
  <c r="H239" i="8"/>
  <c r="R238" i="8"/>
  <c r="Q238" i="8"/>
  <c r="O238" i="8"/>
  <c r="H238" i="8"/>
  <c r="K238" i="8" s="1"/>
  <c r="R237" i="8"/>
  <c r="Q237" i="8"/>
  <c r="O237" i="8"/>
  <c r="H237" i="8"/>
  <c r="R236" i="8"/>
  <c r="Q236" i="8"/>
  <c r="O236" i="8"/>
  <c r="H236" i="8"/>
  <c r="R235" i="8"/>
  <c r="Q235" i="8"/>
  <c r="O235" i="8"/>
  <c r="H235" i="8"/>
  <c r="R234" i="8"/>
  <c r="Q234" i="8"/>
  <c r="O234" i="8"/>
  <c r="H234" i="8"/>
  <c r="R233" i="8"/>
  <c r="Q233" i="8"/>
  <c r="O233" i="8"/>
  <c r="H233" i="8"/>
  <c r="R232" i="8"/>
  <c r="Q232" i="8"/>
  <c r="O232" i="8"/>
  <c r="H232" i="8"/>
  <c r="K232" i="8" s="1"/>
  <c r="R231" i="8"/>
  <c r="Q231" i="8"/>
  <c r="O231" i="8"/>
  <c r="H231" i="8"/>
  <c r="O201" i="8"/>
  <c r="Q201" i="8"/>
  <c r="R201" i="8"/>
  <c r="O202" i="8"/>
  <c r="Q202" i="8"/>
  <c r="R202" i="8"/>
  <c r="O203" i="8"/>
  <c r="Q203" i="8"/>
  <c r="R203" i="8"/>
  <c r="O204" i="8"/>
  <c r="Q204" i="8"/>
  <c r="R204" i="8"/>
  <c r="O205" i="8"/>
  <c r="Q205" i="8"/>
  <c r="R205" i="8"/>
  <c r="O206" i="8"/>
  <c r="Q206" i="8"/>
  <c r="R206" i="8"/>
  <c r="O207" i="8"/>
  <c r="Q207" i="8"/>
  <c r="R207" i="8"/>
  <c r="O208" i="8"/>
  <c r="Q208" i="8"/>
  <c r="R208" i="8"/>
  <c r="O209" i="8"/>
  <c r="Q209" i="8"/>
  <c r="R209" i="8"/>
  <c r="O210" i="8"/>
  <c r="Q210" i="8"/>
  <c r="R210" i="8"/>
  <c r="O211" i="8"/>
  <c r="Q211" i="8"/>
  <c r="R211" i="8"/>
  <c r="O212" i="8"/>
  <c r="Q212" i="8"/>
  <c r="R212" i="8"/>
  <c r="O213" i="8"/>
  <c r="Q213" i="8"/>
  <c r="R213" i="8"/>
  <c r="O214" i="8"/>
  <c r="Q214" i="8"/>
  <c r="R214" i="8"/>
  <c r="O215" i="8"/>
  <c r="Q215" i="8"/>
  <c r="R215" i="8"/>
  <c r="O216" i="8"/>
  <c r="Q216" i="8"/>
  <c r="R216" i="8"/>
  <c r="O217" i="8"/>
  <c r="Q217" i="8"/>
  <c r="R217" i="8"/>
  <c r="O218" i="8"/>
  <c r="Q218" i="8"/>
  <c r="R218" i="8"/>
  <c r="O219" i="8"/>
  <c r="Q219" i="8"/>
  <c r="R219" i="8"/>
  <c r="O220" i="8"/>
  <c r="Q220" i="8"/>
  <c r="R220" i="8"/>
  <c r="O221" i="8"/>
  <c r="Q221" i="8"/>
  <c r="R221" i="8"/>
  <c r="Q222" i="8"/>
  <c r="R222" i="8"/>
  <c r="O223" i="8"/>
  <c r="Q223" i="8"/>
  <c r="R223" i="8"/>
  <c r="O224" i="8"/>
  <c r="Q224" i="8"/>
  <c r="R224" i="8"/>
  <c r="O225" i="8"/>
  <c r="Q225" i="8"/>
  <c r="R225" i="8"/>
  <c r="O226" i="8"/>
  <c r="Q226" i="8"/>
  <c r="R226" i="8"/>
  <c r="O227" i="8"/>
  <c r="Q227" i="8"/>
  <c r="R227" i="8"/>
  <c r="O228" i="8"/>
  <c r="Q228" i="8"/>
  <c r="R228" i="8"/>
  <c r="O229" i="8"/>
  <c r="Q229" i="8"/>
  <c r="R229" i="8"/>
  <c r="O230" i="8"/>
  <c r="Q230" i="8"/>
  <c r="R230" i="8"/>
  <c r="H230" i="8"/>
  <c r="K230" i="8" s="1"/>
  <c r="H198" i="8"/>
  <c r="H199" i="8"/>
  <c r="H200" i="8"/>
  <c r="H201" i="8"/>
  <c r="M201" i="8" s="1"/>
  <c r="H202" i="8"/>
  <c r="K202" i="8" s="1"/>
  <c r="H203" i="8"/>
  <c r="M203" i="8" s="1"/>
  <c r="H204" i="8"/>
  <c r="K204" i="8" s="1"/>
  <c r="H205" i="8"/>
  <c r="M205" i="8" s="1"/>
  <c r="H206" i="8"/>
  <c r="K206" i="8" s="1"/>
  <c r="H207" i="8"/>
  <c r="K207" i="8" s="1"/>
  <c r="H208" i="8"/>
  <c r="M208" i="8" s="1"/>
  <c r="H209" i="8"/>
  <c r="K209" i="8" s="1"/>
  <c r="H210" i="8"/>
  <c r="M210" i="8" s="1"/>
  <c r="H211" i="8"/>
  <c r="K211" i="8" s="1"/>
  <c r="H212" i="8"/>
  <c r="M212" i="8" s="1"/>
  <c r="H213" i="8"/>
  <c r="K213" i="8" s="1"/>
  <c r="H214" i="8"/>
  <c r="K214" i="8" s="1"/>
  <c r="H215" i="8"/>
  <c r="M215" i="8" s="1"/>
  <c r="H216" i="8"/>
  <c r="K216" i="8" s="1"/>
  <c r="H217" i="8"/>
  <c r="M217" i="8" s="1"/>
  <c r="H218" i="8"/>
  <c r="K218" i="8" s="1"/>
  <c r="H219" i="8"/>
  <c r="M219" i="8" s="1"/>
  <c r="H220" i="8"/>
  <c r="K220" i="8" s="1"/>
  <c r="H221" i="8"/>
  <c r="K221" i="8" s="1"/>
  <c r="H222" i="8"/>
  <c r="M222" i="8" s="1"/>
  <c r="H223" i="8"/>
  <c r="K223" i="8" s="1"/>
  <c r="H224" i="8"/>
  <c r="K224" i="8" s="1"/>
  <c r="H225" i="8"/>
  <c r="M225" i="8" s="1"/>
  <c r="H226" i="8"/>
  <c r="K226" i="8" s="1"/>
  <c r="H227" i="8"/>
  <c r="K227" i="8" s="1"/>
  <c r="H228" i="8"/>
  <c r="M228" i="8" s="1"/>
  <c r="H229" i="8"/>
  <c r="K229" i="8" s="1"/>
  <c r="H197" i="8"/>
  <c r="K261" i="8"/>
  <c r="M226" i="8" l="1"/>
  <c r="M227" i="8" s="1"/>
  <c r="M267" i="8"/>
  <c r="M268" i="8" s="1"/>
  <c r="M269" i="8" s="1"/>
  <c r="M247" i="8"/>
  <c r="S220" i="8"/>
  <c r="S249" i="8"/>
  <c r="S248" i="8"/>
  <c r="S247" i="8"/>
  <c r="S246" i="8"/>
  <c r="M249" i="8"/>
  <c r="S244" i="8"/>
  <c r="S235" i="8"/>
  <c r="S241" i="8"/>
  <c r="S243" i="8"/>
  <c r="S245" i="8"/>
  <c r="S242" i="8"/>
  <c r="S234" i="8"/>
  <c r="M244" i="8"/>
  <c r="S230" i="8"/>
  <c r="S209" i="8"/>
  <c r="S231" i="8"/>
  <c r="S225" i="8"/>
  <c r="S211" i="8"/>
  <c r="S233" i="8"/>
  <c r="S238" i="8"/>
  <c r="S236" i="8"/>
  <c r="S239" i="8"/>
  <c r="S237" i="8"/>
  <c r="S232" i="8"/>
  <c r="S240" i="8"/>
  <c r="M231" i="8"/>
  <c r="K236" i="8"/>
  <c r="K233" i="8"/>
  <c r="S210" i="8"/>
  <c r="S219" i="8"/>
  <c r="S228" i="8"/>
  <c r="S207" i="8"/>
  <c r="S227" i="8"/>
  <c r="S213" i="8"/>
  <c r="S226" i="8"/>
  <c r="S201" i="8"/>
  <c r="S222" i="8"/>
  <c r="S215" i="8"/>
  <c r="M216" i="8"/>
  <c r="S224" i="8"/>
  <c r="S221" i="8"/>
  <c r="S218" i="8"/>
  <c r="M218" i="8"/>
  <c r="M202" i="8"/>
  <c r="M204" i="8"/>
  <c r="S217" i="8"/>
  <c r="M206" i="8"/>
  <c r="M207" i="8" s="1"/>
  <c r="M220" i="8"/>
  <c r="M221" i="8" s="1"/>
  <c r="S216" i="8"/>
  <c r="S223" i="8"/>
  <c r="S214" i="8"/>
  <c r="S208" i="8"/>
  <c r="S203" i="8"/>
  <c r="S202" i="8"/>
  <c r="S212" i="8"/>
  <c r="S206" i="8"/>
  <c r="S229" i="8"/>
  <c r="S205" i="8"/>
  <c r="S204" i="8"/>
  <c r="M229" i="8"/>
  <c r="M223" i="8"/>
  <c r="M213" i="8"/>
  <c r="M211" i="8"/>
  <c r="M209" i="8"/>
  <c r="U81" i="8"/>
  <c r="V81" i="8"/>
  <c r="W81" i="8"/>
  <c r="X81" i="8"/>
  <c r="Y81" i="8"/>
  <c r="Z81" i="8"/>
  <c r="AA81" i="8"/>
  <c r="AB81" i="8"/>
  <c r="B81" i="4"/>
  <c r="R200" i="8"/>
  <c r="Q200" i="8"/>
  <c r="O200" i="8"/>
  <c r="R199" i="8"/>
  <c r="Q199" i="8"/>
  <c r="O199" i="8"/>
  <c r="K199" i="8"/>
  <c r="R198" i="8"/>
  <c r="Q198" i="8"/>
  <c r="O198" i="8"/>
  <c r="R197" i="8"/>
  <c r="Q197" i="8"/>
  <c r="O197" i="8"/>
  <c r="M197" i="8"/>
  <c r="R196" i="8"/>
  <c r="Q196" i="8"/>
  <c r="O196" i="8"/>
  <c r="H196" i="8"/>
  <c r="R195" i="8"/>
  <c r="Q195" i="8"/>
  <c r="O195" i="8"/>
  <c r="H195" i="8"/>
  <c r="K195" i="8" s="1"/>
  <c r="R194" i="8"/>
  <c r="Q194" i="8"/>
  <c r="O194" i="8"/>
  <c r="H194" i="8"/>
  <c r="R193" i="8"/>
  <c r="Q193" i="8"/>
  <c r="O193" i="8"/>
  <c r="H193" i="8"/>
  <c r="M193" i="8" s="1"/>
  <c r="K264" i="8"/>
  <c r="K268" i="8"/>
  <c r="M245" i="8" l="1"/>
  <c r="M232" i="8"/>
  <c r="S198" i="8"/>
  <c r="S195" i="8"/>
  <c r="M230" i="8"/>
  <c r="M214" i="8"/>
  <c r="M224" i="8"/>
  <c r="S194" i="8"/>
  <c r="S197" i="8"/>
  <c r="S200" i="8"/>
  <c r="S193" i="8"/>
  <c r="S196" i="8"/>
  <c r="S199" i="8"/>
  <c r="M198" i="8"/>
  <c r="M199" i="8" s="1"/>
  <c r="M200" i="8" s="1"/>
  <c r="K198" i="8"/>
  <c r="K200" i="8"/>
  <c r="M194" i="8"/>
  <c r="K194" i="8"/>
  <c r="K196" i="8"/>
  <c r="M233" i="8" l="1"/>
  <c r="M195" i="8"/>
  <c r="M234" i="8" l="1"/>
  <c r="M196" i="8"/>
  <c r="K237" i="8"/>
  <c r="K234" i="8"/>
  <c r="M235" i="8" l="1"/>
  <c r="R192" i="8"/>
  <c r="Q192" i="8"/>
  <c r="O192" i="8"/>
  <c r="H192" i="8"/>
  <c r="R191" i="8"/>
  <c r="Q191" i="8"/>
  <c r="O191" i="8"/>
  <c r="H191" i="8"/>
  <c r="K191" i="8" s="1"/>
  <c r="R190" i="8"/>
  <c r="Q190" i="8"/>
  <c r="O190" i="8"/>
  <c r="H190" i="8"/>
  <c r="K190" i="8" s="1"/>
  <c r="R189" i="8"/>
  <c r="Q189" i="8"/>
  <c r="O189" i="8"/>
  <c r="H189" i="8"/>
  <c r="M189" i="8" s="1"/>
  <c r="M236" i="8" l="1"/>
  <c r="S191" i="8"/>
  <c r="S190" i="8"/>
  <c r="S189" i="8"/>
  <c r="S192" i="8"/>
  <c r="M190" i="8"/>
  <c r="K192" i="8"/>
  <c r="O151" i="8"/>
  <c r="Q151" i="8"/>
  <c r="R151" i="8"/>
  <c r="O152" i="8"/>
  <c r="Q152" i="8"/>
  <c r="R152" i="8"/>
  <c r="O153" i="8"/>
  <c r="Q153" i="8"/>
  <c r="R153" i="8"/>
  <c r="O154" i="8"/>
  <c r="Q154" i="8"/>
  <c r="R154" i="8"/>
  <c r="O155" i="8"/>
  <c r="Q155" i="8"/>
  <c r="R155" i="8"/>
  <c r="O156" i="8"/>
  <c r="Q156" i="8"/>
  <c r="R156" i="8"/>
  <c r="O157" i="8"/>
  <c r="Q157" i="8"/>
  <c r="R157" i="8"/>
  <c r="O158" i="8"/>
  <c r="Q158" i="8"/>
  <c r="R158" i="8"/>
  <c r="O159" i="8"/>
  <c r="Q159" i="8"/>
  <c r="R159" i="8"/>
  <c r="O160" i="8"/>
  <c r="Q160" i="8"/>
  <c r="R160" i="8"/>
  <c r="O161" i="8"/>
  <c r="Q161" i="8"/>
  <c r="R161" i="8"/>
  <c r="O162" i="8"/>
  <c r="Q162" i="8"/>
  <c r="R162" i="8"/>
  <c r="O163" i="8"/>
  <c r="Q163" i="8"/>
  <c r="R163" i="8"/>
  <c r="O164" i="8"/>
  <c r="Q164" i="8"/>
  <c r="R164" i="8"/>
  <c r="O165" i="8"/>
  <c r="Q165" i="8"/>
  <c r="R165" i="8"/>
  <c r="O166" i="8"/>
  <c r="Q166" i="8"/>
  <c r="R166" i="8"/>
  <c r="O167" i="8"/>
  <c r="Q167" i="8"/>
  <c r="R167" i="8"/>
  <c r="O168" i="8"/>
  <c r="Q168" i="8"/>
  <c r="R168" i="8"/>
  <c r="O169" i="8"/>
  <c r="Q169" i="8"/>
  <c r="R169" i="8"/>
  <c r="O170" i="8"/>
  <c r="Q170" i="8"/>
  <c r="R170" i="8"/>
  <c r="O171" i="8"/>
  <c r="Q171" i="8"/>
  <c r="R171" i="8"/>
  <c r="O172" i="8"/>
  <c r="Q172" i="8"/>
  <c r="R172" i="8"/>
  <c r="O173" i="8"/>
  <c r="Q173" i="8"/>
  <c r="R173" i="8"/>
  <c r="O174" i="8"/>
  <c r="Q174" i="8"/>
  <c r="R174" i="8"/>
  <c r="O175" i="8"/>
  <c r="Q175" i="8"/>
  <c r="R175" i="8"/>
  <c r="O176" i="8"/>
  <c r="Q176" i="8"/>
  <c r="R176" i="8"/>
  <c r="O177" i="8"/>
  <c r="Q177" i="8"/>
  <c r="R177" i="8"/>
  <c r="O178" i="8"/>
  <c r="Q178" i="8"/>
  <c r="R178" i="8"/>
  <c r="O179" i="8"/>
  <c r="Q179" i="8"/>
  <c r="R179" i="8"/>
  <c r="O180" i="8"/>
  <c r="Q180" i="8"/>
  <c r="R180" i="8"/>
  <c r="O181" i="8"/>
  <c r="Q181" i="8"/>
  <c r="R181" i="8"/>
  <c r="O182" i="8"/>
  <c r="Q182" i="8"/>
  <c r="R182" i="8"/>
  <c r="O183" i="8"/>
  <c r="Q183" i="8"/>
  <c r="R183" i="8"/>
  <c r="O184" i="8"/>
  <c r="Q184" i="8"/>
  <c r="R184" i="8"/>
  <c r="O185" i="8"/>
  <c r="Q185" i="8"/>
  <c r="R185" i="8"/>
  <c r="O186" i="8"/>
  <c r="Q186" i="8"/>
  <c r="R186" i="8"/>
  <c r="O187" i="8"/>
  <c r="Q187" i="8"/>
  <c r="R187" i="8"/>
  <c r="O188" i="8"/>
  <c r="Q188" i="8"/>
  <c r="R188" i="8"/>
  <c r="H152" i="8"/>
  <c r="K152" i="8" s="1"/>
  <c r="H153" i="8"/>
  <c r="M153" i="8" s="1"/>
  <c r="H154" i="8"/>
  <c r="K154" i="8" s="1"/>
  <c r="H155" i="8"/>
  <c r="K155" i="8" s="1"/>
  <c r="H156" i="8"/>
  <c r="K156" i="8" s="1"/>
  <c r="H157" i="8"/>
  <c r="M157" i="8" s="1"/>
  <c r="H158" i="8"/>
  <c r="K158" i="8" s="1"/>
  <c r="H159" i="8"/>
  <c r="K159" i="8" s="1"/>
  <c r="H160" i="8"/>
  <c r="K160" i="8" s="1"/>
  <c r="H161" i="8"/>
  <c r="M161" i="8" s="1"/>
  <c r="H162" i="8"/>
  <c r="K162" i="8" s="1"/>
  <c r="H163" i="8"/>
  <c r="K163" i="8" s="1"/>
  <c r="H164" i="8"/>
  <c r="K164" i="8" s="1"/>
  <c r="H165" i="8"/>
  <c r="M165" i="8" s="1"/>
  <c r="H166" i="8"/>
  <c r="K166" i="8" s="1"/>
  <c r="H167" i="8"/>
  <c r="K167" i="8" s="1"/>
  <c r="H168" i="8"/>
  <c r="K168" i="8" s="1"/>
  <c r="H169" i="8"/>
  <c r="M169" i="8" s="1"/>
  <c r="H170" i="8"/>
  <c r="K170" i="8" s="1"/>
  <c r="H171" i="8"/>
  <c r="K171" i="8" s="1"/>
  <c r="H172" i="8"/>
  <c r="K172" i="8" s="1"/>
  <c r="H173" i="8"/>
  <c r="M173" i="8" s="1"/>
  <c r="H174" i="8"/>
  <c r="K174" i="8" s="1"/>
  <c r="H175" i="8"/>
  <c r="K175" i="8" s="1"/>
  <c r="H176" i="8"/>
  <c r="K176" i="8" s="1"/>
  <c r="H177" i="8"/>
  <c r="M177" i="8" s="1"/>
  <c r="H178" i="8"/>
  <c r="K178" i="8" s="1"/>
  <c r="H179" i="8"/>
  <c r="K179" i="8" s="1"/>
  <c r="H180" i="8"/>
  <c r="K180" i="8" s="1"/>
  <c r="H181" i="8"/>
  <c r="M181" i="8" s="1"/>
  <c r="H182" i="8"/>
  <c r="K182" i="8" s="1"/>
  <c r="H183" i="8"/>
  <c r="K183" i="8" s="1"/>
  <c r="H184" i="8"/>
  <c r="K184" i="8" s="1"/>
  <c r="H185" i="8"/>
  <c r="M185" i="8" s="1"/>
  <c r="H186" i="8"/>
  <c r="K186" i="8" s="1"/>
  <c r="H187" i="8"/>
  <c r="K187" i="8" s="1"/>
  <c r="H188" i="8"/>
  <c r="K188" i="8" s="1"/>
  <c r="M178" i="8" l="1"/>
  <c r="M179" i="8" s="1"/>
  <c r="M237" i="8"/>
  <c r="M158" i="8"/>
  <c r="M159" i="8" s="1"/>
  <c r="S154" i="8"/>
  <c r="S182" i="8"/>
  <c r="S187" i="8"/>
  <c r="S183" i="8"/>
  <c r="M166" i="8"/>
  <c r="M167" i="8" s="1"/>
  <c r="M154" i="8"/>
  <c r="M155" i="8" s="1"/>
  <c r="S174" i="8"/>
  <c r="M174" i="8"/>
  <c r="M175" i="8" s="1"/>
  <c r="M186" i="8"/>
  <c r="M187" i="8" s="1"/>
  <c r="M162" i="8"/>
  <c r="M163" i="8" s="1"/>
  <c r="S184" i="8"/>
  <c r="S181" i="8"/>
  <c r="S166" i="8"/>
  <c r="S179" i="8"/>
  <c r="M170" i="8"/>
  <c r="M171" i="8" s="1"/>
  <c r="S158" i="8"/>
  <c r="S170" i="8"/>
  <c r="S186" i="8"/>
  <c r="S178" i="8"/>
  <c r="S162" i="8"/>
  <c r="S155" i="8"/>
  <c r="S160" i="8"/>
  <c r="M191" i="8"/>
  <c r="S169" i="8"/>
  <c r="S164" i="8"/>
  <c r="S152" i="8"/>
  <c r="S151" i="8"/>
  <c r="S176" i="8"/>
  <c r="S172" i="8"/>
  <c r="S168" i="8"/>
  <c r="S156" i="8"/>
  <c r="S163" i="8"/>
  <c r="S177" i="8"/>
  <c r="S173" i="8"/>
  <c r="S161" i="8"/>
  <c r="S153" i="8"/>
  <c r="S188" i="8"/>
  <c r="S175" i="8"/>
  <c r="S171" i="8"/>
  <c r="S165" i="8"/>
  <c r="S157" i="8"/>
  <c r="S185" i="8"/>
  <c r="S180" i="8"/>
  <c r="S167" i="8"/>
  <c r="S159" i="8"/>
  <c r="M182" i="8"/>
  <c r="M183" i="8" s="1"/>
  <c r="O128" i="8"/>
  <c r="Q128" i="8"/>
  <c r="R128" i="8"/>
  <c r="O129" i="8"/>
  <c r="Q129" i="8"/>
  <c r="R129" i="8"/>
  <c r="O130" i="8"/>
  <c r="Q130" i="8"/>
  <c r="R130" i="8"/>
  <c r="O131" i="8"/>
  <c r="Q131" i="8"/>
  <c r="R131" i="8"/>
  <c r="O132" i="8"/>
  <c r="Q132" i="8"/>
  <c r="R132" i="8"/>
  <c r="O133" i="8"/>
  <c r="Q133" i="8"/>
  <c r="R133" i="8"/>
  <c r="O134" i="8"/>
  <c r="Q134" i="8"/>
  <c r="R134" i="8"/>
  <c r="O135" i="8"/>
  <c r="Q135" i="8"/>
  <c r="R135" i="8"/>
  <c r="O136" i="8"/>
  <c r="Q136" i="8"/>
  <c r="R136" i="8"/>
  <c r="O137" i="8"/>
  <c r="Q137" i="8"/>
  <c r="R137" i="8"/>
  <c r="O138" i="8"/>
  <c r="Q138" i="8"/>
  <c r="R138" i="8"/>
  <c r="O139" i="8"/>
  <c r="Q139" i="8"/>
  <c r="R139" i="8"/>
  <c r="O140" i="8"/>
  <c r="Q140" i="8"/>
  <c r="R140" i="8"/>
  <c r="O141" i="8"/>
  <c r="Q141" i="8"/>
  <c r="R141" i="8"/>
  <c r="O142" i="8"/>
  <c r="Q142" i="8"/>
  <c r="R142" i="8"/>
  <c r="O143" i="8"/>
  <c r="Q143" i="8"/>
  <c r="R143" i="8"/>
  <c r="O144" i="8"/>
  <c r="Q144" i="8"/>
  <c r="R144" i="8"/>
  <c r="O145" i="8"/>
  <c r="Q145" i="8"/>
  <c r="R145" i="8"/>
  <c r="O146" i="8"/>
  <c r="Q146" i="8"/>
  <c r="R146" i="8"/>
  <c r="O147" i="8"/>
  <c r="Q147" i="8"/>
  <c r="R147" i="8"/>
  <c r="O148" i="8"/>
  <c r="Q148" i="8"/>
  <c r="R148" i="8"/>
  <c r="O149" i="8"/>
  <c r="Q149" i="8"/>
  <c r="R149" i="8"/>
  <c r="O150" i="8"/>
  <c r="Q150" i="8"/>
  <c r="R150" i="8"/>
  <c r="H127" i="8"/>
  <c r="H128" i="8"/>
  <c r="K128" i="8" s="1"/>
  <c r="H129" i="8"/>
  <c r="M129" i="8" s="1"/>
  <c r="H130" i="8"/>
  <c r="K130" i="8" s="1"/>
  <c r="H131" i="8"/>
  <c r="K131" i="8" s="1"/>
  <c r="H132" i="8"/>
  <c r="K132" i="8" s="1"/>
  <c r="H133" i="8"/>
  <c r="M133" i="8" s="1"/>
  <c r="H134" i="8"/>
  <c r="K134" i="8" s="1"/>
  <c r="H135" i="8"/>
  <c r="K135" i="8" s="1"/>
  <c r="H136" i="8"/>
  <c r="K136" i="8" s="1"/>
  <c r="H137" i="8"/>
  <c r="M137" i="8" s="1"/>
  <c r="H138" i="8"/>
  <c r="K138" i="8" s="1"/>
  <c r="H139" i="8"/>
  <c r="K139" i="8" s="1"/>
  <c r="H140" i="8"/>
  <c r="K140" i="8" s="1"/>
  <c r="H141" i="8"/>
  <c r="M141" i="8" s="1"/>
  <c r="H142" i="8"/>
  <c r="K142" i="8" s="1"/>
  <c r="H143" i="8"/>
  <c r="K143" i="8" s="1"/>
  <c r="H144" i="8"/>
  <c r="K144" i="8" s="1"/>
  <c r="H145" i="8"/>
  <c r="M145" i="8" s="1"/>
  <c r="H146" i="8"/>
  <c r="K146" i="8" s="1"/>
  <c r="H147" i="8"/>
  <c r="K147" i="8" s="1"/>
  <c r="H148" i="8"/>
  <c r="K148" i="8" s="1"/>
  <c r="H149" i="8"/>
  <c r="M149" i="8" s="1"/>
  <c r="H150" i="8"/>
  <c r="K150" i="8" s="1"/>
  <c r="H151" i="8"/>
  <c r="O126" i="8"/>
  <c r="Q126" i="8"/>
  <c r="R126" i="8"/>
  <c r="O127" i="8"/>
  <c r="Q127" i="8"/>
  <c r="R127" i="8"/>
  <c r="O125" i="8"/>
  <c r="Q125" i="8"/>
  <c r="R125" i="8"/>
  <c r="M238" i="8" l="1"/>
  <c r="S139" i="8"/>
  <c r="K151" i="8"/>
  <c r="S135" i="8"/>
  <c r="S147" i="8"/>
  <c r="S143" i="8"/>
  <c r="S131" i="8"/>
  <c r="M192" i="8"/>
  <c r="M168" i="8"/>
  <c r="M164" i="8"/>
  <c r="M160" i="8"/>
  <c r="M184" i="8"/>
  <c r="M156" i="8"/>
  <c r="M180" i="8"/>
  <c r="M188" i="8"/>
  <c r="M176" i="8"/>
  <c r="M172" i="8"/>
  <c r="S128" i="8"/>
  <c r="S148" i="8"/>
  <c r="S145" i="8"/>
  <c r="S150" i="8"/>
  <c r="S144" i="8"/>
  <c r="S141" i="8"/>
  <c r="S126" i="8"/>
  <c r="S137" i="8"/>
  <c r="S134" i="8"/>
  <c r="S142" i="8"/>
  <c r="S136" i="8"/>
  <c r="S133" i="8"/>
  <c r="S130" i="8"/>
  <c r="S138" i="8"/>
  <c r="S149" i="8"/>
  <c r="S132" i="8"/>
  <c r="S146" i="8"/>
  <c r="S129" i="8"/>
  <c r="S140" i="8"/>
  <c r="M150" i="8"/>
  <c r="M151" i="8" s="1"/>
  <c r="M146" i="8"/>
  <c r="M142" i="8"/>
  <c r="M138" i="8"/>
  <c r="M134" i="8"/>
  <c r="M130" i="8"/>
  <c r="S125" i="8"/>
  <c r="S127" i="8"/>
  <c r="Q79" i="8"/>
  <c r="R79" i="8"/>
  <c r="Q80" i="8"/>
  <c r="R80" i="8"/>
  <c r="Q81" i="8"/>
  <c r="R81" i="8"/>
  <c r="M239" i="8" l="1"/>
  <c r="M152" i="8"/>
  <c r="M135" i="8"/>
  <c r="M147" i="8"/>
  <c r="M143" i="8"/>
  <c r="M131" i="8"/>
  <c r="M139" i="8"/>
  <c r="S81" i="8"/>
  <c r="S80" i="8"/>
  <c r="S79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AB80" i="8"/>
  <c r="AA80" i="8"/>
  <c r="Z80" i="8"/>
  <c r="Y80" i="8"/>
  <c r="X80" i="8"/>
  <c r="W80" i="8"/>
  <c r="V80" i="8"/>
  <c r="U80" i="8"/>
  <c r="B80" i="4"/>
  <c r="M240" i="8" l="1"/>
  <c r="M241" i="8" s="1"/>
  <c r="M242" i="8" s="1"/>
  <c r="M144" i="8"/>
  <c r="M132" i="8"/>
  <c r="M148" i="8"/>
  <c r="M140" i="8"/>
  <c r="M136" i="8"/>
  <c r="H126" i="8"/>
  <c r="H125" i="8"/>
  <c r="R124" i="8"/>
  <c r="O124" i="8"/>
  <c r="H124" i="8"/>
  <c r="R123" i="8"/>
  <c r="O123" i="8"/>
  <c r="H123" i="8"/>
  <c r="K123" i="8" s="1"/>
  <c r="R122" i="8"/>
  <c r="O122" i="8"/>
  <c r="H122" i="8"/>
  <c r="R121" i="8"/>
  <c r="O121" i="8"/>
  <c r="H121" i="8"/>
  <c r="M121" i="8" s="1"/>
  <c r="R120" i="8"/>
  <c r="O120" i="8"/>
  <c r="H120" i="8"/>
  <c r="K120" i="8" s="1"/>
  <c r="R119" i="8"/>
  <c r="O119" i="8"/>
  <c r="H119" i="8"/>
  <c r="K119" i="8" s="1"/>
  <c r="R118" i="8"/>
  <c r="O118" i="8"/>
  <c r="H118" i="8"/>
  <c r="K126" i="8" l="1"/>
  <c r="K127" i="8"/>
  <c r="M125" i="8"/>
  <c r="M126" i="8" s="1"/>
  <c r="S120" i="8"/>
  <c r="S119" i="8"/>
  <c r="S124" i="8"/>
  <c r="S123" i="8"/>
  <c r="S122" i="8"/>
  <c r="S121" i="8"/>
  <c r="S118" i="8"/>
  <c r="M122" i="8"/>
  <c r="M123" i="8" s="1"/>
  <c r="M124" i="8" s="1"/>
  <c r="K122" i="8"/>
  <c r="K124" i="8"/>
  <c r="M118" i="8"/>
  <c r="O106" i="8"/>
  <c r="R106" i="8"/>
  <c r="O107" i="8"/>
  <c r="R107" i="8"/>
  <c r="O108" i="8"/>
  <c r="R108" i="8"/>
  <c r="O109" i="8"/>
  <c r="R109" i="8"/>
  <c r="O110" i="8"/>
  <c r="R110" i="8"/>
  <c r="O111" i="8"/>
  <c r="R111" i="8"/>
  <c r="O112" i="8"/>
  <c r="R112" i="8"/>
  <c r="O113" i="8"/>
  <c r="R113" i="8"/>
  <c r="O114" i="8"/>
  <c r="R114" i="8"/>
  <c r="O115" i="8"/>
  <c r="R115" i="8"/>
  <c r="O116" i="8"/>
  <c r="R116" i="8"/>
  <c r="O117" i="8"/>
  <c r="R117" i="8"/>
  <c r="H113" i="8"/>
  <c r="K113" i="8" s="1"/>
  <c r="H114" i="8"/>
  <c r="H115" i="8"/>
  <c r="K115" i="8" s="1"/>
  <c r="H116" i="8"/>
  <c r="K116" i="8" s="1"/>
  <c r="H117" i="8"/>
  <c r="K117" i="8" s="1"/>
  <c r="R16" i="8"/>
  <c r="M127" i="8" l="1"/>
  <c r="M128" i="8" s="1"/>
  <c r="S114" i="8"/>
  <c r="S111" i="8"/>
  <c r="S108" i="8"/>
  <c r="S117" i="8"/>
  <c r="S109" i="8"/>
  <c r="S106" i="8"/>
  <c r="S116" i="8"/>
  <c r="S110" i="8"/>
  <c r="S115" i="8"/>
  <c r="S112" i="8"/>
  <c r="S107" i="8"/>
  <c r="S113" i="8"/>
  <c r="M119" i="8"/>
  <c r="H112" i="8"/>
  <c r="K112" i="8" s="1"/>
  <c r="H111" i="8"/>
  <c r="K111" i="8" s="1"/>
  <c r="H110" i="8"/>
  <c r="H109" i="8"/>
  <c r="K109" i="8" s="1"/>
  <c r="H108" i="8"/>
  <c r="K108" i="8" s="1"/>
  <c r="H107" i="8"/>
  <c r="K107" i="8" s="1"/>
  <c r="H106" i="8"/>
  <c r="M106" i="8" s="1"/>
  <c r="AB79" i="8"/>
  <c r="AA79" i="8"/>
  <c r="Z79" i="8"/>
  <c r="Y79" i="8"/>
  <c r="X79" i="8"/>
  <c r="W79" i="8"/>
  <c r="V79" i="8"/>
  <c r="U79" i="8"/>
  <c r="B79" i="4"/>
  <c r="R105" i="8"/>
  <c r="O105" i="8"/>
  <c r="H105" i="8"/>
  <c r="K105" i="8" s="1"/>
  <c r="R104" i="8"/>
  <c r="O104" i="8"/>
  <c r="H104" i="8"/>
  <c r="M104" i="8" s="1"/>
  <c r="R10" i="8"/>
  <c r="R11" i="8"/>
  <c r="R12" i="8"/>
  <c r="R13" i="8"/>
  <c r="R14" i="8"/>
  <c r="R15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9" i="8"/>
  <c r="O11" i="8"/>
  <c r="H11" i="8"/>
  <c r="S99" i="8" l="1"/>
  <c r="S87" i="8"/>
  <c r="S83" i="8"/>
  <c r="S71" i="8"/>
  <c r="S67" i="8"/>
  <c r="S63" i="8"/>
  <c r="M105" i="8"/>
  <c r="M107" i="8"/>
  <c r="M108" i="8" s="1"/>
  <c r="M109" i="8" s="1"/>
  <c r="S103" i="8"/>
  <c r="S102" i="8"/>
  <c r="S98" i="8"/>
  <c r="S94" i="8"/>
  <c r="S86" i="8"/>
  <c r="S82" i="8"/>
  <c r="S78" i="8"/>
  <c r="S70" i="8"/>
  <c r="S66" i="8"/>
  <c r="S62" i="8"/>
  <c r="S38" i="8"/>
  <c r="S105" i="8"/>
  <c r="S101" i="8"/>
  <c r="S33" i="8"/>
  <c r="S25" i="8"/>
  <c r="S17" i="8"/>
  <c r="M120" i="8"/>
  <c r="S55" i="8"/>
  <c r="S51" i="8"/>
  <c r="S47" i="8"/>
  <c r="S43" i="8"/>
  <c r="S35" i="8"/>
  <c r="S40" i="8"/>
  <c r="S15" i="8"/>
  <c r="S11" i="8"/>
  <c r="S104" i="8"/>
  <c r="S93" i="8"/>
  <c r="S85" i="8"/>
  <c r="S77" i="8"/>
  <c r="S73" i="8"/>
  <c r="S69" i="8"/>
  <c r="S53" i="8"/>
  <c r="S49" i="8"/>
  <c r="S45" i="8"/>
  <c r="S30" i="8"/>
  <c r="S26" i="8"/>
  <c r="S22" i="8"/>
  <c r="S24" i="8"/>
  <c r="S20" i="8"/>
  <c r="S16" i="8"/>
  <c r="S12" i="8"/>
  <c r="S46" i="8"/>
  <c r="S14" i="8"/>
  <c r="S10" i="8"/>
  <c r="S100" i="8"/>
  <c r="S96" i="8"/>
  <c r="S88" i="8"/>
  <c r="S84" i="8"/>
  <c r="S72" i="8"/>
  <c r="S68" i="8"/>
  <c r="S64" i="8"/>
  <c r="S56" i="8"/>
  <c r="S52" i="8"/>
  <c r="S48" i="8"/>
  <c r="S44" i="8"/>
  <c r="S97" i="8"/>
  <c r="S95" i="8"/>
  <c r="S91" i="8"/>
  <c r="S76" i="8"/>
  <c r="S61" i="8"/>
  <c r="S57" i="8"/>
  <c r="S42" i="8"/>
  <c r="S32" i="8"/>
  <c r="S28" i="8"/>
  <c r="S13" i="8"/>
  <c r="S90" i="8"/>
  <c r="S75" i="8"/>
  <c r="S60" i="8"/>
  <c r="S41" i="8"/>
  <c r="S27" i="8"/>
  <c r="S34" i="8"/>
  <c r="S31" i="8"/>
  <c r="S19" i="8"/>
  <c r="S89" i="8"/>
  <c r="S74" i="8"/>
  <c r="S59" i="8"/>
  <c r="S23" i="8"/>
  <c r="S37" i="8"/>
  <c r="S18" i="8"/>
  <c r="K11" i="8"/>
  <c r="S9" i="8"/>
  <c r="S92" i="8"/>
  <c r="S58" i="8"/>
  <c r="S29" i="8"/>
  <c r="S65" i="8"/>
  <c r="S54" i="8"/>
  <c r="S50" i="8"/>
  <c r="S39" i="8"/>
  <c r="S36" i="8"/>
  <c r="S21" i="8"/>
  <c r="O103" i="8"/>
  <c r="H103" i="8"/>
  <c r="O102" i="8"/>
  <c r="H102" i="8"/>
  <c r="M102" i="8" s="1"/>
  <c r="AR112" i="8" l="1"/>
  <c r="AM110" i="8"/>
  <c r="AR100" i="8"/>
  <c r="AQ95" i="8"/>
  <c r="AR121" i="8"/>
  <c r="AM121" i="8"/>
  <c r="AM137" i="8"/>
  <c r="AR142" i="8"/>
  <c r="AR124" i="8"/>
  <c r="AN137" i="8"/>
  <c r="AR160" i="8"/>
  <c r="AS143" i="8"/>
  <c r="AO171" i="8"/>
  <c r="AP146" i="8"/>
  <c r="AT135" i="8"/>
  <c r="AQ137" i="8"/>
  <c r="AM124" i="8"/>
  <c r="AN138" i="8"/>
  <c r="AP136" i="8"/>
  <c r="AS157" i="8"/>
  <c r="AO130" i="8"/>
  <c r="AS151" i="8"/>
  <c r="AS129" i="8"/>
  <c r="AP115" i="8"/>
  <c r="AS165" i="8"/>
  <c r="AQ112" i="8"/>
  <c r="AS102" i="8"/>
  <c r="AM129" i="8"/>
  <c r="AN153" i="8"/>
  <c r="AP145" i="8"/>
  <c r="AP161" i="8"/>
  <c r="AO114" i="8"/>
  <c r="AQ170" i="8"/>
  <c r="AM165" i="8"/>
  <c r="AN145" i="8"/>
  <c r="AP118" i="8"/>
  <c r="AR173" i="8"/>
  <c r="AT94" i="8"/>
  <c r="AN171" i="8"/>
  <c r="AN124" i="8"/>
  <c r="AR167" i="8"/>
  <c r="AT164" i="8"/>
  <c r="AR126" i="8"/>
  <c r="AO120" i="8"/>
  <c r="AT144" i="8"/>
  <c r="AQ162" i="8"/>
  <c r="AR170" i="8"/>
  <c r="AT133" i="8"/>
  <c r="AO136" i="8"/>
  <c r="AN160" i="8"/>
  <c r="AS166" i="8"/>
  <c r="AT163" i="8"/>
  <c r="AR106" i="8"/>
  <c r="AT111" i="8"/>
  <c r="AQ117" i="8"/>
  <c r="AQ126" i="8"/>
  <c r="AS159" i="8"/>
  <c r="AN108" i="8"/>
  <c r="AM147" i="8"/>
  <c r="AS109" i="8"/>
  <c r="AS156" i="8"/>
  <c r="AS145" i="8"/>
  <c r="AO161" i="8"/>
  <c r="AT105" i="8"/>
  <c r="AT99" i="8"/>
  <c r="AQ116" i="8"/>
  <c r="AT152" i="8"/>
  <c r="AT146" i="8"/>
  <c r="AM118" i="8"/>
  <c r="AQ133" i="8"/>
  <c r="AT140" i="8"/>
  <c r="AQ154" i="8"/>
  <c r="AO154" i="8"/>
  <c r="AO153" i="8"/>
  <c r="AQ152" i="8"/>
  <c r="AT126" i="8"/>
  <c r="AT125" i="8"/>
  <c r="AR140" i="8"/>
  <c r="AN166" i="8"/>
  <c r="AN152" i="8"/>
  <c r="AT108" i="8"/>
  <c r="AP150" i="8"/>
  <c r="AQ174" i="8"/>
  <c r="AQ145" i="8"/>
  <c r="AR163" i="8"/>
  <c r="AP149" i="8"/>
  <c r="AO112" i="8"/>
  <c r="AP152" i="8"/>
  <c r="AP162" i="8"/>
  <c r="AR135" i="8"/>
  <c r="AR138" i="8"/>
  <c r="AP117" i="8"/>
  <c r="AM145" i="8"/>
  <c r="AP153" i="8"/>
  <c r="AQ173" i="8"/>
  <c r="AS123" i="8"/>
  <c r="AN135" i="8"/>
  <c r="AM136" i="8"/>
  <c r="AR168" i="8"/>
  <c r="AR119" i="8"/>
  <c r="AP140" i="8"/>
  <c r="AO169" i="8"/>
  <c r="AQ106" i="8"/>
  <c r="AM158" i="8"/>
  <c r="AM152" i="8"/>
  <c r="AT156" i="8"/>
  <c r="AO146" i="8"/>
  <c r="AR157" i="8"/>
  <c r="AN140" i="8"/>
  <c r="AP130" i="8"/>
  <c r="AN169" i="8"/>
  <c r="AT100" i="8"/>
  <c r="AS149" i="8"/>
  <c r="AN119" i="8"/>
  <c r="AQ149" i="8"/>
  <c r="AT151" i="8"/>
  <c r="AP116" i="8"/>
  <c r="AO142" i="8"/>
  <c r="AN146" i="8"/>
  <c r="AS170" i="8"/>
  <c r="AO143" i="8"/>
  <c r="AM159" i="8"/>
  <c r="AR108" i="8"/>
  <c r="AR151" i="8"/>
  <c r="AR144" i="8"/>
  <c r="AM148" i="8"/>
  <c r="AO144" i="8"/>
  <c r="AS127" i="8"/>
  <c r="AR174" i="8"/>
  <c r="AM146" i="8"/>
  <c r="AR127" i="8"/>
  <c r="AR153" i="8"/>
  <c r="AM141" i="8"/>
  <c r="AR109" i="8"/>
  <c r="AN161" i="8"/>
  <c r="AN141" i="8"/>
  <c r="AS135" i="8"/>
  <c r="AS116" i="8"/>
  <c r="AP124" i="8"/>
  <c r="AQ141" i="8"/>
  <c r="AN109" i="8"/>
  <c r="AP163" i="8"/>
  <c r="AP156" i="8"/>
  <c r="AN111" i="8"/>
  <c r="AP96" i="8"/>
  <c r="AS117" i="8"/>
  <c r="AM135" i="8"/>
  <c r="AN139" i="8"/>
  <c r="AT169" i="8"/>
  <c r="AS148" i="8"/>
  <c r="AT138" i="8"/>
  <c r="AS118" i="8"/>
  <c r="AQ146" i="8"/>
  <c r="AM150" i="8"/>
  <c r="AP142" i="8"/>
  <c r="AS142" i="8"/>
  <c r="AO139" i="8"/>
  <c r="AQ150" i="8"/>
  <c r="AO122" i="8"/>
  <c r="AM153" i="8"/>
  <c r="AQ158" i="8"/>
  <c r="AN116" i="8"/>
  <c r="AO172" i="8"/>
  <c r="AS155" i="8"/>
  <c r="AN120" i="8"/>
  <c r="AR102" i="8"/>
  <c r="AS160" i="8"/>
  <c r="AM125" i="8"/>
  <c r="AS134" i="8"/>
  <c r="AQ138" i="8"/>
  <c r="AQ136" i="8"/>
  <c r="AM166" i="8"/>
  <c r="AR162" i="8"/>
  <c r="AQ114" i="8"/>
  <c r="AP134" i="8"/>
  <c r="AN142" i="8"/>
  <c r="AT143" i="8"/>
  <c r="AO117" i="8"/>
  <c r="AM142" i="8"/>
  <c r="AS158" i="8"/>
  <c r="AO132" i="8"/>
  <c r="AN156" i="8"/>
  <c r="AS107" i="8"/>
  <c r="AT149" i="8"/>
  <c r="AN122" i="8"/>
  <c r="AT172" i="8"/>
  <c r="AP129" i="8"/>
  <c r="AP111" i="8"/>
  <c r="AR164" i="8"/>
  <c r="AR133" i="8"/>
  <c r="AP170" i="8"/>
  <c r="AM154" i="8"/>
  <c r="AQ123" i="8"/>
  <c r="AN173" i="8"/>
  <c r="AS113" i="8"/>
  <c r="AS153" i="8"/>
  <c r="AQ124" i="8"/>
  <c r="AT131" i="8"/>
  <c r="AQ134" i="8"/>
  <c r="AQ128" i="8"/>
  <c r="AP110" i="8"/>
  <c r="AQ167" i="8"/>
  <c r="AR118" i="8"/>
  <c r="AQ153" i="8"/>
  <c r="AO167" i="8"/>
  <c r="AT112" i="8"/>
  <c r="AR146" i="8"/>
  <c r="AT95" i="8"/>
  <c r="AS120" i="8"/>
  <c r="AN157" i="8"/>
  <c r="AO145" i="8"/>
  <c r="AM167" i="8"/>
  <c r="AP144" i="8"/>
  <c r="AP138" i="8"/>
  <c r="AT134" i="8"/>
  <c r="AT104" i="8"/>
  <c r="AN125" i="8"/>
  <c r="AO110" i="8"/>
  <c r="AM157" i="8"/>
  <c r="AP131" i="8"/>
  <c r="AP166" i="8"/>
  <c r="AM106" i="8"/>
  <c r="AT147" i="8"/>
  <c r="AR159" i="8"/>
  <c r="AP143" i="8"/>
  <c r="AO157" i="8"/>
  <c r="AR155" i="8"/>
  <c r="AT158" i="8"/>
  <c r="AS152" i="8"/>
  <c r="AT153" i="8"/>
  <c r="AN148" i="8"/>
  <c r="AN155" i="8"/>
  <c r="AT123" i="8"/>
  <c r="AP112" i="8"/>
  <c r="AS99" i="8"/>
  <c r="AO150" i="8"/>
  <c r="AO135" i="8"/>
  <c r="AS108" i="8"/>
  <c r="AS161" i="8"/>
  <c r="AS95" i="8"/>
  <c r="AR130" i="8"/>
  <c r="AS125" i="8"/>
  <c r="AT148" i="8"/>
  <c r="AO170" i="8"/>
  <c r="AT110" i="8"/>
  <c r="AR105" i="8"/>
  <c r="AO148" i="8"/>
  <c r="AO168" i="8"/>
  <c r="AT102" i="8"/>
  <c r="AQ104" i="8"/>
  <c r="AP126" i="8"/>
  <c r="AQ140" i="8"/>
  <c r="AP123" i="8"/>
  <c r="AQ132" i="8"/>
  <c r="AR145" i="8"/>
  <c r="AS150" i="8"/>
  <c r="AM143" i="8"/>
  <c r="AN163" i="8"/>
  <c r="AM123" i="8"/>
  <c r="AT173" i="8"/>
  <c r="AT168" i="8"/>
  <c r="AQ122" i="8"/>
  <c r="AR150" i="8"/>
  <c r="AR114" i="8"/>
  <c r="AS162" i="8"/>
  <c r="AT106" i="8"/>
  <c r="AM126" i="8"/>
  <c r="AN159" i="8"/>
  <c r="AS133" i="8"/>
  <c r="AP105" i="8"/>
  <c r="AR136" i="8"/>
  <c r="AR111" i="8"/>
  <c r="AT115" i="8"/>
  <c r="AQ157" i="8"/>
  <c r="AP113" i="8"/>
  <c r="AR148" i="8"/>
  <c r="AQ99" i="8"/>
  <c r="AP121" i="8"/>
  <c r="AN143" i="8"/>
  <c r="AN158" i="8"/>
  <c r="AR128" i="8"/>
  <c r="AN115" i="8"/>
  <c r="AT159" i="8"/>
  <c r="AR103" i="8"/>
  <c r="AR172" i="8"/>
  <c r="AQ135" i="8"/>
  <c r="AS106" i="8"/>
  <c r="AM173" i="8"/>
  <c r="AQ142" i="8"/>
  <c r="AO165" i="8"/>
  <c r="AM122" i="8"/>
  <c r="AT165" i="8"/>
  <c r="AO140" i="8"/>
  <c r="AS154" i="8"/>
  <c r="AM151" i="8"/>
  <c r="AO125" i="8"/>
  <c r="AT132" i="8"/>
  <c r="AM112" i="8"/>
  <c r="AM108" i="8"/>
  <c r="AN118" i="8"/>
  <c r="AN167" i="8"/>
  <c r="AM119" i="8"/>
  <c r="AO152" i="8"/>
  <c r="AR129" i="8"/>
  <c r="AR117" i="8"/>
  <c r="AO129" i="8"/>
  <c r="AR134" i="8"/>
  <c r="AM114" i="8"/>
  <c r="AT124" i="8"/>
  <c r="AT109" i="8"/>
  <c r="AS104" i="8"/>
  <c r="AP122" i="8"/>
  <c r="AS103" i="8"/>
  <c r="AM172" i="8"/>
  <c r="AO121" i="8"/>
  <c r="AT127" i="8"/>
  <c r="AT145" i="8"/>
  <c r="AN144" i="8"/>
  <c r="AS147" i="8"/>
  <c r="AM161" i="8"/>
  <c r="AR113" i="8"/>
  <c r="AR131" i="8"/>
  <c r="AM156" i="8"/>
  <c r="AQ155" i="8"/>
  <c r="AM113" i="8"/>
  <c r="AO134" i="8"/>
  <c r="AQ118" i="8"/>
  <c r="AO119" i="8"/>
  <c r="AM169" i="8"/>
  <c r="AS174" i="8"/>
  <c r="AQ107" i="8"/>
  <c r="AN128" i="8"/>
  <c r="AR125" i="8"/>
  <c r="AS169" i="8"/>
  <c r="AO158" i="8"/>
  <c r="AN151" i="8"/>
  <c r="AP119" i="8"/>
  <c r="AP164" i="8"/>
  <c r="AP151" i="8"/>
  <c r="AQ148" i="8"/>
  <c r="AM170" i="8"/>
  <c r="AP108" i="8"/>
  <c r="AP135" i="8"/>
  <c r="AR147" i="8"/>
  <c r="AT141" i="8"/>
  <c r="AR169" i="8"/>
  <c r="AT107" i="8"/>
  <c r="AM130" i="8"/>
  <c r="AP147" i="8"/>
  <c r="AO107" i="8"/>
  <c r="AQ166" i="8"/>
  <c r="AR115" i="8"/>
  <c r="AT121" i="8"/>
  <c r="AP128" i="8"/>
  <c r="AS146" i="8"/>
  <c r="AS122" i="8"/>
  <c r="AO149" i="8"/>
  <c r="AR165" i="8"/>
  <c r="AP139" i="8"/>
  <c r="AQ159" i="8"/>
  <c r="AP165" i="8"/>
  <c r="AR158" i="8"/>
  <c r="AN112" i="8"/>
  <c r="AP173" i="8"/>
  <c r="AS111" i="8"/>
  <c r="AQ172" i="8"/>
  <c r="AO138" i="8"/>
  <c r="AS100" i="8"/>
  <c r="AN132" i="8"/>
  <c r="AM120" i="8"/>
  <c r="AQ151" i="8"/>
  <c r="AT117" i="8"/>
  <c r="AM117" i="8"/>
  <c r="AS136" i="8"/>
  <c r="AO116" i="8"/>
  <c r="AM149" i="8"/>
  <c r="AN114" i="8"/>
  <c r="AQ113" i="8"/>
  <c r="AN150" i="8"/>
  <c r="AR161" i="8"/>
  <c r="AO118" i="8"/>
  <c r="AQ103" i="8"/>
  <c r="AP174" i="8"/>
  <c r="AS112" i="8"/>
  <c r="AR95" i="8"/>
  <c r="AO111" i="8"/>
  <c r="AN106" i="8"/>
  <c r="AP137" i="8"/>
  <c r="AS140" i="8"/>
  <c r="AS115" i="8"/>
  <c r="AQ100" i="8"/>
  <c r="AN174" i="8"/>
  <c r="AO108" i="8"/>
  <c r="AO164" i="8"/>
  <c r="AO106" i="8"/>
  <c r="AM128" i="8"/>
  <c r="AO115" i="8"/>
  <c r="AO124" i="8"/>
  <c r="AN162" i="8"/>
  <c r="AT142" i="8"/>
  <c r="AM116" i="8"/>
  <c r="AN164" i="8"/>
  <c r="AQ129" i="8"/>
  <c r="AS114" i="8"/>
  <c r="AO173" i="8"/>
  <c r="AS94" i="8"/>
  <c r="AQ127" i="8"/>
  <c r="AO166" i="8"/>
  <c r="AN131" i="8"/>
  <c r="AP114" i="8"/>
  <c r="AS119" i="8"/>
  <c r="AR123" i="8"/>
  <c r="AT130" i="8"/>
  <c r="AS131" i="8"/>
  <c r="AP109" i="8"/>
  <c r="AN130" i="8"/>
  <c r="AQ161" i="8"/>
  <c r="AN147" i="8"/>
  <c r="AR107" i="8"/>
  <c r="AP159" i="8"/>
  <c r="AN170" i="8"/>
  <c r="AP141" i="8"/>
  <c r="AM171" i="8"/>
  <c r="AR143" i="8"/>
  <c r="AO109" i="8"/>
  <c r="AN134" i="8"/>
  <c r="AR99" i="8"/>
  <c r="AT167" i="8"/>
  <c r="AO113" i="8"/>
  <c r="AP133" i="8"/>
  <c r="AR141" i="8"/>
  <c r="AP158" i="8"/>
  <c r="AN127" i="8"/>
  <c r="AT103" i="8"/>
  <c r="AN133" i="8"/>
  <c r="AQ144" i="8"/>
  <c r="AO156" i="8"/>
  <c r="AN110" i="8"/>
  <c r="AQ160" i="8"/>
  <c r="AQ165" i="8"/>
  <c r="AR110" i="8"/>
  <c r="AP168" i="8"/>
  <c r="AS163" i="8"/>
  <c r="AT155" i="8"/>
  <c r="AS126" i="8"/>
  <c r="AQ147" i="8"/>
  <c r="AQ111" i="8"/>
  <c r="AS138" i="8"/>
  <c r="AM155" i="8"/>
  <c r="AT116" i="8"/>
  <c r="AP171" i="8"/>
  <c r="AO147" i="8"/>
  <c r="AT161" i="8"/>
  <c r="AP154" i="8"/>
  <c r="AS124" i="8"/>
  <c r="AR156" i="8"/>
  <c r="AT160" i="8"/>
  <c r="AS137" i="8"/>
  <c r="AQ139" i="8"/>
  <c r="AO151" i="8"/>
  <c r="AM109" i="8"/>
  <c r="AM115" i="8"/>
  <c r="AN117" i="8"/>
  <c r="AP107" i="8"/>
  <c r="AM162" i="8"/>
  <c r="AT114" i="8"/>
  <c r="AO137" i="8"/>
  <c r="AN149" i="8"/>
  <c r="AM164" i="8"/>
  <c r="AP172" i="8"/>
  <c r="AO141" i="8"/>
  <c r="AS132" i="8"/>
  <c r="AQ171" i="8"/>
  <c r="AO126" i="8"/>
  <c r="AO133" i="8"/>
  <c r="AT154" i="8"/>
  <c r="AQ119" i="8"/>
  <c r="AN129" i="8"/>
  <c r="AN172" i="8"/>
  <c r="AT101" i="8"/>
  <c r="AR116" i="8"/>
  <c r="AT139" i="8"/>
  <c r="AO159" i="8"/>
  <c r="AS144" i="8"/>
  <c r="AQ110" i="8"/>
  <c r="AR137" i="8"/>
  <c r="AO128" i="8"/>
  <c r="AP100" i="8"/>
  <c r="AM139" i="8"/>
  <c r="AM160" i="8"/>
  <c r="AT129" i="8"/>
  <c r="AR120" i="8"/>
  <c r="AQ125" i="8"/>
  <c r="AQ143" i="8"/>
  <c r="AS139" i="8"/>
  <c r="AT157" i="8"/>
  <c r="AS110" i="8"/>
  <c r="AP125" i="8"/>
  <c r="AM133" i="8"/>
  <c r="AQ130" i="8"/>
  <c r="AO160" i="8"/>
  <c r="AS168" i="8"/>
  <c r="AP132" i="8"/>
  <c r="AP106" i="8"/>
  <c r="AM144" i="8"/>
  <c r="AQ120" i="8"/>
  <c r="AM127" i="8"/>
  <c r="AP148" i="8"/>
  <c r="AN123" i="8"/>
  <c r="AS130" i="8"/>
  <c r="AN136" i="8"/>
  <c r="AT113" i="8"/>
  <c r="AN165" i="8"/>
  <c r="AN121" i="8"/>
  <c r="AR152" i="8"/>
  <c r="AT119" i="8"/>
  <c r="AS167" i="8"/>
  <c r="AN126" i="8"/>
  <c r="AQ102" i="8"/>
  <c r="AQ105" i="8"/>
  <c r="AR154" i="8"/>
  <c r="AP120" i="8"/>
  <c r="AS164" i="8"/>
  <c r="AQ168" i="8"/>
  <c r="AQ109" i="8"/>
  <c r="AQ156" i="8"/>
  <c r="AM107" i="8"/>
  <c r="AO131" i="8"/>
  <c r="AQ163" i="8"/>
  <c r="AM111" i="8"/>
  <c r="AR166" i="8"/>
  <c r="AM163" i="8"/>
  <c r="AT120" i="8"/>
  <c r="AP157" i="8"/>
  <c r="AT122" i="8"/>
  <c r="AP167" i="8"/>
  <c r="AQ131" i="8"/>
  <c r="AP127" i="8"/>
  <c r="AT166" i="8"/>
  <c r="AT162" i="8"/>
  <c r="AM138" i="8"/>
  <c r="AS105" i="8"/>
  <c r="AQ108" i="8"/>
  <c r="AR122" i="8"/>
  <c r="AR101" i="8"/>
  <c r="AN113" i="8"/>
  <c r="AP95" i="8"/>
  <c r="AP102" i="8"/>
  <c r="AR132" i="8"/>
  <c r="AS141" i="8"/>
  <c r="AS172" i="8"/>
  <c r="AM132" i="8"/>
  <c r="AQ121" i="8"/>
  <c r="AR149" i="8"/>
  <c r="AP155" i="8"/>
  <c r="AQ164" i="8"/>
  <c r="AR96" i="8"/>
  <c r="AO127" i="8"/>
  <c r="AS171" i="8"/>
  <c r="AQ115" i="8"/>
  <c r="AT128" i="8"/>
  <c r="AT171" i="8"/>
  <c r="AM140" i="8"/>
  <c r="AT137" i="8"/>
  <c r="AS128" i="8"/>
  <c r="AR104" i="8"/>
  <c r="AO174" i="8"/>
  <c r="AM168" i="8"/>
  <c r="AR171" i="8"/>
  <c r="AO123" i="8"/>
  <c r="AS173" i="8"/>
  <c r="AP160" i="8"/>
  <c r="AT136" i="8"/>
  <c r="AT118" i="8"/>
  <c r="AM134" i="8"/>
  <c r="AO163" i="8"/>
  <c r="AQ96" i="8"/>
  <c r="AS121" i="8"/>
  <c r="AR139" i="8"/>
  <c r="AP169" i="8"/>
  <c r="AQ169" i="8"/>
  <c r="AM131" i="8"/>
  <c r="AO155" i="8"/>
  <c r="AN107" i="8"/>
  <c r="AN168" i="8"/>
  <c r="AN154" i="8"/>
  <c r="AT174" i="8"/>
  <c r="AM174" i="8"/>
  <c r="AS96" i="8"/>
  <c r="AT150" i="8"/>
  <c r="AT170" i="8"/>
  <c r="AO162" i="8"/>
  <c r="AT96" i="8"/>
  <c r="AS101" i="8"/>
  <c r="AS91" i="8"/>
  <c r="AT91" i="8"/>
  <c r="AT90" i="8"/>
  <c r="AR90" i="8"/>
  <c r="AR91" i="8"/>
  <c r="AS90" i="8"/>
  <c r="AS87" i="8"/>
  <c r="AT89" i="8"/>
  <c r="AS89" i="8"/>
  <c r="AQ89" i="8"/>
  <c r="AT87" i="8"/>
  <c r="AR89" i="8"/>
  <c r="AT88" i="8"/>
  <c r="AS86" i="8"/>
  <c r="AP86" i="8"/>
  <c r="AT86" i="8"/>
  <c r="AR86" i="8"/>
  <c r="AQ86" i="8"/>
  <c r="AT84" i="8"/>
  <c r="AS84" i="8"/>
  <c r="AR84" i="8"/>
  <c r="AS85" i="8"/>
  <c r="AT85" i="8"/>
  <c r="AR85" i="8"/>
  <c r="AT82" i="8"/>
  <c r="AT83" i="8"/>
  <c r="AS82" i="8"/>
  <c r="AS83" i="8"/>
  <c r="AR82" i="8"/>
  <c r="AR83" i="8"/>
  <c r="AQ80" i="8"/>
  <c r="AT80" i="8"/>
  <c r="AR80" i="8"/>
  <c r="AS80" i="8"/>
  <c r="AP80" i="8"/>
  <c r="AD99" i="8"/>
  <c r="AE99" i="8"/>
  <c r="AF99" i="8"/>
  <c r="AG99" i="8"/>
  <c r="AH99" i="8"/>
  <c r="AI99" i="8"/>
  <c r="AJ99" i="8"/>
  <c r="AK99" i="8"/>
  <c r="AD100" i="8"/>
  <c r="AE100" i="8"/>
  <c r="AF100" i="8"/>
  <c r="AH100" i="8"/>
  <c r="AI100" i="8"/>
  <c r="AG100" i="8"/>
  <c r="AK100" i="8"/>
  <c r="AJ100" i="8"/>
  <c r="AD106" i="8"/>
  <c r="AH105" i="8"/>
  <c r="AE101" i="8"/>
  <c r="AF104" i="8"/>
  <c r="AG101" i="8"/>
  <c r="AJ101" i="8"/>
  <c r="AK105" i="8"/>
  <c r="AH101" i="8"/>
  <c r="AD107" i="8"/>
  <c r="AF102" i="8"/>
  <c r="AG104" i="8"/>
  <c r="AE104" i="8"/>
  <c r="AF107" i="8"/>
  <c r="AK101" i="8"/>
  <c r="AG107" i="8"/>
  <c r="AD105" i="8"/>
  <c r="AG106" i="8"/>
  <c r="AH106" i="8"/>
  <c r="AE103" i="8"/>
  <c r="AJ107" i="8"/>
  <c r="AG105" i="8"/>
  <c r="AD103" i="8"/>
  <c r="AJ103" i="8"/>
  <c r="AE106" i="8"/>
  <c r="AH107" i="8"/>
  <c r="AJ106" i="8"/>
  <c r="AJ105" i="8"/>
  <c r="AG103" i="8"/>
  <c r="AD101" i="8"/>
  <c r="AG102" i="8"/>
  <c r="AK102" i="8"/>
  <c r="AK106" i="8"/>
  <c r="AH103" i="8"/>
  <c r="AJ104" i="8"/>
  <c r="AE102" i="8"/>
  <c r="AD104" i="8"/>
  <c r="AJ102" i="8"/>
  <c r="AE105" i="8"/>
  <c r="AK107" i="8"/>
  <c r="AF105" i="8"/>
  <c r="AI106" i="8"/>
  <c r="AI102" i="8"/>
  <c r="AK103" i="8"/>
  <c r="AF103" i="8"/>
  <c r="AI104" i="8"/>
  <c r="AI101" i="8"/>
  <c r="AI107" i="8"/>
  <c r="AF101" i="8"/>
  <c r="AH102" i="8"/>
  <c r="AI105" i="8"/>
  <c r="AK104" i="8"/>
  <c r="AI103" i="8"/>
  <c r="AE107" i="8"/>
  <c r="AH104" i="8"/>
  <c r="AF106" i="8"/>
  <c r="AD102" i="8"/>
  <c r="AG165" i="8"/>
  <c r="AJ119" i="8"/>
  <c r="AI140" i="8"/>
  <c r="AK146" i="8"/>
  <c r="AF122" i="8"/>
  <c r="AJ158" i="8"/>
  <c r="AE121" i="8"/>
  <c r="AI123" i="8"/>
  <c r="AJ143" i="8"/>
  <c r="AI129" i="8"/>
  <c r="AD163" i="8"/>
  <c r="AK110" i="8"/>
  <c r="AF160" i="8"/>
  <c r="AD142" i="8"/>
  <c r="AH114" i="8"/>
  <c r="AH149" i="8"/>
  <c r="AK142" i="8"/>
  <c r="AF111" i="8"/>
  <c r="AJ140" i="8"/>
  <c r="AF123" i="8"/>
  <c r="AG153" i="8"/>
  <c r="AE131" i="8"/>
  <c r="AH122" i="8"/>
  <c r="AF109" i="8"/>
  <c r="AG120" i="8"/>
  <c r="AF167" i="8"/>
  <c r="AE159" i="8"/>
  <c r="AI138" i="8"/>
  <c r="AD110" i="8"/>
  <c r="AH139" i="8"/>
  <c r="AI164" i="8"/>
  <c r="AK163" i="8"/>
  <c r="AJ171" i="8"/>
  <c r="AH173" i="8"/>
  <c r="AI159" i="8"/>
  <c r="AG162" i="8"/>
  <c r="AE139" i="8"/>
  <c r="AF116" i="8"/>
  <c r="AK152" i="8"/>
  <c r="AI131" i="8"/>
  <c r="AJ113" i="8"/>
  <c r="AH152" i="8"/>
  <c r="AI154" i="8"/>
  <c r="AE151" i="8"/>
  <c r="AK156" i="8"/>
  <c r="AG136" i="8"/>
  <c r="AD134" i="8"/>
  <c r="AF133" i="8"/>
  <c r="AI128" i="8"/>
  <c r="AF152" i="8"/>
  <c r="AK127" i="8"/>
  <c r="AF154" i="8"/>
  <c r="AE122" i="8"/>
  <c r="AJ151" i="8"/>
  <c r="AJ134" i="8"/>
  <c r="AH123" i="8"/>
  <c r="AE148" i="8"/>
  <c r="AE125" i="8"/>
  <c r="AK153" i="8"/>
  <c r="AJ165" i="8"/>
  <c r="AH121" i="8"/>
  <c r="AE147" i="8"/>
  <c r="AG161" i="8"/>
  <c r="AF139" i="8"/>
  <c r="AK138" i="8"/>
  <c r="AF164" i="8"/>
  <c r="AK171" i="8"/>
  <c r="AG152" i="8"/>
  <c r="AG157" i="8"/>
  <c r="AI172" i="8"/>
  <c r="AH172" i="8"/>
  <c r="AE156" i="8"/>
  <c r="AJ109" i="8"/>
  <c r="AK151" i="8"/>
  <c r="AE127" i="8"/>
  <c r="AJ112" i="8"/>
  <c r="AJ161" i="8"/>
  <c r="AF140" i="8"/>
  <c r="AJ142" i="8"/>
  <c r="AH108" i="8"/>
  <c r="AK144" i="8"/>
  <c r="AK150" i="8"/>
  <c r="AE123" i="8"/>
  <c r="AK126" i="8"/>
  <c r="AG135" i="8"/>
  <c r="AJ148" i="8"/>
  <c r="AD108" i="8"/>
  <c r="AG139" i="8"/>
  <c r="AG142" i="8"/>
  <c r="AJ144" i="8"/>
  <c r="AD122" i="8"/>
  <c r="AK122" i="8"/>
  <c r="AJ135" i="8"/>
  <c r="AD162" i="8"/>
  <c r="AI117" i="8"/>
  <c r="AF124" i="8"/>
  <c r="AI146" i="8"/>
  <c r="AK119" i="8"/>
  <c r="AJ146" i="8"/>
  <c r="AD123" i="8"/>
  <c r="AD153" i="8"/>
  <c r="AI124" i="8"/>
  <c r="AF153" i="8"/>
  <c r="AD125" i="8"/>
  <c r="AI168" i="8"/>
  <c r="AG138" i="8"/>
  <c r="AF129" i="8"/>
  <c r="AD164" i="8"/>
  <c r="AI167" i="8"/>
  <c r="AH119" i="8"/>
  <c r="AH174" i="8"/>
  <c r="AI166" i="8"/>
  <c r="AH124" i="8"/>
  <c r="AI126" i="8"/>
  <c r="AD131" i="8"/>
  <c r="AI158" i="8"/>
  <c r="AJ131" i="8"/>
  <c r="AI165" i="8"/>
  <c r="AD138" i="8"/>
  <c r="AH125" i="8"/>
  <c r="AI141" i="8"/>
  <c r="AK116" i="8"/>
  <c r="AE142" i="8"/>
  <c r="AH144" i="8"/>
  <c r="AI171" i="8"/>
  <c r="AH145" i="8"/>
  <c r="AG140" i="8"/>
  <c r="AF146" i="8"/>
  <c r="AJ147" i="8"/>
  <c r="AH143" i="8"/>
  <c r="AG115" i="8"/>
  <c r="AJ154" i="8"/>
  <c r="AK141" i="8"/>
  <c r="AE126" i="8"/>
  <c r="AG126" i="8"/>
  <c r="AG134" i="8"/>
  <c r="AJ163" i="8"/>
  <c r="AJ153" i="8"/>
  <c r="AH116" i="8"/>
  <c r="AK143" i="8"/>
  <c r="AH147" i="8"/>
  <c r="AE108" i="8"/>
  <c r="AG169" i="8"/>
  <c r="AI137" i="8"/>
  <c r="AE118" i="8"/>
  <c r="AG146" i="8"/>
  <c r="AF142" i="8"/>
  <c r="AE144" i="8"/>
  <c r="AG116" i="8"/>
  <c r="AI114" i="8"/>
  <c r="AG144" i="8"/>
  <c r="AJ162" i="8"/>
  <c r="AD151" i="8"/>
  <c r="AH154" i="8"/>
  <c r="AH129" i="8"/>
  <c r="AE165" i="8"/>
  <c r="AF114" i="8"/>
  <c r="AH150" i="8"/>
  <c r="AI150" i="8"/>
  <c r="AH130" i="8"/>
  <c r="AE157" i="8"/>
  <c r="AG145" i="8"/>
  <c r="AH131" i="8"/>
  <c r="AE109" i="8"/>
  <c r="AH168" i="8"/>
  <c r="AE141" i="8"/>
  <c r="AF127" i="8"/>
  <c r="AG167" i="8"/>
  <c r="AE119" i="8"/>
  <c r="AF144" i="8"/>
  <c r="AI170" i="8"/>
  <c r="AE146" i="8"/>
  <c r="AE154" i="8"/>
  <c r="AD174" i="8"/>
  <c r="AF134" i="8"/>
  <c r="AE134" i="8"/>
  <c r="AJ136" i="8"/>
  <c r="AE113" i="8"/>
  <c r="AH160" i="8"/>
  <c r="AE140" i="8"/>
  <c r="AD140" i="8"/>
  <c r="AI132" i="8"/>
  <c r="AK109" i="8"/>
  <c r="AH141" i="8"/>
  <c r="AH135" i="8"/>
  <c r="AK112" i="8"/>
  <c r="AD161" i="8"/>
  <c r="AD152" i="8"/>
  <c r="AH133" i="8"/>
  <c r="AK139" i="8"/>
  <c r="AH127" i="8"/>
  <c r="AD112" i="8"/>
  <c r="AK114" i="8"/>
  <c r="AE158" i="8"/>
  <c r="AD147" i="8"/>
  <c r="AD118" i="8"/>
  <c r="AF117" i="8"/>
  <c r="AK157" i="8"/>
  <c r="AG156" i="8"/>
  <c r="AG124" i="8"/>
  <c r="AG154" i="8"/>
  <c r="AF130" i="8"/>
  <c r="AD157" i="8"/>
  <c r="AH158" i="8"/>
  <c r="AF165" i="8"/>
  <c r="AI133" i="8"/>
  <c r="AF135" i="8"/>
  <c r="AK169" i="8"/>
  <c r="AF120" i="8"/>
  <c r="AG143" i="8"/>
  <c r="AK165" i="8"/>
  <c r="AH120" i="8"/>
  <c r="AF147" i="8"/>
  <c r="AK135" i="8"/>
  <c r="AJ120" i="8"/>
  <c r="AF149" i="8"/>
  <c r="AK147" i="8"/>
  <c r="AD173" i="8"/>
  <c r="AD133" i="8"/>
  <c r="AI130" i="8"/>
  <c r="AJ124" i="8"/>
  <c r="AK108" i="8"/>
  <c r="AK129" i="8"/>
  <c r="AD158" i="8"/>
  <c r="AD128" i="8"/>
  <c r="AD116" i="8"/>
  <c r="AH157" i="8"/>
  <c r="AJ156" i="8"/>
  <c r="AG130" i="8"/>
  <c r="AJ138" i="8"/>
  <c r="AK131" i="8"/>
  <c r="AD141" i="8"/>
  <c r="AH142" i="8"/>
  <c r="AG117" i="8"/>
  <c r="AJ170" i="8"/>
  <c r="AF126" i="8"/>
  <c r="AK155" i="8"/>
  <c r="AF158" i="8"/>
  <c r="AI163" i="8"/>
  <c r="AF166" i="8"/>
  <c r="AJ118" i="8"/>
  <c r="AD109" i="8"/>
  <c r="AK134" i="8"/>
  <c r="AK158" i="8"/>
  <c r="AG121" i="8"/>
  <c r="AK145" i="8"/>
  <c r="AD132" i="8"/>
  <c r="AI121" i="8"/>
  <c r="AH138" i="8"/>
  <c r="AK121" i="8"/>
  <c r="AG119" i="8"/>
  <c r="AD146" i="8"/>
  <c r="AD124" i="8"/>
  <c r="AK149" i="8"/>
  <c r="AG166" i="8"/>
  <c r="AD121" i="8"/>
  <c r="AK128" i="8"/>
  <c r="AD114" i="8"/>
  <c r="AH128" i="8"/>
  <c r="AK132" i="8"/>
  <c r="AD137" i="8"/>
  <c r="AF119" i="8"/>
  <c r="AE170" i="8"/>
  <c r="AD129" i="8"/>
  <c r="AH115" i="8"/>
  <c r="AE155" i="8"/>
  <c r="AD160" i="8"/>
  <c r="AG173" i="8"/>
  <c r="AI161" i="8"/>
  <c r="AF132" i="8"/>
  <c r="AK136" i="8"/>
  <c r="AF128" i="8"/>
  <c r="AH111" i="8"/>
  <c r="AG109" i="8"/>
  <c r="AE112" i="8"/>
  <c r="AH165" i="8"/>
  <c r="AJ123" i="8"/>
  <c r="AD156" i="8"/>
  <c r="AJ132" i="8"/>
  <c r="AI151" i="8"/>
  <c r="AI108" i="8"/>
  <c r="AD130" i="8"/>
  <c r="AH156" i="8"/>
  <c r="AK137" i="8"/>
  <c r="AH163" i="8"/>
  <c r="AD135" i="8"/>
  <c r="AJ122" i="8"/>
  <c r="AJ168" i="8"/>
  <c r="AD149" i="8"/>
  <c r="AJ141" i="8"/>
  <c r="AG170" i="8"/>
  <c r="AG159" i="8"/>
  <c r="AK120" i="8"/>
  <c r="AI147" i="8"/>
  <c r="AD150" i="8"/>
  <c r="AE150" i="8"/>
  <c r="AD115" i="8"/>
  <c r="AK124" i="8"/>
  <c r="AF113" i="8"/>
  <c r="AK164" i="8"/>
  <c r="AG150" i="8"/>
  <c r="AD117" i="8"/>
  <c r="AE162" i="8"/>
  <c r="AG127" i="8"/>
  <c r="AK166" i="8"/>
  <c r="AF143" i="8"/>
  <c r="AK154" i="8"/>
  <c r="AI162" i="8"/>
  <c r="AE153" i="8"/>
  <c r="AI143" i="8"/>
  <c r="AJ130" i="8"/>
  <c r="AH132" i="8"/>
  <c r="AG125" i="8"/>
  <c r="AF112" i="8"/>
  <c r="AJ174" i="8"/>
  <c r="AJ114" i="8"/>
  <c r="AF145" i="8"/>
  <c r="AE168" i="8"/>
  <c r="AK115" i="8"/>
  <c r="AH161" i="8"/>
  <c r="AG118" i="8"/>
  <c r="AI125" i="8"/>
  <c r="AI174" i="8"/>
  <c r="AG110" i="8"/>
  <c r="AH136" i="8"/>
  <c r="AE130" i="8"/>
  <c r="AD113" i="8"/>
  <c r="AK140" i="8"/>
  <c r="AD165" i="8"/>
  <c r="AK113" i="8"/>
  <c r="AE166" i="8"/>
  <c r="AH169" i="8"/>
  <c r="AG122" i="8"/>
  <c r="AH166" i="8"/>
  <c r="AE143" i="8"/>
  <c r="AI148" i="8"/>
  <c r="AH109" i="8"/>
  <c r="AI135" i="8"/>
  <c r="AK168" i="8"/>
  <c r="AJ125" i="8"/>
  <c r="AJ116" i="8"/>
  <c r="AH167" i="8"/>
  <c r="AK162" i="8"/>
  <c r="AJ149" i="8"/>
  <c r="AE128" i="8"/>
  <c r="AK159" i="8"/>
  <c r="AF136" i="8"/>
  <c r="AH113" i="8"/>
  <c r="AE114" i="8"/>
  <c r="AJ110" i="8"/>
  <c r="AI160" i="8"/>
  <c r="AH110" i="8"/>
  <c r="AF137" i="8"/>
  <c r="AE116" i="8"/>
  <c r="AJ152" i="8"/>
  <c r="AD155" i="8"/>
  <c r="AH162" i="8"/>
  <c r="AF159" i="8"/>
  <c r="AK173" i="8"/>
  <c r="AD111" i="8"/>
  <c r="AH137" i="8"/>
  <c r="AI136" i="8"/>
  <c r="AD166" i="8"/>
  <c r="AI118" i="8"/>
  <c r="AG123" i="8"/>
  <c r="AI153" i="8"/>
  <c r="AI115" i="8"/>
  <c r="AG168" i="8"/>
  <c r="AJ145" i="8"/>
  <c r="AF125" i="8"/>
  <c r="AD159" i="8"/>
  <c r="AG147" i="8"/>
  <c r="AE164" i="8"/>
  <c r="AJ129" i="8"/>
  <c r="AK160" i="8"/>
  <c r="AI173" i="8"/>
  <c r="AE135" i="8"/>
  <c r="AJ111" i="8"/>
  <c r="AG113" i="8"/>
  <c r="AJ108" i="8"/>
  <c r="AG128" i="8"/>
  <c r="AI116" i="8"/>
  <c r="AD139" i="8"/>
  <c r="AI109" i="8"/>
  <c r="AG148" i="8"/>
  <c r="AE133" i="8"/>
  <c r="AJ126" i="8"/>
  <c r="AD136" i="8"/>
  <c r="AK125" i="8"/>
  <c r="AH112" i="8"/>
  <c r="AJ137" i="8"/>
  <c r="AG163" i="8"/>
  <c r="AH118" i="8"/>
  <c r="AE145" i="8"/>
  <c r="AD168" i="8"/>
  <c r="AK118" i="8"/>
  <c r="AD143" i="8"/>
  <c r="AJ169" i="8"/>
  <c r="AF121" i="8"/>
  <c r="AF138" i="8"/>
  <c r="AJ127" i="8"/>
  <c r="AF161" i="8"/>
  <c r="AI120" i="8"/>
  <c r="AG129" i="8"/>
  <c r="AJ159" i="8"/>
  <c r="AG112" i="8"/>
  <c r="AG149" i="8"/>
  <c r="AJ133" i="8"/>
  <c r="AI134" i="8"/>
  <c r="AD120" i="8"/>
  <c r="AI157" i="8"/>
  <c r="AD172" i="8"/>
  <c r="AK117" i="8"/>
  <c r="AJ139" i="8"/>
  <c r="AF118" i="8"/>
  <c r="AD145" i="8"/>
  <c r="AI145" i="8"/>
  <c r="AI122" i="8"/>
  <c r="AF148" i="8"/>
  <c r="AD127" i="8"/>
  <c r="AF141" i="8"/>
  <c r="AJ121" i="8"/>
  <c r="AE149" i="8"/>
  <c r="AJ160" i="8"/>
  <c r="AF108" i="8"/>
  <c r="AE136" i="8"/>
  <c r="AF174" i="8"/>
  <c r="AI111" i="8"/>
  <c r="AE169" i="8"/>
  <c r="AG155" i="8"/>
  <c r="AE111" i="8"/>
  <c r="AH164" i="8"/>
  <c r="AD144" i="8"/>
  <c r="AE129" i="8"/>
  <c r="AD167" i="8"/>
  <c r="AG133" i="8"/>
  <c r="AF115" i="8"/>
  <c r="AF157" i="8"/>
  <c r="AK161" i="8"/>
  <c r="AG160" i="8"/>
  <c r="AK148" i="8"/>
  <c r="AG141" i="8"/>
  <c r="AF131" i="8"/>
  <c r="AJ115" i="8"/>
  <c r="AF110" i="8"/>
  <c r="AF173" i="8"/>
  <c r="AF169" i="8"/>
  <c r="AK172" i="8"/>
  <c r="AK170" i="8"/>
  <c r="AG164" i="8"/>
  <c r="AD119" i="8"/>
  <c r="AJ167" i="8"/>
  <c r="AE138" i="8"/>
  <c r="AI149" i="8"/>
  <c r="AG151" i="8"/>
  <c r="AE117" i="8"/>
  <c r="AI110" i="8"/>
  <c r="AD148" i="8"/>
  <c r="AD154" i="8"/>
  <c r="AG137" i="8"/>
  <c r="AH117" i="8"/>
  <c r="AJ155" i="8"/>
  <c r="AF151" i="8"/>
  <c r="AE160" i="8"/>
  <c r="AH153" i="8"/>
  <c r="AG131" i="8"/>
  <c r="AK130" i="8"/>
  <c r="AH159" i="8"/>
  <c r="AE152" i="8"/>
  <c r="AI127" i="8"/>
  <c r="AG158" i="8"/>
  <c r="AJ128" i="8"/>
  <c r="AE115" i="8"/>
  <c r="AJ150" i="8"/>
  <c r="AG171" i="8"/>
  <c r="AK133" i="8"/>
  <c r="AH126" i="8"/>
  <c r="AI156" i="8"/>
  <c r="AE167" i="8"/>
  <c r="AF150" i="8"/>
  <c r="AI113" i="8"/>
  <c r="AE161" i="8"/>
  <c r="AH155" i="8"/>
  <c r="AJ164" i="8"/>
  <c r="AH148" i="8"/>
  <c r="AG132" i="8"/>
  <c r="AK123" i="8"/>
  <c r="AH134" i="8"/>
  <c r="AE132" i="8"/>
  <c r="AH171" i="8"/>
  <c r="AE120" i="8"/>
  <c r="AG111" i="8"/>
  <c r="AG172" i="8"/>
  <c r="AH170" i="8"/>
  <c r="AF171" i="8"/>
  <c r="AK167" i="8"/>
  <c r="AE137" i="8"/>
  <c r="AF168" i="8"/>
  <c r="AH146" i="8"/>
  <c r="AJ166" i="8"/>
  <c r="AG108" i="8"/>
  <c r="AK111" i="8"/>
  <c r="AE110" i="8"/>
  <c r="AJ157" i="8"/>
  <c r="AJ173" i="8"/>
  <c r="AI139" i="8"/>
  <c r="AI169" i="8"/>
  <c r="AI144" i="8"/>
  <c r="AD171" i="8"/>
  <c r="AJ117" i="8"/>
  <c r="AI152" i="8"/>
  <c r="AI119" i="8"/>
  <c r="AD126" i="8"/>
  <c r="AF162" i="8"/>
  <c r="AF163" i="8"/>
  <c r="AD169" i="8"/>
  <c r="AI112" i="8"/>
  <c r="AI142" i="8"/>
  <c r="AF155" i="8"/>
  <c r="AJ172" i="8"/>
  <c r="AE172" i="8"/>
  <c r="AH140" i="8"/>
  <c r="AE173" i="8"/>
  <c r="AG114" i="8"/>
  <c r="AE163" i="8"/>
  <c r="AF156" i="8"/>
  <c r="AF172" i="8"/>
  <c r="AG174" i="8"/>
  <c r="AD170" i="8"/>
  <c r="AE124" i="8"/>
  <c r="AI155" i="8"/>
  <c r="AE174" i="8"/>
  <c r="AK174" i="8"/>
  <c r="AE171" i="8"/>
  <c r="AF170" i="8"/>
  <c r="AH151" i="8"/>
  <c r="AF98" i="8"/>
  <c r="AI97" i="8"/>
  <c r="AH98" i="8"/>
  <c r="AE98" i="8"/>
  <c r="AF97" i="8"/>
  <c r="AF96" i="8"/>
  <c r="AK98" i="8"/>
  <c r="AG94" i="8"/>
  <c r="AJ94" i="8"/>
  <c r="AF95" i="8"/>
  <c r="AJ96" i="8"/>
  <c r="AK95" i="8"/>
  <c r="AH95" i="8"/>
  <c r="AH96" i="8"/>
  <c r="AE95" i="8"/>
  <c r="AG96" i="8"/>
  <c r="AE96" i="8"/>
  <c r="AD97" i="8"/>
  <c r="AG98" i="8"/>
  <c r="AI96" i="8"/>
  <c r="AD96" i="8"/>
  <c r="AI95" i="8"/>
  <c r="AK96" i="8"/>
  <c r="AK94" i="8"/>
  <c r="AH94" i="8"/>
  <c r="AJ95" i="8"/>
  <c r="AH97" i="8"/>
  <c r="AJ97" i="8"/>
  <c r="AI98" i="8"/>
  <c r="AE97" i="8"/>
  <c r="AD98" i="8"/>
  <c r="AD94" i="8"/>
  <c r="AG97" i="8"/>
  <c r="AG95" i="8"/>
  <c r="AK97" i="8"/>
  <c r="AJ98" i="8"/>
  <c r="AE94" i="8"/>
  <c r="AF94" i="8"/>
  <c r="AI94" i="8"/>
  <c r="AD95" i="8"/>
  <c r="AH92" i="8"/>
  <c r="AJ93" i="8"/>
  <c r="AH93" i="8"/>
  <c r="AE90" i="8"/>
  <c r="AK90" i="8"/>
  <c r="AI93" i="8"/>
  <c r="AG92" i="8"/>
  <c r="AD90" i="8"/>
  <c r="AF90" i="8"/>
  <c r="AD93" i="8"/>
  <c r="AJ90" i="8"/>
  <c r="AJ92" i="8"/>
  <c r="AF91" i="8"/>
  <c r="AI90" i="8"/>
  <c r="AG90" i="8"/>
  <c r="AG91" i="8"/>
  <c r="AI91" i="8"/>
  <c r="AI92" i="8"/>
  <c r="AG93" i="8"/>
  <c r="AE93" i="8"/>
  <c r="AD91" i="8"/>
  <c r="AH90" i="8"/>
  <c r="AK91" i="8"/>
  <c r="AF93" i="8"/>
  <c r="AF92" i="8"/>
  <c r="AK92" i="8"/>
  <c r="AH91" i="8"/>
  <c r="AK93" i="8"/>
  <c r="AE91" i="8"/>
  <c r="AD92" i="8"/>
  <c r="AJ91" i="8"/>
  <c r="AE92" i="8"/>
  <c r="AD87" i="8"/>
  <c r="AG88" i="8"/>
  <c r="AE89" i="8"/>
  <c r="AF87" i="8"/>
  <c r="AJ88" i="8"/>
  <c r="AG87" i="8"/>
  <c r="AK88" i="8"/>
  <c r="AG89" i="8"/>
  <c r="AJ89" i="8"/>
  <c r="AE87" i="8"/>
  <c r="AH89" i="8"/>
  <c r="AI87" i="8"/>
  <c r="AE88" i="8"/>
  <c r="AD89" i="8"/>
  <c r="AK89" i="8"/>
  <c r="AF88" i="8"/>
  <c r="AI88" i="8"/>
  <c r="AJ87" i="8"/>
  <c r="AK87" i="8"/>
  <c r="AF89" i="8"/>
  <c r="AH88" i="8"/>
  <c r="AH87" i="8"/>
  <c r="AD88" i="8"/>
  <c r="AI89" i="8"/>
  <c r="AD86" i="8"/>
  <c r="AJ86" i="8"/>
  <c r="AE86" i="8"/>
  <c r="AK86" i="8"/>
  <c r="AI86" i="8"/>
  <c r="AH86" i="8"/>
  <c r="AG86" i="8"/>
  <c r="AF86" i="8"/>
  <c r="AG85" i="8"/>
  <c r="AJ85" i="8"/>
  <c r="AD85" i="8"/>
  <c r="AE85" i="8"/>
  <c r="AF85" i="8"/>
  <c r="AH85" i="8"/>
  <c r="AI85" i="8"/>
  <c r="AK85" i="8"/>
  <c r="AH84" i="8"/>
  <c r="AG84" i="8"/>
  <c r="AK84" i="8"/>
  <c r="AE84" i="8"/>
  <c r="AJ84" i="8"/>
  <c r="AD84" i="8"/>
  <c r="AI84" i="8"/>
  <c r="AF84" i="8"/>
  <c r="AK83" i="8"/>
  <c r="AJ83" i="8"/>
  <c r="AI83" i="8"/>
  <c r="AD83" i="8"/>
  <c r="AE83" i="8"/>
  <c r="AG83" i="8"/>
  <c r="AF83" i="8"/>
  <c r="AH83" i="8"/>
  <c r="AF82" i="8"/>
  <c r="AG82" i="8"/>
  <c r="AH82" i="8"/>
  <c r="AI82" i="8"/>
  <c r="AK82" i="8"/>
  <c r="AD82" i="8"/>
  <c r="AE82" i="8"/>
  <c r="AJ82" i="8"/>
  <c r="AJ81" i="8"/>
  <c r="AD81" i="8"/>
  <c r="AK81" i="8"/>
  <c r="AE81" i="8"/>
  <c r="AG81" i="8"/>
  <c r="AH81" i="8"/>
  <c r="AI81" i="8"/>
  <c r="AF81" i="8"/>
  <c r="AG80" i="8"/>
  <c r="AH80" i="8"/>
  <c r="AE80" i="8"/>
  <c r="AD80" i="8"/>
  <c r="AJ80" i="8"/>
  <c r="AF80" i="8"/>
  <c r="AK80" i="8"/>
  <c r="AI80" i="8"/>
  <c r="M110" i="8"/>
  <c r="K103" i="8"/>
  <c r="M103" i="8"/>
  <c r="AG79" i="8"/>
  <c r="AH79" i="8"/>
  <c r="AK79" i="8"/>
  <c r="AE79" i="8"/>
  <c r="AJ79" i="8"/>
  <c r="AI79" i="8"/>
  <c r="AF79" i="8"/>
  <c r="M111" i="8" l="1"/>
  <c r="U10" i="8"/>
  <c r="AM10" i="8" s="1"/>
  <c r="V10" i="8"/>
  <c r="AN10" i="8" s="1"/>
  <c r="W10" i="8"/>
  <c r="AO10" i="8" s="1"/>
  <c r="X10" i="8"/>
  <c r="AP10" i="8" s="1"/>
  <c r="Y10" i="8"/>
  <c r="AQ10" i="8" s="1"/>
  <c r="Z10" i="8"/>
  <c r="AR10" i="8" s="1"/>
  <c r="AA10" i="8"/>
  <c r="AS10" i="8" s="1"/>
  <c r="AB10" i="8"/>
  <c r="AT10" i="8" s="1"/>
  <c r="U11" i="8"/>
  <c r="V11" i="8"/>
  <c r="W11" i="8"/>
  <c r="X11" i="8"/>
  <c r="Y11" i="8"/>
  <c r="Z11" i="8"/>
  <c r="AA11" i="8"/>
  <c r="AB11" i="8"/>
  <c r="AT11" i="8" s="1"/>
  <c r="U12" i="8"/>
  <c r="V12" i="8"/>
  <c r="W12" i="8"/>
  <c r="X12" i="8"/>
  <c r="AP12" i="8" s="1"/>
  <c r="Y12" i="8"/>
  <c r="AQ12" i="8" s="1"/>
  <c r="Z12" i="8"/>
  <c r="AR12" i="8" s="1"/>
  <c r="AA12" i="8"/>
  <c r="AS12" i="8" s="1"/>
  <c r="AB12" i="8"/>
  <c r="AT12" i="8" s="1"/>
  <c r="U13" i="8"/>
  <c r="V13" i="8"/>
  <c r="W13" i="8"/>
  <c r="X13" i="8"/>
  <c r="Y13" i="8"/>
  <c r="Z13" i="8"/>
  <c r="AA13" i="8"/>
  <c r="AB13" i="8"/>
  <c r="U14" i="8"/>
  <c r="V14" i="8"/>
  <c r="W14" i="8"/>
  <c r="X14" i="8"/>
  <c r="Y14" i="8"/>
  <c r="Z14" i="8"/>
  <c r="AA14" i="8"/>
  <c r="AB14" i="8"/>
  <c r="U15" i="8"/>
  <c r="V15" i="8"/>
  <c r="W15" i="8"/>
  <c r="X15" i="8"/>
  <c r="Y15" i="8"/>
  <c r="Z15" i="8"/>
  <c r="AA15" i="8"/>
  <c r="AB15" i="8"/>
  <c r="U16" i="8"/>
  <c r="AM16" i="8" s="1"/>
  <c r="V16" i="8"/>
  <c r="AN16" i="8" s="1"/>
  <c r="W16" i="8"/>
  <c r="AO16" i="8" s="1"/>
  <c r="X16" i="8"/>
  <c r="AP16" i="8" s="1"/>
  <c r="Y16" i="8"/>
  <c r="AQ16" i="8" s="1"/>
  <c r="Z16" i="8"/>
  <c r="AR16" i="8" s="1"/>
  <c r="AA16" i="8"/>
  <c r="AS16" i="8" s="1"/>
  <c r="AB16" i="8"/>
  <c r="AT16" i="8" s="1"/>
  <c r="U17" i="8"/>
  <c r="V17" i="8"/>
  <c r="W17" i="8"/>
  <c r="X17" i="8"/>
  <c r="Y17" i="8"/>
  <c r="Z17" i="8"/>
  <c r="AA17" i="8"/>
  <c r="AB17" i="8"/>
  <c r="U18" i="8"/>
  <c r="V18" i="8"/>
  <c r="W18" i="8"/>
  <c r="AO18" i="8" s="1"/>
  <c r="X18" i="8"/>
  <c r="AP18" i="8" s="1"/>
  <c r="Y18" i="8"/>
  <c r="AQ18" i="8" s="1"/>
  <c r="Z18" i="8"/>
  <c r="AR18" i="8" s="1"/>
  <c r="AA18" i="8"/>
  <c r="AS18" i="8" s="1"/>
  <c r="AB18" i="8"/>
  <c r="AT18" i="8" s="1"/>
  <c r="U19" i="8"/>
  <c r="V19" i="8"/>
  <c r="W19" i="8"/>
  <c r="X19" i="8"/>
  <c r="AP19" i="8" s="1"/>
  <c r="Y19" i="8"/>
  <c r="AQ19" i="8" s="1"/>
  <c r="Z19" i="8"/>
  <c r="AR19" i="8" s="1"/>
  <c r="AA19" i="8"/>
  <c r="AS19" i="8" s="1"/>
  <c r="AB19" i="8"/>
  <c r="AT19" i="8" s="1"/>
  <c r="U20" i="8"/>
  <c r="V20" i="8"/>
  <c r="W20" i="8"/>
  <c r="X20" i="8"/>
  <c r="Y20" i="8"/>
  <c r="Z20" i="8"/>
  <c r="AA20" i="8"/>
  <c r="AB20" i="8"/>
  <c r="AT20" i="8" s="1"/>
  <c r="U21" i="8"/>
  <c r="V21" i="8"/>
  <c r="W21" i="8"/>
  <c r="X21" i="8"/>
  <c r="Y21" i="8"/>
  <c r="Z21" i="8"/>
  <c r="AR21" i="8" s="1"/>
  <c r="AA21" i="8"/>
  <c r="AS21" i="8" s="1"/>
  <c r="AB21" i="8"/>
  <c r="AT21" i="8" s="1"/>
  <c r="U22" i="8"/>
  <c r="V22" i="8"/>
  <c r="W22" i="8"/>
  <c r="X22" i="8"/>
  <c r="Y22" i="8"/>
  <c r="Z22" i="8"/>
  <c r="AA22" i="8"/>
  <c r="AS22" i="8" s="1"/>
  <c r="AB22" i="8"/>
  <c r="AT22" i="8" s="1"/>
  <c r="U23" i="8"/>
  <c r="V23" i="8"/>
  <c r="W23" i="8"/>
  <c r="X23" i="8"/>
  <c r="Y23" i="8"/>
  <c r="Z23" i="8"/>
  <c r="AA23" i="8"/>
  <c r="AB23" i="8"/>
  <c r="U24" i="8"/>
  <c r="V24" i="8"/>
  <c r="W24" i="8"/>
  <c r="X24" i="8"/>
  <c r="Y24" i="8"/>
  <c r="Z24" i="8"/>
  <c r="AA24" i="8"/>
  <c r="AB24" i="8"/>
  <c r="U25" i="8"/>
  <c r="V25" i="8"/>
  <c r="W25" i="8"/>
  <c r="X25" i="8"/>
  <c r="Y25" i="8"/>
  <c r="Z25" i="8"/>
  <c r="AA25" i="8"/>
  <c r="AB25" i="8"/>
  <c r="AT25" i="8" s="1"/>
  <c r="U26" i="8"/>
  <c r="V26" i="8"/>
  <c r="W26" i="8"/>
  <c r="X26" i="8"/>
  <c r="Y26" i="8"/>
  <c r="Z26" i="8"/>
  <c r="AA26" i="8"/>
  <c r="AB26" i="8"/>
  <c r="U27" i="8"/>
  <c r="AM27" i="8" s="1"/>
  <c r="V27" i="8"/>
  <c r="W27" i="8"/>
  <c r="X27" i="8"/>
  <c r="AP27" i="8" s="1"/>
  <c r="Y27" i="8"/>
  <c r="AQ27" i="8" s="1"/>
  <c r="Z27" i="8"/>
  <c r="AR27" i="8" s="1"/>
  <c r="AA27" i="8"/>
  <c r="AS27" i="8" s="1"/>
  <c r="AB27" i="8"/>
  <c r="AT27" i="8" s="1"/>
  <c r="U28" i="8"/>
  <c r="V28" i="8"/>
  <c r="W28" i="8"/>
  <c r="X28" i="8"/>
  <c r="Y28" i="8"/>
  <c r="Z28" i="8"/>
  <c r="AA28" i="8"/>
  <c r="AB28" i="8"/>
  <c r="U29" i="8"/>
  <c r="V29" i="8"/>
  <c r="AN29" i="8" s="1"/>
  <c r="W29" i="8"/>
  <c r="AO29" i="8" s="1"/>
  <c r="X29" i="8"/>
  <c r="AP29" i="8" s="1"/>
  <c r="Y29" i="8"/>
  <c r="AQ29" i="8" s="1"/>
  <c r="Z29" i="8"/>
  <c r="AR29" i="8" s="1"/>
  <c r="AA29" i="8"/>
  <c r="AS29" i="8" s="1"/>
  <c r="AB29" i="8"/>
  <c r="AT29" i="8" s="1"/>
  <c r="U30" i="8"/>
  <c r="V30" i="8"/>
  <c r="W30" i="8"/>
  <c r="X30" i="8"/>
  <c r="AP30" i="8" s="1"/>
  <c r="Y30" i="8"/>
  <c r="AQ30" i="8" s="1"/>
  <c r="Z30" i="8"/>
  <c r="AR30" i="8" s="1"/>
  <c r="AA30" i="8"/>
  <c r="AS30" i="8" s="1"/>
  <c r="AB30" i="8"/>
  <c r="AT30" i="8" s="1"/>
  <c r="U31" i="8"/>
  <c r="V31" i="8"/>
  <c r="W31" i="8"/>
  <c r="X31" i="8"/>
  <c r="AP31" i="8" s="1"/>
  <c r="Y31" i="8"/>
  <c r="AQ31" i="8" s="1"/>
  <c r="Z31" i="8"/>
  <c r="AR31" i="8" s="1"/>
  <c r="AA31" i="8"/>
  <c r="AS31" i="8" s="1"/>
  <c r="AB31" i="8"/>
  <c r="AT31" i="8" s="1"/>
  <c r="U32" i="8"/>
  <c r="V32" i="8"/>
  <c r="W32" i="8"/>
  <c r="X32" i="8"/>
  <c r="Y32" i="8"/>
  <c r="Z32" i="8"/>
  <c r="AR32" i="8" s="1"/>
  <c r="AA32" i="8"/>
  <c r="AS32" i="8" s="1"/>
  <c r="AB32" i="8"/>
  <c r="AT32" i="8" s="1"/>
  <c r="U33" i="8"/>
  <c r="AM33" i="8" s="1"/>
  <c r="V33" i="8"/>
  <c r="AN33" i="8" s="1"/>
  <c r="W33" i="8"/>
  <c r="AO33" i="8" s="1"/>
  <c r="X33" i="8"/>
  <c r="AP33" i="8" s="1"/>
  <c r="Y33" i="8"/>
  <c r="AQ33" i="8" s="1"/>
  <c r="Z33" i="8"/>
  <c r="AR33" i="8" s="1"/>
  <c r="AA33" i="8"/>
  <c r="AS33" i="8" s="1"/>
  <c r="AB33" i="8"/>
  <c r="AT33" i="8" s="1"/>
  <c r="U34" i="8"/>
  <c r="V34" i="8"/>
  <c r="W34" i="8"/>
  <c r="X34" i="8"/>
  <c r="Y34" i="8"/>
  <c r="Z34" i="8"/>
  <c r="AA34" i="8"/>
  <c r="AS34" i="8" s="1"/>
  <c r="AB34" i="8"/>
  <c r="AT34" i="8" s="1"/>
  <c r="U35" i="8"/>
  <c r="V35" i="8"/>
  <c r="W35" i="8"/>
  <c r="X35" i="8"/>
  <c r="Y35" i="8"/>
  <c r="Z35" i="8"/>
  <c r="AA35" i="8"/>
  <c r="AB35" i="8"/>
  <c r="AT35" i="8" s="1"/>
  <c r="U36" i="8"/>
  <c r="V36" i="8"/>
  <c r="W36" i="8"/>
  <c r="X36" i="8"/>
  <c r="Y36" i="8"/>
  <c r="Z36" i="8"/>
  <c r="AA36" i="8"/>
  <c r="AS36" i="8" s="1"/>
  <c r="AB36" i="8"/>
  <c r="AT36" i="8" s="1"/>
  <c r="U37" i="8"/>
  <c r="V37" i="8"/>
  <c r="W37" i="8"/>
  <c r="X37" i="8"/>
  <c r="AP37" i="8" s="1"/>
  <c r="Y37" i="8"/>
  <c r="AQ37" i="8" s="1"/>
  <c r="Z37" i="8"/>
  <c r="AR37" i="8" s="1"/>
  <c r="AA37" i="8"/>
  <c r="AS37" i="8" s="1"/>
  <c r="AB37" i="8"/>
  <c r="AT37" i="8" s="1"/>
  <c r="U38" i="8"/>
  <c r="V38" i="8"/>
  <c r="W38" i="8"/>
  <c r="X38" i="8"/>
  <c r="Y38" i="8"/>
  <c r="Z38" i="8"/>
  <c r="AR38" i="8" s="1"/>
  <c r="AA38" i="8"/>
  <c r="AS38" i="8" s="1"/>
  <c r="AB38" i="8"/>
  <c r="AT38" i="8" s="1"/>
  <c r="U39" i="8"/>
  <c r="V39" i="8"/>
  <c r="W39" i="8"/>
  <c r="X39" i="8"/>
  <c r="AP39" i="8" s="1"/>
  <c r="Y39" i="8"/>
  <c r="AQ39" i="8" s="1"/>
  <c r="Z39" i="8"/>
  <c r="AR39" i="8" s="1"/>
  <c r="AA39" i="8"/>
  <c r="AS39" i="8" s="1"/>
  <c r="AB39" i="8"/>
  <c r="AT39" i="8" s="1"/>
  <c r="U40" i="8"/>
  <c r="V40" i="8"/>
  <c r="W40" i="8"/>
  <c r="X40" i="8"/>
  <c r="Y40" i="8"/>
  <c r="Z40" i="8"/>
  <c r="AA40" i="8"/>
  <c r="AB40" i="8"/>
  <c r="U41" i="8"/>
  <c r="V41" i="8"/>
  <c r="W41" i="8"/>
  <c r="AO41" i="8" s="1"/>
  <c r="X41" i="8"/>
  <c r="AP41" i="8" s="1"/>
  <c r="Y41" i="8"/>
  <c r="AQ41" i="8" s="1"/>
  <c r="Z41" i="8"/>
  <c r="AR41" i="8" s="1"/>
  <c r="AA41" i="8"/>
  <c r="AS41" i="8" s="1"/>
  <c r="AB41" i="8"/>
  <c r="AT41" i="8" s="1"/>
  <c r="U42" i="8"/>
  <c r="V42" i="8"/>
  <c r="W42" i="8"/>
  <c r="X42" i="8"/>
  <c r="Y42" i="8"/>
  <c r="Z42" i="8"/>
  <c r="AA42" i="8"/>
  <c r="AB42" i="8"/>
  <c r="U43" i="8"/>
  <c r="AM43" i="8" s="1"/>
  <c r="V43" i="8"/>
  <c r="AN43" i="8" s="1"/>
  <c r="W43" i="8"/>
  <c r="AO43" i="8" s="1"/>
  <c r="X43" i="8"/>
  <c r="AP43" i="8" s="1"/>
  <c r="Y43" i="8"/>
  <c r="AQ43" i="8" s="1"/>
  <c r="Z43" i="8"/>
  <c r="AR43" i="8" s="1"/>
  <c r="AA43" i="8"/>
  <c r="AS43" i="8" s="1"/>
  <c r="AB43" i="8"/>
  <c r="AT43" i="8" s="1"/>
  <c r="U44" i="8"/>
  <c r="V44" i="8"/>
  <c r="W44" i="8"/>
  <c r="X44" i="8"/>
  <c r="Y44" i="8"/>
  <c r="Z44" i="8"/>
  <c r="AA44" i="8"/>
  <c r="AB44" i="8"/>
  <c r="U45" i="8"/>
  <c r="AM45" i="8" s="1"/>
  <c r="V45" i="8"/>
  <c r="AN45" i="8" s="1"/>
  <c r="W45" i="8"/>
  <c r="AO45" i="8" s="1"/>
  <c r="X45" i="8"/>
  <c r="AP45" i="8" s="1"/>
  <c r="Y45" i="8"/>
  <c r="AQ45" i="8" s="1"/>
  <c r="Z45" i="8"/>
  <c r="AR45" i="8" s="1"/>
  <c r="AA45" i="8"/>
  <c r="AS45" i="8" s="1"/>
  <c r="AB45" i="8"/>
  <c r="AT45" i="8" s="1"/>
  <c r="U46" i="8"/>
  <c r="V46" i="8"/>
  <c r="W46" i="8"/>
  <c r="X46" i="8"/>
  <c r="Y46" i="8"/>
  <c r="Z46" i="8"/>
  <c r="AR46" i="8" s="1"/>
  <c r="AA46" i="8"/>
  <c r="AS46" i="8" s="1"/>
  <c r="AB46" i="8"/>
  <c r="AT46" i="8" s="1"/>
  <c r="U47" i="8"/>
  <c r="AM47" i="8" s="1"/>
  <c r="V47" i="8"/>
  <c r="AN47" i="8" s="1"/>
  <c r="W47" i="8"/>
  <c r="AO47" i="8" s="1"/>
  <c r="X47" i="8"/>
  <c r="AP47" i="8" s="1"/>
  <c r="Y47" i="8"/>
  <c r="AQ47" i="8" s="1"/>
  <c r="Z47" i="8"/>
  <c r="AR47" i="8" s="1"/>
  <c r="AA47" i="8"/>
  <c r="AS47" i="8" s="1"/>
  <c r="AB47" i="8"/>
  <c r="AT47" i="8" s="1"/>
  <c r="U48" i="8"/>
  <c r="V48" i="8"/>
  <c r="W48" i="8"/>
  <c r="X48" i="8"/>
  <c r="Y48" i="8"/>
  <c r="Z48" i="8"/>
  <c r="AA48" i="8"/>
  <c r="AB48" i="8"/>
  <c r="U49" i="8"/>
  <c r="V49" i="8"/>
  <c r="W49" i="8"/>
  <c r="X49" i="8"/>
  <c r="Y49" i="8"/>
  <c r="Z49" i="8"/>
  <c r="AA49" i="8"/>
  <c r="AB49" i="8"/>
  <c r="U50" i="8"/>
  <c r="V50" i="8"/>
  <c r="W50" i="8"/>
  <c r="AO50" i="8" s="1"/>
  <c r="X50" i="8"/>
  <c r="AP50" i="8" s="1"/>
  <c r="Y50" i="8"/>
  <c r="AQ50" i="8" s="1"/>
  <c r="Z50" i="8"/>
  <c r="AR50" i="8" s="1"/>
  <c r="AA50" i="8"/>
  <c r="AS50" i="8" s="1"/>
  <c r="AB50" i="8"/>
  <c r="AT50" i="8" s="1"/>
  <c r="U51" i="8"/>
  <c r="V51" i="8"/>
  <c r="W51" i="8"/>
  <c r="X51" i="8"/>
  <c r="AP51" i="8" s="1"/>
  <c r="Y51" i="8"/>
  <c r="AQ51" i="8" s="1"/>
  <c r="Z51" i="8"/>
  <c r="AR51" i="8" s="1"/>
  <c r="AA51" i="8"/>
  <c r="AS51" i="8" s="1"/>
  <c r="AB51" i="8"/>
  <c r="AT51" i="8" s="1"/>
  <c r="U52" i="8"/>
  <c r="AM52" i="8" s="1"/>
  <c r="V52" i="8"/>
  <c r="AN52" i="8" s="1"/>
  <c r="W52" i="8"/>
  <c r="AO52" i="8" s="1"/>
  <c r="X52" i="8"/>
  <c r="AP52" i="8" s="1"/>
  <c r="Y52" i="8"/>
  <c r="AQ52" i="8" s="1"/>
  <c r="Z52" i="8"/>
  <c r="AR52" i="8" s="1"/>
  <c r="AA52" i="8"/>
  <c r="AS52" i="8" s="1"/>
  <c r="AB52" i="8"/>
  <c r="AT52" i="8" s="1"/>
  <c r="U53" i="8"/>
  <c r="V53" i="8"/>
  <c r="W53" i="8"/>
  <c r="AO53" i="8" s="1"/>
  <c r="X53" i="8"/>
  <c r="AP53" i="8" s="1"/>
  <c r="Y53" i="8"/>
  <c r="AQ53" i="8" s="1"/>
  <c r="Z53" i="8"/>
  <c r="AR53" i="8" s="1"/>
  <c r="AA53" i="8"/>
  <c r="AS53" i="8" s="1"/>
  <c r="AB53" i="8"/>
  <c r="AT53" i="8" s="1"/>
  <c r="U54" i="8"/>
  <c r="AM54" i="8" s="1"/>
  <c r="V54" i="8"/>
  <c r="AN54" i="8" s="1"/>
  <c r="W54" i="8"/>
  <c r="AO54" i="8" s="1"/>
  <c r="X54" i="8"/>
  <c r="AP54" i="8" s="1"/>
  <c r="Y54" i="8"/>
  <c r="AQ54" i="8" s="1"/>
  <c r="Z54" i="8"/>
  <c r="AR54" i="8" s="1"/>
  <c r="AA54" i="8"/>
  <c r="AS54" i="8" s="1"/>
  <c r="AB54" i="8"/>
  <c r="AT54" i="8" s="1"/>
  <c r="U55" i="8"/>
  <c r="V55" i="8"/>
  <c r="W55" i="8"/>
  <c r="X55" i="8"/>
  <c r="Y55" i="8"/>
  <c r="AQ55" i="8" s="1"/>
  <c r="Z55" i="8"/>
  <c r="AR55" i="8" s="1"/>
  <c r="AA55" i="8"/>
  <c r="AS55" i="8" s="1"/>
  <c r="AB55" i="8"/>
  <c r="AT55" i="8" s="1"/>
  <c r="U56" i="8"/>
  <c r="V56" i="8"/>
  <c r="W56" i="8"/>
  <c r="X56" i="8"/>
  <c r="AP56" i="8" s="1"/>
  <c r="Y56" i="8"/>
  <c r="AQ56" i="8" s="1"/>
  <c r="Z56" i="8"/>
  <c r="AR56" i="8" s="1"/>
  <c r="AA56" i="8"/>
  <c r="AS56" i="8" s="1"/>
  <c r="AB56" i="8"/>
  <c r="AT56" i="8" s="1"/>
  <c r="U57" i="8"/>
  <c r="V57" i="8"/>
  <c r="W57" i="8"/>
  <c r="X57" i="8"/>
  <c r="AP57" i="8" s="1"/>
  <c r="Y57" i="8"/>
  <c r="AQ57" i="8" s="1"/>
  <c r="Z57" i="8"/>
  <c r="AR57" i="8" s="1"/>
  <c r="AA57" i="8"/>
  <c r="AS57" i="8" s="1"/>
  <c r="AB57" i="8"/>
  <c r="AT57" i="8" s="1"/>
  <c r="U58" i="8"/>
  <c r="V58" i="8"/>
  <c r="AN58" i="8" s="1"/>
  <c r="W58" i="8"/>
  <c r="AO58" i="8" s="1"/>
  <c r="X58" i="8"/>
  <c r="AP58" i="8" s="1"/>
  <c r="Y58" i="8"/>
  <c r="AQ58" i="8" s="1"/>
  <c r="Z58" i="8"/>
  <c r="AR58" i="8" s="1"/>
  <c r="AA58" i="8"/>
  <c r="AS58" i="8" s="1"/>
  <c r="AB58" i="8"/>
  <c r="AT58" i="8" s="1"/>
  <c r="U59" i="8"/>
  <c r="V59" i="8"/>
  <c r="W59" i="8"/>
  <c r="AO59" i="8" s="1"/>
  <c r="X59" i="8"/>
  <c r="AP59" i="8" s="1"/>
  <c r="Y59" i="8"/>
  <c r="AQ59" i="8" s="1"/>
  <c r="Z59" i="8"/>
  <c r="AR59" i="8" s="1"/>
  <c r="AA59" i="8"/>
  <c r="AS59" i="8" s="1"/>
  <c r="AB59" i="8"/>
  <c r="AT59" i="8" s="1"/>
  <c r="U60" i="8"/>
  <c r="V60" i="8"/>
  <c r="W60" i="8"/>
  <c r="X60" i="8"/>
  <c r="Y60" i="8"/>
  <c r="Z60" i="8"/>
  <c r="AA60" i="8"/>
  <c r="AB60" i="8"/>
  <c r="U61" i="8"/>
  <c r="V61" i="8"/>
  <c r="W61" i="8"/>
  <c r="AO61" i="8" s="1"/>
  <c r="X61" i="8"/>
  <c r="AP61" i="8" s="1"/>
  <c r="Y61" i="8"/>
  <c r="AQ61" i="8" s="1"/>
  <c r="Z61" i="8"/>
  <c r="AR61" i="8" s="1"/>
  <c r="AA61" i="8"/>
  <c r="AS61" i="8" s="1"/>
  <c r="AB61" i="8"/>
  <c r="AT61" i="8" s="1"/>
  <c r="U62" i="8"/>
  <c r="V62" i="8"/>
  <c r="W62" i="8"/>
  <c r="X62" i="8"/>
  <c r="Y62" i="8"/>
  <c r="Z62" i="8"/>
  <c r="AA62" i="8"/>
  <c r="AB62" i="8"/>
  <c r="AT62" i="8" s="1"/>
  <c r="U63" i="8"/>
  <c r="V63" i="8"/>
  <c r="W63" i="8"/>
  <c r="X63" i="8"/>
  <c r="Y63" i="8"/>
  <c r="Z63" i="8"/>
  <c r="AA63" i="8"/>
  <c r="AB63" i="8"/>
  <c r="U64" i="8"/>
  <c r="V64" i="8"/>
  <c r="W64" i="8"/>
  <c r="X64" i="8"/>
  <c r="Y64" i="8"/>
  <c r="Z64" i="8"/>
  <c r="AA64" i="8"/>
  <c r="AB64" i="8"/>
  <c r="AT64" i="8" s="1"/>
  <c r="U65" i="8"/>
  <c r="V65" i="8"/>
  <c r="W65" i="8"/>
  <c r="X65" i="8"/>
  <c r="Y65" i="8"/>
  <c r="Z65" i="8"/>
  <c r="AA65" i="8"/>
  <c r="AB65" i="8"/>
  <c r="U66" i="8"/>
  <c r="V66" i="8"/>
  <c r="W66" i="8"/>
  <c r="AO66" i="8" s="1"/>
  <c r="X66" i="8"/>
  <c r="AP66" i="8" s="1"/>
  <c r="Y66" i="8"/>
  <c r="AQ66" i="8" s="1"/>
  <c r="Z66" i="8"/>
  <c r="AR66" i="8" s="1"/>
  <c r="AA66" i="8"/>
  <c r="AS66" i="8" s="1"/>
  <c r="AB66" i="8"/>
  <c r="AT66" i="8" s="1"/>
  <c r="U67" i="8"/>
  <c r="V67" i="8"/>
  <c r="W67" i="8"/>
  <c r="X67" i="8"/>
  <c r="AP67" i="8" s="1"/>
  <c r="Y67" i="8"/>
  <c r="AQ67" i="8" s="1"/>
  <c r="Z67" i="8"/>
  <c r="AR67" i="8" s="1"/>
  <c r="AA67" i="8"/>
  <c r="AS67" i="8" s="1"/>
  <c r="AB67" i="8"/>
  <c r="AT67" i="8" s="1"/>
  <c r="U68" i="8"/>
  <c r="V68" i="8"/>
  <c r="W68" i="8"/>
  <c r="X68" i="8"/>
  <c r="Y68" i="8"/>
  <c r="AQ68" i="8" s="1"/>
  <c r="Z68" i="8"/>
  <c r="AR68" i="8" s="1"/>
  <c r="AA68" i="8"/>
  <c r="AS68" i="8" s="1"/>
  <c r="AB68" i="8"/>
  <c r="AT68" i="8" s="1"/>
  <c r="U69" i="8"/>
  <c r="V69" i="8"/>
  <c r="W69" i="8"/>
  <c r="X69" i="8"/>
  <c r="Y69" i="8"/>
  <c r="AQ69" i="8" s="1"/>
  <c r="Z69" i="8"/>
  <c r="AR69" i="8" s="1"/>
  <c r="AA69" i="8"/>
  <c r="AS69" i="8" s="1"/>
  <c r="AB69" i="8"/>
  <c r="AT69" i="8" s="1"/>
  <c r="U70" i="8"/>
  <c r="V70" i="8"/>
  <c r="W70" i="8"/>
  <c r="X70" i="8"/>
  <c r="Y70" i="8"/>
  <c r="Z70" i="8"/>
  <c r="AA70" i="8"/>
  <c r="AB70" i="8"/>
  <c r="U71" i="8"/>
  <c r="V71" i="8"/>
  <c r="W71" i="8"/>
  <c r="X71" i="8"/>
  <c r="Y71" i="8"/>
  <c r="Z71" i="8"/>
  <c r="AR71" i="8" s="1"/>
  <c r="AA71" i="8"/>
  <c r="AS71" i="8" s="1"/>
  <c r="AB71" i="8"/>
  <c r="AT71" i="8" s="1"/>
  <c r="U72" i="8"/>
  <c r="V72" i="8"/>
  <c r="W72" i="8"/>
  <c r="X72" i="8"/>
  <c r="Y72" i="8"/>
  <c r="Z72" i="8"/>
  <c r="AA72" i="8"/>
  <c r="AB72" i="8"/>
  <c r="AT72" i="8" s="1"/>
  <c r="U73" i="8"/>
  <c r="V73" i="8"/>
  <c r="W73" i="8"/>
  <c r="X73" i="8"/>
  <c r="Y73" i="8"/>
  <c r="Z73" i="8"/>
  <c r="AA73" i="8"/>
  <c r="AS73" i="8" s="1"/>
  <c r="AB73" i="8"/>
  <c r="AT73" i="8" s="1"/>
  <c r="U74" i="8"/>
  <c r="AM74" i="8" s="1"/>
  <c r="V74" i="8"/>
  <c r="AN74" i="8" s="1"/>
  <c r="W74" i="8"/>
  <c r="AO74" i="8" s="1"/>
  <c r="X74" i="8"/>
  <c r="AP74" i="8" s="1"/>
  <c r="Y74" i="8"/>
  <c r="AQ74" i="8" s="1"/>
  <c r="Z74" i="8"/>
  <c r="AR74" i="8" s="1"/>
  <c r="AA74" i="8"/>
  <c r="AS74" i="8" s="1"/>
  <c r="AB74" i="8"/>
  <c r="AT74" i="8" s="1"/>
  <c r="U75" i="8"/>
  <c r="AM75" i="8" s="1"/>
  <c r="V75" i="8"/>
  <c r="AN75" i="8" s="1"/>
  <c r="W75" i="8"/>
  <c r="AO75" i="8" s="1"/>
  <c r="X75" i="8"/>
  <c r="AP75" i="8" s="1"/>
  <c r="Y75" i="8"/>
  <c r="AQ75" i="8" s="1"/>
  <c r="Z75" i="8"/>
  <c r="AR75" i="8" s="1"/>
  <c r="AA75" i="8"/>
  <c r="AS75" i="8" s="1"/>
  <c r="AB75" i="8"/>
  <c r="AT75" i="8" s="1"/>
  <c r="U76" i="8"/>
  <c r="AM76" i="8" s="1"/>
  <c r="V76" i="8"/>
  <c r="AN76" i="8" s="1"/>
  <c r="W76" i="8"/>
  <c r="AO76" i="8" s="1"/>
  <c r="X76" i="8"/>
  <c r="AP76" i="8" s="1"/>
  <c r="Y76" i="8"/>
  <c r="AQ76" i="8" s="1"/>
  <c r="Z76" i="8"/>
  <c r="AR76" i="8" s="1"/>
  <c r="AA76" i="8"/>
  <c r="AS76" i="8" s="1"/>
  <c r="AB76" i="8"/>
  <c r="AT76" i="8" s="1"/>
  <c r="U77" i="8"/>
  <c r="AM77" i="8" s="1"/>
  <c r="V77" i="8"/>
  <c r="AN77" i="8" s="1"/>
  <c r="W77" i="8"/>
  <c r="AO77" i="8" s="1"/>
  <c r="X77" i="8"/>
  <c r="AP77" i="8" s="1"/>
  <c r="Y77" i="8"/>
  <c r="AQ77" i="8" s="1"/>
  <c r="Z77" i="8"/>
  <c r="AR77" i="8" s="1"/>
  <c r="AA77" i="8"/>
  <c r="AS77" i="8" s="1"/>
  <c r="AB77" i="8"/>
  <c r="AT77" i="8" s="1"/>
  <c r="U78" i="8"/>
  <c r="AM78" i="8" s="1"/>
  <c r="V78" i="8"/>
  <c r="AN78" i="8" s="1"/>
  <c r="W78" i="8"/>
  <c r="AO78" i="8" s="1"/>
  <c r="X78" i="8"/>
  <c r="AP78" i="8" s="1"/>
  <c r="Y78" i="8"/>
  <c r="AQ78" i="8" s="1"/>
  <c r="Z78" i="8"/>
  <c r="AR78" i="8" s="1"/>
  <c r="AA78" i="8"/>
  <c r="AS78" i="8" s="1"/>
  <c r="AB78" i="8"/>
  <c r="AT78" i="8" s="1"/>
  <c r="V9" i="8"/>
  <c r="W9" i="8"/>
  <c r="X9" i="8"/>
  <c r="Y9" i="8"/>
  <c r="Z9" i="8"/>
  <c r="AA9" i="8"/>
  <c r="AB9" i="8"/>
  <c r="U9" i="8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9" i="4"/>
  <c r="O45" i="8"/>
  <c r="M112" i="8" l="1"/>
  <c r="O10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9" i="8"/>
  <c r="H10" i="8"/>
  <c r="H12" i="8"/>
  <c r="H13" i="8"/>
  <c r="H14" i="8"/>
  <c r="K14" i="8" s="1"/>
  <c r="H15" i="8"/>
  <c r="H16" i="8"/>
  <c r="K16" i="8" s="1"/>
  <c r="H17" i="8"/>
  <c r="H18" i="8"/>
  <c r="K18" i="8" s="1"/>
  <c r="H19" i="8"/>
  <c r="H20" i="8"/>
  <c r="K20" i="8" s="1"/>
  <c r="H21" i="8"/>
  <c r="H22" i="8"/>
  <c r="H23" i="8"/>
  <c r="H24" i="8"/>
  <c r="H25" i="8"/>
  <c r="H26" i="8"/>
  <c r="H27" i="8"/>
  <c r="H28" i="8"/>
  <c r="K28" i="8" s="1"/>
  <c r="H29" i="8"/>
  <c r="H30" i="8"/>
  <c r="H31" i="8"/>
  <c r="H32" i="8"/>
  <c r="H33" i="8"/>
  <c r="H34" i="8"/>
  <c r="H35" i="8"/>
  <c r="K35" i="8" s="1"/>
  <c r="H36" i="8"/>
  <c r="H37" i="8"/>
  <c r="H38" i="8"/>
  <c r="M38" i="8" s="1"/>
  <c r="H39" i="8"/>
  <c r="K39" i="8" s="1"/>
  <c r="H40" i="8"/>
  <c r="M40" i="8" s="1"/>
  <c r="H41" i="8"/>
  <c r="K41" i="8" s="1"/>
  <c r="H42" i="8"/>
  <c r="H43" i="8"/>
  <c r="M43" i="8" s="1"/>
  <c r="H44" i="8"/>
  <c r="K44" i="8" s="1"/>
  <c r="H45" i="8"/>
  <c r="M45" i="8" s="1"/>
  <c r="H46" i="8"/>
  <c r="K46" i="8" s="1"/>
  <c r="H47" i="8"/>
  <c r="M47" i="8" s="1"/>
  <c r="H48" i="8"/>
  <c r="K48" i="8" s="1"/>
  <c r="H49" i="8"/>
  <c r="M49" i="8" s="1"/>
  <c r="H50" i="8"/>
  <c r="H51" i="8"/>
  <c r="M51" i="8" s="1"/>
  <c r="H52" i="8"/>
  <c r="K52" i="8" s="1"/>
  <c r="H53" i="8"/>
  <c r="M53" i="8" s="1"/>
  <c r="H54" i="8"/>
  <c r="H55" i="8"/>
  <c r="M55" i="8" s="1"/>
  <c r="H56" i="8"/>
  <c r="K56" i="8" s="1"/>
  <c r="H57" i="8"/>
  <c r="M57" i="8" s="1"/>
  <c r="H58" i="8"/>
  <c r="H59" i="8"/>
  <c r="H60" i="8"/>
  <c r="M60" i="8" s="1"/>
  <c r="H61" i="8"/>
  <c r="H62" i="8"/>
  <c r="H63" i="8"/>
  <c r="M63" i="8" s="1"/>
  <c r="H64" i="8"/>
  <c r="H65" i="8"/>
  <c r="M65" i="8" s="1"/>
  <c r="H66" i="8"/>
  <c r="K66" i="8" s="1"/>
  <c r="H67" i="8"/>
  <c r="M67" i="8" s="1"/>
  <c r="H68" i="8"/>
  <c r="K68" i="8" s="1"/>
  <c r="H69" i="8"/>
  <c r="H70" i="8"/>
  <c r="M70" i="8" s="1"/>
  <c r="H71" i="8"/>
  <c r="H72" i="8"/>
  <c r="M72" i="8" s="1"/>
  <c r="H73" i="8"/>
  <c r="H74" i="8"/>
  <c r="M74" i="8" s="1"/>
  <c r="H75" i="8"/>
  <c r="K75" i="8" s="1"/>
  <c r="H76" i="8"/>
  <c r="M76" i="8" s="1"/>
  <c r="H77" i="8"/>
  <c r="H78" i="8"/>
  <c r="H79" i="8"/>
  <c r="M79" i="8" s="1"/>
  <c r="H80" i="8"/>
  <c r="K80" i="8" s="1"/>
  <c r="H81" i="8"/>
  <c r="M81" i="8" s="1"/>
  <c r="H82" i="8"/>
  <c r="H83" i="8"/>
  <c r="M83" i="8" s="1"/>
  <c r="H84" i="8"/>
  <c r="H85" i="8"/>
  <c r="H86" i="8"/>
  <c r="M86" i="8" s="1"/>
  <c r="H87" i="8"/>
  <c r="H88" i="8"/>
  <c r="M88" i="8" s="1"/>
  <c r="H89" i="8"/>
  <c r="H90" i="8"/>
  <c r="M90" i="8" s="1"/>
  <c r="H91" i="8"/>
  <c r="H92" i="8"/>
  <c r="M92" i="8" s="1"/>
  <c r="H93" i="8"/>
  <c r="K93" i="8" s="1"/>
  <c r="H94" i="8"/>
  <c r="M94" i="8" s="1"/>
  <c r="H95" i="8"/>
  <c r="H96" i="8"/>
  <c r="M96" i="8" s="1"/>
  <c r="H97" i="8"/>
  <c r="H98" i="8"/>
  <c r="M98" i="8" s="1"/>
  <c r="H99" i="8"/>
  <c r="K99" i="8" s="1"/>
  <c r="H100" i="8"/>
  <c r="M100" i="8" s="1"/>
  <c r="H101" i="8"/>
  <c r="H9" i="8"/>
  <c r="M89" i="8" l="1"/>
  <c r="M66" i="8"/>
  <c r="M93" i="8"/>
  <c r="M113" i="8"/>
  <c r="M87" i="8"/>
  <c r="M80" i="8"/>
  <c r="M64" i="8"/>
  <c r="M56" i="8"/>
  <c r="M48" i="8"/>
  <c r="M84" i="8"/>
  <c r="M85" i="8" s="1"/>
  <c r="M68" i="8"/>
  <c r="M69" i="8" s="1"/>
  <c r="M52" i="8"/>
  <c r="M44" i="8"/>
  <c r="M41" i="8"/>
  <c r="M42" i="8" s="1"/>
  <c r="M39" i="8"/>
  <c r="K97" i="8"/>
  <c r="M97" i="8"/>
  <c r="K101" i="8"/>
  <c r="M101" i="8"/>
  <c r="K77" i="8"/>
  <c r="M77" i="8"/>
  <c r="M78" i="8" s="1"/>
  <c r="K61" i="8"/>
  <c r="M61" i="8"/>
  <c r="M62" i="8" s="1"/>
  <c r="M54" i="8"/>
  <c r="M46" i="8"/>
  <c r="K95" i="8"/>
  <c r="M95" i="8"/>
  <c r="K71" i="8"/>
  <c r="M71" i="8"/>
  <c r="K73" i="8"/>
  <c r="M73" i="8"/>
  <c r="K91" i="8"/>
  <c r="M91" i="8"/>
  <c r="M99" i="8"/>
  <c r="K82" i="8"/>
  <c r="M82" i="8"/>
  <c r="M75" i="8"/>
  <c r="K58" i="8"/>
  <c r="M58" i="8"/>
  <c r="M59" i="8" s="1"/>
  <c r="K50" i="8"/>
  <c r="M50" i="8"/>
  <c r="M9" i="8"/>
  <c r="M31" i="8"/>
  <c r="M32" i="8" s="1"/>
  <c r="K32" i="8"/>
  <c r="K85" i="8"/>
  <c r="K69" i="8"/>
  <c r="K30" i="8"/>
  <c r="M22" i="8"/>
  <c r="M23" i="8" s="1"/>
  <c r="K84" i="8"/>
  <c r="K37" i="8"/>
  <c r="K29" i="8"/>
  <c r="K21" i="8"/>
  <c r="M13" i="8"/>
  <c r="K87" i="8"/>
  <c r="M24" i="8"/>
  <c r="M25" i="8" s="1"/>
  <c r="K54" i="8"/>
  <c r="K23" i="8"/>
  <c r="K59" i="8"/>
  <c r="M36" i="8"/>
  <c r="M37" i="8" s="1"/>
  <c r="K12" i="8"/>
  <c r="K78" i="8"/>
  <c r="M15" i="8"/>
  <c r="K42" i="8"/>
  <c r="M19" i="8"/>
  <c r="K62" i="8"/>
  <c r="M27" i="8"/>
  <c r="K10" i="8"/>
  <c r="K89" i="8"/>
  <c r="K34" i="8"/>
  <c r="K26" i="8"/>
  <c r="K64" i="8"/>
  <c r="M33" i="8"/>
  <c r="M34" i="8" s="1"/>
  <c r="K25" i="8"/>
  <c r="M17" i="8"/>
  <c r="M114" i="8" l="1"/>
  <c r="M10" i="8"/>
  <c r="M26" i="8"/>
  <c r="AD37" i="8" s="1"/>
  <c r="AD61" i="8"/>
  <c r="AD14" i="8"/>
  <c r="M18" i="8"/>
  <c r="AD24" i="8" s="1"/>
  <c r="M14" i="8"/>
  <c r="AD26" i="8" s="1"/>
  <c r="AD65" i="8"/>
  <c r="AE53" i="8"/>
  <c r="M28" i="8"/>
  <c r="AF19" i="8" s="1"/>
  <c r="AD36" i="8"/>
  <c r="M20" i="8"/>
  <c r="AD59" i="8" s="1"/>
  <c r="M16" i="8"/>
  <c r="AD63" i="8"/>
  <c r="L9" i="8"/>
  <c r="N9" i="8" s="1"/>
  <c r="M11" i="8"/>
  <c r="AD64" i="8" s="1"/>
  <c r="AD51" i="8"/>
  <c r="AD28" i="8"/>
  <c r="AD58" i="8"/>
  <c r="AD44" i="8"/>
  <c r="AE41" i="8"/>
  <c r="AE19" i="8"/>
  <c r="AE18" i="8"/>
  <c r="AD29" i="8"/>
  <c r="AD18" i="8"/>
  <c r="AD53" i="8"/>
  <c r="AE44" i="8"/>
  <c r="AE63" i="8"/>
  <c r="AD23" i="8"/>
  <c r="AE23" i="8"/>
  <c r="AE26" i="8"/>
  <c r="AE37" i="8"/>
  <c r="AF44" i="8"/>
  <c r="AE70" i="8"/>
  <c r="AD57" i="8"/>
  <c r="AD49" i="8"/>
  <c r="AD71" i="8"/>
  <c r="AD25" i="8"/>
  <c r="AE24" i="8"/>
  <c r="AF24" i="8"/>
  <c r="AE25" i="8"/>
  <c r="AF42" i="8"/>
  <c r="AD66" i="8"/>
  <c r="AE36" i="8"/>
  <c r="AD68" i="8"/>
  <c r="AE42" i="8"/>
  <c r="AD50" i="8"/>
  <c r="AF23" i="8"/>
  <c r="AF49" i="8"/>
  <c r="AE60" i="8"/>
  <c r="AI10" i="8"/>
  <c r="AD12" i="8"/>
  <c r="AD13" i="8"/>
  <c r="AG15" i="8"/>
  <c r="AG16" i="8"/>
  <c r="AG17" i="8"/>
  <c r="AG18" i="8"/>
  <c r="AG19" i="8"/>
  <c r="AG20" i="8"/>
  <c r="AG21" i="8"/>
  <c r="AG22" i="8"/>
  <c r="AH23" i="8"/>
  <c r="AH24" i="8"/>
  <c r="AH25" i="8"/>
  <c r="AI26" i="8"/>
  <c r="AI27" i="8"/>
  <c r="AI28" i="8"/>
  <c r="AI29" i="8"/>
  <c r="AI30" i="8"/>
  <c r="AI31" i="8"/>
  <c r="AI32" i="8"/>
  <c r="AI33" i="8"/>
  <c r="AI34" i="8"/>
  <c r="AE38" i="8"/>
  <c r="AE39" i="8"/>
  <c r="AF40" i="8"/>
  <c r="AF41" i="8"/>
  <c r="AF43" i="8"/>
  <c r="AF45" i="8"/>
  <c r="AF46" i="8"/>
  <c r="AF47" i="8"/>
  <c r="AI48" i="8"/>
  <c r="AK49" i="8"/>
  <c r="AF51" i="8"/>
  <c r="AF52" i="8"/>
  <c r="AG53" i="8"/>
  <c r="AG54" i="8"/>
  <c r="AG55" i="8"/>
  <c r="AG56" i="8"/>
  <c r="AH57" i="8"/>
  <c r="AH58" i="8"/>
  <c r="AI59" i="8"/>
  <c r="AG62" i="8"/>
  <c r="AH63" i="8"/>
  <c r="AI64" i="8"/>
  <c r="AJ65" i="8"/>
  <c r="AK66" i="8"/>
  <c r="AK67" i="8"/>
  <c r="AD69" i="8"/>
  <c r="AG72" i="8"/>
  <c r="AG73" i="8"/>
  <c r="AG74" i="8"/>
  <c r="AG75" i="8"/>
  <c r="AG76" i="8"/>
  <c r="AG77" i="8"/>
  <c r="AG78" i="8"/>
  <c r="AI9" i="8"/>
  <c r="AJ44" i="8"/>
  <c r="AH68" i="8"/>
  <c r="AK74" i="8"/>
  <c r="AI11" i="8"/>
  <c r="AD22" i="8"/>
  <c r="AF32" i="8"/>
  <c r="AI35" i="8"/>
  <c r="AJ39" i="8"/>
  <c r="AK43" i="8"/>
  <c r="AK47" i="8"/>
  <c r="AK52" i="8"/>
  <c r="AI69" i="8"/>
  <c r="AD75" i="8"/>
  <c r="AJ10" i="8"/>
  <c r="AE12" i="8"/>
  <c r="AE13" i="8"/>
  <c r="AH15" i="8"/>
  <c r="AH16" i="8"/>
  <c r="AH17" i="8"/>
  <c r="AH18" i="8"/>
  <c r="AH19" i="8"/>
  <c r="AH20" i="8"/>
  <c r="AH21" i="8"/>
  <c r="AH22" i="8"/>
  <c r="AI23" i="8"/>
  <c r="AI24" i="8"/>
  <c r="AI25" i="8"/>
  <c r="AJ26" i="8"/>
  <c r="AJ27" i="8"/>
  <c r="AJ28" i="8"/>
  <c r="AJ29" i="8"/>
  <c r="AJ30" i="8"/>
  <c r="AJ31" i="8"/>
  <c r="AJ32" i="8"/>
  <c r="AJ33" i="8"/>
  <c r="AJ34" i="8"/>
  <c r="AF38" i="8"/>
  <c r="AF39" i="8"/>
  <c r="AG40" i="8"/>
  <c r="AG41" i="8"/>
  <c r="AG42" i="8"/>
  <c r="AG43" i="8"/>
  <c r="AG44" i="8"/>
  <c r="AG45" i="8"/>
  <c r="AG46" i="8"/>
  <c r="AG47" i="8"/>
  <c r="AJ48" i="8"/>
  <c r="AF50" i="8"/>
  <c r="AG51" i="8"/>
  <c r="AG52" i="8"/>
  <c r="AH53" i="8"/>
  <c r="AH54" i="8"/>
  <c r="AH55" i="8"/>
  <c r="AH56" i="8"/>
  <c r="AI57" i="8"/>
  <c r="AI58" i="8"/>
  <c r="AJ59" i="8"/>
  <c r="AF61" i="8"/>
  <c r="AH62" i="8"/>
  <c r="AI63" i="8"/>
  <c r="AJ64" i="8"/>
  <c r="AK65" i="8"/>
  <c r="AD67" i="8"/>
  <c r="AE69" i="8"/>
  <c r="AF71" i="8"/>
  <c r="AH72" i="8"/>
  <c r="AH73" i="8"/>
  <c r="AH74" i="8"/>
  <c r="AH75" i="8"/>
  <c r="AH76" i="8"/>
  <c r="AH77" i="8"/>
  <c r="AH78" i="8"/>
  <c r="AJ9" i="8"/>
  <c r="AK18" i="8"/>
  <c r="AE32" i="8"/>
  <c r="AH35" i="8"/>
  <c r="AI38" i="8"/>
  <c r="AJ41" i="8"/>
  <c r="AJ45" i="8"/>
  <c r="AG49" i="8"/>
  <c r="AJ52" i="8"/>
  <c r="AK56" i="8"/>
  <c r="AK62" i="8"/>
  <c r="AH69" i="8"/>
  <c r="AK73" i="8"/>
  <c r="AK77" i="8"/>
  <c r="AI13" i="8"/>
  <c r="AD21" i="8"/>
  <c r="AF34" i="8"/>
  <c r="AJ38" i="8"/>
  <c r="AK42" i="8"/>
  <c r="AJ50" i="8"/>
  <c r="AD55" i="8"/>
  <c r="AJ61" i="8"/>
  <c r="AI68" i="8"/>
  <c r="AD73" i="8"/>
  <c r="AD78" i="8"/>
  <c r="AJ12" i="8"/>
  <c r="AK10" i="8"/>
  <c r="AF12" i="8"/>
  <c r="AF13" i="8"/>
  <c r="AI15" i="8"/>
  <c r="AI16" i="8"/>
  <c r="AI17" i="8"/>
  <c r="AI18" i="8"/>
  <c r="AI19" i="8"/>
  <c r="AI20" i="8"/>
  <c r="AI21" i="8"/>
  <c r="AI22" i="8"/>
  <c r="AJ23" i="8"/>
  <c r="AJ24" i="8"/>
  <c r="AJ25" i="8"/>
  <c r="AK26" i="8"/>
  <c r="AK27" i="8"/>
  <c r="AK28" i="8"/>
  <c r="AK29" i="8"/>
  <c r="AK30" i="8"/>
  <c r="AK31" i="8"/>
  <c r="AK32" i="8"/>
  <c r="AK33" i="8"/>
  <c r="AK34" i="8"/>
  <c r="AF36" i="8"/>
  <c r="AG37" i="8"/>
  <c r="AG38" i="8"/>
  <c r="AG39" i="8"/>
  <c r="AH40" i="8"/>
  <c r="AH41" i="8"/>
  <c r="AH42" i="8"/>
  <c r="AH43" i="8"/>
  <c r="AH44" i="8"/>
  <c r="AH45" i="8"/>
  <c r="AH46" i="8"/>
  <c r="AH47" i="8"/>
  <c r="AK48" i="8"/>
  <c r="AG50" i="8"/>
  <c r="AH51" i="8"/>
  <c r="AH52" i="8"/>
  <c r="AI53" i="8"/>
  <c r="AI54" i="8"/>
  <c r="AI55" i="8"/>
  <c r="AI56" i="8"/>
  <c r="AJ57" i="8"/>
  <c r="AJ58" i="8"/>
  <c r="AK59" i="8"/>
  <c r="AG61" i="8"/>
  <c r="AI62" i="8"/>
  <c r="AJ63" i="8"/>
  <c r="AK64" i="8"/>
  <c r="AE67" i="8"/>
  <c r="AF68" i="8"/>
  <c r="AF69" i="8"/>
  <c r="AF70" i="8"/>
  <c r="AG71" i="8"/>
  <c r="AI72" i="8"/>
  <c r="AI73" i="8"/>
  <c r="AI74" i="8"/>
  <c r="AI75" i="8"/>
  <c r="AI76" i="8"/>
  <c r="AI77" i="8"/>
  <c r="AI78" i="8"/>
  <c r="AK9" i="8"/>
  <c r="AH13" i="8"/>
  <c r="AE27" i="8"/>
  <c r="AE29" i="8"/>
  <c r="AE31" i="8"/>
  <c r="AE34" i="8"/>
  <c r="AH36" i="8"/>
  <c r="AI39" i="8"/>
  <c r="AJ43" i="8"/>
  <c r="AJ47" i="8"/>
  <c r="AI50" i="8"/>
  <c r="AK53" i="8"/>
  <c r="AK55" i="8"/>
  <c r="AH60" i="8"/>
  <c r="AG67" i="8"/>
  <c r="AI71" i="8"/>
  <c r="AK76" i="8"/>
  <c r="AF29" i="8"/>
  <c r="AJ11" i="8"/>
  <c r="AD10" i="8"/>
  <c r="AG11" i="8"/>
  <c r="AG12" i="8"/>
  <c r="AG13" i="8"/>
  <c r="AH14" i="8"/>
  <c r="AJ15" i="8"/>
  <c r="AJ16" i="8"/>
  <c r="AJ17" i="8"/>
  <c r="AJ18" i="8"/>
  <c r="AJ19" i="8"/>
  <c r="AJ20" i="8"/>
  <c r="AJ21" i="8"/>
  <c r="AJ22" i="8"/>
  <c r="AK23" i="8"/>
  <c r="AK24" i="8"/>
  <c r="AK25" i="8"/>
  <c r="AD27" i="8"/>
  <c r="AD30" i="8"/>
  <c r="AD31" i="8"/>
  <c r="AD32" i="8"/>
  <c r="AD33" i="8"/>
  <c r="AD34" i="8"/>
  <c r="AG35" i="8"/>
  <c r="AG36" i="8"/>
  <c r="AH37" i="8"/>
  <c r="AH38" i="8"/>
  <c r="AH39" i="8"/>
  <c r="AI40" i="8"/>
  <c r="AI41" i="8"/>
  <c r="AI42" i="8"/>
  <c r="AI43" i="8"/>
  <c r="AI44" i="8"/>
  <c r="AI45" i="8"/>
  <c r="AI46" i="8"/>
  <c r="AI47" i="8"/>
  <c r="AH50" i="8"/>
  <c r="AI51" i="8"/>
  <c r="AI52" i="8"/>
  <c r="AJ53" i="8"/>
  <c r="AJ54" i="8"/>
  <c r="AJ55" i="8"/>
  <c r="AJ56" i="8"/>
  <c r="AK57" i="8"/>
  <c r="AK58" i="8"/>
  <c r="AG60" i="8"/>
  <c r="AH61" i="8"/>
  <c r="AJ62" i="8"/>
  <c r="AK63" i="8"/>
  <c r="AF66" i="8"/>
  <c r="AF67" i="8"/>
  <c r="AG68" i="8"/>
  <c r="AG69" i="8"/>
  <c r="AG70" i="8"/>
  <c r="AH71" i="8"/>
  <c r="AJ72" i="8"/>
  <c r="AJ73" i="8"/>
  <c r="AJ74" i="8"/>
  <c r="AJ75" i="8"/>
  <c r="AJ76" i="8"/>
  <c r="AJ77" i="8"/>
  <c r="AJ78" i="8"/>
  <c r="AI14" i="8"/>
  <c r="AF10" i="8"/>
  <c r="AI12" i="8"/>
  <c r="AJ14" i="8"/>
  <c r="AD16" i="8"/>
  <c r="AD20" i="8"/>
  <c r="AF27" i="8"/>
  <c r="AF30" i="8"/>
  <c r="AF33" i="8"/>
  <c r="AI36" i="8"/>
  <c r="AK40" i="8"/>
  <c r="AK44" i="8"/>
  <c r="AK45" i="8"/>
  <c r="AK51" i="8"/>
  <c r="AD56" i="8"/>
  <c r="AI60" i="8"/>
  <c r="AH66" i="8"/>
  <c r="AJ71" i="8"/>
  <c r="AD77" i="8"/>
  <c r="AJ13" i="8"/>
  <c r="AE10" i="8"/>
  <c r="AH11" i="8"/>
  <c r="AH12" i="8"/>
  <c r="AK15" i="8"/>
  <c r="AK16" i="8"/>
  <c r="AK17" i="8"/>
  <c r="AK19" i="8"/>
  <c r="AK20" i="8"/>
  <c r="AK21" i="8"/>
  <c r="AK22" i="8"/>
  <c r="AE30" i="8"/>
  <c r="AE33" i="8"/>
  <c r="AI37" i="8"/>
  <c r="AJ40" i="8"/>
  <c r="AJ46" i="8"/>
  <c r="AJ51" i="8"/>
  <c r="AK54" i="8"/>
  <c r="AI61" i="8"/>
  <c r="AG66" i="8"/>
  <c r="AK72" i="8"/>
  <c r="AK78" i="8"/>
  <c r="AD17" i="8"/>
  <c r="AF31" i="8"/>
  <c r="AJ37" i="8"/>
  <c r="AK41" i="8"/>
  <c r="AK46" i="8"/>
  <c r="AD54" i="8"/>
  <c r="AF59" i="8"/>
  <c r="AI70" i="8"/>
  <c r="AD76" i="8"/>
  <c r="AH10" i="8"/>
  <c r="AK11" i="8"/>
  <c r="AK12" i="8"/>
  <c r="AK13" i="8"/>
  <c r="AF16" i="8"/>
  <c r="AF17" i="8"/>
  <c r="AF18" i="8"/>
  <c r="AF20" i="8"/>
  <c r="AF21" i="8"/>
  <c r="AF22" i="8"/>
  <c r="AG23" i="8"/>
  <c r="AG24" i="8"/>
  <c r="AG25" i="8"/>
  <c r="AH26" i="8"/>
  <c r="AH27" i="8"/>
  <c r="AH28" i="8"/>
  <c r="AH29" i="8"/>
  <c r="AH30" i="8"/>
  <c r="AH31" i="8"/>
  <c r="AH32" i="8"/>
  <c r="AH33" i="8"/>
  <c r="AH34" i="8"/>
  <c r="AK35" i="8"/>
  <c r="AK36" i="8"/>
  <c r="AD38" i="8"/>
  <c r="AD39" i="8"/>
  <c r="AE40" i="8"/>
  <c r="AE43" i="8"/>
  <c r="AE45" i="8"/>
  <c r="AE46" i="8"/>
  <c r="AE47" i="8"/>
  <c r="AH48" i="8"/>
  <c r="AJ49" i="8"/>
  <c r="AE52" i="8"/>
  <c r="AF53" i="8"/>
  <c r="AF54" i="8"/>
  <c r="AF55" i="8"/>
  <c r="AF56" i="8"/>
  <c r="AG57" i="8"/>
  <c r="AG58" i="8"/>
  <c r="AH59" i="8"/>
  <c r="AK60" i="8"/>
  <c r="AG63" i="8"/>
  <c r="AH64" i="8"/>
  <c r="AI65" i="8"/>
  <c r="AJ66" i="8"/>
  <c r="AJ67" i="8"/>
  <c r="AK68" i="8"/>
  <c r="AK69" i="8"/>
  <c r="AK70" i="8"/>
  <c r="AF73" i="8"/>
  <c r="AF74" i="8"/>
  <c r="AF75" i="8"/>
  <c r="AF76" i="8"/>
  <c r="AF77" i="8"/>
  <c r="AF78" i="8"/>
  <c r="AH9" i="8"/>
  <c r="AJ42" i="8"/>
  <c r="AF65" i="8"/>
  <c r="AH70" i="8"/>
  <c r="AK75" i="8"/>
  <c r="AH49" i="8"/>
  <c r="AE58" i="8"/>
  <c r="AH67" i="8"/>
  <c r="AD74" i="8"/>
  <c r="AF9" i="8"/>
  <c r="AG10" i="8"/>
  <c r="AE17" i="8"/>
  <c r="AE22" i="8"/>
  <c r="AG28" i="8"/>
  <c r="AJ35" i="8"/>
  <c r="AK39" i="8"/>
  <c r="AK50" i="8"/>
  <c r="AF57" i="8"/>
  <c r="AJ70" i="8"/>
  <c r="AE77" i="8"/>
  <c r="AI66" i="8"/>
  <c r="AE78" i="8"/>
  <c r="AG29" i="8"/>
  <c r="AD52" i="8"/>
  <c r="AF58" i="8"/>
  <c r="AI67" i="8"/>
  <c r="AG9" i="8"/>
  <c r="AE54" i="8"/>
  <c r="AJ68" i="8"/>
  <c r="AD45" i="8"/>
  <c r="AK71" i="8"/>
  <c r="AG27" i="8"/>
  <c r="AG59" i="8"/>
  <c r="AJ60" i="8"/>
  <c r="AG26" i="8"/>
  <c r="AG30" i="8"/>
  <c r="AJ36" i="8"/>
  <c r="AD46" i="8"/>
  <c r="AG31" i="8"/>
  <c r="AK14" i="8"/>
  <c r="AE55" i="8"/>
  <c r="AG64" i="8"/>
  <c r="AD47" i="8"/>
  <c r="AE73" i="8"/>
  <c r="AG48" i="8"/>
  <c r="AJ69" i="8"/>
  <c r="AE20" i="8"/>
  <c r="AG33" i="8"/>
  <c r="AK37" i="8"/>
  <c r="AD43" i="8"/>
  <c r="AE56" i="8"/>
  <c r="AE75" i="8"/>
  <c r="AE16" i="8"/>
  <c r="AE21" i="8"/>
  <c r="AG34" i="8"/>
  <c r="AK38" i="8"/>
  <c r="AI49" i="8"/>
  <c r="AK61" i="8"/>
  <c r="AH65" i="8"/>
  <c r="AE76" i="8"/>
  <c r="AG32" i="8"/>
  <c r="AE74" i="8"/>
  <c r="AF35" i="8"/>
  <c r="AF60" i="8"/>
  <c r="AF11" i="8"/>
  <c r="AF37" i="8"/>
  <c r="AE57" i="8"/>
  <c r="AF62" i="8"/>
  <c r="AE15" i="8"/>
  <c r="AE59" i="8"/>
  <c r="AE72" i="8"/>
  <c r="AF14" i="8"/>
  <c r="AF15" i="8"/>
  <c r="AE62" i="8"/>
  <c r="AF48" i="8"/>
  <c r="AE71" i="8"/>
  <c r="AE50" i="8"/>
  <c r="AF72" i="8"/>
  <c r="AD35" i="8"/>
  <c r="AE61" i="8"/>
  <c r="AE9" i="8"/>
  <c r="AE68" i="8"/>
  <c r="AD60" i="8"/>
  <c r="AE66" i="8"/>
  <c r="AF26" i="8"/>
  <c r="AE65" i="8"/>
  <c r="AT9" i="8"/>
  <c r="AD9" i="8"/>
  <c r="AE11" i="8"/>
  <c r="AM58" i="8" l="1"/>
  <c r="L10" i="8"/>
  <c r="N10" i="8" s="1"/>
  <c r="AM19" i="8" s="1"/>
  <c r="M115" i="8"/>
  <c r="AG14" i="8" s="1"/>
  <c r="M12" i="8"/>
  <c r="AD41" i="8"/>
  <c r="AF25" i="8"/>
  <c r="M21" i="8"/>
  <c r="M35" i="8"/>
  <c r="AE28" i="8"/>
  <c r="L11" i="8"/>
  <c r="N11" i="8" s="1"/>
  <c r="AM64" i="8" s="1"/>
  <c r="M29" i="8"/>
  <c r="AF64" i="8"/>
  <c r="AD19" i="8"/>
  <c r="AD72" i="8"/>
  <c r="AD15" i="8"/>
  <c r="AD62" i="8"/>
  <c r="AE49" i="8"/>
  <c r="AD48" i="8"/>
  <c r="L18" i="8" l="1"/>
  <c r="N18" i="8" s="1"/>
  <c r="AM24" i="8" s="1"/>
  <c r="L19" i="8"/>
  <c r="N19" i="8" s="1"/>
  <c r="AM53" i="8" s="1"/>
  <c r="L13" i="8"/>
  <c r="N13" i="8" s="1"/>
  <c r="AM29" i="8" s="1"/>
  <c r="L12" i="8"/>
  <c r="N12" i="8" s="1"/>
  <c r="AM79" i="8" s="1"/>
  <c r="L20" i="8"/>
  <c r="N20" i="8" s="1"/>
  <c r="AM59" i="8" s="1"/>
  <c r="M116" i="8"/>
  <c r="AF63" i="8" s="1"/>
  <c r="L17" i="8"/>
  <c r="L15" i="8"/>
  <c r="N15" i="8" s="1"/>
  <c r="AM44" i="8" s="1"/>
  <c r="L28" i="8"/>
  <c r="N28" i="8" s="1"/>
  <c r="AO19" i="8" s="1"/>
  <c r="L14" i="8"/>
  <c r="N14" i="8" s="1"/>
  <c r="AM26" i="8" s="1"/>
  <c r="AD79" i="8"/>
  <c r="L16" i="8"/>
  <c r="N16" i="8" s="1"/>
  <c r="AM41" i="8" s="1"/>
  <c r="L22" i="8"/>
  <c r="N22" i="8" s="1"/>
  <c r="AM28" i="8" s="1"/>
  <c r="L26" i="8"/>
  <c r="N26" i="8" s="1"/>
  <c r="AM37" i="8" s="1"/>
  <c r="AF28" i="8"/>
  <c r="L23" i="8"/>
  <c r="AE14" i="8"/>
  <c r="L27" i="8"/>
  <c r="AD42" i="8"/>
  <c r="L21" i="8"/>
  <c r="N21" i="8" s="1"/>
  <c r="AM70" i="8" s="1"/>
  <c r="AD70" i="8"/>
  <c r="L24" i="8"/>
  <c r="N24" i="8" s="1"/>
  <c r="AM18" i="8" s="1"/>
  <c r="L25" i="8"/>
  <c r="L29" i="8"/>
  <c r="M30" i="8"/>
  <c r="AE64" i="8"/>
  <c r="AE48" i="8"/>
  <c r="AD11" i="8"/>
  <c r="AD40" i="8"/>
  <c r="AE35" i="8"/>
  <c r="M124" i="7"/>
  <c r="M123" i="7"/>
  <c r="M121" i="7"/>
  <c r="M120" i="7"/>
  <c r="M118" i="7"/>
  <c r="M117" i="7"/>
  <c r="M115" i="7"/>
  <c r="M114" i="7"/>
  <c r="M112" i="7"/>
  <c r="M111" i="7"/>
  <c r="M109" i="7"/>
  <c r="M108" i="7"/>
  <c r="M106" i="7"/>
  <c r="M105" i="7"/>
  <c r="M103" i="7"/>
  <c r="M102" i="7"/>
  <c r="M100" i="7"/>
  <c r="M99" i="7"/>
  <c r="M97" i="7"/>
  <c r="M96" i="7"/>
  <c r="M94" i="7"/>
  <c r="M93" i="7"/>
  <c r="M91" i="7"/>
  <c r="M90" i="7"/>
  <c r="M88" i="7"/>
  <c r="M87" i="7"/>
  <c r="M85" i="7"/>
  <c r="M84" i="7"/>
  <c r="M82" i="7"/>
  <c r="M81" i="7"/>
  <c r="M79" i="7"/>
  <c r="M78" i="7"/>
  <c r="M76" i="7"/>
  <c r="M75" i="7"/>
  <c r="M73" i="7"/>
  <c r="M72" i="7"/>
  <c r="M70" i="7"/>
  <c r="M69" i="7"/>
  <c r="M67" i="7"/>
  <c r="M66" i="7"/>
  <c r="M64" i="7"/>
  <c r="M63" i="7"/>
  <c r="M61" i="7"/>
  <c r="M60" i="7"/>
  <c r="M58" i="7"/>
  <c r="M57" i="7"/>
  <c r="M55" i="7"/>
  <c r="M54" i="7"/>
  <c r="M52" i="7"/>
  <c r="M51" i="7"/>
  <c r="M49" i="7"/>
  <c r="M48" i="7"/>
  <c r="M46" i="7"/>
  <c r="M45" i="7"/>
  <c r="M43" i="7"/>
  <c r="M42" i="7"/>
  <c r="M40" i="7"/>
  <c r="M39" i="7"/>
  <c r="M36" i="7"/>
  <c r="M34" i="7"/>
  <c r="M33" i="7"/>
  <c r="M31" i="7"/>
  <c r="M30" i="7"/>
  <c r="M27" i="7"/>
  <c r="M25" i="7"/>
  <c r="M24" i="7"/>
  <c r="M22" i="7"/>
  <c r="M21" i="7"/>
  <c r="M18" i="7"/>
  <c r="M16" i="7"/>
  <c r="M15" i="7"/>
  <c r="M12" i="7"/>
  <c r="M9" i="7"/>
  <c r="M6" i="7"/>
  <c r="M4" i="7"/>
  <c r="M3" i="7"/>
  <c r="I124" i="7"/>
  <c r="K124" i="7" s="1"/>
  <c r="I123" i="7"/>
  <c r="K123" i="7" s="1"/>
  <c r="I122" i="7"/>
  <c r="M122" i="7" s="1"/>
  <c r="I121" i="7"/>
  <c r="K121" i="7" s="1"/>
  <c r="I120" i="7"/>
  <c r="K120" i="7" s="1"/>
  <c r="I119" i="7"/>
  <c r="K119" i="7" s="1"/>
  <c r="I118" i="7"/>
  <c r="K118" i="7" s="1"/>
  <c r="I117" i="7"/>
  <c r="K117" i="7" s="1"/>
  <c r="I116" i="7"/>
  <c r="M116" i="7" s="1"/>
  <c r="I115" i="7"/>
  <c r="K115" i="7" s="1"/>
  <c r="I114" i="7"/>
  <c r="K114" i="7" s="1"/>
  <c r="I113" i="7"/>
  <c r="M113" i="7" s="1"/>
  <c r="I112" i="7"/>
  <c r="K112" i="7" s="1"/>
  <c r="I111" i="7"/>
  <c r="K111" i="7" s="1"/>
  <c r="I110" i="7"/>
  <c r="M110" i="7" s="1"/>
  <c r="I109" i="7"/>
  <c r="K109" i="7" s="1"/>
  <c r="I108" i="7"/>
  <c r="K108" i="7" s="1"/>
  <c r="I107" i="7"/>
  <c r="M107" i="7" s="1"/>
  <c r="I106" i="7"/>
  <c r="K106" i="7" s="1"/>
  <c r="I105" i="7"/>
  <c r="K105" i="7" s="1"/>
  <c r="I104" i="7"/>
  <c r="M104" i="7" s="1"/>
  <c r="I103" i="7"/>
  <c r="K103" i="7" s="1"/>
  <c r="I102" i="7"/>
  <c r="K102" i="7" s="1"/>
  <c r="I101" i="7"/>
  <c r="M101" i="7" s="1"/>
  <c r="I100" i="7"/>
  <c r="K100" i="7" s="1"/>
  <c r="I99" i="7"/>
  <c r="K99" i="7" s="1"/>
  <c r="I98" i="7"/>
  <c r="M98" i="7" s="1"/>
  <c r="I97" i="7"/>
  <c r="K97" i="7" s="1"/>
  <c r="I96" i="7"/>
  <c r="K96" i="7" s="1"/>
  <c r="I95" i="7"/>
  <c r="M95" i="7" s="1"/>
  <c r="I94" i="7"/>
  <c r="K94" i="7" s="1"/>
  <c r="I93" i="7"/>
  <c r="K93" i="7" s="1"/>
  <c r="I92" i="7"/>
  <c r="M92" i="7" s="1"/>
  <c r="I91" i="7"/>
  <c r="K91" i="7" s="1"/>
  <c r="I90" i="7"/>
  <c r="K90" i="7" s="1"/>
  <c r="I89" i="7"/>
  <c r="K89" i="7" s="1"/>
  <c r="I88" i="7"/>
  <c r="K88" i="7" s="1"/>
  <c r="I87" i="7"/>
  <c r="K87" i="7" s="1"/>
  <c r="I86" i="7"/>
  <c r="M86" i="7" s="1"/>
  <c r="I85" i="7"/>
  <c r="K85" i="7" s="1"/>
  <c r="I84" i="7"/>
  <c r="K84" i="7" s="1"/>
  <c r="I83" i="7"/>
  <c r="M83" i="7" s="1"/>
  <c r="I82" i="7"/>
  <c r="K82" i="7" s="1"/>
  <c r="I81" i="7"/>
  <c r="K81" i="7" s="1"/>
  <c r="I80" i="7"/>
  <c r="M80" i="7" s="1"/>
  <c r="I79" i="7"/>
  <c r="K79" i="7" s="1"/>
  <c r="I78" i="7"/>
  <c r="K78" i="7" s="1"/>
  <c r="I77" i="7"/>
  <c r="M77" i="7" s="1"/>
  <c r="I76" i="7"/>
  <c r="K76" i="7" s="1"/>
  <c r="I75" i="7"/>
  <c r="K75" i="7" s="1"/>
  <c r="I74" i="7"/>
  <c r="M74" i="7" s="1"/>
  <c r="I73" i="7"/>
  <c r="K73" i="7" s="1"/>
  <c r="I72" i="7"/>
  <c r="K72" i="7" s="1"/>
  <c r="I71" i="7"/>
  <c r="K71" i="7" s="1"/>
  <c r="I70" i="7"/>
  <c r="K70" i="7" s="1"/>
  <c r="I69" i="7"/>
  <c r="K69" i="7" s="1"/>
  <c r="I68" i="7"/>
  <c r="M68" i="7" s="1"/>
  <c r="I67" i="7"/>
  <c r="K67" i="7" s="1"/>
  <c r="I66" i="7"/>
  <c r="K66" i="7" s="1"/>
  <c r="I65" i="7"/>
  <c r="K65" i="7" s="1"/>
  <c r="I64" i="7"/>
  <c r="K64" i="7" s="1"/>
  <c r="I63" i="7"/>
  <c r="K63" i="7" s="1"/>
  <c r="I62" i="7"/>
  <c r="M62" i="7" s="1"/>
  <c r="I61" i="7"/>
  <c r="K61" i="7" s="1"/>
  <c r="I60" i="7"/>
  <c r="K60" i="7" s="1"/>
  <c r="I59" i="7"/>
  <c r="M59" i="7" s="1"/>
  <c r="I58" i="7"/>
  <c r="K58" i="7" s="1"/>
  <c r="I57" i="7"/>
  <c r="K57" i="7" s="1"/>
  <c r="I56" i="7"/>
  <c r="M56" i="7" s="1"/>
  <c r="I55" i="7"/>
  <c r="K55" i="7" s="1"/>
  <c r="I54" i="7"/>
  <c r="K54" i="7" s="1"/>
  <c r="I53" i="7"/>
  <c r="M53" i="7" s="1"/>
  <c r="I52" i="7"/>
  <c r="K52" i="7" s="1"/>
  <c r="I51" i="7"/>
  <c r="K51" i="7" s="1"/>
  <c r="I50" i="7"/>
  <c r="M50" i="7" s="1"/>
  <c r="I49" i="7"/>
  <c r="K49" i="7" s="1"/>
  <c r="I48" i="7"/>
  <c r="K48" i="7" s="1"/>
  <c r="I47" i="7"/>
  <c r="M47" i="7" s="1"/>
  <c r="I46" i="7"/>
  <c r="K46" i="7" s="1"/>
  <c r="I45" i="7"/>
  <c r="K45" i="7" s="1"/>
  <c r="I44" i="7"/>
  <c r="K44" i="7" s="1"/>
  <c r="I43" i="7"/>
  <c r="K43" i="7" s="1"/>
  <c r="I42" i="7"/>
  <c r="K42" i="7" s="1"/>
  <c r="I41" i="7"/>
  <c r="K41" i="7" s="1"/>
  <c r="I40" i="7"/>
  <c r="K40" i="7" s="1"/>
  <c r="I39" i="7"/>
  <c r="K39" i="7" s="1"/>
  <c r="I38" i="7"/>
  <c r="M38" i="7" s="1"/>
  <c r="M37" i="7"/>
  <c r="I37" i="7"/>
  <c r="K37" i="7" s="1"/>
  <c r="I36" i="7"/>
  <c r="K36" i="7" s="1"/>
  <c r="I35" i="7"/>
  <c r="M35" i="7" s="1"/>
  <c r="I34" i="7"/>
  <c r="K34" i="7" s="1"/>
  <c r="I33" i="7"/>
  <c r="K33" i="7" s="1"/>
  <c r="I32" i="7"/>
  <c r="M32" i="7" s="1"/>
  <c r="I31" i="7"/>
  <c r="K31" i="7" s="1"/>
  <c r="I30" i="7"/>
  <c r="K30" i="7" s="1"/>
  <c r="I29" i="7"/>
  <c r="M29" i="7" s="1"/>
  <c r="M28" i="7"/>
  <c r="I28" i="7"/>
  <c r="K28" i="7" s="1"/>
  <c r="I27" i="7"/>
  <c r="K27" i="7" s="1"/>
  <c r="I26" i="7"/>
  <c r="M26" i="7" s="1"/>
  <c r="I25" i="7"/>
  <c r="K25" i="7" s="1"/>
  <c r="I24" i="7"/>
  <c r="K24" i="7" s="1"/>
  <c r="I23" i="7"/>
  <c r="K23" i="7" s="1"/>
  <c r="I22" i="7"/>
  <c r="K22" i="7" s="1"/>
  <c r="I21" i="7"/>
  <c r="K21" i="7" s="1"/>
  <c r="I20" i="7"/>
  <c r="M20" i="7" s="1"/>
  <c r="M19" i="7"/>
  <c r="I19" i="7"/>
  <c r="K19" i="7" s="1"/>
  <c r="I18" i="7"/>
  <c r="K18" i="7" s="1"/>
  <c r="I17" i="7"/>
  <c r="M17" i="7" s="1"/>
  <c r="I16" i="7"/>
  <c r="K16" i="7" s="1"/>
  <c r="I15" i="7"/>
  <c r="K15" i="7" s="1"/>
  <c r="I14" i="7"/>
  <c r="M14" i="7" s="1"/>
  <c r="M13" i="7"/>
  <c r="I13" i="7"/>
  <c r="K13" i="7" s="1"/>
  <c r="I12" i="7"/>
  <c r="K12" i="7" s="1"/>
  <c r="I11" i="7"/>
  <c r="M11" i="7" s="1"/>
  <c r="M10" i="7"/>
  <c r="I10" i="7"/>
  <c r="K10" i="7" s="1"/>
  <c r="I9" i="7"/>
  <c r="K9" i="7" s="1"/>
  <c r="I8" i="7"/>
  <c r="M8" i="7" s="1"/>
  <c r="M7" i="7"/>
  <c r="I7" i="7"/>
  <c r="K7" i="7" s="1"/>
  <c r="I6" i="7"/>
  <c r="K6" i="7" s="1"/>
  <c r="I5" i="7"/>
  <c r="M5" i="7" s="1"/>
  <c r="I4" i="7"/>
  <c r="K4" i="7" s="1"/>
  <c r="I3" i="7"/>
  <c r="K3" i="7" s="1"/>
  <c r="I2" i="7"/>
  <c r="K2" i="7" s="1"/>
  <c r="K19" i="8"/>
  <c r="K17" i="8"/>
  <c r="K13" i="8"/>
  <c r="K9" i="8"/>
  <c r="K15" i="8"/>
  <c r="L495" i="8" l="1"/>
  <c r="N495" i="8" s="1"/>
  <c r="AP99" i="8" s="1"/>
  <c r="L496" i="8"/>
  <c r="L492" i="8"/>
  <c r="N492" i="8" s="1"/>
  <c r="L494" i="8"/>
  <c r="N494" i="8" s="1"/>
  <c r="L493" i="8"/>
  <c r="N493" i="8" s="1"/>
  <c r="AN105" i="8" s="1"/>
  <c r="L497" i="8"/>
  <c r="AV19" i="8"/>
  <c r="AV58" i="8"/>
  <c r="AV64" i="8"/>
  <c r="AV41" i="8"/>
  <c r="AV26" i="8"/>
  <c r="AV44" i="8"/>
  <c r="AV29" i="8"/>
  <c r="AV79" i="8"/>
  <c r="K68" i="7"/>
  <c r="L68" i="8"/>
  <c r="N68" i="8" s="1"/>
  <c r="AN49" i="8" s="1"/>
  <c r="L108" i="8"/>
  <c r="N108" i="8" s="1"/>
  <c r="AP44" i="8" s="1"/>
  <c r="L44" i="8"/>
  <c r="N44" i="8" s="1"/>
  <c r="AM61" i="8" s="1"/>
  <c r="L114" i="8"/>
  <c r="N114" i="8" s="1"/>
  <c r="AO17" i="8" s="1"/>
  <c r="L106" i="8"/>
  <c r="N106" i="8" s="1"/>
  <c r="AM17" i="8" s="1"/>
  <c r="L113" i="8"/>
  <c r="N113" i="8" s="1"/>
  <c r="AP60" i="8" s="1"/>
  <c r="L109" i="8"/>
  <c r="N109" i="8" s="1"/>
  <c r="AP26" i="8" s="1"/>
  <c r="L107" i="8"/>
  <c r="N107" i="8" s="1"/>
  <c r="AP42" i="8" s="1"/>
  <c r="L110" i="8"/>
  <c r="N110" i="8" s="1"/>
  <c r="AN17" i="8" s="1"/>
  <c r="L115" i="8"/>
  <c r="N115" i="8" s="1"/>
  <c r="AP14" i="8" s="1"/>
  <c r="L112" i="8"/>
  <c r="N112" i="8" s="1"/>
  <c r="AP62" i="8" s="1"/>
  <c r="L111" i="8"/>
  <c r="N111" i="8" s="1"/>
  <c r="AP48" i="8" s="1"/>
  <c r="M117" i="8"/>
  <c r="L446" i="8" s="1"/>
  <c r="L116" i="8"/>
  <c r="N116" i="8" s="1"/>
  <c r="AO63" i="8" s="1"/>
  <c r="N17" i="8"/>
  <c r="L47" i="8"/>
  <c r="N47" i="8" s="1"/>
  <c r="AO24" i="8" s="1"/>
  <c r="L78" i="8"/>
  <c r="N78" i="8" s="1"/>
  <c r="AM11" i="8" s="1"/>
  <c r="L104" i="8"/>
  <c r="L81" i="8"/>
  <c r="N81" i="8" s="1"/>
  <c r="AO37" i="8" s="1"/>
  <c r="L74" i="8"/>
  <c r="N74" i="8" s="1"/>
  <c r="AO62" i="8" s="1"/>
  <c r="L80" i="8"/>
  <c r="N80" i="8" s="1"/>
  <c r="AN72" i="8" s="1"/>
  <c r="N27" i="8"/>
  <c r="AN18" i="8" s="1"/>
  <c r="L53" i="8"/>
  <c r="N53" i="8" s="1"/>
  <c r="AO42" i="8" s="1"/>
  <c r="N29" i="8"/>
  <c r="AN64" i="8" s="1"/>
  <c r="N23" i="8"/>
  <c r="AN19" i="8" s="1"/>
  <c r="N25" i="8"/>
  <c r="AM51" i="8" s="1"/>
  <c r="L42" i="8"/>
  <c r="N42" i="8" s="1"/>
  <c r="AM42" i="8" s="1"/>
  <c r="L32" i="8"/>
  <c r="L39" i="8"/>
  <c r="N39" i="8" s="1"/>
  <c r="AM49" i="8" s="1"/>
  <c r="L101" i="8"/>
  <c r="N101" i="8" s="1"/>
  <c r="AO26" i="8" s="1"/>
  <c r="L71" i="8"/>
  <c r="N71" i="8" s="1"/>
  <c r="AM35" i="8" s="1"/>
  <c r="L77" i="8"/>
  <c r="N77" i="8" s="1"/>
  <c r="AN57" i="8" s="1"/>
  <c r="L35" i="8"/>
  <c r="N35" i="8" s="1"/>
  <c r="AM40" i="8" s="1"/>
  <c r="L97" i="8"/>
  <c r="L52" i="8"/>
  <c r="N52" i="8" s="1"/>
  <c r="AN28" i="8" s="1"/>
  <c r="L31" i="8"/>
  <c r="N31" i="8" s="1"/>
  <c r="AN44" i="8" s="1"/>
  <c r="L103" i="8"/>
  <c r="N103" i="8" s="1"/>
  <c r="AO70" i="8" s="1"/>
  <c r="L82" i="8"/>
  <c r="N82" i="8" s="1"/>
  <c r="AO15" i="8" s="1"/>
  <c r="L62" i="8"/>
  <c r="N62" i="8" s="1"/>
  <c r="AN14" i="8" s="1"/>
  <c r="L43" i="8"/>
  <c r="N43" i="8" s="1"/>
  <c r="AN42" i="8" s="1"/>
  <c r="L84" i="8"/>
  <c r="N84" i="8" s="1"/>
  <c r="AN11" i="8" s="1"/>
  <c r="L98" i="8"/>
  <c r="N98" i="8" s="1"/>
  <c r="AO35" i="8" s="1"/>
  <c r="L49" i="8"/>
  <c r="N49" i="8" s="1"/>
  <c r="AN36" i="8" s="1"/>
  <c r="L86" i="8"/>
  <c r="N86" i="8" s="1"/>
  <c r="AO11" i="8" s="1"/>
  <c r="L75" i="8"/>
  <c r="N75" i="8" s="1"/>
  <c r="AN59" i="8" s="1"/>
  <c r="L33" i="8"/>
  <c r="N33" i="8" s="1"/>
  <c r="AM71" i="8" s="1"/>
  <c r="L66" i="8"/>
  <c r="N66" i="8" s="1"/>
  <c r="AN53" i="8" s="1"/>
  <c r="L79" i="8"/>
  <c r="N79" i="8" s="1"/>
  <c r="AN15" i="8" s="1"/>
  <c r="L85" i="8"/>
  <c r="N85" i="8" s="1"/>
  <c r="AN35" i="8" s="1"/>
  <c r="L60" i="8"/>
  <c r="N60" i="8" s="1"/>
  <c r="AN26" i="8" s="1"/>
  <c r="L56" i="8"/>
  <c r="N56" i="8" s="1"/>
  <c r="AO25" i="8" s="1"/>
  <c r="L102" i="8"/>
  <c r="N102" i="8" s="1"/>
  <c r="AO44" i="8" s="1"/>
  <c r="L40" i="8"/>
  <c r="N40" i="8" s="1"/>
  <c r="AN24" i="8" s="1"/>
  <c r="L38" i="8"/>
  <c r="N38" i="8" s="1"/>
  <c r="AN37" i="8" s="1"/>
  <c r="L50" i="8"/>
  <c r="N50" i="8" s="1"/>
  <c r="AM23" i="8" s="1"/>
  <c r="L69" i="8"/>
  <c r="N69" i="8" s="1"/>
  <c r="AN48" i="8" s="1"/>
  <c r="L37" i="8"/>
  <c r="N37" i="8" s="1"/>
  <c r="AM15" i="8" s="1"/>
  <c r="L36" i="8"/>
  <c r="N36" i="8" s="1"/>
  <c r="L99" i="8"/>
  <c r="N99" i="8" s="1"/>
  <c r="AN61" i="8" s="1"/>
  <c r="L59" i="8"/>
  <c r="N59" i="8" s="1"/>
  <c r="AO28" i="8" s="1"/>
  <c r="L76" i="8"/>
  <c r="N76" i="8" s="1"/>
  <c r="AM50" i="8" s="1"/>
  <c r="L83" i="8"/>
  <c r="N83" i="8" s="1"/>
  <c r="AN63" i="8" s="1"/>
  <c r="L94" i="8"/>
  <c r="N94" i="8" s="1"/>
  <c r="AN66" i="8" s="1"/>
  <c r="L96" i="8"/>
  <c r="N96" i="8" s="1"/>
  <c r="AN40" i="8" s="1"/>
  <c r="L41" i="8"/>
  <c r="N41" i="8" s="1"/>
  <c r="AM62" i="8" s="1"/>
  <c r="L54" i="8"/>
  <c r="N54" i="8" s="1"/>
  <c r="AN25" i="8" s="1"/>
  <c r="L88" i="8"/>
  <c r="N88" i="8" s="1"/>
  <c r="AN50" i="8" s="1"/>
  <c r="L73" i="8"/>
  <c r="N73" i="8" s="1"/>
  <c r="AN62" i="8" s="1"/>
  <c r="L89" i="8"/>
  <c r="N89" i="8" s="1"/>
  <c r="AO14" i="8" s="1"/>
  <c r="L70" i="8"/>
  <c r="N70" i="8" s="1"/>
  <c r="AO48" i="8" s="1"/>
  <c r="L92" i="8"/>
  <c r="N92" i="8" s="1"/>
  <c r="AO49" i="8" s="1"/>
  <c r="L30" i="8"/>
  <c r="N30" i="8" s="1"/>
  <c r="AN51" i="8" s="1"/>
  <c r="AE51" i="8"/>
  <c r="L87" i="8"/>
  <c r="N87" i="8" s="1"/>
  <c r="L48" i="8"/>
  <c r="N48" i="8" s="1"/>
  <c r="AM63" i="8" s="1"/>
  <c r="L55" i="8"/>
  <c r="N55" i="8" s="1"/>
  <c r="AM66" i="8" s="1"/>
  <c r="L72" i="8"/>
  <c r="N72" i="8" s="1"/>
  <c r="AN60" i="8" s="1"/>
  <c r="L46" i="8"/>
  <c r="N46" i="8" s="1"/>
  <c r="AM14" i="8" s="1"/>
  <c r="L95" i="8"/>
  <c r="N95" i="8" s="1"/>
  <c r="AO72" i="8" s="1"/>
  <c r="L51" i="8"/>
  <c r="N51" i="8" s="1"/>
  <c r="AM25" i="8" s="1"/>
  <c r="L57" i="8"/>
  <c r="N57" i="8" s="1"/>
  <c r="AN23" i="8" s="1"/>
  <c r="L90" i="8"/>
  <c r="N90" i="8" s="1"/>
  <c r="AN71" i="8" s="1"/>
  <c r="L45" i="8"/>
  <c r="N45" i="8" s="1"/>
  <c r="AN70" i="8" s="1"/>
  <c r="L67" i="8"/>
  <c r="N67" i="8" s="1"/>
  <c r="AM60" i="8" s="1"/>
  <c r="L65" i="8"/>
  <c r="N65" i="8" s="1"/>
  <c r="AO23" i="8" s="1"/>
  <c r="K98" i="7"/>
  <c r="L91" i="8"/>
  <c r="N91" i="8" s="1"/>
  <c r="AO51" i="8" s="1"/>
  <c r="L34" i="8"/>
  <c r="L100" i="8"/>
  <c r="N100" i="8" s="1"/>
  <c r="AO60" i="8" s="1"/>
  <c r="L105" i="8"/>
  <c r="N105" i="8" s="1"/>
  <c r="AO71" i="8" s="1"/>
  <c r="L63" i="8"/>
  <c r="N63" i="8" s="1"/>
  <c r="AM48" i="8" s="1"/>
  <c r="L58" i="8"/>
  <c r="N58" i="8" s="1"/>
  <c r="AM72" i="8" s="1"/>
  <c r="L64" i="8"/>
  <c r="N64" i="8" s="1"/>
  <c r="AN65" i="8" s="1"/>
  <c r="L93" i="8"/>
  <c r="N93" i="8" s="1"/>
  <c r="AO64" i="8" s="1"/>
  <c r="L61" i="8"/>
  <c r="N61" i="8" s="1"/>
  <c r="AM65" i="8" s="1"/>
  <c r="K74" i="7"/>
  <c r="K17" i="7"/>
  <c r="K122" i="7"/>
  <c r="K20" i="7"/>
  <c r="M71" i="7"/>
  <c r="M119" i="7"/>
  <c r="M2" i="7"/>
  <c r="M23" i="7"/>
  <c r="M41" i="7"/>
  <c r="M65" i="7"/>
  <c r="M89" i="7"/>
  <c r="K92" i="7"/>
  <c r="M44" i="7"/>
  <c r="K47" i="7"/>
  <c r="K50" i="7"/>
  <c r="K95" i="7"/>
  <c r="K26" i="7"/>
  <c r="K113" i="7"/>
  <c r="K116" i="7"/>
  <c r="K80" i="7"/>
  <c r="K104" i="7"/>
  <c r="K53" i="7"/>
  <c r="K77" i="7"/>
  <c r="K101" i="7"/>
  <c r="K5" i="7"/>
  <c r="K29" i="7"/>
  <c r="K8" i="7"/>
  <c r="K32" i="7"/>
  <c r="K56" i="7"/>
  <c r="K59" i="7"/>
  <c r="K83" i="7"/>
  <c r="K107" i="7"/>
  <c r="K11" i="7"/>
  <c r="K35" i="7"/>
  <c r="K14" i="7"/>
  <c r="K38" i="7"/>
  <c r="K62" i="7"/>
  <c r="K86" i="7"/>
  <c r="K110" i="7"/>
  <c r="K55" i="8"/>
  <c r="K493" i="8"/>
  <c r="K70" i="8"/>
  <c r="K496" i="8"/>
  <c r="K96" i="8"/>
  <c r="K43" i="8"/>
  <c r="K38" i="8"/>
  <c r="K67" i="8"/>
  <c r="K49" i="8"/>
  <c r="K53" i="8"/>
  <c r="K40" i="8"/>
  <c r="K22" i="8"/>
  <c r="K45" i="8"/>
  <c r="K27" i="8"/>
  <c r="K100" i="8"/>
  <c r="K90" i="8"/>
  <c r="K47" i="8"/>
  <c r="K51" i="8"/>
  <c r="K98" i="8"/>
  <c r="K88" i="8"/>
  <c r="K63" i="8"/>
  <c r="K72" i="8"/>
  <c r="K94" i="8"/>
  <c r="K81" i="8"/>
  <c r="K79" i="8"/>
  <c r="K104" i="8"/>
  <c r="K74" i="8"/>
  <c r="K83" i="8"/>
  <c r="K65" i="8"/>
  <c r="K102" i="8"/>
  <c r="K92" i="8"/>
  <c r="K33" i="8"/>
  <c r="K57" i="8"/>
  <c r="K24" i="8"/>
  <c r="K31" i="8"/>
  <c r="K76" i="8"/>
  <c r="K36" i="8"/>
  <c r="K86" i="8"/>
  <c r="K60" i="8"/>
  <c r="N497" i="8" l="1"/>
  <c r="AR94" i="8" s="1"/>
  <c r="N496" i="8"/>
  <c r="AO105" i="8" s="1"/>
  <c r="L447" i="8"/>
  <c r="L464" i="8"/>
  <c r="L470" i="8"/>
  <c r="L491" i="8"/>
  <c r="N491" i="8" s="1"/>
  <c r="L461" i="8"/>
  <c r="L468" i="8"/>
  <c r="L455" i="8"/>
  <c r="L449" i="8"/>
  <c r="L458" i="8"/>
  <c r="L460" i="8"/>
  <c r="L471" i="8"/>
  <c r="L462" i="8"/>
  <c r="L448" i="8"/>
  <c r="L476" i="8"/>
  <c r="N476" i="8" s="1"/>
  <c r="L454" i="8"/>
  <c r="L490" i="8"/>
  <c r="L482" i="8"/>
  <c r="N482" i="8" s="1"/>
  <c r="AO27" i="8" s="1"/>
  <c r="L489" i="8"/>
  <c r="L453" i="8"/>
  <c r="BK40" i="8"/>
  <c r="L481" i="8"/>
  <c r="N481" i="8" s="1"/>
  <c r="AT81" i="8" s="1"/>
  <c r="L457" i="8"/>
  <c r="BK51" i="8"/>
  <c r="L450" i="8"/>
  <c r="L473" i="8"/>
  <c r="BJ62" i="8"/>
  <c r="L485" i="8"/>
  <c r="L487" i="8"/>
  <c r="BI41" i="8"/>
  <c r="L466" i="8"/>
  <c r="N466" i="8" s="1"/>
  <c r="AN102" i="8" s="1"/>
  <c r="L451" i="8"/>
  <c r="L452" i="8"/>
  <c r="L488" i="8"/>
  <c r="N488" i="8" s="1"/>
  <c r="AO104" i="8" s="1"/>
  <c r="L469" i="8"/>
  <c r="L465" i="8"/>
  <c r="BI53" i="8"/>
  <c r="L475" i="8"/>
  <c r="L480" i="8"/>
  <c r="L484" i="8"/>
  <c r="N484" i="8" s="1"/>
  <c r="AM104" i="8" s="1"/>
  <c r="L459" i="8"/>
  <c r="L467" i="8"/>
  <c r="L463" i="8"/>
  <c r="BJ142" i="8"/>
  <c r="L483" i="8"/>
  <c r="L486" i="8"/>
  <c r="N486" i="8" s="1"/>
  <c r="AN104" i="8" s="1"/>
  <c r="L472" i="8"/>
  <c r="N472" i="8" s="1"/>
  <c r="AS92" i="8" s="1"/>
  <c r="L474" i="8"/>
  <c r="L456" i="8"/>
  <c r="AP101" i="8"/>
  <c r="BK60" i="8"/>
  <c r="BK134" i="8"/>
  <c r="BJ40" i="8"/>
  <c r="BL36" i="8"/>
  <c r="BL152" i="8"/>
  <c r="BK61" i="8"/>
  <c r="BK10" i="8"/>
  <c r="BI113" i="8"/>
  <c r="BI102" i="8"/>
  <c r="BK171" i="8"/>
  <c r="BL114" i="8"/>
  <c r="BL55" i="8"/>
  <c r="BL127" i="8"/>
  <c r="BJ133" i="8"/>
  <c r="BK34" i="8"/>
  <c r="BJ26" i="8"/>
  <c r="BJ123" i="8"/>
  <c r="BI167" i="8"/>
  <c r="AW19" i="8"/>
  <c r="AW44" i="8"/>
  <c r="AW51" i="8"/>
  <c r="AN41" i="8"/>
  <c r="AW41" i="8" s="1"/>
  <c r="AV37" i="8"/>
  <c r="AX19" i="8"/>
  <c r="AV59" i="8"/>
  <c r="AV70" i="8"/>
  <c r="AV53" i="8"/>
  <c r="AV24" i="8"/>
  <c r="AV28" i="8"/>
  <c r="AV18" i="8"/>
  <c r="BK139" i="8"/>
  <c r="BJ118" i="8"/>
  <c r="BI121" i="8"/>
  <c r="BI18" i="8"/>
  <c r="BJ76" i="8"/>
  <c r="BL168" i="8"/>
  <c r="BL111" i="8"/>
  <c r="BL95" i="8"/>
  <c r="BI97" i="8"/>
  <c r="BL12" i="8"/>
  <c r="BI125" i="8"/>
  <c r="BL58" i="8"/>
  <c r="BL107" i="8"/>
  <c r="BK32" i="8"/>
  <c r="BL47" i="8"/>
  <c r="BL49" i="8"/>
  <c r="BK147" i="8"/>
  <c r="BL136" i="8"/>
  <c r="BK69" i="8"/>
  <c r="BJ154" i="8"/>
  <c r="BL148" i="8"/>
  <c r="BK160" i="8"/>
  <c r="BL30" i="8"/>
  <c r="BK166" i="8"/>
  <c r="BJ114" i="8"/>
  <c r="N461" i="8"/>
  <c r="AO101" i="8" s="1"/>
  <c r="BI124" i="8"/>
  <c r="BJ88" i="8"/>
  <c r="BJ54" i="8"/>
  <c r="BL145" i="8"/>
  <c r="BJ39" i="8"/>
  <c r="BI88" i="8"/>
  <c r="N473" i="8"/>
  <c r="AO103" i="8" s="1"/>
  <c r="BK68" i="8"/>
  <c r="BJ80" i="8"/>
  <c r="BL85" i="8"/>
  <c r="BK53" i="8"/>
  <c r="BK125" i="8"/>
  <c r="BL131" i="8"/>
  <c r="BI91" i="8"/>
  <c r="BI92" i="8"/>
  <c r="BK14" i="8"/>
  <c r="BI165" i="8"/>
  <c r="BI140" i="8"/>
  <c r="BL98" i="8"/>
  <c r="BI130" i="8"/>
  <c r="BJ98" i="8"/>
  <c r="L98" i="4" s="1"/>
  <c r="BJ17" i="8"/>
  <c r="BJ77" i="8"/>
  <c r="BL91" i="8"/>
  <c r="BI89" i="8"/>
  <c r="BL142" i="8"/>
  <c r="BL155" i="8"/>
  <c r="BK74" i="8"/>
  <c r="BL80" i="8"/>
  <c r="BJ167" i="8"/>
  <c r="BK158" i="8"/>
  <c r="BK163" i="8"/>
  <c r="BJ165" i="8"/>
  <c r="BL174" i="8"/>
  <c r="BK13" i="8"/>
  <c r="BK145" i="8"/>
  <c r="BJ117" i="8"/>
  <c r="BK95" i="8"/>
  <c r="M95" i="4" s="1"/>
  <c r="BJ75" i="8"/>
  <c r="BL77" i="8"/>
  <c r="BI16" i="8"/>
  <c r="BJ153" i="8"/>
  <c r="BI43" i="8"/>
  <c r="BJ38" i="8"/>
  <c r="BI116" i="8"/>
  <c r="BL143" i="8"/>
  <c r="BI107" i="8"/>
  <c r="BL87" i="8"/>
  <c r="BK55" i="8"/>
  <c r="BJ46" i="8"/>
  <c r="BJ16" i="8"/>
  <c r="BI73" i="8"/>
  <c r="BJ27" i="8"/>
  <c r="BI160" i="8"/>
  <c r="BL23" i="8"/>
  <c r="BL140" i="8"/>
  <c r="BJ121" i="8"/>
  <c r="BL73" i="8"/>
  <c r="BK58" i="8"/>
  <c r="BJ158" i="8"/>
  <c r="BL67" i="8"/>
  <c r="BI63" i="8"/>
  <c r="N456" i="8"/>
  <c r="AS64" i="8" s="1"/>
  <c r="BI104" i="8"/>
  <c r="BJ138" i="8"/>
  <c r="BI68" i="8"/>
  <c r="BL86" i="8"/>
  <c r="N86" i="4" s="1"/>
  <c r="BI127" i="8"/>
  <c r="BL172" i="8"/>
  <c r="BJ149" i="8"/>
  <c r="BJ124" i="8"/>
  <c r="BJ122" i="8"/>
  <c r="BI137" i="8"/>
  <c r="N459" i="8"/>
  <c r="AN101" i="8" s="1"/>
  <c r="BL159" i="8"/>
  <c r="BL94" i="8"/>
  <c r="BI117" i="8"/>
  <c r="BI59" i="8"/>
  <c r="BJ69" i="8"/>
  <c r="BK135" i="8"/>
  <c r="BL120" i="8"/>
  <c r="BI37" i="8"/>
  <c r="BL138" i="8"/>
  <c r="BK75" i="8"/>
  <c r="BL165" i="8"/>
  <c r="BJ96" i="8"/>
  <c r="L96" i="4" s="1"/>
  <c r="BL21" i="8"/>
  <c r="BI100" i="8"/>
  <c r="BL29" i="8"/>
  <c r="BJ67" i="8"/>
  <c r="N469" i="8"/>
  <c r="BJ28" i="8"/>
  <c r="BL105" i="8"/>
  <c r="BI64" i="8"/>
  <c r="BL35" i="8"/>
  <c r="BI119" i="8"/>
  <c r="BJ108" i="8"/>
  <c r="BL167" i="8"/>
  <c r="BJ55" i="8"/>
  <c r="BJ61" i="8"/>
  <c r="BI155" i="8"/>
  <c r="BL81" i="8"/>
  <c r="N81" i="4" s="1"/>
  <c r="BI170" i="8"/>
  <c r="BK140" i="8"/>
  <c r="BJ131" i="8"/>
  <c r="BI56" i="8"/>
  <c r="BJ51" i="8"/>
  <c r="BJ99" i="8"/>
  <c r="BL109" i="8"/>
  <c r="N467" i="8"/>
  <c r="BJ78" i="8"/>
  <c r="BK116" i="8"/>
  <c r="BL135" i="8"/>
  <c r="BJ63" i="8"/>
  <c r="BI25" i="8"/>
  <c r="BI28" i="8"/>
  <c r="BI67" i="8"/>
  <c r="BJ32" i="8"/>
  <c r="BL171" i="8"/>
  <c r="BJ82" i="8"/>
  <c r="BI23" i="8"/>
  <c r="BJ13" i="8"/>
  <c r="BK157" i="8"/>
  <c r="BJ140" i="8"/>
  <c r="N465" i="8"/>
  <c r="AM103" i="8" s="1"/>
  <c r="BI49" i="8"/>
  <c r="BI128" i="8"/>
  <c r="BK57" i="8"/>
  <c r="BI111" i="8"/>
  <c r="BL117" i="8"/>
  <c r="BJ135" i="8"/>
  <c r="BK131" i="8"/>
  <c r="BI172" i="8"/>
  <c r="BJ74" i="8"/>
  <c r="BK156" i="8"/>
  <c r="BK92" i="8"/>
  <c r="BL132" i="8"/>
  <c r="BI109" i="8"/>
  <c r="BK106" i="8"/>
  <c r="BI13" i="8"/>
  <c r="BI85" i="8"/>
  <c r="BK22" i="8"/>
  <c r="BI24" i="8"/>
  <c r="BL126" i="8"/>
  <c r="BJ162" i="8"/>
  <c r="BL14" i="8"/>
  <c r="BI163" i="8"/>
  <c r="BJ52" i="8"/>
  <c r="BK27" i="8"/>
  <c r="BI135" i="8"/>
  <c r="BK94" i="8"/>
  <c r="M94" i="4" s="1"/>
  <c r="BI38" i="8"/>
  <c r="BI82" i="8"/>
  <c r="N455" i="8"/>
  <c r="AS93" i="8" s="1"/>
  <c r="BI15" i="8"/>
  <c r="BL40" i="8"/>
  <c r="BK114" i="8"/>
  <c r="BI123" i="8"/>
  <c r="BK25" i="8"/>
  <c r="BL17" i="8"/>
  <c r="BJ172" i="8"/>
  <c r="BK149" i="8"/>
  <c r="BK161" i="8"/>
  <c r="BK152" i="8"/>
  <c r="BL56" i="8"/>
  <c r="BJ58" i="8"/>
  <c r="BJ20" i="8"/>
  <c r="BK30" i="8"/>
  <c r="BI103" i="8"/>
  <c r="BI101" i="8"/>
  <c r="BL139" i="8"/>
  <c r="BJ18" i="8"/>
  <c r="BL173" i="8"/>
  <c r="BK104" i="8"/>
  <c r="M104" i="4" s="1"/>
  <c r="BK80" i="8"/>
  <c r="BI36" i="8"/>
  <c r="BI131" i="8"/>
  <c r="BJ171" i="8"/>
  <c r="BK102" i="8"/>
  <c r="M102" i="4" s="1"/>
  <c r="BL141" i="8"/>
  <c r="BI78" i="8"/>
  <c r="BI12" i="8"/>
  <c r="BI141" i="8"/>
  <c r="BL158" i="8"/>
  <c r="BJ107" i="8"/>
  <c r="BK169" i="8"/>
  <c r="BL44" i="8"/>
  <c r="BI120" i="8"/>
  <c r="BK71" i="8"/>
  <c r="BI90" i="8"/>
  <c r="BJ34" i="8"/>
  <c r="BI81" i="8"/>
  <c r="BI134" i="8"/>
  <c r="BJ139" i="8"/>
  <c r="BK105" i="8"/>
  <c r="BL82" i="8"/>
  <c r="N82" i="4" s="1"/>
  <c r="BJ116" i="8"/>
  <c r="BJ72" i="8"/>
  <c r="BL70" i="8"/>
  <c r="N452" i="8"/>
  <c r="BL128" i="8"/>
  <c r="BI86" i="8"/>
  <c r="BI139" i="8"/>
  <c r="BI61" i="8"/>
  <c r="BI143" i="8"/>
  <c r="BJ10" i="8"/>
  <c r="BI148" i="8"/>
  <c r="BK120" i="8"/>
  <c r="BJ152" i="8"/>
  <c r="BK44" i="8"/>
  <c r="BK143" i="8"/>
  <c r="BL46" i="8"/>
  <c r="BI150" i="8"/>
  <c r="BI118" i="8"/>
  <c r="BI159" i="8"/>
  <c r="BL122" i="8"/>
  <c r="BL101" i="8"/>
  <c r="BI69" i="8"/>
  <c r="BJ64" i="8"/>
  <c r="BI31" i="8"/>
  <c r="BK150" i="8"/>
  <c r="BI164" i="8"/>
  <c r="BL78" i="8"/>
  <c r="BK28" i="8"/>
  <c r="BK96" i="8"/>
  <c r="BK98" i="8"/>
  <c r="M98" i="4" s="1"/>
  <c r="BJ105" i="8"/>
  <c r="BJ169" i="8"/>
  <c r="BJ148" i="8"/>
  <c r="BJ147" i="8"/>
  <c r="BK70" i="8"/>
  <c r="BL79" i="8"/>
  <c r="BK81" i="8"/>
  <c r="BI27" i="8"/>
  <c r="BJ136" i="8"/>
  <c r="BK76" i="8"/>
  <c r="BJ22" i="8"/>
  <c r="BL38" i="8"/>
  <c r="BL166" i="8"/>
  <c r="BK84" i="8"/>
  <c r="BI83" i="8"/>
  <c r="BJ93" i="8"/>
  <c r="L93" i="4" s="1"/>
  <c r="BI154" i="8"/>
  <c r="BJ85" i="8"/>
  <c r="L85" i="4" s="1"/>
  <c r="BK154" i="8"/>
  <c r="BI76" i="8"/>
  <c r="BJ45" i="8"/>
  <c r="BJ127" i="8"/>
  <c r="BL50" i="8"/>
  <c r="BK49" i="8"/>
  <c r="BK108" i="8"/>
  <c r="BK39" i="8"/>
  <c r="BL96" i="8"/>
  <c r="BJ106" i="8"/>
  <c r="BJ50" i="8"/>
  <c r="BI35" i="8"/>
  <c r="BJ60" i="8"/>
  <c r="BL37" i="8"/>
  <c r="BK159" i="8"/>
  <c r="BJ87" i="8"/>
  <c r="L87" i="4" s="1"/>
  <c r="BI156" i="8"/>
  <c r="BJ111" i="8"/>
  <c r="BL157" i="8"/>
  <c r="BJ132" i="8"/>
  <c r="BJ12" i="8"/>
  <c r="BJ174" i="8"/>
  <c r="BK170" i="8"/>
  <c r="BI58" i="8"/>
  <c r="BI84" i="8"/>
  <c r="BI22" i="8"/>
  <c r="BK37" i="8"/>
  <c r="BK15" i="8"/>
  <c r="BL72" i="8"/>
  <c r="BL62" i="8"/>
  <c r="N62" i="4" s="1"/>
  <c r="BL41" i="8"/>
  <c r="BJ41" i="8"/>
  <c r="BI46" i="8"/>
  <c r="BJ19" i="8"/>
  <c r="BL27" i="8"/>
  <c r="BK19" i="8"/>
  <c r="BK93" i="8"/>
  <c r="BL161" i="8"/>
  <c r="BI108" i="8"/>
  <c r="BJ48" i="8"/>
  <c r="BI52" i="8"/>
  <c r="BL54" i="8"/>
  <c r="BK48" i="8"/>
  <c r="BK103" i="8"/>
  <c r="N451" i="8"/>
  <c r="AO97" i="8" s="1"/>
  <c r="BI71" i="8"/>
  <c r="BL146" i="8"/>
  <c r="BJ37" i="8"/>
  <c r="BJ102" i="8"/>
  <c r="BL22" i="8"/>
  <c r="BI66" i="8"/>
  <c r="BI110" i="8"/>
  <c r="BL33" i="8"/>
  <c r="BJ137" i="8"/>
  <c r="BJ110" i="8"/>
  <c r="BI93" i="8"/>
  <c r="BK21" i="8"/>
  <c r="BK110" i="8"/>
  <c r="BL144" i="8"/>
  <c r="BJ44" i="8"/>
  <c r="BL93" i="8"/>
  <c r="N93" i="4" s="1"/>
  <c r="BJ159" i="8"/>
  <c r="BJ15" i="8"/>
  <c r="BI96" i="8"/>
  <c r="K96" i="4" s="1"/>
  <c r="BI47" i="8"/>
  <c r="BJ146" i="8"/>
  <c r="BK62" i="8"/>
  <c r="M62" i="4" s="1"/>
  <c r="BI94" i="8"/>
  <c r="BK12" i="8"/>
  <c r="BK41" i="8"/>
  <c r="BK133" i="8"/>
  <c r="BK64" i="8"/>
  <c r="BK72" i="8"/>
  <c r="BI40" i="8"/>
  <c r="BN40" i="8" s="1"/>
  <c r="BO40" i="8" s="1"/>
  <c r="BJ70" i="8"/>
  <c r="BK79" i="8"/>
  <c r="BL11" i="8"/>
  <c r="BI14" i="8"/>
  <c r="BI74" i="8"/>
  <c r="BK66" i="8"/>
  <c r="N468" i="8"/>
  <c r="AO102" i="8" s="1"/>
  <c r="BJ47" i="8"/>
  <c r="BL124" i="8"/>
  <c r="BK91" i="8"/>
  <c r="BI19" i="8"/>
  <c r="BK99" i="8"/>
  <c r="BI51" i="8"/>
  <c r="BJ130" i="8"/>
  <c r="BJ166" i="8"/>
  <c r="BJ120" i="8"/>
  <c r="BL164" i="8"/>
  <c r="BI115" i="8"/>
  <c r="BJ90" i="8"/>
  <c r="L90" i="4" s="1"/>
  <c r="BJ103" i="8"/>
  <c r="L103" i="4" s="1"/>
  <c r="BI129" i="8"/>
  <c r="BL69" i="8"/>
  <c r="BL24" i="8"/>
  <c r="BL153" i="8"/>
  <c r="BK129" i="8"/>
  <c r="BL134" i="8"/>
  <c r="BI65" i="8"/>
  <c r="BL34" i="8"/>
  <c r="BK144" i="8"/>
  <c r="BJ83" i="8"/>
  <c r="BI144" i="8"/>
  <c r="BJ31" i="8"/>
  <c r="BK73" i="8"/>
  <c r="BK67" i="8"/>
  <c r="BL52" i="8"/>
  <c r="BI45" i="8"/>
  <c r="BL102" i="8"/>
  <c r="BL115" i="8"/>
  <c r="BJ94" i="8"/>
  <c r="L94" i="4" s="1"/>
  <c r="BI70" i="8"/>
  <c r="BJ79" i="8"/>
  <c r="BK11" i="8"/>
  <c r="BI152" i="8"/>
  <c r="BL106" i="8"/>
  <c r="BI153" i="8"/>
  <c r="BI50" i="8"/>
  <c r="BI98" i="8"/>
  <c r="BL123" i="8"/>
  <c r="BI54" i="8"/>
  <c r="BK136" i="8"/>
  <c r="BL16" i="8"/>
  <c r="BJ155" i="8"/>
  <c r="BK90" i="8"/>
  <c r="M90" i="4" s="1"/>
  <c r="BI114" i="8"/>
  <c r="BN114" i="8" s="1"/>
  <c r="BL90" i="8"/>
  <c r="N90" i="4" s="1"/>
  <c r="BI145" i="8"/>
  <c r="BK151" i="8"/>
  <c r="BL18" i="8"/>
  <c r="BK172" i="8"/>
  <c r="BL150" i="8"/>
  <c r="BK18" i="8"/>
  <c r="BI169" i="8"/>
  <c r="BK137" i="8"/>
  <c r="BK88" i="8"/>
  <c r="M88" i="4" s="1"/>
  <c r="BL104" i="8"/>
  <c r="BJ53" i="8"/>
  <c r="BJ97" i="8"/>
  <c r="L97" i="4" s="1"/>
  <c r="BL76" i="8"/>
  <c r="BK97" i="8"/>
  <c r="M97" i="4" s="1"/>
  <c r="BL84" i="8"/>
  <c r="N84" i="4" s="1"/>
  <c r="BL129" i="8"/>
  <c r="BI162" i="8"/>
  <c r="BL43" i="8"/>
  <c r="BI95" i="8"/>
  <c r="BI72" i="8"/>
  <c r="BI122" i="8"/>
  <c r="N470" i="8"/>
  <c r="AN103" i="8" s="1"/>
  <c r="BK162" i="8"/>
  <c r="BJ129" i="8"/>
  <c r="BI79" i="8"/>
  <c r="BJ11" i="8"/>
  <c r="BK121" i="8"/>
  <c r="BI126" i="8"/>
  <c r="BJ145" i="8"/>
  <c r="BJ143" i="8"/>
  <c r="BJ144" i="8"/>
  <c r="BL15" i="8"/>
  <c r="BK146" i="8"/>
  <c r="BI32" i="8"/>
  <c r="BL20" i="8"/>
  <c r="BI158" i="8"/>
  <c r="BK115" i="8"/>
  <c r="BL39" i="8"/>
  <c r="BL71" i="8"/>
  <c r="BK43" i="8"/>
  <c r="BJ125" i="8"/>
  <c r="BL108" i="8"/>
  <c r="BN108" i="8" s="1"/>
  <c r="BO108" i="8" s="1"/>
  <c r="BI99" i="8"/>
  <c r="K99" i="4" s="1"/>
  <c r="BI55" i="8"/>
  <c r="BJ57" i="8"/>
  <c r="BL110" i="8"/>
  <c r="BK56" i="8"/>
  <c r="BK54" i="8"/>
  <c r="BI48" i="8"/>
  <c r="BK83" i="8"/>
  <c r="M83" i="4" s="1"/>
  <c r="BJ56" i="8"/>
  <c r="BJ23" i="8"/>
  <c r="BL57" i="8"/>
  <c r="BL100" i="8"/>
  <c r="BL99" i="8"/>
  <c r="BJ151" i="8"/>
  <c r="BL163" i="8"/>
  <c r="BK130" i="8"/>
  <c r="BK17" i="8"/>
  <c r="BI174" i="8"/>
  <c r="BJ21" i="8"/>
  <c r="BI20" i="8"/>
  <c r="BK122" i="8"/>
  <c r="BL147" i="8"/>
  <c r="N458" i="8"/>
  <c r="AR88" i="8" s="1"/>
  <c r="BL137" i="8"/>
  <c r="BL31" i="8"/>
  <c r="BJ33" i="8"/>
  <c r="BI26" i="8"/>
  <c r="BI132" i="8"/>
  <c r="BL92" i="8"/>
  <c r="BK155" i="8"/>
  <c r="BJ109" i="8"/>
  <c r="BK142" i="8"/>
  <c r="BJ95" i="8"/>
  <c r="L95" i="4" s="1"/>
  <c r="BI133" i="8"/>
  <c r="BK31" i="8"/>
  <c r="AV51" i="8"/>
  <c r="BL42" i="8"/>
  <c r="BI11" i="8"/>
  <c r="BI166" i="8"/>
  <c r="BK127" i="8"/>
  <c r="BL61" i="8"/>
  <c r="BJ126" i="8"/>
  <c r="BL28" i="8"/>
  <c r="BI33" i="8"/>
  <c r="BL170" i="8"/>
  <c r="BK148" i="8"/>
  <c r="BJ119" i="8"/>
  <c r="BL74" i="8"/>
  <c r="BI34" i="8"/>
  <c r="BJ150" i="8"/>
  <c r="BJ104" i="8"/>
  <c r="BK38" i="8"/>
  <c r="BJ24" i="8"/>
  <c r="BK112" i="8"/>
  <c r="BK46" i="8"/>
  <c r="BL13" i="8"/>
  <c r="BL26" i="8"/>
  <c r="BI147" i="8"/>
  <c r="BK174" i="8"/>
  <c r="BL65" i="8"/>
  <c r="BL32" i="8"/>
  <c r="BK23" i="8"/>
  <c r="BL116" i="8"/>
  <c r="BJ100" i="8"/>
  <c r="L100" i="4" s="1"/>
  <c r="BJ160" i="8"/>
  <c r="BL156" i="8"/>
  <c r="BK124" i="8"/>
  <c r="BK77" i="8"/>
  <c r="BK113" i="8"/>
  <c r="BJ89" i="8"/>
  <c r="L89" i="4" s="1"/>
  <c r="BI44" i="8"/>
  <c r="BI62" i="8"/>
  <c r="BJ141" i="8"/>
  <c r="BI17" i="8"/>
  <c r="BK45" i="8"/>
  <c r="BI142" i="8"/>
  <c r="BK42" i="8"/>
  <c r="BJ115" i="8"/>
  <c r="BJ43" i="8"/>
  <c r="BI30" i="8"/>
  <c r="BJ128" i="8"/>
  <c r="BI149" i="8"/>
  <c r="BL59" i="8"/>
  <c r="BK16" i="8"/>
  <c r="BJ91" i="8"/>
  <c r="L91" i="4" s="1"/>
  <c r="BI112" i="8"/>
  <c r="BI80" i="8"/>
  <c r="BJ157" i="8"/>
  <c r="BL125" i="8"/>
  <c r="BI60" i="8"/>
  <c r="BL60" i="8"/>
  <c r="BK141" i="8"/>
  <c r="BL19" i="8"/>
  <c r="BK119" i="8"/>
  <c r="BK107" i="8"/>
  <c r="BL151" i="8"/>
  <c r="BL97" i="8"/>
  <c r="N97" i="4" s="1"/>
  <c r="BJ168" i="8"/>
  <c r="BK138" i="8"/>
  <c r="BJ14" i="8"/>
  <c r="BI105" i="8"/>
  <c r="BI87" i="8"/>
  <c r="BI171" i="8"/>
  <c r="BN171" i="8" s="1"/>
  <c r="BL68" i="8"/>
  <c r="BJ30" i="8"/>
  <c r="BI168" i="8"/>
  <c r="BL10" i="8"/>
  <c r="BL149" i="8"/>
  <c r="BK50" i="8"/>
  <c r="BL162" i="8"/>
  <c r="BK164" i="8"/>
  <c r="AW64" i="8"/>
  <c r="BJ42" i="8"/>
  <c r="BL160" i="8"/>
  <c r="BL45" i="8"/>
  <c r="BJ84" i="8"/>
  <c r="L84" i="4" s="1"/>
  <c r="BJ29" i="8"/>
  <c r="BJ164" i="8"/>
  <c r="BK153" i="8"/>
  <c r="BJ65" i="8"/>
  <c r="BI57" i="8"/>
  <c r="BL154" i="8"/>
  <c r="BL169" i="8"/>
  <c r="BI136" i="8"/>
  <c r="BK126" i="8"/>
  <c r="BL130" i="8"/>
  <c r="BI29" i="8"/>
  <c r="BJ113" i="8"/>
  <c r="BI173" i="8"/>
  <c r="BL53" i="8"/>
  <c r="N463" i="8"/>
  <c r="AQ97" i="8" s="1"/>
  <c r="BK78" i="8"/>
  <c r="BJ25" i="8"/>
  <c r="BJ66" i="8"/>
  <c r="BK101" i="8"/>
  <c r="M101" i="4" s="1"/>
  <c r="BJ156" i="8"/>
  <c r="BL75" i="8"/>
  <c r="BI75" i="8"/>
  <c r="BI10" i="8"/>
  <c r="BI21" i="8"/>
  <c r="BI157" i="8"/>
  <c r="BK85" i="8"/>
  <c r="M85" i="4" s="1"/>
  <c r="BI151" i="8"/>
  <c r="BJ170" i="8"/>
  <c r="BJ173" i="8"/>
  <c r="BL112" i="8"/>
  <c r="BI42" i="8"/>
  <c r="BK167" i="8"/>
  <c r="BL89" i="8"/>
  <c r="N89" i="4" s="1"/>
  <c r="BK65" i="8"/>
  <c r="BK173" i="8"/>
  <c r="BK82" i="8"/>
  <c r="BL64" i="8"/>
  <c r="BK128" i="8"/>
  <c r="BK35" i="8"/>
  <c r="BL51" i="8"/>
  <c r="BN51" i="8" s="1"/>
  <c r="BK109" i="8"/>
  <c r="BL119" i="8"/>
  <c r="BK24" i="8"/>
  <c r="BJ161" i="8"/>
  <c r="BL103" i="8"/>
  <c r="BK100" i="8"/>
  <c r="M100" i="4" s="1"/>
  <c r="BJ59" i="8"/>
  <c r="BK20" i="8"/>
  <c r="BK47" i="8"/>
  <c r="BK165" i="8"/>
  <c r="BK52" i="8"/>
  <c r="BK59" i="8"/>
  <c r="BL48" i="8"/>
  <c r="N475" i="8"/>
  <c r="AP103" i="8" s="1"/>
  <c r="BK29" i="8"/>
  <c r="BI146" i="8"/>
  <c r="BI106" i="8"/>
  <c r="BL66" i="8"/>
  <c r="BJ49" i="8"/>
  <c r="BJ92" i="8"/>
  <c r="L92" i="4" s="1"/>
  <c r="BJ101" i="8"/>
  <c r="L101" i="4" s="1"/>
  <c r="BJ86" i="8"/>
  <c r="L86" i="4" s="1"/>
  <c r="BK86" i="8"/>
  <c r="BJ81" i="8"/>
  <c r="L81" i="4" s="1"/>
  <c r="BL118" i="8"/>
  <c r="BN74" i="8"/>
  <c r="BK132" i="8"/>
  <c r="BK36" i="8"/>
  <c r="AW18" i="8"/>
  <c r="BK87" i="8"/>
  <c r="BJ73" i="8"/>
  <c r="BK63" i="8"/>
  <c r="BJ163" i="8"/>
  <c r="BL83" i="8"/>
  <c r="BJ36" i="8"/>
  <c r="BL88" i="8"/>
  <c r="BK33" i="8"/>
  <c r="BI138" i="8"/>
  <c r="BL133" i="8"/>
  <c r="BN133" i="8" s="1"/>
  <c r="BK26" i="8"/>
  <c r="BK168" i="8"/>
  <c r="BL25" i="8"/>
  <c r="BJ35" i="8"/>
  <c r="BK111" i="8"/>
  <c r="BN111" i="8" s="1"/>
  <c r="BO111" i="8" s="1"/>
  <c r="BP111" i="8" s="1"/>
  <c r="BQ111" i="8" s="1"/>
  <c r="BK118" i="8"/>
  <c r="BJ71" i="8"/>
  <c r="N453" i="8"/>
  <c r="AR22" i="8" s="1"/>
  <c r="BI77" i="8"/>
  <c r="BJ134" i="8"/>
  <c r="N474" i="8"/>
  <c r="BJ112" i="8"/>
  <c r="N450" i="8"/>
  <c r="AQ98" i="8" s="1"/>
  <c r="BK89" i="8"/>
  <c r="M89" i="4" s="1"/>
  <c r="BL113" i="8"/>
  <c r="BL63" i="8"/>
  <c r="BI161" i="8"/>
  <c r="BL121" i="8"/>
  <c r="BJ68" i="8"/>
  <c r="BK123" i="8"/>
  <c r="BI39" i="8"/>
  <c r="BK117" i="8"/>
  <c r="BN117" i="8" s="1"/>
  <c r="BO117" i="8" s="1"/>
  <c r="L438" i="8"/>
  <c r="N438" i="8" s="1"/>
  <c r="AN100" i="8" s="1"/>
  <c r="L439" i="8"/>
  <c r="L442" i="8"/>
  <c r="N442" i="8" s="1"/>
  <c r="AN98" i="8" s="1"/>
  <c r="L437" i="8"/>
  <c r="N437" i="8" s="1"/>
  <c r="AQ92" i="8" s="1"/>
  <c r="L441" i="8"/>
  <c r="L443" i="8"/>
  <c r="N446" i="8"/>
  <c r="AR92" i="8" s="1"/>
  <c r="L445" i="8"/>
  <c r="N447" i="8"/>
  <c r="AP98" i="8" s="1"/>
  <c r="L436" i="8"/>
  <c r="N436" i="8" s="1"/>
  <c r="AM100" i="8" s="1"/>
  <c r="L435" i="8"/>
  <c r="N435" i="8" s="1"/>
  <c r="AQ93" i="8" s="1"/>
  <c r="L431" i="8"/>
  <c r="N449" i="8"/>
  <c r="AN97" i="8" s="1"/>
  <c r="L444" i="8"/>
  <c r="N444" i="8" s="1"/>
  <c r="AM97" i="8" s="1"/>
  <c r="L440" i="8"/>
  <c r="N440" i="8" s="1"/>
  <c r="AO100" i="8" s="1"/>
  <c r="L427" i="8"/>
  <c r="N427" i="8" s="1"/>
  <c r="L413" i="8"/>
  <c r="N413" i="8" s="1"/>
  <c r="AN95" i="8" s="1"/>
  <c r="L433" i="8"/>
  <c r="N433" i="8" s="1"/>
  <c r="AM98" i="8" s="1"/>
  <c r="L434" i="8"/>
  <c r="N434" i="8" s="1"/>
  <c r="AO99" i="8" s="1"/>
  <c r="L426" i="8"/>
  <c r="N426" i="8" s="1"/>
  <c r="AQ46" i="8" s="1"/>
  <c r="L429" i="8"/>
  <c r="N429" i="8" s="1"/>
  <c r="AT17" i="8" s="1"/>
  <c r="L423" i="8"/>
  <c r="N423" i="8" s="1"/>
  <c r="AP89" i="8" s="1"/>
  <c r="L428" i="8"/>
  <c r="N428" i="8" s="1"/>
  <c r="AM99" i="8" s="1"/>
  <c r="L432" i="8"/>
  <c r="N432" i="8" s="1"/>
  <c r="AN99" i="8" s="1"/>
  <c r="L430" i="8"/>
  <c r="L420" i="8"/>
  <c r="N420" i="8" s="1"/>
  <c r="L416" i="8"/>
  <c r="N416" i="8" s="1"/>
  <c r="AQ84" i="8" s="1"/>
  <c r="L402" i="8"/>
  <c r="N402" i="8" s="1"/>
  <c r="AP21" i="8" s="1"/>
  <c r="L422" i="8"/>
  <c r="N422" i="8" s="1"/>
  <c r="AN96" i="8" s="1"/>
  <c r="L411" i="8"/>
  <c r="N411" i="8" s="1"/>
  <c r="AM95" i="8" s="1"/>
  <c r="L409" i="8"/>
  <c r="N409" i="8" s="1"/>
  <c r="AO94" i="8" s="1"/>
  <c r="L417" i="8"/>
  <c r="N417" i="8" s="1"/>
  <c r="AQ85" i="8" s="1"/>
  <c r="L414" i="8"/>
  <c r="L398" i="8"/>
  <c r="L406" i="8"/>
  <c r="L393" i="8"/>
  <c r="N393" i="8" s="1"/>
  <c r="AP46" i="8" s="1"/>
  <c r="L403" i="8"/>
  <c r="N403" i="8" s="1"/>
  <c r="AP93" i="8" s="1"/>
  <c r="L397" i="8"/>
  <c r="N397" i="8" s="1"/>
  <c r="AN93" i="8" s="1"/>
  <c r="L404" i="8"/>
  <c r="L401" i="8"/>
  <c r="N401" i="8" s="1"/>
  <c r="AO93" i="8" s="1"/>
  <c r="L400" i="8"/>
  <c r="L418" i="8"/>
  <c r="L419" i="8"/>
  <c r="N419" i="8" s="1"/>
  <c r="AT23" i="8" s="1"/>
  <c r="L396" i="8"/>
  <c r="N396" i="8" s="1"/>
  <c r="AQ87" i="8" s="1"/>
  <c r="L405" i="8"/>
  <c r="N405" i="8" s="1"/>
  <c r="AM94" i="8" s="1"/>
  <c r="L415" i="8"/>
  <c r="L407" i="8"/>
  <c r="N407" i="8" s="1"/>
  <c r="AN94" i="8" s="1"/>
  <c r="L395" i="8"/>
  <c r="N395" i="8" s="1"/>
  <c r="AO92" i="8" s="1"/>
  <c r="L394" i="8"/>
  <c r="N394" i="8" s="1"/>
  <c r="AR73" i="8" s="1"/>
  <c r="L412" i="8"/>
  <c r="L421" i="8"/>
  <c r="L424" i="8"/>
  <c r="N424" i="8" s="1"/>
  <c r="AS11" i="8" s="1"/>
  <c r="L425" i="8"/>
  <c r="L399" i="8"/>
  <c r="N399" i="8" s="1"/>
  <c r="AR64" i="8" s="1"/>
  <c r="L408" i="8"/>
  <c r="L410" i="8"/>
  <c r="N100" i="4"/>
  <c r="N101" i="4"/>
  <c r="N104" i="4"/>
  <c r="L102" i="4"/>
  <c r="L329" i="8"/>
  <c r="N329" i="8" s="1"/>
  <c r="AP20" i="8" s="1"/>
  <c r="M103" i="4"/>
  <c r="K101" i="4"/>
  <c r="L343" i="8"/>
  <c r="N343" i="8" s="1"/>
  <c r="AO87" i="8" s="1"/>
  <c r="K94" i="4"/>
  <c r="L387" i="8"/>
  <c r="N387" i="8" s="1"/>
  <c r="AQ22" i="8" s="1"/>
  <c r="K104" i="4"/>
  <c r="L380" i="8"/>
  <c r="N380" i="8" s="1"/>
  <c r="AP22" i="8" s="1"/>
  <c r="K102" i="4"/>
  <c r="K103" i="4"/>
  <c r="K100" i="4"/>
  <c r="N99" i="4"/>
  <c r="N96" i="4"/>
  <c r="N95" i="4"/>
  <c r="L99" i="4"/>
  <c r="M99" i="4"/>
  <c r="K95" i="4"/>
  <c r="L375" i="8"/>
  <c r="N375" i="8" s="1"/>
  <c r="AO22" i="8" s="1"/>
  <c r="L354" i="8"/>
  <c r="N354" i="8" s="1"/>
  <c r="AO89" i="8" s="1"/>
  <c r="L391" i="8"/>
  <c r="N391" i="8" s="1"/>
  <c r="AM93" i="8" s="1"/>
  <c r="L377" i="8"/>
  <c r="N377" i="8" s="1"/>
  <c r="AN90" i="8" s="1"/>
  <c r="L372" i="8"/>
  <c r="N372" i="8" s="1"/>
  <c r="AT13" i="8" s="1"/>
  <c r="L382" i="8"/>
  <c r="L385" i="8"/>
  <c r="L381" i="8"/>
  <c r="N381" i="8" s="1"/>
  <c r="AP90" i="8" s="1"/>
  <c r="L374" i="8"/>
  <c r="N374" i="8" s="1"/>
  <c r="AM91" i="8" s="1"/>
  <c r="L379" i="8"/>
  <c r="L376" i="8"/>
  <c r="N376" i="8" s="1"/>
  <c r="AM90" i="8" s="1"/>
  <c r="L364" i="8"/>
  <c r="N364" i="8" s="1"/>
  <c r="AM31" i="8" s="1"/>
  <c r="L384" i="8"/>
  <c r="N98" i="4"/>
  <c r="L392" i="8"/>
  <c r="L332" i="8"/>
  <c r="L390" i="8"/>
  <c r="K97" i="4"/>
  <c r="N94" i="4"/>
  <c r="L328" i="8"/>
  <c r="L365" i="8"/>
  <c r="L373" i="8"/>
  <c r="N373" i="8" s="1"/>
  <c r="K98" i="4"/>
  <c r="L388" i="8"/>
  <c r="N388" i="8" s="1"/>
  <c r="AQ91" i="8" s="1"/>
  <c r="L386" i="8"/>
  <c r="N386" i="8" s="1"/>
  <c r="AQ82" i="8" s="1"/>
  <c r="L325" i="8"/>
  <c r="N325" i="8" s="1"/>
  <c r="AP85" i="8" s="1"/>
  <c r="L378" i="8"/>
  <c r="L389" i="8"/>
  <c r="L383" i="8"/>
  <c r="N383" i="8" s="1"/>
  <c r="AO91" i="8" s="1"/>
  <c r="M96" i="4"/>
  <c r="L371" i="8"/>
  <c r="L324" i="8"/>
  <c r="L368" i="8"/>
  <c r="N368" i="8" s="1"/>
  <c r="AO31" i="8" s="1"/>
  <c r="L359" i="8"/>
  <c r="N359" i="8" s="1"/>
  <c r="AN21" i="8" s="1"/>
  <c r="L342" i="8"/>
  <c r="L347" i="8"/>
  <c r="N347" i="8" s="1"/>
  <c r="N87" i="4"/>
  <c r="L350" i="8"/>
  <c r="N350" i="8" s="1"/>
  <c r="AP88" i="8" s="1"/>
  <c r="L345" i="8"/>
  <c r="N345" i="8" s="1"/>
  <c r="AN88" i="8" s="1"/>
  <c r="L357" i="8"/>
  <c r="N92" i="4"/>
  <c r="L321" i="8"/>
  <c r="N91" i="4"/>
  <c r="L318" i="8"/>
  <c r="N318" i="8" s="1"/>
  <c r="L338" i="8"/>
  <c r="N338" i="8" s="1"/>
  <c r="AM87" i="8" s="1"/>
  <c r="L353" i="8"/>
  <c r="L362" i="8"/>
  <c r="L348" i="8"/>
  <c r="L352" i="8"/>
  <c r="N352" i="8" s="1"/>
  <c r="AN89" i="8" s="1"/>
  <c r="L361" i="8"/>
  <c r="N361" i="8" s="1"/>
  <c r="AT40" i="8" s="1"/>
  <c r="L339" i="8"/>
  <c r="N339" i="8" s="1"/>
  <c r="AQ81" i="8" s="1"/>
  <c r="L340" i="8"/>
  <c r="N340" i="8" s="1"/>
  <c r="AN87" i="8" s="1"/>
  <c r="L331" i="8"/>
  <c r="N331" i="8" s="1"/>
  <c r="AQ20" i="8" s="1"/>
  <c r="K89" i="4"/>
  <c r="L314" i="8"/>
  <c r="N314" i="8" s="1"/>
  <c r="AQ83" i="8" s="1"/>
  <c r="L320" i="8"/>
  <c r="K90" i="4"/>
  <c r="M92" i="4"/>
  <c r="M93" i="4"/>
  <c r="L369" i="8"/>
  <c r="L344" i="8"/>
  <c r="N344" i="8" s="1"/>
  <c r="AS20" i="8" s="1"/>
  <c r="K91" i="4"/>
  <c r="L346" i="8"/>
  <c r="L367" i="8"/>
  <c r="M91" i="4"/>
  <c r="L370" i="8"/>
  <c r="N370" i="8" s="1"/>
  <c r="AM22" i="8" s="1"/>
  <c r="L355" i="8"/>
  <c r="L327" i="8"/>
  <c r="L315" i="8"/>
  <c r="L316" i="8"/>
  <c r="N316" i="8" s="1"/>
  <c r="AT15" i="8" s="1"/>
  <c r="L358" i="8"/>
  <c r="N358" i="8" s="1"/>
  <c r="AS13" i="8" s="1"/>
  <c r="L360" i="8"/>
  <c r="L351" i="8"/>
  <c r="K93" i="4"/>
  <c r="L317" i="8"/>
  <c r="L349" i="8"/>
  <c r="N349" i="8" s="1"/>
  <c r="AR81" i="8" s="1"/>
  <c r="L319" i="8"/>
  <c r="N319" i="8" s="1"/>
  <c r="AP38" i="8" s="1"/>
  <c r="L330" i="8"/>
  <c r="N330" i="8" s="1"/>
  <c r="AO57" i="8" s="1"/>
  <c r="L356" i="8"/>
  <c r="N356" i="8" s="1"/>
  <c r="K92" i="4"/>
  <c r="L322" i="8"/>
  <c r="N322" i="8" s="1"/>
  <c r="L88" i="4"/>
  <c r="L323" i="8"/>
  <c r="N323" i="8" s="1"/>
  <c r="AR13" i="8" s="1"/>
  <c r="L363" i="8"/>
  <c r="N363" i="8" s="1"/>
  <c r="AS79" i="8" s="1"/>
  <c r="L366" i="8"/>
  <c r="N366" i="8" s="1"/>
  <c r="AN31" i="8" s="1"/>
  <c r="L326" i="8"/>
  <c r="N326" i="8" s="1"/>
  <c r="AO86" i="8" s="1"/>
  <c r="L341" i="8"/>
  <c r="L267" i="8"/>
  <c r="N267" i="8" s="1"/>
  <c r="AS62" i="8" s="1"/>
  <c r="L309" i="8"/>
  <c r="L311" i="8"/>
  <c r="L335" i="8"/>
  <c r="N335" i="8" s="1"/>
  <c r="AR20" i="8" s="1"/>
  <c r="L337" i="8"/>
  <c r="L336" i="8"/>
  <c r="L310" i="8"/>
  <c r="N310" i="8" s="1"/>
  <c r="AO30" i="8" s="1"/>
  <c r="L312" i="8"/>
  <c r="N312" i="8" s="1"/>
  <c r="L276" i="8"/>
  <c r="N276" i="8" s="1"/>
  <c r="L292" i="8"/>
  <c r="N292" i="8" s="1"/>
  <c r="L244" i="8"/>
  <c r="N244" i="8" s="1"/>
  <c r="AS15" i="8" s="1"/>
  <c r="L274" i="8"/>
  <c r="N274" i="8" s="1"/>
  <c r="AS40" i="8" s="1"/>
  <c r="L299" i="8"/>
  <c r="N299" i="8" s="1"/>
  <c r="AP32" i="8" s="1"/>
  <c r="N85" i="4"/>
  <c r="L288" i="8"/>
  <c r="N288" i="8" s="1"/>
  <c r="AM46" i="8" s="1"/>
  <c r="L269" i="8"/>
  <c r="L308" i="8"/>
  <c r="N308" i="8" s="1"/>
  <c r="AN30" i="8" s="1"/>
  <c r="K86" i="4"/>
  <c r="L307" i="8"/>
  <c r="L301" i="8"/>
  <c r="L279" i="8"/>
  <c r="N279" i="8" s="1"/>
  <c r="AQ13" i="8" s="1"/>
  <c r="L313" i="8"/>
  <c r="L275" i="8"/>
  <c r="L262" i="8"/>
  <c r="K85" i="4"/>
  <c r="L272" i="8"/>
  <c r="N272" i="8" s="1"/>
  <c r="L264" i="8"/>
  <c r="N264" i="8" s="1"/>
  <c r="L306" i="8"/>
  <c r="N306" i="8" s="1"/>
  <c r="AM30" i="8" s="1"/>
  <c r="L273" i="8"/>
  <c r="L297" i="8"/>
  <c r="N297" i="8" s="1"/>
  <c r="AS72" i="8" s="1"/>
  <c r="L291" i="8"/>
  <c r="L303" i="8"/>
  <c r="N303" i="8" s="1"/>
  <c r="AN34" i="8" s="1"/>
  <c r="L289" i="8"/>
  <c r="N289" i="8" s="1"/>
  <c r="AR23" i="8" s="1"/>
  <c r="L259" i="8"/>
  <c r="N259" i="8" s="1"/>
  <c r="AM32" i="8" s="1"/>
  <c r="L280" i="8"/>
  <c r="L278" i="8"/>
  <c r="L287" i="8"/>
  <c r="L302" i="8"/>
  <c r="N302" i="8" s="1"/>
  <c r="AQ32" i="8" s="1"/>
  <c r="L270" i="8"/>
  <c r="N270" i="8" s="1"/>
  <c r="AM39" i="8" s="1"/>
  <c r="L283" i="8"/>
  <c r="L226" i="8"/>
  <c r="N226" i="8" s="1"/>
  <c r="AS35" i="8" s="1"/>
  <c r="L282" i="8"/>
  <c r="N282" i="8" s="1"/>
  <c r="L285" i="8"/>
  <c r="N285" i="8" s="1"/>
  <c r="AP83" i="8" s="1"/>
  <c r="L266" i="8"/>
  <c r="N266" i="8" s="1"/>
  <c r="AO32" i="8" s="1"/>
  <c r="L268" i="8"/>
  <c r="N268" i="8" s="1"/>
  <c r="L260" i="8"/>
  <c r="N260" i="8" s="1"/>
  <c r="AQ79" i="8" s="1"/>
  <c r="L296" i="8"/>
  <c r="N296" i="8" s="1"/>
  <c r="AR17" i="8" s="1"/>
  <c r="L271" i="8"/>
  <c r="N271" i="8" s="1"/>
  <c r="AP17" i="8" s="1"/>
  <c r="L215" i="8"/>
  <c r="N215" i="8" s="1"/>
  <c r="AM69" i="8" s="1"/>
  <c r="K84" i="4"/>
  <c r="L300" i="8"/>
  <c r="N300" i="8" s="1"/>
  <c r="AM34" i="8" s="1"/>
  <c r="L294" i="8"/>
  <c r="L293" i="8"/>
  <c r="N293" i="8" s="1"/>
  <c r="L261" i="8"/>
  <c r="N261" i="8" s="1"/>
  <c r="AP13" i="8" s="1"/>
  <c r="L252" i="8"/>
  <c r="N252" i="8" s="1"/>
  <c r="AN84" i="8" s="1"/>
  <c r="L263" i="8"/>
  <c r="N263" i="8" s="1"/>
  <c r="L281" i="8"/>
  <c r="N281" i="8" s="1"/>
  <c r="AQ17" i="8" s="1"/>
  <c r="L304" i="8"/>
  <c r="L277" i="8"/>
  <c r="N277" i="8" s="1"/>
  <c r="AM12" i="8" s="1"/>
  <c r="L256" i="8"/>
  <c r="N256" i="8" s="1"/>
  <c r="AQ71" i="8" s="1"/>
  <c r="L286" i="8"/>
  <c r="N286" i="8" s="1"/>
  <c r="AP68" i="8" s="1"/>
  <c r="L284" i="8"/>
  <c r="N284" i="8" s="1"/>
  <c r="AO12" i="8" s="1"/>
  <c r="L265" i="8"/>
  <c r="L295" i="8"/>
  <c r="N295" i="8" s="1"/>
  <c r="AO46" i="8" s="1"/>
  <c r="L298" i="8"/>
  <c r="L290" i="8"/>
  <c r="N290" i="8" s="1"/>
  <c r="AQ73" i="8" s="1"/>
  <c r="L305" i="8"/>
  <c r="N305" i="8" s="1"/>
  <c r="AO34" i="8" s="1"/>
  <c r="L216" i="8"/>
  <c r="N216" i="8" s="1"/>
  <c r="AQ40" i="8" s="1"/>
  <c r="K83" i="4"/>
  <c r="L253" i="8"/>
  <c r="L151" i="8"/>
  <c r="N151" i="8" s="1"/>
  <c r="AQ24" i="8" s="1"/>
  <c r="L257" i="8"/>
  <c r="N257" i="8" s="1"/>
  <c r="AS25" i="8" s="1"/>
  <c r="L249" i="8"/>
  <c r="L162" i="8"/>
  <c r="N162" i="8" s="1"/>
  <c r="AQ14" i="8" s="1"/>
  <c r="L255" i="8"/>
  <c r="L250" i="8"/>
  <c r="N250" i="8" s="1"/>
  <c r="AM84" i="8" s="1"/>
  <c r="L258" i="8"/>
  <c r="L246" i="8"/>
  <c r="L235" i="8"/>
  <c r="N235" i="8" s="1"/>
  <c r="AN82" i="8" s="1"/>
  <c r="L83" i="4"/>
  <c r="L238" i="8"/>
  <c r="L245" i="8"/>
  <c r="N245" i="8" s="1"/>
  <c r="AR40" i="8" s="1"/>
  <c r="L247" i="8"/>
  <c r="N247" i="8" s="1"/>
  <c r="AT28" i="8" s="1"/>
  <c r="L248" i="8"/>
  <c r="N248" i="8" s="1"/>
  <c r="AO83" i="8" s="1"/>
  <c r="L243" i="8"/>
  <c r="N243" i="8" s="1"/>
  <c r="AM83" i="8" s="1"/>
  <c r="L254" i="8"/>
  <c r="N254" i="8" s="1"/>
  <c r="AQ64" i="8" s="1"/>
  <c r="L251" i="8"/>
  <c r="M84" i="4"/>
  <c r="L154" i="8"/>
  <c r="N154" i="8" s="1"/>
  <c r="AQ26" i="8" s="1"/>
  <c r="L234" i="8"/>
  <c r="L225" i="8"/>
  <c r="L231" i="8"/>
  <c r="L222" i="8"/>
  <c r="L232" i="8"/>
  <c r="N232" i="8" s="1"/>
  <c r="AS70" i="8" s="1"/>
  <c r="L82" i="4"/>
  <c r="L192" i="8"/>
  <c r="L240" i="8"/>
  <c r="N240" i="8" s="1"/>
  <c r="AT49" i="8" s="1"/>
  <c r="L209" i="8"/>
  <c r="N209" i="8" s="1"/>
  <c r="AT65" i="8" s="1"/>
  <c r="L181" i="8"/>
  <c r="N181" i="8" s="1"/>
  <c r="AN73" i="8" s="1"/>
  <c r="L239" i="8"/>
  <c r="N239" i="8" s="1"/>
  <c r="AO82" i="8" s="1"/>
  <c r="L217" i="8"/>
  <c r="N217" i="8" s="1"/>
  <c r="AN69" i="8" s="1"/>
  <c r="L236" i="8"/>
  <c r="N236" i="8" s="1"/>
  <c r="L159" i="8"/>
  <c r="N159" i="8" s="1"/>
  <c r="AR24" i="8" s="1"/>
  <c r="L233" i="8"/>
  <c r="N233" i="8" s="1"/>
  <c r="L207" i="8"/>
  <c r="N207" i="8" s="1"/>
  <c r="AS24" i="8" s="1"/>
  <c r="L175" i="8"/>
  <c r="N175" i="8" s="1"/>
  <c r="AP36" i="8" s="1"/>
  <c r="L241" i="8"/>
  <c r="N241" i="8" s="1"/>
  <c r="L242" i="8"/>
  <c r="L205" i="8"/>
  <c r="N205" i="8" s="1"/>
  <c r="AO56" i="8" s="1"/>
  <c r="L237" i="8"/>
  <c r="N237" i="8" s="1"/>
  <c r="L166" i="8"/>
  <c r="N166" i="8" s="1"/>
  <c r="AT60" i="8" s="1"/>
  <c r="L157" i="8"/>
  <c r="N157" i="8" s="1"/>
  <c r="AN80" i="8" s="1"/>
  <c r="L174" i="8"/>
  <c r="N174" i="8" s="1"/>
  <c r="AR65" i="8" s="1"/>
  <c r="L171" i="8"/>
  <c r="N171" i="8" s="1"/>
  <c r="AR14" i="8" s="1"/>
  <c r="L177" i="8"/>
  <c r="N177" i="8" s="1"/>
  <c r="AM73" i="8" s="1"/>
  <c r="L224" i="8"/>
  <c r="N224" i="8" s="1"/>
  <c r="AR62" i="8" s="1"/>
  <c r="L221" i="8"/>
  <c r="N221" i="8" s="1"/>
  <c r="AT24" i="8" s="1"/>
  <c r="L187" i="8"/>
  <c r="N187" i="8" s="1"/>
  <c r="AP11" i="8" s="1"/>
  <c r="L214" i="8"/>
  <c r="N214" i="8" s="1"/>
  <c r="AQ36" i="8" s="1"/>
  <c r="L227" i="8"/>
  <c r="N227" i="8" s="1"/>
  <c r="AS28" i="8" s="1"/>
  <c r="L152" i="8"/>
  <c r="N152" i="8" s="1"/>
  <c r="AR63" i="8" s="1"/>
  <c r="L191" i="8"/>
  <c r="N191" i="8" s="1"/>
  <c r="AQ25" i="8" s="1"/>
  <c r="L183" i="8"/>
  <c r="N183" i="8" s="1"/>
  <c r="AQ72" i="8" s="1"/>
  <c r="L160" i="8"/>
  <c r="N160" i="8" s="1"/>
  <c r="AQ49" i="8" s="1"/>
  <c r="L201" i="8"/>
  <c r="N201" i="8" s="1"/>
  <c r="AM56" i="8" s="1"/>
  <c r="L196" i="8"/>
  <c r="L193" i="8"/>
  <c r="N193" i="8" s="1"/>
  <c r="AN81" i="8" s="1"/>
  <c r="L186" i="8"/>
  <c r="N186" i="8" s="1"/>
  <c r="AS26" i="8" s="1"/>
  <c r="L180" i="8"/>
  <c r="N180" i="8" s="1"/>
  <c r="AS49" i="8" s="1"/>
  <c r="L206" i="8"/>
  <c r="L198" i="8"/>
  <c r="N198" i="8" s="1"/>
  <c r="AR28" i="8" s="1"/>
  <c r="L200" i="8"/>
  <c r="L161" i="8"/>
  <c r="L155" i="8"/>
  <c r="L168" i="8"/>
  <c r="N168" i="8" s="1"/>
  <c r="AT48" i="8" s="1"/>
  <c r="L203" i="8"/>
  <c r="N203" i="8" s="1"/>
  <c r="AN56" i="8" s="1"/>
  <c r="L199" i="8"/>
  <c r="N199" i="8" s="1"/>
  <c r="AQ11" i="8" s="1"/>
  <c r="L173" i="8"/>
  <c r="L172" i="8"/>
  <c r="N172" i="8" s="1"/>
  <c r="AR49" i="8" s="1"/>
  <c r="L167" i="8"/>
  <c r="L197" i="8"/>
  <c r="N197" i="8" s="1"/>
  <c r="AO81" i="8" s="1"/>
  <c r="L228" i="8"/>
  <c r="L204" i="8"/>
  <c r="L176" i="8"/>
  <c r="L190" i="8"/>
  <c r="N190" i="8" s="1"/>
  <c r="AT26" i="8" s="1"/>
  <c r="L219" i="8"/>
  <c r="N219" i="8" s="1"/>
  <c r="AO69" i="8" s="1"/>
  <c r="L218" i="8"/>
  <c r="L185" i="8"/>
  <c r="L212" i="8"/>
  <c r="N212" i="8" s="1"/>
  <c r="AO38" i="8" s="1"/>
  <c r="L188" i="8"/>
  <c r="L182" i="8"/>
  <c r="N182" i="8" s="1"/>
  <c r="AQ23" i="8" s="1"/>
  <c r="L156" i="8"/>
  <c r="N156" i="8" s="1"/>
  <c r="AR44" i="8" s="1"/>
  <c r="L210" i="8"/>
  <c r="N210" i="8" s="1"/>
  <c r="AN38" i="8" s="1"/>
  <c r="L189" i="8"/>
  <c r="N189" i="8" s="1"/>
  <c r="AM81" i="8" s="1"/>
  <c r="L169" i="8"/>
  <c r="N169" i="8" s="1"/>
  <c r="AN55" i="8" s="1"/>
  <c r="L165" i="8"/>
  <c r="N165" i="8" s="1"/>
  <c r="AM55" i="8" s="1"/>
  <c r="L164" i="8"/>
  <c r="L184" i="8"/>
  <c r="N184" i="8" s="1"/>
  <c r="AQ28" i="8" s="1"/>
  <c r="L220" i="8"/>
  <c r="L195" i="8"/>
  <c r="N195" i="8" s="1"/>
  <c r="L230" i="8"/>
  <c r="N230" i="8" s="1"/>
  <c r="AP9" i="8" s="1"/>
  <c r="L213" i="8"/>
  <c r="L163" i="8"/>
  <c r="N163" i="8" s="1"/>
  <c r="AQ65" i="8" s="1"/>
  <c r="L229" i="8"/>
  <c r="N229" i="8" s="1"/>
  <c r="AR15" i="8" s="1"/>
  <c r="L208" i="8"/>
  <c r="L178" i="8"/>
  <c r="N178" i="8" s="1"/>
  <c r="L211" i="8"/>
  <c r="L223" i="8"/>
  <c r="N223" i="8" s="1"/>
  <c r="L158" i="8"/>
  <c r="N158" i="8" s="1"/>
  <c r="AS48" i="8" s="1"/>
  <c r="M81" i="4"/>
  <c r="L202" i="8"/>
  <c r="N202" i="8" s="1"/>
  <c r="AP79" i="8" s="1"/>
  <c r="L153" i="8"/>
  <c r="N153" i="8" s="1"/>
  <c r="AM80" i="8" s="1"/>
  <c r="L170" i="8"/>
  <c r="N170" i="8" s="1"/>
  <c r="AR26" i="8" s="1"/>
  <c r="L194" i="8"/>
  <c r="N194" i="8" s="1"/>
  <c r="AS14" i="8" s="1"/>
  <c r="L179" i="8"/>
  <c r="L144" i="8"/>
  <c r="N144" i="8" s="1"/>
  <c r="AP71" i="8" s="1"/>
  <c r="L129" i="8"/>
  <c r="N129" i="8" s="1"/>
  <c r="AM13" i="8" s="1"/>
  <c r="L137" i="8"/>
  <c r="N137" i="8" s="1"/>
  <c r="AO13" i="8" s="1"/>
  <c r="L140" i="8"/>
  <c r="N140" i="8" s="1"/>
  <c r="AQ42" i="8" s="1"/>
  <c r="L142" i="8"/>
  <c r="N142" i="8" s="1"/>
  <c r="AP40" i="8" s="1"/>
  <c r="L133" i="8"/>
  <c r="N133" i="8" s="1"/>
  <c r="AN13" i="8" s="1"/>
  <c r="L148" i="8"/>
  <c r="N148" i="8" s="1"/>
  <c r="AR60" i="8" s="1"/>
  <c r="L131" i="8"/>
  <c r="N131" i="8" s="1"/>
  <c r="AP35" i="8" s="1"/>
  <c r="L135" i="8"/>
  <c r="N135" i="8" s="1"/>
  <c r="AP25" i="8" s="1"/>
  <c r="L136" i="8"/>
  <c r="L134" i="8"/>
  <c r="N134" i="8" s="1"/>
  <c r="AP70" i="8" s="1"/>
  <c r="L146" i="8"/>
  <c r="N146" i="8" s="1"/>
  <c r="AR48" i="8" s="1"/>
  <c r="L130" i="8"/>
  <c r="N130" i="8" s="1"/>
  <c r="AP24" i="8" s="1"/>
  <c r="L150" i="8"/>
  <c r="N150" i="8" s="1"/>
  <c r="AR42" i="8" s="1"/>
  <c r="L149" i="8"/>
  <c r="N149" i="8" s="1"/>
  <c r="AO67" i="8" s="1"/>
  <c r="L138" i="8"/>
  <c r="N138" i="8" s="1"/>
  <c r="AQ35" i="8" s="1"/>
  <c r="L132" i="8"/>
  <c r="N132" i="8" s="1"/>
  <c r="AP63" i="8" s="1"/>
  <c r="L141" i="8"/>
  <c r="N141" i="8" s="1"/>
  <c r="AM67" i="8" s="1"/>
  <c r="L143" i="8"/>
  <c r="L139" i="8"/>
  <c r="N139" i="8" s="1"/>
  <c r="AQ63" i="8" s="1"/>
  <c r="L147" i="8"/>
  <c r="N147" i="8" s="1"/>
  <c r="AQ44" i="8" s="1"/>
  <c r="L145" i="8"/>
  <c r="N145" i="8" s="1"/>
  <c r="AN67" i="8" s="1"/>
  <c r="L128" i="8"/>
  <c r="N128" i="8" s="1"/>
  <c r="AP28" i="8" s="1"/>
  <c r="L127" i="8"/>
  <c r="N127" i="8" s="1"/>
  <c r="AP23" i="8" s="1"/>
  <c r="L126" i="8"/>
  <c r="N126" i="8" s="1"/>
  <c r="AP72" i="8" s="1"/>
  <c r="L125" i="8"/>
  <c r="N125" i="8" s="1"/>
  <c r="AO68" i="8" s="1"/>
  <c r="L80" i="4"/>
  <c r="N80" i="4"/>
  <c r="M80" i="4"/>
  <c r="L118" i="8"/>
  <c r="N118" i="8" s="1"/>
  <c r="AM68" i="8" s="1"/>
  <c r="L121" i="8"/>
  <c r="N121" i="8" s="1"/>
  <c r="AN68" i="8" s="1"/>
  <c r="L124" i="8"/>
  <c r="N124" i="8" s="1"/>
  <c r="AP49" i="8" s="1"/>
  <c r="L120" i="8"/>
  <c r="N120" i="8" s="1"/>
  <c r="AO9" i="8" s="1"/>
  <c r="L123" i="8"/>
  <c r="N123" i="8" s="1"/>
  <c r="AQ48" i="8" s="1"/>
  <c r="AG65" i="8"/>
  <c r="L122" i="8"/>
  <c r="N122" i="8" s="1"/>
  <c r="AQ60" i="8" s="1"/>
  <c r="L119" i="8"/>
  <c r="N119" i="8" s="1"/>
  <c r="AP15" i="8" s="1"/>
  <c r="L117" i="8"/>
  <c r="N117" i="8" s="1"/>
  <c r="AP65" i="8" s="1"/>
  <c r="N104" i="8"/>
  <c r="AN79" i="8" s="1"/>
  <c r="N97" i="8"/>
  <c r="AO65" i="8" s="1"/>
  <c r="N34" i="8"/>
  <c r="AM36" i="8" s="1"/>
  <c r="N32" i="8"/>
  <c r="K461" i="8"/>
  <c r="K383" i="8"/>
  <c r="K413" i="8"/>
  <c r="K273" i="8"/>
  <c r="K277" i="8"/>
  <c r="K447" i="8"/>
  <c r="K381" i="8"/>
  <c r="K368" i="8"/>
  <c r="K480" i="8"/>
  <c r="K280" i="8"/>
  <c r="K262" i="8"/>
  <c r="K210" i="8"/>
  <c r="K255" i="8"/>
  <c r="K169" i="8"/>
  <c r="K157" i="8"/>
  <c r="K352" i="8"/>
  <c r="K428" i="8"/>
  <c r="K473" i="8"/>
  <c r="K193" i="8"/>
  <c r="K219" i="8"/>
  <c r="K145" i="8"/>
  <c r="K137" i="8"/>
  <c r="K436" i="8"/>
  <c r="K284" i="8"/>
  <c r="K459" i="8"/>
  <c r="K243" i="8"/>
  <c r="K451" i="8"/>
  <c r="K357" i="8"/>
  <c r="K486" i="8"/>
  <c r="K129" i="8"/>
  <c r="K125" i="8"/>
  <c r="K248" i="8"/>
  <c r="K173" i="8"/>
  <c r="K222" i="8"/>
  <c r="K377" i="8"/>
  <c r="K350" i="8"/>
  <c r="K475" i="8"/>
  <c r="K266" i="8"/>
  <c r="K409" i="8"/>
  <c r="K165" i="8"/>
  <c r="K403" i="8"/>
  <c r="K373" i="8"/>
  <c r="K252" i="8"/>
  <c r="K482" i="8"/>
  <c r="K215" i="8"/>
  <c r="K490" i="8"/>
  <c r="K362" i="8"/>
  <c r="K313" i="8"/>
  <c r="K370" i="8"/>
  <c r="K440" i="8"/>
  <c r="K445" i="8"/>
  <c r="K401" i="8"/>
  <c r="K203" i="8"/>
  <c r="K217" i="8"/>
  <c r="K388" i="8"/>
  <c r="K425" i="8"/>
  <c r="K366" i="8"/>
  <c r="K422" i="8"/>
  <c r="K477" i="8"/>
  <c r="K345" i="8"/>
  <c r="K295" i="8"/>
  <c r="K331" i="8"/>
  <c r="K329" i="8"/>
  <c r="K418" i="8"/>
  <c r="K375" i="8"/>
  <c r="K454" i="8"/>
  <c r="K304" i="8"/>
  <c r="K432" i="8"/>
  <c r="K189" i="8"/>
  <c r="K395" i="8"/>
  <c r="K321" i="8"/>
  <c r="K466" i="8"/>
  <c r="K324" i="8"/>
  <c r="K153" i="8"/>
  <c r="K438" i="8"/>
  <c r="K457" i="8"/>
  <c r="K177" i="8"/>
  <c r="K379" i="8"/>
  <c r="K228" i="8"/>
  <c r="K288" i="8"/>
  <c r="K212" i="8"/>
  <c r="K197" i="8"/>
  <c r="K121" i="8"/>
  <c r="K470" i="8"/>
  <c r="K354" i="8"/>
  <c r="K326" i="8"/>
  <c r="K411" i="8"/>
  <c r="K343" i="8"/>
  <c r="K317" i="8"/>
  <c r="K348" i="8"/>
  <c r="K205" i="8"/>
  <c r="K275" i="8"/>
  <c r="K434" i="8"/>
  <c r="K407" i="8"/>
  <c r="K335" i="8"/>
  <c r="K259" i="8"/>
  <c r="K338" i="8"/>
  <c r="K161" i="8"/>
  <c r="K133" i="8"/>
  <c r="K149" i="8"/>
  <c r="K301" i="8"/>
  <c r="K270" i="8"/>
  <c r="K306" i="8"/>
  <c r="K464" i="8"/>
  <c r="K397" i="8"/>
  <c r="K291" i="8"/>
  <c r="K118" i="8"/>
  <c r="K250" i="8"/>
  <c r="K235" i="8"/>
  <c r="K390" i="8"/>
  <c r="K385" i="8"/>
  <c r="K201" i="8"/>
  <c r="K298" i="8"/>
  <c r="K359" i="8"/>
  <c r="K315" i="8"/>
  <c r="K415" i="8"/>
  <c r="K308" i="8"/>
  <c r="K231" i="8"/>
  <c r="K449" i="8"/>
  <c r="K405" i="8"/>
  <c r="K392" i="8"/>
  <c r="K442" i="8"/>
  <c r="K340" i="8"/>
  <c r="K208" i="8"/>
  <c r="K310" i="8"/>
  <c r="K484" i="8"/>
  <c r="K225" i="8"/>
  <c r="K181" i="8"/>
  <c r="K185" i="8"/>
  <c r="K239" i="8"/>
  <c r="K246" i="8"/>
  <c r="K468" i="8"/>
  <c r="K364" i="8"/>
  <c r="K141" i="8"/>
  <c r="K488" i="8"/>
  <c r="BN172" i="8" l="1"/>
  <c r="BO172" i="8" s="1"/>
  <c r="BP172" i="8" s="1"/>
  <c r="BQ172" i="8" s="1"/>
  <c r="BN148" i="8"/>
  <c r="BO148" i="8" s="1"/>
  <c r="BN55" i="8"/>
  <c r="BO55" i="8" s="1"/>
  <c r="BN82" i="8"/>
  <c r="BN46" i="8"/>
  <c r="BO46" i="8" s="1"/>
  <c r="N490" i="8"/>
  <c r="N483" i="8"/>
  <c r="AT97" i="8" s="1"/>
  <c r="N487" i="8"/>
  <c r="AT92" i="8" s="1"/>
  <c r="N485" i="8"/>
  <c r="N480" i="8"/>
  <c r="AN27" i="8" s="1"/>
  <c r="AQ101" i="8"/>
  <c r="N489" i="8"/>
  <c r="BN47" i="8"/>
  <c r="BO47" i="8" s="1"/>
  <c r="BN106" i="8"/>
  <c r="BO106" i="8" s="1"/>
  <c r="BN110" i="8"/>
  <c r="BO110" i="8" s="1"/>
  <c r="BN163" i="8"/>
  <c r="BO163" i="8" s="1"/>
  <c r="BN125" i="8"/>
  <c r="BO125" i="8" s="1"/>
  <c r="BP125" i="8" s="1"/>
  <c r="BQ125" i="8" s="1"/>
  <c r="BS125" i="8" s="1"/>
  <c r="BT125" i="8" s="1"/>
  <c r="BU125" i="8" s="1"/>
  <c r="BV125" i="8" s="1"/>
  <c r="BX125" i="8" s="1"/>
  <c r="BY125" i="8" s="1"/>
  <c r="BZ125" i="8" s="1"/>
  <c r="CA125" i="8" s="1"/>
  <c r="BN170" i="8"/>
  <c r="BO170" i="8" s="1"/>
  <c r="BP170" i="8" s="1"/>
  <c r="BQ170" i="8" s="1"/>
  <c r="BS170" i="8" s="1"/>
  <c r="BN162" i="8"/>
  <c r="BO162" i="8" s="1"/>
  <c r="BP162" i="8" s="1"/>
  <c r="BQ162" i="8" s="1"/>
  <c r="BS162" i="8" s="1"/>
  <c r="BT162" i="8" s="1"/>
  <c r="BU162" i="8" s="1"/>
  <c r="BN87" i="8"/>
  <c r="BO87" i="8" s="1"/>
  <c r="BP87" i="8" s="1"/>
  <c r="N431" i="8"/>
  <c r="BN118" i="8"/>
  <c r="BO118" i="8" s="1"/>
  <c r="BP118" i="8" s="1"/>
  <c r="AS88" i="8"/>
  <c r="N471" i="8"/>
  <c r="BN70" i="8"/>
  <c r="BN62" i="8"/>
  <c r="BO62" i="8" s="1"/>
  <c r="BN113" i="8"/>
  <c r="BO113" i="8" s="1"/>
  <c r="BP113" i="8" s="1"/>
  <c r="BQ113" i="8" s="1"/>
  <c r="BS113" i="8" s="1"/>
  <c r="BN127" i="8"/>
  <c r="BO127" i="8" s="1"/>
  <c r="BN11" i="8"/>
  <c r="BO11" i="8" s="1"/>
  <c r="BN174" i="8"/>
  <c r="BO174" i="8" s="1"/>
  <c r="BN42" i="8"/>
  <c r="BO42" i="8" s="1"/>
  <c r="BP42" i="8" s="1"/>
  <c r="BQ42" i="8" s="1"/>
  <c r="BN95" i="8"/>
  <c r="BO95" i="8" s="1"/>
  <c r="BP95" i="8" s="1"/>
  <c r="BQ95" i="8" s="1"/>
  <c r="BN140" i="8"/>
  <c r="BO140" i="8" s="1"/>
  <c r="BP140" i="8" s="1"/>
  <c r="BQ140" i="8" s="1"/>
  <c r="BN161" i="8"/>
  <c r="BO161" i="8" s="1"/>
  <c r="BP161" i="8" s="1"/>
  <c r="BN116" i="8"/>
  <c r="BO116" i="8" s="1"/>
  <c r="BN78" i="8"/>
  <c r="BO78" i="8" s="1"/>
  <c r="BN164" i="8"/>
  <c r="BO164" i="8" s="1"/>
  <c r="M82" i="4"/>
  <c r="BN173" i="8"/>
  <c r="BO173" i="8" s="1"/>
  <c r="BN151" i="8"/>
  <c r="BO151" i="8" s="1"/>
  <c r="BP151" i="8" s="1"/>
  <c r="BQ151" i="8" s="1"/>
  <c r="BS151" i="8" s="1"/>
  <c r="BN144" i="8"/>
  <c r="BO144" i="8" s="1"/>
  <c r="BP144" i="8" s="1"/>
  <c r="BQ144" i="8" s="1"/>
  <c r="BN141" i="8"/>
  <c r="BO141" i="8" s="1"/>
  <c r="BN99" i="8"/>
  <c r="BN22" i="8"/>
  <c r="BO22" i="8" s="1"/>
  <c r="BP22" i="8" s="1"/>
  <c r="BQ22" i="8" s="1"/>
  <c r="BS22" i="8" s="1"/>
  <c r="BT22" i="8" s="1"/>
  <c r="BN75" i="8"/>
  <c r="BO75" i="8" s="1"/>
  <c r="BN19" i="8"/>
  <c r="BN12" i="8"/>
  <c r="BO12" i="8" s="1"/>
  <c r="BP12" i="8" s="1"/>
  <c r="BQ12" i="8" s="1"/>
  <c r="BN32" i="8"/>
  <c r="BO32" i="8" s="1"/>
  <c r="BN145" i="8"/>
  <c r="BO145" i="8" s="1"/>
  <c r="BP145" i="8" s="1"/>
  <c r="BO82" i="8"/>
  <c r="BP82" i="8" s="1"/>
  <c r="BQ82" i="8" s="1"/>
  <c r="BS82" i="8" s="1"/>
  <c r="BN156" i="8"/>
  <c r="BO156" i="8" s="1"/>
  <c r="BP156" i="8" s="1"/>
  <c r="BQ156" i="8" s="1"/>
  <c r="BN45" i="8"/>
  <c r="BO45" i="8" s="1"/>
  <c r="BP45" i="8" s="1"/>
  <c r="BQ45" i="8" s="1"/>
  <c r="BS45" i="8" s="1"/>
  <c r="BO114" i="8"/>
  <c r="BP114" i="8" s="1"/>
  <c r="BP55" i="8"/>
  <c r="BQ55" i="8" s="1"/>
  <c r="BS55" i="8" s="1"/>
  <c r="BO171" i="8"/>
  <c r="BP171" i="8" s="1"/>
  <c r="BN149" i="8"/>
  <c r="BO149" i="8" s="1"/>
  <c r="BP149" i="8" s="1"/>
  <c r="BQ149" i="8" s="1"/>
  <c r="BS149" i="8" s="1"/>
  <c r="BN109" i="8"/>
  <c r="BO109" i="8" s="1"/>
  <c r="BN53" i="8"/>
  <c r="BO53" i="8" s="1"/>
  <c r="BP53" i="8" s="1"/>
  <c r="BN167" i="8"/>
  <c r="BO167" i="8" s="1"/>
  <c r="BP167" i="8" s="1"/>
  <c r="BN79" i="8"/>
  <c r="BO79" i="8" s="1"/>
  <c r="BP79" i="8" s="1"/>
  <c r="BQ79" i="8" s="1"/>
  <c r="BN104" i="8"/>
  <c r="BO104" i="8" s="1"/>
  <c r="BP104" i="8" s="1"/>
  <c r="BN54" i="8"/>
  <c r="BO54" i="8" s="1"/>
  <c r="BP54" i="8" s="1"/>
  <c r="BQ54" i="8" s="1"/>
  <c r="BN129" i="8"/>
  <c r="BO129" i="8" s="1"/>
  <c r="BP129" i="8" s="1"/>
  <c r="BN126" i="8"/>
  <c r="BO126" i="8" s="1"/>
  <c r="BN100" i="8"/>
  <c r="BO100" i="8" s="1"/>
  <c r="BN69" i="8"/>
  <c r="BO69" i="8" s="1"/>
  <c r="AW68" i="8"/>
  <c r="BN86" i="8"/>
  <c r="BO86" i="8" s="1"/>
  <c r="BP86" i="8" s="1"/>
  <c r="BQ86" i="8" s="1"/>
  <c r="BS86" i="8" s="1"/>
  <c r="BT86" i="8" s="1"/>
  <c r="BN105" i="8"/>
  <c r="BN77" i="8"/>
  <c r="BO77" i="8" s="1"/>
  <c r="BP77" i="8" s="1"/>
  <c r="BN76" i="8"/>
  <c r="AV36" i="8"/>
  <c r="BN112" i="8"/>
  <c r="BO112" i="8" s="1"/>
  <c r="BP112" i="8" s="1"/>
  <c r="BQ112" i="8" s="1"/>
  <c r="BS112" i="8" s="1"/>
  <c r="BT112" i="8" s="1"/>
  <c r="BU112" i="8" s="1"/>
  <c r="BN137" i="8"/>
  <c r="BO137" i="8" s="1"/>
  <c r="BN160" i="8"/>
  <c r="BN93" i="8"/>
  <c r="BO93" i="8" s="1"/>
  <c r="BN67" i="8"/>
  <c r="BO67" i="8" s="1"/>
  <c r="BP67" i="8" s="1"/>
  <c r="BQ67" i="8" s="1"/>
  <c r="BN122" i="8"/>
  <c r="BO122" i="8" s="1"/>
  <c r="BP122" i="8" s="1"/>
  <c r="BQ122" i="8" s="1"/>
  <c r="BS122" i="8" s="1"/>
  <c r="BT122" i="8" s="1"/>
  <c r="BN90" i="8"/>
  <c r="BO90" i="8" s="1"/>
  <c r="BN150" i="8"/>
  <c r="BO150" i="8" s="1"/>
  <c r="BP150" i="8" s="1"/>
  <c r="BN134" i="8"/>
  <c r="BO134" i="8" s="1"/>
  <c r="BP134" i="8" s="1"/>
  <c r="BQ134" i="8" s="1"/>
  <c r="BN58" i="8"/>
  <c r="AZ48" i="8"/>
  <c r="N83" i="4"/>
  <c r="BN97" i="8"/>
  <c r="BN96" i="8"/>
  <c r="BN142" i="8"/>
  <c r="BO142" i="8" s="1"/>
  <c r="BP108" i="8"/>
  <c r="BN88" i="8"/>
  <c r="BO88" i="8" s="1"/>
  <c r="BP88" i="8" s="1"/>
  <c r="BQ88" i="8" s="1"/>
  <c r="N88" i="4"/>
  <c r="BN10" i="8"/>
  <c r="BO10" i="8" s="1"/>
  <c r="BN17" i="8"/>
  <c r="BO17" i="8" s="1"/>
  <c r="BN66" i="8"/>
  <c r="BN34" i="8"/>
  <c r="BN131" i="8"/>
  <c r="AV13" i="8"/>
  <c r="BN123" i="8"/>
  <c r="BO123" i="8" s="1"/>
  <c r="BP123" i="8" s="1"/>
  <c r="BQ123" i="8" s="1"/>
  <c r="AY49" i="8"/>
  <c r="AY63" i="8"/>
  <c r="BN29" i="8"/>
  <c r="BO29" i="8" s="1"/>
  <c r="BP29" i="8" s="1"/>
  <c r="BN52" i="8"/>
  <c r="BN166" i="8"/>
  <c r="BN80" i="8"/>
  <c r="BN36" i="8"/>
  <c r="BO36" i="8" s="1"/>
  <c r="BN147" i="8"/>
  <c r="BO147" i="8" s="1"/>
  <c r="BP147" i="8" s="1"/>
  <c r="BN30" i="8"/>
  <c r="BO30" i="8" s="1"/>
  <c r="BN158" i="8"/>
  <c r="BO158" i="8" s="1"/>
  <c r="BP158" i="8" s="1"/>
  <c r="BQ158" i="8" s="1"/>
  <c r="BN102" i="8"/>
  <c r="BN43" i="8"/>
  <c r="BO43" i="8" s="1"/>
  <c r="BP43" i="8" s="1"/>
  <c r="BQ43" i="8" s="1"/>
  <c r="BN89" i="8"/>
  <c r="BN13" i="8"/>
  <c r="BO13" i="8" s="1"/>
  <c r="BP13" i="8" s="1"/>
  <c r="BP117" i="8"/>
  <c r="BS111" i="8"/>
  <c r="BT111" i="8" s="1"/>
  <c r="BU111" i="8" s="1"/>
  <c r="BP46" i="8"/>
  <c r="BN39" i="8"/>
  <c r="BO39" i="8" s="1"/>
  <c r="BN103" i="8"/>
  <c r="AM57" i="8"/>
  <c r="AV57" i="8" s="1"/>
  <c r="AW11" i="8"/>
  <c r="AX70" i="8"/>
  <c r="AW50" i="8"/>
  <c r="AX72" i="8"/>
  <c r="AX37" i="8"/>
  <c r="AV14" i="8"/>
  <c r="AW72" i="8"/>
  <c r="AW66" i="8"/>
  <c r="AV61" i="8"/>
  <c r="AX23" i="8"/>
  <c r="AW53" i="8"/>
  <c r="AV71" i="8"/>
  <c r="AW59" i="8"/>
  <c r="AX11" i="8"/>
  <c r="AW71" i="8"/>
  <c r="AV35" i="8"/>
  <c r="AW61" i="8"/>
  <c r="AX64" i="8"/>
  <c r="AX42" i="8"/>
  <c r="AW26" i="8"/>
  <c r="AV72" i="8"/>
  <c r="AV60" i="8"/>
  <c r="AW23" i="8"/>
  <c r="AV63" i="8"/>
  <c r="AW62" i="8"/>
  <c r="AV62" i="8"/>
  <c r="AV42" i="8"/>
  <c r="AW60" i="8"/>
  <c r="AX44" i="8"/>
  <c r="AW35" i="8"/>
  <c r="AW42" i="8"/>
  <c r="AW14" i="8"/>
  <c r="AV40" i="8"/>
  <c r="AX48" i="8"/>
  <c r="AW63" i="8"/>
  <c r="AW40" i="8"/>
  <c r="AW65" i="8"/>
  <c r="AW37" i="8"/>
  <c r="AX28" i="8"/>
  <c r="AV48" i="8"/>
  <c r="AW15" i="8"/>
  <c r="AW36" i="8"/>
  <c r="AX15" i="8"/>
  <c r="AV23" i="8"/>
  <c r="AX14" i="8"/>
  <c r="AV11" i="8"/>
  <c r="AW57" i="8"/>
  <c r="AX71" i="8"/>
  <c r="AX26" i="8"/>
  <c r="AW70" i="8"/>
  <c r="AX25" i="8"/>
  <c r="AW49" i="8"/>
  <c r="AX24" i="8"/>
  <c r="AX35" i="8"/>
  <c r="AV66" i="8"/>
  <c r="AW25" i="8"/>
  <c r="AX60" i="8"/>
  <c r="AX49" i="8"/>
  <c r="AV50" i="8"/>
  <c r="AV25" i="8"/>
  <c r="AX62" i="8"/>
  <c r="AV49" i="8"/>
  <c r="AV15" i="8"/>
  <c r="AW24" i="8"/>
  <c r="AX51" i="8"/>
  <c r="AV65" i="8"/>
  <c r="AW28" i="8"/>
  <c r="AY24" i="8"/>
  <c r="M87" i="4"/>
  <c r="AS81" i="8"/>
  <c r="BN33" i="8"/>
  <c r="BO133" i="8"/>
  <c r="BP133" i="8" s="1"/>
  <c r="BN153" i="8"/>
  <c r="BO153" i="8" s="1"/>
  <c r="BP153" i="8" s="1"/>
  <c r="BN41" i="8"/>
  <c r="BN119" i="8"/>
  <c r="BN73" i="8"/>
  <c r="BO73" i="8" s="1"/>
  <c r="BP73" i="8" s="1"/>
  <c r="BN157" i="8"/>
  <c r="BO157" i="8" s="1"/>
  <c r="BN20" i="8"/>
  <c r="BN72" i="8"/>
  <c r="BO72" i="8" s="1"/>
  <c r="BP72" i="8" s="1"/>
  <c r="BN136" i="8"/>
  <c r="N102" i="4"/>
  <c r="BN56" i="8"/>
  <c r="AV68" i="8"/>
  <c r="AY70" i="8"/>
  <c r="BN154" i="8"/>
  <c r="BN124" i="8"/>
  <c r="BO124" i="8" s="1"/>
  <c r="BP124" i="8" s="1"/>
  <c r="BQ124" i="8" s="1"/>
  <c r="BN81" i="8"/>
  <c r="BN94" i="8"/>
  <c r="BN107" i="8"/>
  <c r="BO107" i="8" s="1"/>
  <c r="BN130" i="8"/>
  <c r="BO130" i="8" s="1"/>
  <c r="BP130" i="8" s="1"/>
  <c r="AX65" i="8"/>
  <c r="N103" i="4"/>
  <c r="BN159" i="8"/>
  <c r="BO159" i="8" s="1"/>
  <c r="BP159" i="8" s="1"/>
  <c r="BQ159" i="8" s="1"/>
  <c r="BS159" i="8" s="1"/>
  <c r="BT159" i="8" s="1"/>
  <c r="BN21" i="8"/>
  <c r="BN146" i="8"/>
  <c r="BN83" i="8"/>
  <c r="BO83" i="8" s="1"/>
  <c r="BP83" i="8" s="1"/>
  <c r="BQ83" i="8" s="1"/>
  <c r="BN168" i="8"/>
  <c r="BO168" i="8" s="1"/>
  <c r="BP168" i="8" s="1"/>
  <c r="AY72" i="8"/>
  <c r="AY25" i="8"/>
  <c r="BN128" i="8"/>
  <c r="BO128" i="8" s="1"/>
  <c r="BP128" i="8" s="1"/>
  <c r="BQ128" i="8" s="1"/>
  <c r="BS128" i="8" s="1"/>
  <c r="BT128" i="8" s="1"/>
  <c r="BU128" i="8" s="1"/>
  <c r="BN57" i="8"/>
  <c r="BO57" i="8" s="1"/>
  <c r="BP57" i="8" s="1"/>
  <c r="BN115" i="8"/>
  <c r="BO115" i="8" s="1"/>
  <c r="BP115" i="8" s="1"/>
  <c r="BQ115" i="8" s="1"/>
  <c r="BN98" i="8"/>
  <c r="BO98" i="8" s="1"/>
  <c r="BN15" i="8"/>
  <c r="BO15" i="8" s="1"/>
  <c r="BP15" i="8" s="1"/>
  <c r="BQ15" i="8" s="1"/>
  <c r="BN165" i="8"/>
  <c r="BN135" i="8"/>
  <c r="BO135" i="8" s="1"/>
  <c r="BP135" i="8" s="1"/>
  <c r="BQ135" i="8" s="1"/>
  <c r="AW48" i="8"/>
  <c r="BN152" i="8"/>
  <c r="AY35" i="8"/>
  <c r="AY15" i="8"/>
  <c r="AW13" i="8"/>
  <c r="BN138" i="8"/>
  <c r="BN85" i="8"/>
  <c r="P85" i="4" s="1"/>
  <c r="BN60" i="8"/>
  <c r="BO60" i="8" s="1"/>
  <c r="BN92" i="8"/>
  <c r="BN121" i="8"/>
  <c r="BS172" i="8"/>
  <c r="BT172" i="8" s="1"/>
  <c r="BN31" i="8"/>
  <c r="BO31" i="8" s="1"/>
  <c r="BO74" i="8"/>
  <c r="BP74" i="8" s="1"/>
  <c r="BQ74" i="8" s="1"/>
  <c r="BN35" i="8"/>
  <c r="BO35" i="8" s="1"/>
  <c r="BN25" i="8"/>
  <c r="BO25" i="8" s="1"/>
  <c r="N462" i="8"/>
  <c r="AT93" i="8" s="1"/>
  <c r="AY23" i="8"/>
  <c r="AY28" i="8"/>
  <c r="AZ60" i="8"/>
  <c r="BN139" i="8"/>
  <c r="BO139" i="8" s="1"/>
  <c r="BP139" i="8" s="1"/>
  <c r="BN16" i="8"/>
  <c r="AW79" i="8"/>
  <c r="AX68" i="8"/>
  <c r="L104" i="4"/>
  <c r="BN84" i="8"/>
  <c r="BN71" i="8"/>
  <c r="BO71" i="8" s="1"/>
  <c r="BP71" i="8" s="1"/>
  <c r="BQ71" i="8" s="1"/>
  <c r="AR97" i="8"/>
  <c r="AQ21" i="8"/>
  <c r="BN68" i="8"/>
  <c r="BO68" i="8" s="1"/>
  <c r="BN50" i="8"/>
  <c r="BO50" i="8" s="1"/>
  <c r="N454" i="8"/>
  <c r="AP97" i="8" s="1"/>
  <c r="BN38" i="8"/>
  <c r="BN61" i="8"/>
  <c r="BO61" i="8" s="1"/>
  <c r="BN26" i="8"/>
  <c r="BO26" i="8" s="1"/>
  <c r="BN14" i="8"/>
  <c r="BO14" i="8" s="1"/>
  <c r="BP14" i="8" s="1"/>
  <c r="BQ14" i="8" s="1"/>
  <c r="BS14" i="8" s="1"/>
  <c r="BN132" i="8"/>
  <c r="BO132" i="8" s="1"/>
  <c r="BP132" i="8" s="1"/>
  <c r="BQ132" i="8" s="1"/>
  <c r="BS132" i="8" s="1"/>
  <c r="BT132" i="8" s="1"/>
  <c r="BN23" i="8"/>
  <c r="BO23" i="8" s="1"/>
  <c r="BN91" i="8"/>
  <c r="BN120" i="8"/>
  <c r="BN59" i="8"/>
  <c r="BO59" i="8" s="1"/>
  <c r="BN63" i="8"/>
  <c r="BN169" i="8"/>
  <c r="BO169" i="8" s="1"/>
  <c r="BP169" i="8" s="1"/>
  <c r="BN155" i="8"/>
  <c r="BN101" i="8"/>
  <c r="P101" i="4" s="1"/>
  <c r="BN65" i="8"/>
  <c r="BO65" i="8" s="1"/>
  <c r="BN28" i="8"/>
  <c r="BN143" i="8"/>
  <c r="BN44" i="8"/>
  <c r="BO44" i="8" s="1"/>
  <c r="BN64" i="8"/>
  <c r="BO64" i="8" s="1"/>
  <c r="BP64" i="8" s="1"/>
  <c r="BQ64" i="8" s="1"/>
  <c r="BN18" i="8"/>
  <c r="BN48" i="8"/>
  <c r="N457" i="8"/>
  <c r="AM101" i="8" s="1"/>
  <c r="N464" i="8"/>
  <c r="AM102" i="8" s="1"/>
  <c r="BN24" i="8"/>
  <c r="BN27" i="8"/>
  <c r="BN49" i="8"/>
  <c r="BN37" i="8"/>
  <c r="BO37" i="8" s="1"/>
  <c r="BP37" i="8" s="1"/>
  <c r="N460" i="8"/>
  <c r="AR98" i="8" s="1"/>
  <c r="AN22" i="8"/>
  <c r="BO51" i="8"/>
  <c r="BO70" i="8"/>
  <c r="BP40" i="8"/>
  <c r="N445" i="8"/>
  <c r="AO98" i="8" s="1"/>
  <c r="N443" i="8"/>
  <c r="AR93" i="8" s="1"/>
  <c r="N441" i="8"/>
  <c r="AT79" i="8" s="1"/>
  <c r="N439" i="8"/>
  <c r="AQ94" i="8" s="1"/>
  <c r="N448" i="8"/>
  <c r="AR87" i="8" s="1"/>
  <c r="N430" i="8"/>
  <c r="N418" i="8"/>
  <c r="AM96" i="8" s="1"/>
  <c r="N410" i="8"/>
  <c r="N400" i="8"/>
  <c r="N408" i="8"/>
  <c r="AR11" i="8" s="1"/>
  <c r="N404" i="8"/>
  <c r="AP92" i="8" s="1"/>
  <c r="N425" i="8"/>
  <c r="AO96" i="8" s="1"/>
  <c r="N421" i="8"/>
  <c r="N412" i="8"/>
  <c r="AP94" i="8" s="1"/>
  <c r="N406" i="8"/>
  <c r="N398" i="8"/>
  <c r="N414" i="8"/>
  <c r="N415" i="8"/>
  <c r="AO95" i="8" s="1"/>
  <c r="N389" i="8"/>
  <c r="AQ88" i="8" s="1"/>
  <c r="N385" i="8"/>
  <c r="AP91" i="8" s="1"/>
  <c r="N390" i="8"/>
  <c r="AM92" i="8" s="1"/>
  <c r="N392" i="8"/>
  <c r="AN92" i="8" s="1"/>
  <c r="N341" i="8"/>
  <c r="AM88" i="8" s="1"/>
  <c r="N367" i="8"/>
  <c r="AQ38" i="8" s="1"/>
  <c r="N382" i="8"/>
  <c r="AP82" i="8" s="1"/>
  <c r="N328" i="8"/>
  <c r="N346" i="8"/>
  <c r="AS17" i="8" s="1"/>
  <c r="N348" i="8"/>
  <c r="AO88" i="8" s="1"/>
  <c r="N362" i="8"/>
  <c r="AO21" i="8" s="1"/>
  <c r="N384" i="8"/>
  <c r="AQ90" i="8" s="1"/>
  <c r="N351" i="8"/>
  <c r="AP87" i="8" s="1"/>
  <c r="N342" i="8"/>
  <c r="AM89" i="8" s="1"/>
  <c r="N378" i="8"/>
  <c r="AN91" i="8" s="1"/>
  <c r="N360" i="8"/>
  <c r="AP69" i="8" s="1"/>
  <c r="N353" i="8"/>
  <c r="N327" i="8"/>
  <c r="AS23" i="8" s="1"/>
  <c r="N365" i="8"/>
  <c r="N379" i="8"/>
  <c r="AO90" i="8" s="1"/>
  <c r="N355" i="8"/>
  <c r="AR34" i="8" s="1"/>
  <c r="N320" i="8"/>
  <c r="AR79" i="8" s="1"/>
  <c r="N311" i="8"/>
  <c r="AP34" i="8" s="1"/>
  <c r="N369" i="8"/>
  <c r="AS9" i="8" s="1"/>
  <c r="N309" i="8"/>
  <c r="AT70" i="8" s="1"/>
  <c r="N357" i="8"/>
  <c r="AM21" i="8" s="1"/>
  <c r="N324" i="8"/>
  <c r="AN86" i="8" s="1"/>
  <c r="N332" i="8"/>
  <c r="N371" i="8"/>
  <c r="K87" i="4"/>
  <c r="K88" i="4"/>
  <c r="N336" i="8"/>
  <c r="AQ34" i="8" s="1"/>
  <c r="N337" i="8"/>
  <c r="AP81" i="8" s="1"/>
  <c r="N315" i="8"/>
  <c r="AN85" i="8" s="1"/>
  <c r="N317" i="8"/>
  <c r="AO85" i="8" s="1"/>
  <c r="N313" i="8"/>
  <c r="AM85" i="8" s="1"/>
  <c r="N321" i="8"/>
  <c r="AM86" i="8" s="1"/>
  <c r="N179" i="8"/>
  <c r="AQ70" i="8" s="1"/>
  <c r="N185" i="8"/>
  <c r="AO73" i="8" s="1"/>
  <c r="N275" i="8"/>
  <c r="AO39" i="8" s="1"/>
  <c r="N301" i="8"/>
  <c r="N164" i="8"/>
  <c r="AQ62" i="8" s="1"/>
  <c r="N206" i="8"/>
  <c r="AT44" i="8" s="1"/>
  <c r="N287" i="8"/>
  <c r="AP84" i="8" s="1"/>
  <c r="N291" i="8"/>
  <c r="AN46" i="8" s="1"/>
  <c r="N213" i="8"/>
  <c r="AT14" i="8" s="1"/>
  <c r="N298" i="8"/>
  <c r="N278" i="8"/>
  <c r="N211" i="8"/>
  <c r="AR70" i="8" s="1"/>
  <c r="N167" i="8"/>
  <c r="AO79" i="8" s="1"/>
  <c r="N155" i="8"/>
  <c r="AS60" i="8" s="1"/>
  <c r="N192" i="8"/>
  <c r="AR35" i="8" s="1"/>
  <c r="N304" i="8"/>
  <c r="N294" i="8"/>
  <c r="AT42" i="8" s="1"/>
  <c r="N280" i="8"/>
  <c r="AN12" i="8" s="1"/>
  <c r="N273" i="8"/>
  <c r="AN39" i="8" s="1"/>
  <c r="N188" i="8"/>
  <c r="AS44" i="8" s="1"/>
  <c r="N176" i="8"/>
  <c r="AQ15" i="8" s="1"/>
  <c r="N161" i="8"/>
  <c r="AO80" i="8" s="1"/>
  <c r="N265" i="8"/>
  <c r="AP55" i="8" s="1"/>
  <c r="N283" i="8"/>
  <c r="AT63" i="8" s="1"/>
  <c r="M86" i="4"/>
  <c r="N208" i="8"/>
  <c r="AM38" i="8" s="1"/>
  <c r="N204" i="8"/>
  <c r="N173" i="8"/>
  <c r="AO55" i="8" s="1"/>
  <c r="N200" i="8"/>
  <c r="AP64" i="8" s="1"/>
  <c r="N196" i="8"/>
  <c r="AS65" i="8" s="1"/>
  <c r="N262" i="8"/>
  <c r="AN32" i="8" s="1"/>
  <c r="N307" i="8"/>
  <c r="N269" i="8"/>
  <c r="N228" i="8"/>
  <c r="AO20" i="8" s="1"/>
  <c r="N242" i="8"/>
  <c r="AS63" i="8" s="1"/>
  <c r="N251" i="8"/>
  <c r="AR72" i="8" s="1"/>
  <c r="N246" i="8"/>
  <c r="AN83" i="8" s="1"/>
  <c r="N258" i="8"/>
  <c r="AP73" i="8" s="1"/>
  <c r="N255" i="8"/>
  <c r="AO84" i="8" s="1"/>
  <c r="N220" i="8"/>
  <c r="N249" i="8"/>
  <c r="AQ9" i="8" s="1"/>
  <c r="N222" i="8"/>
  <c r="AM20" i="8" s="1"/>
  <c r="N218" i="8"/>
  <c r="AR36" i="8" s="1"/>
  <c r="N231" i="8"/>
  <c r="AM82" i="8" s="1"/>
  <c r="N225" i="8"/>
  <c r="AN20" i="8" s="1"/>
  <c r="N253" i="8"/>
  <c r="AR9" i="8" s="1"/>
  <c r="N234" i="8"/>
  <c r="AS42" i="8" s="1"/>
  <c r="N238" i="8"/>
  <c r="AR25" i="8" s="1"/>
  <c r="K82" i="4"/>
  <c r="K81" i="4"/>
  <c r="N143" i="8"/>
  <c r="AO36" i="8" s="1"/>
  <c r="N136" i="8"/>
  <c r="AO40" i="8" s="1"/>
  <c r="AX40" i="8" s="1"/>
  <c r="M63" i="4"/>
  <c r="M50" i="4"/>
  <c r="L31" i="4"/>
  <c r="L21" i="4"/>
  <c r="L70" i="4"/>
  <c r="L10" i="4"/>
  <c r="N25" i="4"/>
  <c r="L40" i="4"/>
  <c r="N21" i="4"/>
  <c r="L13" i="4"/>
  <c r="M58" i="4"/>
  <c r="L51" i="4"/>
  <c r="N75" i="4"/>
  <c r="M20" i="4"/>
  <c r="L32" i="4"/>
  <c r="N24" i="4"/>
  <c r="L17" i="4"/>
  <c r="N66" i="4"/>
  <c r="BJ9" i="8"/>
  <c r="L9" i="4" s="1"/>
  <c r="N76" i="4"/>
  <c r="M61" i="4"/>
  <c r="N47" i="4"/>
  <c r="M16" i="4"/>
  <c r="N11" i="4"/>
  <c r="N72" i="4"/>
  <c r="L11" i="4"/>
  <c r="M79" i="4"/>
  <c r="L41" i="4"/>
  <c r="N49" i="4"/>
  <c r="N73" i="4"/>
  <c r="N46" i="4"/>
  <c r="M45" i="4"/>
  <c r="L47" i="4"/>
  <c r="L39" i="4"/>
  <c r="M76" i="4"/>
  <c r="N51" i="4"/>
  <c r="N41" i="4"/>
  <c r="M49" i="4"/>
  <c r="M34" i="4"/>
  <c r="L65" i="4"/>
  <c r="M10" i="4"/>
  <c r="M12" i="4"/>
  <c r="N22" i="4"/>
  <c r="M60" i="4"/>
  <c r="M27" i="4"/>
  <c r="M71" i="4"/>
  <c r="M35" i="4"/>
  <c r="L58" i="4"/>
  <c r="M51" i="4"/>
  <c r="N65" i="4"/>
  <c r="L64" i="4"/>
  <c r="M23" i="4"/>
  <c r="L61" i="4"/>
  <c r="L54" i="4"/>
  <c r="L19" i="4"/>
  <c r="M24" i="4"/>
  <c r="L15" i="4"/>
  <c r="N53" i="4"/>
  <c r="N55" i="4"/>
  <c r="N12" i="4"/>
  <c r="N18" i="4"/>
  <c r="N35" i="4"/>
  <c r="N38" i="4"/>
  <c r="N45" i="4"/>
  <c r="L52" i="4"/>
  <c r="N48" i="4"/>
  <c r="L27" i="4"/>
  <c r="M11" i="4"/>
  <c r="N40" i="4"/>
  <c r="N36" i="4"/>
  <c r="M75" i="4"/>
  <c r="L75" i="4"/>
  <c r="M41" i="4"/>
  <c r="M31" i="4"/>
  <c r="M64" i="4"/>
  <c r="M67" i="4"/>
  <c r="L71" i="4"/>
  <c r="L68" i="4"/>
  <c r="N39" i="4"/>
  <c r="N69" i="4"/>
  <c r="N60" i="4"/>
  <c r="M47" i="4"/>
  <c r="L33" i="4"/>
  <c r="M66" i="4"/>
  <c r="N71" i="4"/>
  <c r="N57" i="4"/>
  <c r="N34" i="4"/>
  <c r="M74" i="4"/>
  <c r="N59" i="4"/>
  <c r="N26" i="4"/>
  <c r="L62" i="4"/>
  <c r="N17" i="4"/>
  <c r="M53" i="4"/>
  <c r="M26" i="4"/>
  <c r="L24" i="4"/>
  <c r="N15" i="4"/>
  <c r="L73" i="4"/>
  <c r="M38" i="4"/>
  <c r="M29" i="4"/>
  <c r="M68" i="4"/>
  <c r="L29" i="4"/>
  <c r="L69" i="4"/>
  <c r="L55" i="4"/>
  <c r="M22" i="4"/>
  <c r="L36" i="4"/>
  <c r="L72" i="4"/>
  <c r="L79" i="4"/>
  <c r="L44" i="4"/>
  <c r="L77" i="4"/>
  <c r="N19" i="4"/>
  <c r="N13" i="4"/>
  <c r="L60" i="4"/>
  <c r="M40" i="4"/>
  <c r="L57" i="4"/>
  <c r="N67" i="4"/>
  <c r="M19" i="4"/>
  <c r="N43" i="4"/>
  <c r="M65" i="4"/>
  <c r="N78" i="4"/>
  <c r="M37" i="4"/>
  <c r="N52" i="4"/>
  <c r="M32" i="4"/>
  <c r="L20" i="4"/>
  <c r="L78" i="4"/>
  <c r="L38" i="4"/>
  <c r="L66" i="4"/>
  <c r="N20" i="4"/>
  <c r="L53" i="4"/>
  <c r="N58" i="4"/>
  <c r="N27" i="4"/>
  <c r="M30" i="4"/>
  <c r="L42" i="4"/>
  <c r="L35" i="4"/>
  <c r="L67" i="4"/>
  <c r="L63" i="4"/>
  <c r="N10" i="4"/>
  <c r="L46" i="4"/>
  <c r="BK9" i="8"/>
  <c r="M9" i="4" s="1"/>
  <c r="N56" i="4"/>
  <c r="M70" i="4"/>
  <c r="L23" i="4"/>
  <c r="M72" i="4"/>
  <c r="L50" i="4"/>
  <c r="L16" i="4"/>
  <c r="M52" i="4"/>
  <c r="N42" i="4"/>
  <c r="M18" i="4"/>
  <c r="M54" i="4"/>
  <c r="M15" i="4"/>
  <c r="M69" i="4"/>
  <c r="N23" i="4"/>
  <c r="L22" i="4"/>
  <c r="M77" i="4"/>
  <c r="L18" i="4"/>
  <c r="L43" i="4"/>
  <c r="N37" i="4"/>
  <c r="L76" i="4"/>
  <c r="N33" i="4"/>
  <c r="L14" i="4"/>
  <c r="M25" i="4"/>
  <c r="M13" i="4"/>
  <c r="N54" i="4"/>
  <c r="N63" i="4"/>
  <c r="L37" i="4"/>
  <c r="M73" i="4"/>
  <c r="M28" i="4"/>
  <c r="M78" i="4"/>
  <c r="N28" i="4"/>
  <c r="M17" i="4"/>
  <c r="L56" i="4"/>
  <c r="M21" i="4"/>
  <c r="N64" i="4"/>
  <c r="N77" i="4"/>
  <c r="BI9" i="8"/>
  <c r="M59" i="4"/>
  <c r="L45" i="4"/>
  <c r="N70" i="4"/>
  <c r="M42" i="4"/>
  <c r="N74" i="4"/>
  <c r="M36" i="4"/>
  <c r="M33" i="4"/>
  <c r="N68" i="4"/>
  <c r="M56" i="4"/>
  <c r="M14" i="4"/>
  <c r="M46" i="4"/>
  <c r="M55" i="4"/>
  <c r="N61" i="4"/>
  <c r="BL9" i="8"/>
  <c r="N9" i="4" s="1"/>
  <c r="L49" i="4"/>
  <c r="N44" i="4"/>
  <c r="L28" i="4"/>
  <c r="L30" i="4"/>
  <c r="N50" i="4"/>
  <c r="N14" i="4"/>
  <c r="N30" i="4"/>
  <c r="N79" i="4"/>
  <c r="M57" i="4"/>
  <c r="L26" i="4"/>
  <c r="N16" i="4"/>
  <c r="L34" i="4"/>
  <c r="M39" i="4"/>
  <c r="L12" i="4"/>
  <c r="M43" i="4"/>
  <c r="L74" i="4"/>
  <c r="N29" i="4"/>
  <c r="N32" i="4"/>
  <c r="L59" i="4"/>
  <c r="L48" i="4"/>
  <c r="M48" i="4"/>
  <c r="L25" i="4"/>
  <c r="M44" i="4"/>
  <c r="N31" i="4"/>
  <c r="K114" i="8"/>
  <c r="K106" i="8"/>
  <c r="K110" i="8"/>
  <c r="BP148" i="8" l="1"/>
  <c r="AP104" i="8"/>
  <c r="AM105" i="8"/>
  <c r="BP62" i="8"/>
  <c r="BQ62" i="8" s="1"/>
  <c r="BS62" i="8" s="1"/>
  <c r="BP47" i="8"/>
  <c r="BQ47" i="8" s="1"/>
  <c r="BP106" i="8"/>
  <c r="BP11" i="8"/>
  <c r="BP110" i="8"/>
  <c r="BQ110" i="8" s="1"/>
  <c r="BS42" i="8"/>
  <c r="BS12" i="8"/>
  <c r="BT12" i="8" s="1"/>
  <c r="BU12" i="8" s="1"/>
  <c r="P87" i="4"/>
  <c r="BP100" i="8"/>
  <c r="BQ100" i="8" s="1"/>
  <c r="BP32" i="8"/>
  <c r="BS95" i="8"/>
  <c r="BT95" i="8" s="1"/>
  <c r="BU95" i="8" s="1"/>
  <c r="BS88" i="8"/>
  <c r="BT88" i="8" s="1"/>
  <c r="BU88" i="8" s="1"/>
  <c r="BV88" i="8" s="1"/>
  <c r="BQ87" i="8"/>
  <c r="BS87" i="8" s="1"/>
  <c r="BT87" i="8" s="1"/>
  <c r="BU87" i="8" s="1"/>
  <c r="BP78" i="8"/>
  <c r="BQ78" i="8" s="1"/>
  <c r="BS156" i="8"/>
  <c r="BT156" i="8" s="1"/>
  <c r="BQ118" i="8"/>
  <c r="BS118" i="8" s="1"/>
  <c r="BT113" i="8"/>
  <c r="BU113" i="8" s="1"/>
  <c r="BS54" i="8"/>
  <c r="BP164" i="8"/>
  <c r="BQ164" i="8" s="1"/>
  <c r="BS164" i="8" s="1"/>
  <c r="P90" i="4"/>
  <c r="Q82" i="4"/>
  <c r="BP90" i="8"/>
  <c r="BQ90" i="8" s="1"/>
  <c r="BS90" i="8" s="1"/>
  <c r="BT90" i="8" s="1"/>
  <c r="P88" i="4"/>
  <c r="BQ167" i="8"/>
  <c r="BS167" i="8" s="1"/>
  <c r="BT167" i="8" s="1"/>
  <c r="BU167" i="8" s="1"/>
  <c r="BV167" i="8" s="1"/>
  <c r="BX167" i="8" s="1"/>
  <c r="BY167" i="8" s="1"/>
  <c r="BZ167" i="8" s="1"/>
  <c r="CA167" i="8" s="1"/>
  <c r="CC167" i="8" s="1"/>
  <c r="CD167" i="8" s="1"/>
  <c r="CE167" i="8" s="1"/>
  <c r="CF167" i="8" s="1"/>
  <c r="CH167" i="8" s="1"/>
  <c r="BP174" i="8"/>
  <c r="BQ174" i="8" s="1"/>
  <c r="BS174" i="8" s="1"/>
  <c r="BT174" i="8" s="1"/>
  <c r="BP173" i="8"/>
  <c r="BQ173" i="8" s="1"/>
  <c r="BS173" i="8" s="1"/>
  <c r="BP35" i="8"/>
  <c r="BP75" i="8"/>
  <c r="BQ75" i="8" s="1"/>
  <c r="BS79" i="8"/>
  <c r="BT79" i="8" s="1"/>
  <c r="BS124" i="8"/>
  <c r="BT124" i="8" s="1"/>
  <c r="BU124" i="8" s="1"/>
  <c r="BT151" i="8"/>
  <c r="BU151" i="8" s="1"/>
  <c r="BP107" i="8"/>
  <c r="BQ107" i="8" s="1"/>
  <c r="BS107" i="8" s="1"/>
  <c r="BT107" i="8" s="1"/>
  <c r="BQ145" i="8"/>
  <c r="BS145" i="8" s="1"/>
  <c r="BT145" i="8" s="1"/>
  <c r="BU145" i="8" s="1"/>
  <c r="BV145" i="8" s="1"/>
  <c r="BP141" i="8"/>
  <c r="BQ141" i="8" s="1"/>
  <c r="BU159" i="8"/>
  <c r="BV159" i="8" s="1"/>
  <c r="BX159" i="8" s="1"/>
  <c r="BO76" i="8"/>
  <c r="BP76" i="8" s="1"/>
  <c r="AS98" i="8"/>
  <c r="AT98" i="8"/>
  <c r="BC98" i="8" s="1"/>
  <c r="BS15" i="8"/>
  <c r="BT15" i="8" s="1"/>
  <c r="BU15" i="8" s="1"/>
  <c r="BQ129" i="8"/>
  <c r="BS129" i="8" s="1"/>
  <c r="BS47" i="8"/>
  <c r="BT47" i="8" s="1"/>
  <c r="BQ13" i="8"/>
  <c r="BS13" i="8" s="1"/>
  <c r="BT13" i="8" s="1"/>
  <c r="BU13" i="8" s="1"/>
  <c r="BV13" i="8" s="1"/>
  <c r="CC125" i="8"/>
  <c r="CD125" i="8" s="1"/>
  <c r="BP137" i="8"/>
  <c r="BQ137" i="8" s="1"/>
  <c r="BQ53" i="8"/>
  <c r="BS53" i="8" s="1"/>
  <c r="BO19" i="8"/>
  <c r="BP19" i="8" s="1"/>
  <c r="BQ161" i="8"/>
  <c r="BS161" i="8" s="1"/>
  <c r="BP61" i="8"/>
  <c r="BQ61" i="8" s="1"/>
  <c r="BS61" i="8" s="1"/>
  <c r="BO99" i="8"/>
  <c r="BP126" i="8"/>
  <c r="BQ126" i="8" s="1"/>
  <c r="BP157" i="8"/>
  <c r="BQ157" i="8" s="1"/>
  <c r="BO160" i="8"/>
  <c r="BP160" i="8" s="1"/>
  <c r="BT82" i="8"/>
  <c r="BU82" i="8" s="1"/>
  <c r="BV82" i="8" s="1"/>
  <c r="BX82" i="8" s="1"/>
  <c r="BY82" i="8" s="1"/>
  <c r="BZ82" i="8" s="1"/>
  <c r="CA82" i="8" s="1"/>
  <c r="CC82" i="8" s="1"/>
  <c r="CD82" i="8" s="1"/>
  <c r="CE82" i="8" s="1"/>
  <c r="CF82" i="8" s="1"/>
  <c r="CH82" i="8" s="1"/>
  <c r="AY73" i="8"/>
  <c r="AX80" i="8"/>
  <c r="BC44" i="8"/>
  <c r="AW91" i="8"/>
  <c r="BT62" i="8"/>
  <c r="BU62" i="8" s="1"/>
  <c r="AZ26" i="8"/>
  <c r="BP25" i="8"/>
  <c r="BQ37" i="8"/>
  <c r="BS37" i="8" s="1"/>
  <c r="BT37" i="8" s="1"/>
  <c r="BU37" i="8" s="1"/>
  <c r="BO105" i="8"/>
  <c r="BP105" i="8" s="1"/>
  <c r="BQ104" i="8"/>
  <c r="BS104" i="8" s="1"/>
  <c r="BP68" i="8"/>
  <c r="BQ68" i="8" s="1"/>
  <c r="BS68" i="8" s="1"/>
  <c r="BT68" i="8" s="1"/>
  <c r="BP109" i="8"/>
  <c r="BS67" i="8"/>
  <c r="BQ114" i="8"/>
  <c r="BQ57" i="8"/>
  <c r="BS57" i="8" s="1"/>
  <c r="BS144" i="8"/>
  <c r="AY42" i="8"/>
  <c r="AV17" i="8"/>
  <c r="AY26" i="8"/>
  <c r="AY44" i="8"/>
  <c r="AY65" i="8"/>
  <c r="AX63" i="8"/>
  <c r="AX17" i="8"/>
  <c r="AY14" i="8"/>
  <c r="AY60" i="8"/>
  <c r="AY62" i="8"/>
  <c r="AY48" i="8"/>
  <c r="AW17" i="8"/>
  <c r="BU172" i="8"/>
  <c r="BV172" i="8" s="1"/>
  <c r="BQ130" i="8"/>
  <c r="BS123" i="8"/>
  <c r="BT123" i="8" s="1"/>
  <c r="BU123" i="8" s="1"/>
  <c r="BV123" i="8" s="1"/>
  <c r="BQ168" i="8"/>
  <c r="BS168" i="8" s="1"/>
  <c r="BQ153" i="8"/>
  <c r="BT170" i="8"/>
  <c r="BU170" i="8" s="1"/>
  <c r="BV170" i="8" s="1"/>
  <c r="BX170" i="8" s="1"/>
  <c r="BY170" i="8" s="1"/>
  <c r="BZ170" i="8" s="1"/>
  <c r="CA170" i="8" s="1"/>
  <c r="CC170" i="8" s="1"/>
  <c r="CD170" i="8" s="1"/>
  <c r="CE170" i="8" s="1"/>
  <c r="CF170" i="8" s="1"/>
  <c r="CH170" i="8" s="1"/>
  <c r="BQ133" i="8"/>
  <c r="BP10" i="8"/>
  <c r="BQ10" i="8" s="1"/>
  <c r="BS10" i="8" s="1"/>
  <c r="AY32" i="8"/>
  <c r="AX89" i="8"/>
  <c r="BV162" i="8"/>
  <c r="BX162" i="8" s="1"/>
  <c r="BY162" i="8" s="1"/>
  <c r="BP127" i="8"/>
  <c r="AZ36" i="8"/>
  <c r="BA63" i="8"/>
  <c r="AZ81" i="8"/>
  <c r="BA13" i="8"/>
  <c r="BO21" i="8"/>
  <c r="AX30" i="8"/>
  <c r="AY83" i="8"/>
  <c r="BO154" i="8"/>
  <c r="AW21" i="8"/>
  <c r="BO81" i="8"/>
  <c r="BC49" i="8"/>
  <c r="BP39" i="8"/>
  <c r="AW84" i="8"/>
  <c r="BB35" i="8"/>
  <c r="AX38" i="8"/>
  <c r="BB20" i="8"/>
  <c r="AW83" i="8"/>
  <c r="AV89" i="8"/>
  <c r="BQ32" i="8"/>
  <c r="AX36" i="8"/>
  <c r="BB44" i="8"/>
  <c r="BO38" i="8"/>
  <c r="BS71" i="8"/>
  <c r="AY85" i="8"/>
  <c r="BO16" i="8"/>
  <c r="AX57" i="8"/>
  <c r="BC48" i="8"/>
  <c r="AW38" i="8"/>
  <c r="BA20" i="8"/>
  <c r="AW73" i="8"/>
  <c r="BA40" i="8"/>
  <c r="AZ63" i="8"/>
  <c r="AZ65" i="8"/>
  <c r="BC60" i="8"/>
  <c r="AZ14" i="8"/>
  <c r="AZ24" i="8"/>
  <c r="BB25" i="8"/>
  <c r="BO131" i="8"/>
  <c r="AX31" i="8"/>
  <c r="BO152" i="8"/>
  <c r="AZ15" i="8"/>
  <c r="BA72" i="8"/>
  <c r="AY87" i="8"/>
  <c r="BB63" i="8"/>
  <c r="AW39" i="8"/>
  <c r="AX39" i="8"/>
  <c r="BO49" i="8"/>
  <c r="BP65" i="8"/>
  <c r="BQ65" i="8" s="1"/>
  <c r="BS65" i="8" s="1"/>
  <c r="BS100" i="8"/>
  <c r="BT100" i="8" s="1"/>
  <c r="BQ169" i="8"/>
  <c r="AZ20" i="8"/>
  <c r="BP93" i="8"/>
  <c r="AZ79" i="8"/>
  <c r="AZ23" i="8"/>
  <c r="AW34" i="8"/>
  <c r="AZ35" i="8"/>
  <c r="AX56" i="8"/>
  <c r="AW81" i="8"/>
  <c r="BQ46" i="8"/>
  <c r="AX82" i="8"/>
  <c r="AW69" i="8"/>
  <c r="BV111" i="8"/>
  <c r="AW31" i="8"/>
  <c r="BO20" i="8"/>
  <c r="BP20" i="8" s="1"/>
  <c r="BQ20" i="8" s="1"/>
  <c r="BB40" i="8"/>
  <c r="BO18" i="8"/>
  <c r="AX20" i="8"/>
  <c r="AX73" i="8"/>
  <c r="AX21" i="8"/>
  <c r="BO101" i="8"/>
  <c r="AZ11" i="8"/>
  <c r="BA24" i="8"/>
  <c r="BA17" i="8"/>
  <c r="BC24" i="8"/>
  <c r="BV113" i="8"/>
  <c r="AX81" i="8"/>
  <c r="BA26" i="8"/>
  <c r="BQ147" i="8"/>
  <c r="BS147" i="8" s="1"/>
  <c r="BA14" i="8"/>
  <c r="AV73" i="8"/>
  <c r="BO34" i="8"/>
  <c r="BQ108" i="8"/>
  <c r="AZ17" i="8"/>
  <c r="BQ150" i="8"/>
  <c r="BS150" i="8" s="1"/>
  <c r="AZ64" i="8"/>
  <c r="BO52" i="8"/>
  <c r="BP52" i="8" s="1"/>
  <c r="BQ52" i="8" s="1"/>
  <c r="BS52" i="8" s="1"/>
  <c r="BT52" i="8" s="1"/>
  <c r="AZ62" i="8"/>
  <c r="AW12" i="8"/>
  <c r="AW86" i="8"/>
  <c r="AW22" i="8"/>
  <c r="BA23" i="8"/>
  <c r="BC42" i="8"/>
  <c r="AZ70" i="8"/>
  <c r="AV21" i="8"/>
  <c r="AX88" i="8"/>
  <c r="AX22" i="8"/>
  <c r="BO63" i="8"/>
  <c r="BP23" i="8"/>
  <c r="BQ23" i="8" s="1"/>
  <c r="AY17" i="8"/>
  <c r="BA81" i="8"/>
  <c r="BP60" i="8"/>
  <c r="BQ60" i="8" s="1"/>
  <c r="AW67" i="8"/>
  <c r="BS115" i="8"/>
  <c r="BT115" i="8" s="1"/>
  <c r="BU115" i="8" s="1"/>
  <c r="AW82" i="8"/>
  <c r="BA48" i="8"/>
  <c r="BO56" i="8"/>
  <c r="BP56" i="8" s="1"/>
  <c r="BQ73" i="8"/>
  <c r="BA42" i="8"/>
  <c r="BC26" i="8"/>
  <c r="AX69" i="8"/>
  <c r="BA28" i="8"/>
  <c r="AX46" i="8"/>
  <c r="AV46" i="8"/>
  <c r="AZ42" i="8"/>
  <c r="BO85" i="8"/>
  <c r="AY36" i="8"/>
  <c r="BS140" i="8"/>
  <c r="BT140" i="8" s="1"/>
  <c r="BU140" i="8" s="1"/>
  <c r="BS43" i="8"/>
  <c r="BO94" i="8"/>
  <c r="BP94" i="8" s="1"/>
  <c r="BQ94" i="8" s="1"/>
  <c r="BS94" i="8" s="1"/>
  <c r="BT94" i="8" s="1"/>
  <c r="BB14" i="8"/>
  <c r="BB13" i="8"/>
  <c r="AX86" i="8"/>
  <c r="BP31" i="8"/>
  <c r="BQ31" i="8" s="1"/>
  <c r="AY71" i="8"/>
  <c r="BO66" i="8"/>
  <c r="BO97" i="8"/>
  <c r="BA62" i="8"/>
  <c r="BP163" i="8"/>
  <c r="AW32" i="8"/>
  <c r="BO155" i="8"/>
  <c r="AZ72" i="8"/>
  <c r="AV30" i="8"/>
  <c r="AV31" i="8"/>
  <c r="AZ25" i="8"/>
  <c r="BQ148" i="8"/>
  <c r="BS148" i="8" s="1"/>
  <c r="BO33" i="8"/>
  <c r="AZ32" i="8"/>
  <c r="BQ117" i="8"/>
  <c r="BS117" i="8" s="1"/>
  <c r="AV67" i="8"/>
  <c r="BU47" i="8"/>
  <c r="AX13" i="8"/>
  <c r="BO143" i="8"/>
  <c r="BP143" i="8" s="1"/>
  <c r="BQ143" i="8" s="1"/>
  <c r="BS143" i="8" s="1"/>
  <c r="AX12" i="8"/>
  <c r="BB42" i="8"/>
  <c r="BA35" i="8"/>
  <c r="AV86" i="8"/>
  <c r="AV90" i="8"/>
  <c r="BB65" i="8"/>
  <c r="BB60" i="8"/>
  <c r="AV85" i="8"/>
  <c r="AY34" i="8"/>
  <c r="BU122" i="8"/>
  <c r="BV122" i="8" s="1"/>
  <c r="BP59" i="8"/>
  <c r="BQ59" i="8" s="1"/>
  <c r="BO84" i="8"/>
  <c r="BA49" i="8"/>
  <c r="AX32" i="8"/>
  <c r="BQ25" i="8"/>
  <c r="BS25" i="8" s="1"/>
  <c r="BT25" i="8" s="1"/>
  <c r="BU25" i="8" s="1"/>
  <c r="AW89" i="8"/>
  <c r="BV12" i="8"/>
  <c r="BX12" i="8" s="1"/>
  <c r="BY12" i="8" s="1"/>
  <c r="BO165" i="8"/>
  <c r="AV81" i="8"/>
  <c r="AV32" i="8"/>
  <c r="BS134" i="8"/>
  <c r="BT134" i="8" s="1"/>
  <c r="BT149" i="8"/>
  <c r="BU149" i="8" s="1"/>
  <c r="BV149" i="8" s="1"/>
  <c r="BX149" i="8" s="1"/>
  <c r="BY149" i="8" s="1"/>
  <c r="BZ149" i="8" s="1"/>
  <c r="CA149" i="8" s="1"/>
  <c r="CC149" i="8" s="1"/>
  <c r="CD149" i="8" s="1"/>
  <c r="CE149" i="8" s="1"/>
  <c r="CF149" i="8" s="1"/>
  <c r="CH149" i="8" s="1"/>
  <c r="CI149" i="8" s="1"/>
  <c r="CJ149" i="8" s="1"/>
  <c r="CK149" i="8" s="1"/>
  <c r="CM149" i="8" s="1"/>
  <c r="BO103" i="8"/>
  <c r="BU86" i="8"/>
  <c r="BV86" i="8" s="1"/>
  <c r="BX86" i="8" s="1"/>
  <c r="BY86" i="8" s="1"/>
  <c r="BZ86" i="8" s="1"/>
  <c r="CA86" i="8" s="1"/>
  <c r="CC86" i="8" s="1"/>
  <c r="CD86" i="8" s="1"/>
  <c r="CE86" i="8" s="1"/>
  <c r="CF86" i="8" s="1"/>
  <c r="CH86" i="8" s="1"/>
  <c r="BO102" i="8"/>
  <c r="AV83" i="8"/>
  <c r="BP30" i="8"/>
  <c r="AY64" i="8"/>
  <c r="BA79" i="8"/>
  <c r="BB48" i="8"/>
  <c r="AV12" i="8"/>
  <c r="BO138" i="8"/>
  <c r="AW30" i="8"/>
  <c r="BB70" i="8"/>
  <c r="BO89" i="8"/>
  <c r="BC65" i="8"/>
  <c r="BP116" i="8"/>
  <c r="BQ116" i="8" s="1"/>
  <c r="BA25" i="8"/>
  <c r="AV82" i="8"/>
  <c r="AX55" i="8"/>
  <c r="BA70" i="8"/>
  <c r="AW85" i="8"/>
  <c r="BA34" i="8"/>
  <c r="AV88" i="8"/>
  <c r="AW90" i="8"/>
  <c r="AY11" i="8"/>
  <c r="BB72" i="8"/>
  <c r="AW88" i="8"/>
  <c r="AZ83" i="8"/>
  <c r="AW80" i="8"/>
  <c r="BS83" i="8"/>
  <c r="BT83" i="8" s="1"/>
  <c r="BU83" i="8" s="1"/>
  <c r="BP17" i="8"/>
  <c r="BQ17" i="8" s="1"/>
  <c r="BO96" i="8"/>
  <c r="BV128" i="8"/>
  <c r="BX128" i="8" s="1"/>
  <c r="BY128" i="8" s="1"/>
  <c r="BP142" i="8"/>
  <c r="BQ142" i="8" s="1"/>
  <c r="BV112" i="8"/>
  <c r="BX112" i="8" s="1"/>
  <c r="AX87" i="8"/>
  <c r="BC70" i="8"/>
  <c r="AW20" i="8"/>
  <c r="AX85" i="8"/>
  <c r="AW87" i="8"/>
  <c r="AZ73" i="8"/>
  <c r="BO136" i="8"/>
  <c r="AV34" i="8"/>
  <c r="AY13" i="8"/>
  <c r="BB26" i="8"/>
  <c r="BP36" i="8"/>
  <c r="BQ36" i="8" s="1"/>
  <c r="BS36" i="8" s="1"/>
  <c r="BO120" i="8"/>
  <c r="BP120" i="8" s="1"/>
  <c r="BA15" i="8"/>
  <c r="AY68" i="8"/>
  <c r="AV20" i="8"/>
  <c r="AV22" i="8"/>
  <c r="AY40" i="8"/>
  <c r="AY38" i="8"/>
  <c r="BB28" i="8"/>
  <c r="BO146" i="8"/>
  <c r="BP146" i="8" s="1"/>
  <c r="BQ146" i="8" s="1"/>
  <c r="BS146" i="8" s="1"/>
  <c r="BT146" i="8" s="1"/>
  <c r="AZ13" i="8"/>
  <c r="AV39" i="8"/>
  <c r="AV56" i="8"/>
  <c r="BO119" i="8"/>
  <c r="AX34" i="8"/>
  <c r="BB49" i="8"/>
  <c r="AZ28" i="8"/>
  <c r="BQ29" i="8"/>
  <c r="BT45" i="8"/>
  <c r="BO121" i="8"/>
  <c r="BP121" i="8" s="1"/>
  <c r="BQ121" i="8" s="1"/>
  <c r="AV38" i="8"/>
  <c r="AZ34" i="8"/>
  <c r="BS64" i="8"/>
  <c r="BT64" i="8" s="1"/>
  <c r="BO28" i="8"/>
  <c r="BP28" i="8" s="1"/>
  <c r="BQ28" i="8" s="1"/>
  <c r="BC14" i="8"/>
  <c r="BB23" i="8"/>
  <c r="BC13" i="8"/>
  <c r="BO91" i="8"/>
  <c r="BU132" i="8"/>
  <c r="BV132" i="8" s="1"/>
  <c r="AZ44" i="8"/>
  <c r="BB62" i="8"/>
  <c r="BA44" i="8"/>
  <c r="BP98" i="8"/>
  <c r="BQ98" i="8" s="1"/>
  <c r="BS98" i="8" s="1"/>
  <c r="BT98" i="8" s="1"/>
  <c r="BU98" i="8" s="1"/>
  <c r="BV98" i="8" s="1"/>
  <c r="BX98" i="8" s="1"/>
  <c r="BY98" i="8" s="1"/>
  <c r="BZ98" i="8" s="1"/>
  <c r="CA98" i="8" s="1"/>
  <c r="BS110" i="8"/>
  <c r="BT110" i="8" s="1"/>
  <c r="BU110" i="8" s="1"/>
  <c r="AV69" i="8"/>
  <c r="BA65" i="8"/>
  <c r="AY79" i="8"/>
  <c r="BC28" i="8"/>
  <c r="BQ171" i="8"/>
  <c r="BX88" i="8"/>
  <c r="AX67" i="8"/>
  <c r="BO80" i="8"/>
  <c r="BS135" i="8"/>
  <c r="BO58" i="8"/>
  <c r="AY20" i="8"/>
  <c r="AX83" i="8"/>
  <c r="AX79" i="8"/>
  <c r="AZ38" i="8"/>
  <c r="BA36" i="8"/>
  <c r="AY81" i="8"/>
  <c r="BC63" i="8"/>
  <c r="AW46" i="8"/>
  <c r="BQ77" i="8"/>
  <c r="BS77" i="8" s="1"/>
  <c r="BT77" i="8" s="1"/>
  <c r="BC15" i="8"/>
  <c r="BO48" i="8"/>
  <c r="BP48" i="8" s="1"/>
  <c r="BP44" i="8"/>
  <c r="BQ44" i="8" s="1"/>
  <c r="BS44" i="8" s="1"/>
  <c r="BT44" i="8" s="1"/>
  <c r="BP26" i="8"/>
  <c r="BQ26" i="8" s="1"/>
  <c r="BS26" i="8" s="1"/>
  <c r="BP50" i="8"/>
  <c r="BO27" i="8"/>
  <c r="BQ106" i="8"/>
  <c r="BO92" i="8"/>
  <c r="AZ71" i="8"/>
  <c r="BA60" i="8"/>
  <c r="AY88" i="8"/>
  <c r="AZ49" i="8"/>
  <c r="BO41" i="8"/>
  <c r="BP41" i="8" s="1"/>
  <c r="BQ41" i="8" s="1"/>
  <c r="AV55" i="8"/>
  <c r="BS158" i="8"/>
  <c r="BT158" i="8" s="1"/>
  <c r="BU158" i="8" s="1"/>
  <c r="AV87" i="8"/>
  <c r="AV91" i="8"/>
  <c r="AW56" i="8"/>
  <c r="BB17" i="8"/>
  <c r="BO24" i="8"/>
  <c r="AX84" i="8"/>
  <c r="AY55" i="8"/>
  <c r="AY84" i="8"/>
  <c r="AY69" i="8"/>
  <c r="BU174" i="8"/>
  <c r="AS97" i="8"/>
  <c r="BC62" i="8"/>
  <c r="BQ139" i="8"/>
  <c r="BB24" i="8"/>
  <c r="BP69" i="8"/>
  <c r="AV84" i="8"/>
  <c r="BC40" i="8"/>
  <c r="AW55" i="8"/>
  <c r="BB15" i="8"/>
  <c r="AV80" i="8"/>
  <c r="AZ40" i="8"/>
  <c r="BO166" i="8"/>
  <c r="BB79" i="8"/>
  <c r="AX90" i="8"/>
  <c r="AY91" i="8"/>
  <c r="BC79" i="8"/>
  <c r="AZ93" i="8"/>
  <c r="AV95" i="8"/>
  <c r="AZ92" i="8"/>
  <c r="BA92" i="8"/>
  <c r="BA22" i="8"/>
  <c r="BC156" i="8"/>
  <c r="AZ142" i="8"/>
  <c r="AW147" i="8"/>
  <c r="AY155" i="8"/>
  <c r="AZ27" i="8"/>
  <c r="AX134" i="8"/>
  <c r="AV159" i="8"/>
  <c r="BB12" i="8"/>
  <c r="BB171" i="8"/>
  <c r="BC57" i="8"/>
  <c r="AV47" i="8"/>
  <c r="AY159" i="8"/>
  <c r="AY100" i="8"/>
  <c r="BC21" i="8"/>
  <c r="BC43" i="8"/>
  <c r="AV156" i="8"/>
  <c r="BB127" i="8"/>
  <c r="BC25" i="8"/>
  <c r="BC116" i="8"/>
  <c r="BB130" i="8"/>
  <c r="BB68" i="8"/>
  <c r="AY142" i="8"/>
  <c r="BB110" i="8"/>
  <c r="AY144" i="8"/>
  <c r="BA12" i="8"/>
  <c r="BB153" i="8"/>
  <c r="BA76" i="8"/>
  <c r="BC153" i="8"/>
  <c r="BB76" i="8"/>
  <c r="AX108" i="8"/>
  <c r="AZ102" i="8"/>
  <c r="BC132" i="8"/>
  <c r="BA133" i="8"/>
  <c r="BB101" i="8"/>
  <c r="BC141" i="8"/>
  <c r="BB18" i="8"/>
  <c r="AY169" i="8"/>
  <c r="BA89" i="8"/>
  <c r="BC78" i="8"/>
  <c r="AW117" i="8"/>
  <c r="BC111" i="8"/>
  <c r="AY148" i="8"/>
  <c r="AX123" i="8"/>
  <c r="AV126" i="8"/>
  <c r="AV10" i="8"/>
  <c r="BB46" i="8"/>
  <c r="AY171" i="8"/>
  <c r="AZ52" i="8"/>
  <c r="AZ126" i="8"/>
  <c r="BB100" i="8"/>
  <c r="AY59" i="8"/>
  <c r="AW145" i="8"/>
  <c r="BC94" i="8"/>
  <c r="AV121" i="8"/>
  <c r="BB82" i="8"/>
  <c r="AW153" i="8"/>
  <c r="BC19" i="8"/>
  <c r="AZ84" i="8"/>
  <c r="AX95" i="8"/>
  <c r="BA93" i="8"/>
  <c r="AZ82" i="8"/>
  <c r="AX94" i="8"/>
  <c r="AW95" i="8"/>
  <c r="AZ46" i="8"/>
  <c r="AX97" i="8"/>
  <c r="BA105" i="8"/>
  <c r="AX50" i="8"/>
  <c r="AZ134" i="8"/>
  <c r="BA103" i="8"/>
  <c r="BB104" i="8"/>
  <c r="BB80" i="8"/>
  <c r="BA41" i="8"/>
  <c r="BB136" i="8"/>
  <c r="BA74" i="8"/>
  <c r="AV27" i="8"/>
  <c r="AY29" i="8"/>
  <c r="AY173" i="8"/>
  <c r="BB59" i="8"/>
  <c r="BC76" i="8"/>
  <c r="AW168" i="8"/>
  <c r="AZ124" i="8"/>
  <c r="BB98" i="8"/>
  <c r="AY150" i="8"/>
  <c r="AZ110" i="8"/>
  <c r="BC54" i="8"/>
  <c r="AZ68" i="8"/>
  <c r="AV134" i="8"/>
  <c r="BC122" i="8"/>
  <c r="AW116" i="8"/>
  <c r="BB58" i="8"/>
  <c r="BC53" i="8"/>
  <c r="AY76" i="8"/>
  <c r="AW159" i="8"/>
  <c r="BC113" i="8"/>
  <c r="BC50" i="8"/>
  <c r="AZ66" i="8"/>
  <c r="AW165" i="8"/>
  <c r="AV163" i="8"/>
  <c r="AX104" i="8"/>
  <c r="AV117" i="8"/>
  <c r="AZ29" i="8"/>
  <c r="BB107" i="8"/>
  <c r="BC92" i="8"/>
  <c r="BA39" i="8"/>
  <c r="AW128" i="8"/>
  <c r="AW120" i="8"/>
  <c r="BC52" i="8"/>
  <c r="AV138" i="8"/>
  <c r="BC100" i="8"/>
  <c r="AV114" i="8"/>
  <c r="AX149" i="8"/>
  <c r="AZ58" i="8"/>
  <c r="BC74" i="8"/>
  <c r="AW151" i="8"/>
  <c r="BA168" i="8"/>
  <c r="AX147" i="8"/>
  <c r="BA167" i="8"/>
  <c r="AW171" i="8"/>
  <c r="AY146" i="8"/>
  <c r="BA112" i="8"/>
  <c r="AW33" i="8"/>
  <c r="AX98" i="8"/>
  <c r="AZ87" i="8"/>
  <c r="AV93" i="8"/>
  <c r="BA73" i="8"/>
  <c r="AY46" i="8"/>
  <c r="AY67" i="8"/>
  <c r="AY45" i="8"/>
  <c r="BB125" i="8"/>
  <c r="AZ106" i="8"/>
  <c r="AX145" i="8"/>
  <c r="AW108" i="8"/>
  <c r="BB105" i="8"/>
  <c r="BB174" i="8"/>
  <c r="AV105" i="8"/>
  <c r="AW155" i="8"/>
  <c r="AV171" i="8"/>
  <c r="AZ99" i="8"/>
  <c r="AW16" i="8"/>
  <c r="BA129" i="8"/>
  <c r="AW104" i="8"/>
  <c r="AX115" i="8"/>
  <c r="BA10" i="8"/>
  <c r="AX170" i="8"/>
  <c r="AZ163" i="8"/>
  <c r="AV107" i="8"/>
  <c r="BC87" i="8"/>
  <c r="AV141" i="8"/>
  <c r="AY163" i="8"/>
  <c r="AY18" i="8"/>
  <c r="AY95" i="8"/>
  <c r="BA99" i="8"/>
  <c r="BA155" i="8"/>
  <c r="AW111" i="8"/>
  <c r="AW133" i="8"/>
  <c r="BA164" i="8"/>
  <c r="BA132" i="8"/>
  <c r="AW157" i="8"/>
  <c r="AZ149" i="8"/>
  <c r="AZ165" i="8"/>
  <c r="AX141" i="8"/>
  <c r="AZ147" i="8"/>
  <c r="BC109" i="8"/>
  <c r="AV116" i="8"/>
  <c r="AY57" i="8"/>
  <c r="BB161" i="8"/>
  <c r="AX144" i="8"/>
  <c r="AZ21" i="8"/>
  <c r="AZ135" i="8"/>
  <c r="BB139" i="8"/>
  <c r="AX151" i="8"/>
  <c r="BA21" i="8"/>
  <c r="BB87" i="8"/>
  <c r="BB132" i="8"/>
  <c r="AX121" i="8"/>
  <c r="AV123" i="8"/>
  <c r="AZ77" i="8"/>
  <c r="BB84" i="8"/>
  <c r="AW43" i="8"/>
  <c r="BA170" i="8"/>
  <c r="AY145" i="8"/>
  <c r="BC135" i="8"/>
  <c r="BA173" i="8"/>
  <c r="BA124" i="8"/>
  <c r="BB11" i="8"/>
  <c r="AW99" i="8"/>
  <c r="AZ122" i="8"/>
  <c r="BC47" i="8"/>
  <c r="AZ119" i="8"/>
  <c r="AZ78" i="8"/>
  <c r="BA109" i="8"/>
  <c r="AW112" i="8"/>
  <c r="AX122" i="8"/>
  <c r="AV160" i="8"/>
  <c r="AY127" i="8"/>
  <c r="BB10" i="8"/>
  <c r="AV143" i="8"/>
  <c r="AV75" i="8"/>
  <c r="BA136" i="8"/>
  <c r="AV106" i="8"/>
  <c r="BB75" i="8"/>
  <c r="AV170" i="8"/>
  <c r="AY43" i="8"/>
  <c r="AZ133" i="8"/>
  <c r="BC107" i="8"/>
  <c r="AX168" i="8"/>
  <c r="AV144" i="8"/>
  <c r="BC75" i="8"/>
  <c r="BB150" i="8"/>
  <c r="BB50" i="8"/>
  <c r="AY61" i="8"/>
  <c r="AZ18" i="8"/>
  <c r="BC86" i="8"/>
  <c r="BA97" i="8"/>
  <c r="BB137" i="8"/>
  <c r="AX113" i="8"/>
  <c r="AW135" i="8"/>
  <c r="BB115" i="8"/>
  <c r="AY106" i="8"/>
  <c r="AW166" i="8"/>
  <c r="AV146" i="8"/>
  <c r="BA172" i="8"/>
  <c r="AV43" i="8"/>
  <c r="BB162" i="8"/>
  <c r="AW107" i="8"/>
  <c r="BA78" i="8"/>
  <c r="BA114" i="8"/>
  <c r="AY168" i="8"/>
  <c r="BC12" i="8"/>
  <c r="AZ139" i="8"/>
  <c r="AV131" i="8"/>
  <c r="AW58" i="8"/>
  <c r="AZ146" i="8"/>
  <c r="BB164" i="8"/>
  <c r="AX155" i="8"/>
  <c r="BC16" i="8"/>
  <c r="BB111" i="8"/>
  <c r="AZ161" i="8"/>
  <c r="BB166" i="8"/>
  <c r="AZ112" i="8"/>
  <c r="AX114" i="8"/>
  <c r="AZ95" i="8"/>
  <c r="BB34" i="8"/>
  <c r="AX130" i="8"/>
  <c r="AZ90" i="8"/>
  <c r="BC17" i="8"/>
  <c r="AX93" i="8"/>
  <c r="BC152" i="8"/>
  <c r="AY121" i="8"/>
  <c r="AZ160" i="8"/>
  <c r="BC171" i="8"/>
  <c r="BB53" i="8"/>
  <c r="AX107" i="8"/>
  <c r="AZ109" i="8"/>
  <c r="BB149" i="8"/>
  <c r="AW144" i="8"/>
  <c r="AW158" i="8"/>
  <c r="BB83" i="8"/>
  <c r="BB131" i="8"/>
  <c r="AY162" i="8"/>
  <c r="BC69" i="8"/>
  <c r="AX137" i="8"/>
  <c r="AV76" i="8"/>
  <c r="AY149" i="8"/>
  <c r="BB140" i="8"/>
  <c r="BC59" i="8"/>
  <c r="AY135" i="8"/>
  <c r="BA85" i="8"/>
  <c r="AW119" i="8"/>
  <c r="AZ150" i="8"/>
  <c r="AZ104" i="8"/>
  <c r="BA143" i="8"/>
  <c r="BB123" i="8"/>
  <c r="AX162" i="8"/>
  <c r="BA148" i="8"/>
  <c r="BA45" i="8"/>
  <c r="BC106" i="8"/>
  <c r="AW10" i="8"/>
  <c r="AV140" i="8"/>
  <c r="AY80" i="8"/>
  <c r="BA161" i="8"/>
  <c r="AX18" i="8"/>
  <c r="AY138" i="8"/>
  <c r="BA135" i="8"/>
  <c r="BB163" i="8"/>
  <c r="AX52" i="8"/>
  <c r="AX159" i="8"/>
  <c r="AZ157" i="8"/>
  <c r="BC108" i="8"/>
  <c r="AY10" i="8"/>
  <c r="AY66" i="8"/>
  <c r="BC174" i="8"/>
  <c r="AY96" i="8"/>
  <c r="BB21" i="8"/>
  <c r="AW129" i="8"/>
  <c r="BC119" i="8"/>
  <c r="BB19" i="8"/>
  <c r="AX157" i="8"/>
  <c r="AZ86" i="8"/>
  <c r="AV16" i="8"/>
  <c r="BA100" i="8"/>
  <c r="BB29" i="8"/>
  <c r="BC18" i="8"/>
  <c r="AZ80" i="8"/>
  <c r="BA67" i="8"/>
  <c r="AY94" i="8"/>
  <c r="AV98" i="8"/>
  <c r="AW93" i="8"/>
  <c r="AV101" i="8"/>
  <c r="BA27" i="8"/>
  <c r="BB45" i="8"/>
  <c r="AZ61" i="8"/>
  <c r="BB91" i="8"/>
  <c r="AV77" i="8"/>
  <c r="AY58" i="8"/>
  <c r="BB168" i="8"/>
  <c r="BA151" i="8"/>
  <c r="BB78" i="8"/>
  <c r="AX169" i="8"/>
  <c r="AV128" i="8"/>
  <c r="AY124" i="8"/>
  <c r="BC162" i="8"/>
  <c r="BB36" i="8"/>
  <c r="BA118" i="8"/>
  <c r="BB39" i="8"/>
  <c r="BC120" i="8"/>
  <c r="AX172" i="8"/>
  <c r="AX174" i="8"/>
  <c r="AV102" i="8"/>
  <c r="BB41" i="8"/>
  <c r="AX163" i="8"/>
  <c r="BB95" i="8"/>
  <c r="AZ152" i="8"/>
  <c r="BC147" i="8"/>
  <c r="AX148" i="8"/>
  <c r="BA30" i="8"/>
  <c r="BB119" i="8"/>
  <c r="AY119" i="8"/>
  <c r="AW154" i="8"/>
  <c r="BA38" i="8"/>
  <c r="AY132" i="8"/>
  <c r="AZ100" i="8"/>
  <c r="BC112" i="8"/>
  <c r="BA163" i="8"/>
  <c r="BB159" i="8"/>
  <c r="BC90" i="8"/>
  <c r="AZ74" i="8"/>
  <c r="BC81" i="8"/>
  <c r="BC160" i="8"/>
  <c r="BC146" i="8"/>
  <c r="AZ121" i="8"/>
  <c r="BC170" i="8"/>
  <c r="BC85" i="8"/>
  <c r="AZ159" i="8"/>
  <c r="BC38" i="8"/>
  <c r="AV168" i="8"/>
  <c r="BB32" i="8"/>
  <c r="AW115" i="8"/>
  <c r="AX167" i="8"/>
  <c r="AX29" i="8"/>
  <c r="AX53" i="8"/>
  <c r="AY115" i="8"/>
  <c r="BC91" i="8"/>
  <c r="BA33" i="8"/>
  <c r="BC68" i="8"/>
  <c r="BB151" i="8"/>
  <c r="BA126" i="8"/>
  <c r="AY22" i="8"/>
  <c r="BC23" i="8"/>
  <c r="AW98" i="8"/>
  <c r="AY97" i="8"/>
  <c r="AZ118" i="8"/>
  <c r="AW161" i="8"/>
  <c r="BB37" i="8"/>
  <c r="BA19" i="8"/>
  <c r="BB118" i="8"/>
  <c r="AZ43" i="8"/>
  <c r="BA80" i="8"/>
  <c r="AZ51" i="8"/>
  <c r="AY151" i="8"/>
  <c r="AW142" i="8"/>
  <c r="AZ173" i="8"/>
  <c r="AY137" i="8"/>
  <c r="BC129" i="8"/>
  <c r="AX117" i="8"/>
  <c r="BA127" i="8"/>
  <c r="AX124" i="8"/>
  <c r="BC51" i="8"/>
  <c r="BC125" i="8"/>
  <c r="BC158" i="8"/>
  <c r="AZ155" i="8"/>
  <c r="BA174" i="8"/>
  <c r="AZ151" i="8"/>
  <c r="AV133" i="8"/>
  <c r="BB147" i="8"/>
  <c r="AV157" i="8"/>
  <c r="AX154" i="8"/>
  <c r="BA55" i="8"/>
  <c r="AW127" i="8"/>
  <c r="AY143" i="8"/>
  <c r="AY156" i="8"/>
  <c r="BC33" i="8"/>
  <c r="BA52" i="8"/>
  <c r="AY56" i="8"/>
  <c r="BB146" i="8"/>
  <c r="BA106" i="8"/>
  <c r="BC97" i="8"/>
  <c r="BB148" i="8"/>
  <c r="AV118" i="8"/>
  <c r="BB154" i="8"/>
  <c r="BB92" i="8"/>
  <c r="AY50" i="8"/>
  <c r="AY123" i="8"/>
  <c r="AX111" i="8"/>
  <c r="AW174" i="8"/>
  <c r="AY51" i="8"/>
  <c r="AV174" i="8"/>
  <c r="AX27" i="8"/>
  <c r="BB38" i="8"/>
  <c r="BA116" i="8"/>
  <c r="BC64" i="8"/>
  <c r="BC154" i="8"/>
  <c r="BC130" i="8"/>
  <c r="BB129" i="8"/>
  <c r="AW102" i="8"/>
  <c r="AY74" i="8"/>
  <c r="BC144" i="8"/>
  <c r="AV124" i="8"/>
  <c r="AZ162" i="8"/>
  <c r="AX96" i="8"/>
  <c r="AX100" i="8"/>
  <c r="AX99" i="8"/>
  <c r="BC93" i="8"/>
  <c r="AY99" i="8"/>
  <c r="AW78" i="8"/>
  <c r="AY158" i="8"/>
  <c r="AW126" i="8"/>
  <c r="AV161" i="8"/>
  <c r="BA61" i="8"/>
  <c r="AX164" i="8"/>
  <c r="BC157" i="8"/>
  <c r="AV108" i="8"/>
  <c r="AW52" i="8"/>
  <c r="AV154" i="8"/>
  <c r="AZ172" i="8"/>
  <c r="AZ31" i="8"/>
  <c r="BB99" i="8"/>
  <c r="AW106" i="8"/>
  <c r="AX129" i="8"/>
  <c r="BA152" i="8"/>
  <c r="BB138" i="8"/>
  <c r="BC145" i="8"/>
  <c r="BC36" i="8"/>
  <c r="BA29" i="8"/>
  <c r="BA57" i="8"/>
  <c r="AX156" i="8"/>
  <c r="BC123" i="8"/>
  <c r="AZ123" i="8"/>
  <c r="AW141" i="8"/>
  <c r="AZ168" i="8"/>
  <c r="AV115" i="8"/>
  <c r="AW140" i="8"/>
  <c r="AX153" i="8"/>
  <c r="BC29" i="8"/>
  <c r="AY109" i="8"/>
  <c r="AV45" i="8"/>
  <c r="AW114" i="8"/>
  <c r="AY154" i="8"/>
  <c r="AV112" i="8"/>
  <c r="BB155" i="8"/>
  <c r="BC127" i="8"/>
  <c r="BB31" i="8"/>
  <c r="AX76" i="8"/>
  <c r="AX103" i="8"/>
  <c r="AX59" i="8"/>
  <c r="BB69" i="8"/>
  <c r="BA47" i="8"/>
  <c r="AZ164" i="8"/>
  <c r="AZ39" i="8"/>
  <c r="BB51" i="8"/>
  <c r="BC131" i="8"/>
  <c r="BA90" i="8"/>
  <c r="AX119" i="8"/>
  <c r="BA137" i="8"/>
  <c r="AV172" i="8"/>
  <c r="BC163" i="8"/>
  <c r="AX120" i="8"/>
  <c r="BC89" i="8"/>
  <c r="BA69" i="8"/>
  <c r="BB102" i="8"/>
  <c r="AY92" i="8"/>
  <c r="AY21" i="8"/>
  <c r="AW94" i="8"/>
  <c r="AX91" i="8"/>
  <c r="AY93" i="8"/>
  <c r="AZ97" i="8"/>
  <c r="AX139" i="8"/>
  <c r="BA59" i="8"/>
  <c r="AW167" i="8"/>
  <c r="AZ128" i="8"/>
  <c r="BB156" i="8"/>
  <c r="AW74" i="8"/>
  <c r="AW146" i="8"/>
  <c r="BA77" i="8"/>
  <c r="BC165" i="8"/>
  <c r="AX41" i="8"/>
  <c r="BB113" i="8"/>
  <c r="BB22" i="8"/>
  <c r="BA141" i="8"/>
  <c r="BB172" i="8"/>
  <c r="BC110" i="8"/>
  <c r="BC134" i="8"/>
  <c r="BC35" i="8"/>
  <c r="BC73" i="8"/>
  <c r="BB85" i="8"/>
  <c r="BA68" i="8"/>
  <c r="BC84" i="8"/>
  <c r="AZ30" i="8"/>
  <c r="AY12" i="8"/>
  <c r="AZ50" i="8"/>
  <c r="BB117" i="8"/>
  <c r="BC45" i="8"/>
  <c r="AX102" i="8"/>
  <c r="BC83" i="8"/>
  <c r="AZ129" i="8"/>
  <c r="BB61" i="8"/>
  <c r="BB160" i="8"/>
  <c r="BB128" i="8"/>
  <c r="AW75" i="8"/>
  <c r="BA138" i="8"/>
  <c r="AX109" i="8"/>
  <c r="AZ59" i="8"/>
  <c r="BC61" i="8"/>
  <c r="BC55" i="8"/>
  <c r="BA154" i="8"/>
  <c r="BB152" i="8"/>
  <c r="AW164" i="8"/>
  <c r="AX135" i="8"/>
  <c r="BC172" i="8"/>
  <c r="BB133" i="8"/>
  <c r="AX173" i="8"/>
  <c r="AX140" i="8"/>
  <c r="AV78" i="8"/>
  <c r="BB88" i="8"/>
  <c r="AZ16" i="8"/>
  <c r="BB106" i="8"/>
  <c r="AY122" i="8"/>
  <c r="BC96" i="8"/>
  <c r="BC27" i="8"/>
  <c r="AX66" i="8"/>
  <c r="AY41" i="8"/>
  <c r="AY54" i="8"/>
  <c r="AY161" i="8"/>
  <c r="AZ22" i="8"/>
  <c r="AY82" i="8"/>
  <c r="BA11" i="8"/>
  <c r="AY90" i="8"/>
  <c r="AY89" i="8"/>
  <c r="BA98" i="8"/>
  <c r="BC150" i="8"/>
  <c r="BC124" i="8"/>
  <c r="AV149" i="8"/>
  <c r="AX158" i="8"/>
  <c r="AW47" i="8"/>
  <c r="AY130" i="8"/>
  <c r="AX61" i="8"/>
  <c r="AV166" i="8"/>
  <c r="AX127" i="8"/>
  <c r="AY37" i="8"/>
  <c r="BB103" i="8"/>
  <c r="AX161" i="8"/>
  <c r="BC41" i="8"/>
  <c r="BB67" i="8"/>
  <c r="BB134" i="8"/>
  <c r="BA51" i="8"/>
  <c r="AW139" i="8"/>
  <c r="AZ45" i="8"/>
  <c r="AV173" i="8"/>
  <c r="BC46" i="8"/>
  <c r="BC140" i="8"/>
  <c r="BC71" i="8"/>
  <c r="BC77" i="8"/>
  <c r="AX74" i="8"/>
  <c r="AW136" i="8"/>
  <c r="BA102" i="8"/>
  <c r="BB27" i="8"/>
  <c r="BC161" i="8"/>
  <c r="AV130" i="8"/>
  <c r="BC115" i="8"/>
  <c r="BA140" i="8"/>
  <c r="AW148" i="8"/>
  <c r="BB54" i="8"/>
  <c r="AV142" i="8"/>
  <c r="BC138" i="8"/>
  <c r="AY152" i="8"/>
  <c r="AY103" i="8"/>
  <c r="AV104" i="8"/>
  <c r="AY131" i="8"/>
  <c r="BA131" i="8"/>
  <c r="AX165" i="8"/>
  <c r="AZ67" i="8"/>
  <c r="AZ76" i="8"/>
  <c r="BA37" i="8"/>
  <c r="AV113" i="8"/>
  <c r="AZ125" i="8"/>
  <c r="AV111" i="8"/>
  <c r="AW45" i="8"/>
  <c r="BB74" i="8"/>
  <c r="AZ114" i="8"/>
  <c r="AW149" i="8"/>
  <c r="AZ56" i="8"/>
  <c r="AZ12" i="8"/>
  <c r="BB157" i="8"/>
  <c r="AY33" i="8"/>
  <c r="AX171" i="8"/>
  <c r="BC10" i="8"/>
  <c r="AV99" i="8"/>
  <c r="BA88" i="8"/>
  <c r="AW76" i="8"/>
  <c r="AW125" i="8"/>
  <c r="AY78" i="8"/>
  <c r="AY147" i="8"/>
  <c r="BB47" i="8"/>
  <c r="AX16" i="8"/>
  <c r="AV109" i="8"/>
  <c r="AX132" i="8"/>
  <c r="AY174" i="8"/>
  <c r="BA157" i="8"/>
  <c r="BA54" i="8"/>
  <c r="AX33" i="8"/>
  <c r="BB43" i="8"/>
  <c r="AZ89" i="8"/>
  <c r="AW156" i="8"/>
  <c r="AZ116" i="8"/>
  <c r="BA150" i="8"/>
  <c r="BB66" i="8"/>
  <c r="AV150" i="8"/>
  <c r="BC32" i="8"/>
  <c r="AW77" i="8"/>
  <c r="BA71" i="8"/>
  <c r="BA144" i="8"/>
  <c r="BA56" i="8"/>
  <c r="BB120" i="8"/>
  <c r="AZ101" i="8"/>
  <c r="BA91" i="8"/>
  <c r="BB108" i="8"/>
  <c r="AV33" i="8"/>
  <c r="BB173" i="8"/>
  <c r="AX143" i="8"/>
  <c r="BB81" i="8"/>
  <c r="AY133" i="8"/>
  <c r="AZ57" i="8"/>
  <c r="AY105" i="8"/>
  <c r="BC166" i="8"/>
  <c r="AZ143" i="8"/>
  <c r="BA120" i="8"/>
  <c r="BC117" i="8"/>
  <c r="BA171" i="8"/>
  <c r="AY114" i="8"/>
  <c r="BA101" i="8"/>
  <c r="BA46" i="8"/>
  <c r="BC148" i="8"/>
  <c r="AX142" i="8"/>
  <c r="AZ117" i="8"/>
  <c r="AZ144" i="8"/>
  <c r="AW169" i="8"/>
  <c r="AV125" i="8"/>
  <c r="AZ158" i="8"/>
  <c r="AW172" i="8"/>
  <c r="BB167" i="8"/>
  <c r="AY104" i="8"/>
  <c r="AZ47" i="8"/>
  <c r="AY77" i="8"/>
  <c r="BA58" i="8"/>
  <c r="AW138" i="8"/>
  <c r="BA64" i="8"/>
  <c r="BB93" i="8"/>
  <c r="BA159" i="8"/>
  <c r="AY111" i="8"/>
  <c r="AY16" i="8"/>
  <c r="AZ138" i="8"/>
  <c r="AV74" i="8"/>
  <c r="AW131" i="8"/>
  <c r="AY141" i="8"/>
  <c r="AW103" i="8"/>
  <c r="AZ166" i="8"/>
  <c r="BC142" i="8"/>
  <c r="AX112" i="8"/>
  <c r="BB158" i="8"/>
  <c r="BC102" i="8"/>
  <c r="AX58" i="8"/>
  <c r="BB73" i="8"/>
  <c r="BB144" i="8"/>
  <c r="AY113" i="8"/>
  <c r="AW27" i="8"/>
  <c r="AZ156" i="8"/>
  <c r="AY157" i="8"/>
  <c r="BB116" i="8"/>
  <c r="AY125" i="8"/>
  <c r="BC168" i="8"/>
  <c r="AZ140" i="8"/>
  <c r="AY19" i="8"/>
  <c r="BC104" i="8"/>
  <c r="AY126" i="8"/>
  <c r="AX43" i="8"/>
  <c r="BA75" i="8"/>
  <c r="AX128" i="8"/>
  <c r="AY172" i="8"/>
  <c r="AW105" i="8"/>
  <c r="AX138" i="8"/>
  <c r="BA32" i="8"/>
  <c r="BC137" i="8"/>
  <c r="AY101" i="8"/>
  <c r="AZ107" i="8"/>
  <c r="AV135" i="8"/>
  <c r="BA96" i="8"/>
  <c r="BB89" i="8"/>
  <c r="AY170" i="8"/>
  <c r="AW134" i="8"/>
  <c r="BC149" i="8"/>
  <c r="AY160" i="8"/>
  <c r="AW152" i="8"/>
  <c r="AZ103" i="8"/>
  <c r="AZ33" i="8"/>
  <c r="BC136" i="8"/>
  <c r="BB16" i="8"/>
  <c r="AX126" i="8"/>
  <c r="BC121" i="8"/>
  <c r="AY53" i="8"/>
  <c r="BC11" i="8"/>
  <c r="AZ69" i="8"/>
  <c r="AV137" i="8"/>
  <c r="BB165" i="8"/>
  <c r="AX105" i="8"/>
  <c r="AW97" i="8"/>
  <c r="BB64" i="8"/>
  <c r="BA18" i="8"/>
  <c r="BB114" i="8"/>
  <c r="AY110" i="8"/>
  <c r="BC34" i="8"/>
  <c r="AZ131" i="8"/>
  <c r="AW121" i="8"/>
  <c r="BA147" i="8"/>
  <c r="AZ153" i="8"/>
  <c r="AX116" i="8"/>
  <c r="BC101" i="8"/>
  <c r="BA123" i="8"/>
  <c r="AY120" i="8"/>
  <c r="BB121" i="8"/>
  <c r="AW150" i="8"/>
  <c r="AV155" i="8"/>
  <c r="BB126" i="8"/>
  <c r="AY102" i="8"/>
  <c r="BA153" i="8"/>
  <c r="BA165" i="8"/>
  <c r="AW132" i="8"/>
  <c r="BA107" i="8"/>
  <c r="BA95" i="8"/>
  <c r="AY52" i="8"/>
  <c r="AV158" i="8"/>
  <c r="BC139" i="8"/>
  <c r="BA130" i="8"/>
  <c r="BC126" i="8"/>
  <c r="AX45" i="8"/>
  <c r="BA84" i="8"/>
  <c r="AX146" i="8"/>
  <c r="BA134" i="8"/>
  <c r="BB55" i="8"/>
  <c r="AV54" i="8"/>
  <c r="AY167" i="8"/>
  <c r="BC103" i="8"/>
  <c r="BA113" i="8"/>
  <c r="AV148" i="8"/>
  <c r="BB56" i="8"/>
  <c r="AY164" i="8"/>
  <c r="BA122" i="8"/>
  <c r="BC39" i="8"/>
  <c r="AV151" i="8"/>
  <c r="AZ111" i="8"/>
  <c r="BA156" i="8"/>
  <c r="AY165" i="8"/>
  <c r="AX125" i="8"/>
  <c r="AW170" i="8"/>
  <c r="AY47" i="8"/>
  <c r="BB96" i="8"/>
  <c r="AX166" i="8"/>
  <c r="BC37" i="8"/>
  <c r="AZ120" i="8"/>
  <c r="AW160" i="8"/>
  <c r="AV165" i="8"/>
  <c r="AY136" i="8"/>
  <c r="AW124" i="8"/>
  <c r="AX77" i="8"/>
  <c r="AY98" i="8"/>
  <c r="AW92" i="8"/>
  <c r="AV96" i="8"/>
  <c r="AV92" i="8"/>
  <c r="AW96" i="8"/>
  <c r="AW100" i="8"/>
  <c r="AW101" i="8"/>
  <c r="AX47" i="8"/>
  <c r="AY27" i="8"/>
  <c r="AZ115" i="8"/>
  <c r="BC30" i="8"/>
  <c r="BB90" i="8"/>
  <c r="AW143" i="8"/>
  <c r="BB52" i="8"/>
  <c r="BA162" i="8"/>
  <c r="AZ37" i="8"/>
  <c r="AX75" i="8"/>
  <c r="AV127" i="8"/>
  <c r="AZ148" i="8"/>
  <c r="AX110" i="8"/>
  <c r="AY30" i="8"/>
  <c r="BA169" i="8"/>
  <c r="AW162" i="8"/>
  <c r="AV52" i="8"/>
  <c r="AZ10" i="8"/>
  <c r="AY108" i="8"/>
  <c r="AW130" i="8"/>
  <c r="AX131" i="8"/>
  <c r="AW54" i="8"/>
  <c r="AY112" i="8"/>
  <c r="AV152" i="8"/>
  <c r="BB141" i="8"/>
  <c r="BA166" i="8"/>
  <c r="AZ19" i="8"/>
  <c r="AW109" i="8"/>
  <c r="BB135" i="8"/>
  <c r="AV164" i="8"/>
  <c r="AW123" i="8"/>
  <c r="BA16" i="8"/>
  <c r="AY116" i="8"/>
  <c r="AV139" i="8"/>
  <c r="AZ75" i="8"/>
  <c r="BC99" i="8"/>
  <c r="AX152" i="8"/>
  <c r="AV136" i="8"/>
  <c r="BC173" i="8"/>
  <c r="AV147" i="8"/>
  <c r="AZ169" i="8"/>
  <c r="BC58" i="8"/>
  <c r="BB94" i="8"/>
  <c r="BA66" i="8"/>
  <c r="BA149" i="8"/>
  <c r="AZ141" i="8"/>
  <c r="BC88" i="8"/>
  <c r="BB77" i="8"/>
  <c r="AZ171" i="8"/>
  <c r="AX150" i="8"/>
  <c r="AY75" i="8"/>
  <c r="BC133" i="8"/>
  <c r="AV110" i="8"/>
  <c r="BB57" i="8"/>
  <c r="AZ55" i="8"/>
  <c r="BA121" i="8"/>
  <c r="AV129" i="8"/>
  <c r="BA87" i="8"/>
  <c r="AV94" i="8"/>
  <c r="AZ85" i="8"/>
  <c r="AX101" i="8"/>
  <c r="BA145" i="8"/>
  <c r="AX10" i="8"/>
  <c r="AX160" i="8"/>
  <c r="BA108" i="8"/>
  <c r="BB142" i="8"/>
  <c r="AY140" i="8"/>
  <c r="AV162" i="8"/>
  <c r="AW122" i="8"/>
  <c r="AZ96" i="8"/>
  <c r="AX106" i="8"/>
  <c r="BB71" i="8"/>
  <c r="AY86" i="8"/>
  <c r="AZ41" i="8"/>
  <c r="BB33" i="8"/>
  <c r="BC20" i="8"/>
  <c r="AZ127" i="8"/>
  <c r="AY107" i="8"/>
  <c r="AW173" i="8"/>
  <c r="AY134" i="8"/>
  <c r="BA82" i="8"/>
  <c r="BC22" i="8"/>
  <c r="AV169" i="8"/>
  <c r="AW29" i="8"/>
  <c r="BB109" i="8"/>
  <c r="AZ174" i="8"/>
  <c r="AW110" i="8"/>
  <c r="BC128" i="8"/>
  <c r="AZ154" i="8"/>
  <c r="AW113" i="8"/>
  <c r="BB112" i="8"/>
  <c r="BC167" i="8"/>
  <c r="AZ145" i="8"/>
  <c r="AV120" i="8"/>
  <c r="BB122" i="8"/>
  <c r="AV153" i="8"/>
  <c r="BB124" i="8"/>
  <c r="AZ113" i="8"/>
  <c r="AV132" i="8"/>
  <c r="AX54" i="8"/>
  <c r="BA94" i="8"/>
  <c r="BC31" i="8"/>
  <c r="BC67" i="8"/>
  <c r="BC80" i="8"/>
  <c r="AY139" i="8"/>
  <c r="AZ54" i="8"/>
  <c r="BA31" i="8"/>
  <c r="AW118" i="8"/>
  <c r="BA128" i="8"/>
  <c r="AW163" i="8"/>
  <c r="AY129" i="8"/>
  <c r="BA139" i="8"/>
  <c r="BA160" i="8"/>
  <c r="AX136" i="8"/>
  <c r="BA142" i="8"/>
  <c r="AY39" i="8"/>
  <c r="AW137" i="8"/>
  <c r="BC72" i="8"/>
  <c r="AV100" i="8"/>
  <c r="AZ88" i="8"/>
  <c r="AZ94" i="8"/>
  <c r="AV97" i="8"/>
  <c r="AX92" i="8"/>
  <c r="AZ98" i="8"/>
  <c r="AV167" i="8"/>
  <c r="BB86" i="8"/>
  <c r="AZ108" i="8"/>
  <c r="BC66" i="8"/>
  <c r="BC82" i="8"/>
  <c r="AZ53" i="8"/>
  <c r="AY153" i="8"/>
  <c r="BB145" i="8"/>
  <c r="AZ136" i="8"/>
  <c r="AV145" i="8"/>
  <c r="AZ167" i="8"/>
  <c r="BA83" i="8"/>
  <c r="AZ130" i="8"/>
  <c r="BA86" i="8"/>
  <c r="BC143" i="8"/>
  <c r="BA115" i="8"/>
  <c r="BA125" i="8"/>
  <c r="BA119" i="8"/>
  <c r="BA53" i="8"/>
  <c r="BC169" i="8"/>
  <c r="AZ105" i="8"/>
  <c r="AY31" i="8"/>
  <c r="BB169" i="8"/>
  <c r="BB30" i="8"/>
  <c r="BA158" i="8"/>
  <c r="BC56" i="8"/>
  <c r="BC118" i="8"/>
  <c r="BA43" i="8"/>
  <c r="BC151" i="8"/>
  <c r="AY128" i="8"/>
  <c r="AV119" i="8"/>
  <c r="BA117" i="8"/>
  <c r="AX78" i="8"/>
  <c r="BB170" i="8"/>
  <c r="BA104" i="8"/>
  <c r="AV122" i="8"/>
  <c r="AY117" i="8"/>
  <c r="BC159" i="8"/>
  <c r="BC105" i="8"/>
  <c r="BA110" i="8"/>
  <c r="AX118" i="8"/>
  <c r="BA50" i="8"/>
  <c r="AV103" i="8"/>
  <c r="BA146" i="8"/>
  <c r="AZ132" i="8"/>
  <c r="AY166" i="8"/>
  <c r="BA111" i="8"/>
  <c r="BC95" i="8"/>
  <c r="BC155" i="8"/>
  <c r="AX133" i="8"/>
  <c r="BC114" i="8"/>
  <c r="AY118" i="8"/>
  <c r="BB143" i="8"/>
  <c r="AZ137" i="8"/>
  <c r="BC164" i="8"/>
  <c r="BB97" i="8"/>
  <c r="AZ170" i="8"/>
  <c r="AZ91" i="8"/>
  <c r="BQ35" i="8"/>
  <c r="BS35" i="8" s="1"/>
  <c r="BT35" i="8" s="1"/>
  <c r="BQ11" i="8"/>
  <c r="BS11" i="8" s="1"/>
  <c r="BT11" i="8" s="1"/>
  <c r="BQ72" i="8"/>
  <c r="BS72" i="8" s="1"/>
  <c r="BP70" i="8"/>
  <c r="BQ70" i="8" s="1"/>
  <c r="BS74" i="8"/>
  <c r="BT54" i="8"/>
  <c r="BT14" i="8"/>
  <c r="BU77" i="8"/>
  <c r="BV77" i="8" s="1"/>
  <c r="BX77" i="8" s="1"/>
  <c r="BT42" i="8"/>
  <c r="BP51" i="8"/>
  <c r="BQ51" i="8" s="1"/>
  <c r="BS51" i="8" s="1"/>
  <c r="BT51" i="8" s="1"/>
  <c r="BQ40" i="8"/>
  <c r="BU22" i="8"/>
  <c r="BV22" i="8" s="1"/>
  <c r="BT55" i="8"/>
  <c r="BS23" i="8"/>
  <c r="P100" i="4"/>
  <c r="P103" i="4"/>
  <c r="P91" i="4"/>
  <c r="P93" i="4"/>
  <c r="Q104" i="4"/>
  <c r="P104" i="4"/>
  <c r="P98" i="4"/>
  <c r="P94" i="4"/>
  <c r="P95" i="4"/>
  <c r="P96" i="4"/>
  <c r="P97" i="4"/>
  <c r="P99" i="4"/>
  <c r="P102" i="4"/>
  <c r="P92" i="4"/>
  <c r="Q87" i="4"/>
  <c r="Q90" i="4"/>
  <c r="P89" i="4"/>
  <c r="Q85" i="4"/>
  <c r="P86" i="4"/>
  <c r="P83" i="4"/>
  <c r="P84" i="4"/>
  <c r="P82" i="4"/>
  <c r="P81" i="4"/>
  <c r="P80" i="4"/>
  <c r="K17" i="4"/>
  <c r="P17" i="4"/>
  <c r="K15" i="4"/>
  <c r="P15" i="4"/>
  <c r="P46" i="4"/>
  <c r="K46" i="4"/>
  <c r="K57" i="4"/>
  <c r="P57" i="4"/>
  <c r="K35" i="4"/>
  <c r="K11" i="4"/>
  <c r="K25" i="4"/>
  <c r="K53" i="4"/>
  <c r="K79" i="4"/>
  <c r="P79" i="4"/>
  <c r="K31" i="4"/>
  <c r="P31" i="4"/>
  <c r="P47" i="4"/>
  <c r="K47" i="4"/>
  <c r="P22" i="4"/>
  <c r="K22" i="4"/>
  <c r="K64" i="4"/>
  <c r="K29" i="4"/>
  <c r="P29" i="4"/>
  <c r="K49" i="4"/>
  <c r="K26" i="4"/>
  <c r="P26" i="4"/>
  <c r="K37" i="4"/>
  <c r="K62" i="4"/>
  <c r="K65" i="4"/>
  <c r="P65" i="4"/>
  <c r="K30" i="4"/>
  <c r="P30" i="4"/>
  <c r="K69" i="4"/>
  <c r="P69" i="4"/>
  <c r="K59" i="4"/>
  <c r="P59" i="4"/>
  <c r="K73" i="4"/>
  <c r="K21" i="4"/>
  <c r="P18" i="4"/>
  <c r="K18" i="4"/>
  <c r="K55" i="4"/>
  <c r="P55" i="4"/>
  <c r="K51" i="4"/>
  <c r="K70" i="4"/>
  <c r="P70" i="4"/>
  <c r="K72" i="4"/>
  <c r="K61" i="4"/>
  <c r="P61" i="4"/>
  <c r="K52" i="4"/>
  <c r="P52" i="4"/>
  <c r="K9" i="4"/>
  <c r="BN9" i="8"/>
  <c r="K10" i="4"/>
  <c r="P10" i="4"/>
  <c r="K20" i="4"/>
  <c r="P20" i="4"/>
  <c r="K28" i="4"/>
  <c r="P28" i="4"/>
  <c r="K76" i="4"/>
  <c r="P76" i="4"/>
  <c r="K40" i="4"/>
  <c r="P40" i="4"/>
  <c r="K38" i="4"/>
  <c r="K16" i="4"/>
  <c r="K41" i="4"/>
  <c r="K78" i="4"/>
  <c r="P78" i="4"/>
  <c r="P56" i="4"/>
  <c r="K56" i="4"/>
  <c r="K42" i="4"/>
  <c r="P77" i="4"/>
  <c r="K77" i="4"/>
  <c r="K58" i="4"/>
  <c r="P58" i="4"/>
  <c r="K39" i="4"/>
  <c r="P39" i="4"/>
  <c r="K14" i="4"/>
  <c r="P14" i="4"/>
  <c r="K43" i="4"/>
  <c r="P43" i="4"/>
  <c r="K33" i="4"/>
  <c r="P33" i="4"/>
  <c r="K74" i="4"/>
  <c r="K34" i="4"/>
  <c r="P34" i="4"/>
  <c r="P19" i="4"/>
  <c r="K19" i="4"/>
  <c r="K60" i="4"/>
  <c r="K27" i="4"/>
  <c r="P27" i="4"/>
  <c r="K54" i="4"/>
  <c r="K68" i="4"/>
  <c r="K23" i="4"/>
  <c r="P23" i="4"/>
  <c r="K12" i="4"/>
  <c r="P12" i="4"/>
  <c r="K32" i="4"/>
  <c r="K67" i="4"/>
  <c r="P67" i="4"/>
  <c r="K63" i="4"/>
  <c r="P63" i="4"/>
  <c r="K66" i="4"/>
  <c r="P66" i="4"/>
  <c r="K44" i="4"/>
  <c r="K50" i="4"/>
  <c r="P50" i="4"/>
  <c r="K24" i="4"/>
  <c r="K13" i="4"/>
  <c r="P13" i="4"/>
  <c r="K48" i="4"/>
  <c r="P48" i="4"/>
  <c r="K36" i="4"/>
  <c r="K75" i="4"/>
  <c r="K71" i="4"/>
  <c r="K45" i="4"/>
  <c r="BU79" i="8" l="1"/>
  <c r="BV79" i="8" s="1"/>
  <c r="BV87" i="8"/>
  <c r="BX87" i="8" s="1"/>
  <c r="BY87" i="8" s="1"/>
  <c r="BZ87" i="8" s="1"/>
  <c r="CA87" i="8" s="1"/>
  <c r="CC87" i="8" s="1"/>
  <c r="CD87" i="8" s="1"/>
  <c r="CE87" i="8" s="1"/>
  <c r="BT118" i="8"/>
  <c r="BU118" i="8" s="1"/>
  <c r="BV118" i="8" s="1"/>
  <c r="BX118" i="8" s="1"/>
  <c r="BY118" i="8" s="1"/>
  <c r="BZ118" i="8" s="1"/>
  <c r="CA118" i="8" s="1"/>
  <c r="CC118" i="8" s="1"/>
  <c r="CD118" i="8" s="1"/>
  <c r="CE118" i="8" s="1"/>
  <c r="CF118" i="8" s="1"/>
  <c r="Q94" i="4"/>
  <c r="BU64" i="8"/>
  <c r="BS78" i="8"/>
  <c r="BT78" i="8" s="1"/>
  <c r="BS75" i="8"/>
  <c r="BT75" i="8" s="1"/>
  <c r="CE125" i="8"/>
  <c r="CF125" i="8" s="1"/>
  <c r="BU107" i="8"/>
  <c r="BV107" i="8" s="1"/>
  <c r="BT164" i="8"/>
  <c r="BV124" i="8"/>
  <c r="BX124" i="8" s="1"/>
  <c r="BY124" i="8" s="1"/>
  <c r="BS17" i="8"/>
  <c r="BY159" i="8"/>
  <c r="BZ159" i="8" s="1"/>
  <c r="CA159" i="8" s="1"/>
  <c r="CC159" i="8" s="1"/>
  <c r="CD159" i="8" s="1"/>
  <c r="CE159" i="8" s="1"/>
  <c r="CF159" i="8" s="1"/>
  <c r="CH159" i="8" s="1"/>
  <c r="CI159" i="8" s="1"/>
  <c r="CJ159" i="8" s="1"/>
  <c r="BU44" i="8"/>
  <c r="BV44" i="8" s="1"/>
  <c r="BX44" i="8" s="1"/>
  <c r="BY44" i="8" s="1"/>
  <c r="BV15" i="8"/>
  <c r="BX15" i="8" s="1"/>
  <c r="BT129" i="8"/>
  <c r="BU129" i="8" s="1"/>
  <c r="BV129" i="8" s="1"/>
  <c r="BX129" i="8" s="1"/>
  <c r="BX122" i="8"/>
  <c r="BY122" i="8" s="1"/>
  <c r="BZ122" i="8" s="1"/>
  <c r="CA122" i="8" s="1"/>
  <c r="CC122" i="8" s="1"/>
  <c r="CD122" i="8" s="1"/>
  <c r="BX145" i="8"/>
  <c r="BX132" i="8"/>
  <c r="BY132" i="8" s="1"/>
  <c r="BZ132" i="8" s="1"/>
  <c r="CA132" i="8" s="1"/>
  <c r="CC132" i="8" s="1"/>
  <c r="CD132" i="8" s="1"/>
  <c r="CE132" i="8" s="1"/>
  <c r="CF132" i="8" s="1"/>
  <c r="CH132" i="8" s="1"/>
  <c r="BQ76" i="8"/>
  <c r="BS76" i="8" s="1"/>
  <c r="BT76" i="8" s="1"/>
  <c r="BU76" i="8" s="1"/>
  <c r="BS20" i="8"/>
  <c r="BT20" i="8" s="1"/>
  <c r="BU20" i="8" s="1"/>
  <c r="BT65" i="8"/>
  <c r="BU65" i="8" s="1"/>
  <c r="BV65" i="8" s="1"/>
  <c r="BT161" i="8"/>
  <c r="BQ19" i="8"/>
  <c r="BP99" i="8"/>
  <c r="BT143" i="8"/>
  <c r="BU143" i="8" s="1"/>
  <c r="BV143" i="8" s="1"/>
  <c r="BX143" i="8" s="1"/>
  <c r="BY143" i="8" s="1"/>
  <c r="BZ143" i="8" s="1"/>
  <c r="CA143" i="8" s="1"/>
  <c r="CC143" i="8" s="1"/>
  <c r="CD143" i="8" s="1"/>
  <c r="CE143" i="8" s="1"/>
  <c r="CF143" i="8" s="1"/>
  <c r="CH143" i="8" s="1"/>
  <c r="BV95" i="8"/>
  <c r="BX95" i="8" s="1"/>
  <c r="BS137" i="8"/>
  <c r="BT137" i="8" s="1"/>
  <c r="BT61" i="8"/>
  <c r="BQ105" i="8"/>
  <c r="BS105" i="8" s="1"/>
  <c r="BS157" i="8"/>
  <c r="BT157" i="8" s="1"/>
  <c r="BT150" i="8"/>
  <c r="BU150" i="8" s="1"/>
  <c r="BV150" i="8" s="1"/>
  <c r="BY112" i="8"/>
  <c r="BU52" i="8"/>
  <c r="BV52" i="8" s="1"/>
  <c r="BX52" i="8" s="1"/>
  <c r="BY52" i="8" s="1"/>
  <c r="BZ52" i="8" s="1"/>
  <c r="CA52" i="8" s="1"/>
  <c r="CC52" i="8" s="1"/>
  <c r="CD52" i="8" s="1"/>
  <c r="CE52" i="8" s="1"/>
  <c r="CF52" i="8" s="1"/>
  <c r="CH52" i="8" s="1"/>
  <c r="CI52" i="8" s="1"/>
  <c r="CJ52" i="8" s="1"/>
  <c r="CK52" i="8" s="1"/>
  <c r="CM52" i="8" s="1"/>
  <c r="CN52" i="8" s="1"/>
  <c r="CO52" i="8" s="1"/>
  <c r="CP52" i="8" s="1"/>
  <c r="CR52" i="8" s="1"/>
  <c r="CS52" i="8" s="1"/>
  <c r="CT52" i="8" s="1"/>
  <c r="CU52" i="8" s="1"/>
  <c r="BT144" i="8"/>
  <c r="BU144" i="8" s="1"/>
  <c r="BQ120" i="8"/>
  <c r="BS120" i="8" s="1"/>
  <c r="BT120" i="8" s="1"/>
  <c r="BS114" i="8"/>
  <c r="BV115" i="8"/>
  <c r="BX115" i="8" s="1"/>
  <c r="BS133" i="8"/>
  <c r="BT133" i="8" s="1"/>
  <c r="BU133" i="8" s="1"/>
  <c r="BV133" i="8" s="1"/>
  <c r="BX133" i="8" s="1"/>
  <c r="BY133" i="8" s="1"/>
  <c r="BZ133" i="8" s="1"/>
  <c r="CA133" i="8" s="1"/>
  <c r="CC133" i="8" s="1"/>
  <c r="CD133" i="8" s="1"/>
  <c r="BQ160" i="8"/>
  <c r="BT67" i="8"/>
  <c r="BU67" i="8" s="1"/>
  <c r="BV67" i="8" s="1"/>
  <c r="BQ109" i="8"/>
  <c r="BS109" i="8" s="1"/>
  <c r="BT109" i="8" s="1"/>
  <c r="BS126" i="8"/>
  <c r="BT117" i="8"/>
  <c r="BZ162" i="8"/>
  <c r="CA162" i="8" s="1"/>
  <c r="CC162" i="8" s="1"/>
  <c r="CD162" i="8" s="1"/>
  <c r="CE162" i="8" s="1"/>
  <c r="CF162" i="8" s="1"/>
  <c r="CH162" i="8" s="1"/>
  <c r="BS142" i="8"/>
  <c r="BT142" i="8" s="1"/>
  <c r="BT147" i="8"/>
  <c r="BU147" i="8" s="1"/>
  <c r="CF87" i="8"/>
  <c r="CH87" i="8" s="1"/>
  <c r="BU146" i="8"/>
  <c r="BV146" i="8" s="1"/>
  <c r="BX146" i="8" s="1"/>
  <c r="BY146" i="8" s="1"/>
  <c r="BZ146" i="8" s="1"/>
  <c r="CA146" i="8" s="1"/>
  <c r="CC146" i="8" s="1"/>
  <c r="CD146" i="8" s="1"/>
  <c r="CE146" i="8" s="1"/>
  <c r="CF146" i="8" s="1"/>
  <c r="CH146" i="8" s="1"/>
  <c r="CI146" i="8" s="1"/>
  <c r="CJ146" i="8" s="1"/>
  <c r="CK146" i="8" s="1"/>
  <c r="CM146" i="8" s="1"/>
  <c r="CN146" i="8" s="1"/>
  <c r="CO146" i="8" s="1"/>
  <c r="CP146" i="8" s="1"/>
  <c r="CR146" i="8" s="1"/>
  <c r="CS146" i="8" s="1"/>
  <c r="CT146" i="8" s="1"/>
  <c r="CU146" i="8" s="1"/>
  <c r="BU90" i="8"/>
  <c r="BV90" i="8" s="1"/>
  <c r="BT168" i="8"/>
  <c r="BU168" i="8" s="1"/>
  <c r="BV168" i="8" s="1"/>
  <c r="BX168" i="8" s="1"/>
  <c r="BX123" i="8"/>
  <c r="BY123" i="8" s="1"/>
  <c r="BP119" i="8"/>
  <c r="BQ119" i="8" s="1"/>
  <c r="BS119" i="8" s="1"/>
  <c r="CI86" i="8"/>
  <c r="CJ86" i="8" s="1"/>
  <c r="CK86" i="8" s="1"/>
  <c r="CM86" i="8" s="1"/>
  <c r="CN86" i="8" s="1"/>
  <c r="CO86" i="8" s="1"/>
  <c r="CP86" i="8" s="1"/>
  <c r="CR86" i="8" s="1"/>
  <c r="CS86" i="8" s="1"/>
  <c r="CT86" i="8" s="1"/>
  <c r="CU86" i="8" s="1"/>
  <c r="BP154" i="8"/>
  <c r="BQ154" i="8" s="1"/>
  <c r="BX113" i="8"/>
  <c r="BY113" i="8" s="1"/>
  <c r="BS171" i="8"/>
  <c r="BP89" i="8"/>
  <c r="R89" i="4" s="1"/>
  <c r="CI167" i="8"/>
  <c r="CJ167" i="8" s="1"/>
  <c r="CK167" i="8" s="1"/>
  <c r="CM167" i="8" s="1"/>
  <c r="CN167" i="8" s="1"/>
  <c r="CO167" i="8" s="1"/>
  <c r="CP167" i="8" s="1"/>
  <c r="CR167" i="8" s="1"/>
  <c r="CS167" i="8" s="1"/>
  <c r="CT167" i="8" s="1"/>
  <c r="CU167" i="8" s="1"/>
  <c r="BQ163" i="8"/>
  <c r="BS163" i="8" s="1"/>
  <c r="BT163" i="8" s="1"/>
  <c r="BV83" i="8"/>
  <c r="BV47" i="8"/>
  <c r="BP49" i="8"/>
  <c r="BT148" i="8"/>
  <c r="BU134" i="8"/>
  <c r="BV134" i="8" s="1"/>
  <c r="BX134" i="8" s="1"/>
  <c r="BY134" i="8" s="1"/>
  <c r="BZ134" i="8" s="1"/>
  <c r="CA134" i="8" s="1"/>
  <c r="CC134" i="8" s="1"/>
  <c r="CD134" i="8" s="1"/>
  <c r="CE134" i="8" s="1"/>
  <c r="CF134" i="8" s="1"/>
  <c r="CH134" i="8" s="1"/>
  <c r="BT26" i="8"/>
  <c r="BU26" i="8" s="1"/>
  <c r="BV25" i="8"/>
  <c r="BP38" i="8"/>
  <c r="BP63" i="8"/>
  <c r="BQ63" i="8" s="1"/>
  <c r="BS63" i="8" s="1"/>
  <c r="BT63" i="8" s="1"/>
  <c r="BS121" i="8"/>
  <c r="BT121" i="8" s="1"/>
  <c r="BP84" i="8"/>
  <c r="CI170" i="8"/>
  <c r="CJ170" i="8" s="1"/>
  <c r="CK170" i="8" s="1"/>
  <c r="CM170" i="8" s="1"/>
  <c r="CN170" i="8" s="1"/>
  <c r="CO170" i="8" s="1"/>
  <c r="CP170" i="8" s="1"/>
  <c r="CR170" i="8" s="1"/>
  <c r="CS170" i="8" s="1"/>
  <c r="CT170" i="8" s="1"/>
  <c r="CU170" i="8" s="1"/>
  <c r="BU75" i="8"/>
  <c r="BQ30" i="8"/>
  <c r="BS31" i="8"/>
  <c r="BT31" i="8" s="1"/>
  <c r="BQ48" i="8"/>
  <c r="BS48" i="8" s="1"/>
  <c r="BT48" i="8" s="1"/>
  <c r="BU48" i="8" s="1"/>
  <c r="BZ128" i="8"/>
  <c r="CA128" i="8" s="1"/>
  <c r="CC128" i="8" s="1"/>
  <c r="CD128" i="8" s="1"/>
  <c r="CE128" i="8" s="1"/>
  <c r="CF128" i="8" s="1"/>
  <c r="CH128" i="8" s="1"/>
  <c r="BU94" i="8"/>
  <c r="BV94" i="8" s="1"/>
  <c r="BX94" i="8" s="1"/>
  <c r="BY94" i="8" s="1"/>
  <c r="BZ94" i="8" s="1"/>
  <c r="CA94" i="8" s="1"/>
  <c r="CC94" i="8" s="1"/>
  <c r="CD94" i="8" s="1"/>
  <c r="CE94" i="8" s="1"/>
  <c r="CF94" i="8" s="1"/>
  <c r="CH94" i="8" s="1"/>
  <c r="BS60" i="8"/>
  <c r="CC98" i="8"/>
  <c r="CD98" i="8" s="1"/>
  <c r="BS153" i="8"/>
  <c r="BP136" i="8"/>
  <c r="BT57" i="8"/>
  <c r="BT43" i="8"/>
  <c r="BP101" i="8"/>
  <c r="BX111" i="8"/>
  <c r="BP21" i="8"/>
  <c r="BP92" i="8"/>
  <c r="BP58" i="8"/>
  <c r="BP96" i="8"/>
  <c r="BT173" i="8"/>
  <c r="BU173" i="8" s="1"/>
  <c r="BV173" i="8" s="1"/>
  <c r="BX173" i="8" s="1"/>
  <c r="BY173" i="8" s="1"/>
  <c r="BS116" i="8"/>
  <c r="BT116" i="8" s="1"/>
  <c r="BU116" i="8" s="1"/>
  <c r="BT135" i="8"/>
  <c r="BP16" i="8"/>
  <c r="BS130" i="8"/>
  <c r="BS139" i="8"/>
  <c r="BU156" i="8"/>
  <c r="BZ12" i="8"/>
  <c r="BP97" i="8"/>
  <c r="BT36" i="8"/>
  <c r="BU45" i="8"/>
  <c r="BV45" i="8" s="1"/>
  <c r="BP165" i="8"/>
  <c r="BQ165" i="8" s="1"/>
  <c r="BS165" i="8" s="1"/>
  <c r="BT165" i="8" s="1"/>
  <c r="BU165" i="8" s="1"/>
  <c r="BV140" i="8"/>
  <c r="BT71" i="8"/>
  <c r="BQ69" i="8"/>
  <c r="BS69" i="8" s="1"/>
  <c r="BV158" i="8"/>
  <c r="BX158" i="8" s="1"/>
  <c r="BY158" i="8" s="1"/>
  <c r="BZ158" i="8" s="1"/>
  <c r="BS106" i="8"/>
  <c r="BT106" i="8" s="1"/>
  <c r="BU106" i="8" s="1"/>
  <c r="BV106" i="8" s="1"/>
  <c r="BS29" i="8"/>
  <c r="BT29" i="8" s="1"/>
  <c r="BP138" i="8"/>
  <c r="BQ93" i="8"/>
  <c r="BS32" i="8"/>
  <c r="BU100" i="8"/>
  <c r="BS28" i="8"/>
  <c r="BT104" i="8"/>
  <c r="BU104" i="8" s="1"/>
  <c r="BP66" i="8"/>
  <c r="BQ66" i="8" s="1"/>
  <c r="BV37" i="8"/>
  <c r="BX37" i="8" s="1"/>
  <c r="BX172" i="8"/>
  <c r="BP166" i="8"/>
  <c r="BQ166" i="8" s="1"/>
  <c r="BP27" i="8"/>
  <c r="BP91" i="8"/>
  <c r="BS141" i="8"/>
  <c r="BP18" i="8"/>
  <c r="BS169" i="8"/>
  <c r="BS59" i="8"/>
  <c r="BT59" i="8" s="1"/>
  <c r="BQ50" i="8"/>
  <c r="BP80" i="8"/>
  <c r="BQ80" i="8" s="1"/>
  <c r="BS80" i="8" s="1"/>
  <c r="BT80" i="8" s="1"/>
  <c r="BU80" i="8" s="1"/>
  <c r="BV80" i="8" s="1"/>
  <c r="BX80" i="8" s="1"/>
  <c r="BP102" i="8"/>
  <c r="BP155" i="8"/>
  <c r="BS73" i="8"/>
  <c r="CH125" i="8"/>
  <c r="BS108" i="8"/>
  <c r="BP152" i="8"/>
  <c r="BQ39" i="8"/>
  <c r="BS39" i="8" s="1"/>
  <c r="CI82" i="8"/>
  <c r="CJ82" i="8" s="1"/>
  <c r="CK82" i="8" s="1"/>
  <c r="CM82" i="8" s="1"/>
  <c r="CN82" i="8" s="1"/>
  <c r="CO82" i="8" s="1"/>
  <c r="CP82" i="8" s="1"/>
  <c r="CR82" i="8" s="1"/>
  <c r="CS82" i="8" s="1"/>
  <c r="CT82" i="8" s="1"/>
  <c r="CU82" i="8" s="1"/>
  <c r="BP33" i="8"/>
  <c r="BP85" i="8"/>
  <c r="BQ56" i="8"/>
  <c r="BS56" i="8" s="1"/>
  <c r="BT56" i="8" s="1"/>
  <c r="BP24" i="8"/>
  <c r="BS46" i="8"/>
  <c r="BV151" i="8"/>
  <c r="BY88" i="8"/>
  <c r="BZ88" i="8" s="1"/>
  <c r="BP103" i="8"/>
  <c r="BP34" i="8"/>
  <c r="BP131" i="8"/>
  <c r="BP81" i="8"/>
  <c r="BU164" i="8"/>
  <c r="BS41" i="8"/>
  <c r="BT41" i="8" s="1"/>
  <c r="BU41" i="8" s="1"/>
  <c r="BV41" i="8" s="1"/>
  <c r="BV110" i="8"/>
  <c r="BX110" i="8" s="1"/>
  <c r="BY110" i="8" s="1"/>
  <c r="BZ110" i="8" s="1"/>
  <c r="CA110" i="8" s="1"/>
  <c r="CC110" i="8" s="1"/>
  <c r="CD110" i="8" s="1"/>
  <c r="CE110" i="8" s="1"/>
  <c r="CF110" i="8" s="1"/>
  <c r="CH110" i="8" s="1"/>
  <c r="CI110" i="8" s="1"/>
  <c r="CJ110" i="8" s="1"/>
  <c r="CK110" i="8" s="1"/>
  <c r="CM110" i="8" s="1"/>
  <c r="CN110" i="8" s="1"/>
  <c r="CO110" i="8" s="1"/>
  <c r="CP110" i="8" s="1"/>
  <c r="CR110" i="8" s="1"/>
  <c r="CS110" i="8" s="1"/>
  <c r="CT110" i="8" s="1"/>
  <c r="CU110" i="8" s="1"/>
  <c r="BV174" i="8"/>
  <c r="BX174" i="8" s="1"/>
  <c r="BY174" i="8" s="1"/>
  <c r="BZ174" i="8" s="1"/>
  <c r="CA174" i="8" s="1"/>
  <c r="CC174" i="8" s="1"/>
  <c r="BZ112" i="8"/>
  <c r="CA112" i="8" s="1"/>
  <c r="CC112" i="8" s="1"/>
  <c r="CD112" i="8" s="1"/>
  <c r="CE112" i="8" s="1"/>
  <c r="CF112" i="8" s="1"/>
  <c r="CH112" i="8" s="1"/>
  <c r="BQ127" i="8"/>
  <c r="BS127" i="8" s="1"/>
  <c r="BT127" i="8" s="1"/>
  <c r="BU127" i="8" s="1"/>
  <c r="BV127" i="8" s="1"/>
  <c r="CN149" i="8"/>
  <c r="CO149" i="8" s="1"/>
  <c r="CP149" i="8" s="1"/>
  <c r="CR149" i="8" s="1"/>
  <c r="CS149" i="8" s="1"/>
  <c r="CT149" i="8" s="1"/>
  <c r="CU149" i="8" s="1"/>
  <c r="BU11" i="8"/>
  <c r="BV11" i="8" s="1"/>
  <c r="BT72" i="8"/>
  <c r="BU35" i="8"/>
  <c r="BT17" i="8"/>
  <c r="BU14" i="8"/>
  <c r="BZ44" i="8"/>
  <c r="BX79" i="8"/>
  <c r="BU78" i="8"/>
  <c r="BV78" i="8" s="1"/>
  <c r="BX78" i="8" s="1"/>
  <c r="BY78" i="8" s="1"/>
  <c r="BZ78" i="8" s="1"/>
  <c r="CA78" i="8" s="1"/>
  <c r="CC78" i="8" s="1"/>
  <c r="CD78" i="8" s="1"/>
  <c r="BT53" i="8"/>
  <c r="BY77" i="8"/>
  <c r="BZ77" i="8" s="1"/>
  <c r="BU54" i="8"/>
  <c r="BV54" i="8" s="1"/>
  <c r="BX54" i="8" s="1"/>
  <c r="BY54" i="8" s="1"/>
  <c r="BZ54" i="8" s="1"/>
  <c r="CA54" i="8" s="1"/>
  <c r="CC54" i="8" s="1"/>
  <c r="CD54" i="8" s="1"/>
  <c r="CE54" i="8" s="1"/>
  <c r="CF54" i="8" s="1"/>
  <c r="CH54" i="8" s="1"/>
  <c r="CI54" i="8" s="1"/>
  <c r="CJ54" i="8" s="1"/>
  <c r="CK54" i="8" s="1"/>
  <c r="CM54" i="8" s="1"/>
  <c r="CN54" i="8" s="1"/>
  <c r="CO54" i="8" s="1"/>
  <c r="CP54" i="8" s="1"/>
  <c r="CR54" i="8" s="1"/>
  <c r="CS54" i="8" s="1"/>
  <c r="CT54" i="8" s="1"/>
  <c r="CU54" i="8" s="1"/>
  <c r="BU55" i="8"/>
  <c r="BV62" i="8"/>
  <c r="BU68" i="8"/>
  <c r="BS40" i="8"/>
  <c r="BT40" i="8" s="1"/>
  <c r="BU40" i="8" s="1"/>
  <c r="BT74" i="8"/>
  <c r="BU74" i="8" s="1"/>
  <c r="BV74" i="8" s="1"/>
  <c r="BX74" i="8" s="1"/>
  <c r="BY74" i="8" s="1"/>
  <c r="BZ74" i="8" s="1"/>
  <c r="CA74" i="8" s="1"/>
  <c r="CC74" i="8" s="1"/>
  <c r="CD74" i="8" s="1"/>
  <c r="CE74" i="8" s="1"/>
  <c r="CF74" i="8" s="1"/>
  <c r="CH74" i="8" s="1"/>
  <c r="BU51" i="8"/>
  <c r="BU42" i="8"/>
  <c r="BV42" i="8" s="1"/>
  <c r="BX42" i="8" s="1"/>
  <c r="BT10" i="8"/>
  <c r="BU10" i="8" s="1"/>
  <c r="BV10" i="8" s="1"/>
  <c r="BX10" i="8" s="1"/>
  <c r="BY10" i="8" s="1"/>
  <c r="BZ10" i="8" s="1"/>
  <c r="CA10" i="8" s="1"/>
  <c r="CC10" i="8" s="1"/>
  <c r="CD10" i="8" s="1"/>
  <c r="CE10" i="8" s="1"/>
  <c r="CF10" i="8" s="1"/>
  <c r="CH10" i="8" s="1"/>
  <c r="CI10" i="8" s="1"/>
  <c r="CJ10" i="8" s="1"/>
  <c r="CK10" i="8" s="1"/>
  <c r="CM10" i="8" s="1"/>
  <c r="CN10" i="8" s="1"/>
  <c r="CO10" i="8" s="1"/>
  <c r="CP10" i="8" s="1"/>
  <c r="CR10" i="8" s="1"/>
  <c r="CS10" i="8" s="1"/>
  <c r="CT10" i="8" s="1"/>
  <c r="CU10" i="8" s="1"/>
  <c r="BX13" i="8"/>
  <c r="BY13" i="8" s="1"/>
  <c r="BZ13" i="8" s="1"/>
  <c r="CA13" i="8" s="1"/>
  <c r="CC13" i="8" s="1"/>
  <c r="CD13" i="8" s="1"/>
  <c r="CE13" i="8" s="1"/>
  <c r="CF13" i="8" s="1"/>
  <c r="CH13" i="8" s="1"/>
  <c r="CI13" i="8" s="1"/>
  <c r="CJ13" i="8" s="1"/>
  <c r="CK13" i="8" s="1"/>
  <c r="CM13" i="8" s="1"/>
  <c r="CN13" i="8" s="1"/>
  <c r="CO13" i="8" s="1"/>
  <c r="CP13" i="8" s="1"/>
  <c r="CR13" i="8" s="1"/>
  <c r="CS13" i="8" s="1"/>
  <c r="CT13" i="8" s="1"/>
  <c r="CU13" i="8" s="1"/>
  <c r="BV64" i="8"/>
  <c r="BX64" i="8" s="1"/>
  <c r="BX22" i="8"/>
  <c r="BY22" i="8" s="1"/>
  <c r="BT23" i="8"/>
  <c r="BU23" i="8" s="1"/>
  <c r="BS70" i="8"/>
  <c r="Q101" i="4"/>
  <c r="Q98" i="4"/>
  <c r="Q92" i="4"/>
  <c r="R94" i="4"/>
  <c r="Q102" i="4"/>
  <c r="Q93" i="4"/>
  <c r="Q99" i="4"/>
  <c r="Q91" i="4"/>
  <c r="Q97" i="4"/>
  <c r="Q96" i="4"/>
  <c r="Q103" i="4"/>
  <c r="Q95" i="4"/>
  <c r="Q100" i="4"/>
  <c r="S87" i="4"/>
  <c r="Q88" i="4"/>
  <c r="Q89" i="4"/>
  <c r="R88" i="4"/>
  <c r="Q86" i="4"/>
  <c r="Q84" i="4"/>
  <c r="Q83" i="4"/>
  <c r="R82" i="4"/>
  <c r="Q81" i="4"/>
  <c r="Q15" i="4"/>
  <c r="Q80" i="4"/>
  <c r="Q18" i="4"/>
  <c r="R57" i="4"/>
  <c r="R59" i="4"/>
  <c r="R47" i="4"/>
  <c r="R79" i="4"/>
  <c r="Q52" i="4"/>
  <c r="Q77" i="4"/>
  <c r="Q13" i="4"/>
  <c r="Q58" i="4"/>
  <c r="Q30" i="4"/>
  <c r="Q31" i="4"/>
  <c r="Q28" i="4"/>
  <c r="Q46" i="4"/>
  <c r="Q55" i="4"/>
  <c r="R72" i="4"/>
  <c r="Q72" i="4"/>
  <c r="P45" i="4"/>
  <c r="P44" i="4"/>
  <c r="P68" i="4"/>
  <c r="Q12" i="4"/>
  <c r="P73" i="4"/>
  <c r="P49" i="4"/>
  <c r="P25" i="4"/>
  <c r="Q66" i="4"/>
  <c r="Q74" i="4"/>
  <c r="P74" i="4"/>
  <c r="P71" i="4"/>
  <c r="Q32" i="4"/>
  <c r="P32" i="4"/>
  <c r="P54" i="4"/>
  <c r="Q34" i="4"/>
  <c r="Q43" i="4"/>
  <c r="P41" i="4"/>
  <c r="BO9" i="8"/>
  <c r="P9" i="4"/>
  <c r="Q48" i="4"/>
  <c r="P72" i="4"/>
  <c r="P62" i="4"/>
  <c r="P16" i="4"/>
  <c r="P37" i="4"/>
  <c r="P64" i="4"/>
  <c r="P35" i="4"/>
  <c r="P11" i="4"/>
  <c r="P75" i="4"/>
  <c r="Q75" i="4"/>
  <c r="P24" i="4"/>
  <c r="P42" i="4"/>
  <c r="P36" i="4"/>
  <c r="Q29" i="4"/>
  <c r="P60" i="4"/>
  <c r="P38" i="4"/>
  <c r="Q39" i="4"/>
  <c r="P51" i="4"/>
  <c r="P21" i="4"/>
  <c r="P53" i="4"/>
  <c r="BE149" i="8"/>
  <c r="BE167" i="8"/>
  <c r="BE110" i="8"/>
  <c r="CE122" i="8" l="1"/>
  <c r="CF122" i="8" s="1"/>
  <c r="CH122" i="8" s="1"/>
  <c r="BY129" i="8"/>
  <c r="BZ129" i="8" s="1"/>
  <c r="CA129" i="8" s="1"/>
  <c r="CC129" i="8" s="1"/>
  <c r="CD129" i="8" s="1"/>
  <c r="CE129" i="8" s="1"/>
  <c r="CF129" i="8" s="1"/>
  <c r="CH129" i="8" s="1"/>
  <c r="CI129" i="8" s="1"/>
  <c r="CJ129" i="8" s="1"/>
  <c r="CK129" i="8" s="1"/>
  <c r="CM129" i="8" s="1"/>
  <c r="CN129" i="8" s="1"/>
  <c r="CO129" i="8" s="1"/>
  <c r="CI132" i="8"/>
  <c r="CJ132" i="8" s="1"/>
  <c r="CK132" i="8" s="1"/>
  <c r="CM132" i="8" s="1"/>
  <c r="BV76" i="8"/>
  <c r="BX76" i="8" s="1"/>
  <c r="BY76" i="8" s="1"/>
  <c r="BX107" i="8"/>
  <c r="BY107" i="8" s="1"/>
  <c r="BZ107" i="8" s="1"/>
  <c r="BU120" i="8"/>
  <c r="BV120" i="8" s="1"/>
  <c r="BX120" i="8" s="1"/>
  <c r="BY120" i="8" s="1"/>
  <c r="BZ120" i="8" s="1"/>
  <c r="CK159" i="8"/>
  <c r="CM159" i="8" s="1"/>
  <c r="CN159" i="8" s="1"/>
  <c r="CO159" i="8" s="1"/>
  <c r="CP159" i="8" s="1"/>
  <c r="CR159" i="8" s="1"/>
  <c r="CS159" i="8" s="1"/>
  <c r="CT159" i="8" s="1"/>
  <c r="CU159" i="8" s="1"/>
  <c r="BY15" i="8"/>
  <c r="BZ15" i="8" s="1"/>
  <c r="CA15" i="8" s="1"/>
  <c r="CC15" i="8" s="1"/>
  <c r="CD15" i="8" s="1"/>
  <c r="CE15" i="8" s="1"/>
  <c r="CF15" i="8" s="1"/>
  <c r="CH15" i="8" s="1"/>
  <c r="CI15" i="8" s="1"/>
  <c r="CJ15" i="8" s="1"/>
  <c r="CK15" i="8" s="1"/>
  <c r="CM15" i="8" s="1"/>
  <c r="CN15" i="8" s="1"/>
  <c r="CO15" i="8" s="1"/>
  <c r="CP15" i="8" s="1"/>
  <c r="CR15" i="8" s="1"/>
  <c r="CS15" i="8" s="1"/>
  <c r="CT15" i="8" s="1"/>
  <c r="CU15" i="8" s="1"/>
  <c r="BY145" i="8"/>
  <c r="BX150" i="8"/>
  <c r="BY150" i="8" s="1"/>
  <c r="BZ150" i="8" s="1"/>
  <c r="CA150" i="8" s="1"/>
  <c r="CC150" i="8" s="1"/>
  <c r="CD150" i="8" s="1"/>
  <c r="CE150" i="8" s="1"/>
  <c r="CF150" i="8" s="1"/>
  <c r="CH150" i="8" s="1"/>
  <c r="CA88" i="8"/>
  <c r="CC88" i="8" s="1"/>
  <c r="CD88" i="8" s="1"/>
  <c r="CE88" i="8" s="1"/>
  <c r="CF88" i="8" s="1"/>
  <c r="CH88" i="8" s="1"/>
  <c r="CH118" i="8"/>
  <c r="CI118" i="8" s="1"/>
  <c r="CJ118" i="8" s="1"/>
  <c r="CK118" i="8" s="1"/>
  <c r="CM118" i="8" s="1"/>
  <c r="CN118" i="8" s="1"/>
  <c r="CO118" i="8" s="1"/>
  <c r="CP118" i="8" s="1"/>
  <c r="CR118" i="8" s="1"/>
  <c r="CS118" i="8" s="1"/>
  <c r="CT118" i="8" s="1"/>
  <c r="CU118" i="8" s="1"/>
  <c r="BX41" i="8"/>
  <c r="BY41" i="8" s="1"/>
  <c r="BZ41" i="8" s="1"/>
  <c r="CA41" i="8" s="1"/>
  <c r="BZ113" i="8"/>
  <c r="CA113" i="8" s="1"/>
  <c r="BX65" i="8"/>
  <c r="BY65" i="8" s="1"/>
  <c r="BZ65" i="8" s="1"/>
  <c r="CA65" i="8" s="1"/>
  <c r="CC65" i="8" s="1"/>
  <c r="CD65" i="8" s="1"/>
  <c r="CE65" i="8" s="1"/>
  <c r="CF65" i="8" s="1"/>
  <c r="CH65" i="8" s="1"/>
  <c r="CI65" i="8" s="1"/>
  <c r="CJ65" i="8" s="1"/>
  <c r="CK65" i="8" s="1"/>
  <c r="CM65" i="8" s="1"/>
  <c r="CN65" i="8" s="1"/>
  <c r="CO65" i="8" s="1"/>
  <c r="CP65" i="8" s="1"/>
  <c r="CR65" i="8" s="1"/>
  <c r="CS65" i="8" s="1"/>
  <c r="CT65" i="8" s="1"/>
  <c r="CU65" i="8" s="1"/>
  <c r="BQ92" i="8"/>
  <c r="BS92" i="8" s="1"/>
  <c r="BS19" i="8"/>
  <c r="BU61" i="8"/>
  <c r="CI128" i="8"/>
  <c r="CJ128" i="8" s="1"/>
  <c r="CK128" i="8" s="1"/>
  <c r="CM128" i="8" s="1"/>
  <c r="BY95" i="8"/>
  <c r="BX106" i="8"/>
  <c r="BY106" i="8" s="1"/>
  <c r="BZ106" i="8" s="1"/>
  <c r="CA106" i="8" s="1"/>
  <c r="BU137" i="8"/>
  <c r="BV137" i="8" s="1"/>
  <c r="BX137" i="8" s="1"/>
  <c r="BY137" i="8" s="1"/>
  <c r="BZ137" i="8" s="1"/>
  <c r="CA137" i="8" s="1"/>
  <c r="CC137" i="8" s="1"/>
  <c r="CD137" i="8" s="1"/>
  <c r="CE137" i="8" s="1"/>
  <c r="CF137" i="8" s="1"/>
  <c r="CH137" i="8" s="1"/>
  <c r="CI137" i="8" s="1"/>
  <c r="CJ137" i="8" s="1"/>
  <c r="CK137" i="8" s="1"/>
  <c r="CM137" i="8" s="1"/>
  <c r="CI143" i="8"/>
  <c r="CJ143" i="8" s="1"/>
  <c r="BY37" i="8"/>
  <c r="BU161" i="8"/>
  <c r="BT105" i="8"/>
  <c r="BU105" i="8" s="1"/>
  <c r="BV105" i="8" s="1"/>
  <c r="BX105" i="8" s="1"/>
  <c r="BY105" i="8" s="1"/>
  <c r="BZ105" i="8" s="1"/>
  <c r="CA105" i="8" s="1"/>
  <c r="CC105" i="8" s="1"/>
  <c r="CD105" i="8" s="1"/>
  <c r="CE105" i="8" s="1"/>
  <c r="CF105" i="8" s="1"/>
  <c r="CH105" i="8" s="1"/>
  <c r="CI105" i="8" s="1"/>
  <c r="CJ105" i="8" s="1"/>
  <c r="CK105" i="8" s="1"/>
  <c r="CM105" i="8" s="1"/>
  <c r="CN105" i="8" s="1"/>
  <c r="CO105" i="8" s="1"/>
  <c r="CP105" i="8" s="1"/>
  <c r="CR105" i="8" s="1"/>
  <c r="CS105" i="8" s="1"/>
  <c r="CT105" i="8" s="1"/>
  <c r="CU105" i="8" s="1"/>
  <c r="BQ99" i="8"/>
  <c r="BT119" i="8"/>
  <c r="BU119" i="8" s="1"/>
  <c r="BV119" i="8" s="1"/>
  <c r="BX119" i="8" s="1"/>
  <c r="BY119" i="8" s="1"/>
  <c r="BU109" i="8"/>
  <c r="BV109" i="8" s="1"/>
  <c r="BT69" i="8"/>
  <c r="BU69" i="8" s="1"/>
  <c r="BV69" i="8" s="1"/>
  <c r="BX67" i="8"/>
  <c r="BQ34" i="8"/>
  <c r="BS34" i="8" s="1"/>
  <c r="BT34" i="8" s="1"/>
  <c r="BS160" i="8"/>
  <c r="BT160" i="8" s="1"/>
  <c r="BU157" i="8"/>
  <c r="BV157" i="8" s="1"/>
  <c r="BY80" i="8"/>
  <c r="BZ80" i="8" s="1"/>
  <c r="CA80" i="8" s="1"/>
  <c r="CC80" i="8" s="1"/>
  <c r="CD80" i="8" s="1"/>
  <c r="CE80" i="8" s="1"/>
  <c r="CF80" i="8" s="1"/>
  <c r="CH80" i="8" s="1"/>
  <c r="CI80" i="8" s="1"/>
  <c r="CJ80" i="8" s="1"/>
  <c r="CK80" i="8" s="1"/>
  <c r="CM80" i="8" s="1"/>
  <c r="BT114" i="8"/>
  <c r="BU114" i="8" s="1"/>
  <c r="BV20" i="8"/>
  <c r="BX20" i="8" s="1"/>
  <c r="BY20" i="8" s="1"/>
  <c r="BZ20" i="8" s="1"/>
  <c r="BZ173" i="8"/>
  <c r="CA173" i="8" s="1"/>
  <c r="CC173" i="8" s="1"/>
  <c r="CD173" i="8" s="1"/>
  <c r="CE173" i="8" s="1"/>
  <c r="R80" i="4"/>
  <c r="CA158" i="8"/>
  <c r="CC158" i="8" s="1"/>
  <c r="CD158" i="8" s="1"/>
  <c r="CE158" i="8" s="1"/>
  <c r="CF158" i="8" s="1"/>
  <c r="CH158" i="8" s="1"/>
  <c r="BV144" i="8"/>
  <c r="BX144" i="8" s="1"/>
  <c r="BY144" i="8" s="1"/>
  <c r="BT126" i="8"/>
  <c r="BU126" i="8" s="1"/>
  <c r="BV126" i="8" s="1"/>
  <c r="BX126" i="8" s="1"/>
  <c r="BY126" i="8" s="1"/>
  <c r="BZ126" i="8" s="1"/>
  <c r="CA126" i="8" s="1"/>
  <c r="BU29" i="8"/>
  <c r="BS154" i="8"/>
  <c r="BT154" i="8" s="1"/>
  <c r="BU154" i="8" s="1"/>
  <c r="BV154" i="8" s="1"/>
  <c r="BX154" i="8" s="1"/>
  <c r="BY154" i="8" s="1"/>
  <c r="BZ154" i="8" s="1"/>
  <c r="CA154" i="8" s="1"/>
  <c r="CC154" i="8" s="1"/>
  <c r="CD154" i="8" s="1"/>
  <c r="CE154" i="8" s="1"/>
  <c r="CF154" i="8" s="1"/>
  <c r="CH154" i="8" s="1"/>
  <c r="BV116" i="8"/>
  <c r="BX116" i="8" s="1"/>
  <c r="BZ123" i="8"/>
  <c r="CA123" i="8" s="1"/>
  <c r="CC123" i="8" s="1"/>
  <c r="CD123" i="8" s="1"/>
  <c r="CE123" i="8" s="1"/>
  <c r="CF123" i="8" s="1"/>
  <c r="CH123" i="8" s="1"/>
  <c r="BX90" i="8"/>
  <c r="BY90" i="8" s="1"/>
  <c r="BZ90" i="8" s="1"/>
  <c r="CA90" i="8" s="1"/>
  <c r="CC90" i="8" s="1"/>
  <c r="CD90" i="8" s="1"/>
  <c r="CE90" i="8" s="1"/>
  <c r="CF90" i="8" s="1"/>
  <c r="CH90" i="8" s="1"/>
  <c r="BX127" i="8"/>
  <c r="BY127" i="8" s="1"/>
  <c r="BZ127" i="8" s="1"/>
  <c r="CA127" i="8" s="1"/>
  <c r="CC127" i="8" s="1"/>
  <c r="CD127" i="8" s="1"/>
  <c r="CE127" i="8" s="1"/>
  <c r="CF127" i="8" s="1"/>
  <c r="CH127" i="8" s="1"/>
  <c r="BQ152" i="8"/>
  <c r="BS152" i="8" s="1"/>
  <c r="BT152" i="8" s="1"/>
  <c r="BU152" i="8" s="1"/>
  <c r="BQ18" i="8"/>
  <c r="BS18" i="8" s="1"/>
  <c r="BT32" i="8"/>
  <c r="BU32" i="8" s="1"/>
  <c r="BU43" i="8"/>
  <c r="BV43" i="8" s="1"/>
  <c r="BZ124" i="8"/>
  <c r="CA124" i="8" s="1"/>
  <c r="CC124" i="8" s="1"/>
  <c r="CD124" i="8" s="1"/>
  <c r="BV164" i="8"/>
  <c r="BQ85" i="8"/>
  <c r="BS166" i="8"/>
  <c r="BT166" i="8" s="1"/>
  <c r="BU166" i="8" s="1"/>
  <c r="BV166" i="8" s="1"/>
  <c r="BX166" i="8" s="1"/>
  <c r="BY166" i="8" s="1"/>
  <c r="BZ166" i="8" s="1"/>
  <c r="CA166" i="8" s="1"/>
  <c r="CC166" i="8" s="1"/>
  <c r="CD166" i="8" s="1"/>
  <c r="CE166" i="8" s="1"/>
  <c r="CF166" i="8" s="1"/>
  <c r="CH166" i="8" s="1"/>
  <c r="BX140" i="8"/>
  <c r="BY168" i="8"/>
  <c r="BU56" i="8"/>
  <c r="BV56" i="8" s="1"/>
  <c r="BX56" i="8" s="1"/>
  <c r="BY56" i="8" s="1"/>
  <c r="BZ56" i="8" s="1"/>
  <c r="CA56" i="8" s="1"/>
  <c r="CC56" i="8" s="1"/>
  <c r="CD56" i="8" s="1"/>
  <c r="CE56" i="8" s="1"/>
  <c r="CF56" i="8" s="1"/>
  <c r="CH56" i="8" s="1"/>
  <c r="CI56" i="8" s="1"/>
  <c r="CJ56" i="8" s="1"/>
  <c r="CK56" i="8" s="1"/>
  <c r="CM56" i="8" s="1"/>
  <c r="CN56" i="8" s="1"/>
  <c r="CO56" i="8" s="1"/>
  <c r="CP56" i="8" s="1"/>
  <c r="CR56" i="8" s="1"/>
  <c r="CS56" i="8" s="1"/>
  <c r="CT56" i="8" s="1"/>
  <c r="CU56" i="8" s="1"/>
  <c r="BY172" i="8"/>
  <c r="BQ103" i="8"/>
  <c r="BS103" i="8" s="1"/>
  <c r="BT103" i="8" s="1"/>
  <c r="BQ33" i="8"/>
  <c r="BU36" i="8"/>
  <c r="BV36" i="8" s="1"/>
  <c r="BT130" i="8"/>
  <c r="BQ89" i="8"/>
  <c r="S89" i="4" s="1"/>
  <c r="BS93" i="8"/>
  <c r="BT93" i="8" s="1"/>
  <c r="BU93" i="8" s="1"/>
  <c r="BV93" i="8" s="1"/>
  <c r="BX93" i="8" s="1"/>
  <c r="BY93" i="8" s="1"/>
  <c r="CI88" i="8"/>
  <c r="CJ88" i="8" s="1"/>
  <c r="CK88" i="8" s="1"/>
  <c r="CM88" i="8" s="1"/>
  <c r="BV75" i="8"/>
  <c r="BU63" i="8"/>
  <c r="BV63" i="8" s="1"/>
  <c r="BU57" i="8"/>
  <c r="BQ38" i="8"/>
  <c r="CI87" i="8"/>
  <c r="CJ87" i="8" s="1"/>
  <c r="CK87" i="8" s="1"/>
  <c r="CM87" i="8" s="1"/>
  <c r="CN87" i="8" s="1"/>
  <c r="CO87" i="8" s="1"/>
  <c r="CP87" i="8" s="1"/>
  <c r="CR87" i="8" s="1"/>
  <c r="CI162" i="8"/>
  <c r="CJ162" i="8" s="1"/>
  <c r="CK162" i="8" s="1"/>
  <c r="CM162" i="8" s="1"/>
  <c r="CN162" i="8" s="1"/>
  <c r="CO162" i="8" s="1"/>
  <c r="CP162" i="8" s="1"/>
  <c r="CR162" i="8" s="1"/>
  <c r="CS162" i="8" s="1"/>
  <c r="CT162" i="8" s="1"/>
  <c r="CU162" i="8" s="1"/>
  <c r="BU148" i="8"/>
  <c r="BV148" i="8" s="1"/>
  <c r="BX148" i="8" s="1"/>
  <c r="BY148" i="8" s="1"/>
  <c r="BZ148" i="8" s="1"/>
  <c r="CA148" i="8" s="1"/>
  <c r="BU121" i="8"/>
  <c r="BV121" i="8" s="1"/>
  <c r="BX121" i="8" s="1"/>
  <c r="BY121" i="8" s="1"/>
  <c r="BZ121" i="8" s="1"/>
  <c r="CA121" i="8" s="1"/>
  <c r="CC121" i="8" s="1"/>
  <c r="CD121" i="8" s="1"/>
  <c r="CE121" i="8" s="1"/>
  <c r="CF121" i="8" s="1"/>
  <c r="CH121" i="8" s="1"/>
  <c r="CI121" i="8" s="1"/>
  <c r="CJ121" i="8" s="1"/>
  <c r="CK121" i="8" s="1"/>
  <c r="CM121" i="8" s="1"/>
  <c r="BX25" i="8"/>
  <c r="BY25" i="8" s="1"/>
  <c r="BZ25" i="8" s="1"/>
  <c r="CA25" i="8" s="1"/>
  <c r="BT171" i="8"/>
  <c r="BU171" i="8" s="1"/>
  <c r="BV171" i="8" s="1"/>
  <c r="BX171" i="8" s="1"/>
  <c r="BY171" i="8" s="1"/>
  <c r="BZ171" i="8" s="1"/>
  <c r="CA171" i="8" s="1"/>
  <c r="CC171" i="8" s="1"/>
  <c r="CD171" i="8" s="1"/>
  <c r="CE171" i="8" s="1"/>
  <c r="CF171" i="8" s="1"/>
  <c r="CH171" i="8" s="1"/>
  <c r="BQ81" i="8"/>
  <c r="BS81" i="8" s="1"/>
  <c r="BX151" i="8"/>
  <c r="BY151" i="8" s="1"/>
  <c r="BZ151" i="8" s="1"/>
  <c r="CA151" i="8" s="1"/>
  <c r="CC151" i="8" s="1"/>
  <c r="CD151" i="8" s="1"/>
  <c r="CE151" i="8" s="1"/>
  <c r="CF151" i="8" s="1"/>
  <c r="CH151" i="8" s="1"/>
  <c r="CI125" i="8"/>
  <c r="CI122" i="8"/>
  <c r="CJ122" i="8" s="1"/>
  <c r="CK122" i="8" s="1"/>
  <c r="CM122" i="8" s="1"/>
  <c r="CN122" i="8" s="1"/>
  <c r="CO122" i="8" s="1"/>
  <c r="CP122" i="8" s="1"/>
  <c r="CR122" i="8" s="1"/>
  <c r="CS122" i="8" s="1"/>
  <c r="CT122" i="8" s="1"/>
  <c r="CU122" i="8" s="1"/>
  <c r="BQ138" i="8"/>
  <c r="BQ58" i="8"/>
  <c r="BQ16" i="8"/>
  <c r="BU142" i="8"/>
  <c r="BV100" i="8"/>
  <c r="BX100" i="8" s="1"/>
  <c r="BT108" i="8"/>
  <c r="BT141" i="8"/>
  <c r="BQ97" i="8"/>
  <c r="BQ136" i="8"/>
  <c r="BT139" i="8"/>
  <c r="BU139" i="8" s="1"/>
  <c r="BV139" i="8" s="1"/>
  <c r="BX139" i="8" s="1"/>
  <c r="BY139" i="8" s="1"/>
  <c r="BZ139" i="8" s="1"/>
  <c r="CA139" i="8" s="1"/>
  <c r="CC139" i="8" s="1"/>
  <c r="CD139" i="8" s="1"/>
  <c r="CE139" i="8" s="1"/>
  <c r="CF139" i="8" s="1"/>
  <c r="CH139" i="8" s="1"/>
  <c r="R85" i="4"/>
  <c r="CD174" i="8"/>
  <c r="CE174" i="8" s="1"/>
  <c r="CF174" i="8" s="1"/>
  <c r="CH174" i="8" s="1"/>
  <c r="BQ131" i="8"/>
  <c r="BS131" i="8" s="1"/>
  <c r="BT131" i="8" s="1"/>
  <c r="BU131" i="8" s="1"/>
  <c r="BV131" i="8" s="1"/>
  <c r="BX131" i="8" s="1"/>
  <c r="BY131" i="8" s="1"/>
  <c r="BZ131" i="8" s="1"/>
  <c r="CA131" i="8" s="1"/>
  <c r="CC131" i="8" s="1"/>
  <c r="CD131" i="8" s="1"/>
  <c r="CE131" i="8" s="1"/>
  <c r="CF131" i="8" s="1"/>
  <c r="CH131" i="8" s="1"/>
  <c r="BU135" i="8"/>
  <c r="BQ21" i="8"/>
  <c r="BS21" i="8" s="1"/>
  <c r="BT21" i="8" s="1"/>
  <c r="CA120" i="8"/>
  <c r="CC120" i="8" s="1"/>
  <c r="CD120" i="8" s="1"/>
  <c r="CE120" i="8" s="1"/>
  <c r="CF120" i="8" s="1"/>
  <c r="CH120" i="8" s="1"/>
  <c r="BQ49" i="8"/>
  <c r="BV147" i="8"/>
  <c r="CE133" i="8"/>
  <c r="CF133" i="8" s="1"/>
  <c r="CH133" i="8" s="1"/>
  <c r="CI133" i="8" s="1"/>
  <c r="CJ133" i="8" s="1"/>
  <c r="CK133" i="8" s="1"/>
  <c r="CM133" i="8" s="1"/>
  <c r="BU31" i="8"/>
  <c r="BV31" i="8" s="1"/>
  <c r="BX31" i="8" s="1"/>
  <c r="BY31" i="8" s="1"/>
  <c r="BZ31" i="8" s="1"/>
  <c r="CA31" i="8" s="1"/>
  <c r="CC31" i="8" s="1"/>
  <c r="CD31" i="8" s="1"/>
  <c r="CE31" i="8" s="1"/>
  <c r="CF31" i="8" s="1"/>
  <c r="CH31" i="8" s="1"/>
  <c r="CI31" i="8" s="1"/>
  <c r="CJ31" i="8" s="1"/>
  <c r="CK31" i="8" s="1"/>
  <c r="CM31" i="8" s="1"/>
  <c r="CN31" i="8" s="1"/>
  <c r="CO31" i="8" s="1"/>
  <c r="CP31" i="8" s="1"/>
  <c r="CR31" i="8" s="1"/>
  <c r="CS31" i="8" s="1"/>
  <c r="CT31" i="8" s="1"/>
  <c r="CU31" i="8" s="1"/>
  <c r="BT73" i="8"/>
  <c r="BV104" i="8"/>
  <c r="CA12" i="8"/>
  <c r="BQ84" i="8"/>
  <c r="S84" i="4" s="1"/>
  <c r="CI134" i="8"/>
  <c r="CJ134" i="8" s="1"/>
  <c r="CK134" i="8" s="1"/>
  <c r="CM134" i="8" s="1"/>
  <c r="CN134" i="8" s="1"/>
  <c r="CO134" i="8" s="1"/>
  <c r="CP134" i="8" s="1"/>
  <c r="CR134" i="8" s="1"/>
  <c r="CS134" i="8" s="1"/>
  <c r="CT134" i="8" s="1"/>
  <c r="CU134" i="8" s="1"/>
  <c r="BS30" i="8"/>
  <c r="BU117" i="8"/>
  <c r="BQ101" i="8"/>
  <c r="BS101" i="8" s="1"/>
  <c r="BT101" i="8" s="1"/>
  <c r="BT46" i="8"/>
  <c r="BQ91" i="8"/>
  <c r="BU71" i="8"/>
  <c r="BV71" i="8" s="1"/>
  <c r="BX45" i="8"/>
  <c r="BV165" i="8"/>
  <c r="BX165" i="8" s="1"/>
  <c r="BY165" i="8" s="1"/>
  <c r="BZ165" i="8" s="1"/>
  <c r="CA165" i="8" s="1"/>
  <c r="CC165" i="8" s="1"/>
  <c r="CD165" i="8" s="1"/>
  <c r="CE165" i="8" s="1"/>
  <c r="CF165" i="8" s="1"/>
  <c r="CH165" i="8" s="1"/>
  <c r="CI165" i="8" s="1"/>
  <c r="CJ165" i="8" s="1"/>
  <c r="CK165" i="8" s="1"/>
  <c r="CM165" i="8" s="1"/>
  <c r="BX47" i="8"/>
  <c r="CE98" i="8"/>
  <c r="CF98" i="8" s="1"/>
  <c r="CH98" i="8" s="1"/>
  <c r="BQ155" i="8"/>
  <c r="BU59" i="8"/>
  <c r="BV59" i="8" s="1"/>
  <c r="BT28" i="8"/>
  <c r="BU28" i="8" s="1"/>
  <c r="BV28" i="8" s="1"/>
  <c r="BQ96" i="8"/>
  <c r="BS96" i="8" s="1"/>
  <c r="BT96" i="8" s="1"/>
  <c r="BU96" i="8" s="1"/>
  <c r="BV96" i="8" s="1"/>
  <c r="BX96" i="8" s="1"/>
  <c r="BY96" i="8" s="1"/>
  <c r="BZ96" i="8" s="1"/>
  <c r="CA96" i="8" s="1"/>
  <c r="CC96" i="8" s="1"/>
  <c r="CD96" i="8" s="1"/>
  <c r="CE96" i="8" s="1"/>
  <c r="CF96" i="8" s="1"/>
  <c r="CH96" i="8" s="1"/>
  <c r="CI96" i="8" s="1"/>
  <c r="CJ96" i="8" s="1"/>
  <c r="CK96" i="8" s="1"/>
  <c r="CM96" i="8" s="1"/>
  <c r="BV26" i="8"/>
  <c r="BX26" i="8" s="1"/>
  <c r="BY26" i="8" s="1"/>
  <c r="BX83" i="8"/>
  <c r="BQ102" i="8"/>
  <c r="BS102" i="8" s="1"/>
  <c r="BT102" i="8" s="1"/>
  <c r="BU102" i="8" s="1"/>
  <c r="BV102" i="8" s="1"/>
  <c r="BX102" i="8" s="1"/>
  <c r="BY102" i="8" s="1"/>
  <c r="BT60" i="8"/>
  <c r="BU60" i="8" s="1"/>
  <c r="BV60" i="8" s="1"/>
  <c r="BX60" i="8" s="1"/>
  <c r="BY60" i="8" s="1"/>
  <c r="BZ60" i="8" s="1"/>
  <c r="CA60" i="8" s="1"/>
  <c r="CC60" i="8" s="1"/>
  <c r="BY115" i="8"/>
  <c r="BT39" i="8"/>
  <c r="BU39" i="8" s="1"/>
  <c r="BV39" i="8" s="1"/>
  <c r="BQ27" i="8"/>
  <c r="CC106" i="8"/>
  <c r="BY111" i="8"/>
  <c r="BT153" i="8"/>
  <c r="BU153" i="8" s="1"/>
  <c r="CI94" i="8"/>
  <c r="CJ94" i="8" s="1"/>
  <c r="CK94" i="8" s="1"/>
  <c r="CM94" i="8" s="1"/>
  <c r="CN94" i="8" s="1"/>
  <c r="CO94" i="8" s="1"/>
  <c r="CP94" i="8" s="1"/>
  <c r="CR94" i="8" s="1"/>
  <c r="CS94" i="8" s="1"/>
  <c r="CT94" i="8" s="1"/>
  <c r="CU94" i="8" s="1"/>
  <c r="BS50" i="8"/>
  <c r="BQ24" i="8"/>
  <c r="BT169" i="8"/>
  <c r="BV156" i="8"/>
  <c r="CI112" i="8"/>
  <c r="CJ112" i="8" s="1"/>
  <c r="CK112" i="8" s="1"/>
  <c r="CM112" i="8" s="1"/>
  <c r="CN132" i="8"/>
  <c r="CO132" i="8" s="1"/>
  <c r="CP132" i="8" s="1"/>
  <c r="CR132" i="8" s="1"/>
  <c r="CS132" i="8" s="1"/>
  <c r="CT132" i="8" s="1"/>
  <c r="CU132" i="8" s="1"/>
  <c r="BU163" i="8"/>
  <c r="BV163" i="8" s="1"/>
  <c r="BX163" i="8" s="1"/>
  <c r="BY163" i="8" s="1"/>
  <c r="BZ163" i="8" s="1"/>
  <c r="CA163" i="8" s="1"/>
  <c r="CC163" i="8" s="1"/>
  <c r="CD163" i="8" s="1"/>
  <c r="CE163" i="8" s="1"/>
  <c r="CF163" i="8" s="1"/>
  <c r="CH163" i="8" s="1"/>
  <c r="BS66" i="8"/>
  <c r="BT66" i="8" s="1"/>
  <c r="BZ22" i="8"/>
  <c r="CA22" i="8" s="1"/>
  <c r="CC22" i="8" s="1"/>
  <c r="CD22" i="8" s="1"/>
  <c r="CE22" i="8" s="1"/>
  <c r="CF22" i="8" s="1"/>
  <c r="CH22" i="8" s="1"/>
  <c r="CI22" i="8" s="1"/>
  <c r="CJ22" i="8" s="1"/>
  <c r="CK22" i="8" s="1"/>
  <c r="BX11" i="8"/>
  <c r="BY11" i="8" s="1"/>
  <c r="CC41" i="8"/>
  <c r="CA77" i="8"/>
  <c r="CC77" i="8" s="1"/>
  <c r="CD77" i="8" s="1"/>
  <c r="CE77" i="8" s="1"/>
  <c r="CF77" i="8" s="1"/>
  <c r="CH77" i="8" s="1"/>
  <c r="CI77" i="8" s="1"/>
  <c r="CJ77" i="8" s="1"/>
  <c r="CK77" i="8" s="1"/>
  <c r="CM77" i="8" s="1"/>
  <c r="BY64" i="8"/>
  <c r="BZ64" i="8" s="1"/>
  <c r="CA64" i="8" s="1"/>
  <c r="CC64" i="8" s="1"/>
  <c r="CD64" i="8" s="1"/>
  <c r="CE64" i="8" s="1"/>
  <c r="CF64" i="8" s="1"/>
  <c r="CH64" i="8" s="1"/>
  <c r="CI64" i="8" s="1"/>
  <c r="CJ64" i="8" s="1"/>
  <c r="CK64" i="8" s="1"/>
  <c r="CM64" i="8" s="1"/>
  <c r="CN64" i="8" s="1"/>
  <c r="CO64" i="8" s="1"/>
  <c r="CP64" i="8" s="1"/>
  <c r="CR64" i="8" s="1"/>
  <c r="CS64" i="8" s="1"/>
  <c r="CT64" i="8" s="1"/>
  <c r="CU64" i="8" s="1"/>
  <c r="CI74" i="8"/>
  <c r="CJ74" i="8" s="1"/>
  <c r="CK74" i="8" s="1"/>
  <c r="CM74" i="8" s="1"/>
  <c r="CN74" i="8" s="1"/>
  <c r="CO74" i="8" s="1"/>
  <c r="CP74" i="8" s="1"/>
  <c r="CR74" i="8" s="1"/>
  <c r="CS74" i="8" s="1"/>
  <c r="CT74" i="8" s="1"/>
  <c r="CU74" i="8" s="1"/>
  <c r="BV40" i="8"/>
  <c r="BX40" i="8" s="1"/>
  <c r="BY40" i="8" s="1"/>
  <c r="BZ40" i="8" s="1"/>
  <c r="CA40" i="8" s="1"/>
  <c r="CC40" i="8" s="1"/>
  <c r="CD40" i="8" s="1"/>
  <c r="CE40" i="8" s="1"/>
  <c r="CF40" i="8" s="1"/>
  <c r="CH40" i="8" s="1"/>
  <c r="CI40" i="8" s="1"/>
  <c r="CJ40" i="8" s="1"/>
  <c r="CK40" i="8" s="1"/>
  <c r="CM40" i="8" s="1"/>
  <c r="CN40" i="8" s="1"/>
  <c r="CO40" i="8" s="1"/>
  <c r="CP40" i="8" s="1"/>
  <c r="CR40" i="8" s="1"/>
  <c r="CS40" i="8" s="1"/>
  <c r="CT40" i="8" s="1"/>
  <c r="CU40" i="8" s="1"/>
  <c r="BY42" i="8"/>
  <c r="BZ42" i="8" s="1"/>
  <c r="CA42" i="8" s="1"/>
  <c r="CC42" i="8" s="1"/>
  <c r="CD42" i="8" s="1"/>
  <c r="CE42" i="8" s="1"/>
  <c r="CF42" i="8" s="1"/>
  <c r="CH42" i="8" s="1"/>
  <c r="CI42" i="8" s="1"/>
  <c r="CJ42" i="8" s="1"/>
  <c r="CK42" i="8" s="1"/>
  <c r="CM42" i="8" s="1"/>
  <c r="CN42" i="8" s="1"/>
  <c r="CO42" i="8" s="1"/>
  <c r="CP42" i="8" s="1"/>
  <c r="CR42" i="8" s="1"/>
  <c r="CS42" i="8" s="1"/>
  <c r="CT42" i="8" s="1"/>
  <c r="CU42" i="8" s="1"/>
  <c r="BV23" i="8"/>
  <c r="BX23" i="8" s="1"/>
  <c r="BY23" i="8" s="1"/>
  <c r="BZ23" i="8" s="1"/>
  <c r="CA23" i="8" s="1"/>
  <c r="CC23" i="8" s="1"/>
  <c r="CD23" i="8" s="1"/>
  <c r="CE23" i="8" s="1"/>
  <c r="CF23" i="8" s="1"/>
  <c r="CH23" i="8" s="1"/>
  <c r="CI23" i="8" s="1"/>
  <c r="CJ23" i="8" s="1"/>
  <c r="CK23" i="8" s="1"/>
  <c r="CM23" i="8" s="1"/>
  <c r="CN23" i="8" s="1"/>
  <c r="CO23" i="8" s="1"/>
  <c r="CP23" i="8" s="1"/>
  <c r="CR23" i="8" s="1"/>
  <c r="CS23" i="8" s="1"/>
  <c r="CT23" i="8" s="1"/>
  <c r="CU23" i="8" s="1"/>
  <c r="BV55" i="8"/>
  <c r="BX55" i="8" s="1"/>
  <c r="BY55" i="8" s="1"/>
  <c r="BZ55" i="8" s="1"/>
  <c r="CA55" i="8" s="1"/>
  <c r="CC55" i="8" s="1"/>
  <c r="CD55" i="8" s="1"/>
  <c r="CE55" i="8" s="1"/>
  <c r="CF55" i="8" s="1"/>
  <c r="CH55" i="8" s="1"/>
  <c r="CI55" i="8" s="1"/>
  <c r="CJ55" i="8" s="1"/>
  <c r="CK55" i="8" s="1"/>
  <c r="CM55" i="8" s="1"/>
  <c r="CN55" i="8" s="1"/>
  <c r="CO55" i="8" s="1"/>
  <c r="CP55" i="8" s="1"/>
  <c r="CR55" i="8" s="1"/>
  <c r="CS55" i="8" s="1"/>
  <c r="CT55" i="8" s="1"/>
  <c r="CU55" i="8" s="1"/>
  <c r="BY79" i="8"/>
  <c r="BZ79" i="8" s="1"/>
  <c r="CA79" i="8" s="1"/>
  <c r="BT70" i="8"/>
  <c r="BU53" i="8"/>
  <c r="BV53" i="8" s="1"/>
  <c r="BX53" i="8" s="1"/>
  <c r="BY53" i="8" s="1"/>
  <c r="BZ53" i="8" s="1"/>
  <c r="CA53" i="8" s="1"/>
  <c r="CC53" i="8" s="1"/>
  <c r="CD53" i="8" s="1"/>
  <c r="CE53" i="8" s="1"/>
  <c r="CF53" i="8" s="1"/>
  <c r="CH53" i="8" s="1"/>
  <c r="CI53" i="8" s="1"/>
  <c r="CJ53" i="8" s="1"/>
  <c r="CK53" i="8" s="1"/>
  <c r="CM53" i="8" s="1"/>
  <c r="CN53" i="8" s="1"/>
  <c r="CO53" i="8" s="1"/>
  <c r="CP53" i="8" s="1"/>
  <c r="CR53" i="8" s="1"/>
  <c r="CS53" i="8" s="1"/>
  <c r="CT53" i="8" s="1"/>
  <c r="CU53" i="8" s="1"/>
  <c r="BZ37" i="8"/>
  <c r="CA37" i="8" s="1"/>
  <c r="CC37" i="8" s="1"/>
  <c r="CD37" i="8" s="1"/>
  <c r="CE37" i="8" s="1"/>
  <c r="CF37" i="8" s="1"/>
  <c r="CH37" i="8" s="1"/>
  <c r="CI37" i="8" s="1"/>
  <c r="CJ37" i="8" s="1"/>
  <c r="CK37" i="8" s="1"/>
  <c r="CM37" i="8" s="1"/>
  <c r="CN37" i="8" s="1"/>
  <c r="CO37" i="8" s="1"/>
  <c r="CP37" i="8" s="1"/>
  <c r="CR37" i="8" s="1"/>
  <c r="CS37" i="8" s="1"/>
  <c r="CT37" i="8" s="1"/>
  <c r="CU37" i="8" s="1"/>
  <c r="BV48" i="8"/>
  <c r="BX48" i="8" s="1"/>
  <c r="BY48" i="8" s="1"/>
  <c r="BZ48" i="8" s="1"/>
  <c r="CA48" i="8" s="1"/>
  <c r="CC48" i="8" s="1"/>
  <c r="CD48" i="8" s="1"/>
  <c r="CE48" i="8" s="1"/>
  <c r="CF48" i="8" s="1"/>
  <c r="CH48" i="8" s="1"/>
  <c r="CI48" i="8" s="1"/>
  <c r="CJ48" i="8" s="1"/>
  <c r="CK48" i="8" s="1"/>
  <c r="CM48" i="8" s="1"/>
  <c r="CN48" i="8" s="1"/>
  <c r="CO48" i="8" s="1"/>
  <c r="CP48" i="8" s="1"/>
  <c r="CR48" i="8" s="1"/>
  <c r="CS48" i="8" s="1"/>
  <c r="CT48" i="8" s="1"/>
  <c r="CU48" i="8" s="1"/>
  <c r="BV68" i="8"/>
  <c r="BX68" i="8" s="1"/>
  <c r="BY68" i="8" s="1"/>
  <c r="BZ68" i="8" s="1"/>
  <c r="CA68" i="8" s="1"/>
  <c r="CC68" i="8" s="1"/>
  <c r="CD68" i="8" s="1"/>
  <c r="CE68" i="8" s="1"/>
  <c r="CF68" i="8" s="1"/>
  <c r="CH68" i="8" s="1"/>
  <c r="CI68" i="8" s="1"/>
  <c r="CJ68" i="8" s="1"/>
  <c r="CK68" i="8" s="1"/>
  <c r="CM68" i="8" s="1"/>
  <c r="CN68" i="8" s="1"/>
  <c r="CO68" i="8" s="1"/>
  <c r="CP68" i="8" s="1"/>
  <c r="CR68" i="8" s="1"/>
  <c r="CS68" i="8" s="1"/>
  <c r="CT68" i="8" s="1"/>
  <c r="CU68" i="8" s="1"/>
  <c r="BV35" i="8"/>
  <c r="BX35" i="8" s="1"/>
  <c r="BY35" i="8" s="1"/>
  <c r="BZ35" i="8" s="1"/>
  <c r="CA35" i="8" s="1"/>
  <c r="CC35" i="8" s="1"/>
  <c r="CD35" i="8" s="1"/>
  <c r="CE35" i="8" s="1"/>
  <c r="CF35" i="8" s="1"/>
  <c r="CH35" i="8" s="1"/>
  <c r="CI35" i="8" s="1"/>
  <c r="CJ35" i="8" s="1"/>
  <c r="CK35" i="8" s="1"/>
  <c r="CM35" i="8" s="1"/>
  <c r="CN35" i="8" s="1"/>
  <c r="CO35" i="8" s="1"/>
  <c r="CP35" i="8" s="1"/>
  <c r="CR35" i="8" s="1"/>
  <c r="CS35" i="8" s="1"/>
  <c r="CT35" i="8" s="1"/>
  <c r="CU35" i="8" s="1"/>
  <c r="BU17" i="8"/>
  <c r="BV17" i="8" s="1"/>
  <c r="BX17" i="8" s="1"/>
  <c r="BY17" i="8" s="1"/>
  <c r="BZ17" i="8" s="1"/>
  <c r="CA17" i="8" s="1"/>
  <c r="CC17" i="8" s="1"/>
  <c r="CD17" i="8" s="1"/>
  <c r="CE17" i="8" s="1"/>
  <c r="CF17" i="8" s="1"/>
  <c r="CH17" i="8" s="1"/>
  <c r="CI17" i="8" s="1"/>
  <c r="CJ17" i="8" s="1"/>
  <c r="CK17" i="8" s="1"/>
  <c r="CM17" i="8" s="1"/>
  <c r="CN17" i="8" s="1"/>
  <c r="CO17" i="8" s="1"/>
  <c r="CP17" i="8" s="1"/>
  <c r="CR17" i="8" s="1"/>
  <c r="CS17" i="8" s="1"/>
  <c r="CT17" i="8" s="1"/>
  <c r="CU17" i="8" s="1"/>
  <c r="CA44" i="8"/>
  <c r="CC44" i="8" s="1"/>
  <c r="CD44" i="8" s="1"/>
  <c r="CE44" i="8" s="1"/>
  <c r="CF44" i="8" s="1"/>
  <c r="CH44" i="8" s="1"/>
  <c r="CI44" i="8" s="1"/>
  <c r="CJ44" i="8" s="1"/>
  <c r="CK44" i="8" s="1"/>
  <c r="CM44" i="8" s="1"/>
  <c r="CN44" i="8" s="1"/>
  <c r="CO44" i="8" s="1"/>
  <c r="CP44" i="8" s="1"/>
  <c r="CR44" i="8" s="1"/>
  <c r="CS44" i="8" s="1"/>
  <c r="CT44" i="8" s="1"/>
  <c r="CU44" i="8" s="1"/>
  <c r="CE78" i="8"/>
  <c r="CF78" i="8" s="1"/>
  <c r="CH78" i="8" s="1"/>
  <c r="BZ76" i="8"/>
  <c r="CA76" i="8" s="1"/>
  <c r="CC76" i="8" s="1"/>
  <c r="CD76" i="8" s="1"/>
  <c r="CE76" i="8" s="1"/>
  <c r="CF76" i="8" s="1"/>
  <c r="CH76" i="8" s="1"/>
  <c r="BV14" i="8"/>
  <c r="BX14" i="8" s="1"/>
  <c r="BY14" i="8" s="1"/>
  <c r="BZ14" i="8" s="1"/>
  <c r="CA14" i="8" s="1"/>
  <c r="CC14" i="8" s="1"/>
  <c r="CD14" i="8" s="1"/>
  <c r="CE14" i="8" s="1"/>
  <c r="CF14" i="8" s="1"/>
  <c r="CH14" i="8" s="1"/>
  <c r="CI14" i="8" s="1"/>
  <c r="CJ14" i="8" s="1"/>
  <c r="BX62" i="8"/>
  <c r="BY62" i="8" s="1"/>
  <c r="BZ62" i="8" s="1"/>
  <c r="CA62" i="8" s="1"/>
  <c r="CC62" i="8" s="1"/>
  <c r="CD62" i="8" s="1"/>
  <c r="BV51" i="8"/>
  <c r="BU72" i="8"/>
  <c r="BV72" i="8" s="1"/>
  <c r="BX72" i="8" s="1"/>
  <c r="BY72" i="8" s="1"/>
  <c r="BZ72" i="8" s="1"/>
  <c r="CA72" i="8" s="1"/>
  <c r="CC72" i="8" s="1"/>
  <c r="CD72" i="8" s="1"/>
  <c r="CE72" i="8" s="1"/>
  <c r="CF72" i="8" s="1"/>
  <c r="CH72" i="8" s="1"/>
  <c r="R98" i="4"/>
  <c r="R92" i="4"/>
  <c r="R99" i="4"/>
  <c r="R97" i="4"/>
  <c r="R103" i="4"/>
  <c r="R91" i="4"/>
  <c r="R100" i="4"/>
  <c r="R96" i="4"/>
  <c r="R104" i="4"/>
  <c r="R93" i="4"/>
  <c r="R95" i="4"/>
  <c r="R102" i="4"/>
  <c r="S94" i="4"/>
  <c r="R101" i="4"/>
  <c r="U87" i="4"/>
  <c r="R87" i="4"/>
  <c r="R90" i="4"/>
  <c r="S88" i="4"/>
  <c r="S85" i="4"/>
  <c r="R86" i="4"/>
  <c r="U86" i="4"/>
  <c r="R84" i="4"/>
  <c r="R83" i="4"/>
  <c r="U82" i="4"/>
  <c r="S82" i="4"/>
  <c r="S81" i="4"/>
  <c r="R81" i="4"/>
  <c r="S80" i="4"/>
  <c r="S18" i="4"/>
  <c r="Q47" i="4"/>
  <c r="Q59" i="4"/>
  <c r="Q57" i="4"/>
  <c r="R74" i="4"/>
  <c r="R34" i="4"/>
  <c r="S52" i="4"/>
  <c r="R30" i="4"/>
  <c r="S59" i="4"/>
  <c r="S58" i="4"/>
  <c r="Q79" i="4"/>
  <c r="S79" i="4"/>
  <c r="R31" i="4"/>
  <c r="S72" i="4"/>
  <c r="R13" i="4"/>
  <c r="R46" i="4"/>
  <c r="S28" i="4"/>
  <c r="Q17" i="4"/>
  <c r="R12" i="4"/>
  <c r="Q70" i="4"/>
  <c r="R29" i="4"/>
  <c r="R55" i="4"/>
  <c r="Q61" i="4"/>
  <c r="Q26" i="4"/>
  <c r="R51" i="4"/>
  <c r="Q51" i="4"/>
  <c r="R24" i="4"/>
  <c r="Q24" i="4"/>
  <c r="S48" i="4"/>
  <c r="Q73" i="4"/>
  <c r="R73" i="4"/>
  <c r="Q44" i="4"/>
  <c r="Q63" i="4"/>
  <c r="Q60" i="4"/>
  <c r="S60" i="4"/>
  <c r="R39" i="4"/>
  <c r="Q35" i="4"/>
  <c r="Q20" i="4"/>
  <c r="Q27" i="4"/>
  <c r="Q71" i="4"/>
  <c r="Q67" i="4"/>
  <c r="R65" i="4"/>
  <c r="Q65" i="4"/>
  <c r="Q69" i="4"/>
  <c r="S64" i="4"/>
  <c r="Q64" i="4"/>
  <c r="Q23" i="4"/>
  <c r="Q14" i="4"/>
  <c r="Q40" i="4"/>
  <c r="Q22" i="4"/>
  <c r="Q19" i="4"/>
  <c r="R76" i="4"/>
  <c r="Q76" i="4"/>
  <c r="Q33" i="4"/>
  <c r="R33" i="4"/>
  <c r="Q53" i="4"/>
  <c r="Q36" i="4"/>
  <c r="R43" i="4"/>
  <c r="Q37" i="4"/>
  <c r="Q25" i="4"/>
  <c r="Q45" i="4"/>
  <c r="R75" i="4"/>
  <c r="R42" i="4"/>
  <c r="Q42" i="4"/>
  <c r="Q38" i="4"/>
  <c r="R38" i="4"/>
  <c r="BP9" i="8"/>
  <c r="BQ9" i="8" s="1"/>
  <c r="S9" i="4" s="1"/>
  <c r="Q9" i="4"/>
  <c r="R54" i="4"/>
  <c r="Q54" i="4"/>
  <c r="Q56" i="4"/>
  <c r="R56" i="4"/>
  <c r="Q21" i="4"/>
  <c r="Q78" i="4"/>
  <c r="S11" i="4"/>
  <c r="Q11" i="4"/>
  <c r="S62" i="4"/>
  <c r="Q62" i="4"/>
  <c r="Q41" i="4"/>
  <c r="Q50" i="4"/>
  <c r="R50" i="4"/>
  <c r="Q10" i="4"/>
  <c r="Q16" i="4"/>
  <c r="Q49" i="4"/>
  <c r="Q68" i="4"/>
  <c r="BE159" i="8"/>
  <c r="BE170" i="8"/>
  <c r="BE134" i="8"/>
  <c r="BE118" i="8"/>
  <c r="BE105" i="8"/>
  <c r="CN128" i="8" l="1"/>
  <c r="CO128" i="8" s="1"/>
  <c r="CP128" i="8" s="1"/>
  <c r="CR128" i="8" s="1"/>
  <c r="CS128" i="8" s="1"/>
  <c r="CT128" i="8" s="1"/>
  <c r="CU128" i="8" s="1"/>
  <c r="CC113" i="8"/>
  <c r="CD113" i="8" s="1"/>
  <c r="CI158" i="8"/>
  <c r="CJ158" i="8" s="1"/>
  <c r="CK158" i="8" s="1"/>
  <c r="CM158" i="8" s="1"/>
  <c r="CN158" i="8" s="1"/>
  <c r="CO158" i="8" s="1"/>
  <c r="CP158" i="8" s="1"/>
  <c r="CR158" i="8" s="1"/>
  <c r="CS158" i="8" s="1"/>
  <c r="CT158" i="8" s="1"/>
  <c r="CU158" i="8" s="1"/>
  <c r="CA107" i="8"/>
  <c r="CN80" i="8"/>
  <c r="CO80" i="8" s="1"/>
  <c r="CP80" i="8" s="1"/>
  <c r="CR80" i="8" s="1"/>
  <c r="CS80" i="8" s="1"/>
  <c r="CT80" i="8" s="1"/>
  <c r="CU80" i="8" s="1"/>
  <c r="CI150" i="8"/>
  <c r="CJ150" i="8" s="1"/>
  <c r="CK150" i="8" s="1"/>
  <c r="CM150" i="8" s="1"/>
  <c r="CN150" i="8" s="1"/>
  <c r="CO150" i="8" s="1"/>
  <c r="CP150" i="8" s="1"/>
  <c r="CR150" i="8" s="1"/>
  <c r="CS150" i="8" s="1"/>
  <c r="CT150" i="8" s="1"/>
  <c r="CU150" i="8" s="1"/>
  <c r="BY100" i="8"/>
  <c r="BZ100" i="8" s="1"/>
  <c r="CA100" i="8" s="1"/>
  <c r="CC100" i="8" s="1"/>
  <c r="CD100" i="8" s="1"/>
  <c r="CE100" i="8" s="1"/>
  <c r="CF100" i="8" s="1"/>
  <c r="CH100" i="8" s="1"/>
  <c r="BZ11" i="8"/>
  <c r="CA11" i="8" s="1"/>
  <c r="CC11" i="8" s="1"/>
  <c r="CD11" i="8" s="1"/>
  <c r="CE11" i="8" s="1"/>
  <c r="CF11" i="8" s="1"/>
  <c r="CH11" i="8" s="1"/>
  <c r="CI11" i="8" s="1"/>
  <c r="CJ11" i="8" s="1"/>
  <c r="CK11" i="8" s="1"/>
  <c r="CM11" i="8" s="1"/>
  <c r="CN11" i="8" s="1"/>
  <c r="CO11" i="8" s="1"/>
  <c r="CP11" i="8" s="1"/>
  <c r="CR11" i="8" s="1"/>
  <c r="CS11" i="8" s="1"/>
  <c r="CT11" i="8" s="1"/>
  <c r="CU11" i="8" s="1"/>
  <c r="BZ145" i="8"/>
  <c r="CA145" i="8" s="1"/>
  <c r="CC145" i="8" s="1"/>
  <c r="CI174" i="8"/>
  <c r="CJ174" i="8" s="1"/>
  <c r="CK174" i="8" s="1"/>
  <c r="CM174" i="8" s="1"/>
  <c r="CN174" i="8" s="1"/>
  <c r="CO174" i="8" s="1"/>
  <c r="CP174" i="8" s="1"/>
  <c r="CR174" i="8" s="1"/>
  <c r="CS174" i="8" s="1"/>
  <c r="CT174" i="8" s="1"/>
  <c r="CU174" i="8" s="1"/>
  <c r="BU101" i="8"/>
  <c r="BV101" i="8" s="1"/>
  <c r="BU103" i="8"/>
  <c r="BV103" i="8" s="1"/>
  <c r="BX103" i="8" s="1"/>
  <c r="BY103" i="8" s="1"/>
  <c r="BZ103" i="8" s="1"/>
  <c r="CA103" i="8" s="1"/>
  <c r="CC103" i="8" s="1"/>
  <c r="CD103" i="8" s="1"/>
  <c r="CE103" i="8" s="1"/>
  <c r="BT92" i="8"/>
  <c r="BU92" i="8" s="1"/>
  <c r="BV92" i="8" s="1"/>
  <c r="BX92" i="8" s="1"/>
  <c r="BY92" i="8" s="1"/>
  <c r="CN137" i="8"/>
  <c r="CO137" i="8" s="1"/>
  <c r="CP137" i="8" s="1"/>
  <c r="CR137" i="8" s="1"/>
  <c r="CS137" i="8" s="1"/>
  <c r="CT137" i="8" s="1"/>
  <c r="CU137" i="8" s="1"/>
  <c r="BX63" i="8"/>
  <c r="BY63" i="8" s="1"/>
  <c r="BZ63" i="8" s="1"/>
  <c r="CA63" i="8" s="1"/>
  <c r="CC63" i="8" s="1"/>
  <c r="CD63" i="8" s="1"/>
  <c r="CE63" i="8" s="1"/>
  <c r="CF63" i="8" s="1"/>
  <c r="CH63" i="8" s="1"/>
  <c r="CI63" i="8" s="1"/>
  <c r="CJ63" i="8" s="1"/>
  <c r="CK63" i="8" s="1"/>
  <c r="CM63" i="8" s="1"/>
  <c r="CN63" i="8" s="1"/>
  <c r="CO63" i="8" s="1"/>
  <c r="CP63" i="8" s="1"/>
  <c r="CR63" i="8" s="1"/>
  <c r="CS63" i="8" s="1"/>
  <c r="CT63" i="8" s="1"/>
  <c r="CU63" i="8" s="1"/>
  <c r="BZ95" i="8"/>
  <c r="CK143" i="8"/>
  <c r="CM143" i="8" s="1"/>
  <c r="CN143" i="8" s="1"/>
  <c r="CO143" i="8" s="1"/>
  <c r="CP143" i="8" s="1"/>
  <c r="CR143" i="8" s="1"/>
  <c r="CS143" i="8" s="1"/>
  <c r="CT143" i="8" s="1"/>
  <c r="CU143" i="8" s="1"/>
  <c r="BV61" i="8"/>
  <c r="CS87" i="8"/>
  <c r="CT87" i="8" s="1"/>
  <c r="CU87" i="8" s="1"/>
  <c r="BS99" i="8"/>
  <c r="BT19" i="8"/>
  <c r="BV161" i="8"/>
  <c r="BZ93" i="8"/>
  <c r="CA93" i="8" s="1"/>
  <c r="CC93" i="8" s="1"/>
  <c r="CD93" i="8" s="1"/>
  <c r="CE93" i="8" s="1"/>
  <c r="CF93" i="8" s="1"/>
  <c r="CH93" i="8" s="1"/>
  <c r="CI93" i="8" s="1"/>
  <c r="CJ93" i="8" s="1"/>
  <c r="CK93" i="8" s="1"/>
  <c r="CM93" i="8" s="1"/>
  <c r="CN93" i="8" s="1"/>
  <c r="CO93" i="8" s="1"/>
  <c r="CM22" i="8"/>
  <c r="CN22" i="8" s="1"/>
  <c r="CO22" i="8" s="1"/>
  <c r="CP22" i="8" s="1"/>
  <c r="CR22" i="8" s="1"/>
  <c r="CS22" i="8" s="1"/>
  <c r="CT22" i="8" s="1"/>
  <c r="CU22" i="8" s="1"/>
  <c r="CC126" i="8"/>
  <c r="BT50" i="8"/>
  <c r="BU50" i="8" s="1"/>
  <c r="BV50" i="8" s="1"/>
  <c r="BX50" i="8" s="1"/>
  <c r="BY50" i="8" s="1"/>
  <c r="CI120" i="8"/>
  <c r="CJ120" i="8" s="1"/>
  <c r="CK120" i="8" s="1"/>
  <c r="CM120" i="8" s="1"/>
  <c r="BX101" i="8"/>
  <c r="BX36" i="8"/>
  <c r="BY36" i="8" s="1"/>
  <c r="BY67" i="8"/>
  <c r="BV29" i="8"/>
  <c r="BX29" i="8" s="1"/>
  <c r="BY29" i="8" s="1"/>
  <c r="BZ29" i="8" s="1"/>
  <c r="CA29" i="8" s="1"/>
  <c r="CC29" i="8" s="1"/>
  <c r="CD29" i="8" s="1"/>
  <c r="CE29" i="8" s="1"/>
  <c r="CF29" i="8" s="1"/>
  <c r="CH29" i="8" s="1"/>
  <c r="CI29" i="8" s="1"/>
  <c r="CJ29" i="8" s="1"/>
  <c r="CK29" i="8" s="1"/>
  <c r="CM29" i="8" s="1"/>
  <c r="CN29" i="8" s="1"/>
  <c r="CO29" i="8" s="1"/>
  <c r="CP29" i="8" s="1"/>
  <c r="CR29" i="8" s="1"/>
  <c r="CS29" i="8" s="1"/>
  <c r="CT29" i="8" s="1"/>
  <c r="CU29" i="8" s="1"/>
  <c r="CN88" i="8"/>
  <c r="CO88" i="8" s="1"/>
  <c r="CP88" i="8" s="1"/>
  <c r="CR88" i="8" s="1"/>
  <c r="CS88" i="8" s="1"/>
  <c r="CT88" i="8" s="1"/>
  <c r="CU88" i="8" s="1"/>
  <c r="CF173" i="8"/>
  <c r="CH173" i="8" s="1"/>
  <c r="CI173" i="8" s="1"/>
  <c r="CJ173" i="8" s="1"/>
  <c r="CK173" i="8" s="1"/>
  <c r="CM173" i="8" s="1"/>
  <c r="CN173" i="8" s="1"/>
  <c r="BZ119" i="8"/>
  <c r="BX157" i="8"/>
  <c r="BX109" i="8"/>
  <c r="BX69" i="8"/>
  <c r="BY69" i="8" s="1"/>
  <c r="CI123" i="8"/>
  <c r="CJ123" i="8" s="1"/>
  <c r="CD60" i="8"/>
  <c r="CE60" i="8" s="1"/>
  <c r="CF60" i="8" s="1"/>
  <c r="CH60" i="8" s="1"/>
  <c r="CI60" i="8" s="1"/>
  <c r="CJ60" i="8" s="1"/>
  <c r="CK60" i="8" s="1"/>
  <c r="CM60" i="8" s="1"/>
  <c r="CN60" i="8" s="1"/>
  <c r="CO60" i="8" s="1"/>
  <c r="CP60" i="8" s="1"/>
  <c r="CR60" i="8" s="1"/>
  <c r="CS60" i="8" s="1"/>
  <c r="CT60" i="8" s="1"/>
  <c r="CU60" i="8" s="1"/>
  <c r="CI98" i="8"/>
  <c r="CJ98" i="8" s="1"/>
  <c r="CK98" i="8" s="1"/>
  <c r="CM98" i="8" s="1"/>
  <c r="CN98" i="8" s="1"/>
  <c r="CO98" i="8" s="1"/>
  <c r="CP98" i="8" s="1"/>
  <c r="CR98" i="8" s="1"/>
  <c r="CS98" i="8" s="1"/>
  <c r="CT98" i="8" s="1"/>
  <c r="CU98" i="8" s="1"/>
  <c r="BV114" i="8"/>
  <c r="BX114" i="8" s="1"/>
  <c r="BY114" i="8" s="1"/>
  <c r="BZ114" i="8" s="1"/>
  <c r="CA114" i="8" s="1"/>
  <c r="CC114" i="8" s="1"/>
  <c r="CD114" i="8" s="1"/>
  <c r="CE114" i="8" s="1"/>
  <c r="CF114" i="8" s="1"/>
  <c r="CH114" i="8" s="1"/>
  <c r="BU160" i="8"/>
  <c r="BV160" i="8" s="1"/>
  <c r="BX43" i="8"/>
  <c r="BY43" i="8" s="1"/>
  <c r="BZ43" i="8" s="1"/>
  <c r="CA43" i="8" s="1"/>
  <c r="CC43" i="8" s="1"/>
  <c r="CD43" i="8" s="1"/>
  <c r="CE43" i="8" s="1"/>
  <c r="CF43" i="8" s="1"/>
  <c r="CH43" i="8" s="1"/>
  <c r="CI43" i="8" s="1"/>
  <c r="BV32" i="8"/>
  <c r="BX32" i="8" s="1"/>
  <c r="BY32" i="8" s="1"/>
  <c r="BZ32" i="8" s="1"/>
  <c r="CA32" i="8" s="1"/>
  <c r="CC32" i="8" s="1"/>
  <c r="CD32" i="8" s="1"/>
  <c r="CE32" i="8" s="1"/>
  <c r="CF32" i="8" s="1"/>
  <c r="CH32" i="8" s="1"/>
  <c r="CI32" i="8" s="1"/>
  <c r="CJ32" i="8" s="1"/>
  <c r="CK32" i="8" s="1"/>
  <c r="CM32" i="8" s="1"/>
  <c r="CN32" i="8" s="1"/>
  <c r="CO32" i="8" s="1"/>
  <c r="CP32" i="8" s="1"/>
  <c r="CR32" i="8" s="1"/>
  <c r="CS32" i="8" s="1"/>
  <c r="CT32" i="8" s="1"/>
  <c r="CU32" i="8" s="1"/>
  <c r="CC148" i="8"/>
  <c r="CD148" i="8" s="1"/>
  <c r="CE148" i="8" s="1"/>
  <c r="CF148" i="8" s="1"/>
  <c r="CH148" i="8" s="1"/>
  <c r="BV152" i="8"/>
  <c r="BX152" i="8" s="1"/>
  <c r="CE113" i="8"/>
  <c r="CF113" i="8" s="1"/>
  <c r="CH113" i="8" s="1"/>
  <c r="CI113" i="8" s="1"/>
  <c r="CJ113" i="8" s="1"/>
  <c r="CK113" i="8" s="1"/>
  <c r="BY47" i="8"/>
  <c r="BU34" i="8"/>
  <c r="BV34" i="8" s="1"/>
  <c r="BZ144" i="8"/>
  <c r="BS138" i="8"/>
  <c r="BZ102" i="8"/>
  <c r="CA102" i="8" s="1"/>
  <c r="CC102" i="8" s="1"/>
  <c r="CD102" i="8" s="1"/>
  <c r="CE102" i="8" s="1"/>
  <c r="CF102" i="8" s="1"/>
  <c r="CH102" i="8" s="1"/>
  <c r="BX147" i="8"/>
  <c r="BY147" i="8" s="1"/>
  <c r="BZ147" i="8" s="1"/>
  <c r="CA147" i="8" s="1"/>
  <c r="CC147" i="8" s="1"/>
  <c r="CD147" i="8" s="1"/>
  <c r="CE147" i="8" s="1"/>
  <c r="CI166" i="8"/>
  <c r="CJ166" i="8" s="1"/>
  <c r="CK166" i="8" s="1"/>
  <c r="CM166" i="8" s="1"/>
  <c r="CN166" i="8" s="1"/>
  <c r="CO166" i="8" s="1"/>
  <c r="CP166" i="8" s="1"/>
  <c r="CR166" i="8" s="1"/>
  <c r="CS166" i="8" s="1"/>
  <c r="CT166" i="8" s="1"/>
  <c r="CU166" i="8" s="1"/>
  <c r="BY140" i="8"/>
  <c r="CN133" i="8"/>
  <c r="CO133" i="8" s="1"/>
  <c r="BX28" i="8"/>
  <c r="BY28" i="8" s="1"/>
  <c r="BZ28" i="8" s="1"/>
  <c r="CA28" i="8" s="1"/>
  <c r="BY101" i="8"/>
  <c r="BZ101" i="8" s="1"/>
  <c r="CA101" i="8" s="1"/>
  <c r="CC101" i="8" s="1"/>
  <c r="CD101" i="8" s="1"/>
  <c r="CE101" i="8" s="1"/>
  <c r="CF101" i="8" s="1"/>
  <c r="CH101" i="8" s="1"/>
  <c r="CI101" i="8" s="1"/>
  <c r="CJ101" i="8" s="1"/>
  <c r="CK101" i="8" s="1"/>
  <c r="CM101" i="8" s="1"/>
  <c r="BS49" i="8"/>
  <c r="BU66" i="8"/>
  <c r="BV66" i="8" s="1"/>
  <c r="BX66" i="8" s="1"/>
  <c r="BY66" i="8" s="1"/>
  <c r="BU108" i="8"/>
  <c r="CN165" i="8"/>
  <c r="BU130" i="8"/>
  <c r="BV130" i="8" s="1"/>
  <c r="BX130" i="8" s="1"/>
  <c r="BY130" i="8" s="1"/>
  <c r="BZ130" i="8" s="1"/>
  <c r="CA130" i="8" s="1"/>
  <c r="CC130" i="8" s="1"/>
  <c r="CD130" i="8" s="1"/>
  <c r="CE130" i="8" s="1"/>
  <c r="CF130" i="8" s="1"/>
  <c r="CH130" i="8" s="1"/>
  <c r="CI130" i="8" s="1"/>
  <c r="CJ130" i="8" s="1"/>
  <c r="CK130" i="8" s="1"/>
  <c r="CM130" i="8" s="1"/>
  <c r="CN130" i="8" s="1"/>
  <c r="CO130" i="8" s="1"/>
  <c r="CP130" i="8" s="1"/>
  <c r="CR130" i="8" s="1"/>
  <c r="CS130" i="8" s="1"/>
  <c r="CT130" i="8" s="1"/>
  <c r="CU130" i="8" s="1"/>
  <c r="BY116" i="8"/>
  <c r="CA20" i="8"/>
  <c r="CC20" i="8" s="1"/>
  <c r="CD20" i="8" s="1"/>
  <c r="CE20" i="8" s="1"/>
  <c r="CF20" i="8" s="1"/>
  <c r="CN112" i="8"/>
  <c r="CO112" i="8" s="1"/>
  <c r="CP112" i="8" s="1"/>
  <c r="CR112" i="8" s="1"/>
  <c r="CS112" i="8" s="1"/>
  <c r="CT112" i="8" s="1"/>
  <c r="CU112" i="8" s="1"/>
  <c r="CI131" i="8"/>
  <c r="CJ131" i="8" s="1"/>
  <c r="CC12" i="8"/>
  <c r="CI163" i="8"/>
  <c r="CJ163" i="8" s="1"/>
  <c r="CK163" i="8" s="1"/>
  <c r="CM163" i="8" s="1"/>
  <c r="CN163" i="8" s="1"/>
  <c r="CO163" i="8" s="1"/>
  <c r="CP163" i="8" s="1"/>
  <c r="CR163" i="8" s="1"/>
  <c r="CS163" i="8" s="1"/>
  <c r="CT163" i="8" s="1"/>
  <c r="CU163" i="8" s="1"/>
  <c r="BX104" i="8"/>
  <c r="CJ125" i="8"/>
  <c r="BX75" i="8"/>
  <c r="CI151" i="8"/>
  <c r="CN121" i="8"/>
  <c r="CI127" i="8"/>
  <c r="BU46" i="8"/>
  <c r="BV46" i="8" s="1"/>
  <c r="BX46" i="8" s="1"/>
  <c r="BU169" i="8"/>
  <c r="BV153" i="8"/>
  <c r="BX153" i="8" s="1"/>
  <c r="BX39" i="8"/>
  <c r="BY83" i="8"/>
  <c r="BZ83" i="8" s="1"/>
  <c r="CA83" i="8" s="1"/>
  <c r="CC83" i="8" s="1"/>
  <c r="CD83" i="8" s="1"/>
  <c r="CE83" i="8" s="1"/>
  <c r="CF83" i="8" s="1"/>
  <c r="CH83" i="8" s="1"/>
  <c r="CI83" i="8" s="1"/>
  <c r="BS155" i="8"/>
  <c r="BU73" i="8"/>
  <c r="BY45" i="8"/>
  <c r="BZ45" i="8" s="1"/>
  <c r="BS27" i="8"/>
  <c r="BT27" i="8" s="1"/>
  <c r="BZ115" i="8"/>
  <c r="CA115" i="8" s="1"/>
  <c r="CC115" i="8" s="1"/>
  <c r="CD115" i="8" s="1"/>
  <c r="CE115" i="8" s="1"/>
  <c r="CF115" i="8" s="1"/>
  <c r="CH115" i="8" s="1"/>
  <c r="BV117" i="8"/>
  <c r="BS16" i="8"/>
  <c r="BT16" i="8" s="1"/>
  <c r="BU16" i="8" s="1"/>
  <c r="CD106" i="8"/>
  <c r="CE106" i="8" s="1"/>
  <c r="CF106" i="8" s="1"/>
  <c r="CH106" i="8" s="1"/>
  <c r="CI106" i="8" s="1"/>
  <c r="CJ106" i="8" s="1"/>
  <c r="CK106" i="8" s="1"/>
  <c r="CM106" i="8" s="1"/>
  <c r="CN106" i="8" s="1"/>
  <c r="CO106" i="8" s="1"/>
  <c r="CP106" i="8" s="1"/>
  <c r="CR106" i="8" s="1"/>
  <c r="CS106" i="8" s="1"/>
  <c r="CT106" i="8" s="1"/>
  <c r="CU106" i="8" s="1"/>
  <c r="BS85" i="8"/>
  <c r="BT85" i="8" s="1"/>
  <c r="BU85" i="8" s="1"/>
  <c r="BV85" i="8" s="1"/>
  <c r="BX85" i="8" s="1"/>
  <c r="BY85" i="8" s="1"/>
  <c r="BZ85" i="8" s="1"/>
  <c r="CA85" i="8" s="1"/>
  <c r="CC85" i="8" s="1"/>
  <c r="CD85" i="8" s="1"/>
  <c r="CE85" i="8" s="1"/>
  <c r="CF85" i="8" s="1"/>
  <c r="CH85" i="8" s="1"/>
  <c r="CI85" i="8" s="1"/>
  <c r="CJ85" i="8" s="1"/>
  <c r="CK85" i="8" s="1"/>
  <c r="CM85" i="8" s="1"/>
  <c r="CF103" i="8"/>
  <c r="CH103" i="8" s="1"/>
  <c r="CI103" i="8" s="1"/>
  <c r="CJ103" i="8" s="1"/>
  <c r="CK103" i="8" s="1"/>
  <c r="CM103" i="8" s="1"/>
  <c r="CN103" i="8" s="1"/>
  <c r="CO103" i="8" s="1"/>
  <c r="CP103" i="8" s="1"/>
  <c r="CR103" i="8" s="1"/>
  <c r="CI139" i="8"/>
  <c r="CJ139" i="8" s="1"/>
  <c r="BU21" i="8"/>
  <c r="BV21" i="8" s="1"/>
  <c r="BZ172" i="8"/>
  <c r="CA172" i="8" s="1"/>
  <c r="CC172" i="8" s="1"/>
  <c r="CD172" i="8" s="1"/>
  <c r="CE172" i="8" s="1"/>
  <c r="CF172" i="8" s="1"/>
  <c r="CH172" i="8" s="1"/>
  <c r="CI90" i="8"/>
  <c r="CJ90" i="8" s="1"/>
  <c r="CK90" i="8" s="1"/>
  <c r="CM90" i="8" s="1"/>
  <c r="CN90" i="8" s="1"/>
  <c r="CO90" i="8" s="1"/>
  <c r="CP90" i="8" s="1"/>
  <c r="CR90" i="8" s="1"/>
  <c r="CS90" i="8" s="1"/>
  <c r="CT90" i="8" s="1"/>
  <c r="CU90" i="8" s="1"/>
  <c r="BS33" i="8"/>
  <c r="BT33" i="8" s="1"/>
  <c r="BX59" i="8"/>
  <c r="BY59" i="8" s="1"/>
  <c r="BZ59" i="8" s="1"/>
  <c r="CA59" i="8" s="1"/>
  <c r="CC59" i="8" s="1"/>
  <c r="CD59" i="8" s="1"/>
  <c r="CE59" i="8" s="1"/>
  <c r="CF59" i="8" s="1"/>
  <c r="CH59" i="8" s="1"/>
  <c r="CI59" i="8" s="1"/>
  <c r="CJ59" i="8" s="1"/>
  <c r="CK59" i="8" s="1"/>
  <c r="CM59" i="8" s="1"/>
  <c r="CN59" i="8" s="1"/>
  <c r="CO59" i="8" s="1"/>
  <c r="CP59" i="8" s="1"/>
  <c r="CR59" i="8" s="1"/>
  <c r="CS59" i="8" s="1"/>
  <c r="CT59" i="8" s="1"/>
  <c r="CU59" i="8" s="1"/>
  <c r="CN96" i="8"/>
  <c r="CO96" i="8" s="1"/>
  <c r="CP96" i="8" s="1"/>
  <c r="CR96" i="8" s="1"/>
  <c r="CS96" i="8" s="1"/>
  <c r="BS24" i="8"/>
  <c r="BZ36" i="8"/>
  <c r="CA36" i="8" s="1"/>
  <c r="CC36" i="8" s="1"/>
  <c r="CD36" i="8" s="1"/>
  <c r="CE36" i="8" s="1"/>
  <c r="CF36" i="8" s="1"/>
  <c r="CH36" i="8" s="1"/>
  <c r="CI36" i="8" s="1"/>
  <c r="CJ36" i="8" s="1"/>
  <c r="CK36" i="8" s="1"/>
  <c r="CM36" i="8" s="1"/>
  <c r="CN36" i="8" s="1"/>
  <c r="CO36" i="8" s="1"/>
  <c r="CP36" i="8" s="1"/>
  <c r="CR36" i="8" s="1"/>
  <c r="CS36" i="8" s="1"/>
  <c r="CT36" i="8" s="1"/>
  <c r="CU36" i="8" s="1"/>
  <c r="BT81" i="8"/>
  <c r="BX156" i="8"/>
  <c r="BY156" i="8" s="1"/>
  <c r="BZ156" i="8" s="1"/>
  <c r="BS38" i="8"/>
  <c r="BS89" i="8"/>
  <c r="BZ168" i="8"/>
  <c r="BX164" i="8"/>
  <c r="BX71" i="8"/>
  <c r="BZ111" i="8"/>
  <c r="BV135" i="8"/>
  <c r="BX135" i="8" s="1"/>
  <c r="BY135" i="8" s="1"/>
  <c r="BZ135" i="8" s="1"/>
  <c r="CA135" i="8" s="1"/>
  <c r="CC135" i="8" s="1"/>
  <c r="CD135" i="8" s="1"/>
  <c r="CI171" i="8"/>
  <c r="CJ171" i="8" s="1"/>
  <c r="BZ26" i="8"/>
  <c r="BS58" i="8"/>
  <c r="BT58" i="8" s="1"/>
  <c r="BU58" i="8" s="1"/>
  <c r="BV58" i="8" s="1"/>
  <c r="BX58" i="8" s="1"/>
  <c r="BY58" i="8" s="1"/>
  <c r="BZ58" i="8" s="1"/>
  <c r="BS91" i="8"/>
  <c r="CE124" i="8"/>
  <c r="CF124" i="8" s="1"/>
  <c r="CH124" i="8" s="1"/>
  <c r="BS136" i="8"/>
  <c r="BU141" i="8"/>
  <c r="BV57" i="8"/>
  <c r="BT30" i="8"/>
  <c r="BU30" i="8" s="1"/>
  <c r="BT18" i="8"/>
  <c r="BV142" i="8"/>
  <c r="CI154" i="8"/>
  <c r="CJ154" i="8" s="1"/>
  <c r="CK154" i="8" s="1"/>
  <c r="CM154" i="8" s="1"/>
  <c r="CN154" i="8" s="1"/>
  <c r="CO154" i="8" s="1"/>
  <c r="CP154" i="8" s="1"/>
  <c r="CR154" i="8" s="1"/>
  <c r="CS154" i="8" s="1"/>
  <c r="CT154" i="8" s="1"/>
  <c r="CU154" i="8" s="1"/>
  <c r="BS97" i="8"/>
  <c r="BT97" i="8" s="1"/>
  <c r="BU97" i="8" s="1"/>
  <c r="BV97" i="8" s="1"/>
  <c r="BX97" i="8" s="1"/>
  <c r="BY97" i="8" s="1"/>
  <c r="BZ97" i="8" s="1"/>
  <c r="CA97" i="8" s="1"/>
  <c r="CC97" i="8" s="1"/>
  <c r="CD97" i="8" s="1"/>
  <c r="CE97" i="8" s="1"/>
  <c r="CF97" i="8" s="1"/>
  <c r="CH97" i="8" s="1"/>
  <c r="CI97" i="8" s="1"/>
  <c r="CJ97" i="8" s="1"/>
  <c r="CK97" i="8" s="1"/>
  <c r="CM97" i="8" s="1"/>
  <c r="BS84" i="8"/>
  <c r="BT84" i="8" s="1"/>
  <c r="BU84" i="8" s="1"/>
  <c r="BV84" i="8" s="1"/>
  <c r="BX84" i="8" s="1"/>
  <c r="BY84" i="8" s="1"/>
  <c r="BZ84" i="8" s="1"/>
  <c r="CA84" i="8" s="1"/>
  <c r="CC84" i="8" s="1"/>
  <c r="CD84" i="8" s="1"/>
  <c r="CE84" i="8" s="1"/>
  <c r="CF84" i="8" s="1"/>
  <c r="CH84" i="8" s="1"/>
  <c r="CI84" i="8" s="1"/>
  <c r="CJ84" i="8" s="1"/>
  <c r="CK84" i="8" s="1"/>
  <c r="CM84" i="8" s="1"/>
  <c r="CC25" i="8"/>
  <c r="CD25" i="8" s="1"/>
  <c r="CE25" i="8" s="1"/>
  <c r="CF25" i="8" s="1"/>
  <c r="CH25" i="8" s="1"/>
  <c r="CI25" i="8" s="1"/>
  <c r="CJ25" i="8" s="1"/>
  <c r="CK25" i="8" s="1"/>
  <c r="CM25" i="8" s="1"/>
  <c r="CN25" i="8" s="1"/>
  <c r="CO25" i="8" s="1"/>
  <c r="CP25" i="8" s="1"/>
  <c r="CR25" i="8" s="1"/>
  <c r="CS25" i="8" s="1"/>
  <c r="CT25" i="8" s="1"/>
  <c r="CU25" i="8" s="1"/>
  <c r="CP129" i="8"/>
  <c r="CR129" i="8" s="1"/>
  <c r="CS129" i="8" s="1"/>
  <c r="CT129" i="8" s="1"/>
  <c r="CU129" i="8" s="1"/>
  <c r="CN77" i="8"/>
  <c r="CO77" i="8" s="1"/>
  <c r="CP77" i="8" s="1"/>
  <c r="CR77" i="8" s="1"/>
  <c r="CS77" i="8" s="1"/>
  <c r="CT77" i="8" s="1"/>
  <c r="CU77" i="8" s="1"/>
  <c r="CD41" i="8"/>
  <c r="CE41" i="8" s="1"/>
  <c r="CC79" i="8"/>
  <c r="CD79" i="8" s="1"/>
  <c r="CE79" i="8" s="1"/>
  <c r="CF79" i="8" s="1"/>
  <c r="CH79" i="8" s="1"/>
  <c r="CE62" i="8"/>
  <c r="CF62" i="8" s="1"/>
  <c r="CH62" i="8" s="1"/>
  <c r="CI62" i="8" s="1"/>
  <c r="CJ62" i="8" s="1"/>
  <c r="CK62" i="8" s="1"/>
  <c r="CM62" i="8" s="1"/>
  <c r="CN62" i="8" s="1"/>
  <c r="CO62" i="8" s="1"/>
  <c r="CP62" i="8" s="1"/>
  <c r="CR62" i="8" s="1"/>
  <c r="CS62" i="8" s="1"/>
  <c r="CT62" i="8" s="1"/>
  <c r="CU62" i="8" s="1"/>
  <c r="CI76" i="8"/>
  <c r="CJ76" i="8" s="1"/>
  <c r="CK76" i="8" s="1"/>
  <c r="CM76" i="8" s="1"/>
  <c r="CI78" i="8"/>
  <c r="CJ78" i="8" s="1"/>
  <c r="CK78" i="8" s="1"/>
  <c r="CM78" i="8" s="1"/>
  <c r="CN78" i="8" s="1"/>
  <c r="CO78" i="8" s="1"/>
  <c r="CP78" i="8" s="1"/>
  <c r="CR78" i="8" s="1"/>
  <c r="CS78" i="8" s="1"/>
  <c r="CT78" i="8" s="1"/>
  <c r="CU78" i="8" s="1"/>
  <c r="CI72" i="8"/>
  <c r="CJ72" i="8" s="1"/>
  <c r="CK72" i="8" s="1"/>
  <c r="CM72" i="8" s="1"/>
  <c r="BU70" i="8"/>
  <c r="BX51" i="8"/>
  <c r="CK14" i="8"/>
  <c r="CM14" i="8" s="1"/>
  <c r="CN14" i="8" s="1"/>
  <c r="CO14" i="8" s="1"/>
  <c r="CP14" i="8" s="1"/>
  <c r="CR14" i="8" s="1"/>
  <c r="CS14" i="8" s="1"/>
  <c r="CT14" i="8" s="1"/>
  <c r="CU14" i="8" s="1"/>
  <c r="S104" i="4"/>
  <c r="S101" i="4"/>
  <c r="S96" i="4"/>
  <c r="S97" i="4"/>
  <c r="U94" i="4"/>
  <c r="U100" i="4"/>
  <c r="S100" i="4"/>
  <c r="S99" i="4"/>
  <c r="S102" i="4"/>
  <c r="S91" i="4"/>
  <c r="U103" i="4"/>
  <c r="S103" i="4"/>
  <c r="S92" i="4"/>
  <c r="S95" i="4"/>
  <c r="S93" i="4"/>
  <c r="S98" i="4"/>
  <c r="V87" i="4"/>
  <c r="U88" i="4"/>
  <c r="S90" i="4"/>
  <c r="U85" i="4"/>
  <c r="S86" i="4"/>
  <c r="S83" i="4"/>
  <c r="V82" i="4"/>
  <c r="R28" i="4"/>
  <c r="U15" i="4"/>
  <c r="R15" i="4"/>
  <c r="S57" i="4"/>
  <c r="R18" i="4"/>
  <c r="U18" i="4"/>
  <c r="R52" i="4"/>
  <c r="S74" i="4"/>
  <c r="U30" i="4"/>
  <c r="U29" i="4"/>
  <c r="S34" i="4"/>
  <c r="S24" i="4"/>
  <c r="U72" i="4"/>
  <c r="R58" i="4"/>
  <c r="U13" i="4"/>
  <c r="S46" i="4"/>
  <c r="S47" i="4"/>
  <c r="V55" i="4"/>
  <c r="S77" i="4"/>
  <c r="U11" i="4"/>
  <c r="R26" i="4"/>
  <c r="R70" i="4"/>
  <c r="R61" i="4"/>
  <c r="U17" i="4"/>
  <c r="R17" i="4"/>
  <c r="R77" i="4"/>
  <c r="U77" i="4"/>
  <c r="S53" i="4"/>
  <c r="S36" i="4"/>
  <c r="S16" i="4"/>
  <c r="S41" i="4"/>
  <c r="R67" i="4"/>
  <c r="S10" i="4"/>
  <c r="R10" i="4"/>
  <c r="R21" i="4"/>
  <c r="R23" i="4"/>
  <c r="R63" i="4"/>
  <c r="R49" i="4"/>
  <c r="S49" i="4"/>
  <c r="R32" i="4"/>
  <c r="S42" i="4"/>
  <c r="R62" i="4"/>
  <c r="R9" i="4"/>
  <c r="BS9" i="8"/>
  <c r="R22" i="4"/>
  <c r="U71" i="4"/>
  <c r="R71" i="4"/>
  <c r="R35" i="4"/>
  <c r="R37" i="4"/>
  <c r="S37" i="4"/>
  <c r="S66" i="4"/>
  <c r="R66" i="4"/>
  <c r="R45" i="4"/>
  <c r="S45" i="4"/>
  <c r="R25" i="4"/>
  <c r="R36" i="4"/>
  <c r="U36" i="4"/>
  <c r="R40" i="4"/>
  <c r="R64" i="4"/>
  <c r="R27" i="4"/>
  <c r="S67" i="4"/>
  <c r="R11" i="4"/>
  <c r="R69" i="4"/>
  <c r="R60" i="4"/>
  <c r="R44" i="4"/>
  <c r="S44" i="4"/>
  <c r="U60" i="4"/>
  <c r="S50" i="4"/>
  <c r="R68" i="4"/>
  <c r="S68" i="4"/>
  <c r="R16" i="4"/>
  <c r="R41" i="4"/>
  <c r="U41" i="4"/>
  <c r="R78" i="4"/>
  <c r="R53" i="4"/>
  <c r="U53" i="4"/>
  <c r="R19" i="4"/>
  <c r="R14" i="4"/>
  <c r="R20" i="4"/>
  <c r="R48" i="4"/>
  <c r="U57" i="4"/>
  <c r="BE137" i="8"/>
  <c r="BE163" i="8"/>
  <c r="BE129" i="8"/>
  <c r="BE130" i="8"/>
  <c r="BE150" i="8"/>
  <c r="BE122" i="8"/>
  <c r="BE128" i="8"/>
  <c r="BE174" i="8"/>
  <c r="BE166" i="8"/>
  <c r="BE143" i="8"/>
  <c r="BE158" i="8"/>
  <c r="CI100" i="8" l="1"/>
  <c r="CJ100" i="8" s="1"/>
  <c r="CK100" i="8" s="1"/>
  <c r="CM100" i="8" s="1"/>
  <c r="CN100" i="8" s="1"/>
  <c r="CO100" i="8" s="1"/>
  <c r="CP100" i="8" s="1"/>
  <c r="CR100" i="8" s="1"/>
  <c r="CS100" i="8" s="1"/>
  <c r="CC107" i="8"/>
  <c r="CI102" i="8"/>
  <c r="CJ102" i="8" s="1"/>
  <c r="CK102" i="8" s="1"/>
  <c r="CM102" i="8" s="1"/>
  <c r="CN102" i="8" s="1"/>
  <c r="CO102" i="8" s="1"/>
  <c r="CP102" i="8" s="1"/>
  <c r="CR102" i="8" s="1"/>
  <c r="CS102" i="8" s="1"/>
  <c r="CT102" i="8" s="1"/>
  <c r="CU102" i="8" s="1"/>
  <c r="BY152" i="8"/>
  <c r="BZ152" i="8" s="1"/>
  <c r="CD145" i="8"/>
  <c r="CE145" i="8" s="1"/>
  <c r="CF145" i="8" s="1"/>
  <c r="CH145" i="8" s="1"/>
  <c r="CI145" i="8" s="1"/>
  <c r="CJ145" i="8" s="1"/>
  <c r="CK145" i="8" s="1"/>
  <c r="CM145" i="8" s="1"/>
  <c r="CK123" i="8"/>
  <c r="CM123" i="8" s="1"/>
  <c r="CN123" i="8" s="1"/>
  <c r="CO123" i="8" s="1"/>
  <c r="CP123" i="8" s="1"/>
  <c r="CR123" i="8" s="1"/>
  <c r="CS123" i="8" s="1"/>
  <c r="CT123" i="8" s="1"/>
  <c r="CU123" i="8" s="1"/>
  <c r="BX161" i="8"/>
  <c r="BU19" i="8"/>
  <c r="BX34" i="8"/>
  <c r="BY34" i="8" s="1"/>
  <c r="BZ34" i="8" s="1"/>
  <c r="CA34" i="8" s="1"/>
  <c r="CC34" i="8" s="1"/>
  <c r="CD34" i="8" s="1"/>
  <c r="BZ69" i="8"/>
  <c r="BT99" i="8"/>
  <c r="BY153" i="8"/>
  <c r="BZ153" i="8" s="1"/>
  <c r="CA153" i="8" s="1"/>
  <c r="CC153" i="8" s="1"/>
  <c r="CD153" i="8" s="1"/>
  <c r="CE153" i="8" s="1"/>
  <c r="CF153" i="8" s="1"/>
  <c r="CH153" i="8" s="1"/>
  <c r="CI153" i="8" s="1"/>
  <c r="CJ153" i="8" s="1"/>
  <c r="CK153" i="8" s="1"/>
  <c r="CM153" i="8" s="1"/>
  <c r="CN153" i="8" s="1"/>
  <c r="CO153" i="8" s="1"/>
  <c r="BX61" i="8"/>
  <c r="BY61" i="8" s="1"/>
  <c r="CA95" i="8"/>
  <c r="CC95" i="8" s="1"/>
  <c r="CD95" i="8" s="1"/>
  <c r="CE95" i="8" s="1"/>
  <c r="CF95" i="8" s="1"/>
  <c r="CH95" i="8" s="1"/>
  <c r="CN120" i="8"/>
  <c r="CO120" i="8" s="1"/>
  <c r="CP120" i="8" s="1"/>
  <c r="CR120" i="8" s="1"/>
  <c r="CS120" i="8" s="1"/>
  <c r="CT120" i="8" s="1"/>
  <c r="CU120" i="8" s="1"/>
  <c r="BZ92" i="8"/>
  <c r="CA92" i="8" s="1"/>
  <c r="CC92" i="8" s="1"/>
  <c r="CD92" i="8" s="1"/>
  <c r="CE92" i="8" s="1"/>
  <c r="CF92" i="8" s="1"/>
  <c r="CH92" i="8" s="1"/>
  <c r="CP93" i="8"/>
  <c r="CR93" i="8" s="1"/>
  <c r="CS93" i="8" s="1"/>
  <c r="CT93" i="8" s="1"/>
  <c r="CU93" i="8" s="1"/>
  <c r="CF147" i="8"/>
  <c r="CI124" i="8"/>
  <c r="CJ124" i="8" s="1"/>
  <c r="CK124" i="8" s="1"/>
  <c r="CM124" i="8" s="1"/>
  <c r="CN124" i="8" s="1"/>
  <c r="CO124" i="8" s="1"/>
  <c r="CP124" i="8" s="1"/>
  <c r="CR124" i="8" s="1"/>
  <c r="CS124" i="8" s="1"/>
  <c r="V58" i="4"/>
  <c r="CK139" i="8"/>
  <c r="CM139" i="8" s="1"/>
  <c r="CN139" i="8" s="1"/>
  <c r="CO139" i="8" s="1"/>
  <c r="CP139" i="8" s="1"/>
  <c r="CR139" i="8" s="1"/>
  <c r="CS139" i="8" s="1"/>
  <c r="CT139" i="8" s="1"/>
  <c r="CU139" i="8" s="1"/>
  <c r="CK171" i="8"/>
  <c r="CM171" i="8" s="1"/>
  <c r="CN171" i="8" s="1"/>
  <c r="CO171" i="8" s="1"/>
  <c r="CP171" i="8" s="1"/>
  <c r="CR171" i="8" s="1"/>
  <c r="CS171" i="8" s="1"/>
  <c r="CT171" i="8" s="1"/>
  <c r="CU171" i="8" s="1"/>
  <c r="CI114" i="8"/>
  <c r="CJ114" i="8" s="1"/>
  <c r="CK114" i="8" s="1"/>
  <c r="CM114" i="8" s="1"/>
  <c r="CN114" i="8" s="1"/>
  <c r="CO114" i="8" s="1"/>
  <c r="CP114" i="8" s="1"/>
  <c r="CR114" i="8" s="1"/>
  <c r="CS114" i="8" s="1"/>
  <c r="CT114" i="8" s="1"/>
  <c r="CU114" i="8" s="1"/>
  <c r="BY157" i="8"/>
  <c r="BX160" i="8"/>
  <c r="BY160" i="8" s="1"/>
  <c r="BZ160" i="8" s="1"/>
  <c r="BZ50" i="8"/>
  <c r="BU33" i="8"/>
  <c r="BV33" i="8" s="1"/>
  <c r="BX33" i="8" s="1"/>
  <c r="BY33" i="8" s="1"/>
  <c r="BZ33" i="8" s="1"/>
  <c r="CA33" i="8" s="1"/>
  <c r="CC33" i="8" s="1"/>
  <c r="CD33" i="8" s="1"/>
  <c r="CE33" i="8" s="1"/>
  <c r="CF33" i="8" s="1"/>
  <c r="CH33" i="8" s="1"/>
  <c r="CI33" i="8" s="1"/>
  <c r="CJ33" i="8" s="1"/>
  <c r="CK33" i="8" s="1"/>
  <c r="CM33" i="8" s="1"/>
  <c r="CN33" i="8" s="1"/>
  <c r="CO33" i="8" s="1"/>
  <c r="CP33" i="8" s="1"/>
  <c r="CR33" i="8" s="1"/>
  <c r="CS33" i="8" s="1"/>
  <c r="CT33" i="8" s="1"/>
  <c r="CU33" i="8" s="1"/>
  <c r="BY109" i="8"/>
  <c r="CD126" i="8"/>
  <c r="CE126" i="8" s="1"/>
  <c r="CF126" i="8" s="1"/>
  <c r="CH126" i="8" s="1"/>
  <c r="CA119" i="8"/>
  <c r="BZ67" i="8"/>
  <c r="CA67" i="8" s="1"/>
  <c r="CC67" i="8" s="1"/>
  <c r="CD67" i="8" s="1"/>
  <c r="CE67" i="8" s="1"/>
  <c r="CF67" i="8" s="1"/>
  <c r="BY46" i="8"/>
  <c r="BZ46" i="8" s="1"/>
  <c r="BV16" i="8"/>
  <c r="BX16" i="8" s="1"/>
  <c r="BY16" i="8" s="1"/>
  <c r="CE135" i="8"/>
  <c r="CF135" i="8" s="1"/>
  <c r="CH135" i="8" s="1"/>
  <c r="CI135" i="8" s="1"/>
  <c r="CJ135" i="8" s="1"/>
  <c r="CK135" i="8" s="1"/>
  <c r="CM135" i="8" s="1"/>
  <c r="CN135" i="8" s="1"/>
  <c r="CO135" i="8" s="1"/>
  <c r="CP135" i="8" s="1"/>
  <c r="CR135" i="8" s="1"/>
  <c r="CJ83" i="8"/>
  <c r="CK83" i="8" s="1"/>
  <c r="CM83" i="8" s="1"/>
  <c r="CN83" i="8" s="1"/>
  <c r="CO83" i="8" s="1"/>
  <c r="CP83" i="8" s="1"/>
  <c r="CR83" i="8" s="1"/>
  <c r="CS83" i="8" s="1"/>
  <c r="CT83" i="8" s="1"/>
  <c r="CU83" i="8" s="1"/>
  <c r="CI115" i="8"/>
  <c r="CJ115" i="8" s="1"/>
  <c r="CN101" i="8"/>
  <c r="CO101" i="8" s="1"/>
  <c r="CP101" i="8" s="1"/>
  <c r="CR101" i="8" s="1"/>
  <c r="CS101" i="8" s="1"/>
  <c r="CT101" i="8" s="1"/>
  <c r="CU101" i="8" s="1"/>
  <c r="CO173" i="8"/>
  <c r="CP173" i="8" s="1"/>
  <c r="CR173" i="8" s="1"/>
  <c r="CS173" i="8" s="1"/>
  <c r="CT173" i="8" s="1"/>
  <c r="CU173" i="8" s="1"/>
  <c r="CK131" i="8"/>
  <c r="CM131" i="8" s="1"/>
  <c r="CN131" i="8" s="1"/>
  <c r="CO131" i="8" s="1"/>
  <c r="CP131" i="8" s="1"/>
  <c r="CR131" i="8" s="1"/>
  <c r="BT49" i="8"/>
  <c r="BU49" i="8" s="1"/>
  <c r="BZ47" i="8"/>
  <c r="CM113" i="8"/>
  <c r="CA168" i="8"/>
  <c r="BT155" i="8"/>
  <c r="CT96" i="8"/>
  <c r="CU96" i="8" s="1"/>
  <c r="BV141" i="8"/>
  <c r="CA69" i="8"/>
  <c r="CC69" i="8" s="1"/>
  <c r="CD69" i="8" s="1"/>
  <c r="CE69" i="8" s="1"/>
  <c r="CF69" i="8" s="1"/>
  <c r="CH69" i="8" s="1"/>
  <c r="BT24" i="8"/>
  <c r="BU24" i="8" s="1"/>
  <c r="BV24" i="8" s="1"/>
  <c r="BY75" i="8"/>
  <c r="CD12" i="8"/>
  <c r="CE12" i="8" s="1"/>
  <c r="CF12" i="8" s="1"/>
  <c r="CH12" i="8" s="1"/>
  <c r="BU27" i="8"/>
  <c r="BV27" i="8" s="1"/>
  <c r="CA26" i="8"/>
  <c r="CC26" i="8" s="1"/>
  <c r="CD26" i="8" s="1"/>
  <c r="BT136" i="8"/>
  <c r="BU136" i="8" s="1"/>
  <c r="BV169" i="8"/>
  <c r="BX169" i="8" s="1"/>
  <c r="BY169" i="8" s="1"/>
  <c r="CK125" i="8"/>
  <c r="CM125" i="8" s="1"/>
  <c r="CN125" i="8" s="1"/>
  <c r="CO125" i="8" s="1"/>
  <c r="CA156" i="8"/>
  <c r="CH20" i="8"/>
  <c r="CI20" i="8" s="1"/>
  <c r="CJ20" i="8" s="1"/>
  <c r="CK20" i="8" s="1"/>
  <c r="CM20" i="8" s="1"/>
  <c r="CN20" i="8" s="1"/>
  <c r="CO20" i="8" s="1"/>
  <c r="CP20" i="8" s="1"/>
  <c r="CR20" i="8" s="1"/>
  <c r="CS20" i="8" s="1"/>
  <c r="CT20" i="8" s="1"/>
  <c r="CU20" i="8" s="1"/>
  <c r="CS103" i="8"/>
  <c r="CT103" i="8" s="1"/>
  <c r="CU103" i="8" s="1"/>
  <c r="CA58" i="8"/>
  <c r="CC58" i="8" s="1"/>
  <c r="CD58" i="8" s="1"/>
  <c r="CE58" i="8" s="1"/>
  <c r="CF58" i="8" s="1"/>
  <c r="CH58" i="8" s="1"/>
  <c r="CI58" i="8" s="1"/>
  <c r="CJ58" i="8" s="1"/>
  <c r="CK58" i="8" s="1"/>
  <c r="CM58" i="8" s="1"/>
  <c r="CN58" i="8" s="1"/>
  <c r="CO58" i="8" s="1"/>
  <c r="CP58" i="8" s="1"/>
  <c r="CR58" i="8" s="1"/>
  <c r="CS58" i="8" s="1"/>
  <c r="CT58" i="8" s="1"/>
  <c r="CU58" i="8" s="1"/>
  <c r="CJ43" i="8"/>
  <c r="CK43" i="8" s="1"/>
  <c r="CM43" i="8" s="1"/>
  <c r="CN43" i="8" s="1"/>
  <c r="CO43" i="8" s="1"/>
  <c r="CP43" i="8" s="1"/>
  <c r="CR43" i="8" s="1"/>
  <c r="CS43" i="8" s="1"/>
  <c r="CT43" i="8" s="1"/>
  <c r="CU43" i="8" s="1"/>
  <c r="CA111" i="8"/>
  <c r="BX142" i="8"/>
  <c r="BY142" i="8" s="1"/>
  <c r="BZ142" i="8" s="1"/>
  <c r="CA142" i="8" s="1"/>
  <c r="CC142" i="8" s="1"/>
  <c r="CD142" i="8" s="1"/>
  <c r="CE142" i="8" s="1"/>
  <c r="CF142" i="8" s="1"/>
  <c r="CH142" i="8" s="1"/>
  <c r="CI142" i="8" s="1"/>
  <c r="CJ142" i="8" s="1"/>
  <c r="CK142" i="8" s="1"/>
  <c r="CM142" i="8" s="1"/>
  <c r="CN142" i="8" s="1"/>
  <c r="CO142" i="8" s="1"/>
  <c r="CP142" i="8" s="1"/>
  <c r="CR142" i="8" s="1"/>
  <c r="CS142" i="8" s="1"/>
  <c r="CT142" i="8" s="1"/>
  <c r="CU142" i="8" s="1"/>
  <c r="BZ116" i="8"/>
  <c r="CA116" i="8" s="1"/>
  <c r="CC116" i="8" s="1"/>
  <c r="CD116" i="8" s="1"/>
  <c r="CE116" i="8" s="1"/>
  <c r="CF116" i="8" s="1"/>
  <c r="CH116" i="8" s="1"/>
  <c r="CA152" i="8"/>
  <c r="CC152" i="8" s="1"/>
  <c r="CD152" i="8" s="1"/>
  <c r="CE152" i="8" s="1"/>
  <c r="CF152" i="8" s="1"/>
  <c r="CH152" i="8" s="1"/>
  <c r="BV73" i="8"/>
  <c r="BX73" i="8" s="1"/>
  <c r="BY104" i="8"/>
  <c r="CN84" i="8"/>
  <c r="CO84" i="8" s="1"/>
  <c r="CP84" i="8" s="1"/>
  <c r="CR84" i="8" s="1"/>
  <c r="CS84" i="8" s="1"/>
  <c r="CT84" i="8" s="1"/>
  <c r="CU84" i="8" s="1"/>
  <c r="BZ66" i="8"/>
  <c r="CA66" i="8" s="1"/>
  <c r="CP133" i="8"/>
  <c r="CR133" i="8" s="1"/>
  <c r="CS133" i="8" s="1"/>
  <c r="CT133" i="8" s="1"/>
  <c r="CU133" i="8" s="1"/>
  <c r="CN85" i="8"/>
  <c r="CO85" i="8" s="1"/>
  <c r="BY164" i="8"/>
  <c r="BZ164" i="8" s="1"/>
  <c r="CA164" i="8" s="1"/>
  <c r="CC164" i="8" s="1"/>
  <c r="CD164" i="8" s="1"/>
  <c r="CE164" i="8" s="1"/>
  <c r="CF164" i="8" s="1"/>
  <c r="CH164" i="8" s="1"/>
  <c r="CI164" i="8" s="1"/>
  <c r="CJ164" i="8" s="1"/>
  <c r="CK164" i="8" s="1"/>
  <c r="CM164" i="8" s="1"/>
  <c r="CN164" i="8" s="1"/>
  <c r="CO164" i="8" s="1"/>
  <c r="CP164" i="8" s="1"/>
  <c r="CR164" i="8" s="1"/>
  <c r="CS164" i="8" s="1"/>
  <c r="CJ127" i="8"/>
  <c r="CK127" i="8" s="1"/>
  <c r="CM127" i="8" s="1"/>
  <c r="CN127" i="8" s="1"/>
  <c r="CO127" i="8" s="1"/>
  <c r="CP127" i="8" s="1"/>
  <c r="CR127" i="8" s="1"/>
  <c r="CC28" i="8"/>
  <c r="CD28" i="8" s="1"/>
  <c r="CE28" i="8" s="1"/>
  <c r="CF28" i="8" s="1"/>
  <c r="CH28" i="8" s="1"/>
  <c r="CI28" i="8" s="1"/>
  <c r="CJ28" i="8" s="1"/>
  <c r="CK28" i="8" s="1"/>
  <c r="CM28" i="8" s="1"/>
  <c r="CN28" i="8" s="1"/>
  <c r="CO28" i="8" s="1"/>
  <c r="CP28" i="8" s="1"/>
  <c r="CR28" i="8" s="1"/>
  <c r="CS28" i="8" s="1"/>
  <c r="CT28" i="8" s="1"/>
  <c r="CU28" i="8" s="1"/>
  <c r="BZ140" i="8"/>
  <c r="CI172" i="8"/>
  <c r="CJ172" i="8" s="1"/>
  <c r="CK172" i="8" s="1"/>
  <c r="CM172" i="8" s="1"/>
  <c r="CA45" i="8"/>
  <c r="CC45" i="8" s="1"/>
  <c r="BU18" i="8"/>
  <c r="BV18" i="8" s="1"/>
  <c r="BX18" i="8" s="1"/>
  <c r="BY18" i="8" s="1"/>
  <c r="BZ18" i="8" s="1"/>
  <c r="CA18" i="8" s="1"/>
  <c r="CC18" i="8" s="1"/>
  <c r="CD18" i="8" s="1"/>
  <c r="CE18" i="8" s="1"/>
  <c r="CF18" i="8" s="1"/>
  <c r="CH18" i="8" s="1"/>
  <c r="CI18" i="8" s="1"/>
  <c r="CJ18" i="8" s="1"/>
  <c r="CK18" i="8" s="1"/>
  <c r="CM18" i="8" s="1"/>
  <c r="CN18" i="8" s="1"/>
  <c r="CO18" i="8" s="1"/>
  <c r="CP18" i="8" s="1"/>
  <c r="CR18" i="8" s="1"/>
  <c r="CS18" i="8" s="1"/>
  <c r="CT18" i="8" s="1"/>
  <c r="CU18" i="8" s="1"/>
  <c r="BU81" i="8"/>
  <c r="BV81" i="8" s="1"/>
  <c r="BX81" i="8" s="1"/>
  <c r="BY81" i="8" s="1"/>
  <c r="BZ81" i="8" s="1"/>
  <c r="CA81" i="8" s="1"/>
  <c r="CC81" i="8" s="1"/>
  <c r="CD81" i="8" s="1"/>
  <c r="CE81" i="8" s="1"/>
  <c r="CF81" i="8" s="1"/>
  <c r="CH81" i="8" s="1"/>
  <c r="CI81" i="8" s="1"/>
  <c r="CJ81" i="8" s="1"/>
  <c r="CK81" i="8" s="1"/>
  <c r="CM81" i="8" s="1"/>
  <c r="CO165" i="8"/>
  <c r="CP165" i="8" s="1"/>
  <c r="CR165" i="8" s="1"/>
  <c r="CS165" i="8" s="1"/>
  <c r="CT165" i="8" s="1"/>
  <c r="CU165" i="8" s="1"/>
  <c r="BT138" i="8"/>
  <c r="CI148" i="8"/>
  <c r="CJ148" i="8" s="1"/>
  <c r="CK148" i="8" s="1"/>
  <c r="CM148" i="8" s="1"/>
  <c r="BT91" i="8"/>
  <c r="CO121" i="8"/>
  <c r="CP121" i="8" s="1"/>
  <c r="CR121" i="8" s="1"/>
  <c r="CS121" i="8" s="1"/>
  <c r="CT121" i="8" s="1"/>
  <c r="CU121" i="8" s="1"/>
  <c r="CE34" i="8"/>
  <c r="CF34" i="8" s="1"/>
  <c r="CH34" i="8" s="1"/>
  <c r="CI34" i="8" s="1"/>
  <c r="CJ34" i="8" s="1"/>
  <c r="CK34" i="8" s="1"/>
  <c r="CM34" i="8" s="1"/>
  <c r="CN34" i="8" s="1"/>
  <c r="CO34" i="8" s="1"/>
  <c r="CP34" i="8" s="1"/>
  <c r="CR34" i="8" s="1"/>
  <c r="CS34" i="8" s="1"/>
  <c r="CT34" i="8" s="1"/>
  <c r="CU34" i="8" s="1"/>
  <c r="BX117" i="8"/>
  <c r="CJ151" i="8"/>
  <c r="CK151" i="8" s="1"/>
  <c r="BV108" i="8"/>
  <c r="CA144" i="8"/>
  <c r="BY71" i="8"/>
  <c r="BV30" i="8"/>
  <c r="BX30" i="8" s="1"/>
  <c r="BY30" i="8" s="1"/>
  <c r="BZ30" i="8" s="1"/>
  <c r="CA30" i="8" s="1"/>
  <c r="CC30" i="8" s="1"/>
  <c r="CD30" i="8" s="1"/>
  <c r="CE30" i="8" s="1"/>
  <c r="CF30" i="8" s="1"/>
  <c r="CH30" i="8" s="1"/>
  <c r="CI30" i="8" s="1"/>
  <c r="CJ30" i="8" s="1"/>
  <c r="CK30" i="8" s="1"/>
  <c r="CM30" i="8" s="1"/>
  <c r="CN30" i="8" s="1"/>
  <c r="CO30" i="8" s="1"/>
  <c r="CP30" i="8" s="1"/>
  <c r="CR30" i="8" s="1"/>
  <c r="CS30" i="8" s="1"/>
  <c r="CT30" i="8" s="1"/>
  <c r="CU30" i="8" s="1"/>
  <c r="CN97" i="8"/>
  <c r="CO97" i="8" s="1"/>
  <c r="CP97" i="8" s="1"/>
  <c r="CR97" i="8" s="1"/>
  <c r="CS97" i="8" s="1"/>
  <c r="CT97" i="8" s="1"/>
  <c r="CU97" i="8" s="1"/>
  <c r="BX57" i="8"/>
  <c r="BY57" i="8" s="1"/>
  <c r="BT89" i="8"/>
  <c r="U89" i="4"/>
  <c r="BT38" i="8"/>
  <c r="BY39" i="8"/>
  <c r="BZ39" i="8" s="1"/>
  <c r="CA39" i="8" s="1"/>
  <c r="CC39" i="8" s="1"/>
  <c r="CD39" i="8" s="1"/>
  <c r="CE39" i="8" s="1"/>
  <c r="CF39" i="8" s="1"/>
  <c r="CH39" i="8" s="1"/>
  <c r="CI39" i="8" s="1"/>
  <c r="CJ39" i="8" s="1"/>
  <c r="CK39" i="8" s="1"/>
  <c r="CM39" i="8" s="1"/>
  <c r="CN39" i="8" s="1"/>
  <c r="CO39" i="8" s="1"/>
  <c r="CP39" i="8" s="1"/>
  <c r="CR39" i="8" s="1"/>
  <c r="CS39" i="8" s="1"/>
  <c r="CT39" i="8" s="1"/>
  <c r="CU39" i="8" s="1"/>
  <c r="BX21" i="8"/>
  <c r="CI79" i="8"/>
  <c r="CJ79" i="8" s="1"/>
  <c r="CF41" i="8"/>
  <c r="CH41" i="8" s="1"/>
  <c r="CI41" i="8" s="1"/>
  <c r="CJ41" i="8" s="1"/>
  <c r="CK41" i="8" s="1"/>
  <c r="CM41" i="8" s="1"/>
  <c r="CN41" i="8" s="1"/>
  <c r="CO41" i="8" s="1"/>
  <c r="CP41" i="8" s="1"/>
  <c r="CR41" i="8" s="1"/>
  <c r="CS41" i="8" s="1"/>
  <c r="CT41" i="8" s="1"/>
  <c r="CU41" i="8" s="1"/>
  <c r="CN72" i="8"/>
  <c r="CO72" i="8" s="1"/>
  <c r="CP72" i="8" s="1"/>
  <c r="CR72" i="8" s="1"/>
  <c r="CS72" i="8" s="1"/>
  <c r="CT72" i="8" s="1"/>
  <c r="CU72" i="8" s="1"/>
  <c r="CN76" i="8"/>
  <c r="CO76" i="8" s="1"/>
  <c r="CP76" i="8" s="1"/>
  <c r="CR76" i="8" s="1"/>
  <c r="CS76" i="8" s="1"/>
  <c r="CT76" i="8" s="1"/>
  <c r="CU76" i="8" s="1"/>
  <c r="BY51" i="8"/>
  <c r="BZ51" i="8" s="1"/>
  <c r="CA51" i="8" s="1"/>
  <c r="CC51" i="8" s="1"/>
  <c r="CD51" i="8" s="1"/>
  <c r="CE51" i="8" s="1"/>
  <c r="CF51" i="8" s="1"/>
  <c r="CH51" i="8" s="1"/>
  <c r="CI51" i="8" s="1"/>
  <c r="CJ51" i="8" s="1"/>
  <c r="CK51" i="8" s="1"/>
  <c r="CM51" i="8" s="1"/>
  <c r="CN51" i="8" s="1"/>
  <c r="CO51" i="8" s="1"/>
  <c r="CP51" i="8" s="1"/>
  <c r="CR51" i="8" s="1"/>
  <c r="CS51" i="8" s="1"/>
  <c r="CT51" i="8" s="1"/>
  <c r="CU51" i="8" s="1"/>
  <c r="BV70" i="8"/>
  <c r="BX70" i="8" s="1"/>
  <c r="BY70" i="8" s="1"/>
  <c r="BZ70" i="8" s="1"/>
  <c r="CA70" i="8" s="1"/>
  <c r="CC70" i="8" s="1"/>
  <c r="CD70" i="8" s="1"/>
  <c r="V101" i="4"/>
  <c r="U93" i="4"/>
  <c r="U92" i="4"/>
  <c r="U99" i="4"/>
  <c r="V94" i="4"/>
  <c r="U97" i="4"/>
  <c r="U96" i="4"/>
  <c r="U101" i="4"/>
  <c r="U91" i="4"/>
  <c r="U95" i="4"/>
  <c r="U104" i="4"/>
  <c r="U98" i="4"/>
  <c r="U102" i="4"/>
  <c r="W87" i="4"/>
  <c r="U90" i="4"/>
  <c r="V88" i="4"/>
  <c r="W88" i="4"/>
  <c r="V85" i="4"/>
  <c r="V86" i="4"/>
  <c r="U84" i="4"/>
  <c r="U83" i="4"/>
  <c r="W82" i="4"/>
  <c r="U81" i="4"/>
  <c r="U52" i="4"/>
  <c r="S15" i="4"/>
  <c r="U80" i="4"/>
  <c r="U74" i="4"/>
  <c r="V52" i="4"/>
  <c r="V18" i="4"/>
  <c r="W29" i="4"/>
  <c r="V49" i="4"/>
  <c r="S29" i="4"/>
  <c r="U24" i="4"/>
  <c r="W11" i="4"/>
  <c r="V13" i="4"/>
  <c r="U58" i="4"/>
  <c r="U34" i="4"/>
  <c r="S30" i="4"/>
  <c r="V30" i="4"/>
  <c r="X58" i="4"/>
  <c r="V72" i="4"/>
  <c r="U55" i="4"/>
  <c r="S55" i="4"/>
  <c r="U59" i="4"/>
  <c r="U79" i="4"/>
  <c r="S13" i="4"/>
  <c r="S31" i="4"/>
  <c r="U47" i="4"/>
  <c r="U67" i="4"/>
  <c r="U28" i="4"/>
  <c r="S12" i="4"/>
  <c r="S61" i="4"/>
  <c r="U61" i="4"/>
  <c r="S70" i="4"/>
  <c r="S39" i="4"/>
  <c r="S26" i="4"/>
  <c r="U10" i="4"/>
  <c r="S17" i="4"/>
  <c r="S73" i="4"/>
  <c r="V77" i="4"/>
  <c r="U19" i="4"/>
  <c r="S19" i="4"/>
  <c r="S65" i="4"/>
  <c r="U65" i="4"/>
  <c r="S69" i="4"/>
  <c r="U69" i="4"/>
  <c r="S14" i="4"/>
  <c r="S35" i="4"/>
  <c r="V35" i="4"/>
  <c r="S43" i="4"/>
  <c r="S23" i="4"/>
  <c r="U16" i="4"/>
  <c r="S76" i="4"/>
  <c r="U76" i="4"/>
  <c r="S22" i="4"/>
  <c r="U9" i="4"/>
  <c r="BT9" i="8"/>
  <c r="W48" i="4"/>
  <c r="U48" i="4"/>
  <c r="V27" i="4"/>
  <c r="S27" i="4"/>
  <c r="S25" i="4"/>
  <c r="S71" i="4"/>
  <c r="U62" i="4"/>
  <c r="V53" i="4"/>
  <c r="U56" i="4"/>
  <c r="S56" i="4"/>
  <c r="S54" i="4"/>
  <c r="S75" i="4"/>
  <c r="U45" i="4"/>
  <c r="U64" i="4"/>
  <c r="V64" i="4"/>
  <c r="S38" i="4"/>
  <c r="U38" i="4"/>
  <c r="U51" i="4"/>
  <c r="S51" i="4"/>
  <c r="S33" i="4"/>
  <c r="S20" i="4"/>
  <c r="S78" i="4"/>
  <c r="U68" i="4"/>
  <c r="S40" i="4"/>
  <c r="S32" i="4"/>
  <c r="S63" i="4"/>
  <c r="S21" i="4"/>
  <c r="W55" i="4"/>
  <c r="V57" i="4"/>
  <c r="X57" i="4"/>
  <c r="W52" i="4"/>
  <c r="BE133" i="8"/>
  <c r="BE123" i="8"/>
  <c r="BE142" i="8"/>
  <c r="BE162" i="8"/>
  <c r="BE173" i="8"/>
  <c r="BE171" i="8"/>
  <c r="BE121" i="8"/>
  <c r="BE120" i="8"/>
  <c r="BE139" i="8"/>
  <c r="BE114" i="8"/>
  <c r="BE165" i="8"/>
  <c r="CP153" i="8" l="1"/>
  <c r="CR153" i="8" s="1"/>
  <c r="CS153" i="8" s="1"/>
  <c r="CT153" i="8" s="1"/>
  <c r="CU153" i="8" s="1"/>
  <c r="CD107" i="8"/>
  <c r="CN145" i="8"/>
  <c r="CO145" i="8" s="1"/>
  <c r="CP145" i="8" s="1"/>
  <c r="CR145" i="8" s="1"/>
  <c r="CS145" i="8" s="1"/>
  <c r="CT145" i="8" s="1"/>
  <c r="CU145" i="8" s="1"/>
  <c r="CS131" i="8"/>
  <c r="BU99" i="8"/>
  <c r="CT100" i="8"/>
  <c r="CU100" i="8" s="1"/>
  <c r="CI92" i="8"/>
  <c r="CJ92" i="8" s="1"/>
  <c r="CK92" i="8" s="1"/>
  <c r="CM92" i="8" s="1"/>
  <c r="BV19" i="8"/>
  <c r="BX19" i="8" s="1"/>
  <c r="BY19" i="8" s="1"/>
  <c r="BY161" i="8"/>
  <c r="BZ161" i="8" s="1"/>
  <c r="CA161" i="8" s="1"/>
  <c r="CC161" i="8" s="1"/>
  <c r="CD161" i="8" s="1"/>
  <c r="CE161" i="8" s="1"/>
  <c r="CF161" i="8" s="1"/>
  <c r="CH161" i="8" s="1"/>
  <c r="CI161" i="8" s="1"/>
  <c r="CJ161" i="8" s="1"/>
  <c r="CK161" i="8" s="1"/>
  <c r="CM161" i="8" s="1"/>
  <c r="CK115" i="8"/>
  <c r="CM115" i="8" s="1"/>
  <c r="CN115" i="8" s="1"/>
  <c r="CO115" i="8" s="1"/>
  <c r="CP115" i="8" s="1"/>
  <c r="CR115" i="8" s="1"/>
  <c r="CS115" i="8" s="1"/>
  <c r="CT115" i="8" s="1"/>
  <c r="CU115" i="8" s="1"/>
  <c r="CP125" i="8"/>
  <c r="CR125" i="8" s="1"/>
  <c r="CS125" i="8" s="1"/>
  <c r="CT125" i="8" s="1"/>
  <c r="CU125" i="8" s="1"/>
  <c r="BZ61" i="8"/>
  <c r="CA61" i="8" s="1"/>
  <c r="CC61" i="8" s="1"/>
  <c r="CD61" i="8" s="1"/>
  <c r="CE61" i="8" s="1"/>
  <c r="CF61" i="8" s="1"/>
  <c r="CH61" i="8" s="1"/>
  <c r="CI61" i="8" s="1"/>
  <c r="CJ61" i="8" s="1"/>
  <c r="CK61" i="8" s="1"/>
  <c r="CM61" i="8" s="1"/>
  <c r="CN61" i="8" s="1"/>
  <c r="CI95" i="8"/>
  <c r="CJ95" i="8" s="1"/>
  <c r="BY73" i="8"/>
  <c r="BZ73" i="8" s="1"/>
  <c r="BZ109" i="8"/>
  <c r="CA109" i="8" s="1"/>
  <c r="CC109" i="8" s="1"/>
  <c r="CD109" i="8" s="1"/>
  <c r="CC66" i="8"/>
  <c r="CD66" i="8" s="1"/>
  <c r="CA50" i="8"/>
  <c r="CC50" i="8" s="1"/>
  <c r="BZ157" i="8"/>
  <c r="CA157" i="8" s="1"/>
  <c r="CC157" i="8" s="1"/>
  <c r="CD157" i="8" s="1"/>
  <c r="BZ16" i="8"/>
  <c r="CA16" i="8" s="1"/>
  <c r="CC16" i="8" s="1"/>
  <c r="CH67" i="8"/>
  <c r="CI67" i="8" s="1"/>
  <c r="CJ67" i="8" s="1"/>
  <c r="CK67" i="8" s="1"/>
  <c r="CM67" i="8" s="1"/>
  <c r="CN67" i="8" s="1"/>
  <c r="CO67" i="8" s="1"/>
  <c r="CP67" i="8" s="1"/>
  <c r="CR67" i="8" s="1"/>
  <c r="CS67" i="8" s="1"/>
  <c r="CT67" i="8" s="1"/>
  <c r="CU67" i="8" s="1"/>
  <c r="CI116" i="8"/>
  <c r="CJ116" i="8" s="1"/>
  <c r="CK116" i="8" s="1"/>
  <c r="CM116" i="8" s="1"/>
  <c r="BV136" i="8"/>
  <c r="BX136" i="8" s="1"/>
  <c r="BY136" i="8" s="1"/>
  <c r="CH147" i="8"/>
  <c r="CI147" i="8" s="1"/>
  <c r="CJ147" i="8" s="1"/>
  <c r="CC119" i="8"/>
  <c r="CA160" i="8"/>
  <c r="CE26" i="8"/>
  <c r="CI126" i="8"/>
  <c r="CJ126" i="8" s="1"/>
  <c r="CK126" i="8" s="1"/>
  <c r="CM126" i="8" s="1"/>
  <c r="CN126" i="8" s="1"/>
  <c r="CO126" i="8" s="1"/>
  <c r="CP126" i="8" s="1"/>
  <c r="CR126" i="8" s="1"/>
  <c r="CS126" i="8" s="1"/>
  <c r="CT126" i="8" s="1"/>
  <c r="CU126" i="8" s="1"/>
  <c r="CA46" i="8"/>
  <c r="CC46" i="8" s="1"/>
  <c r="CD46" i="8" s="1"/>
  <c r="CE46" i="8" s="1"/>
  <c r="CF46" i="8" s="1"/>
  <c r="CH46" i="8" s="1"/>
  <c r="CI46" i="8" s="1"/>
  <c r="CJ46" i="8" s="1"/>
  <c r="CK46" i="8" s="1"/>
  <c r="CM46" i="8" s="1"/>
  <c r="CN46" i="8" s="1"/>
  <c r="CO46" i="8" s="1"/>
  <c r="CP46" i="8" s="1"/>
  <c r="CR46" i="8" s="1"/>
  <c r="CS46" i="8" s="1"/>
  <c r="CT46" i="8" s="1"/>
  <c r="CU46" i="8" s="1"/>
  <c r="CM151" i="8"/>
  <c r="CN151" i="8" s="1"/>
  <c r="CO151" i="8" s="1"/>
  <c r="CP151" i="8" s="1"/>
  <c r="CR151" i="8" s="1"/>
  <c r="CS151" i="8" s="1"/>
  <c r="CT151" i="8" s="1"/>
  <c r="CU151" i="8" s="1"/>
  <c r="CI12" i="8"/>
  <c r="CJ12" i="8" s="1"/>
  <c r="CK12" i="8" s="1"/>
  <c r="CM12" i="8" s="1"/>
  <c r="CN12" i="8" s="1"/>
  <c r="CO12" i="8" s="1"/>
  <c r="CP12" i="8" s="1"/>
  <c r="CR12" i="8" s="1"/>
  <c r="CS12" i="8" s="1"/>
  <c r="CT12" i="8" s="1"/>
  <c r="CU12" i="8" s="1"/>
  <c r="CN148" i="8"/>
  <c r="CO148" i="8" s="1"/>
  <c r="CP148" i="8" s="1"/>
  <c r="CR148" i="8" s="1"/>
  <c r="CS148" i="8" s="1"/>
  <c r="CT148" i="8" s="1"/>
  <c r="CU148" i="8" s="1"/>
  <c r="BY21" i="8"/>
  <c r="CN172" i="8"/>
  <c r="CO172" i="8" s="1"/>
  <c r="CP172" i="8" s="1"/>
  <c r="CR172" i="8" s="1"/>
  <c r="CS172" i="8" s="1"/>
  <c r="CT172" i="8" s="1"/>
  <c r="CU172" i="8" s="1"/>
  <c r="CN92" i="8"/>
  <c r="CO92" i="8" s="1"/>
  <c r="CP92" i="8" s="1"/>
  <c r="CR92" i="8" s="1"/>
  <c r="CS92" i="8" s="1"/>
  <c r="CT92" i="8" s="1"/>
  <c r="CU92" i="8" s="1"/>
  <c r="CI69" i="8"/>
  <c r="CJ69" i="8" s="1"/>
  <c r="CK69" i="8" s="1"/>
  <c r="CM69" i="8" s="1"/>
  <c r="CN69" i="8" s="1"/>
  <c r="CO69" i="8" s="1"/>
  <c r="CP69" i="8" s="1"/>
  <c r="CR69" i="8" s="1"/>
  <c r="CS69" i="8" s="1"/>
  <c r="CT69" i="8" s="1"/>
  <c r="CU69" i="8" s="1"/>
  <c r="CA47" i="8"/>
  <c r="CC47" i="8" s="1"/>
  <c r="CD47" i="8" s="1"/>
  <c r="CE47" i="8" s="1"/>
  <c r="CF47" i="8" s="1"/>
  <c r="CH47" i="8" s="1"/>
  <c r="CI47" i="8" s="1"/>
  <c r="CJ47" i="8" s="1"/>
  <c r="CK47" i="8" s="1"/>
  <c r="CM47" i="8" s="1"/>
  <c r="CN47" i="8" s="1"/>
  <c r="CO47" i="8" s="1"/>
  <c r="CP47" i="8" s="1"/>
  <c r="CR47" i="8" s="1"/>
  <c r="CS47" i="8" s="1"/>
  <c r="CT47" i="8" s="1"/>
  <c r="CU47" i="8" s="1"/>
  <c r="BX24" i="8"/>
  <c r="BY24" i="8" s="1"/>
  <c r="BZ24" i="8" s="1"/>
  <c r="BX27" i="8"/>
  <c r="BY27" i="8" s="1"/>
  <c r="BZ27" i="8" s="1"/>
  <c r="CA27" i="8" s="1"/>
  <c r="BV49" i="8"/>
  <c r="BX49" i="8" s="1"/>
  <c r="CA140" i="8"/>
  <c r="CC140" i="8" s="1"/>
  <c r="CD140" i="8" s="1"/>
  <c r="CE140" i="8" s="1"/>
  <c r="CF140" i="8" s="1"/>
  <c r="CH140" i="8" s="1"/>
  <c r="CI140" i="8" s="1"/>
  <c r="CJ140" i="8" s="1"/>
  <c r="CK140" i="8" s="1"/>
  <c r="CM140" i="8" s="1"/>
  <c r="CI152" i="8"/>
  <c r="CJ152" i="8" s="1"/>
  <c r="CK152" i="8" s="1"/>
  <c r="CM152" i="8" s="1"/>
  <c r="CC144" i="8"/>
  <c r="CD144" i="8" s="1"/>
  <c r="CE144" i="8" s="1"/>
  <c r="CF144" i="8" s="1"/>
  <c r="CH144" i="8" s="1"/>
  <c r="CI144" i="8" s="1"/>
  <c r="CN81" i="8"/>
  <c r="CO81" i="8" s="1"/>
  <c r="CC156" i="8"/>
  <c r="CN113" i="8"/>
  <c r="CO113" i="8" s="1"/>
  <c r="CP85" i="8"/>
  <c r="CR85" i="8" s="1"/>
  <c r="CS85" i="8" s="1"/>
  <c r="CT85" i="8" s="1"/>
  <c r="CU85" i="8" s="1"/>
  <c r="BU38" i="8"/>
  <c r="BU91" i="8"/>
  <c r="BX141" i="8"/>
  <c r="BY141" i="8" s="1"/>
  <c r="BZ141" i="8" s="1"/>
  <c r="CA141" i="8" s="1"/>
  <c r="BX108" i="8"/>
  <c r="CS127" i="8"/>
  <c r="CT127" i="8" s="1"/>
  <c r="CU127" i="8" s="1"/>
  <c r="CT124" i="8"/>
  <c r="CU124" i="8" s="1"/>
  <c r="CC111" i="8"/>
  <c r="CD111" i="8" s="1"/>
  <c r="CE111" i="8" s="1"/>
  <c r="CF111" i="8" s="1"/>
  <c r="CH111" i="8" s="1"/>
  <c r="CI111" i="8" s="1"/>
  <c r="CJ111" i="8" s="1"/>
  <c r="CK111" i="8" s="1"/>
  <c r="CM111" i="8" s="1"/>
  <c r="CN111" i="8" s="1"/>
  <c r="CO111" i="8" s="1"/>
  <c r="CP111" i="8" s="1"/>
  <c r="CR111" i="8" s="1"/>
  <c r="CS111" i="8" s="1"/>
  <c r="CT111" i="8" s="1"/>
  <c r="CU111" i="8" s="1"/>
  <c r="BZ75" i="8"/>
  <c r="CA75" i="8" s="1"/>
  <c r="CC75" i="8" s="1"/>
  <c r="CD75" i="8" s="1"/>
  <c r="CE75" i="8" s="1"/>
  <c r="CF75" i="8" s="1"/>
  <c r="CH75" i="8" s="1"/>
  <c r="CS135" i="8"/>
  <c r="CT135" i="8" s="1"/>
  <c r="CU135" i="8" s="1"/>
  <c r="BZ71" i="8"/>
  <c r="CA71" i="8" s="1"/>
  <c r="CC71" i="8" s="1"/>
  <c r="CD71" i="8" s="1"/>
  <c r="CE71" i="8" s="1"/>
  <c r="CF71" i="8" s="1"/>
  <c r="CH71" i="8" s="1"/>
  <c r="BZ169" i="8"/>
  <c r="BU155" i="8"/>
  <c r="BU89" i="8"/>
  <c r="V89" i="4"/>
  <c r="CD45" i="8"/>
  <c r="CE45" i="8" s="1"/>
  <c r="CF45" i="8" s="1"/>
  <c r="CH45" i="8" s="1"/>
  <c r="CI45" i="8" s="1"/>
  <c r="CJ45" i="8" s="1"/>
  <c r="CK45" i="8" s="1"/>
  <c r="CM45" i="8" s="1"/>
  <c r="CN45" i="8" s="1"/>
  <c r="CO45" i="8" s="1"/>
  <c r="CP45" i="8" s="1"/>
  <c r="CR45" i="8" s="1"/>
  <c r="CS45" i="8" s="1"/>
  <c r="CT45" i="8" s="1"/>
  <c r="CU45" i="8" s="1"/>
  <c r="BZ57" i="8"/>
  <c r="BU138" i="8"/>
  <c r="CT164" i="8"/>
  <c r="CU164" i="8" s="1"/>
  <c r="CC168" i="8"/>
  <c r="CD168" i="8" s="1"/>
  <c r="CE168" i="8" s="1"/>
  <c r="CF168" i="8" s="1"/>
  <c r="CH168" i="8" s="1"/>
  <c r="CI168" i="8" s="1"/>
  <c r="CJ168" i="8" s="1"/>
  <c r="CK168" i="8" s="1"/>
  <c r="CM168" i="8" s="1"/>
  <c r="BZ104" i="8"/>
  <c r="CA104" i="8" s="1"/>
  <c r="CC104" i="8" s="1"/>
  <c r="CD104" i="8" s="1"/>
  <c r="CE104" i="8" s="1"/>
  <c r="CF104" i="8" s="1"/>
  <c r="CH104" i="8" s="1"/>
  <c r="CI104" i="8" s="1"/>
  <c r="CJ104" i="8" s="1"/>
  <c r="CK104" i="8" s="1"/>
  <c r="CM104" i="8" s="1"/>
  <c r="CN104" i="8" s="1"/>
  <c r="CO104" i="8" s="1"/>
  <c r="CP104" i="8" s="1"/>
  <c r="CR104" i="8" s="1"/>
  <c r="CS104" i="8" s="1"/>
  <c r="CT104" i="8" s="1"/>
  <c r="CU104" i="8" s="1"/>
  <c r="BY117" i="8"/>
  <c r="BZ117" i="8" s="1"/>
  <c r="CA117" i="8" s="1"/>
  <c r="CC117" i="8" s="1"/>
  <c r="CD117" i="8" s="1"/>
  <c r="CE117" i="8" s="1"/>
  <c r="CF117" i="8" s="1"/>
  <c r="CH117" i="8" s="1"/>
  <c r="CI117" i="8" s="1"/>
  <c r="CJ117" i="8" s="1"/>
  <c r="CK117" i="8" s="1"/>
  <c r="CM117" i="8" s="1"/>
  <c r="CN117" i="8" s="1"/>
  <c r="CO117" i="8" s="1"/>
  <c r="CP117" i="8" s="1"/>
  <c r="CR117" i="8" s="1"/>
  <c r="CS117" i="8" s="1"/>
  <c r="CT117" i="8" s="1"/>
  <c r="CU117" i="8" s="1"/>
  <c r="CT131" i="8"/>
  <c r="CU131" i="8" s="1"/>
  <c r="CK79" i="8"/>
  <c r="CM79" i="8" s="1"/>
  <c r="CN79" i="8" s="1"/>
  <c r="CO79" i="8" s="1"/>
  <c r="CP79" i="8" s="1"/>
  <c r="CR79" i="8" s="1"/>
  <c r="CS79" i="8" s="1"/>
  <c r="CT79" i="8" s="1"/>
  <c r="CU79" i="8" s="1"/>
  <c r="CE70" i="8"/>
  <c r="CF70" i="8" s="1"/>
  <c r="CH70" i="8" s="1"/>
  <c r="V100" i="4"/>
  <c r="V95" i="4"/>
  <c r="V93" i="4"/>
  <c r="W100" i="4"/>
  <c r="V97" i="4"/>
  <c r="V99" i="4"/>
  <c r="V91" i="4"/>
  <c r="X101" i="4"/>
  <c r="W101" i="4"/>
  <c r="V102" i="4"/>
  <c r="V98" i="4"/>
  <c r="V96" i="4"/>
  <c r="V103" i="4"/>
  <c r="W104" i="4"/>
  <c r="V104" i="4"/>
  <c r="W94" i="4"/>
  <c r="W92" i="4"/>
  <c r="V92" i="4"/>
  <c r="X87" i="4"/>
  <c r="V90" i="4"/>
  <c r="X85" i="4"/>
  <c r="W86" i="4"/>
  <c r="V84" i="4"/>
  <c r="V83" i="4"/>
  <c r="X82" i="4"/>
  <c r="V81" i="4"/>
  <c r="V15" i="4"/>
  <c r="V80" i="4"/>
  <c r="V74" i="4"/>
  <c r="X49" i="4"/>
  <c r="W18" i="4"/>
  <c r="Z13" i="4"/>
  <c r="V29" i="4"/>
  <c r="X72" i="4"/>
  <c r="V11" i="4"/>
  <c r="U49" i="4"/>
  <c r="V24" i="4"/>
  <c r="V67" i="4"/>
  <c r="W58" i="4"/>
  <c r="V59" i="4"/>
  <c r="V10" i="4"/>
  <c r="W79" i="4"/>
  <c r="V79" i="4"/>
  <c r="U46" i="4"/>
  <c r="X11" i="4"/>
  <c r="U31" i="4"/>
  <c r="V47" i="4"/>
  <c r="V45" i="4"/>
  <c r="V28" i="4"/>
  <c r="V68" i="4"/>
  <c r="U26" i="4"/>
  <c r="U70" i="4"/>
  <c r="U39" i="4"/>
  <c r="V39" i="4"/>
  <c r="U73" i="4"/>
  <c r="V19" i="4"/>
  <c r="X17" i="4"/>
  <c r="V17" i="4"/>
  <c r="U12" i="4"/>
  <c r="V41" i="4"/>
  <c r="U63" i="4"/>
  <c r="U54" i="4"/>
  <c r="BU9" i="8"/>
  <c r="V9" i="4"/>
  <c r="V16" i="4"/>
  <c r="U37" i="4"/>
  <c r="W32" i="4"/>
  <c r="U32" i="4"/>
  <c r="U78" i="4"/>
  <c r="U75" i="4"/>
  <c r="U14" i="4"/>
  <c r="V60" i="4"/>
  <c r="U25" i="4"/>
  <c r="V48" i="4"/>
  <c r="W37" i="4"/>
  <c r="U23" i="4"/>
  <c r="U21" i="4"/>
  <c r="U50" i="4"/>
  <c r="U43" i="4"/>
  <c r="W43" i="4"/>
  <c r="U22" i="4"/>
  <c r="U44" i="4"/>
  <c r="U40" i="4"/>
  <c r="V62" i="4"/>
  <c r="W53" i="4"/>
  <c r="U35" i="4"/>
  <c r="W63" i="4"/>
  <c r="U66" i="4"/>
  <c r="U27" i="4"/>
  <c r="V36" i="4"/>
  <c r="V22" i="4"/>
  <c r="U20" i="4"/>
  <c r="V20" i="4"/>
  <c r="U33" i="4"/>
  <c r="V71" i="4"/>
  <c r="U42" i="4"/>
  <c r="X52" i="4"/>
  <c r="Z57" i="4"/>
  <c r="W57" i="4"/>
  <c r="BE164" i="8"/>
  <c r="BE153" i="8"/>
  <c r="BE145" i="8"/>
  <c r="BE148" i="8"/>
  <c r="BE151" i="8"/>
  <c r="BE131" i="8"/>
  <c r="BE111" i="8"/>
  <c r="BE154" i="8"/>
  <c r="BE127" i="8"/>
  <c r="BE172" i="8"/>
  <c r="BE135" i="8"/>
  <c r="BE132" i="8"/>
  <c r="BE126" i="8"/>
  <c r="BE106" i="8"/>
  <c r="BE125" i="8"/>
  <c r="BE124" i="8"/>
  <c r="BE115" i="8"/>
  <c r="BE117" i="8"/>
  <c r="CE107" i="8" l="1"/>
  <c r="CF107" i="8" s="1"/>
  <c r="CH107" i="8" s="1"/>
  <c r="CI107" i="8" s="1"/>
  <c r="CJ107" i="8" s="1"/>
  <c r="BZ136" i="8"/>
  <c r="CA136" i="8" s="1"/>
  <c r="CC136" i="8" s="1"/>
  <c r="CD136" i="8" s="1"/>
  <c r="CE136" i="8" s="1"/>
  <c r="CF136" i="8" s="1"/>
  <c r="CH136" i="8" s="1"/>
  <c r="CI136" i="8" s="1"/>
  <c r="CJ136" i="8" s="1"/>
  <c r="CK136" i="8" s="1"/>
  <c r="CM136" i="8" s="1"/>
  <c r="BY49" i="8"/>
  <c r="BZ49" i="8" s="1"/>
  <c r="CA49" i="8" s="1"/>
  <c r="CC49" i="8" s="1"/>
  <c r="CD49" i="8" s="1"/>
  <c r="CE49" i="8" s="1"/>
  <c r="CF49" i="8" s="1"/>
  <c r="CH49" i="8" s="1"/>
  <c r="CI49" i="8" s="1"/>
  <c r="CJ49" i="8" s="1"/>
  <c r="CK49" i="8" s="1"/>
  <c r="CM49" i="8" s="1"/>
  <c r="CN49" i="8" s="1"/>
  <c r="CO49" i="8" s="1"/>
  <c r="CP49" i="8" s="1"/>
  <c r="CR49" i="8" s="1"/>
  <c r="CS49" i="8" s="1"/>
  <c r="CT49" i="8" s="1"/>
  <c r="CU49" i="8" s="1"/>
  <c r="CD16" i="8"/>
  <c r="CE16" i="8" s="1"/>
  <c r="CF16" i="8" s="1"/>
  <c r="CH16" i="8" s="1"/>
  <c r="CI16" i="8" s="1"/>
  <c r="CJ16" i="8" s="1"/>
  <c r="CK16" i="8" s="1"/>
  <c r="CM16" i="8" s="1"/>
  <c r="CN16" i="8" s="1"/>
  <c r="CO16" i="8" s="1"/>
  <c r="CP16" i="8" s="1"/>
  <c r="CR16" i="8" s="1"/>
  <c r="CS16" i="8" s="1"/>
  <c r="CT16" i="8" s="1"/>
  <c r="CU16" i="8" s="1"/>
  <c r="CN161" i="8"/>
  <c r="CO161" i="8" s="1"/>
  <c r="CP161" i="8" s="1"/>
  <c r="CR161" i="8" s="1"/>
  <c r="CS161" i="8" s="1"/>
  <c r="CT161" i="8" s="1"/>
  <c r="CU161" i="8" s="1"/>
  <c r="BZ19" i="8"/>
  <c r="CA19" i="8" s="1"/>
  <c r="CC19" i="8" s="1"/>
  <c r="CD19" i="8" s="1"/>
  <c r="CE19" i="8" s="1"/>
  <c r="CF19" i="8" s="1"/>
  <c r="CO61" i="8"/>
  <c r="CP61" i="8" s="1"/>
  <c r="CR61" i="8" s="1"/>
  <c r="CS61" i="8" s="1"/>
  <c r="CT61" i="8" s="1"/>
  <c r="CU61" i="8" s="1"/>
  <c r="CK95" i="8"/>
  <c r="CM95" i="8" s="1"/>
  <c r="CN95" i="8" s="1"/>
  <c r="CO95" i="8" s="1"/>
  <c r="CP95" i="8" s="1"/>
  <c r="CR95" i="8" s="1"/>
  <c r="CA24" i="8"/>
  <c r="BV99" i="8"/>
  <c r="CA73" i="8"/>
  <c r="CC73" i="8" s="1"/>
  <c r="CE109" i="8"/>
  <c r="CF109" i="8" s="1"/>
  <c r="CH109" i="8" s="1"/>
  <c r="CI109" i="8" s="1"/>
  <c r="CJ109" i="8" s="1"/>
  <c r="CK109" i="8" s="1"/>
  <c r="CM109" i="8" s="1"/>
  <c r="CE66" i="8"/>
  <c r="CF66" i="8" s="1"/>
  <c r="CH66" i="8" s="1"/>
  <c r="CI66" i="8" s="1"/>
  <c r="CJ66" i="8" s="1"/>
  <c r="CK66" i="8" s="1"/>
  <c r="CM66" i="8" s="1"/>
  <c r="CN66" i="8" s="1"/>
  <c r="CO66" i="8" s="1"/>
  <c r="CP66" i="8" s="1"/>
  <c r="CR66" i="8" s="1"/>
  <c r="CS66" i="8" s="1"/>
  <c r="CT66" i="8" s="1"/>
  <c r="CU66" i="8" s="1"/>
  <c r="CE157" i="8"/>
  <c r="CF157" i="8" s="1"/>
  <c r="CH157" i="8" s="1"/>
  <c r="CI157" i="8" s="1"/>
  <c r="CJ157" i="8" s="1"/>
  <c r="CK157" i="8" s="1"/>
  <c r="CM157" i="8" s="1"/>
  <c r="CN157" i="8" s="1"/>
  <c r="CO157" i="8" s="1"/>
  <c r="CP157" i="8" s="1"/>
  <c r="CR157" i="8" s="1"/>
  <c r="CS157" i="8" s="1"/>
  <c r="CT157" i="8" s="1"/>
  <c r="CU157" i="8" s="1"/>
  <c r="CF26" i="8"/>
  <c r="CH26" i="8" s="1"/>
  <c r="CI26" i="8" s="1"/>
  <c r="CJ26" i="8" s="1"/>
  <c r="CK26" i="8" s="1"/>
  <c r="CM26" i="8" s="1"/>
  <c r="CN26" i="8" s="1"/>
  <c r="CO26" i="8" s="1"/>
  <c r="CP26" i="8" s="1"/>
  <c r="CR26" i="8" s="1"/>
  <c r="CS26" i="8" s="1"/>
  <c r="CT26" i="8" s="1"/>
  <c r="CU26" i="8" s="1"/>
  <c r="CD50" i="8"/>
  <c r="CE50" i="8" s="1"/>
  <c r="CF50" i="8" s="1"/>
  <c r="CH50" i="8" s="1"/>
  <c r="CI50" i="8" s="1"/>
  <c r="CJ50" i="8" s="1"/>
  <c r="CK50" i="8" s="1"/>
  <c r="CM50" i="8" s="1"/>
  <c r="CN50" i="8" s="1"/>
  <c r="CO50" i="8" s="1"/>
  <c r="CP50" i="8" s="1"/>
  <c r="CR50" i="8" s="1"/>
  <c r="CS50" i="8" s="1"/>
  <c r="CT50" i="8" s="1"/>
  <c r="CU50" i="8" s="1"/>
  <c r="CC160" i="8"/>
  <c r="CD160" i="8" s="1"/>
  <c r="CE160" i="8" s="1"/>
  <c r="CF160" i="8" s="1"/>
  <c r="CH160" i="8" s="1"/>
  <c r="CD119" i="8"/>
  <c r="CK147" i="8"/>
  <c r="CM147" i="8" s="1"/>
  <c r="CN147" i="8" s="1"/>
  <c r="CO147" i="8" s="1"/>
  <c r="CP147" i="8" s="1"/>
  <c r="CR147" i="8" s="1"/>
  <c r="CS147" i="8" s="1"/>
  <c r="CT147" i="8" s="1"/>
  <c r="CU147" i="8" s="1"/>
  <c r="CP81" i="8"/>
  <c r="CR81" i="8" s="1"/>
  <c r="CS81" i="8" s="1"/>
  <c r="CT81" i="8" s="1"/>
  <c r="CU81" i="8" s="1"/>
  <c r="CN116" i="8"/>
  <c r="CO116" i="8" s="1"/>
  <c r="CP116" i="8" s="1"/>
  <c r="CR116" i="8" s="1"/>
  <c r="CS116" i="8" s="1"/>
  <c r="CT116" i="8" s="1"/>
  <c r="CU116" i="8" s="1"/>
  <c r="CC141" i="8"/>
  <c r="CD141" i="8" s="1"/>
  <c r="CE141" i="8" s="1"/>
  <c r="CF141" i="8" s="1"/>
  <c r="BV89" i="8"/>
  <c r="W89" i="4"/>
  <c r="CI71" i="8"/>
  <c r="CJ71" i="8" s="1"/>
  <c r="CN152" i="8"/>
  <c r="CO152" i="8" s="1"/>
  <c r="CP152" i="8" s="1"/>
  <c r="CR152" i="8" s="1"/>
  <c r="CS152" i="8" s="1"/>
  <c r="CT152" i="8" s="1"/>
  <c r="CU152" i="8" s="1"/>
  <c r="BY108" i="8"/>
  <c r="BZ108" i="8" s="1"/>
  <c r="CA108" i="8" s="1"/>
  <c r="CP113" i="8"/>
  <c r="CR113" i="8" s="1"/>
  <c r="CS113" i="8" s="1"/>
  <c r="CT113" i="8" s="1"/>
  <c r="CU113" i="8" s="1"/>
  <c r="CC24" i="8"/>
  <c r="CD24" i="8" s="1"/>
  <c r="CE24" i="8" s="1"/>
  <c r="CF24" i="8" s="1"/>
  <c r="CH24" i="8" s="1"/>
  <c r="CI24" i="8" s="1"/>
  <c r="CJ24" i="8" s="1"/>
  <c r="CK24" i="8" s="1"/>
  <c r="CM24" i="8" s="1"/>
  <c r="CN24" i="8" s="1"/>
  <c r="CO24" i="8" s="1"/>
  <c r="CP24" i="8" s="1"/>
  <c r="CR24" i="8" s="1"/>
  <c r="CS24" i="8" s="1"/>
  <c r="CT24" i="8" s="1"/>
  <c r="CU24" i="8" s="1"/>
  <c r="BV138" i="8"/>
  <c r="BX138" i="8" s="1"/>
  <c r="BY138" i="8" s="1"/>
  <c r="BZ138" i="8" s="1"/>
  <c r="CA138" i="8" s="1"/>
  <c r="CA57" i="8"/>
  <c r="CC57" i="8" s="1"/>
  <c r="CD57" i="8" s="1"/>
  <c r="CE57" i="8" s="1"/>
  <c r="CF57" i="8" s="1"/>
  <c r="CH57" i="8" s="1"/>
  <c r="CI57" i="8" s="1"/>
  <c r="CJ57" i="8" s="1"/>
  <c r="CK57" i="8" s="1"/>
  <c r="CM57" i="8" s="1"/>
  <c r="CN57" i="8" s="1"/>
  <c r="CO57" i="8" s="1"/>
  <c r="CP57" i="8" s="1"/>
  <c r="CR57" i="8" s="1"/>
  <c r="CS57" i="8" s="1"/>
  <c r="CT57" i="8" s="1"/>
  <c r="CU57" i="8" s="1"/>
  <c r="CI75" i="8"/>
  <c r="CJ75" i="8" s="1"/>
  <c r="BV155" i="8"/>
  <c r="BX155" i="8" s="1"/>
  <c r="BY155" i="8" s="1"/>
  <c r="BZ155" i="8" s="1"/>
  <c r="CA155" i="8" s="1"/>
  <c r="CC155" i="8" s="1"/>
  <c r="CD155" i="8" s="1"/>
  <c r="CE155" i="8" s="1"/>
  <c r="CF155" i="8" s="1"/>
  <c r="CH155" i="8" s="1"/>
  <c r="CA169" i="8"/>
  <c r="CC169" i="8" s="1"/>
  <c r="CD169" i="8" s="1"/>
  <c r="CE169" i="8" s="1"/>
  <c r="CF169" i="8" s="1"/>
  <c r="CH169" i="8" s="1"/>
  <c r="CI169" i="8" s="1"/>
  <c r="CJ169" i="8" s="1"/>
  <c r="CK169" i="8" s="1"/>
  <c r="CM169" i="8" s="1"/>
  <c r="CN169" i="8" s="1"/>
  <c r="CO169" i="8" s="1"/>
  <c r="CP169" i="8" s="1"/>
  <c r="CR169" i="8" s="1"/>
  <c r="CS169" i="8" s="1"/>
  <c r="CT169" i="8" s="1"/>
  <c r="CU169" i="8" s="1"/>
  <c r="CN168" i="8"/>
  <c r="CO168" i="8" s="1"/>
  <c r="CP168" i="8" s="1"/>
  <c r="CR168" i="8" s="1"/>
  <c r="CS168" i="8" s="1"/>
  <c r="CT168" i="8" s="1"/>
  <c r="CU168" i="8" s="1"/>
  <c r="CD156" i="8"/>
  <c r="CC27" i="8"/>
  <c r="CN140" i="8"/>
  <c r="CO140" i="8" s="1"/>
  <c r="CP140" i="8" s="1"/>
  <c r="CR140" i="8" s="1"/>
  <c r="CS140" i="8" s="1"/>
  <c r="CT140" i="8" s="1"/>
  <c r="CU140" i="8" s="1"/>
  <c r="CJ144" i="8"/>
  <c r="CK144" i="8" s="1"/>
  <c r="CM144" i="8" s="1"/>
  <c r="BZ21" i="8"/>
  <c r="BV91" i="8"/>
  <c r="BX91" i="8" s="1"/>
  <c r="BY91" i="8" s="1"/>
  <c r="BZ91" i="8" s="1"/>
  <c r="CA91" i="8" s="1"/>
  <c r="CC91" i="8" s="1"/>
  <c r="CD91" i="8" s="1"/>
  <c r="BV38" i="8"/>
  <c r="X38" i="4" s="1"/>
  <c r="CI70" i="8"/>
  <c r="CJ70" i="8" s="1"/>
  <c r="CK70" i="8" s="1"/>
  <c r="CM70" i="8" s="1"/>
  <c r="CN70" i="8" s="1"/>
  <c r="CO70" i="8" s="1"/>
  <c r="CP70" i="8" s="1"/>
  <c r="CR70" i="8" s="1"/>
  <c r="X100" i="4"/>
  <c r="W102" i="4"/>
  <c r="W103" i="4"/>
  <c r="X94" i="4"/>
  <c r="W96" i="4"/>
  <c r="W93" i="4"/>
  <c r="W91" i="4"/>
  <c r="W98" i="4"/>
  <c r="W95" i="4"/>
  <c r="W99" i="4"/>
  <c r="W97" i="4"/>
  <c r="Z87" i="4"/>
  <c r="X88" i="4"/>
  <c r="W90" i="4"/>
  <c r="Z85" i="4"/>
  <c r="W85" i="4"/>
  <c r="X86" i="4"/>
  <c r="X84" i="4"/>
  <c r="W84" i="4"/>
  <c r="W83" i="4"/>
  <c r="X29" i="4"/>
  <c r="Z82" i="4"/>
  <c r="W49" i="4"/>
  <c r="W81" i="4"/>
  <c r="W13" i="4"/>
  <c r="Z49" i="4"/>
  <c r="W15" i="4"/>
  <c r="X18" i="4"/>
  <c r="W74" i="4"/>
  <c r="W80" i="4"/>
  <c r="W72" i="4"/>
  <c r="Z72" i="4"/>
  <c r="AB13" i="4"/>
  <c r="X13" i="4"/>
  <c r="X67" i="4"/>
  <c r="W24" i="4"/>
  <c r="V34" i="4"/>
  <c r="W30" i="4"/>
  <c r="Z58" i="4"/>
  <c r="W59" i="4"/>
  <c r="W68" i="4"/>
  <c r="AA11" i="4"/>
  <c r="X79" i="4"/>
  <c r="W45" i="4"/>
  <c r="X19" i="4"/>
  <c r="V46" i="4"/>
  <c r="V31" i="4"/>
  <c r="X47" i="4"/>
  <c r="X55" i="4"/>
  <c r="W47" i="4"/>
  <c r="Z47" i="4"/>
  <c r="W28" i="4"/>
  <c r="V69" i="4"/>
  <c r="V61" i="4"/>
  <c r="W61" i="4"/>
  <c r="X77" i="4"/>
  <c r="W77" i="4"/>
  <c r="W17" i="4"/>
  <c r="W41" i="4"/>
  <c r="V73" i="4"/>
  <c r="V70" i="4"/>
  <c r="V12" i="4"/>
  <c r="V26" i="4"/>
  <c r="Z16" i="4"/>
  <c r="X16" i="4"/>
  <c r="Z21" i="4"/>
  <c r="W21" i="4"/>
  <c r="X48" i="4"/>
  <c r="V14" i="4"/>
  <c r="V54" i="4"/>
  <c r="W64" i="4"/>
  <c r="W33" i="4"/>
  <c r="V33" i="4"/>
  <c r="V65" i="4"/>
  <c r="W36" i="4"/>
  <c r="V51" i="4"/>
  <c r="V40" i="4"/>
  <c r="V43" i="4"/>
  <c r="X43" i="4"/>
  <c r="V21" i="4"/>
  <c r="V32" i="4"/>
  <c r="V25" i="4"/>
  <c r="V44" i="4"/>
  <c r="X44" i="4"/>
  <c r="V76" i="4"/>
  <c r="W76" i="4"/>
  <c r="W60" i="4"/>
  <c r="V50" i="4"/>
  <c r="V75" i="4"/>
  <c r="W42" i="4"/>
  <c r="V42" i="4"/>
  <c r="W27" i="4"/>
  <c r="X27" i="4"/>
  <c r="W71" i="4"/>
  <c r="X66" i="4"/>
  <c r="V66" i="4"/>
  <c r="V37" i="4"/>
  <c r="X37" i="4"/>
  <c r="BV9" i="8"/>
  <c r="W9" i="4"/>
  <c r="V23" i="4"/>
  <c r="W35" i="4"/>
  <c r="Z62" i="4"/>
  <c r="W62" i="4"/>
  <c r="V38" i="4"/>
  <c r="V56" i="4"/>
  <c r="V78" i="4"/>
  <c r="W20" i="4"/>
  <c r="V63" i="4"/>
  <c r="W16" i="4"/>
  <c r="AA57" i="4"/>
  <c r="AB55" i="4"/>
  <c r="Z52" i="4"/>
  <c r="Z29" i="4"/>
  <c r="Z55" i="4"/>
  <c r="BE116" i="8"/>
  <c r="BE140" i="8"/>
  <c r="BE112" i="8"/>
  <c r="BE168" i="8"/>
  <c r="BE169" i="8"/>
  <c r="BE157" i="8"/>
  <c r="BE146" i="8"/>
  <c r="BE152" i="8"/>
  <c r="BE161" i="8"/>
  <c r="BE113" i="8"/>
  <c r="BE147" i="8"/>
  <c r="CK107" i="8" l="1"/>
  <c r="CM107" i="8" s="1"/>
  <c r="CN107" i="8" s="1"/>
  <c r="CO107" i="8" s="1"/>
  <c r="CP107" i="8" s="1"/>
  <c r="CR107" i="8" s="1"/>
  <c r="CS107" i="8" s="1"/>
  <c r="CT107" i="8" s="1"/>
  <c r="CU107" i="8" s="1"/>
  <c r="CC108" i="8"/>
  <c r="CD108" i="8" s="1"/>
  <c r="CE108" i="8" s="1"/>
  <c r="CF108" i="8" s="1"/>
  <c r="CH108" i="8" s="1"/>
  <c r="CN136" i="8"/>
  <c r="CO136" i="8" s="1"/>
  <c r="CP136" i="8" s="1"/>
  <c r="CR136" i="8" s="1"/>
  <c r="CS136" i="8" s="1"/>
  <c r="CT136" i="8" s="1"/>
  <c r="CU136" i="8" s="1"/>
  <c r="CI160" i="8"/>
  <c r="CJ160" i="8" s="1"/>
  <c r="CK160" i="8" s="1"/>
  <c r="CM160" i="8" s="1"/>
  <c r="CS95" i="8"/>
  <c r="CT95" i="8" s="1"/>
  <c r="CU95" i="8" s="1"/>
  <c r="BX99" i="8"/>
  <c r="CH19" i="8"/>
  <c r="CI19" i="8" s="1"/>
  <c r="CJ19" i="8" s="1"/>
  <c r="CK19" i="8" s="1"/>
  <c r="CM19" i="8" s="1"/>
  <c r="CN19" i="8" s="1"/>
  <c r="CO19" i="8" s="1"/>
  <c r="CP19" i="8" s="1"/>
  <c r="CR19" i="8" s="1"/>
  <c r="CS19" i="8" s="1"/>
  <c r="CT19" i="8" s="1"/>
  <c r="CU19" i="8" s="1"/>
  <c r="CD73" i="8"/>
  <c r="CE73" i="8" s="1"/>
  <c r="CF73" i="8" s="1"/>
  <c r="CH73" i="8" s="1"/>
  <c r="CI73" i="8" s="1"/>
  <c r="CJ73" i="8" s="1"/>
  <c r="CK73" i="8" s="1"/>
  <c r="CM73" i="8" s="1"/>
  <c r="CN73" i="8" s="1"/>
  <c r="CO73" i="8" s="1"/>
  <c r="CP73" i="8" s="1"/>
  <c r="CR73" i="8" s="1"/>
  <c r="CS73" i="8" s="1"/>
  <c r="CE119" i="8"/>
  <c r="CN109" i="8"/>
  <c r="CO109" i="8" s="1"/>
  <c r="CN144" i="8"/>
  <c r="CO144" i="8" s="1"/>
  <c r="CP144" i="8" s="1"/>
  <c r="CR144" i="8" s="1"/>
  <c r="CS144" i="8" s="1"/>
  <c r="CT144" i="8" s="1"/>
  <c r="CU144" i="8" s="1"/>
  <c r="CK71" i="8"/>
  <c r="CM71" i="8" s="1"/>
  <c r="CN71" i="8" s="1"/>
  <c r="CO71" i="8" s="1"/>
  <c r="CP71" i="8" s="1"/>
  <c r="CR71" i="8" s="1"/>
  <c r="CS71" i="8" s="1"/>
  <c r="CT71" i="8" s="1"/>
  <c r="CU71" i="8" s="1"/>
  <c r="CA21" i="8"/>
  <c r="CC21" i="8" s="1"/>
  <c r="CD21" i="8" s="1"/>
  <c r="CE21" i="8" s="1"/>
  <c r="CH141" i="8"/>
  <c r="CI141" i="8" s="1"/>
  <c r="CJ141" i="8" s="1"/>
  <c r="BX89" i="8"/>
  <c r="Z89" i="4" s="1"/>
  <c r="X89" i="4"/>
  <c r="CK75" i="8"/>
  <c r="CM75" i="8" s="1"/>
  <c r="CN75" i="8" s="1"/>
  <c r="CO75" i="8" s="1"/>
  <c r="CP75" i="8" s="1"/>
  <c r="CR75" i="8" s="1"/>
  <c r="CS75" i="8" s="1"/>
  <c r="CT75" i="8" s="1"/>
  <c r="CU75" i="8" s="1"/>
  <c r="CE91" i="8"/>
  <c r="CF91" i="8" s="1"/>
  <c r="CH91" i="8" s="1"/>
  <c r="CI155" i="8"/>
  <c r="CJ155" i="8" s="1"/>
  <c r="CK155" i="8" s="1"/>
  <c r="CM155" i="8" s="1"/>
  <c r="CN155" i="8" s="1"/>
  <c r="CO155" i="8" s="1"/>
  <c r="CP155" i="8" s="1"/>
  <c r="CR155" i="8" s="1"/>
  <c r="CS155" i="8" s="1"/>
  <c r="CT155" i="8" s="1"/>
  <c r="CU155" i="8" s="1"/>
  <c r="BX38" i="8"/>
  <c r="CD27" i="8"/>
  <c r="CE27" i="8" s="1"/>
  <c r="CF27" i="8" s="1"/>
  <c r="CH27" i="8" s="1"/>
  <c r="CI27" i="8" s="1"/>
  <c r="CJ27" i="8" s="1"/>
  <c r="CK27" i="8" s="1"/>
  <c r="CM27" i="8" s="1"/>
  <c r="CN27" i="8" s="1"/>
  <c r="CO27" i="8" s="1"/>
  <c r="CP27" i="8" s="1"/>
  <c r="CR27" i="8" s="1"/>
  <c r="CS27" i="8" s="1"/>
  <c r="CT27" i="8" s="1"/>
  <c r="CU27" i="8" s="1"/>
  <c r="CC138" i="8"/>
  <c r="CD138" i="8" s="1"/>
  <c r="CE138" i="8" s="1"/>
  <c r="CF138" i="8" s="1"/>
  <c r="CH138" i="8" s="1"/>
  <c r="CI138" i="8" s="1"/>
  <c r="CJ138" i="8" s="1"/>
  <c r="CK138" i="8" s="1"/>
  <c r="CM138" i="8" s="1"/>
  <c r="CN138" i="8" s="1"/>
  <c r="CO138" i="8" s="1"/>
  <c r="CP138" i="8" s="1"/>
  <c r="CR138" i="8" s="1"/>
  <c r="CS138" i="8" s="1"/>
  <c r="CT138" i="8" s="1"/>
  <c r="CU138" i="8" s="1"/>
  <c r="CE156" i="8"/>
  <c r="CS70" i="8"/>
  <c r="CT70" i="8" s="1"/>
  <c r="CU70" i="8" s="1"/>
  <c r="X91" i="4"/>
  <c r="X97" i="4"/>
  <c r="Z101" i="4"/>
  <c r="X99" i="4"/>
  <c r="X93" i="4"/>
  <c r="X92" i="4"/>
  <c r="X96" i="4"/>
  <c r="X95" i="4"/>
  <c r="X102" i="4"/>
  <c r="X104" i="4"/>
  <c r="Z94" i="4"/>
  <c r="Z100" i="4"/>
  <c r="X98" i="4"/>
  <c r="X103" i="4"/>
  <c r="AA87" i="4"/>
  <c r="X90" i="4"/>
  <c r="Z88" i="4"/>
  <c r="AA88" i="4"/>
  <c r="AA85" i="4"/>
  <c r="Z86" i="4"/>
  <c r="Z84" i="4"/>
  <c r="X83" i="4"/>
  <c r="AA49" i="4"/>
  <c r="AA13" i="4"/>
  <c r="AA82" i="4"/>
  <c r="X81" i="4"/>
  <c r="X24" i="4"/>
  <c r="AA74" i="4"/>
  <c r="X15" i="4"/>
  <c r="X80" i="4"/>
  <c r="Z18" i="4"/>
  <c r="W67" i="4"/>
  <c r="Z67" i="4"/>
  <c r="W34" i="4"/>
  <c r="X30" i="4"/>
  <c r="AC58" i="4"/>
  <c r="AB58" i="4"/>
  <c r="Z11" i="4"/>
  <c r="AA58" i="4"/>
  <c r="X45" i="4"/>
  <c r="AB11" i="4"/>
  <c r="X59" i="4"/>
  <c r="W10" i="4"/>
  <c r="X68" i="4"/>
  <c r="AA79" i="4"/>
  <c r="Z79" i="4"/>
  <c r="AB79" i="4"/>
  <c r="W19" i="4"/>
  <c r="W46" i="4"/>
  <c r="W31" i="4"/>
  <c r="X42" i="4"/>
  <c r="X33" i="4"/>
  <c r="X76" i="4"/>
  <c r="Z28" i="4"/>
  <c r="W69" i="4"/>
  <c r="X28" i="4"/>
  <c r="AA28" i="4"/>
  <c r="W73" i="4"/>
  <c r="X73" i="4"/>
  <c r="W39" i="4"/>
  <c r="X39" i="4"/>
  <c r="W26" i="4"/>
  <c r="AA27" i="4"/>
  <c r="W12" i="4"/>
  <c r="X41" i="4"/>
  <c r="AA16" i="4"/>
  <c r="W70" i="4"/>
  <c r="X61" i="4"/>
  <c r="Z17" i="4"/>
  <c r="Z60" i="4"/>
  <c r="AA32" i="4"/>
  <c r="Z32" i="4"/>
  <c r="Z48" i="4"/>
  <c r="W56" i="4"/>
  <c r="W22" i="4"/>
  <c r="W40" i="4"/>
  <c r="X36" i="4"/>
  <c r="W51" i="4"/>
  <c r="X25" i="4"/>
  <c r="W25" i="4"/>
  <c r="W65" i="4"/>
  <c r="X62" i="4"/>
  <c r="X63" i="4"/>
  <c r="X65" i="4"/>
  <c r="X64" i="4"/>
  <c r="AA36" i="4"/>
  <c r="Z36" i="4"/>
  <c r="W23" i="4"/>
  <c r="X9" i="4"/>
  <c r="BX9" i="8"/>
  <c r="X71" i="4"/>
  <c r="Z71" i="4"/>
  <c r="W44" i="4"/>
  <c r="X32" i="4"/>
  <c r="X21" i="4"/>
  <c r="W50" i="4"/>
  <c r="W78" i="4"/>
  <c r="X78" i="4"/>
  <c r="X50" i="4"/>
  <c r="W66" i="4"/>
  <c r="Z66" i="4"/>
  <c r="W38" i="4"/>
  <c r="X35" i="4"/>
  <c r="X20" i="4"/>
  <c r="W75" i="4"/>
  <c r="X14" i="4"/>
  <c r="W14" i="4"/>
  <c r="AA62" i="4"/>
  <c r="X53" i="4"/>
  <c r="Z53" i="4"/>
  <c r="X60" i="4"/>
  <c r="AA60" i="4"/>
  <c r="W54" i="4"/>
  <c r="AC57" i="4"/>
  <c r="AA52" i="4"/>
  <c r="AA55" i="4"/>
  <c r="AA29" i="4"/>
  <c r="BE107" i="8"/>
  <c r="BE155" i="8"/>
  <c r="BE136" i="8"/>
  <c r="BE138" i="8"/>
  <c r="BE144" i="8"/>
  <c r="CI108" i="8" l="1"/>
  <c r="CJ108" i="8" s="1"/>
  <c r="CK108" i="8" s="1"/>
  <c r="CM108" i="8" s="1"/>
  <c r="CN160" i="8"/>
  <c r="CO160" i="8" s="1"/>
  <c r="CP160" i="8" s="1"/>
  <c r="CR160" i="8" s="1"/>
  <c r="CS160" i="8" s="1"/>
  <c r="CT160" i="8" s="1"/>
  <c r="CU160" i="8" s="1"/>
  <c r="BY99" i="8"/>
  <c r="CP109" i="8"/>
  <c r="CR109" i="8" s="1"/>
  <c r="CS109" i="8" s="1"/>
  <c r="CT109" i="8" s="1"/>
  <c r="CU109" i="8" s="1"/>
  <c r="CF119" i="8"/>
  <c r="CH119" i="8" s="1"/>
  <c r="CT73" i="8"/>
  <c r="CU73" i="8" s="1"/>
  <c r="CF156" i="8"/>
  <c r="BY89" i="8"/>
  <c r="CF21" i="8"/>
  <c r="CH21" i="8" s="1"/>
  <c r="CI21" i="8" s="1"/>
  <c r="CJ21" i="8" s="1"/>
  <c r="CK21" i="8" s="1"/>
  <c r="CM21" i="8" s="1"/>
  <c r="CN21" i="8" s="1"/>
  <c r="CO21" i="8" s="1"/>
  <c r="CP21" i="8" s="1"/>
  <c r="BY38" i="8"/>
  <c r="CK141" i="8"/>
  <c r="CM141" i="8" s="1"/>
  <c r="CN141" i="8" s="1"/>
  <c r="CO141" i="8" s="1"/>
  <c r="CI91" i="8"/>
  <c r="CJ91" i="8" s="1"/>
  <c r="CK91" i="8" s="1"/>
  <c r="CM91" i="8" s="1"/>
  <c r="CN91" i="8" s="1"/>
  <c r="CO91" i="8" s="1"/>
  <c r="CP91" i="8" s="1"/>
  <c r="CR91" i="8" s="1"/>
  <c r="CS91" i="8" s="1"/>
  <c r="CT91" i="8" s="1"/>
  <c r="CU91" i="8" s="1"/>
  <c r="Z103" i="4"/>
  <c r="Z96" i="4"/>
  <c r="Z98" i="4"/>
  <c r="Z92" i="4"/>
  <c r="AA100" i="4"/>
  <c r="Z93" i="4"/>
  <c r="AA94" i="4"/>
  <c r="Z99" i="4"/>
  <c r="Z104" i="4"/>
  <c r="AA101" i="4"/>
  <c r="Z102" i="4"/>
  <c r="Z97" i="4"/>
  <c r="Z91" i="4"/>
  <c r="Z95" i="4"/>
  <c r="AB87" i="4"/>
  <c r="Z90" i="4"/>
  <c r="AC85" i="4"/>
  <c r="AA86" i="4"/>
  <c r="AA84" i="4"/>
  <c r="Z83" i="4"/>
  <c r="AB49" i="4"/>
  <c r="Z24" i="4"/>
  <c r="AB82" i="4"/>
  <c r="AC13" i="4"/>
  <c r="Z81" i="4"/>
  <c r="AA72" i="4"/>
  <c r="Z74" i="4"/>
  <c r="X74" i="4"/>
  <c r="Z15" i="4"/>
  <c r="Z80" i="4"/>
  <c r="AA18" i="4"/>
  <c r="Z42" i="4"/>
  <c r="Z68" i="4"/>
  <c r="Z34" i="4"/>
  <c r="X34" i="4"/>
  <c r="AA34" i="4"/>
  <c r="Z30" i="4"/>
  <c r="Z45" i="4"/>
  <c r="AC11" i="4"/>
  <c r="Z27" i="4"/>
  <c r="Z59" i="4"/>
  <c r="X10" i="4"/>
  <c r="Z19" i="4"/>
  <c r="Z46" i="4"/>
  <c r="AA33" i="4"/>
  <c r="X46" i="4"/>
  <c r="AA39" i="4"/>
  <c r="X31" i="4"/>
  <c r="AA47" i="4"/>
  <c r="Z69" i="4"/>
  <c r="AB74" i="4"/>
  <c r="Z14" i="4"/>
  <c r="X69" i="4"/>
  <c r="AA69" i="4"/>
  <c r="Z65" i="4"/>
  <c r="AB28" i="4"/>
  <c r="AA12" i="4"/>
  <c r="Z12" i="4"/>
  <c r="AA70" i="4"/>
  <c r="X70" i="4"/>
  <c r="X12" i="4"/>
  <c r="Z37" i="4"/>
  <c r="X26" i="4"/>
  <c r="AA17" i="4"/>
  <c r="Z77" i="4"/>
  <c r="Z41" i="4"/>
  <c r="Z51" i="4"/>
  <c r="AA51" i="4"/>
  <c r="Z63" i="4"/>
  <c r="AA63" i="4"/>
  <c r="AA22" i="4"/>
  <c r="Z22" i="4"/>
  <c r="Z35" i="4"/>
  <c r="AA21" i="4"/>
  <c r="X22" i="4"/>
  <c r="BY9" i="8"/>
  <c r="BZ9" i="8" s="1"/>
  <c r="Z9" i="4"/>
  <c r="Z64" i="4"/>
  <c r="Z38" i="4"/>
  <c r="AA53" i="4"/>
  <c r="AA66" i="4"/>
  <c r="X51" i="4"/>
  <c r="AA43" i="4"/>
  <c r="Z43" i="4"/>
  <c r="X40" i="4"/>
  <c r="Z25" i="4"/>
  <c r="AB56" i="4"/>
  <c r="Z56" i="4"/>
  <c r="Z75" i="4"/>
  <c r="X75" i="4"/>
  <c r="AB48" i="4"/>
  <c r="AA48" i="4"/>
  <c r="X54" i="4"/>
  <c r="Z44" i="4"/>
  <c r="X23" i="4"/>
  <c r="AE72" i="4"/>
  <c r="AB72" i="4"/>
  <c r="X56" i="4"/>
  <c r="AB57" i="4"/>
  <c r="AE13" i="4"/>
  <c r="AC55" i="4"/>
  <c r="AB52" i="4"/>
  <c r="AB29" i="4"/>
  <c r="BE160" i="8"/>
  <c r="BE109" i="8"/>
  <c r="CN108" i="8" l="1"/>
  <c r="CO108" i="8" s="1"/>
  <c r="CP108" i="8" s="1"/>
  <c r="CR108" i="8" s="1"/>
  <c r="CS108" i="8" s="1"/>
  <c r="CT108" i="8" s="1"/>
  <c r="CU108" i="8" s="1"/>
  <c r="BZ99" i="8"/>
  <c r="CA99" i="8" s="1"/>
  <c r="CC99" i="8" s="1"/>
  <c r="CD99" i="8" s="1"/>
  <c r="CE99" i="8" s="1"/>
  <c r="CF99" i="8" s="1"/>
  <c r="CH99" i="8" s="1"/>
  <c r="CI99" i="8" s="1"/>
  <c r="CJ99" i="8" s="1"/>
  <c r="CI119" i="8"/>
  <c r="CJ119" i="8" s="1"/>
  <c r="CK119" i="8" s="1"/>
  <c r="CM119" i="8" s="1"/>
  <c r="CN119" i="8" s="1"/>
  <c r="CO119" i="8" s="1"/>
  <c r="CP119" i="8" s="1"/>
  <c r="CR119" i="8" s="1"/>
  <c r="CP141" i="8"/>
  <c r="CR141" i="8" s="1"/>
  <c r="CS141" i="8" s="1"/>
  <c r="CT141" i="8" s="1"/>
  <c r="CU141" i="8" s="1"/>
  <c r="BZ38" i="8"/>
  <c r="CR21" i="8"/>
  <c r="CS21" i="8" s="1"/>
  <c r="CT21" i="8" s="1"/>
  <c r="CU21" i="8" s="1"/>
  <c r="BZ89" i="8"/>
  <c r="AA89" i="4"/>
  <c r="CH156" i="8"/>
  <c r="CI156" i="8" s="1"/>
  <c r="CJ156" i="8" s="1"/>
  <c r="CK156" i="8" s="1"/>
  <c r="CM156" i="8" s="1"/>
  <c r="CN156" i="8" s="1"/>
  <c r="CO156" i="8" s="1"/>
  <c r="CP156" i="8" s="1"/>
  <c r="CR156" i="8" s="1"/>
  <c r="CS156" i="8" s="1"/>
  <c r="CT156" i="8" s="1"/>
  <c r="CU156" i="8" s="1"/>
  <c r="AA99" i="4"/>
  <c r="AB94" i="4"/>
  <c r="AA95" i="4"/>
  <c r="AA93" i="4"/>
  <c r="AA91" i="4"/>
  <c r="AB100" i="4"/>
  <c r="AA97" i="4"/>
  <c r="AA92" i="4"/>
  <c r="AA102" i="4"/>
  <c r="AA98" i="4"/>
  <c r="AB101" i="4"/>
  <c r="AA96" i="4"/>
  <c r="AA104" i="4"/>
  <c r="AA103" i="4"/>
  <c r="AC87" i="4"/>
  <c r="AB88" i="4"/>
  <c r="AC88" i="4"/>
  <c r="AA90" i="4"/>
  <c r="AE85" i="4"/>
  <c r="AB85" i="4"/>
  <c r="AB86" i="4"/>
  <c r="AA24" i="4"/>
  <c r="AA83" i="4"/>
  <c r="AC49" i="4"/>
  <c r="AC82" i="4"/>
  <c r="AA81" i="4"/>
  <c r="Z76" i="4"/>
  <c r="AA67" i="4"/>
  <c r="AA42" i="4"/>
  <c r="AA15" i="4"/>
  <c r="AB18" i="4"/>
  <c r="AA80" i="4"/>
  <c r="AA68" i="4"/>
  <c r="AE11" i="4"/>
  <c r="AA45" i="4"/>
  <c r="AC74" i="4"/>
  <c r="AB14" i="4"/>
  <c r="AC30" i="4"/>
  <c r="AA30" i="4"/>
  <c r="AF58" i="4"/>
  <c r="Z33" i="4"/>
  <c r="AE58" i="4"/>
  <c r="AG58" i="4"/>
  <c r="AA59" i="4"/>
  <c r="AA19" i="4"/>
  <c r="Z10" i="4"/>
  <c r="AB32" i="4"/>
  <c r="Z39" i="4"/>
  <c r="AC79" i="4"/>
  <c r="AA46" i="4"/>
  <c r="Z61" i="4"/>
  <c r="AB39" i="4"/>
  <c r="AB27" i="4"/>
  <c r="Z31" i="4"/>
  <c r="AB22" i="4"/>
  <c r="AB43" i="4"/>
  <c r="AB47" i="4"/>
  <c r="AB12" i="4"/>
  <c r="AB69" i="4"/>
  <c r="AA26" i="4"/>
  <c r="AB17" i="4"/>
  <c r="AC48" i="4"/>
  <c r="Z73" i="4"/>
  <c r="Z70" i="4"/>
  <c r="AB70" i="4"/>
  <c r="AA41" i="4"/>
  <c r="AB16" i="4"/>
  <c r="Z26" i="4"/>
  <c r="AB26" i="4"/>
  <c r="AA37" i="4"/>
  <c r="AA77" i="4"/>
  <c r="AC67" i="4"/>
  <c r="CA9" i="8"/>
  <c r="AC9" i="4" s="1"/>
  <c r="AB9" i="4"/>
  <c r="Z50" i="4"/>
  <c r="Z20" i="4"/>
  <c r="AA35" i="4"/>
  <c r="AB36" i="4"/>
  <c r="AB62" i="4"/>
  <c r="AA78" i="4"/>
  <c r="Z78" i="4"/>
  <c r="AC72" i="4"/>
  <c r="AB60" i="4"/>
  <c r="AA25" i="4"/>
  <c r="AB63" i="4"/>
  <c r="AB67" i="4"/>
  <c r="AE67" i="4"/>
  <c r="AB21" i="4"/>
  <c r="AA75" i="4"/>
  <c r="Z23" i="4"/>
  <c r="Z40" i="4"/>
  <c r="AC32" i="4"/>
  <c r="AA38" i="4"/>
  <c r="AB53" i="4"/>
  <c r="AA9" i="4"/>
  <c r="AA64" i="4"/>
  <c r="AA54" i="4"/>
  <c r="Z54" i="4"/>
  <c r="AA44" i="4"/>
  <c r="AA56" i="4"/>
  <c r="AB66" i="4"/>
  <c r="AA50" i="4"/>
  <c r="AB35" i="4"/>
  <c r="AA76" i="4"/>
  <c r="AA71" i="4"/>
  <c r="AC62" i="4"/>
  <c r="AE57" i="4"/>
  <c r="AF13" i="4"/>
  <c r="AG13" i="4"/>
  <c r="AC52" i="4"/>
  <c r="AF57" i="4"/>
  <c r="AC29" i="4"/>
  <c r="AE55" i="4"/>
  <c r="BE156" i="8"/>
  <c r="BE108" i="8"/>
  <c r="BE141" i="8"/>
  <c r="CK99" i="8" l="1"/>
  <c r="CM99" i="8" s="1"/>
  <c r="CS119" i="8"/>
  <c r="CT119" i="8" s="1"/>
  <c r="CU119" i="8" s="1"/>
  <c r="CA89" i="8"/>
  <c r="AB89" i="4"/>
  <c r="AB38" i="4"/>
  <c r="CA38" i="8"/>
  <c r="AB92" i="4"/>
  <c r="AB97" i="4"/>
  <c r="AB103" i="4"/>
  <c r="AC100" i="4"/>
  <c r="AB104" i="4"/>
  <c r="AB91" i="4"/>
  <c r="AB96" i="4"/>
  <c r="AB93" i="4"/>
  <c r="AC101" i="4"/>
  <c r="AB95" i="4"/>
  <c r="AC94" i="4"/>
  <c r="AB98" i="4"/>
  <c r="AB102" i="4"/>
  <c r="AB99" i="4"/>
  <c r="AE87" i="4"/>
  <c r="AE88" i="4"/>
  <c r="AB90" i="4"/>
  <c r="AF85" i="4"/>
  <c r="AC24" i="4"/>
  <c r="AC86" i="4"/>
  <c r="AC84" i="4"/>
  <c r="AB84" i="4"/>
  <c r="AB83" i="4"/>
  <c r="AE82" i="4"/>
  <c r="AB81" i="4"/>
  <c r="AC42" i="4"/>
  <c r="AB68" i="4"/>
  <c r="AE74" i="4"/>
  <c r="AB15" i="4"/>
  <c r="AB80" i="4"/>
  <c r="AA14" i="4"/>
  <c r="AC14" i="4"/>
  <c r="AE48" i="4"/>
  <c r="AB33" i="4"/>
  <c r="AF11" i="4"/>
  <c r="AB34" i="4"/>
  <c r="AB30" i="4"/>
  <c r="AC43" i="4"/>
  <c r="AC39" i="4"/>
  <c r="AB59" i="4"/>
  <c r="AA10" i="4"/>
  <c r="AB19" i="4"/>
  <c r="AE22" i="4"/>
  <c r="AE79" i="4"/>
  <c r="AA61" i="4"/>
  <c r="AB46" i="4"/>
  <c r="AA31" i="4"/>
  <c r="AC27" i="4"/>
  <c r="AC12" i="4"/>
  <c r="AF47" i="4"/>
  <c r="AE47" i="4"/>
  <c r="AC47" i="4"/>
  <c r="AA65" i="4"/>
  <c r="AB75" i="4"/>
  <c r="AB25" i="4"/>
  <c r="AC28" i="4"/>
  <c r="AA73" i="4"/>
  <c r="AB41" i="4"/>
  <c r="AB77" i="4"/>
  <c r="AC17" i="4"/>
  <c r="AE62" i="4"/>
  <c r="AB37" i="4"/>
  <c r="AC16" i="4"/>
  <c r="AE16" i="4"/>
  <c r="AC51" i="4"/>
  <c r="AB23" i="4"/>
  <c r="AB40" i="4"/>
  <c r="AF33" i="4"/>
  <c r="AE33" i="4"/>
  <c r="AB44" i="4"/>
  <c r="AE60" i="4"/>
  <c r="AC60" i="4"/>
  <c r="AC33" i="4"/>
  <c r="AA20" i="4"/>
  <c r="AA40" i="4"/>
  <c r="AA23" i="4"/>
  <c r="AC23" i="4"/>
  <c r="AE32" i="4"/>
  <c r="AC53" i="4"/>
  <c r="AF72" i="4"/>
  <c r="AB71" i="4"/>
  <c r="AE71" i="4"/>
  <c r="AB64" i="4"/>
  <c r="AG32" i="4"/>
  <c r="AC36" i="4"/>
  <c r="AB76" i="4"/>
  <c r="AB51" i="4"/>
  <c r="AE51" i="4"/>
  <c r="AC35" i="4"/>
  <c r="AC56" i="4"/>
  <c r="CC9" i="8"/>
  <c r="AC21" i="4"/>
  <c r="AH13" i="4"/>
  <c r="AG55" i="4"/>
  <c r="AH55" i="4"/>
  <c r="AE52" i="4"/>
  <c r="AE29" i="4"/>
  <c r="AF55" i="4"/>
  <c r="AG57" i="4"/>
  <c r="BE119" i="8"/>
  <c r="CN99" i="8" l="1"/>
  <c r="CO99" i="8" s="1"/>
  <c r="CP99" i="8" s="1"/>
  <c r="CR99" i="8" s="1"/>
  <c r="CS99" i="8" s="1"/>
  <c r="CT99" i="8" s="1"/>
  <c r="CU99" i="8" s="1"/>
  <c r="CC38" i="8"/>
  <c r="CD38" i="8" s="1"/>
  <c r="CE38" i="8" s="1"/>
  <c r="CF38" i="8" s="1"/>
  <c r="CH38" i="8" s="1"/>
  <c r="CI38" i="8" s="1"/>
  <c r="CJ38" i="8" s="1"/>
  <c r="CK38" i="8" s="1"/>
  <c r="CM38" i="8" s="1"/>
  <c r="CN38" i="8" s="1"/>
  <c r="CO38" i="8" s="1"/>
  <c r="CP38" i="8" s="1"/>
  <c r="CR38" i="8" s="1"/>
  <c r="CS38" i="8" s="1"/>
  <c r="CT38" i="8" s="1"/>
  <c r="AC38" i="4"/>
  <c r="CC89" i="8"/>
  <c r="AC89" i="4"/>
  <c r="AB24" i="4"/>
  <c r="AC93" i="4"/>
  <c r="AC96" i="4"/>
  <c r="AC99" i="4"/>
  <c r="AC91" i="4"/>
  <c r="AC102" i="4"/>
  <c r="AC104" i="4"/>
  <c r="AE100" i="4"/>
  <c r="AC98" i="4"/>
  <c r="AE94" i="4"/>
  <c r="AC103" i="4"/>
  <c r="AC95" i="4"/>
  <c r="AC97" i="4"/>
  <c r="AE101" i="4"/>
  <c r="AC92" i="4"/>
  <c r="AF87" i="4"/>
  <c r="AE49" i="4"/>
  <c r="AF88" i="4"/>
  <c r="AC90" i="4"/>
  <c r="AG85" i="4"/>
  <c r="AE86" i="4"/>
  <c r="AC83" i="4"/>
  <c r="AF82" i="4"/>
  <c r="AC81" i="4"/>
  <c r="AB42" i="4"/>
  <c r="AG74" i="4"/>
  <c r="AC18" i="4"/>
  <c r="AC15" i="4"/>
  <c r="AC80" i="4"/>
  <c r="AE18" i="4"/>
  <c r="AE14" i="4"/>
  <c r="AE43" i="4"/>
  <c r="AF48" i="4"/>
  <c r="AB45" i="4"/>
  <c r="AC34" i="4"/>
  <c r="AC22" i="4"/>
  <c r="AE30" i="4"/>
  <c r="AH58" i="4"/>
  <c r="AE12" i="4"/>
  <c r="AC59" i="4"/>
  <c r="AE19" i="4"/>
  <c r="AC19" i="4"/>
  <c r="AB10" i="4"/>
  <c r="AF79" i="4"/>
  <c r="AC46" i="4"/>
  <c r="AB61" i="4"/>
  <c r="AE27" i="4"/>
  <c r="AF62" i="4"/>
  <c r="AG47" i="4"/>
  <c r="AB31" i="4"/>
  <c r="AE45" i="4"/>
  <c r="AC45" i="4"/>
  <c r="AF45" i="4"/>
  <c r="AC65" i="4"/>
  <c r="AC25" i="4"/>
  <c r="AC69" i="4"/>
  <c r="AE75" i="4"/>
  <c r="AE28" i="4"/>
  <c r="AB65" i="4"/>
  <c r="AE65" i="4"/>
  <c r="AE41" i="4"/>
  <c r="AC37" i="4"/>
  <c r="AC63" i="4"/>
  <c r="AC26" i="4"/>
  <c r="AE17" i="4"/>
  <c r="AB73" i="4"/>
  <c r="AC70" i="4"/>
  <c r="AC41" i="4"/>
  <c r="AF41" i="4"/>
  <c r="AC77" i="4"/>
  <c r="AF77" i="4"/>
  <c r="AB54" i="4"/>
  <c r="AE56" i="4"/>
  <c r="AC64" i="4"/>
  <c r="AG72" i="4"/>
  <c r="AJ72" i="4"/>
  <c r="AE40" i="4"/>
  <c r="AE21" i="4"/>
  <c r="AF21" i="4"/>
  <c r="AB78" i="4"/>
  <c r="AC76" i="4"/>
  <c r="AB20" i="4"/>
  <c r="AC44" i="4"/>
  <c r="AE9" i="4"/>
  <c r="CD9" i="8"/>
  <c r="CE9" i="8" s="1"/>
  <c r="AG9" i="4" s="1"/>
  <c r="AE36" i="4"/>
  <c r="AC71" i="4"/>
  <c r="AC66" i="4"/>
  <c r="AE66" i="4"/>
  <c r="AF67" i="4"/>
  <c r="AF64" i="4"/>
  <c r="AF22" i="4"/>
  <c r="AF32" i="4"/>
  <c r="AB50" i="4"/>
  <c r="AJ13" i="4"/>
  <c r="AG49" i="4"/>
  <c r="AF49" i="4"/>
  <c r="AF52" i="4"/>
  <c r="AH52" i="4"/>
  <c r="AH57" i="4"/>
  <c r="AF29" i="4"/>
  <c r="AG29" i="4"/>
  <c r="AE38" i="4" l="1"/>
  <c r="CU38" i="8"/>
  <c r="CD89" i="8"/>
  <c r="AE89" i="4"/>
  <c r="AE98" i="4"/>
  <c r="AF100" i="4"/>
  <c r="AE92" i="4"/>
  <c r="AE104" i="4"/>
  <c r="AF101" i="4"/>
  <c r="AE102" i="4"/>
  <c r="AE91" i="4"/>
  <c r="AE97" i="4"/>
  <c r="AE95" i="4"/>
  <c r="AE99" i="4"/>
  <c r="AE103" i="4"/>
  <c r="AE96" i="4"/>
  <c r="AF94" i="4"/>
  <c r="AE93" i="4"/>
  <c r="AG87" i="4"/>
  <c r="AG88" i="4"/>
  <c r="AE90" i="4"/>
  <c r="AH85" i="4"/>
  <c r="AF86" i="4"/>
  <c r="AF84" i="4"/>
  <c r="AE84" i="4"/>
  <c r="AE83" i="4"/>
  <c r="AF74" i="4"/>
  <c r="AH74" i="4"/>
  <c r="AC68" i="4"/>
  <c r="AG82" i="4"/>
  <c r="AE81" i="4"/>
  <c r="AE15" i="4"/>
  <c r="AE80" i="4"/>
  <c r="AF43" i="4"/>
  <c r="AG48" i="4"/>
  <c r="AG62" i="4"/>
  <c r="AG18" i="4"/>
  <c r="AF18" i="4"/>
  <c r="AH18" i="4"/>
  <c r="AG11" i="4"/>
  <c r="AE34" i="4"/>
  <c r="AG30" i="4"/>
  <c r="AF30" i="4"/>
  <c r="AH30" i="4"/>
  <c r="AJ58" i="4"/>
  <c r="AE59" i="4"/>
  <c r="AE39" i="4"/>
  <c r="AG21" i="4"/>
  <c r="AF19" i="4"/>
  <c r="AC10" i="4"/>
  <c r="AG79" i="4"/>
  <c r="AC61" i="4"/>
  <c r="AH47" i="4"/>
  <c r="AE46" i="4"/>
  <c r="AC31" i="4"/>
  <c r="AF27" i="4"/>
  <c r="AH11" i="4"/>
  <c r="AC75" i="4"/>
  <c r="AF75" i="4"/>
  <c r="AF66" i="4"/>
  <c r="AG77" i="4"/>
  <c r="AE69" i="4"/>
  <c r="AF28" i="4"/>
  <c r="AF68" i="4"/>
  <c r="AE73" i="4"/>
  <c r="AE70" i="4"/>
  <c r="AE37" i="4"/>
  <c r="AE77" i="4"/>
  <c r="AE24" i="4"/>
  <c r="AG33" i="4"/>
  <c r="AF60" i="4"/>
  <c r="AF16" i="4"/>
  <c r="AC73" i="4"/>
  <c r="AF73" i="4"/>
  <c r="AG16" i="4"/>
  <c r="AF17" i="4"/>
  <c r="AE63" i="4"/>
  <c r="AF35" i="4"/>
  <c r="AG41" i="4"/>
  <c r="AE68" i="4"/>
  <c r="AG68" i="4"/>
  <c r="AE26" i="4"/>
  <c r="AF51" i="4"/>
  <c r="AE44" i="4"/>
  <c r="AH32" i="4"/>
  <c r="AG67" i="4"/>
  <c r="AF71" i="4"/>
  <c r="AC78" i="4"/>
  <c r="AC50" i="4"/>
  <c r="AE50" i="4"/>
  <c r="AE76" i="4"/>
  <c r="AF76" i="4"/>
  <c r="AE53" i="4"/>
  <c r="AF53" i="4"/>
  <c r="AC20" i="4"/>
  <c r="AF36" i="4"/>
  <c r="AF56" i="4"/>
  <c r="AH56" i="4"/>
  <c r="AG56" i="4"/>
  <c r="AC54" i="4"/>
  <c r="AE42" i="4"/>
  <c r="AE35" i="4"/>
  <c r="AF38" i="4"/>
  <c r="AE64" i="4"/>
  <c r="AG64" i="4"/>
  <c r="AH22" i="4"/>
  <c r="AC40" i="4"/>
  <c r="AF9" i="4"/>
  <c r="CF9" i="8"/>
  <c r="AH72" i="4"/>
  <c r="AK72" i="4"/>
  <c r="AE23" i="4"/>
  <c r="AK13" i="4"/>
  <c r="AH29" i="4"/>
  <c r="AJ57" i="4"/>
  <c r="AJ55" i="4"/>
  <c r="AG52" i="4"/>
  <c r="AK52" i="4"/>
  <c r="AM9" i="8"/>
  <c r="AN9" i="8"/>
  <c r="CE89" i="8" l="1"/>
  <c r="AF89" i="4"/>
  <c r="AF97" i="4"/>
  <c r="AF91" i="4"/>
  <c r="AF93" i="4"/>
  <c r="AF102" i="4"/>
  <c r="AG94" i="4"/>
  <c r="AG101" i="4"/>
  <c r="AF104" i="4"/>
  <c r="AF96" i="4"/>
  <c r="AF103" i="4"/>
  <c r="AF92" i="4"/>
  <c r="AF99" i="4"/>
  <c r="AG100" i="4"/>
  <c r="AF95" i="4"/>
  <c r="AF98" i="4"/>
  <c r="AH87" i="4"/>
  <c r="AH88" i="4"/>
  <c r="AF90" i="4"/>
  <c r="AK85" i="4"/>
  <c r="AJ74" i="4"/>
  <c r="AG86" i="4"/>
  <c r="AF83" i="4"/>
  <c r="AH82" i="4"/>
  <c r="AF81" i="4"/>
  <c r="AH48" i="4"/>
  <c r="AF15" i="4"/>
  <c r="AF80" i="4"/>
  <c r="AF14" i="4"/>
  <c r="AF12" i="4"/>
  <c r="AF34" i="4"/>
  <c r="AK58" i="4"/>
  <c r="AG59" i="4"/>
  <c r="AF39" i="4"/>
  <c r="AF59" i="4"/>
  <c r="AH59" i="4"/>
  <c r="AF10" i="4"/>
  <c r="AH19" i="4"/>
  <c r="AE10" i="4"/>
  <c r="AG10" i="4"/>
  <c r="AG19" i="4"/>
  <c r="AJ19" i="4"/>
  <c r="AJ47" i="4"/>
  <c r="AE25" i="4"/>
  <c r="AJ66" i="4"/>
  <c r="AH79" i="4"/>
  <c r="AK79" i="4"/>
  <c r="AF46" i="4"/>
  <c r="AE61" i="4"/>
  <c r="AJ11" i="4"/>
  <c r="AL13" i="4"/>
  <c r="AG27" i="4"/>
  <c r="AG75" i="4"/>
  <c r="AE31" i="4"/>
  <c r="AG45" i="4"/>
  <c r="AG14" i="4"/>
  <c r="AF69" i="4"/>
  <c r="AF50" i="4"/>
  <c r="AF65" i="4"/>
  <c r="AG28" i="4"/>
  <c r="AJ33" i="4"/>
  <c r="AF70" i="4"/>
  <c r="AG12" i="4"/>
  <c r="AG17" i="4"/>
  <c r="AG60" i="4"/>
  <c r="AF26" i="4"/>
  <c r="AH33" i="4"/>
  <c r="AK33" i="4"/>
  <c r="AH41" i="4"/>
  <c r="AJ16" i="4"/>
  <c r="AF24" i="4"/>
  <c r="AF63" i="4"/>
  <c r="AF37" i="4"/>
  <c r="AJ67" i="4"/>
  <c r="AH38" i="4"/>
  <c r="AF54" i="4"/>
  <c r="AJ32" i="4"/>
  <c r="AE54" i="4"/>
  <c r="AG36" i="4"/>
  <c r="AE78" i="4"/>
  <c r="AF23" i="4"/>
  <c r="AG38" i="4"/>
  <c r="AJ38" i="4"/>
  <c r="AF44" i="4"/>
  <c r="AE20" i="4"/>
  <c r="AG71" i="4"/>
  <c r="AF25" i="4"/>
  <c r="AF42" i="4"/>
  <c r="AG42" i="4"/>
  <c r="AG51" i="4"/>
  <c r="AH51" i="4"/>
  <c r="CH9" i="8"/>
  <c r="AH9" i="4"/>
  <c r="AF40" i="4"/>
  <c r="AG40" i="4"/>
  <c r="AG22" i="4"/>
  <c r="AJ22" i="4"/>
  <c r="AH67" i="4"/>
  <c r="AK67" i="4"/>
  <c r="AJ29" i="4"/>
  <c r="AH49" i="4"/>
  <c r="AL55" i="4"/>
  <c r="AK55" i="4"/>
  <c r="AL57" i="4"/>
  <c r="AK57" i="4"/>
  <c r="AJ52" i="4"/>
  <c r="CF89" i="8" l="1"/>
  <c r="AG89" i="4"/>
  <c r="AG96" i="4"/>
  <c r="AG104" i="4"/>
  <c r="AG98" i="4"/>
  <c r="AH101" i="4"/>
  <c r="AG95" i="4"/>
  <c r="AH94" i="4"/>
  <c r="AH100" i="4"/>
  <c r="AG102" i="4"/>
  <c r="AG99" i="4"/>
  <c r="AG93" i="4"/>
  <c r="AG92" i="4"/>
  <c r="AG91" i="4"/>
  <c r="AG103" i="4"/>
  <c r="AG97" i="4"/>
  <c r="AJ87" i="4"/>
  <c r="AJ88" i="4"/>
  <c r="AG90" i="4"/>
  <c r="AK74" i="4"/>
  <c r="AJ85" i="4"/>
  <c r="AL85" i="4"/>
  <c r="AH86" i="4"/>
  <c r="AG84" i="4"/>
  <c r="AG83" i="4"/>
  <c r="AJ48" i="4"/>
  <c r="AJ82" i="4"/>
  <c r="AG81" i="4"/>
  <c r="AG43" i="4"/>
  <c r="AH62" i="4"/>
  <c r="AG15" i="4"/>
  <c r="AG80" i="4"/>
  <c r="AJ18" i="4"/>
  <c r="AG34" i="4"/>
  <c r="AJ30" i="4"/>
  <c r="AL58" i="4"/>
  <c r="AH21" i="4"/>
  <c r="AG39" i="4"/>
  <c r="AK66" i="4"/>
  <c r="AH66" i="4"/>
  <c r="AG66" i="4"/>
  <c r="AK19" i="4"/>
  <c r="AK47" i="4"/>
  <c r="AJ79" i="4"/>
  <c r="AH53" i="4"/>
  <c r="AL79" i="4"/>
  <c r="AG53" i="4"/>
  <c r="AM13" i="4"/>
  <c r="AG50" i="4"/>
  <c r="AG46" i="4"/>
  <c r="AF61" i="4"/>
  <c r="AH27" i="4"/>
  <c r="AK11" i="4"/>
  <c r="AF31" i="4"/>
  <c r="AH14" i="4"/>
  <c r="AH45" i="4"/>
  <c r="AJ28" i="4"/>
  <c r="AH28" i="4"/>
  <c r="AG65" i="4"/>
  <c r="AH77" i="4"/>
  <c r="AG69" i="4"/>
  <c r="AJ68" i="4"/>
  <c r="AH68" i="4"/>
  <c r="AH12" i="4"/>
  <c r="AJ26" i="4"/>
  <c r="AG26" i="4"/>
  <c r="AH60" i="4"/>
  <c r="AG24" i="4"/>
  <c r="AH16" i="4"/>
  <c r="AK16" i="4"/>
  <c r="AG37" i="4"/>
  <c r="AG70" i="4"/>
  <c r="AG35" i="4"/>
  <c r="AH17" i="4"/>
  <c r="AG63" i="4"/>
  <c r="AL33" i="4"/>
  <c r="AG73" i="4"/>
  <c r="AG76" i="4"/>
  <c r="AK56" i="4"/>
  <c r="AL56" i="4"/>
  <c r="AG44" i="4"/>
  <c r="AH43" i="4"/>
  <c r="AG23" i="4"/>
  <c r="AF78" i="4"/>
  <c r="AJ9" i="4"/>
  <c r="CI9" i="8"/>
  <c r="AG25" i="4"/>
  <c r="AK32" i="4"/>
  <c r="AH71" i="4"/>
  <c r="AJ62" i="4"/>
  <c r="AH36" i="4"/>
  <c r="AL72" i="4"/>
  <c r="AJ56" i="4"/>
  <c r="AF20" i="4"/>
  <c r="AJ36" i="4"/>
  <c r="AH64" i="4"/>
  <c r="AG54" i="4"/>
  <c r="AJ53" i="4"/>
  <c r="AJ49" i="4"/>
  <c r="AL52" i="4"/>
  <c r="CH89" i="8" l="1"/>
  <c r="AH89" i="4"/>
  <c r="AH102" i="4"/>
  <c r="AJ100" i="4"/>
  <c r="AH97" i="4"/>
  <c r="AJ94" i="4"/>
  <c r="AH103" i="4"/>
  <c r="AH95" i="4"/>
  <c r="AH91" i="4"/>
  <c r="AJ101" i="4"/>
  <c r="AH92" i="4"/>
  <c r="AH98" i="4"/>
  <c r="AH93" i="4"/>
  <c r="AH104" i="4"/>
  <c r="AH99" i="4"/>
  <c r="AH96" i="4"/>
  <c r="AK87" i="4"/>
  <c r="AK88" i="4"/>
  <c r="AH90" i="4"/>
  <c r="AO85" i="4"/>
  <c r="AJ86" i="4"/>
  <c r="AH84" i="4"/>
  <c r="AH83" i="4"/>
  <c r="AK82" i="4"/>
  <c r="AH81" i="4"/>
  <c r="AH15" i="4"/>
  <c r="AH80" i="4"/>
  <c r="AK18" i="4"/>
  <c r="AH34" i="4"/>
  <c r="AK30" i="4"/>
  <c r="AM58" i="4"/>
  <c r="AJ59" i="4"/>
  <c r="AH39" i="4"/>
  <c r="AJ21" i="4"/>
  <c r="AH10" i="4"/>
  <c r="AM79" i="4"/>
  <c r="AO13" i="4"/>
  <c r="AJ46" i="4"/>
  <c r="AH46" i="4"/>
  <c r="AG61" i="4"/>
  <c r="AK46" i="4"/>
  <c r="AH75" i="4"/>
  <c r="AG31" i="4"/>
  <c r="AL11" i="4"/>
  <c r="AJ27" i="4"/>
  <c r="AK45" i="4"/>
  <c r="AJ45" i="4"/>
  <c r="AJ14" i="4"/>
  <c r="AL45" i="4"/>
  <c r="AJ77" i="4"/>
  <c r="AK77" i="4"/>
  <c r="AH65" i="4"/>
  <c r="AH69" i="4"/>
  <c r="AK17" i="4"/>
  <c r="AH76" i="4"/>
  <c r="AJ76" i="4"/>
  <c r="AH73" i="4"/>
  <c r="AH24" i="4"/>
  <c r="AH37" i="4"/>
  <c r="AJ60" i="4"/>
  <c r="AJ12" i="4"/>
  <c r="AH70" i="4"/>
  <c r="AM56" i="4"/>
  <c r="AJ41" i="4"/>
  <c r="AJ63" i="4"/>
  <c r="AH63" i="4"/>
  <c r="AJ70" i="4"/>
  <c r="AJ17" i="4"/>
  <c r="AL17" i="4"/>
  <c r="AK12" i="4"/>
  <c r="AH35" i="4"/>
  <c r="AJ35" i="4"/>
  <c r="AH26" i="4"/>
  <c r="AK64" i="4"/>
  <c r="AK36" i="4"/>
  <c r="AG78" i="4"/>
  <c r="AH44" i="4"/>
  <c r="AL67" i="4"/>
  <c r="AH25" i="4"/>
  <c r="AJ71" i="4"/>
  <c r="AH42" i="4"/>
  <c r="AH54" i="4"/>
  <c r="AM72" i="4"/>
  <c r="AK9" i="4"/>
  <c r="CJ9" i="8"/>
  <c r="AH23" i="4"/>
  <c r="AL74" i="4"/>
  <c r="AL36" i="4"/>
  <c r="AM38" i="4"/>
  <c r="AK38" i="4"/>
  <c r="AH40" i="4"/>
  <c r="AJ43" i="4"/>
  <c r="AJ64" i="4"/>
  <c r="AL64" i="4"/>
  <c r="AG20" i="4"/>
  <c r="AK22" i="4"/>
  <c r="AK62" i="4"/>
  <c r="AL32" i="4"/>
  <c r="AJ51" i="4"/>
  <c r="AK29" i="4"/>
  <c r="AK53" i="4"/>
  <c r="AK49" i="4"/>
  <c r="AM57" i="4"/>
  <c r="AM55" i="4"/>
  <c r="AM52" i="4"/>
  <c r="CI89" i="8" l="1"/>
  <c r="AJ89" i="4"/>
  <c r="AK101" i="4"/>
  <c r="AJ91" i="4"/>
  <c r="AJ96" i="4"/>
  <c r="AJ95" i="4"/>
  <c r="AJ99" i="4"/>
  <c r="AJ103" i="4"/>
  <c r="AJ104" i="4"/>
  <c r="AK94" i="4"/>
  <c r="AJ93" i="4"/>
  <c r="AJ97" i="4"/>
  <c r="AJ98" i="4"/>
  <c r="AK100" i="4"/>
  <c r="AJ92" i="4"/>
  <c r="AJ102" i="4"/>
  <c r="AL87" i="4"/>
  <c r="AL88" i="4"/>
  <c r="AJ90" i="4"/>
  <c r="AP85" i="4"/>
  <c r="AM85" i="4"/>
  <c r="AK86" i="4"/>
  <c r="AK84" i="4"/>
  <c r="AJ84" i="4"/>
  <c r="AJ83" i="4"/>
  <c r="AK48" i="4"/>
  <c r="AL82" i="4"/>
  <c r="AJ81" i="4"/>
  <c r="AJ15" i="4"/>
  <c r="AJ80" i="4"/>
  <c r="AH50" i="4"/>
  <c r="AL18" i="4"/>
  <c r="AL66" i="4"/>
  <c r="AL47" i="4"/>
  <c r="AJ34" i="4"/>
  <c r="AL30" i="4"/>
  <c r="AO58" i="4"/>
  <c r="AK21" i="4"/>
  <c r="AJ39" i="4"/>
  <c r="AK59" i="4"/>
  <c r="AK10" i="4"/>
  <c r="AL19" i="4"/>
  <c r="AJ10" i="4"/>
  <c r="AL10" i="4"/>
  <c r="AJ75" i="4"/>
  <c r="AH61" i="4"/>
  <c r="AM36" i="4"/>
  <c r="AK27" i="4"/>
  <c r="AM47" i="4"/>
  <c r="AM11" i="4"/>
  <c r="AM45" i="4"/>
  <c r="AH31" i="4"/>
  <c r="AK28" i="4"/>
  <c r="AK14" i="4"/>
  <c r="AL12" i="4"/>
  <c r="AL16" i="4"/>
  <c r="AJ65" i="4"/>
  <c r="AJ69" i="4"/>
  <c r="AJ24" i="4"/>
  <c r="AK24" i="4"/>
  <c r="AK26" i="4"/>
  <c r="AL26" i="4"/>
  <c r="AJ73" i="4"/>
  <c r="AK60" i="4"/>
  <c r="AK41" i="4"/>
  <c r="AK68" i="4"/>
  <c r="AL68" i="4"/>
  <c r="AJ37" i="4"/>
  <c r="AO33" i="4"/>
  <c r="AM33" i="4"/>
  <c r="AK35" i="4"/>
  <c r="AK25" i="4"/>
  <c r="AJ23" i="4"/>
  <c r="AJ44" i="4"/>
  <c r="AL38" i="4"/>
  <c r="AL9" i="4"/>
  <c r="CK9" i="8"/>
  <c r="AL48" i="4"/>
  <c r="AH78" i="4"/>
  <c r="AJ78" i="4"/>
  <c r="AK51" i="4"/>
  <c r="AL43" i="4"/>
  <c r="AJ50" i="4"/>
  <c r="AK43" i="4"/>
  <c r="AM74" i="4"/>
  <c r="AO72" i="4"/>
  <c r="AJ42" i="4"/>
  <c r="AM32" i="4"/>
  <c r="AL22" i="4"/>
  <c r="AJ40" i="4"/>
  <c r="AK71" i="4"/>
  <c r="AJ25" i="4"/>
  <c r="AL25" i="4"/>
  <c r="AJ54" i="4"/>
  <c r="AM67" i="4"/>
  <c r="AM64" i="4"/>
  <c r="AL62" i="4"/>
  <c r="AH20" i="4"/>
  <c r="AL29" i="4"/>
  <c r="AM66" i="4"/>
  <c r="AL53" i="4"/>
  <c r="AL49" i="4"/>
  <c r="AO52" i="4"/>
  <c r="AO55" i="4"/>
  <c r="AO57" i="4"/>
  <c r="CJ89" i="8" l="1"/>
  <c r="AK89" i="4"/>
  <c r="AL94" i="4"/>
  <c r="AK104" i="4"/>
  <c r="AK102" i="4"/>
  <c r="AK103" i="4"/>
  <c r="AK92" i="4"/>
  <c r="AK99" i="4"/>
  <c r="AL100" i="4"/>
  <c r="AK95" i="4"/>
  <c r="AK98" i="4"/>
  <c r="AK96" i="4"/>
  <c r="AK97" i="4"/>
  <c r="AK91" i="4"/>
  <c r="AK93" i="4"/>
  <c r="AL101" i="4"/>
  <c r="AM87" i="4"/>
  <c r="AM88" i="4"/>
  <c r="AK90" i="4"/>
  <c r="AL86" i="4"/>
  <c r="AK83" i="4"/>
  <c r="AM82" i="4"/>
  <c r="AK81" i="4"/>
  <c r="AK15" i="4"/>
  <c r="AK80" i="4"/>
  <c r="AO56" i="4"/>
  <c r="AM18" i="4"/>
  <c r="AO36" i="4"/>
  <c r="AK34" i="4"/>
  <c r="AM30" i="4"/>
  <c r="AP13" i="4"/>
  <c r="AP58" i="4"/>
  <c r="AL59" i="4"/>
  <c r="AK39" i="4"/>
  <c r="AL21" i="4"/>
  <c r="AM19" i="4"/>
  <c r="AO79" i="4"/>
  <c r="AM46" i="4"/>
  <c r="AK75" i="4"/>
  <c r="AL46" i="4"/>
  <c r="AO46" i="4"/>
  <c r="AJ61" i="4"/>
  <c r="AO45" i="4"/>
  <c r="AO11" i="4"/>
  <c r="AO47" i="4"/>
  <c r="AQ33" i="4"/>
  <c r="AL27" i="4"/>
  <c r="AJ31" i="4"/>
  <c r="AL14" i="4"/>
  <c r="AM12" i="4"/>
  <c r="AL28" i="4"/>
  <c r="AK69" i="4"/>
  <c r="AL69" i="4"/>
  <c r="AL77" i="4"/>
  <c r="AK65" i="4"/>
  <c r="AM16" i="4"/>
  <c r="AL24" i="4"/>
  <c r="AM60" i="4"/>
  <c r="AL41" i="4"/>
  <c r="AL63" i="4"/>
  <c r="AK63" i="4"/>
  <c r="AM17" i="4"/>
  <c r="AK37" i="4"/>
  <c r="AO68" i="4"/>
  <c r="AL60" i="4"/>
  <c r="AO60" i="4"/>
  <c r="AK70" i="4"/>
  <c r="AK76" i="4"/>
  <c r="AK73" i="4"/>
  <c r="AO32" i="4"/>
  <c r="AL71" i="4"/>
  <c r="AM71" i="4"/>
  <c r="AO74" i="4"/>
  <c r="AP56" i="4"/>
  <c r="AQ56" i="4"/>
  <c r="AM43" i="4"/>
  <c r="AM48" i="4"/>
  <c r="AO67" i="4"/>
  <c r="AO64" i="4"/>
  <c r="AK50" i="4"/>
  <c r="AL40" i="4"/>
  <c r="AK40" i="4"/>
  <c r="AK44" i="4"/>
  <c r="AK54" i="4"/>
  <c r="AL51" i="4"/>
  <c r="AM9" i="4"/>
  <c r="CM9" i="8"/>
  <c r="AM22" i="4"/>
  <c r="AK42" i="4"/>
  <c r="AK78" i="4"/>
  <c r="AK23" i="4"/>
  <c r="AJ20" i="4"/>
  <c r="AO38" i="4"/>
  <c r="AM62" i="4"/>
  <c r="AP72" i="4"/>
  <c r="AM29" i="4"/>
  <c r="AO66" i="4"/>
  <c r="AM53" i="4"/>
  <c r="AM49" i="4"/>
  <c r="AP57" i="4"/>
  <c r="AP55" i="4"/>
  <c r="AP52" i="4"/>
  <c r="AQ55" i="4"/>
  <c r="CK89" i="8" l="1"/>
  <c r="AL89" i="4"/>
  <c r="AL95" i="4"/>
  <c r="AM100" i="4"/>
  <c r="AM101" i="4"/>
  <c r="AL99" i="4"/>
  <c r="AL93" i="4"/>
  <c r="AL92" i="4"/>
  <c r="AL91" i="4"/>
  <c r="AL103" i="4"/>
  <c r="AL97" i="4"/>
  <c r="AL102" i="4"/>
  <c r="AL96" i="4"/>
  <c r="AL104" i="4"/>
  <c r="AL98" i="4"/>
  <c r="AM94" i="4"/>
  <c r="AO87" i="4"/>
  <c r="AO88" i="4"/>
  <c r="AL90" i="4"/>
  <c r="AQ85" i="4"/>
  <c r="AM86" i="4"/>
  <c r="AT85" i="4"/>
  <c r="AR85" i="4"/>
  <c r="AM84" i="4"/>
  <c r="AL84" i="4"/>
  <c r="AL83" i="4"/>
  <c r="AO82" i="4"/>
  <c r="AL81" i="4"/>
  <c r="AL15" i="4"/>
  <c r="AL80" i="4"/>
  <c r="AR33" i="4"/>
  <c r="AP36" i="4"/>
  <c r="AO18" i="4"/>
  <c r="AL34" i="4"/>
  <c r="AO12" i="4"/>
  <c r="AQ13" i="4"/>
  <c r="AO30" i="4"/>
  <c r="AQ58" i="4"/>
  <c r="AM21" i="4"/>
  <c r="AL39" i="4"/>
  <c r="AM59" i="4"/>
  <c r="AM10" i="4"/>
  <c r="AO19" i="4"/>
  <c r="AP79" i="4"/>
  <c r="AK61" i="4"/>
  <c r="AL75" i="4"/>
  <c r="AP33" i="4"/>
  <c r="AM27" i="4"/>
  <c r="AO71" i="4"/>
  <c r="AP47" i="4"/>
  <c r="AK31" i="4"/>
  <c r="AP11" i="4"/>
  <c r="AO28" i="4"/>
  <c r="AM28" i="4"/>
  <c r="AM24" i="4"/>
  <c r="AM14" i="4"/>
  <c r="AM77" i="4"/>
  <c r="AM26" i="4"/>
  <c r="AO16" i="4"/>
  <c r="AP16" i="4"/>
  <c r="AL65" i="4"/>
  <c r="AL70" i="4"/>
  <c r="AM70" i="4"/>
  <c r="AM41" i="4"/>
  <c r="AO17" i="4"/>
  <c r="AL35" i="4"/>
  <c r="AM35" i="4"/>
  <c r="AL73" i="4"/>
  <c r="AL76" i="4"/>
  <c r="AM68" i="4"/>
  <c r="AP68" i="4"/>
  <c r="AL37" i="4"/>
  <c r="AM63" i="4"/>
  <c r="AM50" i="4"/>
  <c r="AO62" i="4"/>
  <c r="AK20" i="4"/>
  <c r="AL54" i="4"/>
  <c r="AP74" i="4"/>
  <c r="AO43" i="4"/>
  <c r="AP67" i="4"/>
  <c r="CN9" i="8"/>
  <c r="AO9" i="4"/>
  <c r="AL23" i="4"/>
  <c r="AL44" i="4"/>
  <c r="AO48" i="4"/>
  <c r="AL50" i="4"/>
  <c r="AO50" i="4"/>
  <c r="AR56" i="4"/>
  <c r="AP64" i="4"/>
  <c r="AM25" i="4"/>
  <c r="AM51" i="4"/>
  <c r="AP43" i="4"/>
  <c r="AP32" i="4"/>
  <c r="AO22" i="4"/>
  <c r="AQ72" i="4"/>
  <c r="AP38" i="4"/>
  <c r="AL42" i="4"/>
  <c r="AO29" i="4"/>
  <c r="AP66" i="4"/>
  <c r="AO53" i="4"/>
  <c r="AR55" i="4"/>
  <c r="AO49" i="4"/>
  <c r="AQ57" i="4"/>
  <c r="AQ52" i="4"/>
  <c r="CM89" i="8" l="1"/>
  <c r="AM89" i="4"/>
  <c r="AM103" i="4"/>
  <c r="AM91" i="4"/>
  <c r="AO94" i="4"/>
  <c r="AM92" i="4"/>
  <c r="AM98" i="4"/>
  <c r="AM93" i="4"/>
  <c r="AM104" i="4"/>
  <c r="AM99" i="4"/>
  <c r="AM96" i="4"/>
  <c r="AO101" i="4"/>
  <c r="AM102" i="4"/>
  <c r="AO100" i="4"/>
  <c r="AM97" i="4"/>
  <c r="AM95" i="4"/>
  <c r="AP87" i="4"/>
  <c r="AP88" i="4"/>
  <c r="AM90" i="4"/>
  <c r="AO86" i="4"/>
  <c r="AM83" i="4"/>
  <c r="AP82" i="4"/>
  <c r="AM81" i="4"/>
  <c r="AM15" i="4"/>
  <c r="AM80" i="4"/>
  <c r="AQ36" i="4"/>
  <c r="AP18" i="4"/>
  <c r="AM34" i="4"/>
  <c r="AP30" i="4"/>
  <c r="AR13" i="4"/>
  <c r="AR58" i="4"/>
  <c r="AQ21" i="4"/>
  <c r="AP21" i="4"/>
  <c r="AP24" i="4"/>
  <c r="AO59" i="4"/>
  <c r="AM39" i="4"/>
  <c r="AO21" i="4"/>
  <c r="AP19" i="4"/>
  <c r="AO10" i="4"/>
  <c r="AQ79" i="4"/>
  <c r="AP46" i="4"/>
  <c r="AM75" i="4"/>
  <c r="AP45" i="4"/>
  <c r="AL61" i="4"/>
  <c r="AQ47" i="4"/>
  <c r="AM69" i="4"/>
  <c r="AQ11" i="4"/>
  <c r="AL31" i="4"/>
  <c r="AO27" i="4"/>
  <c r="AQ45" i="4"/>
  <c r="AO14" i="4"/>
  <c r="AO77" i="4"/>
  <c r="AO35" i="4"/>
  <c r="AO26" i="4"/>
  <c r="AM65" i="4"/>
  <c r="AM37" i="4"/>
  <c r="AO63" i="4"/>
  <c r="AP60" i="4"/>
  <c r="AP17" i="4"/>
  <c r="AR64" i="4"/>
  <c r="AO41" i="4"/>
  <c r="AL78" i="4"/>
  <c r="AQ41" i="4"/>
  <c r="AM76" i="4"/>
  <c r="AM73" i="4"/>
  <c r="AM42" i="4"/>
  <c r="AR22" i="4"/>
  <c r="AP22" i="4"/>
  <c r="AQ67" i="4"/>
  <c r="AL20" i="4"/>
  <c r="AP25" i="4"/>
  <c r="AO25" i="4"/>
  <c r="AQ32" i="4"/>
  <c r="AM44" i="4"/>
  <c r="AP48" i="4"/>
  <c r="AQ48" i="4"/>
  <c r="AQ38" i="4"/>
  <c r="AP62" i="4"/>
  <c r="AM54" i="4"/>
  <c r="AO54" i="4"/>
  <c r="AT38" i="4"/>
  <c r="AM23" i="4"/>
  <c r="AM40" i="4"/>
  <c r="AQ74" i="4"/>
  <c r="AO51" i="4"/>
  <c r="AR72" i="4"/>
  <c r="AP9" i="4"/>
  <c r="CO9" i="8"/>
  <c r="AP29" i="4"/>
  <c r="AQ66" i="4"/>
  <c r="AP53" i="4"/>
  <c r="AQ53" i="4"/>
  <c r="AT55" i="4"/>
  <c r="AP49" i="4"/>
  <c r="AQ49" i="4"/>
  <c r="AR52" i="4"/>
  <c r="AR57" i="4"/>
  <c r="AU52" i="4"/>
  <c r="CN89" i="8" l="1"/>
  <c r="AO89" i="4"/>
  <c r="AO99" i="4"/>
  <c r="AO104" i="4"/>
  <c r="AO95" i="4"/>
  <c r="AO93" i="4"/>
  <c r="AO97" i="4"/>
  <c r="AO98" i="4"/>
  <c r="AP100" i="4"/>
  <c r="AO92" i="4"/>
  <c r="AO102" i="4"/>
  <c r="AP94" i="4"/>
  <c r="AP101" i="4"/>
  <c r="AO91" i="4"/>
  <c r="AO96" i="4"/>
  <c r="AO103" i="4"/>
  <c r="AQ87" i="4"/>
  <c r="AQ88" i="4"/>
  <c r="AO90" i="4"/>
  <c r="AU85" i="4"/>
  <c r="AP86" i="4"/>
  <c r="AP84" i="4"/>
  <c r="AO84" i="4"/>
  <c r="AO83" i="4"/>
  <c r="AT33" i="4"/>
  <c r="AQ82" i="4"/>
  <c r="AO81" i="4"/>
  <c r="AP15" i="4"/>
  <c r="AO15" i="4"/>
  <c r="AQ15" i="4"/>
  <c r="AT36" i="4"/>
  <c r="AO80" i="4"/>
  <c r="AQ18" i="4"/>
  <c r="AP12" i="4"/>
  <c r="AO24" i="4"/>
  <c r="AO34" i="4"/>
  <c r="AT64" i="4"/>
  <c r="AT13" i="4"/>
  <c r="AQ30" i="4"/>
  <c r="AQ24" i="4"/>
  <c r="AP35" i="4"/>
  <c r="AT58" i="4"/>
  <c r="AO39" i="4"/>
  <c r="AP59" i="4"/>
  <c r="AP10" i="4"/>
  <c r="AQ19" i="4"/>
  <c r="AU79" i="4"/>
  <c r="AR79" i="4"/>
  <c r="AQ64" i="4"/>
  <c r="AO61" i="4"/>
  <c r="AM61" i="4"/>
  <c r="AO75" i="4"/>
  <c r="AP28" i="4"/>
  <c r="AQ46" i="4"/>
  <c r="AP71" i="4"/>
  <c r="AR11" i="4"/>
  <c r="AO69" i="4"/>
  <c r="AP27" i="4"/>
  <c r="AR47" i="4"/>
  <c r="AM31" i="4"/>
  <c r="AP14" i="4"/>
  <c r="AR45" i="4"/>
  <c r="AQ16" i="4"/>
  <c r="AQ12" i="4"/>
  <c r="AP26" i="4"/>
  <c r="AP77" i="4"/>
  <c r="AQ65" i="4"/>
  <c r="AO65" i="4"/>
  <c r="AR77" i="4"/>
  <c r="AT25" i="4"/>
  <c r="AQ60" i="4"/>
  <c r="AO70" i="4"/>
  <c r="AP41" i="4"/>
  <c r="AO73" i="4"/>
  <c r="AQ68" i="4"/>
  <c r="AP54" i="4"/>
  <c r="AO76" i="4"/>
  <c r="AM78" i="4"/>
  <c r="AO37" i="4"/>
  <c r="AQ70" i="4"/>
  <c r="AQ17" i="4"/>
  <c r="AR38" i="4"/>
  <c r="AU38" i="4"/>
  <c r="AR74" i="4"/>
  <c r="AQ22" i="4"/>
  <c r="AT22" i="4"/>
  <c r="AR32" i="4"/>
  <c r="AT32" i="4"/>
  <c r="AO42" i="4"/>
  <c r="AQ43" i="4"/>
  <c r="AR43" i="4"/>
  <c r="AP50" i="4"/>
  <c r="AO40" i="4"/>
  <c r="AT72" i="4"/>
  <c r="AU72" i="4"/>
  <c r="AO23" i="4"/>
  <c r="AM20" i="4"/>
  <c r="CP9" i="8"/>
  <c r="AR9" i="4" s="1"/>
  <c r="AQ9" i="4"/>
  <c r="AP51" i="4"/>
  <c r="AQ62" i="4"/>
  <c r="AO44" i="4"/>
  <c r="AR67" i="4"/>
  <c r="AT56" i="4"/>
  <c r="AV55" i="4"/>
  <c r="AQ29" i="4"/>
  <c r="AR66" i="4"/>
  <c r="AV52" i="4"/>
  <c r="AU33" i="4"/>
  <c r="AT57" i="4"/>
  <c r="AU57" i="4"/>
  <c r="AT52" i="4"/>
  <c r="CO89" i="8" l="1"/>
  <c r="AP89" i="4"/>
  <c r="AP92" i="4"/>
  <c r="AQ100" i="4"/>
  <c r="AP103" i="4"/>
  <c r="AP98" i="4"/>
  <c r="AP96" i="4"/>
  <c r="AP97" i="4"/>
  <c r="AP91" i="4"/>
  <c r="AP93" i="4"/>
  <c r="AQ101" i="4"/>
  <c r="AP95" i="4"/>
  <c r="AQ94" i="4"/>
  <c r="AP104" i="4"/>
  <c r="AP102" i="4"/>
  <c r="AP99" i="4"/>
  <c r="AR87" i="4"/>
  <c r="AR88" i="4"/>
  <c r="AP90" i="4"/>
  <c r="AQ86" i="4"/>
  <c r="AV85" i="4"/>
  <c r="AQ84" i="4"/>
  <c r="AP83" i="4"/>
  <c r="AR82" i="4"/>
  <c r="AP81" i="4"/>
  <c r="AU36" i="4"/>
  <c r="AR36" i="4"/>
  <c r="AP80" i="4"/>
  <c r="AR18" i="4"/>
  <c r="AR24" i="4"/>
  <c r="AQ35" i="4"/>
  <c r="AP34" i="4"/>
  <c r="AR30" i="4"/>
  <c r="AU13" i="4"/>
  <c r="AU58" i="4"/>
  <c r="AR21" i="4"/>
  <c r="AQ59" i="4"/>
  <c r="AP39" i="4"/>
  <c r="AV79" i="4"/>
  <c r="AR19" i="4"/>
  <c r="AQ10" i="4"/>
  <c r="AT79" i="4"/>
  <c r="AQ75" i="4"/>
  <c r="AP75" i="4"/>
  <c r="AP63" i="4"/>
  <c r="AQ63" i="4"/>
  <c r="AR46" i="4"/>
  <c r="AQ28" i="4"/>
  <c r="AQ27" i="4"/>
  <c r="AR27" i="4"/>
  <c r="AP69" i="4"/>
  <c r="AO31" i="4"/>
  <c r="AT11" i="4"/>
  <c r="AT47" i="4"/>
  <c r="AQ71" i="4"/>
  <c r="AQ25" i="4"/>
  <c r="AT45" i="4"/>
  <c r="AQ14" i="4"/>
  <c r="AR26" i="4"/>
  <c r="AQ26" i="4"/>
  <c r="AR12" i="4"/>
  <c r="AP65" i="4"/>
  <c r="AR16" i="4"/>
  <c r="AR70" i="4"/>
  <c r="AQ77" i="4"/>
  <c r="AT77" i="4"/>
  <c r="AR17" i="4"/>
  <c r="AP70" i="4"/>
  <c r="AR68" i="4"/>
  <c r="AQ54" i="4"/>
  <c r="AP37" i="4"/>
  <c r="AO78" i="4"/>
  <c r="AT43" i="4"/>
  <c r="AQ76" i="4"/>
  <c r="AP76" i="4"/>
  <c r="AP73" i="4"/>
  <c r="AR60" i="4"/>
  <c r="AR41" i="4"/>
  <c r="AR48" i="4"/>
  <c r="AQ51" i="4"/>
  <c r="AT67" i="4"/>
  <c r="AP42" i="4"/>
  <c r="AR25" i="4"/>
  <c r="AT74" i="4"/>
  <c r="CR9" i="8"/>
  <c r="AP44" i="4"/>
  <c r="AO20" i="4"/>
  <c r="AP40" i="4"/>
  <c r="AV56" i="4"/>
  <c r="AU56" i="4"/>
  <c r="AR62" i="4"/>
  <c r="AP23" i="4"/>
  <c r="AQ50" i="4"/>
  <c r="AU55" i="4"/>
  <c r="AT29" i="4"/>
  <c r="AR29" i="4"/>
  <c r="AT66" i="4"/>
  <c r="AR53" i="4"/>
  <c r="AR49" i="4"/>
  <c r="AT49" i="4"/>
  <c r="AV33" i="4"/>
  <c r="BE38" i="8"/>
  <c r="BE85" i="8"/>
  <c r="BE55" i="8"/>
  <c r="BE52" i="8"/>
  <c r="BE33" i="8"/>
  <c r="CP89" i="8" l="1"/>
  <c r="AQ89" i="4"/>
  <c r="AW38" i="4"/>
  <c r="AW55" i="4"/>
  <c r="AQ93" i="4"/>
  <c r="AQ91" i="4"/>
  <c r="AQ99" i="4"/>
  <c r="AQ97" i="4"/>
  <c r="AQ102" i="4"/>
  <c r="AQ96" i="4"/>
  <c r="AQ104" i="4"/>
  <c r="AQ98" i="4"/>
  <c r="AR94" i="4"/>
  <c r="AQ103" i="4"/>
  <c r="AQ95" i="4"/>
  <c r="AR100" i="4"/>
  <c r="AR101" i="4"/>
  <c r="AQ92" i="4"/>
  <c r="AT87" i="4"/>
  <c r="AT88" i="4"/>
  <c r="AQ90" i="4"/>
  <c r="AW85" i="4"/>
  <c r="AR86" i="4"/>
  <c r="AR84" i="4"/>
  <c r="AQ83" i="4"/>
  <c r="AT82" i="4"/>
  <c r="AQ81" i="4"/>
  <c r="AU64" i="4"/>
  <c r="AT15" i="4"/>
  <c r="AR15" i="4"/>
  <c r="AU15" i="4"/>
  <c r="AQ80" i="4"/>
  <c r="AT18" i="4"/>
  <c r="AQ34" i="4"/>
  <c r="AU43" i="4"/>
  <c r="AV13" i="4"/>
  <c r="AT30" i="4"/>
  <c r="AV58" i="4"/>
  <c r="AQ39" i="4"/>
  <c r="AR59" i="4"/>
  <c r="AT21" i="4"/>
  <c r="AV21" i="4"/>
  <c r="AR10" i="4"/>
  <c r="AT19" i="4"/>
  <c r="AR28" i="4"/>
  <c r="AP61" i="4"/>
  <c r="AT46" i="4"/>
  <c r="AU11" i="4"/>
  <c r="AR71" i="4"/>
  <c r="AP31" i="4"/>
  <c r="AU47" i="4"/>
  <c r="AQ69" i="4"/>
  <c r="AT70" i="4"/>
  <c r="AT54" i="4"/>
  <c r="AR14" i="4"/>
  <c r="AU45" i="4"/>
  <c r="AT16" i="4"/>
  <c r="AU16" i="4"/>
  <c r="AR65" i="4"/>
  <c r="AT12" i="4"/>
  <c r="AQ73" i="4"/>
  <c r="AT68" i="4"/>
  <c r="AV38" i="4"/>
  <c r="AP78" i="4"/>
  <c r="AT41" i="4"/>
  <c r="AV72" i="4"/>
  <c r="AT17" i="4"/>
  <c r="AQ37" i="4"/>
  <c r="AT60" i="4"/>
  <c r="AQ40" i="4"/>
  <c r="AU67" i="4"/>
  <c r="AP20" i="4"/>
  <c r="AQ20" i="4"/>
  <c r="AU25" i="4"/>
  <c r="AV25" i="4"/>
  <c r="AT51" i="4"/>
  <c r="AR51" i="4"/>
  <c r="AQ44" i="4"/>
  <c r="AQ42" i="4"/>
  <c r="AT48" i="4"/>
  <c r="AQ23" i="4"/>
  <c r="AU32" i="4"/>
  <c r="AT9" i="4"/>
  <c r="CS9" i="8"/>
  <c r="AT50" i="4"/>
  <c r="AR50" i="4"/>
  <c r="AT62" i="4"/>
  <c r="AU22" i="4"/>
  <c r="AU74" i="4"/>
  <c r="AV64" i="4"/>
  <c r="AU66" i="4"/>
  <c r="AT53" i="4"/>
  <c r="AW52" i="4"/>
  <c r="AU49" i="4"/>
  <c r="AW33" i="4"/>
  <c r="AV57" i="4"/>
  <c r="BE36" i="8"/>
  <c r="BE56" i="8"/>
  <c r="BE57" i="8"/>
  <c r="BE58" i="8"/>
  <c r="BE72" i="8"/>
  <c r="BE13" i="8"/>
  <c r="BE79" i="8"/>
  <c r="BE64" i="8"/>
  <c r="I85" i="4"/>
  <c r="I33" i="4"/>
  <c r="CR89" i="8" l="1"/>
  <c r="AR89" i="4"/>
  <c r="C52" i="4"/>
  <c r="E52" i="4"/>
  <c r="D52" i="4"/>
  <c r="G52" i="4"/>
  <c r="F52" i="4"/>
  <c r="E33" i="4"/>
  <c r="G33" i="4"/>
  <c r="F33" i="4"/>
  <c r="D33" i="4"/>
  <c r="C33" i="4"/>
  <c r="C85" i="4"/>
  <c r="F85" i="4"/>
  <c r="E85" i="4"/>
  <c r="G85" i="4"/>
  <c r="D85" i="4"/>
  <c r="C55" i="4"/>
  <c r="E55" i="4"/>
  <c r="G55" i="4"/>
  <c r="D55" i="4"/>
  <c r="F55" i="4"/>
  <c r="F38" i="4"/>
  <c r="E38" i="4"/>
  <c r="G38" i="4"/>
  <c r="D38" i="4"/>
  <c r="C38" i="4"/>
  <c r="AW79" i="4"/>
  <c r="AR98" i="4"/>
  <c r="AR104" i="4"/>
  <c r="AR92" i="4"/>
  <c r="AR96" i="4"/>
  <c r="AT101" i="4"/>
  <c r="AR102" i="4"/>
  <c r="AT100" i="4"/>
  <c r="AR97" i="4"/>
  <c r="AR95" i="4"/>
  <c r="AR99" i="4"/>
  <c r="AR103" i="4"/>
  <c r="AR91" i="4"/>
  <c r="AT94" i="4"/>
  <c r="AR93" i="4"/>
  <c r="AU87" i="4"/>
  <c r="AU88" i="4"/>
  <c r="AR90" i="4"/>
  <c r="AT86" i="4"/>
  <c r="AR83" i="4"/>
  <c r="AU82" i="4"/>
  <c r="AR81" i="4"/>
  <c r="AV36" i="4"/>
  <c r="AT24" i="4"/>
  <c r="AR80" i="4"/>
  <c r="AU18" i="4"/>
  <c r="AV43" i="4"/>
  <c r="AR35" i="4"/>
  <c r="AR34" i="4"/>
  <c r="AU54" i="4"/>
  <c r="AU30" i="4"/>
  <c r="AW13" i="4"/>
  <c r="AW58" i="4"/>
  <c r="AT59" i="4"/>
  <c r="AU21" i="4"/>
  <c r="AU39" i="4"/>
  <c r="AR39" i="4"/>
  <c r="AU19" i="4"/>
  <c r="AT10" i="4"/>
  <c r="AR63" i="4"/>
  <c r="AT75" i="4"/>
  <c r="AQ61" i="4"/>
  <c r="AT28" i="4"/>
  <c r="AU70" i="4"/>
  <c r="AU46" i="4"/>
  <c r="AR75" i="4"/>
  <c r="AV47" i="4"/>
  <c r="AQ31" i="4"/>
  <c r="AT27" i="4"/>
  <c r="AT71" i="4"/>
  <c r="AR69" i="4"/>
  <c r="AV11" i="4"/>
  <c r="AW36" i="4"/>
  <c r="AV45" i="4"/>
  <c r="AR54" i="4"/>
  <c r="AT14" i="4"/>
  <c r="AT65" i="4"/>
  <c r="AU77" i="4"/>
  <c r="AU12" i="4"/>
  <c r="AT26" i="4"/>
  <c r="AU24" i="4"/>
  <c r="AQ78" i="4"/>
  <c r="AR76" i="4"/>
  <c r="AW72" i="4"/>
  <c r="AU17" i="4"/>
  <c r="AV17" i="4"/>
  <c r="AU68" i="4"/>
  <c r="AU41" i="4"/>
  <c r="AU60" i="4"/>
  <c r="AR37" i="4"/>
  <c r="AR73" i="4"/>
  <c r="AV22" i="4"/>
  <c r="AV32" i="4"/>
  <c r="AU9" i="4"/>
  <c r="CT9" i="8"/>
  <c r="AR40" i="4"/>
  <c r="AV74" i="4"/>
  <c r="AV67" i="4"/>
  <c r="AU62" i="4"/>
  <c r="AR23" i="4"/>
  <c r="AW56" i="4"/>
  <c r="AR42" i="4"/>
  <c r="AR44" i="4"/>
  <c r="AU48" i="4"/>
  <c r="AW64" i="4"/>
  <c r="AU29" i="4"/>
  <c r="AV66" i="4"/>
  <c r="AU53" i="4"/>
  <c r="AV49" i="4"/>
  <c r="AW57" i="4"/>
  <c r="BE11" i="8"/>
  <c r="BE21" i="8"/>
  <c r="BE47" i="8"/>
  <c r="BE67" i="8"/>
  <c r="BE25" i="8"/>
  <c r="BE32" i="8"/>
  <c r="BE66" i="8"/>
  <c r="BE22" i="8"/>
  <c r="BE74" i="8"/>
  <c r="BE45" i="8"/>
  <c r="I36" i="4"/>
  <c r="I79" i="4"/>
  <c r="CS89" i="8" l="1"/>
  <c r="AT89" i="4"/>
  <c r="E64" i="4"/>
  <c r="F64" i="4"/>
  <c r="D64" i="4"/>
  <c r="G64" i="4"/>
  <c r="C64" i="4"/>
  <c r="G36" i="4"/>
  <c r="D36" i="4"/>
  <c r="C36" i="4"/>
  <c r="E36" i="4"/>
  <c r="F36" i="4"/>
  <c r="E56" i="4"/>
  <c r="G56" i="4"/>
  <c r="F56" i="4"/>
  <c r="D56" i="4"/>
  <c r="C56" i="4"/>
  <c r="D58" i="4"/>
  <c r="E58" i="4"/>
  <c r="C58" i="4"/>
  <c r="F58" i="4"/>
  <c r="G58" i="4"/>
  <c r="D79" i="4"/>
  <c r="C79" i="4"/>
  <c r="F79" i="4"/>
  <c r="G79" i="4"/>
  <c r="E79" i="4"/>
  <c r="C72" i="4"/>
  <c r="G72" i="4"/>
  <c r="F72" i="4"/>
  <c r="E72" i="4"/>
  <c r="D72" i="4"/>
  <c r="D13" i="4"/>
  <c r="F13" i="4"/>
  <c r="G13" i="4"/>
  <c r="E13" i="4"/>
  <c r="C13" i="4"/>
  <c r="C57" i="4"/>
  <c r="G57" i="4"/>
  <c r="F57" i="4"/>
  <c r="D57" i="4"/>
  <c r="E57" i="4"/>
  <c r="AU100" i="4"/>
  <c r="AT93" i="4"/>
  <c r="AT102" i="4"/>
  <c r="AU94" i="4"/>
  <c r="AU101" i="4"/>
  <c r="AT91" i="4"/>
  <c r="AT96" i="4"/>
  <c r="AT103" i="4"/>
  <c r="AT92" i="4"/>
  <c r="AT99" i="4"/>
  <c r="AT104" i="4"/>
  <c r="AT97" i="4"/>
  <c r="AT95" i="4"/>
  <c r="AT98" i="4"/>
  <c r="AV87" i="4"/>
  <c r="AV88" i="4"/>
  <c r="AT90" i="4"/>
  <c r="AU86" i="4"/>
  <c r="AU84" i="4"/>
  <c r="AT84" i="4"/>
  <c r="AT83" i="4"/>
  <c r="AV82" i="4"/>
  <c r="AT81" i="4"/>
  <c r="AV15" i="4"/>
  <c r="AT80" i="4"/>
  <c r="AV54" i="4"/>
  <c r="AV18" i="4"/>
  <c r="AT35" i="4"/>
  <c r="AT34" i="4"/>
  <c r="AV30" i="4"/>
  <c r="AT39" i="4"/>
  <c r="AV39" i="4"/>
  <c r="AW21" i="4"/>
  <c r="AV70" i="4"/>
  <c r="AU59" i="4"/>
  <c r="AU10" i="4"/>
  <c r="AV19" i="4"/>
  <c r="AU75" i="4"/>
  <c r="AT63" i="4"/>
  <c r="AV46" i="4"/>
  <c r="AU28" i="4"/>
  <c r="AR61" i="4"/>
  <c r="AU71" i="4"/>
  <c r="AU27" i="4"/>
  <c r="AW11" i="4"/>
  <c r="AR31" i="4"/>
  <c r="AT69" i="4"/>
  <c r="AW47" i="4"/>
  <c r="AU14" i="4"/>
  <c r="AW45" i="4"/>
  <c r="AV12" i="4"/>
  <c r="AV77" i="4"/>
  <c r="AV24" i="4"/>
  <c r="AU65" i="4"/>
  <c r="AU26" i="4"/>
  <c r="AV16" i="4"/>
  <c r="AV60" i="4"/>
  <c r="AV41" i="4"/>
  <c r="AT76" i="4"/>
  <c r="AT73" i="4"/>
  <c r="AV68" i="4"/>
  <c r="AT37" i="4"/>
  <c r="AR78" i="4"/>
  <c r="AV9" i="4"/>
  <c r="CU9" i="8"/>
  <c r="AU51" i="4"/>
  <c r="AW67" i="4"/>
  <c r="AV62" i="4"/>
  <c r="AV48" i="4"/>
  <c r="AV42" i="4"/>
  <c r="AU42" i="4"/>
  <c r="AW32" i="4"/>
  <c r="AT42" i="4"/>
  <c r="AU50" i="4"/>
  <c r="AW74" i="4"/>
  <c r="AW22" i="4"/>
  <c r="AW25" i="4"/>
  <c r="AR20" i="4"/>
  <c r="AT23" i="4"/>
  <c r="AT44" i="4"/>
  <c r="AT40" i="4"/>
  <c r="AV29" i="4"/>
  <c r="AW66" i="4"/>
  <c r="AV53" i="4"/>
  <c r="AV9" i="8"/>
  <c r="BE62" i="8"/>
  <c r="BE12" i="8"/>
  <c r="BE15" i="8"/>
  <c r="BE60" i="8"/>
  <c r="BE77" i="8"/>
  <c r="BE29" i="8"/>
  <c r="BE17" i="8"/>
  <c r="BE43" i="8"/>
  <c r="BE19" i="8"/>
  <c r="BE18" i="8"/>
  <c r="BE24" i="8"/>
  <c r="BE68" i="8"/>
  <c r="BE9" i="8"/>
  <c r="BE41" i="8"/>
  <c r="BE48" i="8"/>
  <c r="BE53" i="8"/>
  <c r="BE30" i="8"/>
  <c r="BE16" i="8"/>
  <c r="BE49" i="8"/>
  <c r="BE46" i="8"/>
  <c r="I66" i="4"/>
  <c r="I21" i="4"/>
  <c r="I11" i="4"/>
  <c r="I45" i="4"/>
  <c r="I25" i="4"/>
  <c r="I74" i="4"/>
  <c r="I47" i="4"/>
  <c r="CT89" i="8" l="1"/>
  <c r="AU89" i="4"/>
  <c r="E67" i="4"/>
  <c r="F67" i="4"/>
  <c r="G67" i="4"/>
  <c r="C67" i="4"/>
  <c r="D67" i="4"/>
  <c r="C66" i="4"/>
  <c r="D66" i="4"/>
  <c r="F66" i="4"/>
  <c r="G66" i="4"/>
  <c r="E66" i="4"/>
  <c r="D45" i="4"/>
  <c r="F45" i="4"/>
  <c r="E45" i="4"/>
  <c r="G45" i="4"/>
  <c r="C45" i="4"/>
  <c r="F21" i="4"/>
  <c r="D21" i="4"/>
  <c r="E21" i="4"/>
  <c r="C21" i="4"/>
  <c r="G21" i="4"/>
  <c r="E47" i="4"/>
  <c r="D47" i="4"/>
  <c r="F47" i="4"/>
  <c r="G47" i="4"/>
  <c r="C47" i="4"/>
  <c r="G25" i="4"/>
  <c r="F25" i="4"/>
  <c r="D25" i="4"/>
  <c r="E25" i="4"/>
  <c r="C25" i="4"/>
  <c r="C11" i="4"/>
  <c r="D11" i="4"/>
  <c r="G11" i="4"/>
  <c r="F11" i="4"/>
  <c r="E11" i="4"/>
  <c r="E22" i="4"/>
  <c r="G22" i="4"/>
  <c r="C22" i="4"/>
  <c r="D22" i="4"/>
  <c r="F22" i="4"/>
  <c r="G74" i="4"/>
  <c r="D74" i="4"/>
  <c r="E74" i="4"/>
  <c r="C74" i="4"/>
  <c r="F74" i="4"/>
  <c r="D32" i="4"/>
  <c r="F32" i="4"/>
  <c r="E32" i="4"/>
  <c r="C32" i="4"/>
  <c r="G32" i="4"/>
  <c r="AW43" i="4"/>
  <c r="AW17" i="4"/>
  <c r="AU98" i="4"/>
  <c r="AU95" i="4"/>
  <c r="AU97" i="4"/>
  <c r="AU104" i="4"/>
  <c r="AU99" i="4"/>
  <c r="AU92" i="4"/>
  <c r="AU103" i="4"/>
  <c r="AU96" i="4"/>
  <c r="AU91" i="4"/>
  <c r="AV101" i="4"/>
  <c r="AV94" i="4"/>
  <c r="AU102" i="4"/>
  <c r="AU93" i="4"/>
  <c r="AV100" i="4"/>
  <c r="AU90" i="4"/>
  <c r="AV86" i="4"/>
  <c r="AV84" i="4"/>
  <c r="AU83" i="4"/>
  <c r="AU81" i="4"/>
  <c r="AW15" i="4"/>
  <c r="AU80" i="4"/>
  <c r="AW18" i="4"/>
  <c r="AU35" i="4"/>
  <c r="AV35" i="4"/>
  <c r="AU34" i="4"/>
  <c r="AW30" i="4"/>
  <c r="AV59" i="4"/>
  <c r="AV75" i="4"/>
  <c r="AW19" i="4"/>
  <c r="AV10" i="4"/>
  <c r="AU63" i="4"/>
  <c r="AV28" i="4"/>
  <c r="AW46" i="4"/>
  <c r="AT61" i="4"/>
  <c r="AT31" i="4"/>
  <c r="AV27" i="4"/>
  <c r="AU69" i="4"/>
  <c r="AV71" i="4"/>
  <c r="AV14" i="4"/>
  <c r="AV65" i="4"/>
  <c r="AW24" i="4"/>
  <c r="AW16" i="4"/>
  <c r="AW77" i="4"/>
  <c r="AV26" i="4"/>
  <c r="AW12" i="4"/>
  <c r="AU76" i="4"/>
  <c r="AV76" i="4"/>
  <c r="AW68" i="4"/>
  <c r="AU78" i="4"/>
  <c r="AT78" i="4"/>
  <c r="AW41" i="4"/>
  <c r="AU73" i="4"/>
  <c r="AW60" i="4"/>
  <c r="AU37" i="4"/>
  <c r="AU23" i="4"/>
  <c r="AT20" i="4"/>
  <c r="AU20" i="4"/>
  <c r="AW62" i="4"/>
  <c r="AU40" i="4"/>
  <c r="AV40" i="4"/>
  <c r="AV51" i="4"/>
  <c r="AU44" i="4"/>
  <c r="AV50" i="4"/>
  <c r="AW48" i="4"/>
  <c r="AW9" i="4"/>
  <c r="AW29" i="4"/>
  <c r="AW49" i="4"/>
  <c r="AW53" i="4"/>
  <c r="AX9" i="8"/>
  <c r="AW9" i="8"/>
  <c r="BE14" i="8"/>
  <c r="BE71" i="8"/>
  <c r="BE50" i="8"/>
  <c r="BE94" i="8"/>
  <c r="BE88" i="8"/>
  <c r="BE39" i="8"/>
  <c r="BE42" i="8"/>
  <c r="BE10" i="8"/>
  <c r="BE87" i="8"/>
  <c r="BE65" i="8"/>
  <c r="BE27" i="8"/>
  <c r="BE101" i="8"/>
  <c r="BE26" i="8"/>
  <c r="BE54" i="8"/>
  <c r="BE100" i="8"/>
  <c r="BE86" i="8"/>
  <c r="BE82" i="8"/>
  <c r="BE70" i="8"/>
  <c r="BE59" i="8"/>
  <c r="BE28" i="8"/>
  <c r="BE51" i="8"/>
  <c r="I46" i="4"/>
  <c r="I77" i="4"/>
  <c r="I17" i="4"/>
  <c r="I49" i="4"/>
  <c r="I18" i="4"/>
  <c r="I48" i="4"/>
  <c r="I9" i="4"/>
  <c r="I19" i="4"/>
  <c r="CU89" i="8" l="1"/>
  <c r="AV89" i="4"/>
  <c r="F18" i="4"/>
  <c r="E18" i="4"/>
  <c r="G18" i="4"/>
  <c r="D18" i="4"/>
  <c r="C18" i="4"/>
  <c r="C53" i="4"/>
  <c r="D53" i="4"/>
  <c r="E53" i="4"/>
  <c r="G53" i="4"/>
  <c r="F53" i="4"/>
  <c r="E15" i="4"/>
  <c r="C15" i="4"/>
  <c r="G15" i="4"/>
  <c r="D15" i="4"/>
  <c r="F15" i="4"/>
  <c r="G60" i="4"/>
  <c r="C60" i="4"/>
  <c r="E60" i="4"/>
  <c r="D60" i="4"/>
  <c r="F60" i="4"/>
  <c r="C49" i="4"/>
  <c r="G49" i="4"/>
  <c r="E49" i="4"/>
  <c r="F49" i="4"/>
  <c r="D49" i="4"/>
  <c r="F41" i="4"/>
  <c r="D41" i="4"/>
  <c r="E41" i="4"/>
  <c r="C41" i="4"/>
  <c r="G41" i="4"/>
  <c r="E29" i="4"/>
  <c r="D29" i="4"/>
  <c r="C29" i="4"/>
  <c r="G29" i="4"/>
  <c r="F29" i="4"/>
  <c r="G46" i="4"/>
  <c r="C46" i="4"/>
  <c r="D46" i="4"/>
  <c r="E46" i="4"/>
  <c r="F46" i="4"/>
  <c r="C17" i="4"/>
  <c r="D17" i="4"/>
  <c r="G17" i="4"/>
  <c r="E17" i="4"/>
  <c r="F17" i="4"/>
  <c r="E19" i="4"/>
  <c r="F19" i="4"/>
  <c r="C19" i="4"/>
  <c r="D19" i="4"/>
  <c r="G19" i="4"/>
  <c r="D48" i="4"/>
  <c r="F48" i="4"/>
  <c r="E48" i="4"/>
  <c r="G48" i="4"/>
  <c r="C48" i="4"/>
  <c r="F43" i="4"/>
  <c r="G43" i="4"/>
  <c r="E43" i="4"/>
  <c r="C43" i="4"/>
  <c r="D43" i="4"/>
  <c r="C12" i="4"/>
  <c r="E12" i="4"/>
  <c r="D12" i="4"/>
  <c r="G12" i="4"/>
  <c r="F12" i="4"/>
  <c r="E77" i="4"/>
  <c r="D77" i="4"/>
  <c r="G77" i="4"/>
  <c r="C77" i="4"/>
  <c r="F77" i="4"/>
  <c r="G62" i="4"/>
  <c r="C62" i="4"/>
  <c r="E62" i="4"/>
  <c r="F62" i="4"/>
  <c r="D62" i="4"/>
  <c r="E16" i="4"/>
  <c r="F16" i="4"/>
  <c r="C16" i="4"/>
  <c r="G16" i="4"/>
  <c r="D16" i="4"/>
  <c r="F30" i="4"/>
  <c r="G30" i="4"/>
  <c r="E30" i="4"/>
  <c r="C30" i="4"/>
  <c r="D30" i="4"/>
  <c r="C68" i="4"/>
  <c r="G68" i="4"/>
  <c r="E68" i="4"/>
  <c r="F68" i="4"/>
  <c r="D68" i="4"/>
  <c r="C24" i="4"/>
  <c r="E24" i="4"/>
  <c r="D24" i="4"/>
  <c r="F24" i="4"/>
  <c r="G24" i="4"/>
  <c r="AW70" i="4"/>
  <c r="AW82" i="4"/>
  <c r="AW87" i="4"/>
  <c r="AW100" i="4"/>
  <c r="AV93" i="4"/>
  <c r="AV102" i="4"/>
  <c r="AW94" i="4"/>
  <c r="AW101" i="4"/>
  <c r="AV91" i="4"/>
  <c r="AV96" i="4"/>
  <c r="AV103" i="4"/>
  <c r="AV92" i="4"/>
  <c r="AV99" i="4"/>
  <c r="AV104" i="4"/>
  <c r="AV97" i="4"/>
  <c r="AV95" i="4"/>
  <c r="AV98" i="4"/>
  <c r="AW88" i="4"/>
  <c r="AV90" i="4"/>
  <c r="AW86" i="4"/>
  <c r="AV83" i="4"/>
  <c r="AV81" i="4"/>
  <c r="AV80" i="4"/>
  <c r="AW54" i="4"/>
  <c r="AV34" i="4"/>
  <c r="AW39" i="4"/>
  <c r="AW59" i="4"/>
  <c r="AW10" i="4"/>
  <c r="AV63" i="4"/>
  <c r="AW28" i="4"/>
  <c r="AU61" i="4"/>
  <c r="AV69" i="4"/>
  <c r="AW27" i="4"/>
  <c r="AU31" i="4"/>
  <c r="AW71" i="4"/>
  <c r="AW14" i="4"/>
  <c r="AW26" i="4"/>
  <c r="AW65" i="4"/>
  <c r="AV37" i="4"/>
  <c r="AV73" i="4"/>
  <c r="AW50" i="4"/>
  <c r="AW51" i="4"/>
  <c r="AW42" i="4"/>
  <c r="F9" i="4"/>
  <c r="G9" i="4"/>
  <c r="D9" i="4"/>
  <c r="C9" i="4"/>
  <c r="E9" i="4"/>
  <c r="AV23" i="4"/>
  <c r="AV44" i="4"/>
  <c r="BE89" i="8"/>
  <c r="BE80" i="8"/>
  <c r="BE76" i="8"/>
  <c r="BE92" i="8"/>
  <c r="BE23" i="8"/>
  <c r="BE99" i="8"/>
  <c r="BE75" i="8"/>
  <c r="BE84" i="8"/>
  <c r="BE97" i="8"/>
  <c r="BE81" i="8"/>
  <c r="BE93" i="8"/>
  <c r="BE90" i="8"/>
  <c r="BE95" i="8"/>
  <c r="BE34" i="8"/>
  <c r="BE91" i="8"/>
  <c r="BE35" i="8"/>
  <c r="BE98" i="8"/>
  <c r="BE44" i="8"/>
  <c r="BE83" i="8"/>
  <c r="BE63" i="8"/>
  <c r="BE96" i="8"/>
  <c r="BE69" i="8"/>
  <c r="BE40" i="8"/>
  <c r="BE102" i="8"/>
  <c r="BE37" i="8"/>
  <c r="BE103" i="8"/>
  <c r="BE104" i="8"/>
  <c r="BE73" i="8"/>
  <c r="I10" i="4"/>
  <c r="I86" i="4"/>
  <c r="I51" i="4"/>
  <c r="I82" i="4"/>
  <c r="I94" i="4"/>
  <c r="I100" i="4"/>
  <c r="I42" i="4"/>
  <c r="I87" i="4"/>
  <c r="I88" i="4"/>
  <c r="I14" i="4"/>
  <c r="I101" i="4"/>
  <c r="I27" i="4"/>
  <c r="AW89" i="4" l="1"/>
  <c r="E89" i="4" s="1"/>
  <c r="D70" i="4"/>
  <c r="G70" i="4"/>
  <c r="E70" i="4"/>
  <c r="F70" i="4"/>
  <c r="C70" i="4"/>
  <c r="D28" i="4"/>
  <c r="G28" i="4"/>
  <c r="C28" i="4"/>
  <c r="F28" i="4"/>
  <c r="E28" i="4"/>
  <c r="F27" i="4"/>
  <c r="E27" i="4"/>
  <c r="C27" i="4"/>
  <c r="D27" i="4"/>
  <c r="G27" i="4"/>
  <c r="C10" i="4"/>
  <c r="F10" i="4"/>
  <c r="D10" i="4"/>
  <c r="E10" i="4"/>
  <c r="G10" i="4"/>
  <c r="F42" i="4"/>
  <c r="C42" i="4"/>
  <c r="G42" i="4"/>
  <c r="D42" i="4"/>
  <c r="E42" i="4"/>
  <c r="E51" i="4"/>
  <c r="F51" i="4"/>
  <c r="D51" i="4"/>
  <c r="G51" i="4"/>
  <c r="C51" i="4"/>
  <c r="C50" i="4"/>
  <c r="D50" i="4"/>
  <c r="F50" i="4"/>
  <c r="G50" i="4"/>
  <c r="E50" i="4"/>
  <c r="E54" i="4"/>
  <c r="F54" i="4"/>
  <c r="D54" i="4"/>
  <c r="C54" i="4"/>
  <c r="G54" i="4"/>
  <c r="G101" i="4"/>
  <c r="F101" i="4"/>
  <c r="E101" i="4"/>
  <c r="D101" i="4"/>
  <c r="C101" i="4"/>
  <c r="C59" i="4"/>
  <c r="E59" i="4"/>
  <c r="G59" i="4"/>
  <c r="F59" i="4"/>
  <c r="D59" i="4"/>
  <c r="C39" i="4"/>
  <c r="E39" i="4"/>
  <c r="F39" i="4"/>
  <c r="G39" i="4"/>
  <c r="D39" i="4"/>
  <c r="G94" i="4"/>
  <c r="D94" i="4"/>
  <c r="E94" i="4"/>
  <c r="C94" i="4"/>
  <c r="F94" i="4"/>
  <c r="C65" i="4"/>
  <c r="G65" i="4"/>
  <c r="F65" i="4"/>
  <c r="E65" i="4"/>
  <c r="D65" i="4"/>
  <c r="G26" i="4"/>
  <c r="E26" i="4"/>
  <c r="D26" i="4"/>
  <c r="C26" i="4"/>
  <c r="F26" i="4"/>
  <c r="C14" i="4"/>
  <c r="E14" i="4"/>
  <c r="F14" i="4"/>
  <c r="G14" i="4"/>
  <c r="D14" i="4"/>
  <c r="G86" i="4"/>
  <c r="D86" i="4"/>
  <c r="C86" i="4"/>
  <c r="F86" i="4"/>
  <c r="E86" i="4"/>
  <c r="C100" i="4"/>
  <c r="F100" i="4"/>
  <c r="E100" i="4"/>
  <c r="D100" i="4"/>
  <c r="G100" i="4"/>
  <c r="D71" i="4"/>
  <c r="C71" i="4"/>
  <c r="F71" i="4"/>
  <c r="G71" i="4"/>
  <c r="E71" i="4"/>
  <c r="D87" i="4"/>
  <c r="G87" i="4"/>
  <c r="C87" i="4"/>
  <c r="E87" i="4"/>
  <c r="F87" i="4"/>
  <c r="G88" i="4"/>
  <c r="E88" i="4"/>
  <c r="F88" i="4"/>
  <c r="C88" i="4"/>
  <c r="D88" i="4"/>
  <c r="F82" i="4"/>
  <c r="G82" i="4"/>
  <c r="E82" i="4"/>
  <c r="C82" i="4"/>
  <c r="D82" i="4"/>
  <c r="AW76" i="4"/>
  <c r="AW75" i="4"/>
  <c r="AW98" i="4"/>
  <c r="AW95" i="4"/>
  <c r="AW97" i="4"/>
  <c r="AW104" i="4"/>
  <c r="AW99" i="4"/>
  <c r="AW92" i="4"/>
  <c r="AW103" i="4"/>
  <c r="AW96" i="4"/>
  <c r="AW91" i="4"/>
  <c r="AW102" i="4"/>
  <c r="AW93" i="4"/>
  <c r="AW90" i="4"/>
  <c r="AW84" i="4"/>
  <c r="AW83" i="4"/>
  <c r="AW81" i="4"/>
  <c r="AW80" i="4"/>
  <c r="AW35" i="4"/>
  <c r="AW34" i="4"/>
  <c r="AW63" i="4"/>
  <c r="AV61" i="4"/>
  <c r="AV31" i="4"/>
  <c r="AW69" i="4"/>
  <c r="AV78" i="4"/>
  <c r="AW73" i="4"/>
  <c r="AW37" i="4"/>
  <c r="AW40" i="4"/>
  <c r="AW23" i="4"/>
  <c r="AV20" i="4"/>
  <c r="AW44" i="4"/>
  <c r="BE31" i="8"/>
  <c r="BE78" i="8"/>
  <c r="BE20" i="8"/>
  <c r="BE61" i="8"/>
  <c r="I96" i="4"/>
  <c r="I99" i="4"/>
  <c r="I103" i="4"/>
  <c r="I91" i="4"/>
  <c r="I34" i="4"/>
  <c r="I80" i="4"/>
  <c r="I104" i="4"/>
  <c r="I75" i="4"/>
  <c r="I90" i="4"/>
  <c r="I95" i="4"/>
  <c r="I35" i="4"/>
  <c r="I63" i="4"/>
  <c r="I98" i="4"/>
  <c r="I92" i="4"/>
  <c r="I76" i="4"/>
  <c r="I97" i="4"/>
  <c r="I44" i="4"/>
  <c r="I102" i="4"/>
  <c r="I83" i="4"/>
  <c r="I84" i="4"/>
  <c r="I73" i="4"/>
  <c r="I81" i="4"/>
  <c r="I93" i="4"/>
  <c r="I89" i="4"/>
  <c r="G89" i="4" l="1"/>
  <c r="F89" i="4"/>
  <c r="C89" i="4"/>
  <c r="D89" i="4"/>
  <c r="F104" i="4"/>
  <c r="E104" i="4"/>
  <c r="G104" i="4"/>
  <c r="D104" i="4"/>
  <c r="C104" i="4"/>
  <c r="D63" i="4"/>
  <c r="F63" i="4"/>
  <c r="G63" i="4"/>
  <c r="C63" i="4"/>
  <c r="E63" i="4"/>
  <c r="C97" i="4"/>
  <c r="E97" i="4"/>
  <c r="F97" i="4"/>
  <c r="G97" i="4"/>
  <c r="D97" i="4"/>
  <c r="C34" i="4"/>
  <c r="D34" i="4"/>
  <c r="G34" i="4"/>
  <c r="E34" i="4"/>
  <c r="F34" i="4"/>
  <c r="G95" i="4"/>
  <c r="C95" i="4"/>
  <c r="F95" i="4"/>
  <c r="E95" i="4"/>
  <c r="D95" i="4"/>
  <c r="E35" i="4"/>
  <c r="G35" i="4"/>
  <c r="D35" i="4"/>
  <c r="C35" i="4"/>
  <c r="F35" i="4"/>
  <c r="D98" i="4"/>
  <c r="E98" i="4"/>
  <c r="F98" i="4"/>
  <c r="C98" i="4"/>
  <c r="G98" i="4"/>
  <c r="F99" i="4"/>
  <c r="E99" i="4"/>
  <c r="D99" i="4"/>
  <c r="G99" i="4"/>
  <c r="C99" i="4"/>
  <c r="D80" i="4"/>
  <c r="E80" i="4"/>
  <c r="F80" i="4"/>
  <c r="G80" i="4"/>
  <c r="C80" i="4"/>
  <c r="G75" i="4"/>
  <c r="C75" i="4"/>
  <c r="E75" i="4"/>
  <c r="F75" i="4"/>
  <c r="D75" i="4"/>
  <c r="C81" i="4"/>
  <c r="G81" i="4"/>
  <c r="F81" i="4"/>
  <c r="E81" i="4"/>
  <c r="D81" i="4"/>
  <c r="E76" i="4"/>
  <c r="G76" i="4"/>
  <c r="F76" i="4"/>
  <c r="D76" i="4"/>
  <c r="C76" i="4"/>
  <c r="C90" i="4"/>
  <c r="D90" i="4"/>
  <c r="G90" i="4"/>
  <c r="E90" i="4"/>
  <c r="F90" i="4"/>
  <c r="E23" i="4"/>
  <c r="F23" i="4"/>
  <c r="D23" i="4"/>
  <c r="G23" i="4"/>
  <c r="C23" i="4"/>
  <c r="D93" i="4"/>
  <c r="G93" i="4"/>
  <c r="E93" i="4"/>
  <c r="F93" i="4"/>
  <c r="C93" i="4"/>
  <c r="E40" i="4"/>
  <c r="D40" i="4"/>
  <c r="G40" i="4"/>
  <c r="F40" i="4"/>
  <c r="C40" i="4"/>
  <c r="C102" i="4"/>
  <c r="F102" i="4"/>
  <c r="E102" i="4"/>
  <c r="G102" i="4"/>
  <c r="D102" i="4"/>
  <c r="D83" i="4"/>
  <c r="F83" i="4"/>
  <c r="C83" i="4"/>
  <c r="G83" i="4"/>
  <c r="E83" i="4"/>
  <c r="F44" i="4"/>
  <c r="E44" i="4"/>
  <c r="G44" i="4"/>
  <c r="C44" i="4"/>
  <c r="D44" i="4"/>
  <c r="C37" i="4"/>
  <c r="D37" i="4"/>
  <c r="E37" i="4"/>
  <c r="F37" i="4"/>
  <c r="G37" i="4"/>
  <c r="C91" i="4"/>
  <c r="D91" i="4"/>
  <c r="E91" i="4"/>
  <c r="G91" i="4"/>
  <c r="F91" i="4"/>
  <c r="F73" i="4"/>
  <c r="E73" i="4"/>
  <c r="D73" i="4"/>
  <c r="G73" i="4"/>
  <c r="C73" i="4"/>
  <c r="C96" i="4"/>
  <c r="F96" i="4"/>
  <c r="G96" i="4"/>
  <c r="D96" i="4"/>
  <c r="E96" i="4"/>
  <c r="F103" i="4"/>
  <c r="G103" i="4"/>
  <c r="D103" i="4"/>
  <c r="E103" i="4"/>
  <c r="C103" i="4"/>
  <c r="G84" i="4"/>
  <c r="C84" i="4"/>
  <c r="D84" i="4"/>
  <c r="E84" i="4"/>
  <c r="F84" i="4"/>
  <c r="E69" i="4"/>
  <c r="G69" i="4"/>
  <c r="D69" i="4"/>
  <c r="C69" i="4"/>
  <c r="F69" i="4"/>
  <c r="D92" i="4"/>
  <c r="F92" i="4"/>
  <c r="G92" i="4"/>
  <c r="C92" i="4"/>
  <c r="E92" i="4"/>
  <c r="AW61" i="4"/>
  <c r="AW31" i="4"/>
  <c r="AW78" i="4"/>
  <c r="AW20" i="4"/>
  <c r="I78" i="4"/>
  <c r="I61" i="4"/>
  <c r="I31" i="4"/>
  <c r="I20" i="4"/>
  <c r="E20" i="4" l="1"/>
  <c r="C20" i="4"/>
  <c r="G20" i="4"/>
  <c r="D20" i="4"/>
  <c r="F20" i="4"/>
  <c r="F78" i="4"/>
  <c r="E78" i="4"/>
  <c r="G78" i="4"/>
  <c r="C78" i="4"/>
  <c r="D78" i="4"/>
  <c r="D31" i="4"/>
  <c r="C31" i="4"/>
  <c r="G31" i="4"/>
  <c r="E31" i="4"/>
  <c r="F31" i="4"/>
  <c r="D61" i="4"/>
  <c r="G61" i="4"/>
  <c r="C61" i="4"/>
  <c r="F61" i="4"/>
  <c r="E61" i="4"/>
  <c r="I58" i="4"/>
  <c r="I60" i="4"/>
  <c r="I41" i="4"/>
  <c r="I32" i="4"/>
  <c r="I53" i="4"/>
  <c r="I38" i="4"/>
  <c r="I55" i="4"/>
  <c r="I56" i="4"/>
  <c r="I67" i="4"/>
  <c r="I40" i="4"/>
  <c r="I23" i="4"/>
  <c r="I29" i="4"/>
  <c r="I71" i="4"/>
  <c r="I12" i="4"/>
  <c r="I39" i="4"/>
  <c r="AZ9" i="8" l="1"/>
  <c r="BC9" i="8"/>
  <c r="BB9" i="8"/>
  <c r="AY9" i="8"/>
  <c r="BA9" i="8"/>
  <c r="I54" i="4"/>
  <c r="I72" i="4"/>
  <c r="I70" i="4"/>
  <c r="I15" i="4"/>
  <c r="I64" i="4"/>
  <c r="I43" i="4"/>
  <c r="I65" i="4"/>
  <c r="I26" i="4"/>
  <c r="I57" i="4"/>
  <c r="I68" i="4"/>
  <c r="I22" i="4"/>
  <c r="I13" i="4"/>
  <c r="I28" i="4"/>
  <c r="I69" i="4"/>
  <c r="I50" i="4"/>
  <c r="I30" i="4"/>
  <c r="I62" i="4"/>
  <c r="I24" i="4"/>
  <c r="I59" i="4"/>
  <c r="I37" i="4"/>
  <c r="I16" i="4"/>
  <c r="E92" i="8" l="1"/>
  <c r="P491" i="8" s="1"/>
  <c r="P472" i="8" l="1"/>
  <c r="P487" i="8"/>
  <c r="P437" i="8"/>
  <c r="P446" i="8"/>
  <c r="P395" i="8"/>
  <c r="P404" i="8"/>
  <c r="P422" i="8"/>
  <c r="P390" i="8"/>
  <c r="P392" i="8"/>
  <c r="E91" i="8" l="1"/>
  <c r="P388" i="8" l="1"/>
  <c r="P385" i="8"/>
  <c r="P378" i="8"/>
  <c r="P383" i="8"/>
  <c r="E31" i="8" l="1"/>
  <c r="P364" i="8" l="1"/>
  <c r="P366" i="8"/>
  <c r="P368" i="8"/>
  <c r="E90" i="8"/>
  <c r="P376" i="8" l="1"/>
  <c r="P384" i="8"/>
  <c r="P377" i="8"/>
  <c r="P379" i="8"/>
  <c r="P381" i="8"/>
  <c r="E89" i="8" l="1"/>
  <c r="P352" i="8" l="1"/>
  <c r="P423" i="8"/>
  <c r="P342" i="8"/>
  <c r="P354" i="8"/>
  <c r="E87" i="8" l="1"/>
  <c r="P448" i="8" s="1"/>
  <c r="P396" i="8" l="1"/>
  <c r="P340" i="8"/>
  <c r="P351" i="8"/>
  <c r="P338" i="8"/>
  <c r="P343" i="8"/>
  <c r="E88" i="8" l="1"/>
  <c r="P494" i="8" s="1"/>
  <c r="P458" i="8" l="1"/>
  <c r="P471" i="8"/>
  <c r="P389" i="8"/>
  <c r="P350" i="8"/>
  <c r="P345" i="8"/>
  <c r="P348" i="8"/>
  <c r="P341" i="8"/>
  <c r="E86" i="8" l="1"/>
  <c r="P326" i="8" l="1"/>
  <c r="P321" i="8"/>
  <c r="P324" i="8"/>
  <c r="E85" i="8" l="1"/>
  <c r="P417" i="8" l="1"/>
  <c r="P325" i="8"/>
  <c r="P313" i="8"/>
  <c r="P317" i="8"/>
  <c r="P315" i="8"/>
  <c r="E12" i="8" l="1"/>
  <c r="E13" i="8"/>
  <c r="P452" i="8" s="1"/>
  <c r="E27" i="8"/>
  <c r="E33" i="8"/>
  <c r="E43" i="8"/>
  <c r="E45" i="8"/>
  <c r="E47" i="8"/>
  <c r="E52" i="8"/>
  <c r="E54" i="8"/>
  <c r="E74" i="8"/>
  <c r="E75" i="8"/>
  <c r="E76" i="8"/>
  <c r="E77" i="8"/>
  <c r="E78" i="8"/>
  <c r="E9" i="8"/>
  <c r="P480" i="8" l="1"/>
  <c r="P477" i="8"/>
  <c r="P482" i="8"/>
  <c r="P400" i="8"/>
  <c r="P369" i="8"/>
  <c r="P253" i="8"/>
  <c r="P249" i="8"/>
  <c r="P230" i="8"/>
  <c r="P120" i="8"/>
  <c r="P87" i="8"/>
  <c r="P36" i="8"/>
  <c r="E84" i="8"/>
  <c r="E83" i="8"/>
  <c r="E82" i="8"/>
  <c r="E81" i="8"/>
  <c r="E80" i="8"/>
  <c r="E79" i="8"/>
  <c r="P441" i="8" s="1"/>
  <c r="E73" i="8"/>
  <c r="E72" i="8"/>
  <c r="E71" i="8"/>
  <c r="E70" i="8"/>
  <c r="E69" i="8"/>
  <c r="E68" i="8"/>
  <c r="E67" i="8"/>
  <c r="E66" i="8"/>
  <c r="E65" i="8"/>
  <c r="E64" i="8"/>
  <c r="P456" i="8" s="1"/>
  <c r="E63" i="8"/>
  <c r="E62" i="8"/>
  <c r="E61" i="8"/>
  <c r="E60" i="8"/>
  <c r="E59" i="8"/>
  <c r="E58" i="8"/>
  <c r="E57" i="8"/>
  <c r="E56" i="8"/>
  <c r="E55" i="8"/>
  <c r="E53" i="8"/>
  <c r="E51" i="8"/>
  <c r="E50" i="8"/>
  <c r="E49" i="8"/>
  <c r="E48" i="8"/>
  <c r="E46" i="8"/>
  <c r="E44" i="8"/>
  <c r="E42" i="8"/>
  <c r="E41" i="8"/>
  <c r="E40" i="8"/>
  <c r="E39" i="8"/>
  <c r="E38" i="8"/>
  <c r="E37" i="8"/>
  <c r="E36" i="8"/>
  <c r="E35" i="8"/>
  <c r="E34" i="8"/>
  <c r="P478" i="8" s="1"/>
  <c r="E32" i="8"/>
  <c r="E30" i="8"/>
  <c r="P479" i="8" s="1"/>
  <c r="E29" i="8"/>
  <c r="E28" i="8"/>
  <c r="E26" i="8"/>
  <c r="E25" i="8"/>
  <c r="E24" i="8"/>
  <c r="E23" i="8"/>
  <c r="E22" i="8"/>
  <c r="P453" i="8" s="1"/>
  <c r="E21" i="8"/>
  <c r="P469" i="8" s="1"/>
  <c r="E20" i="8"/>
  <c r="E19" i="8"/>
  <c r="E18" i="8"/>
  <c r="E17" i="8"/>
  <c r="E16" i="8"/>
  <c r="E15" i="8"/>
  <c r="E14" i="8"/>
  <c r="P372" i="8"/>
  <c r="P323" i="8"/>
  <c r="P279" i="8"/>
  <c r="P358" i="8"/>
  <c r="P261" i="8"/>
  <c r="P137" i="8"/>
  <c r="P133" i="8"/>
  <c r="P129" i="8"/>
  <c r="P277" i="8"/>
  <c r="P280" i="8"/>
  <c r="P284" i="8"/>
  <c r="E11" i="8"/>
  <c r="E10" i="8"/>
  <c r="P474" i="8" l="1"/>
  <c r="P481" i="8"/>
  <c r="P394" i="8"/>
  <c r="P9" i="8"/>
  <c r="P429" i="8"/>
  <c r="P416" i="8"/>
  <c r="P399" i="8"/>
  <c r="P431" i="8"/>
  <c r="P398" i="8"/>
  <c r="P420" i="8"/>
  <c r="P13" i="8"/>
  <c r="P402" i="8"/>
  <c r="P419" i="8"/>
  <c r="P421" i="8"/>
  <c r="P427" i="8"/>
  <c r="P430" i="8"/>
  <c r="P414" i="8"/>
  <c r="P222" i="8"/>
  <c r="P228" i="8"/>
  <c r="P225" i="8"/>
  <c r="P410" i="8"/>
  <c r="P408" i="8"/>
  <c r="P424" i="8"/>
  <c r="P393" i="8"/>
  <c r="P426" i="8"/>
  <c r="P406" i="8"/>
  <c r="P199" i="8"/>
  <c r="P187" i="8"/>
  <c r="P84" i="8"/>
  <c r="P86" i="8"/>
  <c r="P78" i="8"/>
  <c r="P272" i="8"/>
  <c r="P318" i="8"/>
  <c r="P333" i="8"/>
  <c r="P237" i="8"/>
  <c r="P162" i="8"/>
  <c r="P213" i="8"/>
  <c r="P171" i="8"/>
  <c r="P194" i="8"/>
  <c r="P115" i="8"/>
  <c r="P46" i="8"/>
  <c r="P62" i="8"/>
  <c r="P89" i="8"/>
  <c r="P316" i="8"/>
  <c r="P244" i="8"/>
  <c r="P229" i="8"/>
  <c r="P176" i="8"/>
  <c r="P119" i="8"/>
  <c r="P37" i="8"/>
  <c r="P79" i="8"/>
  <c r="P82" i="8"/>
  <c r="P346" i="8"/>
  <c r="P296" i="8"/>
  <c r="P281" i="8"/>
  <c r="P271" i="8"/>
  <c r="P114" i="8"/>
  <c r="P110" i="8"/>
  <c r="P106" i="8"/>
  <c r="P27" i="8"/>
  <c r="P24" i="8"/>
  <c r="P10" i="8"/>
  <c r="P28" i="8"/>
  <c r="P23" i="8"/>
  <c r="P344" i="8"/>
  <c r="P329" i="8"/>
  <c r="P331" i="8"/>
  <c r="P335" i="8"/>
  <c r="P374" i="8"/>
  <c r="P362" i="8"/>
  <c r="P357" i="8"/>
  <c r="P359" i="8"/>
  <c r="P387" i="8"/>
  <c r="P375" i="8"/>
  <c r="P380" i="8"/>
  <c r="P373" i="8"/>
  <c r="P370" i="8"/>
  <c r="P327" i="8"/>
  <c r="P289" i="8"/>
  <c r="P182" i="8"/>
  <c r="P127" i="8"/>
  <c r="P50" i="8"/>
  <c r="P57" i="8"/>
  <c r="P65" i="8"/>
  <c r="P268" i="8"/>
  <c r="P282" i="8"/>
  <c r="P292" i="8"/>
  <c r="P207" i="8"/>
  <c r="P221" i="8"/>
  <c r="P159" i="8"/>
  <c r="P151" i="8"/>
  <c r="P130" i="8"/>
  <c r="P18" i="8"/>
  <c r="P40" i="8"/>
  <c r="P47" i="8"/>
  <c r="P257" i="8"/>
  <c r="P191" i="8"/>
  <c r="P238" i="8"/>
  <c r="P135" i="8"/>
  <c r="P56" i="8"/>
  <c r="P51" i="8"/>
  <c r="P54" i="8"/>
  <c r="P298" i="8"/>
  <c r="P263" i="8"/>
  <c r="P332" i="8"/>
  <c r="P301" i="8"/>
  <c r="P353" i="8"/>
  <c r="P190" i="8"/>
  <c r="P204" i="8"/>
  <c r="P223" i="8"/>
  <c r="P170" i="8"/>
  <c r="P186" i="8"/>
  <c r="P154" i="8"/>
  <c r="P109" i="8"/>
  <c r="P101" i="8"/>
  <c r="P60" i="8"/>
  <c r="P14" i="8"/>
  <c r="P322" i="8"/>
  <c r="P278" i="8"/>
  <c r="P247" i="8"/>
  <c r="P184" i="8"/>
  <c r="P198" i="8"/>
  <c r="P227" i="8"/>
  <c r="P128" i="8"/>
  <c r="P22" i="8"/>
  <c r="P59" i="8"/>
  <c r="P52" i="8"/>
  <c r="P310" i="8"/>
  <c r="P306" i="8"/>
  <c r="P308" i="8"/>
  <c r="P302" i="8"/>
  <c r="P299" i="8"/>
  <c r="P262" i="8"/>
  <c r="P266" i="8"/>
  <c r="P259" i="8"/>
  <c r="P311" i="8"/>
  <c r="P336" i="8"/>
  <c r="P355" i="8"/>
  <c r="P300" i="8"/>
  <c r="P305" i="8"/>
  <c r="P303" i="8"/>
  <c r="P192" i="8"/>
  <c r="P226" i="8"/>
  <c r="P131" i="8"/>
  <c r="P138" i="8"/>
  <c r="P85" i="8"/>
  <c r="P71" i="8"/>
  <c r="P98" i="8"/>
  <c r="P214" i="8"/>
  <c r="P218" i="8"/>
  <c r="P175" i="8"/>
  <c r="P143" i="8"/>
  <c r="P49" i="8"/>
  <c r="P34" i="8"/>
  <c r="P26" i="8"/>
  <c r="P38" i="8"/>
  <c r="P81" i="8"/>
  <c r="P367" i="8"/>
  <c r="P319" i="8"/>
  <c r="P208" i="8"/>
  <c r="P210" i="8"/>
  <c r="P212" i="8"/>
  <c r="P273" i="8"/>
  <c r="P275" i="8"/>
  <c r="P270" i="8"/>
  <c r="P361" i="8"/>
  <c r="P274" i="8"/>
  <c r="P245" i="8"/>
  <c r="P216" i="8"/>
  <c r="P142" i="8"/>
  <c r="P136" i="8"/>
  <c r="P35" i="8"/>
  <c r="P96" i="8"/>
  <c r="P16" i="8"/>
  <c r="P17" i="8"/>
  <c r="P347" i="8"/>
  <c r="P294" i="8"/>
  <c r="P234" i="8"/>
  <c r="P140" i="8"/>
  <c r="P150" i="8"/>
  <c r="P107" i="8"/>
  <c r="P53" i="8"/>
  <c r="P42" i="8"/>
  <c r="P43" i="8"/>
  <c r="P365" i="8"/>
  <c r="P293" i="8"/>
  <c r="P269" i="8"/>
  <c r="P241" i="8"/>
  <c r="P220" i="8"/>
  <c r="P156" i="8"/>
  <c r="P206" i="8"/>
  <c r="P188" i="8"/>
  <c r="P108" i="8"/>
  <c r="P147" i="8"/>
  <c r="P102" i="8"/>
  <c r="P31" i="8"/>
  <c r="P15" i="8"/>
  <c r="P288" i="8"/>
  <c r="P291" i="8"/>
  <c r="P295" i="8"/>
  <c r="P328" i="8"/>
  <c r="P276" i="8"/>
  <c r="P195" i="8"/>
  <c r="P236" i="8"/>
  <c r="P168" i="8"/>
  <c r="P158" i="8"/>
  <c r="P146" i="8"/>
  <c r="P111" i="8"/>
  <c r="P123" i="8"/>
  <c r="P69" i="8"/>
  <c r="P70" i="8"/>
  <c r="P63" i="8"/>
  <c r="P240" i="8"/>
  <c r="P160" i="8"/>
  <c r="P180" i="8"/>
  <c r="P172" i="8"/>
  <c r="P124" i="8"/>
  <c r="P39" i="8"/>
  <c r="P68" i="8"/>
  <c r="P92" i="8"/>
  <c r="P88" i="8"/>
  <c r="P76" i="8"/>
  <c r="P91" i="8"/>
  <c r="P25" i="8"/>
  <c r="P30" i="8"/>
  <c r="P66" i="8"/>
  <c r="P19" i="8"/>
  <c r="P265" i="8"/>
  <c r="P165" i="8"/>
  <c r="P169" i="8"/>
  <c r="P173" i="8"/>
  <c r="P201" i="8"/>
  <c r="P205" i="8"/>
  <c r="P203" i="8"/>
  <c r="P330" i="8"/>
  <c r="P77" i="8"/>
  <c r="P32" i="8"/>
  <c r="P75" i="8"/>
  <c r="P20" i="8"/>
  <c r="P304" i="8"/>
  <c r="P312" i="8"/>
  <c r="P233" i="8"/>
  <c r="P178" i="8"/>
  <c r="P166" i="8"/>
  <c r="P155" i="8"/>
  <c r="P113" i="8"/>
  <c r="P148" i="8"/>
  <c r="P122" i="8"/>
  <c r="P100" i="8"/>
  <c r="P67" i="8"/>
  <c r="P72" i="8"/>
  <c r="P99" i="8"/>
  <c r="P44" i="8"/>
  <c r="P334" i="8"/>
  <c r="P267" i="8"/>
  <c r="P224" i="8"/>
  <c r="P164" i="8"/>
  <c r="P112" i="8"/>
  <c r="P74" i="8"/>
  <c r="P41" i="8"/>
  <c r="P73" i="8"/>
  <c r="P283" i="8"/>
  <c r="P242" i="8"/>
  <c r="P152" i="8"/>
  <c r="P116" i="8"/>
  <c r="P132" i="8"/>
  <c r="P139" i="8"/>
  <c r="P48" i="8"/>
  <c r="P83" i="8"/>
  <c r="P254" i="8"/>
  <c r="P200" i="8"/>
  <c r="P11" i="8"/>
  <c r="P93" i="8"/>
  <c r="P29" i="8"/>
  <c r="P356" i="8"/>
  <c r="P264" i="8"/>
  <c r="P307" i="8"/>
  <c r="P209" i="8"/>
  <c r="P196" i="8"/>
  <c r="P174" i="8"/>
  <c r="P163" i="8"/>
  <c r="P117" i="8"/>
  <c r="P61" i="8"/>
  <c r="P64" i="8"/>
  <c r="P97" i="8"/>
  <c r="P55" i="8"/>
  <c r="P94" i="8"/>
  <c r="P141" i="8"/>
  <c r="P149" i="8"/>
  <c r="P145" i="8"/>
  <c r="P286" i="8"/>
  <c r="P125" i="8"/>
  <c r="P121" i="8"/>
  <c r="P118" i="8"/>
  <c r="P360" i="8"/>
  <c r="P217" i="8"/>
  <c r="P215" i="8"/>
  <c r="P219" i="8"/>
  <c r="P371" i="8"/>
  <c r="P309" i="8"/>
  <c r="P211" i="8"/>
  <c r="P232" i="8"/>
  <c r="P179" i="8"/>
  <c r="P134" i="8"/>
  <c r="P103" i="8"/>
  <c r="P45" i="8"/>
  <c r="P21" i="8"/>
  <c r="P256" i="8"/>
  <c r="P144" i="8"/>
  <c r="P105" i="8"/>
  <c r="P33" i="8"/>
  <c r="P90" i="8"/>
  <c r="P251" i="8"/>
  <c r="P297" i="8"/>
  <c r="P183" i="8"/>
  <c r="P126" i="8"/>
  <c r="P58" i="8"/>
  <c r="P95" i="8"/>
  <c r="P80" i="8"/>
  <c r="P258" i="8"/>
  <c r="P290" i="8"/>
  <c r="P181" i="8"/>
  <c r="P185" i="8"/>
  <c r="P177" i="8"/>
  <c r="P363" i="8"/>
  <c r="P260" i="8"/>
  <c r="P320" i="8"/>
  <c r="P202" i="8"/>
  <c r="P167" i="8"/>
  <c r="P104" i="8"/>
  <c r="P12" i="8"/>
  <c r="P153" i="8"/>
  <c r="P161" i="8"/>
  <c r="P157" i="8"/>
  <c r="P349" i="8"/>
  <c r="P337" i="8"/>
  <c r="P339" i="8"/>
  <c r="P189" i="8"/>
  <c r="P193" i="8"/>
  <c r="P197" i="8"/>
  <c r="P386" i="8"/>
  <c r="P382" i="8"/>
  <c r="P239" i="8"/>
  <c r="P235" i="8"/>
  <c r="P231" i="8"/>
  <c r="P314" i="8"/>
  <c r="P285" i="8"/>
  <c r="P248" i="8"/>
  <c r="P243" i="8"/>
  <c r="P246" i="8"/>
  <c r="P252" i="8"/>
  <c r="P255" i="8"/>
  <c r="P250" i="8"/>
  <c r="P287" i="8"/>
  <c r="E100" i="8" l="1"/>
  <c r="P440" i="8" l="1"/>
  <c r="P438" i="8"/>
  <c r="P436" i="8"/>
  <c r="E99" i="8" l="1"/>
  <c r="P432" i="8" l="1"/>
  <c r="P495" i="8"/>
  <c r="P434" i="8"/>
  <c r="P428" i="8"/>
</calcChain>
</file>

<file path=xl/sharedStrings.xml><?xml version="1.0" encoding="utf-8"?>
<sst xmlns="http://schemas.openxmlformats.org/spreadsheetml/2006/main" count="1305" uniqueCount="514">
  <si>
    <t>属性改变</t>
    <phoneticPr fontId="2" type="noConversion"/>
  </si>
  <si>
    <t>暴击</t>
    <phoneticPr fontId="2" type="noConversion"/>
  </si>
  <si>
    <t>命中</t>
    <phoneticPr fontId="2" type="noConversion"/>
  </si>
  <si>
    <t>韧劲</t>
    <phoneticPr fontId="2" type="noConversion"/>
  </si>
  <si>
    <t>闪避</t>
    <phoneticPr fontId="2" type="noConversion"/>
  </si>
  <si>
    <t>攻击</t>
    <phoneticPr fontId="2" type="noConversion"/>
  </si>
  <si>
    <t>血量</t>
    <phoneticPr fontId="2" type="noConversion"/>
  </si>
  <si>
    <t>改变效果</t>
    <phoneticPr fontId="2" type="noConversion"/>
  </si>
  <si>
    <t>固定值</t>
    <phoneticPr fontId="2" type="noConversion"/>
  </si>
  <si>
    <t>百分比</t>
    <phoneticPr fontId="2" type="noConversion"/>
  </si>
  <si>
    <t>羁绊等级影响</t>
    <phoneticPr fontId="2" type="noConversion"/>
  </si>
  <si>
    <t>等级</t>
    <phoneticPr fontId="2" type="noConversion"/>
  </si>
  <si>
    <t>效果</t>
    <phoneticPr fontId="2" type="noConversion"/>
  </si>
  <si>
    <t>暴击羁绊举例：</t>
    <phoneticPr fontId="2" type="noConversion"/>
  </si>
  <si>
    <t>解锁条件</t>
    <phoneticPr fontId="2" type="noConversion"/>
  </si>
  <si>
    <t>集齐</t>
    <phoneticPr fontId="2" type="noConversion"/>
  </si>
  <si>
    <t>羁绊传记副本1</t>
    <phoneticPr fontId="2" type="noConversion"/>
  </si>
  <si>
    <t>羁绊传记副本2</t>
  </si>
  <si>
    <t>羁绊传记副本3</t>
  </si>
  <si>
    <t>羁绊传记副本4</t>
  </si>
  <si>
    <t>梯度划分</t>
    <phoneticPr fontId="2" type="noConversion"/>
  </si>
  <si>
    <t>品质</t>
    <phoneticPr fontId="2" type="noConversion"/>
  </si>
  <si>
    <t>红</t>
    <phoneticPr fontId="2" type="noConversion"/>
  </si>
  <si>
    <t>橙</t>
    <phoneticPr fontId="2" type="noConversion"/>
  </si>
  <si>
    <t>紫</t>
    <phoneticPr fontId="2" type="noConversion"/>
  </si>
  <si>
    <t>蓝</t>
    <phoneticPr fontId="2" type="noConversion"/>
  </si>
  <si>
    <t>羁绊数量</t>
    <phoneticPr fontId="2" type="noConversion"/>
  </si>
  <si>
    <t>提高10%</t>
    <phoneticPr fontId="2" type="noConversion"/>
  </si>
  <si>
    <t>提高25%</t>
    <phoneticPr fontId="2" type="noConversion"/>
  </si>
  <si>
    <t>提高40%</t>
    <phoneticPr fontId="2" type="noConversion"/>
  </si>
  <si>
    <t>提高80%</t>
    <phoneticPr fontId="2" type="noConversion"/>
  </si>
  <si>
    <t>羁绊总效用</t>
    <phoneticPr fontId="2" type="noConversion"/>
  </si>
  <si>
    <t>举例</t>
    <phoneticPr fontId="2" type="noConversion"/>
  </si>
  <si>
    <t>桃园结义羁绊</t>
    <phoneticPr fontId="2" type="noConversion"/>
  </si>
  <si>
    <t>武将</t>
    <phoneticPr fontId="2" type="noConversion"/>
  </si>
  <si>
    <t>加成内容</t>
    <phoneticPr fontId="2" type="noConversion"/>
  </si>
  <si>
    <t>加成值</t>
    <phoneticPr fontId="2" type="noConversion"/>
  </si>
  <si>
    <t>刘备</t>
    <phoneticPr fontId="2" type="noConversion"/>
  </si>
  <si>
    <t>关羽</t>
    <phoneticPr fontId="2" type="noConversion"/>
  </si>
  <si>
    <t>张飞</t>
    <phoneticPr fontId="2" type="noConversion"/>
  </si>
  <si>
    <t>存在的其他羁绊数量</t>
    <phoneticPr fontId="2" type="noConversion"/>
  </si>
  <si>
    <t>武将羁绊属性改变需求</t>
    <phoneticPr fontId="2" type="noConversion"/>
  </si>
  <si>
    <t>2~4</t>
    <phoneticPr fontId="2" type="noConversion"/>
  </si>
  <si>
    <t>2~3</t>
    <phoneticPr fontId="2" type="noConversion"/>
  </si>
  <si>
    <t>2~5</t>
    <phoneticPr fontId="2" type="noConversion"/>
  </si>
  <si>
    <t>1~3</t>
    <phoneticPr fontId="2" type="noConversion"/>
  </si>
  <si>
    <t>西施</t>
  </si>
  <si>
    <t>魏无忌</t>
  </si>
  <si>
    <t>白起</t>
  </si>
  <si>
    <t>廉颇</t>
  </si>
  <si>
    <t>聂荌</t>
  </si>
  <si>
    <t>骊姬</t>
  </si>
  <si>
    <t>专诸</t>
  </si>
  <si>
    <t>义渠骇</t>
  </si>
  <si>
    <t>养由基</t>
  </si>
  <si>
    <t>吴起</t>
  </si>
  <si>
    <t>王翦</t>
  </si>
  <si>
    <t>李牧</t>
  </si>
  <si>
    <t>钟无艳</t>
  </si>
  <si>
    <t>田单</t>
  </si>
  <si>
    <t>司马错</t>
  </si>
  <si>
    <t>乐毅</t>
  </si>
  <si>
    <t>荆轲</t>
  </si>
  <si>
    <t>朱亥</t>
  </si>
  <si>
    <t>屈原</t>
  </si>
  <si>
    <t>吕不韦</t>
  </si>
  <si>
    <t>庞涓</t>
  </si>
  <si>
    <t>扁鹊</t>
  </si>
  <si>
    <t>欧冶子</t>
  </si>
  <si>
    <t>邹衍</t>
  </si>
  <si>
    <t>苏秦</t>
  </si>
  <si>
    <t>伍子胥</t>
  </si>
  <si>
    <t>项燕</t>
  </si>
  <si>
    <t>鲁班</t>
  </si>
  <si>
    <t>嫪毐</t>
  </si>
  <si>
    <t>田忌</t>
  </si>
  <si>
    <t>莫邪</t>
  </si>
  <si>
    <t>西门豹</t>
  </si>
  <si>
    <t>范雎</t>
  </si>
  <si>
    <t>褒姒</t>
  </si>
  <si>
    <t>鲍叔牙</t>
  </si>
  <si>
    <t>孟子</t>
  </si>
  <si>
    <t>韩非子</t>
  </si>
  <si>
    <t>墨子</t>
  </si>
  <si>
    <t>孙膑</t>
  </si>
  <si>
    <t>勾践</t>
  </si>
  <si>
    <t>蔺相如</t>
  </si>
  <si>
    <t>司马穰苴</t>
  </si>
  <si>
    <t>鬼谷子</t>
  </si>
  <si>
    <t>孔丘</t>
  </si>
  <si>
    <t>老子</t>
  </si>
  <si>
    <t>孙武</t>
  </si>
  <si>
    <t>孙叔敖</t>
  </si>
  <si>
    <t>干将</t>
  </si>
  <si>
    <t>管仲</t>
  </si>
  <si>
    <t>范蠡</t>
  </si>
  <si>
    <t>赵奢</t>
  </si>
  <si>
    <t>樗里疾</t>
  </si>
  <si>
    <t>名称</t>
    <phoneticPr fontId="2" type="noConversion"/>
  </si>
  <si>
    <t>序号</t>
    <phoneticPr fontId="2" type="noConversion"/>
  </si>
  <si>
    <t>颜色</t>
    <phoneticPr fontId="2" type="noConversion"/>
  </si>
  <si>
    <t>羁绊1</t>
    <phoneticPr fontId="2" type="noConversion"/>
  </si>
  <si>
    <t>羁绊名称</t>
    <phoneticPr fontId="2" type="noConversion"/>
  </si>
  <si>
    <t>影响武将</t>
    <phoneticPr fontId="2" type="noConversion"/>
  </si>
  <si>
    <t>羁绊2</t>
  </si>
  <si>
    <t>羁绊3</t>
  </si>
  <si>
    <t>基础属性与额外属性占比1:1</t>
    <phoneticPr fontId="2" type="noConversion"/>
  </si>
  <si>
    <t>暴击伤害为150%</t>
    <phoneticPr fontId="2" type="noConversion"/>
  </si>
  <si>
    <t>默认认为，暴击率为0，命中率为1</t>
    <phoneticPr fontId="2" type="noConversion"/>
  </si>
  <si>
    <t xml:space="preserve"> </t>
    <phoneticPr fontId="2" type="noConversion"/>
  </si>
  <si>
    <t>羁绊4</t>
  </si>
  <si>
    <t>伯乐</t>
  </si>
  <si>
    <t>申不害</t>
  </si>
  <si>
    <t>羁绊统计</t>
    <phoneticPr fontId="2" type="noConversion"/>
  </si>
  <si>
    <t>判定符</t>
    <phoneticPr fontId="4" type="noConversion"/>
  </si>
  <si>
    <t>品质</t>
    <phoneticPr fontId="4" type="noConversion"/>
  </si>
  <si>
    <t>序号</t>
    <phoneticPr fontId="4" type="noConversion"/>
  </si>
  <si>
    <t>需求武将1</t>
    <phoneticPr fontId="4" type="noConversion"/>
  </si>
  <si>
    <t>需求武将2</t>
  </si>
  <si>
    <t>需求武将3</t>
  </si>
  <si>
    <t>需求武将4</t>
  </si>
  <si>
    <t>羁绊1</t>
    <phoneticPr fontId="4" type="noConversion"/>
  </si>
  <si>
    <t>羁绊2</t>
    <phoneticPr fontId="4" type="noConversion"/>
  </si>
  <si>
    <t>羁绊3</t>
    <phoneticPr fontId="4" type="noConversion"/>
  </si>
  <si>
    <t>羁绊4</t>
    <phoneticPr fontId="4" type="noConversion"/>
  </si>
  <si>
    <t>需求武将</t>
    <phoneticPr fontId="4" type="noConversion"/>
  </si>
  <si>
    <t>实际需求武将类型统计</t>
    <phoneticPr fontId="4" type="noConversion"/>
  </si>
  <si>
    <t>绿</t>
    <phoneticPr fontId="4" type="noConversion"/>
  </si>
  <si>
    <t>蓝</t>
    <phoneticPr fontId="4" type="noConversion"/>
  </si>
  <si>
    <t>紫</t>
    <phoneticPr fontId="4" type="noConversion"/>
  </si>
  <si>
    <t>橙</t>
    <phoneticPr fontId="4" type="noConversion"/>
  </si>
  <si>
    <t>红</t>
    <phoneticPr fontId="4" type="noConversion"/>
  </si>
  <si>
    <t>包含自身，解锁羁绊需求卡品质</t>
    <phoneticPr fontId="4" type="noConversion"/>
  </si>
  <si>
    <t>女中豪杰</t>
  </si>
  <si>
    <t>红颜祸水</t>
  </si>
  <si>
    <t>敢死之士</t>
  </si>
  <si>
    <t>羁绊5</t>
  </si>
  <si>
    <t>羁绊6</t>
  </si>
  <si>
    <t>羁绊7</t>
  </si>
  <si>
    <t>羁绊8</t>
  </si>
  <si>
    <t>羁绊5</t>
    <phoneticPr fontId="4" type="noConversion"/>
  </si>
  <si>
    <t>羁绊6</t>
    <phoneticPr fontId="4" type="noConversion"/>
  </si>
  <si>
    <t>羁绊7</t>
    <phoneticPr fontId="4" type="noConversion"/>
  </si>
  <si>
    <t>羁绊8</t>
    <phoneticPr fontId="4" type="noConversion"/>
  </si>
  <si>
    <t>力敌万夫</t>
  </si>
  <si>
    <t>平定蜀乱</t>
  </si>
  <si>
    <t>问鼎之心</t>
  </si>
  <si>
    <t>百业翘楚</t>
  </si>
  <si>
    <t>出将入相</t>
  </si>
  <si>
    <t>君圣臣贤</t>
  </si>
  <si>
    <t>国破家亡</t>
  </si>
  <si>
    <t>御敌于国</t>
  </si>
  <si>
    <t>穷兵黩武</t>
  </si>
  <si>
    <t>开疆扩土</t>
  </si>
  <si>
    <t>秦开</t>
  </si>
  <si>
    <t>东征西讨</t>
  </si>
  <si>
    <t>暴鸢</t>
  </si>
  <si>
    <t>严刑峻法</t>
  </si>
  <si>
    <t>进献奇人</t>
  </si>
  <si>
    <t>口舌之利</t>
  </si>
  <si>
    <t>颠沛流离</t>
  </si>
  <si>
    <t>破秦勇将</t>
  </si>
  <si>
    <t>田忌赛马</t>
  </si>
  <si>
    <t>棋逢对手</t>
  </si>
  <si>
    <t>人文之士</t>
  </si>
  <si>
    <t>齐国宗室</t>
  </si>
  <si>
    <t>治水修渠</t>
  </si>
  <si>
    <t>江湖豪侠</t>
  </si>
  <si>
    <t>针锋相对</t>
  </si>
  <si>
    <t>慧眼识人</t>
  </si>
  <si>
    <t>百战名将</t>
  </si>
  <si>
    <t>权倾朝野</t>
  </si>
  <si>
    <t>富国强兵</t>
  </si>
  <si>
    <t>忍辱负重</t>
  </si>
  <si>
    <t>巾帼英雄</t>
  </si>
  <si>
    <t>南征北战</t>
  </si>
  <si>
    <t>东夷西戎</t>
  </si>
  <si>
    <t>门客三千</t>
  </si>
  <si>
    <t>神兵利刃</t>
  </si>
  <si>
    <t>有死无生</t>
  </si>
  <si>
    <t>乘胜追击</t>
  </si>
  <si>
    <t>建功立业</t>
  </si>
  <si>
    <t>身不由己</t>
  </si>
  <si>
    <t>赢荡</t>
  </si>
  <si>
    <t>楚庄王</t>
  </si>
  <si>
    <t>樗里祭</t>
  </si>
  <si>
    <t>春申君</t>
  </si>
  <si>
    <t>敢死之士</t>
    <phoneticPr fontId="2" type="noConversion"/>
  </si>
  <si>
    <t/>
  </si>
  <si>
    <t>樗里疾</t>
    <phoneticPr fontId="4" type="noConversion"/>
  </si>
  <si>
    <t>羁绊分配</t>
    <phoneticPr fontId="4" type="noConversion"/>
  </si>
  <si>
    <t>秦武王</t>
  </si>
  <si>
    <t>秦始皇</t>
  </si>
  <si>
    <t>孟尝君</t>
  </si>
  <si>
    <t>齐桓公</t>
  </si>
  <si>
    <t>平原君</t>
  </si>
  <si>
    <t>信陵君</t>
  </si>
  <si>
    <t>晋文公</t>
  </si>
  <si>
    <t>秦武王</t>
    <phoneticPr fontId="4" type="noConversion"/>
  </si>
  <si>
    <t>楚庄王</t>
    <phoneticPr fontId="4" type="noConversion"/>
  </si>
  <si>
    <t>春申君</t>
    <phoneticPr fontId="4" type="noConversion"/>
  </si>
  <si>
    <t>判定符号码库</t>
    <phoneticPr fontId="2" type="noConversion"/>
  </si>
  <si>
    <t>拥有的羁绊</t>
    <phoneticPr fontId="2" type="noConversion"/>
  </si>
  <si>
    <t>羁绊1需求武将</t>
    <phoneticPr fontId="4" type="noConversion"/>
  </si>
  <si>
    <t>羁绊2需求武将</t>
    <phoneticPr fontId="4" type="noConversion"/>
  </si>
  <si>
    <t>拥有的具体羁绊</t>
    <phoneticPr fontId="2" type="noConversion"/>
  </si>
  <si>
    <t>羁绊3需求武将</t>
    <phoneticPr fontId="4" type="noConversion"/>
  </si>
  <si>
    <t>羁绊4需求武将</t>
    <phoneticPr fontId="4" type="noConversion"/>
  </si>
  <si>
    <t>羁绊5需求武将</t>
    <phoneticPr fontId="4" type="noConversion"/>
  </si>
  <si>
    <t>羁绊6需求武将</t>
    <phoneticPr fontId="4" type="noConversion"/>
  </si>
  <si>
    <t>羁绊7需求武将</t>
    <phoneticPr fontId="4" type="noConversion"/>
  </si>
  <si>
    <t>羁绊8需求武将</t>
    <phoneticPr fontId="4" type="noConversion"/>
  </si>
  <si>
    <t>优国忘身</t>
    <phoneticPr fontId="2" type="noConversion"/>
  </si>
  <si>
    <t>屈原</t>
    <phoneticPr fontId="2" type="noConversion"/>
  </si>
  <si>
    <t>生死予夺</t>
    <phoneticPr fontId="2" type="noConversion"/>
  </si>
  <si>
    <t>吕不韦</t>
    <phoneticPr fontId="2" type="noConversion"/>
  </si>
  <si>
    <t>莫邪</t>
    <phoneticPr fontId="2" type="noConversion"/>
  </si>
  <si>
    <t>报仇雪耻</t>
    <phoneticPr fontId="2" type="noConversion"/>
  </si>
  <si>
    <t>孙膑</t>
    <phoneticPr fontId="2" type="noConversion"/>
  </si>
  <si>
    <t>伍子胥</t>
    <phoneticPr fontId="2" type="noConversion"/>
  </si>
  <si>
    <t>扁鹊</t>
    <phoneticPr fontId="2" type="noConversion"/>
  </si>
  <si>
    <t>赵括</t>
  </si>
  <si>
    <t>赵括</t>
    <phoneticPr fontId="2" type="noConversion"/>
  </si>
  <si>
    <t>赵括</t>
    <phoneticPr fontId="2" type="noConversion"/>
  </si>
  <si>
    <t>欧冶子</t>
    <phoneticPr fontId="2" type="noConversion"/>
  </si>
  <si>
    <t>一展身手</t>
  </si>
  <si>
    <t>一展身手</t>
    <phoneticPr fontId="2" type="noConversion"/>
  </si>
  <si>
    <t>优国忘身</t>
  </si>
  <si>
    <t>生死予夺</t>
  </si>
  <si>
    <t>报仇雪耻</t>
  </si>
  <si>
    <t>苏秦</t>
    <phoneticPr fontId="2" type="noConversion"/>
  </si>
  <si>
    <t>著书立说</t>
    <phoneticPr fontId="2" type="noConversion"/>
  </si>
  <si>
    <t>吴起</t>
    <phoneticPr fontId="2" type="noConversion"/>
  </si>
  <si>
    <t>司马穰苴</t>
    <phoneticPr fontId="2" type="noConversion"/>
  </si>
  <si>
    <t>孙膑</t>
    <phoneticPr fontId="2" type="noConversion"/>
  </si>
  <si>
    <t>吕不韦</t>
    <phoneticPr fontId="2" type="noConversion"/>
  </si>
  <si>
    <t>变法强国</t>
    <phoneticPr fontId="2" type="noConversion"/>
  </si>
  <si>
    <t>吴起</t>
    <phoneticPr fontId="2" type="noConversion"/>
  </si>
  <si>
    <t>屈原</t>
    <phoneticPr fontId="2" type="noConversion"/>
  </si>
  <si>
    <t>申不害</t>
    <phoneticPr fontId="2" type="noConversion"/>
  </si>
  <si>
    <t>韩非子</t>
    <phoneticPr fontId="2" type="noConversion"/>
  </si>
  <si>
    <t>大权在握</t>
    <phoneticPr fontId="2" type="noConversion"/>
  </si>
  <si>
    <t>信陵君</t>
    <phoneticPr fontId="2" type="noConversion"/>
  </si>
  <si>
    <t>乐毅</t>
    <phoneticPr fontId="2" type="noConversion"/>
  </si>
  <si>
    <t>苏秦</t>
    <phoneticPr fontId="2" type="noConversion"/>
  </si>
  <si>
    <t>红颜薄命</t>
    <phoneticPr fontId="2" type="noConversion"/>
  </si>
  <si>
    <t>国破家亡</t>
    <phoneticPr fontId="2" type="noConversion"/>
  </si>
  <si>
    <t>英雄美人</t>
    <phoneticPr fontId="2" type="noConversion"/>
  </si>
  <si>
    <t>褒姒</t>
    <phoneticPr fontId="2" type="noConversion"/>
  </si>
  <si>
    <t>西施</t>
    <phoneticPr fontId="2" type="noConversion"/>
  </si>
  <si>
    <t>骊姬</t>
    <phoneticPr fontId="2" type="noConversion"/>
  </si>
  <si>
    <t>项燕</t>
    <phoneticPr fontId="2" type="noConversion"/>
  </si>
  <si>
    <t>勾践</t>
    <phoneticPr fontId="2" type="noConversion"/>
  </si>
  <si>
    <t>楚庄王</t>
    <phoneticPr fontId="2" type="noConversion"/>
  </si>
  <si>
    <t>秦武王</t>
    <phoneticPr fontId="2" type="noConversion"/>
  </si>
  <si>
    <t>廉颇</t>
    <phoneticPr fontId="2" type="noConversion"/>
  </si>
  <si>
    <t>蔺相如</t>
    <phoneticPr fontId="2" type="noConversion"/>
  </si>
  <si>
    <t>田单</t>
    <phoneticPr fontId="2" type="noConversion"/>
  </si>
  <si>
    <t>老当益壮</t>
    <phoneticPr fontId="2" type="noConversion"/>
  </si>
  <si>
    <t>国之柱石</t>
    <phoneticPr fontId="2" type="noConversion"/>
  </si>
  <si>
    <t>司马错</t>
    <phoneticPr fontId="2" type="noConversion"/>
  </si>
  <si>
    <t>樗里疾</t>
    <phoneticPr fontId="2" type="noConversion"/>
  </si>
  <si>
    <t>出类拔萃</t>
    <phoneticPr fontId="2" type="noConversion"/>
  </si>
  <si>
    <t>为国为民</t>
    <phoneticPr fontId="2" type="noConversion"/>
  </si>
  <si>
    <t>攻守相济</t>
    <phoneticPr fontId="2" type="noConversion"/>
  </si>
  <si>
    <t>墨子</t>
    <phoneticPr fontId="2" type="noConversion"/>
  </si>
  <si>
    <t>伯乐</t>
    <phoneticPr fontId="2" type="noConversion"/>
  </si>
  <si>
    <t>田单</t>
    <phoneticPr fontId="2" type="noConversion"/>
  </si>
  <si>
    <t>乐毅</t>
    <phoneticPr fontId="2" type="noConversion"/>
  </si>
  <si>
    <t>樗里疾</t>
    <phoneticPr fontId="2" type="noConversion"/>
  </si>
  <si>
    <t>兴国安邦</t>
    <phoneticPr fontId="2" type="noConversion"/>
  </si>
  <si>
    <t>赵括</t>
    <phoneticPr fontId="2" type="noConversion"/>
  </si>
  <si>
    <t>权力之路</t>
    <phoneticPr fontId="2" type="noConversion"/>
  </si>
  <si>
    <t>功高震主</t>
    <phoneticPr fontId="2" type="noConversion"/>
  </si>
  <si>
    <t>一人之下</t>
    <phoneticPr fontId="2" type="noConversion"/>
  </si>
  <si>
    <t>韩非子</t>
    <phoneticPr fontId="2" type="noConversion"/>
  </si>
  <si>
    <t>孙膑</t>
    <phoneticPr fontId="2" type="noConversion"/>
  </si>
  <si>
    <t>信陵君</t>
    <phoneticPr fontId="2" type="noConversion"/>
  </si>
  <si>
    <t>典藏吕不韦</t>
    <phoneticPr fontId="2" type="noConversion"/>
  </si>
  <si>
    <t>辅佐奇才</t>
    <phoneticPr fontId="2" type="noConversion"/>
  </si>
  <si>
    <t>国之栋梁</t>
    <phoneticPr fontId="2" type="noConversion"/>
  </si>
  <si>
    <t>退避三舍</t>
    <phoneticPr fontId="2" type="noConversion"/>
  </si>
  <si>
    <t>晋文公</t>
    <phoneticPr fontId="2" type="noConversion"/>
  </si>
  <si>
    <t>春秋霸主</t>
    <phoneticPr fontId="2" type="noConversion"/>
  </si>
  <si>
    <t>楚庄王</t>
    <phoneticPr fontId="2" type="noConversion"/>
  </si>
  <si>
    <t>伍子胥</t>
    <phoneticPr fontId="2" type="noConversion"/>
  </si>
  <si>
    <t>项燕</t>
    <phoneticPr fontId="2" type="noConversion"/>
  </si>
  <si>
    <t>义渠骇</t>
    <phoneticPr fontId="2" type="noConversion"/>
  </si>
  <si>
    <t>孙膑</t>
    <phoneticPr fontId="2" type="noConversion"/>
  </si>
  <si>
    <t>项燕</t>
    <phoneticPr fontId="2" type="noConversion"/>
  </si>
  <si>
    <t>屈原</t>
    <phoneticPr fontId="2" type="noConversion"/>
  </si>
  <si>
    <t>韩非子</t>
    <phoneticPr fontId="2" type="noConversion"/>
  </si>
  <si>
    <t>赵括</t>
    <phoneticPr fontId="2" type="noConversion"/>
  </si>
  <si>
    <t>吕不韦</t>
    <phoneticPr fontId="2" type="noConversion"/>
  </si>
  <si>
    <t>雄辩之才</t>
    <phoneticPr fontId="2" type="noConversion"/>
  </si>
  <si>
    <t>野心勃勃</t>
    <phoneticPr fontId="2" type="noConversion"/>
  </si>
  <si>
    <t>大秦帝国</t>
    <phoneticPr fontId="2" type="noConversion"/>
  </si>
  <si>
    <t>司马错</t>
    <phoneticPr fontId="2" type="noConversion"/>
  </si>
  <si>
    <t>樗里疾</t>
    <phoneticPr fontId="2" type="noConversion"/>
  </si>
  <si>
    <t>年少有为</t>
    <phoneticPr fontId="2" type="noConversion"/>
  </si>
  <si>
    <t>信陵君</t>
    <phoneticPr fontId="2" type="noConversion"/>
  </si>
  <si>
    <t>苏秦</t>
    <phoneticPr fontId="2" type="noConversion"/>
  </si>
  <si>
    <t>恩怨情仇</t>
    <phoneticPr fontId="2" type="noConversion"/>
  </si>
  <si>
    <t>秦武王</t>
    <phoneticPr fontId="2" type="noConversion"/>
  </si>
  <si>
    <t>荆轲</t>
    <phoneticPr fontId="2" type="noConversion"/>
  </si>
  <si>
    <t>知子之明</t>
  </si>
  <si>
    <t>秉公执法</t>
  </si>
  <si>
    <t>古之名将</t>
  </si>
  <si>
    <t>合纵攻秦</t>
  </si>
  <si>
    <t>位居相国</t>
  </si>
  <si>
    <t>好客养士</t>
  </si>
  <si>
    <t>著作留世</t>
  </si>
  <si>
    <t>七窍玲珑</t>
  </si>
  <si>
    <t>位高权重</t>
  </si>
  <si>
    <t>大秦宗亲</t>
  </si>
  <si>
    <t>国色天资</t>
  </si>
  <si>
    <t>赵奢</t>
    <phoneticPr fontId="2" type="noConversion"/>
  </si>
  <si>
    <t>吕不韦</t>
    <phoneticPr fontId="2" type="noConversion"/>
  </si>
  <si>
    <t>赵奢</t>
    <phoneticPr fontId="2" type="noConversion"/>
  </si>
  <si>
    <t>孙膑</t>
    <phoneticPr fontId="2" type="noConversion"/>
  </si>
  <si>
    <t>田单</t>
    <phoneticPr fontId="2" type="noConversion"/>
  </si>
  <si>
    <t>孟尝君</t>
    <phoneticPr fontId="2" type="noConversion"/>
  </si>
  <si>
    <t>苏秦</t>
    <phoneticPr fontId="2" type="noConversion"/>
  </si>
  <si>
    <t>孟尝君</t>
    <phoneticPr fontId="2" type="noConversion"/>
  </si>
  <si>
    <t>伍子胥</t>
    <phoneticPr fontId="2" type="noConversion"/>
  </si>
  <si>
    <t>信陵君</t>
    <phoneticPr fontId="2" type="noConversion"/>
  </si>
  <si>
    <t>鲁班</t>
    <phoneticPr fontId="2" type="noConversion"/>
  </si>
  <si>
    <t>扁鹊</t>
    <phoneticPr fontId="2" type="noConversion"/>
  </si>
  <si>
    <t>伯乐</t>
    <phoneticPr fontId="2" type="noConversion"/>
  </si>
  <si>
    <t>鲁班</t>
    <phoneticPr fontId="2" type="noConversion"/>
  </si>
  <si>
    <t>孙膑</t>
    <phoneticPr fontId="2" type="noConversion"/>
  </si>
  <si>
    <t>樗里疾</t>
    <phoneticPr fontId="2" type="noConversion"/>
  </si>
  <si>
    <t>秦武王</t>
    <phoneticPr fontId="2" type="noConversion"/>
  </si>
  <si>
    <t>西施</t>
    <phoneticPr fontId="2" type="noConversion"/>
  </si>
  <si>
    <t>骊姬</t>
    <phoneticPr fontId="2" type="noConversion"/>
  </si>
  <si>
    <t>蒙恬</t>
    <phoneticPr fontId="2" type="noConversion"/>
  </si>
  <si>
    <t>衔冤而死</t>
    <phoneticPr fontId="2" type="noConversion"/>
  </si>
  <si>
    <t>一心为国</t>
    <phoneticPr fontId="2" type="noConversion"/>
  </si>
  <si>
    <t>国之重将</t>
    <phoneticPr fontId="2" type="noConversion"/>
  </si>
  <si>
    <t>嬴政</t>
  </si>
  <si>
    <t>缓急相济</t>
  </si>
  <si>
    <t>弄玉</t>
    <phoneticPr fontId="2" type="noConversion"/>
  </si>
  <si>
    <t>一脉相传</t>
    <phoneticPr fontId="2" type="noConversion"/>
  </si>
  <si>
    <t>金枝玉叶</t>
    <phoneticPr fontId="2" type="noConversion"/>
  </si>
  <si>
    <t>越女</t>
    <phoneticPr fontId="2" type="noConversion"/>
  </si>
  <si>
    <t>助越灭吴</t>
    <phoneticPr fontId="2" type="noConversion"/>
  </si>
  <si>
    <t>见血封喉</t>
    <phoneticPr fontId="2" type="noConversion"/>
  </si>
  <si>
    <t>剑风凌厉</t>
    <phoneticPr fontId="2" type="noConversion"/>
  </si>
  <si>
    <t>反间计</t>
    <phoneticPr fontId="2" type="noConversion"/>
  </si>
  <si>
    <t>范雎</t>
    <phoneticPr fontId="2" type="noConversion"/>
  </si>
  <si>
    <t>相印</t>
    <phoneticPr fontId="2" type="noConversion"/>
  </si>
  <si>
    <t>有损无益</t>
    <phoneticPr fontId="2" type="noConversion"/>
  </si>
  <si>
    <t>掌控雷电</t>
    <phoneticPr fontId="2" type="noConversion"/>
  </si>
  <si>
    <t>邹衍</t>
    <phoneticPr fontId="2" type="noConversion"/>
  </si>
  <si>
    <t>白发红颜</t>
    <phoneticPr fontId="2" type="noConversion"/>
  </si>
  <si>
    <t>呼风唤雨</t>
    <phoneticPr fontId="2" type="noConversion"/>
  </si>
  <si>
    <t>冲锋陷阵</t>
    <phoneticPr fontId="2" type="noConversion"/>
  </si>
  <si>
    <t>白起</t>
    <phoneticPr fontId="2" type="noConversion"/>
  </si>
  <si>
    <t>身经百战</t>
    <phoneticPr fontId="2" type="noConversion"/>
  </si>
  <si>
    <t>齐桓公</t>
    <phoneticPr fontId="2" type="noConversion"/>
  </si>
  <si>
    <t>荣辱与共</t>
    <phoneticPr fontId="2" type="noConversion"/>
  </si>
  <si>
    <t>能文能武</t>
    <phoneticPr fontId="2" type="noConversion"/>
  </si>
  <si>
    <t>出类拔粹</t>
    <phoneticPr fontId="2" type="noConversion"/>
  </si>
  <si>
    <t>秦相</t>
    <phoneticPr fontId="2" type="noConversion"/>
  </si>
  <si>
    <t>吕不韦</t>
    <phoneticPr fontId="2" type="noConversion"/>
  </si>
  <si>
    <t>李斯</t>
    <phoneticPr fontId="2" type="noConversion"/>
  </si>
  <si>
    <t>未能善终</t>
    <phoneticPr fontId="2" type="noConversion"/>
  </si>
  <si>
    <t>师出同门</t>
    <phoneticPr fontId="2" type="noConversion"/>
  </si>
  <si>
    <t>韩非子</t>
    <phoneticPr fontId="2" type="noConversion"/>
  </si>
  <si>
    <t>志在灭秦</t>
    <phoneticPr fontId="2" type="noConversion"/>
  </si>
  <si>
    <t>范增</t>
    <phoneticPr fontId="2" type="noConversion"/>
  </si>
  <si>
    <t>暮年壮志</t>
    <phoneticPr fontId="2" type="noConversion"/>
  </si>
  <si>
    <t>精通音律</t>
    <phoneticPr fontId="2" type="noConversion"/>
  </si>
  <si>
    <t>虞姬</t>
    <phoneticPr fontId="2" type="noConversion"/>
  </si>
  <si>
    <t>弄玉</t>
    <phoneticPr fontId="2" type="noConversion"/>
  </si>
  <si>
    <t>项羽</t>
    <phoneticPr fontId="2" type="noConversion"/>
  </si>
  <si>
    <t>楚楚动人</t>
    <phoneticPr fontId="2" type="noConversion"/>
  </si>
  <si>
    <t>信陵君</t>
    <phoneticPr fontId="2" type="noConversion"/>
  </si>
  <si>
    <t>孟尝君</t>
    <phoneticPr fontId="2" type="noConversion"/>
  </si>
  <si>
    <t>勇武过人</t>
    <phoneticPr fontId="2" type="noConversion"/>
  </si>
  <si>
    <t>项羽</t>
    <phoneticPr fontId="2" type="noConversion"/>
  </si>
  <si>
    <t>霸王别姬</t>
    <phoneticPr fontId="2" type="noConversion"/>
  </si>
  <si>
    <t>楚国翘楚</t>
    <phoneticPr fontId="2" type="noConversion"/>
  </si>
  <si>
    <t>楚庄王</t>
    <phoneticPr fontId="2" type="noConversion"/>
  </si>
  <si>
    <t>王佐之才</t>
    <phoneticPr fontId="2" type="noConversion"/>
  </si>
  <si>
    <t>范增</t>
    <phoneticPr fontId="2" type="noConversion"/>
  </si>
  <si>
    <t>李斯</t>
    <phoneticPr fontId="2" type="noConversion"/>
  </si>
  <si>
    <t>韩非子</t>
    <phoneticPr fontId="2" type="noConversion"/>
  </si>
  <si>
    <t>吕雉</t>
    <phoneticPr fontId="2" type="noConversion"/>
  </si>
  <si>
    <t>心狠手辣</t>
    <phoneticPr fontId="2" type="noConversion"/>
  </si>
  <si>
    <t>权倾一时</t>
  </si>
  <si>
    <t>执掌天下</t>
  </si>
  <si>
    <t>屈原</t>
    <phoneticPr fontId="2" type="noConversion"/>
  </si>
  <si>
    <t>吕雉</t>
    <phoneticPr fontId="2" type="noConversion"/>
  </si>
  <si>
    <t>庞涓</t>
    <phoneticPr fontId="2" type="noConversion"/>
  </si>
  <si>
    <t>信陵君</t>
    <phoneticPr fontId="2" type="noConversion"/>
  </si>
  <si>
    <t>申不害</t>
    <phoneticPr fontId="2" type="noConversion"/>
  </si>
  <si>
    <t>才貌双全</t>
    <phoneticPr fontId="2" type="noConversion"/>
  </si>
  <si>
    <t>韩信</t>
    <phoneticPr fontId="2" type="noConversion"/>
  </si>
  <si>
    <t>名奉武庙</t>
  </si>
  <si>
    <t>平步天下</t>
  </si>
  <si>
    <t>国士无双</t>
    <phoneticPr fontId="2" type="noConversion"/>
  </si>
  <si>
    <t>韩信</t>
    <phoneticPr fontId="2" type="noConversion"/>
  </si>
  <si>
    <t>嬴政</t>
    <phoneticPr fontId="2" type="noConversion"/>
  </si>
  <si>
    <t>刘邦</t>
    <phoneticPr fontId="2" type="noConversion"/>
  </si>
  <si>
    <t>彭越</t>
    <phoneticPr fontId="2" type="noConversion"/>
  </si>
  <si>
    <t>一统天下</t>
    <phoneticPr fontId="2" type="noConversion"/>
  </si>
  <si>
    <t>刘邦</t>
    <phoneticPr fontId="2" type="noConversion"/>
  </si>
  <si>
    <t>嬴政</t>
    <phoneticPr fontId="2" type="noConversion"/>
  </si>
  <si>
    <t>知人善用</t>
    <phoneticPr fontId="2" type="noConversion"/>
  </si>
  <si>
    <t>彭越</t>
    <phoneticPr fontId="2" type="noConversion"/>
  </si>
  <si>
    <t>任人唯亲</t>
    <phoneticPr fontId="2" type="noConversion"/>
  </si>
  <si>
    <t>吕雉</t>
    <phoneticPr fontId="2" type="noConversion"/>
  </si>
  <si>
    <t>因势利导</t>
    <phoneticPr fontId="2" type="noConversion"/>
  </si>
  <si>
    <t>彭越</t>
    <phoneticPr fontId="2" type="noConversion"/>
  </si>
  <si>
    <t>吕不韦</t>
    <phoneticPr fontId="2" type="noConversion"/>
  </si>
  <si>
    <t>不得善终</t>
    <phoneticPr fontId="2" type="noConversion"/>
  </si>
  <si>
    <t>李斯</t>
    <phoneticPr fontId="2" type="noConversion"/>
  </si>
  <si>
    <t>苏秦</t>
    <phoneticPr fontId="2" type="noConversion"/>
  </si>
  <si>
    <t>养由基</t>
    <phoneticPr fontId="2" type="noConversion"/>
  </si>
  <si>
    <t>技惊当世</t>
    <phoneticPr fontId="2" type="noConversion"/>
  </si>
  <si>
    <t>轻敌冒进</t>
    <phoneticPr fontId="2" type="noConversion"/>
  </si>
  <si>
    <t>养由基</t>
    <phoneticPr fontId="2" type="noConversion"/>
  </si>
  <si>
    <t>老骥伏枥</t>
    <phoneticPr fontId="2" type="noConversion"/>
  </si>
  <si>
    <t>李广</t>
    <phoneticPr fontId="2" type="noConversion"/>
  </si>
  <si>
    <t>陈阿娇</t>
    <phoneticPr fontId="2" type="noConversion"/>
  </si>
  <si>
    <t>卫青</t>
    <phoneticPr fontId="2" type="noConversion"/>
  </si>
  <si>
    <t>人生浮沉</t>
    <phoneticPr fontId="2" type="noConversion"/>
  </si>
  <si>
    <t>生而富贵</t>
    <phoneticPr fontId="2" type="noConversion"/>
  </si>
  <si>
    <t>陈阿娇</t>
    <phoneticPr fontId="2" type="noConversion"/>
  </si>
  <si>
    <t>陈阿娇</t>
    <phoneticPr fontId="2" type="noConversion"/>
  </si>
  <si>
    <t>擅宠而骄</t>
    <phoneticPr fontId="2" type="noConversion"/>
  </si>
  <si>
    <t>李广</t>
    <phoneticPr fontId="2" type="noConversion"/>
  </si>
  <si>
    <t>龙城飞将</t>
    <phoneticPr fontId="2" type="noConversion"/>
  </si>
  <si>
    <t>卫青</t>
    <phoneticPr fontId="2" type="noConversion"/>
  </si>
  <si>
    <t>大汉双壁</t>
    <phoneticPr fontId="2" type="noConversion"/>
  </si>
  <si>
    <t>龙城飞将</t>
    <phoneticPr fontId="2" type="noConversion"/>
  </si>
  <si>
    <t>抗击匈奴</t>
    <phoneticPr fontId="2" type="noConversion"/>
  </si>
  <si>
    <t>蒙恬</t>
    <phoneticPr fontId="2" type="noConversion"/>
  </si>
  <si>
    <t>霍去病</t>
    <phoneticPr fontId="2" type="noConversion"/>
  </si>
  <si>
    <t>宝刀未老</t>
    <phoneticPr fontId="2" type="noConversion"/>
  </si>
  <si>
    <t>驱逐匈奴</t>
    <phoneticPr fontId="2" type="noConversion"/>
  </si>
  <si>
    <t>英年早逝</t>
    <phoneticPr fontId="2" type="noConversion"/>
  </si>
  <si>
    <t>挂印封金</t>
    <phoneticPr fontId="2" type="noConversion"/>
  </si>
  <si>
    <t>曹操</t>
    <phoneticPr fontId="2" type="noConversion"/>
  </si>
  <si>
    <t>乱世枭雄</t>
    <phoneticPr fontId="2" type="noConversion"/>
  </si>
  <si>
    <t>平定中原</t>
    <phoneticPr fontId="2" type="noConversion"/>
  </si>
  <si>
    <t>春秋大义</t>
    <phoneticPr fontId="2" type="noConversion"/>
  </si>
  <si>
    <t>屈原</t>
    <phoneticPr fontId="2" type="noConversion"/>
  </si>
  <si>
    <t>荆轲</t>
    <phoneticPr fontId="2" type="noConversion"/>
  </si>
  <si>
    <t>廉颇</t>
    <phoneticPr fontId="2" type="noConversion"/>
  </si>
  <si>
    <t>大意败亡</t>
    <phoneticPr fontId="2" type="noConversion"/>
  </si>
  <si>
    <t>养由基</t>
    <phoneticPr fontId="2" type="noConversion"/>
  </si>
  <si>
    <t>胁上作乱</t>
    <phoneticPr fontId="2" type="noConversion"/>
  </si>
  <si>
    <t>起兵边蛮</t>
    <phoneticPr fontId="2" type="noConversion"/>
  </si>
  <si>
    <t>手段残暴</t>
    <phoneticPr fontId="2" type="noConversion"/>
  </si>
  <si>
    <t>董卓</t>
    <phoneticPr fontId="2" type="noConversion"/>
  </si>
  <si>
    <t>吕不韦</t>
    <phoneticPr fontId="2" type="noConversion"/>
  </si>
  <si>
    <t>义渠骇</t>
    <phoneticPr fontId="2" type="noConversion"/>
  </si>
  <si>
    <t>伍子胥</t>
    <phoneticPr fontId="2" type="noConversion"/>
  </si>
  <si>
    <t>董卓</t>
    <phoneticPr fontId="2" type="noConversion"/>
  </si>
  <si>
    <t>连环计</t>
    <phoneticPr fontId="2" type="noConversion"/>
  </si>
  <si>
    <t>沉鱼落雁</t>
    <phoneticPr fontId="2" type="noConversion"/>
  </si>
  <si>
    <t>巾帼义女</t>
    <phoneticPr fontId="2" type="noConversion"/>
  </si>
  <si>
    <t>貂蝉</t>
    <phoneticPr fontId="2" type="noConversion"/>
  </si>
  <si>
    <t>西施</t>
    <phoneticPr fontId="2" type="noConversion"/>
  </si>
  <si>
    <t>越女</t>
    <phoneticPr fontId="2" type="noConversion"/>
  </si>
  <si>
    <t>虞姬</t>
    <phoneticPr fontId="2" type="noConversion"/>
  </si>
  <si>
    <t>貂蝉</t>
    <phoneticPr fontId="2" type="noConversion"/>
  </si>
  <si>
    <t>吕布</t>
    <phoneticPr fontId="2" type="noConversion"/>
  </si>
  <si>
    <t>吕布</t>
    <phoneticPr fontId="2" type="noConversion"/>
  </si>
  <si>
    <t>万夫莫当</t>
    <phoneticPr fontId="2" type="noConversion"/>
  </si>
  <si>
    <t>众叛亲离</t>
    <phoneticPr fontId="2" type="noConversion"/>
  </si>
  <si>
    <t>反复无常</t>
    <phoneticPr fontId="2" type="noConversion"/>
  </si>
  <si>
    <t>文韬武略</t>
    <phoneticPr fontId="2" type="noConversion"/>
  </si>
  <si>
    <t>陆逊</t>
    <phoneticPr fontId="2" type="noConversion"/>
  </si>
  <si>
    <t>夷陵之战</t>
    <phoneticPr fontId="2" type="noConversion"/>
  </si>
  <si>
    <t>袭取荆襄</t>
    <phoneticPr fontId="2" type="noConversion"/>
  </si>
  <si>
    <t>橙+</t>
  </si>
  <si>
    <t>官渡之战</t>
    <phoneticPr fontId="2" type="noConversion"/>
  </si>
  <si>
    <t>袁绍</t>
    <phoneticPr fontId="2" type="noConversion"/>
  </si>
  <si>
    <t>会盟讨董</t>
    <phoneticPr fontId="2" type="noConversion"/>
  </si>
  <si>
    <t>刚愎自用</t>
  </si>
  <si>
    <t>生死相交</t>
  </si>
  <si>
    <t>赵云</t>
    <phoneticPr fontId="2" type="noConversion"/>
  </si>
  <si>
    <t>青梅煮酒</t>
  </si>
  <si>
    <t>汉室之胄</t>
  </si>
  <si>
    <t>扶危破乱</t>
  </si>
  <si>
    <t>沙场宿将</t>
  </si>
  <si>
    <t>义贯金石</t>
  </si>
  <si>
    <t>兵出汉中</t>
    <phoneticPr fontId="2" type="noConversion"/>
  </si>
  <si>
    <t>诸葛亮</t>
    <phoneticPr fontId="2" type="noConversion"/>
  </si>
  <si>
    <t>君臣之至合</t>
    <phoneticPr fontId="2" type="noConversion"/>
  </si>
  <si>
    <t>季汉群英</t>
    <phoneticPr fontId="2" type="noConversion"/>
  </si>
  <si>
    <t>大漢飛將</t>
    <phoneticPr fontId="2" type="noConversion"/>
  </si>
  <si>
    <t>太史慈</t>
    <phoneticPr fontId="2" type="noConversion"/>
  </si>
  <si>
    <t>孙权</t>
    <phoneticPr fontId="2" type="noConversion"/>
  </si>
  <si>
    <t>虎踞三江</t>
    <phoneticPr fontId="2" type="noConversion"/>
  </si>
  <si>
    <t>世之勇将</t>
    <phoneticPr fontId="2" type="noConversion"/>
  </si>
  <si>
    <t>强弓擅射</t>
    <phoneticPr fontId="2" type="noConversion"/>
  </si>
  <si>
    <t>天下三分</t>
    <phoneticPr fontId="2" type="noConversion"/>
  </si>
  <si>
    <t>少年继位</t>
    <phoneticPr fontId="2" type="noConversion"/>
  </si>
  <si>
    <t>甘露寺</t>
    <phoneticPr fontId="2" type="noConversion"/>
  </si>
  <si>
    <t>荀彧</t>
    <phoneticPr fontId="2" type="noConversion"/>
  </si>
  <si>
    <t>主仆殊途</t>
    <phoneticPr fontId="2" type="noConversion"/>
  </si>
  <si>
    <t>人定胜天</t>
    <phoneticPr fontId="2" type="noConversion"/>
  </si>
  <si>
    <t>虎步关右</t>
    <phoneticPr fontId="2" type="noConversion"/>
  </si>
  <si>
    <t>白地将军</t>
    <phoneticPr fontId="2" type="noConversion"/>
  </si>
  <si>
    <t>忠义事主</t>
    <phoneticPr fontId="2" type="noConversion"/>
  </si>
  <si>
    <t>夏侯渊</t>
    <phoneticPr fontId="2" type="noConversion"/>
  </si>
  <si>
    <t>曹魏军团</t>
    <phoneticPr fontId="2" type="noConversion"/>
  </si>
  <si>
    <t>挟制天子</t>
    <phoneticPr fontId="2" type="noConversion"/>
  </si>
  <si>
    <t>智囊军师</t>
    <phoneticPr fontId="2" type="noConversion"/>
  </si>
  <si>
    <t>司马懿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</si>
</sst>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1" fillId="0" borderId="1" xfId="0" applyFont="1" applyBorder="1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0" borderId="0" xfId="0" applyFont="1" applyAlignment="1">
      <alignment vertical="center" shrinkToFit="1"/>
    </xf>
    <xf numFmtId="0" fontId="1" fillId="0" borderId="1" xfId="0" applyFont="1" applyBorder="1" applyAlignment="1">
      <alignment vertical="center" shrinkToFit="1"/>
    </xf>
    <xf numFmtId="0" fontId="1" fillId="3" borderId="2" xfId="0" applyFont="1" applyFill="1" applyBorder="1">
      <alignment vertical="center"/>
    </xf>
    <xf numFmtId="0" fontId="1" fillId="5" borderId="0" xfId="0" applyFont="1" applyFill="1">
      <alignment vertical="center"/>
    </xf>
    <xf numFmtId="0" fontId="6" fillId="0" borderId="0" xfId="0" applyFont="1">
      <alignment vertical="center"/>
    </xf>
    <xf numFmtId="0" fontId="1" fillId="6" borderId="1" xfId="0" applyFont="1" applyFill="1" applyBorder="1">
      <alignment vertical="center"/>
    </xf>
    <xf numFmtId="0" fontId="1" fillId="0" borderId="2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5" fillId="0" borderId="1" xfId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>
      <alignment vertical="center"/>
    </xf>
    <xf numFmtId="0" fontId="9" fillId="0" borderId="1" xfId="0" applyFont="1" applyBorder="1" applyAlignment="1">
      <alignment horizontal="center" vertical="center" shrinkToFit="1"/>
    </xf>
    <xf numFmtId="0" fontId="1" fillId="9" borderId="1" xfId="0" applyFont="1" applyFill="1" applyBorder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</cellXfs>
  <cellStyles count="2">
    <cellStyle name="常规" xfId="0" builtinId="0"/>
    <cellStyle name="常规 2" xfId="1" xr:uid="{00000000-0005-0000-0000-000001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112;&#22269;&#23548;&#34920;\&#25112;&#22269;-&#27494;&#23558;.xlsm" TargetMode="External"/><Relationship Id="rId1" Type="http://schemas.openxmlformats.org/officeDocument/2006/relationships/externalLinkPath" Target="/slg_cehua/trunk/&#25968;&#20540;&#25991;&#26723;/&#25112;&#22269;&#23548;&#34920;/&#25112;&#22269;-&#27494;&#2355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导表"/>
      <sheetName val="武将"/>
      <sheetName val="图鉴开启配置"/>
      <sheetName val="武将上阵羁绊"/>
      <sheetName val="武将职业羁绊"/>
      <sheetName val="武将羁绊"/>
      <sheetName val="羁绊传记"/>
      <sheetName val="各武将羁绊具体加成"/>
      <sheetName val="羁绊相关资料"/>
      <sheetName val="武将特性解锁"/>
      <sheetName val="武将第四特性"/>
      <sheetName val="第4特性资料"/>
      <sheetName val="武将怪物"/>
      <sheetName val="武将素材"/>
      <sheetName val="武将升级"/>
      <sheetName val="武将配置信息"/>
      <sheetName val="武将升阶"/>
      <sheetName val="武将升星"/>
      <sheetName val="武将觉醒"/>
      <sheetName val="武将亲密度"/>
      <sheetName val="武将碎片兑换"/>
      <sheetName val="武将可携带的兵种"/>
      <sheetName val="新版武将设计"/>
      <sheetName val="武将基本资料"/>
      <sheetName val="觉醒资料和设计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4">
          <cell r="N4" t="str">
            <v>武将名称</v>
          </cell>
          <cell r="Q4" t="str">
            <v>资质</v>
          </cell>
          <cell r="S4" t="str">
            <v>资质</v>
          </cell>
        </row>
        <row r="5">
          <cell r="N5" t="str">
            <v>80素材</v>
          </cell>
          <cell r="Q5" t="str">
            <v>白</v>
          </cell>
          <cell r="S5">
            <v>80</v>
          </cell>
        </row>
        <row r="6">
          <cell r="N6" t="str">
            <v>90素材</v>
          </cell>
          <cell r="Q6" t="str">
            <v>蓝</v>
          </cell>
          <cell r="S6">
            <v>100</v>
          </cell>
        </row>
        <row r="7">
          <cell r="N7" t="str">
            <v>100素材</v>
          </cell>
          <cell r="Q7" t="str">
            <v>蓝</v>
          </cell>
          <cell r="S7">
            <v>100</v>
          </cell>
        </row>
        <row r="8">
          <cell r="N8" t="str">
            <v>110素材</v>
          </cell>
          <cell r="Q8" t="str">
            <v>紫</v>
          </cell>
          <cell r="S8">
            <v>110</v>
          </cell>
        </row>
        <row r="9">
          <cell r="N9" t="str">
            <v>120素材</v>
          </cell>
          <cell r="Q9" t="str">
            <v>橙</v>
          </cell>
          <cell r="S9">
            <v>120</v>
          </cell>
        </row>
        <row r="10">
          <cell r="N10" t="str">
            <v>130素材</v>
          </cell>
          <cell r="Q10" t="str">
            <v>橙+</v>
          </cell>
          <cell r="S10">
            <v>130</v>
          </cell>
        </row>
        <row r="11">
          <cell r="N11"/>
          <cell r="Q11"/>
          <cell r="S11"/>
        </row>
        <row r="12">
          <cell r="N12" t="str">
            <v>骊姬</v>
          </cell>
          <cell r="Q12" t="str">
            <v>橙</v>
          </cell>
          <cell r="S12">
            <v>120</v>
          </cell>
        </row>
        <row r="13">
          <cell r="N13" t="str">
            <v>王翦</v>
          </cell>
          <cell r="Q13" t="str">
            <v>橙+</v>
          </cell>
          <cell r="S13">
            <v>130</v>
          </cell>
        </row>
        <row r="14">
          <cell r="N14" t="str">
            <v>义渠骇</v>
          </cell>
          <cell r="Q14" t="str">
            <v>橙</v>
          </cell>
          <cell r="S14">
            <v>120</v>
          </cell>
        </row>
        <row r="15">
          <cell r="N15" t="str">
            <v>白起</v>
          </cell>
          <cell r="Q15" t="str">
            <v>红</v>
          </cell>
          <cell r="S15">
            <v>140</v>
          </cell>
        </row>
        <row r="16">
          <cell r="N16" t="str">
            <v>廉颇</v>
          </cell>
          <cell r="Q16" t="str">
            <v>橙+</v>
          </cell>
          <cell r="S16">
            <v>130</v>
          </cell>
        </row>
        <row r="17">
          <cell r="N17" t="str">
            <v>信陵君</v>
          </cell>
          <cell r="Q17" t="str">
            <v>橙</v>
          </cell>
          <cell r="S17">
            <v>120</v>
          </cell>
        </row>
        <row r="18">
          <cell r="N18" t="str">
            <v>西施</v>
          </cell>
          <cell r="Q18" t="str">
            <v>橙</v>
          </cell>
          <cell r="S18">
            <v>120</v>
          </cell>
        </row>
        <row r="19">
          <cell r="N19" t="str">
            <v>李牧</v>
          </cell>
          <cell r="Q19" t="str">
            <v>橙+</v>
          </cell>
          <cell r="S19">
            <v>130</v>
          </cell>
        </row>
        <row r="20">
          <cell r="N20" t="str">
            <v>吴起</v>
          </cell>
          <cell r="Q20" t="str">
            <v>橙+</v>
          </cell>
          <cell r="S20">
            <v>130</v>
          </cell>
        </row>
        <row r="21">
          <cell r="N21" t="str">
            <v>聂荌</v>
          </cell>
          <cell r="Q21" t="str">
            <v>紫</v>
          </cell>
          <cell r="S21">
            <v>110</v>
          </cell>
        </row>
        <row r="22">
          <cell r="N22" t="str">
            <v>专诸</v>
          </cell>
          <cell r="Q22" t="str">
            <v>紫</v>
          </cell>
          <cell r="S22">
            <v>110</v>
          </cell>
        </row>
        <row r="23">
          <cell r="N23" t="str">
            <v>吕雉</v>
          </cell>
          <cell r="Q23" t="str">
            <v>橙+</v>
          </cell>
          <cell r="S23">
            <v>130</v>
          </cell>
        </row>
        <row r="24">
          <cell r="N24" t="str">
            <v>养由基</v>
          </cell>
          <cell r="Q24" t="str">
            <v>橙+</v>
          </cell>
          <cell r="S24">
            <v>130</v>
          </cell>
        </row>
        <row r="25">
          <cell r="N25" t="str">
            <v>李广</v>
          </cell>
          <cell r="Q25" t="str">
            <v>橙+</v>
          </cell>
          <cell r="S25">
            <v>130</v>
          </cell>
        </row>
        <row r="26">
          <cell r="N26" t="str">
            <v>楚庄王</v>
          </cell>
          <cell r="Q26" t="str">
            <v>橙</v>
          </cell>
          <cell r="S26">
            <v>120</v>
          </cell>
        </row>
        <row r="27">
          <cell r="N27" t="str">
            <v>田单</v>
          </cell>
          <cell r="Q27" t="str">
            <v>橙</v>
          </cell>
          <cell r="S27">
            <v>120</v>
          </cell>
        </row>
        <row r="28">
          <cell r="N28" t="str">
            <v>司马错</v>
          </cell>
          <cell r="Q28" t="str">
            <v>橙</v>
          </cell>
          <cell r="S28">
            <v>120</v>
          </cell>
        </row>
        <row r="29">
          <cell r="N29" t="str">
            <v>吕不韦</v>
          </cell>
          <cell r="Q29" t="str">
            <v>橙</v>
          </cell>
          <cell r="S29">
            <v>120</v>
          </cell>
        </row>
        <row r="30">
          <cell r="N30" t="str">
            <v>荀彧</v>
          </cell>
          <cell r="Q30" t="str">
            <v>橙+</v>
          </cell>
          <cell r="S30">
            <v>130</v>
          </cell>
        </row>
        <row r="31">
          <cell r="N31" t="str">
            <v>秦武王</v>
          </cell>
          <cell r="Q31" t="str">
            <v>橙</v>
          </cell>
          <cell r="S31">
            <v>120</v>
          </cell>
        </row>
        <row r="32">
          <cell r="N32" t="str">
            <v>嫪毐</v>
          </cell>
          <cell r="Q32" t="str">
            <v>蓝</v>
          </cell>
          <cell r="S32">
            <v>100</v>
          </cell>
        </row>
        <row r="33">
          <cell r="N33" t="str">
            <v>范增</v>
          </cell>
          <cell r="Q33" t="str">
            <v>橙</v>
          </cell>
          <cell r="S33">
            <v>120</v>
          </cell>
        </row>
        <row r="34">
          <cell r="N34" t="str">
            <v>陈阿娇</v>
          </cell>
          <cell r="Q34" t="str">
            <v>橙+</v>
          </cell>
          <cell r="S34">
            <v>130</v>
          </cell>
        </row>
        <row r="35">
          <cell r="N35" t="str">
            <v>范雎</v>
          </cell>
          <cell r="Q35" t="str">
            <v>橙</v>
          </cell>
          <cell r="S35">
            <v>120</v>
          </cell>
        </row>
        <row r="36">
          <cell r="N36" t="str">
            <v>秦始皇</v>
          </cell>
          <cell r="Q36" t="str">
            <v>橙+</v>
          </cell>
          <cell r="S36">
            <v>130</v>
          </cell>
        </row>
        <row r="37">
          <cell r="N37" t="str">
            <v>李斯</v>
          </cell>
          <cell r="Q37" t="str">
            <v>橙</v>
          </cell>
          <cell r="S37">
            <v>120</v>
          </cell>
        </row>
        <row r="38">
          <cell r="N38" t="str">
            <v>樗里疾</v>
          </cell>
          <cell r="Q38" t="str">
            <v>橙</v>
          </cell>
          <cell r="S38">
            <v>120</v>
          </cell>
        </row>
        <row r="39">
          <cell r="N39" t="str">
            <v>伯乐</v>
          </cell>
          <cell r="Q39" t="str">
            <v>橙</v>
          </cell>
          <cell r="S39">
            <v>120</v>
          </cell>
        </row>
        <row r="40">
          <cell r="N40" t="str">
            <v>钟无艳</v>
          </cell>
          <cell r="Q40" t="str">
            <v>紫</v>
          </cell>
          <cell r="S40">
            <v>110</v>
          </cell>
        </row>
        <row r="41">
          <cell r="N41" t="str">
            <v>孟尝君</v>
          </cell>
          <cell r="Q41" t="str">
            <v>橙</v>
          </cell>
          <cell r="S41">
            <v>120</v>
          </cell>
        </row>
        <row r="42">
          <cell r="N42" t="str">
            <v>邹衍</v>
          </cell>
          <cell r="Q42" t="str">
            <v>橙+</v>
          </cell>
          <cell r="S42">
            <v>130</v>
          </cell>
        </row>
        <row r="43">
          <cell r="N43" t="str">
            <v>扁鹊</v>
          </cell>
          <cell r="Q43" t="str">
            <v>橙</v>
          </cell>
          <cell r="S43">
            <v>120</v>
          </cell>
        </row>
        <row r="44">
          <cell r="N44" t="str">
            <v>田忌</v>
          </cell>
          <cell r="Q44" t="str">
            <v>紫</v>
          </cell>
          <cell r="S44">
            <v>110</v>
          </cell>
        </row>
        <row r="45">
          <cell r="N45" t="str">
            <v>司马穰苴</v>
          </cell>
          <cell r="Q45" t="str">
            <v>橙</v>
          </cell>
          <cell r="S45">
            <v>120</v>
          </cell>
        </row>
        <row r="46">
          <cell r="N46" t="str">
            <v>鲍叔牙</v>
          </cell>
          <cell r="Q46" t="str">
            <v>橙</v>
          </cell>
          <cell r="S46">
            <v>120</v>
          </cell>
        </row>
        <row r="47">
          <cell r="N47" t="str">
            <v>孙膑</v>
          </cell>
          <cell r="Q47" t="str">
            <v>橙</v>
          </cell>
          <cell r="S47">
            <v>120</v>
          </cell>
        </row>
        <row r="48">
          <cell r="N48" t="str">
            <v>孟子</v>
          </cell>
          <cell r="Q48" t="str">
            <v>橙+</v>
          </cell>
          <cell r="S48">
            <v>130</v>
          </cell>
        </row>
        <row r="49">
          <cell r="N49" t="str">
            <v>齐桓公</v>
          </cell>
          <cell r="Q49" t="str">
            <v>橙+</v>
          </cell>
          <cell r="S49">
            <v>130</v>
          </cell>
        </row>
        <row r="50">
          <cell r="N50" t="str">
            <v>管仲</v>
          </cell>
          <cell r="Q50" t="str">
            <v>橙</v>
          </cell>
          <cell r="S50">
            <v>120</v>
          </cell>
        </row>
        <row r="51">
          <cell r="N51" t="str">
            <v>屈原</v>
          </cell>
          <cell r="Q51" t="str">
            <v>橙</v>
          </cell>
          <cell r="S51">
            <v>120</v>
          </cell>
        </row>
        <row r="52">
          <cell r="N52" t="str">
            <v>项燕</v>
          </cell>
          <cell r="Q52" t="str">
            <v>橙</v>
          </cell>
          <cell r="S52">
            <v>120</v>
          </cell>
        </row>
        <row r="53">
          <cell r="N53" t="str">
            <v>春申君</v>
          </cell>
          <cell r="Q53" t="str">
            <v>紫</v>
          </cell>
          <cell r="S53">
            <v>110</v>
          </cell>
        </row>
        <row r="54">
          <cell r="N54" t="str">
            <v>莫邪</v>
          </cell>
          <cell r="Q54" t="str">
            <v>紫</v>
          </cell>
          <cell r="S54">
            <v>110</v>
          </cell>
        </row>
        <row r="55">
          <cell r="N55" t="str">
            <v>干将</v>
          </cell>
          <cell r="Q55" t="str">
            <v>紫</v>
          </cell>
          <cell r="S55">
            <v>110</v>
          </cell>
        </row>
        <row r="56">
          <cell r="N56" t="str">
            <v>孙叔敖</v>
          </cell>
          <cell r="Q56" t="str">
            <v>紫</v>
          </cell>
          <cell r="S56">
            <v>110</v>
          </cell>
        </row>
        <row r="57">
          <cell r="N57" t="str">
            <v>平原君</v>
          </cell>
          <cell r="Q57" t="str">
            <v>紫</v>
          </cell>
          <cell r="S57">
            <v>110</v>
          </cell>
        </row>
        <row r="58">
          <cell r="N58" t="str">
            <v>蔺相如</v>
          </cell>
          <cell r="Q58" t="str">
            <v>橙+</v>
          </cell>
          <cell r="S58">
            <v>130</v>
          </cell>
        </row>
        <row r="59">
          <cell r="N59" t="str">
            <v>赵奢</v>
          </cell>
          <cell r="Q59" t="str">
            <v>橙</v>
          </cell>
          <cell r="S59">
            <v>120</v>
          </cell>
        </row>
        <row r="60">
          <cell r="N60" t="str">
            <v>庞涓</v>
          </cell>
          <cell r="Q60" t="str">
            <v>紫</v>
          </cell>
          <cell r="S60">
            <v>110</v>
          </cell>
        </row>
        <row r="61">
          <cell r="N61" t="str">
            <v>朱亥</v>
          </cell>
          <cell r="Q61" t="str">
            <v>蓝</v>
          </cell>
          <cell r="S61">
            <v>100</v>
          </cell>
        </row>
        <row r="62">
          <cell r="N62" t="str">
            <v>西门豹</v>
          </cell>
          <cell r="Q62" t="str">
            <v>紫</v>
          </cell>
          <cell r="S62">
            <v>110</v>
          </cell>
        </row>
        <row r="63">
          <cell r="N63" t="str">
            <v>韩非子</v>
          </cell>
          <cell r="Q63" t="str">
            <v>橙</v>
          </cell>
          <cell r="S63">
            <v>120</v>
          </cell>
        </row>
        <row r="64">
          <cell r="N64" t="str">
            <v>暴鸢</v>
          </cell>
          <cell r="Q64" t="str">
            <v>紫</v>
          </cell>
          <cell r="S64">
            <v>110</v>
          </cell>
        </row>
        <row r="65">
          <cell r="N65" t="str">
            <v>申不害</v>
          </cell>
          <cell r="Q65" t="str">
            <v>橙</v>
          </cell>
          <cell r="S65">
            <v>120</v>
          </cell>
        </row>
        <row r="66">
          <cell r="N66" t="str">
            <v>乐毅</v>
          </cell>
          <cell r="Q66" t="str">
            <v>橙</v>
          </cell>
          <cell r="S66">
            <v>120</v>
          </cell>
        </row>
        <row r="67">
          <cell r="N67" t="str">
            <v>荆轲</v>
          </cell>
          <cell r="Q67" t="str">
            <v>橙</v>
          </cell>
          <cell r="S67">
            <v>120</v>
          </cell>
        </row>
        <row r="68">
          <cell r="N68" t="str">
            <v>苏秦</v>
          </cell>
          <cell r="Q68" t="str">
            <v>橙</v>
          </cell>
          <cell r="S68">
            <v>120</v>
          </cell>
        </row>
        <row r="69">
          <cell r="N69" t="str">
            <v>秦开</v>
          </cell>
          <cell r="Q69" t="str">
            <v>紫</v>
          </cell>
          <cell r="S69">
            <v>110</v>
          </cell>
        </row>
        <row r="70">
          <cell r="N70" t="str">
            <v>墨子</v>
          </cell>
          <cell r="Q70" t="str">
            <v>橙+</v>
          </cell>
          <cell r="S70">
            <v>130</v>
          </cell>
        </row>
        <row r="71">
          <cell r="N71" t="str">
            <v>褒姒</v>
          </cell>
          <cell r="Q71" t="str">
            <v>橙+</v>
          </cell>
          <cell r="S71">
            <v>130</v>
          </cell>
        </row>
        <row r="72">
          <cell r="N72" t="str">
            <v>鲁班</v>
          </cell>
          <cell r="Q72" t="str">
            <v>橙</v>
          </cell>
          <cell r="S72">
            <v>120</v>
          </cell>
        </row>
        <row r="73">
          <cell r="N73" t="str">
            <v>伍子胥</v>
          </cell>
          <cell r="Q73" t="str">
            <v>橙</v>
          </cell>
          <cell r="S73">
            <v>120</v>
          </cell>
        </row>
        <row r="74">
          <cell r="N74" t="str">
            <v>欧冶子</v>
          </cell>
          <cell r="Q74" t="str">
            <v>橙</v>
          </cell>
          <cell r="S74">
            <v>120</v>
          </cell>
        </row>
        <row r="75">
          <cell r="N75" t="str">
            <v>勾践</v>
          </cell>
          <cell r="Q75" t="str">
            <v>橙</v>
          </cell>
          <cell r="S75">
            <v>120</v>
          </cell>
        </row>
        <row r="76">
          <cell r="N76" t="str">
            <v>晋文公</v>
          </cell>
          <cell r="Q76" t="str">
            <v>橙+</v>
          </cell>
          <cell r="S76">
            <v>130</v>
          </cell>
        </row>
        <row r="77">
          <cell r="N77" t="str">
            <v>范蠡</v>
          </cell>
          <cell r="Q77" t="str">
            <v>橙</v>
          </cell>
          <cell r="S77">
            <v>120</v>
          </cell>
        </row>
        <row r="78">
          <cell r="N78" t="str">
            <v>孙武</v>
          </cell>
          <cell r="Q78" t="str">
            <v>橙+</v>
          </cell>
          <cell r="S78">
            <v>130</v>
          </cell>
        </row>
        <row r="79">
          <cell r="N79" t="str">
            <v>鬼谷子</v>
          </cell>
          <cell r="Q79" t="str">
            <v>橙+</v>
          </cell>
          <cell r="S79">
            <v>130</v>
          </cell>
        </row>
        <row r="80">
          <cell r="N80" t="str">
            <v>孔丘</v>
          </cell>
          <cell r="Q80" t="str">
            <v>橙+</v>
          </cell>
          <cell r="S80">
            <v>130</v>
          </cell>
        </row>
        <row r="81">
          <cell r="N81" t="str">
            <v>老子</v>
          </cell>
          <cell r="Q81" t="str">
            <v>橙+</v>
          </cell>
          <cell r="S81">
            <v>130</v>
          </cell>
        </row>
        <row r="82">
          <cell r="N82" t="str">
            <v>赵括</v>
          </cell>
          <cell r="Q82" t="str">
            <v>橙</v>
          </cell>
          <cell r="S82">
            <v>120</v>
          </cell>
        </row>
        <row r="83">
          <cell r="N83" t="str">
            <v>典藏吕不韦</v>
          </cell>
          <cell r="Q83" t="str">
            <v>橙+</v>
          </cell>
          <cell r="S83">
            <v>130</v>
          </cell>
        </row>
        <row r="84">
          <cell r="N84" t="str">
            <v>嬴政</v>
          </cell>
          <cell r="Q84" t="str">
            <v>橙+</v>
          </cell>
          <cell r="S84">
            <v>130</v>
          </cell>
        </row>
        <row r="85">
          <cell r="N85" t="str">
            <v>蒙恬</v>
          </cell>
          <cell r="Q85" t="str">
            <v>橙+</v>
          </cell>
          <cell r="S85">
            <v>130</v>
          </cell>
        </row>
        <row r="86">
          <cell r="N86" t="str">
            <v>弄玉</v>
          </cell>
          <cell r="Q86" t="str">
            <v>橙+</v>
          </cell>
          <cell r="S86">
            <v>130</v>
          </cell>
        </row>
        <row r="87">
          <cell r="N87" t="str">
            <v>越女</v>
          </cell>
          <cell r="Q87" t="str">
            <v>橙+</v>
          </cell>
          <cell r="S87">
            <v>130</v>
          </cell>
        </row>
        <row r="88">
          <cell r="N88" t="str">
            <v>虞姬</v>
          </cell>
          <cell r="Q88" t="str">
            <v>橙+</v>
          </cell>
          <cell r="S88">
            <v>130</v>
          </cell>
        </row>
        <row r="89">
          <cell r="N89" t="str">
            <v>项羽</v>
          </cell>
          <cell r="Q89" t="str">
            <v>红</v>
          </cell>
          <cell r="S89">
            <v>140</v>
          </cell>
        </row>
        <row r="90">
          <cell r="N90" t="str">
            <v>刘邦</v>
          </cell>
          <cell r="Q90" t="str">
            <v>橙+</v>
          </cell>
          <cell r="S90">
            <v>130</v>
          </cell>
        </row>
        <row r="91">
          <cell r="N91" t="str">
            <v>韩信</v>
          </cell>
          <cell r="Q91" t="str">
            <v>橙+</v>
          </cell>
          <cell r="S91">
            <v>130</v>
          </cell>
        </row>
        <row r="92">
          <cell r="N92" t="str">
            <v>卫青</v>
          </cell>
          <cell r="Q92" t="str">
            <v>橙+</v>
          </cell>
          <cell r="S92">
            <v>130</v>
          </cell>
        </row>
        <row r="93">
          <cell r="N93" t="str">
            <v>霍去病</v>
          </cell>
          <cell r="Q93" t="str">
            <v>橙+</v>
          </cell>
          <cell r="S93">
            <v>130</v>
          </cell>
        </row>
        <row r="94">
          <cell r="N94" t="str">
            <v>曹操</v>
          </cell>
          <cell r="Q94" t="str">
            <v>橙+</v>
          </cell>
          <cell r="S94">
            <v>130</v>
          </cell>
        </row>
        <row r="95">
          <cell r="N95" t="str">
            <v>吕布</v>
          </cell>
          <cell r="Q95" t="str">
            <v>红</v>
          </cell>
          <cell r="S95">
            <v>140</v>
          </cell>
        </row>
        <row r="96">
          <cell r="N96" t="str">
            <v>赵云</v>
          </cell>
          <cell r="Q96" t="str">
            <v>橙+</v>
          </cell>
          <cell r="S96">
            <v>130</v>
          </cell>
        </row>
        <row r="97">
          <cell r="N97" t="str">
            <v>刘备</v>
          </cell>
          <cell r="Q97" t="str">
            <v>橙+</v>
          </cell>
          <cell r="S97">
            <v>130</v>
          </cell>
        </row>
        <row r="98">
          <cell r="N98" t="str">
            <v>陆逊</v>
          </cell>
          <cell r="Q98" t="str">
            <v>橙+</v>
          </cell>
          <cell r="S98">
            <v>130</v>
          </cell>
        </row>
        <row r="99">
          <cell r="N99" t="str">
            <v>诸葛亮</v>
          </cell>
          <cell r="Q99" t="str">
            <v>红</v>
          </cell>
          <cell r="S99">
            <v>140</v>
          </cell>
        </row>
        <row r="100">
          <cell r="N100" t="str">
            <v>太史慈</v>
          </cell>
          <cell r="Q100" t="str">
            <v>橙+</v>
          </cell>
          <cell r="S100">
            <v>130</v>
          </cell>
        </row>
        <row r="101">
          <cell r="N101" t="str">
            <v>孙权</v>
          </cell>
          <cell r="Q101" t="str">
            <v>橙+</v>
          </cell>
          <cell r="S101">
            <v>130</v>
          </cell>
        </row>
        <row r="102">
          <cell r="N102" t="str">
            <v>夏侯渊</v>
          </cell>
          <cell r="Q102" t="str">
            <v>橙+</v>
          </cell>
          <cell r="S102">
            <v>130</v>
          </cell>
        </row>
        <row r="103">
          <cell r="N103" t="str">
            <v>司马懿</v>
          </cell>
          <cell r="Q103" t="str">
            <v>红</v>
          </cell>
          <cell r="S103">
            <v>140</v>
          </cell>
        </row>
        <row r="210">
          <cell r="N210" t="str">
            <v>貂蝉</v>
          </cell>
          <cell r="Q210" t="str">
            <v>橙+</v>
          </cell>
          <cell r="S210">
            <v>130</v>
          </cell>
        </row>
        <row r="212">
          <cell r="N212" t="str">
            <v>彭越</v>
          </cell>
          <cell r="Q212" t="str">
            <v>橙</v>
          </cell>
          <cell r="S212">
            <v>120</v>
          </cell>
        </row>
        <row r="213">
          <cell r="N213" t="str">
            <v>袁绍</v>
          </cell>
          <cell r="Q213" t="str">
            <v>橙+</v>
          </cell>
          <cell r="S213">
            <v>130</v>
          </cell>
        </row>
        <row r="214">
          <cell r="N214" t="str">
            <v>关羽</v>
          </cell>
          <cell r="Q214" t="str">
            <v>橙+</v>
          </cell>
          <cell r="S214">
            <v>130</v>
          </cell>
        </row>
        <row r="215">
          <cell r="N215" t="str">
            <v>董卓</v>
          </cell>
          <cell r="Q215" t="str">
            <v>橙+</v>
          </cell>
          <cell r="S215">
            <v>130</v>
          </cell>
        </row>
      </sheetData>
      <sheetData sheetId="2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6:K23"/>
  <sheetViews>
    <sheetView workbookViewId="0">
      <selection activeCell="H28" sqref="H28"/>
    </sheetView>
  </sheetViews>
  <sheetFormatPr defaultRowHeight="11.25"/>
  <cols>
    <col min="1" max="7" width="9" style="2"/>
    <col min="8" max="8" width="11.375" style="2" bestFit="1" customWidth="1"/>
    <col min="9" max="10" width="9" style="2"/>
    <col min="11" max="11" width="15.5" style="2" bestFit="1" customWidth="1"/>
    <col min="12" max="16384" width="9" style="2"/>
  </cols>
  <sheetData>
    <row r="6" spans="3:9">
      <c r="C6" s="28" t="s">
        <v>41</v>
      </c>
      <c r="D6" s="28"/>
      <c r="G6" s="2" t="s">
        <v>13</v>
      </c>
    </row>
    <row r="7" spans="3:9">
      <c r="C7" s="3" t="s">
        <v>0</v>
      </c>
      <c r="D7" s="3" t="s">
        <v>7</v>
      </c>
      <c r="G7" s="25" t="s">
        <v>10</v>
      </c>
      <c r="H7" s="26"/>
      <c r="I7" s="27"/>
    </row>
    <row r="8" spans="3:9">
      <c r="C8" s="3" t="s">
        <v>1</v>
      </c>
      <c r="D8" s="3" t="s">
        <v>8</v>
      </c>
      <c r="G8" s="3" t="s">
        <v>11</v>
      </c>
      <c r="H8" s="3" t="s">
        <v>14</v>
      </c>
      <c r="I8" s="3" t="s">
        <v>12</v>
      </c>
    </row>
    <row r="9" spans="3:9">
      <c r="C9" s="3" t="s">
        <v>2</v>
      </c>
      <c r="D9" s="3" t="s">
        <v>8</v>
      </c>
      <c r="G9" s="3">
        <v>1</v>
      </c>
      <c r="H9" s="3" t="s">
        <v>15</v>
      </c>
      <c r="I9" s="4">
        <v>0.5</v>
      </c>
    </row>
    <row r="10" spans="3:9">
      <c r="C10" s="3" t="s">
        <v>3</v>
      </c>
      <c r="D10" s="3" t="s">
        <v>8</v>
      </c>
      <c r="G10" s="3">
        <v>2</v>
      </c>
      <c r="H10" s="3" t="s">
        <v>16</v>
      </c>
      <c r="I10" s="4">
        <v>0.1</v>
      </c>
    </row>
    <row r="11" spans="3:9">
      <c r="C11" s="3" t="s">
        <v>4</v>
      </c>
      <c r="D11" s="3" t="s">
        <v>8</v>
      </c>
      <c r="G11" s="3">
        <v>3</v>
      </c>
      <c r="H11" s="3" t="s">
        <v>17</v>
      </c>
      <c r="I11" s="4">
        <v>0.1</v>
      </c>
    </row>
    <row r="12" spans="3:9">
      <c r="C12" s="3" t="s">
        <v>5</v>
      </c>
      <c r="D12" s="3" t="s">
        <v>9</v>
      </c>
      <c r="G12" s="3">
        <v>4</v>
      </c>
      <c r="H12" s="3" t="s">
        <v>18</v>
      </c>
      <c r="I12" s="4">
        <v>0.1</v>
      </c>
    </row>
    <row r="13" spans="3:9">
      <c r="C13" s="3" t="s">
        <v>6</v>
      </c>
      <c r="D13" s="3" t="s">
        <v>9</v>
      </c>
      <c r="G13" s="3">
        <v>5</v>
      </c>
      <c r="H13" s="3" t="s">
        <v>19</v>
      </c>
      <c r="I13" s="4">
        <v>0.2</v>
      </c>
    </row>
    <row r="18" spans="3:11">
      <c r="C18" s="2" t="s">
        <v>20</v>
      </c>
      <c r="G18" s="2" t="s">
        <v>32</v>
      </c>
    </row>
    <row r="19" spans="3:11">
      <c r="C19" s="3" t="s">
        <v>21</v>
      </c>
      <c r="D19" s="3" t="s">
        <v>26</v>
      </c>
      <c r="E19" s="3" t="s">
        <v>31</v>
      </c>
      <c r="G19" s="2" t="s">
        <v>33</v>
      </c>
    </row>
    <row r="20" spans="3:11">
      <c r="C20" s="3" t="s">
        <v>22</v>
      </c>
      <c r="D20" s="3" t="s">
        <v>44</v>
      </c>
      <c r="E20" s="3" t="s">
        <v>30</v>
      </c>
      <c r="G20" s="3" t="s">
        <v>34</v>
      </c>
      <c r="H20" s="3" t="s">
        <v>21</v>
      </c>
      <c r="I20" s="3" t="s">
        <v>35</v>
      </c>
      <c r="J20" s="3" t="s">
        <v>36</v>
      </c>
      <c r="K20" s="3" t="s">
        <v>40</v>
      </c>
    </row>
    <row r="21" spans="3:11">
      <c r="C21" s="3" t="s">
        <v>23</v>
      </c>
      <c r="D21" s="3" t="s">
        <v>42</v>
      </c>
      <c r="E21" s="3" t="s">
        <v>29</v>
      </c>
      <c r="G21" s="3" t="s">
        <v>37</v>
      </c>
      <c r="H21" s="3" t="s">
        <v>22</v>
      </c>
      <c r="I21" s="3" t="s">
        <v>6</v>
      </c>
      <c r="J21" s="4">
        <v>0.2</v>
      </c>
      <c r="K21" s="3">
        <v>2</v>
      </c>
    </row>
    <row r="22" spans="3:11">
      <c r="C22" s="3" t="s">
        <v>24</v>
      </c>
      <c r="D22" s="3" t="s">
        <v>43</v>
      </c>
      <c r="E22" s="3" t="s">
        <v>28</v>
      </c>
      <c r="G22" s="3" t="s">
        <v>38</v>
      </c>
      <c r="H22" s="3" t="s">
        <v>23</v>
      </c>
      <c r="I22" s="3" t="s">
        <v>1</v>
      </c>
      <c r="J22" s="4">
        <v>0.1</v>
      </c>
      <c r="K22" s="3">
        <v>1</v>
      </c>
    </row>
    <row r="23" spans="3:11">
      <c r="C23" s="3" t="s">
        <v>25</v>
      </c>
      <c r="D23" s="3" t="s">
        <v>45</v>
      </c>
      <c r="E23" s="3" t="s">
        <v>27</v>
      </c>
      <c r="G23" s="3" t="s">
        <v>39</v>
      </c>
      <c r="H23" s="3" t="s">
        <v>24</v>
      </c>
      <c r="I23" s="3" t="s">
        <v>5</v>
      </c>
      <c r="J23" s="4">
        <v>0.2</v>
      </c>
      <c r="K23" s="3">
        <v>0</v>
      </c>
    </row>
  </sheetData>
  <mergeCells count="2">
    <mergeCell ref="G7:I7"/>
    <mergeCell ref="C6:D6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CU498"/>
  <sheetViews>
    <sheetView tabSelected="1" topLeftCell="A459" workbookViewId="0">
      <selection activeCell="K489" sqref="K489"/>
    </sheetView>
  </sheetViews>
  <sheetFormatPr defaultColWidth="6.625" defaultRowHeight="11.25"/>
  <cols>
    <col min="1" max="3" width="6.625" style="2"/>
    <col min="4" max="4" width="13" style="2" bestFit="1" customWidth="1"/>
    <col min="5" max="6" width="9" style="2"/>
    <col min="7" max="10" width="6.625" style="2"/>
    <col min="11" max="11" width="17.25" style="2" bestFit="1" customWidth="1"/>
    <col min="12" max="12" width="6.625" style="2"/>
    <col min="13" max="14" width="7.5" style="2" bestFit="1" customWidth="1"/>
    <col min="15" max="20" width="6.625" style="2"/>
    <col min="21" max="28" width="6.625" style="1"/>
    <col min="29" max="29" width="6.625" style="2"/>
    <col min="30" max="37" width="7.625" style="2" customWidth="1"/>
    <col min="38" max="38" width="6.625" style="2"/>
    <col min="39" max="46" width="7.625" style="2" customWidth="1"/>
    <col min="47" max="47" width="6.625" style="2"/>
    <col min="48" max="55" width="10.625" style="2" customWidth="1"/>
    <col min="56" max="56" width="6.625" style="2"/>
    <col min="57" max="57" width="29.625" style="2" bestFit="1" customWidth="1"/>
    <col min="58" max="58" width="6.625" style="2"/>
    <col min="59" max="59" width="1.625" style="13" customWidth="1"/>
    <col min="60" max="60" width="6.625" style="2"/>
    <col min="61" max="61" width="6.625" style="2" customWidth="1"/>
    <col min="62" max="16384" width="6.625" style="2"/>
  </cols>
  <sheetData>
    <row r="2" spans="3:99">
      <c r="C2" s="2" t="s">
        <v>106</v>
      </c>
      <c r="H2" s="2">
        <v>130</v>
      </c>
      <c r="I2" s="2">
        <v>120</v>
      </c>
      <c r="J2" s="2">
        <v>110</v>
      </c>
      <c r="K2" s="2">
        <v>100</v>
      </c>
      <c r="L2" s="2">
        <v>90</v>
      </c>
    </row>
    <row r="3" spans="3:99">
      <c r="C3" s="2" t="s">
        <v>107</v>
      </c>
      <c r="H3" s="2" t="s">
        <v>131</v>
      </c>
      <c r="I3" s="2" t="s">
        <v>130</v>
      </c>
      <c r="J3" s="2" t="s">
        <v>129</v>
      </c>
      <c r="K3" s="2" t="s">
        <v>128</v>
      </c>
      <c r="L3" s="2" t="s">
        <v>127</v>
      </c>
    </row>
    <row r="4" spans="3:99">
      <c r="C4" s="2" t="s">
        <v>108</v>
      </c>
    </row>
    <row r="5" spans="3:99">
      <c r="C5" s="2" t="s">
        <v>109</v>
      </c>
    </row>
    <row r="7" spans="3:99">
      <c r="U7" s="1" t="s">
        <v>201</v>
      </c>
      <c r="AD7" s="2" t="s">
        <v>202</v>
      </c>
      <c r="AM7" s="2" t="s">
        <v>205</v>
      </c>
      <c r="AV7" s="10" t="s">
        <v>125</v>
      </c>
      <c r="AW7" s="10"/>
      <c r="AX7" s="10"/>
      <c r="AY7" s="10"/>
      <c r="AZ7" s="10"/>
      <c r="BA7" s="10"/>
      <c r="BB7" s="10"/>
      <c r="BC7" s="10"/>
      <c r="BI7" s="1" t="s">
        <v>203</v>
      </c>
      <c r="BJ7" s="1"/>
      <c r="BK7" s="1"/>
      <c r="BL7" s="1"/>
      <c r="BN7" s="1" t="s">
        <v>204</v>
      </c>
      <c r="BO7" s="1"/>
      <c r="BP7" s="1"/>
      <c r="BQ7" s="1"/>
      <c r="BS7" s="1" t="s">
        <v>206</v>
      </c>
      <c r="BT7" s="1"/>
      <c r="BU7" s="1"/>
      <c r="BV7" s="1"/>
      <c r="BX7" s="1" t="s">
        <v>207</v>
      </c>
      <c r="BY7" s="1"/>
      <c r="BZ7" s="1"/>
      <c r="CA7" s="1"/>
      <c r="CC7" s="1" t="s">
        <v>208</v>
      </c>
      <c r="CD7" s="1"/>
      <c r="CE7" s="1"/>
      <c r="CF7" s="1"/>
      <c r="CH7" s="1" t="s">
        <v>209</v>
      </c>
      <c r="CI7" s="1"/>
      <c r="CJ7" s="1"/>
      <c r="CK7" s="1"/>
      <c r="CM7" s="1" t="s">
        <v>210</v>
      </c>
      <c r="CN7" s="1"/>
      <c r="CO7" s="1"/>
      <c r="CP7" s="1"/>
      <c r="CR7" s="1" t="s">
        <v>211</v>
      </c>
      <c r="CS7" s="1"/>
      <c r="CT7" s="1"/>
      <c r="CU7" s="1"/>
    </row>
    <row r="8" spans="3:99">
      <c r="C8" s="3" t="s">
        <v>99</v>
      </c>
      <c r="D8" s="3" t="s">
        <v>98</v>
      </c>
      <c r="E8" s="3" t="s">
        <v>21</v>
      </c>
      <c r="F8" s="3" t="s">
        <v>100</v>
      </c>
      <c r="H8" s="6" t="s">
        <v>99</v>
      </c>
      <c r="I8" s="6" t="s">
        <v>102</v>
      </c>
      <c r="J8" s="6" t="s">
        <v>103</v>
      </c>
      <c r="K8" s="6"/>
      <c r="L8" s="6" t="s">
        <v>116</v>
      </c>
      <c r="M8" s="6" t="s">
        <v>102</v>
      </c>
      <c r="N8" s="6" t="s">
        <v>190</v>
      </c>
      <c r="O8" s="6" t="s">
        <v>116</v>
      </c>
      <c r="P8" s="6" t="s">
        <v>115</v>
      </c>
      <c r="Q8" s="6" t="s">
        <v>99</v>
      </c>
      <c r="R8" s="6" t="s">
        <v>113</v>
      </c>
      <c r="S8" s="6" t="s">
        <v>114</v>
      </c>
      <c r="U8" s="6">
        <v>1</v>
      </c>
      <c r="V8" s="6">
        <v>2</v>
      </c>
      <c r="W8" s="6">
        <v>3</v>
      </c>
      <c r="X8" s="6">
        <v>4</v>
      </c>
      <c r="Y8" s="6">
        <v>5</v>
      </c>
      <c r="Z8" s="6">
        <v>6</v>
      </c>
      <c r="AA8" s="6">
        <v>7</v>
      </c>
      <c r="AB8" s="6">
        <v>8</v>
      </c>
      <c r="AD8" s="6">
        <v>1</v>
      </c>
      <c r="AE8" s="6">
        <v>2</v>
      </c>
      <c r="AF8" s="6">
        <v>3</v>
      </c>
      <c r="AG8" s="6">
        <v>4</v>
      </c>
      <c r="AH8" s="6">
        <v>5</v>
      </c>
      <c r="AI8" s="6">
        <v>6</v>
      </c>
      <c r="AJ8" s="6">
        <v>7</v>
      </c>
      <c r="AK8" s="6">
        <v>8</v>
      </c>
      <c r="AM8" s="6">
        <v>1</v>
      </c>
      <c r="AN8" s="6">
        <v>2</v>
      </c>
      <c r="AO8" s="6">
        <v>3</v>
      </c>
      <c r="AP8" s="6">
        <v>4</v>
      </c>
      <c r="AQ8" s="6">
        <v>5</v>
      </c>
      <c r="AR8" s="6">
        <v>6</v>
      </c>
      <c r="AS8" s="6">
        <v>7</v>
      </c>
      <c r="AT8" s="6">
        <v>8</v>
      </c>
      <c r="AV8" s="11" t="s">
        <v>101</v>
      </c>
      <c r="AW8" s="11" t="s">
        <v>104</v>
      </c>
      <c r="AX8" s="11" t="s">
        <v>105</v>
      </c>
      <c r="AY8" s="11" t="s">
        <v>110</v>
      </c>
      <c r="AZ8" s="11" t="s">
        <v>136</v>
      </c>
      <c r="BA8" s="11" t="s">
        <v>137</v>
      </c>
      <c r="BB8" s="11" t="s">
        <v>138</v>
      </c>
      <c r="BC8" s="11" t="s">
        <v>139</v>
      </c>
      <c r="BE8" s="6" t="s">
        <v>126</v>
      </c>
      <c r="BI8" s="6">
        <v>1</v>
      </c>
      <c r="BJ8" s="6">
        <v>2</v>
      </c>
      <c r="BK8" s="6">
        <v>3</v>
      </c>
      <c r="BL8" s="6">
        <v>4</v>
      </c>
      <c r="BN8" s="6">
        <v>1</v>
      </c>
      <c r="BO8" s="6">
        <v>2</v>
      </c>
      <c r="BP8" s="6">
        <v>3</v>
      </c>
      <c r="BQ8" s="6">
        <v>4</v>
      </c>
      <c r="BS8" s="6">
        <v>1</v>
      </c>
      <c r="BT8" s="6">
        <v>2</v>
      </c>
      <c r="BU8" s="6">
        <v>3</v>
      </c>
      <c r="BV8" s="6">
        <v>4</v>
      </c>
      <c r="BX8" s="6">
        <v>1</v>
      </c>
      <c r="BY8" s="6">
        <v>2</v>
      </c>
      <c r="BZ8" s="6">
        <v>3</v>
      </c>
      <c r="CA8" s="6">
        <v>4</v>
      </c>
      <c r="CC8" s="6">
        <v>1</v>
      </c>
      <c r="CD8" s="6">
        <v>2</v>
      </c>
      <c r="CE8" s="6">
        <v>3</v>
      </c>
      <c r="CF8" s="6">
        <v>4</v>
      </c>
      <c r="CH8" s="6">
        <v>1</v>
      </c>
      <c r="CI8" s="6">
        <v>2</v>
      </c>
      <c r="CJ8" s="6">
        <v>3</v>
      </c>
      <c r="CK8" s="6">
        <v>4</v>
      </c>
      <c r="CM8" s="6">
        <v>1</v>
      </c>
      <c r="CN8" s="6">
        <v>2</v>
      </c>
      <c r="CO8" s="6">
        <v>3</v>
      </c>
      <c r="CP8" s="6">
        <v>4</v>
      </c>
      <c r="CR8" s="6">
        <v>1</v>
      </c>
      <c r="CS8" s="6">
        <v>2</v>
      </c>
      <c r="CT8" s="6">
        <v>3</v>
      </c>
      <c r="CU8" s="6">
        <v>4</v>
      </c>
    </row>
    <row r="9" spans="3:99" ht="14.25">
      <c r="C9" s="16">
        <v>1</v>
      </c>
      <c r="D9" s="19" t="s">
        <v>51</v>
      </c>
      <c r="E9" s="20">
        <f>INDEX([1]武将基本资料!$S:$S,MATCH(D9,[1]武将基本资料!$N:$N,0))</f>
        <v>120</v>
      </c>
      <c r="F9" s="20" t="str">
        <f>INDEX([1]武将基本资料!$Q:$Q,MATCH(D9,[1]武将基本资料!$N:$N,0))</f>
        <v>橙</v>
      </c>
      <c r="H9" s="7">
        <f>IF(I9="","",COUNTA(I$9:$I9))</f>
        <v>1</v>
      </c>
      <c r="I9" s="6" t="s">
        <v>135</v>
      </c>
      <c r="J9" s="6" t="s">
        <v>63</v>
      </c>
      <c r="K9" s="8" t="str">
        <f>IF(H9="","",阶段合并区域(J9:J20," ",L9:L20,1))</f>
        <v>朱亥 专诸 荆轲 赵括</v>
      </c>
      <c r="L9" s="8">
        <f>COUNTIF(M$8:$M9,"="&amp;M9)</f>
        <v>1</v>
      </c>
      <c r="M9" s="9" t="str">
        <f>IF(H9="",M8,I9)</f>
        <v>敢死之士</v>
      </c>
      <c r="N9" s="9" t="str">
        <f>M9&amp;L9</f>
        <v>敢死之士1</v>
      </c>
      <c r="O9" s="15">
        <f>INDEX(C:C,MATCH(J9,D:D,0))</f>
        <v>50</v>
      </c>
      <c r="P9" s="9">
        <f>INDEX(E:E,MATCH(J9,D:D,0))</f>
        <v>100</v>
      </c>
      <c r="Q9" s="7">
        <f t="shared" ref="Q9:Q72" si="0">INDEX($C$9:$C$190,MATCH(J9,$D$9:$D$190,0))</f>
        <v>50</v>
      </c>
      <c r="R9" s="7">
        <f>COUNTIF(J$8:$J9,"="&amp;J9)</f>
        <v>1</v>
      </c>
      <c r="S9" s="7">
        <f t="shared" ref="S9" si="1">R9*1000+Q9</f>
        <v>1050</v>
      </c>
      <c r="U9" s="7">
        <f>U$8*1000+$C9</f>
        <v>1001</v>
      </c>
      <c r="V9" s="7">
        <f t="shared" ref="V9:AB24" si="2">V$8*1000+$C9</f>
        <v>2001</v>
      </c>
      <c r="W9" s="7">
        <f t="shared" si="2"/>
        <v>3001</v>
      </c>
      <c r="X9" s="7">
        <f t="shared" si="2"/>
        <v>4001</v>
      </c>
      <c r="Y9" s="7">
        <f t="shared" si="2"/>
        <v>5001</v>
      </c>
      <c r="Z9" s="7">
        <f t="shared" si="2"/>
        <v>6001</v>
      </c>
      <c r="AA9" s="7">
        <f t="shared" si="2"/>
        <v>7001</v>
      </c>
      <c r="AB9" s="7">
        <f t="shared" si="2"/>
        <v>8001</v>
      </c>
      <c r="AD9" s="21" t="str">
        <f>IFERROR(INDEX($M:$M,MATCH(U9,$S:$S,0)),"&amp;")</f>
        <v>红颜祸水</v>
      </c>
      <c r="AE9" s="21" t="str">
        <f>IFERROR(INDEX($M:$M,MATCH(V9,$S:$S,0)),"&amp;")</f>
        <v>东夷西戎</v>
      </c>
      <c r="AF9" s="21" t="str">
        <f>IFERROR(INDEX($M:$M,MATCH(W9,$S:$S,0)),"&amp;")</f>
        <v>红颜薄命</v>
      </c>
      <c r="AG9" s="21" t="str">
        <f>IFERROR(INDEX($M:$M,MATCH(X9,$S:$S,0)),"&amp;")</f>
        <v>国色天资</v>
      </c>
      <c r="AH9" s="21" t="str">
        <f>IFERROR(INDEX($M:$M,MATCH(Y9,$S:$S,0)),"&amp;")</f>
        <v>金枝玉叶</v>
      </c>
      <c r="AI9" s="21" t="str">
        <f>IFERROR(INDEX($M:$M,MATCH(Z9,$S:$S,0)),"&amp;")</f>
        <v>见血封喉</v>
      </c>
      <c r="AJ9" s="21" t="str">
        <f>IFERROR(INDEX($M:$M,MATCH(AA9,$S:$S,0)),"&amp;")</f>
        <v>擅宠而骄</v>
      </c>
      <c r="AK9" s="21" t="str">
        <f>IFERROR(INDEX($M:$M,MATCH(AB9,$S:$S,0)),"&amp;")</f>
        <v>&amp;</v>
      </c>
      <c r="AM9" s="21" t="str">
        <f>IFERROR(INDEX($N:$N,MATCH(U9,$S:$S,0)),"&amp;")</f>
        <v>红颜祸水1</v>
      </c>
      <c r="AN9" s="21" t="str">
        <f>IFERROR(INDEX($N:$N,MATCH(V9,$S:$S,0)),"&amp;")</f>
        <v>东夷西戎2</v>
      </c>
      <c r="AO9" s="21" t="str">
        <f>IFERROR(INDEX($N:$N,MATCH(W9,$S:$S,0)),"&amp;")</f>
        <v>红颜薄命3</v>
      </c>
      <c r="AP9" s="21" t="str">
        <f>IFERROR(INDEX($N:$N,MATCH(X9,$S:$S,0)),"&amp;")</f>
        <v>国色天资3</v>
      </c>
      <c r="AQ9" s="21" t="str">
        <f>IFERROR(INDEX($N:$N,MATCH(Y9,$S:$S,0)),"&amp;")</f>
        <v>金枝玉叶2</v>
      </c>
      <c r="AR9" s="21" t="str">
        <f>IFERROR(INDEX($N:$N,MATCH(Z9,$S:$S,0)),"&amp;")</f>
        <v>见血封喉2</v>
      </c>
      <c r="AS9" s="21" t="str">
        <f>IFERROR(INDEX($N:$N,MATCH(AA9,$S:$S,0)),"&amp;")</f>
        <v>擅宠而骄2</v>
      </c>
      <c r="AT9" s="21" t="str">
        <f>IFERROR(INDEX($N:$N,MATCH(AB9,$S:$S,0)),"&amp;")</f>
        <v>&amp;</v>
      </c>
      <c r="AV9" s="21" t="str">
        <f>IFERROR(SUBSTITUTE(INDEX($K:$K,MATCH(INDEX($M:$M,MATCH(AM9,$N:$N,0)),$M:$M,0)),$D9,""),"")</f>
        <v xml:space="preserve"> 西施</v>
      </c>
      <c r="AW9" s="21" t="str">
        <f>IFERROR(SUBSTITUTE(INDEX($K:$K,MATCH(INDEX($M:$M,MATCH(AN9,$N:$N,0)),$M:$M,0)),$D9,""),"")</f>
        <v xml:space="preserve">义渠骇 </v>
      </c>
      <c r="AX9" s="21" t="str">
        <f>IFERROR(SUBSTITUTE(INDEX($K:$K,MATCH(INDEX($M:$M,MATCH(AO9,$N:$N,0)),$M:$M,0)),$D9,""),"")</f>
        <v>褒姒 西施  褒姒 韩非子 屈原 项燕</v>
      </c>
      <c r="AY9" s="21" t="str">
        <f>IFERROR(SUBSTITUTE(INDEX($K:$K,MATCH(INDEX($M:$M,MATCH(AP9,$N:$N,0)),$M:$M,0)),$D9,""),"")</f>
        <v xml:space="preserve">吕雉 西施 </v>
      </c>
      <c r="AZ9" s="21" t="str">
        <f>IFERROR(SUBSTITUTE(INDEX($K:$K,MATCH(INDEX($M:$M,MATCH(AQ9,$N:$N,0)),$M:$M,0)),$D9,""),"")</f>
        <v xml:space="preserve">弄玉 </v>
      </c>
      <c r="BA9" s="21" t="str">
        <f>IFERROR(SUBSTITUTE(INDEX($K:$K,MATCH(INDEX($M:$M,MATCH(AR9,$N:$N,0)),$M:$M,0)),$D9,""),"")</f>
        <v>越女  荆轲</v>
      </c>
      <c r="BB9" s="21" t="str">
        <f>IFERROR(SUBSTITUTE(INDEX($K:$K,MATCH(INDEX($M:$M,MATCH(AS9,$N:$N,0)),$M:$M,0)),$D9,""),"")</f>
        <v xml:space="preserve">陈阿娇 </v>
      </c>
      <c r="BC9" s="21" t="str">
        <f>IFERROR(SUBSTITUTE(INDEX($K:$K,MATCH(INDEX($M:$M,MATCH(AT9,$N:$N,0)),$M:$M,0)),$D9,""),"")</f>
        <v/>
      </c>
      <c r="BE9" s="9" t="str">
        <f>合并区域(BI9:CU9,",")</f>
        <v>骊姬,西施,义渠骇,褒姒,吕雉,弄玉,越女,荆轲,陈阿娇</v>
      </c>
      <c r="BI9" s="9" t="str">
        <f>IFERROR(
IF(COUNTIF($M:$M,$AD9)&lt;BI$8,
"",
INDEX($J:$J,MATCH($AD9,$M:$M,0)+BI$8-1)),
"")</f>
        <v>骊姬</v>
      </c>
      <c r="BJ9" s="9" t="str">
        <f>IFERROR(
IF(COUNTIF($M:$M,$AD9)&lt;BJ$8,
"",
INDEX($J:$J,MATCH($AD9,$M:$M,0)+BJ$8-1)),
"")</f>
        <v>西施</v>
      </c>
      <c r="BK9" s="9" t="str">
        <f>IFERROR(
IF(COUNTIF($M:$M,$AD9)&lt;BK$8,
"",
INDEX($J:$J,MATCH($AD9,$M:$M,0)+BK$8-1)),
"")</f>
        <v/>
      </c>
      <c r="BL9" s="9" t="str">
        <f>IFERROR(
IF(COUNTIF($M:$M,$AD9)&lt;BL$8,
"",
INDEX($J:$J,MATCH($AD9,$M:$M,0)+BL$8-1)),
"")</f>
        <v/>
      </c>
      <c r="BN9" s="21" t="str">
        <f>IFERROR(
IF(COUNTIF($BI9:BM9,INDEX($J:$J,MATCH($AE9,$M:$M,0)+BN$8-1))=0,
IF(COUNTIF($M:$M,$AE9)&lt;BN$8,
"",
INDEX($J:$J,MATCH($AE9,$M:$M,0)+BN$8-1)),
""),
"")</f>
        <v>义渠骇</v>
      </c>
      <c r="BO9" s="21" t="str">
        <f>IFERROR(
IF(COUNTIF($BI9:BN9,INDEX($J:$J,MATCH($AE9,$M:$M,0)+BO$8-1))=0,
IF(COUNTIF($M:$M,$AE9)&lt;BO$8,
"",
INDEX($J:$J,MATCH($AE9,$M:$M,0)+BO$8-1)),
""),
"")</f>
        <v/>
      </c>
      <c r="BP9" s="21" t="str">
        <f>IFERROR(
IF(COUNTIF($BI9:BO9,INDEX($J:$J,MATCH($AE9,$M:$M,0)+BP$8-1))=0,
IF(COUNTIF($M:$M,$AE9)&lt;BP$8,
"",
INDEX($J:$J,MATCH($AE9,$M:$M,0)+BP$8-1)),
""),
"")</f>
        <v/>
      </c>
      <c r="BQ9" s="21" t="str">
        <f>IFERROR(
IF(COUNTIF($BI9:BP9,INDEX($J:$J,MATCH($AE9,$M:$M,0)+BQ$8-1))=0,
IF(COUNTIF($M:$M,$AE9)&lt;BQ$8,
"",
INDEX($J:$J,MATCH($AE9,$M:$M,0)+BQ$8-1)),
""),
"")</f>
        <v/>
      </c>
      <c r="BS9" s="21" t="str">
        <f>IFERROR(
IF(COUNTIF($BI9:BR9,INDEX($J:$J,MATCH($AF9,$M:$M,0)+BS$8-1))=0,
IF(COUNTIF($M:$M,$AF9)&lt;BS$8,
"",
INDEX($J:$J,MATCH($AF9,$M:$M,0)+BS$8-1)),
""),
"")</f>
        <v>褒姒</v>
      </c>
      <c r="BT9" s="21" t="str">
        <f>IFERROR(
IF(COUNTIF($BI9:BS9,INDEX($J:$J,MATCH($AF9,$M:$M,0)+BT$8-1))=0,
IF(COUNTIF($M:$M,$AF9)&lt;BT$8,
"",
INDEX($J:$J,MATCH($AF9,$M:$M,0)+BT$8-1)),
""),
"")</f>
        <v/>
      </c>
      <c r="BU9" s="21" t="str">
        <f>IFERROR(
IF(COUNTIF($BI9:BT9,INDEX($J:$J,MATCH($AF9,$M:$M,0)+BU$8-1))=0,
IF(COUNTIF($M:$M,$AF9)&lt;BU$8,
"",
INDEX($J:$J,MATCH($AF9,$M:$M,0)+BU$8-1)),
""),
"")</f>
        <v/>
      </c>
      <c r="BV9" s="21" t="str">
        <f>IFERROR(
IF(COUNTIF($BI9:BU9,INDEX($J:$J,MATCH($AF9,$M:$M,0)+BV$8-1))=0,
IF(COUNTIF($M:$M,$AF9)&lt;BV$8,
"",
INDEX($J:$J,MATCH($AF9,$M:$M,0)+BV$8-1)),
""),
"")</f>
        <v/>
      </c>
      <c r="BX9" s="21" t="str">
        <f>IFERROR(
IF(COUNTIF($BI9:BW9,INDEX($J:$J,MATCH($AG9,$M:$M,0)+BX$8-1))=0,
IF(COUNTIF($M:$M,$AG9)&lt;BX$8,
"",
INDEX($J:$J,MATCH($AG9,$M:$M,0)+BX$8-1)),
""),
"")</f>
        <v>吕雉</v>
      </c>
      <c r="BY9" s="21" t="str">
        <f>IFERROR(
IF(COUNTIF($BI9:BX9,INDEX($J:$J,MATCH($AG9,$M:$M,0)+BY$8-1))=0,
IF(COUNTIF($M:$M,$AG9)&lt;BY$8,
"",
INDEX($J:$J,MATCH($AG9,$M:$M,0)+BY$8-1)),
""),
"")</f>
        <v/>
      </c>
      <c r="BZ9" s="21" t="str">
        <f>IFERROR(
IF(COUNTIF($BI9:BY9,INDEX($J:$J,MATCH($AG9,$M:$M,0)+BZ$8-1))=0,
IF(COUNTIF($M:$M,$AG9)&lt;BZ$8,
"",
INDEX($J:$J,MATCH($AG9,$M:$M,0)+BZ$8-1)),
""),
"")</f>
        <v/>
      </c>
      <c r="CA9" s="21" t="str">
        <f>IFERROR(
IF(COUNTIF($BI9:BZ9,INDEX($J:$J,MATCH($AG9,$M:$M,0)+CA$8-1))=0,
IF(COUNTIF($M:$M,$AG9)&lt;CA$8,
"",
INDEX($J:$J,MATCH($AG9,$M:$M,0)+CA$8-1)),
""),
"")</f>
        <v/>
      </c>
      <c r="CC9" s="21" t="str">
        <f>IFERROR(
IF(COUNTIF($BI9:CB9,INDEX($J:$J,MATCH($AH9,$M:$M,0)+CC$8-1))=0,
IF(COUNTIF($M:$M,$AH9)&lt;CC$8,
"",
INDEX($J:$J,MATCH($AH9,$M:$M,0)+CC$8-1)),
""),
"")</f>
        <v>弄玉</v>
      </c>
      <c r="CD9" s="21" t="str">
        <f>IFERROR(
IF(COUNTIF($BI9:CC9,INDEX($J:$J,MATCH($AH9,$M:$M,0)+CD$8-1))=0,
IF(COUNTIF($M:$M,$AH9)&lt;CD$8,
"",
INDEX($J:$J,MATCH($AH9,$M:$M,0)+CD$8-1)),
""),
"")</f>
        <v/>
      </c>
      <c r="CE9" s="21" t="str">
        <f>IFERROR(
IF(COUNTIF($BI9:CD9,INDEX($J:$J,MATCH($AH9,$M:$M,0)+CE$8-1))=0,
IF(COUNTIF($M:$M,$AH9)&lt;CE$8,
"",
INDEX($J:$J,MATCH($AH9,$M:$M,0)+CE$8-1)),
""),
"")</f>
        <v/>
      </c>
      <c r="CF9" s="21" t="str">
        <f>IFERROR(
IF(COUNTIF($BI9:CE9,INDEX($J:$J,MATCH($AH9,$M:$M,0)+CF$8-1))=0,
IF(COUNTIF($M:$M,$AH9)&lt;CF$8,
"",
INDEX($J:$J,MATCH($AH9,$M:$M,0)+CF$8-1)),
""),
"")</f>
        <v/>
      </c>
      <c r="CH9" s="21" t="str">
        <f>IFERROR(
IF(COUNTIF($BI9:CG9,INDEX($J:$J,MATCH($AI9,$M:$M,0)+CH$8-1))=0,
IF(COUNTIF($M:$M,$AI9)&lt;CH$8,
"",
INDEX($J:$J,MATCH($AI9,$M:$M,0)+CH$8-1)),
""),
"")</f>
        <v>越女</v>
      </c>
      <c r="CI9" s="21" t="str">
        <f>IFERROR(
IF(COUNTIF($BI9:CH9,INDEX($J:$J,MATCH($AI9,$M:$M,0)+CI$8-1))=0,
IF(COUNTIF($M:$M,$AI9)&lt;CI$8,
"",
INDEX($J:$J,MATCH($AI9,$M:$M,0)+CI$8-1)),
""),
"")</f>
        <v/>
      </c>
      <c r="CJ9" s="21" t="str">
        <f>IFERROR(
IF(COUNTIF($BI9:CI9,INDEX($J:$J,MATCH($AI9,$M:$M,0)+CJ$8-1))=0,
IF(COUNTIF($M:$M,$AI9)&lt;CJ$8,
"",
INDEX($J:$J,MATCH($AI9,$M:$M,0)+CJ$8-1)),
""),
"")</f>
        <v>荆轲</v>
      </c>
      <c r="CK9" s="21" t="str">
        <f>IFERROR(
IF(COUNTIF($BI9:CJ9,INDEX($J:$J,MATCH($AI9,$M:$M,0)+CK$8-1))=0,
IF(COUNTIF($M:$M,$AI9)&lt;CK$8,
"",
INDEX($J:$J,MATCH($AI9,$M:$M,0)+CK$8-1)),
""),
"")</f>
        <v/>
      </c>
      <c r="CM9" s="21" t="str">
        <f>IFERROR(
IF(COUNTIF($BI9:CL9,INDEX($J:$J,MATCH($AJ9,$M:$M,0)+CM$8-1))=0,
IF(COUNTIF($M:$M,$AJ9)&lt;CM$8,
"",
INDEX($J:$J,MATCH($AJ9,$M:$M,0)+CM$8-1)),
""),
"")</f>
        <v>陈阿娇</v>
      </c>
      <c r="CN9" s="21" t="str">
        <f>IFERROR(
IF(COUNTIF($BI9:CM9,INDEX($J:$J,MATCH($AJ9,$M:$M,0)+CN$8-1))=0,
IF(COUNTIF($M:$M,$AJ9)&lt;CN$8,
"",
INDEX($J:$J,MATCH($AJ9,$M:$M,0)+CN$8-1)),
""),
"")</f>
        <v/>
      </c>
      <c r="CO9" s="21" t="str">
        <f>IFERROR(
IF(COUNTIF($BI9:CN9,INDEX($J:$J,MATCH($AJ9,$M:$M,0)+CO$8-1))=0,
IF(COUNTIF($M:$M,$AJ9)&lt;CO$8,
"",
INDEX($J:$J,MATCH($AJ9,$M:$M,0)+CO$8-1)),
""),
"")</f>
        <v/>
      </c>
      <c r="CP9" s="21" t="str">
        <f>IFERROR(
IF(COUNTIF($BI9:CO9,INDEX($J:$J,MATCH($AJ9,$M:$M,0)+CP$8-1))=0,
IF(COUNTIF($M:$M,$AJ9)&lt;CP$8,
"",
INDEX($J:$J,MATCH($AJ9,$M:$M,0)+CP$8-1)),
""),
"")</f>
        <v/>
      </c>
      <c r="CR9" s="21" t="str">
        <f>IFERROR(
IF(COUNTIF($BI9:CQ9,INDEX($J:$J,MATCH($AK9,$M:$M,0)+CR$8-1))=0,
IF(COUNTIF($M:$M,$AK9)&lt;CR$8,
"",
INDEX($J:$J,MATCH($AK9,$M:$M,0)+CR$8-1)),
""),
"")</f>
        <v/>
      </c>
      <c r="CS9" s="21" t="str">
        <f>IFERROR(
IF(COUNTIF($BI9:CR9,INDEX($J:$J,MATCH($AK9,$M:$M,0)+CS$8-1))=0,
IF(COUNTIF($M:$M,$AK9)&lt;CS$8,
"",
INDEX($J:$J,MATCH($AK9,$M:$M,0)+CS$8-1)),
""),
"")</f>
        <v/>
      </c>
      <c r="CT9" s="21" t="str">
        <f>IFERROR(
IF(COUNTIF($BI9:CS9,INDEX($J:$J,MATCH($AK9,$M:$M,0)+CT$8-1))=0,
IF(COUNTIF($M:$M,$AK9)&lt;CT$8,
"",
INDEX($J:$J,MATCH($AK9,$M:$M,0)+CT$8-1)),
""),
"")</f>
        <v/>
      </c>
      <c r="CU9" s="21" t="str">
        <f>IFERROR(
IF(COUNTIF($BI9:CT9,INDEX($J:$J,MATCH($AK9,$M:$M,0)+CU$8-1))=0,
IF(COUNTIF($M:$M,$AK9)&lt;CU$8,
"",
INDEX($J:$J,MATCH($AK9,$M:$M,0)+CU$8-1)),
""),
"")</f>
        <v/>
      </c>
    </row>
    <row r="10" spans="3:99" ht="14.25">
      <c r="C10" s="16">
        <v>2</v>
      </c>
      <c r="D10" s="19" t="s">
        <v>56</v>
      </c>
      <c r="E10" s="20">
        <f>INDEX([1]武将基本资料!$S:$S,MATCH(D10,[1]武将基本资料!$N:$N,0))</f>
        <v>130</v>
      </c>
      <c r="F10" s="20" t="str">
        <f>INDEX([1]武将基本资料!$Q:$Q,MATCH(D10,[1]武将基本资料!$N:$N,0))</f>
        <v>橙+</v>
      </c>
      <c r="H10" s="7" t="str">
        <f>IF(I10="","",COUNTA(I$9:$I10))</f>
        <v/>
      </c>
      <c r="I10" s="6"/>
      <c r="J10" s="6" t="s">
        <v>52</v>
      </c>
      <c r="K10" s="8" t="str">
        <f>IF(H10="","",阶段合并区域(J10:J21," ",L10:L21,1))</f>
        <v/>
      </c>
      <c r="L10" s="8">
        <f>COUNTIF(M$8:$M10,"="&amp;M10)</f>
        <v>2</v>
      </c>
      <c r="M10" s="9" t="str">
        <f t="shared" ref="M10:M73" si="3">IF(H10="",M9,I10)</f>
        <v>敢死之士</v>
      </c>
      <c r="N10" s="9" t="str">
        <f t="shared" ref="N10:N73" si="4">M10&amp;L10</f>
        <v>敢死之士2</v>
      </c>
      <c r="O10" s="15">
        <f>INDEX(C:C,MATCH(J10,D:D,0))</f>
        <v>11</v>
      </c>
      <c r="P10" s="9">
        <f>INDEX(E:E,MATCH(J10,D:D,0))</f>
        <v>110</v>
      </c>
      <c r="Q10" s="7">
        <f t="shared" si="0"/>
        <v>11</v>
      </c>
      <c r="R10" s="7">
        <f>COUNTIF(J$8:$J10,"="&amp;J10)</f>
        <v>1</v>
      </c>
      <c r="S10" s="7">
        <f t="shared" ref="S10:S72" si="5">R10*1000+Q10</f>
        <v>1011</v>
      </c>
      <c r="U10" s="7">
        <f t="shared" ref="U10:AB41" si="6">U$8*1000+$C10</f>
        <v>1002</v>
      </c>
      <c r="V10" s="7">
        <f t="shared" si="2"/>
        <v>2002</v>
      </c>
      <c r="W10" s="7">
        <f t="shared" si="2"/>
        <v>3002</v>
      </c>
      <c r="X10" s="7">
        <f t="shared" si="2"/>
        <v>4002</v>
      </c>
      <c r="Y10" s="7">
        <f t="shared" si="2"/>
        <v>5002</v>
      </c>
      <c r="Z10" s="7">
        <f t="shared" si="2"/>
        <v>6002</v>
      </c>
      <c r="AA10" s="7">
        <f t="shared" si="2"/>
        <v>7002</v>
      </c>
      <c r="AB10" s="7">
        <f t="shared" si="2"/>
        <v>8002</v>
      </c>
      <c r="AD10" s="21" t="str">
        <f>IFERROR(INDEX($M:$M,MATCH(U10,$S:$S,0)),"&amp;")</f>
        <v>&amp;</v>
      </c>
      <c r="AE10" s="21" t="str">
        <f>IFERROR(INDEX($M:$M,MATCH(V10,$S:$S,0)),"&amp;")</f>
        <v>&amp;</v>
      </c>
      <c r="AF10" s="21" t="str">
        <f>IFERROR(INDEX($M:$M,MATCH(W10,$S:$S,0)),"&amp;")</f>
        <v>&amp;</v>
      </c>
      <c r="AG10" s="21" t="str">
        <f>IFERROR(INDEX($M:$M,MATCH(X10,$S:$S,0)),"&amp;")</f>
        <v>&amp;</v>
      </c>
      <c r="AH10" s="21" t="str">
        <f>IFERROR(INDEX($M:$M,MATCH(Y10,$S:$S,0)),"&amp;")</f>
        <v>&amp;</v>
      </c>
      <c r="AI10" s="21" t="str">
        <f>IFERROR(INDEX($M:$M,MATCH(Z10,$S:$S,0)),"&amp;")</f>
        <v>&amp;</v>
      </c>
      <c r="AJ10" s="21" t="str">
        <f>IFERROR(INDEX($M:$M,MATCH(AA10,$S:$S,0)),"&amp;")</f>
        <v>&amp;</v>
      </c>
      <c r="AK10" s="21" t="str">
        <f>IFERROR(INDEX($M:$M,MATCH(AB10,$S:$S,0)),"&amp;")</f>
        <v>&amp;</v>
      </c>
      <c r="AM10" s="21" t="str">
        <f>IFERROR(INDEX($N:$N,MATCH(U10,$S:$S,0)),"&amp;")</f>
        <v>&amp;</v>
      </c>
      <c r="AN10" s="21" t="str">
        <f>IFERROR(INDEX($N:$N,MATCH(V10,$S:$S,0)),"&amp;")</f>
        <v>&amp;</v>
      </c>
      <c r="AO10" s="21" t="str">
        <f>IFERROR(INDEX($N:$N,MATCH(W10,$S:$S,0)),"&amp;")</f>
        <v>&amp;</v>
      </c>
      <c r="AP10" s="21" t="str">
        <f>IFERROR(INDEX($N:$N,MATCH(X10,$S:$S,0)),"&amp;")</f>
        <v>&amp;</v>
      </c>
      <c r="AQ10" s="21" t="str">
        <f>IFERROR(INDEX($N:$N,MATCH(Y10,$S:$S,0)),"&amp;")</f>
        <v>&amp;</v>
      </c>
      <c r="AR10" s="21" t="str">
        <f>IFERROR(INDEX($N:$N,MATCH(Z10,$S:$S,0)),"&amp;")</f>
        <v>&amp;</v>
      </c>
      <c r="AS10" s="21" t="str">
        <f>IFERROR(INDEX($N:$N,MATCH(AA10,$S:$S,0)),"&amp;")</f>
        <v>&amp;</v>
      </c>
      <c r="AT10" s="21" t="str">
        <f>IFERROR(INDEX($N:$N,MATCH(AB10,$S:$S,0)),"&amp;")</f>
        <v>&amp;</v>
      </c>
      <c r="AV10" s="21" t="str">
        <f>IFERROR(SUBSTITUTE(INDEX($K:$K,MATCH(INDEX($M:$M,MATCH(AM10,$N:$N,0)),$M:$M,0)),$D10,""),"")</f>
        <v/>
      </c>
      <c r="AW10" s="21" t="str">
        <f>IFERROR(SUBSTITUTE(INDEX($K:$K,MATCH(INDEX($M:$M,MATCH(AN10,$N:$N,0)),$M:$M,0)),$D10,""),"")</f>
        <v/>
      </c>
      <c r="AX10" s="21" t="str">
        <f>IFERROR(SUBSTITUTE(INDEX($K:$K,MATCH(INDEX($M:$M,MATCH(AO10,$N:$N,0)),$M:$M,0)),$D10,""),"")</f>
        <v/>
      </c>
      <c r="AY10" s="21" t="str">
        <f>IFERROR(SUBSTITUTE(INDEX($K:$K,MATCH(INDEX($M:$M,MATCH(AP10,$N:$N,0)),$M:$M,0)),$D10,""),"")</f>
        <v/>
      </c>
      <c r="AZ10" s="21" t="str">
        <f>IFERROR(SUBSTITUTE(INDEX($K:$K,MATCH(INDEX($M:$M,MATCH(AQ10,$N:$N,0)),$M:$M,0)),$D10,""),"")</f>
        <v/>
      </c>
      <c r="BA10" s="21" t="str">
        <f>IFERROR(SUBSTITUTE(INDEX($K:$K,MATCH(INDEX($M:$M,MATCH(AR10,$N:$N,0)),$M:$M,0)),$D10,""),"")</f>
        <v/>
      </c>
      <c r="BB10" s="21" t="str">
        <f>IFERROR(SUBSTITUTE(INDEX($K:$K,MATCH(INDEX($M:$M,MATCH(AS10,$N:$N,0)),$M:$M,0)),$D10,""),"")</f>
        <v/>
      </c>
      <c r="BC10" s="21" t="str">
        <f>IFERROR(SUBSTITUTE(INDEX($K:$K,MATCH(INDEX($M:$M,MATCH(AT10,$N:$N,0)),$M:$M,0)),$D10,""),"")</f>
        <v/>
      </c>
      <c r="BE10" s="9" t="str">
        <f t="shared" ref="BE10:BE73" si="7">合并区域(BI10:CU10,",")</f>
        <v/>
      </c>
      <c r="BI10" s="9" t="str">
        <f>IFERROR(
IF(COUNTIF($M:$M,$AD10)&lt;BI$8,
"",
INDEX($J:$J,MATCH($AD10,$M:$M,0)+BI$8-1)),
"")</f>
        <v/>
      </c>
      <c r="BJ10" s="9" t="str">
        <f>IFERROR(
IF(COUNTIF($M:$M,$AD10)&lt;BJ$8,
"",
INDEX($J:$J,MATCH($AD10,$M:$M,0)+BJ$8-1)),
"")</f>
        <v/>
      </c>
      <c r="BK10" s="9" t="str">
        <f>IFERROR(
IF(COUNTIF($M:$M,$AD10)&lt;BK$8,
"",
INDEX($J:$J,MATCH($AD10,$M:$M,0)+BK$8-1)),
"")</f>
        <v/>
      </c>
      <c r="BL10" s="9" t="str">
        <f>IFERROR(
IF(COUNTIF($M:$M,$AD10)&lt;BL$8,
"",
INDEX($J:$J,MATCH($AD10,$M:$M,0)+BL$8-1)),
"")</f>
        <v/>
      </c>
      <c r="BN10" s="21" t="str">
        <f>IFERROR(
IF(COUNTIF($BI10:BM10,INDEX($J:$J,MATCH($AE10,$M:$M,0)+BN$8-1))=0,
IF(COUNTIF($M:$M,$AE10)&lt;BN$8,
"",
INDEX($J:$J,MATCH($AE10,$M:$M,0)+BN$8-1)),
""),
"")</f>
        <v/>
      </c>
      <c r="BO10" s="21" t="str">
        <f>IFERROR(
IF(COUNTIF($BI10:BN10,INDEX($J:$J,MATCH($AE10,$M:$M,0)+BO$8-1))=0,
IF(COUNTIF($M:$M,$AE10)&lt;BO$8,
"",
INDEX($J:$J,MATCH($AE10,$M:$M,0)+BO$8-1)),
""),
"")</f>
        <v/>
      </c>
      <c r="BP10" s="21" t="str">
        <f>IFERROR(
IF(COUNTIF($BI10:BO10,INDEX($J:$J,MATCH($AE10,$M:$M,0)+BP$8-1))=0,
IF(COUNTIF($M:$M,$AE10)&lt;BP$8,
"",
INDEX($J:$J,MATCH($AE10,$M:$M,0)+BP$8-1)),
""),
"")</f>
        <v/>
      </c>
      <c r="BQ10" s="21" t="str">
        <f>IFERROR(
IF(COUNTIF($BI10:BP10,INDEX($J:$J,MATCH($AE10,$M:$M,0)+BQ$8-1))=0,
IF(COUNTIF($M:$M,$AE10)&lt;BQ$8,
"",
INDEX($J:$J,MATCH($AE10,$M:$M,0)+BQ$8-1)),
""),
"")</f>
        <v/>
      </c>
      <c r="BS10" s="21" t="str">
        <f>IFERROR(
IF(COUNTIF($BI10:BR10,INDEX($J:$J,MATCH($AF10,$M:$M,0)+BS$8-1))=0,
IF(COUNTIF($M:$M,$AF10)&lt;BS$8,
"",
INDEX($J:$J,MATCH($AF10,$M:$M,0)+BS$8-1)),
""),
"")</f>
        <v/>
      </c>
      <c r="BT10" s="21" t="str">
        <f>IFERROR(
IF(COUNTIF($BI10:BS10,INDEX($J:$J,MATCH($AF10,$M:$M,0)+BT$8-1))=0,
IF(COUNTIF($M:$M,$AF10)&lt;BT$8,
"",
INDEX($J:$J,MATCH($AF10,$M:$M,0)+BT$8-1)),
""),
"")</f>
        <v/>
      </c>
      <c r="BU10" s="21" t="str">
        <f>IFERROR(
IF(COUNTIF($BI10:BT10,INDEX($J:$J,MATCH($AF10,$M:$M,0)+BU$8-1))=0,
IF(COUNTIF($M:$M,$AF10)&lt;BU$8,
"",
INDEX($J:$J,MATCH($AF10,$M:$M,0)+BU$8-1)),
""),
"")</f>
        <v/>
      </c>
      <c r="BV10" s="21" t="str">
        <f>IFERROR(
IF(COUNTIF($BI10:BU10,INDEX($J:$J,MATCH($AF10,$M:$M,0)+BV$8-1))=0,
IF(COUNTIF($M:$M,$AF10)&lt;BV$8,
"",
INDEX($J:$J,MATCH($AF10,$M:$M,0)+BV$8-1)),
""),
"")</f>
        <v/>
      </c>
      <c r="BX10" s="21" t="str">
        <f>IFERROR(
IF(COUNTIF($BI10:BW10,INDEX($J:$J,MATCH($AG10,$M:$M,0)+BX$8-1))=0,
IF(COUNTIF($M:$M,$AG10)&lt;BX$8,
"",
INDEX($J:$J,MATCH($AG10,$M:$M,0)+BX$8-1)),
""),
"")</f>
        <v/>
      </c>
      <c r="BY10" s="21" t="str">
        <f>IFERROR(
IF(COUNTIF($BI10:BX10,INDEX($J:$J,MATCH($AG10,$M:$M,0)+BY$8-1))=0,
IF(COUNTIF($M:$M,$AG10)&lt;BY$8,
"",
INDEX($J:$J,MATCH($AG10,$M:$M,0)+BY$8-1)),
""),
"")</f>
        <v/>
      </c>
      <c r="BZ10" s="21" t="str">
        <f>IFERROR(
IF(COUNTIF($BI10:BY10,INDEX($J:$J,MATCH($AG10,$M:$M,0)+BZ$8-1))=0,
IF(COUNTIF($M:$M,$AG10)&lt;BZ$8,
"",
INDEX($J:$J,MATCH($AG10,$M:$M,0)+BZ$8-1)),
""),
"")</f>
        <v/>
      </c>
      <c r="CA10" s="21" t="str">
        <f>IFERROR(
IF(COUNTIF($BI10:BZ10,INDEX($J:$J,MATCH($AG10,$M:$M,0)+CA$8-1))=0,
IF(COUNTIF($M:$M,$AG10)&lt;CA$8,
"",
INDEX($J:$J,MATCH($AG10,$M:$M,0)+CA$8-1)),
""),
"")</f>
        <v/>
      </c>
      <c r="CC10" s="21" t="str">
        <f>IFERROR(
IF(COUNTIF($BI10:CB10,INDEX($J:$J,MATCH($AH10,$M:$M,0)+CC$8-1))=0,
IF(COUNTIF($M:$M,$AH10)&lt;CC$8,
"",
INDEX($J:$J,MATCH($AH10,$M:$M,0)+CC$8-1)),
""),
"")</f>
        <v/>
      </c>
      <c r="CD10" s="21" t="str">
        <f>IFERROR(
IF(COUNTIF($BI10:CC10,INDEX($J:$J,MATCH($AH10,$M:$M,0)+CD$8-1))=0,
IF(COUNTIF($M:$M,$AH10)&lt;CD$8,
"",
INDEX($J:$J,MATCH($AH10,$M:$M,0)+CD$8-1)),
""),
"")</f>
        <v/>
      </c>
      <c r="CE10" s="21" t="str">
        <f>IFERROR(
IF(COUNTIF($BI10:CD10,INDEX($J:$J,MATCH($AH10,$M:$M,0)+CE$8-1))=0,
IF(COUNTIF($M:$M,$AH10)&lt;CE$8,
"",
INDEX($J:$J,MATCH($AH10,$M:$M,0)+CE$8-1)),
""),
"")</f>
        <v/>
      </c>
      <c r="CF10" s="21" t="str">
        <f>IFERROR(
IF(COUNTIF($BI10:CE10,INDEX($J:$J,MATCH($AH10,$M:$M,0)+CF$8-1))=0,
IF(COUNTIF($M:$M,$AH10)&lt;CF$8,
"",
INDEX($J:$J,MATCH($AH10,$M:$M,0)+CF$8-1)),
""),
"")</f>
        <v/>
      </c>
      <c r="CH10" s="21" t="str">
        <f>IFERROR(
IF(COUNTIF($BI10:CG10,INDEX($J:$J,MATCH($AI10,$M:$M,0)+CH$8-1))=0,
IF(COUNTIF($M:$M,$AI10)&lt;CH$8,
"",
INDEX($J:$J,MATCH($AI10,$M:$M,0)+CH$8-1)),
""),
"")</f>
        <v/>
      </c>
      <c r="CI10" s="21" t="str">
        <f>IFERROR(
IF(COUNTIF($BI10:CH10,INDEX($J:$J,MATCH($AI10,$M:$M,0)+CI$8-1))=0,
IF(COUNTIF($M:$M,$AI10)&lt;CI$8,
"",
INDEX($J:$J,MATCH($AI10,$M:$M,0)+CI$8-1)),
""),
"")</f>
        <v/>
      </c>
      <c r="CJ10" s="21" t="str">
        <f>IFERROR(
IF(COUNTIF($BI10:CI10,INDEX($J:$J,MATCH($AI10,$M:$M,0)+CJ$8-1))=0,
IF(COUNTIF($M:$M,$AI10)&lt;CJ$8,
"",
INDEX($J:$J,MATCH($AI10,$M:$M,0)+CJ$8-1)),
""),
"")</f>
        <v/>
      </c>
      <c r="CK10" s="21" t="str">
        <f>IFERROR(
IF(COUNTIF($BI10:CJ10,INDEX($J:$J,MATCH($AI10,$M:$M,0)+CK$8-1))=0,
IF(COUNTIF($M:$M,$AI10)&lt;CK$8,
"",
INDEX($J:$J,MATCH($AI10,$M:$M,0)+CK$8-1)),
""),
"")</f>
        <v/>
      </c>
      <c r="CM10" s="21" t="str">
        <f>IFERROR(
IF(COUNTIF($BI10:CL10,INDEX($J:$J,MATCH($AJ10,$M:$M,0)+CM$8-1))=0,
IF(COUNTIF($M:$M,$AJ10)&lt;CM$8,
"",
INDEX($J:$J,MATCH($AJ10,$M:$M,0)+CM$8-1)),
""),
"")</f>
        <v/>
      </c>
      <c r="CN10" s="21" t="str">
        <f>IFERROR(
IF(COUNTIF($BI10:CM10,INDEX($J:$J,MATCH($AJ10,$M:$M,0)+CN$8-1))=0,
IF(COUNTIF($M:$M,$AJ10)&lt;CN$8,
"",
INDEX($J:$J,MATCH($AJ10,$M:$M,0)+CN$8-1)),
""),
"")</f>
        <v/>
      </c>
      <c r="CO10" s="21" t="str">
        <f>IFERROR(
IF(COUNTIF($BI10:CN10,INDEX($J:$J,MATCH($AJ10,$M:$M,0)+CO$8-1))=0,
IF(COUNTIF($M:$M,$AJ10)&lt;CO$8,
"",
INDEX($J:$J,MATCH($AJ10,$M:$M,0)+CO$8-1)),
""),
"")</f>
        <v/>
      </c>
      <c r="CP10" s="21" t="str">
        <f>IFERROR(
IF(COUNTIF($BI10:CO10,INDEX($J:$J,MATCH($AJ10,$M:$M,0)+CP$8-1))=0,
IF(COUNTIF($M:$M,$AJ10)&lt;CP$8,
"",
INDEX($J:$J,MATCH($AJ10,$M:$M,0)+CP$8-1)),
""),
"")</f>
        <v/>
      </c>
      <c r="CR10" s="21" t="str">
        <f>IFERROR(
IF(COUNTIF($BI10:CQ10,INDEX($J:$J,MATCH($AK10,$M:$M,0)+CR$8-1))=0,
IF(COUNTIF($M:$M,$AK10)&lt;CR$8,
"",
INDEX($J:$J,MATCH($AK10,$M:$M,0)+CR$8-1)),
""),
"")</f>
        <v/>
      </c>
      <c r="CS10" s="21" t="str">
        <f>IFERROR(
IF(COUNTIF($BI10:CR10,INDEX($J:$J,MATCH($AK10,$M:$M,0)+CS$8-1))=0,
IF(COUNTIF($M:$M,$AK10)&lt;CS$8,
"",
INDEX($J:$J,MATCH($AK10,$M:$M,0)+CS$8-1)),
""),
"")</f>
        <v/>
      </c>
      <c r="CT10" s="21" t="str">
        <f>IFERROR(
IF(COUNTIF($BI10:CS10,INDEX($J:$J,MATCH($AK10,$M:$M,0)+CT$8-1))=0,
IF(COUNTIF($M:$M,$AK10)&lt;CT$8,
"",
INDEX($J:$J,MATCH($AK10,$M:$M,0)+CT$8-1)),
""),
"")</f>
        <v/>
      </c>
      <c r="CU10" s="21" t="str">
        <f>IFERROR(
IF(COUNTIF($BI10:CT10,INDEX($J:$J,MATCH($AK10,$M:$M,0)+CU$8-1))=0,
IF(COUNTIF($M:$M,$AK10)&lt;CU$8,
"",
INDEX($J:$J,MATCH($AK10,$M:$M,0)+CU$8-1)),
""),
"")</f>
        <v/>
      </c>
    </row>
    <row r="11" spans="3:99" ht="14.25">
      <c r="C11" s="16">
        <v>3</v>
      </c>
      <c r="D11" s="19" t="s">
        <v>53</v>
      </c>
      <c r="E11" s="20">
        <f>INDEX([1]武将基本资料!$S:$S,MATCH(D11,[1]武将基本资料!$N:$N,0))</f>
        <v>120</v>
      </c>
      <c r="F11" s="20" t="str">
        <f>INDEX([1]武将基本资料!$Q:$Q,MATCH(D11,[1]武将基本资料!$N:$N,0))</f>
        <v>橙</v>
      </c>
      <c r="H11" s="7" t="str">
        <f>IF(I11="","",COUNTA(I$9:$I11))</f>
        <v/>
      </c>
      <c r="I11" s="6" t="s">
        <v>188</v>
      </c>
      <c r="J11" s="6" t="s">
        <v>62</v>
      </c>
      <c r="K11" s="8" t="str">
        <f>IF(H11="","",阶段合并区域(J11:J21," ",L11:L21,1))</f>
        <v/>
      </c>
      <c r="L11" s="8">
        <f>COUNTIF(M$8:$M11,"="&amp;M11)</f>
        <v>3</v>
      </c>
      <c r="M11" s="9" t="str">
        <f>IF(H11="",M9,I11)</f>
        <v>敢死之士</v>
      </c>
      <c r="N11" s="9" t="str">
        <f t="shared" ref="N11" si="8">M11&amp;L11</f>
        <v>敢死之士3</v>
      </c>
      <c r="O11" s="15">
        <f>INDEX(C:C,MATCH(J11,D:D,0))</f>
        <v>56</v>
      </c>
      <c r="P11" s="9">
        <f>INDEX(E:E,MATCH(J11,D:D,0))</f>
        <v>120</v>
      </c>
      <c r="Q11" s="7">
        <f t="shared" si="0"/>
        <v>56</v>
      </c>
      <c r="R11" s="7">
        <f>COUNTIF(J$8:$J11,"="&amp;J11)</f>
        <v>1</v>
      </c>
      <c r="S11" s="7">
        <f t="shared" si="5"/>
        <v>1056</v>
      </c>
      <c r="U11" s="7">
        <f t="shared" si="6"/>
        <v>1003</v>
      </c>
      <c r="V11" s="7">
        <f t="shared" si="2"/>
        <v>2003</v>
      </c>
      <c r="W11" s="7">
        <f t="shared" si="2"/>
        <v>3003</v>
      </c>
      <c r="X11" s="7">
        <f t="shared" si="2"/>
        <v>4003</v>
      </c>
      <c r="Y11" s="7">
        <f t="shared" si="2"/>
        <v>5003</v>
      </c>
      <c r="Z11" s="7">
        <f t="shared" si="2"/>
        <v>6003</v>
      </c>
      <c r="AA11" s="7">
        <f t="shared" si="2"/>
        <v>7003</v>
      </c>
      <c r="AB11" s="7">
        <f t="shared" si="2"/>
        <v>8003</v>
      </c>
      <c r="AD11" s="21" t="str">
        <f>IFERROR(INDEX($M:$M,MATCH(U11,$S:$S,0)),"&amp;")</f>
        <v>穷兵黩武</v>
      </c>
      <c r="AE11" s="21" t="str">
        <f>IFERROR(INDEX($M:$M,MATCH(V11,$S:$S,0)),"&amp;")</f>
        <v>南征北战</v>
      </c>
      <c r="AF11" s="21" t="str">
        <f>IFERROR(INDEX($M:$M,MATCH(W11,$S:$S,0)),"&amp;")</f>
        <v>东夷西戎</v>
      </c>
      <c r="AG11" s="21" t="str">
        <f>IFERROR(INDEX($M:$M,MATCH(X11,$S:$S,0)),"&amp;")</f>
        <v>野心勃勃</v>
      </c>
      <c r="AH11" s="21" t="str">
        <f>IFERROR(INDEX($M:$M,MATCH(Y11,$S:$S,0)),"&amp;")</f>
        <v>恩怨情仇</v>
      </c>
      <c r="AI11" s="21" t="str">
        <f>IFERROR(INDEX($M:$M,MATCH(Z11,$S:$S,0)),"&amp;")</f>
        <v>起兵边蛮</v>
      </c>
      <c r="AJ11" s="21" t="str">
        <f>IFERROR(INDEX($M:$M,MATCH(AA11,$S:$S,0)),"&amp;")</f>
        <v>反复无常</v>
      </c>
      <c r="AK11" s="21" t="str">
        <f>IFERROR(INDEX($M:$M,MATCH(AB11,$S:$S,0)),"&amp;")</f>
        <v>&amp;</v>
      </c>
      <c r="AM11" s="21" t="str">
        <f>IFERROR(INDEX($N:$N,MATCH(U11,$S:$S,0)),"&amp;")</f>
        <v>穷兵黩武3</v>
      </c>
      <c r="AN11" s="21" t="str">
        <f>IFERROR(INDEX($N:$N,MATCH(V11,$S:$S,0)),"&amp;")</f>
        <v>南征北战2</v>
      </c>
      <c r="AO11" s="21" t="str">
        <f>IFERROR(INDEX($N:$N,MATCH(W11,$S:$S,0)),"&amp;")</f>
        <v>东夷西戎1</v>
      </c>
      <c r="AP11" s="21" t="str">
        <f>IFERROR(INDEX($N:$N,MATCH(X11,$S:$S,0)),"&amp;")</f>
        <v>野心勃勃3</v>
      </c>
      <c r="AQ11" s="21" t="str">
        <f>IFERROR(INDEX($N:$N,MATCH(Y11,$S:$S,0)),"&amp;")</f>
        <v>恩怨情仇3</v>
      </c>
      <c r="AR11" s="21" t="str">
        <f>IFERROR(INDEX($N:$N,MATCH(Z11,$S:$S,0)),"&amp;")</f>
        <v>起兵边蛮2</v>
      </c>
      <c r="AS11" s="21" t="str">
        <f>IFERROR(INDEX($N:$N,MATCH(AA11,$S:$S,0)),"&amp;")</f>
        <v>反复无常3</v>
      </c>
      <c r="AT11" s="21" t="str">
        <f>IFERROR(INDEX($N:$N,MATCH(AB11,$S:$S,0)),"&amp;")</f>
        <v>&amp;</v>
      </c>
      <c r="AV11" s="21" t="str">
        <f>IFERROR(SUBSTITUTE(INDEX($K:$K,MATCH(INDEX($M:$M,MATCH(AM11,$N:$N,0)),$M:$M,0)),$D11,""),"")</f>
        <v xml:space="preserve">春申君 庞涓 </v>
      </c>
      <c r="AW11" s="21" t="str">
        <f>IFERROR(SUBSTITUTE(INDEX($K:$K,MATCH(INDEX($M:$M,MATCH(AN11,$N:$N,0)),$M:$M,0)),$D11,""),"")</f>
        <v>乐毅  樗里疾</v>
      </c>
      <c r="AX11" s="21" t="str">
        <f>IFERROR(SUBSTITUTE(INDEX($K:$K,MATCH(INDEX($M:$M,MATCH(AO11,$N:$N,0)),$M:$M,0)),$D11,""),"")</f>
        <v xml:space="preserve"> 骊姬</v>
      </c>
      <c r="AY11" s="21" t="str">
        <f>IFERROR(SUBSTITUTE(INDEX($K:$K,MATCH(INDEX($M:$M,MATCH(AP11,$N:$N,0)),$M:$M,0)),$D11,""),"")</f>
        <v>晋文公 吕不韦  孙膑</v>
      </c>
      <c r="AZ11" s="21" t="str">
        <f>IFERROR(SUBSTITUTE(INDEX($K:$K,MATCH(INDEX($M:$M,MATCH(AQ11,$N:$N,0)),$M:$M,0)),$D11,""),"")</f>
        <v>嬴政 秦武王  荆轲</v>
      </c>
      <c r="BA11" s="21" t="str">
        <f>IFERROR(SUBSTITUTE(INDEX($K:$K,MATCH(INDEX($M:$M,MATCH(AR11,$N:$N,0)),$M:$M,0)),$D11,""),"")</f>
        <v xml:space="preserve">董卓 </v>
      </c>
      <c r="BB11" s="21" t="str">
        <f>IFERROR(SUBSTITUTE(INDEX($K:$K,MATCH(INDEX($M:$M,MATCH(AS11,$N:$N,0)),$M:$M,0)),$D11,""),"")</f>
        <v xml:space="preserve">吕布 彭越 </v>
      </c>
      <c r="BC11" s="21" t="str">
        <f>IFERROR(SUBSTITUTE(INDEX($K:$K,MATCH(INDEX($M:$M,MATCH(AT11,$N:$N,0)),$M:$M,0)),$D11,""),"")</f>
        <v/>
      </c>
      <c r="BE11" s="9" t="str">
        <f t="shared" si="7"/>
        <v>春申君,庞涓,义渠骇,乐毅,樗里疾,骊姬,晋文公,吕不韦,孙膑,嬴政,秦武王,荆轲,董卓,吕布,彭越</v>
      </c>
      <c r="BI11" s="9" t="str">
        <f>IFERROR(
IF(COUNTIF($M:$M,$AD11)&lt;BI$8,
"",
INDEX($J:$J,MATCH($AD11,$M:$M,0)+BI$8-1)),
"")</f>
        <v>春申君</v>
      </c>
      <c r="BJ11" s="9" t="str">
        <f>IFERROR(
IF(COUNTIF($M:$M,$AD11)&lt;BJ$8,
"",
INDEX($J:$J,MATCH($AD11,$M:$M,0)+BJ$8-1)),
"")</f>
        <v>庞涓</v>
      </c>
      <c r="BK11" s="9" t="str">
        <f>IFERROR(
IF(COUNTIF($M:$M,$AD11)&lt;BK$8,
"",
INDEX($J:$J,MATCH($AD11,$M:$M,0)+BK$8-1)),
"")</f>
        <v>义渠骇</v>
      </c>
      <c r="BL11" s="9" t="str">
        <f>IFERROR(
IF(COUNTIF($M:$M,$AD11)&lt;BL$8,
"",
INDEX($J:$J,MATCH($AD11,$M:$M,0)+BL$8-1)),
"")</f>
        <v/>
      </c>
      <c r="BN11" s="21" t="str">
        <f>IFERROR(
IF(COUNTIF($BI11:BM11,INDEX($J:$J,MATCH($AE11,$M:$M,0)+BN$8-1))=0,
IF(COUNTIF($M:$M,$AE11)&lt;BN$8,
"",
INDEX($J:$J,MATCH($AE11,$M:$M,0)+BN$8-1)),
""),
"")</f>
        <v>乐毅</v>
      </c>
      <c r="BO11" s="21" t="str">
        <f>IFERROR(
IF(COUNTIF($BI11:BN11,INDEX($J:$J,MATCH($AE11,$M:$M,0)+BO$8-1))=0,
IF(COUNTIF($M:$M,$AE11)&lt;BO$8,
"",
INDEX($J:$J,MATCH($AE11,$M:$M,0)+BO$8-1)),
""),
"")</f>
        <v/>
      </c>
      <c r="BP11" s="21" t="str">
        <f>IFERROR(
IF(COUNTIF($BI11:BO11,INDEX($J:$J,MATCH($AE11,$M:$M,0)+BP$8-1))=0,
IF(COUNTIF($M:$M,$AE11)&lt;BP$8,
"",
INDEX($J:$J,MATCH($AE11,$M:$M,0)+BP$8-1)),
""),
"")</f>
        <v>樗里疾</v>
      </c>
      <c r="BQ11" s="21" t="str">
        <f>IFERROR(
IF(COUNTIF($BI11:BP11,INDEX($J:$J,MATCH($AE11,$M:$M,0)+BQ$8-1))=0,
IF(COUNTIF($M:$M,$AE11)&lt;BQ$8,
"",
INDEX($J:$J,MATCH($AE11,$M:$M,0)+BQ$8-1)),
""),
"")</f>
        <v/>
      </c>
      <c r="BS11" s="21" t="str">
        <f>IFERROR(
IF(COUNTIF($BI11:BR11,INDEX($J:$J,MATCH($AF11,$M:$M,0)+BS$8-1))=0,
IF(COUNTIF($M:$M,$AF11)&lt;BS$8,
"",
INDEX($J:$J,MATCH($AF11,$M:$M,0)+BS$8-1)),
""),
"")</f>
        <v/>
      </c>
      <c r="BT11" s="21" t="str">
        <f>IFERROR(
IF(COUNTIF($BI11:BS11,INDEX($J:$J,MATCH($AF11,$M:$M,0)+BT$8-1))=0,
IF(COUNTIF($M:$M,$AF11)&lt;BT$8,
"",
INDEX($J:$J,MATCH($AF11,$M:$M,0)+BT$8-1)),
""),
"")</f>
        <v>骊姬</v>
      </c>
      <c r="BU11" s="21" t="str">
        <f>IFERROR(
IF(COUNTIF($BI11:BT11,INDEX($J:$J,MATCH($AF11,$M:$M,0)+BU$8-1))=0,
IF(COUNTIF($M:$M,$AF11)&lt;BU$8,
"",
INDEX($J:$J,MATCH($AF11,$M:$M,0)+BU$8-1)),
""),
"")</f>
        <v/>
      </c>
      <c r="BV11" s="21" t="str">
        <f>IFERROR(
IF(COUNTIF($BI11:BU11,INDEX($J:$J,MATCH($AF11,$M:$M,0)+BV$8-1))=0,
IF(COUNTIF($M:$M,$AF11)&lt;BV$8,
"",
INDEX($J:$J,MATCH($AF11,$M:$M,0)+BV$8-1)),
""),
"")</f>
        <v/>
      </c>
      <c r="BX11" s="21" t="str">
        <f>IFERROR(
IF(COUNTIF($BI11:BW11,INDEX($J:$J,MATCH($AG11,$M:$M,0)+BX$8-1))=0,
IF(COUNTIF($M:$M,$AG11)&lt;BX$8,
"",
INDEX($J:$J,MATCH($AG11,$M:$M,0)+BX$8-1)),
""),
"")</f>
        <v>晋文公</v>
      </c>
      <c r="BY11" s="21" t="str">
        <f>IFERROR(
IF(COUNTIF($BI11:BX11,INDEX($J:$J,MATCH($AG11,$M:$M,0)+BY$8-1))=0,
IF(COUNTIF($M:$M,$AG11)&lt;BY$8,
"",
INDEX($J:$J,MATCH($AG11,$M:$M,0)+BY$8-1)),
""),
"")</f>
        <v>吕不韦</v>
      </c>
      <c r="BZ11" s="21" t="str">
        <f>IFERROR(
IF(COUNTIF($BI11:BY11,INDEX($J:$J,MATCH($AG11,$M:$M,0)+BZ$8-1))=0,
IF(COUNTIF($M:$M,$AG11)&lt;BZ$8,
"",
INDEX($J:$J,MATCH($AG11,$M:$M,0)+BZ$8-1)),
""),
"")</f>
        <v/>
      </c>
      <c r="CA11" s="21" t="str">
        <f>IFERROR(
IF(COUNTIF($BI11:BZ11,INDEX($J:$J,MATCH($AG11,$M:$M,0)+CA$8-1))=0,
IF(COUNTIF($M:$M,$AG11)&lt;CA$8,
"",
INDEX($J:$J,MATCH($AG11,$M:$M,0)+CA$8-1)),
""),
"")</f>
        <v>孙膑</v>
      </c>
      <c r="CC11" s="21" t="str">
        <f>IFERROR(
IF(COUNTIF($BI11:CB11,INDEX($J:$J,MATCH($AH11,$M:$M,0)+CC$8-1))=0,
IF(COUNTIF($M:$M,$AH11)&lt;CC$8,
"",
INDEX($J:$J,MATCH($AH11,$M:$M,0)+CC$8-1)),
""),
"")</f>
        <v>嬴政</v>
      </c>
      <c r="CD11" s="21" t="str">
        <f>IFERROR(
IF(COUNTIF($BI11:CC11,INDEX($J:$J,MATCH($AH11,$M:$M,0)+CD$8-1))=0,
IF(COUNTIF($M:$M,$AH11)&lt;CD$8,
"",
INDEX($J:$J,MATCH($AH11,$M:$M,0)+CD$8-1)),
""),
"")</f>
        <v>秦武王</v>
      </c>
      <c r="CE11" s="21" t="str">
        <f>IFERROR(
IF(COUNTIF($BI11:CD11,INDEX($J:$J,MATCH($AH11,$M:$M,0)+CE$8-1))=0,
IF(COUNTIF($M:$M,$AH11)&lt;CE$8,
"",
INDEX($J:$J,MATCH($AH11,$M:$M,0)+CE$8-1)),
""),
"")</f>
        <v/>
      </c>
      <c r="CF11" s="21" t="str">
        <f>IFERROR(
IF(COUNTIF($BI11:CE11,INDEX($J:$J,MATCH($AH11,$M:$M,0)+CF$8-1))=0,
IF(COUNTIF($M:$M,$AH11)&lt;CF$8,
"",
INDEX($J:$J,MATCH($AH11,$M:$M,0)+CF$8-1)),
""),
"")</f>
        <v>荆轲</v>
      </c>
      <c r="CH11" s="21" t="str">
        <f>IFERROR(
IF(COUNTIF($BI11:CG11,INDEX($J:$J,MATCH($AI11,$M:$M,0)+CH$8-1))=0,
IF(COUNTIF($M:$M,$AI11)&lt;CH$8,
"",
INDEX($J:$J,MATCH($AI11,$M:$M,0)+CH$8-1)),
""),
"")</f>
        <v>董卓</v>
      </c>
      <c r="CI11" s="21" t="str">
        <f>IFERROR(
IF(COUNTIF($BI11:CH11,INDEX($J:$J,MATCH($AI11,$M:$M,0)+CI$8-1))=0,
IF(COUNTIF($M:$M,$AI11)&lt;CI$8,
"",
INDEX($J:$J,MATCH($AI11,$M:$M,0)+CI$8-1)),
""),
"")</f>
        <v/>
      </c>
      <c r="CJ11" s="21" t="str">
        <f>IFERROR(
IF(COUNTIF($BI11:CI11,INDEX($J:$J,MATCH($AI11,$M:$M,0)+CJ$8-1))=0,
IF(COUNTIF($M:$M,$AI11)&lt;CJ$8,
"",
INDEX($J:$J,MATCH($AI11,$M:$M,0)+CJ$8-1)),
""),
"")</f>
        <v/>
      </c>
      <c r="CK11" s="21" t="str">
        <f>IFERROR(
IF(COUNTIF($BI11:CJ11,INDEX($J:$J,MATCH($AI11,$M:$M,0)+CK$8-1))=0,
IF(COUNTIF($M:$M,$AI11)&lt;CK$8,
"",
INDEX($J:$J,MATCH($AI11,$M:$M,0)+CK$8-1)),
""),
"")</f>
        <v/>
      </c>
      <c r="CM11" s="21" t="str">
        <f>IFERROR(
IF(COUNTIF($BI11:CL11,INDEX($J:$J,MATCH($AJ11,$M:$M,0)+CM$8-1))=0,
IF(COUNTIF($M:$M,$AJ11)&lt;CM$8,
"",
INDEX($J:$J,MATCH($AJ11,$M:$M,0)+CM$8-1)),
""),
"")</f>
        <v>吕布</v>
      </c>
      <c r="CN11" s="21" t="str">
        <f>IFERROR(
IF(COUNTIF($BI11:CM11,INDEX($J:$J,MATCH($AJ11,$M:$M,0)+CN$8-1))=0,
IF(COUNTIF($M:$M,$AJ11)&lt;CN$8,
"",
INDEX($J:$J,MATCH($AJ11,$M:$M,0)+CN$8-1)),
""),
"")</f>
        <v>彭越</v>
      </c>
      <c r="CO11" s="21" t="str">
        <f>IFERROR(
IF(COUNTIF($BI11:CN11,INDEX($J:$J,MATCH($AJ11,$M:$M,0)+CO$8-1))=0,
IF(COUNTIF($M:$M,$AJ11)&lt;CO$8,
"",
INDEX($J:$J,MATCH($AJ11,$M:$M,0)+CO$8-1)),
""),
"")</f>
        <v/>
      </c>
      <c r="CP11" s="21" t="str">
        <f>IFERROR(
IF(COUNTIF($BI11:CO11,INDEX($J:$J,MATCH($AJ11,$M:$M,0)+CP$8-1))=0,
IF(COUNTIF($M:$M,$AJ11)&lt;CP$8,
"",
INDEX($J:$J,MATCH($AJ11,$M:$M,0)+CP$8-1)),
""),
"")</f>
        <v/>
      </c>
      <c r="CR11" s="21" t="str">
        <f>IFERROR(
IF(COUNTIF($BI11:CQ11,INDEX($J:$J,MATCH($AK11,$M:$M,0)+CR$8-1))=0,
IF(COUNTIF($M:$M,$AK11)&lt;CR$8,
"",
INDEX($J:$J,MATCH($AK11,$M:$M,0)+CR$8-1)),
""),
"")</f>
        <v/>
      </c>
      <c r="CS11" s="21" t="str">
        <f>IFERROR(
IF(COUNTIF($BI11:CR11,INDEX($J:$J,MATCH($AK11,$M:$M,0)+CS$8-1))=0,
IF(COUNTIF($M:$M,$AK11)&lt;CS$8,
"",
INDEX($J:$J,MATCH($AK11,$M:$M,0)+CS$8-1)),
""),
"")</f>
        <v/>
      </c>
      <c r="CT11" s="21" t="str">
        <f>IFERROR(
IF(COUNTIF($BI11:CS11,INDEX($J:$J,MATCH($AK11,$M:$M,0)+CT$8-1))=0,
IF(COUNTIF($M:$M,$AK11)&lt;CT$8,
"",
INDEX($J:$J,MATCH($AK11,$M:$M,0)+CT$8-1)),
""),
"")</f>
        <v/>
      </c>
      <c r="CU11" s="21" t="str">
        <f>IFERROR(
IF(COUNTIF($BI11:CT11,INDEX($J:$J,MATCH($AK11,$M:$M,0)+CU$8-1))=0,
IF(COUNTIF($M:$M,$AK11)&lt;CU$8,
"",
INDEX($J:$J,MATCH($AK11,$M:$M,0)+CU$8-1)),
""),
"")</f>
        <v/>
      </c>
    </row>
    <row r="12" spans="3:99" ht="14.25">
      <c r="C12" s="16">
        <v>4</v>
      </c>
      <c r="D12" s="19" t="s">
        <v>48</v>
      </c>
      <c r="E12" s="20">
        <f>INDEX([1]武将基本资料!$S:$S,MATCH(D12,[1]武将基本资料!$N:$N,0))</f>
        <v>140</v>
      </c>
      <c r="F12" s="20" t="str">
        <f>INDEX([1]武将基本资料!$Q:$Q,MATCH(D12,[1]武将基本资料!$N:$N,0))</f>
        <v>红</v>
      </c>
      <c r="H12" s="7" t="str">
        <f>IF(I12="","",COUNTA(I$9:$I12))</f>
        <v/>
      </c>
      <c r="I12" s="6" t="s">
        <v>188</v>
      </c>
      <c r="J12" s="6" t="s">
        <v>222</v>
      </c>
      <c r="K12" s="8" t="str">
        <f>IF(H12="","",阶段合并区域(J12:J22," ",L12:L22,1))</f>
        <v/>
      </c>
      <c r="L12" s="8">
        <f>COUNTIF(M$8:$M12,"="&amp;M12)</f>
        <v>4</v>
      </c>
      <c r="M12" s="9" t="str">
        <f>IF(H12="",M10,I12)</f>
        <v>敢死之士</v>
      </c>
      <c r="N12" s="9" t="str">
        <f t="shared" si="4"/>
        <v>敢死之士4</v>
      </c>
      <c r="O12" s="15">
        <f>INDEX(C:C,MATCH(J12,D:D,0))</f>
        <v>71</v>
      </c>
      <c r="P12" s="9">
        <f>INDEX(E:E,MATCH(J12,D:D,0))</f>
        <v>120</v>
      </c>
      <c r="Q12" s="7">
        <f t="shared" si="0"/>
        <v>71</v>
      </c>
      <c r="R12" s="7">
        <f>COUNTIF(J$8:$J12,"="&amp;J12)</f>
        <v>1</v>
      </c>
      <c r="S12" s="7">
        <f t="shared" si="5"/>
        <v>1071</v>
      </c>
      <c r="U12" s="7">
        <f t="shared" si="6"/>
        <v>1004</v>
      </c>
      <c r="V12" s="7">
        <f t="shared" si="2"/>
        <v>2004</v>
      </c>
      <c r="W12" s="7">
        <f t="shared" si="2"/>
        <v>3004</v>
      </c>
      <c r="X12" s="7">
        <f t="shared" si="2"/>
        <v>4004</v>
      </c>
      <c r="Y12" s="7">
        <f t="shared" si="2"/>
        <v>5004</v>
      </c>
      <c r="Z12" s="7">
        <f t="shared" si="2"/>
        <v>6004</v>
      </c>
      <c r="AA12" s="7">
        <f t="shared" si="2"/>
        <v>7004</v>
      </c>
      <c r="AB12" s="7">
        <f t="shared" si="2"/>
        <v>8004</v>
      </c>
      <c r="AD12" s="21" t="str">
        <f>IFERROR(INDEX($M:$M,MATCH(U12,$S:$S,0)),"&amp;")</f>
        <v>冲锋陷阵</v>
      </c>
      <c r="AE12" s="21" t="str">
        <f>IFERROR(INDEX($M:$M,MATCH(V12,$S:$S,0)),"&amp;")</f>
        <v>身经百战</v>
      </c>
      <c r="AF12" s="21" t="str">
        <f>IFERROR(INDEX($M:$M,MATCH(W12,$S:$S,0)),"&amp;")</f>
        <v>英雄美人</v>
      </c>
      <c r="AG12" s="21" t="str">
        <f>IFERROR(INDEX($M:$M,MATCH(X12,$S:$S,0)),"&amp;")</f>
        <v>&amp;</v>
      </c>
      <c r="AH12" s="21" t="str">
        <f>IFERROR(INDEX($M:$M,MATCH(Y12,$S:$S,0)),"&amp;")</f>
        <v>&amp;</v>
      </c>
      <c r="AI12" s="21" t="str">
        <f>IFERROR(INDEX($M:$M,MATCH(Z12,$S:$S,0)),"&amp;")</f>
        <v>&amp;</v>
      </c>
      <c r="AJ12" s="21" t="str">
        <f>IFERROR(INDEX($M:$M,MATCH(AA12,$S:$S,0)),"&amp;")</f>
        <v>&amp;</v>
      </c>
      <c r="AK12" s="21" t="str">
        <f>IFERROR(INDEX($M:$M,MATCH(AB12,$S:$S,0)),"&amp;")</f>
        <v>&amp;</v>
      </c>
      <c r="AM12" s="21" t="str">
        <f>IFERROR(INDEX($N:$N,MATCH(U12,$S:$S,0)),"&amp;")</f>
        <v>冲锋陷阵1</v>
      </c>
      <c r="AN12" s="21" t="str">
        <f>IFERROR(INDEX($N:$N,MATCH(V12,$S:$S,0)),"&amp;")</f>
        <v>身经百战1</v>
      </c>
      <c r="AO12" s="21" t="str">
        <f>IFERROR(INDEX($N:$N,MATCH(W12,$S:$S,0)),"&amp;")</f>
        <v>英雄美人5</v>
      </c>
      <c r="AP12" s="21" t="str">
        <f>IFERROR(INDEX($N:$N,MATCH(X12,$S:$S,0)),"&amp;")</f>
        <v>&amp;</v>
      </c>
      <c r="AQ12" s="21" t="str">
        <f>IFERROR(INDEX($N:$N,MATCH(Y12,$S:$S,0)),"&amp;")</f>
        <v>&amp;</v>
      </c>
      <c r="AR12" s="21" t="str">
        <f>IFERROR(INDEX($N:$N,MATCH(Z12,$S:$S,0)),"&amp;")</f>
        <v>&amp;</v>
      </c>
      <c r="AS12" s="21" t="str">
        <f>IFERROR(INDEX($N:$N,MATCH(AA12,$S:$S,0)),"&amp;")</f>
        <v>&amp;</v>
      </c>
      <c r="AT12" s="21" t="str">
        <f>IFERROR(INDEX($N:$N,MATCH(AB12,$S:$S,0)),"&amp;")</f>
        <v>&amp;</v>
      </c>
      <c r="AV12" s="21" t="str">
        <f>IFERROR(SUBSTITUTE(INDEX($K:$K,MATCH(INDEX($M:$M,MATCH(AM12,$N:$N,0)),$M:$M,0)),$D12,""),"")</f>
        <v xml:space="preserve"> 秦武王 廉颇</v>
      </c>
      <c r="AW12" s="21" t="str">
        <f>IFERROR(SUBSTITUTE(INDEX($K:$K,MATCH(INDEX($M:$M,MATCH(AN12,$N:$N,0)),$M:$M,0)),$D12,""),"")</f>
        <v xml:space="preserve"> 吴起 田单 乐毅</v>
      </c>
      <c r="AX12" s="21" t="str">
        <f>IFERROR(SUBSTITUTE(INDEX($K:$K,MATCH(INDEX($M:$M,MATCH(AO12,$N:$N,0)),$M:$M,0)),$D12,""),"")</f>
        <v>褒姒 勾践 楚庄王 秦武王</v>
      </c>
      <c r="AY12" s="21" t="str">
        <f>IFERROR(SUBSTITUTE(INDEX($K:$K,MATCH(INDEX($M:$M,MATCH(AP12,$N:$N,0)),$M:$M,0)),$D12,""),"")</f>
        <v/>
      </c>
      <c r="AZ12" s="21" t="str">
        <f>IFERROR(SUBSTITUTE(INDEX($K:$K,MATCH(INDEX($M:$M,MATCH(AQ12,$N:$N,0)),$M:$M,0)),$D12,""),"")</f>
        <v/>
      </c>
      <c r="BA12" s="21" t="str">
        <f>IFERROR(SUBSTITUTE(INDEX($K:$K,MATCH(INDEX($M:$M,MATCH(AR12,$N:$N,0)),$M:$M,0)),$D12,""),"")</f>
        <v/>
      </c>
      <c r="BB12" s="21" t="str">
        <f>IFERROR(SUBSTITUTE(INDEX($K:$K,MATCH(INDEX($M:$M,MATCH(AS12,$N:$N,0)),$M:$M,0)),$D12,""),"")</f>
        <v/>
      </c>
      <c r="BC12" s="21" t="str">
        <f>IFERROR(SUBSTITUTE(INDEX($K:$K,MATCH(INDEX($M:$M,MATCH(AT12,$N:$N,0)),$M:$M,0)),$D12,""),"")</f>
        <v/>
      </c>
      <c r="BE12" s="9" t="str">
        <f t="shared" si="7"/>
        <v>白起,秦武王,廉颇,吴起,田单,乐毅,褒姒,勾践,楚庄王</v>
      </c>
      <c r="BI12" s="9" t="str">
        <f>IFERROR(
IF(COUNTIF($M:$M,$AD12)&lt;BI$8,
"",
INDEX($J:$J,MATCH($AD12,$M:$M,0)+BI$8-1)),
"")</f>
        <v>白起</v>
      </c>
      <c r="BJ12" s="9" t="str">
        <f>IFERROR(
IF(COUNTIF($M:$M,$AD12)&lt;BJ$8,
"",
INDEX($J:$J,MATCH($AD12,$M:$M,0)+BJ$8-1)),
"")</f>
        <v>秦武王</v>
      </c>
      <c r="BK12" s="9" t="str">
        <f>IFERROR(
IF(COUNTIF($M:$M,$AD12)&lt;BK$8,
"",
INDEX($J:$J,MATCH($AD12,$M:$M,0)+BK$8-1)),
"")</f>
        <v>廉颇</v>
      </c>
      <c r="BL12" s="9" t="str">
        <f>IFERROR(
IF(COUNTIF($M:$M,$AD12)&lt;BL$8,
"",
INDEX($J:$J,MATCH($AD12,$M:$M,0)+BL$8-1)),
"")</f>
        <v/>
      </c>
      <c r="BN12" s="21" t="str">
        <f>IFERROR(
IF(COUNTIF($BI12:BM12,INDEX($J:$J,MATCH($AE12,$M:$M,0)+BN$8-1))=0,
IF(COUNTIF($M:$M,$AE12)&lt;BN$8,
"",
INDEX($J:$J,MATCH($AE12,$M:$M,0)+BN$8-1)),
""),
"")</f>
        <v/>
      </c>
      <c r="BO12" s="21" t="str">
        <f>IFERROR(
IF(COUNTIF($BI12:BN12,INDEX($J:$J,MATCH($AE12,$M:$M,0)+BO$8-1))=0,
IF(COUNTIF($M:$M,$AE12)&lt;BO$8,
"",
INDEX($J:$J,MATCH($AE12,$M:$M,0)+BO$8-1)),
""),
"")</f>
        <v>吴起</v>
      </c>
      <c r="BP12" s="21" t="str">
        <f>IFERROR(
IF(COUNTIF($BI12:BO12,INDEX($J:$J,MATCH($AE12,$M:$M,0)+BP$8-1))=0,
IF(COUNTIF($M:$M,$AE12)&lt;BP$8,
"",
INDEX($J:$J,MATCH($AE12,$M:$M,0)+BP$8-1)),
""),
"")</f>
        <v>田单</v>
      </c>
      <c r="BQ12" s="21" t="str">
        <f>IFERROR(
IF(COUNTIF($BI12:BP12,INDEX($J:$J,MATCH($AE12,$M:$M,0)+BQ$8-1))=0,
IF(COUNTIF($M:$M,$AE12)&lt;BQ$8,
"",
INDEX($J:$J,MATCH($AE12,$M:$M,0)+BQ$8-1)),
""),
"")</f>
        <v>乐毅</v>
      </c>
      <c r="BS12" s="21" t="str">
        <f>IFERROR(
IF(COUNTIF($BI12:BR12,INDEX($J:$J,MATCH($AF12,$M:$M,0)+BS$8-1))=0,
IF(COUNTIF($M:$M,$AF12)&lt;BS$8,
"",
INDEX($J:$J,MATCH($AF12,$M:$M,0)+BS$8-1)),
""),
"")</f>
        <v>褒姒</v>
      </c>
      <c r="BT12" s="21" t="str">
        <f>IFERROR(
IF(COUNTIF($BI12:BS12,INDEX($J:$J,MATCH($AF12,$M:$M,0)+BT$8-1))=0,
IF(COUNTIF($M:$M,$AF12)&lt;BT$8,
"",
INDEX($J:$J,MATCH($AF12,$M:$M,0)+BT$8-1)),
""),
"")</f>
        <v>勾践</v>
      </c>
      <c r="BU12" s="21" t="str">
        <f>IFERROR(
IF(COUNTIF($BI12:BT12,INDEX($J:$J,MATCH($AF12,$M:$M,0)+BU$8-1))=0,
IF(COUNTIF($M:$M,$AF12)&lt;BU$8,
"",
INDEX($J:$J,MATCH($AF12,$M:$M,0)+BU$8-1)),
""),
"")</f>
        <v>楚庄王</v>
      </c>
      <c r="BV12" s="21" t="str">
        <f>IFERROR(
IF(COUNTIF($BI12:BU12,INDEX($J:$J,MATCH($AF12,$M:$M,0)+BV$8-1))=0,
IF(COUNTIF($M:$M,$AF12)&lt;BV$8,
"",
INDEX($J:$J,MATCH($AF12,$M:$M,0)+BV$8-1)),
""),
"")</f>
        <v/>
      </c>
      <c r="BX12" s="21" t="str">
        <f>IFERROR(
IF(COUNTIF($BI12:BW12,INDEX($J:$J,MATCH($AG12,$M:$M,0)+BX$8-1))=0,
IF(COUNTIF($M:$M,$AG12)&lt;BX$8,
"",
INDEX($J:$J,MATCH($AG12,$M:$M,0)+BX$8-1)),
""),
"")</f>
        <v/>
      </c>
      <c r="BY12" s="21" t="str">
        <f>IFERROR(
IF(COUNTIF($BI12:BX12,INDEX($J:$J,MATCH($AG12,$M:$M,0)+BY$8-1))=0,
IF(COUNTIF($M:$M,$AG12)&lt;BY$8,
"",
INDEX($J:$J,MATCH($AG12,$M:$M,0)+BY$8-1)),
""),
"")</f>
        <v/>
      </c>
      <c r="BZ12" s="21" t="str">
        <f>IFERROR(
IF(COUNTIF($BI12:BY12,INDEX($J:$J,MATCH($AG12,$M:$M,0)+BZ$8-1))=0,
IF(COUNTIF($M:$M,$AG12)&lt;BZ$8,
"",
INDEX($J:$J,MATCH($AG12,$M:$M,0)+BZ$8-1)),
""),
"")</f>
        <v/>
      </c>
      <c r="CA12" s="21" t="str">
        <f>IFERROR(
IF(COUNTIF($BI12:BZ12,INDEX($J:$J,MATCH($AG12,$M:$M,0)+CA$8-1))=0,
IF(COUNTIF($M:$M,$AG12)&lt;CA$8,
"",
INDEX($J:$J,MATCH($AG12,$M:$M,0)+CA$8-1)),
""),
"")</f>
        <v/>
      </c>
      <c r="CC12" s="21" t="str">
        <f>IFERROR(
IF(COUNTIF($BI12:CB12,INDEX($J:$J,MATCH($AH12,$M:$M,0)+CC$8-1))=0,
IF(COUNTIF($M:$M,$AH12)&lt;CC$8,
"",
INDEX($J:$J,MATCH($AH12,$M:$M,0)+CC$8-1)),
""),
"")</f>
        <v/>
      </c>
      <c r="CD12" s="21" t="str">
        <f>IFERROR(
IF(COUNTIF($BI12:CC12,INDEX($J:$J,MATCH($AH12,$M:$M,0)+CD$8-1))=0,
IF(COUNTIF($M:$M,$AH12)&lt;CD$8,
"",
INDEX($J:$J,MATCH($AH12,$M:$M,0)+CD$8-1)),
""),
"")</f>
        <v/>
      </c>
      <c r="CE12" s="21" t="str">
        <f>IFERROR(
IF(COUNTIF($BI12:CD12,INDEX($J:$J,MATCH($AH12,$M:$M,0)+CE$8-1))=0,
IF(COUNTIF($M:$M,$AH12)&lt;CE$8,
"",
INDEX($J:$J,MATCH($AH12,$M:$M,0)+CE$8-1)),
""),
"")</f>
        <v/>
      </c>
      <c r="CF12" s="21" t="str">
        <f>IFERROR(
IF(COUNTIF($BI12:CE12,INDEX($J:$J,MATCH($AH12,$M:$M,0)+CF$8-1))=0,
IF(COUNTIF($M:$M,$AH12)&lt;CF$8,
"",
INDEX($J:$J,MATCH($AH12,$M:$M,0)+CF$8-1)),
""),
"")</f>
        <v/>
      </c>
      <c r="CH12" s="21" t="str">
        <f>IFERROR(
IF(COUNTIF($BI12:CG12,INDEX($J:$J,MATCH($AI12,$M:$M,0)+CH$8-1))=0,
IF(COUNTIF($M:$M,$AI12)&lt;CH$8,
"",
INDEX($J:$J,MATCH($AI12,$M:$M,0)+CH$8-1)),
""),
"")</f>
        <v/>
      </c>
      <c r="CI12" s="21" t="str">
        <f>IFERROR(
IF(COUNTIF($BI12:CH12,INDEX($J:$J,MATCH($AI12,$M:$M,0)+CI$8-1))=0,
IF(COUNTIF($M:$M,$AI12)&lt;CI$8,
"",
INDEX($J:$J,MATCH($AI12,$M:$M,0)+CI$8-1)),
""),
"")</f>
        <v/>
      </c>
      <c r="CJ12" s="21" t="str">
        <f>IFERROR(
IF(COUNTIF($BI12:CI12,INDEX($J:$J,MATCH($AI12,$M:$M,0)+CJ$8-1))=0,
IF(COUNTIF($M:$M,$AI12)&lt;CJ$8,
"",
INDEX($J:$J,MATCH($AI12,$M:$M,0)+CJ$8-1)),
""),
"")</f>
        <v/>
      </c>
      <c r="CK12" s="21" t="str">
        <f>IFERROR(
IF(COUNTIF($BI12:CJ12,INDEX($J:$J,MATCH($AI12,$M:$M,0)+CK$8-1))=0,
IF(COUNTIF($M:$M,$AI12)&lt;CK$8,
"",
INDEX($J:$J,MATCH($AI12,$M:$M,0)+CK$8-1)),
""),
"")</f>
        <v/>
      </c>
      <c r="CM12" s="21" t="str">
        <f>IFERROR(
IF(COUNTIF($BI12:CL12,INDEX($J:$J,MATCH($AJ12,$M:$M,0)+CM$8-1))=0,
IF(COUNTIF($M:$M,$AJ12)&lt;CM$8,
"",
INDEX($J:$J,MATCH($AJ12,$M:$M,0)+CM$8-1)),
""),
"")</f>
        <v/>
      </c>
      <c r="CN12" s="21" t="str">
        <f>IFERROR(
IF(COUNTIF($BI12:CM12,INDEX($J:$J,MATCH($AJ12,$M:$M,0)+CN$8-1))=0,
IF(COUNTIF($M:$M,$AJ12)&lt;CN$8,
"",
INDEX($J:$J,MATCH($AJ12,$M:$M,0)+CN$8-1)),
""),
"")</f>
        <v/>
      </c>
      <c r="CO12" s="21" t="str">
        <f>IFERROR(
IF(COUNTIF($BI12:CN12,INDEX($J:$J,MATCH($AJ12,$M:$M,0)+CO$8-1))=0,
IF(COUNTIF($M:$M,$AJ12)&lt;CO$8,
"",
INDEX($J:$J,MATCH($AJ12,$M:$M,0)+CO$8-1)),
""),
"")</f>
        <v/>
      </c>
      <c r="CP12" s="21" t="str">
        <f>IFERROR(
IF(COUNTIF($BI12:CO12,INDEX($J:$J,MATCH($AJ12,$M:$M,0)+CP$8-1))=0,
IF(COUNTIF($M:$M,$AJ12)&lt;CP$8,
"",
INDEX($J:$J,MATCH($AJ12,$M:$M,0)+CP$8-1)),
""),
"")</f>
        <v/>
      </c>
      <c r="CR12" s="21" t="str">
        <f>IFERROR(
IF(COUNTIF($BI12:CQ12,INDEX($J:$J,MATCH($AK12,$M:$M,0)+CR$8-1))=0,
IF(COUNTIF($M:$M,$AK12)&lt;CR$8,
"",
INDEX($J:$J,MATCH($AK12,$M:$M,0)+CR$8-1)),
""),
"")</f>
        <v/>
      </c>
      <c r="CS12" s="21" t="str">
        <f>IFERROR(
IF(COUNTIF($BI12:CR12,INDEX($J:$J,MATCH($AK12,$M:$M,0)+CS$8-1))=0,
IF(COUNTIF($M:$M,$AK12)&lt;CS$8,
"",
INDEX($J:$J,MATCH($AK12,$M:$M,0)+CS$8-1)),
""),
"")</f>
        <v/>
      </c>
      <c r="CT12" s="21" t="str">
        <f>IFERROR(
IF(COUNTIF($BI12:CS12,INDEX($J:$J,MATCH($AK12,$M:$M,0)+CT$8-1))=0,
IF(COUNTIF($M:$M,$AK12)&lt;CT$8,
"",
INDEX($J:$J,MATCH($AK12,$M:$M,0)+CT$8-1)),
""),
"")</f>
        <v/>
      </c>
      <c r="CU12" s="21" t="str">
        <f>IFERROR(
IF(COUNTIF($BI12:CT12,INDEX($J:$J,MATCH($AK12,$M:$M,0)+CU$8-1))=0,
IF(COUNTIF($M:$M,$AK12)&lt;CU$8,
"",
INDEX($J:$J,MATCH($AK12,$M:$M,0)+CU$8-1)),
""),
"")</f>
        <v/>
      </c>
    </row>
    <row r="13" spans="3:99" ht="14.25">
      <c r="C13" s="16">
        <v>5</v>
      </c>
      <c r="D13" s="19" t="s">
        <v>49</v>
      </c>
      <c r="E13" s="20">
        <f>INDEX([1]武将基本资料!$S:$S,MATCH(D13,[1]武将基本资料!$N:$N,0))</f>
        <v>130</v>
      </c>
      <c r="F13" s="20" t="str">
        <f>INDEX([1]武将基本资料!$Q:$Q,MATCH(D13,[1]武将基本资料!$N:$N,0))</f>
        <v>橙+</v>
      </c>
      <c r="H13" s="7">
        <f>IF(I13="","",COUNTA(I$9:$I13))</f>
        <v>4</v>
      </c>
      <c r="I13" s="6" t="s">
        <v>158</v>
      </c>
      <c r="J13" s="6" t="s">
        <v>74</v>
      </c>
      <c r="K13" s="8" t="str">
        <f>IF(H13="","",阶段合并区域(J13:J23," ",L13:L23,1))</f>
        <v>嫪毐 吕不韦</v>
      </c>
      <c r="L13" s="8">
        <f>COUNTIF(M$8:$M13,"="&amp;M13)</f>
        <v>1</v>
      </c>
      <c r="M13" s="9" t="str">
        <f t="shared" si="3"/>
        <v>进献奇人</v>
      </c>
      <c r="N13" s="9" t="str">
        <f t="shared" si="4"/>
        <v>进献奇人1</v>
      </c>
      <c r="O13" s="15">
        <f>INDEX(C:C,MATCH(J13,D:D,0))</f>
        <v>21</v>
      </c>
      <c r="P13" s="9">
        <f>INDEX(E:E,MATCH(J13,D:D,0))</f>
        <v>100</v>
      </c>
      <c r="Q13" s="7">
        <f t="shared" si="0"/>
        <v>21</v>
      </c>
      <c r="R13" s="7">
        <f>COUNTIF(J$8:$J13,"="&amp;J13)</f>
        <v>1</v>
      </c>
      <c r="S13" s="7">
        <f t="shared" si="5"/>
        <v>1021</v>
      </c>
      <c r="U13" s="7">
        <f t="shared" si="6"/>
        <v>1005</v>
      </c>
      <c r="V13" s="7">
        <f t="shared" si="2"/>
        <v>2005</v>
      </c>
      <c r="W13" s="7">
        <f t="shared" si="2"/>
        <v>3005</v>
      </c>
      <c r="X13" s="7">
        <f t="shared" si="2"/>
        <v>4005</v>
      </c>
      <c r="Y13" s="7">
        <f t="shared" si="2"/>
        <v>5005</v>
      </c>
      <c r="Z13" s="7">
        <f t="shared" si="2"/>
        <v>6005</v>
      </c>
      <c r="AA13" s="7">
        <f t="shared" si="2"/>
        <v>7005</v>
      </c>
      <c r="AB13" s="7">
        <f t="shared" si="2"/>
        <v>8005</v>
      </c>
      <c r="AD13" s="21" t="str">
        <f>IFERROR(INDEX($M:$M,MATCH(U13,$S:$S,0)),"&amp;")</f>
        <v>兴国安邦</v>
      </c>
      <c r="AE13" s="21" t="str">
        <f>IFERROR(INDEX($M:$M,MATCH(V13,$S:$S,0)),"&amp;")</f>
        <v>老当益壮</v>
      </c>
      <c r="AF13" s="21" t="str">
        <f>IFERROR(INDEX($M:$M,MATCH(W13,$S:$S,0)),"&amp;")</f>
        <v>国之柱石</v>
      </c>
      <c r="AG13" s="21" t="str">
        <f>IFERROR(INDEX($M:$M,MATCH(X13,$S:$S,0)),"&amp;")</f>
        <v>反间计</v>
      </c>
      <c r="AH13" s="21" t="str">
        <f>IFERROR(INDEX($M:$M,MATCH(Y13,$S:$S,0)),"&amp;")</f>
        <v>冲锋陷阵</v>
      </c>
      <c r="AI13" s="21" t="str">
        <f>IFERROR(INDEX($M:$M,MATCH(Z13,$S:$S,0)),"&amp;")</f>
        <v>勇武过人</v>
      </c>
      <c r="AJ13" s="21" t="str">
        <f>IFERROR(INDEX($M:$M,MATCH(AA13,$S:$S,0)),"&amp;")</f>
        <v>老骥伏枥</v>
      </c>
      <c r="AK13" s="21" t="str">
        <f>IFERROR(INDEX($M:$M,MATCH(AB13,$S:$S,0)),"&amp;")</f>
        <v>宝刀未老</v>
      </c>
      <c r="AM13" s="21" t="str">
        <f>IFERROR(INDEX($N:$N,MATCH(U13,$S:$S,0)),"&amp;")</f>
        <v>兴国安邦1</v>
      </c>
      <c r="AN13" s="21" t="str">
        <f>IFERROR(INDEX($N:$N,MATCH(V13,$S:$S,0)),"&amp;")</f>
        <v>老当益壮1</v>
      </c>
      <c r="AO13" s="21" t="str">
        <f>IFERROR(INDEX($N:$N,MATCH(W13,$S:$S,0)),"&amp;")</f>
        <v>国之柱石1</v>
      </c>
      <c r="AP13" s="21" t="str">
        <f>IFERROR(INDEX($N:$N,MATCH(X13,$S:$S,0)),"&amp;")</f>
        <v>反间计3</v>
      </c>
      <c r="AQ13" s="21" t="str">
        <f>IFERROR(INDEX($N:$N,MATCH(Y13,$S:$S,0)),"&amp;")</f>
        <v>冲锋陷阵3</v>
      </c>
      <c r="AR13" s="21" t="str">
        <f>IFERROR(INDEX($N:$N,MATCH(Z13,$S:$S,0)),"&amp;")</f>
        <v>勇武过人3</v>
      </c>
      <c r="AS13" s="21" t="str">
        <f>IFERROR(INDEX($N:$N,MATCH(AA13,$S:$S,0)),"&amp;")</f>
        <v>老骥伏枥2</v>
      </c>
      <c r="AT13" s="21" t="str">
        <f>IFERROR(INDEX($N:$N,MATCH(AB13,$S:$S,0)),"&amp;")</f>
        <v>宝刀未老3</v>
      </c>
      <c r="AV13" s="21" t="str">
        <f>IFERROR(SUBSTITUTE(INDEX($K:$K,MATCH(INDEX($M:$M,MATCH(AM13,$N:$N,0)),$M:$M,0)),$D13,""),"")</f>
        <v xml:space="preserve"> 田单 樗里疾 乐毅</v>
      </c>
      <c r="AW13" s="21" t="str">
        <f>IFERROR(SUBSTITUTE(INDEX($K:$K,MATCH(INDEX($M:$M,MATCH(AN13,$N:$N,0)),$M:$M,0)),$D13,""),"")</f>
        <v xml:space="preserve"> 伍子胥 司马错 扁鹊</v>
      </c>
      <c r="AX13" s="21" t="str">
        <f>IFERROR(SUBSTITUTE(INDEX($K:$K,MATCH(INDEX($M:$M,MATCH(AO13,$N:$N,0)),$M:$M,0)),$D13,""),"")</f>
        <v xml:space="preserve"> 樗里疾 乐毅 司马穰苴</v>
      </c>
      <c r="AY13" s="21" t="str">
        <f>IFERROR(SUBSTITUTE(INDEX($K:$K,MATCH(INDEX($M:$M,MATCH(AP13,$N:$N,0)),$M:$M,0)),$D13,""),"")</f>
        <v xml:space="preserve">范雎 赵括 </v>
      </c>
      <c r="AZ13" s="21" t="str">
        <f>IFERROR(SUBSTITUTE(INDEX($K:$K,MATCH(INDEX($M:$M,MATCH(AQ13,$N:$N,0)),$M:$M,0)),$D13,""),"")</f>
        <v xml:space="preserve">白起 秦武王 </v>
      </c>
      <c r="BA13" s="21" t="str">
        <f>IFERROR(SUBSTITUTE(INDEX($K:$K,MATCH(INDEX($M:$M,MATCH(AR13,$N:$N,0)),$M:$M,0)),$D13,""),"")</f>
        <v xml:space="preserve">项羽 秦武王 </v>
      </c>
      <c r="BB13" s="21" t="str">
        <f>IFERROR(SUBSTITUTE(INDEX($K:$K,MATCH(INDEX($M:$M,MATCH(AS13,$N:$N,0)),$M:$M,0)),$D13,""),"")</f>
        <v xml:space="preserve">养由基 </v>
      </c>
      <c r="BC13" s="21" t="str">
        <f>IFERROR(SUBSTITUTE(INDEX($K:$K,MATCH(INDEX($M:$M,MATCH(AT13,$N:$N,0)),$M:$M,0)),$D13,""),"")</f>
        <v xml:space="preserve">李广 伍子胥 </v>
      </c>
      <c r="BE13" s="9" t="str">
        <f t="shared" si="7"/>
        <v>廉颇,田单,樗里疾,乐毅,伍子胥,司马错,扁鹊,司马穰苴,范雎,赵括,白起,秦武王,项羽,养由基,李广</v>
      </c>
      <c r="BI13" s="9" t="str">
        <f>IFERROR(
IF(COUNTIF($M:$M,$AD13)&lt;BI$8,
"",
INDEX($J:$J,MATCH($AD13,$M:$M,0)+BI$8-1)),
"")</f>
        <v>廉颇</v>
      </c>
      <c r="BJ13" s="9" t="str">
        <f>IFERROR(
IF(COUNTIF($M:$M,$AD13)&lt;BJ$8,
"",
INDEX($J:$J,MATCH($AD13,$M:$M,0)+BJ$8-1)),
"")</f>
        <v>田单</v>
      </c>
      <c r="BK13" s="9" t="str">
        <f>IFERROR(
IF(COUNTIF($M:$M,$AD13)&lt;BK$8,
"",
INDEX($J:$J,MATCH($AD13,$M:$M,0)+BK$8-1)),
"")</f>
        <v>樗里疾</v>
      </c>
      <c r="BL13" s="9" t="str">
        <f>IFERROR(
IF(COUNTIF($M:$M,$AD13)&lt;BL$8,
"",
INDEX($J:$J,MATCH($AD13,$M:$M,0)+BL$8-1)),
"")</f>
        <v>乐毅</v>
      </c>
      <c r="BN13" s="21" t="str">
        <f>IFERROR(
IF(COUNTIF($BI13:BM13,INDEX($J:$J,MATCH($AE13,$M:$M,0)+BN$8-1))=0,
IF(COUNTIF($M:$M,$AE13)&lt;BN$8,
"",
INDEX($J:$J,MATCH($AE13,$M:$M,0)+BN$8-1)),
""),
"")</f>
        <v/>
      </c>
      <c r="BO13" s="21" t="str">
        <f>IFERROR(
IF(COUNTIF($BI13:BN13,INDEX($J:$J,MATCH($AE13,$M:$M,0)+BO$8-1))=0,
IF(COUNTIF($M:$M,$AE13)&lt;BO$8,
"",
INDEX($J:$J,MATCH($AE13,$M:$M,0)+BO$8-1)),
""),
"")</f>
        <v>伍子胥</v>
      </c>
      <c r="BP13" s="21" t="str">
        <f>IFERROR(
IF(COUNTIF($BI13:BO13,INDEX($J:$J,MATCH($AE13,$M:$M,0)+BP$8-1))=0,
IF(COUNTIF($M:$M,$AE13)&lt;BP$8,
"",
INDEX($J:$J,MATCH($AE13,$M:$M,0)+BP$8-1)),
""),
"")</f>
        <v>司马错</v>
      </c>
      <c r="BQ13" s="21" t="str">
        <f>IFERROR(
IF(COUNTIF($BI13:BP13,INDEX($J:$J,MATCH($AE13,$M:$M,0)+BQ$8-1))=0,
IF(COUNTIF($M:$M,$AE13)&lt;BQ$8,
"",
INDEX($J:$J,MATCH($AE13,$M:$M,0)+BQ$8-1)),
""),
"")</f>
        <v>扁鹊</v>
      </c>
      <c r="BS13" s="21" t="str">
        <f>IFERROR(
IF(COUNTIF($BI13:BR13,INDEX($J:$J,MATCH($AF13,$M:$M,0)+BS$8-1))=0,
IF(COUNTIF($M:$M,$AF13)&lt;BS$8,
"",
INDEX($J:$J,MATCH($AF13,$M:$M,0)+BS$8-1)),
""),
"")</f>
        <v/>
      </c>
      <c r="BT13" s="21" t="str">
        <f>IFERROR(
IF(COUNTIF($BI13:BS13,INDEX($J:$J,MATCH($AF13,$M:$M,0)+BT$8-1))=0,
IF(COUNTIF($M:$M,$AF13)&lt;BT$8,
"",
INDEX($J:$J,MATCH($AF13,$M:$M,0)+BT$8-1)),
""),
"")</f>
        <v/>
      </c>
      <c r="BU13" s="21" t="str">
        <f>IFERROR(
IF(COUNTIF($BI13:BT13,INDEX($J:$J,MATCH($AF13,$M:$M,0)+BU$8-1))=0,
IF(COUNTIF($M:$M,$AF13)&lt;BU$8,
"",
INDEX($J:$J,MATCH($AF13,$M:$M,0)+BU$8-1)),
""),
"")</f>
        <v/>
      </c>
      <c r="BV13" s="21" t="str">
        <f>IFERROR(
IF(COUNTIF($BI13:BU13,INDEX($J:$J,MATCH($AF13,$M:$M,0)+BV$8-1))=0,
IF(COUNTIF($M:$M,$AF13)&lt;BV$8,
"",
INDEX($J:$J,MATCH($AF13,$M:$M,0)+BV$8-1)),
""),
"")</f>
        <v>司马穰苴</v>
      </c>
      <c r="BX13" s="21" t="str">
        <f>IFERROR(
IF(COUNTIF($BI13:BW13,INDEX($J:$J,MATCH($AG13,$M:$M,0)+BX$8-1))=0,
IF(COUNTIF($M:$M,$AG13)&lt;BX$8,
"",
INDEX($J:$J,MATCH($AG13,$M:$M,0)+BX$8-1)),
""),
"")</f>
        <v>范雎</v>
      </c>
      <c r="BY13" s="21" t="str">
        <f>IFERROR(
IF(COUNTIF($BI13:BX13,INDEX($J:$J,MATCH($AG13,$M:$M,0)+BY$8-1))=0,
IF(COUNTIF($M:$M,$AG13)&lt;BY$8,
"",
INDEX($J:$J,MATCH($AG13,$M:$M,0)+BY$8-1)),
""),
"")</f>
        <v>赵括</v>
      </c>
      <c r="BZ13" s="21" t="str">
        <f>IFERROR(
IF(COUNTIF($BI13:BY13,INDEX($J:$J,MATCH($AG13,$M:$M,0)+BZ$8-1))=0,
IF(COUNTIF($M:$M,$AG13)&lt;BZ$8,
"",
INDEX($J:$J,MATCH($AG13,$M:$M,0)+BZ$8-1)),
""),
"")</f>
        <v/>
      </c>
      <c r="CA13" s="21" t="str">
        <f>IFERROR(
IF(COUNTIF($BI13:BZ13,INDEX($J:$J,MATCH($AG13,$M:$M,0)+CA$8-1))=0,
IF(COUNTIF($M:$M,$AG13)&lt;CA$8,
"",
INDEX($J:$J,MATCH($AG13,$M:$M,0)+CA$8-1)),
""),
"")</f>
        <v/>
      </c>
      <c r="CC13" s="21" t="str">
        <f>IFERROR(
IF(COUNTIF($BI13:CB13,INDEX($J:$J,MATCH($AH13,$M:$M,0)+CC$8-1))=0,
IF(COUNTIF($M:$M,$AH13)&lt;CC$8,
"",
INDEX($J:$J,MATCH($AH13,$M:$M,0)+CC$8-1)),
""),
"")</f>
        <v>白起</v>
      </c>
      <c r="CD13" s="21" t="str">
        <f>IFERROR(
IF(COUNTIF($BI13:CC13,INDEX($J:$J,MATCH($AH13,$M:$M,0)+CD$8-1))=0,
IF(COUNTIF($M:$M,$AH13)&lt;CD$8,
"",
INDEX($J:$J,MATCH($AH13,$M:$M,0)+CD$8-1)),
""),
"")</f>
        <v>秦武王</v>
      </c>
      <c r="CE13" s="21" t="str">
        <f>IFERROR(
IF(COUNTIF($BI13:CD13,INDEX($J:$J,MATCH($AH13,$M:$M,0)+CE$8-1))=0,
IF(COUNTIF($M:$M,$AH13)&lt;CE$8,
"",
INDEX($J:$J,MATCH($AH13,$M:$M,0)+CE$8-1)),
""),
"")</f>
        <v/>
      </c>
      <c r="CF13" s="21" t="str">
        <f>IFERROR(
IF(COUNTIF($BI13:CE13,INDEX($J:$J,MATCH($AH13,$M:$M,0)+CF$8-1))=0,
IF(COUNTIF($M:$M,$AH13)&lt;CF$8,
"",
INDEX($J:$J,MATCH($AH13,$M:$M,0)+CF$8-1)),
""),
"")</f>
        <v/>
      </c>
      <c r="CH13" s="21" t="str">
        <f>IFERROR(
IF(COUNTIF($BI13:CG13,INDEX($J:$J,MATCH($AI13,$M:$M,0)+CH$8-1))=0,
IF(COUNTIF($M:$M,$AI13)&lt;CH$8,
"",
INDEX($J:$J,MATCH($AI13,$M:$M,0)+CH$8-1)),
""),
"")</f>
        <v>项羽</v>
      </c>
      <c r="CI13" s="21" t="str">
        <f>IFERROR(
IF(COUNTIF($BI13:CH13,INDEX($J:$J,MATCH($AI13,$M:$M,0)+CI$8-1))=0,
IF(COUNTIF($M:$M,$AI13)&lt;CI$8,
"",
INDEX($J:$J,MATCH($AI13,$M:$M,0)+CI$8-1)),
""),
"")</f>
        <v/>
      </c>
      <c r="CJ13" s="21" t="str">
        <f>IFERROR(
IF(COUNTIF($BI13:CI13,INDEX($J:$J,MATCH($AI13,$M:$M,0)+CJ$8-1))=0,
IF(COUNTIF($M:$M,$AI13)&lt;CJ$8,
"",
INDEX($J:$J,MATCH($AI13,$M:$M,0)+CJ$8-1)),
""),
"")</f>
        <v/>
      </c>
      <c r="CK13" s="21" t="str">
        <f>IFERROR(
IF(COUNTIF($BI13:CJ13,INDEX($J:$J,MATCH($AI13,$M:$M,0)+CK$8-1))=0,
IF(COUNTIF($M:$M,$AI13)&lt;CK$8,
"",
INDEX($J:$J,MATCH($AI13,$M:$M,0)+CK$8-1)),
""),
"")</f>
        <v/>
      </c>
      <c r="CM13" s="21" t="str">
        <f>IFERROR(
IF(COUNTIF($BI13:CL13,INDEX($J:$J,MATCH($AJ13,$M:$M,0)+CM$8-1))=0,
IF(COUNTIF($M:$M,$AJ13)&lt;CM$8,
"",
INDEX($J:$J,MATCH($AJ13,$M:$M,0)+CM$8-1)),
""),
"")</f>
        <v>养由基</v>
      </c>
      <c r="CN13" s="21" t="str">
        <f>IFERROR(
IF(COUNTIF($BI13:CM13,INDEX($J:$J,MATCH($AJ13,$M:$M,0)+CN$8-1))=0,
IF(COUNTIF($M:$M,$AJ13)&lt;CN$8,
"",
INDEX($J:$J,MATCH($AJ13,$M:$M,0)+CN$8-1)),
""),
"")</f>
        <v/>
      </c>
      <c r="CO13" s="21" t="str">
        <f>IFERROR(
IF(COUNTIF($BI13:CN13,INDEX($J:$J,MATCH($AJ13,$M:$M,0)+CO$8-1))=0,
IF(COUNTIF($M:$M,$AJ13)&lt;CO$8,
"",
INDEX($J:$J,MATCH($AJ13,$M:$M,0)+CO$8-1)),
""),
"")</f>
        <v/>
      </c>
      <c r="CP13" s="21" t="str">
        <f>IFERROR(
IF(COUNTIF($BI13:CO13,INDEX($J:$J,MATCH($AJ13,$M:$M,0)+CP$8-1))=0,
IF(COUNTIF($M:$M,$AJ13)&lt;CP$8,
"",
INDEX($J:$J,MATCH($AJ13,$M:$M,0)+CP$8-1)),
""),
"")</f>
        <v/>
      </c>
      <c r="CR13" s="21" t="str">
        <f>IFERROR(
IF(COUNTIF($BI13:CQ13,INDEX($J:$J,MATCH($AK13,$M:$M,0)+CR$8-1))=0,
IF(COUNTIF($M:$M,$AK13)&lt;CR$8,
"",
INDEX($J:$J,MATCH($AK13,$M:$M,0)+CR$8-1)),
""),
"")</f>
        <v>李广</v>
      </c>
      <c r="CS13" s="21" t="str">
        <f>IFERROR(
IF(COUNTIF($BI13:CR13,INDEX($J:$J,MATCH($AK13,$M:$M,0)+CS$8-1))=0,
IF(COUNTIF($M:$M,$AK13)&lt;CS$8,
"",
INDEX($J:$J,MATCH($AK13,$M:$M,0)+CS$8-1)),
""),
"")</f>
        <v/>
      </c>
      <c r="CT13" s="21" t="str">
        <f>IFERROR(
IF(COUNTIF($BI13:CS13,INDEX($J:$J,MATCH($AK13,$M:$M,0)+CT$8-1))=0,
IF(COUNTIF($M:$M,$AK13)&lt;CT$8,
"",
INDEX($J:$J,MATCH($AK13,$M:$M,0)+CT$8-1)),
""),
"")</f>
        <v/>
      </c>
      <c r="CU13" s="21" t="str">
        <f>IFERROR(
IF(COUNTIF($BI13:CT13,INDEX($J:$J,MATCH($AK13,$M:$M,0)+CU$8-1))=0,
IF(COUNTIF($M:$M,$AK13)&lt;CU$8,
"",
INDEX($J:$J,MATCH($AK13,$M:$M,0)+CU$8-1)),
""),
"")</f>
        <v/>
      </c>
    </row>
    <row r="14" spans="3:99" ht="14.25">
      <c r="C14" s="16">
        <v>6</v>
      </c>
      <c r="D14" s="19" t="s">
        <v>196</v>
      </c>
      <c r="E14" s="20">
        <f>INDEX([1]武将基本资料!$S:$S,MATCH(D14,[1]武将基本资料!$N:$N,0))</f>
        <v>120</v>
      </c>
      <c r="F14" s="20" t="str">
        <f>INDEX([1]武将基本资料!$Q:$Q,MATCH(D14,[1]武将基本资料!$N:$N,0))</f>
        <v>橙</v>
      </c>
      <c r="H14" s="7" t="str">
        <f>IF(I14="","",COUNTA(I$9:$I14))</f>
        <v/>
      </c>
      <c r="I14" s="6" t="s">
        <v>188</v>
      </c>
      <c r="J14" s="6" t="s">
        <v>65</v>
      </c>
      <c r="K14" s="8" t="str">
        <f>IF(H14="","",阶段合并区域(J14:J24," ",L14:L24,1))</f>
        <v/>
      </c>
      <c r="L14" s="8">
        <f>COUNTIF(M$8:$M14,"="&amp;M14)</f>
        <v>2</v>
      </c>
      <c r="M14" s="9" t="str">
        <f t="shared" si="3"/>
        <v>进献奇人</v>
      </c>
      <c r="N14" s="9" t="str">
        <f t="shared" si="4"/>
        <v>进献奇人2</v>
      </c>
      <c r="O14" s="15">
        <f>INDEX(C:C,MATCH(J14,D:D,0))</f>
        <v>18</v>
      </c>
      <c r="P14" s="9">
        <f>INDEX(E:E,MATCH(J14,D:D,0))</f>
        <v>120</v>
      </c>
      <c r="Q14" s="7">
        <f t="shared" si="0"/>
        <v>18</v>
      </c>
      <c r="R14" s="7">
        <f>COUNTIF(J$8:$J14,"="&amp;J14)</f>
        <v>1</v>
      </c>
      <c r="S14" s="7">
        <f t="shared" si="5"/>
        <v>1018</v>
      </c>
      <c r="U14" s="7">
        <f t="shared" si="6"/>
        <v>1006</v>
      </c>
      <c r="V14" s="7">
        <f t="shared" si="2"/>
        <v>2006</v>
      </c>
      <c r="W14" s="7">
        <f t="shared" si="2"/>
        <v>3006</v>
      </c>
      <c r="X14" s="7">
        <f t="shared" si="2"/>
        <v>4006</v>
      </c>
      <c r="Y14" s="7">
        <f t="shared" si="2"/>
        <v>5006</v>
      </c>
      <c r="Z14" s="7">
        <f t="shared" si="2"/>
        <v>6006</v>
      </c>
      <c r="AA14" s="7">
        <f t="shared" si="2"/>
        <v>7006</v>
      </c>
      <c r="AB14" s="7">
        <f t="shared" si="2"/>
        <v>8006</v>
      </c>
      <c r="AD14" s="21" t="str">
        <f>IFERROR(INDEX($M:$M,MATCH(U14,$S:$S,0)),"&amp;")</f>
        <v>出将入相</v>
      </c>
      <c r="AE14" s="21" t="str">
        <f>IFERROR(INDEX($M:$M,MATCH(V14,$S:$S,0)),"&amp;")</f>
        <v>权倾朝野</v>
      </c>
      <c r="AF14" s="21" t="str">
        <f>IFERROR(INDEX($M:$M,MATCH(W14,$S:$S,0)),"&amp;")</f>
        <v>门客三千</v>
      </c>
      <c r="AG14" s="21" t="str">
        <f>IFERROR(INDEX($M:$M,MATCH(X14,$S:$S,0)),"&amp;")</f>
        <v>大权在握</v>
      </c>
      <c r="AH14" s="21" t="str">
        <f>IFERROR(INDEX($M:$M,MATCH(Y14,$S:$S,0)),"&amp;")</f>
        <v>一人之下</v>
      </c>
      <c r="AI14" s="21" t="str">
        <f>IFERROR(INDEX($M:$M,MATCH(Z14,$S:$S,0)),"&amp;")</f>
        <v>国之栋梁</v>
      </c>
      <c r="AJ14" s="21" t="str">
        <f>IFERROR(INDEX($M:$M,MATCH(AA14,$S:$S,0)),"&amp;")</f>
        <v>年少有为</v>
      </c>
      <c r="AK14" s="21" t="str">
        <f>IFERROR(INDEX($M:$M,MATCH(AB14,$S:$S,0)),"&amp;")</f>
        <v>好客养士</v>
      </c>
      <c r="AM14" s="21" t="str">
        <f>IFERROR(INDEX($N:$N,MATCH(U14,$S:$S,0)),"&amp;")</f>
        <v>出将入相2</v>
      </c>
      <c r="AN14" s="21" t="str">
        <f>IFERROR(INDEX($N:$N,MATCH(V14,$S:$S,0)),"&amp;")</f>
        <v>权倾朝野3</v>
      </c>
      <c r="AO14" s="21" t="str">
        <f>IFERROR(INDEX($N:$N,MATCH(W14,$S:$S,0)),"&amp;")</f>
        <v>门客三千2</v>
      </c>
      <c r="AP14" s="21" t="str">
        <f>IFERROR(INDEX($N:$N,MATCH(X14,$S:$S,0)),"&amp;")</f>
        <v>大权在握2</v>
      </c>
      <c r="AQ14" s="21" t="str">
        <f>IFERROR(INDEX($N:$N,MATCH(Y14,$S:$S,0)),"&amp;")</f>
        <v>一人之下2</v>
      </c>
      <c r="AR14" s="21" t="str">
        <f>IFERROR(INDEX($N:$N,MATCH(Z14,$S:$S,0)),"&amp;")</f>
        <v>国之栋梁3</v>
      </c>
      <c r="AS14" s="21" t="str">
        <f>IFERROR(INDEX($N:$N,MATCH(AA14,$S:$S,0)),"&amp;")</f>
        <v>年少有为2</v>
      </c>
      <c r="AT14" s="21" t="str">
        <f>IFERROR(INDEX($N:$N,MATCH(AB14,$S:$S,0)),"&amp;")</f>
        <v>好客养士2</v>
      </c>
      <c r="AV14" s="21" t="str">
        <f>IFERROR(SUBSTITUTE(INDEX($K:$K,MATCH(INDEX($M:$M,MATCH(AM14,$N:$N,0)),$M:$M,0)),$D14,""),"")</f>
        <v xml:space="preserve">伍子胥 </v>
      </c>
      <c r="AW14" s="21" t="str">
        <f>IFERROR(SUBSTITUTE(INDEX($K:$K,MATCH(INDEX($M:$M,MATCH(AN14,$N:$N,0)),$M:$M,0)),$D14,""),"")</f>
        <v xml:space="preserve">吕不韦 苏秦 </v>
      </c>
      <c r="AX14" s="21" t="str">
        <f>IFERROR(SUBSTITUTE(INDEX($K:$K,MATCH(INDEX($M:$M,MATCH(AO14,$N:$N,0)),$M:$M,0)),$D14,""),"")</f>
        <v xml:space="preserve">春申君 </v>
      </c>
      <c r="AY14" s="21" t="str">
        <f>IFERROR(SUBSTITUTE(INDEX($K:$K,MATCH(INDEX($M:$M,MATCH(AP14,$N:$N,0)),$M:$M,0)),$D14,""),"")</f>
        <v>吴起  乐毅 苏秦</v>
      </c>
      <c r="AZ14" s="21" t="str">
        <f>IFERROR(SUBSTITUTE(INDEX($K:$K,MATCH(INDEX($M:$M,MATCH(AQ14,$N:$N,0)),$M:$M,0)),$D14,""),"")</f>
        <v>典藏吕不韦  苏秦 申不害</v>
      </c>
      <c r="BA14" s="21" t="str">
        <f>IFERROR(SUBSTITUTE(INDEX($K:$K,MATCH(INDEX($M:$M,MATCH(AR14,$N:$N,0)),$M:$M,0)),$D14,""),"")</f>
        <v>蔺相如 吕不韦  项燕</v>
      </c>
      <c r="BB14" s="21" t="str">
        <f>IFERROR(SUBSTITUTE(INDEX($K:$K,MATCH(INDEX($M:$M,MATCH(AS14,$N:$N,0)),$M:$M,0)),$D14,""),"")</f>
        <v>嬴政  屈原 苏秦</v>
      </c>
      <c r="BC14" s="21" t="str">
        <f>IFERROR(SUBSTITUTE(INDEX($K:$K,MATCH(INDEX($M:$M,MATCH(AT14,$N:$N,0)),$M:$M,0)),$D14,""),"")</f>
        <v>孟尝君  伯乐</v>
      </c>
      <c r="BE14" s="9" t="str">
        <f t="shared" si="7"/>
        <v>伍子胥,信陵君,吕不韦,苏秦,春申君,吴起,乐毅,典藏吕不韦,申不害,蔺相如,项燕,嬴政,屈原,孟尝君,伯乐</v>
      </c>
      <c r="BI14" s="9" t="str">
        <f>IFERROR(
IF(COUNTIF($M:$M,$AD14)&lt;BI$8,
"",
INDEX($J:$J,MATCH($AD14,$M:$M,0)+BI$8-1)),
"")</f>
        <v>伍子胥</v>
      </c>
      <c r="BJ14" s="9" t="str">
        <f>IFERROR(
IF(COUNTIF($M:$M,$AD14)&lt;BJ$8,
"",
INDEX($J:$J,MATCH($AD14,$M:$M,0)+BJ$8-1)),
"")</f>
        <v>信陵君</v>
      </c>
      <c r="BK14" s="9" t="str">
        <f>IFERROR(
IF(COUNTIF($M:$M,$AD14)&lt;BK$8,
"",
INDEX($J:$J,MATCH($AD14,$M:$M,0)+BK$8-1)),
"")</f>
        <v/>
      </c>
      <c r="BL14" s="9" t="str">
        <f>IFERROR(
IF(COUNTIF($M:$M,$AD14)&lt;BL$8,
"",
INDEX($J:$J,MATCH($AD14,$M:$M,0)+BL$8-1)),
"")</f>
        <v/>
      </c>
      <c r="BN14" s="21" t="str">
        <f>IFERROR(
IF(COUNTIF($BI14:BM14,INDEX($J:$J,MATCH($AE14,$M:$M,0)+BN$8-1))=0,
IF(COUNTIF($M:$M,$AE14)&lt;BN$8,
"",
INDEX($J:$J,MATCH($AE14,$M:$M,0)+BN$8-1)),
""),
"")</f>
        <v>吕不韦</v>
      </c>
      <c r="BO14" s="21" t="str">
        <f>IFERROR(
IF(COUNTIF($BI14:BN14,INDEX($J:$J,MATCH($AE14,$M:$M,0)+BO$8-1))=0,
IF(COUNTIF($M:$M,$AE14)&lt;BO$8,
"",
INDEX($J:$J,MATCH($AE14,$M:$M,0)+BO$8-1)),
""),
"")</f>
        <v>苏秦</v>
      </c>
      <c r="BP14" s="21" t="str">
        <f>IFERROR(
IF(COUNTIF($BI14:BO14,INDEX($J:$J,MATCH($AE14,$M:$M,0)+BP$8-1))=0,
IF(COUNTIF($M:$M,$AE14)&lt;BP$8,
"",
INDEX($J:$J,MATCH($AE14,$M:$M,0)+BP$8-1)),
""),
"")</f>
        <v/>
      </c>
      <c r="BQ14" s="21" t="str">
        <f>IFERROR(
IF(COUNTIF($BI14:BP14,INDEX($J:$J,MATCH($AE14,$M:$M,0)+BQ$8-1))=0,
IF(COUNTIF($M:$M,$AE14)&lt;BQ$8,
"",
INDEX($J:$J,MATCH($AE14,$M:$M,0)+BQ$8-1)),
""),
"")</f>
        <v/>
      </c>
      <c r="BS14" s="21" t="str">
        <f>IFERROR(
IF(COUNTIF($BI14:BR14,INDEX($J:$J,MATCH($AF14,$M:$M,0)+BS$8-1))=0,
IF(COUNTIF($M:$M,$AF14)&lt;BS$8,
"",
INDEX($J:$J,MATCH($AF14,$M:$M,0)+BS$8-1)),
""),
"")</f>
        <v>春申君</v>
      </c>
      <c r="BT14" s="21" t="str">
        <f>IFERROR(
IF(COUNTIF($BI14:BS14,INDEX($J:$J,MATCH($AF14,$M:$M,0)+BT$8-1))=0,
IF(COUNTIF($M:$M,$AF14)&lt;BT$8,
"",
INDEX($J:$J,MATCH($AF14,$M:$M,0)+BT$8-1)),
""),
"")</f>
        <v/>
      </c>
      <c r="BU14" s="21" t="str">
        <f>IFERROR(
IF(COUNTIF($BI14:BT14,INDEX($J:$J,MATCH($AF14,$M:$M,0)+BU$8-1))=0,
IF(COUNTIF($M:$M,$AF14)&lt;BU$8,
"",
INDEX($J:$J,MATCH($AF14,$M:$M,0)+BU$8-1)),
""),
"")</f>
        <v/>
      </c>
      <c r="BV14" s="21" t="str">
        <f>IFERROR(
IF(COUNTIF($BI14:BU14,INDEX($J:$J,MATCH($AF14,$M:$M,0)+BV$8-1))=0,
IF(COUNTIF($M:$M,$AF14)&lt;BV$8,
"",
INDEX($J:$J,MATCH($AF14,$M:$M,0)+BV$8-1)),
""),
"")</f>
        <v/>
      </c>
      <c r="BX14" s="21" t="str">
        <f>IFERROR(
IF(COUNTIF($BI14:BW14,INDEX($J:$J,MATCH($AG14,$M:$M,0)+BX$8-1))=0,
IF(COUNTIF($M:$M,$AG14)&lt;BX$8,
"",
INDEX($J:$J,MATCH($AG14,$M:$M,0)+BX$8-1)),
""),
"")</f>
        <v>吴起</v>
      </c>
      <c r="BY14" s="21" t="str">
        <f>IFERROR(
IF(COUNTIF($BI14:BX14,INDEX($J:$J,MATCH($AG14,$M:$M,0)+BY$8-1))=0,
IF(COUNTIF($M:$M,$AG14)&lt;BY$8,
"",
INDEX($J:$J,MATCH($AG14,$M:$M,0)+BY$8-1)),
""),
"")</f>
        <v/>
      </c>
      <c r="BZ14" s="21" t="str">
        <f>IFERROR(
IF(COUNTIF($BI14:BY14,INDEX($J:$J,MATCH($AG14,$M:$M,0)+BZ$8-1))=0,
IF(COUNTIF($M:$M,$AG14)&lt;BZ$8,
"",
INDEX($J:$J,MATCH($AG14,$M:$M,0)+BZ$8-1)),
""),
"")</f>
        <v>乐毅</v>
      </c>
      <c r="CA14" s="21" t="str">
        <f>IFERROR(
IF(COUNTIF($BI14:BZ14,INDEX($J:$J,MATCH($AG14,$M:$M,0)+CA$8-1))=0,
IF(COUNTIF($M:$M,$AG14)&lt;CA$8,
"",
INDEX($J:$J,MATCH($AG14,$M:$M,0)+CA$8-1)),
""),
"")</f>
        <v/>
      </c>
      <c r="CC14" s="21" t="str">
        <f>IFERROR(
IF(COUNTIF($BI14:CB14,INDEX($J:$J,MATCH($AH14,$M:$M,0)+CC$8-1))=0,
IF(COUNTIF($M:$M,$AH14)&lt;CC$8,
"",
INDEX($J:$J,MATCH($AH14,$M:$M,0)+CC$8-1)),
""),
"")</f>
        <v>典藏吕不韦</v>
      </c>
      <c r="CD14" s="21" t="str">
        <f>IFERROR(
IF(COUNTIF($BI14:CC14,INDEX($J:$J,MATCH($AH14,$M:$M,0)+CD$8-1))=0,
IF(COUNTIF($M:$M,$AH14)&lt;CD$8,
"",
INDEX($J:$J,MATCH($AH14,$M:$M,0)+CD$8-1)),
""),
"")</f>
        <v/>
      </c>
      <c r="CE14" s="21" t="str">
        <f>IFERROR(
IF(COUNTIF($BI14:CD14,INDEX($J:$J,MATCH($AH14,$M:$M,0)+CE$8-1))=0,
IF(COUNTIF($M:$M,$AH14)&lt;CE$8,
"",
INDEX($J:$J,MATCH($AH14,$M:$M,0)+CE$8-1)),
""),
"")</f>
        <v/>
      </c>
      <c r="CF14" s="21" t="str">
        <f>IFERROR(
IF(COUNTIF($BI14:CE14,INDEX($J:$J,MATCH($AH14,$M:$M,0)+CF$8-1))=0,
IF(COUNTIF($M:$M,$AH14)&lt;CF$8,
"",
INDEX($J:$J,MATCH($AH14,$M:$M,0)+CF$8-1)),
""),
"")</f>
        <v>申不害</v>
      </c>
      <c r="CH14" s="21" t="str">
        <f>IFERROR(
IF(COUNTIF($BI14:CG14,INDEX($J:$J,MATCH($AI14,$M:$M,0)+CH$8-1))=0,
IF(COUNTIF($M:$M,$AI14)&lt;CH$8,
"",
INDEX($J:$J,MATCH($AI14,$M:$M,0)+CH$8-1)),
""),
"")</f>
        <v>蔺相如</v>
      </c>
      <c r="CI14" s="21" t="str">
        <f>IFERROR(
IF(COUNTIF($BI14:CH14,INDEX($J:$J,MATCH($AI14,$M:$M,0)+CI$8-1))=0,
IF(COUNTIF($M:$M,$AI14)&lt;CI$8,
"",
INDEX($J:$J,MATCH($AI14,$M:$M,0)+CI$8-1)),
""),
"")</f>
        <v/>
      </c>
      <c r="CJ14" s="21" t="str">
        <f>IFERROR(
IF(COUNTIF($BI14:CI14,INDEX($J:$J,MATCH($AI14,$M:$M,0)+CJ$8-1))=0,
IF(COUNTIF($M:$M,$AI14)&lt;CJ$8,
"",
INDEX($J:$J,MATCH($AI14,$M:$M,0)+CJ$8-1)),
""),
"")</f>
        <v/>
      </c>
      <c r="CK14" s="21" t="str">
        <f>IFERROR(
IF(COUNTIF($BI14:CJ14,INDEX($J:$J,MATCH($AI14,$M:$M,0)+CK$8-1))=0,
IF(COUNTIF($M:$M,$AI14)&lt;CK$8,
"",
INDEX($J:$J,MATCH($AI14,$M:$M,0)+CK$8-1)),
""),
"")</f>
        <v>项燕</v>
      </c>
      <c r="CM14" s="21" t="str">
        <f>IFERROR(
IF(COUNTIF($BI14:CL14,INDEX($J:$J,MATCH($AJ14,$M:$M,0)+CM$8-1))=0,
IF(COUNTIF($M:$M,$AJ14)&lt;CM$8,
"",
INDEX($J:$J,MATCH($AJ14,$M:$M,0)+CM$8-1)),
""),
"")</f>
        <v>嬴政</v>
      </c>
      <c r="CN14" s="21" t="str">
        <f>IFERROR(
IF(COUNTIF($BI14:CM14,INDEX($J:$J,MATCH($AJ14,$M:$M,0)+CN$8-1))=0,
IF(COUNTIF($M:$M,$AJ14)&lt;CN$8,
"",
INDEX($J:$J,MATCH($AJ14,$M:$M,0)+CN$8-1)),
""),
"")</f>
        <v/>
      </c>
      <c r="CO14" s="21" t="str">
        <f>IFERROR(
IF(COUNTIF($BI14:CN14,INDEX($J:$J,MATCH($AJ14,$M:$M,0)+CO$8-1))=0,
IF(COUNTIF($M:$M,$AJ14)&lt;CO$8,
"",
INDEX($J:$J,MATCH($AJ14,$M:$M,0)+CO$8-1)),
""),
"")</f>
        <v>屈原</v>
      </c>
      <c r="CP14" s="21" t="str">
        <f>IFERROR(
IF(COUNTIF($BI14:CO14,INDEX($J:$J,MATCH($AJ14,$M:$M,0)+CP$8-1))=0,
IF(COUNTIF($M:$M,$AJ14)&lt;CP$8,
"",
INDEX($J:$J,MATCH($AJ14,$M:$M,0)+CP$8-1)),
""),
"")</f>
        <v/>
      </c>
      <c r="CR14" s="21" t="str">
        <f>IFERROR(
IF(COUNTIF($BI14:CQ14,INDEX($J:$J,MATCH($AK14,$M:$M,0)+CR$8-1))=0,
IF(COUNTIF($M:$M,$AK14)&lt;CR$8,
"",
INDEX($J:$J,MATCH($AK14,$M:$M,0)+CR$8-1)),
""),
"")</f>
        <v>孟尝君</v>
      </c>
      <c r="CS14" s="21" t="str">
        <f>IFERROR(
IF(COUNTIF($BI14:CR14,INDEX($J:$J,MATCH($AK14,$M:$M,0)+CS$8-1))=0,
IF(COUNTIF($M:$M,$AK14)&lt;CS$8,
"",
INDEX($J:$J,MATCH($AK14,$M:$M,0)+CS$8-1)),
""),
"")</f>
        <v/>
      </c>
      <c r="CT14" s="21" t="str">
        <f>IFERROR(
IF(COUNTIF($BI14:CS14,INDEX($J:$J,MATCH($AK14,$M:$M,0)+CT$8-1))=0,
IF(COUNTIF($M:$M,$AK14)&lt;CT$8,
"",
INDEX($J:$J,MATCH($AK14,$M:$M,0)+CT$8-1)),
""),
"")</f>
        <v>伯乐</v>
      </c>
      <c r="CU14" s="21" t="str">
        <f>IFERROR(
IF(COUNTIF($BI14:CT14,INDEX($J:$J,MATCH($AK14,$M:$M,0)+CU$8-1))=0,
IF(COUNTIF($M:$M,$AK14)&lt;CU$8,
"",
INDEX($J:$J,MATCH($AK14,$M:$M,0)+CU$8-1)),
""),
"")</f>
        <v/>
      </c>
    </row>
    <row r="15" spans="3:99" ht="14.25">
      <c r="C15" s="16">
        <v>7</v>
      </c>
      <c r="D15" s="19" t="s">
        <v>46</v>
      </c>
      <c r="E15" s="20">
        <f>INDEX([1]武将基本资料!$S:$S,MATCH(D15,[1]武将基本资料!$N:$N,0))</f>
        <v>120</v>
      </c>
      <c r="F15" s="20" t="str">
        <f>INDEX([1]武将基本资料!$Q:$Q,MATCH(D15,[1]武将基本资料!$N:$N,0))</f>
        <v>橙</v>
      </c>
      <c r="H15" s="7">
        <f>IF(I15="","",COUNTA(I$9:$I15))</f>
        <v>6</v>
      </c>
      <c r="I15" s="6" t="s">
        <v>162</v>
      </c>
      <c r="J15" s="6" t="s">
        <v>84</v>
      </c>
      <c r="K15" s="8" t="str">
        <f>IF(H15="","",阶段合并区域(J15:J25," ",L15:L25,1))</f>
        <v>孙膑 田忌</v>
      </c>
      <c r="L15" s="8">
        <f>COUNTIF(M$8:$M15,"="&amp;M15)</f>
        <v>1</v>
      </c>
      <c r="M15" s="9" t="str">
        <f t="shared" si="3"/>
        <v>田忌赛马</v>
      </c>
      <c r="N15" s="9" t="str">
        <f t="shared" si="4"/>
        <v>田忌赛马1</v>
      </c>
      <c r="O15" s="15">
        <f>INDEX(C:C,MATCH(J15,D:D,0))</f>
        <v>36</v>
      </c>
      <c r="P15" s="9">
        <f>INDEX(E:E,MATCH(J15,D:D,0))</f>
        <v>120</v>
      </c>
      <c r="Q15" s="7">
        <f t="shared" si="0"/>
        <v>36</v>
      </c>
      <c r="R15" s="7">
        <f>COUNTIF(J$8:$J15,"="&amp;J15)</f>
        <v>1</v>
      </c>
      <c r="S15" s="7">
        <f t="shared" si="5"/>
        <v>1036</v>
      </c>
      <c r="U15" s="7">
        <f t="shared" si="6"/>
        <v>1007</v>
      </c>
      <c r="V15" s="7">
        <f t="shared" si="2"/>
        <v>2007</v>
      </c>
      <c r="W15" s="7">
        <f t="shared" si="2"/>
        <v>3007</v>
      </c>
      <c r="X15" s="7">
        <f t="shared" si="2"/>
        <v>4007</v>
      </c>
      <c r="Y15" s="7">
        <f t="shared" si="2"/>
        <v>5007</v>
      </c>
      <c r="Z15" s="7">
        <f t="shared" si="2"/>
        <v>6007</v>
      </c>
      <c r="AA15" s="7">
        <f t="shared" si="2"/>
        <v>7007</v>
      </c>
      <c r="AB15" s="7">
        <f t="shared" si="2"/>
        <v>8007</v>
      </c>
      <c r="AD15" s="21" t="str">
        <f>IFERROR(INDEX($M:$M,MATCH(U15,$S:$S,0)),"&amp;")</f>
        <v>红颜祸水</v>
      </c>
      <c r="AE15" s="21" t="str">
        <f>IFERROR(INDEX($M:$M,MATCH(V15,$S:$S,0)),"&amp;")</f>
        <v>忍辱负重</v>
      </c>
      <c r="AF15" s="21" t="str">
        <f>IFERROR(INDEX($M:$M,MATCH(W15,$S:$S,0)),"&amp;")</f>
        <v>巾帼英雄</v>
      </c>
      <c r="AG15" s="21" t="str">
        <f>IFERROR(INDEX($M:$M,MATCH(X15,$S:$S,0)),"&amp;")</f>
        <v>红颜薄命</v>
      </c>
      <c r="AH15" s="21" t="str">
        <f>IFERROR(INDEX($M:$M,MATCH(Y15,$S:$S,0)),"&amp;")</f>
        <v>辅佐奇才</v>
      </c>
      <c r="AI15" s="21" t="str">
        <f>IFERROR(INDEX($M:$M,MATCH(Z15,$S:$S,0)),"&amp;")</f>
        <v>国色天资</v>
      </c>
      <c r="AJ15" s="21" t="str">
        <f>IFERROR(INDEX($M:$M,MATCH(AA15,$S:$S,0)),"&amp;")</f>
        <v>缓急相济</v>
      </c>
      <c r="AK15" s="21" t="str">
        <f>IFERROR(INDEX($M:$M,MATCH(AB15,$S:$S,0)),"&amp;")</f>
        <v>楚楚动人</v>
      </c>
      <c r="AM15" s="21" t="str">
        <f>IFERROR(INDEX($N:$N,MATCH(U15,$S:$S,0)),"&amp;")</f>
        <v>红颜祸水2</v>
      </c>
      <c r="AN15" s="21" t="str">
        <f>IFERROR(INDEX($N:$N,MATCH(V15,$S:$S,0)),"&amp;")</f>
        <v>忍辱负重1</v>
      </c>
      <c r="AO15" s="21" t="str">
        <f>IFERROR(INDEX($N:$N,MATCH(W15,$S:$S,0)),"&amp;")</f>
        <v>巾帼英雄2</v>
      </c>
      <c r="AP15" s="21" t="str">
        <f>IFERROR(INDEX($N:$N,MATCH(X15,$S:$S,0)),"&amp;")</f>
        <v>红颜薄命2</v>
      </c>
      <c r="AQ15" s="21" t="str">
        <f>IFERROR(INDEX($N:$N,MATCH(Y15,$S:$S,0)),"&amp;")</f>
        <v>辅佐奇才4</v>
      </c>
      <c r="AR15" s="21" t="str">
        <f>IFERROR(INDEX($N:$N,MATCH(Z15,$S:$S,0)),"&amp;")</f>
        <v>国色天资2</v>
      </c>
      <c r="AS15" s="21" t="str">
        <f>IFERROR(INDEX($N:$N,MATCH(AA15,$S:$S,0)),"&amp;")</f>
        <v>缓急相济2</v>
      </c>
      <c r="AT15" s="21" t="str">
        <f>IFERROR(INDEX($N:$N,MATCH(AB15,$S:$S,0)),"&amp;")</f>
        <v>楚楚动人2</v>
      </c>
      <c r="AV15" s="21" t="str">
        <f>IFERROR(SUBSTITUTE(INDEX($K:$K,MATCH(INDEX($M:$M,MATCH(AM15,$N:$N,0)),$M:$M,0)),$D15,""),"")</f>
        <v xml:space="preserve">骊姬 </v>
      </c>
      <c r="AW15" s="21" t="str">
        <f>IFERROR(SUBSTITUTE(INDEX($K:$K,MATCH(INDEX($M:$M,MATCH(AN15,$N:$N,0)),$M:$M,0)),$D15,""),"")</f>
        <v xml:space="preserve"> 勾践</v>
      </c>
      <c r="AX15" s="21" t="str">
        <f>IFERROR(SUBSTITUTE(INDEX($K:$K,MATCH(INDEX($M:$M,MATCH(AO15,$N:$N,0)),$M:$M,0)),$D15,""),"")</f>
        <v xml:space="preserve">钟无艳 </v>
      </c>
      <c r="AY15" s="21" t="str">
        <f>IFERROR(SUBSTITUTE(INDEX($K:$K,MATCH(INDEX($M:$M,MATCH(AP15,$N:$N,0)),$M:$M,0)),$D15,""),"")</f>
        <v>褒姒  骊姬 褒姒 韩非子 屈原 项燕</v>
      </c>
      <c r="AZ15" s="21" t="str">
        <f>IFERROR(SUBSTITUTE(INDEX($K:$K,MATCH(INDEX($M:$M,MATCH(AQ15,$N:$N,0)),$M:$M,0)),$D15,""),"")</f>
        <v xml:space="preserve">蔺相如 苏秦 伯乐 </v>
      </c>
      <c r="BA15" s="21" t="str">
        <f>IFERROR(SUBSTITUTE(INDEX($K:$K,MATCH(INDEX($M:$M,MATCH(AR15,$N:$N,0)),$M:$M,0)),$D15,""),"")</f>
        <v>吕雉  骊姬</v>
      </c>
      <c r="BB15" s="21" t="str">
        <f>IFERROR(SUBSTITUTE(INDEX($K:$K,MATCH(INDEX($M:$M,MATCH(AS15,$N:$N,0)),$M:$M,0)),$D15,""),"")</f>
        <v>弄玉  扁鹊</v>
      </c>
      <c r="BC15" s="21" t="str">
        <f>IFERROR(SUBSTITUTE(INDEX($K:$K,MATCH(INDEX($M:$M,MATCH(AT15,$N:$N,0)),$M:$M,0)),$D15,""),"")</f>
        <v xml:space="preserve">虞姬 </v>
      </c>
      <c r="BE15" s="9" t="str">
        <f t="shared" si="7"/>
        <v>骊姬,西施,勾践,钟无艳,褒姒,蔺相如,苏秦,伯乐,吕雉,弄玉,扁鹊,虞姬</v>
      </c>
      <c r="BI15" s="9" t="str">
        <f>IFERROR(
IF(COUNTIF($M:$M,$AD15)&lt;BI$8,
"",
INDEX($J:$J,MATCH($AD15,$M:$M,0)+BI$8-1)),
"")</f>
        <v>骊姬</v>
      </c>
      <c r="BJ15" s="9" t="str">
        <f>IFERROR(
IF(COUNTIF($M:$M,$AD15)&lt;BJ$8,
"",
INDEX($J:$J,MATCH($AD15,$M:$M,0)+BJ$8-1)),
"")</f>
        <v>西施</v>
      </c>
      <c r="BK15" s="9" t="str">
        <f>IFERROR(
IF(COUNTIF($M:$M,$AD15)&lt;BK$8,
"",
INDEX($J:$J,MATCH($AD15,$M:$M,0)+BK$8-1)),
"")</f>
        <v/>
      </c>
      <c r="BL15" s="9" t="str">
        <f>IFERROR(
IF(COUNTIF($M:$M,$AD15)&lt;BL$8,
"",
INDEX($J:$J,MATCH($AD15,$M:$M,0)+BL$8-1)),
"")</f>
        <v/>
      </c>
      <c r="BN15" s="21" t="str">
        <f>IFERROR(
IF(COUNTIF($BI15:BM15,INDEX($J:$J,MATCH($AE15,$M:$M,0)+BN$8-1))=0,
IF(COUNTIF($M:$M,$AE15)&lt;BN$8,
"",
INDEX($J:$J,MATCH($AE15,$M:$M,0)+BN$8-1)),
""),
"")</f>
        <v/>
      </c>
      <c r="BO15" s="21" t="str">
        <f>IFERROR(
IF(COUNTIF($BI15:BN15,INDEX($J:$J,MATCH($AE15,$M:$M,0)+BO$8-1))=0,
IF(COUNTIF($M:$M,$AE15)&lt;BO$8,
"",
INDEX($J:$J,MATCH($AE15,$M:$M,0)+BO$8-1)),
""),
"")</f>
        <v>勾践</v>
      </c>
      <c r="BP15" s="21" t="str">
        <f>IFERROR(
IF(COUNTIF($BI15:BO15,INDEX($J:$J,MATCH($AE15,$M:$M,0)+BP$8-1))=0,
IF(COUNTIF($M:$M,$AE15)&lt;BP$8,
"",
INDEX($J:$J,MATCH($AE15,$M:$M,0)+BP$8-1)),
""),
"")</f>
        <v/>
      </c>
      <c r="BQ15" s="21" t="str">
        <f>IFERROR(
IF(COUNTIF($BI15:BP15,INDEX($J:$J,MATCH($AE15,$M:$M,0)+BQ$8-1))=0,
IF(COUNTIF($M:$M,$AE15)&lt;BQ$8,
"",
INDEX($J:$J,MATCH($AE15,$M:$M,0)+BQ$8-1)),
""),
"")</f>
        <v/>
      </c>
      <c r="BS15" s="21" t="str">
        <f>IFERROR(
IF(COUNTIF($BI15:BR15,INDEX($J:$J,MATCH($AF15,$M:$M,0)+BS$8-1))=0,
IF(COUNTIF($M:$M,$AF15)&lt;BS$8,
"",
INDEX($J:$J,MATCH($AF15,$M:$M,0)+BS$8-1)),
""),
"")</f>
        <v>钟无艳</v>
      </c>
      <c r="BT15" s="21" t="str">
        <f>IFERROR(
IF(COUNTIF($BI15:BS15,INDEX($J:$J,MATCH($AF15,$M:$M,0)+BT$8-1))=0,
IF(COUNTIF($M:$M,$AF15)&lt;BT$8,
"",
INDEX($J:$J,MATCH($AF15,$M:$M,0)+BT$8-1)),
""),
"")</f>
        <v/>
      </c>
      <c r="BU15" s="21" t="str">
        <f>IFERROR(
IF(COUNTIF($BI15:BT15,INDEX($J:$J,MATCH($AF15,$M:$M,0)+BU$8-1))=0,
IF(COUNTIF($M:$M,$AF15)&lt;BU$8,
"",
INDEX($J:$J,MATCH($AF15,$M:$M,0)+BU$8-1)),
""),
"")</f>
        <v/>
      </c>
      <c r="BV15" s="21" t="str">
        <f>IFERROR(
IF(COUNTIF($BI15:BU15,INDEX($J:$J,MATCH($AF15,$M:$M,0)+BV$8-1))=0,
IF(COUNTIF($M:$M,$AF15)&lt;BV$8,
"",
INDEX($J:$J,MATCH($AF15,$M:$M,0)+BV$8-1)),
""),
"")</f>
        <v/>
      </c>
      <c r="BX15" s="21" t="str">
        <f>IFERROR(
IF(COUNTIF($BI15:BW15,INDEX($J:$J,MATCH($AG15,$M:$M,0)+BX$8-1))=0,
IF(COUNTIF($M:$M,$AG15)&lt;BX$8,
"",
INDEX($J:$J,MATCH($AG15,$M:$M,0)+BX$8-1)),
""),
"")</f>
        <v>褒姒</v>
      </c>
      <c r="BY15" s="21" t="str">
        <f>IFERROR(
IF(COUNTIF($BI15:BX15,INDEX($J:$J,MATCH($AG15,$M:$M,0)+BY$8-1))=0,
IF(COUNTIF($M:$M,$AG15)&lt;BY$8,
"",
INDEX($J:$J,MATCH($AG15,$M:$M,0)+BY$8-1)),
""),
"")</f>
        <v/>
      </c>
      <c r="BZ15" s="21" t="str">
        <f>IFERROR(
IF(COUNTIF($BI15:BY15,INDEX($J:$J,MATCH($AG15,$M:$M,0)+BZ$8-1))=0,
IF(COUNTIF($M:$M,$AG15)&lt;BZ$8,
"",
INDEX($J:$J,MATCH($AG15,$M:$M,0)+BZ$8-1)),
""),
"")</f>
        <v/>
      </c>
      <c r="CA15" s="21" t="str">
        <f>IFERROR(
IF(COUNTIF($BI15:BZ15,INDEX($J:$J,MATCH($AG15,$M:$M,0)+CA$8-1))=0,
IF(COUNTIF($M:$M,$AG15)&lt;CA$8,
"",
INDEX($J:$J,MATCH($AG15,$M:$M,0)+CA$8-1)),
""),
"")</f>
        <v/>
      </c>
      <c r="CC15" s="21" t="str">
        <f>IFERROR(
IF(COUNTIF($BI15:CB15,INDEX($J:$J,MATCH($AH15,$M:$M,0)+CC$8-1))=0,
IF(COUNTIF($M:$M,$AH15)&lt;CC$8,
"",
INDEX($J:$J,MATCH($AH15,$M:$M,0)+CC$8-1)),
""),
"")</f>
        <v>蔺相如</v>
      </c>
      <c r="CD15" s="21" t="str">
        <f>IFERROR(
IF(COUNTIF($BI15:CC15,INDEX($J:$J,MATCH($AH15,$M:$M,0)+CD$8-1))=0,
IF(COUNTIF($M:$M,$AH15)&lt;CD$8,
"",
INDEX($J:$J,MATCH($AH15,$M:$M,0)+CD$8-1)),
""),
"")</f>
        <v>苏秦</v>
      </c>
      <c r="CE15" s="21" t="str">
        <f>IFERROR(
IF(COUNTIF($BI15:CD15,INDEX($J:$J,MATCH($AH15,$M:$M,0)+CE$8-1))=0,
IF(COUNTIF($M:$M,$AH15)&lt;CE$8,
"",
INDEX($J:$J,MATCH($AH15,$M:$M,0)+CE$8-1)),
""),
"")</f>
        <v>伯乐</v>
      </c>
      <c r="CF15" s="21" t="str">
        <f>IFERROR(
IF(COUNTIF($BI15:CE15,INDEX($J:$J,MATCH($AH15,$M:$M,0)+CF$8-1))=0,
IF(COUNTIF($M:$M,$AH15)&lt;CF$8,
"",
INDEX($J:$J,MATCH($AH15,$M:$M,0)+CF$8-1)),
""),
"")</f>
        <v/>
      </c>
      <c r="CH15" s="21" t="str">
        <f>IFERROR(
IF(COUNTIF($BI15:CG15,INDEX($J:$J,MATCH($AI15,$M:$M,0)+CH$8-1))=0,
IF(COUNTIF($M:$M,$AI15)&lt;CH$8,
"",
INDEX($J:$J,MATCH($AI15,$M:$M,0)+CH$8-1)),
""),
"")</f>
        <v>吕雉</v>
      </c>
      <c r="CI15" s="21" t="str">
        <f>IFERROR(
IF(COUNTIF($BI15:CH15,INDEX($J:$J,MATCH($AI15,$M:$M,0)+CI$8-1))=0,
IF(COUNTIF($M:$M,$AI15)&lt;CI$8,
"",
INDEX($J:$J,MATCH($AI15,$M:$M,0)+CI$8-1)),
""),
"")</f>
        <v/>
      </c>
      <c r="CJ15" s="21" t="str">
        <f>IFERROR(
IF(COUNTIF($BI15:CI15,INDEX($J:$J,MATCH($AI15,$M:$M,0)+CJ$8-1))=0,
IF(COUNTIF($M:$M,$AI15)&lt;CJ$8,
"",
INDEX($J:$J,MATCH($AI15,$M:$M,0)+CJ$8-1)),
""),
"")</f>
        <v/>
      </c>
      <c r="CK15" s="21" t="str">
        <f>IFERROR(
IF(COUNTIF($BI15:CJ15,INDEX($J:$J,MATCH($AI15,$M:$M,0)+CK$8-1))=0,
IF(COUNTIF($M:$M,$AI15)&lt;CK$8,
"",
INDEX($J:$J,MATCH($AI15,$M:$M,0)+CK$8-1)),
""),
"")</f>
        <v/>
      </c>
      <c r="CM15" s="21" t="str">
        <f>IFERROR(
IF(COUNTIF($BI15:CL15,INDEX($J:$J,MATCH($AJ15,$M:$M,0)+CM$8-1))=0,
IF(COUNTIF($M:$M,$AJ15)&lt;CM$8,
"",
INDEX($J:$J,MATCH($AJ15,$M:$M,0)+CM$8-1)),
""),
"")</f>
        <v>弄玉</v>
      </c>
      <c r="CN15" s="21" t="str">
        <f>IFERROR(
IF(COUNTIF($BI15:CM15,INDEX($J:$J,MATCH($AJ15,$M:$M,0)+CN$8-1))=0,
IF(COUNTIF($M:$M,$AJ15)&lt;CN$8,
"",
INDEX($J:$J,MATCH($AJ15,$M:$M,0)+CN$8-1)),
""),
"")</f>
        <v/>
      </c>
      <c r="CO15" s="21" t="str">
        <f>IFERROR(
IF(COUNTIF($BI15:CN15,INDEX($J:$J,MATCH($AJ15,$M:$M,0)+CO$8-1))=0,
IF(COUNTIF($M:$M,$AJ15)&lt;CO$8,
"",
INDEX($J:$J,MATCH($AJ15,$M:$M,0)+CO$8-1)),
""),
"")</f>
        <v>扁鹊</v>
      </c>
      <c r="CP15" s="21" t="str">
        <f>IFERROR(
IF(COUNTIF($BI15:CO15,INDEX($J:$J,MATCH($AJ15,$M:$M,0)+CP$8-1))=0,
IF(COUNTIF($M:$M,$AJ15)&lt;CP$8,
"",
INDEX($J:$J,MATCH($AJ15,$M:$M,0)+CP$8-1)),
""),
"")</f>
        <v/>
      </c>
      <c r="CR15" s="21" t="str">
        <f>IFERROR(
IF(COUNTIF($BI15:CQ15,INDEX($J:$J,MATCH($AK15,$M:$M,0)+CR$8-1))=0,
IF(COUNTIF($M:$M,$AK15)&lt;CR$8,
"",
INDEX($J:$J,MATCH($AK15,$M:$M,0)+CR$8-1)),
""),
"")</f>
        <v>虞姬</v>
      </c>
      <c r="CS15" s="21" t="str">
        <f>IFERROR(
IF(COUNTIF($BI15:CR15,INDEX($J:$J,MATCH($AK15,$M:$M,0)+CS$8-1))=0,
IF(COUNTIF($M:$M,$AK15)&lt;CS$8,
"",
INDEX($J:$J,MATCH($AK15,$M:$M,0)+CS$8-1)),
""),
"")</f>
        <v/>
      </c>
      <c r="CT15" s="21" t="str">
        <f>IFERROR(
IF(COUNTIF($BI15:CS15,INDEX($J:$J,MATCH($AK15,$M:$M,0)+CT$8-1))=0,
IF(COUNTIF($M:$M,$AK15)&lt;CT$8,
"",
INDEX($J:$J,MATCH($AK15,$M:$M,0)+CT$8-1)),
""),
"")</f>
        <v/>
      </c>
      <c r="CU15" s="21" t="str">
        <f>IFERROR(
IF(COUNTIF($BI15:CT15,INDEX($J:$J,MATCH($AK15,$M:$M,0)+CU$8-1))=0,
IF(COUNTIF($M:$M,$AK15)&lt;CU$8,
"",
INDEX($J:$J,MATCH($AK15,$M:$M,0)+CU$8-1)),
""),
"")</f>
        <v/>
      </c>
    </row>
    <row r="16" spans="3:99" ht="14.25">
      <c r="C16" s="16">
        <v>8</v>
      </c>
      <c r="D16" s="19" t="s">
        <v>57</v>
      </c>
      <c r="E16" s="20">
        <f>INDEX([1]武将基本资料!$S:$S,MATCH(D16,[1]武将基本资料!$N:$N,0))</f>
        <v>130</v>
      </c>
      <c r="F16" s="20" t="str">
        <f>INDEX([1]武将基本资料!$Q:$Q,MATCH(D16,[1]武将基本资料!$N:$N,0))</f>
        <v>橙+</v>
      </c>
      <c r="H16" s="7" t="str">
        <f>IF(I16="","",COUNTA(I$9:$I16))</f>
        <v/>
      </c>
      <c r="I16" s="6" t="s">
        <v>188</v>
      </c>
      <c r="J16" s="6" t="s">
        <v>75</v>
      </c>
      <c r="K16" s="8" t="str">
        <f>IF(H16="","",阶段合并区域(J16:J26," ",L16:L26,1))</f>
        <v/>
      </c>
      <c r="L16" s="8">
        <f>COUNTIF(M$8:$M16,"="&amp;M16)</f>
        <v>2</v>
      </c>
      <c r="M16" s="9" t="str">
        <f t="shared" si="3"/>
        <v>田忌赛马</v>
      </c>
      <c r="N16" s="9" t="str">
        <f t="shared" si="4"/>
        <v>田忌赛马2</v>
      </c>
      <c r="O16" s="15">
        <f>INDEX(C:C,MATCH(J16,D:D,0))</f>
        <v>33</v>
      </c>
      <c r="P16" s="9">
        <f>INDEX(E:E,MATCH(J16,D:D,0))</f>
        <v>110</v>
      </c>
      <c r="Q16" s="7">
        <f t="shared" si="0"/>
        <v>33</v>
      </c>
      <c r="R16" s="7">
        <f>COUNTIF(J$8:$J16,"="&amp;J16)</f>
        <v>1</v>
      </c>
      <c r="S16" s="7">
        <f t="shared" si="5"/>
        <v>1033</v>
      </c>
      <c r="U16" s="7">
        <f t="shared" si="6"/>
        <v>1008</v>
      </c>
      <c r="V16" s="7">
        <f t="shared" si="2"/>
        <v>2008</v>
      </c>
      <c r="W16" s="7">
        <f t="shared" si="2"/>
        <v>3008</v>
      </c>
      <c r="X16" s="7">
        <f t="shared" si="2"/>
        <v>4008</v>
      </c>
      <c r="Y16" s="7">
        <f t="shared" si="2"/>
        <v>5008</v>
      </c>
      <c r="Z16" s="7">
        <f t="shared" si="2"/>
        <v>6008</v>
      </c>
      <c r="AA16" s="7">
        <f t="shared" si="2"/>
        <v>7008</v>
      </c>
      <c r="AB16" s="7">
        <f t="shared" si="2"/>
        <v>8008</v>
      </c>
      <c r="AD16" s="21" t="str">
        <f>IFERROR(INDEX($M:$M,MATCH(U16,$S:$S,0)),"&amp;")</f>
        <v>&amp;</v>
      </c>
      <c r="AE16" s="21" t="str">
        <f>IFERROR(INDEX($M:$M,MATCH(V16,$S:$S,0)),"&amp;")</f>
        <v>&amp;</v>
      </c>
      <c r="AF16" s="21" t="str">
        <f>IFERROR(INDEX($M:$M,MATCH(W16,$S:$S,0)),"&amp;")</f>
        <v>&amp;</v>
      </c>
      <c r="AG16" s="21" t="str">
        <f>IFERROR(INDEX($M:$M,MATCH(X16,$S:$S,0)),"&amp;")</f>
        <v>&amp;</v>
      </c>
      <c r="AH16" s="21" t="str">
        <f>IFERROR(INDEX($M:$M,MATCH(Y16,$S:$S,0)),"&amp;")</f>
        <v>&amp;</v>
      </c>
      <c r="AI16" s="21" t="str">
        <f>IFERROR(INDEX($M:$M,MATCH(Z16,$S:$S,0)),"&amp;")</f>
        <v>&amp;</v>
      </c>
      <c r="AJ16" s="21" t="str">
        <f>IFERROR(INDEX($M:$M,MATCH(AA16,$S:$S,0)),"&amp;")</f>
        <v>&amp;</v>
      </c>
      <c r="AK16" s="21" t="str">
        <f>IFERROR(INDEX($M:$M,MATCH(AB16,$S:$S,0)),"&amp;")</f>
        <v>&amp;</v>
      </c>
      <c r="AM16" s="21" t="str">
        <f>IFERROR(INDEX($N:$N,MATCH(U16,$S:$S,0)),"&amp;")</f>
        <v>&amp;</v>
      </c>
      <c r="AN16" s="21" t="str">
        <f>IFERROR(INDEX($N:$N,MATCH(V16,$S:$S,0)),"&amp;")</f>
        <v>&amp;</v>
      </c>
      <c r="AO16" s="21" t="str">
        <f>IFERROR(INDEX($N:$N,MATCH(W16,$S:$S,0)),"&amp;")</f>
        <v>&amp;</v>
      </c>
      <c r="AP16" s="21" t="str">
        <f>IFERROR(INDEX($N:$N,MATCH(X16,$S:$S,0)),"&amp;")</f>
        <v>&amp;</v>
      </c>
      <c r="AQ16" s="21" t="str">
        <f>IFERROR(INDEX($N:$N,MATCH(Y16,$S:$S,0)),"&amp;")</f>
        <v>&amp;</v>
      </c>
      <c r="AR16" s="21" t="str">
        <f>IFERROR(INDEX($N:$N,MATCH(Z16,$S:$S,0)),"&amp;")</f>
        <v>&amp;</v>
      </c>
      <c r="AS16" s="21" t="str">
        <f>IFERROR(INDEX($N:$N,MATCH(AA16,$S:$S,0)),"&amp;")</f>
        <v>&amp;</v>
      </c>
      <c r="AT16" s="21" t="str">
        <f>IFERROR(INDEX($N:$N,MATCH(AB16,$S:$S,0)),"&amp;")</f>
        <v>&amp;</v>
      </c>
      <c r="AV16" s="21" t="str">
        <f>IFERROR(SUBSTITUTE(INDEX($K:$K,MATCH(INDEX($M:$M,MATCH(AM16,$N:$N,0)),$M:$M,0)),$D16,""),"")</f>
        <v/>
      </c>
      <c r="AW16" s="21" t="str">
        <f>IFERROR(SUBSTITUTE(INDEX($K:$K,MATCH(INDEX($M:$M,MATCH(AN16,$N:$N,0)),$M:$M,0)),$D16,""),"")</f>
        <v/>
      </c>
      <c r="AX16" s="21" t="str">
        <f>IFERROR(SUBSTITUTE(INDEX($K:$K,MATCH(INDEX($M:$M,MATCH(AO16,$N:$N,0)),$M:$M,0)),$D16,""),"")</f>
        <v/>
      </c>
      <c r="AY16" s="21" t="str">
        <f>IFERROR(SUBSTITUTE(INDEX($K:$K,MATCH(INDEX($M:$M,MATCH(AP16,$N:$N,0)),$M:$M,0)),$D16,""),"")</f>
        <v/>
      </c>
      <c r="AZ16" s="21" t="str">
        <f>IFERROR(SUBSTITUTE(INDEX($K:$K,MATCH(INDEX($M:$M,MATCH(AQ16,$N:$N,0)),$M:$M,0)),$D16,""),"")</f>
        <v/>
      </c>
      <c r="BA16" s="21" t="str">
        <f>IFERROR(SUBSTITUTE(INDEX($K:$K,MATCH(INDEX($M:$M,MATCH(AR16,$N:$N,0)),$M:$M,0)),$D16,""),"")</f>
        <v/>
      </c>
      <c r="BB16" s="21" t="str">
        <f>IFERROR(SUBSTITUTE(INDEX($K:$K,MATCH(INDEX($M:$M,MATCH(AS16,$N:$N,0)),$M:$M,0)),$D16,""),"")</f>
        <v/>
      </c>
      <c r="BC16" s="21" t="str">
        <f>IFERROR(SUBSTITUTE(INDEX($K:$K,MATCH(INDEX($M:$M,MATCH(AT16,$N:$N,0)),$M:$M,0)),$D16,""),"")</f>
        <v/>
      </c>
      <c r="BE16" s="9" t="str">
        <f t="shared" si="7"/>
        <v/>
      </c>
      <c r="BI16" s="9" t="str">
        <f>IFERROR(
IF(COUNTIF($M:$M,$AD16)&lt;BI$8,
"",
INDEX($J:$J,MATCH($AD16,$M:$M,0)+BI$8-1)),
"")</f>
        <v/>
      </c>
      <c r="BJ16" s="9" t="str">
        <f>IFERROR(
IF(COUNTIF($M:$M,$AD16)&lt;BJ$8,
"",
INDEX($J:$J,MATCH($AD16,$M:$M,0)+BJ$8-1)),
"")</f>
        <v/>
      </c>
      <c r="BK16" s="9" t="str">
        <f>IFERROR(
IF(COUNTIF($M:$M,$AD16)&lt;BK$8,
"",
INDEX($J:$J,MATCH($AD16,$M:$M,0)+BK$8-1)),
"")</f>
        <v/>
      </c>
      <c r="BL16" s="9" t="str">
        <f>IFERROR(
IF(COUNTIF($M:$M,$AD16)&lt;BL$8,
"",
INDEX($J:$J,MATCH($AD16,$M:$M,0)+BL$8-1)),
"")</f>
        <v/>
      </c>
      <c r="BN16" s="21" t="str">
        <f>IFERROR(
IF(COUNTIF($BI16:BM16,INDEX($J:$J,MATCH($AE16,$M:$M,0)+BN$8-1))=0,
IF(COUNTIF($M:$M,$AE16)&lt;BN$8,
"",
INDEX($J:$J,MATCH($AE16,$M:$M,0)+BN$8-1)),
""),
"")</f>
        <v/>
      </c>
      <c r="BO16" s="21" t="str">
        <f>IFERROR(
IF(COUNTIF($BI16:BN16,INDEX($J:$J,MATCH($AE16,$M:$M,0)+BO$8-1))=0,
IF(COUNTIF($M:$M,$AE16)&lt;BO$8,
"",
INDEX($J:$J,MATCH($AE16,$M:$M,0)+BO$8-1)),
""),
"")</f>
        <v/>
      </c>
      <c r="BP16" s="21" t="str">
        <f>IFERROR(
IF(COUNTIF($BI16:BO16,INDEX($J:$J,MATCH($AE16,$M:$M,0)+BP$8-1))=0,
IF(COUNTIF($M:$M,$AE16)&lt;BP$8,
"",
INDEX($J:$J,MATCH($AE16,$M:$M,0)+BP$8-1)),
""),
"")</f>
        <v/>
      </c>
      <c r="BQ16" s="21" t="str">
        <f>IFERROR(
IF(COUNTIF($BI16:BP16,INDEX($J:$J,MATCH($AE16,$M:$M,0)+BQ$8-1))=0,
IF(COUNTIF($M:$M,$AE16)&lt;BQ$8,
"",
INDEX($J:$J,MATCH($AE16,$M:$M,0)+BQ$8-1)),
""),
"")</f>
        <v/>
      </c>
      <c r="BS16" s="21" t="str">
        <f>IFERROR(
IF(COUNTIF($BI16:BR16,INDEX($J:$J,MATCH($AF16,$M:$M,0)+BS$8-1))=0,
IF(COUNTIF($M:$M,$AF16)&lt;BS$8,
"",
INDEX($J:$J,MATCH($AF16,$M:$M,0)+BS$8-1)),
""),
"")</f>
        <v/>
      </c>
      <c r="BT16" s="21" t="str">
        <f>IFERROR(
IF(COUNTIF($BI16:BS16,INDEX($J:$J,MATCH($AF16,$M:$M,0)+BT$8-1))=0,
IF(COUNTIF($M:$M,$AF16)&lt;BT$8,
"",
INDEX($J:$J,MATCH($AF16,$M:$M,0)+BT$8-1)),
""),
"")</f>
        <v/>
      </c>
      <c r="BU16" s="21" t="str">
        <f>IFERROR(
IF(COUNTIF($BI16:BT16,INDEX($J:$J,MATCH($AF16,$M:$M,0)+BU$8-1))=0,
IF(COUNTIF($M:$M,$AF16)&lt;BU$8,
"",
INDEX($J:$J,MATCH($AF16,$M:$M,0)+BU$8-1)),
""),
"")</f>
        <v/>
      </c>
      <c r="BV16" s="21" t="str">
        <f>IFERROR(
IF(COUNTIF($BI16:BU16,INDEX($J:$J,MATCH($AF16,$M:$M,0)+BV$8-1))=0,
IF(COUNTIF($M:$M,$AF16)&lt;BV$8,
"",
INDEX($J:$J,MATCH($AF16,$M:$M,0)+BV$8-1)),
""),
"")</f>
        <v/>
      </c>
      <c r="BX16" s="21" t="str">
        <f>IFERROR(
IF(COUNTIF($BI16:BW16,INDEX($J:$J,MATCH($AG16,$M:$M,0)+BX$8-1))=0,
IF(COUNTIF($M:$M,$AG16)&lt;BX$8,
"",
INDEX($J:$J,MATCH($AG16,$M:$M,0)+BX$8-1)),
""),
"")</f>
        <v/>
      </c>
      <c r="BY16" s="21" t="str">
        <f>IFERROR(
IF(COUNTIF($BI16:BX16,INDEX($J:$J,MATCH($AG16,$M:$M,0)+BY$8-1))=0,
IF(COUNTIF($M:$M,$AG16)&lt;BY$8,
"",
INDEX($J:$J,MATCH($AG16,$M:$M,0)+BY$8-1)),
""),
"")</f>
        <v/>
      </c>
      <c r="BZ16" s="21" t="str">
        <f>IFERROR(
IF(COUNTIF($BI16:BY16,INDEX($J:$J,MATCH($AG16,$M:$M,0)+BZ$8-1))=0,
IF(COUNTIF($M:$M,$AG16)&lt;BZ$8,
"",
INDEX($J:$J,MATCH($AG16,$M:$M,0)+BZ$8-1)),
""),
"")</f>
        <v/>
      </c>
      <c r="CA16" s="21" t="str">
        <f>IFERROR(
IF(COUNTIF($BI16:BZ16,INDEX($J:$J,MATCH($AG16,$M:$M,0)+CA$8-1))=0,
IF(COUNTIF($M:$M,$AG16)&lt;CA$8,
"",
INDEX($J:$J,MATCH($AG16,$M:$M,0)+CA$8-1)),
""),
"")</f>
        <v/>
      </c>
      <c r="CC16" s="21" t="str">
        <f>IFERROR(
IF(COUNTIF($BI16:CB16,INDEX($J:$J,MATCH($AH16,$M:$M,0)+CC$8-1))=0,
IF(COUNTIF($M:$M,$AH16)&lt;CC$8,
"",
INDEX($J:$J,MATCH($AH16,$M:$M,0)+CC$8-1)),
""),
"")</f>
        <v/>
      </c>
      <c r="CD16" s="21" t="str">
        <f>IFERROR(
IF(COUNTIF($BI16:CC16,INDEX($J:$J,MATCH($AH16,$M:$M,0)+CD$8-1))=0,
IF(COUNTIF($M:$M,$AH16)&lt;CD$8,
"",
INDEX($J:$J,MATCH($AH16,$M:$M,0)+CD$8-1)),
""),
"")</f>
        <v/>
      </c>
      <c r="CE16" s="21" t="str">
        <f>IFERROR(
IF(COUNTIF($BI16:CD16,INDEX($J:$J,MATCH($AH16,$M:$M,0)+CE$8-1))=0,
IF(COUNTIF($M:$M,$AH16)&lt;CE$8,
"",
INDEX($J:$J,MATCH($AH16,$M:$M,0)+CE$8-1)),
""),
"")</f>
        <v/>
      </c>
      <c r="CF16" s="21" t="str">
        <f>IFERROR(
IF(COUNTIF($BI16:CE16,INDEX($J:$J,MATCH($AH16,$M:$M,0)+CF$8-1))=0,
IF(COUNTIF($M:$M,$AH16)&lt;CF$8,
"",
INDEX($J:$J,MATCH($AH16,$M:$M,0)+CF$8-1)),
""),
"")</f>
        <v/>
      </c>
      <c r="CH16" s="21" t="str">
        <f>IFERROR(
IF(COUNTIF($BI16:CG16,INDEX($J:$J,MATCH($AI16,$M:$M,0)+CH$8-1))=0,
IF(COUNTIF($M:$M,$AI16)&lt;CH$8,
"",
INDEX($J:$J,MATCH($AI16,$M:$M,0)+CH$8-1)),
""),
"")</f>
        <v/>
      </c>
      <c r="CI16" s="21" t="str">
        <f>IFERROR(
IF(COUNTIF($BI16:CH16,INDEX($J:$J,MATCH($AI16,$M:$M,0)+CI$8-1))=0,
IF(COUNTIF($M:$M,$AI16)&lt;CI$8,
"",
INDEX($J:$J,MATCH($AI16,$M:$M,0)+CI$8-1)),
""),
"")</f>
        <v/>
      </c>
      <c r="CJ16" s="21" t="str">
        <f>IFERROR(
IF(COUNTIF($BI16:CI16,INDEX($J:$J,MATCH($AI16,$M:$M,0)+CJ$8-1))=0,
IF(COUNTIF($M:$M,$AI16)&lt;CJ$8,
"",
INDEX($J:$J,MATCH($AI16,$M:$M,0)+CJ$8-1)),
""),
"")</f>
        <v/>
      </c>
      <c r="CK16" s="21" t="str">
        <f>IFERROR(
IF(COUNTIF($BI16:CJ16,INDEX($J:$J,MATCH($AI16,$M:$M,0)+CK$8-1))=0,
IF(COUNTIF($M:$M,$AI16)&lt;CK$8,
"",
INDEX($J:$J,MATCH($AI16,$M:$M,0)+CK$8-1)),
""),
"")</f>
        <v/>
      </c>
      <c r="CM16" s="21" t="str">
        <f>IFERROR(
IF(COUNTIF($BI16:CL16,INDEX($J:$J,MATCH($AJ16,$M:$M,0)+CM$8-1))=0,
IF(COUNTIF($M:$M,$AJ16)&lt;CM$8,
"",
INDEX($J:$J,MATCH($AJ16,$M:$M,0)+CM$8-1)),
""),
"")</f>
        <v/>
      </c>
      <c r="CN16" s="21" t="str">
        <f>IFERROR(
IF(COUNTIF($BI16:CM16,INDEX($J:$J,MATCH($AJ16,$M:$M,0)+CN$8-1))=0,
IF(COUNTIF($M:$M,$AJ16)&lt;CN$8,
"",
INDEX($J:$J,MATCH($AJ16,$M:$M,0)+CN$8-1)),
""),
"")</f>
        <v/>
      </c>
      <c r="CO16" s="21" t="str">
        <f>IFERROR(
IF(COUNTIF($BI16:CN16,INDEX($J:$J,MATCH($AJ16,$M:$M,0)+CO$8-1))=0,
IF(COUNTIF($M:$M,$AJ16)&lt;CO$8,
"",
INDEX($J:$J,MATCH($AJ16,$M:$M,0)+CO$8-1)),
""),
"")</f>
        <v/>
      </c>
      <c r="CP16" s="21" t="str">
        <f>IFERROR(
IF(COUNTIF($BI16:CO16,INDEX($J:$J,MATCH($AJ16,$M:$M,0)+CP$8-1))=0,
IF(COUNTIF($M:$M,$AJ16)&lt;CP$8,
"",
INDEX($J:$J,MATCH($AJ16,$M:$M,0)+CP$8-1)),
""),
"")</f>
        <v/>
      </c>
      <c r="CR16" s="21" t="str">
        <f>IFERROR(
IF(COUNTIF($BI16:CQ16,INDEX($J:$J,MATCH($AK16,$M:$M,0)+CR$8-1))=0,
IF(COUNTIF($M:$M,$AK16)&lt;CR$8,
"",
INDEX($J:$J,MATCH($AK16,$M:$M,0)+CR$8-1)),
""),
"")</f>
        <v/>
      </c>
      <c r="CS16" s="21" t="str">
        <f>IFERROR(
IF(COUNTIF($BI16:CR16,INDEX($J:$J,MATCH($AK16,$M:$M,0)+CS$8-1))=0,
IF(COUNTIF($M:$M,$AK16)&lt;CS$8,
"",
INDEX($J:$J,MATCH($AK16,$M:$M,0)+CS$8-1)),
""),
"")</f>
        <v/>
      </c>
      <c r="CT16" s="21" t="str">
        <f>IFERROR(
IF(COUNTIF($BI16:CS16,INDEX($J:$J,MATCH($AK16,$M:$M,0)+CT$8-1))=0,
IF(COUNTIF($M:$M,$AK16)&lt;CT$8,
"",
INDEX($J:$J,MATCH($AK16,$M:$M,0)+CT$8-1)),
""),
"")</f>
        <v/>
      </c>
      <c r="CU16" s="21" t="str">
        <f>IFERROR(
IF(COUNTIF($BI16:CT16,INDEX($J:$J,MATCH($AK16,$M:$M,0)+CU$8-1))=0,
IF(COUNTIF($M:$M,$AK16)&lt;CU$8,
"",
INDEX($J:$J,MATCH($AK16,$M:$M,0)+CU$8-1)),
""),
"")</f>
        <v/>
      </c>
    </row>
    <row r="17" spans="3:99" ht="14.25">
      <c r="C17" s="16">
        <v>9</v>
      </c>
      <c r="D17" s="19" t="s">
        <v>55</v>
      </c>
      <c r="E17" s="20">
        <f>INDEX([1]武将基本资料!$S:$S,MATCH(D17,[1]武将基本资料!$N:$N,0))</f>
        <v>130</v>
      </c>
      <c r="F17" s="20" t="str">
        <f>INDEX([1]武将基本资料!$Q:$Q,MATCH(D17,[1]武将基本资料!$N:$N,0))</f>
        <v>橙+</v>
      </c>
      <c r="H17" s="7">
        <f>IF(I17="","",COUNTA(I$9:$I17))</f>
        <v>8</v>
      </c>
      <c r="I17" s="6" t="s">
        <v>165</v>
      </c>
      <c r="J17" s="6" t="s">
        <v>75</v>
      </c>
      <c r="K17" s="8" t="str">
        <f>IF(H17="","",阶段合并区域(J17:J27," ",L17:L27,1))</f>
        <v>田忌 田单</v>
      </c>
      <c r="L17" s="8">
        <f>COUNTIF(M$8:$M17,"="&amp;M17)</f>
        <v>1</v>
      </c>
      <c r="M17" s="9" t="str">
        <f t="shared" si="3"/>
        <v>齐国宗室</v>
      </c>
      <c r="N17" s="9" t="str">
        <f t="shared" si="4"/>
        <v>齐国宗室1</v>
      </c>
      <c r="O17" s="15">
        <f>INDEX(C:C,MATCH(J17,D:D,0))</f>
        <v>33</v>
      </c>
      <c r="P17" s="9">
        <f>INDEX(E:E,MATCH(J17,D:D,0))</f>
        <v>110</v>
      </c>
      <c r="Q17" s="7">
        <f t="shared" si="0"/>
        <v>33</v>
      </c>
      <c r="R17" s="7">
        <f>COUNTIF(J$8:$J17,"="&amp;J17)</f>
        <v>2</v>
      </c>
      <c r="S17" s="7">
        <f t="shared" si="5"/>
        <v>2033</v>
      </c>
      <c r="U17" s="7">
        <f t="shared" si="6"/>
        <v>1009</v>
      </c>
      <c r="V17" s="7">
        <f t="shared" si="2"/>
        <v>2009</v>
      </c>
      <c r="W17" s="7">
        <f t="shared" si="2"/>
        <v>3009</v>
      </c>
      <c r="X17" s="7">
        <f t="shared" si="2"/>
        <v>4009</v>
      </c>
      <c r="Y17" s="7">
        <f t="shared" si="2"/>
        <v>5009</v>
      </c>
      <c r="Z17" s="7">
        <f t="shared" si="2"/>
        <v>6009</v>
      </c>
      <c r="AA17" s="7">
        <f t="shared" si="2"/>
        <v>7009</v>
      </c>
      <c r="AB17" s="7">
        <f t="shared" si="2"/>
        <v>8009</v>
      </c>
      <c r="AD17" s="21" t="str">
        <f>IFERROR(INDEX($M:$M,MATCH(U17,$S:$S,0)),"&amp;")</f>
        <v>著书立说</v>
      </c>
      <c r="AE17" s="21" t="str">
        <f>IFERROR(INDEX($M:$M,MATCH(V17,$S:$S,0)),"&amp;")</f>
        <v>变法强国</v>
      </c>
      <c r="AF17" s="21" t="str">
        <f>IFERROR(INDEX($M:$M,MATCH(W17,$S:$S,0)),"&amp;")</f>
        <v>大权在握</v>
      </c>
      <c r="AG17" s="21" t="str">
        <f>IFERROR(INDEX($M:$M,MATCH(X17,$S:$S,0)),"&amp;")</f>
        <v>掌控雷电</v>
      </c>
      <c r="AH17" s="21" t="str">
        <f>IFERROR(INDEX($M:$M,MATCH(Y17,$S:$S,0)),"&amp;")</f>
        <v>身经百战</v>
      </c>
      <c r="AI17" s="21" t="str">
        <f>IFERROR(INDEX($M:$M,MATCH(Z17,$S:$S,0)),"&amp;")</f>
        <v>能文能武</v>
      </c>
      <c r="AJ17" s="21" t="str">
        <f>IFERROR(INDEX($M:$M,MATCH(AA17,$S:$S,0)),"&amp;")</f>
        <v>名奉武庙</v>
      </c>
      <c r="AK17" s="21" t="str">
        <f>IFERROR(INDEX($M:$M,MATCH(AB17,$S:$S,0)),"&amp;")</f>
        <v>文韬武略</v>
      </c>
      <c r="AM17" s="21" t="str">
        <f>IFERROR(INDEX($N:$N,MATCH(U17,$S:$S,0)),"&amp;")</f>
        <v>著书立说1</v>
      </c>
      <c r="AN17" s="21" t="str">
        <f>IFERROR(INDEX($N:$N,MATCH(V17,$S:$S,0)),"&amp;")</f>
        <v>变法强国1</v>
      </c>
      <c r="AO17" s="21" t="str">
        <f>IFERROR(INDEX($N:$N,MATCH(W17,$S:$S,0)),"&amp;")</f>
        <v>大权在握1</v>
      </c>
      <c r="AP17" s="21" t="str">
        <f>IFERROR(INDEX($N:$N,MATCH(X17,$S:$S,0)),"&amp;")</f>
        <v>掌控雷电2</v>
      </c>
      <c r="AQ17" s="21" t="str">
        <f>IFERROR(INDEX($N:$N,MATCH(Y17,$S:$S,0)),"&amp;")</f>
        <v>身经百战2</v>
      </c>
      <c r="AR17" s="21" t="str">
        <f>IFERROR(INDEX($N:$N,MATCH(Z17,$S:$S,0)),"&amp;")</f>
        <v>能文能武2</v>
      </c>
      <c r="AS17" s="21" t="str">
        <f>IFERROR(INDEX($N:$N,MATCH(AA17,$S:$S,0)),"&amp;")</f>
        <v>名奉武庙2</v>
      </c>
      <c r="AT17" s="21" t="str">
        <f>IFERROR(INDEX($N:$N,MATCH(AB17,$S:$S,0)),"&amp;")</f>
        <v>文韬武略2</v>
      </c>
      <c r="AV17" s="21" t="str">
        <f>IFERROR(SUBSTITUTE(INDEX($K:$K,MATCH(INDEX($M:$M,MATCH(AM17,$N:$N,0)),$M:$M,0)),$D17,""),"")</f>
        <v xml:space="preserve"> 司马穰苴 孙膑 吕不韦</v>
      </c>
      <c r="AW17" s="21" t="str">
        <f>IFERROR(SUBSTITUTE(INDEX($K:$K,MATCH(INDEX($M:$M,MATCH(AN17,$N:$N,0)),$M:$M,0)),$D17,""),"")</f>
        <v xml:space="preserve"> 屈原 申不害 韩非子</v>
      </c>
      <c r="AX17" s="21" t="str">
        <f>IFERROR(SUBSTITUTE(INDEX($K:$K,MATCH(INDEX($M:$M,MATCH(AO17,$N:$N,0)),$M:$M,0)),$D17,""),"")</f>
        <v xml:space="preserve"> 信陵君 乐毅 苏秦</v>
      </c>
      <c r="AY17" s="21" t="str">
        <f>IFERROR(SUBSTITUTE(INDEX($K:$K,MATCH(INDEX($M:$M,MATCH(AP17,$N:$N,0)),$M:$M,0)),$D17,""),"")</f>
        <v>邹衍  信陵君</v>
      </c>
      <c r="AZ17" s="21" t="str">
        <f>IFERROR(SUBSTITUTE(INDEX($K:$K,MATCH(INDEX($M:$M,MATCH(AQ17,$N:$N,0)),$M:$M,0)),$D17,""),"")</f>
        <v>白起  田单 乐毅</v>
      </c>
      <c r="BA17" s="21" t="str">
        <f>IFERROR(SUBSTITUTE(INDEX($K:$K,MATCH(INDEX($M:$M,MATCH(AR17,$N:$N,0)),$M:$M,0)),$D17,""),"")</f>
        <v>齐桓公  勾践</v>
      </c>
      <c r="BB17" s="21" t="str">
        <f>IFERROR(SUBSTITUTE(INDEX($K:$K,MATCH(INDEX($M:$M,MATCH(AS17,$N:$N,0)),$M:$M,0)),$D17,""),"")</f>
        <v>韩信  司马穰苴</v>
      </c>
      <c r="BC17" s="21" t="str">
        <f>IFERROR(SUBSTITUTE(INDEX($K:$K,MATCH(INDEX($M:$M,MATCH(AT17,$N:$N,0)),$M:$M,0)),$D17,""),"")</f>
        <v>陆逊  伍子胥 田单</v>
      </c>
      <c r="BE17" s="9" t="str">
        <f t="shared" si="7"/>
        <v>吴起,司马穰苴,孙膑,吕不韦,屈原,申不害,韩非子,信陵君,乐毅,苏秦,邹衍,白起,田单,齐桓公,勾践,韩信,陆逊,伍子胥</v>
      </c>
      <c r="BI17" s="9" t="str">
        <f>IFERROR(
IF(COUNTIF($M:$M,$AD17)&lt;BI$8,
"",
INDEX($J:$J,MATCH($AD17,$M:$M,0)+BI$8-1)),
"")</f>
        <v>吴起</v>
      </c>
      <c r="BJ17" s="9" t="str">
        <f>IFERROR(
IF(COUNTIF($M:$M,$AD17)&lt;BJ$8,
"",
INDEX($J:$J,MATCH($AD17,$M:$M,0)+BJ$8-1)),
"")</f>
        <v>司马穰苴</v>
      </c>
      <c r="BK17" s="9" t="str">
        <f>IFERROR(
IF(COUNTIF($M:$M,$AD17)&lt;BK$8,
"",
INDEX($J:$J,MATCH($AD17,$M:$M,0)+BK$8-1)),
"")</f>
        <v>孙膑</v>
      </c>
      <c r="BL17" s="9" t="str">
        <f>IFERROR(
IF(COUNTIF($M:$M,$AD17)&lt;BL$8,
"",
INDEX($J:$J,MATCH($AD17,$M:$M,0)+BL$8-1)),
"")</f>
        <v>吕不韦</v>
      </c>
      <c r="BN17" s="21" t="str">
        <f>IFERROR(
IF(COUNTIF($BI17:BM17,INDEX($J:$J,MATCH($AE17,$M:$M,0)+BN$8-1))=0,
IF(COUNTIF($M:$M,$AE17)&lt;BN$8,
"",
INDEX($J:$J,MATCH($AE17,$M:$M,0)+BN$8-1)),
""),
"")</f>
        <v/>
      </c>
      <c r="BO17" s="21" t="str">
        <f>IFERROR(
IF(COUNTIF($BI17:BN17,INDEX($J:$J,MATCH($AE17,$M:$M,0)+BO$8-1))=0,
IF(COUNTIF($M:$M,$AE17)&lt;BO$8,
"",
INDEX($J:$J,MATCH($AE17,$M:$M,0)+BO$8-1)),
""),
"")</f>
        <v>屈原</v>
      </c>
      <c r="BP17" s="21" t="str">
        <f>IFERROR(
IF(COUNTIF($BI17:BO17,INDEX($J:$J,MATCH($AE17,$M:$M,0)+BP$8-1))=0,
IF(COUNTIF($M:$M,$AE17)&lt;BP$8,
"",
INDEX($J:$J,MATCH($AE17,$M:$M,0)+BP$8-1)),
""),
"")</f>
        <v>申不害</v>
      </c>
      <c r="BQ17" s="21" t="str">
        <f>IFERROR(
IF(COUNTIF($BI17:BP17,INDEX($J:$J,MATCH($AE17,$M:$M,0)+BQ$8-1))=0,
IF(COUNTIF($M:$M,$AE17)&lt;BQ$8,
"",
INDEX($J:$J,MATCH($AE17,$M:$M,0)+BQ$8-1)),
""),
"")</f>
        <v>韩非子</v>
      </c>
      <c r="BS17" s="21" t="str">
        <f>IFERROR(
IF(COUNTIF($BI17:BR17,INDEX($J:$J,MATCH($AF17,$M:$M,0)+BS$8-1))=0,
IF(COUNTIF($M:$M,$AF17)&lt;BS$8,
"",
INDEX($J:$J,MATCH($AF17,$M:$M,0)+BS$8-1)),
""),
"")</f>
        <v/>
      </c>
      <c r="BT17" s="21" t="str">
        <f>IFERROR(
IF(COUNTIF($BI17:BS17,INDEX($J:$J,MATCH($AF17,$M:$M,0)+BT$8-1))=0,
IF(COUNTIF($M:$M,$AF17)&lt;BT$8,
"",
INDEX($J:$J,MATCH($AF17,$M:$M,0)+BT$8-1)),
""),
"")</f>
        <v>信陵君</v>
      </c>
      <c r="BU17" s="21" t="str">
        <f>IFERROR(
IF(COUNTIF($BI17:BT17,INDEX($J:$J,MATCH($AF17,$M:$M,0)+BU$8-1))=0,
IF(COUNTIF($M:$M,$AF17)&lt;BU$8,
"",
INDEX($J:$J,MATCH($AF17,$M:$M,0)+BU$8-1)),
""),
"")</f>
        <v>乐毅</v>
      </c>
      <c r="BV17" s="21" t="str">
        <f>IFERROR(
IF(COUNTIF($BI17:BU17,INDEX($J:$J,MATCH($AF17,$M:$M,0)+BV$8-1))=0,
IF(COUNTIF($M:$M,$AF17)&lt;BV$8,
"",
INDEX($J:$J,MATCH($AF17,$M:$M,0)+BV$8-1)),
""),
"")</f>
        <v>苏秦</v>
      </c>
      <c r="BX17" s="21" t="str">
        <f>IFERROR(
IF(COUNTIF($BI17:BW17,INDEX($J:$J,MATCH($AG17,$M:$M,0)+BX$8-1))=0,
IF(COUNTIF($M:$M,$AG17)&lt;BX$8,
"",
INDEX($J:$J,MATCH($AG17,$M:$M,0)+BX$8-1)),
""),
"")</f>
        <v>邹衍</v>
      </c>
      <c r="BY17" s="21" t="str">
        <f>IFERROR(
IF(COUNTIF($BI17:BX17,INDEX($J:$J,MATCH($AG17,$M:$M,0)+BY$8-1))=0,
IF(COUNTIF($M:$M,$AG17)&lt;BY$8,
"",
INDEX($J:$J,MATCH($AG17,$M:$M,0)+BY$8-1)),
""),
"")</f>
        <v/>
      </c>
      <c r="BZ17" s="21" t="str">
        <f>IFERROR(
IF(COUNTIF($BI17:BY17,INDEX($J:$J,MATCH($AG17,$M:$M,0)+BZ$8-1))=0,
IF(COUNTIF($M:$M,$AG17)&lt;BZ$8,
"",
INDEX($J:$J,MATCH($AG17,$M:$M,0)+BZ$8-1)),
""),
"")</f>
        <v/>
      </c>
      <c r="CA17" s="21" t="str">
        <f>IFERROR(
IF(COUNTIF($BI17:BZ17,INDEX($J:$J,MATCH($AG17,$M:$M,0)+CA$8-1))=0,
IF(COUNTIF($M:$M,$AG17)&lt;CA$8,
"",
INDEX($J:$J,MATCH($AG17,$M:$M,0)+CA$8-1)),
""),
"")</f>
        <v/>
      </c>
      <c r="CC17" s="21" t="str">
        <f>IFERROR(
IF(COUNTIF($BI17:CB17,INDEX($J:$J,MATCH($AH17,$M:$M,0)+CC$8-1))=0,
IF(COUNTIF($M:$M,$AH17)&lt;CC$8,
"",
INDEX($J:$J,MATCH($AH17,$M:$M,0)+CC$8-1)),
""),
"")</f>
        <v>白起</v>
      </c>
      <c r="CD17" s="21" t="str">
        <f>IFERROR(
IF(COUNTIF($BI17:CC17,INDEX($J:$J,MATCH($AH17,$M:$M,0)+CD$8-1))=0,
IF(COUNTIF($M:$M,$AH17)&lt;CD$8,
"",
INDEX($J:$J,MATCH($AH17,$M:$M,0)+CD$8-1)),
""),
"")</f>
        <v/>
      </c>
      <c r="CE17" s="21" t="str">
        <f>IFERROR(
IF(COUNTIF($BI17:CD17,INDEX($J:$J,MATCH($AH17,$M:$M,0)+CE$8-1))=0,
IF(COUNTIF($M:$M,$AH17)&lt;CE$8,
"",
INDEX($J:$J,MATCH($AH17,$M:$M,0)+CE$8-1)),
""),
"")</f>
        <v>田单</v>
      </c>
      <c r="CF17" s="21" t="str">
        <f>IFERROR(
IF(COUNTIF($BI17:CE17,INDEX($J:$J,MATCH($AH17,$M:$M,0)+CF$8-1))=0,
IF(COUNTIF($M:$M,$AH17)&lt;CF$8,
"",
INDEX($J:$J,MATCH($AH17,$M:$M,0)+CF$8-1)),
""),
"")</f>
        <v/>
      </c>
      <c r="CH17" s="21" t="str">
        <f>IFERROR(
IF(COUNTIF($BI17:CG17,INDEX($J:$J,MATCH($AI17,$M:$M,0)+CH$8-1))=0,
IF(COUNTIF($M:$M,$AI17)&lt;CH$8,
"",
INDEX($J:$J,MATCH($AI17,$M:$M,0)+CH$8-1)),
""),
"")</f>
        <v>齐桓公</v>
      </c>
      <c r="CI17" s="21" t="str">
        <f>IFERROR(
IF(COUNTIF($BI17:CH17,INDEX($J:$J,MATCH($AI17,$M:$M,0)+CI$8-1))=0,
IF(COUNTIF($M:$M,$AI17)&lt;CI$8,
"",
INDEX($J:$J,MATCH($AI17,$M:$M,0)+CI$8-1)),
""),
"")</f>
        <v/>
      </c>
      <c r="CJ17" s="21" t="str">
        <f>IFERROR(
IF(COUNTIF($BI17:CI17,INDEX($J:$J,MATCH($AI17,$M:$M,0)+CJ$8-1))=0,
IF(COUNTIF($M:$M,$AI17)&lt;CJ$8,
"",
INDEX($J:$J,MATCH($AI17,$M:$M,0)+CJ$8-1)),
""),
"")</f>
        <v>勾践</v>
      </c>
      <c r="CK17" s="21" t="str">
        <f>IFERROR(
IF(COUNTIF($BI17:CJ17,INDEX($J:$J,MATCH($AI17,$M:$M,0)+CK$8-1))=0,
IF(COUNTIF($M:$M,$AI17)&lt;CK$8,
"",
INDEX($J:$J,MATCH($AI17,$M:$M,0)+CK$8-1)),
""),
"")</f>
        <v/>
      </c>
      <c r="CM17" s="21" t="str">
        <f>IFERROR(
IF(COUNTIF($BI17:CL17,INDEX($J:$J,MATCH($AJ17,$M:$M,0)+CM$8-1))=0,
IF(COUNTIF($M:$M,$AJ17)&lt;CM$8,
"",
INDEX($J:$J,MATCH($AJ17,$M:$M,0)+CM$8-1)),
""),
"")</f>
        <v>韩信</v>
      </c>
      <c r="CN17" s="21" t="str">
        <f>IFERROR(
IF(COUNTIF($BI17:CM17,INDEX($J:$J,MATCH($AJ17,$M:$M,0)+CN$8-1))=0,
IF(COUNTIF($M:$M,$AJ17)&lt;CN$8,
"",
INDEX($J:$J,MATCH($AJ17,$M:$M,0)+CN$8-1)),
""),
"")</f>
        <v/>
      </c>
      <c r="CO17" s="21" t="str">
        <f>IFERROR(
IF(COUNTIF($BI17:CN17,INDEX($J:$J,MATCH($AJ17,$M:$M,0)+CO$8-1))=0,
IF(COUNTIF($M:$M,$AJ17)&lt;CO$8,
"",
INDEX($J:$J,MATCH($AJ17,$M:$M,0)+CO$8-1)),
""),
"")</f>
        <v/>
      </c>
      <c r="CP17" s="21" t="str">
        <f>IFERROR(
IF(COUNTIF($BI17:CO17,INDEX($J:$J,MATCH($AJ17,$M:$M,0)+CP$8-1))=0,
IF(COUNTIF($M:$M,$AJ17)&lt;CP$8,
"",
INDEX($J:$J,MATCH($AJ17,$M:$M,0)+CP$8-1)),
""),
"")</f>
        <v/>
      </c>
      <c r="CR17" s="21" t="str">
        <f>IFERROR(
IF(COUNTIF($BI17:CQ17,INDEX($J:$J,MATCH($AK17,$M:$M,0)+CR$8-1))=0,
IF(COUNTIF($M:$M,$AK17)&lt;CR$8,
"",
INDEX($J:$J,MATCH($AK17,$M:$M,0)+CR$8-1)),
""),
"")</f>
        <v>陆逊</v>
      </c>
      <c r="CS17" s="21" t="str">
        <f>IFERROR(
IF(COUNTIF($BI17:CR17,INDEX($J:$J,MATCH($AK17,$M:$M,0)+CS$8-1))=0,
IF(COUNTIF($M:$M,$AK17)&lt;CS$8,
"",
INDEX($J:$J,MATCH($AK17,$M:$M,0)+CS$8-1)),
""),
"")</f>
        <v/>
      </c>
      <c r="CT17" s="21" t="str">
        <f>IFERROR(
IF(COUNTIF($BI17:CS17,INDEX($J:$J,MATCH($AK17,$M:$M,0)+CT$8-1))=0,
IF(COUNTIF($M:$M,$AK17)&lt;CT$8,
"",
INDEX($J:$J,MATCH($AK17,$M:$M,0)+CT$8-1)),
""),
"")</f>
        <v>伍子胥</v>
      </c>
      <c r="CU17" s="21" t="str">
        <f>IFERROR(
IF(COUNTIF($BI17:CT17,INDEX($J:$J,MATCH($AK17,$M:$M,0)+CU$8-1))=0,
IF(COUNTIF($M:$M,$AK17)&lt;CU$8,
"",
INDEX($J:$J,MATCH($AK17,$M:$M,0)+CU$8-1)),
""),
"")</f>
        <v/>
      </c>
    </row>
    <row r="18" spans="3:99" ht="14.25">
      <c r="C18" s="16">
        <v>10</v>
      </c>
      <c r="D18" s="19" t="s">
        <v>50</v>
      </c>
      <c r="E18" s="20">
        <f>INDEX([1]武将基本资料!$S:$S,MATCH(D18,[1]武将基本资料!$N:$N,0))</f>
        <v>110</v>
      </c>
      <c r="F18" s="20" t="str">
        <f>INDEX([1]武将基本资料!$Q:$Q,MATCH(D18,[1]武将基本资料!$N:$N,0))</f>
        <v>紫</v>
      </c>
      <c r="H18" s="7" t="str">
        <f>IF(I18="","",COUNTA(I$9:$I18))</f>
        <v/>
      </c>
      <c r="I18" s="6" t="s">
        <v>188</v>
      </c>
      <c r="J18" s="6" t="s">
        <v>59</v>
      </c>
      <c r="K18" s="8" t="str">
        <f>IF(H18="","",阶段合并区域(J18:J28," ",L18:L28,1))</f>
        <v/>
      </c>
      <c r="L18" s="8">
        <f>COUNTIF(M$8:$M18,"="&amp;M18)</f>
        <v>2</v>
      </c>
      <c r="M18" s="9" t="str">
        <f t="shared" si="3"/>
        <v>齐国宗室</v>
      </c>
      <c r="N18" s="9" t="str">
        <f t="shared" si="4"/>
        <v>齐国宗室2</v>
      </c>
      <c r="O18" s="15">
        <f>INDEX(C:C,MATCH(J18,D:D,0))</f>
        <v>16</v>
      </c>
      <c r="P18" s="9">
        <f>INDEX(E:E,MATCH(J18,D:D,0))</f>
        <v>120</v>
      </c>
      <c r="Q18" s="7">
        <f t="shared" si="0"/>
        <v>16</v>
      </c>
      <c r="R18" s="7">
        <f>COUNTIF(J$8:$J18,"="&amp;J18)</f>
        <v>1</v>
      </c>
      <c r="S18" s="7">
        <f t="shared" si="5"/>
        <v>1016</v>
      </c>
      <c r="U18" s="7">
        <f t="shared" si="6"/>
        <v>1010</v>
      </c>
      <c r="V18" s="7">
        <f t="shared" si="2"/>
        <v>2010</v>
      </c>
      <c r="W18" s="7">
        <f t="shared" si="2"/>
        <v>3010</v>
      </c>
      <c r="X18" s="7">
        <f t="shared" si="2"/>
        <v>4010</v>
      </c>
      <c r="Y18" s="7">
        <f t="shared" si="2"/>
        <v>5010</v>
      </c>
      <c r="Z18" s="7">
        <f t="shared" si="2"/>
        <v>6010</v>
      </c>
      <c r="AA18" s="7">
        <f t="shared" si="2"/>
        <v>7010</v>
      </c>
      <c r="AB18" s="7">
        <f t="shared" si="2"/>
        <v>8010</v>
      </c>
      <c r="AD18" s="21" t="str">
        <f>IFERROR(INDEX($M:$M,MATCH(U18,$S:$S,0)),"&amp;")</f>
        <v>女中豪杰</v>
      </c>
      <c r="AE18" s="21" t="str">
        <f>IFERROR(INDEX($M:$M,MATCH(V18,$S:$S,0)),"&amp;")</f>
        <v>江湖豪侠</v>
      </c>
      <c r="AF18" s="21" t="str">
        <f>IFERROR(INDEX($M:$M,MATCH(W18,$S:$S,0)),"&amp;")</f>
        <v>&amp;</v>
      </c>
      <c r="AG18" s="21" t="str">
        <f>IFERROR(INDEX($M:$M,MATCH(X18,$S:$S,0)),"&amp;")</f>
        <v>&amp;</v>
      </c>
      <c r="AH18" s="21" t="str">
        <f>IFERROR(INDEX($M:$M,MATCH(Y18,$S:$S,0)),"&amp;")</f>
        <v>&amp;</v>
      </c>
      <c r="AI18" s="21" t="str">
        <f>IFERROR(INDEX($M:$M,MATCH(Z18,$S:$S,0)),"&amp;")</f>
        <v>&amp;</v>
      </c>
      <c r="AJ18" s="21" t="str">
        <f>IFERROR(INDEX($M:$M,MATCH(AA18,$S:$S,0)),"&amp;")</f>
        <v>&amp;</v>
      </c>
      <c r="AK18" s="21" t="str">
        <f>IFERROR(INDEX($M:$M,MATCH(AB18,$S:$S,0)),"&amp;")</f>
        <v>&amp;</v>
      </c>
      <c r="AM18" s="21" t="str">
        <f>IFERROR(INDEX($N:$N,MATCH(U18,$S:$S,0)),"&amp;")</f>
        <v>女中豪杰1</v>
      </c>
      <c r="AN18" s="21" t="str">
        <f>IFERROR(INDEX($N:$N,MATCH(V18,$S:$S,0)),"&amp;")</f>
        <v>江湖豪侠1</v>
      </c>
      <c r="AO18" s="21" t="str">
        <f>IFERROR(INDEX($N:$N,MATCH(W18,$S:$S,0)),"&amp;")</f>
        <v>&amp;</v>
      </c>
      <c r="AP18" s="21" t="str">
        <f>IFERROR(INDEX($N:$N,MATCH(X18,$S:$S,0)),"&amp;")</f>
        <v>&amp;</v>
      </c>
      <c r="AQ18" s="21" t="str">
        <f>IFERROR(INDEX($N:$N,MATCH(Y18,$S:$S,0)),"&amp;")</f>
        <v>&amp;</v>
      </c>
      <c r="AR18" s="21" t="str">
        <f>IFERROR(INDEX($N:$N,MATCH(Z18,$S:$S,0)),"&amp;")</f>
        <v>&amp;</v>
      </c>
      <c r="AS18" s="21" t="str">
        <f>IFERROR(INDEX($N:$N,MATCH(AA18,$S:$S,0)),"&amp;")</f>
        <v>&amp;</v>
      </c>
      <c r="AT18" s="21" t="str">
        <f>IFERROR(INDEX($N:$N,MATCH(AB18,$S:$S,0)),"&amp;")</f>
        <v>&amp;</v>
      </c>
      <c r="AV18" s="21" t="str">
        <f>IFERROR(SUBSTITUTE(INDEX($K:$K,MATCH(INDEX($M:$M,MATCH(AM18,$N:$N,0)),$M:$M,0)),$D18,""),"")</f>
        <v xml:space="preserve"> 莫邪 钟无艳</v>
      </c>
      <c r="AW18" s="21" t="str">
        <f>IFERROR(SUBSTITUTE(INDEX($K:$K,MATCH(INDEX($M:$M,MATCH(AN18,$N:$N,0)),$M:$M,0)),$D18,""),"")</f>
        <v xml:space="preserve"> 专诸 荆轲 莫邪</v>
      </c>
      <c r="AX18" s="21" t="str">
        <f>IFERROR(SUBSTITUTE(INDEX($K:$K,MATCH(INDEX($M:$M,MATCH(AO18,$N:$N,0)),$M:$M,0)),$D18,""),"")</f>
        <v/>
      </c>
      <c r="AY18" s="21" t="str">
        <f>IFERROR(SUBSTITUTE(INDEX($K:$K,MATCH(INDEX($M:$M,MATCH(AP18,$N:$N,0)),$M:$M,0)),$D18,""),"")</f>
        <v/>
      </c>
      <c r="AZ18" s="21" t="str">
        <f>IFERROR(SUBSTITUTE(INDEX($K:$K,MATCH(INDEX($M:$M,MATCH(AQ18,$N:$N,0)),$M:$M,0)),$D18,""),"")</f>
        <v/>
      </c>
      <c r="BA18" s="21" t="str">
        <f>IFERROR(SUBSTITUTE(INDEX($K:$K,MATCH(INDEX($M:$M,MATCH(AR18,$N:$N,0)),$M:$M,0)),$D18,""),"")</f>
        <v/>
      </c>
      <c r="BB18" s="21" t="str">
        <f>IFERROR(SUBSTITUTE(INDEX($K:$K,MATCH(INDEX($M:$M,MATCH(AS18,$N:$N,0)),$M:$M,0)),$D18,""),"")</f>
        <v/>
      </c>
      <c r="BC18" s="21" t="str">
        <f>IFERROR(SUBSTITUTE(INDEX($K:$K,MATCH(INDEX($M:$M,MATCH(AT18,$N:$N,0)),$M:$M,0)),$D18,""),"")</f>
        <v/>
      </c>
      <c r="BE18" s="9" t="str">
        <f t="shared" si="7"/>
        <v>聂荌,莫邪,钟无艳,专诸,荆轲</v>
      </c>
      <c r="BI18" s="9" t="str">
        <f>IFERROR(
IF(COUNTIF($M:$M,$AD18)&lt;BI$8,
"",
INDEX($J:$J,MATCH($AD18,$M:$M,0)+BI$8-1)),
"")</f>
        <v>聂荌</v>
      </c>
      <c r="BJ18" s="9" t="str">
        <f>IFERROR(
IF(COUNTIF($M:$M,$AD18)&lt;BJ$8,
"",
INDEX($J:$J,MATCH($AD18,$M:$M,0)+BJ$8-1)),
"")</f>
        <v>莫邪</v>
      </c>
      <c r="BK18" s="9" t="str">
        <f>IFERROR(
IF(COUNTIF($M:$M,$AD18)&lt;BK$8,
"",
INDEX($J:$J,MATCH($AD18,$M:$M,0)+BK$8-1)),
"")</f>
        <v>钟无艳</v>
      </c>
      <c r="BL18" s="9" t="str">
        <f>IFERROR(
IF(COUNTIF($M:$M,$AD18)&lt;BL$8,
"",
INDEX($J:$J,MATCH($AD18,$M:$M,0)+BL$8-1)),
"")</f>
        <v/>
      </c>
      <c r="BN18" s="21" t="str">
        <f>IFERROR(
IF(COUNTIF($BI18:BM18,INDEX($J:$J,MATCH($AE18,$M:$M,0)+BN$8-1))=0,
IF(COUNTIF($M:$M,$AE18)&lt;BN$8,
"",
INDEX($J:$J,MATCH($AE18,$M:$M,0)+BN$8-1)),
""),
"")</f>
        <v/>
      </c>
      <c r="BO18" s="21" t="str">
        <f>IFERROR(
IF(COUNTIF($BI18:BN18,INDEX($J:$J,MATCH($AE18,$M:$M,0)+BO$8-1))=0,
IF(COUNTIF($M:$M,$AE18)&lt;BO$8,
"",
INDEX($J:$J,MATCH($AE18,$M:$M,0)+BO$8-1)),
""),
"")</f>
        <v>专诸</v>
      </c>
      <c r="BP18" s="21" t="str">
        <f>IFERROR(
IF(COUNTIF($BI18:BO18,INDEX($J:$J,MATCH($AE18,$M:$M,0)+BP$8-1))=0,
IF(COUNTIF($M:$M,$AE18)&lt;BP$8,
"",
INDEX($J:$J,MATCH($AE18,$M:$M,0)+BP$8-1)),
""),
"")</f>
        <v>荆轲</v>
      </c>
      <c r="BQ18" s="21" t="str">
        <f>IFERROR(
IF(COUNTIF($BI18:BP18,INDEX($J:$J,MATCH($AE18,$M:$M,0)+BQ$8-1))=0,
IF(COUNTIF($M:$M,$AE18)&lt;BQ$8,
"",
INDEX($J:$J,MATCH($AE18,$M:$M,0)+BQ$8-1)),
""),
"")</f>
        <v/>
      </c>
      <c r="BS18" s="21" t="str">
        <f>IFERROR(
IF(COUNTIF($BI18:BR18,INDEX($J:$J,MATCH($AF18,$M:$M,0)+BS$8-1))=0,
IF(COUNTIF($M:$M,$AF18)&lt;BS$8,
"",
INDEX($J:$J,MATCH($AF18,$M:$M,0)+BS$8-1)),
""),
"")</f>
        <v/>
      </c>
      <c r="BT18" s="21" t="str">
        <f>IFERROR(
IF(COUNTIF($BI18:BS18,INDEX($J:$J,MATCH($AF18,$M:$M,0)+BT$8-1))=0,
IF(COUNTIF($M:$M,$AF18)&lt;BT$8,
"",
INDEX($J:$J,MATCH($AF18,$M:$M,0)+BT$8-1)),
""),
"")</f>
        <v/>
      </c>
      <c r="BU18" s="21" t="str">
        <f>IFERROR(
IF(COUNTIF($BI18:BT18,INDEX($J:$J,MATCH($AF18,$M:$M,0)+BU$8-1))=0,
IF(COUNTIF($M:$M,$AF18)&lt;BU$8,
"",
INDEX($J:$J,MATCH($AF18,$M:$M,0)+BU$8-1)),
""),
"")</f>
        <v/>
      </c>
      <c r="BV18" s="21" t="str">
        <f>IFERROR(
IF(COUNTIF($BI18:BU18,INDEX($J:$J,MATCH($AF18,$M:$M,0)+BV$8-1))=0,
IF(COUNTIF($M:$M,$AF18)&lt;BV$8,
"",
INDEX($J:$J,MATCH($AF18,$M:$M,0)+BV$8-1)),
""),
"")</f>
        <v/>
      </c>
      <c r="BX18" s="21" t="str">
        <f>IFERROR(
IF(COUNTIF($BI18:BW18,INDEX($J:$J,MATCH($AG18,$M:$M,0)+BX$8-1))=0,
IF(COUNTIF($M:$M,$AG18)&lt;BX$8,
"",
INDEX($J:$J,MATCH($AG18,$M:$M,0)+BX$8-1)),
""),
"")</f>
        <v/>
      </c>
      <c r="BY18" s="21" t="str">
        <f>IFERROR(
IF(COUNTIF($BI18:BX18,INDEX($J:$J,MATCH($AG18,$M:$M,0)+BY$8-1))=0,
IF(COUNTIF($M:$M,$AG18)&lt;BY$8,
"",
INDEX($J:$J,MATCH($AG18,$M:$M,0)+BY$8-1)),
""),
"")</f>
        <v/>
      </c>
      <c r="BZ18" s="21" t="str">
        <f>IFERROR(
IF(COUNTIF($BI18:BY18,INDEX($J:$J,MATCH($AG18,$M:$M,0)+BZ$8-1))=0,
IF(COUNTIF($M:$M,$AG18)&lt;BZ$8,
"",
INDEX($J:$J,MATCH($AG18,$M:$M,0)+BZ$8-1)),
""),
"")</f>
        <v/>
      </c>
      <c r="CA18" s="21" t="str">
        <f>IFERROR(
IF(COUNTIF($BI18:BZ18,INDEX($J:$J,MATCH($AG18,$M:$M,0)+CA$8-1))=0,
IF(COUNTIF($M:$M,$AG18)&lt;CA$8,
"",
INDEX($J:$J,MATCH($AG18,$M:$M,0)+CA$8-1)),
""),
"")</f>
        <v/>
      </c>
      <c r="CC18" s="21" t="str">
        <f>IFERROR(
IF(COUNTIF($BI18:CB18,INDEX($J:$J,MATCH($AH18,$M:$M,0)+CC$8-1))=0,
IF(COUNTIF($M:$M,$AH18)&lt;CC$8,
"",
INDEX($J:$J,MATCH($AH18,$M:$M,0)+CC$8-1)),
""),
"")</f>
        <v/>
      </c>
      <c r="CD18" s="21" t="str">
        <f>IFERROR(
IF(COUNTIF($BI18:CC18,INDEX($J:$J,MATCH($AH18,$M:$M,0)+CD$8-1))=0,
IF(COUNTIF($M:$M,$AH18)&lt;CD$8,
"",
INDEX($J:$J,MATCH($AH18,$M:$M,0)+CD$8-1)),
""),
"")</f>
        <v/>
      </c>
      <c r="CE18" s="21" t="str">
        <f>IFERROR(
IF(COUNTIF($BI18:CD18,INDEX($J:$J,MATCH($AH18,$M:$M,0)+CE$8-1))=0,
IF(COUNTIF($M:$M,$AH18)&lt;CE$8,
"",
INDEX($J:$J,MATCH($AH18,$M:$M,0)+CE$8-1)),
""),
"")</f>
        <v/>
      </c>
      <c r="CF18" s="21" t="str">
        <f>IFERROR(
IF(COUNTIF($BI18:CE18,INDEX($J:$J,MATCH($AH18,$M:$M,0)+CF$8-1))=0,
IF(COUNTIF($M:$M,$AH18)&lt;CF$8,
"",
INDEX($J:$J,MATCH($AH18,$M:$M,0)+CF$8-1)),
""),
"")</f>
        <v/>
      </c>
      <c r="CH18" s="21" t="str">
        <f>IFERROR(
IF(COUNTIF($BI18:CG18,INDEX($J:$J,MATCH($AI18,$M:$M,0)+CH$8-1))=0,
IF(COUNTIF($M:$M,$AI18)&lt;CH$8,
"",
INDEX($J:$J,MATCH($AI18,$M:$M,0)+CH$8-1)),
""),
"")</f>
        <v/>
      </c>
      <c r="CI18" s="21" t="str">
        <f>IFERROR(
IF(COUNTIF($BI18:CH18,INDEX($J:$J,MATCH($AI18,$M:$M,0)+CI$8-1))=0,
IF(COUNTIF($M:$M,$AI18)&lt;CI$8,
"",
INDEX($J:$J,MATCH($AI18,$M:$M,0)+CI$8-1)),
""),
"")</f>
        <v/>
      </c>
      <c r="CJ18" s="21" t="str">
        <f>IFERROR(
IF(COUNTIF($BI18:CI18,INDEX($J:$J,MATCH($AI18,$M:$M,0)+CJ$8-1))=0,
IF(COUNTIF($M:$M,$AI18)&lt;CJ$8,
"",
INDEX($J:$J,MATCH($AI18,$M:$M,0)+CJ$8-1)),
""),
"")</f>
        <v/>
      </c>
      <c r="CK18" s="21" t="str">
        <f>IFERROR(
IF(COUNTIF($BI18:CJ18,INDEX($J:$J,MATCH($AI18,$M:$M,0)+CK$8-1))=0,
IF(COUNTIF($M:$M,$AI18)&lt;CK$8,
"",
INDEX($J:$J,MATCH($AI18,$M:$M,0)+CK$8-1)),
""),
"")</f>
        <v/>
      </c>
      <c r="CM18" s="21" t="str">
        <f>IFERROR(
IF(COUNTIF($BI18:CL18,INDEX($J:$J,MATCH($AJ18,$M:$M,0)+CM$8-1))=0,
IF(COUNTIF($M:$M,$AJ18)&lt;CM$8,
"",
INDEX($J:$J,MATCH($AJ18,$M:$M,0)+CM$8-1)),
""),
"")</f>
        <v/>
      </c>
      <c r="CN18" s="21" t="str">
        <f>IFERROR(
IF(COUNTIF($BI18:CM18,INDEX($J:$J,MATCH($AJ18,$M:$M,0)+CN$8-1))=0,
IF(COUNTIF($M:$M,$AJ18)&lt;CN$8,
"",
INDEX($J:$J,MATCH($AJ18,$M:$M,0)+CN$8-1)),
""),
"")</f>
        <v/>
      </c>
      <c r="CO18" s="21" t="str">
        <f>IFERROR(
IF(COUNTIF($BI18:CN18,INDEX($J:$J,MATCH($AJ18,$M:$M,0)+CO$8-1))=0,
IF(COUNTIF($M:$M,$AJ18)&lt;CO$8,
"",
INDEX($J:$J,MATCH($AJ18,$M:$M,0)+CO$8-1)),
""),
"")</f>
        <v/>
      </c>
      <c r="CP18" s="21" t="str">
        <f>IFERROR(
IF(COUNTIF($BI18:CO18,INDEX($J:$J,MATCH($AJ18,$M:$M,0)+CP$8-1))=0,
IF(COUNTIF($M:$M,$AJ18)&lt;CP$8,
"",
INDEX($J:$J,MATCH($AJ18,$M:$M,0)+CP$8-1)),
""),
"")</f>
        <v/>
      </c>
      <c r="CR18" s="21" t="str">
        <f>IFERROR(
IF(COUNTIF($BI18:CQ18,INDEX($J:$J,MATCH($AK18,$M:$M,0)+CR$8-1))=0,
IF(COUNTIF($M:$M,$AK18)&lt;CR$8,
"",
INDEX($J:$J,MATCH($AK18,$M:$M,0)+CR$8-1)),
""),
"")</f>
        <v/>
      </c>
      <c r="CS18" s="21" t="str">
        <f>IFERROR(
IF(COUNTIF($BI18:CR18,INDEX($J:$J,MATCH($AK18,$M:$M,0)+CS$8-1))=0,
IF(COUNTIF($M:$M,$AK18)&lt;CS$8,
"",
INDEX($J:$J,MATCH($AK18,$M:$M,0)+CS$8-1)),
""),
"")</f>
        <v/>
      </c>
      <c r="CT18" s="21" t="str">
        <f>IFERROR(
IF(COUNTIF($BI18:CS18,INDEX($J:$J,MATCH($AK18,$M:$M,0)+CT$8-1))=0,
IF(COUNTIF($M:$M,$AK18)&lt;CT$8,
"",
INDEX($J:$J,MATCH($AK18,$M:$M,0)+CT$8-1)),
""),
"")</f>
        <v/>
      </c>
      <c r="CU18" s="21" t="str">
        <f>IFERROR(
IF(COUNTIF($BI18:CT18,INDEX($J:$J,MATCH($AK18,$M:$M,0)+CU$8-1))=0,
IF(COUNTIF($M:$M,$AK18)&lt;CU$8,
"",
INDEX($J:$J,MATCH($AK18,$M:$M,0)+CU$8-1)),
""),
"")</f>
        <v/>
      </c>
    </row>
    <row r="19" spans="3:99" ht="14.25">
      <c r="C19" s="16">
        <v>11</v>
      </c>
      <c r="D19" s="19" t="s">
        <v>52</v>
      </c>
      <c r="E19" s="20">
        <f>INDEX([1]武将基本资料!$S:$S,MATCH(D19,[1]武将基本资料!$N:$N,0))</f>
        <v>110</v>
      </c>
      <c r="F19" s="20" t="str">
        <f>INDEX([1]武将基本资料!$Q:$Q,MATCH(D19,[1]武将基本资料!$N:$N,0))</f>
        <v>紫</v>
      </c>
      <c r="H19" s="7">
        <f>IF(I19="","",COUNTA(I$9:$I19))</f>
        <v>10</v>
      </c>
      <c r="I19" s="6" t="s">
        <v>166</v>
      </c>
      <c r="J19" s="6" t="s">
        <v>92</v>
      </c>
      <c r="K19" s="8" t="str">
        <f>IF(H19="","",阶段合并区域(J19:J29," ",L19:L29,1))</f>
        <v>孙叔敖 西门豹 伍子胥</v>
      </c>
      <c r="L19" s="8">
        <f>COUNTIF(M$8:$M19,"="&amp;M19)</f>
        <v>1</v>
      </c>
      <c r="M19" s="9" t="str">
        <f t="shared" si="3"/>
        <v>治水修渠</v>
      </c>
      <c r="N19" s="9" t="str">
        <f t="shared" si="4"/>
        <v>治水修渠1</v>
      </c>
      <c r="O19" s="15">
        <f>INDEX(C:C,MATCH(J19,D:D,0))</f>
        <v>45</v>
      </c>
      <c r="P19" s="9">
        <f>INDEX(E:E,MATCH(J19,D:D,0))</f>
        <v>110</v>
      </c>
      <c r="Q19" s="7">
        <f t="shared" si="0"/>
        <v>45</v>
      </c>
      <c r="R19" s="7">
        <f>COUNTIF(J$8:$J19,"="&amp;J19)</f>
        <v>1</v>
      </c>
      <c r="S19" s="7">
        <f t="shared" si="5"/>
        <v>1045</v>
      </c>
      <c r="U19" s="7">
        <f t="shared" si="6"/>
        <v>1011</v>
      </c>
      <c r="V19" s="7">
        <f t="shared" si="2"/>
        <v>2011</v>
      </c>
      <c r="W19" s="7">
        <f t="shared" si="2"/>
        <v>3011</v>
      </c>
      <c r="X19" s="7">
        <f t="shared" si="2"/>
        <v>4011</v>
      </c>
      <c r="Y19" s="7">
        <f t="shared" si="2"/>
        <v>5011</v>
      </c>
      <c r="Z19" s="7">
        <f t="shared" si="2"/>
        <v>6011</v>
      </c>
      <c r="AA19" s="7">
        <f t="shared" si="2"/>
        <v>7011</v>
      </c>
      <c r="AB19" s="7">
        <f t="shared" si="2"/>
        <v>8011</v>
      </c>
      <c r="AD19" s="21" t="str">
        <f>IFERROR(INDEX($M:$M,MATCH(U19,$S:$S,0)),"&amp;")</f>
        <v>敢死之士</v>
      </c>
      <c r="AE19" s="21" t="str">
        <f>IFERROR(INDEX($M:$M,MATCH(V19,$S:$S,0)),"&amp;")</f>
        <v>力敌万夫</v>
      </c>
      <c r="AF19" s="21" t="str">
        <f>IFERROR(INDEX($M:$M,MATCH(W19,$S:$S,0)),"&amp;")</f>
        <v>江湖豪侠</v>
      </c>
      <c r="AG19" s="21" t="str">
        <f>IFERROR(INDEX($M:$M,MATCH(X19,$S:$S,0)),"&amp;")</f>
        <v>&amp;</v>
      </c>
      <c r="AH19" s="21" t="str">
        <f>IFERROR(INDEX($M:$M,MATCH(Y19,$S:$S,0)),"&amp;")</f>
        <v>&amp;</v>
      </c>
      <c r="AI19" s="21" t="str">
        <f>IFERROR(INDEX($M:$M,MATCH(Z19,$S:$S,0)),"&amp;")</f>
        <v>&amp;</v>
      </c>
      <c r="AJ19" s="21" t="str">
        <f>IFERROR(INDEX($M:$M,MATCH(AA19,$S:$S,0)),"&amp;")</f>
        <v>&amp;</v>
      </c>
      <c r="AK19" s="21" t="str">
        <f>IFERROR(INDEX($M:$M,MATCH(AB19,$S:$S,0)),"&amp;")</f>
        <v>&amp;</v>
      </c>
      <c r="AM19" s="21" t="str">
        <f>IFERROR(INDEX($N:$N,MATCH(U19,$S:$S,0)),"&amp;")</f>
        <v>敢死之士2</v>
      </c>
      <c r="AN19" s="21" t="str">
        <f>IFERROR(INDEX($N:$N,MATCH(V19,$S:$S,0)),"&amp;")</f>
        <v>力敌万夫2</v>
      </c>
      <c r="AO19" s="21" t="str">
        <f>IFERROR(INDEX($N:$N,MATCH(W19,$S:$S,0)),"&amp;")</f>
        <v>江湖豪侠2</v>
      </c>
      <c r="AP19" s="21" t="str">
        <f>IFERROR(INDEX($N:$N,MATCH(X19,$S:$S,0)),"&amp;")</f>
        <v>&amp;</v>
      </c>
      <c r="AQ19" s="21" t="str">
        <f>IFERROR(INDEX($N:$N,MATCH(Y19,$S:$S,0)),"&amp;")</f>
        <v>&amp;</v>
      </c>
      <c r="AR19" s="21" t="str">
        <f>IFERROR(INDEX($N:$N,MATCH(Z19,$S:$S,0)),"&amp;")</f>
        <v>&amp;</v>
      </c>
      <c r="AS19" s="21" t="str">
        <f>IFERROR(INDEX($N:$N,MATCH(AA19,$S:$S,0)),"&amp;")</f>
        <v>&amp;</v>
      </c>
      <c r="AT19" s="21" t="str">
        <f>IFERROR(INDEX($N:$N,MATCH(AB19,$S:$S,0)),"&amp;")</f>
        <v>&amp;</v>
      </c>
      <c r="AV19" s="21" t="str">
        <f>IFERROR(SUBSTITUTE(INDEX($K:$K,MATCH(INDEX($M:$M,MATCH(AM19,$N:$N,0)),$M:$M,0)),$D19,""),"")</f>
        <v>朱亥  荆轲 赵括</v>
      </c>
      <c r="AW19" s="21" t="str">
        <f>IFERROR(SUBSTITUTE(INDEX($K:$K,MATCH(INDEX($M:$M,MATCH(AN19,$N:$N,0)),$M:$M,0)),$D19,""),"")</f>
        <v xml:space="preserve">秦武王 </v>
      </c>
      <c r="AX19" s="21" t="str">
        <f>IFERROR(SUBSTITUTE(INDEX($K:$K,MATCH(INDEX($M:$M,MATCH(AO19,$N:$N,0)),$M:$M,0)),$D19,""),"")</f>
        <v>聂荌  荆轲 莫邪</v>
      </c>
      <c r="AY19" s="21" t="str">
        <f>IFERROR(SUBSTITUTE(INDEX($K:$K,MATCH(INDEX($M:$M,MATCH(AP19,$N:$N,0)),$M:$M,0)),$D19,""),"")</f>
        <v/>
      </c>
      <c r="AZ19" s="21" t="str">
        <f>IFERROR(SUBSTITUTE(INDEX($K:$K,MATCH(INDEX($M:$M,MATCH(AQ19,$N:$N,0)),$M:$M,0)),$D19,""),"")</f>
        <v/>
      </c>
      <c r="BA19" s="21" t="str">
        <f>IFERROR(SUBSTITUTE(INDEX($K:$K,MATCH(INDEX($M:$M,MATCH(AR19,$N:$N,0)),$M:$M,0)),$D19,""),"")</f>
        <v/>
      </c>
      <c r="BB19" s="21" t="str">
        <f>IFERROR(SUBSTITUTE(INDEX($K:$K,MATCH(INDEX($M:$M,MATCH(AS19,$N:$N,0)),$M:$M,0)),$D19,""),"")</f>
        <v/>
      </c>
      <c r="BC19" s="21" t="str">
        <f>IFERROR(SUBSTITUTE(INDEX($K:$K,MATCH(INDEX($M:$M,MATCH(AT19,$N:$N,0)),$M:$M,0)),$D19,""),"")</f>
        <v/>
      </c>
      <c r="BE19" s="9" t="str">
        <f t="shared" si="7"/>
        <v>朱亥,专诸,荆轲,赵括,秦武王,聂荌,莫邪</v>
      </c>
      <c r="BI19" s="9" t="str">
        <f>IFERROR(
IF(COUNTIF($M:$M,$AD19)&lt;BI$8,
"",
INDEX($J:$J,MATCH($AD19,$M:$M,0)+BI$8-1)),
"")</f>
        <v>朱亥</v>
      </c>
      <c r="BJ19" s="9" t="str">
        <f>IFERROR(
IF(COUNTIF($M:$M,$AD19)&lt;BJ$8,
"",
INDEX($J:$J,MATCH($AD19,$M:$M,0)+BJ$8-1)),
"")</f>
        <v>专诸</v>
      </c>
      <c r="BK19" s="9" t="str">
        <f>IFERROR(
IF(COUNTIF($M:$M,$AD19)&lt;BK$8,
"",
INDEX($J:$J,MATCH($AD19,$M:$M,0)+BK$8-1)),
"")</f>
        <v>荆轲</v>
      </c>
      <c r="BL19" s="9" t="str">
        <f>IFERROR(
IF(COUNTIF($M:$M,$AD19)&lt;BL$8,
"",
INDEX($J:$J,MATCH($AD19,$M:$M,0)+BL$8-1)),
"")</f>
        <v>赵括</v>
      </c>
      <c r="BN19" s="21" t="str">
        <f>IFERROR(
IF(COUNTIF($BI19:BM19,INDEX($J:$J,MATCH($AE19,$M:$M,0)+BN$8-1))=0,
IF(COUNTIF($M:$M,$AE19)&lt;BN$8,
"",
INDEX($J:$J,MATCH($AE19,$M:$M,0)+BN$8-1)),
""),
"")</f>
        <v>秦武王</v>
      </c>
      <c r="BO19" s="21" t="str">
        <f>IFERROR(
IF(COUNTIF($BI19:BN19,INDEX($J:$J,MATCH($AE19,$M:$M,0)+BO$8-1))=0,
IF(COUNTIF($M:$M,$AE19)&lt;BO$8,
"",
INDEX($J:$J,MATCH($AE19,$M:$M,0)+BO$8-1)),
""),
"")</f>
        <v/>
      </c>
      <c r="BP19" s="21" t="str">
        <f>IFERROR(
IF(COUNTIF($BI19:BO19,INDEX($J:$J,MATCH($AE19,$M:$M,0)+BP$8-1))=0,
IF(COUNTIF($M:$M,$AE19)&lt;BP$8,
"",
INDEX($J:$J,MATCH($AE19,$M:$M,0)+BP$8-1)),
""),
"")</f>
        <v/>
      </c>
      <c r="BQ19" s="21" t="str">
        <f>IFERROR(
IF(COUNTIF($BI19:BP19,INDEX($J:$J,MATCH($AE19,$M:$M,0)+BQ$8-1))=0,
IF(COUNTIF($M:$M,$AE19)&lt;BQ$8,
"",
INDEX($J:$J,MATCH($AE19,$M:$M,0)+BQ$8-1)),
""),
"")</f>
        <v/>
      </c>
      <c r="BS19" s="21" t="str">
        <f>IFERROR(
IF(COUNTIF($BI19:BR19,INDEX($J:$J,MATCH($AF19,$M:$M,0)+BS$8-1))=0,
IF(COUNTIF($M:$M,$AF19)&lt;BS$8,
"",
INDEX($J:$J,MATCH($AF19,$M:$M,0)+BS$8-1)),
""),
"")</f>
        <v>聂荌</v>
      </c>
      <c r="BT19" s="21" t="str">
        <f>IFERROR(
IF(COUNTIF($BI19:BS19,INDEX($J:$J,MATCH($AF19,$M:$M,0)+BT$8-1))=0,
IF(COUNTIF($M:$M,$AF19)&lt;BT$8,
"",
INDEX($J:$J,MATCH($AF19,$M:$M,0)+BT$8-1)),
""),
"")</f>
        <v/>
      </c>
      <c r="BU19" s="21" t="str">
        <f>IFERROR(
IF(COUNTIF($BI19:BT19,INDEX($J:$J,MATCH($AF19,$M:$M,0)+BU$8-1))=0,
IF(COUNTIF($M:$M,$AF19)&lt;BU$8,
"",
INDEX($J:$J,MATCH($AF19,$M:$M,0)+BU$8-1)),
""),
"")</f>
        <v/>
      </c>
      <c r="BV19" s="21" t="str">
        <f>IFERROR(
IF(COUNTIF($BI19:BU19,INDEX($J:$J,MATCH($AF19,$M:$M,0)+BV$8-1))=0,
IF(COUNTIF($M:$M,$AF19)&lt;BV$8,
"",
INDEX($J:$J,MATCH($AF19,$M:$M,0)+BV$8-1)),
""),
"")</f>
        <v>莫邪</v>
      </c>
      <c r="BX19" s="21" t="str">
        <f>IFERROR(
IF(COUNTIF($BI19:BW19,INDEX($J:$J,MATCH($AG19,$M:$M,0)+BX$8-1))=0,
IF(COUNTIF($M:$M,$AG19)&lt;BX$8,
"",
INDEX($J:$J,MATCH($AG19,$M:$M,0)+BX$8-1)),
""),
"")</f>
        <v/>
      </c>
      <c r="BY19" s="21" t="str">
        <f>IFERROR(
IF(COUNTIF($BI19:BX19,INDEX($J:$J,MATCH($AG19,$M:$M,0)+BY$8-1))=0,
IF(COUNTIF($M:$M,$AG19)&lt;BY$8,
"",
INDEX($J:$J,MATCH($AG19,$M:$M,0)+BY$8-1)),
""),
"")</f>
        <v/>
      </c>
      <c r="BZ19" s="21" t="str">
        <f>IFERROR(
IF(COUNTIF($BI19:BY19,INDEX($J:$J,MATCH($AG19,$M:$M,0)+BZ$8-1))=0,
IF(COUNTIF($M:$M,$AG19)&lt;BZ$8,
"",
INDEX($J:$J,MATCH($AG19,$M:$M,0)+BZ$8-1)),
""),
"")</f>
        <v/>
      </c>
      <c r="CA19" s="21" t="str">
        <f>IFERROR(
IF(COUNTIF($BI19:BZ19,INDEX($J:$J,MATCH($AG19,$M:$M,0)+CA$8-1))=0,
IF(COUNTIF($M:$M,$AG19)&lt;CA$8,
"",
INDEX($J:$J,MATCH($AG19,$M:$M,0)+CA$8-1)),
""),
"")</f>
        <v/>
      </c>
      <c r="CC19" s="21" t="str">
        <f>IFERROR(
IF(COUNTIF($BI19:CB19,INDEX($J:$J,MATCH($AH19,$M:$M,0)+CC$8-1))=0,
IF(COUNTIF($M:$M,$AH19)&lt;CC$8,
"",
INDEX($J:$J,MATCH($AH19,$M:$M,0)+CC$8-1)),
""),
"")</f>
        <v/>
      </c>
      <c r="CD19" s="21" t="str">
        <f>IFERROR(
IF(COUNTIF($BI19:CC19,INDEX($J:$J,MATCH($AH19,$M:$M,0)+CD$8-1))=0,
IF(COUNTIF($M:$M,$AH19)&lt;CD$8,
"",
INDEX($J:$J,MATCH($AH19,$M:$M,0)+CD$8-1)),
""),
"")</f>
        <v/>
      </c>
      <c r="CE19" s="21" t="str">
        <f>IFERROR(
IF(COUNTIF($BI19:CD19,INDEX($J:$J,MATCH($AH19,$M:$M,0)+CE$8-1))=0,
IF(COUNTIF($M:$M,$AH19)&lt;CE$8,
"",
INDEX($J:$J,MATCH($AH19,$M:$M,0)+CE$8-1)),
""),
"")</f>
        <v/>
      </c>
      <c r="CF19" s="21" t="str">
        <f>IFERROR(
IF(COUNTIF($BI19:CE19,INDEX($J:$J,MATCH($AH19,$M:$M,0)+CF$8-1))=0,
IF(COUNTIF($M:$M,$AH19)&lt;CF$8,
"",
INDEX($J:$J,MATCH($AH19,$M:$M,0)+CF$8-1)),
""),
"")</f>
        <v/>
      </c>
      <c r="CH19" s="21" t="str">
        <f>IFERROR(
IF(COUNTIF($BI19:CG19,INDEX($J:$J,MATCH($AI19,$M:$M,0)+CH$8-1))=0,
IF(COUNTIF($M:$M,$AI19)&lt;CH$8,
"",
INDEX($J:$J,MATCH($AI19,$M:$M,0)+CH$8-1)),
""),
"")</f>
        <v/>
      </c>
      <c r="CI19" s="21" t="str">
        <f>IFERROR(
IF(COUNTIF($BI19:CH19,INDEX($J:$J,MATCH($AI19,$M:$M,0)+CI$8-1))=0,
IF(COUNTIF($M:$M,$AI19)&lt;CI$8,
"",
INDEX($J:$J,MATCH($AI19,$M:$M,0)+CI$8-1)),
""),
"")</f>
        <v/>
      </c>
      <c r="CJ19" s="21" t="str">
        <f>IFERROR(
IF(COUNTIF($BI19:CI19,INDEX($J:$J,MATCH($AI19,$M:$M,0)+CJ$8-1))=0,
IF(COUNTIF($M:$M,$AI19)&lt;CJ$8,
"",
INDEX($J:$J,MATCH($AI19,$M:$M,0)+CJ$8-1)),
""),
"")</f>
        <v/>
      </c>
      <c r="CK19" s="21" t="str">
        <f>IFERROR(
IF(COUNTIF($BI19:CJ19,INDEX($J:$J,MATCH($AI19,$M:$M,0)+CK$8-1))=0,
IF(COUNTIF($M:$M,$AI19)&lt;CK$8,
"",
INDEX($J:$J,MATCH($AI19,$M:$M,0)+CK$8-1)),
""),
"")</f>
        <v/>
      </c>
      <c r="CM19" s="21" t="str">
        <f>IFERROR(
IF(COUNTIF($BI19:CL19,INDEX($J:$J,MATCH($AJ19,$M:$M,0)+CM$8-1))=0,
IF(COUNTIF($M:$M,$AJ19)&lt;CM$8,
"",
INDEX($J:$J,MATCH($AJ19,$M:$M,0)+CM$8-1)),
""),
"")</f>
        <v/>
      </c>
      <c r="CN19" s="21" t="str">
        <f>IFERROR(
IF(COUNTIF($BI19:CM19,INDEX($J:$J,MATCH($AJ19,$M:$M,0)+CN$8-1))=0,
IF(COUNTIF($M:$M,$AJ19)&lt;CN$8,
"",
INDEX($J:$J,MATCH($AJ19,$M:$M,0)+CN$8-1)),
""),
"")</f>
        <v/>
      </c>
      <c r="CO19" s="21" t="str">
        <f>IFERROR(
IF(COUNTIF($BI19:CN19,INDEX($J:$J,MATCH($AJ19,$M:$M,0)+CO$8-1))=0,
IF(COUNTIF($M:$M,$AJ19)&lt;CO$8,
"",
INDEX($J:$J,MATCH($AJ19,$M:$M,0)+CO$8-1)),
""),
"")</f>
        <v/>
      </c>
      <c r="CP19" s="21" t="str">
        <f>IFERROR(
IF(COUNTIF($BI19:CO19,INDEX($J:$J,MATCH($AJ19,$M:$M,0)+CP$8-1))=0,
IF(COUNTIF($M:$M,$AJ19)&lt;CP$8,
"",
INDEX($J:$J,MATCH($AJ19,$M:$M,0)+CP$8-1)),
""),
"")</f>
        <v/>
      </c>
      <c r="CR19" s="21" t="str">
        <f>IFERROR(
IF(COUNTIF($BI19:CQ19,INDEX($J:$J,MATCH($AK19,$M:$M,0)+CR$8-1))=0,
IF(COUNTIF($M:$M,$AK19)&lt;CR$8,
"",
INDEX($J:$J,MATCH($AK19,$M:$M,0)+CR$8-1)),
""),
"")</f>
        <v/>
      </c>
      <c r="CS19" s="21" t="str">
        <f>IFERROR(
IF(COUNTIF($BI19:CR19,INDEX($J:$J,MATCH($AK19,$M:$M,0)+CS$8-1))=0,
IF(COUNTIF($M:$M,$AK19)&lt;CS$8,
"",
INDEX($J:$J,MATCH($AK19,$M:$M,0)+CS$8-1)),
""),
"")</f>
        <v/>
      </c>
      <c r="CT19" s="21" t="str">
        <f>IFERROR(
IF(COUNTIF($BI19:CS19,INDEX($J:$J,MATCH($AK19,$M:$M,0)+CT$8-1))=0,
IF(COUNTIF($M:$M,$AK19)&lt;CT$8,
"",
INDEX($J:$J,MATCH($AK19,$M:$M,0)+CT$8-1)),
""),
"")</f>
        <v/>
      </c>
      <c r="CU19" s="21" t="str">
        <f>IFERROR(
IF(COUNTIF($BI19:CT19,INDEX($J:$J,MATCH($AK19,$M:$M,0)+CU$8-1))=0,
IF(COUNTIF($M:$M,$AK19)&lt;CU$8,
"",
INDEX($J:$J,MATCH($AK19,$M:$M,0)+CU$8-1)),
""),
"")</f>
        <v/>
      </c>
    </row>
    <row r="20" spans="3:99" ht="14.25">
      <c r="C20" s="16">
        <v>12</v>
      </c>
      <c r="D20" s="19" t="s">
        <v>388</v>
      </c>
      <c r="E20" s="20">
        <f>INDEX([1]武将基本资料!$S:$S,MATCH(D20,[1]武将基本资料!$N:$N,0))</f>
        <v>130</v>
      </c>
      <c r="F20" s="20" t="str">
        <f>INDEX([1]武将基本资料!$Q:$Q,MATCH(D20,[1]武将基本资料!$N:$N,0))</f>
        <v>橙+</v>
      </c>
      <c r="H20" s="7" t="str">
        <f>IF(I20="","",COUNTA(I$9:$I20))</f>
        <v/>
      </c>
      <c r="I20" s="6" t="s">
        <v>188</v>
      </c>
      <c r="J20" s="6" t="s">
        <v>77</v>
      </c>
      <c r="K20" s="8" t="str">
        <f>IF(H20="","",阶段合并区域(J20:J30," ",L20:L30,1))</f>
        <v/>
      </c>
      <c r="L20" s="8">
        <f>COUNTIF(M$8:$M20,"="&amp;M20)</f>
        <v>2</v>
      </c>
      <c r="M20" s="9" t="str">
        <f t="shared" si="3"/>
        <v>治水修渠</v>
      </c>
      <c r="N20" s="9" t="str">
        <f t="shared" si="4"/>
        <v>治水修渠2</v>
      </c>
      <c r="O20" s="15">
        <f>INDEX(C:C,MATCH(J20,D:D,0))</f>
        <v>51</v>
      </c>
      <c r="P20" s="9">
        <f>INDEX(E:E,MATCH(J20,D:D,0))</f>
        <v>110</v>
      </c>
      <c r="Q20" s="7">
        <f t="shared" si="0"/>
        <v>51</v>
      </c>
      <c r="R20" s="7">
        <f>COUNTIF(J$8:$J20,"="&amp;J20)</f>
        <v>1</v>
      </c>
      <c r="S20" s="7">
        <f t="shared" si="5"/>
        <v>1051</v>
      </c>
      <c r="U20" s="7">
        <f t="shared" si="6"/>
        <v>1012</v>
      </c>
      <c r="V20" s="7">
        <f t="shared" si="2"/>
        <v>2012</v>
      </c>
      <c r="W20" s="7">
        <f t="shared" si="2"/>
        <v>3012</v>
      </c>
      <c r="X20" s="7">
        <f t="shared" si="2"/>
        <v>4012</v>
      </c>
      <c r="Y20" s="7">
        <f t="shared" si="2"/>
        <v>5012</v>
      </c>
      <c r="Z20" s="7">
        <f t="shared" si="2"/>
        <v>6012</v>
      </c>
      <c r="AA20" s="7">
        <f t="shared" si="2"/>
        <v>7012</v>
      </c>
      <c r="AB20" s="7">
        <f t="shared" si="2"/>
        <v>8012</v>
      </c>
      <c r="AD20" s="21" t="str">
        <f>IFERROR(INDEX($M:$M,MATCH(U20,$S:$S,0)),"&amp;")</f>
        <v>位高权重</v>
      </c>
      <c r="AE20" s="21" t="str">
        <f>IFERROR(INDEX($M:$M,MATCH(V20,$S:$S,0)),"&amp;")</f>
        <v>大秦宗亲</v>
      </c>
      <c r="AF20" s="21" t="str">
        <f>IFERROR(INDEX($M:$M,MATCH(W20,$S:$S,0)),"&amp;")</f>
        <v>国色天资</v>
      </c>
      <c r="AG20" s="21" t="str">
        <f>IFERROR(INDEX($M:$M,MATCH(X20,$S:$S,0)),"&amp;")</f>
        <v>心狠手辣</v>
      </c>
      <c r="AH20" s="21" t="str">
        <f>IFERROR(INDEX($M:$M,MATCH(Y20,$S:$S,0)),"&amp;")</f>
        <v>权倾一时</v>
      </c>
      <c r="AI20" s="21" t="str">
        <f>IFERROR(INDEX($M:$M,MATCH(Z20,$S:$S,0)),"&amp;")</f>
        <v>执掌天下</v>
      </c>
      <c r="AJ20" s="21" t="str">
        <f>IFERROR(INDEX($M:$M,MATCH(AA20,$S:$S,0)),"&amp;")</f>
        <v>任人唯亲</v>
      </c>
      <c r="AK20" s="21" t="str">
        <f>IFERROR(INDEX($M:$M,MATCH(AB20,$S:$S,0)),"&amp;")</f>
        <v>&amp;</v>
      </c>
      <c r="AM20" s="21" t="str">
        <f>IFERROR(INDEX($N:$N,MATCH(U20,$S:$S,0)),"&amp;")</f>
        <v>位高权重1</v>
      </c>
      <c r="AN20" s="21" t="str">
        <f>IFERROR(INDEX($N:$N,MATCH(V20,$S:$S,0)),"&amp;")</f>
        <v>大秦宗亲1</v>
      </c>
      <c r="AO20" s="21" t="str">
        <f>IFERROR(INDEX($N:$N,MATCH(W20,$S:$S,0)),"&amp;")</f>
        <v>国色天资1</v>
      </c>
      <c r="AP20" s="21" t="str">
        <f>IFERROR(INDEX($N:$N,MATCH(X20,$S:$S,0)),"&amp;")</f>
        <v>心狠手辣1</v>
      </c>
      <c r="AQ20" s="21" t="str">
        <f>IFERROR(INDEX($N:$N,MATCH(Y20,$S:$S,0)),"&amp;")</f>
        <v>权倾一时1</v>
      </c>
      <c r="AR20" s="21" t="str">
        <f>IFERROR(INDEX($N:$N,MATCH(Z20,$S:$S,0)),"&amp;")</f>
        <v>执掌天下1</v>
      </c>
      <c r="AS20" s="21" t="str">
        <f>IFERROR(INDEX($N:$N,MATCH(AA20,$S:$S,0)),"&amp;")</f>
        <v>任人唯亲2</v>
      </c>
      <c r="AT20" s="21" t="str">
        <f>IFERROR(INDEX($N:$N,MATCH(AB20,$S:$S,0)),"&amp;")</f>
        <v>&amp;</v>
      </c>
      <c r="AV20" s="21" t="str">
        <f>IFERROR(SUBSTITUTE(INDEX($K:$K,MATCH(INDEX($M:$M,MATCH(AM20,$N:$N,0)),$M:$M,0)),$D20,""),"")</f>
        <v xml:space="preserve"> 吕不韦 申不害</v>
      </c>
      <c r="AW20" s="21" t="str">
        <f>IFERROR(SUBSTITUTE(INDEX($K:$K,MATCH(INDEX($M:$M,MATCH(AN20,$N:$N,0)),$M:$M,0)),$D20,""),"")</f>
        <v xml:space="preserve"> 樗里疾 秦武王</v>
      </c>
      <c r="AX20" s="21" t="str">
        <f>IFERROR(SUBSTITUTE(INDEX($K:$K,MATCH(INDEX($M:$M,MATCH(AO20,$N:$N,0)),$M:$M,0)),$D20,""),"")</f>
        <v xml:space="preserve"> 西施 骊姬</v>
      </c>
      <c r="AY20" s="21" t="str">
        <f>IFERROR(SUBSTITUTE(INDEX($K:$K,MATCH(INDEX($M:$M,MATCH(AP20,$N:$N,0)),$M:$M,0)),$D20,""),"")</f>
        <v xml:space="preserve"> 庞涓</v>
      </c>
      <c r="AZ20" s="21" t="str">
        <f>IFERROR(SUBSTITUTE(INDEX($K:$K,MATCH(INDEX($M:$M,MATCH(AQ20,$N:$N,0)),$M:$M,0)),$D20,""),"")</f>
        <v xml:space="preserve"> 吕不韦 信陵君 申不害</v>
      </c>
      <c r="BA20" s="21" t="str">
        <f>IFERROR(SUBSTITUTE(INDEX($K:$K,MATCH(INDEX($M:$M,MATCH(AR20,$N:$N,0)),$M:$M,0)),$D20,""),"")</f>
        <v xml:space="preserve"> 李斯 嬴政</v>
      </c>
      <c r="BB20" s="21" t="str">
        <f>IFERROR(SUBSTITUTE(INDEX($K:$K,MATCH(INDEX($M:$M,MATCH(AS20,$N:$N,0)),$M:$M,0)),$D20,""),"")</f>
        <v xml:space="preserve">刘邦 </v>
      </c>
      <c r="BC20" s="21" t="str">
        <f>IFERROR(SUBSTITUTE(INDEX($K:$K,MATCH(INDEX($M:$M,MATCH(AT20,$N:$N,0)),$M:$M,0)),$D20,""),"")</f>
        <v/>
      </c>
      <c r="BE20" s="9" t="str">
        <f t="shared" si="7"/>
        <v>吕雉,吕不韦,申不害,樗里疾,秦武王,西施,骊姬,庞涓,信陵君,李斯,嬴政,刘邦</v>
      </c>
      <c r="BI20" s="9" t="str">
        <f>IFERROR(
IF(COUNTIF($M:$M,$AD20)&lt;BI$8,
"",
INDEX($J:$J,MATCH($AD20,$M:$M,0)+BI$8-1)),
"")</f>
        <v>吕雉</v>
      </c>
      <c r="BJ20" s="9" t="str">
        <f>IFERROR(
IF(COUNTIF($M:$M,$AD20)&lt;BJ$8,
"",
INDEX($J:$J,MATCH($AD20,$M:$M,0)+BJ$8-1)),
"")</f>
        <v>吕不韦</v>
      </c>
      <c r="BK20" s="9" t="str">
        <f>IFERROR(
IF(COUNTIF($M:$M,$AD20)&lt;BK$8,
"",
INDEX($J:$J,MATCH($AD20,$M:$M,0)+BK$8-1)),
"")</f>
        <v>申不害</v>
      </c>
      <c r="BL20" s="9" t="str">
        <f>IFERROR(
IF(COUNTIF($M:$M,$AD20)&lt;BL$8,
"",
INDEX($J:$J,MATCH($AD20,$M:$M,0)+BL$8-1)),
"")</f>
        <v/>
      </c>
      <c r="BN20" s="21" t="str">
        <f>IFERROR(
IF(COUNTIF($BI20:BM20,INDEX($J:$J,MATCH($AE20,$M:$M,0)+BN$8-1))=0,
IF(COUNTIF($M:$M,$AE20)&lt;BN$8,
"",
INDEX($J:$J,MATCH($AE20,$M:$M,0)+BN$8-1)),
""),
"")</f>
        <v/>
      </c>
      <c r="BO20" s="21" t="str">
        <f>IFERROR(
IF(COUNTIF($BI20:BN20,INDEX($J:$J,MATCH($AE20,$M:$M,0)+BO$8-1))=0,
IF(COUNTIF($M:$M,$AE20)&lt;BO$8,
"",
INDEX($J:$J,MATCH($AE20,$M:$M,0)+BO$8-1)),
""),
"")</f>
        <v>樗里疾</v>
      </c>
      <c r="BP20" s="21" t="str">
        <f>IFERROR(
IF(COUNTIF($BI20:BO20,INDEX($J:$J,MATCH($AE20,$M:$M,0)+BP$8-1))=0,
IF(COUNTIF($M:$M,$AE20)&lt;BP$8,
"",
INDEX($J:$J,MATCH($AE20,$M:$M,0)+BP$8-1)),
""),
"")</f>
        <v>秦武王</v>
      </c>
      <c r="BQ20" s="21" t="str">
        <f>IFERROR(
IF(COUNTIF($BI20:BP20,INDEX($J:$J,MATCH($AE20,$M:$M,0)+BQ$8-1))=0,
IF(COUNTIF($M:$M,$AE20)&lt;BQ$8,
"",
INDEX($J:$J,MATCH($AE20,$M:$M,0)+BQ$8-1)),
""),
"")</f>
        <v/>
      </c>
      <c r="BS20" s="21" t="str">
        <f>IFERROR(
IF(COUNTIF($BI20:BR20,INDEX($J:$J,MATCH($AF20,$M:$M,0)+BS$8-1))=0,
IF(COUNTIF($M:$M,$AF20)&lt;BS$8,
"",
INDEX($J:$J,MATCH($AF20,$M:$M,0)+BS$8-1)),
""),
"")</f>
        <v/>
      </c>
      <c r="BT20" s="21" t="str">
        <f>IFERROR(
IF(COUNTIF($BI20:BS20,INDEX($J:$J,MATCH($AF20,$M:$M,0)+BT$8-1))=0,
IF(COUNTIF($M:$M,$AF20)&lt;BT$8,
"",
INDEX($J:$J,MATCH($AF20,$M:$M,0)+BT$8-1)),
""),
"")</f>
        <v>西施</v>
      </c>
      <c r="BU20" s="21" t="str">
        <f>IFERROR(
IF(COUNTIF($BI20:BT20,INDEX($J:$J,MATCH($AF20,$M:$M,0)+BU$8-1))=0,
IF(COUNTIF($M:$M,$AF20)&lt;BU$8,
"",
INDEX($J:$J,MATCH($AF20,$M:$M,0)+BU$8-1)),
""),
"")</f>
        <v>骊姬</v>
      </c>
      <c r="BV20" s="21" t="str">
        <f>IFERROR(
IF(COUNTIF($BI20:BU20,INDEX($J:$J,MATCH($AF20,$M:$M,0)+BV$8-1))=0,
IF(COUNTIF($M:$M,$AF20)&lt;BV$8,
"",
INDEX($J:$J,MATCH($AF20,$M:$M,0)+BV$8-1)),
""),
"")</f>
        <v/>
      </c>
      <c r="BX20" s="21" t="str">
        <f>IFERROR(
IF(COUNTIF($BI20:BW20,INDEX($J:$J,MATCH($AG20,$M:$M,0)+BX$8-1))=0,
IF(COUNTIF($M:$M,$AG20)&lt;BX$8,
"",
INDEX($J:$J,MATCH($AG20,$M:$M,0)+BX$8-1)),
""),
"")</f>
        <v/>
      </c>
      <c r="BY20" s="21" t="str">
        <f>IFERROR(
IF(COUNTIF($BI20:BX20,INDEX($J:$J,MATCH($AG20,$M:$M,0)+BY$8-1))=0,
IF(COUNTIF($M:$M,$AG20)&lt;BY$8,
"",
INDEX($J:$J,MATCH($AG20,$M:$M,0)+BY$8-1)),
""),
"")</f>
        <v>庞涓</v>
      </c>
      <c r="BZ20" s="21" t="str">
        <f>IFERROR(
IF(COUNTIF($BI20:BY20,INDEX($J:$J,MATCH($AG20,$M:$M,0)+BZ$8-1))=0,
IF(COUNTIF($M:$M,$AG20)&lt;BZ$8,
"",
INDEX($J:$J,MATCH($AG20,$M:$M,0)+BZ$8-1)),
""),
"")</f>
        <v/>
      </c>
      <c r="CA20" s="21" t="str">
        <f>IFERROR(
IF(COUNTIF($BI20:BZ20,INDEX($J:$J,MATCH($AG20,$M:$M,0)+CA$8-1))=0,
IF(COUNTIF($M:$M,$AG20)&lt;CA$8,
"",
INDEX($J:$J,MATCH($AG20,$M:$M,0)+CA$8-1)),
""),
"")</f>
        <v/>
      </c>
      <c r="CC20" s="21" t="str">
        <f>IFERROR(
IF(COUNTIF($BI20:CB20,INDEX($J:$J,MATCH($AH20,$M:$M,0)+CC$8-1))=0,
IF(COUNTIF($M:$M,$AH20)&lt;CC$8,
"",
INDEX($J:$J,MATCH($AH20,$M:$M,0)+CC$8-1)),
""),
"")</f>
        <v/>
      </c>
      <c r="CD20" s="21" t="str">
        <f>IFERROR(
IF(COUNTIF($BI20:CC20,INDEX($J:$J,MATCH($AH20,$M:$M,0)+CD$8-1))=0,
IF(COUNTIF($M:$M,$AH20)&lt;CD$8,
"",
INDEX($J:$J,MATCH($AH20,$M:$M,0)+CD$8-1)),
""),
"")</f>
        <v/>
      </c>
      <c r="CE20" s="21" t="str">
        <f>IFERROR(
IF(COUNTIF($BI20:CD20,INDEX($J:$J,MATCH($AH20,$M:$M,0)+CE$8-1))=0,
IF(COUNTIF($M:$M,$AH20)&lt;CE$8,
"",
INDEX($J:$J,MATCH($AH20,$M:$M,0)+CE$8-1)),
""),
"")</f>
        <v>信陵君</v>
      </c>
      <c r="CF20" s="21" t="str">
        <f>IFERROR(
IF(COUNTIF($BI20:CE20,INDEX($J:$J,MATCH($AH20,$M:$M,0)+CF$8-1))=0,
IF(COUNTIF($M:$M,$AH20)&lt;CF$8,
"",
INDEX($J:$J,MATCH($AH20,$M:$M,0)+CF$8-1)),
""),
"")</f>
        <v/>
      </c>
      <c r="CH20" s="21" t="str">
        <f>IFERROR(
IF(COUNTIF($BI20:CG20,INDEX($J:$J,MATCH($AI20,$M:$M,0)+CH$8-1))=0,
IF(COUNTIF($M:$M,$AI20)&lt;CH$8,
"",
INDEX($J:$J,MATCH($AI20,$M:$M,0)+CH$8-1)),
""),
"")</f>
        <v/>
      </c>
      <c r="CI20" s="21" t="str">
        <f>IFERROR(
IF(COUNTIF($BI20:CH20,INDEX($J:$J,MATCH($AI20,$M:$M,0)+CI$8-1))=0,
IF(COUNTIF($M:$M,$AI20)&lt;CI$8,
"",
INDEX($J:$J,MATCH($AI20,$M:$M,0)+CI$8-1)),
""),
"")</f>
        <v>李斯</v>
      </c>
      <c r="CJ20" s="21" t="str">
        <f>IFERROR(
IF(COUNTIF($BI20:CI20,INDEX($J:$J,MATCH($AI20,$M:$M,0)+CJ$8-1))=0,
IF(COUNTIF($M:$M,$AI20)&lt;CJ$8,
"",
INDEX($J:$J,MATCH($AI20,$M:$M,0)+CJ$8-1)),
""),
"")</f>
        <v>嬴政</v>
      </c>
      <c r="CK20" s="21" t="str">
        <f>IFERROR(
IF(COUNTIF($BI20:CJ20,INDEX($J:$J,MATCH($AI20,$M:$M,0)+CK$8-1))=0,
IF(COUNTIF($M:$M,$AI20)&lt;CK$8,
"",
INDEX($J:$J,MATCH($AI20,$M:$M,0)+CK$8-1)),
""),
"")</f>
        <v/>
      </c>
      <c r="CM20" s="21" t="str">
        <f>IFERROR(
IF(COUNTIF($BI20:CL20,INDEX($J:$J,MATCH($AJ20,$M:$M,0)+CM$8-1))=0,
IF(COUNTIF($M:$M,$AJ20)&lt;CM$8,
"",
INDEX($J:$J,MATCH($AJ20,$M:$M,0)+CM$8-1)),
""),
"")</f>
        <v>刘邦</v>
      </c>
      <c r="CN20" s="21" t="str">
        <f>IFERROR(
IF(COUNTIF($BI20:CM20,INDEX($J:$J,MATCH($AJ20,$M:$M,0)+CN$8-1))=0,
IF(COUNTIF($M:$M,$AJ20)&lt;CN$8,
"",
INDEX($J:$J,MATCH($AJ20,$M:$M,0)+CN$8-1)),
""),
"")</f>
        <v/>
      </c>
      <c r="CO20" s="21" t="str">
        <f>IFERROR(
IF(COUNTIF($BI20:CN20,INDEX($J:$J,MATCH($AJ20,$M:$M,0)+CO$8-1))=0,
IF(COUNTIF($M:$M,$AJ20)&lt;CO$8,
"",
INDEX($J:$J,MATCH($AJ20,$M:$M,0)+CO$8-1)),
""),
"")</f>
        <v/>
      </c>
      <c r="CP20" s="21" t="str">
        <f>IFERROR(
IF(COUNTIF($BI20:CO20,INDEX($J:$J,MATCH($AJ20,$M:$M,0)+CP$8-1))=0,
IF(COUNTIF($M:$M,$AJ20)&lt;CP$8,
"",
INDEX($J:$J,MATCH($AJ20,$M:$M,0)+CP$8-1)),
""),
"")</f>
        <v/>
      </c>
      <c r="CR20" s="21" t="str">
        <f>IFERROR(
IF(COUNTIF($BI20:CQ20,INDEX($J:$J,MATCH($AK20,$M:$M,0)+CR$8-1))=0,
IF(COUNTIF($M:$M,$AK20)&lt;CR$8,
"",
INDEX($J:$J,MATCH($AK20,$M:$M,0)+CR$8-1)),
""),
"")</f>
        <v/>
      </c>
      <c r="CS20" s="21" t="str">
        <f>IFERROR(
IF(COUNTIF($BI20:CR20,INDEX($J:$J,MATCH($AK20,$M:$M,0)+CS$8-1))=0,
IF(COUNTIF($M:$M,$AK20)&lt;CS$8,
"",
INDEX($J:$J,MATCH($AK20,$M:$M,0)+CS$8-1)),
""),
"")</f>
        <v/>
      </c>
      <c r="CT20" s="21" t="str">
        <f>IFERROR(
IF(COUNTIF($BI20:CS20,INDEX($J:$J,MATCH($AK20,$M:$M,0)+CT$8-1))=0,
IF(COUNTIF($M:$M,$AK20)&lt;CT$8,
"",
INDEX($J:$J,MATCH($AK20,$M:$M,0)+CT$8-1)),
""),
"")</f>
        <v/>
      </c>
      <c r="CU20" s="21" t="str">
        <f>IFERROR(
IF(COUNTIF($BI20:CT20,INDEX($J:$J,MATCH($AK20,$M:$M,0)+CU$8-1))=0,
IF(COUNTIF($M:$M,$AK20)&lt;CU$8,
"",
INDEX($J:$J,MATCH($AK20,$M:$M,0)+CU$8-1)),
""),
"")</f>
        <v/>
      </c>
    </row>
    <row r="21" spans="3:99" ht="14.25">
      <c r="C21" s="16">
        <v>13</v>
      </c>
      <c r="D21" s="19" t="s">
        <v>54</v>
      </c>
      <c r="E21" s="20">
        <f>INDEX([1]武将基本资料!$S:$S,MATCH(D21,[1]武将基本资料!$N:$N,0))</f>
        <v>130</v>
      </c>
      <c r="F21" s="20" t="str">
        <f>INDEX([1]武将基本资料!$Q:$Q,MATCH(D21,[1]武将基本资料!$N:$N,0))</f>
        <v>橙+</v>
      </c>
      <c r="H21" s="7" t="str">
        <f>IF(I21="","",COUNTA(I$9:$I21))</f>
        <v/>
      </c>
      <c r="I21" s="6" t="s">
        <v>188</v>
      </c>
      <c r="J21" s="6" t="s">
        <v>71</v>
      </c>
      <c r="K21" s="8" t="str">
        <f>IF(H21="","",阶段合并区域(J21:J31," ",L21:L31,1))</f>
        <v/>
      </c>
      <c r="L21" s="8">
        <f>COUNTIF(M$8:$M21,"="&amp;M21)</f>
        <v>3</v>
      </c>
      <c r="M21" s="9" t="str">
        <f t="shared" si="3"/>
        <v>治水修渠</v>
      </c>
      <c r="N21" s="9" t="str">
        <f t="shared" si="4"/>
        <v>治水修渠3</v>
      </c>
      <c r="O21" s="15">
        <f>INDEX(C:C,MATCH(J21,D:D,0))</f>
        <v>62</v>
      </c>
      <c r="P21" s="9">
        <f>INDEX(E:E,MATCH(J21,D:D,0))</f>
        <v>120</v>
      </c>
      <c r="Q21" s="7">
        <f t="shared" si="0"/>
        <v>62</v>
      </c>
      <c r="R21" s="7">
        <f>COUNTIF(J$8:$J21,"="&amp;J21)</f>
        <v>1</v>
      </c>
      <c r="S21" s="7">
        <f t="shared" si="5"/>
        <v>1062</v>
      </c>
      <c r="U21" s="7">
        <f t="shared" si="6"/>
        <v>1013</v>
      </c>
      <c r="V21" s="7">
        <f t="shared" si="2"/>
        <v>2013</v>
      </c>
      <c r="W21" s="7">
        <f t="shared" si="2"/>
        <v>3013</v>
      </c>
      <c r="X21" s="7">
        <f t="shared" si="2"/>
        <v>4013</v>
      </c>
      <c r="Y21" s="7">
        <f t="shared" si="2"/>
        <v>5013</v>
      </c>
      <c r="Z21" s="7">
        <f t="shared" si="2"/>
        <v>6013</v>
      </c>
      <c r="AA21" s="7">
        <f t="shared" si="2"/>
        <v>7013</v>
      </c>
      <c r="AB21" s="7">
        <f t="shared" si="2"/>
        <v>8013</v>
      </c>
      <c r="AD21" s="21" t="str">
        <f>IFERROR(INDEX($M:$M,MATCH(U21,$S:$S,0)),"&amp;")</f>
        <v>老骥伏枥</v>
      </c>
      <c r="AE21" s="21" t="str">
        <f>IFERROR(INDEX($M:$M,MATCH(V21,$S:$S,0)),"&amp;")</f>
        <v>技惊当世</v>
      </c>
      <c r="AF21" s="21" t="str">
        <f>IFERROR(INDEX($M:$M,MATCH(W21,$S:$S,0)),"&amp;")</f>
        <v>轻敌冒进</v>
      </c>
      <c r="AG21" s="21" t="str">
        <f>IFERROR(INDEX($M:$M,MATCH(X21,$S:$S,0)),"&amp;")</f>
        <v>大意败亡</v>
      </c>
      <c r="AH21" s="21" t="str">
        <f>IFERROR(INDEX($M:$M,MATCH(Y21,$S:$S,0)),"&amp;")</f>
        <v>强弓擅射</v>
      </c>
      <c r="AI21" s="21" t="str">
        <f>IFERROR(INDEX($M:$M,MATCH(Z21,$S:$S,0)),"&amp;")</f>
        <v>&amp;</v>
      </c>
      <c r="AJ21" s="21" t="str">
        <f>IFERROR(INDEX($M:$M,MATCH(AA21,$S:$S,0)),"&amp;")</f>
        <v>&amp;</v>
      </c>
      <c r="AK21" s="21" t="str">
        <f>IFERROR(INDEX($M:$M,MATCH(AB21,$S:$S,0)),"&amp;")</f>
        <v>&amp;</v>
      </c>
      <c r="AM21" s="21" t="str">
        <f>IFERROR(INDEX($N:$N,MATCH(U21,$S:$S,0)),"&amp;")</f>
        <v>老骥伏枥1</v>
      </c>
      <c r="AN21" s="21" t="str">
        <f>IFERROR(INDEX($N:$N,MATCH(V21,$S:$S,0)),"&amp;")</f>
        <v>技惊当世1</v>
      </c>
      <c r="AO21" s="21" t="str">
        <f>IFERROR(INDEX($N:$N,MATCH(W21,$S:$S,0)),"&amp;")</f>
        <v>轻敌冒进1</v>
      </c>
      <c r="AP21" s="21" t="str">
        <f>IFERROR(INDEX($N:$N,MATCH(X21,$S:$S,0)),"&amp;")</f>
        <v>大意败亡2</v>
      </c>
      <c r="AQ21" s="21" t="str">
        <f>IFERROR(INDEX($N:$N,MATCH(Y21,$S:$S,0)),"&amp;")</f>
        <v>强弓擅射2</v>
      </c>
      <c r="AR21" s="21" t="str">
        <f>IFERROR(INDEX($N:$N,MATCH(Z21,$S:$S,0)),"&amp;")</f>
        <v>&amp;</v>
      </c>
      <c r="AS21" s="21" t="str">
        <f>IFERROR(INDEX($N:$N,MATCH(AA21,$S:$S,0)),"&amp;")</f>
        <v>&amp;</v>
      </c>
      <c r="AT21" s="21" t="str">
        <f>IFERROR(INDEX($N:$N,MATCH(AB21,$S:$S,0)),"&amp;")</f>
        <v>&amp;</v>
      </c>
      <c r="AV21" s="21" t="str">
        <f>IFERROR(SUBSTITUTE(INDEX($K:$K,MATCH(INDEX($M:$M,MATCH(AM21,$N:$N,0)),$M:$M,0)),$D21,""),"")</f>
        <v xml:space="preserve"> 廉颇</v>
      </c>
      <c r="AW21" s="21" t="str">
        <f>IFERROR(SUBSTITUTE(INDEX($K:$K,MATCH(INDEX($M:$M,MATCH(AN21,$N:$N,0)),$M:$M,0)),$D21,""),"")</f>
        <v xml:space="preserve"> 鲁班 扁鹊</v>
      </c>
      <c r="AX21" s="21" t="str">
        <f>IFERROR(SUBSTITUTE(INDEX($K:$K,MATCH(INDEX($M:$M,MATCH(AO21,$N:$N,0)),$M:$M,0)),$D21,""),"")</f>
        <v xml:space="preserve"> 赵括</v>
      </c>
      <c r="AY21" s="21" t="str">
        <f>IFERROR(SUBSTITUTE(INDEX($K:$K,MATCH(INDEX($M:$M,MATCH(AP21,$N:$N,0)),$M:$M,0)),$D21,""),"")</f>
        <v>关羽  关羽 曹操</v>
      </c>
      <c r="AZ21" s="21" t="str">
        <f>IFERROR(SUBSTITUTE(INDEX($K:$K,MATCH(INDEX($M:$M,MATCH(AQ21,$N:$N,0)),$M:$M,0)),$D21,""),"")</f>
        <v xml:space="preserve">太史慈 </v>
      </c>
      <c r="BA21" s="21" t="str">
        <f>IFERROR(SUBSTITUTE(INDEX($K:$K,MATCH(INDEX($M:$M,MATCH(AR21,$N:$N,0)),$M:$M,0)),$D21,""),"")</f>
        <v/>
      </c>
      <c r="BB21" s="21" t="str">
        <f>IFERROR(SUBSTITUTE(INDEX($K:$K,MATCH(INDEX($M:$M,MATCH(AS21,$N:$N,0)),$M:$M,0)),$D21,""),"")</f>
        <v/>
      </c>
      <c r="BC21" s="21" t="str">
        <f>IFERROR(SUBSTITUTE(INDEX($K:$K,MATCH(INDEX($M:$M,MATCH(AT21,$N:$N,0)),$M:$M,0)),$D21,""),"")</f>
        <v/>
      </c>
      <c r="BE21" s="9" t="str">
        <f t="shared" si="7"/>
        <v>养由基,廉颇,鲁班,扁鹊,赵括,关羽,太史慈</v>
      </c>
      <c r="BI21" s="9" t="str">
        <f>IFERROR(
IF(COUNTIF($M:$M,$AD21)&lt;BI$8,
"",
INDEX($J:$J,MATCH($AD21,$M:$M,0)+BI$8-1)),
"")</f>
        <v>养由基</v>
      </c>
      <c r="BJ21" s="9" t="str">
        <f>IFERROR(
IF(COUNTIF($M:$M,$AD21)&lt;BJ$8,
"",
INDEX($J:$J,MATCH($AD21,$M:$M,0)+BJ$8-1)),
"")</f>
        <v>廉颇</v>
      </c>
      <c r="BK21" s="9" t="str">
        <f>IFERROR(
IF(COUNTIF($M:$M,$AD21)&lt;BK$8,
"",
INDEX($J:$J,MATCH($AD21,$M:$M,0)+BK$8-1)),
"")</f>
        <v/>
      </c>
      <c r="BL21" s="9" t="str">
        <f>IFERROR(
IF(COUNTIF($M:$M,$AD21)&lt;BL$8,
"",
INDEX($J:$J,MATCH($AD21,$M:$M,0)+BL$8-1)),
"")</f>
        <v/>
      </c>
      <c r="BN21" s="21" t="str">
        <f>IFERROR(
IF(COUNTIF($BI21:BM21,INDEX($J:$J,MATCH($AE21,$M:$M,0)+BN$8-1))=0,
IF(COUNTIF($M:$M,$AE21)&lt;BN$8,
"",
INDEX($J:$J,MATCH($AE21,$M:$M,0)+BN$8-1)),
""),
"")</f>
        <v/>
      </c>
      <c r="BO21" s="21" t="str">
        <f>IFERROR(
IF(COUNTIF($BI21:BN21,INDEX($J:$J,MATCH($AE21,$M:$M,0)+BO$8-1))=0,
IF(COUNTIF($M:$M,$AE21)&lt;BO$8,
"",
INDEX($J:$J,MATCH($AE21,$M:$M,0)+BO$8-1)),
""),
"")</f>
        <v>鲁班</v>
      </c>
      <c r="BP21" s="21" t="str">
        <f>IFERROR(
IF(COUNTIF($BI21:BO21,INDEX($J:$J,MATCH($AE21,$M:$M,0)+BP$8-1))=0,
IF(COUNTIF($M:$M,$AE21)&lt;BP$8,
"",
INDEX($J:$J,MATCH($AE21,$M:$M,0)+BP$8-1)),
""),
"")</f>
        <v>扁鹊</v>
      </c>
      <c r="BQ21" s="21" t="str">
        <f>IFERROR(
IF(COUNTIF($BI21:BP21,INDEX($J:$J,MATCH($AE21,$M:$M,0)+BQ$8-1))=0,
IF(COUNTIF($M:$M,$AE21)&lt;BQ$8,
"",
INDEX($J:$J,MATCH($AE21,$M:$M,0)+BQ$8-1)),
""),
"")</f>
        <v/>
      </c>
      <c r="BS21" s="21" t="str">
        <f>IFERROR(
IF(COUNTIF($BI21:BR21,INDEX($J:$J,MATCH($AF21,$M:$M,0)+BS$8-1))=0,
IF(COUNTIF($M:$M,$AF21)&lt;BS$8,
"",
INDEX($J:$J,MATCH($AF21,$M:$M,0)+BS$8-1)),
""),
"")</f>
        <v/>
      </c>
      <c r="BT21" s="21" t="str">
        <f>IFERROR(
IF(COUNTIF($BI21:BS21,INDEX($J:$J,MATCH($AF21,$M:$M,0)+BT$8-1))=0,
IF(COUNTIF($M:$M,$AF21)&lt;BT$8,
"",
INDEX($J:$J,MATCH($AF21,$M:$M,0)+BT$8-1)),
""),
"")</f>
        <v>赵括</v>
      </c>
      <c r="BU21" s="21" t="str">
        <f>IFERROR(
IF(COUNTIF($BI21:BT21,INDEX($J:$J,MATCH($AF21,$M:$M,0)+BU$8-1))=0,
IF(COUNTIF($M:$M,$AF21)&lt;BU$8,
"",
INDEX($J:$J,MATCH($AF21,$M:$M,0)+BU$8-1)),
""),
"")</f>
        <v/>
      </c>
      <c r="BV21" s="21" t="str">
        <f>IFERROR(
IF(COUNTIF($BI21:BU21,INDEX($J:$J,MATCH($AF21,$M:$M,0)+BV$8-1))=0,
IF(COUNTIF($M:$M,$AF21)&lt;BV$8,
"",
INDEX($J:$J,MATCH($AF21,$M:$M,0)+BV$8-1)),
""),
"")</f>
        <v/>
      </c>
      <c r="BX21" s="21" t="str">
        <f>IFERROR(
IF(COUNTIF($BI21:BW21,INDEX($J:$J,MATCH($AG21,$M:$M,0)+BX$8-1))=0,
IF(COUNTIF($M:$M,$AG21)&lt;BX$8,
"",
INDEX($J:$J,MATCH($AG21,$M:$M,0)+BX$8-1)),
""),
"")</f>
        <v>关羽</v>
      </c>
      <c r="BY21" s="21" t="str">
        <f>IFERROR(
IF(COUNTIF($BI21:BX21,INDEX($J:$J,MATCH($AG21,$M:$M,0)+BY$8-1))=0,
IF(COUNTIF($M:$M,$AG21)&lt;BY$8,
"",
INDEX($J:$J,MATCH($AG21,$M:$M,0)+BY$8-1)),
""),
"")</f>
        <v/>
      </c>
      <c r="BZ21" s="21" t="str">
        <f>IFERROR(
IF(COUNTIF($BI21:BY21,INDEX($J:$J,MATCH($AG21,$M:$M,0)+BZ$8-1))=0,
IF(COUNTIF($M:$M,$AG21)&lt;BZ$8,
"",
INDEX($J:$J,MATCH($AG21,$M:$M,0)+BZ$8-1)),
""),
"")</f>
        <v/>
      </c>
      <c r="CA21" s="21" t="str">
        <f>IFERROR(
IF(COUNTIF($BI21:BZ21,INDEX($J:$J,MATCH($AG21,$M:$M,0)+CA$8-1))=0,
IF(COUNTIF($M:$M,$AG21)&lt;CA$8,
"",
INDEX($J:$J,MATCH($AG21,$M:$M,0)+CA$8-1)),
""),
"")</f>
        <v/>
      </c>
      <c r="CC21" s="21" t="str">
        <f>IFERROR(
IF(COUNTIF($BI21:CB21,INDEX($J:$J,MATCH($AH21,$M:$M,0)+CC$8-1))=0,
IF(COUNTIF($M:$M,$AH21)&lt;CC$8,
"",
INDEX($J:$J,MATCH($AH21,$M:$M,0)+CC$8-1)),
""),
"")</f>
        <v>太史慈</v>
      </c>
      <c r="CD21" s="21" t="str">
        <f>IFERROR(
IF(COUNTIF($BI21:CC21,INDEX($J:$J,MATCH($AH21,$M:$M,0)+CD$8-1))=0,
IF(COUNTIF($M:$M,$AH21)&lt;CD$8,
"",
INDEX($J:$J,MATCH($AH21,$M:$M,0)+CD$8-1)),
""),
"")</f>
        <v/>
      </c>
      <c r="CE21" s="21" t="str">
        <f>IFERROR(
IF(COUNTIF($BI21:CD21,INDEX($J:$J,MATCH($AH21,$M:$M,0)+CE$8-1))=0,
IF(COUNTIF($M:$M,$AH21)&lt;CE$8,
"",
INDEX($J:$J,MATCH($AH21,$M:$M,0)+CE$8-1)),
""),
"")</f>
        <v/>
      </c>
      <c r="CF21" s="21" t="str">
        <f>IFERROR(
IF(COUNTIF($BI21:CE21,INDEX($J:$J,MATCH($AH21,$M:$M,0)+CF$8-1))=0,
IF(COUNTIF($M:$M,$AH21)&lt;CF$8,
"",
INDEX($J:$J,MATCH($AH21,$M:$M,0)+CF$8-1)),
""),
"")</f>
        <v/>
      </c>
      <c r="CH21" s="21" t="str">
        <f>IFERROR(
IF(COUNTIF($BI21:CG21,INDEX($J:$J,MATCH($AI21,$M:$M,0)+CH$8-1))=0,
IF(COUNTIF($M:$M,$AI21)&lt;CH$8,
"",
INDEX($J:$J,MATCH($AI21,$M:$M,0)+CH$8-1)),
""),
"")</f>
        <v/>
      </c>
      <c r="CI21" s="21" t="str">
        <f>IFERROR(
IF(COUNTIF($BI21:CH21,INDEX($J:$J,MATCH($AI21,$M:$M,0)+CI$8-1))=0,
IF(COUNTIF($M:$M,$AI21)&lt;CI$8,
"",
INDEX($J:$J,MATCH($AI21,$M:$M,0)+CI$8-1)),
""),
"")</f>
        <v/>
      </c>
      <c r="CJ21" s="21" t="str">
        <f>IFERROR(
IF(COUNTIF($BI21:CI21,INDEX($J:$J,MATCH($AI21,$M:$M,0)+CJ$8-1))=0,
IF(COUNTIF($M:$M,$AI21)&lt;CJ$8,
"",
INDEX($J:$J,MATCH($AI21,$M:$M,0)+CJ$8-1)),
""),
"")</f>
        <v/>
      </c>
      <c r="CK21" s="21" t="str">
        <f>IFERROR(
IF(COUNTIF($BI21:CJ21,INDEX($J:$J,MATCH($AI21,$M:$M,0)+CK$8-1))=0,
IF(COUNTIF($M:$M,$AI21)&lt;CK$8,
"",
INDEX($J:$J,MATCH($AI21,$M:$M,0)+CK$8-1)),
""),
"")</f>
        <v/>
      </c>
      <c r="CM21" s="21" t="str">
        <f>IFERROR(
IF(COUNTIF($BI21:CL21,INDEX($J:$J,MATCH($AJ21,$M:$M,0)+CM$8-1))=0,
IF(COUNTIF($M:$M,$AJ21)&lt;CM$8,
"",
INDEX($J:$J,MATCH($AJ21,$M:$M,0)+CM$8-1)),
""),
"")</f>
        <v/>
      </c>
      <c r="CN21" s="21" t="str">
        <f>IFERROR(
IF(COUNTIF($BI21:CM21,INDEX($J:$J,MATCH($AJ21,$M:$M,0)+CN$8-1))=0,
IF(COUNTIF($M:$M,$AJ21)&lt;CN$8,
"",
INDEX($J:$J,MATCH($AJ21,$M:$M,0)+CN$8-1)),
""),
"")</f>
        <v/>
      </c>
      <c r="CO21" s="21" t="str">
        <f>IFERROR(
IF(COUNTIF($BI21:CN21,INDEX($J:$J,MATCH($AJ21,$M:$M,0)+CO$8-1))=0,
IF(COUNTIF($M:$M,$AJ21)&lt;CO$8,
"",
INDEX($J:$J,MATCH($AJ21,$M:$M,0)+CO$8-1)),
""),
"")</f>
        <v/>
      </c>
      <c r="CP21" s="21" t="str">
        <f>IFERROR(
IF(COUNTIF($BI21:CO21,INDEX($J:$J,MATCH($AJ21,$M:$M,0)+CP$8-1))=0,
IF(COUNTIF($M:$M,$AJ21)&lt;CP$8,
"",
INDEX($J:$J,MATCH($AJ21,$M:$M,0)+CP$8-1)),
""),
"")</f>
        <v/>
      </c>
      <c r="CR21" s="21" t="str">
        <f>IFERROR(
IF(COUNTIF($BI21:CQ21,INDEX($J:$J,MATCH($AK21,$M:$M,0)+CR$8-1))=0,
IF(COUNTIF($M:$M,$AK21)&lt;CR$8,
"",
INDEX($J:$J,MATCH($AK21,$M:$M,0)+CR$8-1)),
""),
"")</f>
        <v/>
      </c>
      <c r="CS21" s="21" t="str">
        <f>IFERROR(
IF(COUNTIF($BI21:CR21,INDEX($J:$J,MATCH($AK21,$M:$M,0)+CS$8-1))=0,
IF(COUNTIF($M:$M,$AK21)&lt;CS$8,
"",
INDEX($J:$J,MATCH($AK21,$M:$M,0)+CS$8-1)),
""),
"")</f>
        <v/>
      </c>
      <c r="CT21" s="21" t="str">
        <f>IFERROR(
IF(COUNTIF($BI21:CS21,INDEX($J:$J,MATCH($AK21,$M:$M,0)+CT$8-1))=0,
IF(COUNTIF($M:$M,$AK21)&lt;CT$8,
"",
INDEX($J:$J,MATCH($AK21,$M:$M,0)+CT$8-1)),
""),
"")</f>
        <v/>
      </c>
      <c r="CU21" s="21" t="str">
        <f>IFERROR(
IF(COUNTIF($BI21:CT21,INDEX($J:$J,MATCH($AK21,$M:$M,0)+CU$8-1))=0,
IF(COUNTIF($M:$M,$AK21)&lt;CU$8,
"",
INDEX($J:$J,MATCH($AK21,$M:$M,0)+CU$8-1)),
""),
"")</f>
        <v/>
      </c>
    </row>
    <row r="22" spans="3:99" ht="14.25">
      <c r="C22" s="16">
        <v>14</v>
      </c>
      <c r="D22" s="19" t="s">
        <v>424</v>
      </c>
      <c r="E22" s="20">
        <f>INDEX([1]武将基本资料!$S:$S,MATCH(D22,[1]武将基本资料!$N:$N,0))</f>
        <v>130</v>
      </c>
      <c r="F22" s="20" t="str">
        <f>INDEX([1]武将基本资料!$Q:$Q,MATCH(D22,[1]武将基本资料!$N:$N,0))</f>
        <v>橙+</v>
      </c>
      <c r="H22" s="7">
        <f>IF(I22="","",COUNTA(I$9:$I22))</f>
        <v>13</v>
      </c>
      <c r="I22" s="6" t="s">
        <v>144</v>
      </c>
      <c r="J22" s="5" t="s">
        <v>198</v>
      </c>
      <c r="K22" s="8" t="str">
        <f>IF(H22="","",阶段合并区域(J22:J32," ",L22:L32,1))</f>
        <v>秦武王 专诸</v>
      </c>
      <c r="L22" s="8">
        <f>COUNTIF(M$8:$M22,"="&amp;M22)</f>
        <v>1</v>
      </c>
      <c r="M22" s="9" t="str">
        <f t="shared" si="3"/>
        <v>力敌万夫</v>
      </c>
      <c r="N22" s="9" t="str">
        <f t="shared" si="4"/>
        <v>力敌万夫1</v>
      </c>
      <c r="O22" s="15">
        <f>INDEX(C:C,MATCH(J22,D:D,0))</f>
        <v>20</v>
      </c>
      <c r="P22" s="9">
        <f>INDEX(E:E,MATCH(J22,D:D,0))</f>
        <v>120</v>
      </c>
      <c r="Q22" s="7">
        <f t="shared" si="0"/>
        <v>20</v>
      </c>
      <c r="R22" s="7">
        <f>COUNTIF(J$8:$J22,"="&amp;J22)</f>
        <v>1</v>
      </c>
      <c r="S22" s="7">
        <f t="shared" si="5"/>
        <v>1020</v>
      </c>
      <c r="U22" s="7">
        <f t="shared" si="6"/>
        <v>1014</v>
      </c>
      <c r="V22" s="7">
        <f t="shared" si="2"/>
        <v>2014</v>
      </c>
      <c r="W22" s="7">
        <f t="shared" si="2"/>
        <v>3014</v>
      </c>
      <c r="X22" s="7">
        <f t="shared" si="2"/>
        <v>4014</v>
      </c>
      <c r="Y22" s="7">
        <f t="shared" si="2"/>
        <v>5014</v>
      </c>
      <c r="Z22" s="7">
        <f t="shared" si="2"/>
        <v>6014</v>
      </c>
      <c r="AA22" s="7">
        <f t="shared" si="2"/>
        <v>7014</v>
      </c>
      <c r="AB22" s="7">
        <f t="shared" si="2"/>
        <v>8014</v>
      </c>
      <c r="AD22" s="21" t="str">
        <f>IFERROR(INDEX($M:$M,MATCH(U22,$S:$S,0)),"&amp;")</f>
        <v>宝刀未老</v>
      </c>
      <c r="AE22" s="21" t="str">
        <f>IFERROR(INDEX($M:$M,MATCH(V22,$S:$S,0)),"&amp;")</f>
        <v>大漢飛將</v>
      </c>
      <c r="AF22" s="21" t="str">
        <f>IFERROR(INDEX($M:$M,MATCH(W22,$S:$S,0)),"&amp;")</f>
        <v>龙城飞将</v>
      </c>
      <c r="AG22" s="21" t="str">
        <f>IFERROR(INDEX($M:$M,MATCH(X22,$S:$S,0)),"&amp;")</f>
        <v>龙城飞将</v>
      </c>
      <c r="AH22" s="21" t="str">
        <f>IFERROR(INDEX($M:$M,MATCH(Y22,$S:$S,0)),"&amp;")</f>
        <v>驱逐匈奴</v>
      </c>
      <c r="AI22" s="21" t="str">
        <f>IFERROR(INDEX($M:$M,MATCH(Z22,$S:$S,0)),"&amp;")</f>
        <v>沙场宿将</v>
      </c>
      <c r="AJ22" s="21" t="str">
        <f>IFERROR(INDEX($M:$M,MATCH(AA22,$S:$S,0)),"&amp;")</f>
        <v>&amp;</v>
      </c>
      <c r="AK22" s="21" t="str">
        <f>IFERROR(INDEX($M:$M,MATCH(AB22,$S:$S,0)),"&amp;")</f>
        <v>&amp;</v>
      </c>
      <c r="AM22" s="21" t="str">
        <f>IFERROR(INDEX($N:$N,MATCH(U22,$S:$S,0)),"&amp;")</f>
        <v>宝刀未老1</v>
      </c>
      <c r="AN22" s="21" t="str">
        <f>IFERROR(INDEX($N:$N,MATCH(V22,$S:$S,0)),"&amp;")</f>
        <v>大漢飛將1</v>
      </c>
      <c r="AO22" s="21" t="str">
        <f>IFERROR(INDEX($N:$N,MATCH(W22,$S:$S,0)),"&amp;")</f>
        <v>龙城飞将1</v>
      </c>
      <c r="AP22" s="21" t="str">
        <f>IFERROR(INDEX($N:$N,MATCH(X22,$S:$S,0)),"&amp;")</f>
        <v>龙城飞将4</v>
      </c>
      <c r="AQ22" s="21" t="str">
        <f>IFERROR(INDEX($N:$N,MATCH(Y22,$S:$S,0)),"&amp;")</f>
        <v>驱逐匈奴3</v>
      </c>
      <c r="AR22" s="21" t="str">
        <f>IFERROR(INDEX($N:$N,MATCH(Z22,$S:$S,0)),"&amp;")</f>
        <v>沙场宿将3</v>
      </c>
      <c r="AS22" s="21" t="str">
        <f>IFERROR(INDEX($N:$N,MATCH(AA22,$S:$S,0)),"&amp;")</f>
        <v>&amp;</v>
      </c>
      <c r="AT22" s="21" t="str">
        <f>IFERROR(INDEX($N:$N,MATCH(AB22,$S:$S,0)),"&amp;")</f>
        <v>&amp;</v>
      </c>
      <c r="AV22" s="21" t="str">
        <f>IFERROR(SUBSTITUTE(INDEX($K:$K,MATCH(INDEX($M:$M,MATCH(AM22,$N:$N,0)),$M:$M,0)),$D22,""),"")</f>
        <v xml:space="preserve"> 伍子胥 廉颇</v>
      </c>
      <c r="AW22" s="21" t="str">
        <f>IFERROR(SUBSTITUTE(INDEX($K:$K,MATCH(INDEX($M:$M,MATCH(AN22,$N:$N,0)),$M:$M,0)),$D22,""),"")</f>
        <v xml:space="preserve"> 霍去病</v>
      </c>
      <c r="AX22" s="21" t="str">
        <f>IFERROR(SUBSTITUTE(INDEX($K:$K,MATCH(INDEX($M:$M,MATCH(AO22,$N:$N,0)),$M:$M,0)),$D22,""),"")</f>
        <v xml:space="preserve"> 卫青</v>
      </c>
      <c r="AY22" s="21" t="str">
        <f>IFERROR(SUBSTITUTE(INDEX($K:$K,MATCH(INDEX($M:$M,MATCH(AP22,$N:$N,0)),$M:$M,0)),$D22,""),"")</f>
        <v xml:space="preserve"> 卫青</v>
      </c>
      <c r="AZ22" s="21" t="str">
        <f>IFERROR(SUBSTITUTE(INDEX($K:$K,MATCH(INDEX($M:$M,MATCH(AQ22,$N:$N,0)),$M:$M,0)),$D22,""),"")</f>
        <v xml:space="preserve">霍去病 蒙恬 </v>
      </c>
      <c r="BA22" s="21" t="str">
        <f>IFERROR(SUBSTITUTE(INDEX($K:$K,MATCH(INDEX($M:$M,MATCH(AR22,$N:$N,0)),$M:$M,0)),$D22,""),"")</f>
        <v xml:space="preserve">赵云 廉颇 </v>
      </c>
      <c r="BB22" s="21" t="str">
        <f>IFERROR(SUBSTITUTE(INDEX($K:$K,MATCH(INDEX($M:$M,MATCH(AS22,$N:$N,0)),$M:$M,0)),$D22,""),"")</f>
        <v/>
      </c>
      <c r="BC22" s="21" t="str">
        <f>IFERROR(SUBSTITUTE(INDEX($K:$K,MATCH(INDEX($M:$M,MATCH(AT22,$N:$N,0)),$M:$M,0)),$D22,""),"")</f>
        <v/>
      </c>
      <c r="BE22" s="9" t="str">
        <f t="shared" si="7"/>
        <v>李广,伍子胥,廉颇,霍去病,卫青,蒙恬,赵云</v>
      </c>
      <c r="BI22" s="9" t="str">
        <f>IFERROR(
IF(COUNTIF($M:$M,$AD22)&lt;BI$8,
"",
INDEX($J:$J,MATCH($AD22,$M:$M,0)+BI$8-1)),
"")</f>
        <v>李广</v>
      </c>
      <c r="BJ22" s="9" t="str">
        <f>IFERROR(
IF(COUNTIF($M:$M,$AD22)&lt;BJ$8,
"",
INDEX($J:$J,MATCH($AD22,$M:$M,0)+BJ$8-1)),
"")</f>
        <v>伍子胥</v>
      </c>
      <c r="BK22" s="9" t="str">
        <f>IFERROR(
IF(COUNTIF($M:$M,$AD22)&lt;BK$8,
"",
INDEX($J:$J,MATCH($AD22,$M:$M,0)+BK$8-1)),
"")</f>
        <v>廉颇</v>
      </c>
      <c r="BL22" s="9" t="str">
        <f>IFERROR(
IF(COUNTIF($M:$M,$AD22)&lt;BL$8,
"",
INDEX($J:$J,MATCH($AD22,$M:$M,0)+BL$8-1)),
"")</f>
        <v/>
      </c>
      <c r="BN22" s="21" t="str">
        <f>IFERROR(
IF(COUNTIF($BI22:BM22,INDEX($J:$J,MATCH($AE22,$M:$M,0)+BN$8-1))=0,
IF(COUNTIF($M:$M,$AE22)&lt;BN$8,
"",
INDEX($J:$J,MATCH($AE22,$M:$M,0)+BN$8-1)),
""),
"")</f>
        <v/>
      </c>
      <c r="BO22" s="21" t="str">
        <f>IFERROR(
IF(COUNTIF($BI22:BN22,INDEX($J:$J,MATCH($AE22,$M:$M,0)+BO$8-1))=0,
IF(COUNTIF($M:$M,$AE22)&lt;BO$8,
"",
INDEX($J:$J,MATCH($AE22,$M:$M,0)+BO$8-1)),
""),
"")</f>
        <v>霍去病</v>
      </c>
      <c r="BP22" s="21" t="str">
        <f>IFERROR(
IF(COUNTIF($BI22:BO22,INDEX($J:$J,MATCH($AE22,$M:$M,0)+BP$8-1))=0,
IF(COUNTIF($M:$M,$AE22)&lt;BP$8,
"",
INDEX($J:$J,MATCH($AE22,$M:$M,0)+BP$8-1)),
""),
"")</f>
        <v/>
      </c>
      <c r="BQ22" s="21" t="str">
        <f>IFERROR(
IF(COUNTIF($BI22:BP22,INDEX($J:$J,MATCH($AE22,$M:$M,0)+BQ$8-1))=0,
IF(COUNTIF($M:$M,$AE22)&lt;BQ$8,
"",
INDEX($J:$J,MATCH($AE22,$M:$M,0)+BQ$8-1)),
""),
"")</f>
        <v/>
      </c>
      <c r="BS22" s="21" t="str">
        <f>IFERROR(
IF(COUNTIF($BI22:BR22,INDEX($J:$J,MATCH($AF22,$M:$M,0)+BS$8-1))=0,
IF(COUNTIF($M:$M,$AF22)&lt;BS$8,
"",
INDEX($J:$J,MATCH($AF22,$M:$M,0)+BS$8-1)),
""),
"")</f>
        <v/>
      </c>
      <c r="BT22" s="21" t="str">
        <f>IFERROR(
IF(COUNTIF($BI22:BS22,INDEX($J:$J,MATCH($AF22,$M:$M,0)+BT$8-1))=0,
IF(COUNTIF($M:$M,$AF22)&lt;BT$8,
"",
INDEX($J:$J,MATCH($AF22,$M:$M,0)+BT$8-1)),
""),
"")</f>
        <v>卫青</v>
      </c>
      <c r="BU22" s="21" t="str">
        <f>IFERROR(
IF(COUNTIF($BI22:BT22,INDEX($J:$J,MATCH($AF22,$M:$M,0)+BU$8-1))=0,
IF(COUNTIF($M:$M,$AF22)&lt;BU$8,
"",
INDEX($J:$J,MATCH($AF22,$M:$M,0)+BU$8-1)),
""),
"")</f>
        <v/>
      </c>
      <c r="BV22" s="21" t="str">
        <f>IFERROR(
IF(COUNTIF($BI22:BU22,INDEX($J:$J,MATCH($AF22,$M:$M,0)+BV$8-1))=0,
IF(COUNTIF($M:$M,$AF22)&lt;BV$8,
"",
INDEX($J:$J,MATCH($AF22,$M:$M,0)+BV$8-1)),
""),
"")</f>
        <v/>
      </c>
      <c r="BX22" s="21" t="str">
        <f>IFERROR(
IF(COUNTIF($BI22:BW22,INDEX($J:$J,MATCH($AG22,$M:$M,0)+BX$8-1))=0,
IF(COUNTIF($M:$M,$AG22)&lt;BX$8,
"",
INDEX($J:$J,MATCH($AG22,$M:$M,0)+BX$8-1)),
""),
"")</f>
        <v/>
      </c>
      <c r="BY22" s="21" t="str">
        <f>IFERROR(
IF(COUNTIF($BI22:BX22,INDEX($J:$J,MATCH($AG22,$M:$M,0)+BY$8-1))=0,
IF(COUNTIF($M:$M,$AG22)&lt;BY$8,
"",
INDEX($J:$J,MATCH($AG22,$M:$M,0)+BY$8-1)),
""),
"")</f>
        <v/>
      </c>
      <c r="BZ22" s="21" t="str">
        <f>IFERROR(
IF(COUNTIF($BI22:BY22,INDEX($J:$J,MATCH($AG22,$M:$M,0)+BZ$8-1))=0,
IF(COUNTIF($M:$M,$AG22)&lt;BZ$8,
"",
INDEX($J:$J,MATCH($AG22,$M:$M,0)+BZ$8-1)),
""),
"")</f>
        <v/>
      </c>
      <c r="CA22" s="21" t="str">
        <f>IFERROR(
IF(COUNTIF($BI22:BZ22,INDEX($J:$J,MATCH($AG22,$M:$M,0)+CA$8-1))=0,
IF(COUNTIF($M:$M,$AG22)&lt;CA$8,
"",
INDEX($J:$J,MATCH($AG22,$M:$M,0)+CA$8-1)),
""),
"")</f>
        <v/>
      </c>
      <c r="CC22" s="21" t="str">
        <f>IFERROR(
IF(COUNTIF($BI22:CB22,INDEX($J:$J,MATCH($AH22,$M:$M,0)+CC$8-1))=0,
IF(COUNTIF($M:$M,$AH22)&lt;CC$8,
"",
INDEX($J:$J,MATCH($AH22,$M:$M,0)+CC$8-1)),
""),
"")</f>
        <v/>
      </c>
      <c r="CD22" s="21" t="str">
        <f>IFERROR(
IF(COUNTIF($BI22:CC22,INDEX($J:$J,MATCH($AH22,$M:$M,0)+CD$8-1))=0,
IF(COUNTIF($M:$M,$AH22)&lt;CD$8,
"",
INDEX($J:$J,MATCH($AH22,$M:$M,0)+CD$8-1)),
""),
"")</f>
        <v>蒙恬</v>
      </c>
      <c r="CE22" s="21" t="str">
        <f>IFERROR(
IF(COUNTIF($BI22:CD22,INDEX($J:$J,MATCH($AH22,$M:$M,0)+CE$8-1))=0,
IF(COUNTIF($M:$M,$AH22)&lt;CE$8,
"",
INDEX($J:$J,MATCH($AH22,$M:$M,0)+CE$8-1)),
""),
"")</f>
        <v/>
      </c>
      <c r="CF22" s="21" t="str">
        <f>IFERROR(
IF(COUNTIF($BI22:CE22,INDEX($J:$J,MATCH($AH22,$M:$M,0)+CF$8-1))=0,
IF(COUNTIF($M:$M,$AH22)&lt;CF$8,
"",
INDEX($J:$J,MATCH($AH22,$M:$M,0)+CF$8-1)),
""),
"")</f>
        <v/>
      </c>
      <c r="CH22" s="21" t="str">
        <f>IFERROR(
IF(COUNTIF($BI22:CG22,INDEX($J:$J,MATCH($AI22,$M:$M,0)+CH$8-1))=0,
IF(COUNTIF($M:$M,$AI22)&lt;CH$8,
"",
INDEX($J:$J,MATCH($AI22,$M:$M,0)+CH$8-1)),
""),
"")</f>
        <v>赵云</v>
      </c>
      <c r="CI22" s="21" t="str">
        <f>IFERROR(
IF(COUNTIF($BI22:CH22,INDEX($J:$J,MATCH($AI22,$M:$M,0)+CI$8-1))=0,
IF(COUNTIF($M:$M,$AI22)&lt;CI$8,
"",
INDEX($J:$J,MATCH($AI22,$M:$M,0)+CI$8-1)),
""),
"")</f>
        <v/>
      </c>
      <c r="CJ22" s="21" t="str">
        <f>IFERROR(
IF(COUNTIF($BI22:CI22,INDEX($J:$J,MATCH($AI22,$M:$M,0)+CJ$8-1))=0,
IF(COUNTIF($M:$M,$AI22)&lt;CJ$8,
"",
INDEX($J:$J,MATCH($AI22,$M:$M,0)+CJ$8-1)),
""),
"")</f>
        <v/>
      </c>
      <c r="CK22" s="21" t="str">
        <f>IFERROR(
IF(COUNTIF($BI22:CJ22,INDEX($J:$J,MATCH($AI22,$M:$M,0)+CK$8-1))=0,
IF(COUNTIF($M:$M,$AI22)&lt;CK$8,
"",
INDEX($J:$J,MATCH($AI22,$M:$M,0)+CK$8-1)),
""),
"")</f>
        <v/>
      </c>
      <c r="CM22" s="21" t="str">
        <f>IFERROR(
IF(COUNTIF($BI22:CL22,INDEX($J:$J,MATCH($AJ22,$M:$M,0)+CM$8-1))=0,
IF(COUNTIF($M:$M,$AJ22)&lt;CM$8,
"",
INDEX($J:$J,MATCH($AJ22,$M:$M,0)+CM$8-1)),
""),
"")</f>
        <v/>
      </c>
      <c r="CN22" s="21" t="str">
        <f>IFERROR(
IF(COUNTIF($BI22:CM22,INDEX($J:$J,MATCH($AJ22,$M:$M,0)+CN$8-1))=0,
IF(COUNTIF($M:$M,$AJ22)&lt;CN$8,
"",
INDEX($J:$J,MATCH($AJ22,$M:$M,0)+CN$8-1)),
""),
"")</f>
        <v/>
      </c>
      <c r="CO22" s="21" t="str">
        <f>IFERROR(
IF(COUNTIF($BI22:CN22,INDEX($J:$J,MATCH($AJ22,$M:$M,0)+CO$8-1))=0,
IF(COUNTIF($M:$M,$AJ22)&lt;CO$8,
"",
INDEX($J:$J,MATCH($AJ22,$M:$M,0)+CO$8-1)),
""),
"")</f>
        <v/>
      </c>
      <c r="CP22" s="21" t="str">
        <f>IFERROR(
IF(COUNTIF($BI22:CO22,INDEX($J:$J,MATCH($AJ22,$M:$M,0)+CP$8-1))=0,
IF(COUNTIF($M:$M,$AJ22)&lt;CP$8,
"",
INDEX($J:$J,MATCH($AJ22,$M:$M,0)+CP$8-1)),
""),
"")</f>
        <v/>
      </c>
      <c r="CR22" s="21" t="str">
        <f>IFERROR(
IF(COUNTIF($BI22:CQ22,INDEX($J:$J,MATCH($AK22,$M:$M,0)+CR$8-1))=0,
IF(COUNTIF($M:$M,$AK22)&lt;CR$8,
"",
INDEX($J:$J,MATCH($AK22,$M:$M,0)+CR$8-1)),
""),
"")</f>
        <v/>
      </c>
      <c r="CS22" s="21" t="str">
        <f>IFERROR(
IF(COUNTIF($BI22:CR22,INDEX($J:$J,MATCH($AK22,$M:$M,0)+CS$8-1))=0,
IF(COUNTIF($M:$M,$AK22)&lt;CS$8,
"",
INDEX($J:$J,MATCH($AK22,$M:$M,0)+CS$8-1)),
""),
"")</f>
        <v/>
      </c>
      <c r="CT22" s="21" t="str">
        <f>IFERROR(
IF(COUNTIF($BI22:CS22,INDEX($J:$J,MATCH($AK22,$M:$M,0)+CT$8-1))=0,
IF(COUNTIF($M:$M,$AK22)&lt;CT$8,
"",
INDEX($J:$J,MATCH($AK22,$M:$M,0)+CT$8-1)),
""),
"")</f>
        <v/>
      </c>
      <c r="CU22" s="21" t="str">
        <f>IFERROR(
IF(COUNTIF($BI22:CT22,INDEX($J:$J,MATCH($AK22,$M:$M,0)+CU$8-1))=0,
IF(COUNTIF($M:$M,$AK22)&lt;CU$8,
"",
INDEX($J:$J,MATCH($AK22,$M:$M,0)+CU$8-1)),
""),
"")</f>
        <v/>
      </c>
    </row>
    <row r="23" spans="3:99" ht="14.25">
      <c r="C23" s="16">
        <v>15</v>
      </c>
      <c r="D23" s="19" t="s">
        <v>184</v>
      </c>
      <c r="E23" s="20">
        <f>INDEX([1]武将基本资料!$S:$S,MATCH(D23,[1]武将基本资料!$N:$N,0))</f>
        <v>120</v>
      </c>
      <c r="F23" s="20" t="str">
        <f>INDEX([1]武将基本资料!$Q:$Q,MATCH(D23,[1]武将基本资料!$N:$N,0))</f>
        <v>橙</v>
      </c>
      <c r="H23" s="7" t="str">
        <f>IF(I23="","",COUNTA(I$9:$I23))</f>
        <v/>
      </c>
      <c r="I23" s="6" t="s">
        <v>188</v>
      </c>
      <c r="J23" s="5" t="s">
        <v>52</v>
      </c>
      <c r="K23" s="8" t="str">
        <f>IF(H23="","",阶段合并区域(J23:J33," ",L23:L33,1))</f>
        <v/>
      </c>
      <c r="L23" s="8">
        <f>COUNTIF(M$8:$M23,"="&amp;M23)</f>
        <v>2</v>
      </c>
      <c r="M23" s="9" t="str">
        <f t="shared" si="3"/>
        <v>力敌万夫</v>
      </c>
      <c r="N23" s="9" t="str">
        <f t="shared" si="4"/>
        <v>力敌万夫2</v>
      </c>
      <c r="O23" s="15">
        <f>INDEX(C:C,MATCH(J23,D:D,0))</f>
        <v>11</v>
      </c>
      <c r="P23" s="9">
        <f>INDEX(E:E,MATCH(J23,D:D,0))</f>
        <v>110</v>
      </c>
      <c r="Q23" s="7">
        <f t="shared" si="0"/>
        <v>11</v>
      </c>
      <c r="R23" s="7">
        <f>COUNTIF(J$8:$J23,"="&amp;J23)</f>
        <v>2</v>
      </c>
      <c r="S23" s="7">
        <f t="shared" si="5"/>
        <v>2011</v>
      </c>
      <c r="U23" s="7">
        <f t="shared" si="6"/>
        <v>1015</v>
      </c>
      <c r="V23" s="7">
        <f t="shared" si="2"/>
        <v>2015</v>
      </c>
      <c r="W23" s="7">
        <f t="shared" si="2"/>
        <v>3015</v>
      </c>
      <c r="X23" s="7">
        <f t="shared" si="2"/>
        <v>4015</v>
      </c>
      <c r="Y23" s="7">
        <f t="shared" si="2"/>
        <v>5015</v>
      </c>
      <c r="Z23" s="7">
        <f t="shared" si="2"/>
        <v>6015</v>
      </c>
      <c r="AA23" s="7">
        <f t="shared" si="2"/>
        <v>7015</v>
      </c>
      <c r="AB23" s="7">
        <f t="shared" si="2"/>
        <v>8015</v>
      </c>
      <c r="AD23" s="21" t="str">
        <f>IFERROR(INDEX($M:$M,MATCH(U23,$S:$S,0)),"&amp;")</f>
        <v>慧眼识人</v>
      </c>
      <c r="AE23" s="21" t="str">
        <f>IFERROR(INDEX($M:$M,MATCH(V23,$S:$S,0)),"&amp;")</f>
        <v>问鼎之心</v>
      </c>
      <c r="AF23" s="21" t="str">
        <f>IFERROR(INDEX($M:$M,MATCH(W23,$S:$S,0)),"&amp;")</f>
        <v>君圣臣贤</v>
      </c>
      <c r="AG23" s="21" t="str">
        <f>IFERROR(INDEX($M:$M,MATCH(X23,$S:$S,0)),"&amp;")</f>
        <v>英雄美人</v>
      </c>
      <c r="AH23" s="21" t="str">
        <f>IFERROR(INDEX($M:$M,MATCH(Y23,$S:$S,0)),"&amp;")</f>
        <v>春秋霸主</v>
      </c>
      <c r="AI23" s="21" t="str">
        <f>IFERROR(INDEX($M:$M,MATCH(Z23,$S:$S,0)),"&amp;")</f>
        <v>春秋霸主</v>
      </c>
      <c r="AJ23" s="21" t="str">
        <f>IFERROR(INDEX($M:$M,MATCH(AA23,$S:$S,0)),"&amp;")</f>
        <v>楚国翘楚</v>
      </c>
      <c r="AK23" s="21" t="str">
        <f>IFERROR(INDEX($M:$M,MATCH(AB23,$S:$S,0)),"&amp;")</f>
        <v>万夫莫当</v>
      </c>
      <c r="AM23" s="21" t="str">
        <f>IFERROR(INDEX($N:$N,MATCH(U23,$S:$S,0)),"&amp;")</f>
        <v>慧眼识人2</v>
      </c>
      <c r="AN23" s="21" t="str">
        <f>IFERROR(INDEX($N:$N,MATCH(V23,$S:$S,0)),"&amp;")</f>
        <v>问鼎之心1</v>
      </c>
      <c r="AO23" s="21" t="str">
        <f>IFERROR(INDEX($N:$N,MATCH(W23,$S:$S,0)),"&amp;")</f>
        <v>君圣臣贤1</v>
      </c>
      <c r="AP23" s="21" t="str">
        <f>IFERROR(INDEX($N:$N,MATCH(X23,$S:$S,0)),"&amp;")</f>
        <v>英雄美人3</v>
      </c>
      <c r="AQ23" s="21" t="str">
        <f>IFERROR(INDEX($N:$N,MATCH(Y23,$S:$S,0)),"&amp;")</f>
        <v>春秋霸主2</v>
      </c>
      <c r="AR23" s="21" t="str">
        <f>IFERROR(INDEX($N:$N,MATCH(Z23,$S:$S,0)),"&amp;")</f>
        <v>春秋霸主6</v>
      </c>
      <c r="AS23" s="21" t="str">
        <f>IFERROR(INDEX($N:$N,MATCH(AA23,$S:$S,0)),"&amp;")</f>
        <v>楚国翘楚2</v>
      </c>
      <c r="AT23" s="21" t="str">
        <f>IFERROR(INDEX($N:$N,MATCH(AB23,$S:$S,0)),"&amp;")</f>
        <v>万夫莫当2</v>
      </c>
      <c r="AV23" s="21" t="str">
        <f>IFERROR(SUBSTITUTE(INDEX($K:$K,MATCH(INDEX($M:$M,MATCH(AM23,$N:$N,0)),$M:$M,0)),$D23,""),"")</f>
        <v xml:space="preserve">伯乐 </v>
      </c>
      <c r="AW23" s="21" t="str">
        <f>IFERROR(SUBSTITUTE(INDEX($K:$K,MATCH(INDEX($M:$M,MATCH(AN23,$N:$N,0)),$M:$M,0)),$D23,""),"")</f>
        <v xml:space="preserve"> 勾践 秦武王</v>
      </c>
      <c r="AX23" s="21" t="str">
        <f>IFERROR(SUBSTITUTE(INDEX($K:$K,MATCH(INDEX($M:$M,MATCH(AO23,$N:$N,0)),$M:$M,0)),$D23,""),"")</f>
        <v xml:space="preserve"> 孙叔敖</v>
      </c>
      <c r="AY23" s="21" t="str">
        <f>IFERROR(SUBSTITUTE(INDEX($K:$K,MATCH(INDEX($M:$M,MATCH(AP23,$N:$N,0)),$M:$M,0)),$D23,""),"")</f>
        <v>褒姒 勾践  秦武王</v>
      </c>
      <c r="AZ23" s="21" t="str">
        <f>IFERROR(SUBSTITUTE(INDEX($K:$K,MATCH(INDEX($M:$M,MATCH(AQ23,$N:$N,0)),$M:$M,0)),$D23,""),"")</f>
        <v>晋文公  勾践 秦武王</v>
      </c>
      <c r="BA23" s="21" t="str">
        <f>IFERROR(SUBSTITUTE(INDEX($K:$K,MATCH(INDEX($M:$M,MATCH(AR23,$N:$N,0)),$M:$M,0)),$D23,""),"")</f>
        <v>晋文公  勾践 秦武王</v>
      </c>
      <c r="BB23" s="21" t="str">
        <f>IFERROR(SUBSTITUTE(INDEX($K:$K,MATCH(INDEX($M:$M,MATCH(AS23,$N:$N,0)),$M:$M,0)),$D23,""),"")</f>
        <v>项羽  屈原</v>
      </c>
      <c r="BC23" s="21" t="str">
        <f>IFERROR(SUBSTITUTE(INDEX($K:$K,MATCH(INDEX($M:$M,MATCH(AT23,$N:$N,0)),$M:$M,0)),$D23,""),"")</f>
        <v>吕布  项燕 秦武王</v>
      </c>
      <c r="BE23" s="9" t="str">
        <f t="shared" si="7"/>
        <v>伯乐,楚庄王,勾践,秦武王,孙叔敖,褒姒,晋文公,项羽,屈原,吕布,项燕</v>
      </c>
      <c r="BI23" s="9" t="str">
        <f>IFERROR(
IF(COUNTIF($M:$M,$AD23)&lt;BI$8,
"",
INDEX($J:$J,MATCH($AD23,$M:$M,0)+BI$8-1)),
"")</f>
        <v>伯乐</v>
      </c>
      <c r="BJ23" s="9" t="str">
        <f>IFERROR(
IF(COUNTIF($M:$M,$AD23)&lt;BJ$8,
"",
INDEX($J:$J,MATCH($AD23,$M:$M,0)+BJ$8-1)),
"")</f>
        <v>楚庄王</v>
      </c>
      <c r="BK23" s="9" t="str">
        <f>IFERROR(
IF(COUNTIF($M:$M,$AD23)&lt;BK$8,
"",
INDEX($J:$J,MATCH($AD23,$M:$M,0)+BK$8-1)),
"")</f>
        <v/>
      </c>
      <c r="BL23" s="9" t="str">
        <f>IFERROR(
IF(COUNTIF($M:$M,$AD23)&lt;BL$8,
"",
INDEX($J:$J,MATCH($AD23,$M:$M,0)+BL$8-1)),
"")</f>
        <v/>
      </c>
      <c r="BN23" s="21" t="str">
        <f>IFERROR(
IF(COUNTIF($BI23:BM23,INDEX($J:$J,MATCH($AE23,$M:$M,0)+BN$8-1))=0,
IF(COUNTIF($M:$M,$AE23)&lt;BN$8,
"",
INDEX($J:$J,MATCH($AE23,$M:$M,0)+BN$8-1)),
""),
"")</f>
        <v/>
      </c>
      <c r="BO23" s="21" t="str">
        <f>IFERROR(
IF(COUNTIF($BI23:BN23,INDEX($J:$J,MATCH($AE23,$M:$M,0)+BO$8-1))=0,
IF(COUNTIF($M:$M,$AE23)&lt;BO$8,
"",
INDEX($J:$J,MATCH($AE23,$M:$M,0)+BO$8-1)),
""),
"")</f>
        <v>勾践</v>
      </c>
      <c r="BP23" s="21" t="str">
        <f>IFERROR(
IF(COUNTIF($BI23:BO23,INDEX($J:$J,MATCH($AE23,$M:$M,0)+BP$8-1))=0,
IF(COUNTIF($M:$M,$AE23)&lt;BP$8,
"",
INDEX($J:$J,MATCH($AE23,$M:$M,0)+BP$8-1)),
""),
"")</f>
        <v>秦武王</v>
      </c>
      <c r="BQ23" s="21" t="str">
        <f>IFERROR(
IF(COUNTIF($BI23:BP23,INDEX($J:$J,MATCH($AE23,$M:$M,0)+BQ$8-1))=0,
IF(COUNTIF($M:$M,$AE23)&lt;BQ$8,
"",
INDEX($J:$J,MATCH($AE23,$M:$M,0)+BQ$8-1)),
""),
"")</f>
        <v/>
      </c>
      <c r="BS23" s="21" t="str">
        <f>IFERROR(
IF(COUNTIF($BI23:BR23,INDEX($J:$J,MATCH($AF23,$M:$M,0)+BS$8-1))=0,
IF(COUNTIF($M:$M,$AF23)&lt;BS$8,
"",
INDEX($J:$J,MATCH($AF23,$M:$M,0)+BS$8-1)),
""),
"")</f>
        <v/>
      </c>
      <c r="BT23" s="21" t="str">
        <f>IFERROR(
IF(COUNTIF($BI23:BS23,INDEX($J:$J,MATCH($AF23,$M:$M,0)+BT$8-1))=0,
IF(COUNTIF($M:$M,$AF23)&lt;BT$8,
"",
INDEX($J:$J,MATCH($AF23,$M:$M,0)+BT$8-1)),
""),
"")</f>
        <v>孙叔敖</v>
      </c>
      <c r="BU23" s="21" t="str">
        <f>IFERROR(
IF(COUNTIF($BI23:BT23,INDEX($J:$J,MATCH($AF23,$M:$M,0)+BU$8-1))=0,
IF(COUNTIF($M:$M,$AF23)&lt;BU$8,
"",
INDEX($J:$J,MATCH($AF23,$M:$M,0)+BU$8-1)),
""),
"")</f>
        <v/>
      </c>
      <c r="BV23" s="21" t="str">
        <f>IFERROR(
IF(COUNTIF($BI23:BU23,INDEX($J:$J,MATCH($AF23,$M:$M,0)+BV$8-1))=0,
IF(COUNTIF($M:$M,$AF23)&lt;BV$8,
"",
INDEX($J:$J,MATCH($AF23,$M:$M,0)+BV$8-1)),
""),
"")</f>
        <v/>
      </c>
      <c r="BX23" s="21" t="str">
        <f>IFERROR(
IF(COUNTIF($BI23:BW23,INDEX($J:$J,MATCH($AG23,$M:$M,0)+BX$8-1))=0,
IF(COUNTIF($M:$M,$AG23)&lt;BX$8,
"",
INDEX($J:$J,MATCH($AG23,$M:$M,0)+BX$8-1)),
""),
"")</f>
        <v>褒姒</v>
      </c>
      <c r="BY23" s="21" t="str">
        <f>IFERROR(
IF(COUNTIF($BI23:BX23,INDEX($J:$J,MATCH($AG23,$M:$M,0)+BY$8-1))=0,
IF(COUNTIF($M:$M,$AG23)&lt;BY$8,
"",
INDEX($J:$J,MATCH($AG23,$M:$M,0)+BY$8-1)),
""),
"")</f>
        <v/>
      </c>
      <c r="BZ23" s="21" t="str">
        <f>IFERROR(
IF(COUNTIF($BI23:BY23,INDEX($J:$J,MATCH($AG23,$M:$M,0)+BZ$8-1))=0,
IF(COUNTIF($M:$M,$AG23)&lt;BZ$8,
"",
INDEX($J:$J,MATCH($AG23,$M:$M,0)+BZ$8-1)),
""),
"")</f>
        <v/>
      </c>
      <c r="CA23" s="21" t="str">
        <f>IFERROR(
IF(COUNTIF($BI23:BZ23,INDEX($J:$J,MATCH($AG23,$M:$M,0)+CA$8-1))=0,
IF(COUNTIF($M:$M,$AG23)&lt;CA$8,
"",
INDEX($J:$J,MATCH($AG23,$M:$M,0)+CA$8-1)),
""),
"")</f>
        <v/>
      </c>
      <c r="CC23" s="21" t="str">
        <f>IFERROR(
IF(COUNTIF($BI23:CB23,INDEX($J:$J,MATCH($AH23,$M:$M,0)+CC$8-1))=0,
IF(COUNTIF($M:$M,$AH23)&lt;CC$8,
"",
INDEX($J:$J,MATCH($AH23,$M:$M,0)+CC$8-1)),
""),
"")</f>
        <v>晋文公</v>
      </c>
      <c r="CD23" s="21" t="str">
        <f>IFERROR(
IF(COUNTIF($BI23:CC23,INDEX($J:$J,MATCH($AH23,$M:$M,0)+CD$8-1))=0,
IF(COUNTIF($M:$M,$AH23)&lt;CD$8,
"",
INDEX($J:$J,MATCH($AH23,$M:$M,0)+CD$8-1)),
""),
"")</f>
        <v/>
      </c>
      <c r="CE23" s="21" t="str">
        <f>IFERROR(
IF(COUNTIF($BI23:CD23,INDEX($J:$J,MATCH($AH23,$M:$M,0)+CE$8-1))=0,
IF(COUNTIF($M:$M,$AH23)&lt;CE$8,
"",
INDEX($J:$J,MATCH($AH23,$M:$M,0)+CE$8-1)),
""),
"")</f>
        <v/>
      </c>
      <c r="CF23" s="21" t="str">
        <f>IFERROR(
IF(COUNTIF($BI23:CE23,INDEX($J:$J,MATCH($AH23,$M:$M,0)+CF$8-1))=0,
IF(COUNTIF($M:$M,$AH23)&lt;CF$8,
"",
INDEX($J:$J,MATCH($AH23,$M:$M,0)+CF$8-1)),
""),
"")</f>
        <v/>
      </c>
      <c r="CH23" s="21" t="str">
        <f>IFERROR(
IF(COUNTIF($BI23:CG23,INDEX($J:$J,MATCH($AI23,$M:$M,0)+CH$8-1))=0,
IF(COUNTIF($M:$M,$AI23)&lt;CH$8,
"",
INDEX($J:$J,MATCH($AI23,$M:$M,0)+CH$8-1)),
""),
"")</f>
        <v/>
      </c>
      <c r="CI23" s="21" t="str">
        <f>IFERROR(
IF(COUNTIF($BI23:CH23,INDEX($J:$J,MATCH($AI23,$M:$M,0)+CI$8-1))=0,
IF(COUNTIF($M:$M,$AI23)&lt;CI$8,
"",
INDEX($J:$J,MATCH($AI23,$M:$M,0)+CI$8-1)),
""),
"")</f>
        <v/>
      </c>
      <c r="CJ23" s="21" t="str">
        <f>IFERROR(
IF(COUNTIF($BI23:CI23,INDEX($J:$J,MATCH($AI23,$M:$M,0)+CJ$8-1))=0,
IF(COUNTIF($M:$M,$AI23)&lt;CJ$8,
"",
INDEX($J:$J,MATCH($AI23,$M:$M,0)+CJ$8-1)),
""),
"")</f>
        <v/>
      </c>
      <c r="CK23" s="21" t="str">
        <f>IFERROR(
IF(COUNTIF($BI23:CJ23,INDEX($J:$J,MATCH($AI23,$M:$M,0)+CK$8-1))=0,
IF(COUNTIF($M:$M,$AI23)&lt;CK$8,
"",
INDEX($J:$J,MATCH($AI23,$M:$M,0)+CK$8-1)),
""),
"")</f>
        <v/>
      </c>
      <c r="CM23" s="21" t="str">
        <f>IFERROR(
IF(COUNTIF($BI23:CL23,INDEX($J:$J,MATCH($AJ23,$M:$M,0)+CM$8-1))=0,
IF(COUNTIF($M:$M,$AJ23)&lt;CM$8,
"",
INDEX($J:$J,MATCH($AJ23,$M:$M,0)+CM$8-1)),
""),
"")</f>
        <v>项羽</v>
      </c>
      <c r="CN23" s="21" t="str">
        <f>IFERROR(
IF(COUNTIF($BI23:CM23,INDEX($J:$J,MATCH($AJ23,$M:$M,0)+CN$8-1))=0,
IF(COUNTIF($M:$M,$AJ23)&lt;CN$8,
"",
INDEX($J:$J,MATCH($AJ23,$M:$M,0)+CN$8-1)),
""),
"")</f>
        <v/>
      </c>
      <c r="CO23" s="21" t="str">
        <f>IFERROR(
IF(COUNTIF($BI23:CN23,INDEX($J:$J,MATCH($AJ23,$M:$M,0)+CO$8-1))=0,
IF(COUNTIF($M:$M,$AJ23)&lt;CO$8,
"",
INDEX($J:$J,MATCH($AJ23,$M:$M,0)+CO$8-1)),
""),
"")</f>
        <v>屈原</v>
      </c>
      <c r="CP23" s="21" t="str">
        <f>IFERROR(
IF(COUNTIF($BI23:CO23,INDEX($J:$J,MATCH($AJ23,$M:$M,0)+CP$8-1))=0,
IF(COUNTIF($M:$M,$AJ23)&lt;CP$8,
"",
INDEX($J:$J,MATCH($AJ23,$M:$M,0)+CP$8-1)),
""),
"")</f>
        <v/>
      </c>
      <c r="CR23" s="21" t="str">
        <f>IFERROR(
IF(COUNTIF($BI23:CQ23,INDEX($J:$J,MATCH($AK23,$M:$M,0)+CR$8-1))=0,
IF(COUNTIF($M:$M,$AK23)&lt;CR$8,
"",
INDEX($J:$J,MATCH($AK23,$M:$M,0)+CR$8-1)),
""),
"")</f>
        <v>吕布</v>
      </c>
      <c r="CS23" s="21" t="str">
        <f>IFERROR(
IF(COUNTIF($BI23:CR23,INDEX($J:$J,MATCH($AK23,$M:$M,0)+CS$8-1))=0,
IF(COUNTIF($M:$M,$AK23)&lt;CS$8,
"",
INDEX($J:$J,MATCH($AK23,$M:$M,0)+CS$8-1)),
""),
"")</f>
        <v/>
      </c>
      <c r="CT23" s="21" t="str">
        <f>IFERROR(
IF(COUNTIF($BI23:CS23,INDEX($J:$J,MATCH($AK23,$M:$M,0)+CT$8-1))=0,
IF(COUNTIF($M:$M,$AK23)&lt;CT$8,
"",
INDEX($J:$J,MATCH($AK23,$M:$M,0)+CT$8-1)),
""),
"")</f>
        <v>项燕</v>
      </c>
      <c r="CU23" s="21" t="str">
        <f>IFERROR(
IF(COUNTIF($BI23:CT23,INDEX($J:$J,MATCH($AK23,$M:$M,0)+CU$8-1))=0,
IF(COUNTIF($M:$M,$AK23)&lt;CU$8,
"",
INDEX($J:$J,MATCH($AK23,$M:$M,0)+CU$8-1)),
""),
"")</f>
        <v/>
      </c>
    </row>
    <row r="24" spans="3:99" ht="14.25">
      <c r="C24" s="16">
        <v>16</v>
      </c>
      <c r="D24" s="19" t="s">
        <v>59</v>
      </c>
      <c r="E24" s="20">
        <f>INDEX([1]武将基本资料!$S:$S,MATCH(D24,[1]武将基本资料!$N:$N,0))</f>
        <v>120</v>
      </c>
      <c r="F24" s="20" t="str">
        <f>INDEX([1]武将基本资料!$Q:$Q,MATCH(D24,[1]武将基本资料!$N:$N,0))</f>
        <v>橙</v>
      </c>
      <c r="H24" s="7">
        <f>IF(I24="","",COUNTA(I$9:$I24))</f>
        <v>15</v>
      </c>
      <c r="I24" s="6" t="s">
        <v>133</v>
      </c>
      <c r="J24" s="5" t="s">
        <v>50</v>
      </c>
      <c r="K24" s="8" t="str">
        <f>IF(H24="","",阶段合并区域(J24:J34," ",L24:L34,1))</f>
        <v>聂荌 莫邪 钟无艳</v>
      </c>
      <c r="L24" s="8">
        <f>COUNTIF(M$8:$M24,"="&amp;M24)</f>
        <v>1</v>
      </c>
      <c r="M24" s="9" t="str">
        <f t="shared" si="3"/>
        <v>女中豪杰</v>
      </c>
      <c r="N24" s="9" t="str">
        <f t="shared" si="4"/>
        <v>女中豪杰1</v>
      </c>
      <c r="O24" s="15">
        <f>INDEX(C:C,MATCH(J24,D:D,0))</f>
        <v>10</v>
      </c>
      <c r="P24" s="9">
        <f>INDEX(E:E,MATCH(J24,D:D,0))</f>
        <v>110</v>
      </c>
      <c r="Q24" s="7">
        <f t="shared" si="0"/>
        <v>10</v>
      </c>
      <c r="R24" s="7">
        <f>COUNTIF(J$8:$J24,"="&amp;J24)</f>
        <v>1</v>
      </c>
      <c r="S24" s="7">
        <f t="shared" si="5"/>
        <v>1010</v>
      </c>
      <c r="U24" s="7">
        <f t="shared" si="6"/>
        <v>1016</v>
      </c>
      <c r="V24" s="7">
        <f t="shared" si="2"/>
        <v>2016</v>
      </c>
      <c r="W24" s="7">
        <f t="shared" si="2"/>
        <v>3016</v>
      </c>
      <c r="X24" s="7">
        <f t="shared" si="2"/>
        <v>4016</v>
      </c>
      <c r="Y24" s="7">
        <f t="shared" si="2"/>
        <v>5016</v>
      </c>
      <c r="Z24" s="7">
        <f t="shared" si="2"/>
        <v>6016</v>
      </c>
      <c r="AA24" s="7">
        <f t="shared" si="2"/>
        <v>7016</v>
      </c>
      <c r="AB24" s="7">
        <f t="shared" si="2"/>
        <v>8016</v>
      </c>
      <c r="AD24" s="21" t="str">
        <f>IFERROR(INDEX($M:$M,MATCH(U24,$S:$S,0)),"&amp;")</f>
        <v>齐国宗室</v>
      </c>
      <c r="AE24" s="21" t="str">
        <f>IFERROR(INDEX($M:$M,MATCH(V24,$S:$S,0)),"&amp;")</f>
        <v>御敌于国</v>
      </c>
      <c r="AF24" s="21" t="str">
        <f>IFERROR(INDEX($M:$M,MATCH(W24,$S:$S,0)),"&amp;")</f>
        <v>棋逢对手</v>
      </c>
      <c r="AG24" s="21" t="str">
        <f>IFERROR(INDEX($M:$M,MATCH(X24,$S:$S,0)),"&amp;")</f>
        <v>兴国安邦</v>
      </c>
      <c r="AH24" s="21" t="str">
        <f>IFERROR(INDEX($M:$M,MATCH(Y24,$S:$S,0)),"&amp;")</f>
        <v>攻守相济</v>
      </c>
      <c r="AI24" s="21" t="str">
        <f>IFERROR(INDEX($M:$M,MATCH(Z24,$S:$S,0)),"&amp;")</f>
        <v>功高震主</v>
      </c>
      <c r="AJ24" s="21" t="str">
        <f>IFERROR(INDEX($M:$M,MATCH(AA24,$S:$S,0)),"&amp;")</f>
        <v>古之名将</v>
      </c>
      <c r="AK24" s="21" t="str">
        <f>IFERROR(INDEX($M:$M,MATCH(AB24,$S:$S,0)),"&amp;")</f>
        <v>七窍玲珑</v>
      </c>
      <c r="AM24" s="21" t="str">
        <f>IFERROR(INDEX($N:$N,MATCH(U24,$S:$S,0)),"&amp;")</f>
        <v>齐国宗室2</v>
      </c>
      <c r="AN24" s="21" t="str">
        <f>IFERROR(INDEX($N:$N,MATCH(V24,$S:$S,0)),"&amp;")</f>
        <v>御敌于国1</v>
      </c>
      <c r="AO24" s="21" t="str">
        <f>IFERROR(INDEX($N:$N,MATCH(W24,$S:$S,0)),"&amp;")</f>
        <v>棋逢对手1</v>
      </c>
      <c r="AP24" s="21" t="str">
        <f>IFERROR(INDEX($N:$N,MATCH(X24,$S:$S,0)),"&amp;")</f>
        <v>兴国安邦2</v>
      </c>
      <c r="AQ24" s="21" t="str">
        <f>IFERROR(INDEX($N:$N,MATCH(Y24,$S:$S,0)),"&amp;")</f>
        <v>攻守相济3</v>
      </c>
      <c r="AR24" s="21" t="str">
        <f>IFERROR(INDEX($N:$N,MATCH(Z24,$S:$S,0)),"&amp;")</f>
        <v>功高震主3</v>
      </c>
      <c r="AS24" s="21" t="str">
        <f>IFERROR(INDEX($N:$N,MATCH(AA24,$S:$S,0)),"&amp;")</f>
        <v>古之名将3</v>
      </c>
      <c r="AT24" s="21" t="str">
        <f>IFERROR(INDEX($N:$N,MATCH(AB24,$S:$S,0)),"&amp;")</f>
        <v>七窍玲珑3</v>
      </c>
      <c r="AV24" s="21" t="str">
        <f>IFERROR(SUBSTITUTE(INDEX($K:$K,MATCH(INDEX($M:$M,MATCH(AM24,$N:$N,0)),$M:$M,0)),$D24,""),"")</f>
        <v xml:space="preserve">田忌 </v>
      </c>
      <c r="AW24" s="21" t="str">
        <f>IFERROR(SUBSTITUTE(INDEX($K:$K,MATCH(INDEX($M:$M,MATCH(AN24,$N:$N,0)),$M:$M,0)),$D24,""),"")</f>
        <v xml:space="preserve"> 申不害 司马穰苴</v>
      </c>
      <c r="AX24" s="21" t="str">
        <f>IFERROR(SUBSTITUTE(INDEX($K:$K,MATCH(INDEX($M:$M,MATCH(AO24,$N:$N,0)),$M:$M,0)),$D24,""),"")</f>
        <v xml:space="preserve"> 乐毅</v>
      </c>
      <c r="AY24" s="21" t="str">
        <f>IFERROR(SUBSTITUTE(INDEX($K:$K,MATCH(INDEX($M:$M,MATCH(AP24,$N:$N,0)),$M:$M,0)),$D24,""),"")</f>
        <v>廉颇  樗里疾 乐毅</v>
      </c>
      <c r="AZ24" s="21" t="str">
        <f>IFERROR(SUBSTITUTE(INDEX($K:$K,MATCH(INDEX($M:$M,MATCH(AQ24,$N:$N,0)),$M:$M,0)),$D24,""),"")</f>
        <v>墨子 司马穰苴  乐毅</v>
      </c>
      <c r="BA24" s="21" t="str">
        <f>IFERROR(SUBSTITUTE(INDEX($K:$K,MATCH(INDEX($M:$M,MATCH(AR24,$N:$N,0)),$M:$M,0)),$D24,""),"")</f>
        <v>典藏吕不韦 屈原  项燕</v>
      </c>
      <c r="BB24" s="21" t="str">
        <f>IFERROR(SUBSTITUTE(INDEX($K:$K,MATCH(INDEX($M:$M,MATCH(AS24,$N:$N,0)),$M:$M,0)),$D24,""),"")</f>
        <v xml:space="preserve">赵奢 孙膑 </v>
      </c>
      <c r="BC24" s="21" t="str">
        <f>IFERROR(SUBSTITUTE(INDEX($K:$K,MATCH(INDEX($M:$M,MATCH(AT24,$N:$N,0)),$M:$M,0)),$D24,""),"")</f>
        <v xml:space="preserve">鲁班 孙膑 </v>
      </c>
      <c r="BE24" s="9" t="str">
        <f t="shared" si="7"/>
        <v>田忌,田单,申不害,司马穰苴,乐毅,廉颇,樗里疾,墨子,典藏吕不韦,屈原,项燕,赵奢,孙膑,鲁班</v>
      </c>
      <c r="BI24" s="9" t="str">
        <f>IFERROR(
IF(COUNTIF($M:$M,$AD24)&lt;BI$8,
"",
INDEX($J:$J,MATCH($AD24,$M:$M,0)+BI$8-1)),
"")</f>
        <v>田忌</v>
      </c>
      <c r="BJ24" s="9" t="str">
        <f>IFERROR(
IF(COUNTIF($M:$M,$AD24)&lt;BJ$8,
"",
INDEX($J:$J,MATCH($AD24,$M:$M,0)+BJ$8-1)),
"")</f>
        <v>田单</v>
      </c>
      <c r="BK24" s="9" t="str">
        <f>IFERROR(
IF(COUNTIF($M:$M,$AD24)&lt;BK$8,
"",
INDEX($J:$J,MATCH($AD24,$M:$M,0)+BK$8-1)),
"")</f>
        <v/>
      </c>
      <c r="BL24" s="9" t="str">
        <f>IFERROR(
IF(COUNTIF($M:$M,$AD24)&lt;BL$8,
"",
INDEX($J:$J,MATCH($AD24,$M:$M,0)+BL$8-1)),
"")</f>
        <v/>
      </c>
      <c r="BN24" s="21" t="str">
        <f>IFERROR(
IF(COUNTIF($BI24:BM24,INDEX($J:$J,MATCH($AE24,$M:$M,0)+BN$8-1))=0,
IF(COUNTIF($M:$M,$AE24)&lt;BN$8,
"",
INDEX($J:$J,MATCH($AE24,$M:$M,0)+BN$8-1)),
""),
"")</f>
        <v/>
      </c>
      <c r="BO24" s="21" t="str">
        <f>IFERROR(
IF(COUNTIF($BI24:BN24,INDEX($J:$J,MATCH($AE24,$M:$M,0)+BO$8-1))=0,
IF(COUNTIF($M:$M,$AE24)&lt;BO$8,
"",
INDEX($J:$J,MATCH($AE24,$M:$M,0)+BO$8-1)),
""),
"")</f>
        <v>申不害</v>
      </c>
      <c r="BP24" s="21" t="str">
        <f>IFERROR(
IF(COUNTIF($BI24:BO24,INDEX($J:$J,MATCH($AE24,$M:$M,0)+BP$8-1))=0,
IF(COUNTIF($M:$M,$AE24)&lt;BP$8,
"",
INDEX($J:$J,MATCH($AE24,$M:$M,0)+BP$8-1)),
""),
"")</f>
        <v>司马穰苴</v>
      </c>
      <c r="BQ24" s="21" t="str">
        <f>IFERROR(
IF(COUNTIF($BI24:BP24,INDEX($J:$J,MATCH($AE24,$M:$M,0)+BQ$8-1))=0,
IF(COUNTIF($M:$M,$AE24)&lt;BQ$8,
"",
INDEX($J:$J,MATCH($AE24,$M:$M,0)+BQ$8-1)),
""),
"")</f>
        <v/>
      </c>
      <c r="BS24" s="21" t="str">
        <f>IFERROR(
IF(COUNTIF($BI24:BR24,INDEX($J:$J,MATCH($AF24,$M:$M,0)+BS$8-1))=0,
IF(COUNTIF($M:$M,$AF24)&lt;BS$8,
"",
INDEX($J:$J,MATCH($AF24,$M:$M,0)+BS$8-1)),
""),
"")</f>
        <v/>
      </c>
      <c r="BT24" s="21" t="str">
        <f>IFERROR(
IF(COUNTIF($BI24:BS24,INDEX($J:$J,MATCH($AF24,$M:$M,0)+BT$8-1))=0,
IF(COUNTIF($M:$M,$AF24)&lt;BT$8,
"",
INDEX($J:$J,MATCH($AF24,$M:$M,0)+BT$8-1)),
""),
"")</f>
        <v>乐毅</v>
      </c>
      <c r="BU24" s="21" t="str">
        <f>IFERROR(
IF(COUNTIF($BI24:BT24,INDEX($J:$J,MATCH($AF24,$M:$M,0)+BU$8-1))=0,
IF(COUNTIF($M:$M,$AF24)&lt;BU$8,
"",
INDEX($J:$J,MATCH($AF24,$M:$M,0)+BU$8-1)),
""),
"")</f>
        <v/>
      </c>
      <c r="BV24" s="21" t="str">
        <f>IFERROR(
IF(COUNTIF($BI24:BU24,INDEX($J:$J,MATCH($AF24,$M:$M,0)+BV$8-1))=0,
IF(COUNTIF($M:$M,$AF24)&lt;BV$8,
"",
INDEX($J:$J,MATCH($AF24,$M:$M,0)+BV$8-1)),
""),
"")</f>
        <v/>
      </c>
      <c r="BX24" s="21" t="str">
        <f>IFERROR(
IF(COUNTIF($BI24:BW24,INDEX($J:$J,MATCH($AG24,$M:$M,0)+BX$8-1))=0,
IF(COUNTIF($M:$M,$AG24)&lt;BX$8,
"",
INDEX($J:$J,MATCH($AG24,$M:$M,0)+BX$8-1)),
""),
"")</f>
        <v>廉颇</v>
      </c>
      <c r="BY24" s="21" t="str">
        <f>IFERROR(
IF(COUNTIF($BI24:BX24,INDEX($J:$J,MATCH($AG24,$M:$M,0)+BY$8-1))=0,
IF(COUNTIF($M:$M,$AG24)&lt;BY$8,
"",
INDEX($J:$J,MATCH($AG24,$M:$M,0)+BY$8-1)),
""),
"")</f>
        <v/>
      </c>
      <c r="BZ24" s="21" t="str">
        <f>IFERROR(
IF(COUNTIF($BI24:BY24,INDEX($J:$J,MATCH($AG24,$M:$M,0)+BZ$8-1))=0,
IF(COUNTIF($M:$M,$AG24)&lt;BZ$8,
"",
INDEX($J:$J,MATCH($AG24,$M:$M,0)+BZ$8-1)),
""),
"")</f>
        <v>樗里疾</v>
      </c>
      <c r="CA24" s="21" t="str">
        <f>IFERROR(
IF(COUNTIF($BI24:BZ24,INDEX($J:$J,MATCH($AG24,$M:$M,0)+CA$8-1))=0,
IF(COUNTIF($M:$M,$AG24)&lt;CA$8,
"",
INDEX($J:$J,MATCH($AG24,$M:$M,0)+CA$8-1)),
""),
"")</f>
        <v/>
      </c>
      <c r="CC24" s="21" t="str">
        <f>IFERROR(
IF(COUNTIF($BI24:CB24,INDEX($J:$J,MATCH($AH24,$M:$M,0)+CC$8-1))=0,
IF(COUNTIF($M:$M,$AH24)&lt;CC$8,
"",
INDEX($J:$J,MATCH($AH24,$M:$M,0)+CC$8-1)),
""),
"")</f>
        <v>墨子</v>
      </c>
      <c r="CD24" s="21" t="str">
        <f>IFERROR(
IF(COUNTIF($BI24:CC24,INDEX($J:$J,MATCH($AH24,$M:$M,0)+CD$8-1))=0,
IF(COUNTIF($M:$M,$AH24)&lt;CD$8,
"",
INDEX($J:$J,MATCH($AH24,$M:$M,0)+CD$8-1)),
""),
"")</f>
        <v/>
      </c>
      <c r="CE24" s="21" t="str">
        <f>IFERROR(
IF(COUNTIF($BI24:CD24,INDEX($J:$J,MATCH($AH24,$M:$M,0)+CE$8-1))=0,
IF(COUNTIF($M:$M,$AH24)&lt;CE$8,
"",
INDEX($J:$J,MATCH($AH24,$M:$M,0)+CE$8-1)),
""),
"")</f>
        <v/>
      </c>
      <c r="CF24" s="21" t="str">
        <f>IFERROR(
IF(COUNTIF($BI24:CE24,INDEX($J:$J,MATCH($AH24,$M:$M,0)+CF$8-1))=0,
IF(COUNTIF($M:$M,$AH24)&lt;CF$8,
"",
INDEX($J:$J,MATCH($AH24,$M:$M,0)+CF$8-1)),
""),
"")</f>
        <v/>
      </c>
      <c r="CH24" s="21" t="str">
        <f>IFERROR(
IF(COUNTIF($BI24:CG24,INDEX($J:$J,MATCH($AI24,$M:$M,0)+CH$8-1))=0,
IF(COUNTIF($M:$M,$AI24)&lt;CH$8,
"",
INDEX($J:$J,MATCH($AI24,$M:$M,0)+CH$8-1)),
""),
"")</f>
        <v>典藏吕不韦</v>
      </c>
      <c r="CI24" s="21" t="str">
        <f>IFERROR(
IF(COUNTIF($BI24:CH24,INDEX($J:$J,MATCH($AI24,$M:$M,0)+CI$8-1))=0,
IF(COUNTIF($M:$M,$AI24)&lt;CI$8,
"",
INDEX($J:$J,MATCH($AI24,$M:$M,0)+CI$8-1)),
""),
"")</f>
        <v>屈原</v>
      </c>
      <c r="CJ24" s="21" t="str">
        <f>IFERROR(
IF(COUNTIF($BI24:CI24,INDEX($J:$J,MATCH($AI24,$M:$M,0)+CJ$8-1))=0,
IF(COUNTIF($M:$M,$AI24)&lt;CJ$8,
"",
INDEX($J:$J,MATCH($AI24,$M:$M,0)+CJ$8-1)),
""),
"")</f>
        <v/>
      </c>
      <c r="CK24" s="21" t="str">
        <f>IFERROR(
IF(COUNTIF($BI24:CJ24,INDEX($J:$J,MATCH($AI24,$M:$M,0)+CK$8-1))=0,
IF(COUNTIF($M:$M,$AI24)&lt;CK$8,
"",
INDEX($J:$J,MATCH($AI24,$M:$M,0)+CK$8-1)),
""),
"")</f>
        <v>项燕</v>
      </c>
      <c r="CM24" s="21" t="str">
        <f>IFERROR(
IF(COUNTIF($BI24:CL24,INDEX($J:$J,MATCH($AJ24,$M:$M,0)+CM$8-1))=0,
IF(COUNTIF($M:$M,$AJ24)&lt;CM$8,
"",
INDEX($J:$J,MATCH($AJ24,$M:$M,0)+CM$8-1)),
""),
"")</f>
        <v>赵奢</v>
      </c>
      <c r="CN24" s="21" t="str">
        <f>IFERROR(
IF(COUNTIF($BI24:CM24,INDEX($J:$J,MATCH($AJ24,$M:$M,0)+CN$8-1))=0,
IF(COUNTIF($M:$M,$AJ24)&lt;CN$8,
"",
INDEX($J:$J,MATCH($AJ24,$M:$M,0)+CN$8-1)),
""),
"")</f>
        <v>孙膑</v>
      </c>
      <c r="CO24" s="21" t="str">
        <f>IFERROR(
IF(COUNTIF($BI24:CN24,INDEX($J:$J,MATCH($AJ24,$M:$M,0)+CO$8-1))=0,
IF(COUNTIF($M:$M,$AJ24)&lt;CO$8,
"",
INDEX($J:$J,MATCH($AJ24,$M:$M,0)+CO$8-1)),
""),
"")</f>
        <v/>
      </c>
      <c r="CP24" s="21" t="str">
        <f>IFERROR(
IF(COUNTIF($BI24:CO24,INDEX($J:$J,MATCH($AJ24,$M:$M,0)+CP$8-1))=0,
IF(COUNTIF($M:$M,$AJ24)&lt;CP$8,
"",
INDEX($J:$J,MATCH($AJ24,$M:$M,0)+CP$8-1)),
""),
"")</f>
        <v/>
      </c>
      <c r="CR24" s="21" t="str">
        <f>IFERROR(
IF(COUNTIF($BI24:CQ24,INDEX($J:$J,MATCH($AK24,$M:$M,0)+CR$8-1))=0,
IF(COUNTIF($M:$M,$AK24)&lt;CR$8,
"",
INDEX($J:$J,MATCH($AK24,$M:$M,0)+CR$8-1)),
""),
"")</f>
        <v>鲁班</v>
      </c>
      <c r="CS24" s="21" t="str">
        <f>IFERROR(
IF(COUNTIF($BI24:CR24,INDEX($J:$J,MATCH($AK24,$M:$M,0)+CS$8-1))=0,
IF(COUNTIF($M:$M,$AK24)&lt;CS$8,
"",
INDEX($J:$J,MATCH($AK24,$M:$M,0)+CS$8-1)),
""),
"")</f>
        <v/>
      </c>
      <c r="CT24" s="21" t="str">
        <f>IFERROR(
IF(COUNTIF($BI24:CS24,INDEX($J:$J,MATCH($AK24,$M:$M,0)+CT$8-1))=0,
IF(COUNTIF($M:$M,$AK24)&lt;CT$8,
"",
INDEX($J:$J,MATCH($AK24,$M:$M,0)+CT$8-1)),
""),
"")</f>
        <v/>
      </c>
      <c r="CU24" s="21" t="str">
        <f>IFERROR(
IF(COUNTIF($BI24:CT24,INDEX($J:$J,MATCH($AK24,$M:$M,0)+CU$8-1))=0,
IF(COUNTIF($M:$M,$AK24)&lt;CU$8,
"",
INDEX($J:$J,MATCH($AK24,$M:$M,0)+CU$8-1)),
""),
"")</f>
        <v/>
      </c>
    </row>
    <row r="25" spans="3:99" ht="14.25">
      <c r="C25" s="16">
        <v>17</v>
      </c>
      <c r="D25" s="19" t="s">
        <v>60</v>
      </c>
      <c r="E25" s="20">
        <f>INDEX([1]武将基本资料!$S:$S,MATCH(D25,[1]武将基本资料!$N:$N,0))</f>
        <v>120</v>
      </c>
      <c r="F25" s="20" t="str">
        <f>INDEX([1]武将基本资料!$Q:$Q,MATCH(D25,[1]武将基本资料!$N:$N,0))</f>
        <v>橙</v>
      </c>
      <c r="H25" s="7" t="str">
        <f>IF(I25="","",COUNTA(I$9:$I25))</f>
        <v/>
      </c>
      <c r="I25" s="6" t="s">
        <v>188</v>
      </c>
      <c r="J25" s="6" t="s">
        <v>76</v>
      </c>
      <c r="K25" s="8" t="str">
        <f>IF(H25="","",阶段合并区域(J25:J35," ",L25:L35,1))</f>
        <v/>
      </c>
      <c r="L25" s="8">
        <f>COUNTIF(M$8:$M25,"="&amp;M25)</f>
        <v>2</v>
      </c>
      <c r="M25" s="9" t="str">
        <f t="shared" si="3"/>
        <v>女中豪杰</v>
      </c>
      <c r="N25" s="9" t="str">
        <f t="shared" si="4"/>
        <v>女中豪杰2</v>
      </c>
      <c r="O25" s="15">
        <f>INDEX(C:C,MATCH(J25,D:D,0))</f>
        <v>43</v>
      </c>
      <c r="P25" s="9">
        <f>INDEX(E:E,MATCH(J25,D:D,0))</f>
        <v>110</v>
      </c>
      <c r="Q25" s="7">
        <f t="shared" si="0"/>
        <v>43</v>
      </c>
      <c r="R25" s="7">
        <f>COUNTIF(J$8:$J25,"="&amp;J25)</f>
        <v>1</v>
      </c>
      <c r="S25" s="7">
        <f t="shared" si="5"/>
        <v>1043</v>
      </c>
      <c r="U25" s="7">
        <f t="shared" si="6"/>
        <v>1017</v>
      </c>
      <c r="V25" s="7">
        <f t="shared" si="6"/>
        <v>2017</v>
      </c>
      <c r="W25" s="7">
        <f t="shared" si="6"/>
        <v>3017</v>
      </c>
      <c r="X25" s="7">
        <f t="shared" si="6"/>
        <v>4017</v>
      </c>
      <c r="Y25" s="7">
        <f t="shared" si="6"/>
        <v>5017</v>
      </c>
      <c r="Z25" s="7">
        <f t="shared" si="6"/>
        <v>6017</v>
      </c>
      <c r="AA25" s="7">
        <f t="shared" si="6"/>
        <v>7017</v>
      </c>
      <c r="AB25" s="7">
        <f t="shared" si="6"/>
        <v>8017</v>
      </c>
      <c r="AD25" s="21" t="str">
        <f>IFERROR(INDEX($M:$M,MATCH(U25,$S:$S,0)),"&amp;")</f>
        <v>平定蜀乱</v>
      </c>
      <c r="AE25" s="21" t="str">
        <f>IFERROR(INDEX($M:$M,MATCH(V25,$S:$S,0)),"&amp;")</f>
        <v>百战名将</v>
      </c>
      <c r="AF25" s="21" t="str">
        <f>IFERROR(INDEX($M:$M,MATCH(W25,$S:$S,0)),"&amp;")</f>
        <v>开疆扩土</v>
      </c>
      <c r="AG25" s="21" t="str">
        <f>IFERROR(INDEX($M:$M,MATCH(X25,$S:$S,0)),"&amp;")</f>
        <v>老当益壮</v>
      </c>
      <c r="AH25" s="21" t="str">
        <f>IFERROR(INDEX($M:$M,MATCH(Y25,$S:$S,0)),"&amp;")</f>
        <v>大秦帝国</v>
      </c>
      <c r="AI25" s="21" t="str">
        <f>IFERROR(INDEX($M:$M,MATCH(Z25,$S:$S,0)),"&amp;")</f>
        <v>一心为国</v>
      </c>
      <c r="AJ25" s="21" t="str">
        <f>IFERROR(INDEX($M:$M,MATCH(AA25,$S:$S,0)),"&amp;")</f>
        <v>剑风凌厉</v>
      </c>
      <c r="AK25" s="21" t="str">
        <f>IFERROR(INDEX($M:$M,MATCH(AB25,$S:$S,0)),"&amp;")</f>
        <v>&amp;</v>
      </c>
      <c r="AM25" s="21" t="str">
        <f>IFERROR(INDEX($N:$N,MATCH(U25,$S:$S,0)),"&amp;")</f>
        <v>平定蜀乱1</v>
      </c>
      <c r="AN25" s="21" t="str">
        <f>IFERROR(INDEX($N:$N,MATCH(V25,$S:$S,0)),"&amp;")</f>
        <v>百战名将2</v>
      </c>
      <c r="AO25" s="21" t="str">
        <f>IFERROR(INDEX($N:$N,MATCH(W25,$S:$S,0)),"&amp;")</f>
        <v>开疆扩土2</v>
      </c>
      <c r="AP25" s="21" t="str">
        <f>IFERROR(INDEX($N:$N,MATCH(X25,$S:$S,0)),"&amp;")</f>
        <v>老当益壮3</v>
      </c>
      <c r="AQ25" s="21" t="str">
        <f>IFERROR(INDEX($N:$N,MATCH(Y25,$S:$S,0)),"&amp;")</f>
        <v>大秦帝国3</v>
      </c>
      <c r="AR25" s="21" t="str">
        <f>IFERROR(INDEX($N:$N,MATCH(Z25,$S:$S,0)),"&amp;")</f>
        <v>一心为国4</v>
      </c>
      <c r="AS25" s="21" t="str">
        <f>IFERROR(INDEX($N:$N,MATCH(AA25,$S:$S,0)),"&amp;")</f>
        <v>剑风凌厉3</v>
      </c>
      <c r="AT25" s="21" t="str">
        <f>IFERROR(INDEX($N:$N,MATCH(AB25,$S:$S,0)),"&amp;")</f>
        <v>&amp;</v>
      </c>
      <c r="AV25" s="21" t="str">
        <f>IFERROR(SUBSTITUTE(INDEX($K:$K,MATCH(INDEX($M:$M,MATCH(AM25,$N:$N,0)),$M:$M,0)),$D25,""),"")</f>
        <v xml:space="preserve"> 秦武王</v>
      </c>
      <c r="AW25" s="21" t="str">
        <f>IFERROR(SUBSTITUTE(INDEX($K:$K,MATCH(INDEX($M:$M,MATCH(AN25,$N:$N,0)),$M:$M,0)),$D25,""),"")</f>
        <v xml:space="preserve">司马穰苴 </v>
      </c>
      <c r="AX25" s="21" t="str">
        <f>IFERROR(SUBSTITUTE(INDEX($K:$K,MATCH(INDEX($M:$M,MATCH(AO25,$N:$N,0)),$M:$M,0)),$D25,""),"")</f>
        <v xml:space="preserve">秦开 </v>
      </c>
      <c r="AY25" s="21" t="str">
        <f>IFERROR(SUBSTITUTE(INDEX($K:$K,MATCH(INDEX($M:$M,MATCH(AP25,$N:$N,0)),$M:$M,0)),$D25,""),"")</f>
        <v>廉颇 伍子胥  扁鹊</v>
      </c>
      <c r="AZ25" s="21" t="str">
        <f>IFERROR(SUBSTITUTE(INDEX($K:$K,MATCH(INDEX($M:$M,MATCH(AQ25,$N:$N,0)),$M:$M,0)),$D25,""),"")</f>
        <v>嬴政 吕不韦  樗里疾</v>
      </c>
      <c r="BA25" s="21" t="str">
        <f>IFERROR(SUBSTITUTE(INDEX($K:$K,MATCH(INDEX($M:$M,MATCH(AR25,$N:$N,0)),$M:$M,0)),$D25,""),"")</f>
        <v xml:space="preserve">蒙恬 屈原 信陵君 </v>
      </c>
      <c r="BB25" s="21" t="str">
        <f>IFERROR(SUBSTITUTE(INDEX($K:$K,MATCH(INDEX($M:$M,MATCH(AS25,$N:$N,0)),$M:$M,0)),$D25,""),"")</f>
        <v>越女 欧冶子  晋文公</v>
      </c>
      <c r="BC25" s="21" t="str">
        <f>IFERROR(SUBSTITUTE(INDEX($K:$K,MATCH(INDEX($M:$M,MATCH(AT25,$N:$N,0)),$M:$M,0)),$D25,""),"")</f>
        <v/>
      </c>
      <c r="BE25" s="9" t="str">
        <f t="shared" si="7"/>
        <v>司马错,秦武王,司马穰苴,秦开,廉颇,伍子胥,扁鹊,嬴政,吕不韦,樗里疾,蒙恬,屈原,信陵君,越女,欧冶子,晋文公</v>
      </c>
      <c r="BI25" s="9" t="str">
        <f>IFERROR(
IF(COUNTIF($M:$M,$AD25)&lt;BI$8,
"",
INDEX($J:$J,MATCH($AD25,$M:$M,0)+BI$8-1)),
"")</f>
        <v>司马错</v>
      </c>
      <c r="BJ25" s="9" t="str">
        <f>IFERROR(
IF(COUNTIF($M:$M,$AD25)&lt;BJ$8,
"",
INDEX($J:$J,MATCH($AD25,$M:$M,0)+BJ$8-1)),
"")</f>
        <v>秦武王</v>
      </c>
      <c r="BK25" s="9" t="str">
        <f>IFERROR(
IF(COUNTIF($M:$M,$AD25)&lt;BK$8,
"",
INDEX($J:$J,MATCH($AD25,$M:$M,0)+BK$8-1)),
"")</f>
        <v/>
      </c>
      <c r="BL25" s="9" t="str">
        <f>IFERROR(
IF(COUNTIF($M:$M,$AD25)&lt;BL$8,
"",
INDEX($J:$J,MATCH($AD25,$M:$M,0)+BL$8-1)),
"")</f>
        <v/>
      </c>
      <c r="BN25" s="21" t="str">
        <f>IFERROR(
IF(COUNTIF($BI25:BM25,INDEX($J:$J,MATCH($AE25,$M:$M,0)+BN$8-1))=0,
IF(COUNTIF($M:$M,$AE25)&lt;BN$8,
"",
INDEX($J:$J,MATCH($AE25,$M:$M,0)+BN$8-1)),
""),
"")</f>
        <v>司马穰苴</v>
      </c>
      <c r="BO25" s="21" t="str">
        <f>IFERROR(
IF(COUNTIF($BI25:BN25,INDEX($J:$J,MATCH($AE25,$M:$M,0)+BO$8-1))=0,
IF(COUNTIF($M:$M,$AE25)&lt;BO$8,
"",
INDEX($J:$J,MATCH($AE25,$M:$M,0)+BO$8-1)),
""),
"")</f>
        <v/>
      </c>
      <c r="BP25" s="21" t="str">
        <f>IFERROR(
IF(COUNTIF($BI25:BO25,INDEX($J:$J,MATCH($AE25,$M:$M,0)+BP$8-1))=0,
IF(COUNTIF($M:$M,$AE25)&lt;BP$8,
"",
INDEX($J:$J,MATCH($AE25,$M:$M,0)+BP$8-1)),
""),
"")</f>
        <v/>
      </c>
      <c r="BQ25" s="21" t="str">
        <f>IFERROR(
IF(COUNTIF($BI25:BP25,INDEX($J:$J,MATCH($AE25,$M:$M,0)+BQ$8-1))=0,
IF(COUNTIF($M:$M,$AE25)&lt;BQ$8,
"",
INDEX($J:$J,MATCH($AE25,$M:$M,0)+BQ$8-1)),
""),
"")</f>
        <v/>
      </c>
      <c r="BS25" s="21" t="str">
        <f>IFERROR(
IF(COUNTIF($BI25:BR25,INDEX($J:$J,MATCH($AF25,$M:$M,0)+BS$8-1))=0,
IF(COUNTIF($M:$M,$AF25)&lt;BS$8,
"",
INDEX($J:$J,MATCH($AF25,$M:$M,0)+BS$8-1)),
""),
"")</f>
        <v>秦开</v>
      </c>
      <c r="BT25" s="21" t="str">
        <f>IFERROR(
IF(COUNTIF($BI25:BS25,INDEX($J:$J,MATCH($AF25,$M:$M,0)+BT$8-1))=0,
IF(COUNTIF($M:$M,$AF25)&lt;BT$8,
"",
INDEX($J:$J,MATCH($AF25,$M:$M,0)+BT$8-1)),
""),
"")</f>
        <v/>
      </c>
      <c r="BU25" s="21" t="str">
        <f>IFERROR(
IF(COUNTIF($BI25:BT25,INDEX($J:$J,MATCH($AF25,$M:$M,0)+BU$8-1))=0,
IF(COUNTIF($M:$M,$AF25)&lt;BU$8,
"",
INDEX($J:$J,MATCH($AF25,$M:$M,0)+BU$8-1)),
""),
"")</f>
        <v/>
      </c>
      <c r="BV25" s="21" t="str">
        <f>IFERROR(
IF(COUNTIF($BI25:BU25,INDEX($J:$J,MATCH($AF25,$M:$M,0)+BV$8-1))=0,
IF(COUNTIF($M:$M,$AF25)&lt;BV$8,
"",
INDEX($J:$J,MATCH($AF25,$M:$M,0)+BV$8-1)),
""),
"")</f>
        <v/>
      </c>
      <c r="BX25" s="21" t="str">
        <f>IFERROR(
IF(COUNTIF($BI25:BW25,INDEX($J:$J,MATCH($AG25,$M:$M,0)+BX$8-1))=0,
IF(COUNTIF($M:$M,$AG25)&lt;BX$8,
"",
INDEX($J:$J,MATCH($AG25,$M:$M,0)+BX$8-1)),
""),
"")</f>
        <v>廉颇</v>
      </c>
      <c r="BY25" s="21" t="str">
        <f>IFERROR(
IF(COUNTIF($BI25:BX25,INDEX($J:$J,MATCH($AG25,$M:$M,0)+BY$8-1))=0,
IF(COUNTIF($M:$M,$AG25)&lt;BY$8,
"",
INDEX($J:$J,MATCH($AG25,$M:$M,0)+BY$8-1)),
""),
"")</f>
        <v>伍子胥</v>
      </c>
      <c r="BZ25" s="21" t="str">
        <f>IFERROR(
IF(COUNTIF($BI25:BY25,INDEX($J:$J,MATCH($AG25,$M:$M,0)+BZ$8-1))=0,
IF(COUNTIF($M:$M,$AG25)&lt;BZ$8,
"",
INDEX($J:$J,MATCH($AG25,$M:$M,0)+BZ$8-1)),
""),
"")</f>
        <v/>
      </c>
      <c r="CA25" s="21" t="str">
        <f>IFERROR(
IF(COUNTIF($BI25:BZ25,INDEX($J:$J,MATCH($AG25,$M:$M,0)+CA$8-1))=0,
IF(COUNTIF($M:$M,$AG25)&lt;CA$8,
"",
INDEX($J:$J,MATCH($AG25,$M:$M,0)+CA$8-1)),
""),
"")</f>
        <v>扁鹊</v>
      </c>
      <c r="CC25" s="21" t="str">
        <f>IFERROR(
IF(COUNTIF($BI25:CB25,INDEX($J:$J,MATCH($AH25,$M:$M,0)+CC$8-1))=0,
IF(COUNTIF($M:$M,$AH25)&lt;CC$8,
"",
INDEX($J:$J,MATCH($AH25,$M:$M,0)+CC$8-1)),
""),
"")</f>
        <v>嬴政</v>
      </c>
      <c r="CD25" s="21" t="str">
        <f>IFERROR(
IF(COUNTIF($BI25:CC25,INDEX($J:$J,MATCH($AH25,$M:$M,0)+CD$8-1))=0,
IF(COUNTIF($M:$M,$AH25)&lt;CD$8,
"",
INDEX($J:$J,MATCH($AH25,$M:$M,0)+CD$8-1)),
""),
"")</f>
        <v>吕不韦</v>
      </c>
      <c r="CE25" s="21" t="str">
        <f>IFERROR(
IF(COUNTIF($BI25:CD25,INDEX($J:$J,MATCH($AH25,$M:$M,0)+CE$8-1))=0,
IF(COUNTIF($M:$M,$AH25)&lt;CE$8,
"",
INDEX($J:$J,MATCH($AH25,$M:$M,0)+CE$8-1)),
""),
"")</f>
        <v/>
      </c>
      <c r="CF25" s="21" t="str">
        <f>IFERROR(
IF(COUNTIF($BI25:CE25,INDEX($J:$J,MATCH($AH25,$M:$M,0)+CF$8-1))=0,
IF(COUNTIF($M:$M,$AH25)&lt;CF$8,
"",
INDEX($J:$J,MATCH($AH25,$M:$M,0)+CF$8-1)),
""),
"")</f>
        <v>樗里疾</v>
      </c>
      <c r="CH25" s="21" t="str">
        <f>IFERROR(
IF(COUNTIF($BI25:CG25,INDEX($J:$J,MATCH($AI25,$M:$M,0)+CH$8-1))=0,
IF(COUNTIF($M:$M,$AI25)&lt;CH$8,
"",
INDEX($J:$J,MATCH($AI25,$M:$M,0)+CH$8-1)),
""),
"")</f>
        <v>蒙恬</v>
      </c>
      <c r="CI25" s="21" t="str">
        <f>IFERROR(
IF(COUNTIF($BI25:CH25,INDEX($J:$J,MATCH($AI25,$M:$M,0)+CI$8-1))=0,
IF(COUNTIF($M:$M,$AI25)&lt;CI$8,
"",
INDEX($J:$J,MATCH($AI25,$M:$M,0)+CI$8-1)),
""),
"")</f>
        <v>屈原</v>
      </c>
      <c r="CJ25" s="21" t="str">
        <f>IFERROR(
IF(COUNTIF($BI25:CI25,INDEX($J:$J,MATCH($AI25,$M:$M,0)+CJ$8-1))=0,
IF(COUNTIF($M:$M,$AI25)&lt;CJ$8,
"",
INDEX($J:$J,MATCH($AI25,$M:$M,0)+CJ$8-1)),
""),
"")</f>
        <v>信陵君</v>
      </c>
      <c r="CK25" s="21" t="str">
        <f>IFERROR(
IF(COUNTIF($BI25:CJ25,INDEX($J:$J,MATCH($AI25,$M:$M,0)+CK$8-1))=0,
IF(COUNTIF($M:$M,$AI25)&lt;CK$8,
"",
INDEX($J:$J,MATCH($AI25,$M:$M,0)+CK$8-1)),
""),
"")</f>
        <v/>
      </c>
      <c r="CM25" s="21" t="str">
        <f>IFERROR(
IF(COUNTIF($BI25:CL25,INDEX($J:$J,MATCH($AJ25,$M:$M,0)+CM$8-1))=0,
IF(COUNTIF($M:$M,$AJ25)&lt;CM$8,
"",
INDEX($J:$J,MATCH($AJ25,$M:$M,0)+CM$8-1)),
""),
"")</f>
        <v>越女</v>
      </c>
      <c r="CN25" s="21" t="str">
        <f>IFERROR(
IF(COUNTIF($BI25:CM25,INDEX($J:$J,MATCH($AJ25,$M:$M,0)+CN$8-1))=0,
IF(COUNTIF($M:$M,$AJ25)&lt;CN$8,
"",
INDEX($J:$J,MATCH($AJ25,$M:$M,0)+CN$8-1)),
""),
"")</f>
        <v>欧冶子</v>
      </c>
      <c r="CO25" s="21" t="str">
        <f>IFERROR(
IF(COUNTIF($BI25:CN25,INDEX($J:$J,MATCH($AJ25,$M:$M,0)+CO$8-1))=0,
IF(COUNTIF($M:$M,$AJ25)&lt;CO$8,
"",
INDEX($J:$J,MATCH($AJ25,$M:$M,0)+CO$8-1)),
""),
"")</f>
        <v/>
      </c>
      <c r="CP25" s="21" t="str">
        <f>IFERROR(
IF(COUNTIF($BI25:CO25,INDEX($J:$J,MATCH($AJ25,$M:$M,0)+CP$8-1))=0,
IF(COUNTIF($M:$M,$AJ25)&lt;CP$8,
"",
INDEX($J:$J,MATCH($AJ25,$M:$M,0)+CP$8-1)),
""),
"")</f>
        <v>晋文公</v>
      </c>
      <c r="CR25" s="21" t="str">
        <f>IFERROR(
IF(COUNTIF($BI25:CQ25,INDEX($J:$J,MATCH($AK25,$M:$M,0)+CR$8-1))=0,
IF(COUNTIF($M:$M,$AK25)&lt;CR$8,
"",
INDEX($J:$J,MATCH($AK25,$M:$M,0)+CR$8-1)),
""),
"")</f>
        <v/>
      </c>
      <c r="CS25" s="21" t="str">
        <f>IFERROR(
IF(COUNTIF($BI25:CR25,INDEX($J:$J,MATCH($AK25,$M:$M,0)+CS$8-1))=0,
IF(COUNTIF($M:$M,$AK25)&lt;CS$8,
"",
INDEX($J:$J,MATCH($AK25,$M:$M,0)+CS$8-1)),
""),
"")</f>
        <v/>
      </c>
      <c r="CT25" s="21" t="str">
        <f>IFERROR(
IF(COUNTIF($BI25:CS25,INDEX($J:$J,MATCH($AK25,$M:$M,0)+CT$8-1))=0,
IF(COUNTIF($M:$M,$AK25)&lt;CT$8,
"",
INDEX($J:$J,MATCH($AK25,$M:$M,0)+CT$8-1)),
""),
"")</f>
        <v/>
      </c>
      <c r="CU25" s="21" t="str">
        <f>IFERROR(
IF(COUNTIF($BI25:CT25,INDEX($J:$J,MATCH($AK25,$M:$M,0)+CU$8-1))=0,
IF(COUNTIF($M:$M,$AK25)&lt;CU$8,
"",
INDEX($J:$J,MATCH($AK25,$M:$M,0)+CU$8-1)),
""),
"")</f>
        <v/>
      </c>
    </row>
    <row r="26" spans="3:99" ht="14.25">
      <c r="C26" s="16">
        <v>18</v>
      </c>
      <c r="D26" s="19" t="s">
        <v>65</v>
      </c>
      <c r="E26" s="20">
        <f>INDEX([1]武将基本资料!$S:$S,MATCH(D26,[1]武将基本资料!$N:$N,0))</f>
        <v>120</v>
      </c>
      <c r="F26" s="20" t="str">
        <f>INDEX([1]武将基本资料!$Q:$Q,MATCH(D26,[1]武将基本资料!$N:$N,0))</f>
        <v>橙</v>
      </c>
      <c r="H26" s="7" t="str">
        <f>IF(I26="","",COUNTA(I$9:$I26))</f>
        <v/>
      </c>
      <c r="I26" s="6" t="s">
        <v>188</v>
      </c>
      <c r="J26" s="6" t="s">
        <v>58</v>
      </c>
      <c r="K26" s="8" t="str">
        <f>IF(H26="","",阶段合并区域(J26:J36," ",L26:L36,1))</f>
        <v/>
      </c>
      <c r="L26" s="8">
        <f>COUNTIF(M$8:$M26,"="&amp;M26)</f>
        <v>3</v>
      </c>
      <c r="M26" s="9" t="str">
        <f t="shared" si="3"/>
        <v>女中豪杰</v>
      </c>
      <c r="N26" s="9" t="str">
        <f t="shared" si="4"/>
        <v>女中豪杰3</v>
      </c>
      <c r="O26" s="15">
        <f>INDEX(C:C,MATCH(J26,D:D,0))</f>
        <v>29</v>
      </c>
      <c r="P26" s="9">
        <f>INDEX(E:E,MATCH(J26,D:D,0))</f>
        <v>110</v>
      </c>
      <c r="Q26" s="7">
        <f t="shared" si="0"/>
        <v>29</v>
      </c>
      <c r="R26" s="7">
        <f>COUNTIF(J$8:$J26,"="&amp;J26)</f>
        <v>1</v>
      </c>
      <c r="S26" s="7">
        <f t="shared" si="5"/>
        <v>1029</v>
      </c>
      <c r="U26" s="7">
        <f t="shared" si="6"/>
        <v>1018</v>
      </c>
      <c r="V26" s="7">
        <f t="shared" si="6"/>
        <v>2018</v>
      </c>
      <c r="W26" s="7">
        <f t="shared" si="6"/>
        <v>3018</v>
      </c>
      <c r="X26" s="7">
        <f t="shared" si="6"/>
        <v>4018</v>
      </c>
      <c r="Y26" s="7">
        <f t="shared" si="6"/>
        <v>5018</v>
      </c>
      <c r="Z26" s="7">
        <f t="shared" si="6"/>
        <v>6018</v>
      </c>
      <c r="AA26" s="7">
        <f t="shared" si="6"/>
        <v>7018</v>
      </c>
      <c r="AB26" s="7">
        <f t="shared" si="6"/>
        <v>8018</v>
      </c>
      <c r="AD26" s="21" t="str">
        <f>IFERROR(INDEX($M:$M,MATCH(U26,$S:$S,0)),"&amp;")</f>
        <v>进献奇人</v>
      </c>
      <c r="AE26" s="21" t="str">
        <f>IFERROR(INDEX($M:$M,MATCH(V26,$S:$S,0)),"&amp;")</f>
        <v>权倾朝野</v>
      </c>
      <c r="AF26" s="21" t="str">
        <f>IFERROR(INDEX($M:$M,MATCH(W26,$S:$S,0)),"&amp;")</f>
        <v>生死予夺</v>
      </c>
      <c r="AG26" s="21" t="str">
        <f>IFERROR(INDEX($M:$M,MATCH(X26,$S:$S,0)),"&amp;")</f>
        <v>著书立说</v>
      </c>
      <c r="AH26" s="21" t="str">
        <f>IFERROR(INDEX($M:$M,MATCH(Y26,$S:$S,0)),"&amp;")</f>
        <v>权力之路</v>
      </c>
      <c r="AI26" s="21" t="str">
        <f>IFERROR(INDEX($M:$M,MATCH(Z26,$S:$S,0)),"&amp;")</f>
        <v>国之栋梁</v>
      </c>
      <c r="AJ26" s="21" t="str">
        <f>IFERROR(INDEX($M:$M,MATCH(AA26,$S:$S,0)),"&amp;")</f>
        <v>野心勃勃</v>
      </c>
      <c r="AK26" s="21" t="str">
        <f>IFERROR(INDEX($M:$M,MATCH(AB26,$S:$S,0)),"&amp;")</f>
        <v>大秦帝国</v>
      </c>
      <c r="AM26" s="21" t="str">
        <f>IFERROR(INDEX($N:$N,MATCH(U26,$S:$S,0)),"&amp;")</f>
        <v>进献奇人2</v>
      </c>
      <c r="AN26" s="21" t="str">
        <f>IFERROR(INDEX($N:$N,MATCH(V26,$S:$S,0)),"&amp;")</f>
        <v>权倾朝野1</v>
      </c>
      <c r="AO26" s="21" t="str">
        <f>IFERROR(INDEX($N:$N,MATCH(W26,$S:$S,0)),"&amp;")</f>
        <v>生死予夺2</v>
      </c>
      <c r="AP26" s="21" t="str">
        <f>IFERROR(INDEX($N:$N,MATCH(X26,$S:$S,0)),"&amp;")</f>
        <v>著书立说4</v>
      </c>
      <c r="AQ26" s="21" t="str">
        <f>IFERROR(INDEX($N:$N,MATCH(Y26,$S:$S,0)),"&amp;")</f>
        <v>权力之路2</v>
      </c>
      <c r="AR26" s="21" t="str">
        <f>IFERROR(INDEX($N:$N,MATCH(Z26,$S:$S,0)),"&amp;")</f>
        <v>国之栋梁2</v>
      </c>
      <c r="AS26" s="21" t="str">
        <f>IFERROR(INDEX($N:$N,MATCH(AA26,$S:$S,0)),"&amp;")</f>
        <v>野心勃勃2</v>
      </c>
      <c r="AT26" s="21" t="str">
        <f>IFERROR(INDEX($N:$N,MATCH(AB26,$S:$S,0)),"&amp;")</f>
        <v>大秦帝国2</v>
      </c>
      <c r="AV26" s="21" t="str">
        <f>IFERROR(SUBSTITUTE(INDEX($K:$K,MATCH(INDEX($M:$M,MATCH(AM26,$N:$N,0)),$M:$M,0)),$D26,""),"")</f>
        <v xml:space="preserve">嫪毐 </v>
      </c>
      <c r="AW26" s="21" t="str">
        <f>IFERROR(SUBSTITUTE(INDEX($K:$K,MATCH(INDEX($M:$M,MATCH(AN26,$N:$N,0)),$M:$M,0)),$D26,""),"")</f>
        <v xml:space="preserve"> 苏秦 信陵君</v>
      </c>
      <c r="AX26" s="21" t="str">
        <f>IFERROR(SUBSTITUTE(INDEX($K:$K,MATCH(INDEX($M:$M,MATCH(AO26,$N:$N,0)),$M:$M,0)),$D26,""),"")</f>
        <v xml:space="preserve">韩非子 </v>
      </c>
      <c r="AY26" s="21" t="str">
        <f>IFERROR(SUBSTITUTE(INDEX($K:$K,MATCH(INDEX($M:$M,MATCH(AP26,$N:$N,0)),$M:$M,0)),$D26,""),"")</f>
        <v xml:space="preserve">吴起 司马穰苴 孙膑 </v>
      </c>
      <c r="AZ26" s="21" t="str">
        <f>IFERROR(SUBSTITUTE(INDEX($K:$K,MATCH(INDEX($M:$M,MATCH(AQ26,$N:$N,0)),$M:$M,0)),$D26,""),"")</f>
        <v>典藏  韩非子</v>
      </c>
      <c r="BA26" s="21" t="str">
        <f>IFERROR(SUBSTITUTE(INDEX($K:$K,MATCH(INDEX($M:$M,MATCH(AR26,$N:$N,0)),$M:$M,0)),$D26,""),"")</f>
        <v>蔺相如  信陵君 项燕</v>
      </c>
      <c r="BB26" s="21" t="str">
        <f>IFERROR(SUBSTITUTE(INDEX($K:$K,MATCH(INDEX($M:$M,MATCH(AS26,$N:$N,0)),$M:$M,0)),$D26,""),"")</f>
        <v>晋文公  义渠骇 孙膑</v>
      </c>
      <c r="BC26" s="21" t="str">
        <f>IFERROR(SUBSTITUTE(INDEX($K:$K,MATCH(INDEX($M:$M,MATCH(AT26,$N:$N,0)),$M:$M,0)),$D26,""),"")</f>
        <v>嬴政  司马错 樗里疾</v>
      </c>
      <c r="BE26" s="9" t="str">
        <f t="shared" si="7"/>
        <v>嫪毐,吕不韦,苏秦,信陵君,韩非子,吴起,司马穰苴,孙膑,典藏吕不韦,蔺相如,项燕,晋文公,义渠骇,嬴政,司马错,樗里疾</v>
      </c>
      <c r="BI26" s="9" t="str">
        <f>IFERROR(
IF(COUNTIF($M:$M,$AD26)&lt;BI$8,
"",
INDEX($J:$J,MATCH($AD26,$M:$M,0)+BI$8-1)),
"")</f>
        <v>嫪毐</v>
      </c>
      <c r="BJ26" s="9" t="str">
        <f>IFERROR(
IF(COUNTIF($M:$M,$AD26)&lt;BJ$8,
"",
INDEX($J:$J,MATCH($AD26,$M:$M,0)+BJ$8-1)),
"")</f>
        <v>吕不韦</v>
      </c>
      <c r="BK26" s="9" t="str">
        <f>IFERROR(
IF(COUNTIF($M:$M,$AD26)&lt;BK$8,
"",
INDEX($J:$J,MATCH($AD26,$M:$M,0)+BK$8-1)),
"")</f>
        <v/>
      </c>
      <c r="BL26" s="9" t="str">
        <f>IFERROR(
IF(COUNTIF($M:$M,$AD26)&lt;BL$8,
"",
INDEX($J:$J,MATCH($AD26,$M:$M,0)+BL$8-1)),
"")</f>
        <v/>
      </c>
      <c r="BN26" s="21" t="str">
        <f>IFERROR(
IF(COUNTIF($BI26:BM26,INDEX($J:$J,MATCH($AE26,$M:$M,0)+BN$8-1))=0,
IF(COUNTIF($M:$M,$AE26)&lt;BN$8,
"",
INDEX($J:$J,MATCH($AE26,$M:$M,0)+BN$8-1)),
""),
"")</f>
        <v/>
      </c>
      <c r="BO26" s="21" t="str">
        <f>IFERROR(
IF(COUNTIF($BI26:BN26,INDEX($J:$J,MATCH($AE26,$M:$M,0)+BO$8-1))=0,
IF(COUNTIF($M:$M,$AE26)&lt;BO$8,
"",
INDEX($J:$J,MATCH($AE26,$M:$M,0)+BO$8-1)),
""),
"")</f>
        <v>苏秦</v>
      </c>
      <c r="BP26" s="21" t="str">
        <f>IFERROR(
IF(COUNTIF($BI26:BO26,INDEX($J:$J,MATCH($AE26,$M:$M,0)+BP$8-1))=0,
IF(COUNTIF($M:$M,$AE26)&lt;BP$8,
"",
INDEX($J:$J,MATCH($AE26,$M:$M,0)+BP$8-1)),
""),
"")</f>
        <v>信陵君</v>
      </c>
      <c r="BQ26" s="21" t="str">
        <f>IFERROR(
IF(COUNTIF($BI26:BP26,INDEX($J:$J,MATCH($AE26,$M:$M,0)+BQ$8-1))=0,
IF(COUNTIF($M:$M,$AE26)&lt;BQ$8,
"",
INDEX($J:$J,MATCH($AE26,$M:$M,0)+BQ$8-1)),
""),
"")</f>
        <v/>
      </c>
      <c r="BS26" s="21" t="str">
        <f>IFERROR(
IF(COUNTIF($BI26:BR26,INDEX($J:$J,MATCH($AF26,$M:$M,0)+BS$8-1))=0,
IF(COUNTIF($M:$M,$AF26)&lt;BS$8,
"",
INDEX($J:$J,MATCH($AF26,$M:$M,0)+BS$8-1)),
""),
"")</f>
        <v>韩非子</v>
      </c>
      <c r="BT26" s="21" t="str">
        <f>IFERROR(
IF(COUNTIF($BI26:BS26,INDEX($J:$J,MATCH($AF26,$M:$M,0)+BT$8-1))=0,
IF(COUNTIF($M:$M,$AF26)&lt;BT$8,
"",
INDEX($J:$J,MATCH($AF26,$M:$M,0)+BT$8-1)),
""),
"")</f>
        <v/>
      </c>
      <c r="BU26" s="21" t="str">
        <f>IFERROR(
IF(COUNTIF($BI26:BT26,INDEX($J:$J,MATCH($AF26,$M:$M,0)+BU$8-1))=0,
IF(COUNTIF($M:$M,$AF26)&lt;BU$8,
"",
INDEX($J:$J,MATCH($AF26,$M:$M,0)+BU$8-1)),
""),
"")</f>
        <v/>
      </c>
      <c r="BV26" s="21" t="str">
        <f>IFERROR(
IF(COUNTIF($BI26:BU26,INDEX($J:$J,MATCH($AF26,$M:$M,0)+BV$8-1))=0,
IF(COUNTIF($M:$M,$AF26)&lt;BV$8,
"",
INDEX($J:$J,MATCH($AF26,$M:$M,0)+BV$8-1)),
""),
"")</f>
        <v/>
      </c>
      <c r="BX26" s="21" t="str">
        <f>IFERROR(
IF(COUNTIF($BI26:BW26,INDEX($J:$J,MATCH($AG26,$M:$M,0)+BX$8-1))=0,
IF(COUNTIF($M:$M,$AG26)&lt;BX$8,
"",
INDEX($J:$J,MATCH($AG26,$M:$M,0)+BX$8-1)),
""),
"")</f>
        <v>吴起</v>
      </c>
      <c r="BY26" s="21" t="str">
        <f>IFERROR(
IF(COUNTIF($BI26:BX26,INDEX($J:$J,MATCH($AG26,$M:$M,0)+BY$8-1))=0,
IF(COUNTIF($M:$M,$AG26)&lt;BY$8,
"",
INDEX($J:$J,MATCH($AG26,$M:$M,0)+BY$8-1)),
""),
"")</f>
        <v>司马穰苴</v>
      </c>
      <c r="BZ26" s="21" t="str">
        <f>IFERROR(
IF(COUNTIF($BI26:BY26,INDEX($J:$J,MATCH($AG26,$M:$M,0)+BZ$8-1))=0,
IF(COUNTIF($M:$M,$AG26)&lt;BZ$8,
"",
INDEX($J:$J,MATCH($AG26,$M:$M,0)+BZ$8-1)),
""),
"")</f>
        <v>孙膑</v>
      </c>
      <c r="CA26" s="21" t="str">
        <f>IFERROR(
IF(COUNTIF($BI26:BZ26,INDEX($J:$J,MATCH($AG26,$M:$M,0)+CA$8-1))=0,
IF(COUNTIF($M:$M,$AG26)&lt;CA$8,
"",
INDEX($J:$J,MATCH($AG26,$M:$M,0)+CA$8-1)),
""),
"")</f>
        <v/>
      </c>
      <c r="CC26" s="21" t="str">
        <f>IFERROR(
IF(COUNTIF($BI26:CB26,INDEX($J:$J,MATCH($AH26,$M:$M,0)+CC$8-1))=0,
IF(COUNTIF($M:$M,$AH26)&lt;CC$8,
"",
INDEX($J:$J,MATCH($AH26,$M:$M,0)+CC$8-1)),
""),
"")</f>
        <v>典藏吕不韦</v>
      </c>
      <c r="CD26" s="21" t="str">
        <f>IFERROR(
IF(COUNTIF($BI26:CC26,INDEX($J:$J,MATCH($AH26,$M:$M,0)+CD$8-1))=0,
IF(COUNTIF($M:$M,$AH26)&lt;CD$8,
"",
INDEX($J:$J,MATCH($AH26,$M:$M,0)+CD$8-1)),
""),
"")</f>
        <v/>
      </c>
      <c r="CE26" s="21" t="str">
        <f>IFERROR(
IF(COUNTIF($BI26:CD26,INDEX($J:$J,MATCH($AH26,$M:$M,0)+CE$8-1))=0,
IF(COUNTIF($M:$M,$AH26)&lt;CE$8,
"",
INDEX($J:$J,MATCH($AH26,$M:$M,0)+CE$8-1)),
""),
"")</f>
        <v/>
      </c>
      <c r="CF26" s="21" t="str">
        <f>IFERROR(
IF(COUNTIF($BI26:CE26,INDEX($J:$J,MATCH($AH26,$M:$M,0)+CF$8-1))=0,
IF(COUNTIF($M:$M,$AH26)&lt;CF$8,
"",
INDEX($J:$J,MATCH($AH26,$M:$M,0)+CF$8-1)),
""),
"")</f>
        <v/>
      </c>
      <c r="CH26" s="21" t="str">
        <f>IFERROR(
IF(COUNTIF($BI26:CG26,INDEX($J:$J,MATCH($AI26,$M:$M,0)+CH$8-1))=0,
IF(COUNTIF($M:$M,$AI26)&lt;CH$8,
"",
INDEX($J:$J,MATCH($AI26,$M:$M,0)+CH$8-1)),
""),
"")</f>
        <v>蔺相如</v>
      </c>
      <c r="CI26" s="21" t="str">
        <f>IFERROR(
IF(COUNTIF($BI26:CH26,INDEX($J:$J,MATCH($AI26,$M:$M,0)+CI$8-1))=0,
IF(COUNTIF($M:$M,$AI26)&lt;CI$8,
"",
INDEX($J:$J,MATCH($AI26,$M:$M,0)+CI$8-1)),
""),
"")</f>
        <v/>
      </c>
      <c r="CJ26" s="21" t="str">
        <f>IFERROR(
IF(COUNTIF($BI26:CI26,INDEX($J:$J,MATCH($AI26,$M:$M,0)+CJ$8-1))=0,
IF(COUNTIF($M:$M,$AI26)&lt;CJ$8,
"",
INDEX($J:$J,MATCH($AI26,$M:$M,0)+CJ$8-1)),
""),
"")</f>
        <v/>
      </c>
      <c r="CK26" s="21" t="str">
        <f>IFERROR(
IF(COUNTIF($BI26:CJ26,INDEX($J:$J,MATCH($AI26,$M:$M,0)+CK$8-1))=0,
IF(COUNTIF($M:$M,$AI26)&lt;CK$8,
"",
INDEX($J:$J,MATCH($AI26,$M:$M,0)+CK$8-1)),
""),
"")</f>
        <v>项燕</v>
      </c>
      <c r="CM26" s="21" t="str">
        <f>IFERROR(
IF(COUNTIF($BI26:CL26,INDEX($J:$J,MATCH($AJ26,$M:$M,0)+CM$8-1))=0,
IF(COUNTIF($M:$M,$AJ26)&lt;CM$8,
"",
INDEX($J:$J,MATCH($AJ26,$M:$M,0)+CM$8-1)),
""),
"")</f>
        <v>晋文公</v>
      </c>
      <c r="CN26" s="21" t="str">
        <f>IFERROR(
IF(COUNTIF($BI26:CM26,INDEX($J:$J,MATCH($AJ26,$M:$M,0)+CN$8-1))=0,
IF(COUNTIF($M:$M,$AJ26)&lt;CN$8,
"",
INDEX($J:$J,MATCH($AJ26,$M:$M,0)+CN$8-1)),
""),
"")</f>
        <v/>
      </c>
      <c r="CO26" s="21" t="str">
        <f>IFERROR(
IF(COUNTIF($BI26:CN26,INDEX($J:$J,MATCH($AJ26,$M:$M,0)+CO$8-1))=0,
IF(COUNTIF($M:$M,$AJ26)&lt;CO$8,
"",
INDEX($J:$J,MATCH($AJ26,$M:$M,0)+CO$8-1)),
""),
"")</f>
        <v>义渠骇</v>
      </c>
      <c r="CP26" s="21" t="str">
        <f>IFERROR(
IF(COUNTIF($BI26:CO26,INDEX($J:$J,MATCH($AJ26,$M:$M,0)+CP$8-1))=0,
IF(COUNTIF($M:$M,$AJ26)&lt;CP$8,
"",
INDEX($J:$J,MATCH($AJ26,$M:$M,0)+CP$8-1)),
""),
"")</f>
        <v/>
      </c>
      <c r="CR26" s="21" t="str">
        <f>IFERROR(
IF(COUNTIF($BI26:CQ26,INDEX($J:$J,MATCH($AK26,$M:$M,0)+CR$8-1))=0,
IF(COUNTIF($M:$M,$AK26)&lt;CR$8,
"",
INDEX($J:$J,MATCH($AK26,$M:$M,0)+CR$8-1)),
""),
"")</f>
        <v>嬴政</v>
      </c>
      <c r="CS26" s="21" t="str">
        <f>IFERROR(
IF(COUNTIF($BI26:CR26,INDEX($J:$J,MATCH($AK26,$M:$M,0)+CS$8-1))=0,
IF(COUNTIF($M:$M,$AK26)&lt;CS$8,
"",
INDEX($J:$J,MATCH($AK26,$M:$M,0)+CS$8-1)),
""),
"")</f>
        <v/>
      </c>
      <c r="CT26" s="21" t="str">
        <f>IFERROR(
IF(COUNTIF($BI26:CS26,INDEX($J:$J,MATCH($AK26,$M:$M,0)+CT$8-1))=0,
IF(COUNTIF($M:$M,$AK26)&lt;CT$8,
"",
INDEX($J:$J,MATCH($AK26,$M:$M,0)+CT$8-1)),
""),
"")</f>
        <v>司马错</v>
      </c>
      <c r="CU26" s="21" t="str">
        <f>IFERROR(
IF(COUNTIF($BI26:CT26,INDEX($J:$J,MATCH($AK26,$M:$M,0)+CU$8-1))=0,
IF(COUNTIF($M:$M,$AK26)&lt;CU$8,
"",
INDEX($J:$J,MATCH($AK26,$M:$M,0)+CU$8-1)),
""),
"")</f>
        <v>樗里疾</v>
      </c>
    </row>
    <row r="27" spans="3:99" ht="14.25">
      <c r="C27" s="16">
        <v>19</v>
      </c>
      <c r="D27" s="19" t="s">
        <v>503</v>
      </c>
      <c r="E27" s="20">
        <f>INDEX([1]武将基本资料!$S:$S,MATCH(D27,[1]武将基本资料!$N:$N,0))</f>
        <v>130</v>
      </c>
      <c r="F27" s="20" t="str">
        <f>INDEX([1]武将基本资料!$Q:$Q,MATCH(D27,[1]武将基本资料!$N:$N,0))</f>
        <v>橙+</v>
      </c>
      <c r="H27" s="7">
        <f>IF(I27="","",COUNTA(I$9:$I27))</f>
        <v>18</v>
      </c>
      <c r="I27" s="6" t="s">
        <v>167</v>
      </c>
      <c r="J27" s="6" t="s">
        <v>50</v>
      </c>
      <c r="K27" s="8" t="str">
        <f>IF(H27="","",阶段合并区域(J27:J37," ",L27:L37,1))</f>
        <v>聂荌 专诸 荆轲 莫邪</v>
      </c>
      <c r="L27" s="8">
        <f>COUNTIF(M$8:$M27,"="&amp;M27)</f>
        <v>1</v>
      </c>
      <c r="M27" s="9" t="str">
        <f t="shared" si="3"/>
        <v>江湖豪侠</v>
      </c>
      <c r="N27" s="9" t="str">
        <f t="shared" si="4"/>
        <v>江湖豪侠1</v>
      </c>
      <c r="O27" s="15">
        <f>INDEX(C:C,MATCH(J27,D:D,0))</f>
        <v>10</v>
      </c>
      <c r="P27" s="9">
        <f>INDEX(E:E,MATCH(J27,D:D,0))</f>
        <v>110</v>
      </c>
      <c r="Q27" s="7">
        <f t="shared" si="0"/>
        <v>10</v>
      </c>
      <c r="R27" s="7">
        <f>COUNTIF(J$8:$J27,"="&amp;J27)</f>
        <v>2</v>
      </c>
      <c r="S27" s="7">
        <f t="shared" si="5"/>
        <v>2010</v>
      </c>
      <c r="U27" s="7">
        <f t="shared" si="6"/>
        <v>1019</v>
      </c>
      <c r="V27" s="7">
        <f t="shared" si="6"/>
        <v>2019</v>
      </c>
      <c r="W27" s="7">
        <f t="shared" si="6"/>
        <v>3019</v>
      </c>
      <c r="X27" s="7">
        <f t="shared" si="6"/>
        <v>4019</v>
      </c>
      <c r="Y27" s="7">
        <f t="shared" si="6"/>
        <v>5019</v>
      </c>
      <c r="Z27" s="7">
        <f t="shared" si="6"/>
        <v>6019</v>
      </c>
      <c r="AA27" s="7">
        <f t="shared" si="6"/>
        <v>7019</v>
      </c>
      <c r="AB27" s="7">
        <f t="shared" si="6"/>
        <v>8019</v>
      </c>
      <c r="AD27" s="21" t="str">
        <f>IFERROR(INDEX($M:$M,MATCH(U27,$S:$S,0)),"&amp;")</f>
        <v>王佐之才</v>
      </c>
      <c r="AE27" s="21" t="str">
        <f>IFERROR(INDEX($M:$M,MATCH(V27,$S:$S,0)),"&amp;")</f>
        <v>主仆殊途</v>
      </c>
      <c r="AF27" s="21" t="str">
        <f>IFERROR(INDEX($M:$M,MATCH(W27,$S:$S,0)),"&amp;")</f>
        <v>人定胜天</v>
      </c>
      <c r="AG27" s="21" t="str">
        <f>IFERROR(INDEX($M:$M,MATCH(X27,$S:$S,0)),"&amp;")</f>
        <v>&amp;</v>
      </c>
      <c r="AH27" s="21" t="str">
        <f>IFERROR(INDEX($M:$M,MATCH(Y27,$S:$S,0)),"&amp;")</f>
        <v>&amp;</v>
      </c>
      <c r="AI27" s="21" t="str">
        <f>IFERROR(INDEX($M:$M,MATCH(Z27,$S:$S,0)),"&amp;")</f>
        <v>&amp;</v>
      </c>
      <c r="AJ27" s="21" t="str">
        <f>IFERROR(INDEX($M:$M,MATCH(AA27,$S:$S,0)),"&amp;")</f>
        <v>&amp;</v>
      </c>
      <c r="AK27" s="21" t="str">
        <f>IFERROR(INDEX($M:$M,MATCH(AB27,$S:$S,0)),"&amp;")</f>
        <v>&amp;</v>
      </c>
      <c r="AM27" s="21" t="str">
        <f>IFERROR(INDEX($N:$N,MATCH(U27,$S:$S,0)),"&amp;")</f>
        <v>王佐之才1</v>
      </c>
      <c r="AN27" s="21" t="str">
        <f>IFERROR(INDEX($N:$N,MATCH(V27,$S:$S,0)),"&amp;")</f>
        <v>主仆殊途1</v>
      </c>
      <c r="AO27" s="21" t="str">
        <f>IFERROR(INDEX($N:$N,MATCH(W27,$S:$S,0)),"&amp;")</f>
        <v>人定胜天1</v>
      </c>
      <c r="AP27" s="21" t="str">
        <f>IFERROR(INDEX($N:$N,MATCH(X27,$S:$S,0)),"&amp;")</f>
        <v>&amp;</v>
      </c>
      <c r="AQ27" s="21" t="str">
        <f>IFERROR(INDEX($N:$N,MATCH(Y27,$S:$S,0)),"&amp;")</f>
        <v>&amp;</v>
      </c>
      <c r="AR27" s="21" t="str">
        <f>IFERROR(INDEX($N:$N,MATCH(Z27,$S:$S,0)),"&amp;")</f>
        <v>&amp;</v>
      </c>
      <c r="AS27" s="21" t="str">
        <f>IFERROR(INDEX($N:$N,MATCH(AA27,$S:$S,0)),"&amp;")</f>
        <v>&amp;</v>
      </c>
      <c r="AT27" s="21" t="str">
        <f>IFERROR(INDEX($N:$N,MATCH(AB27,$S:$S,0)),"&amp;")</f>
        <v>&amp;</v>
      </c>
      <c r="AV27" s="21" t="str">
        <f>IFERROR(SUBSTITUTE(INDEX($K:$K,MATCH(INDEX($M:$M,MATCH(AM27,$N:$N,0)),$M:$M,0)),$D27,""),"")</f>
        <v>范增 李斯 韩非子</v>
      </c>
      <c r="AW27" s="21" t="str">
        <f>IFERROR(SUBSTITUTE(INDEX($K:$K,MATCH(INDEX($M:$M,MATCH(AN27,$N:$N,0)),$M:$M,0)),$D27,""),"")</f>
        <v xml:space="preserve"> 嬴政</v>
      </c>
      <c r="AX27" s="21" t="str">
        <f>IFERROR(SUBSTITUTE(INDEX($K:$K,MATCH(INDEX($M:$M,MATCH(AO27,$N:$N,0)),$M:$M,0)),$D27,""),"")</f>
        <v xml:space="preserve"> 赵云</v>
      </c>
      <c r="AY27" s="21" t="str">
        <f>IFERROR(SUBSTITUTE(INDEX($K:$K,MATCH(INDEX($M:$M,MATCH(AP27,$N:$N,0)),$M:$M,0)),$D27,""),"")</f>
        <v/>
      </c>
      <c r="AZ27" s="21" t="str">
        <f>IFERROR(SUBSTITUTE(INDEX($K:$K,MATCH(INDEX($M:$M,MATCH(AQ27,$N:$N,0)),$M:$M,0)),$D27,""),"")</f>
        <v/>
      </c>
      <c r="BA27" s="21" t="str">
        <f>IFERROR(SUBSTITUTE(INDEX($K:$K,MATCH(INDEX($M:$M,MATCH(AR27,$N:$N,0)),$M:$M,0)),$D27,""),"")</f>
        <v/>
      </c>
      <c r="BB27" s="21" t="str">
        <f>IFERROR(SUBSTITUTE(INDEX($K:$K,MATCH(INDEX($M:$M,MATCH(AS27,$N:$N,0)),$M:$M,0)),$D27,""),"")</f>
        <v/>
      </c>
      <c r="BC27" s="21" t="str">
        <f>IFERROR(SUBSTITUTE(INDEX($K:$K,MATCH(INDEX($M:$M,MATCH(AT27,$N:$N,0)),$M:$M,0)),$D27,""),"")</f>
        <v/>
      </c>
      <c r="BE27" s="9" t="str">
        <f t="shared" si="7"/>
        <v>范增,李斯,韩非子,虞姬,荀彧,嬴政,赵云</v>
      </c>
      <c r="BI27" s="9" t="str">
        <f>IFERROR(
IF(COUNTIF($M:$M,$AD27)&lt;BI$8,
"",
INDEX($J:$J,MATCH($AD27,$M:$M,0)+BI$8-1)),
"")</f>
        <v>范增</v>
      </c>
      <c r="BJ27" s="9" t="str">
        <f>IFERROR(
IF(COUNTIF($M:$M,$AD27)&lt;BJ$8,
"",
INDEX($J:$J,MATCH($AD27,$M:$M,0)+BJ$8-1)),
"")</f>
        <v>李斯</v>
      </c>
      <c r="BK27" s="9" t="str">
        <f>IFERROR(
IF(COUNTIF($M:$M,$AD27)&lt;BK$8,
"",
INDEX($J:$J,MATCH($AD27,$M:$M,0)+BK$8-1)),
"")</f>
        <v>韩非子</v>
      </c>
      <c r="BL27" s="9" t="str">
        <f>IFERROR(
IF(COUNTIF($M:$M,$AD27)&lt;BL$8,
"",
INDEX($J:$J,MATCH($AD27,$M:$M,0)+BL$8-1)),
"")</f>
        <v>虞姬</v>
      </c>
      <c r="BN27" s="21" t="str">
        <f>IFERROR(
IF(COUNTIF($BI27:BM27,INDEX($J:$J,MATCH($AE27,$M:$M,0)+BN$8-1))=0,
IF(COUNTIF($M:$M,$AE27)&lt;BN$8,
"",
INDEX($J:$J,MATCH($AE27,$M:$M,0)+BN$8-1)),
""),
"")</f>
        <v>荀彧</v>
      </c>
      <c r="BO27" s="21" t="str">
        <f>IFERROR(
IF(COUNTIF($BI27:BN27,INDEX($J:$J,MATCH($AE27,$M:$M,0)+BO$8-1))=0,
IF(COUNTIF($M:$M,$AE27)&lt;BO$8,
"",
INDEX($J:$J,MATCH($AE27,$M:$M,0)+BO$8-1)),
""),
"")</f>
        <v>嬴政</v>
      </c>
      <c r="BP27" s="21" t="str">
        <f>IFERROR(
IF(COUNTIF($BI27:BO27,INDEX($J:$J,MATCH($AE27,$M:$M,0)+BP$8-1))=0,
IF(COUNTIF($M:$M,$AE27)&lt;BP$8,
"",
INDEX($J:$J,MATCH($AE27,$M:$M,0)+BP$8-1)),
""),
"")</f>
        <v/>
      </c>
      <c r="BQ27" s="21" t="str">
        <f>IFERROR(
IF(COUNTIF($BI27:BP27,INDEX($J:$J,MATCH($AE27,$M:$M,0)+BQ$8-1))=0,
IF(COUNTIF($M:$M,$AE27)&lt;BQ$8,
"",
INDEX($J:$J,MATCH($AE27,$M:$M,0)+BQ$8-1)),
""),
"")</f>
        <v/>
      </c>
      <c r="BS27" s="21" t="str">
        <f>IFERROR(
IF(COUNTIF($BI27:BR27,INDEX($J:$J,MATCH($AF27,$M:$M,0)+BS$8-1))=0,
IF(COUNTIF($M:$M,$AF27)&lt;BS$8,
"",
INDEX($J:$J,MATCH($AF27,$M:$M,0)+BS$8-1)),
""),
"")</f>
        <v/>
      </c>
      <c r="BT27" s="21" t="str">
        <f>IFERROR(
IF(COUNTIF($BI27:BS27,INDEX($J:$J,MATCH($AF27,$M:$M,0)+BT$8-1))=0,
IF(COUNTIF($M:$M,$AF27)&lt;BT$8,
"",
INDEX($J:$J,MATCH($AF27,$M:$M,0)+BT$8-1)),
""),
"")</f>
        <v>赵云</v>
      </c>
      <c r="BU27" s="21" t="str">
        <f>IFERROR(
IF(COUNTIF($BI27:BT27,INDEX($J:$J,MATCH($AF27,$M:$M,0)+BU$8-1))=0,
IF(COUNTIF($M:$M,$AF27)&lt;BU$8,
"",
INDEX($J:$J,MATCH($AF27,$M:$M,0)+BU$8-1)),
""),
"")</f>
        <v/>
      </c>
      <c r="BV27" s="21" t="str">
        <f>IFERROR(
IF(COUNTIF($BI27:BU27,INDEX($J:$J,MATCH($AF27,$M:$M,0)+BV$8-1))=0,
IF(COUNTIF($M:$M,$AF27)&lt;BV$8,
"",
INDEX($J:$J,MATCH($AF27,$M:$M,0)+BV$8-1)),
""),
"")</f>
        <v/>
      </c>
      <c r="BX27" s="21" t="str">
        <f>IFERROR(
IF(COUNTIF($BI27:BW27,INDEX($J:$J,MATCH($AG27,$M:$M,0)+BX$8-1))=0,
IF(COUNTIF($M:$M,$AG27)&lt;BX$8,
"",
INDEX($J:$J,MATCH($AG27,$M:$M,0)+BX$8-1)),
""),
"")</f>
        <v/>
      </c>
      <c r="BY27" s="21" t="str">
        <f>IFERROR(
IF(COUNTIF($BI27:BX27,INDEX($J:$J,MATCH($AG27,$M:$M,0)+BY$8-1))=0,
IF(COUNTIF($M:$M,$AG27)&lt;BY$8,
"",
INDEX($J:$J,MATCH($AG27,$M:$M,0)+BY$8-1)),
""),
"")</f>
        <v/>
      </c>
      <c r="BZ27" s="21" t="str">
        <f>IFERROR(
IF(COUNTIF($BI27:BY27,INDEX($J:$J,MATCH($AG27,$M:$M,0)+BZ$8-1))=0,
IF(COUNTIF($M:$M,$AG27)&lt;BZ$8,
"",
INDEX($J:$J,MATCH($AG27,$M:$M,0)+BZ$8-1)),
""),
"")</f>
        <v/>
      </c>
      <c r="CA27" s="21" t="str">
        <f>IFERROR(
IF(COUNTIF($BI27:BZ27,INDEX($J:$J,MATCH($AG27,$M:$M,0)+CA$8-1))=0,
IF(COUNTIF($M:$M,$AG27)&lt;CA$8,
"",
INDEX($J:$J,MATCH($AG27,$M:$M,0)+CA$8-1)),
""),
"")</f>
        <v/>
      </c>
      <c r="CC27" s="21" t="str">
        <f>IFERROR(
IF(COUNTIF($BI27:CB27,INDEX($J:$J,MATCH($AH27,$M:$M,0)+CC$8-1))=0,
IF(COUNTIF($M:$M,$AH27)&lt;CC$8,
"",
INDEX($J:$J,MATCH($AH27,$M:$M,0)+CC$8-1)),
""),
"")</f>
        <v/>
      </c>
      <c r="CD27" s="21" t="str">
        <f>IFERROR(
IF(COUNTIF($BI27:CC27,INDEX($J:$J,MATCH($AH27,$M:$M,0)+CD$8-1))=0,
IF(COUNTIF($M:$M,$AH27)&lt;CD$8,
"",
INDEX($J:$J,MATCH($AH27,$M:$M,0)+CD$8-1)),
""),
"")</f>
        <v/>
      </c>
      <c r="CE27" s="21" t="str">
        <f>IFERROR(
IF(COUNTIF($BI27:CD27,INDEX($J:$J,MATCH($AH27,$M:$M,0)+CE$8-1))=0,
IF(COUNTIF($M:$M,$AH27)&lt;CE$8,
"",
INDEX($J:$J,MATCH($AH27,$M:$M,0)+CE$8-1)),
""),
"")</f>
        <v/>
      </c>
      <c r="CF27" s="21" t="str">
        <f>IFERROR(
IF(COUNTIF($BI27:CE27,INDEX($J:$J,MATCH($AH27,$M:$M,0)+CF$8-1))=0,
IF(COUNTIF($M:$M,$AH27)&lt;CF$8,
"",
INDEX($J:$J,MATCH($AH27,$M:$M,0)+CF$8-1)),
""),
"")</f>
        <v/>
      </c>
      <c r="CH27" s="21" t="str">
        <f>IFERROR(
IF(COUNTIF($BI27:CG27,INDEX($J:$J,MATCH($AI27,$M:$M,0)+CH$8-1))=0,
IF(COUNTIF($M:$M,$AI27)&lt;CH$8,
"",
INDEX($J:$J,MATCH($AI27,$M:$M,0)+CH$8-1)),
""),
"")</f>
        <v/>
      </c>
      <c r="CI27" s="21" t="str">
        <f>IFERROR(
IF(COUNTIF($BI27:CH27,INDEX($J:$J,MATCH($AI27,$M:$M,0)+CI$8-1))=0,
IF(COUNTIF($M:$M,$AI27)&lt;CI$8,
"",
INDEX($J:$J,MATCH($AI27,$M:$M,0)+CI$8-1)),
""),
"")</f>
        <v/>
      </c>
      <c r="CJ27" s="21" t="str">
        <f>IFERROR(
IF(COUNTIF($BI27:CI27,INDEX($J:$J,MATCH($AI27,$M:$M,0)+CJ$8-1))=0,
IF(COUNTIF($M:$M,$AI27)&lt;CJ$8,
"",
INDEX($J:$J,MATCH($AI27,$M:$M,0)+CJ$8-1)),
""),
"")</f>
        <v/>
      </c>
      <c r="CK27" s="21" t="str">
        <f>IFERROR(
IF(COUNTIF($BI27:CJ27,INDEX($J:$J,MATCH($AI27,$M:$M,0)+CK$8-1))=0,
IF(COUNTIF($M:$M,$AI27)&lt;CK$8,
"",
INDEX($J:$J,MATCH($AI27,$M:$M,0)+CK$8-1)),
""),
"")</f>
        <v/>
      </c>
      <c r="CM27" s="21" t="str">
        <f>IFERROR(
IF(COUNTIF($BI27:CL27,INDEX($J:$J,MATCH($AJ27,$M:$M,0)+CM$8-1))=0,
IF(COUNTIF($M:$M,$AJ27)&lt;CM$8,
"",
INDEX($J:$J,MATCH($AJ27,$M:$M,0)+CM$8-1)),
""),
"")</f>
        <v/>
      </c>
      <c r="CN27" s="21" t="str">
        <f>IFERROR(
IF(COUNTIF($BI27:CM27,INDEX($J:$J,MATCH($AJ27,$M:$M,0)+CN$8-1))=0,
IF(COUNTIF($M:$M,$AJ27)&lt;CN$8,
"",
INDEX($J:$J,MATCH($AJ27,$M:$M,0)+CN$8-1)),
""),
"")</f>
        <v/>
      </c>
      <c r="CO27" s="21" t="str">
        <f>IFERROR(
IF(COUNTIF($BI27:CN27,INDEX($J:$J,MATCH($AJ27,$M:$M,0)+CO$8-1))=0,
IF(COUNTIF($M:$M,$AJ27)&lt;CO$8,
"",
INDEX($J:$J,MATCH($AJ27,$M:$M,0)+CO$8-1)),
""),
"")</f>
        <v/>
      </c>
      <c r="CP27" s="21" t="str">
        <f>IFERROR(
IF(COUNTIF($BI27:CO27,INDEX($J:$J,MATCH($AJ27,$M:$M,0)+CP$8-1))=0,
IF(COUNTIF($M:$M,$AJ27)&lt;CP$8,
"",
INDEX($J:$J,MATCH($AJ27,$M:$M,0)+CP$8-1)),
""),
"")</f>
        <v/>
      </c>
      <c r="CR27" s="21" t="str">
        <f>IFERROR(
IF(COUNTIF($BI27:CQ27,INDEX($J:$J,MATCH($AK27,$M:$M,0)+CR$8-1))=0,
IF(COUNTIF($M:$M,$AK27)&lt;CR$8,
"",
INDEX($J:$J,MATCH($AK27,$M:$M,0)+CR$8-1)),
""),
"")</f>
        <v/>
      </c>
      <c r="CS27" s="21" t="str">
        <f>IFERROR(
IF(COUNTIF($BI27:CR27,INDEX($J:$J,MATCH($AK27,$M:$M,0)+CS$8-1))=0,
IF(COUNTIF($M:$M,$AK27)&lt;CS$8,
"",
INDEX($J:$J,MATCH($AK27,$M:$M,0)+CS$8-1)),
""),
"")</f>
        <v/>
      </c>
      <c r="CT27" s="21" t="str">
        <f>IFERROR(
IF(COUNTIF($BI27:CS27,INDEX($J:$J,MATCH($AK27,$M:$M,0)+CT$8-1))=0,
IF(COUNTIF($M:$M,$AK27)&lt;CT$8,
"",
INDEX($J:$J,MATCH($AK27,$M:$M,0)+CT$8-1)),
""),
"")</f>
        <v/>
      </c>
      <c r="CU27" s="21" t="str">
        <f>IFERROR(
IF(COUNTIF($BI27:CT27,INDEX($J:$J,MATCH($AK27,$M:$M,0)+CU$8-1))=0,
IF(COUNTIF($M:$M,$AK27)&lt;CU$8,
"",
INDEX($J:$J,MATCH($AK27,$M:$M,0)+CU$8-1)),
""),
"")</f>
        <v/>
      </c>
    </row>
    <row r="28" spans="3:99" ht="14.25">
      <c r="C28" s="16">
        <v>20</v>
      </c>
      <c r="D28" s="19" t="s">
        <v>191</v>
      </c>
      <c r="E28" s="20">
        <f>INDEX([1]武将基本资料!$S:$S,MATCH(D28,[1]武将基本资料!$N:$N,0))</f>
        <v>120</v>
      </c>
      <c r="F28" s="20" t="str">
        <f>INDEX([1]武将基本资料!$Q:$Q,MATCH(D28,[1]武将基本资料!$N:$N,0))</f>
        <v>橙</v>
      </c>
      <c r="H28" s="7" t="str">
        <f>IF(I28="","",COUNTA(I$9:$I28))</f>
        <v/>
      </c>
      <c r="I28" s="6" t="s">
        <v>188</v>
      </c>
      <c r="J28" s="6" t="s">
        <v>52</v>
      </c>
      <c r="K28" s="8" t="str">
        <f>IF(H28="","",阶段合并区域(J28:J37," ",L28:L37,1))</f>
        <v/>
      </c>
      <c r="L28" s="8">
        <f>COUNTIF(M$8:$M28,"="&amp;M28)</f>
        <v>2</v>
      </c>
      <c r="M28" s="9" t="str">
        <f t="shared" si="3"/>
        <v>江湖豪侠</v>
      </c>
      <c r="N28" s="9" t="str">
        <f t="shared" si="4"/>
        <v>江湖豪侠2</v>
      </c>
      <c r="O28" s="15">
        <f>INDEX(C:C,MATCH(J28,D:D,0))</f>
        <v>11</v>
      </c>
      <c r="P28" s="9">
        <f>INDEX(E:E,MATCH(J28,D:D,0))</f>
        <v>110</v>
      </c>
      <c r="Q28" s="7">
        <f t="shared" si="0"/>
        <v>11</v>
      </c>
      <c r="R28" s="7">
        <f>COUNTIF(J$8:$J28,"="&amp;J28)</f>
        <v>3</v>
      </c>
      <c r="S28" s="7">
        <f t="shared" si="5"/>
        <v>3011</v>
      </c>
      <c r="U28" s="7">
        <f t="shared" si="6"/>
        <v>1020</v>
      </c>
      <c r="V28" s="7">
        <f t="shared" si="6"/>
        <v>2020</v>
      </c>
      <c r="W28" s="7">
        <f t="shared" si="6"/>
        <v>3020</v>
      </c>
      <c r="X28" s="7">
        <f t="shared" si="6"/>
        <v>4020</v>
      </c>
      <c r="Y28" s="7">
        <f t="shared" si="6"/>
        <v>5020</v>
      </c>
      <c r="Z28" s="7">
        <f t="shared" si="6"/>
        <v>6020</v>
      </c>
      <c r="AA28" s="7">
        <f t="shared" si="6"/>
        <v>7020</v>
      </c>
      <c r="AB28" s="7">
        <f t="shared" si="6"/>
        <v>8020</v>
      </c>
      <c r="AD28" s="21" t="str">
        <f>IFERROR(INDEX($M:$M,MATCH(U28,$S:$S,0)),"&amp;")</f>
        <v>力敌万夫</v>
      </c>
      <c r="AE28" s="21" t="str">
        <f>IFERROR(INDEX($M:$M,MATCH(V28,$S:$S,0)),"&amp;")</f>
        <v>平定蜀乱</v>
      </c>
      <c r="AF28" s="21" t="str">
        <f>IFERROR(INDEX($M:$M,MATCH(W28,$S:$S,0)),"&amp;")</f>
        <v>问鼎之心</v>
      </c>
      <c r="AG28" s="21" t="str">
        <f>IFERROR(INDEX($M:$M,MATCH(X28,$S:$S,0)),"&amp;")</f>
        <v>英雄美人</v>
      </c>
      <c r="AH28" s="21" t="str">
        <f>IFERROR(INDEX($M:$M,MATCH(Y28,$S:$S,0)),"&amp;")</f>
        <v>春秋霸主</v>
      </c>
      <c r="AI28" s="21" t="str">
        <f>IFERROR(INDEX($M:$M,MATCH(Z28,$S:$S,0)),"&amp;")</f>
        <v>恩怨情仇</v>
      </c>
      <c r="AJ28" s="21" t="str">
        <f>IFERROR(INDEX($M:$M,MATCH(AA28,$S:$S,0)),"&amp;")</f>
        <v>大秦宗亲</v>
      </c>
      <c r="AK28" s="21" t="str">
        <f>IFERROR(INDEX($M:$M,MATCH(AB28,$S:$S,0)),"&amp;")</f>
        <v>一脉相传</v>
      </c>
      <c r="AM28" s="21" t="str">
        <f>IFERROR(INDEX($N:$N,MATCH(U28,$S:$S,0)),"&amp;")</f>
        <v>力敌万夫1</v>
      </c>
      <c r="AN28" s="21" t="str">
        <f>IFERROR(INDEX($N:$N,MATCH(V28,$S:$S,0)),"&amp;")</f>
        <v>平定蜀乱2</v>
      </c>
      <c r="AO28" s="21" t="str">
        <f>IFERROR(INDEX($N:$N,MATCH(W28,$S:$S,0)),"&amp;")</f>
        <v>问鼎之心3</v>
      </c>
      <c r="AP28" s="21" t="str">
        <f>IFERROR(INDEX($N:$N,MATCH(X28,$S:$S,0)),"&amp;")</f>
        <v>英雄美人4</v>
      </c>
      <c r="AQ28" s="21" t="str">
        <f>IFERROR(INDEX($N:$N,MATCH(Y28,$S:$S,0)),"&amp;")</f>
        <v>春秋霸主4</v>
      </c>
      <c r="AR28" s="21" t="str">
        <f>IFERROR(INDEX($N:$N,MATCH(Z28,$S:$S,0)),"&amp;")</f>
        <v>恩怨情仇2</v>
      </c>
      <c r="AS28" s="21" t="str">
        <f>IFERROR(INDEX($N:$N,MATCH(AA28,$S:$S,0)),"&amp;")</f>
        <v>大秦宗亲3</v>
      </c>
      <c r="AT28" s="21" t="str">
        <f>IFERROR(INDEX($N:$N,MATCH(AB28,$S:$S,0)),"&amp;")</f>
        <v>一脉相传2</v>
      </c>
      <c r="AV28" s="21" t="str">
        <f>IFERROR(SUBSTITUTE(INDEX($K:$K,MATCH(INDEX($M:$M,MATCH(AM28,$N:$N,0)),$M:$M,0)),$D28,""),"")</f>
        <v xml:space="preserve"> 专诸</v>
      </c>
      <c r="AW28" s="21" t="str">
        <f>IFERROR(SUBSTITUTE(INDEX($K:$K,MATCH(INDEX($M:$M,MATCH(AN28,$N:$N,0)),$M:$M,0)),$D28,""),"")</f>
        <v xml:space="preserve">司马错 </v>
      </c>
      <c r="AX28" s="21" t="str">
        <f>IFERROR(SUBSTITUTE(INDEX($K:$K,MATCH(INDEX($M:$M,MATCH(AO28,$N:$N,0)),$M:$M,0)),$D28,""),"")</f>
        <v xml:space="preserve">楚庄王 勾践 </v>
      </c>
      <c r="AY28" s="21" t="str">
        <f>IFERROR(SUBSTITUTE(INDEX($K:$K,MATCH(INDEX($M:$M,MATCH(AP28,$N:$N,0)),$M:$M,0)),$D28,""),"")</f>
        <v xml:space="preserve">褒姒 勾践 楚庄王 </v>
      </c>
      <c r="AZ28" s="21" t="str">
        <f>IFERROR(SUBSTITUTE(INDEX($K:$K,MATCH(INDEX($M:$M,MATCH(AQ28,$N:$N,0)),$M:$M,0)),$D28,""),"")</f>
        <v xml:space="preserve">晋文公 楚庄王 勾践 </v>
      </c>
      <c r="BA28" s="21" t="str">
        <f>IFERROR(SUBSTITUTE(INDEX($K:$K,MATCH(INDEX($M:$M,MATCH(AR28,$N:$N,0)),$M:$M,0)),$D28,""),"")</f>
        <v>嬴政  义渠骇 荆轲</v>
      </c>
      <c r="BB28" s="21" t="str">
        <f>IFERROR(SUBSTITUTE(INDEX($K:$K,MATCH(INDEX($M:$M,MATCH(AS28,$N:$N,0)),$M:$M,0)),$D28,""),"")</f>
        <v xml:space="preserve">吕雉 樗里疾 </v>
      </c>
      <c r="BC28" s="21" t="str">
        <f>IFERROR(SUBSTITUTE(INDEX($K:$K,MATCH(INDEX($M:$M,MATCH(AT28,$N:$N,0)),$M:$M,0)),$D28,""),"")</f>
        <v xml:space="preserve">弄玉 </v>
      </c>
      <c r="BE28" s="9" t="str">
        <f t="shared" si="7"/>
        <v>秦武王,专诸,司马错,楚庄王,勾践,褒姒,晋文公,嬴政,义渠骇,荆轲,吕雉,樗里疾,弄玉</v>
      </c>
      <c r="BI28" s="9" t="str">
        <f>IFERROR(
IF(COUNTIF($M:$M,$AD28)&lt;BI$8,
"",
INDEX($J:$J,MATCH($AD28,$M:$M,0)+BI$8-1)),
"")</f>
        <v>秦武王</v>
      </c>
      <c r="BJ28" s="9" t="str">
        <f>IFERROR(
IF(COUNTIF($M:$M,$AD28)&lt;BJ$8,
"",
INDEX($J:$J,MATCH($AD28,$M:$M,0)+BJ$8-1)),
"")</f>
        <v>专诸</v>
      </c>
      <c r="BK28" s="9" t="str">
        <f>IFERROR(
IF(COUNTIF($M:$M,$AD28)&lt;BK$8,
"",
INDEX($J:$J,MATCH($AD28,$M:$M,0)+BK$8-1)),
"")</f>
        <v/>
      </c>
      <c r="BL28" s="9" t="str">
        <f>IFERROR(
IF(COUNTIF($M:$M,$AD28)&lt;BL$8,
"",
INDEX($J:$J,MATCH($AD28,$M:$M,0)+BL$8-1)),
"")</f>
        <v/>
      </c>
      <c r="BN28" s="21" t="str">
        <f>IFERROR(
IF(COUNTIF($BI28:BM28,INDEX($J:$J,MATCH($AE28,$M:$M,0)+BN$8-1))=0,
IF(COUNTIF($M:$M,$AE28)&lt;BN$8,
"",
INDEX($J:$J,MATCH($AE28,$M:$M,0)+BN$8-1)),
""),
"")</f>
        <v>司马错</v>
      </c>
      <c r="BO28" s="21" t="str">
        <f>IFERROR(
IF(COUNTIF($BI28:BN28,INDEX($J:$J,MATCH($AE28,$M:$M,0)+BO$8-1))=0,
IF(COUNTIF($M:$M,$AE28)&lt;BO$8,
"",
INDEX($J:$J,MATCH($AE28,$M:$M,0)+BO$8-1)),
""),
"")</f>
        <v/>
      </c>
      <c r="BP28" s="21" t="str">
        <f>IFERROR(
IF(COUNTIF($BI28:BO28,INDEX($J:$J,MATCH($AE28,$M:$M,0)+BP$8-1))=0,
IF(COUNTIF($M:$M,$AE28)&lt;BP$8,
"",
INDEX($J:$J,MATCH($AE28,$M:$M,0)+BP$8-1)),
""),
"")</f>
        <v/>
      </c>
      <c r="BQ28" s="21" t="str">
        <f>IFERROR(
IF(COUNTIF($BI28:BP28,INDEX($J:$J,MATCH($AE28,$M:$M,0)+BQ$8-1))=0,
IF(COUNTIF($M:$M,$AE28)&lt;BQ$8,
"",
INDEX($J:$J,MATCH($AE28,$M:$M,0)+BQ$8-1)),
""),
"")</f>
        <v/>
      </c>
      <c r="BS28" s="21" t="str">
        <f>IFERROR(
IF(COUNTIF($BI28:BR28,INDEX($J:$J,MATCH($AF28,$M:$M,0)+BS$8-1))=0,
IF(COUNTIF($M:$M,$AF28)&lt;BS$8,
"",
INDEX($J:$J,MATCH($AF28,$M:$M,0)+BS$8-1)),
""),
"")</f>
        <v>楚庄王</v>
      </c>
      <c r="BT28" s="21" t="str">
        <f>IFERROR(
IF(COUNTIF($BI28:BS28,INDEX($J:$J,MATCH($AF28,$M:$M,0)+BT$8-1))=0,
IF(COUNTIF($M:$M,$AF28)&lt;BT$8,
"",
INDEX($J:$J,MATCH($AF28,$M:$M,0)+BT$8-1)),
""),
"")</f>
        <v>勾践</v>
      </c>
      <c r="BU28" s="21" t="str">
        <f>IFERROR(
IF(COUNTIF($BI28:BT28,INDEX($J:$J,MATCH($AF28,$M:$M,0)+BU$8-1))=0,
IF(COUNTIF($M:$M,$AF28)&lt;BU$8,
"",
INDEX($J:$J,MATCH($AF28,$M:$M,0)+BU$8-1)),
""),
"")</f>
        <v/>
      </c>
      <c r="BV28" s="21" t="str">
        <f>IFERROR(
IF(COUNTIF($BI28:BU28,INDEX($J:$J,MATCH($AF28,$M:$M,0)+BV$8-1))=0,
IF(COUNTIF($M:$M,$AF28)&lt;BV$8,
"",
INDEX($J:$J,MATCH($AF28,$M:$M,0)+BV$8-1)),
""),
"")</f>
        <v/>
      </c>
      <c r="BX28" s="21" t="str">
        <f>IFERROR(
IF(COUNTIF($BI28:BW28,INDEX($J:$J,MATCH($AG28,$M:$M,0)+BX$8-1))=0,
IF(COUNTIF($M:$M,$AG28)&lt;BX$8,
"",
INDEX($J:$J,MATCH($AG28,$M:$M,0)+BX$8-1)),
""),
"")</f>
        <v>褒姒</v>
      </c>
      <c r="BY28" s="21" t="str">
        <f>IFERROR(
IF(COUNTIF($BI28:BX28,INDEX($J:$J,MATCH($AG28,$M:$M,0)+BY$8-1))=0,
IF(COUNTIF($M:$M,$AG28)&lt;BY$8,
"",
INDEX($J:$J,MATCH($AG28,$M:$M,0)+BY$8-1)),
""),
"")</f>
        <v/>
      </c>
      <c r="BZ28" s="21" t="str">
        <f>IFERROR(
IF(COUNTIF($BI28:BY28,INDEX($J:$J,MATCH($AG28,$M:$M,0)+BZ$8-1))=0,
IF(COUNTIF($M:$M,$AG28)&lt;BZ$8,
"",
INDEX($J:$J,MATCH($AG28,$M:$M,0)+BZ$8-1)),
""),
"")</f>
        <v/>
      </c>
      <c r="CA28" s="21" t="str">
        <f>IFERROR(
IF(COUNTIF($BI28:BZ28,INDEX($J:$J,MATCH($AG28,$M:$M,0)+CA$8-1))=0,
IF(COUNTIF($M:$M,$AG28)&lt;CA$8,
"",
INDEX($J:$J,MATCH($AG28,$M:$M,0)+CA$8-1)),
""),
"")</f>
        <v/>
      </c>
      <c r="CC28" s="21" t="str">
        <f>IFERROR(
IF(COUNTIF($BI28:CB28,INDEX($J:$J,MATCH($AH28,$M:$M,0)+CC$8-1))=0,
IF(COUNTIF($M:$M,$AH28)&lt;CC$8,
"",
INDEX($J:$J,MATCH($AH28,$M:$M,0)+CC$8-1)),
""),
"")</f>
        <v>晋文公</v>
      </c>
      <c r="CD28" s="21" t="str">
        <f>IFERROR(
IF(COUNTIF($BI28:CC28,INDEX($J:$J,MATCH($AH28,$M:$M,0)+CD$8-1))=0,
IF(COUNTIF($M:$M,$AH28)&lt;CD$8,
"",
INDEX($J:$J,MATCH($AH28,$M:$M,0)+CD$8-1)),
""),
"")</f>
        <v/>
      </c>
      <c r="CE28" s="21" t="str">
        <f>IFERROR(
IF(COUNTIF($BI28:CD28,INDEX($J:$J,MATCH($AH28,$M:$M,0)+CE$8-1))=0,
IF(COUNTIF($M:$M,$AH28)&lt;CE$8,
"",
INDEX($J:$J,MATCH($AH28,$M:$M,0)+CE$8-1)),
""),
"")</f>
        <v/>
      </c>
      <c r="CF28" s="21" t="str">
        <f>IFERROR(
IF(COUNTIF($BI28:CE28,INDEX($J:$J,MATCH($AH28,$M:$M,0)+CF$8-1))=0,
IF(COUNTIF($M:$M,$AH28)&lt;CF$8,
"",
INDEX($J:$J,MATCH($AH28,$M:$M,0)+CF$8-1)),
""),
"")</f>
        <v/>
      </c>
      <c r="CH28" s="21" t="str">
        <f>IFERROR(
IF(COUNTIF($BI28:CG28,INDEX($J:$J,MATCH($AI28,$M:$M,0)+CH$8-1))=0,
IF(COUNTIF($M:$M,$AI28)&lt;CH$8,
"",
INDEX($J:$J,MATCH($AI28,$M:$M,0)+CH$8-1)),
""),
"")</f>
        <v>嬴政</v>
      </c>
      <c r="CI28" s="21" t="str">
        <f>IFERROR(
IF(COUNTIF($BI28:CH28,INDEX($J:$J,MATCH($AI28,$M:$M,0)+CI$8-1))=0,
IF(COUNTIF($M:$M,$AI28)&lt;CI$8,
"",
INDEX($J:$J,MATCH($AI28,$M:$M,0)+CI$8-1)),
""),
"")</f>
        <v/>
      </c>
      <c r="CJ28" s="21" t="str">
        <f>IFERROR(
IF(COUNTIF($BI28:CI28,INDEX($J:$J,MATCH($AI28,$M:$M,0)+CJ$8-1))=0,
IF(COUNTIF($M:$M,$AI28)&lt;CJ$8,
"",
INDEX($J:$J,MATCH($AI28,$M:$M,0)+CJ$8-1)),
""),
"")</f>
        <v>义渠骇</v>
      </c>
      <c r="CK28" s="21" t="str">
        <f>IFERROR(
IF(COUNTIF($BI28:CJ28,INDEX($J:$J,MATCH($AI28,$M:$M,0)+CK$8-1))=0,
IF(COUNTIF($M:$M,$AI28)&lt;CK$8,
"",
INDEX($J:$J,MATCH($AI28,$M:$M,0)+CK$8-1)),
""),
"")</f>
        <v>荆轲</v>
      </c>
      <c r="CM28" s="21" t="str">
        <f>IFERROR(
IF(COUNTIF($BI28:CL28,INDEX($J:$J,MATCH($AJ28,$M:$M,0)+CM$8-1))=0,
IF(COUNTIF($M:$M,$AJ28)&lt;CM$8,
"",
INDEX($J:$J,MATCH($AJ28,$M:$M,0)+CM$8-1)),
""),
"")</f>
        <v>吕雉</v>
      </c>
      <c r="CN28" s="21" t="str">
        <f>IFERROR(
IF(COUNTIF($BI28:CM28,INDEX($J:$J,MATCH($AJ28,$M:$M,0)+CN$8-1))=0,
IF(COUNTIF($M:$M,$AJ28)&lt;CN$8,
"",
INDEX($J:$J,MATCH($AJ28,$M:$M,0)+CN$8-1)),
""),
"")</f>
        <v>樗里疾</v>
      </c>
      <c r="CO28" s="21" t="str">
        <f>IFERROR(
IF(COUNTIF($BI28:CN28,INDEX($J:$J,MATCH($AJ28,$M:$M,0)+CO$8-1))=0,
IF(COUNTIF($M:$M,$AJ28)&lt;CO$8,
"",
INDEX($J:$J,MATCH($AJ28,$M:$M,0)+CO$8-1)),
""),
"")</f>
        <v/>
      </c>
      <c r="CP28" s="21" t="str">
        <f>IFERROR(
IF(COUNTIF($BI28:CO28,INDEX($J:$J,MATCH($AJ28,$M:$M,0)+CP$8-1))=0,
IF(COUNTIF($M:$M,$AJ28)&lt;CP$8,
"",
INDEX($J:$J,MATCH($AJ28,$M:$M,0)+CP$8-1)),
""),
"")</f>
        <v/>
      </c>
      <c r="CR28" s="21" t="str">
        <f>IFERROR(
IF(COUNTIF($BI28:CQ28,INDEX($J:$J,MATCH($AK28,$M:$M,0)+CR$8-1))=0,
IF(COUNTIF($M:$M,$AK28)&lt;CR$8,
"",
INDEX($J:$J,MATCH($AK28,$M:$M,0)+CR$8-1)),
""),
"")</f>
        <v>弄玉</v>
      </c>
      <c r="CS28" s="21" t="str">
        <f>IFERROR(
IF(COUNTIF($BI28:CR28,INDEX($J:$J,MATCH($AK28,$M:$M,0)+CS$8-1))=0,
IF(COUNTIF($M:$M,$AK28)&lt;CS$8,
"",
INDEX($J:$J,MATCH($AK28,$M:$M,0)+CS$8-1)),
""),
"")</f>
        <v/>
      </c>
      <c r="CT28" s="21" t="str">
        <f>IFERROR(
IF(COUNTIF($BI28:CS28,INDEX($J:$J,MATCH($AK28,$M:$M,0)+CT$8-1))=0,
IF(COUNTIF($M:$M,$AK28)&lt;CT$8,
"",
INDEX($J:$J,MATCH($AK28,$M:$M,0)+CT$8-1)),
""),
"")</f>
        <v/>
      </c>
      <c r="CU28" s="21" t="str">
        <f>IFERROR(
IF(COUNTIF($BI28:CT28,INDEX($J:$J,MATCH($AK28,$M:$M,0)+CU$8-1))=0,
IF(COUNTIF($M:$M,$AK28)&lt;CU$8,
"",
INDEX($J:$J,MATCH($AK28,$M:$M,0)+CU$8-1)),
""),
"")</f>
        <v/>
      </c>
    </row>
    <row r="29" spans="3:99" ht="14.25">
      <c r="C29" s="16">
        <v>21</v>
      </c>
      <c r="D29" s="19" t="s">
        <v>74</v>
      </c>
      <c r="E29" s="20">
        <f>INDEX([1]武将基本资料!$S:$S,MATCH(D29,[1]武将基本资料!$N:$N,0))</f>
        <v>100</v>
      </c>
      <c r="F29" s="20" t="str">
        <f>INDEX([1]武将基本资料!$Q:$Q,MATCH(D29,[1]武将基本资料!$N:$N,0))</f>
        <v>蓝</v>
      </c>
      <c r="H29" s="7" t="str">
        <f>IF(I29="","",COUNTA(I$9:$I29))</f>
        <v/>
      </c>
      <c r="I29" s="6" t="s">
        <v>188</v>
      </c>
      <c r="J29" s="6" t="s">
        <v>62</v>
      </c>
      <c r="K29" s="8" t="str">
        <f>IF(H29="","",阶段合并区域(J29:J38," ",L29:L38,1))</f>
        <v/>
      </c>
      <c r="L29" s="8">
        <f>COUNTIF(M$8:$M29,"="&amp;M29)</f>
        <v>3</v>
      </c>
      <c r="M29" s="9" t="str">
        <f t="shared" si="3"/>
        <v>江湖豪侠</v>
      </c>
      <c r="N29" s="9" t="str">
        <f t="shared" si="4"/>
        <v>江湖豪侠3</v>
      </c>
      <c r="O29" s="15">
        <f>INDEX(C:C,MATCH(J29,D:D,0))</f>
        <v>56</v>
      </c>
      <c r="P29" s="9">
        <f>INDEX(E:E,MATCH(J29,D:D,0))</f>
        <v>120</v>
      </c>
      <c r="Q29" s="7">
        <f t="shared" si="0"/>
        <v>56</v>
      </c>
      <c r="R29" s="7">
        <f>COUNTIF(J$8:$J29,"="&amp;J29)</f>
        <v>2</v>
      </c>
      <c r="S29" s="7">
        <f t="shared" si="5"/>
        <v>2056</v>
      </c>
      <c r="U29" s="7">
        <f t="shared" si="6"/>
        <v>1021</v>
      </c>
      <c r="V29" s="7">
        <f t="shared" si="6"/>
        <v>2021</v>
      </c>
      <c r="W29" s="7">
        <f t="shared" si="6"/>
        <v>3021</v>
      </c>
      <c r="X29" s="7">
        <f t="shared" si="6"/>
        <v>4021</v>
      </c>
      <c r="Y29" s="7">
        <f t="shared" si="6"/>
        <v>5021</v>
      </c>
      <c r="Z29" s="7">
        <f t="shared" si="6"/>
        <v>6021</v>
      </c>
      <c r="AA29" s="7">
        <f t="shared" si="6"/>
        <v>7021</v>
      </c>
      <c r="AB29" s="7">
        <f t="shared" si="6"/>
        <v>8021</v>
      </c>
      <c r="AD29" s="21" t="str">
        <f>IFERROR(INDEX($M:$M,MATCH(U29,$S:$S,0)),"&amp;")</f>
        <v>进献奇人</v>
      </c>
      <c r="AE29" s="21" t="str">
        <f>IFERROR(INDEX($M:$M,MATCH(V29,$S:$S,0)),"&amp;")</f>
        <v>&amp;</v>
      </c>
      <c r="AF29" s="21" t="str">
        <f>IFERROR(INDEX($M:$M,MATCH(W29,$S:$S,0)),"&amp;")</f>
        <v>&amp;</v>
      </c>
      <c r="AG29" s="21" t="str">
        <f>IFERROR(INDEX($M:$M,MATCH(X29,$S:$S,0)),"&amp;")</f>
        <v>&amp;</v>
      </c>
      <c r="AH29" s="21" t="str">
        <f>IFERROR(INDEX($M:$M,MATCH(Y29,$S:$S,0)),"&amp;")</f>
        <v>&amp;</v>
      </c>
      <c r="AI29" s="21" t="str">
        <f>IFERROR(INDEX($M:$M,MATCH(Z29,$S:$S,0)),"&amp;")</f>
        <v>&amp;</v>
      </c>
      <c r="AJ29" s="21" t="str">
        <f>IFERROR(INDEX($M:$M,MATCH(AA29,$S:$S,0)),"&amp;")</f>
        <v>&amp;</v>
      </c>
      <c r="AK29" s="21" t="str">
        <f>IFERROR(INDEX($M:$M,MATCH(AB29,$S:$S,0)),"&amp;")</f>
        <v>&amp;</v>
      </c>
      <c r="AM29" s="21" t="str">
        <f>IFERROR(INDEX($N:$N,MATCH(U29,$S:$S,0)),"&amp;")</f>
        <v>进献奇人1</v>
      </c>
      <c r="AN29" s="21" t="str">
        <f>IFERROR(INDEX($N:$N,MATCH(V29,$S:$S,0)),"&amp;")</f>
        <v>&amp;</v>
      </c>
      <c r="AO29" s="21" t="str">
        <f>IFERROR(INDEX($N:$N,MATCH(W29,$S:$S,0)),"&amp;")</f>
        <v>&amp;</v>
      </c>
      <c r="AP29" s="21" t="str">
        <f>IFERROR(INDEX($N:$N,MATCH(X29,$S:$S,0)),"&amp;")</f>
        <v>&amp;</v>
      </c>
      <c r="AQ29" s="21" t="str">
        <f>IFERROR(INDEX($N:$N,MATCH(Y29,$S:$S,0)),"&amp;")</f>
        <v>&amp;</v>
      </c>
      <c r="AR29" s="21" t="str">
        <f>IFERROR(INDEX($N:$N,MATCH(Z29,$S:$S,0)),"&amp;")</f>
        <v>&amp;</v>
      </c>
      <c r="AS29" s="21" t="str">
        <f>IFERROR(INDEX($N:$N,MATCH(AA29,$S:$S,0)),"&amp;")</f>
        <v>&amp;</v>
      </c>
      <c r="AT29" s="21" t="str">
        <f>IFERROR(INDEX($N:$N,MATCH(AB29,$S:$S,0)),"&amp;")</f>
        <v>&amp;</v>
      </c>
      <c r="AV29" s="21" t="str">
        <f>IFERROR(SUBSTITUTE(INDEX($K:$K,MATCH(INDEX($M:$M,MATCH(AM29,$N:$N,0)),$M:$M,0)),$D29,""),"")</f>
        <v xml:space="preserve"> 吕不韦</v>
      </c>
      <c r="AW29" s="21" t="str">
        <f>IFERROR(SUBSTITUTE(INDEX($K:$K,MATCH(INDEX($M:$M,MATCH(AN29,$N:$N,0)),$M:$M,0)),$D29,""),"")</f>
        <v/>
      </c>
      <c r="AX29" s="21" t="str">
        <f>IFERROR(SUBSTITUTE(INDEX($K:$K,MATCH(INDEX($M:$M,MATCH(AO29,$N:$N,0)),$M:$M,0)),$D29,""),"")</f>
        <v/>
      </c>
      <c r="AY29" s="21" t="str">
        <f>IFERROR(SUBSTITUTE(INDEX($K:$K,MATCH(INDEX($M:$M,MATCH(AP29,$N:$N,0)),$M:$M,0)),$D29,""),"")</f>
        <v/>
      </c>
      <c r="AZ29" s="21" t="str">
        <f>IFERROR(SUBSTITUTE(INDEX($K:$K,MATCH(INDEX($M:$M,MATCH(AQ29,$N:$N,0)),$M:$M,0)),$D29,""),"")</f>
        <v/>
      </c>
      <c r="BA29" s="21" t="str">
        <f>IFERROR(SUBSTITUTE(INDEX($K:$K,MATCH(INDEX($M:$M,MATCH(AR29,$N:$N,0)),$M:$M,0)),$D29,""),"")</f>
        <v/>
      </c>
      <c r="BB29" s="21" t="str">
        <f>IFERROR(SUBSTITUTE(INDEX($K:$K,MATCH(INDEX($M:$M,MATCH(AS29,$N:$N,0)),$M:$M,0)),$D29,""),"")</f>
        <v/>
      </c>
      <c r="BC29" s="21" t="str">
        <f>IFERROR(SUBSTITUTE(INDEX($K:$K,MATCH(INDEX($M:$M,MATCH(AT29,$N:$N,0)),$M:$M,0)),$D29,""),"")</f>
        <v/>
      </c>
      <c r="BE29" s="9" t="str">
        <f t="shared" si="7"/>
        <v>嫪毐,吕不韦</v>
      </c>
      <c r="BI29" s="9" t="str">
        <f>IFERROR(
IF(COUNTIF($M:$M,$AD29)&lt;BI$8,
"",
INDEX($J:$J,MATCH($AD29,$M:$M,0)+BI$8-1)),
"")</f>
        <v>嫪毐</v>
      </c>
      <c r="BJ29" s="9" t="str">
        <f>IFERROR(
IF(COUNTIF($M:$M,$AD29)&lt;BJ$8,
"",
INDEX($J:$J,MATCH($AD29,$M:$M,0)+BJ$8-1)),
"")</f>
        <v>吕不韦</v>
      </c>
      <c r="BK29" s="9" t="str">
        <f>IFERROR(
IF(COUNTIF($M:$M,$AD29)&lt;BK$8,
"",
INDEX($J:$J,MATCH($AD29,$M:$M,0)+BK$8-1)),
"")</f>
        <v/>
      </c>
      <c r="BL29" s="9" t="str">
        <f>IFERROR(
IF(COUNTIF($M:$M,$AD29)&lt;BL$8,
"",
INDEX($J:$J,MATCH($AD29,$M:$M,0)+BL$8-1)),
"")</f>
        <v/>
      </c>
      <c r="BN29" s="21" t="str">
        <f>IFERROR(
IF(COUNTIF($BI29:BM29,INDEX($J:$J,MATCH($AE29,$M:$M,0)+BN$8-1))=0,
IF(COUNTIF($M:$M,$AE29)&lt;BN$8,
"",
INDEX($J:$J,MATCH($AE29,$M:$M,0)+BN$8-1)),
""),
"")</f>
        <v/>
      </c>
      <c r="BO29" s="21" t="str">
        <f>IFERROR(
IF(COUNTIF($BI29:BN29,INDEX($J:$J,MATCH($AE29,$M:$M,0)+BO$8-1))=0,
IF(COUNTIF($M:$M,$AE29)&lt;BO$8,
"",
INDEX($J:$J,MATCH($AE29,$M:$M,0)+BO$8-1)),
""),
"")</f>
        <v/>
      </c>
      <c r="BP29" s="21" t="str">
        <f>IFERROR(
IF(COUNTIF($BI29:BO29,INDEX($J:$J,MATCH($AE29,$M:$M,0)+BP$8-1))=0,
IF(COUNTIF($M:$M,$AE29)&lt;BP$8,
"",
INDEX($J:$J,MATCH($AE29,$M:$M,0)+BP$8-1)),
""),
"")</f>
        <v/>
      </c>
      <c r="BQ29" s="21" t="str">
        <f>IFERROR(
IF(COUNTIF($BI29:BP29,INDEX($J:$J,MATCH($AE29,$M:$M,0)+BQ$8-1))=0,
IF(COUNTIF($M:$M,$AE29)&lt;BQ$8,
"",
INDEX($J:$J,MATCH($AE29,$M:$M,0)+BQ$8-1)),
""),
"")</f>
        <v/>
      </c>
      <c r="BS29" s="21" t="str">
        <f>IFERROR(
IF(COUNTIF($BI29:BR29,INDEX($J:$J,MATCH($AF29,$M:$M,0)+BS$8-1))=0,
IF(COUNTIF($M:$M,$AF29)&lt;BS$8,
"",
INDEX($J:$J,MATCH($AF29,$M:$M,0)+BS$8-1)),
""),
"")</f>
        <v/>
      </c>
      <c r="BT29" s="21" t="str">
        <f>IFERROR(
IF(COUNTIF($BI29:BS29,INDEX($J:$J,MATCH($AF29,$M:$M,0)+BT$8-1))=0,
IF(COUNTIF($M:$M,$AF29)&lt;BT$8,
"",
INDEX($J:$J,MATCH($AF29,$M:$M,0)+BT$8-1)),
""),
"")</f>
        <v/>
      </c>
      <c r="BU29" s="21" t="str">
        <f>IFERROR(
IF(COUNTIF($BI29:BT29,INDEX($J:$J,MATCH($AF29,$M:$M,0)+BU$8-1))=0,
IF(COUNTIF($M:$M,$AF29)&lt;BU$8,
"",
INDEX($J:$J,MATCH($AF29,$M:$M,0)+BU$8-1)),
""),
"")</f>
        <v/>
      </c>
      <c r="BV29" s="21" t="str">
        <f>IFERROR(
IF(COUNTIF($BI29:BU29,INDEX($J:$J,MATCH($AF29,$M:$M,0)+BV$8-1))=0,
IF(COUNTIF($M:$M,$AF29)&lt;BV$8,
"",
INDEX($J:$J,MATCH($AF29,$M:$M,0)+BV$8-1)),
""),
"")</f>
        <v/>
      </c>
      <c r="BX29" s="21" t="str">
        <f>IFERROR(
IF(COUNTIF($BI29:BW29,INDEX($J:$J,MATCH($AG29,$M:$M,0)+BX$8-1))=0,
IF(COUNTIF($M:$M,$AG29)&lt;BX$8,
"",
INDEX($J:$J,MATCH($AG29,$M:$M,0)+BX$8-1)),
""),
"")</f>
        <v/>
      </c>
      <c r="BY29" s="21" t="str">
        <f>IFERROR(
IF(COUNTIF($BI29:BX29,INDEX($J:$J,MATCH($AG29,$M:$M,0)+BY$8-1))=0,
IF(COUNTIF($M:$M,$AG29)&lt;BY$8,
"",
INDEX($J:$J,MATCH($AG29,$M:$M,0)+BY$8-1)),
""),
"")</f>
        <v/>
      </c>
      <c r="BZ29" s="21" t="str">
        <f>IFERROR(
IF(COUNTIF($BI29:BY29,INDEX($J:$J,MATCH($AG29,$M:$M,0)+BZ$8-1))=0,
IF(COUNTIF($M:$M,$AG29)&lt;BZ$8,
"",
INDEX($J:$J,MATCH($AG29,$M:$M,0)+BZ$8-1)),
""),
"")</f>
        <v/>
      </c>
      <c r="CA29" s="21" t="str">
        <f>IFERROR(
IF(COUNTIF($BI29:BZ29,INDEX($J:$J,MATCH($AG29,$M:$M,0)+CA$8-1))=0,
IF(COUNTIF($M:$M,$AG29)&lt;CA$8,
"",
INDEX($J:$J,MATCH($AG29,$M:$M,0)+CA$8-1)),
""),
"")</f>
        <v/>
      </c>
      <c r="CC29" s="21" t="str">
        <f>IFERROR(
IF(COUNTIF($BI29:CB29,INDEX($J:$J,MATCH($AH29,$M:$M,0)+CC$8-1))=0,
IF(COUNTIF($M:$M,$AH29)&lt;CC$8,
"",
INDEX($J:$J,MATCH($AH29,$M:$M,0)+CC$8-1)),
""),
"")</f>
        <v/>
      </c>
      <c r="CD29" s="21" t="str">
        <f>IFERROR(
IF(COUNTIF($BI29:CC29,INDEX($J:$J,MATCH($AH29,$M:$M,0)+CD$8-1))=0,
IF(COUNTIF($M:$M,$AH29)&lt;CD$8,
"",
INDEX($J:$J,MATCH($AH29,$M:$M,0)+CD$8-1)),
""),
"")</f>
        <v/>
      </c>
      <c r="CE29" s="21" t="str">
        <f>IFERROR(
IF(COUNTIF($BI29:CD29,INDEX($J:$J,MATCH($AH29,$M:$M,0)+CE$8-1))=0,
IF(COUNTIF($M:$M,$AH29)&lt;CE$8,
"",
INDEX($J:$J,MATCH($AH29,$M:$M,0)+CE$8-1)),
""),
"")</f>
        <v/>
      </c>
      <c r="CF29" s="21" t="str">
        <f>IFERROR(
IF(COUNTIF($BI29:CE29,INDEX($J:$J,MATCH($AH29,$M:$M,0)+CF$8-1))=0,
IF(COUNTIF($M:$M,$AH29)&lt;CF$8,
"",
INDEX($J:$J,MATCH($AH29,$M:$M,0)+CF$8-1)),
""),
"")</f>
        <v/>
      </c>
      <c r="CH29" s="21" t="str">
        <f>IFERROR(
IF(COUNTIF($BI29:CG29,INDEX($J:$J,MATCH($AI29,$M:$M,0)+CH$8-1))=0,
IF(COUNTIF($M:$M,$AI29)&lt;CH$8,
"",
INDEX($J:$J,MATCH($AI29,$M:$M,0)+CH$8-1)),
""),
"")</f>
        <v/>
      </c>
      <c r="CI29" s="21" t="str">
        <f>IFERROR(
IF(COUNTIF($BI29:CH29,INDEX($J:$J,MATCH($AI29,$M:$M,0)+CI$8-1))=0,
IF(COUNTIF($M:$M,$AI29)&lt;CI$8,
"",
INDEX($J:$J,MATCH($AI29,$M:$M,0)+CI$8-1)),
""),
"")</f>
        <v/>
      </c>
      <c r="CJ29" s="21" t="str">
        <f>IFERROR(
IF(COUNTIF($BI29:CI29,INDEX($J:$J,MATCH($AI29,$M:$M,0)+CJ$8-1))=0,
IF(COUNTIF($M:$M,$AI29)&lt;CJ$8,
"",
INDEX($J:$J,MATCH($AI29,$M:$M,0)+CJ$8-1)),
""),
"")</f>
        <v/>
      </c>
      <c r="CK29" s="21" t="str">
        <f>IFERROR(
IF(COUNTIF($BI29:CJ29,INDEX($J:$J,MATCH($AI29,$M:$M,0)+CK$8-1))=0,
IF(COUNTIF($M:$M,$AI29)&lt;CK$8,
"",
INDEX($J:$J,MATCH($AI29,$M:$M,0)+CK$8-1)),
""),
"")</f>
        <v/>
      </c>
      <c r="CM29" s="21" t="str">
        <f>IFERROR(
IF(COUNTIF($BI29:CL29,INDEX($J:$J,MATCH($AJ29,$M:$M,0)+CM$8-1))=0,
IF(COUNTIF($M:$M,$AJ29)&lt;CM$8,
"",
INDEX($J:$J,MATCH($AJ29,$M:$M,0)+CM$8-1)),
""),
"")</f>
        <v/>
      </c>
      <c r="CN29" s="21" t="str">
        <f>IFERROR(
IF(COUNTIF($BI29:CM29,INDEX($J:$J,MATCH($AJ29,$M:$M,0)+CN$8-1))=0,
IF(COUNTIF($M:$M,$AJ29)&lt;CN$8,
"",
INDEX($J:$J,MATCH($AJ29,$M:$M,0)+CN$8-1)),
""),
"")</f>
        <v/>
      </c>
      <c r="CO29" s="21" t="str">
        <f>IFERROR(
IF(COUNTIF($BI29:CN29,INDEX($J:$J,MATCH($AJ29,$M:$M,0)+CO$8-1))=0,
IF(COUNTIF($M:$M,$AJ29)&lt;CO$8,
"",
INDEX($J:$J,MATCH($AJ29,$M:$M,0)+CO$8-1)),
""),
"")</f>
        <v/>
      </c>
      <c r="CP29" s="21" t="str">
        <f>IFERROR(
IF(COUNTIF($BI29:CO29,INDEX($J:$J,MATCH($AJ29,$M:$M,0)+CP$8-1))=0,
IF(COUNTIF($M:$M,$AJ29)&lt;CP$8,
"",
INDEX($J:$J,MATCH($AJ29,$M:$M,0)+CP$8-1)),
""),
"")</f>
        <v/>
      </c>
      <c r="CR29" s="21" t="str">
        <f>IFERROR(
IF(COUNTIF($BI29:CQ29,INDEX($J:$J,MATCH($AK29,$M:$M,0)+CR$8-1))=0,
IF(COUNTIF($M:$M,$AK29)&lt;CR$8,
"",
INDEX($J:$J,MATCH($AK29,$M:$M,0)+CR$8-1)),
""),
"")</f>
        <v/>
      </c>
      <c r="CS29" s="21" t="str">
        <f>IFERROR(
IF(COUNTIF($BI29:CR29,INDEX($J:$J,MATCH($AK29,$M:$M,0)+CS$8-1))=0,
IF(COUNTIF($M:$M,$AK29)&lt;CS$8,
"",
INDEX($J:$J,MATCH($AK29,$M:$M,0)+CS$8-1)),
""),
"")</f>
        <v/>
      </c>
      <c r="CT29" s="21" t="str">
        <f>IFERROR(
IF(COUNTIF($BI29:CS29,INDEX($J:$J,MATCH($AK29,$M:$M,0)+CT$8-1))=0,
IF(COUNTIF($M:$M,$AK29)&lt;CT$8,
"",
INDEX($J:$J,MATCH($AK29,$M:$M,0)+CT$8-1)),
""),
"")</f>
        <v/>
      </c>
      <c r="CU29" s="21" t="str">
        <f>IFERROR(
IF(COUNTIF($BI29:CT29,INDEX($J:$J,MATCH($AK29,$M:$M,0)+CU$8-1))=0,
IF(COUNTIF($M:$M,$AK29)&lt;CU$8,
"",
INDEX($J:$J,MATCH($AK29,$M:$M,0)+CU$8-1)),
""),
"")</f>
        <v/>
      </c>
    </row>
    <row r="30" spans="3:99" ht="14.25">
      <c r="C30" s="16">
        <v>22</v>
      </c>
      <c r="D30" s="19" t="s">
        <v>370</v>
      </c>
      <c r="E30" s="20">
        <f>INDEX([1]武将基本资料!$S:$S,MATCH(D30,[1]武将基本资料!$N:$N,0))</f>
        <v>120</v>
      </c>
      <c r="F30" s="20" t="str">
        <f>INDEX([1]武将基本资料!$Q:$Q,MATCH(D30,[1]武将基本资料!$N:$N,0))</f>
        <v>橙</v>
      </c>
      <c r="H30" s="7" t="str">
        <f>IF(I30="","",COUNTA(I$9:$I30))</f>
        <v/>
      </c>
      <c r="I30" s="6"/>
      <c r="J30" s="6" t="s">
        <v>216</v>
      </c>
      <c r="K30" s="8" t="str">
        <f>IF(H30="","",阶段合并区域(J30:J39," ",L30:L39,1))</f>
        <v/>
      </c>
      <c r="L30" s="8">
        <f>COUNTIF(M$8:$M30,"="&amp;M30)</f>
        <v>4</v>
      </c>
      <c r="M30" s="9" t="str">
        <f t="shared" si="3"/>
        <v>江湖豪侠</v>
      </c>
      <c r="N30" s="9" t="str">
        <f t="shared" si="4"/>
        <v>江湖豪侠4</v>
      </c>
      <c r="O30" s="15">
        <f>INDEX(C:C,MATCH(J30,D:D,0))</f>
        <v>43</v>
      </c>
      <c r="P30" s="9">
        <f>INDEX(E:E,MATCH(J30,D:D,0))</f>
        <v>110</v>
      </c>
      <c r="Q30" s="7">
        <f t="shared" si="0"/>
        <v>43</v>
      </c>
      <c r="R30" s="7">
        <f>COUNTIF(J$8:$J30,"="&amp;J30)</f>
        <v>2</v>
      </c>
      <c r="S30" s="7">
        <f t="shared" si="5"/>
        <v>2043</v>
      </c>
      <c r="U30" s="7">
        <f t="shared" si="6"/>
        <v>1022</v>
      </c>
      <c r="V30" s="7">
        <f t="shared" si="6"/>
        <v>2022</v>
      </c>
      <c r="W30" s="7">
        <f t="shared" si="6"/>
        <v>3022</v>
      </c>
      <c r="X30" s="7">
        <f t="shared" si="6"/>
        <v>4022</v>
      </c>
      <c r="Y30" s="7">
        <f t="shared" si="6"/>
        <v>5022</v>
      </c>
      <c r="Z30" s="7">
        <f t="shared" si="6"/>
        <v>6022</v>
      </c>
      <c r="AA30" s="7">
        <f t="shared" si="6"/>
        <v>7022</v>
      </c>
      <c r="AB30" s="7">
        <f t="shared" si="6"/>
        <v>8022</v>
      </c>
      <c r="AD30" s="21" t="str">
        <f>IFERROR(INDEX($M:$M,MATCH(U30,$S:$S,0)),"&amp;")</f>
        <v>志在灭秦</v>
      </c>
      <c r="AE30" s="21" t="str">
        <f>IFERROR(INDEX($M:$M,MATCH(V30,$S:$S,0)),"&amp;")</f>
        <v>暮年壮志</v>
      </c>
      <c r="AF30" s="21" t="str">
        <f>IFERROR(INDEX($M:$M,MATCH(W30,$S:$S,0)),"&amp;")</f>
        <v>王佐之才</v>
      </c>
      <c r="AG30" s="21" t="str">
        <f>IFERROR(INDEX($M:$M,MATCH(X30,$S:$S,0)),"&amp;")</f>
        <v>王佐之才</v>
      </c>
      <c r="AH30" s="21" t="str">
        <f>IFERROR(INDEX($M:$M,MATCH(Y30,$S:$S,0)),"&amp;")</f>
        <v>&amp;</v>
      </c>
      <c r="AI30" s="21" t="str">
        <f>IFERROR(INDEX($M:$M,MATCH(Z30,$S:$S,0)),"&amp;")</f>
        <v>&amp;</v>
      </c>
      <c r="AJ30" s="21" t="str">
        <f>IFERROR(INDEX($M:$M,MATCH(AA30,$S:$S,0)),"&amp;")</f>
        <v>&amp;</v>
      </c>
      <c r="AK30" s="21" t="str">
        <f>IFERROR(INDEX($M:$M,MATCH(AB30,$S:$S,0)),"&amp;")</f>
        <v>&amp;</v>
      </c>
      <c r="AM30" s="21" t="str">
        <f>IFERROR(INDEX($N:$N,MATCH(U30,$S:$S,0)),"&amp;")</f>
        <v>志在灭秦1</v>
      </c>
      <c r="AN30" s="21" t="str">
        <f>IFERROR(INDEX($N:$N,MATCH(V30,$S:$S,0)),"&amp;")</f>
        <v>暮年壮志1</v>
      </c>
      <c r="AO30" s="21" t="str">
        <f>IFERROR(INDEX($N:$N,MATCH(W30,$S:$S,0)),"&amp;")</f>
        <v>王佐之才1</v>
      </c>
      <c r="AP30" s="21" t="str">
        <f>IFERROR(INDEX($N:$N,MATCH(X30,$S:$S,0)),"&amp;")</f>
        <v>王佐之才3</v>
      </c>
      <c r="AQ30" s="21" t="str">
        <f>IFERROR(INDEX($N:$N,MATCH(Y30,$S:$S,0)),"&amp;")</f>
        <v>&amp;</v>
      </c>
      <c r="AR30" s="21" t="str">
        <f>IFERROR(INDEX($N:$N,MATCH(Z30,$S:$S,0)),"&amp;")</f>
        <v>&amp;</v>
      </c>
      <c r="AS30" s="21" t="str">
        <f>IFERROR(INDEX($N:$N,MATCH(AA30,$S:$S,0)),"&amp;")</f>
        <v>&amp;</v>
      </c>
      <c r="AT30" s="21" t="str">
        <f>IFERROR(INDEX($N:$N,MATCH(AB30,$S:$S,0)),"&amp;")</f>
        <v>&amp;</v>
      </c>
      <c r="AV30" s="21" t="str">
        <f>IFERROR(SUBSTITUTE(INDEX($K:$K,MATCH(INDEX($M:$M,MATCH(AM30,$N:$N,0)),$M:$M,0)),$D30,""),"")</f>
        <v xml:space="preserve"> 苏秦</v>
      </c>
      <c r="AW30" s="21" t="str">
        <f>IFERROR(SUBSTITUTE(INDEX($K:$K,MATCH(INDEX($M:$M,MATCH(AN30,$N:$N,0)),$M:$M,0)),$D30,""),"")</f>
        <v xml:space="preserve"> 伍子胥</v>
      </c>
      <c r="AX30" s="21" t="str">
        <f>IFERROR(SUBSTITUTE(INDEX($K:$K,MATCH(INDEX($M:$M,MATCH(AO30,$N:$N,0)),$M:$M,0)),$D30,""),"")</f>
        <v xml:space="preserve"> 李斯 韩非子</v>
      </c>
      <c r="AY30" s="21" t="str">
        <f>IFERROR(SUBSTITUTE(INDEX($K:$K,MATCH(INDEX($M:$M,MATCH(AP30,$N:$N,0)),$M:$M,0)),$D30,""),"")</f>
        <v xml:space="preserve"> 李斯 韩非子</v>
      </c>
      <c r="AZ30" s="21" t="str">
        <f>IFERROR(SUBSTITUTE(INDEX($K:$K,MATCH(INDEX($M:$M,MATCH(AQ30,$N:$N,0)),$M:$M,0)),$D30,""),"")</f>
        <v/>
      </c>
      <c r="BA30" s="21" t="str">
        <f>IFERROR(SUBSTITUTE(INDEX($K:$K,MATCH(INDEX($M:$M,MATCH(AR30,$N:$N,0)),$M:$M,0)),$D30,""),"")</f>
        <v/>
      </c>
      <c r="BB30" s="21" t="str">
        <f>IFERROR(SUBSTITUTE(INDEX($K:$K,MATCH(INDEX($M:$M,MATCH(AS30,$N:$N,0)),$M:$M,0)),$D30,""),"")</f>
        <v/>
      </c>
      <c r="BC30" s="21" t="str">
        <f>IFERROR(SUBSTITUTE(INDEX($K:$K,MATCH(INDEX($M:$M,MATCH(AT30,$N:$N,0)),$M:$M,0)),$D30,""),"")</f>
        <v/>
      </c>
      <c r="BE30" s="9" t="str">
        <f t="shared" si="7"/>
        <v>范增,苏秦,伍子胥,李斯,韩非子,虞姬</v>
      </c>
      <c r="BI30" s="9" t="str">
        <f>IFERROR(
IF(COUNTIF($M:$M,$AD30)&lt;BI$8,
"",
INDEX($J:$J,MATCH($AD30,$M:$M,0)+BI$8-1)),
"")</f>
        <v>范增</v>
      </c>
      <c r="BJ30" s="9" t="str">
        <f>IFERROR(
IF(COUNTIF($M:$M,$AD30)&lt;BJ$8,
"",
INDEX($J:$J,MATCH($AD30,$M:$M,0)+BJ$8-1)),
"")</f>
        <v>苏秦</v>
      </c>
      <c r="BK30" s="9" t="str">
        <f>IFERROR(
IF(COUNTIF($M:$M,$AD30)&lt;BK$8,
"",
INDEX($J:$J,MATCH($AD30,$M:$M,0)+BK$8-1)),
"")</f>
        <v/>
      </c>
      <c r="BL30" s="9" t="str">
        <f>IFERROR(
IF(COUNTIF($M:$M,$AD30)&lt;BL$8,
"",
INDEX($J:$J,MATCH($AD30,$M:$M,0)+BL$8-1)),
"")</f>
        <v/>
      </c>
      <c r="BN30" s="21" t="str">
        <f>IFERROR(
IF(COUNTIF($BI30:BM30,INDEX($J:$J,MATCH($AE30,$M:$M,0)+BN$8-1))=0,
IF(COUNTIF($M:$M,$AE30)&lt;BN$8,
"",
INDEX($J:$J,MATCH($AE30,$M:$M,0)+BN$8-1)),
""),
"")</f>
        <v/>
      </c>
      <c r="BO30" s="21" t="str">
        <f>IFERROR(
IF(COUNTIF($BI30:BN30,INDEX($J:$J,MATCH($AE30,$M:$M,0)+BO$8-1))=0,
IF(COUNTIF($M:$M,$AE30)&lt;BO$8,
"",
INDEX($J:$J,MATCH($AE30,$M:$M,0)+BO$8-1)),
""),
"")</f>
        <v>伍子胥</v>
      </c>
      <c r="BP30" s="21" t="str">
        <f>IFERROR(
IF(COUNTIF($BI30:BO30,INDEX($J:$J,MATCH($AE30,$M:$M,0)+BP$8-1))=0,
IF(COUNTIF($M:$M,$AE30)&lt;BP$8,
"",
INDEX($J:$J,MATCH($AE30,$M:$M,0)+BP$8-1)),
""),
"")</f>
        <v/>
      </c>
      <c r="BQ30" s="21" t="str">
        <f>IFERROR(
IF(COUNTIF($BI30:BP30,INDEX($J:$J,MATCH($AE30,$M:$M,0)+BQ$8-1))=0,
IF(COUNTIF($M:$M,$AE30)&lt;BQ$8,
"",
INDEX($J:$J,MATCH($AE30,$M:$M,0)+BQ$8-1)),
""),
"")</f>
        <v/>
      </c>
      <c r="BS30" s="21" t="str">
        <f>IFERROR(
IF(COUNTIF($BI30:BR30,INDEX($J:$J,MATCH($AF30,$M:$M,0)+BS$8-1))=0,
IF(COUNTIF($M:$M,$AF30)&lt;BS$8,
"",
INDEX($J:$J,MATCH($AF30,$M:$M,0)+BS$8-1)),
""),
"")</f>
        <v/>
      </c>
      <c r="BT30" s="21" t="str">
        <f>IFERROR(
IF(COUNTIF($BI30:BS30,INDEX($J:$J,MATCH($AF30,$M:$M,0)+BT$8-1))=0,
IF(COUNTIF($M:$M,$AF30)&lt;BT$8,
"",
INDEX($J:$J,MATCH($AF30,$M:$M,0)+BT$8-1)),
""),
"")</f>
        <v>李斯</v>
      </c>
      <c r="BU30" s="21" t="str">
        <f>IFERROR(
IF(COUNTIF($BI30:BT30,INDEX($J:$J,MATCH($AF30,$M:$M,0)+BU$8-1))=0,
IF(COUNTIF($M:$M,$AF30)&lt;BU$8,
"",
INDEX($J:$J,MATCH($AF30,$M:$M,0)+BU$8-1)),
""),
"")</f>
        <v>韩非子</v>
      </c>
      <c r="BV30" s="21" t="str">
        <f>IFERROR(
IF(COUNTIF($BI30:BU30,INDEX($J:$J,MATCH($AF30,$M:$M,0)+BV$8-1))=0,
IF(COUNTIF($M:$M,$AF30)&lt;BV$8,
"",
INDEX($J:$J,MATCH($AF30,$M:$M,0)+BV$8-1)),
""),
"")</f>
        <v>虞姬</v>
      </c>
      <c r="BX30" s="21" t="str">
        <f>IFERROR(
IF(COUNTIF($BI30:BW30,INDEX($J:$J,MATCH($AG30,$M:$M,0)+BX$8-1))=0,
IF(COUNTIF($M:$M,$AG30)&lt;BX$8,
"",
INDEX($J:$J,MATCH($AG30,$M:$M,0)+BX$8-1)),
""),
"")</f>
        <v/>
      </c>
      <c r="BY30" s="21" t="str">
        <f>IFERROR(
IF(COUNTIF($BI30:BX30,INDEX($J:$J,MATCH($AG30,$M:$M,0)+BY$8-1))=0,
IF(COUNTIF($M:$M,$AG30)&lt;BY$8,
"",
INDEX($J:$J,MATCH($AG30,$M:$M,0)+BY$8-1)),
""),
"")</f>
        <v/>
      </c>
      <c r="BZ30" s="21" t="str">
        <f>IFERROR(
IF(COUNTIF($BI30:BY30,INDEX($J:$J,MATCH($AG30,$M:$M,0)+BZ$8-1))=0,
IF(COUNTIF($M:$M,$AG30)&lt;BZ$8,
"",
INDEX($J:$J,MATCH($AG30,$M:$M,0)+BZ$8-1)),
""),
"")</f>
        <v/>
      </c>
      <c r="CA30" s="21" t="str">
        <f>IFERROR(
IF(COUNTIF($BI30:BZ30,INDEX($J:$J,MATCH($AG30,$M:$M,0)+CA$8-1))=0,
IF(COUNTIF($M:$M,$AG30)&lt;CA$8,
"",
INDEX($J:$J,MATCH($AG30,$M:$M,0)+CA$8-1)),
""),
"")</f>
        <v/>
      </c>
      <c r="CC30" s="21" t="str">
        <f>IFERROR(
IF(COUNTIF($BI30:CB30,INDEX($J:$J,MATCH($AH30,$M:$M,0)+CC$8-1))=0,
IF(COUNTIF($M:$M,$AH30)&lt;CC$8,
"",
INDEX($J:$J,MATCH($AH30,$M:$M,0)+CC$8-1)),
""),
"")</f>
        <v/>
      </c>
      <c r="CD30" s="21" t="str">
        <f>IFERROR(
IF(COUNTIF($BI30:CC30,INDEX($J:$J,MATCH($AH30,$M:$M,0)+CD$8-1))=0,
IF(COUNTIF($M:$M,$AH30)&lt;CD$8,
"",
INDEX($J:$J,MATCH($AH30,$M:$M,0)+CD$8-1)),
""),
"")</f>
        <v/>
      </c>
      <c r="CE30" s="21" t="str">
        <f>IFERROR(
IF(COUNTIF($BI30:CD30,INDEX($J:$J,MATCH($AH30,$M:$M,0)+CE$8-1))=0,
IF(COUNTIF($M:$M,$AH30)&lt;CE$8,
"",
INDEX($J:$J,MATCH($AH30,$M:$M,0)+CE$8-1)),
""),
"")</f>
        <v/>
      </c>
      <c r="CF30" s="21" t="str">
        <f>IFERROR(
IF(COUNTIF($BI30:CE30,INDEX($J:$J,MATCH($AH30,$M:$M,0)+CF$8-1))=0,
IF(COUNTIF($M:$M,$AH30)&lt;CF$8,
"",
INDEX($J:$J,MATCH($AH30,$M:$M,0)+CF$8-1)),
""),
"")</f>
        <v/>
      </c>
      <c r="CH30" s="21" t="str">
        <f>IFERROR(
IF(COUNTIF($BI30:CG30,INDEX($J:$J,MATCH($AI30,$M:$M,0)+CH$8-1))=0,
IF(COUNTIF($M:$M,$AI30)&lt;CH$8,
"",
INDEX($J:$J,MATCH($AI30,$M:$M,0)+CH$8-1)),
""),
"")</f>
        <v/>
      </c>
      <c r="CI30" s="21" t="str">
        <f>IFERROR(
IF(COUNTIF($BI30:CH30,INDEX($J:$J,MATCH($AI30,$M:$M,0)+CI$8-1))=0,
IF(COUNTIF($M:$M,$AI30)&lt;CI$8,
"",
INDEX($J:$J,MATCH($AI30,$M:$M,0)+CI$8-1)),
""),
"")</f>
        <v/>
      </c>
      <c r="CJ30" s="21" t="str">
        <f>IFERROR(
IF(COUNTIF($BI30:CI30,INDEX($J:$J,MATCH($AI30,$M:$M,0)+CJ$8-1))=0,
IF(COUNTIF($M:$M,$AI30)&lt;CJ$8,
"",
INDEX($J:$J,MATCH($AI30,$M:$M,0)+CJ$8-1)),
""),
"")</f>
        <v/>
      </c>
      <c r="CK30" s="21" t="str">
        <f>IFERROR(
IF(COUNTIF($BI30:CJ30,INDEX($J:$J,MATCH($AI30,$M:$M,0)+CK$8-1))=0,
IF(COUNTIF($M:$M,$AI30)&lt;CK$8,
"",
INDEX($J:$J,MATCH($AI30,$M:$M,0)+CK$8-1)),
""),
"")</f>
        <v/>
      </c>
      <c r="CM30" s="21" t="str">
        <f>IFERROR(
IF(COUNTIF($BI30:CL30,INDEX($J:$J,MATCH($AJ30,$M:$M,0)+CM$8-1))=0,
IF(COUNTIF($M:$M,$AJ30)&lt;CM$8,
"",
INDEX($J:$J,MATCH($AJ30,$M:$M,0)+CM$8-1)),
""),
"")</f>
        <v/>
      </c>
      <c r="CN30" s="21" t="str">
        <f>IFERROR(
IF(COUNTIF($BI30:CM30,INDEX($J:$J,MATCH($AJ30,$M:$M,0)+CN$8-1))=0,
IF(COUNTIF($M:$M,$AJ30)&lt;CN$8,
"",
INDEX($J:$J,MATCH($AJ30,$M:$M,0)+CN$8-1)),
""),
"")</f>
        <v/>
      </c>
      <c r="CO30" s="21" t="str">
        <f>IFERROR(
IF(COUNTIF($BI30:CN30,INDEX($J:$J,MATCH($AJ30,$M:$M,0)+CO$8-1))=0,
IF(COUNTIF($M:$M,$AJ30)&lt;CO$8,
"",
INDEX($J:$J,MATCH($AJ30,$M:$M,0)+CO$8-1)),
""),
"")</f>
        <v/>
      </c>
      <c r="CP30" s="21" t="str">
        <f>IFERROR(
IF(COUNTIF($BI30:CO30,INDEX($J:$J,MATCH($AJ30,$M:$M,0)+CP$8-1))=0,
IF(COUNTIF($M:$M,$AJ30)&lt;CP$8,
"",
INDEX($J:$J,MATCH($AJ30,$M:$M,0)+CP$8-1)),
""),
"")</f>
        <v/>
      </c>
      <c r="CR30" s="21" t="str">
        <f>IFERROR(
IF(COUNTIF($BI30:CQ30,INDEX($J:$J,MATCH($AK30,$M:$M,0)+CR$8-1))=0,
IF(COUNTIF($M:$M,$AK30)&lt;CR$8,
"",
INDEX($J:$J,MATCH($AK30,$M:$M,0)+CR$8-1)),
""),
"")</f>
        <v/>
      </c>
      <c r="CS30" s="21" t="str">
        <f>IFERROR(
IF(COUNTIF($BI30:CR30,INDEX($J:$J,MATCH($AK30,$M:$M,0)+CS$8-1))=0,
IF(COUNTIF($M:$M,$AK30)&lt;CS$8,
"",
INDEX($J:$J,MATCH($AK30,$M:$M,0)+CS$8-1)),
""),
"")</f>
        <v/>
      </c>
      <c r="CT30" s="21" t="str">
        <f>IFERROR(
IF(COUNTIF($BI30:CS30,INDEX($J:$J,MATCH($AK30,$M:$M,0)+CT$8-1))=0,
IF(COUNTIF($M:$M,$AK30)&lt;CT$8,
"",
INDEX($J:$J,MATCH($AK30,$M:$M,0)+CT$8-1)),
""),
"")</f>
        <v/>
      </c>
      <c r="CU30" s="21" t="str">
        <f>IFERROR(
IF(COUNTIF($BI30:CT30,INDEX($J:$J,MATCH($AK30,$M:$M,0)+CU$8-1))=0,
IF(COUNTIF($M:$M,$AK30)&lt;CU$8,
"",
INDEX($J:$J,MATCH($AK30,$M:$M,0)+CU$8-1)),
""),
"")</f>
        <v/>
      </c>
    </row>
    <row r="31" spans="3:99" ht="14.25">
      <c r="C31" s="16">
        <v>23</v>
      </c>
      <c r="D31" s="19" t="s">
        <v>425</v>
      </c>
      <c r="E31" s="20">
        <f>INDEX([1]武将基本资料!$S:$S,MATCH(D31,[1]武将基本资料!$N:$N,0))</f>
        <v>130</v>
      </c>
      <c r="F31" s="20" t="str">
        <f>INDEX([1]武将基本资料!$Q:$Q,MATCH(D31,[1]武将基本资料!$N:$N,0))</f>
        <v>橙+</v>
      </c>
      <c r="H31" s="7">
        <f>IF(I31="","",COUNTA(I$9:$I31))</f>
        <v>21</v>
      </c>
      <c r="I31" s="6" t="s">
        <v>168</v>
      </c>
      <c r="J31" s="6" t="s">
        <v>84</v>
      </c>
      <c r="K31" s="8" t="str">
        <f>IF(H31="","",阶段合并区域(J31:J40," ",L31:L40,1))</f>
        <v>孙膑 庞涓</v>
      </c>
      <c r="L31" s="8">
        <f>COUNTIF(M$8:$M31,"="&amp;M31)</f>
        <v>1</v>
      </c>
      <c r="M31" s="9" t="str">
        <f t="shared" si="3"/>
        <v>针锋相对</v>
      </c>
      <c r="N31" s="9" t="str">
        <f t="shared" si="4"/>
        <v>针锋相对1</v>
      </c>
      <c r="O31" s="15">
        <f>INDEX(C:C,MATCH(J31,D:D,0))</f>
        <v>36</v>
      </c>
      <c r="P31" s="9">
        <f>INDEX(E:E,MATCH(J31,D:D,0))</f>
        <v>120</v>
      </c>
      <c r="Q31" s="7">
        <f t="shared" si="0"/>
        <v>36</v>
      </c>
      <c r="R31" s="7">
        <f>COUNTIF(J$8:$J31,"="&amp;J31)</f>
        <v>2</v>
      </c>
      <c r="S31" s="7">
        <f t="shared" si="5"/>
        <v>2036</v>
      </c>
      <c r="U31" s="7">
        <f t="shared" si="6"/>
        <v>1023</v>
      </c>
      <c r="V31" s="7">
        <f t="shared" si="6"/>
        <v>2023</v>
      </c>
      <c r="W31" s="7">
        <f t="shared" si="6"/>
        <v>3023</v>
      </c>
      <c r="X31" s="7">
        <f t="shared" si="6"/>
        <v>4023</v>
      </c>
      <c r="Y31" s="7">
        <f t="shared" si="6"/>
        <v>5023</v>
      </c>
      <c r="Z31" s="7">
        <f t="shared" si="6"/>
        <v>6023</v>
      </c>
      <c r="AA31" s="7">
        <f t="shared" si="6"/>
        <v>7023</v>
      </c>
      <c r="AB31" s="7">
        <f t="shared" si="6"/>
        <v>8023</v>
      </c>
      <c r="AD31" s="21" t="str">
        <f>IFERROR(INDEX($M:$M,MATCH(U31,$S:$S,0)),"&amp;")</f>
        <v>人生浮沉</v>
      </c>
      <c r="AE31" s="21" t="str">
        <f>IFERROR(INDEX($M:$M,MATCH(V31,$S:$S,0)),"&amp;")</f>
        <v>生而富贵</v>
      </c>
      <c r="AF31" s="21" t="str">
        <f>IFERROR(INDEX($M:$M,MATCH(W31,$S:$S,0)),"&amp;")</f>
        <v>擅宠而骄</v>
      </c>
      <c r="AG31" s="21" t="str">
        <f>IFERROR(INDEX($M:$M,MATCH(X31,$S:$S,0)),"&amp;")</f>
        <v>&amp;</v>
      </c>
      <c r="AH31" s="21" t="str">
        <f>IFERROR(INDEX($M:$M,MATCH(Y31,$S:$S,0)),"&amp;")</f>
        <v>&amp;</v>
      </c>
      <c r="AI31" s="21" t="str">
        <f>IFERROR(INDEX($M:$M,MATCH(Z31,$S:$S,0)),"&amp;")</f>
        <v>&amp;</v>
      </c>
      <c r="AJ31" s="21" t="str">
        <f>IFERROR(INDEX($M:$M,MATCH(AA31,$S:$S,0)),"&amp;")</f>
        <v>&amp;</v>
      </c>
      <c r="AK31" s="21" t="str">
        <f>IFERROR(INDEX($M:$M,MATCH(AB31,$S:$S,0)),"&amp;")</f>
        <v>&amp;</v>
      </c>
      <c r="AM31" s="21" t="str">
        <f>IFERROR(INDEX($N:$N,MATCH(U31,$S:$S,0)),"&amp;")</f>
        <v>人生浮沉1</v>
      </c>
      <c r="AN31" s="21" t="str">
        <f>IFERROR(INDEX($N:$N,MATCH(V31,$S:$S,0)),"&amp;")</f>
        <v>生而富贵1</v>
      </c>
      <c r="AO31" s="21" t="str">
        <f>IFERROR(INDEX($N:$N,MATCH(W31,$S:$S,0)),"&amp;")</f>
        <v>擅宠而骄1</v>
      </c>
      <c r="AP31" s="21" t="str">
        <f>IFERROR(INDEX($N:$N,MATCH(X31,$S:$S,0)),"&amp;")</f>
        <v>&amp;</v>
      </c>
      <c r="AQ31" s="21" t="str">
        <f>IFERROR(INDEX($N:$N,MATCH(Y31,$S:$S,0)),"&amp;")</f>
        <v>&amp;</v>
      </c>
      <c r="AR31" s="21" t="str">
        <f>IFERROR(INDEX($N:$N,MATCH(Z31,$S:$S,0)),"&amp;")</f>
        <v>&amp;</v>
      </c>
      <c r="AS31" s="21" t="str">
        <f>IFERROR(INDEX($N:$N,MATCH(AA31,$S:$S,0)),"&amp;")</f>
        <v>&amp;</v>
      </c>
      <c r="AT31" s="21" t="str">
        <f>IFERROR(INDEX($N:$N,MATCH(AB31,$S:$S,0)),"&amp;")</f>
        <v>&amp;</v>
      </c>
      <c r="AV31" s="21" t="str">
        <f>IFERROR(SUBSTITUTE(INDEX($K:$K,MATCH(INDEX($M:$M,MATCH(AM31,$N:$N,0)),$M:$M,0)),$D31,""),"")</f>
        <v xml:space="preserve"> 孙膑</v>
      </c>
      <c r="AW31" s="21" t="str">
        <f>IFERROR(SUBSTITUTE(INDEX($K:$K,MATCH(INDEX($M:$M,MATCH(AN31,$N:$N,0)),$M:$M,0)),$D31,""),"")</f>
        <v xml:space="preserve"> 孟尝君</v>
      </c>
      <c r="AX31" s="21" t="str">
        <f>IFERROR(SUBSTITUTE(INDEX($K:$K,MATCH(INDEX($M:$M,MATCH(AO31,$N:$N,0)),$M:$M,0)),$D31,""),"")</f>
        <v xml:space="preserve"> 骊姬</v>
      </c>
      <c r="AY31" s="21" t="str">
        <f>IFERROR(SUBSTITUTE(INDEX($K:$K,MATCH(INDEX($M:$M,MATCH(AP31,$N:$N,0)),$M:$M,0)),$D31,""),"")</f>
        <v/>
      </c>
      <c r="AZ31" s="21" t="str">
        <f>IFERROR(SUBSTITUTE(INDEX($K:$K,MATCH(INDEX($M:$M,MATCH(AQ31,$N:$N,0)),$M:$M,0)),$D31,""),"")</f>
        <v/>
      </c>
      <c r="BA31" s="21" t="str">
        <f>IFERROR(SUBSTITUTE(INDEX($K:$K,MATCH(INDEX($M:$M,MATCH(AR31,$N:$N,0)),$M:$M,0)),$D31,""),"")</f>
        <v/>
      </c>
      <c r="BB31" s="21" t="str">
        <f>IFERROR(SUBSTITUTE(INDEX($K:$K,MATCH(INDEX($M:$M,MATCH(AS31,$N:$N,0)),$M:$M,0)),$D31,""),"")</f>
        <v/>
      </c>
      <c r="BC31" s="21" t="str">
        <f>IFERROR(SUBSTITUTE(INDEX($K:$K,MATCH(INDEX($M:$M,MATCH(AT31,$N:$N,0)),$M:$M,0)),$D31,""),"")</f>
        <v/>
      </c>
      <c r="BE31" s="9" t="str">
        <f t="shared" si="7"/>
        <v>陈阿娇,孙膑,孟尝君,骊姬</v>
      </c>
      <c r="BI31" s="9" t="str">
        <f>IFERROR(
IF(COUNTIF($M:$M,$AD31)&lt;BI$8,
"",
INDEX($J:$J,MATCH($AD31,$M:$M,0)+BI$8-1)),
"")</f>
        <v>陈阿娇</v>
      </c>
      <c r="BJ31" s="9" t="str">
        <f>IFERROR(
IF(COUNTIF($M:$M,$AD31)&lt;BJ$8,
"",
INDEX($J:$J,MATCH($AD31,$M:$M,0)+BJ$8-1)),
"")</f>
        <v>孙膑</v>
      </c>
      <c r="BK31" s="9" t="str">
        <f>IFERROR(
IF(COUNTIF($M:$M,$AD31)&lt;BK$8,
"",
INDEX($J:$J,MATCH($AD31,$M:$M,0)+BK$8-1)),
"")</f>
        <v/>
      </c>
      <c r="BL31" s="9" t="str">
        <f>IFERROR(
IF(COUNTIF($M:$M,$AD31)&lt;BL$8,
"",
INDEX($J:$J,MATCH($AD31,$M:$M,0)+BL$8-1)),
"")</f>
        <v/>
      </c>
      <c r="BN31" s="21" t="str">
        <f>IFERROR(
IF(COUNTIF($BI31:BM31,INDEX($J:$J,MATCH($AE31,$M:$M,0)+BN$8-1))=0,
IF(COUNTIF($M:$M,$AE31)&lt;BN$8,
"",
INDEX($J:$J,MATCH($AE31,$M:$M,0)+BN$8-1)),
""),
"")</f>
        <v/>
      </c>
      <c r="BO31" s="21" t="str">
        <f>IFERROR(
IF(COUNTIF($BI31:BN31,INDEX($J:$J,MATCH($AE31,$M:$M,0)+BO$8-1))=0,
IF(COUNTIF($M:$M,$AE31)&lt;BO$8,
"",
INDEX($J:$J,MATCH($AE31,$M:$M,0)+BO$8-1)),
""),
"")</f>
        <v>孟尝君</v>
      </c>
      <c r="BP31" s="21" t="str">
        <f>IFERROR(
IF(COUNTIF($BI31:BO31,INDEX($J:$J,MATCH($AE31,$M:$M,0)+BP$8-1))=0,
IF(COUNTIF($M:$M,$AE31)&lt;BP$8,
"",
INDEX($J:$J,MATCH($AE31,$M:$M,0)+BP$8-1)),
""),
"")</f>
        <v/>
      </c>
      <c r="BQ31" s="21" t="str">
        <f>IFERROR(
IF(COUNTIF($BI31:BP31,INDEX($J:$J,MATCH($AE31,$M:$M,0)+BQ$8-1))=0,
IF(COUNTIF($M:$M,$AE31)&lt;BQ$8,
"",
INDEX($J:$J,MATCH($AE31,$M:$M,0)+BQ$8-1)),
""),
"")</f>
        <v/>
      </c>
      <c r="BS31" s="21" t="str">
        <f>IFERROR(
IF(COUNTIF($BI31:BR31,INDEX($J:$J,MATCH($AF31,$M:$M,0)+BS$8-1))=0,
IF(COUNTIF($M:$M,$AF31)&lt;BS$8,
"",
INDEX($J:$J,MATCH($AF31,$M:$M,0)+BS$8-1)),
""),
"")</f>
        <v/>
      </c>
      <c r="BT31" s="21" t="str">
        <f>IFERROR(
IF(COUNTIF($BI31:BS31,INDEX($J:$J,MATCH($AF31,$M:$M,0)+BT$8-1))=0,
IF(COUNTIF($M:$M,$AF31)&lt;BT$8,
"",
INDEX($J:$J,MATCH($AF31,$M:$M,0)+BT$8-1)),
""),
"")</f>
        <v>骊姬</v>
      </c>
      <c r="BU31" s="21" t="str">
        <f>IFERROR(
IF(COUNTIF($BI31:BT31,INDEX($J:$J,MATCH($AF31,$M:$M,0)+BU$8-1))=0,
IF(COUNTIF($M:$M,$AF31)&lt;BU$8,
"",
INDEX($J:$J,MATCH($AF31,$M:$M,0)+BU$8-1)),
""),
"")</f>
        <v/>
      </c>
      <c r="BV31" s="21" t="str">
        <f>IFERROR(
IF(COUNTIF($BI31:BU31,INDEX($J:$J,MATCH($AF31,$M:$M,0)+BV$8-1))=0,
IF(COUNTIF($M:$M,$AF31)&lt;BV$8,
"",
INDEX($J:$J,MATCH($AF31,$M:$M,0)+BV$8-1)),
""),
"")</f>
        <v/>
      </c>
      <c r="BX31" s="21" t="str">
        <f>IFERROR(
IF(COUNTIF($BI31:BW31,INDEX($J:$J,MATCH($AG31,$M:$M,0)+BX$8-1))=0,
IF(COUNTIF($M:$M,$AG31)&lt;BX$8,
"",
INDEX($J:$J,MATCH($AG31,$M:$M,0)+BX$8-1)),
""),
"")</f>
        <v/>
      </c>
      <c r="BY31" s="21" t="str">
        <f>IFERROR(
IF(COUNTIF($BI31:BX31,INDEX($J:$J,MATCH($AG31,$M:$M,0)+BY$8-1))=0,
IF(COUNTIF($M:$M,$AG31)&lt;BY$8,
"",
INDEX($J:$J,MATCH($AG31,$M:$M,0)+BY$8-1)),
""),
"")</f>
        <v/>
      </c>
      <c r="BZ31" s="21" t="str">
        <f>IFERROR(
IF(COUNTIF($BI31:BY31,INDEX($J:$J,MATCH($AG31,$M:$M,0)+BZ$8-1))=0,
IF(COUNTIF($M:$M,$AG31)&lt;BZ$8,
"",
INDEX($J:$J,MATCH($AG31,$M:$M,0)+BZ$8-1)),
""),
"")</f>
        <v/>
      </c>
      <c r="CA31" s="21" t="str">
        <f>IFERROR(
IF(COUNTIF($BI31:BZ31,INDEX($J:$J,MATCH($AG31,$M:$M,0)+CA$8-1))=0,
IF(COUNTIF($M:$M,$AG31)&lt;CA$8,
"",
INDEX($J:$J,MATCH($AG31,$M:$M,0)+CA$8-1)),
""),
"")</f>
        <v/>
      </c>
      <c r="CC31" s="21" t="str">
        <f>IFERROR(
IF(COUNTIF($BI31:CB31,INDEX($J:$J,MATCH($AH31,$M:$M,0)+CC$8-1))=0,
IF(COUNTIF($M:$M,$AH31)&lt;CC$8,
"",
INDEX($J:$J,MATCH($AH31,$M:$M,0)+CC$8-1)),
""),
"")</f>
        <v/>
      </c>
      <c r="CD31" s="21" t="str">
        <f>IFERROR(
IF(COUNTIF($BI31:CC31,INDEX($J:$J,MATCH($AH31,$M:$M,0)+CD$8-1))=0,
IF(COUNTIF($M:$M,$AH31)&lt;CD$8,
"",
INDEX($J:$J,MATCH($AH31,$M:$M,0)+CD$8-1)),
""),
"")</f>
        <v/>
      </c>
      <c r="CE31" s="21" t="str">
        <f>IFERROR(
IF(COUNTIF($BI31:CD31,INDEX($J:$J,MATCH($AH31,$M:$M,0)+CE$8-1))=0,
IF(COUNTIF($M:$M,$AH31)&lt;CE$8,
"",
INDEX($J:$J,MATCH($AH31,$M:$M,0)+CE$8-1)),
""),
"")</f>
        <v/>
      </c>
      <c r="CF31" s="21" t="str">
        <f>IFERROR(
IF(COUNTIF($BI31:CE31,INDEX($J:$J,MATCH($AH31,$M:$M,0)+CF$8-1))=0,
IF(COUNTIF($M:$M,$AH31)&lt;CF$8,
"",
INDEX($J:$J,MATCH($AH31,$M:$M,0)+CF$8-1)),
""),
"")</f>
        <v/>
      </c>
      <c r="CH31" s="21" t="str">
        <f>IFERROR(
IF(COUNTIF($BI31:CG31,INDEX($J:$J,MATCH($AI31,$M:$M,0)+CH$8-1))=0,
IF(COUNTIF($M:$M,$AI31)&lt;CH$8,
"",
INDEX($J:$J,MATCH($AI31,$M:$M,0)+CH$8-1)),
""),
"")</f>
        <v/>
      </c>
      <c r="CI31" s="21" t="str">
        <f>IFERROR(
IF(COUNTIF($BI31:CH31,INDEX($J:$J,MATCH($AI31,$M:$M,0)+CI$8-1))=0,
IF(COUNTIF($M:$M,$AI31)&lt;CI$8,
"",
INDEX($J:$J,MATCH($AI31,$M:$M,0)+CI$8-1)),
""),
"")</f>
        <v/>
      </c>
      <c r="CJ31" s="21" t="str">
        <f>IFERROR(
IF(COUNTIF($BI31:CI31,INDEX($J:$J,MATCH($AI31,$M:$M,0)+CJ$8-1))=0,
IF(COUNTIF($M:$M,$AI31)&lt;CJ$8,
"",
INDEX($J:$J,MATCH($AI31,$M:$M,0)+CJ$8-1)),
""),
"")</f>
        <v/>
      </c>
      <c r="CK31" s="21" t="str">
        <f>IFERROR(
IF(COUNTIF($BI31:CJ31,INDEX($J:$J,MATCH($AI31,$M:$M,0)+CK$8-1))=0,
IF(COUNTIF($M:$M,$AI31)&lt;CK$8,
"",
INDEX($J:$J,MATCH($AI31,$M:$M,0)+CK$8-1)),
""),
"")</f>
        <v/>
      </c>
      <c r="CM31" s="21" t="str">
        <f>IFERROR(
IF(COUNTIF($BI31:CL31,INDEX($J:$J,MATCH($AJ31,$M:$M,0)+CM$8-1))=0,
IF(COUNTIF($M:$M,$AJ31)&lt;CM$8,
"",
INDEX($J:$J,MATCH($AJ31,$M:$M,0)+CM$8-1)),
""),
"")</f>
        <v/>
      </c>
      <c r="CN31" s="21" t="str">
        <f>IFERROR(
IF(COUNTIF($BI31:CM31,INDEX($J:$J,MATCH($AJ31,$M:$M,0)+CN$8-1))=0,
IF(COUNTIF($M:$M,$AJ31)&lt;CN$8,
"",
INDEX($J:$J,MATCH($AJ31,$M:$M,0)+CN$8-1)),
""),
"")</f>
        <v/>
      </c>
      <c r="CO31" s="21" t="str">
        <f>IFERROR(
IF(COUNTIF($BI31:CN31,INDEX($J:$J,MATCH($AJ31,$M:$M,0)+CO$8-1))=0,
IF(COUNTIF($M:$M,$AJ31)&lt;CO$8,
"",
INDEX($J:$J,MATCH($AJ31,$M:$M,0)+CO$8-1)),
""),
"")</f>
        <v/>
      </c>
      <c r="CP31" s="21" t="str">
        <f>IFERROR(
IF(COUNTIF($BI31:CO31,INDEX($J:$J,MATCH($AJ31,$M:$M,0)+CP$8-1))=0,
IF(COUNTIF($M:$M,$AJ31)&lt;CP$8,
"",
INDEX($J:$J,MATCH($AJ31,$M:$M,0)+CP$8-1)),
""),
"")</f>
        <v/>
      </c>
      <c r="CR31" s="21" t="str">
        <f>IFERROR(
IF(COUNTIF($BI31:CQ31,INDEX($J:$J,MATCH($AK31,$M:$M,0)+CR$8-1))=0,
IF(COUNTIF($M:$M,$AK31)&lt;CR$8,
"",
INDEX($J:$J,MATCH($AK31,$M:$M,0)+CR$8-1)),
""),
"")</f>
        <v/>
      </c>
      <c r="CS31" s="21" t="str">
        <f>IFERROR(
IF(COUNTIF($BI31:CR31,INDEX($J:$J,MATCH($AK31,$M:$M,0)+CS$8-1))=0,
IF(COUNTIF($M:$M,$AK31)&lt;CS$8,
"",
INDEX($J:$J,MATCH($AK31,$M:$M,0)+CS$8-1)),
""),
"")</f>
        <v/>
      </c>
      <c r="CT31" s="21" t="str">
        <f>IFERROR(
IF(COUNTIF($BI31:CS31,INDEX($J:$J,MATCH($AK31,$M:$M,0)+CT$8-1))=0,
IF(COUNTIF($M:$M,$AK31)&lt;CT$8,
"",
INDEX($J:$J,MATCH($AK31,$M:$M,0)+CT$8-1)),
""),
"")</f>
        <v/>
      </c>
      <c r="CU31" s="21" t="str">
        <f>IFERROR(
IF(COUNTIF($BI31:CT31,INDEX($J:$J,MATCH($AK31,$M:$M,0)+CU$8-1))=0,
IF(COUNTIF($M:$M,$AK31)&lt;CU$8,
"",
INDEX($J:$J,MATCH($AK31,$M:$M,0)+CU$8-1)),
""),
"")</f>
        <v/>
      </c>
    </row>
    <row r="32" spans="3:99" ht="14.25">
      <c r="C32" s="16">
        <v>24</v>
      </c>
      <c r="D32" s="19" t="s">
        <v>78</v>
      </c>
      <c r="E32" s="20">
        <f>INDEX([1]武将基本资料!$S:$S,MATCH(D32,[1]武将基本资料!$N:$N,0))</f>
        <v>120</v>
      </c>
      <c r="F32" s="20" t="str">
        <f>INDEX([1]武将基本资料!$Q:$Q,MATCH(D32,[1]武将基本资料!$N:$N,0))</f>
        <v>橙</v>
      </c>
      <c r="H32" s="7" t="str">
        <f>IF(I32="","",COUNTA(I$9:$I32))</f>
        <v/>
      </c>
      <c r="I32" s="6" t="s">
        <v>188</v>
      </c>
      <c r="J32" s="6" t="s">
        <v>66</v>
      </c>
      <c r="K32" s="8" t="str">
        <f>IF(H32="","",阶段合并区域(J32:J41," ",L32:L41,1))</f>
        <v/>
      </c>
      <c r="L32" s="8">
        <f>COUNTIF(M$8:$M32,"="&amp;M32)</f>
        <v>2</v>
      </c>
      <c r="M32" s="9" t="str">
        <f t="shared" si="3"/>
        <v>针锋相对</v>
      </c>
      <c r="N32" s="9" t="str">
        <f t="shared" si="4"/>
        <v>针锋相对2</v>
      </c>
      <c r="O32" s="15">
        <f>INDEX(C:C,MATCH(J32,D:D,0))</f>
        <v>49</v>
      </c>
      <c r="P32" s="9">
        <f>INDEX(E:E,MATCH(J32,D:D,0))</f>
        <v>110</v>
      </c>
      <c r="Q32" s="7">
        <f t="shared" si="0"/>
        <v>49</v>
      </c>
      <c r="R32" s="7">
        <f>COUNTIF(J$8:$J32,"="&amp;J32)</f>
        <v>1</v>
      </c>
      <c r="S32" s="7">
        <f t="shared" si="5"/>
        <v>1049</v>
      </c>
      <c r="U32" s="7">
        <f t="shared" si="6"/>
        <v>1024</v>
      </c>
      <c r="V32" s="7">
        <f t="shared" si="6"/>
        <v>2024</v>
      </c>
      <c r="W32" s="7">
        <f t="shared" si="6"/>
        <v>3024</v>
      </c>
      <c r="X32" s="7">
        <f t="shared" si="6"/>
        <v>4024</v>
      </c>
      <c r="Y32" s="7">
        <f t="shared" si="6"/>
        <v>5024</v>
      </c>
      <c r="Z32" s="7">
        <f t="shared" si="6"/>
        <v>6024</v>
      </c>
      <c r="AA32" s="7">
        <f t="shared" si="6"/>
        <v>7024</v>
      </c>
      <c r="AB32" s="7">
        <f t="shared" si="6"/>
        <v>8024</v>
      </c>
      <c r="AD32" s="21" t="str">
        <f>IFERROR(INDEX($M:$M,MATCH(U32,$S:$S,0)),"&amp;")</f>
        <v>反间计</v>
      </c>
      <c r="AE32" s="21" t="str">
        <f>IFERROR(INDEX($M:$M,MATCH(V32,$S:$S,0)),"&amp;")</f>
        <v>相印</v>
      </c>
      <c r="AF32" s="21" t="str">
        <f>IFERROR(INDEX($M:$M,MATCH(W32,$S:$S,0)),"&amp;")</f>
        <v>有损无益</v>
      </c>
      <c r="AG32" s="21" t="str">
        <f>IFERROR(INDEX($M:$M,MATCH(X32,$S:$S,0)),"&amp;")</f>
        <v>秦相</v>
      </c>
      <c r="AH32" s="21" t="str">
        <f>IFERROR(INDEX($M:$M,MATCH(Y32,$S:$S,0)),"&amp;")</f>
        <v>未能善终</v>
      </c>
      <c r="AI32" s="21" t="str">
        <f>IFERROR(INDEX($M:$M,MATCH(Z32,$S:$S,0)),"&amp;")</f>
        <v>&amp;</v>
      </c>
      <c r="AJ32" s="21" t="str">
        <f>IFERROR(INDEX($M:$M,MATCH(AA32,$S:$S,0)),"&amp;")</f>
        <v>&amp;</v>
      </c>
      <c r="AK32" s="21" t="str">
        <f>IFERROR(INDEX($M:$M,MATCH(AB32,$S:$S,0)),"&amp;")</f>
        <v>&amp;</v>
      </c>
      <c r="AM32" s="21" t="str">
        <f>IFERROR(INDEX($N:$N,MATCH(U32,$S:$S,0)),"&amp;")</f>
        <v>反间计1</v>
      </c>
      <c r="AN32" s="21" t="str">
        <f>IFERROR(INDEX($N:$N,MATCH(V32,$S:$S,0)),"&amp;")</f>
        <v>相印1</v>
      </c>
      <c r="AO32" s="21" t="str">
        <f>IFERROR(INDEX($N:$N,MATCH(W32,$S:$S,0)),"&amp;")</f>
        <v>有损无益1</v>
      </c>
      <c r="AP32" s="21" t="str">
        <f>IFERROR(INDEX($N:$N,MATCH(X32,$S:$S,0)),"&amp;")</f>
        <v>秦相2</v>
      </c>
      <c r="AQ32" s="21" t="str">
        <f>IFERROR(INDEX($N:$N,MATCH(Y32,$S:$S,0)),"&amp;")</f>
        <v>未能善终2</v>
      </c>
      <c r="AR32" s="21" t="str">
        <f>IFERROR(INDEX($N:$N,MATCH(Z32,$S:$S,0)),"&amp;")</f>
        <v>&amp;</v>
      </c>
      <c r="AS32" s="21" t="str">
        <f>IFERROR(INDEX($N:$N,MATCH(AA32,$S:$S,0)),"&amp;")</f>
        <v>&amp;</v>
      </c>
      <c r="AT32" s="21" t="str">
        <f>IFERROR(INDEX($N:$N,MATCH(AB32,$S:$S,0)),"&amp;")</f>
        <v>&amp;</v>
      </c>
      <c r="AV32" s="21" t="str">
        <f>IFERROR(SUBSTITUTE(INDEX($K:$K,MATCH(INDEX($M:$M,MATCH(AM32,$N:$N,0)),$M:$M,0)),$D32,""),"")</f>
        <v xml:space="preserve"> 赵括 廉颇</v>
      </c>
      <c r="AW32" s="21" t="str">
        <f>IFERROR(SUBSTITUTE(INDEX($K:$K,MATCH(INDEX($M:$M,MATCH(AN32,$N:$N,0)),$M:$M,0)),$D32,""),"")</f>
        <v xml:space="preserve"> 吕不韦 苏秦 蔺相如</v>
      </c>
      <c r="AX32" s="21" t="str">
        <f>IFERROR(SUBSTITUTE(INDEX($K:$K,MATCH(INDEX($M:$M,MATCH(AO32,$N:$N,0)),$M:$M,0)),$D32,""),"")</f>
        <v xml:space="preserve"> 申不害 田单 孙膑</v>
      </c>
      <c r="AY32" s="21" t="str">
        <f>IFERROR(SUBSTITUTE(INDEX($K:$K,MATCH(INDEX($M:$M,MATCH(AP32,$N:$N,0)),$M:$M,0)),$D32,""),"")</f>
        <v>吕不韦  李斯</v>
      </c>
      <c r="AZ32" s="21" t="str">
        <f>IFERROR(SUBSTITUTE(INDEX($K:$K,MATCH(INDEX($M:$M,MATCH(AQ32,$N:$N,0)),$M:$M,0)),$D32,""),"")</f>
        <v>吕不韦  李斯</v>
      </c>
      <c r="BA32" s="21" t="str">
        <f>IFERROR(SUBSTITUTE(INDEX($K:$K,MATCH(INDEX($M:$M,MATCH(AR32,$N:$N,0)),$M:$M,0)),$D32,""),"")</f>
        <v/>
      </c>
      <c r="BB32" s="21" t="str">
        <f>IFERROR(SUBSTITUTE(INDEX($K:$K,MATCH(INDEX($M:$M,MATCH(AS32,$N:$N,0)),$M:$M,0)),$D32,""),"")</f>
        <v/>
      </c>
      <c r="BC32" s="21" t="str">
        <f>IFERROR(SUBSTITUTE(INDEX($K:$K,MATCH(INDEX($M:$M,MATCH(AT32,$N:$N,0)),$M:$M,0)),$D32,""),"")</f>
        <v/>
      </c>
      <c r="BE32" s="9" t="str">
        <f t="shared" si="7"/>
        <v>范雎,赵括,廉颇,吕不韦,苏秦,蔺相如,申不害,田单,孙膑,李斯</v>
      </c>
      <c r="BI32" s="9" t="str">
        <f>IFERROR(
IF(COUNTIF($M:$M,$AD32)&lt;BI$8,
"",
INDEX($J:$J,MATCH($AD32,$M:$M,0)+BI$8-1)),
"")</f>
        <v>范雎</v>
      </c>
      <c r="BJ32" s="9" t="str">
        <f>IFERROR(
IF(COUNTIF($M:$M,$AD32)&lt;BJ$8,
"",
INDEX($J:$J,MATCH($AD32,$M:$M,0)+BJ$8-1)),
"")</f>
        <v>赵括</v>
      </c>
      <c r="BK32" s="9" t="str">
        <f>IFERROR(
IF(COUNTIF($M:$M,$AD32)&lt;BK$8,
"",
INDEX($J:$J,MATCH($AD32,$M:$M,0)+BK$8-1)),
"")</f>
        <v>廉颇</v>
      </c>
      <c r="BL32" s="9" t="str">
        <f>IFERROR(
IF(COUNTIF($M:$M,$AD32)&lt;BL$8,
"",
INDEX($J:$J,MATCH($AD32,$M:$M,0)+BL$8-1)),
"")</f>
        <v/>
      </c>
      <c r="BN32" s="21" t="str">
        <f>IFERROR(
IF(COUNTIF($BI32:BM32,INDEX($J:$J,MATCH($AE32,$M:$M,0)+BN$8-1))=0,
IF(COUNTIF($M:$M,$AE32)&lt;BN$8,
"",
INDEX($J:$J,MATCH($AE32,$M:$M,0)+BN$8-1)),
""),
"")</f>
        <v/>
      </c>
      <c r="BO32" s="21" t="str">
        <f>IFERROR(
IF(COUNTIF($BI32:BN32,INDEX($J:$J,MATCH($AE32,$M:$M,0)+BO$8-1))=0,
IF(COUNTIF($M:$M,$AE32)&lt;BO$8,
"",
INDEX($J:$J,MATCH($AE32,$M:$M,0)+BO$8-1)),
""),
"")</f>
        <v>吕不韦</v>
      </c>
      <c r="BP32" s="21" t="str">
        <f>IFERROR(
IF(COUNTIF($BI32:BO32,INDEX($J:$J,MATCH($AE32,$M:$M,0)+BP$8-1))=0,
IF(COUNTIF($M:$M,$AE32)&lt;BP$8,
"",
INDEX($J:$J,MATCH($AE32,$M:$M,0)+BP$8-1)),
""),
"")</f>
        <v>苏秦</v>
      </c>
      <c r="BQ32" s="21" t="str">
        <f>IFERROR(
IF(COUNTIF($BI32:BP32,INDEX($J:$J,MATCH($AE32,$M:$M,0)+BQ$8-1))=0,
IF(COUNTIF($M:$M,$AE32)&lt;BQ$8,
"",
INDEX($J:$J,MATCH($AE32,$M:$M,0)+BQ$8-1)),
""),
"")</f>
        <v>蔺相如</v>
      </c>
      <c r="BS32" s="21" t="str">
        <f>IFERROR(
IF(COUNTIF($BI32:BR32,INDEX($J:$J,MATCH($AF32,$M:$M,0)+BS$8-1))=0,
IF(COUNTIF($M:$M,$AF32)&lt;BS$8,
"",
INDEX($J:$J,MATCH($AF32,$M:$M,0)+BS$8-1)),
""),
"")</f>
        <v/>
      </c>
      <c r="BT32" s="21" t="str">
        <f>IFERROR(
IF(COUNTIF($BI32:BS32,INDEX($J:$J,MATCH($AF32,$M:$M,0)+BT$8-1))=0,
IF(COUNTIF($M:$M,$AF32)&lt;BT$8,
"",
INDEX($J:$J,MATCH($AF32,$M:$M,0)+BT$8-1)),
""),
"")</f>
        <v>申不害</v>
      </c>
      <c r="BU32" s="21" t="str">
        <f>IFERROR(
IF(COUNTIF($BI32:BT32,INDEX($J:$J,MATCH($AF32,$M:$M,0)+BU$8-1))=0,
IF(COUNTIF($M:$M,$AF32)&lt;BU$8,
"",
INDEX($J:$J,MATCH($AF32,$M:$M,0)+BU$8-1)),
""),
"")</f>
        <v>田单</v>
      </c>
      <c r="BV32" s="21" t="str">
        <f>IFERROR(
IF(COUNTIF($BI32:BU32,INDEX($J:$J,MATCH($AF32,$M:$M,0)+BV$8-1))=0,
IF(COUNTIF($M:$M,$AF32)&lt;BV$8,
"",
INDEX($J:$J,MATCH($AF32,$M:$M,0)+BV$8-1)),
""),
"")</f>
        <v>孙膑</v>
      </c>
      <c r="BX32" s="21" t="str">
        <f>IFERROR(
IF(COUNTIF($BI32:BW32,INDEX($J:$J,MATCH($AG32,$M:$M,0)+BX$8-1))=0,
IF(COUNTIF($M:$M,$AG32)&lt;BX$8,
"",
INDEX($J:$J,MATCH($AG32,$M:$M,0)+BX$8-1)),
""),
"")</f>
        <v/>
      </c>
      <c r="BY32" s="21" t="str">
        <f>IFERROR(
IF(COUNTIF($BI32:BX32,INDEX($J:$J,MATCH($AG32,$M:$M,0)+BY$8-1))=0,
IF(COUNTIF($M:$M,$AG32)&lt;BY$8,
"",
INDEX($J:$J,MATCH($AG32,$M:$M,0)+BY$8-1)),
""),
"")</f>
        <v/>
      </c>
      <c r="BZ32" s="21" t="str">
        <f>IFERROR(
IF(COUNTIF($BI32:BY32,INDEX($J:$J,MATCH($AG32,$M:$M,0)+BZ$8-1))=0,
IF(COUNTIF($M:$M,$AG32)&lt;BZ$8,
"",
INDEX($J:$J,MATCH($AG32,$M:$M,0)+BZ$8-1)),
""),
"")</f>
        <v>李斯</v>
      </c>
      <c r="CA32" s="21" t="str">
        <f>IFERROR(
IF(COUNTIF($BI32:BZ32,INDEX($J:$J,MATCH($AG32,$M:$M,0)+CA$8-1))=0,
IF(COUNTIF($M:$M,$AG32)&lt;CA$8,
"",
INDEX($J:$J,MATCH($AG32,$M:$M,0)+CA$8-1)),
""),
"")</f>
        <v/>
      </c>
      <c r="CC32" s="21" t="str">
        <f>IFERROR(
IF(COUNTIF($BI32:CB32,INDEX($J:$J,MATCH($AH32,$M:$M,0)+CC$8-1))=0,
IF(COUNTIF($M:$M,$AH32)&lt;CC$8,
"",
INDEX($J:$J,MATCH($AH32,$M:$M,0)+CC$8-1)),
""),
"")</f>
        <v/>
      </c>
      <c r="CD32" s="21" t="str">
        <f>IFERROR(
IF(COUNTIF($BI32:CC32,INDEX($J:$J,MATCH($AH32,$M:$M,0)+CD$8-1))=0,
IF(COUNTIF($M:$M,$AH32)&lt;CD$8,
"",
INDEX($J:$J,MATCH($AH32,$M:$M,0)+CD$8-1)),
""),
"")</f>
        <v/>
      </c>
      <c r="CE32" s="21" t="str">
        <f>IFERROR(
IF(COUNTIF($BI32:CD32,INDEX($J:$J,MATCH($AH32,$M:$M,0)+CE$8-1))=0,
IF(COUNTIF($M:$M,$AH32)&lt;CE$8,
"",
INDEX($J:$J,MATCH($AH32,$M:$M,0)+CE$8-1)),
""),
"")</f>
        <v/>
      </c>
      <c r="CF32" s="21" t="str">
        <f>IFERROR(
IF(COUNTIF($BI32:CE32,INDEX($J:$J,MATCH($AH32,$M:$M,0)+CF$8-1))=0,
IF(COUNTIF($M:$M,$AH32)&lt;CF$8,
"",
INDEX($J:$J,MATCH($AH32,$M:$M,0)+CF$8-1)),
""),
"")</f>
        <v/>
      </c>
      <c r="CH32" s="21" t="str">
        <f>IFERROR(
IF(COUNTIF($BI32:CG32,INDEX($J:$J,MATCH($AI32,$M:$M,0)+CH$8-1))=0,
IF(COUNTIF($M:$M,$AI32)&lt;CH$8,
"",
INDEX($J:$J,MATCH($AI32,$M:$M,0)+CH$8-1)),
""),
"")</f>
        <v/>
      </c>
      <c r="CI32" s="21" t="str">
        <f>IFERROR(
IF(COUNTIF($BI32:CH32,INDEX($J:$J,MATCH($AI32,$M:$M,0)+CI$8-1))=0,
IF(COUNTIF($M:$M,$AI32)&lt;CI$8,
"",
INDEX($J:$J,MATCH($AI32,$M:$M,0)+CI$8-1)),
""),
"")</f>
        <v/>
      </c>
      <c r="CJ32" s="21" t="str">
        <f>IFERROR(
IF(COUNTIF($BI32:CI32,INDEX($J:$J,MATCH($AI32,$M:$M,0)+CJ$8-1))=0,
IF(COUNTIF($M:$M,$AI32)&lt;CJ$8,
"",
INDEX($J:$J,MATCH($AI32,$M:$M,0)+CJ$8-1)),
""),
"")</f>
        <v/>
      </c>
      <c r="CK32" s="21" t="str">
        <f>IFERROR(
IF(COUNTIF($BI32:CJ32,INDEX($J:$J,MATCH($AI32,$M:$M,0)+CK$8-1))=0,
IF(COUNTIF($M:$M,$AI32)&lt;CK$8,
"",
INDEX($J:$J,MATCH($AI32,$M:$M,0)+CK$8-1)),
""),
"")</f>
        <v/>
      </c>
      <c r="CM32" s="21" t="str">
        <f>IFERROR(
IF(COUNTIF($BI32:CL32,INDEX($J:$J,MATCH($AJ32,$M:$M,0)+CM$8-1))=0,
IF(COUNTIF($M:$M,$AJ32)&lt;CM$8,
"",
INDEX($J:$J,MATCH($AJ32,$M:$M,0)+CM$8-1)),
""),
"")</f>
        <v/>
      </c>
      <c r="CN32" s="21" t="str">
        <f>IFERROR(
IF(COUNTIF($BI32:CM32,INDEX($J:$J,MATCH($AJ32,$M:$M,0)+CN$8-1))=0,
IF(COUNTIF($M:$M,$AJ32)&lt;CN$8,
"",
INDEX($J:$J,MATCH($AJ32,$M:$M,0)+CN$8-1)),
""),
"")</f>
        <v/>
      </c>
      <c r="CO32" s="21" t="str">
        <f>IFERROR(
IF(COUNTIF($BI32:CN32,INDEX($J:$J,MATCH($AJ32,$M:$M,0)+CO$8-1))=0,
IF(COUNTIF($M:$M,$AJ32)&lt;CO$8,
"",
INDEX($J:$J,MATCH($AJ32,$M:$M,0)+CO$8-1)),
""),
"")</f>
        <v/>
      </c>
      <c r="CP32" s="21" t="str">
        <f>IFERROR(
IF(COUNTIF($BI32:CO32,INDEX($J:$J,MATCH($AJ32,$M:$M,0)+CP$8-1))=0,
IF(COUNTIF($M:$M,$AJ32)&lt;CP$8,
"",
INDEX($J:$J,MATCH($AJ32,$M:$M,0)+CP$8-1)),
""),
"")</f>
        <v/>
      </c>
      <c r="CR32" s="21" t="str">
        <f>IFERROR(
IF(COUNTIF($BI32:CQ32,INDEX($J:$J,MATCH($AK32,$M:$M,0)+CR$8-1))=0,
IF(COUNTIF($M:$M,$AK32)&lt;CR$8,
"",
INDEX($J:$J,MATCH($AK32,$M:$M,0)+CR$8-1)),
""),
"")</f>
        <v/>
      </c>
      <c r="CS32" s="21" t="str">
        <f>IFERROR(
IF(COUNTIF($BI32:CR32,INDEX($J:$J,MATCH($AK32,$M:$M,0)+CS$8-1))=0,
IF(COUNTIF($M:$M,$AK32)&lt;CS$8,
"",
INDEX($J:$J,MATCH($AK32,$M:$M,0)+CS$8-1)),
""),
"")</f>
        <v/>
      </c>
      <c r="CT32" s="21" t="str">
        <f>IFERROR(
IF(COUNTIF($BI32:CS32,INDEX($J:$J,MATCH($AK32,$M:$M,0)+CT$8-1))=0,
IF(COUNTIF($M:$M,$AK32)&lt;CT$8,
"",
INDEX($J:$J,MATCH($AK32,$M:$M,0)+CT$8-1)),
""),
"")</f>
        <v/>
      </c>
      <c r="CU32" s="21" t="str">
        <f>IFERROR(
IF(COUNTIF($BI32:CT32,INDEX($J:$J,MATCH($AK32,$M:$M,0)+CU$8-1))=0,
IF(COUNTIF($M:$M,$AK32)&lt;CU$8,
"",
INDEX($J:$J,MATCH($AK32,$M:$M,0)+CU$8-1)),
""),
"")</f>
        <v/>
      </c>
    </row>
    <row r="33" spans="3:99" ht="14.25">
      <c r="C33" s="16">
        <v>25</v>
      </c>
      <c r="D33" s="19" t="s">
        <v>192</v>
      </c>
      <c r="E33" s="20">
        <f>INDEX([1]武将基本资料!$S:$S,MATCH(D33,[1]武将基本资料!$N:$N,0))</f>
        <v>130</v>
      </c>
      <c r="F33" s="20" t="str">
        <f>INDEX([1]武将基本资料!$Q:$Q,MATCH(D33,[1]武将基本资料!$N:$N,0))</f>
        <v>橙+</v>
      </c>
      <c r="H33" s="7">
        <f>IF(I33="","",COUNTA(I$9:$I33))</f>
        <v>23</v>
      </c>
      <c r="I33" s="6" t="s">
        <v>147</v>
      </c>
      <c r="J33" s="6" t="s">
        <v>68</v>
      </c>
      <c r="K33" s="8" t="str">
        <f>IF(H33="","",阶段合并区域(J33:J42," ",L33:L42,1))</f>
        <v>欧冶子 伯乐 扁鹊</v>
      </c>
      <c r="L33" s="8">
        <f>COUNTIF(M$8:$M33,"="&amp;M33)</f>
        <v>1</v>
      </c>
      <c r="M33" s="9" t="str">
        <f t="shared" si="3"/>
        <v>百业翘楚</v>
      </c>
      <c r="N33" s="9" t="str">
        <f t="shared" si="4"/>
        <v>百业翘楚1</v>
      </c>
      <c r="O33" s="15">
        <f>INDEX(C:C,MATCH(J33,D:D,0))</f>
        <v>63</v>
      </c>
      <c r="P33" s="9">
        <f>INDEX(E:E,MATCH(J33,D:D,0))</f>
        <v>120</v>
      </c>
      <c r="Q33" s="7">
        <f t="shared" si="0"/>
        <v>63</v>
      </c>
      <c r="R33" s="7">
        <f>COUNTIF(J$8:$J33,"="&amp;J33)</f>
        <v>1</v>
      </c>
      <c r="S33" s="7">
        <f t="shared" si="5"/>
        <v>1063</v>
      </c>
      <c r="U33" s="7">
        <f t="shared" si="6"/>
        <v>1025</v>
      </c>
      <c r="V33" s="7">
        <f t="shared" si="6"/>
        <v>2025</v>
      </c>
      <c r="W33" s="7">
        <f t="shared" si="6"/>
        <v>3025</v>
      </c>
      <c r="X33" s="7">
        <f t="shared" si="6"/>
        <v>4025</v>
      </c>
      <c r="Y33" s="7">
        <f t="shared" si="6"/>
        <v>5025</v>
      </c>
      <c r="Z33" s="7">
        <f t="shared" si="6"/>
        <v>6025</v>
      </c>
      <c r="AA33" s="7">
        <f t="shared" si="6"/>
        <v>7025</v>
      </c>
      <c r="AB33" s="7">
        <f t="shared" si="6"/>
        <v>8025</v>
      </c>
      <c r="AD33" s="21" t="str">
        <f>IFERROR(INDEX($M:$M,MATCH(U33,$S:$S,0)),"&amp;")</f>
        <v>&amp;</v>
      </c>
      <c r="AE33" s="21" t="str">
        <f>IFERROR(INDEX($M:$M,MATCH(V33,$S:$S,0)),"&amp;")</f>
        <v>&amp;</v>
      </c>
      <c r="AF33" s="21" t="str">
        <f>IFERROR(INDEX($M:$M,MATCH(W33,$S:$S,0)),"&amp;")</f>
        <v>&amp;</v>
      </c>
      <c r="AG33" s="21" t="str">
        <f>IFERROR(INDEX($M:$M,MATCH(X33,$S:$S,0)),"&amp;")</f>
        <v>&amp;</v>
      </c>
      <c r="AH33" s="21" t="str">
        <f>IFERROR(INDEX($M:$M,MATCH(Y33,$S:$S,0)),"&amp;")</f>
        <v>&amp;</v>
      </c>
      <c r="AI33" s="21" t="str">
        <f>IFERROR(INDEX($M:$M,MATCH(Z33,$S:$S,0)),"&amp;")</f>
        <v>&amp;</v>
      </c>
      <c r="AJ33" s="21" t="str">
        <f>IFERROR(INDEX($M:$M,MATCH(AA33,$S:$S,0)),"&amp;")</f>
        <v>&amp;</v>
      </c>
      <c r="AK33" s="21" t="str">
        <f>IFERROR(INDEX($M:$M,MATCH(AB33,$S:$S,0)),"&amp;")</f>
        <v>&amp;</v>
      </c>
      <c r="AM33" s="21" t="str">
        <f>IFERROR(INDEX($N:$N,MATCH(U33,$S:$S,0)),"&amp;")</f>
        <v>&amp;</v>
      </c>
      <c r="AN33" s="21" t="str">
        <f>IFERROR(INDEX($N:$N,MATCH(V33,$S:$S,0)),"&amp;")</f>
        <v>&amp;</v>
      </c>
      <c r="AO33" s="21" t="str">
        <f>IFERROR(INDEX($N:$N,MATCH(W33,$S:$S,0)),"&amp;")</f>
        <v>&amp;</v>
      </c>
      <c r="AP33" s="21" t="str">
        <f>IFERROR(INDEX($N:$N,MATCH(X33,$S:$S,0)),"&amp;")</f>
        <v>&amp;</v>
      </c>
      <c r="AQ33" s="21" t="str">
        <f>IFERROR(INDEX($N:$N,MATCH(Y33,$S:$S,0)),"&amp;")</f>
        <v>&amp;</v>
      </c>
      <c r="AR33" s="21" t="str">
        <f>IFERROR(INDEX($N:$N,MATCH(Z33,$S:$S,0)),"&amp;")</f>
        <v>&amp;</v>
      </c>
      <c r="AS33" s="21" t="str">
        <f>IFERROR(INDEX($N:$N,MATCH(AA33,$S:$S,0)),"&amp;")</f>
        <v>&amp;</v>
      </c>
      <c r="AT33" s="21" t="str">
        <f>IFERROR(INDEX($N:$N,MATCH(AB33,$S:$S,0)),"&amp;")</f>
        <v>&amp;</v>
      </c>
      <c r="AV33" s="21" t="str">
        <f>IFERROR(SUBSTITUTE(INDEX($K:$K,MATCH(INDEX($M:$M,MATCH(AM33,$N:$N,0)),$M:$M,0)),$D33,""),"")</f>
        <v/>
      </c>
      <c r="AW33" s="21" t="str">
        <f>IFERROR(SUBSTITUTE(INDEX($K:$K,MATCH(INDEX($M:$M,MATCH(AN33,$N:$N,0)),$M:$M,0)),$D33,""),"")</f>
        <v/>
      </c>
      <c r="AX33" s="21" t="str">
        <f>IFERROR(SUBSTITUTE(INDEX($K:$K,MATCH(INDEX($M:$M,MATCH(AO33,$N:$N,0)),$M:$M,0)),$D33,""),"")</f>
        <v/>
      </c>
      <c r="AY33" s="21" t="str">
        <f>IFERROR(SUBSTITUTE(INDEX($K:$K,MATCH(INDEX($M:$M,MATCH(AP33,$N:$N,0)),$M:$M,0)),$D33,""),"")</f>
        <v/>
      </c>
      <c r="AZ33" s="21" t="str">
        <f>IFERROR(SUBSTITUTE(INDEX($K:$K,MATCH(INDEX($M:$M,MATCH(AQ33,$N:$N,0)),$M:$M,0)),$D33,""),"")</f>
        <v/>
      </c>
      <c r="BA33" s="21" t="str">
        <f>IFERROR(SUBSTITUTE(INDEX($K:$K,MATCH(INDEX($M:$M,MATCH(AR33,$N:$N,0)),$M:$M,0)),$D33,""),"")</f>
        <v/>
      </c>
      <c r="BB33" s="21" t="str">
        <f>IFERROR(SUBSTITUTE(INDEX($K:$K,MATCH(INDEX($M:$M,MATCH(AS33,$N:$N,0)),$M:$M,0)),$D33,""),"")</f>
        <v/>
      </c>
      <c r="BC33" s="21" t="str">
        <f>IFERROR(SUBSTITUTE(INDEX($K:$K,MATCH(INDEX($M:$M,MATCH(AT33,$N:$N,0)),$M:$M,0)),$D33,""),"")</f>
        <v/>
      </c>
      <c r="BE33" s="9" t="str">
        <f t="shared" si="7"/>
        <v/>
      </c>
      <c r="BI33" s="9" t="str">
        <f>IFERROR(
IF(COUNTIF($M:$M,$AD33)&lt;BI$8,
"",
INDEX($J:$J,MATCH($AD33,$M:$M,0)+BI$8-1)),
"")</f>
        <v/>
      </c>
      <c r="BJ33" s="9" t="str">
        <f>IFERROR(
IF(COUNTIF($M:$M,$AD33)&lt;BJ$8,
"",
INDEX($J:$J,MATCH($AD33,$M:$M,0)+BJ$8-1)),
"")</f>
        <v/>
      </c>
      <c r="BK33" s="9" t="str">
        <f>IFERROR(
IF(COUNTIF($M:$M,$AD33)&lt;BK$8,
"",
INDEX($J:$J,MATCH($AD33,$M:$M,0)+BK$8-1)),
"")</f>
        <v/>
      </c>
      <c r="BL33" s="9" t="str">
        <f>IFERROR(
IF(COUNTIF($M:$M,$AD33)&lt;BL$8,
"",
INDEX($J:$J,MATCH($AD33,$M:$M,0)+BL$8-1)),
"")</f>
        <v/>
      </c>
      <c r="BN33" s="21" t="str">
        <f>IFERROR(
IF(COUNTIF($BI33:BM33,INDEX($J:$J,MATCH($AE33,$M:$M,0)+BN$8-1))=0,
IF(COUNTIF($M:$M,$AE33)&lt;BN$8,
"",
INDEX($J:$J,MATCH($AE33,$M:$M,0)+BN$8-1)),
""),
"")</f>
        <v/>
      </c>
      <c r="BO33" s="21" t="str">
        <f>IFERROR(
IF(COUNTIF($BI33:BN33,INDEX($J:$J,MATCH($AE33,$M:$M,0)+BO$8-1))=0,
IF(COUNTIF($M:$M,$AE33)&lt;BO$8,
"",
INDEX($J:$J,MATCH($AE33,$M:$M,0)+BO$8-1)),
""),
"")</f>
        <v/>
      </c>
      <c r="BP33" s="21" t="str">
        <f>IFERROR(
IF(COUNTIF($BI33:BO33,INDEX($J:$J,MATCH($AE33,$M:$M,0)+BP$8-1))=0,
IF(COUNTIF($M:$M,$AE33)&lt;BP$8,
"",
INDEX($J:$J,MATCH($AE33,$M:$M,0)+BP$8-1)),
""),
"")</f>
        <v/>
      </c>
      <c r="BQ33" s="21" t="str">
        <f>IFERROR(
IF(COUNTIF($BI33:BP33,INDEX($J:$J,MATCH($AE33,$M:$M,0)+BQ$8-1))=0,
IF(COUNTIF($M:$M,$AE33)&lt;BQ$8,
"",
INDEX($J:$J,MATCH($AE33,$M:$M,0)+BQ$8-1)),
""),
"")</f>
        <v/>
      </c>
      <c r="BS33" s="21" t="str">
        <f>IFERROR(
IF(COUNTIF($BI33:BR33,INDEX($J:$J,MATCH($AF33,$M:$M,0)+BS$8-1))=0,
IF(COUNTIF($M:$M,$AF33)&lt;BS$8,
"",
INDEX($J:$J,MATCH($AF33,$M:$M,0)+BS$8-1)),
""),
"")</f>
        <v/>
      </c>
      <c r="BT33" s="21" t="str">
        <f>IFERROR(
IF(COUNTIF($BI33:BS33,INDEX($J:$J,MATCH($AF33,$M:$M,0)+BT$8-1))=0,
IF(COUNTIF($M:$M,$AF33)&lt;BT$8,
"",
INDEX($J:$J,MATCH($AF33,$M:$M,0)+BT$8-1)),
""),
"")</f>
        <v/>
      </c>
      <c r="BU33" s="21" t="str">
        <f>IFERROR(
IF(COUNTIF($BI33:BT33,INDEX($J:$J,MATCH($AF33,$M:$M,0)+BU$8-1))=0,
IF(COUNTIF($M:$M,$AF33)&lt;BU$8,
"",
INDEX($J:$J,MATCH($AF33,$M:$M,0)+BU$8-1)),
""),
"")</f>
        <v/>
      </c>
      <c r="BV33" s="21" t="str">
        <f>IFERROR(
IF(COUNTIF($BI33:BU33,INDEX($J:$J,MATCH($AF33,$M:$M,0)+BV$8-1))=0,
IF(COUNTIF($M:$M,$AF33)&lt;BV$8,
"",
INDEX($J:$J,MATCH($AF33,$M:$M,0)+BV$8-1)),
""),
"")</f>
        <v/>
      </c>
      <c r="BX33" s="21" t="str">
        <f>IFERROR(
IF(COUNTIF($BI33:BW33,INDEX($J:$J,MATCH($AG33,$M:$M,0)+BX$8-1))=0,
IF(COUNTIF($M:$M,$AG33)&lt;BX$8,
"",
INDEX($J:$J,MATCH($AG33,$M:$M,0)+BX$8-1)),
""),
"")</f>
        <v/>
      </c>
      <c r="BY33" s="21" t="str">
        <f>IFERROR(
IF(COUNTIF($BI33:BX33,INDEX($J:$J,MATCH($AG33,$M:$M,0)+BY$8-1))=0,
IF(COUNTIF($M:$M,$AG33)&lt;BY$8,
"",
INDEX($J:$J,MATCH($AG33,$M:$M,0)+BY$8-1)),
""),
"")</f>
        <v/>
      </c>
      <c r="BZ33" s="21" t="str">
        <f>IFERROR(
IF(COUNTIF($BI33:BY33,INDEX($J:$J,MATCH($AG33,$M:$M,0)+BZ$8-1))=0,
IF(COUNTIF($M:$M,$AG33)&lt;BZ$8,
"",
INDEX($J:$J,MATCH($AG33,$M:$M,0)+BZ$8-1)),
""),
"")</f>
        <v/>
      </c>
      <c r="CA33" s="21" t="str">
        <f>IFERROR(
IF(COUNTIF($BI33:BZ33,INDEX($J:$J,MATCH($AG33,$M:$M,0)+CA$8-1))=0,
IF(COUNTIF($M:$M,$AG33)&lt;CA$8,
"",
INDEX($J:$J,MATCH($AG33,$M:$M,0)+CA$8-1)),
""),
"")</f>
        <v/>
      </c>
      <c r="CC33" s="21" t="str">
        <f>IFERROR(
IF(COUNTIF($BI33:CB33,INDEX($J:$J,MATCH($AH33,$M:$M,0)+CC$8-1))=0,
IF(COUNTIF($M:$M,$AH33)&lt;CC$8,
"",
INDEX($J:$J,MATCH($AH33,$M:$M,0)+CC$8-1)),
""),
"")</f>
        <v/>
      </c>
      <c r="CD33" s="21" t="str">
        <f>IFERROR(
IF(COUNTIF($BI33:CC33,INDEX($J:$J,MATCH($AH33,$M:$M,0)+CD$8-1))=0,
IF(COUNTIF($M:$M,$AH33)&lt;CD$8,
"",
INDEX($J:$J,MATCH($AH33,$M:$M,0)+CD$8-1)),
""),
"")</f>
        <v/>
      </c>
      <c r="CE33" s="21" t="str">
        <f>IFERROR(
IF(COUNTIF($BI33:CD33,INDEX($J:$J,MATCH($AH33,$M:$M,0)+CE$8-1))=0,
IF(COUNTIF($M:$M,$AH33)&lt;CE$8,
"",
INDEX($J:$J,MATCH($AH33,$M:$M,0)+CE$8-1)),
""),
"")</f>
        <v/>
      </c>
      <c r="CF33" s="21" t="str">
        <f>IFERROR(
IF(COUNTIF($BI33:CE33,INDEX($J:$J,MATCH($AH33,$M:$M,0)+CF$8-1))=0,
IF(COUNTIF($M:$M,$AH33)&lt;CF$8,
"",
INDEX($J:$J,MATCH($AH33,$M:$M,0)+CF$8-1)),
""),
"")</f>
        <v/>
      </c>
      <c r="CH33" s="21" t="str">
        <f>IFERROR(
IF(COUNTIF($BI33:CG33,INDEX($J:$J,MATCH($AI33,$M:$M,0)+CH$8-1))=0,
IF(COUNTIF($M:$M,$AI33)&lt;CH$8,
"",
INDEX($J:$J,MATCH($AI33,$M:$M,0)+CH$8-1)),
""),
"")</f>
        <v/>
      </c>
      <c r="CI33" s="21" t="str">
        <f>IFERROR(
IF(COUNTIF($BI33:CH33,INDEX($J:$J,MATCH($AI33,$M:$M,0)+CI$8-1))=0,
IF(COUNTIF($M:$M,$AI33)&lt;CI$8,
"",
INDEX($J:$J,MATCH($AI33,$M:$M,0)+CI$8-1)),
""),
"")</f>
        <v/>
      </c>
      <c r="CJ33" s="21" t="str">
        <f>IFERROR(
IF(COUNTIF($BI33:CI33,INDEX($J:$J,MATCH($AI33,$M:$M,0)+CJ$8-1))=0,
IF(COUNTIF($M:$M,$AI33)&lt;CJ$8,
"",
INDEX($J:$J,MATCH($AI33,$M:$M,0)+CJ$8-1)),
""),
"")</f>
        <v/>
      </c>
      <c r="CK33" s="21" t="str">
        <f>IFERROR(
IF(COUNTIF($BI33:CJ33,INDEX($J:$J,MATCH($AI33,$M:$M,0)+CK$8-1))=0,
IF(COUNTIF($M:$M,$AI33)&lt;CK$8,
"",
INDEX($J:$J,MATCH($AI33,$M:$M,0)+CK$8-1)),
""),
"")</f>
        <v/>
      </c>
      <c r="CM33" s="21" t="str">
        <f>IFERROR(
IF(COUNTIF($BI33:CL33,INDEX($J:$J,MATCH($AJ33,$M:$M,0)+CM$8-1))=0,
IF(COUNTIF($M:$M,$AJ33)&lt;CM$8,
"",
INDEX($J:$J,MATCH($AJ33,$M:$M,0)+CM$8-1)),
""),
"")</f>
        <v/>
      </c>
      <c r="CN33" s="21" t="str">
        <f>IFERROR(
IF(COUNTIF($BI33:CM33,INDEX($J:$J,MATCH($AJ33,$M:$M,0)+CN$8-1))=0,
IF(COUNTIF($M:$M,$AJ33)&lt;CN$8,
"",
INDEX($J:$J,MATCH($AJ33,$M:$M,0)+CN$8-1)),
""),
"")</f>
        <v/>
      </c>
      <c r="CO33" s="21" t="str">
        <f>IFERROR(
IF(COUNTIF($BI33:CN33,INDEX($J:$J,MATCH($AJ33,$M:$M,0)+CO$8-1))=0,
IF(COUNTIF($M:$M,$AJ33)&lt;CO$8,
"",
INDEX($J:$J,MATCH($AJ33,$M:$M,0)+CO$8-1)),
""),
"")</f>
        <v/>
      </c>
      <c r="CP33" s="21" t="str">
        <f>IFERROR(
IF(COUNTIF($BI33:CO33,INDEX($J:$J,MATCH($AJ33,$M:$M,0)+CP$8-1))=0,
IF(COUNTIF($M:$M,$AJ33)&lt;CP$8,
"",
INDEX($J:$J,MATCH($AJ33,$M:$M,0)+CP$8-1)),
""),
"")</f>
        <v/>
      </c>
      <c r="CR33" s="21" t="str">
        <f>IFERROR(
IF(COUNTIF($BI33:CQ33,INDEX($J:$J,MATCH($AK33,$M:$M,0)+CR$8-1))=0,
IF(COUNTIF($M:$M,$AK33)&lt;CR$8,
"",
INDEX($J:$J,MATCH($AK33,$M:$M,0)+CR$8-1)),
""),
"")</f>
        <v/>
      </c>
      <c r="CS33" s="21" t="str">
        <f>IFERROR(
IF(COUNTIF($BI33:CR33,INDEX($J:$J,MATCH($AK33,$M:$M,0)+CS$8-1))=0,
IF(COUNTIF($M:$M,$AK33)&lt;CS$8,
"",
INDEX($J:$J,MATCH($AK33,$M:$M,0)+CS$8-1)),
""),
"")</f>
        <v/>
      </c>
      <c r="CT33" s="21" t="str">
        <f>IFERROR(
IF(COUNTIF($BI33:CS33,INDEX($J:$J,MATCH($AK33,$M:$M,0)+CT$8-1))=0,
IF(COUNTIF($M:$M,$AK33)&lt;CT$8,
"",
INDEX($J:$J,MATCH($AK33,$M:$M,0)+CT$8-1)),
""),
"")</f>
        <v/>
      </c>
      <c r="CU33" s="21" t="str">
        <f>IFERROR(
IF(COUNTIF($BI33:CT33,INDEX($J:$J,MATCH($AK33,$M:$M,0)+CU$8-1))=0,
IF(COUNTIF($M:$M,$AK33)&lt;CU$8,
"",
INDEX($J:$J,MATCH($AK33,$M:$M,0)+CU$8-1)),
""),
"")</f>
        <v/>
      </c>
    </row>
    <row r="34" spans="3:99" ht="14.25">
      <c r="C34" s="16">
        <v>26</v>
      </c>
      <c r="D34" s="19" t="s">
        <v>365</v>
      </c>
      <c r="E34" s="20">
        <f>INDEX([1]武将基本资料!$S:$S,MATCH(D34,[1]武将基本资料!$N:$N,0))</f>
        <v>120</v>
      </c>
      <c r="F34" s="20" t="str">
        <f>INDEX([1]武将基本资料!$Q:$Q,MATCH(D34,[1]武将基本资料!$N:$N,0))</f>
        <v>橙</v>
      </c>
      <c r="H34" s="7" t="str">
        <f>IF(I34="","",COUNTA(I$9:$I34))</f>
        <v/>
      </c>
      <c r="I34" s="6" t="s">
        <v>188</v>
      </c>
      <c r="J34" s="6" t="s">
        <v>111</v>
      </c>
      <c r="K34" s="8" t="str">
        <f>IF(H34="","",阶段合并区域(J34:J43," ",L34:L43,1))</f>
        <v/>
      </c>
      <c r="L34" s="8">
        <f>COUNTIF(M$8:$M34,"="&amp;M34)</f>
        <v>2</v>
      </c>
      <c r="M34" s="9" t="str">
        <f>IF(H34="",M33,I34)</f>
        <v>百业翘楚</v>
      </c>
      <c r="N34" s="9" t="str">
        <f t="shared" si="4"/>
        <v>百业翘楚2</v>
      </c>
      <c r="O34" s="15">
        <f>INDEX(C:C,MATCH(J34,D:D,0))</f>
        <v>28</v>
      </c>
      <c r="P34" s="9">
        <f>INDEX(E:E,MATCH(J34,D:D,0))</f>
        <v>120</v>
      </c>
      <c r="Q34" s="7">
        <f t="shared" si="0"/>
        <v>28</v>
      </c>
      <c r="R34" s="7">
        <f>COUNTIF(J$8:$J34,"="&amp;J34)</f>
        <v>1</v>
      </c>
      <c r="S34" s="7">
        <f t="shared" si="5"/>
        <v>1028</v>
      </c>
      <c r="U34" s="7">
        <f t="shared" si="6"/>
        <v>1026</v>
      </c>
      <c r="V34" s="7">
        <f t="shared" si="6"/>
        <v>2026</v>
      </c>
      <c r="W34" s="7">
        <f t="shared" si="6"/>
        <v>3026</v>
      </c>
      <c r="X34" s="7">
        <f t="shared" si="6"/>
        <v>4026</v>
      </c>
      <c r="Y34" s="7">
        <f t="shared" si="6"/>
        <v>5026</v>
      </c>
      <c r="Z34" s="7">
        <f t="shared" si="6"/>
        <v>6026</v>
      </c>
      <c r="AA34" s="7">
        <f t="shared" si="6"/>
        <v>7026</v>
      </c>
      <c r="AB34" s="7">
        <f t="shared" si="6"/>
        <v>8026</v>
      </c>
      <c r="AD34" s="21" t="str">
        <f>IFERROR(INDEX($M:$M,MATCH(U34,$S:$S,0)),"&amp;")</f>
        <v>秦相</v>
      </c>
      <c r="AE34" s="21" t="str">
        <f>IFERROR(INDEX($M:$M,MATCH(V34,$S:$S,0)),"&amp;")</f>
        <v>未能善终</v>
      </c>
      <c r="AF34" s="21" t="str">
        <f>IFERROR(INDEX($M:$M,MATCH(W34,$S:$S,0)),"&amp;")</f>
        <v>师出同门</v>
      </c>
      <c r="AG34" s="21" t="str">
        <f>IFERROR(INDEX($M:$M,MATCH(X34,$S:$S,0)),"&amp;")</f>
        <v>王佐之才</v>
      </c>
      <c r="AH34" s="21" t="str">
        <f>IFERROR(INDEX($M:$M,MATCH(Y34,$S:$S,0)),"&amp;")</f>
        <v>执掌天下</v>
      </c>
      <c r="AI34" s="21" t="str">
        <f>IFERROR(INDEX($M:$M,MATCH(Z34,$S:$S,0)),"&amp;")</f>
        <v>不得善终</v>
      </c>
      <c r="AJ34" s="21" t="str">
        <f>IFERROR(INDEX($M:$M,MATCH(AA34,$S:$S,0)),"&amp;")</f>
        <v>王佐之才</v>
      </c>
      <c r="AK34" s="21" t="str">
        <f>IFERROR(INDEX($M:$M,MATCH(AB34,$S:$S,0)),"&amp;")</f>
        <v>&amp;</v>
      </c>
      <c r="AM34" s="21" t="str">
        <f>IFERROR(INDEX($N:$N,MATCH(U34,$S:$S,0)),"&amp;")</f>
        <v>秦相3</v>
      </c>
      <c r="AN34" s="21" t="str">
        <f>IFERROR(INDEX($N:$N,MATCH(V34,$S:$S,0)),"&amp;")</f>
        <v>未能善终3</v>
      </c>
      <c r="AO34" s="21" t="str">
        <f>IFERROR(INDEX($N:$N,MATCH(W34,$S:$S,0)),"&amp;")</f>
        <v>师出同门2</v>
      </c>
      <c r="AP34" s="21" t="str">
        <f>IFERROR(INDEX($N:$N,MATCH(X34,$S:$S,0)),"&amp;")</f>
        <v>王佐之才2</v>
      </c>
      <c r="AQ34" s="21" t="str">
        <f>IFERROR(INDEX($N:$N,MATCH(Y34,$S:$S,0)),"&amp;")</f>
        <v>执掌天下2</v>
      </c>
      <c r="AR34" s="21" t="str">
        <f>IFERROR(INDEX($N:$N,MATCH(Z34,$S:$S,0)),"&amp;")</f>
        <v>不得善终2</v>
      </c>
      <c r="AS34" s="21" t="str">
        <f>IFERROR(INDEX($N:$N,MATCH(AA34,$S:$S,0)),"&amp;")</f>
        <v>王佐之才2</v>
      </c>
      <c r="AT34" s="21" t="str">
        <f>IFERROR(INDEX($N:$N,MATCH(AB34,$S:$S,0)),"&amp;")</f>
        <v>&amp;</v>
      </c>
      <c r="AV34" s="21" t="str">
        <f>IFERROR(SUBSTITUTE(INDEX($K:$K,MATCH(INDEX($M:$M,MATCH(AM34,$N:$N,0)),$M:$M,0)),$D34,""),"")</f>
        <v xml:space="preserve">吕不韦 范雎 </v>
      </c>
      <c r="AW34" s="21" t="str">
        <f>IFERROR(SUBSTITUTE(INDEX($K:$K,MATCH(INDEX($M:$M,MATCH(AN34,$N:$N,0)),$M:$M,0)),$D34,""),"")</f>
        <v xml:space="preserve">吕不韦 范雎 </v>
      </c>
      <c r="AX34" s="21" t="str">
        <f>IFERROR(SUBSTITUTE(INDEX($K:$K,MATCH(INDEX($M:$M,MATCH(AO34,$N:$N,0)),$M:$M,0)),$D34,""),"")</f>
        <v xml:space="preserve">韩非子 </v>
      </c>
      <c r="AY34" s="21" t="str">
        <f>IFERROR(SUBSTITUTE(INDEX($K:$K,MATCH(INDEX($M:$M,MATCH(AP34,$N:$N,0)),$M:$M,0)),$D34,""),"")</f>
        <v>范增  韩非子</v>
      </c>
      <c r="AZ34" s="21" t="str">
        <f>IFERROR(SUBSTITUTE(INDEX($K:$K,MATCH(INDEX($M:$M,MATCH(AQ34,$N:$N,0)),$M:$M,0)),$D34,""),"")</f>
        <v>吕雉  嬴政</v>
      </c>
      <c r="BA34" s="21" t="str">
        <f>IFERROR(SUBSTITUTE(INDEX($K:$K,MATCH(INDEX($M:$M,MATCH(AR34,$N:$N,0)),$M:$M,0)),$D34,""),"")</f>
        <v>彭越  苏秦</v>
      </c>
      <c r="BB34" s="21" t="str">
        <f>IFERROR(SUBSTITUTE(INDEX($K:$K,MATCH(INDEX($M:$M,MATCH(AS34,$N:$N,0)),$M:$M,0)),$D34,""),"")</f>
        <v>范增  韩非子</v>
      </c>
      <c r="BC34" s="21" t="str">
        <f>IFERROR(SUBSTITUTE(INDEX($K:$K,MATCH(INDEX($M:$M,MATCH(AT34,$N:$N,0)),$M:$M,0)),$D34,""),"")</f>
        <v/>
      </c>
      <c r="BE34" s="9" t="str">
        <f t="shared" si="7"/>
        <v>吕不韦,范雎,李斯,韩非子,范增,虞姬,吕雉,嬴政,彭越,苏秦</v>
      </c>
      <c r="BI34" s="9" t="str">
        <f>IFERROR(
IF(COUNTIF($M:$M,$AD34)&lt;BI$8,
"",
INDEX($J:$J,MATCH($AD34,$M:$M,0)+BI$8-1)),
"")</f>
        <v>吕不韦</v>
      </c>
      <c r="BJ34" s="9" t="str">
        <f>IFERROR(
IF(COUNTIF($M:$M,$AD34)&lt;BJ$8,
"",
INDEX($J:$J,MATCH($AD34,$M:$M,0)+BJ$8-1)),
"")</f>
        <v>范雎</v>
      </c>
      <c r="BK34" s="9" t="str">
        <f>IFERROR(
IF(COUNTIF($M:$M,$AD34)&lt;BK$8,
"",
INDEX($J:$J,MATCH($AD34,$M:$M,0)+BK$8-1)),
"")</f>
        <v>李斯</v>
      </c>
      <c r="BL34" s="9" t="str">
        <f>IFERROR(
IF(COUNTIF($M:$M,$AD34)&lt;BL$8,
"",
INDEX($J:$J,MATCH($AD34,$M:$M,0)+BL$8-1)),
"")</f>
        <v/>
      </c>
      <c r="BN34" s="21" t="str">
        <f>IFERROR(
IF(COUNTIF($BI34:BM34,INDEX($J:$J,MATCH($AE34,$M:$M,0)+BN$8-1))=0,
IF(COUNTIF($M:$M,$AE34)&lt;BN$8,
"",
INDEX($J:$J,MATCH($AE34,$M:$M,0)+BN$8-1)),
""),
"")</f>
        <v/>
      </c>
      <c r="BO34" s="21" t="str">
        <f>IFERROR(
IF(COUNTIF($BI34:BN34,INDEX($J:$J,MATCH($AE34,$M:$M,0)+BO$8-1))=0,
IF(COUNTIF($M:$M,$AE34)&lt;BO$8,
"",
INDEX($J:$J,MATCH($AE34,$M:$M,0)+BO$8-1)),
""),
"")</f>
        <v/>
      </c>
      <c r="BP34" s="21" t="str">
        <f>IFERROR(
IF(COUNTIF($BI34:BO34,INDEX($J:$J,MATCH($AE34,$M:$M,0)+BP$8-1))=0,
IF(COUNTIF($M:$M,$AE34)&lt;BP$8,
"",
INDEX($J:$J,MATCH($AE34,$M:$M,0)+BP$8-1)),
""),
"")</f>
        <v/>
      </c>
      <c r="BQ34" s="21" t="str">
        <f>IFERROR(
IF(COUNTIF($BI34:BP34,INDEX($J:$J,MATCH($AE34,$M:$M,0)+BQ$8-1))=0,
IF(COUNTIF($M:$M,$AE34)&lt;BQ$8,
"",
INDEX($J:$J,MATCH($AE34,$M:$M,0)+BQ$8-1)),
""),
"")</f>
        <v/>
      </c>
      <c r="BS34" s="21" t="str">
        <f>IFERROR(
IF(COUNTIF($BI34:BR34,INDEX($J:$J,MATCH($AF34,$M:$M,0)+BS$8-1))=0,
IF(COUNTIF($M:$M,$AF34)&lt;BS$8,
"",
INDEX($J:$J,MATCH($AF34,$M:$M,0)+BS$8-1)),
""),
"")</f>
        <v>韩非子</v>
      </c>
      <c r="BT34" s="21" t="str">
        <f>IFERROR(
IF(COUNTIF($BI34:BS34,INDEX($J:$J,MATCH($AF34,$M:$M,0)+BT$8-1))=0,
IF(COUNTIF($M:$M,$AF34)&lt;BT$8,
"",
INDEX($J:$J,MATCH($AF34,$M:$M,0)+BT$8-1)),
""),
"")</f>
        <v/>
      </c>
      <c r="BU34" s="21" t="str">
        <f>IFERROR(
IF(COUNTIF($BI34:BT34,INDEX($J:$J,MATCH($AF34,$M:$M,0)+BU$8-1))=0,
IF(COUNTIF($M:$M,$AF34)&lt;BU$8,
"",
INDEX($J:$J,MATCH($AF34,$M:$M,0)+BU$8-1)),
""),
"")</f>
        <v/>
      </c>
      <c r="BV34" s="21" t="str">
        <f>IFERROR(
IF(COUNTIF($BI34:BU34,INDEX($J:$J,MATCH($AF34,$M:$M,0)+BV$8-1))=0,
IF(COUNTIF($M:$M,$AF34)&lt;BV$8,
"",
INDEX($J:$J,MATCH($AF34,$M:$M,0)+BV$8-1)),
""),
"")</f>
        <v/>
      </c>
      <c r="BX34" s="21" t="str">
        <f>IFERROR(
IF(COUNTIF($BI34:BW34,INDEX($J:$J,MATCH($AG34,$M:$M,0)+BX$8-1))=0,
IF(COUNTIF($M:$M,$AG34)&lt;BX$8,
"",
INDEX($J:$J,MATCH($AG34,$M:$M,0)+BX$8-1)),
""),
"")</f>
        <v>范增</v>
      </c>
      <c r="BY34" s="21" t="str">
        <f>IFERROR(
IF(COUNTIF($BI34:BX34,INDEX($J:$J,MATCH($AG34,$M:$M,0)+BY$8-1))=0,
IF(COUNTIF($M:$M,$AG34)&lt;BY$8,
"",
INDEX($J:$J,MATCH($AG34,$M:$M,0)+BY$8-1)),
""),
"")</f>
        <v/>
      </c>
      <c r="BZ34" s="21" t="str">
        <f>IFERROR(
IF(COUNTIF($BI34:BY34,INDEX($J:$J,MATCH($AG34,$M:$M,0)+BZ$8-1))=0,
IF(COUNTIF($M:$M,$AG34)&lt;BZ$8,
"",
INDEX($J:$J,MATCH($AG34,$M:$M,0)+BZ$8-1)),
""),
"")</f>
        <v/>
      </c>
      <c r="CA34" s="21" t="str">
        <f>IFERROR(
IF(COUNTIF($BI34:BZ34,INDEX($J:$J,MATCH($AG34,$M:$M,0)+CA$8-1))=0,
IF(COUNTIF($M:$M,$AG34)&lt;CA$8,
"",
INDEX($J:$J,MATCH($AG34,$M:$M,0)+CA$8-1)),
""),
"")</f>
        <v>虞姬</v>
      </c>
      <c r="CC34" s="21" t="str">
        <f>IFERROR(
IF(COUNTIF($BI34:CB34,INDEX($J:$J,MATCH($AH34,$M:$M,0)+CC$8-1))=0,
IF(COUNTIF($M:$M,$AH34)&lt;CC$8,
"",
INDEX($J:$J,MATCH($AH34,$M:$M,0)+CC$8-1)),
""),
"")</f>
        <v>吕雉</v>
      </c>
      <c r="CD34" s="21" t="str">
        <f>IFERROR(
IF(COUNTIF($BI34:CC34,INDEX($J:$J,MATCH($AH34,$M:$M,0)+CD$8-1))=0,
IF(COUNTIF($M:$M,$AH34)&lt;CD$8,
"",
INDEX($J:$J,MATCH($AH34,$M:$M,0)+CD$8-1)),
""),
"")</f>
        <v/>
      </c>
      <c r="CE34" s="21" t="str">
        <f>IFERROR(
IF(COUNTIF($BI34:CD34,INDEX($J:$J,MATCH($AH34,$M:$M,0)+CE$8-1))=0,
IF(COUNTIF($M:$M,$AH34)&lt;CE$8,
"",
INDEX($J:$J,MATCH($AH34,$M:$M,0)+CE$8-1)),
""),
"")</f>
        <v>嬴政</v>
      </c>
      <c r="CF34" s="21" t="str">
        <f>IFERROR(
IF(COUNTIF($BI34:CE34,INDEX($J:$J,MATCH($AH34,$M:$M,0)+CF$8-1))=0,
IF(COUNTIF($M:$M,$AH34)&lt;CF$8,
"",
INDEX($J:$J,MATCH($AH34,$M:$M,0)+CF$8-1)),
""),
"")</f>
        <v/>
      </c>
      <c r="CH34" s="21" t="str">
        <f>IFERROR(
IF(COUNTIF($BI34:CG34,INDEX($J:$J,MATCH($AI34,$M:$M,0)+CH$8-1))=0,
IF(COUNTIF($M:$M,$AI34)&lt;CH$8,
"",
INDEX($J:$J,MATCH($AI34,$M:$M,0)+CH$8-1)),
""),
"")</f>
        <v>彭越</v>
      </c>
      <c r="CI34" s="21" t="str">
        <f>IFERROR(
IF(COUNTIF($BI34:CH34,INDEX($J:$J,MATCH($AI34,$M:$M,0)+CI$8-1))=0,
IF(COUNTIF($M:$M,$AI34)&lt;CI$8,
"",
INDEX($J:$J,MATCH($AI34,$M:$M,0)+CI$8-1)),
""),
"")</f>
        <v/>
      </c>
      <c r="CJ34" s="21" t="str">
        <f>IFERROR(
IF(COUNTIF($BI34:CI34,INDEX($J:$J,MATCH($AI34,$M:$M,0)+CJ$8-1))=0,
IF(COUNTIF($M:$M,$AI34)&lt;CJ$8,
"",
INDEX($J:$J,MATCH($AI34,$M:$M,0)+CJ$8-1)),
""),
"")</f>
        <v>苏秦</v>
      </c>
      <c r="CK34" s="21" t="str">
        <f>IFERROR(
IF(COUNTIF($BI34:CJ34,INDEX($J:$J,MATCH($AI34,$M:$M,0)+CK$8-1))=0,
IF(COUNTIF($M:$M,$AI34)&lt;CK$8,
"",
INDEX($J:$J,MATCH($AI34,$M:$M,0)+CK$8-1)),
""),
"")</f>
        <v/>
      </c>
      <c r="CM34" s="21" t="str">
        <f>IFERROR(
IF(COUNTIF($BI34:CL34,INDEX($J:$J,MATCH($AJ34,$M:$M,0)+CM$8-1))=0,
IF(COUNTIF($M:$M,$AJ34)&lt;CM$8,
"",
INDEX($J:$J,MATCH($AJ34,$M:$M,0)+CM$8-1)),
""),
"")</f>
        <v/>
      </c>
      <c r="CN34" s="21" t="str">
        <f>IFERROR(
IF(COUNTIF($BI34:CM34,INDEX($J:$J,MATCH($AJ34,$M:$M,0)+CN$8-1))=0,
IF(COUNTIF($M:$M,$AJ34)&lt;CN$8,
"",
INDEX($J:$J,MATCH($AJ34,$M:$M,0)+CN$8-1)),
""),
"")</f>
        <v/>
      </c>
      <c r="CO34" s="21" t="str">
        <f>IFERROR(
IF(COUNTIF($BI34:CN34,INDEX($J:$J,MATCH($AJ34,$M:$M,0)+CO$8-1))=0,
IF(COUNTIF($M:$M,$AJ34)&lt;CO$8,
"",
INDEX($J:$J,MATCH($AJ34,$M:$M,0)+CO$8-1)),
""),
"")</f>
        <v/>
      </c>
      <c r="CP34" s="21" t="str">
        <f>IFERROR(
IF(COUNTIF($BI34:CO34,INDEX($J:$J,MATCH($AJ34,$M:$M,0)+CP$8-1))=0,
IF(COUNTIF($M:$M,$AJ34)&lt;CP$8,
"",
INDEX($J:$J,MATCH($AJ34,$M:$M,0)+CP$8-1)),
""),
"")</f>
        <v/>
      </c>
      <c r="CR34" s="21" t="str">
        <f>IFERROR(
IF(COUNTIF($BI34:CQ34,INDEX($J:$J,MATCH($AK34,$M:$M,0)+CR$8-1))=0,
IF(COUNTIF($M:$M,$AK34)&lt;CR$8,
"",
INDEX($J:$J,MATCH($AK34,$M:$M,0)+CR$8-1)),
""),
"")</f>
        <v/>
      </c>
      <c r="CS34" s="21" t="str">
        <f>IFERROR(
IF(COUNTIF($BI34:CR34,INDEX($J:$J,MATCH($AK34,$M:$M,0)+CS$8-1))=0,
IF(COUNTIF($M:$M,$AK34)&lt;CS$8,
"",
INDEX($J:$J,MATCH($AK34,$M:$M,0)+CS$8-1)),
""),
"")</f>
        <v/>
      </c>
      <c r="CT34" s="21" t="str">
        <f>IFERROR(
IF(COUNTIF($BI34:CS34,INDEX($J:$J,MATCH($AK34,$M:$M,0)+CT$8-1))=0,
IF(COUNTIF($M:$M,$AK34)&lt;CT$8,
"",
INDEX($J:$J,MATCH($AK34,$M:$M,0)+CT$8-1)),
""),
"")</f>
        <v/>
      </c>
      <c r="CU34" s="21" t="str">
        <f>IFERROR(
IF(COUNTIF($BI34:CT34,INDEX($J:$J,MATCH($AK34,$M:$M,0)+CU$8-1))=0,
IF(COUNTIF($M:$M,$AK34)&lt;CU$8,
"",
INDEX($J:$J,MATCH($AK34,$M:$M,0)+CU$8-1)),
""),
"")</f>
        <v/>
      </c>
    </row>
    <row r="35" spans="3:99" ht="14.25">
      <c r="C35" s="16">
        <v>27</v>
      </c>
      <c r="D35" s="19" t="s">
        <v>97</v>
      </c>
      <c r="E35" s="20">
        <f>INDEX([1]武将基本资料!$S:$S,MATCH(D35,[1]武将基本资料!$N:$N,0))</f>
        <v>120</v>
      </c>
      <c r="F35" s="20" t="str">
        <f>INDEX([1]武将基本资料!$Q:$Q,MATCH(D35,[1]武将基本资料!$N:$N,0))</f>
        <v>橙</v>
      </c>
      <c r="H35" s="7" t="str">
        <f>IF(I35="","",COUNTA(I$9:$I35))</f>
        <v/>
      </c>
      <c r="I35" s="6" t="s">
        <v>188</v>
      </c>
      <c r="J35" s="6" t="s">
        <v>220</v>
      </c>
      <c r="K35" s="8" t="str">
        <f>IF(H35="","",阶段合并区域(J35:J44," ",L35:L44,1))</f>
        <v/>
      </c>
      <c r="L35" s="8">
        <f>COUNTIF(M$8:$M35,"="&amp;M35)</f>
        <v>3</v>
      </c>
      <c r="M35" s="9" t="str">
        <f t="shared" si="3"/>
        <v>百业翘楚</v>
      </c>
      <c r="N35" s="9" t="str">
        <f t="shared" si="4"/>
        <v>百业翘楚3</v>
      </c>
      <c r="O35" s="15">
        <f>INDEX(C:C,MATCH(J35,D:D,0))</f>
        <v>32</v>
      </c>
      <c r="P35" s="9">
        <f>INDEX(E:E,MATCH(J35,D:D,0))</f>
        <v>120</v>
      </c>
      <c r="Q35" s="7">
        <f t="shared" si="0"/>
        <v>32</v>
      </c>
      <c r="R35" s="7">
        <f>COUNTIF(J$8:$J35,"="&amp;J35)</f>
        <v>1</v>
      </c>
      <c r="S35" s="7">
        <f t="shared" si="5"/>
        <v>1032</v>
      </c>
      <c r="U35" s="7">
        <f t="shared" si="6"/>
        <v>1027</v>
      </c>
      <c r="V35" s="7">
        <f t="shared" si="6"/>
        <v>2027</v>
      </c>
      <c r="W35" s="7">
        <f t="shared" si="6"/>
        <v>3027</v>
      </c>
      <c r="X35" s="7">
        <f t="shared" si="6"/>
        <v>4027</v>
      </c>
      <c r="Y35" s="7">
        <f t="shared" si="6"/>
        <v>5027</v>
      </c>
      <c r="Z35" s="7">
        <f t="shared" si="6"/>
        <v>6027</v>
      </c>
      <c r="AA35" s="7">
        <f t="shared" si="6"/>
        <v>7027</v>
      </c>
      <c r="AB35" s="7">
        <f t="shared" si="6"/>
        <v>8027</v>
      </c>
      <c r="AD35" s="21" t="str">
        <f>IFERROR(INDEX($M:$M,MATCH(U35,$S:$S,0)),"&amp;")</f>
        <v>人文之士</v>
      </c>
      <c r="AE35" s="21" t="str">
        <f>IFERROR(INDEX($M:$M,MATCH(V35,$S:$S,0)),"&amp;")</f>
        <v>南征北战</v>
      </c>
      <c r="AF35" s="21" t="str">
        <f>IFERROR(INDEX($M:$M,MATCH(W35,$S:$S,0)),"&amp;")</f>
        <v>建功立业</v>
      </c>
      <c r="AG35" s="21" t="str">
        <f>IFERROR(INDEX($M:$M,MATCH(X35,$S:$S,0)),"&amp;")</f>
        <v>兴国安邦</v>
      </c>
      <c r="AH35" s="21" t="str">
        <f>IFERROR(INDEX($M:$M,MATCH(Y35,$S:$S,0)),"&amp;")</f>
        <v>国之柱石</v>
      </c>
      <c r="AI35" s="21" t="str">
        <f>IFERROR(INDEX($M:$M,MATCH(Z35,$S:$S,0)),"&amp;")</f>
        <v>大秦帝国</v>
      </c>
      <c r="AJ35" s="21" t="str">
        <f>IFERROR(INDEX($M:$M,MATCH(AA35,$S:$S,0)),"&amp;")</f>
        <v>大秦宗亲</v>
      </c>
      <c r="AK35" s="21" t="str">
        <f>IFERROR(INDEX($M:$M,MATCH(AB35,$S:$S,0)),"&amp;")</f>
        <v>&amp;</v>
      </c>
      <c r="AM35" s="21" t="str">
        <f>IFERROR(INDEX($N:$N,MATCH(U35,$S:$S,0)),"&amp;")</f>
        <v>人文之士2</v>
      </c>
      <c r="AN35" s="21" t="str">
        <f>IFERROR(INDEX($N:$N,MATCH(V35,$S:$S,0)),"&amp;")</f>
        <v>南征北战3</v>
      </c>
      <c r="AO35" s="21" t="str">
        <f>IFERROR(INDEX($N:$N,MATCH(W35,$S:$S,0)),"&amp;")</f>
        <v>建功立业1</v>
      </c>
      <c r="AP35" s="21" t="str">
        <f>IFERROR(INDEX($N:$N,MATCH(X35,$S:$S,0)),"&amp;")</f>
        <v>兴国安邦3</v>
      </c>
      <c r="AQ35" s="21" t="str">
        <f>IFERROR(INDEX($N:$N,MATCH(Y35,$S:$S,0)),"&amp;")</f>
        <v>国之柱石2</v>
      </c>
      <c r="AR35" s="21" t="str">
        <f>IFERROR(INDEX($N:$N,MATCH(Z35,$S:$S,0)),"&amp;")</f>
        <v>大秦帝国4</v>
      </c>
      <c r="AS35" s="21" t="str">
        <f>IFERROR(INDEX($N:$N,MATCH(AA35,$S:$S,0)),"&amp;")</f>
        <v>大秦宗亲2</v>
      </c>
      <c r="AT35" s="21" t="str">
        <f>IFERROR(INDEX($N:$N,MATCH(AB35,$S:$S,0)),"&amp;")</f>
        <v>&amp;</v>
      </c>
      <c r="AV35" s="21" t="str">
        <f>IFERROR(SUBSTITUTE(INDEX($K:$K,MATCH(INDEX($M:$M,MATCH(AM35,$N:$N,0)),$M:$M,0)),$D35,""),"")</f>
        <v xml:space="preserve">屈原 </v>
      </c>
      <c r="AW35" s="21" t="str">
        <f>IFERROR(SUBSTITUTE(INDEX($K:$K,MATCH(INDEX($M:$M,MATCH(AN35,$N:$N,0)),$M:$M,0)),$D35,""),"")</f>
        <v xml:space="preserve">乐毅 义渠骇 </v>
      </c>
      <c r="AX35" s="21" t="str">
        <f>IFERROR(SUBSTITUTE(INDEX($K:$K,MATCH(INDEX($M:$M,MATCH(AO35,$N:$N,0)),$M:$M,0)),$D35,""),"")</f>
        <v xml:space="preserve"> 暴鸢</v>
      </c>
      <c r="AY35" s="21" t="str">
        <f>IFERROR(SUBSTITUTE(INDEX($K:$K,MATCH(INDEX($M:$M,MATCH(AP35,$N:$N,0)),$M:$M,0)),$D35,""),"")</f>
        <v>廉颇 田单  乐毅</v>
      </c>
      <c r="AZ35" s="21" t="str">
        <f>IFERROR(SUBSTITUTE(INDEX($K:$K,MATCH(INDEX($M:$M,MATCH(AQ35,$N:$N,0)),$M:$M,0)),$D35,""),"")</f>
        <v>廉颇  乐毅 司马穰苴</v>
      </c>
      <c r="BA35" s="21" t="str">
        <f>IFERROR(SUBSTITUTE(INDEX($K:$K,MATCH(INDEX($M:$M,MATCH(AR35,$N:$N,0)),$M:$M,0)),$D35,""),"")</f>
        <v xml:space="preserve">嬴政 吕不韦 司马错 </v>
      </c>
      <c r="BB35" s="21" t="str">
        <f>IFERROR(SUBSTITUTE(INDEX($K:$K,MATCH(INDEX($M:$M,MATCH(AS35,$N:$N,0)),$M:$M,0)),$D35,""),"")</f>
        <v>吕雉  秦武王</v>
      </c>
      <c r="BC35" s="21" t="str">
        <f>IFERROR(SUBSTITUTE(INDEX($K:$K,MATCH(INDEX($M:$M,MATCH(AT35,$N:$N,0)),$M:$M,0)),$D35,""),"")</f>
        <v/>
      </c>
      <c r="BE35" s="9" t="str">
        <f t="shared" si="7"/>
        <v>屈原,樗里疾,乐毅,义渠骇,暴鸢,廉颇,田单,司马穰苴,嬴政,吕不韦,司马错,吕雉,秦武王</v>
      </c>
      <c r="BI35" s="9" t="str">
        <f>IFERROR(
IF(COUNTIF($M:$M,$AD35)&lt;BI$8,
"",
INDEX($J:$J,MATCH($AD35,$M:$M,0)+BI$8-1)),
"")</f>
        <v>屈原</v>
      </c>
      <c r="BJ35" s="9" t="str">
        <f>IFERROR(
IF(COUNTIF($M:$M,$AD35)&lt;BJ$8,
"",
INDEX($J:$J,MATCH($AD35,$M:$M,0)+BJ$8-1)),
"")</f>
        <v>樗里疾</v>
      </c>
      <c r="BK35" s="9" t="str">
        <f>IFERROR(
IF(COUNTIF($M:$M,$AD35)&lt;BK$8,
"",
INDEX($J:$J,MATCH($AD35,$M:$M,0)+BK$8-1)),
"")</f>
        <v/>
      </c>
      <c r="BL35" s="9" t="str">
        <f>IFERROR(
IF(COUNTIF($M:$M,$AD35)&lt;BL$8,
"",
INDEX($J:$J,MATCH($AD35,$M:$M,0)+BL$8-1)),
"")</f>
        <v/>
      </c>
      <c r="BN35" s="21" t="str">
        <f>IFERROR(
IF(COUNTIF($BI35:BM35,INDEX($J:$J,MATCH($AE35,$M:$M,0)+BN$8-1))=0,
IF(COUNTIF($M:$M,$AE35)&lt;BN$8,
"",
INDEX($J:$J,MATCH($AE35,$M:$M,0)+BN$8-1)),
""),
"")</f>
        <v>乐毅</v>
      </c>
      <c r="BO35" s="21" t="str">
        <f>IFERROR(
IF(COUNTIF($BI35:BN35,INDEX($J:$J,MATCH($AE35,$M:$M,0)+BO$8-1))=0,
IF(COUNTIF($M:$M,$AE35)&lt;BO$8,
"",
INDEX($J:$J,MATCH($AE35,$M:$M,0)+BO$8-1)),
""),
"")</f>
        <v>义渠骇</v>
      </c>
      <c r="BP35" s="21" t="str">
        <f>IFERROR(
IF(COUNTIF($BI35:BO35,INDEX($J:$J,MATCH($AE35,$M:$M,0)+BP$8-1))=0,
IF(COUNTIF($M:$M,$AE35)&lt;BP$8,
"",
INDEX($J:$J,MATCH($AE35,$M:$M,0)+BP$8-1)),
""),
"")</f>
        <v/>
      </c>
      <c r="BQ35" s="21" t="str">
        <f>IFERROR(
IF(COUNTIF($BI35:BP35,INDEX($J:$J,MATCH($AE35,$M:$M,0)+BQ$8-1))=0,
IF(COUNTIF($M:$M,$AE35)&lt;BQ$8,
"",
INDEX($J:$J,MATCH($AE35,$M:$M,0)+BQ$8-1)),
""),
"")</f>
        <v/>
      </c>
      <c r="BS35" s="21" t="str">
        <f>IFERROR(
IF(COUNTIF($BI35:BR35,INDEX($J:$J,MATCH($AF35,$M:$M,0)+BS$8-1))=0,
IF(COUNTIF($M:$M,$AF35)&lt;BS$8,
"",
INDEX($J:$J,MATCH($AF35,$M:$M,0)+BS$8-1)),
""),
"")</f>
        <v/>
      </c>
      <c r="BT35" s="21" t="str">
        <f>IFERROR(
IF(COUNTIF($BI35:BS35,INDEX($J:$J,MATCH($AF35,$M:$M,0)+BT$8-1))=0,
IF(COUNTIF($M:$M,$AF35)&lt;BT$8,
"",
INDEX($J:$J,MATCH($AF35,$M:$M,0)+BT$8-1)),
""),
"")</f>
        <v>暴鸢</v>
      </c>
      <c r="BU35" s="21" t="str">
        <f>IFERROR(
IF(COUNTIF($BI35:BT35,INDEX($J:$J,MATCH($AF35,$M:$M,0)+BU$8-1))=0,
IF(COUNTIF($M:$M,$AF35)&lt;BU$8,
"",
INDEX($J:$J,MATCH($AF35,$M:$M,0)+BU$8-1)),
""),
"")</f>
        <v/>
      </c>
      <c r="BV35" s="21" t="str">
        <f>IFERROR(
IF(COUNTIF($BI35:BU35,INDEX($J:$J,MATCH($AF35,$M:$M,0)+BV$8-1))=0,
IF(COUNTIF($M:$M,$AF35)&lt;BV$8,
"",
INDEX($J:$J,MATCH($AF35,$M:$M,0)+BV$8-1)),
""),
"")</f>
        <v/>
      </c>
      <c r="BX35" s="21" t="str">
        <f>IFERROR(
IF(COUNTIF($BI35:BW35,INDEX($J:$J,MATCH($AG35,$M:$M,0)+BX$8-1))=0,
IF(COUNTIF($M:$M,$AG35)&lt;BX$8,
"",
INDEX($J:$J,MATCH($AG35,$M:$M,0)+BX$8-1)),
""),
"")</f>
        <v>廉颇</v>
      </c>
      <c r="BY35" s="21" t="str">
        <f>IFERROR(
IF(COUNTIF($BI35:BX35,INDEX($J:$J,MATCH($AG35,$M:$M,0)+BY$8-1))=0,
IF(COUNTIF($M:$M,$AG35)&lt;BY$8,
"",
INDEX($J:$J,MATCH($AG35,$M:$M,0)+BY$8-1)),
""),
"")</f>
        <v>田单</v>
      </c>
      <c r="BZ35" s="21" t="str">
        <f>IFERROR(
IF(COUNTIF($BI35:BY35,INDEX($J:$J,MATCH($AG35,$M:$M,0)+BZ$8-1))=0,
IF(COUNTIF($M:$M,$AG35)&lt;BZ$8,
"",
INDEX($J:$J,MATCH($AG35,$M:$M,0)+BZ$8-1)),
""),
"")</f>
        <v/>
      </c>
      <c r="CA35" s="21" t="str">
        <f>IFERROR(
IF(COUNTIF($BI35:BZ35,INDEX($J:$J,MATCH($AG35,$M:$M,0)+CA$8-1))=0,
IF(COUNTIF($M:$M,$AG35)&lt;CA$8,
"",
INDEX($J:$J,MATCH($AG35,$M:$M,0)+CA$8-1)),
""),
"")</f>
        <v/>
      </c>
      <c r="CC35" s="21" t="str">
        <f>IFERROR(
IF(COUNTIF($BI35:CB35,INDEX($J:$J,MATCH($AH35,$M:$M,0)+CC$8-1))=0,
IF(COUNTIF($M:$M,$AH35)&lt;CC$8,
"",
INDEX($J:$J,MATCH($AH35,$M:$M,0)+CC$8-1)),
""),
"")</f>
        <v/>
      </c>
      <c r="CD35" s="21" t="str">
        <f>IFERROR(
IF(COUNTIF($BI35:CC35,INDEX($J:$J,MATCH($AH35,$M:$M,0)+CD$8-1))=0,
IF(COUNTIF($M:$M,$AH35)&lt;CD$8,
"",
INDEX($J:$J,MATCH($AH35,$M:$M,0)+CD$8-1)),
""),
"")</f>
        <v/>
      </c>
      <c r="CE35" s="21" t="str">
        <f>IFERROR(
IF(COUNTIF($BI35:CD35,INDEX($J:$J,MATCH($AH35,$M:$M,0)+CE$8-1))=0,
IF(COUNTIF($M:$M,$AH35)&lt;CE$8,
"",
INDEX($J:$J,MATCH($AH35,$M:$M,0)+CE$8-1)),
""),
"")</f>
        <v/>
      </c>
      <c r="CF35" s="21" t="str">
        <f>IFERROR(
IF(COUNTIF($BI35:CE35,INDEX($J:$J,MATCH($AH35,$M:$M,0)+CF$8-1))=0,
IF(COUNTIF($M:$M,$AH35)&lt;CF$8,
"",
INDEX($J:$J,MATCH($AH35,$M:$M,0)+CF$8-1)),
""),
"")</f>
        <v>司马穰苴</v>
      </c>
      <c r="CH35" s="21" t="str">
        <f>IFERROR(
IF(COUNTIF($BI35:CG35,INDEX($J:$J,MATCH($AI35,$M:$M,0)+CH$8-1))=0,
IF(COUNTIF($M:$M,$AI35)&lt;CH$8,
"",
INDEX($J:$J,MATCH($AI35,$M:$M,0)+CH$8-1)),
""),
"")</f>
        <v>嬴政</v>
      </c>
      <c r="CI35" s="21" t="str">
        <f>IFERROR(
IF(COUNTIF($BI35:CH35,INDEX($J:$J,MATCH($AI35,$M:$M,0)+CI$8-1))=0,
IF(COUNTIF($M:$M,$AI35)&lt;CI$8,
"",
INDEX($J:$J,MATCH($AI35,$M:$M,0)+CI$8-1)),
""),
"")</f>
        <v>吕不韦</v>
      </c>
      <c r="CJ35" s="21" t="str">
        <f>IFERROR(
IF(COUNTIF($BI35:CI35,INDEX($J:$J,MATCH($AI35,$M:$M,0)+CJ$8-1))=0,
IF(COUNTIF($M:$M,$AI35)&lt;CJ$8,
"",
INDEX($J:$J,MATCH($AI35,$M:$M,0)+CJ$8-1)),
""),
"")</f>
        <v>司马错</v>
      </c>
      <c r="CK35" s="21" t="str">
        <f>IFERROR(
IF(COUNTIF($BI35:CJ35,INDEX($J:$J,MATCH($AI35,$M:$M,0)+CK$8-1))=0,
IF(COUNTIF($M:$M,$AI35)&lt;CK$8,
"",
INDEX($J:$J,MATCH($AI35,$M:$M,0)+CK$8-1)),
""),
"")</f>
        <v/>
      </c>
      <c r="CM35" s="21" t="str">
        <f>IFERROR(
IF(COUNTIF($BI35:CL35,INDEX($J:$J,MATCH($AJ35,$M:$M,0)+CM$8-1))=0,
IF(COUNTIF($M:$M,$AJ35)&lt;CM$8,
"",
INDEX($J:$J,MATCH($AJ35,$M:$M,0)+CM$8-1)),
""),
"")</f>
        <v>吕雉</v>
      </c>
      <c r="CN35" s="21" t="str">
        <f>IFERROR(
IF(COUNTIF($BI35:CM35,INDEX($J:$J,MATCH($AJ35,$M:$M,0)+CN$8-1))=0,
IF(COUNTIF($M:$M,$AJ35)&lt;CN$8,
"",
INDEX($J:$J,MATCH($AJ35,$M:$M,0)+CN$8-1)),
""),
"")</f>
        <v/>
      </c>
      <c r="CO35" s="21" t="str">
        <f>IFERROR(
IF(COUNTIF($BI35:CN35,INDEX($J:$J,MATCH($AJ35,$M:$M,0)+CO$8-1))=0,
IF(COUNTIF($M:$M,$AJ35)&lt;CO$8,
"",
INDEX($J:$J,MATCH($AJ35,$M:$M,0)+CO$8-1)),
""),
"")</f>
        <v>秦武王</v>
      </c>
      <c r="CP35" s="21" t="str">
        <f>IFERROR(
IF(COUNTIF($BI35:CO35,INDEX($J:$J,MATCH($AJ35,$M:$M,0)+CP$8-1))=0,
IF(COUNTIF($M:$M,$AJ35)&lt;CP$8,
"",
INDEX($J:$J,MATCH($AJ35,$M:$M,0)+CP$8-1)),
""),
"")</f>
        <v/>
      </c>
      <c r="CR35" s="21" t="str">
        <f>IFERROR(
IF(COUNTIF($BI35:CQ35,INDEX($J:$J,MATCH($AK35,$M:$M,0)+CR$8-1))=0,
IF(COUNTIF($M:$M,$AK35)&lt;CR$8,
"",
INDEX($J:$J,MATCH($AK35,$M:$M,0)+CR$8-1)),
""),
"")</f>
        <v/>
      </c>
      <c r="CS35" s="21" t="str">
        <f>IFERROR(
IF(COUNTIF($BI35:CR35,INDEX($J:$J,MATCH($AK35,$M:$M,0)+CS$8-1))=0,
IF(COUNTIF($M:$M,$AK35)&lt;CS$8,
"",
INDEX($J:$J,MATCH($AK35,$M:$M,0)+CS$8-1)),
""),
"")</f>
        <v/>
      </c>
      <c r="CT35" s="21" t="str">
        <f>IFERROR(
IF(COUNTIF($BI35:CS35,INDEX($J:$J,MATCH($AK35,$M:$M,0)+CT$8-1))=0,
IF(COUNTIF($M:$M,$AK35)&lt;CT$8,
"",
INDEX($J:$J,MATCH($AK35,$M:$M,0)+CT$8-1)),
""),
"")</f>
        <v/>
      </c>
      <c r="CU35" s="21" t="str">
        <f>IFERROR(
IF(COUNTIF($BI35:CT35,INDEX($J:$J,MATCH($AK35,$M:$M,0)+CU$8-1))=0,
IF(COUNTIF($M:$M,$AK35)&lt;CU$8,
"",
INDEX($J:$J,MATCH($AK35,$M:$M,0)+CU$8-1)),
""),
"")</f>
        <v/>
      </c>
    </row>
    <row r="36" spans="3:99" ht="14.25">
      <c r="C36" s="16">
        <v>28</v>
      </c>
      <c r="D36" s="19" t="s">
        <v>111</v>
      </c>
      <c r="E36" s="20">
        <f>INDEX([1]武将基本资料!$S:$S,MATCH(D36,[1]武将基本资料!$N:$N,0))</f>
        <v>120</v>
      </c>
      <c r="F36" s="20" t="str">
        <f>INDEX([1]武将基本资料!$Q:$Q,MATCH(D36,[1]武将基本资料!$N:$N,0))</f>
        <v>橙</v>
      </c>
      <c r="H36" s="7">
        <f>IF(I36="","",COUNTA(I$9:$I36))</f>
        <v>26</v>
      </c>
      <c r="I36" s="6" t="s">
        <v>134</v>
      </c>
      <c r="J36" s="6" t="s">
        <v>51</v>
      </c>
      <c r="K36" s="8" t="str">
        <f>IF(H36="","",阶段合并区域(J36:J45," ",L36:L45,1))</f>
        <v>骊姬 西施</v>
      </c>
      <c r="L36" s="8">
        <f>COUNTIF(M$8:$M36,"="&amp;M36)</f>
        <v>1</v>
      </c>
      <c r="M36" s="9" t="str">
        <f t="shared" si="3"/>
        <v>红颜祸水</v>
      </c>
      <c r="N36" s="9" t="str">
        <f t="shared" si="4"/>
        <v>红颜祸水1</v>
      </c>
      <c r="O36" s="15">
        <f>INDEX(C:C,MATCH(J36,D:D,0))</f>
        <v>1</v>
      </c>
      <c r="P36" s="9">
        <f>INDEX(E:E,MATCH(J36,D:D,0))</f>
        <v>120</v>
      </c>
      <c r="Q36" s="7">
        <f t="shared" si="0"/>
        <v>1</v>
      </c>
      <c r="R36" s="7">
        <f>COUNTIF(J$8:$J36,"="&amp;J36)</f>
        <v>1</v>
      </c>
      <c r="S36" s="7">
        <f t="shared" si="5"/>
        <v>1001</v>
      </c>
      <c r="U36" s="7">
        <f t="shared" si="6"/>
        <v>1028</v>
      </c>
      <c r="V36" s="7">
        <f t="shared" si="6"/>
        <v>2028</v>
      </c>
      <c r="W36" s="7">
        <f t="shared" si="6"/>
        <v>3028</v>
      </c>
      <c r="X36" s="7">
        <f t="shared" si="6"/>
        <v>4028</v>
      </c>
      <c r="Y36" s="7">
        <f t="shared" si="6"/>
        <v>5028</v>
      </c>
      <c r="Z36" s="7">
        <f t="shared" si="6"/>
        <v>6028</v>
      </c>
      <c r="AA36" s="7">
        <f t="shared" si="6"/>
        <v>7028</v>
      </c>
      <c r="AB36" s="7">
        <f t="shared" si="6"/>
        <v>8028</v>
      </c>
      <c r="AD36" s="21" t="str">
        <f>IFERROR(INDEX($M:$M,MATCH(U36,$S:$S,0)),"&amp;")</f>
        <v>百业翘楚</v>
      </c>
      <c r="AE36" s="21" t="str">
        <f>IFERROR(INDEX($M:$M,MATCH(V36,$S:$S,0)),"&amp;")</f>
        <v>慧眼识人</v>
      </c>
      <c r="AF36" s="21" t="str">
        <f>IFERROR(INDEX($M:$M,MATCH(W36,$S:$S,0)),"&amp;")</f>
        <v>出类拔萃</v>
      </c>
      <c r="AG36" s="21" t="str">
        <f>IFERROR(INDEX($M:$M,MATCH(X36,$S:$S,0)),"&amp;")</f>
        <v>辅佐奇才</v>
      </c>
      <c r="AH36" s="21" t="str">
        <f>IFERROR(INDEX($M:$M,MATCH(Y36,$S:$S,0)),"&amp;")</f>
        <v>好客养士</v>
      </c>
      <c r="AI36" s="21" t="str">
        <f>IFERROR(INDEX($M:$M,MATCH(Z36,$S:$S,0)),"&amp;")</f>
        <v>著作留世</v>
      </c>
      <c r="AJ36" s="21" t="str">
        <f>IFERROR(INDEX($M:$M,MATCH(AA36,$S:$S,0)),"&amp;")</f>
        <v>&amp;</v>
      </c>
      <c r="AK36" s="21" t="str">
        <f>IFERROR(INDEX($M:$M,MATCH(AB36,$S:$S,0)),"&amp;")</f>
        <v>&amp;</v>
      </c>
      <c r="AM36" s="21" t="str">
        <f>IFERROR(INDEX($N:$N,MATCH(U36,$S:$S,0)),"&amp;")</f>
        <v>百业翘楚2</v>
      </c>
      <c r="AN36" s="21" t="str">
        <f>IFERROR(INDEX($N:$N,MATCH(V36,$S:$S,0)),"&amp;")</f>
        <v>慧眼识人1</v>
      </c>
      <c r="AO36" s="21" t="str">
        <f>IFERROR(INDEX($N:$N,MATCH(W36,$S:$S,0)),"&amp;")</f>
        <v>出类拔萃3</v>
      </c>
      <c r="AP36" s="21" t="str">
        <f>IFERROR(INDEX($N:$N,MATCH(X36,$S:$S,0)),"&amp;")</f>
        <v>辅佐奇才3</v>
      </c>
      <c r="AQ36" s="21" t="str">
        <f>IFERROR(INDEX($N:$N,MATCH(Y36,$S:$S,0)),"&amp;")</f>
        <v>好客养士3</v>
      </c>
      <c r="AR36" s="21" t="str">
        <f>IFERROR(INDEX($N:$N,MATCH(Z36,$S:$S,0)),"&amp;")</f>
        <v>著作留世2</v>
      </c>
      <c r="AS36" s="21" t="str">
        <f>IFERROR(INDEX($N:$N,MATCH(AA36,$S:$S,0)),"&amp;")</f>
        <v>&amp;</v>
      </c>
      <c r="AT36" s="21" t="str">
        <f>IFERROR(INDEX($N:$N,MATCH(AB36,$S:$S,0)),"&amp;")</f>
        <v>&amp;</v>
      </c>
      <c r="AV36" s="21" t="str">
        <f>IFERROR(SUBSTITUTE(INDEX($K:$K,MATCH(INDEX($M:$M,MATCH(AM36,$N:$N,0)),$M:$M,0)),$D36,""),"")</f>
        <v>欧冶子  扁鹊</v>
      </c>
      <c r="AW36" s="21" t="str">
        <f>IFERROR(SUBSTITUTE(INDEX($K:$K,MATCH(INDEX($M:$M,MATCH(AN36,$N:$N,0)),$M:$M,0)),$D36,""),"")</f>
        <v xml:space="preserve"> 楚庄王</v>
      </c>
      <c r="AX36" s="21" t="str">
        <f>IFERROR(SUBSTITUTE(INDEX($K:$K,MATCH(INDEX($M:$M,MATCH(AO36,$N:$N,0)),$M:$M,0)),$D36,""),"")</f>
        <v>墨子 扁鹊  欧冶子</v>
      </c>
      <c r="AY36" s="21" t="str">
        <f>IFERROR(SUBSTITUTE(INDEX($K:$K,MATCH(INDEX($M:$M,MATCH(AP36,$N:$N,0)),$M:$M,0)),$D36,""),"")</f>
        <v>蔺相如 苏秦  西施</v>
      </c>
      <c r="AZ36" s="21" t="str">
        <f>IFERROR(SUBSTITUTE(INDEX($K:$K,MATCH(INDEX($M:$M,MATCH(AQ36,$N:$N,0)),$M:$M,0)),$D36,""),"")</f>
        <v xml:space="preserve">孟尝君 信陵君 </v>
      </c>
      <c r="BA36" s="21" t="str">
        <f>IFERROR(SUBSTITUTE(INDEX($K:$K,MATCH(INDEX($M:$M,MATCH(AR36,$N:$N,0)),$M:$M,0)),$D36,""),"")</f>
        <v xml:space="preserve">鲁班 </v>
      </c>
      <c r="BB36" s="21" t="str">
        <f>IFERROR(SUBSTITUTE(INDEX($K:$K,MATCH(INDEX($M:$M,MATCH(AS36,$N:$N,0)),$M:$M,0)),$D36,""),"")</f>
        <v/>
      </c>
      <c r="BC36" s="21" t="str">
        <f>IFERROR(SUBSTITUTE(INDEX($K:$K,MATCH(INDEX($M:$M,MATCH(AT36,$N:$N,0)),$M:$M,0)),$D36,""),"")</f>
        <v/>
      </c>
      <c r="BE36" s="9" t="str">
        <f t="shared" si="7"/>
        <v>欧冶子,伯乐,扁鹊,楚庄王,墨子,蔺相如,苏秦,西施,孟尝君,信陵君,鲁班</v>
      </c>
      <c r="BI36" s="9" t="str">
        <f>IFERROR(
IF(COUNTIF($M:$M,$AD36)&lt;BI$8,
"",
INDEX($J:$J,MATCH($AD36,$M:$M,0)+BI$8-1)),
"")</f>
        <v>欧冶子</v>
      </c>
      <c r="BJ36" s="9" t="str">
        <f>IFERROR(
IF(COUNTIF($M:$M,$AD36)&lt;BJ$8,
"",
INDEX($J:$J,MATCH($AD36,$M:$M,0)+BJ$8-1)),
"")</f>
        <v>伯乐</v>
      </c>
      <c r="BK36" s="9" t="str">
        <f>IFERROR(
IF(COUNTIF($M:$M,$AD36)&lt;BK$8,
"",
INDEX($J:$J,MATCH($AD36,$M:$M,0)+BK$8-1)),
"")</f>
        <v>扁鹊</v>
      </c>
      <c r="BL36" s="9" t="str">
        <f>IFERROR(
IF(COUNTIF($M:$M,$AD36)&lt;BL$8,
"",
INDEX($J:$J,MATCH($AD36,$M:$M,0)+BL$8-1)),
"")</f>
        <v/>
      </c>
      <c r="BN36" s="21" t="str">
        <f>IFERROR(
IF(COUNTIF($BI36:BM36,INDEX($J:$J,MATCH($AE36,$M:$M,0)+BN$8-1))=0,
IF(COUNTIF($M:$M,$AE36)&lt;BN$8,
"",
INDEX($J:$J,MATCH($AE36,$M:$M,0)+BN$8-1)),
""),
"")</f>
        <v/>
      </c>
      <c r="BO36" s="21" t="str">
        <f>IFERROR(
IF(COUNTIF($BI36:BN36,INDEX($J:$J,MATCH($AE36,$M:$M,0)+BO$8-1))=0,
IF(COUNTIF($M:$M,$AE36)&lt;BO$8,
"",
INDEX($J:$J,MATCH($AE36,$M:$M,0)+BO$8-1)),
""),
"")</f>
        <v>楚庄王</v>
      </c>
      <c r="BP36" s="21" t="str">
        <f>IFERROR(
IF(COUNTIF($BI36:BO36,INDEX($J:$J,MATCH($AE36,$M:$M,0)+BP$8-1))=0,
IF(COUNTIF($M:$M,$AE36)&lt;BP$8,
"",
INDEX($J:$J,MATCH($AE36,$M:$M,0)+BP$8-1)),
""),
"")</f>
        <v/>
      </c>
      <c r="BQ36" s="21" t="str">
        <f>IFERROR(
IF(COUNTIF($BI36:BP36,INDEX($J:$J,MATCH($AE36,$M:$M,0)+BQ$8-1))=0,
IF(COUNTIF($M:$M,$AE36)&lt;BQ$8,
"",
INDEX($J:$J,MATCH($AE36,$M:$M,0)+BQ$8-1)),
""),
"")</f>
        <v/>
      </c>
      <c r="BS36" s="21" t="str">
        <f>IFERROR(
IF(COUNTIF($BI36:BR36,INDEX($J:$J,MATCH($AF36,$M:$M,0)+BS$8-1))=0,
IF(COUNTIF($M:$M,$AF36)&lt;BS$8,
"",
INDEX($J:$J,MATCH($AF36,$M:$M,0)+BS$8-1)),
""),
"")</f>
        <v>墨子</v>
      </c>
      <c r="BT36" s="21" t="str">
        <f>IFERROR(
IF(COUNTIF($BI36:BS36,INDEX($J:$J,MATCH($AF36,$M:$M,0)+BT$8-1))=0,
IF(COUNTIF($M:$M,$AF36)&lt;BT$8,
"",
INDEX($J:$J,MATCH($AF36,$M:$M,0)+BT$8-1)),
""),
"")</f>
        <v/>
      </c>
      <c r="BU36" s="21" t="str">
        <f>IFERROR(
IF(COUNTIF($BI36:BT36,INDEX($J:$J,MATCH($AF36,$M:$M,0)+BU$8-1))=0,
IF(COUNTIF($M:$M,$AF36)&lt;BU$8,
"",
INDEX($J:$J,MATCH($AF36,$M:$M,0)+BU$8-1)),
""),
"")</f>
        <v/>
      </c>
      <c r="BV36" s="21" t="str">
        <f>IFERROR(
IF(COUNTIF($BI36:BU36,INDEX($J:$J,MATCH($AF36,$M:$M,0)+BV$8-1))=0,
IF(COUNTIF($M:$M,$AF36)&lt;BV$8,
"",
INDEX($J:$J,MATCH($AF36,$M:$M,0)+BV$8-1)),
""),
"")</f>
        <v/>
      </c>
      <c r="BX36" s="21" t="str">
        <f>IFERROR(
IF(COUNTIF($BI36:BW36,INDEX($J:$J,MATCH($AG36,$M:$M,0)+BX$8-1))=0,
IF(COUNTIF($M:$M,$AG36)&lt;BX$8,
"",
INDEX($J:$J,MATCH($AG36,$M:$M,0)+BX$8-1)),
""),
"")</f>
        <v>蔺相如</v>
      </c>
      <c r="BY36" s="21" t="str">
        <f>IFERROR(
IF(COUNTIF($BI36:BX36,INDEX($J:$J,MATCH($AG36,$M:$M,0)+BY$8-1))=0,
IF(COUNTIF($M:$M,$AG36)&lt;BY$8,
"",
INDEX($J:$J,MATCH($AG36,$M:$M,0)+BY$8-1)),
""),
"")</f>
        <v>苏秦</v>
      </c>
      <c r="BZ36" s="21" t="str">
        <f>IFERROR(
IF(COUNTIF($BI36:BY36,INDEX($J:$J,MATCH($AG36,$M:$M,0)+BZ$8-1))=0,
IF(COUNTIF($M:$M,$AG36)&lt;BZ$8,
"",
INDEX($J:$J,MATCH($AG36,$M:$M,0)+BZ$8-1)),
""),
"")</f>
        <v/>
      </c>
      <c r="CA36" s="21" t="str">
        <f>IFERROR(
IF(COUNTIF($BI36:BZ36,INDEX($J:$J,MATCH($AG36,$M:$M,0)+CA$8-1))=0,
IF(COUNTIF($M:$M,$AG36)&lt;CA$8,
"",
INDEX($J:$J,MATCH($AG36,$M:$M,0)+CA$8-1)),
""),
"")</f>
        <v>西施</v>
      </c>
      <c r="CC36" s="21" t="str">
        <f>IFERROR(
IF(COUNTIF($BI36:CB36,INDEX($J:$J,MATCH($AH36,$M:$M,0)+CC$8-1))=0,
IF(COUNTIF($M:$M,$AH36)&lt;CC$8,
"",
INDEX($J:$J,MATCH($AH36,$M:$M,0)+CC$8-1)),
""),
"")</f>
        <v>孟尝君</v>
      </c>
      <c r="CD36" s="21" t="str">
        <f>IFERROR(
IF(COUNTIF($BI36:CC36,INDEX($J:$J,MATCH($AH36,$M:$M,0)+CD$8-1))=0,
IF(COUNTIF($M:$M,$AH36)&lt;CD$8,
"",
INDEX($J:$J,MATCH($AH36,$M:$M,0)+CD$8-1)),
""),
"")</f>
        <v>信陵君</v>
      </c>
      <c r="CE36" s="21" t="str">
        <f>IFERROR(
IF(COUNTIF($BI36:CD36,INDEX($J:$J,MATCH($AH36,$M:$M,0)+CE$8-1))=0,
IF(COUNTIF($M:$M,$AH36)&lt;CE$8,
"",
INDEX($J:$J,MATCH($AH36,$M:$M,0)+CE$8-1)),
""),
"")</f>
        <v/>
      </c>
      <c r="CF36" s="21" t="str">
        <f>IFERROR(
IF(COUNTIF($BI36:CE36,INDEX($J:$J,MATCH($AH36,$M:$M,0)+CF$8-1))=0,
IF(COUNTIF($M:$M,$AH36)&lt;CF$8,
"",
INDEX($J:$J,MATCH($AH36,$M:$M,0)+CF$8-1)),
""),
"")</f>
        <v/>
      </c>
      <c r="CH36" s="21" t="str">
        <f>IFERROR(
IF(COUNTIF($BI36:CG36,INDEX($J:$J,MATCH($AI36,$M:$M,0)+CH$8-1))=0,
IF(COUNTIF($M:$M,$AI36)&lt;CH$8,
"",
INDEX($J:$J,MATCH($AI36,$M:$M,0)+CH$8-1)),
""),
"")</f>
        <v>鲁班</v>
      </c>
      <c r="CI36" s="21" t="str">
        <f>IFERROR(
IF(COUNTIF($BI36:CH36,INDEX($J:$J,MATCH($AI36,$M:$M,0)+CI$8-1))=0,
IF(COUNTIF($M:$M,$AI36)&lt;CI$8,
"",
INDEX($J:$J,MATCH($AI36,$M:$M,0)+CI$8-1)),
""),
"")</f>
        <v/>
      </c>
      <c r="CJ36" s="21" t="str">
        <f>IFERROR(
IF(COUNTIF($BI36:CI36,INDEX($J:$J,MATCH($AI36,$M:$M,0)+CJ$8-1))=0,
IF(COUNTIF($M:$M,$AI36)&lt;CJ$8,
"",
INDEX($J:$J,MATCH($AI36,$M:$M,0)+CJ$8-1)),
""),
"")</f>
        <v/>
      </c>
      <c r="CK36" s="21" t="str">
        <f>IFERROR(
IF(COUNTIF($BI36:CJ36,INDEX($J:$J,MATCH($AI36,$M:$M,0)+CK$8-1))=0,
IF(COUNTIF($M:$M,$AI36)&lt;CK$8,
"",
INDEX($J:$J,MATCH($AI36,$M:$M,0)+CK$8-1)),
""),
"")</f>
        <v/>
      </c>
      <c r="CM36" s="21" t="str">
        <f>IFERROR(
IF(COUNTIF($BI36:CL36,INDEX($J:$J,MATCH($AJ36,$M:$M,0)+CM$8-1))=0,
IF(COUNTIF($M:$M,$AJ36)&lt;CM$8,
"",
INDEX($J:$J,MATCH($AJ36,$M:$M,0)+CM$8-1)),
""),
"")</f>
        <v/>
      </c>
      <c r="CN36" s="21" t="str">
        <f>IFERROR(
IF(COUNTIF($BI36:CM36,INDEX($J:$J,MATCH($AJ36,$M:$M,0)+CN$8-1))=0,
IF(COUNTIF($M:$M,$AJ36)&lt;CN$8,
"",
INDEX($J:$J,MATCH($AJ36,$M:$M,0)+CN$8-1)),
""),
"")</f>
        <v/>
      </c>
      <c r="CO36" s="21" t="str">
        <f>IFERROR(
IF(COUNTIF($BI36:CN36,INDEX($J:$J,MATCH($AJ36,$M:$M,0)+CO$8-1))=0,
IF(COUNTIF($M:$M,$AJ36)&lt;CO$8,
"",
INDEX($J:$J,MATCH($AJ36,$M:$M,0)+CO$8-1)),
""),
"")</f>
        <v/>
      </c>
      <c r="CP36" s="21" t="str">
        <f>IFERROR(
IF(COUNTIF($BI36:CO36,INDEX($J:$J,MATCH($AJ36,$M:$M,0)+CP$8-1))=0,
IF(COUNTIF($M:$M,$AJ36)&lt;CP$8,
"",
INDEX($J:$J,MATCH($AJ36,$M:$M,0)+CP$8-1)),
""),
"")</f>
        <v/>
      </c>
      <c r="CR36" s="21" t="str">
        <f>IFERROR(
IF(COUNTIF($BI36:CQ36,INDEX($J:$J,MATCH($AK36,$M:$M,0)+CR$8-1))=0,
IF(COUNTIF($M:$M,$AK36)&lt;CR$8,
"",
INDEX($J:$J,MATCH($AK36,$M:$M,0)+CR$8-1)),
""),
"")</f>
        <v/>
      </c>
      <c r="CS36" s="21" t="str">
        <f>IFERROR(
IF(COUNTIF($BI36:CR36,INDEX($J:$J,MATCH($AK36,$M:$M,0)+CS$8-1))=0,
IF(COUNTIF($M:$M,$AK36)&lt;CS$8,
"",
INDEX($J:$J,MATCH($AK36,$M:$M,0)+CS$8-1)),
""),
"")</f>
        <v/>
      </c>
      <c r="CT36" s="21" t="str">
        <f>IFERROR(
IF(COUNTIF($BI36:CS36,INDEX($J:$J,MATCH($AK36,$M:$M,0)+CT$8-1))=0,
IF(COUNTIF($M:$M,$AK36)&lt;CT$8,
"",
INDEX($J:$J,MATCH($AK36,$M:$M,0)+CT$8-1)),
""),
"")</f>
        <v/>
      </c>
      <c r="CU36" s="21" t="str">
        <f>IFERROR(
IF(COUNTIF($BI36:CT36,INDEX($J:$J,MATCH($AK36,$M:$M,0)+CU$8-1))=0,
IF(COUNTIF($M:$M,$AK36)&lt;CU$8,
"",
INDEX($J:$J,MATCH($AK36,$M:$M,0)+CU$8-1)),
""),
"")</f>
        <v/>
      </c>
    </row>
    <row r="37" spans="3:99" ht="14.25">
      <c r="C37" s="16">
        <v>29</v>
      </c>
      <c r="D37" s="19" t="s">
        <v>58</v>
      </c>
      <c r="E37" s="20">
        <f>INDEX([1]武将基本资料!$S:$S,MATCH(D37,[1]武将基本资料!$N:$N,0))</f>
        <v>110</v>
      </c>
      <c r="F37" s="20" t="str">
        <f>INDEX([1]武将基本资料!$Q:$Q,MATCH(D37,[1]武将基本资料!$N:$N,0))</f>
        <v>紫</v>
      </c>
      <c r="H37" s="7" t="str">
        <f>IF(I37="","",COUNTA(I$9:$I37))</f>
        <v/>
      </c>
      <c r="I37" s="6" t="s">
        <v>188</v>
      </c>
      <c r="J37" s="6" t="s">
        <v>46</v>
      </c>
      <c r="K37" s="8" t="str">
        <f>IF(H37="","",阶段合并区域(J37:J46," ",L37:L46,1))</f>
        <v/>
      </c>
      <c r="L37" s="8">
        <f>COUNTIF(M$8:$M37,"="&amp;M37)</f>
        <v>2</v>
      </c>
      <c r="M37" s="9" t="str">
        <f>IF(H37="",M36,I37)</f>
        <v>红颜祸水</v>
      </c>
      <c r="N37" s="9" t="str">
        <f>M37&amp;L37</f>
        <v>红颜祸水2</v>
      </c>
      <c r="O37" s="15">
        <f>INDEX(C:C,MATCH(J37,D:D,0))</f>
        <v>7</v>
      </c>
      <c r="P37" s="9">
        <f>INDEX(E:E,MATCH(J37,D:D,0))</f>
        <v>120</v>
      </c>
      <c r="Q37" s="7">
        <f t="shared" si="0"/>
        <v>7</v>
      </c>
      <c r="R37" s="7">
        <f>COUNTIF(J$8:$J37,"="&amp;J37)</f>
        <v>1</v>
      </c>
      <c r="S37" s="7">
        <f t="shared" si="5"/>
        <v>1007</v>
      </c>
      <c r="U37" s="7">
        <f t="shared" si="6"/>
        <v>1029</v>
      </c>
      <c r="V37" s="7">
        <f t="shared" si="6"/>
        <v>2029</v>
      </c>
      <c r="W37" s="7">
        <f t="shared" si="6"/>
        <v>3029</v>
      </c>
      <c r="X37" s="7">
        <f t="shared" si="6"/>
        <v>4029</v>
      </c>
      <c r="Y37" s="7">
        <f t="shared" si="6"/>
        <v>5029</v>
      </c>
      <c r="Z37" s="7">
        <f t="shared" si="6"/>
        <v>6029</v>
      </c>
      <c r="AA37" s="7">
        <f t="shared" si="6"/>
        <v>7029</v>
      </c>
      <c r="AB37" s="7">
        <f t="shared" si="6"/>
        <v>8029</v>
      </c>
      <c r="AD37" s="21" t="str">
        <f>IFERROR(INDEX($M:$M,MATCH(U37,$S:$S,0)),"&amp;")</f>
        <v>女中豪杰</v>
      </c>
      <c r="AE37" s="21" t="str">
        <f>IFERROR(INDEX($M:$M,MATCH(V37,$S:$S,0)),"&amp;")</f>
        <v>破秦勇将</v>
      </c>
      <c r="AF37" s="21" t="str">
        <f>IFERROR(INDEX($M:$M,MATCH(W37,$S:$S,0)),"&amp;")</f>
        <v>巾帼英雄</v>
      </c>
      <c r="AG37" s="21" t="str">
        <f>IFERROR(INDEX($M:$M,MATCH(X37,$S:$S,0)),"&amp;")</f>
        <v>&amp;</v>
      </c>
      <c r="AH37" s="21" t="str">
        <f>IFERROR(INDEX($M:$M,MATCH(Y37,$S:$S,0)),"&amp;")</f>
        <v>&amp;</v>
      </c>
      <c r="AI37" s="21" t="str">
        <f>IFERROR(INDEX($M:$M,MATCH(Z37,$S:$S,0)),"&amp;")</f>
        <v>&amp;</v>
      </c>
      <c r="AJ37" s="21" t="str">
        <f>IFERROR(INDEX($M:$M,MATCH(AA37,$S:$S,0)),"&amp;")</f>
        <v>&amp;</v>
      </c>
      <c r="AK37" s="21" t="str">
        <f>IFERROR(INDEX($M:$M,MATCH(AB37,$S:$S,0)),"&amp;")</f>
        <v>&amp;</v>
      </c>
      <c r="AM37" s="21" t="str">
        <f>IFERROR(INDEX($N:$N,MATCH(U37,$S:$S,0)),"&amp;")</f>
        <v>女中豪杰3</v>
      </c>
      <c r="AN37" s="21" t="str">
        <f>IFERROR(INDEX($N:$N,MATCH(V37,$S:$S,0)),"&amp;")</f>
        <v>破秦勇将1</v>
      </c>
      <c r="AO37" s="21" t="str">
        <f>IFERROR(INDEX($N:$N,MATCH(W37,$S:$S,0)),"&amp;")</f>
        <v>巾帼英雄1</v>
      </c>
      <c r="AP37" s="21" t="str">
        <f>IFERROR(INDEX($N:$N,MATCH(X37,$S:$S,0)),"&amp;")</f>
        <v>&amp;</v>
      </c>
      <c r="AQ37" s="21" t="str">
        <f>IFERROR(INDEX($N:$N,MATCH(Y37,$S:$S,0)),"&amp;")</f>
        <v>&amp;</v>
      </c>
      <c r="AR37" s="21" t="str">
        <f>IFERROR(INDEX($N:$N,MATCH(Z37,$S:$S,0)),"&amp;")</f>
        <v>&amp;</v>
      </c>
      <c r="AS37" s="21" t="str">
        <f>IFERROR(INDEX($N:$N,MATCH(AA37,$S:$S,0)),"&amp;")</f>
        <v>&amp;</v>
      </c>
      <c r="AT37" s="21" t="str">
        <f>IFERROR(INDEX($N:$N,MATCH(AB37,$S:$S,0)),"&amp;")</f>
        <v>&amp;</v>
      </c>
      <c r="AV37" s="21" t="str">
        <f>IFERROR(SUBSTITUTE(INDEX($K:$K,MATCH(INDEX($M:$M,MATCH(AM37,$N:$N,0)),$M:$M,0)),$D37,""),"")</f>
        <v xml:space="preserve">聂荌 莫邪 </v>
      </c>
      <c r="AW37" s="21" t="str">
        <f>IFERROR(SUBSTITUTE(INDEX($K:$K,MATCH(INDEX($M:$M,MATCH(AN37,$N:$N,0)),$M:$M,0)),$D37,""),"")</f>
        <v xml:space="preserve"> 项燕</v>
      </c>
      <c r="AX37" s="21" t="str">
        <f>IFERROR(SUBSTITUTE(INDEX($K:$K,MATCH(INDEX($M:$M,MATCH(AO37,$N:$N,0)),$M:$M,0)),$D37,""),"")</f>
        <v xml:space="preserve"> 西施</v>
      </c>
      <c r="AY37" s="21" t="str">
        <f>IFERROR(SUBSTITUTE(INDEX($K:$K,MATCH(INDEX($M:$M,MATCH(AP37,$N:$N,0)),$M:$M,0)),$D37,""),"")</f>
        <v/>
      </c>
      <c r="AZ37" s="21" t="str">
        <f>IFERROR(SUBSTITUTE(INDEX($K:$K,MATCH(INDEX($M:$M,MATCH(AQ37,$N:$N,0)),$M:$M,0)),$D37,""),"")</f>
        <v/>
      </c>
      <c r="BA37" s="21" t="str">
        <f>IFERROR(SUBSTITUTE(INDEX($K:$K,MATCH(INDEX($M:$M,MATCH(AR37,$N:$N,0)),$M:$M,0)),$D37,""),"")</f>
        <v/>
      </c>
      <c r="BB37" s="21" t="str">
        <f>IFERROR(SUBSTITUTE(INDEX($K:$K,MATCH(INDEX($M:$M,MATCH(AS37,$N:$N,0)),$M:$M,0)),$D37,""),"")</f>
        <v/>
      </c>
      <c r="BC37" s="21" t="str">
        <f>IFERROR(SUBSTITUTE(INDEX($K:$K,MATCH(INDEX($M:$M,MATCH(AT37,$N:$N,0)),$M:$M,0)),$D37,""),"")</f>
        <v/>
      </c>
      <c r="BE37" s="9" t="str">
        <f t="shared" si="7"/>
        <v>聂荌,莫邪,钟无艳,项燕,西施</v>
      </c>
      <c r="BI37" s="9" t="str">
        <f>IFERROR(
IF(COUNTIF($M:$M,$AD37)&lt;BI$8,
"",
INDEX($J:$J,MATCH($AD37,$M:$M,0)+BI$8-1)),
"")</f>
        <v>聂荌</v>
      </c>
      <c r="BJ37" s="9" t="str">
        <f>IFERROR(
IF(COUNTIF($M:$M,$AD37)&lt;BJ$8,
"",
INDEX($J:$J,MATCH($AD37,$M:$M,0)+BJ$8-1)),
"")</f>
        <v>莫邪</v>
      </c>
      <c r="BK37" s="9" t="str">
        <f>IFERROR(
IF(COUNTIF($M:$M,$AD37)&lt;BK$8,
"",
INDEX($J:$J,MATCH($AD37,$M:$M,0)+BK$8-1)),
"")</f>
        <v>钟无艳</v>
      </c>
      <c r="BL37" s="9" t="str">
        <f>IFERROR(
IF(COUNTIF($M:$M,$AD37)&lt;BL$8,
"",
INDEX($J:$J,MATCH($AD37,$M:$M,0)+BL$8-1)),
"")</f>
        <v/>
      </c>
      <c r="BN37" s="21" t="str">
        <f>IFERROR(
IF(COUNTIF($BI37:BM37,INDEX($J:$J,MATCH($AE37,$M:$M,0)+BN$8-1))=0,
IF(COUNTIF($M:$M,$AE37)&lt;BN$8,
"",
INDEX($J:$J,MATCH($AE37,$M:$M,0)+BN$8-1)),
""),
"")</f>
        <v/>
      </c>
      <c r="BO37" s="21" t="str">
        <f>IFERROR(
IF(COUNTIF($BI37:BN37,INDEX($J:$J,MATCH($AE37,$M:$M,0)+BO$8-1))=0,
IF(COUNTIF($M:$M,$AE37)&lt;BO$8,
"",
INDEX($J:$J,MATCH($AE37,$M:$M,0)+BO$8-1)),
""),
"")</f>
        <v>项燕</v>
      </c>
      <c r="BP37" s="21" t="str">
        <f>IFERROR(
IF(COUNTIF($BI37:BO37,INDEX($J:$J,MATCH($AE37,$M:$M,0)+BP$8-1))=0,
IF(COUNTIF($M:$M,$AE37)&lt;BP$8,
"",
INDEX($J:$J,MATCH($AE37,$M:$M,0)+BP$8-1)),
""),
"")</f>
        <v/>
      </c>
      <c r="BQ37" s="21" t="str">
        <f>IFERROR(
IF(COUNTIF($BI37:BP37,INDEX($J:$J,MATCH($AE37,$M:$M,0)+BQ$8-1))=0,
IF(COUNTIF($M:$M,$AE37)&lt;BQ$8,
"",
INDEX($J:$J,MATCH($AE37,$M:$M,0)+BQ$8-1)),
""),
"")</f>
        <v/>
      </c>
      <c r="BS37" s="21" t="str">
        <f>IFERROR(
IF(COUNTIF($BI37:BR37,INDEX($J:$J,MATCH($AF37,$M:$M,0)+BS$8-1))=0,
IF(COUNTIF($M:$M,$AF37)&lt;BS$8,
"",
INDEX($J:$J,MATCH($AF37,$M:$M,0)+BS$8-1)),
""),
"")</f>
        <v/>
      </c>
      <c r="BT37" s="21" t="str">
        <f>IFERROR(
IF(COUNTIF($BI37:BS37,INDEX($J:$J,MATCH($AF37,$M:$M,0)+BT$8-1))=0,
IF(COUNTIF($M:$M,$AF37)&lt;BT$8,
"",
INDEX($J:$J,MATCH($AF37,$M:$M,0)+BT$8-1)),
""),
"")</f>
        <v>西施</v>
      </c>
      <c r="BU37" s="21" t="str">
        <f>IFERROR(
IF(COUNTIF($BI37:BT37,INDEX($J:$J,MATCH($AF37,$M:$M,0)+BU$8-1))=0,
IF(COUNTIF($M:$M,$AF37)&lt;BU$8,
"",
INDEX($J:$J,MATCH($AF37,$M:$M,0)+BU$8-1)),
""),
"")</f>
        <v/>
      </c>
      <c r="BV37" s="21" t="str">
        <f>IFERROR(
IF(COUNTIF($BI37:BU37,INDEX($J:$J,MATCH($AF37,$M:$M,0)+BV$8-1))=0,
IF(COUNTIF($M:$M,$AF37)&lt;BV$8,
"",
INDEX($J:$J,MATCH($AF37,$M:$M,0)+BV$8-1)),
""),
"")</f>
        <v/>
      </c>
      <c r="BX37" s="21" t="str">
        <f>IFERROR(
IF(COUNTIF($BI37:BW37,INDEX($J:$J,MATCH($AG37,$M:$M,0)+BX$8-1))=0,
IF(COUNTIF($M:$M,$AG37)&lt;BX$8,
"",
INDEX($J:$J,MATCH($AG37,$M:$M,0)+BX$8-1)),
""),
"")</f>
        <v/>
      </c>
      <c r="BY37" s="21" t="str">
        <f>IFERROR(
IF(COUNTIF($BI37:BX37,INDEX($J:$J,MATCH($AG37,$M:$M,0)+BY$8-1))=0,
IF(COUNTIF($M:$M,$AG37)&lt;BY$8,
"",
INDEX($J:$J,MATCH($AG37,$M:$M,0)+BY$8-1)),
""),
"")</f>
        <v/>
      </c>
      <c r="BZ37" s="21" t="str">
        <f>IFERROR(
IF(COUNTIF($BI37:BY37,INDEX($J:$J,MATCH($AG37,$M:$M,0)+BZ$8-1))=0,
IF(COUNTIF($M:$M,$AG37)&lt;BZ$8,
"",
INDEX($J:$J,MATCH($AG37,$M:$M,0)+BZ$8-1)),
""),
"")</f>
        <v/>
      </c>
      <c r="CA37" s="21" t="str">
        <f>IFERROR(
IF(COUNTIF($BI37:BZ37,INDEX($J:$J,MATCH($AG37,$M:$M,0)+CA$8-1))=0,
IF(COUNTIF($M:$M,$AG37)&lt;CA$8,
"",
INDEX($J:$J,MATCH($AG37,$M:$M,0)+CA$8-1)),
""),
"")</f>
        <v/>
      </c>
      <c r="CC37" s="21" t="str">
        <f>IFERROR(
IF(COUNTIF($BI37:CB37,INDEX($J:$J,MATCH($AH37,$M:$M,0)+CC$8-1))=0,
IF(COUNTIF($M:$M,$AH37)&lt;CC$8,
"",
INDEX($J:$J,MATCH($AH37,$M:$M,0)+CC$8-1)),
""),
"")</f>
        <v/>
      </c>
      <c r="CD37" s="21" t="str">
        <f>IFERROR(
IF(COUNTIF($BI37:CC37,INDEX($J:$J,MATCH($AH37,$M:$M,0)+CD$8-1))=0,
IF(COUNTIF($M:$M,$AH37)&lt;CD$8,
"",
INDEX($J:$J,MATCH($AH37,$M:$M,0)+CD$8-1)),
""),
"")</f>
        <v/>
      </c>
      <c r="CE37" s="21" t="str">
        <f>IFERROR(
IF(COUNTIF($BI37:CD37,INDEX($J:$J,MATCH($AH37,$M:$M,0)+CE$8-1))=0,
IF(COUNTIF($M:$M,$AH37)&lt;CE$8,
"",
INDEX($J:$J,MATCH($AH37,$M:$M,0)+CE$8-1)),
""),
"")</f>
        <v/>
      </c>
      <c r="CF37" s="21" t="str">
        <f>IFERROR(
IF(COUNTIF($BI37:CE37,INDEX($J:$J,MATCH($AH37,$M:$M,0)+CF$8-1))=0,
IF(COUNTIF($M:$M,$AH37)&lt;CF$8,
"",
INDEX($J:$J,MATCH($AH37,$M:$M,0)+CF$8-1)),
""),
"")</f>
        <v/>
      </c>
      <c r="CH37" s="21" t="str">
        <f>IFERROR(
IF(COUNTIF($BI37:CG37,INDEX($J:$J,MATCH($AI37,$M:$M,0)+CH$8-1))=0,
IF(COUNTIF($M:$M,$AI37)&lt;CH$8,
"",
INDEX($J:$J,MATCH($AI37,$M:$M,0)+CH$8-1)),
""),
"")</f>
        <v/>
      </c>
      <c r="CI37" s="21" t="str">
        <f>IFERROR(
IF(COUNTIF($BI37:CH37,INDEX($J:$J,MATCH($AI37,$M:$M,0)+CI$8-1))=0,
IF(COUNTIF($M:$M,$AI37)&lt;CI$8,
"",
INDEX($J:$J,MATCH($AI37,$M:$M,0)+CI$8-1)),
""),
"")</f>
        <v/>
      </c>
      <c r="CJ37" s="21" t="str">
        <f>IFERROR(
IF(COUNTIF($BI37:CI37,INDEX($J:$J,MATCH($AI37,$M:$M,0)+CJ$8-1))=0,
IF(COUNTIF($M:$M,$AI37)&lt;CJ$8,
"",
INDEX($J:$J,MATCH($AI37,$M:$M,0)+CJ$8-1)),
""),
"")</f>
        <v/>
      </c>
      <c r="CK37" s="21" t="str">
        <f>IFERROR(
IF(COUNTIF($BI37:CJ37,INDEX($J:$J,MATCH($AI37,$M:$M,0)+CK$8-1))=0,
IF(COUNTIF($M:$M,$AI37)&lt;CK$8,
"",
INDEX($J:$J,MATCH($AI37,$M:$M,0)+CK$8-1)),
""),
"")</f>
        <v/>
      </c>
      <c r="CM37" s="21" t="str">
        <f>IFERROR(
IF(COUNTIF($BI37:CL37,INDEX($J:$J,MATCH($AJ37,$M:$M,0)+CM$8-1))=0,
IF(COUNTIF($M:$M,$AJ37)&lt;CM$8,
"",
INDEX($J:$J,MATCH($AJ37,$M:$M,0)+CM$8-1)),
""),
"")</f>
        <v/>
      </c>
      <c r="CN37" s="21" t="str">
        <f>IFERROR(
IF(COUNTIF($BI37:CM37,INDEX($J:$J,MATCH($AJ37,$M:$M,0)+CN$8-1))=0,
IF(COUNTIF($M:$M,$AJ37)&lt;CN$8,
"",
INDEX($J:$J,MATCH($AJ37,$M:$M,0)+CN$8-1)),
""),
"")</f>
        <v/>
      </c>
      <c r="CO37" s="21" t="str">
        <f>IFERROR(
IF(COUNTIF($BI37:CN37,INDEX($J:$J,MATCH($AJ37,$M:$M,0)+CO$8-1))=0,
IF(COUNTIF($M:$M,$AJ37)&lt;CO$8,
"",
INDEX($J:$J,MATCH($AJ37,$M:$M,0)+CO$8-1)),
""),
"")</f>
        <v/>
      </c>
      <c r="CP37" s="21" t="str">
        <f>IFERROR(
IF(COUNTIF($BI37:CO37,INDEX($J:$J,MATCH($AJ37,$M:$M,0)+CP$8-1))=0,
IF(COUNTIF($M:$M,$AJ37)&lt;CP$8,
"",
INDEX($J:$J,MATCH($AJ37,$M:$M,0)+CP$8-1)),
""),
"")</f>
        <v/>
      </c>
      <c r="CR37" s="21" t="str">
        <f>IFERROR(
IF(COUNTIF($BI37:CQ37,INDEX($J:$J,MATCH($AK37,$M:$M,0)+CR$8-1))=0,
IF(COUNTIF($M:$M,$AK37)&lt;CR$8,
"",
INDEX($J:$J,MATCH($AK37,$M:$M,0)+CR$8-1)),
""),
"")</f>
        <v/>
      </c>
      <c r="CS37" s="21" t="str">
        <f>IFERROR(
IF(COUNTIF($BI37:CR37,INDEX($J:$J,MATCH($AK37,$M:$M,0)+CS$8-1))=0,
IF(COUNTIF($M:$M,$AK37)&lt;CS$8,
"",
INDEX($J:$J,MATCH($AK37,$M:$M,0)+CS$8-1)),
""),
"")</f>
        <v/>
      </c>
      <c r="CT37" s="21" t="str">
        <f>IFERROR(
IF(COUNTIF($BI37:CS37,INDEX($J:$J,MATCH($AK37,$M:$M,0)+CT$8-1))=0,
IF(COUNTIF($M:$M,$AK37)&lt;CT$8,
"",
INDEX($J:$J,MATCH($AK37,$M:$M,0)+CT$8-1)),
""),
"")</f>
        <v/>
      </c>
      <c r="CU37" s="21" t="str">
        <f>IFERROR(
IF(COUNTIF($BI37:CT37,INDEX($J:$J,MATCH($AK37,$M:$M,0)+CU$8-1))=0,
IF(COUNTIF($M:$M,$AK37)&lt;CU$8,
"",
INDEX($J:$J,MATCH($AK37,$M:$M,0)+CU$8-1)),
""),
"")</f>
        <v/>
      </c>
    </row>
    <row r="38" spans="3:99" ht="14.25">
      <c r="C38" s="16">
        <v>30</v>
      </c>
      <c r="D38" s="19" t="s">
        <v>193</v>
      </c>
      <c r="E38" s="20">
        <f>INDEX([1]武将基本资料!$S:$S,MATCH(D38,[1]武将基本资料!$N:$N,0))</f>
        <v>120</v>
      </c>
      <c r="F38" s="20" t="str">
        <f>INDEX([1]武将基本资料!$Q:$Q,MATCH(D38,[1]武将基本资料!$N:$N,0))</f>
        <v>橙</v>
      </c>
      <c r="H38" s="7">
        <f>IF(I38="","",COUNTA(I$9:$I38))</f>
        <v>28</v>
      </c>
      <c r="I38" s="6" t="s">
        <v>161</v>
      </c>
      <c r="J38" s="6" t="s">
        <v>58</v>
      </c>
      <c r="K38" s="8" t="str">
        <f>IF(H38="","",阶段合并区域(J38:J48," ",L38:L48,1))</f>
        <v>钟无艳 项燕</v>
      </c>
      <c r="L38" s="8">
        <f>COUNTIF(M$8:$M38,"="&amp;M38)</f>
        <v>1</v>
      </c>
      <c r="M38" s="9" t="str">
        <f t="shared" si="3"/>
        <v>破秦勇将</v>
      </c>
      <c r="N38" s="9" t="str">
        <f t="shared" si="4"/>
        <v>破秦勇将1</v>
      </c>
      <c r="O38" s="15">
        <f>INDEX(C:C,MATCH(J38,D:D,0))</f>
        <v>29</v>
      </c>
      <c r="P38" s="9">
        <f>INDEX(E:E,MATCH(J38,D:D,0))</f>
        <v>110</v>
      </c>
      <c r="Q38" s="7">
        <f t="shared" si="0"/>
        <v>29</v>
      </c>
      <c r="R38" s="7">
        <f>COUNTIF(J$8:$J38,"="&amp;J38)</f>
        <v>2</v>
      </c>
      <c r="S38" s="7">
        <f t="shared" si="5"/>
        <v>2029</v>
      </c>
      <c r="U38" s="7">
        <f t="shared" si="6"/>
        <v>1030</v>
      </c>
      <c r="V38" s="7">
        <f t="shared" si="6"/>
        <v>2030</v>
      </c>
      <c r="W38" s="7">
        <f t="shared" si="6"/>
        <v>3030</v>
      </c>
      <c r="X38" s="7">
        <f t="shared" si="6"/>
        <v>4030</v>
      </c>
      <c r="Y38" s="7">
        <f t="shared" si="6"/>
        <v>5030</v>
      </c>
      <c r="Z38" s="7">
        <f t="shared" si="6"/>
        <v>6030</v>
      </c>
      <c r="AA38" s="7">
        <f t="shared" si="6"/>
        <v>7030</v>
      </c>
      <c r="AB38" s="7">
        <f t="shared" si="6"/>
        <v>8030</v>
      </c>
      <c r="AD38" s="21" t="str">
        <f>IFERROR(INDEX($M:$M,MATCH(U38,$S:$S,0)),"&amp;")</f>
        <v>合纵攻秦</v>
      </c>
      <c r="AE38" s="21" t="str">
        <f>IFERROR(INDEX($M:$M,MATCH(V38,$S:$S,0)),"&amp;")</f>
        <v>位居相国</v>
      </c>
      <c r="AF38" s="21" t="str">
        <f>IFERROR(INDEX($M:$M,MATCH(W38,$S:$S,0)),"&amp;")</f>
        <v>好客养士</v>
      </c>
      <c r="AG38" s="21" t="str">
        <f>IFERROR(INDEX($M:$M,MATCH(X38,$S:$S,0)),"&amp;")</f>
        <v>才貌双全</v>
      </c>
      <c r="AH38" s="21" t="str">
        <f>IFERROR(INDEX($M:$M,MATCH(Y38,$S:$S,0)),"&amp;")</f>
        <v>生而富贵</v>
      </c>
      <c r="AI38" s="21" t="str">
        <f>IFERROR(INDEX($M:$M,MATCH(Z38,$S:$S,0)),"&amp;")</f>
        <v>&amp;</v>
      </c>
      <c r="AJ38" s="21" t="str">
        <f>IFERROR(INDEX($M:$M,MATCH(AA38,$S:$S,0)),"&amp;")</f>
        <v>&amp;</v>
      </c>
      <c r="AK38" s="21" t="str">
        <f>IFERROR(INDEX($M:$M,MATCH(AB38,$S:$S,0)),"&amp;")</f>
        <v>&amp;</v>
      </c>
      <c r="AM38" s="21" t="str">
        <f>IFERROR(INDEX($N:$N,MATCH(U38,$S:$S,0)),"&amp;")</f>
        <v>合纵攻秦1</v>
      </c>
      <c r="AN38" s="21" t="str">
        <f>IFERROR(INDEX($N:$N,MATCH(V38,$S:$S,0)),"&amp;")</f>
        <v>位居相国1</v>
      </c>
      <c r="AO38" s="21" t="str">
        <f>IFERROR(INDEX($N:$N,MATCH(W38,$S:$S,0)),"&amp;")</f>
        <v>好客养士1</v>
      </c>
      <c r="AP38" s="21" t="str">
        <f>IFERROR(INDEX($N:$N,MATCH(X38,$S:$S,0)),"&amp;")</f>
        <v>才貌双全3</v>
      </c>
      <c r="AQ38" s="21" t="str">
        <f>IFERROR(INDEX($N:$N,MATCH(Y38,$S:$S,0)),"&amp;")</f>
        <v>生而富贵2</v>
      </c>
      <c r="AR38" s="21" t="str">
        <f>IFERROR(INDEX($N:$N,MATCH(Z38,$S:$S,0)),"&amp;")</f>
        <v>&amp;</v>
      </c>
      <c r="AS38" s="21" t="str">
        <f>IFERROR(INDEX($N:$N,MATCH(AA38,$S:$S,0)),"&amp;")</f>
        <v>&amp;</v>
      </c>
      <c r="AT38" s="21" t="str">
        <f>IFERROR(INDEX($N:$N,MATCH(AB38,$S:$S,0)),"&amp;")</f>
        <v>&amp;</v>
      </c>
      <c r="AV38" s="21" t="str">
        <f>IFERROR(SUBSTITUTE(INDEX($K:$K,MATCH(INDEX($M:$M,MATCH(AM38,$N:$N,0)),$M:$M,0)),$D38,""),"")</f>
        <v xml:space="preserve"> 苏秦</v>
      </c>
      <c r="AW38" s="21" t="str">
        <f>IFERROR(SUBSTITUTE(INDEX($K:$K,MATCH(INDEX($M:$M,MATCH(AN38,$N:$N,0)),$M:$M,0)),$D38,""),"")</f>
        <v xml:space="preserve"> 伍子胥</v>
      </c>
      <c r="AX38" s="21" t="str">
        <f>IFERROR(SUBSTITUTE(INDEX($K:$K,MATCH(INDEX($M:$M,MATCH(AO38,$N:$N,0)),$M:$M,0)),$D38,""),"")</f>
        <v xml:space="preserve"> 信陵君 伯乐</v>
      </c>
      <c r="AY38" s="21" t="str">
        <f>IFERROR(SUBSTITUTE(INDEX($K:$K,MATCH(INDEX($M:$M,MATCH(AP38,$N:$N,0)),$M:$M,0)),$D38,""),"")</f>
        <v>虞姬 信陵君  赵括</v>
      </c>
      <c r="AZ38" s="21" t="str">
        <f>IFERROR(SUBSTITUTE(INDEX($K:$K,MATCH(INDEX($M:$M,MATCH(AQ38,$N:$N,0)),$M:$M,0)),$D38,""),"")</f>
        <v xml:space="preserve">陈阿娇 </v>
      </c>
      <c r="BA38" s="21" t="str">
        <f>IFERROR(SUBSTITUTE(INDEX($K:$K,MATCH(INDEX($M:$M,MATCH(AR38,$N:$N,0)),$M:$M,0)),$D38,""),"")</f>
        <v/>
      </c>
      <c r="BB38" s="21" t="str">
        <f>IFERROR(SUBSTITUTE(INDEX($K:$K,MATCH(INDEX($M:$M,MATCH(AS38,$N:$N,0)),$M:$M,0)),$D38,""),"")</f>
        <v/>
      </c>
      <c r="BC38" s="21" t="str">
        <f>IFERROR(SUBSTITUTE(INDEX($K:$K,MATCH(INDEX($M:$M,MATCH(AT38,$N:$N,0)),$M:$M,0)),$D38,""),"")</f>
        <v/>
      </c>
      <c r="BE38" s="9" t="str">
        <f t="shared" si="7"/>
        <v>孟尝君,苏秦,伍子胥,信陵君,伯乐,虞姬,赵括,陈阿娇</v>
      </c>
      <c r="BI38" s="9" t="str">
        <f>IFERROR(
IF(COUNTIF($M:$M,$AD38)&lt;BI$8,
"",
INDEX($J:$J,MATCH($AD38,$M:$M,0)+BI$8-1)),
"")</f>
        <v>孟尝君</v>
      </c>
      <c r="BJ38" s="9" t="str">
        <f>IFERROR(
IF(COUNTIF($M:$M,$AD38)&lt;BJ$8,
"",
INDEX($J:$J,MATCH($AD38,$M:$M,0)+BJ$8-1)),
"")</f>
        <v>苏秦</v>
      </c>
      <c r="BK38" s="9" t="str">
        <f>IFERROR(
IF(COUNTIF($M:$M,$AD38)&lt;BK$8,
"",
INDEX($J:$J,MATCH($AD38,$M:$M,0)+BK$8-1)),
"")</f>
        <v/>
      </c>
      <c r="BL38" s="9" t="str">
        <f>IFERROR(
IF(COUNTIF($M:$M,$AD38)&lt;BL$8,
"",
INDEX($J:$J,MATCH($AD38,$M:$M,0)+BL$8-1)),
"")</f>
        <v/>
      </c>
      <c r="BN38" s="21" t="str">
        <f>IFERROR(
IF(COUNTIF($BI38:BM38,INDEX($J:$J,MATCH($AE38,$M:$M,0)+BN$8-1))=0,
IF(COUNTIF($M:$M,$AE38)&lt;BN$8,
"",
INDEX($J:$J,MATCH($AE38,$M:$M,0)+BN$8-1)),
""),
"")</f>
        <v/>
      </c>
      <c r="BO38" s="21" t="str">
        <f>IFERROR(
IF(COUNTIF($BI38:BN38,INDEX($J:$J,MATCH($AE38,$M:$M,0)+BO$8-1))=0,
IF(COUNTIF($M:$M,$AE38)&lt;BO$8,
"",
INDEX($J:$J,MATCH($AE38,$M:$M,0)+BO$8-1)),
""),
"")</f>
        <v>伍子胥</v>
      </c>
      <c r="BP38" s="21" t="str">
        <f>IFERROR(
IF(COUNTIF($BI38:BO38,INDEX($J:$J,MATCH($AE38,$M:$M,0)+BP$8-1))=0,
IF(COUNTIF($M:$M,$AE38)&lt;BP$8,
"",
INDEX($J:$J,MATCH($AE38,$M:$M,0)+BP$8-1)),
""),
"")</f>
        <v/>
      </c>
      <c r="BQ38" s="21" t="str">
        <f>IFERROR(
IF(COUNTIF($BI38:BP38,INDEX($J:$J,MATCH($AE38,$M:$M,0)+BQ$8-1))=0,
IF(COUNTIF($M:$M,$AE38)&lt;BQ$8,
"",
INDEX($J:$J,MATCH($AE38,$M:$M,0)+BQ$8-1)),
""),
"")</f>
        <v/>
      </c>
      <c r="BS38" s="21" t="str">
        <f>IFERROR(
IF(COUNTIF($BI38:BR38,INDEX($J:$J,MATCH($AF38,$M:$M,0)+BS$8-1))=0,
IF(COUNTIF($M:$M,$AF38)&lt;BS$8,
"",
INDEX($J:$J,MATCH($AF38,$M:$M,0)+BS$8-1)),
""),
"")</f>
        <v/>
      </c>
      <c r="BT38" s="21" t="str">
        <f>IFERROR(
IF(COUNTIF($BI38:BS38,INDEX($J:$J,MATCH($AF38,$M:$M,0)+BT$8-1))=0,
IF(COUNTIF($M:$M,$AF38)&lt;BT$8,
"",
INDEX($J:$J,MATCH($AF38,$M:$M,0)+BT$8-1)),
""),
"")</f>
        <v>信陵君</v>
      </c>
      <c r="BU38" s="21" t="str">
        <f>IFERROR(
IF(COUNTIF($BI38:BT38,INDEX($J:$J,MATCH($AF38,$M:$M,0)+BU$8-1))=0,
IF(COUNTIF($M:$M,$AF38)&lt;BU$8,
"",
INDEX($J:$J,MATCH($AF38,$M:$M,0)+BU$8-1)),
""),
"")</f>
        <v>伯乐</v>
      </c>
      <c r="BV38" s="21" t="str">
        <f>IFERROR(
IF(COUNTIF($BI38:BU38,INDEX($J:$J,MATCH($AF38,$M:$M,0)+BV$8-1))=0,
IF(COUNTIF($M:$M,$AF38)&lt;BV$8,
"",
INDEX($J:$J,MATCH($AF38,$M:$M,0)+BV$8-1)),
""),
"")</f>
        <v/>
      </c>
      <c r="BX38" s="21" t="str">
        <f>IFERROR(
IF(COUNTIF($BI38:BW38,INDEX($J:$J,MATCH($AG38,$M:$M,0)+BX$8-1))=0,
IF(COUNTIF($M:$M,$AG38)&lt;BX$8,
"",
INDEX($J:$J,MATCH($AG38,$M:$M,0)+BX$8-1)),
""),
"")</f>
        <v>虞姬</v>
      </c>
      <c r="BY38" s="21" t="str">
        <f>IFERROR(
IF(COUNTIF($BI38:BX38,INDEX($J:$J,MATCH($AG38,$M:$M,0)+BY$8-1))=0,
IF(COUNTIF($M:$M,$AG38)&lt;BY$8,
"",
INDEX($J:$J,MATCH($AG38,$M:$M,0)+BY$8-1)),
""),
"")</f>
        <v/>
      </c>
      <c r="BZ38" s="21" t="str">
        <f>IFERROR(
IF(COUNTIF($BI38:BY38,INDEX($J:$J,MATCH($AG38,$M:$M,0)+BZ$8-1))=0,
IF(COUNTIF($M:$M,$AG38)&lt;BZ$8,
"",
INDEX($J:$J,MATCH($AG38,$M:$M,0)+BZ$8-1)),
""),
"")</f>
        <v/>
      </c>
      <c r="CA38" s="21" t="str">
        <f>IFERROR(
IF(COUNTIF($BI38:BZ38,INDEX($J:$J,MATCH($AG38,$M:$M,0)+CA$8-1))=0,
IF(COUNTIF($M:$M,$AG38)&lt;CA$8,
"",
INDEX($J:$J,MATCH($AG38,$M:$M,0)+CA$8-1)),
""),
"")</f>
        <v>赵括</v>
      </c>
      <c r="CC38" s="21" t="str">
        <f>IFERROR(
IF(COUNTIF($BI38:CB38,INDEX($J:$J,MATCH($AH38,$M:$M,0)+CC$8-1))=0,
IF(COUNTIF($M:$M,$AH38)&lt;CC$8,
"",
INDEX($J:$J,MATCH($AH38,$M:$M,0)+CC$8-1)),
""),
"")</f>
        <v>陈阿娇</v>
      </c>
      <c r="CD38" s="21" t="str">
        <f>IFERROR(
IF(COUNTIF($BI38:CC38,INDEX($J:$J,MATCH($AH38,$M:$M,0)+CD$8-1))=0,
IF(COUNTIF($M:$M,$AH38)&lt;CD$8,
"",
INDEX($J:$J,MATCH($AH38,$M:$M,0)+CD$8-1)),
""),
"")</f>
        <v/>
      </c>
      <c r="CE38" s="21" t="str">
        <f>IFERROR(
IF(COUNTIF($BI38:CD38,INDEX($J:$J,MATCH($AH38,$M:$M,0)+CE$8-1))=0,
IF(COUNTIF($M:$M,$AH38)&lt;CE$8,
"",
INDEX($J:$J,MATCH($AH38,$M:$M,0)+CE$8-1)),
""),
"")</f>
        <v/>
      </c>
      <c r="CF38" s="21" t="str">
        <f>IFERROR(
IF(COUNTIF($BI38:CE38,INDEX($J:$J,MATCH($AH38,$M:$M,0)+CF$8-1))=0,
IF(COUNTIF($M:$M,$AH38)&lt;CF$8,
"",
INDEX($J:$J,MATCH($AH38,$M:$M,0)+CF$8-1)),
""),
"")</f>
        <v/>
      </c>
      <c r="CH38" s="21" t="str">
        <f>IFERROR(
IF(COUNTIF($BI38:CG38,INDEX($J:$J,MATCH($AI38,$M:$M,0)+CH$8-1))=0,
IF(COUNTIF($M:$M,$AI38)&lt;CH$8,
"",
INDEX($J:$J,MATCH($AI38,$M:$M,0)+CH$8-1)),
""),
"")</f>
        <v/>
      </c>
      <c r="CI38" s="21" t="str">
        <f>IFERROR(
IF(COUNTIF($BI38:CH38,INDEX($J:$J,MATCH($AI38,$M:$M,0)+CI$8-1))=0,
IF(COUNTIF($M:$M,$AI38)&lt;CI$8,
"",
INDEX($J:$J,MATCH($AI38,$M:$M,0)+CI$8-1)),
""),
"")</f>
        <v/>
      </c>
      <c r="CJ38" s="21" t="str">
        <f>IFERROR(
IF(COUNTIF($BI38:CI38,INDEX($J:$J,MATCH($AI38,$M:$M,0)+CJ$8-1))=0,
IF(COUNTIF($M:$M,$AI38)&lt;CJ$8,
"",
INDEX($J:$J,MATCH($AI38,$M:$M,0)+CJ$8-1)),
""),
"")</f>
        <v/>
      </c>
      <c r="CK38" s="21" t="str">
        <f>IFERROR(
IF(COUNTIF($BI38:CJ38,INDEX($J:$J,MATCH($AI38,$M:$M,0)+CK$8-1))=0,
IF(COUNTIF($M:$M,$AI38)&lt;CK$8,
"",
INDEX($J:$J,MATCH($AI38,$M:$M,0)+CK$8-1)),
""),
"")</f>
        <v/>
      </c>
      <c r="CM38" s="21" t="str">
        <f>IFERROR(
IF(COUNTIF($BI38:CL38,INDEX($J:$J,MATCH($AJ38,$M:$M,0)+CM$8-1))=0,
IF(COUNTIF($M:$M,$AJ38)&lt;CM$8,
"",
INDEX($J:$J,MATCH($AJ38,$M:$M,0)+CM$8-1)),
""),
"")</f>
        <v/>
      </c>
      <c r="CN38" s="21" t="str">
        <f>IFERROR(
IF(COUNTIF($BI38:CM38,INDEX($J:$J,MATCH($AJ38,$M:$M,0)+CN$8-1))=0,
IF(COUNTIF($M:$M,$AJ38)&lt;CN$8,
"",
INDEX($J:$J,MATCH($AJ38,$M:$M,0)+CN$8-1)),
""),
"")</f>
        <v/>
      </c>
      <c r="CO38" s="21" t="str">
        <f>IFERROR(
IF(COUNTIF($BI38:CN38,INDEX($J:$J,MATCH($AJ38,$M:$M,0)+CO$8-1))=0,
IF(COUNTIF($M:$M,$AJ38)&lt;CO$8,
"",
INDEX($J:$J,MATCH($AJ38,$M:$M,0)+CO$8-1)),
""),
"")</f>
        <v/>
      </c>
      <c r="CP38" s="21" t="str">
        <f>IFERROR(
IF(COUNTIF($BI38:CO38,INDEX($J:$J,MATCH($AJ38,$M:$M,0)+CP$8-1))=0,
IF(COUNTIF($M:$M,$AJ38)&lt;CP$8,
"",
INDEX($J:$J,MATCH($AJ38,$M:$M,0)+CP$8-1)),
""),
"")</f>
        <v/>
      </c>
      <c r="CR38" s="21" t="str">
        <f>IFERROR(
IF(COUNTIF($BI38:CQ38,INDEX($J:$J,MATCH($AK38,$M:$M,0)+CR$8-1))=0,
IF(COUNTIF($M:$M,$AK38)&lt;CR$8,
"",
INDEX($J:$J,MATCH($AK38,$M:$M,0)+CR$8-1)),
""),
"")</f>
        <v/>
      </c>
      <c r="CS38" s="21" t="str">
        <f>IFERROR(
IF(COUNTIF($BI38:CR38,INDEX($J:$J,MATCH($AK38,$M:$M,0)+CS$8-1))=0,
IF(COUNTIF($M:$M,$AK38)&lt;CS$8,
"",
INDEX($J:$J,MATCH($AK38,$M:$M,0)+CS$8-1)),
""),
"")</f>
        <v/>
      </c>
      <c r="CT38" s="21" t="str">
        <f>IFERROR(
IF(COUNTIF($BI38:CS38,INDEX($J:$J,MATCH($AK38,$M:$M,0)+CT$8-1))=0,
IF(COUNTIF($M:$M,$AK38)&lt;CT$8,
"",
INDEX($J:$J,MATCH($AK38,$M:$M,0)+CT$8-1)),
""),
"")</f>
        <v/>
      </c>
      <c r="CU38" s="21" t="str">
        <f>IFERROR(
IF(COUNTIF($BI38:CT38,INDEX($J:$J,MATCH($AK38,$M:$M,0)+CU$8-1))=0,
IF(COUNTIF($M:$M,$AK38)&lt;CU$8,
"",
INDEX($J:$J,MATCH($AK38,$M:$M,0)+CU$8-1)),
""),
"")</f>
        <v/>
      </c>
    </row>
    <row r="39" spans="3:99" ht="14.25">
      <c r="C39" s="16">
        <v>31</v>
      </c>
      <c r="D39" s="19" t="s">
        <v>69</v>
      </c>
      <c r="E39" s="20">
        <f>INDEX([1]武将基本资料!$S:$S,MATCH(D39,[1]武将基本资料!$N:$N,0))</f>
        <v>130</v>
      </c>
      <c r="F39" s="20" t="str">
        <f>INDEX([1]武将基本资料!$Q:$Q,MATCH(D39,[1]武将基本资料!$N:$N,0))</f>
        <v>橙+</v>
      </c>
      <c r="H39" s="7" t="str">
        <f>IF(I39="","",COUNTA(I$9:$I39))</f>
        <v/>
      </c>
      <c r="I39" s="6" t="s">
        <v>188</v>
      </c>
      <c r="J39" s="6" t="s">
        <v>72</v>
      </c>
      <c r="K39" s="8" t="str">
        <f>IF(H39="","",阶段合并区域(J39:J49," ",L39:L49,1))</f>
        <v/>
      </c>
      <c r="L39" s="8">
        <f>COUNTIF(M$8:$M39,"="&amp;M39)</f>
        <v>2</v>
      </c>
      <c r="M39" s="9" t="str">
        <f t="shared" si="3"/>
        <v>破秦勇将</v>
      </c>
      <c r="N39" s="9" t="str">
        <f t="shared" si="4"/>
        <v>破秦勇将2</v>
      </c>
      <c r="O39" s="15">
        <f>INDEX(C:C,MATCH(J39,D:D,0))</f>
        <v>41</v>
      </c>
      <c r="P39" s="9">
        <f>INDEX(E:E,MATCH(J39,D:D,0))</f>
        <v>120</v>
      </c>
      <c r="Q39" s="7">
        <f t="shared" si="0"/>
        <v>41</v>
      </c>
      <c r="R39" s="7">
        <f>COUNTIF(J$8:$J39,"="&amp;J39)</f>
        <v>1</v>
      </c>
      <c r="S39" s="7">
        <f t="shared" si="5"/>
        <v>1041</v>
      </c>
      <c r="U39" s="7">
        <f t="shared" si="6"/>
        <v>1031</v>
      </c>
      <c r="V39" s="7">
        <f t="shared" si="6"/>
        <v>2031</v>
      </c>
      <c r="W39" s="7">
        <f t="shared" si="6"/>
        <v>3031</v>
      </c>
      <c r="X39" s="7">
        <f t="shared" si="6"/>
        <v>4031</v>
      </c>
      <c r="Y39" s="7">
        <f t="shared" si="6"/>
        <v>5031</v>
      </c>
      <c r="Z39" s="7">
        <f t="shared" si="6"/>
        <v>6031</v>
      </c>
      <c r="AA39" s="7">
        <f t="shared" si="6"/>
        <v>7031</v>
      </c>
      <c r="AB39" s="7">
        <f t="shared" si="6"/>
        <v>8031</v>
      </c>
      <c r="AD39" s="21" t="str">
        <f>IFERROR(INDEX($M:$M,MATCH(U39,$S:$S,0)),"&amp;")</f>
        <v>掌控雷电</v>
      </c>
      <c r="AE39" s="21" t="str">
        <f>IFERROR(INDEX($M:$M,MATCH(V39,$S:$S,0)),"&amp;")</f>
        <v>白发红颜</v>
      </c>
      <c r="AF39" s="21" t="str">
        <f>IFERROR(INDEX($M:$M,MATCH(W39,$S:$S,0)),"&amp;")</f>
        <v>呼风唤雨</v>
      </c>
      <c r="AG39" s="21" t="str">
        <f>IFERROR(INDEX($M:$M,MATCH(X39,$S:$S,0)),"&amp;")</f>
        <v>&amp;</v>
      </c>
      <c r="AH39" s="21" t="str">
        <f>IFERROR(INDEX($M:$M,MATCH(Y39,$S:$S,0)),"&amp;")</f>
        <v>&amp;</v>
      </c>
      <c r="AI39" s="21" t="str">
        <f>IFERROR(INDEX($M:$M,MATCH(Z39,$S:$S,0)),"&amp;")</f>
        <v>&amp;</v>
      </c>
      <c r="AJ39" s="21" t="str">
        <f>IFERROR(INDEX($M:$M,MATCH(AA39,$S:$S,0)),"&amp;")</f>
        <v>&amp;</v>
      </c>
      <c r="AK39" s="21" t="str">
        <f>IFERROR(INDEX($M:$M,MATCH(AB39,$S:$S,0)),"&amp;")</f>
        <v>&amp;</v>
      </c>
      <c r="AM39" s="21" t="str">
        <f>IFERROR(INDEX($N:$N,MATCH(U39,$S:$S,0)),"&amp;")</f>
        <v>掌控雷电1</v>
      </c>
      <c r="AN39" s="21" t="str">
        <f>IFERROR(INDEX($N:$N,MATCH(V39,$S:$S,0)),"&amp;")</f>
        <v>白发红颜1</v>
      </c>
      <c r="AO39" s="21" t="str">
        <f>IFERROR(INDEX($N:$N,MATCH(W39,$S:$S,0)),"&amp;")</f>
        <v>呼风唤雨1</v>
      </c>
      <c r="AP39" s="21" t="str">
        <f>IFERROR(INDEX($N:$N,MATCH(X39,$S:$S,0)),"&amp;")</f>
        <v>&amp;</v>
      </c>
      <c r="AQ39" s="21" t="str">
        <f>IFERROR(INDEX($N:$N,MATCH(Y39,$S:$S,0)),"&amp;")</f>
        <v>&amp;</v>
      </c>
      <c r="AR39" s="21" t="str">
        <f>IFERROR(INDEX($N:$N,MATCH(Z39,$S:$S,0)),"&amp;")</f>
        <v>&amp;</v>
      </c>
      <c r="AS39" s="21" t="str">
        <f>IFERROR(INDEX($N:$N,MATCH(AA39,$S:$S,0)),"&amp;")</f>
        <v>&amp;</v>
      </c>
      <c r="AT39" s="21" t="str">
        <f>IFERROR(INDEX($N:$N,MATCH(AB39,$S:$S,0)),"&amp;")</f>
        <v>&amp;</v>
      </c>
      <c r="AV39" s="21" t="str">
        <f>IFERROR(SUBSTITUTE(INDEX($K:$K,MATCH(INDEX($M:$M,MATCH(AM39,$N:$N,0)),$M:$M,0)),$D39,""),"")</f>
        <v xml:space="preserve"> 吴起 信陵君</v>
      </c>
      <c r="AW39" s="21" t="str">
        <f>IFERROR(SUBSTITUTE(INDEX($K:$K,MATCH(INDEX($M:$M,MATCH(AN39,$N:$N,0)),$M:$M,0)),$D39,""),"")</f>
        <v xml:space="preserve"> 扁鹊</v>
      </c>
      <c r="AX39" s="21" t="str">
        <f>IFERROR(SUBSTITUTE(INDEX($K:$K,MATCH(INDEX($M:$M,MATCH(AO39,$N:$N,0)),$M:$M,0)),$D39,""),"")</f>
        <v xml:space="preserve"> 屈原</v>
      </c>
      <c r="AY39" s="21" t="str">
        <f>IFERROR(SUBSTITUTE(INDEX($K:$K,MATCH(INDEX($M:$M,MATCH(AP39,$N:$N,0)),$M:$M,0)),$D39,""),"")</f>
        <v/>
      </c>
      <c r="AZ39" s="21" t="str">
        <f>IFERROR(SUBSTITUTE(INDEX($K:$K,MATCH(INDEX($M:$M,MATCH(AQ39,$N:$N,0)),$M:$M,0)),$D39,""),"")</f>
        <v/>
      </c>
      <c r="BA39" s="21" t="str">
        <f>IFERROR(SUBSTITUTE(INDEX($K:$K,MATCH(INDEX($M:$M,MATCH(AR39,$N:$N,0)),$M:$M,0)),$D39,""),"")</f>
        <v/>
      </c>
      <c r="BB39" s="21" t="str">
        <f>IFERROR(SUBSTITUTE(INDEX($K:$K,MATCH(INDEX($M:$M,MATCH(AS39,$N:$N,0)),$M:$M,0)),$D39,""),"")</f>
        <v/>
      </c>
      <c r="BC39" s="21" t="str">
        <f>IFERROR(SUBSTITUTE(INDEX($K:$K,MATCH(INDEX($M:$M,MATCH(AT39,$N:$N,0)),$M:$M,0)),$D39,""),"")</f>
        <v/>
      </c>
      <c r="BE39" s="9" t="str">
        <f t="shared" si="7"/>
        <v>邹衍,吴起,信陵君,扁鹊,屈原</v>
      </c>
      <c r="BI39" s="9" t="str">
        <f>IFERROR(
IF(COUNTIF($M:$M,$AD39)&lt;BI$8,
"",
INDEX($J:$J,MATCH($AD39,$M:$M,0)+BI$8-1)),
"")</f>
        <v>邹衍</v>
      </c>
      <c r="BJ39" s="9" t="str">
        <f>IFERROR(
IF(COUNTIF($M:$M,$AD39)&lt;BJ$8,
"",
INDEX($J:$J,MATCH($AD39,$M:$M,0)+BJ$8-1)),
"")</f>
        <v>吴起</v>
      </c>
      <c r="BK39" s="9" t="str">
        <f>IFERROR(
IF(COUNTIF($M:$M,$AD39)&lt;BK$8,
"",
INDEX($J:$J,MATCH($AD39,$M:$M,0)+BK$8-1)),
"")</f>
        <v>信陵君</v>
      </c>
      <c r="BL39" s="9" t="str">
        <f>IFERROR(
IF(COUNTIF($M:$M,$AD39)&lt;BL$8,
"",
INDEX($J:$J,MATCH($AD39,$M:$M,0)+BL$8-1)),
"")</f>
        <v/>
      </c>
      <c r="BN39" s="21" t="str">
        <f>IFERROR(
IF(COUNTIF($BI39:BM39,INDEX($J:$J,MATCH($AE39,$M:$M,0)+BN$8-1))=0,
IF(COUNTIF($M:$M,$AE39)&lt;BN$8,
"",
INDEX($J:$J,MATCH($AE39,$M:$M,0)+BN$8-1)),
""),
"")</f>
        <v/>
      </c>
      <c r="BO39" s="21" t="str">
        <f>IFERROR(
IF(COUNTIF($BI39:BN39,INDEX($J:$J,MATCH($AE39,$M:$M,0)+BO$8-1))=0,
IF(COUNTIF($M:$M,$AE39)&lt;BO$8,
"",
INDEX($J:$J,MATCH($AE39,$M:$M,0)+BO$8-1)),
""),
"")</f>
        <v>扁鹊</v>
      </c>
      <c r="BP39" s="21" t="str">
        <f>IFERROR(
IF(COUNTIF($BI39:BO39,INDEX($J:$J,MATCH($AE39,$M:$M,0)+BP$8-1))=0,
IF(COUNTIF($M:$M,$AE39)&lt;BP$8,
"",
INDEX($J:$J,MATCH($AE39,$M:$M,0)+BP$8-1)),
""),
"")</f>
        <v/>
      </c>
      <c r="BQ39" s="21" t="str">
        <f>IFERROR(
IF(COUNTIF($BI39:BP39,INDEX($J:$J,MATCH($AE39,$M:$M,0)+BQ$8-1))=0,
IF(COUNTIF($M:$M,$AE39)&lt;BQ$8,
"",
INDEX($J:$J,MATCH($AE39,$M:$M,0)+BQ$8-1)),
""),
"")</f>
        <v/>
      </c>
      <c r="BS39" s="21" t="str">
        <f>IFERROR(
IF(COUNTIF($BI39:BR39,INDEX($J:$J,MATCH($AF39,$M:$M,0)+BS$8-1))=0,
IF(COUNTIF($M:$M,$AF39)&lt;BS$8,
"",
INDEX($J:$J,MATCH($AF39,$M:$M,0)+BS$8-1)),
""),
"")</f>
        <v/>
      </c>
      <c r="BT39" s="21" t="str">
        <f>IFERROR(
IF(COUNTIF($BI39:BS39,INDEX($J:$J,MATCH($AF39,$M:$M,0)+BT$8-1))=0,
IF(COUNTIF($M:$M,$AF39)&lt;BT$8,
"",
INDEX($J:$J,MATCH($AF39,$M:$M,0)+BT$8-1)),
""),
"")</f>
        <v>屈原</v>
      </c>
      <c r="BU39" s="21" t="str">
        <f>IFERROR(
IF(COUNTIF($BI39:BT39,INDEX($J:$J,MATCH($AF39,$M:$M,0)+BU$8-1))=0,
IF(COUNTIF($M:$M,$AF39)&lt;BU$8,
"",
INDEX($J:$J,MATCH($AF39,$M:$M,0)+BU$8-1)),
""),
"")</f>
        <v/>
      </c>
      <c r="BV39" s="21" t="str">
        <f>IFERROR(
IF(COUNTIF($BI39:BU39,INDEX($J:$J,MATCH($AF39,$M:$M,0)+BV$8-1))=0,
IF(COUNTIF($M:$M,$AF39)&lt;BV$8,
"",
INDEX($J:$J,MATCH($AF39,$M:$M,0)+BV$8-1)),
""),
"")</f>
        <v/>
      </c>
      <c r="BX39" s="21" t="str">
        <f>IFERROR(
IF(COUNTIF($BI39:BW39,INDEX($J:$J,MATCH($AG39,$M:$M,0)+BX$8-1))=0,
IF(COUNTIF($M:$M,$AG39)&lt;BX$8,
"",
INDEX($J:$J,MATCH($AG39,$M:$M,0)+BX$8-1)),
""),
"")</f>
        <v/>
      </c>
      <c r="BY39" s="21" t="str">
        <f>IFERROR(
IF(COUNTIF($BI39:BX39,INDEX($J:$J,MATCH($AG39,$M:$M,0)+BY$8-1))=0,
IF(COUNTIF($M:$M,$AG39)&lt;BY$8,
"",
INDEX($J:$J,MATCH($AG39,$M:$M,0)+BY$8-1)),
""),
"")</f>
        <v/>
      </c>
      <c r="BZ39" s="21" t="str">
        <f>IFERROR(
IF(COUNTIF($BI39:BY39,INDEX($J:$J,MATCH($AG39,$M:$M,0)+BZ$8-1))=0,
IF(COUNTIF($M:$M,$AG39)&lt;BZ$8,
"",
INDEX($J:$J,MATCH($AG39,$M:$M,0)+BZ$8-1)),
""),
"")</f>
        <v/>
      </c>
      <c r="CA39" s="21" t="str">
        <f>IFERROR(
IF(COUNTIF($BI39:BZ39,INDEX($J:$J,MATCH($AG39,$M:$M,0)+CA$8-1))=0,
IF(COUNTIF($M:$M,$AG39)&lt;CA$8,
"",
INDEX($J:$J,MATCH($AG39,$M:$M,0)+CA$8-1)),
""),
"")</f>
        <v/>
      </c>
      <c r="CC39" s="21" t="str">
        <f>IFERROR(
IF(COUNTIF($BI39:CB39,INDEX($J:$J,MATCH($AH39,$M:$M,0)+CC$8-1))=0,
IF(COUNTIF($M:$M,$AH39)&lt;CC$8,
"",
INDEX($J:$J,MATCH($AH39,$M:$M,0)+CC$8-1)),
""),
"")</f>
        <v/>
      </c>
      <c r="CD39" s="21" t="str">
        <f>IFERROR(
IF(COUNTIF($BI39:CC39,INDEX($J:$J,MATCH($AH39,$M:$M,0)+CD$8-1))=0,
IF(COUNTIF($M:$M,$AH39)&lt;CD$8,
"",
INDEX($J:$J,MATCH($AH39,$M:$M,0)+CD$8-1)),
""),
"")</f>
        <v/>
      </c>
      <c r="CE39" s="21" t="str">
        <f>IFERROR(
IF(COUNTIF($BI39:CD39,INDEX($J:$J,MATCH($AH39,$M:$M,0)+CE$8-1))=0,
IF(COUNTIF($M:$M,$AH39)&lt;CE$8,
"",
INDEX($J:$J,MATCH($AH39,$M:$M,0)+CE$8-1)),
""),
"")</f>
        <v/>
      </c>
      <c r="CF39" s="21" t="str">
        <f>IFERROR(
IF(COUNTIF($BI39:CE39,INDEX($J:$J,MATCH($AH39,$M:$M,0)+CF$8-1))=0,
IF(COUNTIF($M:$M,$AH39)&lt;CF$8,
"",
INDEX($J:$J,MATCH($AH39,$M:$M,0)+CF$8-1)),
""),
"")</f>
        <v/>
      </c>
      <c r="CH39" s="21" t="str">
        <f>IFERROR(
IF(COUNTIF($BI39:CG39,INDEX($J:$J,MATCH($AI39,$M:$M,0)+CH$8-1))=0,
IF(COUNTIF($M:$M,$AI39)&lt;CH$8,
"",
INDEX($J:$J,MATCH($AI39,$M:$M,0)+CH$8-1)),
""),
"")</f>
        <v/>
      </c>
      <c r="CI39" s="21" t="str">
        <f>IFERROR(
IF(COUNTIF($BI39:CH39,INDEX($J:$J,MATCH($AI39,$M:$M,0)+CI$8-1))=0,
IF(COUNTIF($M:$M,$AI39)&lt;CI$8,
"",
INDEX($J:$J,MATCH($AI39,$M:$M,0)+CI$8-1)),
""),
"")</f>
        <v/>
      </c>
      <c r="CJ39" s="21" t="str">
        <f>IFERROR(
IF(COUNTIF($BI39:CI39,INDEX($J:$J,MATCH($AI39,$M:$M,0)+CJ$8-1))=0,
IF(COUNTIF($M:$M,$AI39)&lt;CJ$8,
"",
INDEX($J:$J,MATCH($AI39,$M:$M,0)+CJ$8-1)),
""),
"")</f>
        <v/>
      </c>
      <c r="CK39" s="21" t="str">
        <f>IFERROR(
IF(COUNTIF($BI39:CJ39,INDEX($J:$J,MATCH($AI39,$M:$M,0)+CK$8-1))=0,
IF(COUNTIF($M:$M,$AI39)&lt;CK$8,
"",
INDEX($J:$J,MATCH($AI39,$M:$M,0)+CK$8-1)),
""),
"")</f>
        <v/>
      </c>
      <c r="CM39" s="21" t="str">
        <f>IFERROR(
IF(COUNTIF($BI39:CL39,INDEX($J:$J,MATCH($AJ39,$M:$M,0)+CM$8-1))=0,
IF(COUNTIF($M:$M,$AJ39)&lt;CM$8,
"",
INDEX($J:$J,MATCH($AJ39,$M:$M,0)+CM$8-1)),
""),
"")</f>
        <v/>
      </c>
      <c r="CN39" s="21" t="str">
        <f>IFERROR(
IF(COUNTIF($BI39:CM39,INDEX($J:$J,MATCH($AJ39,$M:$M,0)+CN$8-1))=0,
IF(COUNTIF($M:$M,$AJ39)&lt;CN$8,
"",
INDEX($J:$J,MATCH($AJ39,$M:$M,0)+CN$8-1)),
""),
"")</f>
        <v/>
      </c>
      <c r="CO39" s="21" t="str">
        <f>IFERROR(
IF(COUNTIF($BI39:CN39,INDEX($J:$J,MATCH($AJ39,$M:$M,0)+CO$8-1))=0,
IF(COUNTIF($M:$M,$AJ39)&lt;CO$8,
"",
INDEX($J:$J,MATCH($AJ39,$M:$M,0)+CO$8-1)),
""),
"")</f>
        <v/>
      </c>
      <c r="CP39" s="21" t="str">
        <f>IFERROR(
IF(COUNTIF($BI39:CO39,INDEX($J:$J,MATCH($AJ39,$M:$M,0)+CP$8-1))=0,
IF(COUNTIF($M:$M,$AJ39)&lt;CP$8,
"",
INDEX($J:$J,MATCH($AJ39,$M:$M,0)+CP$8-1)),
""),
"")</f>
        <v/>
      </c>
      <c r="CR39" s="21" t="str">
        <f>IFERROR(
IF(COUNTIF($BI39:CQ39,INDEX($J:$J,MATCH($AK39,$M:$M,0)+CR$8-1))=0,
IF(COUNTIF($M:$M,$AK39)&lt;CR$8,
"",
INDEX($J:$J,MATCH($AK39,$M:$M,0)+CR$8-1)),
""),
"")</f>
        <v/>
      </c>
      <c r="CS39" s="21" t="str">
        <f>IFERROR(
IF(COUNTIF($BI39:CR39,INDEX($J:$J,MATCH($AK39,$M:$M,0)+CS$8-1))=0,
IF(COUNTIF($M:$M,$AK39)&lt;CS$8,
"",
INDEX($J:$J,MATCH($AK39,$M:$M,0)+CS$8-1)),
""),
"")</f>
        <v/>
      </c>
      <c r="CT39" s="21" t="str">
        <f>IFERROR(
IF(COUNTIF($BI39:CS39,INDEX($J:$J,MATCH($AK39,$M:$M,0)+CT$8-1))=0,
IF(COUNTIF($M:$M,$AK39)&lt;CT$8,
"",
INDEX($J:$J,MATCH($AK39,$M:$M,0)+CT$8-1)),
""),
"")</f>
        <v/>
      </c>
      <c r="CU39" s="21" t="str">
        <f>IFERROR(
IF(COUNTIF($BI39:CT39,INDEX($J:$J,MATCH($AK39,$M:$M,0)+CU$8-1))=0,
IF(COUNTIF($M:$M,$AK39)&lt;CU$8,
"",
INDEX($J:$J,MATCH($AK39,$M:$M,0)+CU$8-1)),
""),
"")</f>
        <v/>
      </c>
    </row>
    <row r="40" spans="3:99" ht="14.25">
      <c r="C40" s="16">
        <v>32</v>
      </c>
      <c r="D40" s="19" t="s">
        <v>67</v>
      </c>
      <c r="E40" s="20">
        <f>INDEX([1]武将基本资料!$S:$S,MATCH(D40,[1]武将基本资料!$N:$N,0))</f>
        <v>120</v>
      </c>
      <c r="F40" s="20" t="str">
        <f>INDEX([1]武将基本资料!$Q:$Q,MATCH(D40,[1]武将基本资料!$N:$N,0))</f>
        <v>橙</v>
      </c>
      <c r="H40" s="7">
        <f>IF(I40="","",COUNTA(I$9:$I40))</f>
        <v>30</v>
      </c>
      <c r="I40" s="6" t="s">
        <v>151</v>
      </c>
      <c r="J40" s="6" t="s">
        <v>59</v>
      </c>
      <c r="K40" s="8" t="str">
        <f>IF(H40="","",阶段合并区域(J40:J50," ",L40:L50,1))</f>
        <v>田单 申不害 司马穰苴</v>
      </c>
      <c r="L40" s="8">
        <f>COUNTIF(M$8:$M40,"="&amp;M40)</f>
        <v>1</v>
      </c>
      <c r="M40" s="9" t="str">
        <f t="shared" si="3"/>
        <v>御敌于国</v>
      </c>
      <c r="N40" s="9" t="str">
        <f t="shared" si="4"/>
        <v>御敌于国1</v>
      </c>
      <c r="O40" s="15">
        <f>INDEX(C:C,MATCH(J40,D:D,0))</f>
        <v>16</v>
      </c>
      <c r="P40" s="9">
        <f>INDEX(E:E,MATCH(J40,D:D,0))</f>
        <v>120</v>
      </c>
      <c r="Q40" s="7">
        <f t="shared" si="0"/>
        <v>16</v>
      </c>
      <c r="R40" s="7">
        <f>COUNTIF(J$8:$J40,"="&amp;J40)</f>
        <v>2</v>
      </c>
      <c r="S40" s="7">
        <f t="shared" si="5"/>
        <v>2016</v>
      </c>
      <c r="U40" s="7">
        <f t="shared" si="6"/>
        <v>1032</v>
      </c>
      <c r="V40" s="7">
        <f t="shared" si="6"/>
        <v>2032</v>
      </c>
      <c r="W40" s="7">
        <f t="shared" si="6"/>
        <v>3032</v>
      </c>
      <c r="X40" s="7">
        <f t="shared" si="6"/>
        <v>4032</v>
      </c>
      <c r="Y40" s="7">
        <f t="shared" si="6"/>
        <v>5032</v>
      </c>
      <c r="Z40" s="7">
        <f t="shared" si="6"/>
        <v>6032</v>
      </c>
      <c r="AA40" s="7">
        <f t="shared" si="6"/>
        <v>7032</v>
      </c>
      <c r="AB40" s="7">
        <f t="shared" si="6"/>
        <v>8032</v>
      </c>
      <c r="AD40" s="21" t="str">
        <f>IFERROR(INDEX($M:$M,MATCH(U40,$S:$S,0)),"&amp;")</f>
        <v>百业翘楚</v>
      </c>
      <c r="AE40" s="21" t="str">
        <f>IFERROR(INDEX($M:$M,MATCH(V40,$S:$S,0)),"&amp;")</f>
        <v>颠沛流离</v>
      </c>
      <c r="AF40" s="21" t="str">
        <f>IFERROR(INDEX($M:$M,MATCH(W40,$S:$S,0)),"&amp;")</f>
        <v>老当益壮</v>
      </c>
      <c r="AG40" s="21" t="str">
        <f>IFERROR(INDEX($M:$M,MATCH(X40,$S:$S,0)),"&amp;")</f>
        <v>出类拔萃</v>
      </c>
      <c r="AH40" s="21" t="str">
        <f>IFERROR(INDEX($M:$M,MATCH(Y40,$S:$S,0)),"&amp;")</f>
        <v>出类拔粹</v>
      </c>
      <c r="AI40" s="21" t="str">
        <f>IFERROR(INDEX($M:$M,MATCH(Z40,$S:$S,0)),"&amp;")</f>
        <v>缓急相济</v>
      </c>
      <c r="AJ40" s="21" t="str">
        <f>IFERROR(INDEX($M:$M,MATCH(AA40,$S:$S,0)),"&amp;")</f>
        <v>白发红颜</v>
      </c>
      <c r="AK40" s="21" t="str">
        <f>IFERROR(INDEX($M:$M,MATCH(AB40,$S:$S,0)),"&amp;")</f>
        <v>技惊当世</v>
      </c>
      <c r="AM40" s="21" t="str">
        <f>IFERROR(INDEX($N:$N,MATCH(U40,$S:$S,0)),"&amp;")</f>
        <v>百业翘楚3</v>
      </c>
      <c r="AN40" s="21" t="str">
        <f>IFERROR(INDEX($N:$N,MATCH(V40,$S:$S,0)),"&amp;")</f>
        <v>颠沛流离1</v>
      </c>
      <c r="AO40" s="21" t="str">
        <f>IFERROR(INDEX($N:$N,MATCH(W40,$S:$S,0)),"&amp;")</f>
        <v>老当益壮4</v>
      </c>
      <c r="AP40" s="21" t="str">
        <f>IFERROR(INDEX($N:$N,MATCH(X40,$S:$S,0)),"&amp;")</f>
        <v>出类拔萃2</v>
      </c>
      <c r="AQ40" s="21" t="str">
        <f>IFERROR(INDEX($N:$N,MATCH(Y40,$S:$S,0)),"&amp;")</f>
        <v>出类拔粹2</v>
      </c>
      <c r="AR40" s="21" t="str">
        <f>IFERROR(INDEX($N:$N,MATCH(Z40,$S:$S,0)),"&amp;")</f>
        <v>缓急相济3</v>
      </c>
      <c r="AS40" s="21" t="str">
        <f>IFERROR(INDEX($N:$N,MATCH(AA40,$S:$S,0)),"&amp;")</f>
        <v>白发红颜2</v>
      </c>
      <c r="AT40" s="21" t="str">
        <f>IFERROR(INDEX($N:$N,MATCH(AB40,$S:$S,0)),"&amp;")</f>
        <v>技惊当世3</v>
      </c>
      <c r="AV40" s="21" t="str">
        <f>IFERROR(SUBSTITUTE(INDEX($K:$K,MATCH(INDEX($M:$M,MATCH(AM40,$N:$N,0)),$M:$M,0)),$D40,""),"")</f>
        <v xml:space="preserve">欧冶子 伯乐 </v>
      </c>
      <c r="AW40" s="21" t="str">
        <f>IFERROR(SUBSTITUTE(INDEX($K:$K,MATCH(INDEX($M:$M,MATCH(AN40,$N:$N,0)),$M:$M,0)),$D40,""),"")</f>
        <v xml:space="preserve"> 苏秦</v>
      </c>
      <c r="AX40" s="21" t="str">
        <f>IFERROR(SUBSTITUTE(INDEX($K:$K,MATCH(INDEX($M:$M,MATCH(AO40,$N:$N,0)),$M:$M,0)),$D40,""),"")</f>
        <v xml:space="preserve">廉颇 伍子胥 司马错 </v>
      </c>
      <c r="AY40" s="21" t="str">
        <f>IFERROR(SUBSTITUTE(INDEX($K:$K,MATCH(INDEX($M:$M,MATCH(AP40,$N:$N,0)),$M:$M,0)),$D40,""),"")</f>
        <v>墨子  伯乐 欧冶子</v>
      </c>
      <c r="AZ40" s="21" t="str">
        <f>IFERROR(SUBSTITUTE(INDEX($K:$K,MATCH(INDEX($M:$M,MATCH(AQ40,$N:$N,0)),$M:$M,0)),$D40,""),"")</f>
        <v xml:space="preserve">鲁班 </v>
      </c>
      <c r="BA40" s="21" t="str">
        <f>IFERROR(SUBSTITUTE(INDEX($K:$K,MATCH(INDEX($M:$M,MATCH(AR40,$N:$N,0)),$M:$M,0)),$D40,""),"")</f>
        <v xml:space="preserve">弄玉 西施 </v>
      </c>
      <c r="BB40" s="21" t="str">
        <f>IFERROR(SUBSTITUTE(INDEX($K:$K,MATCH(INDEX($M:$M,MATCH(AS40,$N:$N,0)),$M:$M,0)),$D40,""),"")</f>
        <v xml:space="preserve">邹衍 </v>
      </c>
      <c r="BC40" s="21" t="str">
        <f>IFERROR(SUBSTITUTE(INDEX($K:$K,MATCH(INDEX($M:$M,MATCH(AT40,$N:$N,0)),$M:$M,0)),$D40,""),"")</f>
        <v xml:space="preserve">养由基 鲁班 </v>
      </c>
      <c r="BE40" s="9" t="str">
        <f t="shared" si="7"/>
        <v>欧冶子,伯乐,扁鹊,苏秦,廉颇,伍子胥,司马错,墨子,鲁班,弄玉,西施,邹衍,养由基</v>
      </c>
      <c r="BI40" s="9" t="str">
        <f>IFERROR(
IF(COUNTIF($M:$M,$AD40)&lt;BI$8,
"",
INDEX($J:$J,MATCH($AD40,$M:$M,0)+BI$8-1)),
"")</f>
        <v>欧冶子</v>
      </c>
      <c r="BJ40" s="9" t="str">
        <f>IFERROR(
IF(COUNTIF($M:$M,$AD40)&lt;BJ$8,
"",
INDEX($J:$J,MATCH($AD40,$M:$M,0)+BJ$8-1)),
"")</f>
        <v>伯乐</v>
      </c>
      <c r="BK40" s="9" t="str">
        <f>IFERROR(
IF(COUNTIF($M:$M,$AD40)&lt;BK$8,
"",
INDEX($J:$J,MATCH($AD40,$M:$M,0)+BK$8-1)),
"")</f>
        <v>扁鹊</v>
      </c>
      <c r="BL40" s="9" t="str">
        <f>IFERROR(
IF(COUNTIF($M:$M,$AD40)&lt;BL$8,
"",
INDEX($J:$J,MATCH($AD40,$M:$M,0)+BL$8-1)),
"")</f>
        <v/>
      </c>
      <c r="BN40" s="21" t="str">
        <f>IFERROR(
IF(COUNTIF($BI40:BM40,INDEX($J:$J,MATCH($AE40,$M:$M,0)+BN$8-1))=0,
IF(COUNTIF($M:$M,$AE40)&lt;BN$8,
"",
INDEX($J:$J,MATCH($AE40,$M:$M,0)+BN$8-1)),
""),
"")</f>
        <v/>
      </c>
      <c r="BO40" s="21" t="str">
        <f>IFERROR(
IF(COUNTIF($BI40:BN40,INDEX($J:$J,MATCH($AE40,$M:$M,0)+BO$8-1))=0,
IF(COUNTIF($M:$M,$AE40)&lt;BO$8,
"",
INDEX($J:$J,MATCH($AE40,$M:$M,0)+BO$8-1)),
""),
"")</f>
        <v>苏秦</v>
      </c>
      <c r="BP40" s="21" t="str">
        <f>IFERROR(
IF(COUNTIF($BI40:BO40,INDEX($J:$J,MATCH($AE40,$M:$M,0)+BP$8-1))=0,
IF(COUNTIF($M:$M,$AE40)&lt;BP$8,
"",
INDEX($J:$J,MATCH($AE40,$M:$M,0)+BP$8-1)),
""),
"")</f>
        <v/>
      </c>
      <c r="BQ40" s="21" t="str">
        <f>IFERROR(
IF(COUNTIF($BI40:BP40,INDEX($J:$J,MATCH($AE40,$M:$M,0)+BQ$8-1))=0,
IF(COUNTIF($M:$M,$AE40)&lt;BQ$8,
"",
INDEX($J:$J,MATCH($AE40,$M:$M,0)+BQ$8-1)),
""),
"")</f>
        <v/>
      </c>
      <c r="BS40" s="21" t="str">
        <f>IFERROR(
IF(COUNTIF($BI40:BR40,INDEX($J:$J,MATCH($AF40,$M:$M,0)+BS$8-1))=0,
IF(COUNTIF($M:$M,$AF40)&lt;BS$8,
"",
INDEX($J:$J,MATCH($AF40,$M:$M,0)+BS$8-1)),
""),
"")</f>
        <v>廉颇</v>
      </c>
      <c r="BT40" s="21" t="str">
        <f>IFERROR(
IF(COUNTIF($BI40:BS40,INDEX($J:$J,MATCH($AF40,$M:$M,0)+BT$8-1))=0,
IF(COUNTIF($M:$M,$AF40)&lt;BT$8,
"",
INDEX($J:$J,MATCH($AF40,$M:$M,0)+BT$8-1)),
""),
"")</f>
        <v>伍子胥</v>
      </c>
      <c r="BU40" s="21" t="str">
        <f>IFERROR(
IF(COUNTIF($BI40:BT40,INDEX($J:$J,MATCH($AF40,$M:$M,0)+BU$8-1))=0,
IF(COUNTIF($M:$M,$AF40)&lt;BU$8,
"",
INDEX($J:$J,MATCH($AF40,$M:$M,0)+BU$8-1)),
""),
"")</f>
        <v>司马错</v>
      </c>
      <c r="BV40" s="21" t="str">
        <f>IFERROR(
IF(COUNTIF($BI40:BU40,INDEX($J:$J,MATCH($AF40,$M:$M,0)+BV$8-1))=0,
IF(COUNTIF($M:$M,$AF40)&lt;BV$8,
"",
INDEX($J:$J,MATCH($AF40,$M:$M,0)+BV$8-1)),
""),
"")</f>
        <v/>
      </c>
      <c r="BX40" s="21" t="str">
        <f>IFERROR(
IF(COUNTIF($BI40:BW40,INDEX($J:$J,MATCH($AG40,$M:$M,0)+BX$8-1))=0,
IF(COUNTIF($M:$M,$AG40)&lt;BX$8,
"",
INDEX($J:$J,MATCH($AG40,$M:$M,0)+BX$8-1)),
""),
"")</f>
        <v>墨子</v>
      </c>
      <c r="BY40" s="21" t="str">
        <f>IFERROR(
IF(COUNTIF($BI40:BX40,INDEX($J:$J,MATCH($AG40,$M:$M,0)+BY$8-1))=0,
IF(COUNTIF($M:$M,$AG40)&lt;BY$8,
"",
INDEX($J:$J,MATCH($AG40,$M:$M,0)+BY$8-1)),
""),
"")</f>
        <v/>
      </c>
      <c r="BZ40" s="21" t="str">
        <f>IFERROR(
IF(COUNTIF($BI40:BY40,INDEX($J:$J,MATCH($AG40,$M:$M,0)+BZ$8-1))=0,
IF(COUNTIF($M:$M,$AG40)&lt;BZ$8,
"",
INDEX($J:$J,MATCH($AG40,$M:$M,0)+BZ$8-1)),
""),
"")</f>
        <v/>
      </c>
      <c r="CA40" s="21" t="str">
        <f>IFERROR(
IF(COUNTIF($BI40:BZ40,INDEX($J:$J,MATCH($AG40,$M:$M,0)+CA$8-1))=0,
IF(COUNTIF($M:$M,$AG40)&lt;CA$8,
"",
INDEX($J:$J,MATCH($AG40,$M:$M,0)+CA$8-1)),
""),
"")</f>
        <v/>
      </c>
      <c r="CC40" s="21" t="str">
        <f>IFERROR(
IF(COUNTIF($BI40:CB40,INDEX($J:$J,MATCH($AH40,$M:$M,0)+CC$8-1))=0,
IF(COUNTIF($M:$M,$AH40)&lt;CC$8,
"",
INDEX($J:$J,MATCH($AH40,$M:$M,0)+CC$8-1)),
""),
"")</f>
        <v>鲁班</v>
      </c>
      <c r="CD40" s="21" t="str">
        <f>IFERROR(
IF(COUNTIF($BI40:CC40,INDEX($J:$J,MATCH($AH40,$M:$M,0)+CD$8-1))=0,
IF(COUNTIF($M:$M,$AH40)&lt;CD$8,
"",
INDEX($J:$J,MATCH($AH40,$M:$M,0)+CD$8-1)),
""),
"")</f>
        <v/>
      </c>
      <c r="CE40" s="21" t="str">
        <f>IFERROR(
IF(COUNTIF($BI40:CD40,INDEX($J:$J,MATCH($AH40,$M:$M,0)+CE$8-1))=0,
IF(COUNTIF($M:$M,$AH40)&lt;CE$8,
"",
INDEX($J:$J,MATCH($AH40,$M:$M,0)+CE$8-1)),
""),
"")</f>
        <v/>
      </c>
      <c r="CF40" s="21" t="str">
        <f>IFERROR(
IF(COUNTIF($BI40:CE40,INDEX($J:$J,MATCH($AH40,$M:$M,0)+CF$8-1))=0,
IF(COUNTIF($M:$M,$AH40)&lt;CF$8,
"",
INDEX($J:$J,MATCH($AH40,$M:$M,0)+CF$8-1)),
""),
"")</f>
        <v/>
      </c>
      <c r="CH40" s="21" t="str">
        <f>IFERROR(
IF(COUNTIF($BI40:CG40,INDEX($J:$J,MATCH($AI40,$M:$M,0)+CH$8-1))=0,
IF(COUNTIF($M:$M,$AI40)&lt;CH$8,
"",
INDEX($J:$J,MATCH($AI40,$M:$M,0)+CH$8-1)),
""),
"")</f>
        <v>弄玉</v>
      </c>
      <c r="CI40" s="21" t="str">
        <f>IFERROR(
IF(COUNTIF($BI40:CH40,INDEX($J:$J,MATCH($AI40,$M:$M,0)+CI$8-1))=0,
IF(COUNTIF($M:$M,$AI40)&lt;CI$8,
"",
INDEX($J:$J,MATCH($AI40,$M:$M,0)+CI$8-1)),
""),
"")</f>
        <v>西施</v>
      </c>
      <c r="CJ40" s="21" t="str">
        <f>IFERROR(
IF(COUNTIF($BI40:CI40,INDEX($J:$J,MATCH($AI40,$M:$M,0)+CJ$8-1))=0,
IF(COUNTIF($M:$M,$AI40)&lt;CJ$8,
"",
INDEX($J:$J,MATCH($AI40,$M:$M,0)+CJ$8-1)),
""),
"")</f>
        <v/>
      </c>
      <c r="CK40" s="21" t="str">
        <f>IFERROR(
IF(COUNTIF($BI40:CJ40,INDEX($J:$J,MATCH($AI40,$M:$M,0)+CK$8-1))=0,
IF(COUNTIF($M:$M,$AI40)&lt;CK$8,
"",
INDEX($J:$J,MATCH($AI40,$M:$M,0)+CK$8-1)),
""),
"")</f>
        <v/>
      </c>
      <c r="CM40" s="21" t="str">
        <f>IFERROR(
IF(COUNTIF($BI40:CL40,INDEX($J:$J,MATCH($AJ40,$M:$M,0)+CM$8-1))=0,
IF(COUNTIF($M:$M,$AJ40)&lt;CM$8,
"",
INDEX($J:$J,MATCH($AJ40,$M:$M,0)+CM$8-1)),
""),
"")</f>
        <v>邹衍</v>
      </c>
      <c r="CN40" s="21" t="str">
        <f>IFERROR(
IF(COUNTIF($BI40:CM40,INDEX($J:$J,MATCH($AJ40,$M:$M,0)+CN$8-1))=0,
IF(COUNTIF($M:$M,$AJ40)&lt;CN$8,
"",
INDEX($J:$J,MATCH($AJ40,$M:$M,0)+CN$8-1)),
""),
"")</f>
        <v/>
      </c>
      <c r="CO40" s="21" t="str">
        <f>IFERROR(
IF(COUNTIF($BI40:CN40,INDEX($J:$J,MATCH($AJ40,$M:$M,0)+CO$8-1))=0,
IF(COUNTIF($M:$M,$AJ40)&lt;CO$8,
"",
INDEX($J:$J,MATCH($AJ40,$M:$M,0)+CO$8-1)),
""),
"")</f>
        <v/>
      </c>
      <c r="CP40" s="21" t="str">
        <f>IFERROR(
IF(COUNTIF($BI40:CO40,INDEX($J:$J,MATCH($AJ40,$M:$M,0)+CP$8-1))=0,
IF(COUNTIF($M:$M,$AJ40)&lt;CP$8,
"",
INDEX($J:$J,MATCH($AJ40,$M:$M,0)+CP$8-1)),
""),
"")</f>
        <v/>
      </c>
      <c r="CR40" s="21" t="str">
        <f>IFERROR(
IF(COUNTIF($BI40:CQ40,INDEX($J:$J,MATCH($AK40,$M:$M,0)+CR$8-1))=0,
IF(COUNTIF($M:$M,$AK40)&lt;CR$8,
"",
INDEX($J:$J,MATCH($AK40,$M:$M,0)+CR$8-1)),
""),
"")</f>
        <v>养由基</v>
      </c>
      <c r="CS40" s="21" t="str">
        <f>IFERROR(
IF(COUNTIF($BI40:CR40,INDEX($J:$J,MATCH($AK40,$M:$M,0)+CS$8-1))=0,
IF(COUNTIF($M:$M,$AK40)&lt;CS$8,
"",
INDEX($J:$J,MATCH($AK40,$M:$M,0)+CS$8-1)),
""),
"")</f>
        <v/>
      </c>
      <c r="CT40" s="21" t="str">
        <f>IFERROR(
IF(COUNTIF($BI40:CS40,INDEX($J:$J,MATCH($AK40,$M:$M,0)+CT$8-1))=0,
IF(COUNTIF($M:$M,$AK40)&lt;CT$8,
"",
INDEX($J:$J,MATCH($AK40,$M:$M,0)+CT$8-1)),
""),
"")</f>
        <v/>
      </c>
      <c r="CU40" s="21" t="str">
        <f>IFERROR(
IF(COUNTIF($BI40:CT40,INDEX($J:$J,MATCH($AK40,$M:$M,0)+CU$8-1))=0,
IF(COUNTIF($M:$M,$AK40)&lt;CU$8,
"",
INDEX($J:$J,MATCH($AK40,$M:$M,0)+CU$8-1)),
""),
"")</f>
        <v/>
      </c>
    </row>
    <row r="41" spans="3:99" ht="14.25">
      <c r="C41" s="16">
        <v>33</v>
      </c>
      <c r="D41" s="19" t="s">
        <v>75</v>
      </c>
      <c r="E41" s="20">
        <f>INDEX([1]武将基本资料!$S:$S,MATCH(D41,[1]武将基本资料!$N:$N,0))</f>
        <v>110</v>
      </c>
      <c r="F41" s="20" t="str">
        <f>INDEX([1]武将基本资料!$Q:$Q,MATCH(D41,[1]武将基本资料!$N:$N,0))</f>
        <v>紫</v>
      </c>
      <c r="H41" s="7" t="str">
        <f>IF(I41="","",COUNTA(I$9:$I41))</f>
        <v/>
      </c>
      <c r="I41" s="6" t="s">
        <v>188</v>
      </c>
      <c r="J41" s="6" t="s">
        <v>112</v>
      </c>
      <c r="K41" s="8" t="str">
        <f>IF(H41="","",阶段合并区域(J41:J51," ",L41:L51,1))</f>
        <v/>
      </c>
      <c r="L41" s="8">
        <f>COUNTIF(M$8:$M41,"="&amp;M41)</f>
        <v>2</v>
      </c>
      <c r="M41" s="9" t="str">
        <f t="shared" si="3"/>
        <v>御敌于国</v>
      </c>
      <c r="N41" s="9" t="str">
        <f t="shared" si="4"/>
        <v>御敌于国2</v>
      </c>
      <c r="O41" s="15">
        <f>INDEX(C:C,MATCH(J41,D:D,0))</f>
        <v>54</v>
      </c>
      <c r="P41" s="9">
        <f>INDEX(E:E,MATCH(J41,D:D,0))</f>
        <v>120</v>
      </c>
      <c r="Q41" s="7">
        <f t="shared" si="0"/>
        <v>54</v>
      </c>
      <c r="R41" s="7">
        <f>COUNTIF(J$8:$J41,"="&amp;J41)</f>
        <v>1</v>
      </c>
      <c r="S41" s="7">
        <f t="shared" si="5"/>
        <v>1054</v>
      </c>
      <c r="U41" s="7">
        <f t="shared" si="6"/>
        <v>1033</v>
      </c>
      <c r="V41" s="7">
        <f t="shared" si="6"/>
        <v>2033</v>
      </c>
      <c r="W41" s="7">
        <f t="shared" si="6"/>
        <v>3033</v>
      </c>
      <c r="X41" s="7">
        <f t="shared" si="6"/>
        <v>4033</v>
      </c>
      <c r="Y41" s="7">
        <f t="shared" si="6"/>
        <v>5033</v>
      </c>
      <c r="Z41" s="7">
        <f t="shared" si="6"/>
        <v>6033</v>
      </c>
      <c r="AA41" s="7">
        <f t="shared" si="6"/>
        <v>7033</v>
      </c>
      <c r="AB41" s="7">
        <f t="shared" si="6"/>
        <v>8033</v>
      </c>
      <c r="AD41" s="21" t="str">
        <f>IFERROR(INDEX($M:$M,MATCH(U41,$S:$S,0)),"&amp;")</f>
        <v>田忌赛马</v>
      </c>
      <c r="AE41" s="21" t="str">
        <f>IFERROR(INDEX($M:$M,MATCH(V41,$S:$S,0)),"&amp;")</f>
        <v>齐国宗室</v>
      </c>
      <c r="AF41" s="21" t="str">
        <f>IFERROR(INDEX($M:$M,MATCH(W41,$S:$S,0)),"&amp;")</f>
        <v>&amp;</v>
      </c>
      <c r="AG41" s="21" t="str">
        <f>IFERROR(INDEX($M:$M,MATCH(X41,$S:$S,0)),"&amp;")</f>
        <v>&amp;</v>
      </c>
      <c r="AH41" s="21" t="str">
        <f>IFERROR(INDEX($M:$M,MATCH(Y41,$S:$S,0)),"&amp;")</f>
        <v>&amp;</v>
      </c>
      <c r="AI41" s="21" t="str">
        <f>IFERROR(INDEX($M:$M,MATCH(Z41,$S:$S,0)),"&amp;")</f>
        <v>&amp;</v>
      </c>
      <c r="AJ41" s="21" t="str">
        <f>IFERROR(INDEX($M:$M,MATCH(AA41,$S:$S,0)),"&amp;")</f>
        <v>&amp;</v>
      </c>
      <c r="AK41" s="21" t="str">
        <f>IFERROR(INDEX($M:$M,MATCH(AB41,$S:$S,0)),"&amp;")</f>
        <v>&amp;</v>
      </c>
      <c r="AM41" s="21" t="str">
        <f>IFERROR(INDEX($N:$N,MATCH(U41,$S:$S,0)),"&amp;")</f>
        <v>田忌赛马2</v>
      </c>
      <c r="AN41" s="21" t="str">
        <f>IFERROR(INDEX($N:$N,MATCH(V41,$S:$S,0)),"&amp;")</f>
        <v>齐国宗室1</v>
      </c>
      <c r="AO41" s="21" t="str">
        <f>IFERROR(INDEX($N:$N,MATCH(W41,$S:$S,0)),"&amp;")</f>
        <v>&amp;</v>
      </c>
      <c r="AP41" s="21" t="str">
        <f>IFERROR(INDEX($N:$N,MATCH(X41,$S:$S,0)),"&amp;")</f>
        <v>&amp;</v>
      </c>
      <c r="AQ41" s="21" t="str">
        <f>IFERROR(INDEX($N:$N,MATCH(Y41,$S:$S,0)),"&amp;")</f>
        <v>&amp;</v>
      </c>
      <c r="AR41" s="21" t="str">
        <f>IFERROR(INDEX($N:$N,MATCH(Z41,$S:$S,0)),"&amp;")</f>
        <v>&amp;</v>
      </c>
      <c r="AS41" s="21" t="str">
        <f>IFERROR(INDEX($N:$N,MATCH(AA41,$S:$S,0)),"&amp;")</f>
        <v>&amp;</v>
      </c>
      <c r="AT41" s="21" t="str">
        <f>IFERROR(INDEX($N:$N,MATCH(AB41,$S:$S,0)),"&amp;")</f>
        <v>&amp;</v>
      </c>
      <c r="AV41" s="21" t="str">
        <f>IFERROR(SUBSTITUTE(INDEX($K:$K,MATCH(INDEX($M:$M,MATCH(AM41,$N:$N,0)),$M:$M,0)),$D41,""),"")</f>
        <v xml:space="preserve">孙膑 </v>
      </c>
      <c r="AW41" s="21" t="str">
        <f>IFERROR(SUBSTITUTE(INDEX($K:$K,MATCH(INDEX($M:$M,MATCH(AN41,$N:$N,0)),$M:$M,0)),$D41,""),"")</f>
        <v xml:space="preserve"> 田单</v>
      </c>
      <c r="AX41" s="21" t="str">
        <f>IFERROR(SUBSTITUTE(INDEX($K:$K,MATCH(INDEX($M:$M,MATCH(AO41,$N:$N,0)),$M:$M,0)),$D41,""),"")</f>
        <v/>
      </c>
      <c r="AY41" s="21" t="str">
        <f>IFERROR(SUBSTITUTE(INDEX($K:$K,MATCH(INDEX($M:$M,MATCH(AP41,$N:$N,0)),$M:$M,0)),$D41,""),"")</f>
        <v/>
      </c>
      <c r="AZ41" s="21" t="str">
        <f>IFERROR(SUBSTITUTE(INDEX($K:$K,MATCH(INDEX($M:$M,MATCH(AQ41,$N:$N,0)),$M:$M,0)),$D41,""),"")</f>
        <v/>
      </c>
      <c r="BA41" s="21" t="str">
        <f>IFERROR(SUBSTITUTE(INDEX($K:$K,MATCH(INDEX($M:$M,MATCH(AR41,$N:$N,0)),$M:$M,0)),$D41,""),"")</f>
        <v/>
      </c>
      <c r="BB41" s="21" t="str">
        <f>IFERROR(SUBSTITUTE(INDEX($K:$K,MATCH(INDEX($M:$M,MATCH(AS41,$N:$N,0)),$M:$M,0)),$D41,""),"")</f>
        <v/>
      </c>
      <c r="BC41" s="21" t="str">
        <f>IFERROR(SUBSTITUTE(INDEX($K:$K,MATCH(INDEX($M:$M,MATCH(AT41,$N:$N,0)),$M:$M,0)),$D41,""),"")</f>
        <v/>
      </c>
      <c r="BE41" s="9" t="str">
        <f t="shared" si="7"/>
        <v>孙膑,田忌,田单</v>
      </c>
      <c r="BI41" s="9" t="str">
        <f>IFERROR(
IF(COUNTIF($M:$M,$AD41)&lt;BI$8,
"",
INDEX($J:$J,MATCH($AD41,$M:$M,0)+BI$8-1)),
"")</f>
        <v>孙膑</v>
      </c>
      <c r="BJ41" s="9" t="str">
        <f>IFERROR(
IF(COUNTIF($M:$M,$AD41)&lt;BJ$8,
"",
INDEX($J:$J,MATCH($AD41,$M:$M,0)+BJ$8-1)),
"")</f>
        <v>田忌</v>
      </c>
      <c r="BK41" s="9" t="str">
        <f>IFERROR(
IF(COUNTIF($M:$M,$AD41)&lt;BK$8,
"",
INDEX($J:$J,MATCH($AD41,$M:$M,0)+BK$8-1)),
"")</f>
        <v/>
      </c>
      <c r="BL41" s="9" t="str">
        <f>IFERROR(
IF(COUNTIF($M:$M,$AD41)&lt;BL$8,
"",
INDEX($J:$J,MATCH($AD41,$M:$M,0)+BL$8-1)),
"")</f>
        <v/>
      </c>
      <c r="BN41" s="21" t="str">
        <f>IFERROR(
IF(COUNTIF($BI41:BM41,INDEX($J:$J,MATCH($AE41,$M:$M,0)+BN$8-1))=0,
IF(COUNTIF($M:$M,$AE41)&lt;BN$8,
"",
INDEX($J:$J,MATCH($AE41,$M:$M,0)+BN$8-1)),
""),
"")</f>
        <v/>
      </c>
      <c r="BO41" s="21" t="str">
        <f>IFERROR(
IF(COUNTIF($BI41:BN41,INDEX($J:$J,MATCH($AE41,$M:$M,0)+BO$8-1))=0,
IF(COUNTIF($M:$M,$AE41)&lt;BO$8,
"",
INDEX($J:$J,MATCH($AE41,$M:$M,0)+BO$8-1)),
""),
"")</f>
        <v>田单</v>
      </c>
      <c r="BP41" s="21" t="str">
        <f>IFERROR(
IF(COUNTIF($BI41:BO41,INDEX($J:$J,MATCH($AE41,$M:$M,0)+BP$8-1))=0,
IF(COUNTIF($M:$M,$AE41)&lt;BP$8,
"",
INDEX($J:$J,MATCH($AE41,$M:$M,0)+BP$8-1)),
""),
"")</f>
        <v/>
      </c>
      <c r="BQ41" s="21" t="str">
        <f>IFERROR(
IF(COUNTIF($BI41:BP41,INDEX($J:$J,MATCH($AE41,$M:$M,0)+BQ$8-1))=0,
IF(COUNTIF($M:$M,$AE41)&lt;BQ$8,
"",
INDEX($J:$J,MATCH($AE41,$M:$M,0)+BQ$8-1)),
""),
"")</f>
        <v/>
      </c>
      <c r="BS41" s="21" t="str">
        <f>IFERROR(
IF(COUNTIF($BI41:BR41,INDEX($J:$J,MATCH($AF41,$M:$M,0)+BS$8-1))=0,
IF(COUNTIF($M:$M,$AF41)&lt;BS$8,
"",
INDEX($J:$J,MATCH($AF41,$M:$M,0)+BS$8-1)),
""),
"")</f>
        <v/>
      </c>
      <c r="BT41" s="21" t="str">
        <f>IFERROR(
IF(COUNTIF($BI41:BS41,INDEX($J:$J,MATCH($AF41,$M:$M,0)+BT$8-1))=0,
IF(COUNTIF($M:$M,$AF41)&lt;BT$8,
"",
INDEX($J:$J,MATCH($AF41,$M:$M,0)+BT$8-1)),
""),
"")</f>
        <v/>
      </c>
      <c r="BU41" s="21" t="str">
        <f>IFERROR(
IF(COUNTIF($BI41:BT41,INDEX($J:$J,MATCH($AF41,$M:$M,0)+BU$8-1))=0,
IF(COUNTIF($M:$M,$AF41)&lt;BU$8,
"",
INDEX($J:$J,MATCH($AF41,$M:$M,0)+BU$8-1)),
""),
"")</f>
        <v/>
      </c>
      <c r="BV41" s="21" t="str">
        <f>IFERROR(
IF(COUNTIF($BI41:BU41,INDEX($J:$J,MATCH($AF41,$M:$M,0)+BV$8-1))=0,
IF(COUNTIF($M:$M,$AF41)&lt;BV$8,
"",
INDEX($J:$J,MATCH($AF41,$M:$M,0)+BV$8-1)),
""),
"")</f>
        <v/>
      </c>
      <c r="BX41" s="21" t="str">
        <f>IFERROR(
IF(COUNTIF($BI41:BW41,INDEX($J:$J,MATCH($AG41,$M:$M,0)+BX$8-1))=0,
IF(COUNTIF($M:$M,$AG41)&lt;BX$8,
"",
INDEX($J:$J,MATCH($AG41,$M:$M,0)+BX$8-1)),
""),
"")</f>
        <v/>
      </c>
      <c r="BY41" s="21" t="str">
        <f>IFERROR(
IF(COUNTIF($BI41:BX41,INDEX($J:$J,MATCH($AG41,$M:$M,0)+BY$8-1))=0,
IF(COUNTIF($M:$M,$AG41)&lt;BY$8,
"",
INDEX($J:$J,MATCH($AG41,$M:$M,0)+BY$8-1)),
""),
"")</f>
        <v/>
      </c>
      <c r="BZ41" s="21" t="str">
        <f>IFERROR(
IF(COUNTIF($BI41:BY41,INDEX($J:$J,MATCH($AG41,$M:$M,0)+BZ$8-1))=0,
IF(COUNTIF($M:$M,$AG41)&lt;BZ$8,
"",
INDEX($J:$J,MATCH($AG41,$M:$M,0)+BZ$8-1)),
""),
"")</f>
        <v/>
      </c>
      <c r="CA41" s="21" t="str">
        <f>IFERROR(
IF(COUNTIF($BI41:BZ41,INDEX($J:$J,MATCH($AG41,$M:$M,0)+CA$8-1))=0,
IF(COUNTIF($M:$M,$AG41)&lt;CA$8,
"",
INDEX($J:$J,MATCH($AG41,$M:$M,0)+CA$8-1)),
""),
"")</f>
        <v/>
      </c>
      <c r="CC41" s="21" t="str">
        <f>IFERROR(
IF(COUNTIF($BI41:CB41,INDEX($J:$J,MATCH($AH41,$M:$M,0)+CC$8-1))=0,
IF(COUNTIF($M:$M,$AH41)&lt;CC$8,
"",
INDEX($J:$J,MATCH($AH41,$M:$M,0)+CC$8-1)),
""),
"")</f>
        <v/>
      </c>
      <c r="CD41" s="21" t="str">
        <f>IFERROR(
IF(COUNTIF($BI41:CC41,INDEX($J:$J,MATCH($AH41,$M:$M,0)+CD$8-1))=0,
IF(COUNTIF($M:$M,$AH41)&lt;CD$8,
"",
INDEX($J:$J,MATCH($AH41,$M:$M,0)+CD$8-1)),
""),
"")</f>
        <v/>
      </c>
      <c r="CE41" s="21" t="str">
        <f>IFERROR(
IF(COUNTIF($BI41:CD41,INDEX($J:$J,MATCH($AH41,$M:$M,0)+CE$8-1))=0,
IF(COUNTIF($M:$M,$AH41)&lt;CE$8,
"",
INDEX($J:$J,MATCH($AH41,$M:$M,0)+CE$8-1)),
""),
"")</f>
        <v/>
      </c>
      <c r="CF41" s="21" t="str">
        <f>IFERROR(
IF(COUNTIF($BI41:CE41,INDEX($J:$J,MATCH($AH41,$M:$M,0)+CF$8-1))=0,
IF(COUNTIF($M:$M,$AH41)&lt;CF$8,
"",
INDEX($J:$J,MATCH($AH41,$M:$M,0)+CF$8-1)),
""),
"")</f>
        <v/>
      </c>
      <c r="CH41" s="21" t="str">
        <f>IFERROR(
IF(COUNTIF($BI41:CG41,INDEX($J:$J,MATCH($AI41,$M:$M,0)+CH$8-1))=0,
IF(COUNTIF($M:$M,$AI41)&lt;CH$8,
"",
INDEX($J:$J,MATCH($AI41,$M:$M,0)+CH$8-1)),
""),
"")</f>
        <v/>
      </c>
      <c r="CI41" s="21" t="str">
        <f>IFERROR(
IF(COUNTIF($BI41:CH41,INDEX($J:$J,MATCH($AI41,$M:$M,0)+CI$8-1))=0,
IF(COUNTIF($M:$M,$AI41)&lt;CI$8,
"",
INDEX($J:$J,MATCH($AI41,$M:$M,0)+CI$8-1)),
""),
"")</f>
        <v/>
      </c>
      <c r="CJ41" s="21" t="str">
        <f>IFERROR(
IF(COUNTIF($BI41:CI41,INDEX($J:$J,MATCH($AI41,$M:$M,0)+CJ$8-1))=0,
IF(COUNTIF($M:$M,$AI41)&lt;CJ$8,
"",
INDEX($J:$J,MATCH($AI41,$M:$M,0)+CJ$8-1)),
""),
"")</f>
        <v/>
      </c>
      <c r="CK41" s="21" t="str">
        <f>IFERROR(
IF(COUNTIF($BI41:CJ41,INDEX($J:$J,MATCH($AI41,$M:$M,0)+CK$8-1))=0,
IF(COUNTIF($M:$M,$AI41)&lt;CK$8,
"",
INDEX($J:$J,MATCH($AI41,$M:$M,0)+CK$8-1)),
""),
"")</f>
        <v/>
      </c>
      <c r="CM41" s="21" t="str">
        <f>IFERROR(
IF(COUNTIF($BI41:CL41,INDEX($J:$J,MATCH($AJ41,$M:$M,0)+CM$8-1))=0,
IF(COUNTIF($M:$M,$AJ41)&lt;CM$8,
"",
INDEX($J:$J,MATCH($AJ41,$M:$M,0)+CM$8-1)),
""),
"")</f>
        <v/>
      </c>
      <c r="CN41" s="21" t="str">
        <f>IFERROR(
IF(COUNTIF($BI41:CM41,INDEX($J:$J,MATCH($AJ41,$M:$M,0)+CN$8-1))=0,
IF(COUNTIF($M:$M,$AJ41)&lt;CN$8,
"",
INDEX($J:$J,MATCH($AJ41,$M:$M,0)+CN$8-1)),
""),
"")</f>
        <v/>
      </c>
      <c r="CO41" s="21" t="str">
        <f>IFERROR(
IF(COUNTIF($BI41:CN41,INDEX($J:$J,MATCH($AJ41,$M:$M,0)+CO$8-1))=0,
IF(COUNTIF($M:$M,$AJ41)&lt;CO$8,
"",
INDEX($J:$J,MATCH($AJ41,$M:$M,0)+CO$8-1)),
""),
"")</f>
        <v/>
      </c>
      <c r="CP41" s="21" t="str">
        <f>IFERROR(
IF(COUNTIF($BI41:CO41,INDEX($J:$J,MATCH($AJ41,$M:$M,0)+CP$8-1))=0,
IF(COUNTIF($M:$M,$AJ41)&lt;CP$8,
"",
INDEX($J:$J,MATCH($AJ41,$M:$M,0)+CP$8-1)),
""),
"")</f>
        <v/>
      </c>
      <c r="CR41" s="21" t="str">
        <f>IFERROR(
IF(COUNTIF($BI41:CQ41,INDEX($J:$J,MATCH($AK41,$M:$M,0)+CR$8-1))=0,
IF(COUNTIF($M:$M,$AK41)&lt;CR$8,
"",
INDEX($J:$J,MATCH($AK41,$M:$M,0)+CR$8-1)),
""),
"")</f>
        <v/>
      </c>
      <c r="CS41" s="21" t="str">
        <f>IFERROR(
IF(COUNTIF($BI41:CR41,INDEX($J:$J,MATCH($AK41,$M:$M,0)+CS$8-1))=0,
IF(COUNTIF($M:$M,$AK41)&lt;CS$8,
"",
INDEX($J:$J,MATCH($AK41,$M:$M,0)+CS$8-1)),
""),
"")</f>
        <v/>
      </c>
      <c r="CT41" s="21" t="str">
        <f>IFERROR(
IF(COUNTIF($BI41:CS41,INDEX($J:$J,MATCH($AK41,$M:$M,0)+CT$8-1))=0,
IF(COUNTIF($M:$M,$AK41)&lt;CT$8,
"",
INDEX($J:$J,MATCH($AK41,$M:$M,0)+CT$8-1)),
""),
"")</f>
        <v/>
      </c>
      <c r="CU41" s="21" t="str">
        <f>IFERROR(
IF(COUNTIF($BI41:CT41,INDEX($J:$J,MATCH($AK41,$M:$M,0)+CU$8-1))=0,
IF(COUNTIF($M:$M,$AK41)&lt;CU$8,
"",
INDEX($J:$J,MATCH($AK41,$M:$M,0)+CU$8-1)),
""),
"")</f>
        <v/>
      </c>
    </row>
    <row r="42" spans="3:99" ht="14.25">
      <c r="C42" s="16">
        <v>34</v>
      </c>
      <c r="D42" s="19" t="s">
        <v>87</v>
      </c>
      <c r="E42" s="20">
        <f>INDEX([1]武将基本资料!$S:$S,MATCH(D42,[1]武将基本资料!$N:$N,0))</f>
        <v>120</v>
      </c>
      <c r="F42" s="20" t="str">
        <f>INDEX([1]武将基本资料!$Q:$Q,MATCH(D42,[1]武将基本资料!$N:$N,0))</f>
        <v>橙</v>
      </c>
      <c r="H42" s="7" t="str">
        <f>IF(I42="","",COUNTA(I$9:$I42))</f>
        <v/>
      </c>
      <c r="I42" s="6" t="s">
        <v>188</v>
      </c>
      <c r="J42" s="6" t="s">
        <v>87</v>
      </c>
      <c r="K42" s="8" t="str">
        <f>IF(H42="","",阶段合并区域(J42:J52," ",L42:L52,1))</f>
        <v/>
      </c>
      <c r="L42" s="8">
        <f>COUNTIF(M$8:$M42,"="&amp;M42)</f>
        <v>3</v>
      </c>
      <c r="M42" s="9" t="str">
        <f t="shared" si="3"/>
        <v>御敌于国</v>
      </c>
      <c r="N42" s="9" t="str">
        <f t="shared" si="4"/>
        <v>御敌于国3</v>
      </c>
      <c r="O42" s="15">
        <f>INDEX(C:C,MATCH(J42,D:D,0))</f>
        <v>34</v>
      </c>
      <c r="P42" s="9">
        <f>INDEX(E:E,MATCH(J42,D:D,0))</f>
        <v>120</v>
      </c>
      <c r="Q42" s="7">
        <f t="shared" si="0"/>
        <v>34</v>
      </c>
      <c r="R42" s="7">
        <f>COUNTIF(J$8:$J42,"="&amp;J42)</f>
        <v>1</v>
      </c>
      <c r="S42" s="7">
        <f t="shared" si="5"/>
        <v>1034</v>
      </c>
      <c r="U42" s="7">
        <f t="shared" ref="U42:AB73" si="9">U$8*1000+$C42</f>
        <v>1034</v>
      </c>
      <c r="V42" s="7">
        <f t="shared" si="9"/>
        <v>2034</v>
      </c>
      <c r="W42" s="7">
        <f t="shared" si="9"/>
        <v>3034</v>
      </c>
      <c r="X42" s="7">
        <f t="shared" si="9"/>
        <v>4034</v>
      </c>
      <c r="Y42" s="7">
        <f t="shared" si="9"/>
        <v>5034</v>
      </c>
      <c r="Z42" s="7">
        <f t="shared" si="9"/>
        <v>6034</v>
      </c>
      <c r="AA42" s="7">
        <f t="shared" si="9"/>
        <v>7034</v>
      </c>
      <c r="AB42" s="7">
        <f t="shared" si="9"/>
        <v>8034</v>
      </c>
      <c r="AD42" s="21" t="str">
        <f>IFERROR(INDEX($M:$M,MATCH(U42,$S:$S,0)),"&amp;")</f>
        <v>御敌于国</v>
      </c>
      <c r="AE42" s="21" t="str">
        <f>IFERROR(INDEX($M:$M,MATCH(V42,$S:$S,0)),"&amp;")</f>
        <v>东征西讨</v>
      </c>
      <c r="AF42" s="21" t="str">
        <f>IFERROR(INDEX($M:$M,MATCH(W42,$S:$S,0)),"&amp;")</f>
        <v>百战名将</v>
      </c>
      <c r="AG42" s="21" t="str">
        <f>IFERROR(INDEX($M:$M,MATCH(X42,$S:$S,0)),"&amp;")</f>
        <v>著书立说</v>
      </c>
      <c r="AH42" s="21" t="str">
        <f>IFERROR(INDEX($M:$M,MATCH(Y42,$S:$S,0)),"&amp;")</f>
        <v>国之柱石</v>
      </c>
      <c r="AI42" s="21" t="str">
        <f>IFERROR(INDEX($M:$M,MATCH(Z42,$S:$S,0)),"&amp;")</f>
        <v>攻守相济</v>
      </c>
      <c r="AJ42" s="21" t="str">
        <f>IFERROR(INDEX($M:$M,MATCH(AA42,$S:$S,0)),"&amp;")</f>
        <v>衔冤而死</v>
      </c>
      <c r="AK42" s="21" t="str">
        <f>IFERROR(INDEX($M:$M,MATCH(AB42,$S:$S,0)),"&amp;")</f>
        <v>荣辱与共</v>
      </c>
      <c r="AM42" s="21" t="str">
        <f>IFERROR(INDEX($N:$N,MATCH(U42,$S:$S,0)),"&amp;")</f>
        <v>御敌于国3</v>
      </c>
      <c r="AN42" s="21" t="str">
        <f>IFERROR(INDEX($N:$N,MATCH(V42,$S:$S,0)),"&amp;")</f>
        <v>东征西讨1</v>
      </c>
      <c r="AO42" s="21" t="str">
        <f>IFERROR(INDEX($N:$N,MATCH(W42,$S:$S,0)),"&amp;")</f>
        <v>百战名将1</v>
      </c>
      <c r="AP42" s="21" t="str">
        <f>IFERROR(INDEX($N:$N,MATCH(X42,$S:$S,0)),"&amp;")</f>
        <v>著书立说2</v>
      </c>
      <c r="AQ42" s="21" t="str">
        <f>IFERROR(INDEX($N:$N,MATCH(Y42,$S:$S,0)),"&amp;")</f>
        <v>国之柱石4</v>
      </c>
      <c r="AR42" s="21" t="str">
        <f>IFERROR(INDEX($N:$N,MATCH(Z42,$S:$S,0)),"&amp;")</f>
        <v>攻守相济2</v>
      </c>
      <c r="AS42" s="21" t="str">
        <f>IFERROR(INDEX($N:$N,MATCH(AA42,$S:$S,0)),"&amp;")</f>
        <v>衔冤而死4</v>
      </c>
      <c r="AT42" s="21" t="str">
        <f>IFERROR(INDEX($N:$N,MATCH(AB42,$S:$S,0)),"&amp;")</f>
        <v>荣辱与共4</v>
      </c>
      <c r="AV42" s="21" t="str">
        <f>IFERROR(SUBSTITUTE(INDEX($K:$K,MATCH(INDEX($M:$M,MATCH(AM42,$N:$N,0)),$M:$M,0)),$D42,""),"")</f>
        <v xml:space="preserve">田单 申不害 </v>
      </c>
      <c r="AW42" s="21" t="str">
        <f>IFERROR(SUBSTITUTE(INDEX($K:$K,MATCH(INDEX($M:$M,MATCH(AN42,$N:$N,0)),$M:$M,0)),$D42,""),"")</f>
        <v xml:space="preserve"> 暴鸢</v>
      </c>
      <c r="AX42" s="21" t="str">
        <f>IFERROR(SUBSTITUTE(INDEX($K:$K,MATCH(INDEX($M:$M,MATCH(AO42,$N:$N,0)),$M:$M,0)),$D42,""),"")</f>
        <v xml:space="preserve"> 司马错</v>
      </c>
      <c r="AY42" s="21" t="str">
        <f>IFERROR(SUBSTITUTE(INDEX($K:$K,MATCH(INDEX($M:$M,MATCH(AP42,$N:$N,0)),$M:$M,0)),$D42,""),"")</f>
        <v>吴起  孙膑 吕不韦</v>
      </c>
      <c r="AZ42" s="21" t="str">
        <f>IFERROR(SUBSTITUTE(INDEX($K:$K,MATCH(INDEX($M:$M,MATCH(AQ42,$N:$N,0)),$M:$M,0)),$D42,""),"")</f>
        <v xml:space="preserve">廉颇 樗里疾 乐毅 </v>
      </c>
      <c r="BA42" s="21" t="str">
        <f>IFERROR(SUBSTITUTE(INDEX($K:$K,MATCH(INDEX($M:$M,MATCH(AR42,$N:$N,0)),$M:$M,0)),$D42,""),"")</f>
        <v>墨子  田单 乐毅</v>
      </c>
      <c r="BB42" s="21" t="str">
        <f>IFERROR(SUBSTITUTE(INDEX($K:$K,MATCH(INDEX($M:$M,MATCH(AS42,$N:$N,0)),$M:$M,0)),$D42,""),"")</f>
        <v xml:space="preserve">蒙恬 伍子胥 韩非子 </v>
      </c>
      <c r="BC42" s="21" t="str">
        <f>IFERROR(SUBSTITUTE(INDEX($K:$K,MATCH(INDEX($M:$M,MATCH(AT42,$N:$N,0)),$M:$M,0)),$D42,""),"")</f>
        <v xml:space="preserve">齐桓公 田单 孙膑 </v>
      </c>
      <c r="BE42" s="9" t="str">
        <f t="shared" si="7"/>
        <v>田单,申不害,司马穰苴,暴鸢,司马错,吴起,孙膑,吕不韦,廉颇,樗里疾,乐毅,墨子,蒙恬,伍子胥,韩非子,齐桓公</v>
      </c>
      <c r="BI42" s="9" t="str">
        <f>IFERROR(
IF(COUNTIF($M:$M,$AD42)&lt;BI$8,
"",
INDEX($J:$J,MATCH($AD42,$M:$M,0)+BI$8-1)),
"")</f>
        <v>田单</v>
      </c>
      <c r="BJ42" s="9" t="str">
        <f>IFERROR(
IF(COUNTIF($M:$M,$AD42)&lt;BJ$8,
"",
INDEX($J:$J,MATCH($AD42,$M:$M,0)+BJ$8-1)),
"")</f>
        <v>申不害</v>
      </c>
      <c r="BK42" s="9" t="str">
        <f>IFERROR(
IF(COUNTIF($M:$M,$AD42)&lt;BK$8,
"",
INDEX($J:$J,MATCH($AD42,$M:$M,0)+BK$8-1)),
"")</f>
        <v>司马穰苴</v>
      </c>
      <c r="BL42" s="9" t="str">
        <f>IFERROR(
IF(COUNTIF($M:$M,$AD42)&lt;BL$8,
"",
INDEX($J:$J,MATCH($AD42,$M:$M,0)+BL$8-1)),
"")</f>
        <v/>
      </c>
      <c r="BN42" s="21" t="str">
        <f>IFERROR(
IF(COUNTIF($BI42:BM42,INDEX($J:$J,MATCH($AE42,$M:$M,0)+BN$8-1))=0,
IF(COUNTIF($M:$M,$AE42)&lt;BN$8,
"",
INDEX($J:$J,MATCH($AE42,$M:$M,0)+BN$8-1)),
""),
"")</f>
        <v/>
      </c>
      <c r="BO42" s="21" t="str">
        <f>IFERROR(
IF(COUNTIF($BI42:BN42,INDEX($J:$J,MATCH($AE42,$M:$M,0)+BO$8-1))=0,
IF(COUNTIF($M:$M,$AE42)&lt;BO$8,
"",
INDEX($J:$J,MATCH($AE42,$M:$M,0)+BO$8-1)),
""),
"")</f>
        <v>暴鸢</v>
      </c>
      <c r="BP42" s="21" t="str">
        <f>IFERROR(
IF(COUNTIF($BI42:BO42,INDEX($J:$J,MATCH($AE42,$M:$M,0)+BP$8-1))=0,
IF(COUNTIF($M:$M,$AE42)&lt;BP$8,
"",
INDEX($J:$J,MATCH($AE42,$M:$M,0)+BP$8-1)),
""),
"")</f>
        <v/>
      </c>
      <c r="BQ42" s="21" t="str">
        <f>IFERROR(
IF(COUNTIF($BI42:BP42,INDEX($J:$J,MATCH($AE42,$M:$M,0)+BQ$8-1))=0,
IF(COUNTIF($M:$M,$AE42)&lt;BQ$8,
"",
INDEX($J:$J,MATCH($AE42,$M:$M,0)+BQ$8-1)),
""),
"")</f>
        <v/>
      </c>
      <c r="BS42" s="21" t="str">
        <f>IFERROR(
IF(COUNTIF($BI42:BR42,INDEX($J:$J,MATCH($AF42,$M:$M,0)+BS$8-1))=0,
IF(COUNTIF($M:$M,$AF42)&lt;BS$8,
"",
INDEX($J:$J,MATCH($AF42,$M:$M,0)+BS$8-1)),
""),
"")</f>
        <v/>
      </c>
      <c r="BT42" s="21" t="str">
        <f>IFERROR(
IF(COUNTIF($BI42:BS42,INDEX($J:$J,MATCH($AF42,$M:$M,0)+BT$8-1))=0,
IF(COUNTIF($M:$M,$AF42)&lt;BT$8,
"",
INDEX($J:$J,MATCH($AF42,$M:$M,0)+BT$8-1)),
""),
"")</f>
        <v>司马错</v>
      </c>
      <c r="BU42" s="21" t="str">
        <f>IFERROR(
IF(COUNTIF($BI42:BT42,INDEX($J:$J,MATCH($AF42,$M:$M,0)+BU$8-1))=0,
IF(COUNTIF($M:$M,$AF42)&lt;BU$8,
"",
INDEX($J:$J,MATCH($AF42,$M:$M,0)+BU$8-1)),
""),
"")</f>
        <v/>
      </c>
      <c r="BV42" s="21" t="str">
        <f>IFERROR(
IF(COUNTIF($BI42:BU42,INDEX($J:$J,MATCH($AF42,$M:$M,0)+BV$8-1))=0,
IF(COUNTIF($M:$M,$AF42)&lt;BV$8,
"",
INDEX($J:$J,MATCH($AF42,$M:$M,0)+BV$8-1)),
""),
"")</f>
        <v/>
      </c>
      <c r="BX42" s="21" t="str">
        <f>IFERROR(
IF(COUNTIF($BI42:BW42,INDEX($J:$J,MATCH($AG42,$M:$M,0)+BX$8-1))=0,
IF(COUNTIF($M:$M,$AG42)&lt;BX$8,
"",
INDEX($J:$J,MATCH($AG42,$M:$M,0)+BX$8-1)),
""),
"")</f>
        <v>吴起</v>
      </c>
      <c r="BY42" s="21" t="str">
        <f>IFERROR(
IF(COUNTIF($BI42:BX42,INDEX($J:$J,MATCH($AG42,$M:$M,0)+BY$8-1))=0,
IF(COUNTIF($M:$M,$AG42)&lt;BY$8,
"",
INDEX($J:$J,MATCH($AG42,$M:$M,0)+BY$8-1)),
""),
"")</f>
        <v/>
      </c>
      <c r="BZ42" s="21" t="str">
        <f>IFERROR(
IF(COUNTIF($BI42:BY42,INDEX($J:$J,MATCH($AG42,$M:$M,0)+BZ$8-1))=0,
IF(COUNTIF($M:$M,$AG42)&lt;BZ$8,
"",
INDEX($J:$J,MATCH($AG42,$M:$M,0)+BZ$8-1)),
""),
"")</f>
        <v>孙膑</v>
      </c>
      <c r="CA42" s="21" t="str">
        <f>IFERROR(
IF(COUNTIF($BI42:BZ42,INDEX($J:$J,MATCH($AG42,$M:$M,0)+CA$8-1))=0,
IF(COUNTIF($M:$M,$AG42)&lt;CA$8,
"",
INDEX($J:$J,MATCH($AG42,$M:$M,0)+CA$8-1)),
""),
"")</f>
        <v>吕不韦</v>
      </c>
      <c r="CC42" s="21" t="str">
        <f>IFERROR(
IF(COUNTIF($BI42:CB42,INDEX($J:$J,MATCH($AH42,$M:$M,0)+CC$8-1))=0,
IF(COUNTIF($M:$M,$AH42)&lt;CC$8,
"",
INDEX($J:$J,MATCH($AH42,$M:$M,0)+CC$8-1)),
""),
"")</f>
        <v>廉颇</v>
      </c>
      <c r="CD42" s="21" t="str">
        <f>IFERROR(
IF(COUNTIF($BI42:CC42,INDEX($J:$J,MATCH($AH42,$M:$M,0)+CD$8-1))=0,
IF(COUNTIF($M:$M,$AH42)&lt;CD$8,
"",
INDEX($J:$J,MATCH($AH42,$M:$M,0)+CD$8-1)),
""),
"")</f>
        <v>樗里疾</v>
      </c>
      <c r="CE42" s="21" t="str">
        <f>IFERROR(
IF(COUNTIF($BI42:CD42,INDEX($J:$J,MATCH($AH42,$M:$M,0)+CE$8-1))=0,
IF(COUNTIF($M:$M,$AH42)&lt;CE$8,
"",
INDEX($J:$J,MATCH($AH42,$M:$M,0)+CE$8-1)),
""),
"")</f>
        <v>乐毅</v>
      </c>
      <c r="CF42" s="21" t="str">
        <f>IFERROR(
IF(COUNTIF($BI42:CE42,INDEX($J:$J,MATCH($AH42,$M:$M,0)+CF$8-1))=0,
IF(COUNTIF($M:$M,$AH42)&lt;CF$8,
"",
INDEX($J:$J,MATCH($AH42,$M:$M,0)+CF$8-1)),
""),
"")</f>
        <v/>
      </c>
      <c r="CH42" s="21" t="str">
        <f>IFERROR(
IF(COUNTIF($BI42:CG42,INDEX($J:$J,MATCH($AI42,$M:$M,0)+CH$8-1))=0,
IF(COUNTIF($M:$M,$AI42)&lt;CH$8,
"",
INDEX($J:$J,MATCH($AI42,$M:$M,0)+CH$8-1)),
""),
"")</f>
        <v>墨子</v>
      </c>
      <c r="CI42" s="21" t="str">
        <f>IFERROR(
IF(COUNTIF($BI42:CH42,INDEX($J:$J,MATCH($AI42,$M:$M,0)+CI$8-1))=0,
IF(COUNTIF($M:$M,$AI42)&lt;CI$8,
"",
INDEX($J:$J,MATCH($AI42,$M:$M,0)+CI$8-1)),
""),
"")</f>
        <v/>
      </c>
      <c r="CJ42" s="21" t="str">
        <f>IFERROR(
IF(COUNTIF($BI42:CI42,INDEX($J:$J,MATCH($AI42,$M:$M,0)+CJ$8-1))=0,
IF(COUNTIF($M:$M,$AI42)&lt;CJ$8,
"",
INDEX($J:$J,MATCH($AI42,$M:$M,0)+CJ$8-1)),
""),
"")</f>
        <v/>
      </c>
      <c r="CK42" s="21" t="str">
        <f>IFERROR(
IF(COUNTIF($BI42:CJ42,INDEX($J:$J,MATCH($AI42,$M:$M,0)+CK$8-1))=0,
IF(COUNTIF($M:$M,$AI42)&lt;CK$8,
"",
INDEX($J:$J,MATCH($AI42,$M:$M,0)+CK$8-1)),
""),
"")</f>
        <v/>
      </c>
      <c r="CM42" s="21" t="str">
        <f>IFERROR(
IF(COUNTIF($BI42:CL42,INDEX($J:$J,MATCH($AJ42,$M:$M,0)+CM$8-1))=0,
IF(COUNTIF($M:$M,$AJ42)&lt;CM$8,
"",
INDEX($J:$J,MATCH($AJ42,$M:$M,0)+CM$8-1)),
""),
"")</f>
        <v>蒙恬</v>
      </c>
      <c r="CN42" s="21" t="str">
        <f>IFERROR(
IF(COUNTIF($BI42:CM42,INDEX($J:$J,MATCH($AJ42,$M:$M,0)+CN$8-1))=0,
IF(COUNTIF($M:$M,$AJ42)&lt;CN$8,
"",
INDEX($J:$J,MATCH($AJ42,$M:$M,0)+CN$8-1)),
""),
"")</f>
        <v>伍子胥</v>
      </c>
      <c r="CO42" s="21" t="str">
        <f>IFERROR(
IF(COUNTIF($BI42:CN42,INDEX($J:$J,MATCH($AJ42,$M:$M,0)+CO$8-1))=0,
IF(COUNTIF($M:$M,$AJ42)&lt;CO$8,
"",
INDEX($J:$J,MATCH($AJ42,$M:$M,0)+CO$8-1)),
""),
"")</f>
        <v>韩非子</v>
      </c>
      <c r="CP42" s="21" t="str">
        <f>IFERROR(
IF(COUNTIF($BI42:CO42,INDEX($J:$J,MATCH($AJ42,$M:$M,0)+CP$8-1))=0,
IF(COUNTIF($M:$M,$AJ42)&lt;CP$8,
"",
INDEX($J:$J,MATCH($AJ42,$M:$M,0)+CP$8-1)),
""),
"")</f>
        <v/>
      </c>
      <c r="CR42" s="21" t="str">
        <f>IFERROR(
IF(COUNTIF($BI42:CQ42,INDEX($J:$J,MATCH($AK42,$M:$M,0)+CR$8-1))=0,
IF(COUNTIF($M:$M,$AK42)&lt;CR$8,
"",
INDEX($J:$J,MATCH($AK42,$M:$M,0)+CR$8-1)),
""),
"")</f>
        <v>齐桓公</v>
      </c>
      <c r="CS42" s="21" t="str">
        <f>IFERROR(
IF(COUNTIF($BI42:CR42,INDEX($J:$J,MATCH($AK42,$M:$M,0)+CS$8-1))=0,
IF(COUNTIF($M:$M,$AK42)&lt;CS$8,
"",
INDEX($J:$J,MATCH($AK42,$M:$M,0)+CS$8-1)),
""),
"")</f>
        <v/>
      </c>
      <c r="CT42" s="21" t="str">
        <f>IFERROR(
IF(COUNTIF($BI42:CS42,INDEX($J:$J,MATCH($AK42,$M:$M,0)+CT$8-1))=0,
IF(COUNTIF($M:$M,$AK42)&lt;CT$8,
"",
INDEX($J:$J,MATCH($AK42,$M:$M,0)+CT$8-1)),
""),
"")</f>
        <v/>
      </c>
      <c r="CU42" s="21" t="str">
        <f>IFERROR(
IF(COUNTIF($BI42:CT42,INDEX($J:$J,MATCH($AK42,$M:$M,0)+CU$8-1))=0,
IF(COUNTIF($M:$M,$AK42)&lt;CU$8,
"",
INDEX($J:$J,MATCH($AK42,$M:$M,0)+CU$8-1)),
""),
"")</f>
        <v/>
      </c>
    </row>
    <row r="43" spans="3:99" ht="14.25">
      <c r="C43" s="16">
        <v>35</v>
      </c>
      <c r="D43" s="19" t="s">
        <v>80</v>
      </c>
      <c r="E43" s="20">
        <f>INDEX([1]武将基本资料!$S:$S,MATCH(D43,[1]武将基本资料!$N:$N,0))</f>
        <v>120</v>
      </c>
      <c r="F43" s="20" t="str">
        <f>INDEX([1]武将基本资料!$Q:$Q,MATCH(D43,[1]武将基本资料!$N:$N,0))</f>
        <v>橙</v>
      </c>
      <c r="H43" s="7">
        <f>IF(I43="","",COUNTA(I$9:$I43))</f>
        <v>33</v>
      </c>
      <c r="I43" s="6" t="s">
        <v>155</v>
      </c>
      <c r="J43" s="6" t="s">
        <v>87</v>
      </c>
      <c r="K43" s="8" t="str">
        <f>IF(H43="","",阶段合并区域(J43:J53," ",L43:L53,1))</f>
        <v>司马穰苴 暴鸢</v>
      </c>
      <c r="L43" s="8">
        <f>COUNTIF(M$8:$M43,"="&amp;M43)</f>
        <v>1</v>
      </c>
      <c r="M43" s="9" t="str">
        <f t="shared" si="3"/>
        <v>东征西讨</v>
      </c>
      <c r="N43" s="9" t="str">
        <f t="shared" si="4"/>
        <v>东征西讨1</v>
      </c>
      <c r="O43" s="15">
        <f>INDEX(C:C,MATCH(J43,D:D,0))</f>
        <v>34</v>
      </c>
      <c r="P43" s="9">
        <f>INDEX(E:E,MATCH(J43,D:D,0))</f>
        <v>120</v>
      </c>
      <c r="Q43" s="7">
        <f t="shared" si="0"/>
        <v>34</v>
      </c>
      <c r="R43" s="7">
        <f>COUNTIF(J$8:$J43,"="&amp;J43)</f>
        <v>2</v>
      </c>
      <c r="S43" s="7">
        <f t="shared" si="5"/>
        <v>2034</v>
      </c>
      <c r="U43" s="7">
        <f t="shared" si="9"/>
        <v>1035</v>
      </c>
      <c r="V43" s="7">
        <f t="shared" si="9"/>
        <v>2035</v>
      </c>
      <c r="W43" s="7">
        <f t="shared" si="9"/>
        <v>3035</v>
      </c>
      <c r="X43" s="7">
        <f t="shared" si="9"/>
        <v>4035</v>
      </c>
      <c r="Y43" s="7">
        <f t="shared" si="9"/>
        <v>5035</v>
      </c>
      <c r="Z43" s="7">
        <f t="shared" si="9"/>
        <v>6035</v>
      </c>
      <c r="AA43" s="7">
        <f t="shared" si="9"/>
        <v>7035</v>
      </c>
      <c r="AB43" s="7">
        <f t="shared" si="9"/>
        <v>8035</v>
      </c>
      <c r="AD43" s="21" t="str">
        <f>IFERROR(INDEX($M:$M,MATCH(U43,$S:$S,0)),"&amp;")</f>
        <v>&amp;</v>
      </c>
      <c r="AE43" s="21" t="str">
        <f>IFERROR(INDEX($M:$M,MATCH(V43,$S:$S,0)),"&amp;")</f>
        <v>&amp;</v>
      </c>
      <c r="AF43" s="21" t="str">
        <f>IFERROR(INDEX($M:$M,MATCH(W43,$S:$S,0)),"&amp;")</f>
        <v>&amp;</v>
      </c>
      <c r="AG43" s="21" t="str">
        <f>IFERROR(INDEX($M:$M,MATCH(X43,$S:$S,0)),"&amp;")</f>
        <v>&amp;</v>
      </c>
      <c r="AH43" s="21" t="str">
        <f>IFERROR(INDEX($M:$M,MATCH(Y43,$S:$S,0)),"&amp;")</f>
        <v>&amp;</v>
      </c>
      <c r="AI43" s="21" t="str">
        <f>IFERROR(INDEX($M:$M,MATCH(Z43,$S:$S,0)),"&amp;")</f>
        <v>&amp;</v>
      </c>
      <c r="AJ43" s="21" t="str">
        <f>IFERROR(INDEX($M:$M,MATCH(AA43,$S:$S,0)),"&amp;")</f>
        <v>&amp;</v>
      </c>
      <c r="AK43" s="21" t="str">
        <f>IFERROR(INDEX($M:$M,MATCH(AB43,$S:$S,0)),"&amp;")</f>
        <v>&amp;</v>
      </c>
      <c r="AM43" s="21" t="str">
        <f>IFERROR(INDEX($N:$N,MATCH(U43,$S:$S,0)),"&amp;")</f>
        <v>&amp;</v>
      </c>
      <c r="AN43" s="21" t="str">
        <f>IFERROR(INDEX($N:$N,MATCH(V43,$S:$S,0)),"&amp;")</f>
        <v>&amp;</v>
      </c>
      <c r="AO43" s="21" t="str">
        <f>IFERROR(INDEX($N:$N,MATCH(W43,$S:$S,0)),"&amp;")</f>
        <v>&amp;</v>
      </c>
      <c r="AP43" s="21" t="str">
        <f>IFERROR(INDEX($N:$N,MATCH(X43,$S:$S,0)),"&amp;")</f>
        <v>&amp;</v>
      </c>
      <c r="AQ43" s="21" t="str">
        <f>IFERROR(INDEX($N:$N,MATCH(Y43,$S:$S,0)),"&amp;")</f>
        <v>&amp;</v>
      </c>
      <c r="AR43" s="21" t="str">
        <f>IFERROR(INDEX($N:$N,MATCH(Z43,$S:$S,0)),"&amp;")</f>
        <v>&amp;</v>
      </c>
      <c r="AS43" s="21" t="str">
        <f>IFERROR(INDEX($N:$N,MATCH(AA43,$S:$S,0)),"&amp;")</f>
        <v>&amp;</v>
      </c>
      <c r="AT43" s="21" t="str">
        <f>IFERROR(INDEX($N:$N,MATCH(AB43,$S:$S,0)),"&amp;")</f>
        <v>&amp;</v>
      </c>
      <c r="AV43" s="21" t="str">
        <f>IFERROR(SUBSTITUTE(INDEX($K:$K,MATCH(INDEX($M:$M,MATCH(AM43,$N:$N,0)),$M:$M,0)),$D43,""),"")</f>
        <v/>
      </c>
      <c r="AW43" s="21" t="str">
        <f>IFERROR(SUBSTITUTE(INDEX($K:$K,MATCH(INDEX($M:$M,MATCH(AN43,$N:$N,0)),$M:$M,0)),$D43,""),"")</f>
        <v/>
      </c>
      <c r="AX43" s="21" t="str">
        <f>IFERROR(SUBSTITUTE(INDEX($K:$K,MATCH(INDEX($M:$M,MATCH(AO43,$N:$N,0)),$M:$M,0)),$D43,""),"")</f>
        <v/>
      </c>
      <c r="AY43" s="21" t="str">
        <f>IFERROR(SUBSTITUTE(INDEX($K:$K,MATCH(INDEX($M:$M,MATCH(AP43,$N:$N,0)),$M:$M,0)),$D43,""),"")</f>
        <v/>
      </c>
      <c r="AZ43" s="21" t="str">
        <f>IFERROR(SUBSTITUTE(INDEX($K:$K,MATCH(INDEX($M:$M,MATCH(AQ43,$N:$N,0)),$M:$M,0)),$D43,""),"")</f>
        <v/>
      </c>
      <c r="BA43" s="21" t="str">
        <f>IFERROR(SUBSTITUTE(INDEX($K:$K,MATCH(INDEX($M:$M,MATCH(AR43,$N:$N,0)),$M:$M,0)),$D43,""),"")</f>
        <v/>
      </c>
      <c r="BB43" s="21" t="str">
        <f>IFERROR(SUBSTITUTE(INDEX($K:$K,MATCH(INDEX($M:$M,MATCH(AS43,$N:$N,0)),$M:$M,0)),$D43,""),"")</f>
        <v/>
      </c>
      <c r="BC43" s="21" t="str">
        <f>IFERROR(SUBSTITUTE(INDEX($K:$K,MATCH(INDEX($M:$M,MATCH(AT43,$N:$N,0)),$M:$M,0)),$D43,""),"")</f>
        <v/>
      </c>
      <c r="BE43" s="9" t="str">
        <f t="shared" si="7"/>
        <v/>
      </c>
      <c r="BI43" s="9" t="str">
        <f>IFERROR(
IF(COUNTIF($M:$M,$AD43)&lt;BI$8,
"",
INDEX($J:$J,MATCH($AD43,$M:$M,0)+BI$8-1)),
"")</f>
        <v/>
      </c>
      <c r="BJ43" s="9" t="str">
        <f>IFERROR(
IF(COUNTIF($M:$M,$AD43)&lt;BJ$8,
"",
INDEX($J:$J,MATCH($AD43,$M:$M,0)+BJ$8-1)),
"")</f>
        <v/>
      </c>
      <c r="BK43" s="9" t="str">
        <f>IFERROR(
IF(COUNTIF($M:$M,$AD43)&lt;BK$8,
"",
INDEX($J:$J,MATCH($AD43,$M:$M,0)+BK$8-1)),
"")</f>
        <v/>
      </c>
      <c r="BL43" s="9" t="str">
        <f>IFERROR(
IF(COUNTIF($M:$M,$AD43)&lt;BL$8,
"",
INDEX($J:$J,MATCH($AD43,$M:$M,0)+BL$8-1)),
"")</f>
        <v/>
      </c>
      <c r="BN43" s="21" t="str">
        <f>IFERROR(
IF(COUNTIF($BI43:BM43,INDEX($J:$J,MATCH($AE43,$M:$M,0)+BN$8-1))=0,
IF(COUNTIF($M:$M,$AE43)&lt;BN$8,
"",
INDEX($J:$J,MATCH($AE43,$M:$M,0)+BN$8-1)),
""),
"")</f>
        <v/>
      </c>
      <c r="BO43" s="21" t="str">
        <f>IFERROR(
IF(COUNTIF($BI43:BN43,INDEX($J:$J,MATCH($AE43,$M:$M,0)+BO$8-1))=0,
IF(COUNTIF($M:$M,$AE43)&lt;BO$8,
"",
INDEX($J:$J,MATCH($AE43,$M:$M,0)+BO$8-1)),
""),
"")</f>
        <v/>
      </c>
      <c r="BP43" s="21" t="str">
        <f>IFERROR(
IF(COUNTIF($BI43:BO43,INDEX($J:$J,MATCH($AE43,$M:$M,0)+BP$8-1))=0,
IF(COUNTIF($M:$M,$AE43)&lt;BP$8,
"",
INDEX($J:$J,MATCH($AE43,$M:$M,0)+BP$8-1)),
""),
"")</f>
        <v/>
      </c>
      <c r="BQ43" s="21" t="str">
        <f>IFERROR(
IF(COUNTIF($BI43:BP43,INDEX($J:$J,MATCH($AE43,$M:$M,0)+BQ$8-1))=0,
IF(COUNTIF($M:$M,$AE43)&lt;BQ$8,
"",
INDEX($J:$J,MATCH($AE43,$M:$M,0)+BQ$8-1)),
""),
"")</f>
        <v/>
      </c>
      <c r="BS43" s="21" t="str">
        <f>IFERROR(
IF(COUNTIF($BI43:BR43,INDEX($J:$J,MATCH($AF43,$M:$M,0)+BS$8-1))=0,
IF(COUNTIF($M:$M,$AF43)&lt;BS$8,
"",
INDEX($J:$J,MATCH($AF43,$M:$M,0)+BS$8-1)),
""),
"")</f>
        <v/>
      </c>
      <c r="BT43" s="21" t="str">
        <f>IFERROR(
IF(COUNTIF($BI43:BS43,INDEX($J:$J,MATCH($AF43,$M:$M,0)+BT$8-1))=0,
IF(COUNTIF($M:$M,$AF43)&lt;BT$8,
"",
INDEX($J:$J,MATCH($AF43,$M:$M,0)+BT$8-1)),
""),
"")</f>
        <v/>
      </c>
      <c r="BU43" s="21" t="str">
        <f>IFERROR(
IF(COUNTIF($BI43:BT43,INDEX($J:$J,MATCH($AF43,$M:$M,0)+BU$8-1))=0,
IF(COUNTIF($M:$M,$AF43)&lt;BU$8,
"",
INDEX($J:$J,MATCH($AF43,$M:$M,0)+BU$8-1)),
""),
"")</f>
        <v/>
      </c>
      <c r="BV43" s="21" t="str">
        <f>IFERROR(
IF(COUNTIF($BI43:BU43,INDEX($J:$J,MATCH($AF43,$M:$M,0)+BV$8-1))=0,
IF(COUNTIF($M:$M,$AF43)&lt;BV$8,
"",
INDEX($J:$J,MATCH($AF43,$M:$M,0)+BV$8-1)),
""),
"")</f>
        <v/>
      </c>
      <c r="BX43" s="21" t="str">
        <f>IFERROR(
IF(COUNTIF($BI43:BW43,INDEX($J:$J,MATCH($AG43,$M:$M,0)+BX$8-1))=0,
IF(COUNTIF($M:$M,$AG43)&lt;BX$8,
"",
INDEX($J:$J,MATCH($AG43,$M:$M,0)+BX$8-1)),
""),
"")</f>
        <v/>
      </c>
      <c r="BY43" s="21" t="str">
        <f>IFERROR(
IF(COUNTIF($BI43:BX43,INDEX($J:$J,MATCH($AG43,$M:$M,0)+BY$8-1))=0,
IF(COUNTIF($M:$M,$AG43)&lt;BY$8,
"",
INDEX($J:$J,MATCH($AG43,$M:$M,0)+BY$8-1)),
""),
"")</f>
        <v/>
      </c>
      <c r="BZ43" s="21" t="str">
        <f>IFERROR(
IF(COUNTIF($BI43:BY43,INDEX($J:$J,MATCH($AG43,$M:$M,0)+BZ$8-1))=0,
IF(COUNTIF($M:$M,$AG43)&lt;BZ$8,
"",
INDEX($J:$J,MATCH($AG43,$M:$M,0)+BZ$8-1)),
""),
"")</f>
        <v/>
      </c>
      <c r="CA43" s="21" t="str">
        <f>IFERROR(
IF(COUNTIF($BI43:BZ43,INDEX($J:$J,MATCH($AG43,$M:$M,0)+CA$8-1))=0,
IF(COUNTIF($M:$M,$AG43)&lt;CA$8,
"",
INDEX($J:$J,MATCH($AG43,$M:$M,0)+CA$8-1)),
""),
"")</f>
        <v/>
      </c>
      <c r="CC43" s="21" t="str">
        <f>IFERROR(
IF(COUNTIF($BI43:CB43,INDEX($J:$J,MATCH($AH43,$M:$M,0)+CC$8-1))=0,
IF(COUNTIF($M:$M,$AH43)&lt;CC$8,
"",
INDEX($J:$J,MATCH($AH43,$M:$M,0)+CC$8-1)),
""),
"")</f>
        <v/>
      </c>
      <c r="CD43" s="21" t="str">
        <f>IFERROR(
IF(COUNTIF($BI43:CC43,INDEX($J:$J,MATCH($AH43,$M:$M,0)+CD$8-1))=0,
IF(COUNTIF($M:$M,$AH43)&lt;CD$8,
"",
INDEX($J:$J,MATCH($AH43,$M:$M,0)+CD$8-1)),
""),
"")</f>
        <v/>
      </c>
      <c r="CE43" s="21" t="str">
        <f>IFERROR(
IF(COUNTIF($BI43:CD43,INDEX($J:$J,MATCH($AH43,$M:$M,0)+CE$8-1))=0,
IF(COUNTIF($M:$M,$AH43)&lt;CE$8,
"",
INDEX($J:$J,MATCH($AH43,$M:$M,0)+CE$8-1)),
""),
"")</f>
        <v/>
      </c>
      <c r="CF43" s="21" t="str">
        <f>IFERROR(
IF(COUNTIF($BI43:CE43,INDEX($J:$J,MATCH($AH43,$M:$M,0)+CF$8-1))=0,
IF(COUNTIF($M:$M,$AH43)&lt;CF$8,
"",
INDEX($J:$J,MATCH($AH43,$M:$M,0)+CF$8-1)),
""),
"")</f>
        <v/>
      </c>
      <c r="CH43" s="21" t="str">
        <f>IFERROR(
IF(COUNTIF($BI43:CG43,INDEX($J:$J,MATCH($AI43,$M:$M,0)+CH$8-1))=0,
IF(COUNTIF($M:$M,$AI43)&lt;CH$8,
"",
INDEX($J:$J,MATCH($AI43,$M:$M,0)+CH$8-1)),
""),
"")</f>
        <v/>
      </c>
      <c r="CI43" s="21" t="str">
        <f>IFERROR(
IF(COUNTIF($BI43:CH43,INDEX($J:$J,MATCH($AI43,$M:$M,0)+CI$8-1))=0,
IF(COUNTIF($M:$M,$AI43)&lt;CI$8,
"",
INDEX($J:$J,MATCH($AI43,$M:$M,0)+CI$8-1)),
""),
"")</f>
        <v/>
      </c>
      <c r="CJ43" s="21" t="str">
        <f>IFERROR(
IF(COUNTIF($BI43:CI43,INDEX($J:$J,MATCH($AI43,$M:$M,0)+CJ$8-1))=0,
IF(COUNTIF($M:$M,$AI43)&lt;CJ$8,
"",
INDEX($J:$J,MATCH($AI43,$M:$M,0)+CJ$8-1)),
""),
"")</f>
        <v/>
      </c>
      <c r="CK43" s="21" t="str">
        <f>IFERROR(
IF(COUNTIF($BI43:CJ43,INDEX($J:$J,MATCH($AI43,$M:$M,0)+CK$8-1))=0,
IF(COUNTIF($M:$M,$AI43)&lt;CK$8,
"",
INDEX($J:$J,MATCH($AI43,$M:$M,0)+CK$8-1)),
""),
"")</f>
        <v/>
      </c>
      <c r="CM43" s="21" t="str">
        <f>IFERROR(
IF(COUNTIF($BI43:CL43,INDEX($J:$J,MATCH($AJ43,$M:$M,0)+CM$8-1))=0,
IF(COUNTIF($M:$M,$AJ43)&lt;CM$8,
"",
INDEX($J:$J,MATCH($AJ43,$M:$M,0)+CM$8-1)),
""),
"")</f>
        <v/>
      </c>
      <c r="CN43" s="21" t="str">
        <f>IFERROR(
IF(COUNTIF($BI43:CM43,INDEX($J:$J,MATCH($AJ43,$M:$M,0)+CN$8-1))=0,
IF(COUNTIF($M:$M,$AJ43)&lt;CN$8,
"",
INDEX($J:$J,MATCH($AJ43,$M:$M,0)+CN$8-1)),
""),
"")</f>
        <v/>
      </c>
      <c r="CO43" s="21" t="str">
        <f>IFERROR(
IF(COUNTIF($BI43:CN43,INDEX($J:$J,MATCH($AJ43,$M:$M,0)+CO$8-1))=0,
IF(COUNTIF($M:$M,$AJ43)&lt;CO$8,
"",
INDEX($J:$J,MATCH($AJ43,$M:$M,0)+CO$8-1)),
""),
"")</f>
        <v/>
      </c>
      <c r="CP43" s="21" t="str">
        <f>IFERROR(
IF(COUNTIF($BI43:CO43,INDEX($J:$J,MATCH($AJ43,$M:$M,0)+CP$8-1))=0,
IF(COUNTIF($M:$M,$AJ43)&lt;CP$8,
"",
INDEX($J:$J,MATCH($AJ43,$M:$M,0)+CP$8-1)),
""),
"")</f>
        <v/>
      </c>
      <c r="CR43" s="21" t="str">
        <f>IFERROR(
IF(COUNTIF($BI43:CQ43,INDEX($J:$J,MATCH($AK43,$M:$M,0)+CR$8-1))=0,
IF(COUNTIF($M:$M,$AK43)&lt;CR$8,
"",
INDEX($J:$J,MATCH($AK43,$M:$M,0)+CR$8-1)),
""),
"")</f>
        <v/>
      </c>
      <c r="CS43" s="21" t="str">
        <f>IFERROR(
IF(COUNTIF($BI43:CR43,INDEX($J:$J,MATCH($AK43,$M:$M,0)+CS$8-1))=0,
IF(COUNTIF($M:$M,$AK43)&lt;CS$8,
"",
INDEX($J:$J,MATCH($AK43,$M:$M,0)+CS$8-1)),
""),
"")</f>
        <v/>
      </c>
      <c r="CT43" s="21" t="str">
        <f>IFERROR(
IF(COUNTIF($BI43:CS43,INDEX($J:$J,MATCH($AK43,$M:$M,0)+CT$8-1))=0,
IF(COUNTIF($M:$M,$AK43)&lt;CT$8,
"",
INDEX($J:$J,MATCH($AK43,$M:$M,0)+CT$8-1)),
""),
"")</f>
        <v/>
      </c>
      <c r="CU43" s="21" t="str">
        <f>IFERROR(
IF(COUNTIF($BI43:CT43,INDEX($J:$J,MATCH($AK43,$M:$M,0)+CU$8-1))=0,
IF(COUNTIF($M:$M,$AK43)&lt;CU$8,
"",
INDEX($J:$J,MATCH($AK43,$M:$M,0)+CU$8-1)),
""),
"")</f>
        <v/>
      </c>
    </row>
    <row r="44" spans="3:99" ht="14.25">
      <c r="C44" s="16">
        <v>36</v>
      </c>
      <c r="D44" s="19" t="s">
        <v>84</v>
      </c>
      <c r="E44" s="20">
        <f>INDEX([1]武将基本资料!$S:$S,MATCH(D44,[1]武将基本资料!$N:$N,0))</f>
        <v>120</v>
      </c>
      <c r="F44" s="20" t="str">
        <f>INDEX([1]武将基本资料!$Q:$Q,MATCH(D44,[1]武将基本资料!$N:$N,0))</f>
        <v>橙</v>
      </c>
      <c r="H44" s="7" t="str">
        <f>IF(I44="","",COUNTA(I$9:$I44))</f>
        <v/>
      </c>
      <c r="I44" s="6" t="s">
        <v>188</v>
      </c>
      <c r="J44" s="6" t="s">
        <v>156</v>
      </c>
      <c r="K44" s="8" t="str">
        <f>IF(H44="","",阶段合并区域(J44:J54," ",L44:L54,1))</f>
        <v/>
      </c>
      <c r="L44" s="8">
        <f>COUNTIF(M$8:$M44,"="&amp;M44)</f>
        <v>2</v>
      </c>
      <c r="M44" s="9" t="str">
        <f t="shared" si="3"/>
        <v>东征西讨</v>
      </c>
      <c r="N44" s="9" t="str">
        <f t="shared" si="4"/>
        <v>东征西讨2</v>
      </c>
      <c r="O44" s="15">
        <f>INDEX(C:C,MATCH(J44,D:D,0))</f>
        <v>53</v>
      </c>
      <c r="P44" s="9">
        <f>INDEX(E:E,MATCH(J44,D:D,0))</f>
        <v>110</v>
      </c>
      <c r="Q44" s="7">
        <f t="shared" si="0"/>
        <v>53</v>
      </c>
      <c r="R44" s="7">
        <f>COUNTIF(J$8:$J44,"="&amp;J44)</f>
        <v>1</v>
      </c>
      <c r="S44" s="7">
        <f t="shared" si="5"/>
        <v>1053</v>
      </c>
      <c r="U44" s="7">
        <f t="shared" si="9"/>
        <v>1036</v>
      </c>
      <c r="V44" s="7">
        <f t="shared" si="9"/>
        <v>2036</v>
      </c>
      <c r="W44" s="7">
        <f t="shared" si="9"/>
        <v>3036</v>
      </c>
      <c r="X44" s="7">
        <f t="shared" si="9"/>
        <v>4036</v>
      </c>
      <c r="Y44" s="7">
        <f t="shared" si="9"/>
        <v>5036</v>
      </c>
      <c r="Z44" s="7">
        <f t="shared" si="9"/>
        <v>6036</v>
      </c>
      <c r="AA44" s="7">
        <f t="shared" si="9"/>
        <v>7036</v>
      </c>
      <c r="AB44" s="7">
        <f t="shared" si="9"/>
        <v>8036</v>
      </c>
      <c r="AD44" s="21" t="str">
        <f>IFERROR(INDEX($M:$M,MATCH(U44,$S:$S,0)),"&amp;")</f>
        <v>田忌赛马</v>
      </c>
      <c r="AE44" s="21" t="str">
        <f>IFERROR(INDEX($M:$M,MATCH(V44,$S:$S,0)),"&amp;")</f>
        <v>针锋相对</v>
      </c>
      <c r="AF44" s="21" t="str">
        <f>IFERROR(INDEX($M:$M,MATCH(W44,$S:$S,0)),"&amp;")</f>
        <v>报仇雪耻</v>
      </c>
      <c r="AG44" s="21" t="str">
        <f>IFERROR(INDEX($M:$M,MATCH(X44,$S:$S,0)),"&amp;")</f>
        <v>著书立说</v>
      </c>
      <c r="AH44" s="21" t="str">
        <f>IFERROR(INDEX($M:$M,MATCH(Y44,$S:$S,0)),"&amp;")</f>
        <v>为国为民</v>
      </c>
      <c r="AI44" s="21" t="str">
        <f>IFERROR(INDEX($M:$M,MATCH(Z44,$S:$S,0)),"&amp;")</f>
        <v>权力之路</v>
      </c>
      <c r="AJ44" s="21" t="str">
        <f>IFERROR(INDEX($M:$M,MATCH(AA44,$S:$S,0)),"&amp;")</f>
        <v>野心勃勃</v>
      </c>
      <c r="AK44" s="21" t="str">
        <f>IFERROR(INDEX($M:$M,MATCH(AB44,$S:$S,0)),"&amp;")</f>
        <v>古之名将</v>
      </c>
      <c r="AM44" s="21" t="str">
        <f>IFERROR(INDEX($N:$N,MATCH(U44,$S:$S,0)),"&amp;")</f>
        <v>田忌赛马1</v>
      </c>
      <c r="AN44" s="21" t="str">
        <f>IFERROR(INDEX($N:$N,MATCH(V44,$S:$S,0)),"&amp;")</f>
        <v>针锋相对1</v>
      </c>
      <c r="AO44" s="21" t="str">
        <f>IFERROR(INDEX($N:$N,MATCH(W44,$S:$S,0)),"&amp;")</f>
        <v>报仇雪耻1</v>
      </c>
      <c r="AP44" s="21" t="str">
        <f>IFERROR(INDEX($N:$N,MATCH(X44,$S:$S,0)),"&amp;")</f>
        <v>著书立说3</v>
      </c>
      <c r="AQ44" s="21" t="str">
        <f>IFERROR(INDEX($N:$N,MATCH(Y44,$S:$S,0)),"&amp;")</f>
        <v>为国为民3</v>
      </c>
      <c r="AR44" s="21" t="str">
        <f>IFERROR(INDEX($N:$N,MATCH(Z44,$S:$S,0)),"&amp;")</f>
        <v>权力之路4</v>
      </c>
      <c r="AS44" s="21" t="str">
        <f>IFERROR(INDEX($N:$N,MATCH(AA44,$S:$S,0)),"&amp;")</f>
        <v>野心勃勃4</v>
      </c>
      <c r="AT44" s="21" t="str">
        <f>IFERROR(INDEX($N:$N,MATCH(AB44,$S:$S,0)),"&amp;")</f>
        <v>古之名将2</v>
      </c>
      <c r="AV44" s="21" t="str">
        <f>IFERROR(SUBSTITUTE(INDEX($K:$K,MATCH(INDEX($M:$M,MATCH(AM44,$N:$N,0)),$M:$M,0)),$D44,""),"")</f>
        <v xml:space="preserve"> 田忌</v>
      </c>
      <c r="AW44" s="21" t="str">
        <f>IFERROR(SUBSTITUTE(INDEX($K:$K,MATCH(INDEX($M:$M,MATCH(AN44,$N:$N,0)),$M:$M,0)),$D44,""),"")</f>
        <v xml:space="preserve"> 庞涓</v>
      </c>
      <c r="AX44" s="21" t="str">
        <f>IFERROR(SUBSTITUTE(INDEX($K:$K,MATCH(INDEX($M:$M,MATCH(AO44,$N:$N,0)),$M:$M,0)),$D44,""),"")</f>
        <v xml:space="preserve"> 伍子胥</v>
      </c>
      <c r="AY44" s="21" t="str">
        <f>IFERROR(SUBSTITUTE(INDEX($K:$K,MATCH(INDEX($M:$M,MATCH(AP44,$N:$N,0)),$M:$M,0)),$D44,""),"")</f>
        <v>吴起 司马穰苴  吕不韦</v>
      </c>
      <c r="AZ44" s="21" t="str">
        <f>IFERROR(SUBSTITUTE(INDEX($K:$K,MATCH(INDEX($M:$M,MATCH(AQ44,$N:$N,0)),$M:$M,0)),$D44,""),"")</f>
        <v>墨子 屈原  韩非子</v>
      </c>
      <c r="BA44" s="21" t="str">
        <f>IFERROR(SUBSTITUTE(INDEX($K:$K,MATCH(INDEX($M:$M,MATCH(AR44,$N:$N,0)),$M:$M,0)),$D44,""),"")</f>
        <v>典藏吕不韦 吕不韦 韩非子</v>
      </c>
      <c r="BB44" s="21" t="str">
        <f>IFERROR(SUBSTITUTE(INDEX($K:$K,MATCH(INDEX($M:$M,MATCH(AS44,$N:$N,0)),$M:$M,0)),$D44,""),"")</f>
        <v xml:space="preserve">晋文公 吕不韦 义渠骇 </v>
      </c>
      <c r="BC44" s="21" t="str">
        <f>IFERROR(SUBSTITUTE(INDEX($K:$K,MATCH(INDEX($M:$M,MATCH(AT44,$N:$N,0)),$M:$M,0)),$D44,""),"")</f>
        <v>赵奢  田单</v>
      </c>
      <c r="BE44" s="9" t="str">
        <f t="shared" si="7"/>
        <v>孙膑,田忌,庞涓,伍子胥,吴起,司马穰苴,吕不韦,墨子,屈原,韩非子,典藏吕不韦,晋文公,义渠骇,赵奢,田单</v>
      </c>
      <c r="BI44" s="9" t="str">
        <f>IFERROR(
IF(COUNTIF($M:$M,$AD44)&lt;BI$8,
"",
INDEX($J:$J,MATCH($AD44,$M:$M,0)+BI$8-1)),
"")</f>
        <v>孙膑</v>
      </c>
      <c r="BJ44" s="9" t="str">
        <f>IFERROR(
IF(COUNTIF($M:$M,$AD44)&lt;BJ$8,
"",
INDEX($J:$J,MATCH($AD44,$M:$M,0)+BJ$8-1)),
"")</f>
        <v>田忌</v>
      </c>
      <c r="BK44" s="9" t="str">
        <f>IFERROR(
IF(COUNTIF($M:$M,$AD44)&lt;BK$8,
"",
INDEX($J:$J,MATCH($AD44,$M:$M,0)+BK$8-1)),
"")</f>
        <v/>
      </c>
      <c r="BL44" s="9" t="str">
        <f>IFERROR(
IF(COUNTIF($M:$M,$AD44)&lt;BL$8,
"",
INDEX($J:$J,MATCH($AD44,$M:$M,0)+BL$8-1)),
"")</f>
        <v/>
      </c>
      <c r="BN44" s="21" t="str">
        <f>IFERROR(
IF(COUNTIF($BI44:BM44,INDEX($J:$J,MATCH($AE44,$M:$M,0)+BN$8-1))=0,
IF(COUNTIF($M:$M,$AE44)&lt;BN$8,
"",
INDEX($J:$J,MATCH($AE44,$M:$M,0)+BN$8-1)),
""),
"")</f>
        <v/>
      </c>
      <c r="BO44" s="21" t="str">
        <f>IFERROR(
IF(COUNTIF($BI44:BN44,INDEX($J:$J,MATCH($AE44,$M:$M,0)+BO$8-1))=0,
IF(COUNTIF($M:$M,$AE44)&lt;BO$8,
"",
INDEX($J:$J,MATCH($AE44,$M:$M,0)+BO$8-1)),
""),
"")</f>
        <v>庞涓</v>
      </c>
      <c r="BP44" s="21" t="str">
        <f>IFERROR(
IF(COUNTIF($BI44:BO44,INDEX($J:$J,MATCH($AE44,$M:$M,0)+BP$8-1))=0,
IF(COUNTIF($M:$M,$AE44)&lt;BP$8,
"",
INDEX($J:$J,MATCH($AE44,$M:$M,0)+BP$8-1)),
""),
"")</f>
        <v/>
      </c>
      <c r="BQ44" s="21" t="str">
        <f>IFERROR(
IF(COUNTIF($BI44:BP44,INDEX($J:$J,MATCH($AE44,$M:$M,0)+BQ$8-1))=0,
IF(COUNTIF($M:$M,$AE44)&lt;BQ$8,
"",
INDEX($J:$J,MATCH($AE44,$M:$M,0)+BQ$8-1)),
""),
"")</f>
        <v/>
      </c>
      <c r="BS44" s="21" t="str">
        <f>IFERROR(
IF(COUNTIF($BI44:BR44,INDEX($J:$J,MATCH($AF44,$M:$M,0)+BS$8-1))=0,
IF(COUNTIF($M:$M,$AF44)&lt;BS$8,
"",
INDEX($J:$J,MATCH($AF44,$M:$M,0)+BS$8-1)),
""),
"")</f>
        <v/>
      </c>
      <c r="BT44" s="21" t="str">
        <f>IFERROR(
IF(COUNTIF($BI44:BS44,INDEX($J:$J,MATCH($AF44,$M:$M,0)+BT$8-1))=0,
IF(COUNTIF($M:$M,$AF44)&lt;BT$8,
"",
INDEX($J:$J,MATCH($AF44,$M:$M,0)+BT$8-1)),
""),
"")</f>
        <v>伍子胥</v>
      </c>
      <c r="BU44" s="21" t="str">
        <f>IFERROR(
IF(COUNTIF($BI44:BT44,INDEX($J:$J,MATCH($AF44,$M:$M,0)+BU$8-1))=0,
IF(COUNTIF($M:$M,$AF44)&lt;BU$8,
"",
INDEX($J:$J,MATCH($AF44,$M:$M,0)+BU$8-1)),
""),
"")</f>
        <v/>
      </c>
      <c r="BV44" s="21" t="str">
        <f>IFERROR(
IF(COUNTIF($BI44:BU44,INDEX($J:$J,MATCH($AF44,$M:$M,0)+BV$8-1))=0,
IF(COUNTIF($M:$M,$AF44)&lt;BV$8,
"",
INDEX($J:$J,MATCH($AF44,$M:$M,0)+BV$8-1)),
""),
"")</f>
        <v/>
      </c>
      <c r="BX44" s="21" t="str">
        <f>IFERROR(
IF(COUNTIF($BI44:BW44,INDEX($J:$J,MATCH($AG44,$M:$M,0)+BX$8-1))=0,
IF(COUNTIF($M:$M,$AG44)&lt;BX$8,
"",
INDEX($J:$J,MATCH($AG44,$M:$M,0)+BX$8-1)),
""),
"")</f>
        <v>吴起</v>
      </c>
      <c r="BY44" s="21" t="str">
        <f>IFERROR(
IF(COUNTIF($BI44:BX44,INDEX($J:$J,MATCH($AG44,$M:$M,0)+BY$8-1))=0,
IF(COUNTIF($M:$M,$AG44)&lt;BY$8,
"",
INDEX($J:$J,MATCH($AG44,$M:$M,0)+BY$8-1)),
""),
"")</f>
        <v>司马穰苴</v>
      </c>
      <c r="BZ44" s="21" t="str">
        <f>IFERROR(
IF(COUNTIF($BI44:BY44,INDEX($J:$J,MATCH($AG44,$M:$M,0)+BZ$8-1))=0,
IF(COUNTIF($M:$M,$AG44)&lt;BZ$8,
"",
INDEX($J:$J,MATCH($AG44,$M:$M,0)+BZ$8-1)),
""),
"")</f>
        <v/>
      </c>
      <c r="CA44" s="21" t="str">
        <f>IFERROR(
IF(COUNTIF($BI44:BZ44,INDEX($J:$J,MATCH($AG44,$M:$M,0)+CA$8-1))=0,
IF(COUNTIF($M:$M,$AG44)&lt;CA$8,
"",
INDEX($J:$J,MATCH($AG44,$M:$M,0)+CA$8-1)),
""),
"")</f>
        <v>吕不韦</v>
      </c>
      <c r="CC44" s="21" t="str">
        <f>IFERROR(
IF(COUNTIF($BI44:CB44,INDEX($J:$J,MATCH($AH44,$M:$M,0)+CC$8-1))=0,
IF(COUNTIF($M:$M,$AH44)&lt;CC$8,
"",
INDEX($J:$J,MATCH($AH44,$M:$M,0)+CC$8-1)),
""),
"")</f>
        <v>墨子</v>
      </c>
      <c r="CD44" s="21" t="str">
        <f>IFERROR(
IF(COUNTIF($BI44:CC44,INDEX($J:$J,MATCH($AH44,$M:$M,0)+CD$8-1))=0,
IF(COUNTIF($M:$M,$AH44)&lt;CD$8,
"",
INDEX($J:$J,MATCH($AH44,$M:$M,0)+CD$8-1)),
""),
"")</f>
        <v>屈原</v>
      </c>
      <c r="CE44" s="21" t="str">
        <f>IFERROR(
IF(COUNTIF($BI44:CD44,INDEX($J:$J,MATCH($AH44,$M:$M,0)+CE$8-1))=0,
IF(COUNTIF($M:$M,$AH44)&lt;CE$8,
"",
INDEX($J:$J,MATCH($AH44,$M:$M,0)+CE$8-1)),
""),
"")</f>
        <v/>
      </c>
      <c r="CF44" s="21" t="str">
        <f>IFERROR(
IF(COUNTIF($BI44:CE44,INDEX($J:$J,MATCH($AH44,$M:$M,0)+CF$8-1))=0,
IF(COUNTIF($M:$M,$AH44)&lt;CF$8,
"",
INDEX($J:$J,MATCH($AH44,$M:$M,0)+CF$8-1)),
""),
"")</f>
        <v>韩非子</v>
      </c>
      <c r="CH44" s="21" t="str">
        <f>IFERROR(
IF(COUNTIF($BI44:CG44,INDEX($J:$J,MATCH($AI44,$M:$M,0)+CH$8-1))=0,
IF(COUNTIF($M:$M,$AI44)&lt;CH$8,
"",
INDEX($J:$J,MATCH($AI44,$M:$M,0)+CH$8-1)),
""),
"")</f>
        <v>典藏吕不韦</v>
      </c>
      <c r="CI44" s="21" t="str">
        <f>IFERROR(
IF(COUNTIF($BI44:CH44,INDEX($J:$J,MATCH($AI44,$M:$M,0)+CI$8-1))=0,
IF(COUNTIF($M:$M,$AI44)&lt;CI$8,
"",
INDEX($J:$J,MATCH($AI44,$M:$M,0)+CI$8-1)),
""),
"")</f>
        <v/>
      </c>
      <c r="CJ44" s="21" t="str">
        <f>IFERROR(
IF(COUNTIF($BI44:CI44,INDEX($J:$J,MATCH($AI44,$M:$M,0)+CJ$8-1))=0,
IF(COUNTIF($M:$M,$AI44)&lt;CJ$8,
"",
INDEX($J:$J,MATCH($AI44,$M:$M,0)+CJ$8-1)),
""),
"")</f>
        <v/>
      </c>
      <c r="CK44" s="21" t="str">
        <f>IFERROR(
IF(COUNTIF($BI44:CJ44,INDEX($J:$J,MATCH($AI44,$M:$M,0)+CK$8-1))=0,
IF(COUNTIF($M:$M,$AI44)&lt;CK$8,
"",
INDEX($J:$J,MATCH($AI44,$M:$M,0)+CK$8-1)),
""),
"")</f>
        <v/>
      </c>
      <c r="CM44" s="21" t="str">
        <f>IFERROR(
IF(COUNTIF($BI44:CL44,INDEX($J:$J,MATCH($AJ44,$M:$M,0)+CM$8-1))=0,
IF(COUNTIF($M:$M,$AJ44)&lt;CM$8,
"",
INDEX($J:$J,MATCH($AJ44,$M:$M,0)+CM$8-1)),
""),
"")</f>
        <v>晋文公</v>
      </c>
      <c r="CN44" s="21" t="str">
        <f>IFERROR(
IF(COUNTIF($BI44:CM44,INDEX($J:$J,MATCH($AJ44,$M:$M,0)+CN$8-1))=0,
IF(COUNTIF($M:$M,$AJ44)&lt;CN$8,
"",
INDEX($J:$J,MATCH($AJ44,$M:$M,0)+CN$8-1)),
""),
"")</f>
        <v/>
      </c>
      <c r="CO44" s="21" t="str">
        <f>IFERROR(
IF(COUNTIF($BI44:CN44,INDEX($J:$J,MATCH($AJ44,$M:$M,0)+CO$8-1))=0,
IF(COUNTIF($M:$M,$AJ44)&lt;CO$8,
"",
INDEX($J:$J,MATCH($AJ44,$M:$M,0)+CO$8-1)),
""),
"")</f>
        <v>义渠骇</v>
      </c>
      <c r="CP44" s="21" t="str">
        <f>IFERROR(
IF(COUNTIF($BI44:CO44,INDEX($J:$J,MATCH($AJ44,$M:$M,0)+CP$8-1))=0,
IF(COUNTIF($M:$M,$AJ44)&lt;CP$8,
"",
INDEX($J:$J,MATCH($AJ44,$M:$M,0)+CP$8-1)),
""),
"")</f>
        <v/>
      </c>
      <c r="CR44" s="21" t="str">
        <f>IFERROR(
IF(COUNTIF($BI44:CQ44,INDEX($J:$J,MATCH($AK44,$M:$M,0)+CR$8-1))=0,
IF(COUNTIF($M:$M,$AK44)&lt;CR$8,
"",
INDEX($J:$J,MATCH($AK44,$M:$M,0)+CR$8-1)),
""),
"")</f>
        <v>赵奢</v>
      </c>
      <c r="CS44" s="21" t="str">
        <f>IFERROR(
IF(COUNTIF($BI44:CR44,INDEX($J:$J,MATCH($AK44,$M:$M,0)+CS$8-1))=0,
IF(COUNTIF($M:$M,$AK44)&lt;CS$8,
"",
INDEX($J:$J,MATCH($AK44,$M:$M,0)+CS$8-1)),
""),
"")</f>
        <v/>
      </c>
      <c r="CT44" s="21" t="str">
        <f>IFERROR(
IF(COUNTIF($BI44:CS44,INDEX($J:$J,MATCH($AK44,$M:$M,0)+CT$8-1))=0,
IF(COUNTIF($M:$M,$AK44)&lt;CT$8,
"",
INDEX($J:$J,MATCH($AK44,$M:$M,0)+CT$8-1)),
""),
"")</f>
        <v>田单</v>
      </c>
      <c r="CU44" s="21" t="str">
        <f>IFERROR(
IF(COUNTIF($BI44:CT44,INDEX($J:$J,MATCH($AK44,$M:$M,0)+CU$8-1))=0,
IF(COUNTIF($M:$M,$AK44)&lt;CU$8,
"",
INDEX($J:$J,MATCH($AK44,$M:$M,0)+CU$8-1)),
""),
"")</f>
        <v/>
      </c>
    </row>
    <row r="45" spans="3:99" ht="14.25">
      <c r="C45" s="16">
        <v>37</v>
      </c>
      <c r="D45" s="19" t="s">
        <v>81</v>
      </c>
      <c r="E45" s="20">
        <f>INDEX([1]武将基本资料!$S:$S,MATCH(D45,[1]武将基本资料!$N:$N,0))</f>
        <v>130</v>
      </c>
      <c r="F45" s="20" t="str">
        <f>INDEX([1]武将基本资料!$Q:$Q,MATCH(D45,[1]武将基本资料!$N:$N,0))</f>
        <v>橙+</v>
      </c>
      <c r="H45" s="7">
        <f>IF(I45="","",COUNTA(I$9:$I45))</f>
        <v>35</v>
      </c>
      <c r="I45" s="6" t="s">
        <v>148</v>
      </c>
      <c r="J45" s="6" t="s">
        <v>71</v>
      </c>
      <c r="K45" s="8" t="str">
        <f>IF(H45="","",阶段合并区域(J45:J55," ",L45:L55,1))</f>
        <v>伍子胥 信陵君</v>
      </c>
      <c r="L45" s="8">
        <f>COUNTIF(M$8:$M45,"="&amp;M45)</f>
        <v>1</v>
      </c>
      <c r="M45" s="9" t="str">
        <f t="shared" si="3"/>
        <v>出将入相</v>
      </c>
      <c r="N45" s="9" t="str">
        <f t="shared" si="4"/>
        <v>出将入相1</v>
      </c>
      <c r="O45" s="15">
        <f>INDEX(C:C,MATCH(J45,D:D,0))</f>
        <v>62</v>
      </c>
      <c r="P45" s="9">
        <f>INDEX(E:E,MATCH(J45,D:D,0))</f>
        <v>120</v>
      </c>
      <c r="Q45" s="7">
        <f t="shared" si="0"/>
        <v>62</v>
      </c>
      <c r="R45" s="7">
        <f>COUNTIF(J$8:$J45,"="&amp;J45)</f>
        <v>2</v>
      </c>
      <c r="S45" s="7">
        <f t="shared" si="5"/>
        <v>2062</v>
      </c>
      <c r="U45" s="7">
        <f t="shared" si="9"/>
        <v>1037</v>
      </c>
      <c r="V45" s="7">
        <f t="shared" si="9"/>
        <v>2037</v>
      </c>
      <c r="W45" s="7">
        <f t="shared" si="9"/>
        <v>3037</v>
      </c>
      <c r="X45" s="7">
        <f t="shared" si="9"/>
        <v>4037</v>
      </c>
      <c r="Y45" s="7">
        <f t="shared" si="9"/>
        <v>5037</v>
      </c>
      <c r="Z45" s="7">
        <f t="shared" si="9"/>
        <v>6037</v>
      </c>
      <c r="AA45" s="7">
        <f t="shared" si="9"/>
        <v>7037</v>
      </c>
      <c r="AB45" s="7">
        <f t="shared" si="9"/>
        <v>8037</v>
      </c>
      <c r="AD45" s="21" t="str">
        <f>IFERROR(INDEX($M:$M,MATCH(U45,$S:$S,0)),"&amp;")</f>
        <v>&amp;</v>
      </c>
      <c r="AE45" s="21" t="str">
        <f>IFERROR(INDEX($M:$M,MATCH(V45,$S:$S,0)),"&amp;")</f>
        <v>&amp;</v>
      </c>
      <c r="AF45" s="21" t="str">
        <f>IFERROR(INDEX($M:$M,MATCH(W45,$S:$S,0)),"&amp;")</f>
        <v>&amp;</v>
      </c>
      <c r="AG45" s="21" t="str">
        <f>IFERROR(INDEX($M:$M,MATCH(X45,$S:$S,0)),"&amp;")</f>
        <v>&amp;</v>
      </c>
      <c r="AH45" s="21" t="str">
        <f>IFERROR(INDEX($M:$M,MATCH(Y45,$S:$S,0)),"&amp;")</f>
        <v>&amp;</v>
      </c>
      <c r="AI45" s="21" t="str">
        <f>IFERROR(INDEX($M:$M,MATCH(Z45,$S:$S,0)),"&amp;")</f>
        <v>&amp;</v>
      </c>
      <c r="AJ45" s="21" t="str">
        <f>IFERROR(INDEX($M:$M,MATCH(AA45,$S:$S,0)),"&amp;")</f>
        <v>&amp;</v>
      </c>
      <c r="AK45" s="21" t="str">
        <f>IFERROR(INDEX($M:$M,MATCH(AB45,$S:$S,0)),"&amp;")</f>
        <v>&amp;</v>
      </c>
      <c r="AM45" s="21" t="str">
        <f>IFERROR(INDEX($N:$N,MATCH(U45,$S:$S,0)),"&amp;")</f>
        <v>&amp;</v>
      </c>
      <c r="AN45" s="21" t="str">
        <f>IFERROR(INDEX($N:$N,MATCH(V45,$S:$S,0)),"&amp;")</f>
        <v>&amp;</v>
      </c>
      <c r="AO45" s="21" t="str">
        <f>IFERROR(INDEX($N:$N,MATCH(W45,$S:$S,0)),"&amp;")</f>
        <v>&amp;</v>
      </c>
      <c r="AP45" s="21" t="str">
        <f>IFERROR(INDEX($N:$N,MATCH(X45,$S:$S,0)),"&amp;")</f>
        <v>&amp;</v>
      </c>
      <c r="AQ45" s="21" t="str">
        <f>IFERROR(INDEX($N:$N,MATCH(Y45,$S:$S,0)),"&amp;")</f>
        <v>&amp;</v>
      </c>
      <c r="AR45" s="21" t="str">
        <f>IFERROR(INDEX($N:$N,MATCH(Z45,$S:$S,0)),"&amp;")</f>
        <v>&amp;</v>
      </c>
      <c r="AS45" s="21" t="str">
        <f>IFERROR(INDEX($N:$N,MATCH(AA45,$S:$S,0)),"&amp;")</f>
        <v>&amp;</v>
      </c>
      <c r="AT45" s="21" t="str">
        <f>IFERROR(INDEX($N:$N,MATCH(AB45,$S:$S,0)),"&amp;")</f>
        <v>&amp;</v>
      </c>
      <c r="AV45" s="21" t="str">
        <f>IFERROR(SUBSTITUTE(INDEX($K:$K,MATCH(INDEX($M:$M,MATCH(AM45,$N:$N,0)),$M:$M,0)),$D45,""),"")</f>
        <v/>
      </c>
      <c r="AW45" s="21" t="str">
        <f>IFERROR(SUBSTITUTE(INDEX($K:$K,MATCH(INDEX($M:$M,MATCH(AN45,$N:$N,0)),$M:$M,0)),$D45,""),"")</f>
        <v/>
      </c>
      <c r="AX45" s="21" t="str">
        <f>IFERROR(SUBSTITUTE(INDEX($K:$K,MATCH(INDEX($M:$M,MATCH(AO45,$N:$N,0)),$M:$M,0)),$D45,""),"")</f>
        <v/>
      </c>
      <c r="AY45" s="21" t="str">
        <f>IFERROR(SUBSTITUTE(INDEX($K:$K,MATCH(INDEX($M:$M,MATCH(AP45,$N:$N,0)),$M:$M,0)),$D45,""),"")</f>
        <v/>
      </c>
      <c r="AZ45" s="21" t="str">
        <f>IFERROR(SUBSTITUTE(INDEX($K:$K,MATCH(INDEX($M:$M,MATCH(AQ45,$N:$N,0)),$M:$M,0)),$D45,""),"")</f>
        <v/>
      </c>
      <c r="BA45" s="21" t="str">
        <f>IFERROR(SUBSTITUTE(INDEX($K:$K,MATCH(INDEX($M:$M,MATCH(AR45,$N:$N,0)),$M:$M,0)),$D45,""),"")</f>
        <v/>
      </c>
      <c r="BB45" s="21" t="str">
        <f>IFERROR(SUBSTITUTE(INDEX($K:$K,MATCH(INDEX($M:$M,MATCH(AS45,$N:$N,0)),$M:$M,0)),$D45,""),"")</f>
        <v/>
      </c>
      <c r="BC45" s="21" t="str">
        <f>IFERROR(SUBSTITUTE(INDEX($K:$K,MATCH(INDEX($M:$M,MATCH(AT45,$N:$N,0)),$M:$M,0)),$D45,""),"")</f>
        <v/>
      </c>
      <c r="BE45" s="9" t="str">
        <f t="shared" si="7"/>
        <v/>
      </c>
      <c r="BI45" s="9" t="str">
        <f>IFERROR(
IF(COUNTIF($M:$M,$AD45)&lt;BI$8,
"",
INDEX($J:$J,MATCH($AD45,$M:$M,0)+BI$8-1)),
"")</f>
        <v/>
      </c>
      <c r="BJ45" s="9" t="str">
        <f>IFERROR(
IF(COUNTIF($M:$M,$AD45)&lt;BJ$8,
"",
INDEX($J:$J,MATCH($AD45,$M:$M,0)+BJ$8-1)),
"")</f>
        <v/>
      </c>
      <c r="BK45" s="9" t="str">
        <f>IFERROR(
IF(COUNTIF($M:$M,$AD45)&lt;BK$8,
"",
INDEX($J:$J,MATCH($AD45,$M:$M,0)+BK$8-1)),
"")</f>
        <v/>
      </c>
      <c r="BL45" s="9" t="str">
        <f>IFERROR(
IF(COUNTIF($M:$M,$AD45)&lt;BL$8,
"",
INDEX($J:$J,MATCH($AD45,$M:$M,0)+BL$8-1)),
"")</f>
        <v/>
      </c>
      <c r="BN45" s="21" t="str">
        <f>IFERROR(
IF(COUNTIF($BI45:BM45,INDEX($J:$J,MATCH($AE45,$M:$M,0)+BN$8-1))=0,
IF(COUNTIF($M:$M,$AE45)&lt;BN$8,
"",
INDEX($J:$J,MATCH($AE45,$M:$M,0)+BN$8-1)),
""),
"")</f>
        <v/>
      </c>
      <c r="BO45" s="21" t="str">
        <f>IFERROR(
IF(COUNTIF($BI45:BN45,INDEX($J:$J,MATCH($AE45,$M:$M,0)+BO$8-1))=0,
IF(COUNTIF($M:$M,$AE45)&lt;BO$8,
"",
INDEX($J:$J,MATCH($AE45,$M:$M,0)+BO$8-1)),
""),
"")</f>
        <v/>
      </c>
      <c r="BP45" s="21" t="str">
        <f>IFERROR(
IF(COUNTIF($BI45:BO45,INDEX($J:$J,MATCH($AE45,$M:$M,0)+BP$8-1))=0,
IF(COUNTIF($M:$M,$AE45)&lt;BP$8,
"",
INDEX($J:$J,MATCH($AE45,$M:$M,0)+BP$8-1)),
""),
"")</f>
        <v/>
      </c>
      <c r="BQ45" s="21" t="str">
        <f>IFERROR(
IF(COUNTIF($BI45:BP45,INDEX($J:$J,MATCH($AE45,$M:$M,0)+BQ$8-1))=0,
IF(COUNTIF($M:$M,$AE45)&lt;BQ$8,
"",
INDEX($J:$J,MATCH($AE45,$M:$M,0)+BQ$8-1)),
""),
"")</f>
        <v/>
      </c>
      <c r="BS45" s="21" t="str">
        <f>IFERROR(
IF(COUNTIF($BI45:BR45,INDEX($J:$J,MATCH($AF45,$M:$M,0)+BS$8-1))=0,
IF(COUNTIF($M:$M,$AF45)&lt;BS$8,
"",
INDEX($J:$J,MATCH($AF45,$M:$M,0)+BS$8-1)),
""),
"")</f>
        <v/>
      </c>
      <c r="BT45" s="21" t="str">
        <f>IFERROR(
IF(COUNTIF($BI45:BS45,INDEX($J:$J,MATCH($AF45,$M:$M,0)+BT$8-1))=0,
IF(COUNTIF($M:$M,$AF45)&lt;BT$8,
"",
INDEX($J:$J,MATCH($AF45,$M:$M,0)+BT$8-1)),
""),
"")</f>
        <v/>
      </c>
      <c r="BU45" s="21" t="str">
        <f>IFERROR(
IF(COUNTIF($BI45:BT45,INDEX($J:$J,MATCH($AF45,$M:$M,0)+BU$8-1))=0,
IF(COUNTIF($M:$M,$AF45)&lt;BU$8,
"",
INDEX($J:$J,MATCH($AF45,$M:$M,0)+BU$8-1)),
""),
"")</f>
        <v/>
      </c>
      <c r="BV45" s="21" t="str">
        <f>IFERROR(
IF(COUNTIF($BI45:BU45,INDEX($J:$J,MATCH($AF45,$M:$M,0)+BV$8-1))=0,
IF(COUNTIF($M:$M,$AF45)&lt;BV$8,
"",
INDEX($J:$J,MATCH($AF45,$M:$M,0)+BV$8-1)),
""),
"")</f>
        <v/>
      </c>
      <c r="BX45" s="21" t="str">
        <f>IFERROR(
IF(COUNTIF($BI45:BW45,INDEX($J:$J,MATCH($AG45,$M:$M,0)+BX$8-1))=0,
IF(COUNTIF($M:$M,$AG45)&lt;BX$8,
"",
INDEX($J:$J,MATCH($AG45,$M:$M,0)+BX$8-1)),
""),
"")</f>
        <v/>
      </c>
      <c r="BY45" s="21" t="str">
        <f>IFERROR(
IF(COUNTIF($BI45:BX45,INDEX($J:$J,MATCH($AG45,$M:$M,0)+BY$8-1))=0,
IF(COUNTIF($M:$M,$AG45)&lt;BY$8,
"",
INDEX($J:$J,MATCH($AG45,$M:$M,0)+BY$8-1)),
""),
"")</f>
        <v/>
      </c>
      <c r="BZ45" s="21" t="str">
        <f>IFERROR(
IF(COUNTIF($BI45:BY45,INDEX($J:$J,MATCH($AG45,$M:$M,0)+BZ$8-1))=0,
IF(COUNTIF($M:$M,$AG45)&lt;BZ$8,
"",
INDEX($J:$J,MATCH($AG45,$M:$M,0)+BZ$8-1)),
""),
"")</f>
        <v/>
      </c>
      <c r="CA45" s="21" t="str">
        <f>IFERROR(
IF(COUNTIF($BI45:BZ45,INDEX($J:$J,MATCH($AG45,$M:$M,0)+CA$8-1))=0,
IF(COUNTIF($M:$M,$AG45)&lt;CA$8,
"",
INDEX($J:$J,MATCH($AG45,$M:$M,0)+CA$8-1)),
""),
"")</f>
        <v/>
      </c>
      <c r="CC45" s="21" t="str">
        <f>IFERROR(
IF(COUNTIF($BI45:CB45,INDEX($J:$J,MATCH($AH45,$M:$M,0)+CC$8-1))=0,
IF(COUNTIF($M:$M,$AH45)&lt;CC$8,
"",
INDEX($J:$J,MATCH($AH45,$M:$M,0)+CC$8-1)),
""),
"")</f>
        <v/>
      </c>
      <c r="CD45" s="21" t="str">
        <f>IFERROR(
IF(COUNTIF($BI45:CC45,INDEX($J:$J,MATCH($AH45,$M:$M,0)+CD$8-1))=0,
IF(COUNTIF($M:$M,$AH45)&lt;CD$8,
"",
INDEX($J:$J,MATCH($AH45,$M:$M,0)+CD$8-1)),
""),
"")</f>
        <v/>
      </c>
      <c r="CE45" s="21" t="str">
        <f>IFERROR(
IF(COUNTIF($BI45:CD45,INDEX($J:$J,MATCH($AH45,$M:$M,0)+CE$8-1))=0,
IF(COUNTIF($M:$M,$AH45)&lt;CE$8,
"",
INDEX($J:$J,MATCH($AH45,$M:$M,0)+CE$8-1)),
""),
"")</f>
        <v/>
      </c>
      <c r="CF45" s="21" t="str">
        <f>IFERROR(
IF(COUNTIF($BI45:CE45,INDEX($J:$J,MATCH($AH45,$M:$M,0)+CF$8-1))=0,
IF(COUNTIF($M:$M,$AH45)&lt;CF$8,
"",
INDEX($J:$J,MATCH($AH45,$M:$M,0)+CF$8-1)),
""),
"")</f>
        <v/>
      </c>
      <c r="CH45" s="21" t="str">
        <f>IFERROR(
IF(COUNTIF($BI45:CG45,INDEX($J:$J,MATCH($AI45,$M:$M,0)+CH$8-1))=0,
IF(COUNTIF($M:$M,$AI45)&lt;CH$8,
"",
INDEX($J:$J,MATCH($AI45,$M:$M,0)+CH$8-1)),
""),
"")</f>
        <v/>
      </c>
      <c r="CI45" s="21" t="str">
        <f>IFERROR(
IF(COUNTIF($BI45:CH45,INDEX($J:$J,MATCH($AI45,$M:$M,0)+CI$8-1))=0,
IF(COUNTIF($M:$M,$AI45)&lt;CI$8,
"",
INDEX($J:$J,MATCH($AI45,$M:$M,0)+CI$8-1)),
""),
"")</f>
        <v/>
      </c>
      <c r="CJ45" s="21" t="str">
        <f>IFERROR(
IF(COUNTIF($BI45:CI45,INDEX($J:$J,MATCH($AI45,$M:$M,0)+CJ$8-1))=0,
IF(COUNTIF($M:$M,$AI45)&lt;CJ$8,
"",
INDEX($J:$J,MATCH($AI45,$M:$M,0)+CJ$8-1)),
""),
"")</f>
        <v/>
      </c>
      <c r="CK45" s="21" t="str">
        <f>IFERROR(
IF(COUNTIF($BI45:CJ45,INDEX($J:$J,MATCH($AI45,$M:$M,0)+CK$8-1))=0,
IF(COUNTIF($M:$M,$AI45)&lt;CK$8,
"",
INDEX($J:$J,MATCH($AI45,$M:$M,0)+CK$8-1)),
""),
"")</f>
        <v/>
      </c>
      <c r="CM45" s="21" t="str">
        <f>IFERROR(
IF(COUNTIF($BI45:CL45,INDEX($J:$J,MATCH($AJ45,$M:$M,0)+CM$8-1))=0,
IF(COUNTIF($M:$M,$AJ45)&lt;CM$8,
"",
INDEX($J:$J,MATCH($AJ45,$M:$M,0)+CM$8-1)),
""),
"")</f>
        <v/>
      </c>
      <c r="CN45" s="21" t="str">
        <f>IFERROR(
IF(COUNTIF($BI45:CM45,INDEX($J:$J,MATCH($AJ45,$M:$M,0)+CN$8-1))=0,
IF(COUNTIF($M:$M,$AJ45)&lt;CN$8,
"",
INDEX($J:$J,MATCH($AJ45,$M:$M,0)+CN$8-1)),
""),
"")</f>
        <v/>
      </c>
      <c r="CO45" s="21" t="str">
        <f>IFERROR(
IF(COUNTIF($BI45:CN45,INDEX($J:$J,MATCH($AJ45,$M:$M,0)+CO$8-1))=0,
IF(COUNTIF($M:$M,$AJ45)&lt;CO$8,
"",
INDEX($J:$J,MATCH($AJ45,$M:$M,0)+CO$8-1)),
""),
"")</f>
        <v/>
      </c>
      <c r="CP45" s="21" t="str">
        <f>IFERROR(
IF(COUNTIF($BI45:CO45,INDEX($J:$J,MATCH($AJ45,$M:$M,0)+CP$8-1))=0,
IF(COUNTIF($M:$M,$AJ45)&lt;CP$8,
"",
INDEX($J:$J,MATCH($AJ45,$M:$M,0)+CP$8-1)),
""),
"")</f>
        <v/>
      </c>
      <c r="CR45" s="21" t="str">
        <f>IFERROR(
IF(COUNTIF($BI45:CQ45,INDEX($J:$J,MATCH($AK45,$M:$M,0)+CR$8-1))=0,
IF(COUNTIF($M:$M,$AK45)&lt;CR$8,
"",
INDEX($J:$J,MATCH($AK45,$M:$M,0)+CR$8-1)),
""),
"")</f>
        <v/>
      </c>
      <c r="CS45" s="21" t="str">
        <f>IFERROR(
IF(COUNTIF($BI45:CR45,INDEX($J:$J,MATCH($AK45,$M:$M,0)+CS$8-1))=0,
IF(COUNTIF($M:$M,$AK45)&lt;CS$8,
"",
INDEX($J:$J,MATCH($AK45,$M:$M,0)+CS$8-1)),
""),
"")</f>
        <v/>
      </c>
      <c r="CT45" s="21" t="str">
        <f>IFERROR(
IF(COUNTIF($BI45:CS45,INDEX($J:$J,MATCH($AK45,$M:$M,0)+CT$8-1))=0,
IF(COUNTIF($M:$M,$AK45)&lt;CT$8,
"",
INDEX($J:$J,MATCH($AK45,$M:$M,0)+CT$8-1)),
""),
"")</f>
        <v/>
      </c>
      <c r="CU45" s="21" t="str">
        <f>IFERROR(
IF(COUNTIF($BI45:CT45,INDEX($J:$J,MATCH($AK45,$M:$M,0)+CU$8-1))=0,
IF(COUNTIF($M:$M,$AK45)&lt;CU$8,
"",
INDEX($J:$J,MATCH($AK45,$M:$M,0)+CU$8-1)),
""),
"")</f>
        <v/>
      </c>
    </row>
    <row r="46" spans="3:99" ht="14.25">
      <c r="C46" s="16">
        <v>38</v>
      </c>
      <c r="D46" s="19" t="s">
        <v>194</v>
      </c>
      <c r="E46" s="20">
        <f>INDEX([1]武将基本资料!$S:$S,MATCH(D46,[1]武将基本资料!$N:$N,0))</f>
        <v>130</v>
      </c>
      <c r="F46" s="20" t="str">
        <f>INDEX([1]武将基本资料!$Q:$Q,MATCH(D46,[1]武将基本资料!$N:$N,0))</f>
        <v>橙+</v>
      </c>
      <c r="H46" s="7" t="str">
        <f>IF(I46="","",COUNTA(I$9:$I46))</f>
        <v/>
      </c>
      <c r="I46" s="6" t="s">
        <v>188</v>
      </c>
      <c r="J46" s="6" t="s">
        <v>196</v>
      </c>
      <c r="K46" s="8" t="str">
        <f>IF(H46="","",阶段合并区域(J46:J56," ",L46:L56,1))</f>
        <v/>
      </c>
      <c r="L46" s="8">
        <f>COUNTIF(M$8:$M46,"="&amp;M46)</f>
        <v>2</v>
      </c>
      <c r="M46" s="9" t="str">
        <f t="shared" si="3"/>
        <v>出将入相</v>
      </c>
      <c r="N46" s="9" t="str">
        <f t="shared" si="4"/>
        <v>出将入相2</v>
      </c>
      <c r="O46" s="15">
        <f>INDEX(C:C,MATCH(J46,D:D,0))</f>
        <v>6</v>
      </c>
      <c r="P46" s="9">
        <f>INDEX(E:E,MATCH(J46,D:D,0))</f>
        <v>120</v>
      </c>
      <c r="Q46" s="7">
        <f t="shared" si="0"/>
        <v>6</v>
      </c>
      <c r="R46" s="7">
        <f>COUNTIF(J$8:$J46,"="&amp;J46)</f>
        <v>1</v>
      </c>
      <c r="S46" s="7">
        <f t="shared" si="5"/>
        <v>1006</v>
      </c>
      <c r="U46" s="7">
        <f t="shared" si="9"/>
        <v>1038</v>
      </c>
      <c r="V46" s="7">
        <f t="shared" si="9"/>
        <v>2038</v>
      </c>
      <c r="W46" s="7">
        <f t="shared" si="9"/>
        <v>3038</v>
      </c>
      <c r="X46" s="7">
        <f t="shared" si="9"/>
        <v>4038</v>
      </c>
      <c r="Y46" s="7">
        <f t="shared" si="9"/>
        <v>5038</v>
      </c>
      <c r="Z46" s="7">
        <f t="shared" si="9"/>
        <v>6038</v>
      </c>
      <c r="AA46" s="7">
        <f t="shared" si="9"/>
        <v>7038</v>
      </c>
      <c r="AB46" s="7">
        <f t="shared" si="9"/>
        <v>8038</v>
      </c>
      <c r="AD46" s="21" t="str">
        <f>IFERROR(INDEX($M:$M,MATCH(U46,$S:$S,0)),"&amp;")</f>
        <v>春秋霸主</v>
      </c>
      <c r="AE46" s="21" t="str">
        <f>IFERROR(INDEX($M:$M,MATCH(V46,$S:$S,0)),"&amp;")</f>
        <v>荣辱与共</v>
      </c>
      <c r="AF46" s="21" t="str">
        <f>IFERROR(INDEX($M:$M,MATCH(W46,$S:$S,0)),"&amp;")</f>
        <v>能文能武</v>
      </c>
      <c r="AG46" s="21" t="str">
        <f>IFERROR(INDEX($M:$M,MATCH(X46,$S:$S,0)),"&amp;")</f>
        <v>乱世枭雄</v>
      </c>
      <c r="AH46" s="21" t="str">
        <f>IFERROR(INDEX($M:$M,MATCH(Y46,$S:$S,0)),"&amp;")</f>
        <v>众叛亲离</v>
      </c>
      <c r="AI46" s="21" t="str">
        <f>IFERROR(INDEX($M:$M,MATCH(Z46,$S:$S,0)),"&amp;")</f>
        <v>&amp;</v>
      </c>
      <c r="AJ46" s="21" t="str">
        <f>IFERROR(INDEX($M:$M,MATCH(AA46,$S:$S,0)),"&amp;")</f>
        <v>&amp;</v>
      </c>
      <c r="AK46" s="21" t="str">
        <f>IFERROR(INDEX($M:$M,MATCH(AB46,$S:$S,0)),"&amp;")</f>
        <v>&amp;</v>
      </c>
      <c r="AM46" s="21" t="str">
        <f>IFERROR(INDEX($N:$N,MATCH(U46,$S:$S,0)),"&amp;")</f>
        <v>春秋霸主5</v>
      </c>
      <c r="AN46" s="21" t="str">
        <f>IFERROR(INDEX($N:$N,MATCH(V46,$S:$S,0)),"&amp;")</f>
        <v>荣辱与共1</v>
      </c>
      <c r="AO46" s="21" t="str">
        <f>IFERROR(INDEX($N:$N,MATCH(W46,$S:$S,0)),"&amp;")</f>
        <v>能文能武1</v>
      </c>
      <c r="AP46" s="21" t="str">
        <f>IFERROR(INDEX($N:$N,MATCH(X46,$S:$S,0)),"&amp;")</f>
        <v>乱世枭雄2</v>
      </c>
      <c r="AQ46" s="21" t="str">
        <f>IFERROR(INDEX($N:$N,MATCH(Y46,$S:$S,0)),"&amp;")</f>
        <v>众叛亲离2</v>
      </c>
      <c r="AR46" s="21" t="str">
        <f>IFERROR(INDEX($N:$N,MATCH(Z46,$S:$S,0)),"&amp;")</f>
        <v>&amp;</v>
      </c>
      <c r="AS46" s="21" t="str">
        <f>IFERROR(INDEX($N:$N,MATCH(AA46,$S:$S,0)),"&amp;")</f>
        <v>&amp;</v>
      </c>
      <c r="AT46" s="21" t="str">
        <f>IFERROR(INDEX($N:$N,MATCH(AB46,$S:$S,0)),"&amp;")</f>
        <v>&amp;</v>
      </c>
      <c r="AV46" s="21" t="str">
        <f>IFERROR(SUBSTITUTE(INDEX($K:$K,MATCH(INDEX($M:$M,MATCH(AM46,$N:$N,0)),$M:$M,0)),$D46,""),"")</f>
        <v>晋文公 楚庄王 勾践 秦武王</v>
      </c>
      <c r="AW46" s="21" t="str">
        <f>IFERROR(SUBSTITUTE(INDEX($K:$K,MATCH(INDEX($M:$M,MATCH(AN46,$N:$N,0)),$M:$M,0)),$D46,""),"")</f>
        <v xml:space="preserve"> 田单 孙膑 司马穰苴</v>
      </c>
      <c r="AX46" s="21" t="str">
        <f>IFERROR(SUBSTITUTE(INDEX($K:$K,MATCH(INDEX($M:$M,MATCH(AO46,$N:$N,0)),$M:$M,0)),$D46,""),"")</f>
        <v xml:space="preserve"> 吴起 勾践</v>
      </c>
      <c r="AY46" s="21" t="str">
        <f>IFERROR(SUBSTITUTE(INDEX($K:$K,MATCH(INDEX($M:$M,MATCH(AP46,$N:$N,0)),$M:$M,0)),$D46,""),"")</f>
        <v>曹操  晋文公</v>
      </c>
      <c r="AZ46" s="21" t="str">
        <f>IFERROR(SUBSTITUTE(INDEX($K:$K,MATCH(INDEX($M:$M,MATCH(AQ46,$N:$N,0)),$M:$M,0)),$D46,""),"")</f>
        <v>吕布  吕不韦</v>
      </c>
      <c r="BA46" s="21" t="str">
        <f>IFERROR(SUBSTITUTE(INDEX($K:$K,MATCH(INDEX($M:$M,MATCH(AR46,$N:$N,0)),$M:$M,0)),$D46,""),"")</f>
        <v/>
      </c>
      <c r="BB46" s="21" t="str">
        <f>IFERROR(SUBSTITUTE(INDEX($K:$K,MATCH(INDEX($M:$M,MATCH(AS46,$N:$N,0)),$M:$M,0)),$D46,""),"")</f>
        <v/>
      </c>
      <c r="BC46" s="21" t="str">
        <f>IFERROR(SUBSTITUTE(INDEX($K:$K,MATCH(INDEX($M:$M,MATCH(AT46,$N:$N,0)),$M:$M,0)),$D46,""),"")</f>
        <v/>
      </c>
      <c r="BE46" s="9" t="str">
        <f t="shared" si="7"/>
        <v>晋文公,楚庄王,勾践,秦武王,齐桓公,田单,孙膑,司马穰苴,吴起,曹操,吕布,吕不韦</v>
      </c>
      <c r="BI46" s="9" t="str">
        <f>IFERROR(
IF(COUNTIF($M:$M,$AD46)&lt;BI$8,
"",
INDEX($J:$J,MATCH($AD46,$M:$M,0)+BI$8-1)),
"")</f>
        <v>晋文公</v>
      </c>
      <c r="BJ46" s="9" t="str">
        <f>IFERROR(
IF(COUNTIF($M:$M,$AD46)&lt;BJ$8,
"",
INDEX($J:$J,MATCH($AD46,$M:$M,0)+BJ$8-1)),
"")</f>
        <v>楚庄王</v>
      </c>
      <c r="BK46" s="9" t="str">
        <f>IFERROR(
IF(COUNTIF($M:$M,$AD46)&lt;BK$8,
"",
INDEX($J:$J,MATCH($AD46,$M:$M,0)+BK$8-1)),
"")</f>
        <v>勾践</v>
      </c>
      <c r="BL46" s="9" t="str">
        <f>IFERROR(
IF(COUNTIF($M:$M,$AD46)&lt;BL$8,
"",
INDEX($J:$J,MATCH($AD46,$M:$M,0)+BL$8-1)),
"")</f>
        <v>秦武王</v>
      </c>
      <c r="BN46" s="21" t="str">
        <f>IFERROR(
IF(COUNTIF($BI46:BM46,INDEX($J:$J,MATCH($AE46,$M:$M,0)+BN$8-1))=0,
IF(COUNTIF($M:$M,$AE46)&lt;BN$8,
"",
INDEX($J:$J,MATCH($AE46,$M:$M,0)+BN$8-1)),
""),
"")</f>
        <v>齐桓公</v>
      </c>
      <c r="BO46" s="21" t="str">
        <f>IFERROR(
IF(COUNTIF($BI46:BN46,INDEX($J:$J,MATCH($AE46,$M:$M,0)+BO$8-1))=0,
IF(COUNTIF($M:$M,$AE46)&lt;BO$8,
"",
INDEX($J:$J,MATCH($AE46,$M:$M,0)+BO$8-1)),
""),
"")</f>
        <v>田单</v>
      </c>
      <c r="BP46" s="21" t="str">
        <f>IFERROR(
IF(COUNTIF($BI46:BO46,INDEX($J:$J,MATCH($AE46,$M:$M,0)+BP$8-1))=0,
IF(COUNTIF($M:$M,$AE46)&lt;BP$8,
"",
INDEX($J:$J,MATCH($AE46,$M:$M,0)+BP$8-1)),
""),
"")</f>
        <v>孙膑</v>
      </c>
      <c r="BQ46" s="21" t="str">
        <f>IFERROR(
IF(COUNTIF($BI46:BP46,INDEX($J:$J,MATCH($AE46,$M:$M,0)+BQ$8-1))=0,
IF(COUNTIF($M:$M,$AE46)&lt;BQ$8,
"",
INDEX($J:$J,MATCH($AE46,$M:$M,0)+BQ$8-1)),
""),
"")</f>
        <v>司马穰苴</v>
      </c>
      <c r="BS46" s="21" t="str">
        <f>IFERROR(
IF(COUNTIF($BI46:BR46,INDEX($J:$J,MATCH($AF46,$M:$M,0)+BS$8-1))=0,
IF(COUNTIF($M:$M,$AF46)&lt;BS$8,
"",
INDEX($J:$J,MATCH($AF46,$M:$M,0)+BS$8-1)),
""),
"")</f>
        <v/>
      </c>
      <c r="BT46" s="21" t="str">
        <f>IFERROR(
IF(COUNTIF($BI46:BS46,INDEX($J:$J,MATCH($AF46,$M:$M,0)+BT$8-1))=0,
IF(COUNTIF($M:$M,$AF46)&lt;BT$8,
"",
INDEX($J:$J,MATCH($AF46,$M:$M,0)+BT$8-1)),
""),
"")</f>
        <v>吴起</v>
      </c>
      <c r="BU46" s="21" t="str">
        <f>IFERROR(
IF(COUNTIF($BI46:BT46,INDEX($J:$J,MATCH($AF46,$M:$M,0)+BU$8-1))=0,
IF(COUNTIF($M:$M,$AF46)&lt;BU$8,
"",
INDEX($J:$J,MATCH($AF46,$M:$M,0)+BU$8-1)),
""),
"")</f>
        <v/>
      </c>
      <c r="BV46" s="21" t="str">
        <f>IFERROR(
IF(COUNTIF($BI46:BU46,INDEX($J:$J,MATCH($AF46,$M:$M,0)+BV$8-1))=0,
IF(COUNTIF($M:$M,$AF46)&lt;BV$8,
"",
INDEX($J:$J,MATCH($AF46,$M:$M,0)+BV$8-1)),
""),
"")</f>
        <v/>
      </c>
      <c r="BX46" s="21" t="str">
        <f>IFERROR(
IF(COUNTIF($BI46:BW46,INDEX($J:$J,MATCH($AG46,$M:$M,0)+BX$8-1))=0,
IF(COUNTIF($M:$M,$AG46)&lt;BX$8,
"",
INDEX($J:$J,MATCH($AG46,$M:$M,0)+BX$8-1)),
""),
"")</f>
        <v>曹操</v>
      </c>
      <c r="BY46" s="21" t="str">
        <f>IFERROR(
IF(COUNTIF($BI46:BX46,INDEX($J:$J,MATCH($AG46,$M:$M,0)+BY$8-1))=0,
IF(COUNTIF($M:$M,$AG46)&lt;BY$8,
"",
INDEX($J:$J,MATCH($AG46,$M:$M,0)+BY$8-1)),
""),
"")</f>
        <v/>
      </c>
      <c r="BZ46" s="21" t="str">
        <f>IFERROR(
IF(COUNTIF($BI46:BY46,INDEX($J:$J,MATCH($AG46,$M:$M,0)+BZ$8-1))=0,
IF(COUNTIF($M:$M,$AG46)&lt;BZ$8,
"",
INDEX($J:$J,MATCH($AG46,$M:$M,0)+BZ$8-1)),
""),
"")</f>
        <v/>
      </c>
      <c r="CA46" s="21" t="str">
        <f>IFERROR(
IF(COUNTIF($BI46:BZ46,INDEX($J:$J,MATCH($AG46,$M:$M,0)+CA$8-1))=0,
IF(COUNTIF($M:$M,$AG46)&lt;CA$8,
"",
INDEX($J:$J,MATCH($AG46,$M:$M,0)+CA$8-1)),
""),
"")</f>
        <v/>
      </c>
      <c r="CC46" s="21" t="str">
        <f>IFERROR(
IF(COUNTIF($BI46:CB46,INDEX($J:$J,MATCH($AH46,$M:$M,0)+CC$8-1))=0,
IF(COUNTIF($M:$M,$AH46)&lt;CC$8,
"",
INDEX($J:$J,MATCH($AH46,$M:$M,0)+CC$8-1)),
""),
"")</f>
        <v>吕布</v>
      </c>
      <c r="CD46" s="21" t="str">
        <f>IFERROR(
IF(COUNTIF($BI46:CC46,INDEX($J:$J,MATCH($AH46,$M:$M,0)+CD$8-1))=0,
IF(COUNTIF($M:$M,$AH46)&lt;CD$8,
"",
INDEX($J:$J,MATCH($AH46,$M:$M,0)+CD$8-1)),
""),
"")</f>
        <v/>
      </c>
      <c r="CE46" s="21" t="str">
        <f>IFERROR(
IF(COUNTIF($BI46:CD46,INDEX($J:$J,MATCH($AH46,$M:$M,0)+CE$8-1))=0,
IF(COUNTIF($M:$M,$AH46)&lt;CE$8,
"",
INDEX($J:$J,MATCH($AH46,$M:$M,0)+CE$8-1)),
""),
"")</f>
        <v>吕不韦</v>
      </c>
      <c r="CF46" s="21" t="str">
        <f>IFERROR(
IF(COUNTIF($BI46:CE46,INDEX($J:$J,MATCH($AH46,$M:$M,0)+CF$8-1))=0,
IF(COUNTIF($M:$M,$AH46)&lt;CF$8,
"",
INDEX($J:$J,MATCH($AH46,$M:$M,0)+CF$8-1)),
""),
"")</f>
        <v/>
      </c>
      <c r="CH46" s="21" t="str">
        <f>IFERROR(
IF(COUNTIF($BI46:CG46,INDEX($J:$J,MATCH($AI46,$M:$M,0)+CH$8-1))=0,
IF(COUNTIF($M:$M,$AI46)&lt;CH$8,
"",
INDEX($J:$J,MATCH($AI46,$M:$M,0)+CH$8-1)),
""),
"")</f>
        <v/>
      </c>
      <c r="CI46" s="21" t="str">
        <f>IFERROR(
IF(COUNTIF($BI46:CH46,INDEX($J:$J,MATCH($AI46,$M:$M,0)+CI$8-1))=0,
IF(COUNTIF($M:$M,$AI46)&lt;CI$8,
"",
INDEX($J:$J,MATCH($AI46,$M:$M,0)+CI$8-1)),
""),
"")</f>
        <v/>
      </c>
      <c r="CJ46" s="21" t="str">
        <f>IFERROR(
IF(COUNTIF($BI46:CI46,INDEX($J:$J,MATCH($AI46,$M:$M,0)+CJ$8-1))=0,
IF(COUNTIF($M:$M,$AI46)&lt;CJ$8,
"",
INDEX($J:$J,MATCH($AI46,$M:$M,0)+CJ$8-1)),
""),
"")</f>
        <v/>
      </c>
      <c r="CK46" s="21" t="str">
        <f>IFERROR(
IF(COUNTIF($BI46:CJ46,INDEX($J:$J,MATCH($AI46,$M:$M,0)+CK$8-1))=0,
IF(COUNTIF($M:$M,$AI46)&lt;CK$8,
"",
INDEX($J:$J,MATCH($AI46,$M:$M,0)+CK$8-1)),
""),
"")</f>
        <v/>
      </c>
      <c r="CM46" s="21" t="str">
        <f>IFERROR(
IF(COUNTIF($BI46:CL46,INDEX($J:$J,MATCH($AJ46,$M:$M,0)+CM$8-1))=0,
IF(COUNTIF($M:$M,$AJ46)&lt;CM$8,
"",
INDEX($J:$J,MATCH($AJ46,$M:$M,0)+CM$8-1)),
""),
"")</f>
        <v/>
      </c>
      <c r="CN46" s="21" t="str">
        <f>IFERROR(
IF(COUNTIF($BI46:CM46,INDEX($J:$J,MATCH($AJ46,$M:$M,0)+CN$8-1))=0,
IF(COUNTIF($M:$M,$AJ46)&lt;CN$8,
"",
INDEX($J:$J,MATCH($AJ46,$M:$M,0)+CN$8-1)),
""),
"")</f>
        <v/>
      </c>
      <c r="CO46" s="21" t="str">
        <f>IFERROR(
IF(COUNTIF($BI46:CN46,INDEX($J:$J,MATCH($AJ46,$M:$M,0)+CO$8-1))=0,
IF(COUNTIF($M:$M,$AJ46)&lt;CO$8,
"",
INDEX($J:$J,MATCH($AJ46,$M:$M,0)+CO$8-1)),
""),
"")</f>
        <v/>
      </c>
      <c r="CP46" s="21" t="str">
        <f>IFERROR(
IF(COUNTIF($BI46:CO46,INDEX($J:$J,MATCH($AJ46,$M:$M,0)+CP$8-1))=0,
IF(COUNTIF($M:$M,$AJ46)&lt;CP$8,
"",
INDEX($J:$J,MATCH($AJ46,$M:$M,0)+CP$8-1)),
""),
"")</f>
        <v/>
      </c>
      <c r="CR46" s="21" t="str">
        <f>IFERROR(
IF(COUNTIF($BI46:CQ46,INDEX($J:$J,MATCH($AK46,$M:$M,0)+CR$8-1))=0,
IF(COUNTIF($M:$M,$AK46)&lt;CR$8,
"",
INDEX($J:$J,MATCH($AK46,$M:$M,0)+CR$8-1)),
""),
"")</f>
        <v/>
      </c>
      <c r="CS46" s="21" t="str">
        <f>IFERROR(
IF(COUNTIF($BI46:CR46,INDEX($J:$J,MATCH($AK46,$M:$M,0)+CS$8-1))=0,
IF(COUNTIF($M:$M,$AK46)&lt;CS$8,
"",
INDEX($J:$J,MATCH($AK46,$M:$M,0)+CS$8-1)),
""),
"")</f>
        <v/>
      </c>
      <c r="CT46" s="21" t="str">
        <f>IFERROR(
IF(COUNTIF($BI46:CS46,INDEX($J:$J,MATCH($AK46,$M:$M,0)+CT$8-1))=0,
IF(COUNTIF($M:$M,$AK46)&lt;CT$8,
"",
INDEX($J:$J,MATCH($AK46,$M:$M,0)+CT$8-1)),
""),
"")</f>
        <v/>
      </c>
      <c r="CU46" s="21" t="str">
        <f>IFERROR(
IF(COUNTIF($BI46:CT46,INDEX($J:$J,MATCH($AK46,$M:$M,0)+CU$8-1))=0,
IF(COUNTIF($M:$M,$AK46)&lt;CU$8,
"",
INDEX($J:$J,MATCH($AK46,$M:$M,0)+CU$8-1)),
""),
"")</f>
        <v/>
      </c>
    </row>
    <row r="47" spans="3:99" ht="14.25">
      <c r="C47" s="16">
        <v>39</v>
      </c>
      <c r="D47" s="19" t="s">
        <v>94</v>
      </c>
      <c r="E47" s="20">
        <f>INDEX([1]武将基本资料!$S:$S,MATCH(D47,[1]武将基本资料!$N:$N,0))</f>
        <v>120</v>
      </c>
      <c r="F47" s="20" t="str">
        <f>INDEX([1]武将基本资料!$Q:$Q,MATCH(D47,[1]武将基本资料!$N:$N,0))</f>
        <v>橙</v>
      </c>
      <c r="H47" s="7">
        <f>IF(I47="","",COUNTA(I$9:$I47))</f>
        <v>37</v>
      </c>
      <c r="I47" s="6" t="s">
        <v>163</v>
      </c>
      <c r="J47" s="6" t="s">
        <v>59</v>
      </c>
      <c r="K47" s="8" t="str">
        <f>IF(H47="","",阶段合并区域(J47:J57," ",L47:L57,1))</f>
        <v>田单 乐毅</v>
      </c>
      <c r="L47" s="8">
        <f>COUNTIF(M$8:$M47,"="&amp;M47)</f>
        <v>1</v>
      </c>
      <c r="M47" s="9" t="str">
        <f t="shared" si="3"/>
        <v>棋逢对手</v>
      </c>
      <c r="N47" s="9" t="str">
        <f t="shared" si="4"/>
        <v>棋逢对手1</v>
      </c>
      <c r="O47" s="15">
        <f>INDEX(C:C,MATCH(J47,D:D,0))</f>
        <v>16</v>
      </c>
      <c r="P47" s="9">
        <f>INDEX(E:E,MATCH(J47,D:D,0))</f>
        <v>120</v>
      </c>
      <c r="Q47" s="7">
        <f t="shared" si="0"/>
        <v>16</v>
      </c>
      <c r="R47" s="7">
        <f>COUNTIF(J$8:$J47,"="&amp;J47)</f>
        <v>3</v>
      </c>
      <c r="S47" s="7">
        <f t="shared" si="5"/>
        <v>3016</v>
      </c>
      <c r="U47" s="7">
        <f t="shared" si="9"/>
        <v>1039</v>
      </c>
      <c r="V47" s="7">
        <f t="shared" si="9"/>
        <v>2039</v>
      </c>
      <c r="W47" s="7">
        <f t="shared" si="9"/>
        <v>3039</v>
      </c>
      <c r="X47" s="7">
        <f t="shared" si="9"/>
        <v>4039</v>
      </c>
      <c r="Y47" s="7">
        <f t="shared" si="9"/>
        <v>5039</v>
      </c>
      <c r="Z47" s="7">
        <f t="shared" si="9"/>
        <v>6039</v>
      </c>
      <c r="AA47" s="7">
        <f t="shared" si="9"/>
        <v>7039</v>
      </c>
      <c r="AB47" s="7">
        <f t="shared" si="9"/>
        <v>8039</v>
      </c>
      <c r="AD47" s="21" t="str">
        <f>IFERROR(INDEX($M:$M,MATCH(U47,$S:$S,0)),"&amp;")</f>
        <v>&amp;</v>
      </c>
      <c r="AE47" s="21" t="str">
        <f>IFERROR(INDEX($M:$M,MATCH(V47,$S:$S,0)),"&amp;")</f>
        <v>&amp;</v>
      </c>
      <c r="AF47" s="21" t="str">
        <f>IFERROR(INDEX($M:$M,MATCH(W47,$S:$S,0)),"&amp;")</f>
        <v>&amp;</v>
      </c>
      <c r="AG47" s="21" t="str">
        <f>IFERROR(INDEX($M:$M,MATCH(X47,$S:$S,0)),"&amp;")</f>
        <v>&amp;</v>
      </c>
      <c r="AH47" s="21" t="str">
        <f>IFERROR(INDEX($M:$M,MATCH(Y47,$S:$S,0)),"&amp;")</f>
        <v>&amp;</v>
      </c>
      <c r="AI47" s="21" t="str">
        <f>IFERROR(INDEX($M:$M,MATCH(Z47,$S:$S,0)),"&amp;")</f>
        <v>&amp;</v>
      </c>
      <c r="AJ47" s="21" t="str">
        <f>IFERROR(INDEX($M:$M,MATCH(AA47,$S:$S,0)),"&amp;")</f>
        <v>&amp;</v>
      </c>
      <c r="AK47" s="21" t="str">
        <f>IFERROR(INDEX($M:$M,MATCH(AB47,$S:$S,0)),"&amp;")</f>
        <v>&amp;</v>
      </c>
      <c r="AM47" s="21" t="str">
        <f>IFERROR(INDEX($N:$N,MATCH(U47,$S:$S,0)),"&amp;")</f>
        <v>&amp;</v>
      </c>
      <c r="AN47" s="21" t="str">
        <f>IFERROR(INDEX($N:$N,MATCH(V47,$S:$S,0)),"&amp;")</f>
        <v>&amp;</v>
      </c>
      <c r="AO47" s="21" t="str">
        <f>IFERROR(INDEX($N:$N,MATCH(W47,$S:$S,0)),"&amp;")</f>
        <v>&amp;</v>
      </c>
      <c r="AP47" s="21" t="str">
        <f>IFERROR(INDEX($N:$N,MATCH(X47,$S:$S,0)),"&amp;")</f>
        <v>&amp;</v>
      </c>
      <c r="AQ47" s="21" t="str">
        <f>IFERROR(INDEX($N:$N,MATCH(Y47,$S:$S,0)),"&amp;")</f>
        <v>&amp;</v>
      </c>
      <c r="AR47" s="21" t="str">
        <f>IFERROR(INDEX($N:$N,MATCH(Z47,$S:$S,0)),"&amp;")</f>
        <v>&amp;</v>
      </c>
      <c r="AS47" s="21" t="str">
        <f>IFERROR(INDEX($N:$N,MATCH(AA47,$S:$S,0)),"&amp;")</f>
        <v>&amp;</v>
      </c>
      <c r="AT47" s="21" t="str">
        <f>IFERROR(INDEX($N:$N,MATCH(AB47,$S:$S,0)),"&amp;")</f>
        <v>&amp;</v>
      </c>
      <c r="AV47" s="21" t="str">
        <f>IFERROR(SUBSTITUTE(INDEX($K:$K,MATCH(INDEX($M:$M,MATCH(AM47,$N:$N,0)),$M:$M,0)),$D47,""),"")</f>
        <v/>
      </c>
      <c r="AW47" s="21" t="str">
        <f>IFERROR(SUBSTITUTE(INDEX($K:$K,MATCH(INDEX($M:$M,MATCH(AN47,$N:$N,0)),$M:$M,0)),$D47,""),"")</f>
        <v/>
      </c>
      <c r="AX47" s="21" t="str">
        <f>IFERROR(SUBSTITUTE(INDEX($K:$K,MATCH(INDEX($M:$M,MATCH(AO47,$N:$N,0)),$M:$M,0)),$D47,""),"")</f>
        <v/>
      </c>
      <c r="AY47" s="21" t="str">
        <f>IFERROR(SUBSTITUTE(INDEX($K:$K,MATCH(INDEX($M:$M,MATCH(AP47,$N:$N,0)),$M:$M,0)),$D47,""),"")</f>
        <v/>
      </c>
      <c r="AZ47" s="21" t="str">
        <f>IFERROR(SUBSTITUTE(INDEX($K:$K,MATCH(INDEX($M:$M,MATCH(AQ47,$N:$N,0)),$M:$M,0)),$D47,""),"")</f>
        <v/>
      </c>
      <c r="BA47" s="21" t="str">
        <f>IFERROR(SUBSTITUTE(INDEX($K:$K,MATCH(INDEX($M:$M,MATCH(AR47,$N:$N,0)),$M:$M,0)),$D47,""),"")</f>
        <v/>
      </c>
      <c r="BB47" s="21" t="str">
        <f>IFERROR(SUBSTITUTE(INDEX($K:$K,MATCH(INDEX($M:$M,MATCH(AS47,$N:$N,0)),$M:$M,0)),$D47,""),"")</f>
        <v/>
      </c>
      <c r="BC47" s="21" t="str">
        <f>IFERROR(SUBSTITUTE(INDEX($K:$K,MATCH(INDEX($M:$M,MATCH(AT47,$N:$N,0)),$M:$M,0)),$D47,""),"")</f>
        <v/>
      </c>
      <c r="BE47" s="9" t="str">
        <f t="shared" si="7"/>
        <v/>
      </c>
      <c r="BI47" s="9" t="str">
        <f>IFERROR(
IF(COUNTIF($M:$M,$AD47)&lt;BI$8,
"",
INDEX($J:$J,MATCH($AD47,$M:$M,0)+BI$8-1)),
"")</f>
        <v/>
      </c>
      <c r="BJ47" s="9" t="str">
        <f>IFERROR(
IF(COUNTIF($M:$M,$AD47)&lt;BJ$8,
"",
INDEX($J:$J,MATCH($AD47,$M:$M,0)+BJ$8-1)),
"")</f>
        <v/>
      </c>
      <c r="BK47" s="9" t="str">
        <f>IFERROR(
IF(COUNTIF($M:$M,$AD47)&lt;BK$8,
"",
INDEX($J:$J,MATCH($AD47,$M:$M,0)+BK$8-1)),
"")</f>
        <v/>
      </c>
      <c r="BL47" s="9" t="str">
        <f>IFERROR(
IF(COUNTIF($M:$M,$AD47)&lt;BL$8,
"",
INDEX($J:$J,MATCH($AD47,$M:$M,0)+BL$8-1)),
"")</f>
        <v/>
      </c>
      <c r="BN47" s="21" t="str">
        <f>IFERROR(
IF(COUNTIF($BI47:BM47,INDEX($J:$J,MATCH($AE47,$M:$M,0)+BN$8-1))=0,
IF(COUNTIF($M:$M,$AE47)&lt;BN$8,
"",
INDEX($J:$J,MATCH($AE47,$M:$M,0)+BN$8-1)),
""),
"")</f>
        <v/>
      </c>
      <c r="BO47" s="21" t="str">
        <f>IFERROR(
IF(COUNTIF($BI47:BN47,INDEX($J:$J,MATCH($AE47,$M:$M,0)+BO$8-1))=0,
IF(COUNTIF($M:$M,$AE47)&lt;BO$8,
"",
INDEX($J:$J,MATCH($AE47,$M:$M,0)+BO$8-1)),
""),
"")</f>
        <v/>
      </c>
      <c r="BP47" s="21" t="str">
        <f>IFERROR(
IF(COUNTIF($BI47:BO47,INDEX($J:$J,MATCH($AE47,$M:$M,0)+BP$8-1))=0,
IF(COUNTIF($M:$M,$AE47)&lt;BP$8,
"",
INDEX($J:$J,MATCH($AE47,$M:$M,0)+BP$8-1)),
""),
"")</f>
        <v/>
      </c>
      <c r="BQ47" s="21" t="str">
        <f>IFERROR(
IF(COUNTIF($BI47:BP47,INDEX($J:$J,MATCH($AE47,$M:$M,0)+BQ$8-1))=0,
IF(COUNTIF($M:$M,$AE47)&lt;BQ$8,
"",
INDEX($J:$J,MATCH($AE47,$M:$M,0)+BQ$8-1)),
""),
"")</f>
        <v/>
      </c>
      <c r="BS47" s="21" t="str">
        <f>IFERROR(
IF(COUNTIF($BI47:BR47,INDEX($J:$J,MATCH($AF47,$M:$M,0)+BS$8-1))=0,
IF(COUNTIF($M:$M,$AF47)&lt;BS$8,
"",
INDEX($J:$J,MATCH($AF47,$M:$M,0)+BS$8-1)),
""),
"")</f>
        <v/>
      </c>
      <c r="BT47" s="21" t="str">
        <f>IFERROR(
IF(COUNTIF($BI47:BS47,INDEX($J:$J,MATCH($AF47,$M:$M,0)+BT$8-1))=0,
IF(COUNTIF($M:$M,$AF47)&lt;BT$8,
"",
INDEX($J:$J,MATCH($AF47,$M:$M,0)+BT$8-1)),
""),
"")</f>
        <v/>
      </c>
      <c r="BU47" s="21" t="str">
        <f>IFERROR(
IF(COUNTIF($BI47:BT47,INDEX($J:$J,MATCH($AF47,$M:$M,0)+BU$8-1))=0,
IF(COUNTIF($M:$M,$AF47)&lt;BU$8,
"",
INDEX($J:$J,MATCH($AF47,$M:$M,0)+BU$8-1)),
""),
"")</f>
        <v/>
      </c>
      <c r="BV47" s="21" t="str">
        <f>IFERROR(
IF(COUNTIF($BI47:BU47,INDEX($J:$J,MATCH($AF47,$M:$M,0)+BV$8-1))=0,
IF(COUNTIF($M:$M,$AF47)&lt;BV$8,
"",
INDEX($J:$J,MATCH($AF47,$M:$M,0)+BV$8-1)),
""),
"")</f>
        <v/>
      </c>
      <c r="BX47" s="21" t="str">
        <f>IFERROR(
IF(COUNTIF($BI47:BW47,INDEX($J:$J,MATCH($AG47,$M:$M,0)+BX$8-1))=0,
IF(COUNTIF($M:$M,$AG47)&lt;BX$8,
"",
INDEX($J:$J,MATCH($AG47,$M:$M,0)+BX$8-1)),
""),
"")</f>
        <v/>
      </c>
      <c r="BY47" s="21" t="str">
        <f>IFERROR(
IF(COUNTIF($BI47:BX47,INDEX($J:$J,MATCH($AG47,$M:$M,0)+BY$8-1))=0,
IF(COUNTIF($M:$M,$AG47)&lt;BY$8,
"",
INDEX($J:$J,MATCH($AG47,$M:$M,0)+BY$8-1)),
""),
"")</f>
        <v/>
      </c>
      <c r="BZ47" s="21" t="str">
        <f>IFERROR(
IF(COUNTIF($BI47:BY47,INDEX($J:$J,MATCH($AG47,$M:$M,0)+BZ$8-1))=0,
IF(COUNTIF($M:$M,$AG47)&lt;BZ$8,
"",
INDEX($J:$J,MATCH($AG47,$M:$M,0)+BZ$8-1)),
""),
"")</f>
        <v/>
      </c>
      <c r="CA47" s="21" t="str">
        <f>IFERROR(
IF(COUNTIF($BI47:BZ47,INDEX($J:$J,MATCH($AG47,$M:$M,0)+CA$8-1))=0,
IF(COUNTIF($M:$M,$AG47)&lt;CA$8,
"",
INDEX($J:$J,MATCH($AG47,$M:$M,0)+CA$8-1)),
""),
"")</f>
        <v/>
      </c>
      <c r="CC47" s="21" t="str">
        <f>IFERROR(
IF(COUNTIF($BI47:CB47,INDEX($J:$J,MATCH($AH47,$M:$M,0)+CC$8-1))=0,
IF(COUNTIF($M:$M,$AH47)&lt;CC$8,
"",
INDEX($J:$J,MATCH($AH47,$M:$M,0)+CC$8-1)),
""),
"")</f>
        <v/>
      </c>
      <c r="CD47" s="21" t="str">
        <f>IFERROR(
IF(COUNTIF($BI47:CC47,INDEX($J:$J,MATCH($AH47,$M:$M,0)+CD$8-1))=0,
IF(COUNTIF($M:$M,$AH47)&lt;CD$8,
"",
INDEX($J:$J,MATCH($AH47,$M:$M,0)+CD$8-1)),
""),
"")</f>
        <v/>
      </c>
      <c r="CE47" s="21" t="str">
        <f>IFERROR(
IF(COUNTIF($BI47:CD47,INDEX($J:$J,MATCH($AH47,$M:$M,0)+CE$8-1))=0,
IF(COUNTIF($M:$M,$AH47)&lt;CE$8,
"",
INDEX($J:$J,MATCH($AH47,$M:$M,0)+CE$8-1)),
""),
"")</f>
        <v/>
      </c>
      <c r="CF47" s="21" t="str">
        <f>IFERROR(
IF(COUNTIF($BI47:CE47,INDEX($J:$J,MATCH($AH47,$M:$M,0)+CF$8-1))=0,
IF(COUNTIF($M:$M,$AH47)&lt;CF$8,
"",
INDEX($J:$J,MATCH($AH47,$M:$M,0)+CF$8-1)),
""),
"")</f>
        <v/>
      </c>
      <c r="CH47" s="21" t="str">
        <f>IFERROR(
IF(COUNTIF($BI47:CG47,INDEX($J:$J,MATCH($AI47,$M:$M,0)+CH$8-1))=0,
IF(COUNTIF($M:$M,$AI47)&lt;CH$8,
"",
INDEX($J:$J,MATCH($AI47,$M:$M,0)+CH$8-1)),
""),
"")</f>
        <v/>
      </c>
      <c r="CI47" s="21" t="str">
        <f>IFERROR(
IF(COUNTIF($BI47:CH47,INDEX($J:$J,MATCH($AI47,$M:$M,0)+CI$8-1))=0,
IF(COUNTIF($M:$M,$AI47)&lt;CI$8,
"",
INDEX($J:$J,MATCH($AI47,$M:$M,0)+CI$8-1)),
""),
"")</f>
        <v/>
      </c>
      <c r="CJ47" s="21" t="str">
        <f>IFERROR(
IF(COUNTIF($BI47:CI47,INDEX($J:$J,MATCH($AI47,$M:$M,0)+CJ$8-1))=0,
IF(COUNTIF($M:$M,$AI47)&lt;CJ$8,
"",
INDEX($J:$J,MATCH($AI47,$M:$M,0)+CJ$8-1)),
""),
"")</f>
        <v/>
      </c>
      <c r="CK47" s="21" t="str">
        <f>IFERROR(
IF(COUNTIF($BI47:CJ47,INDEX($J:$J,MATCH($AI47,$M:$M,0)+CK$8-1))=0,
IF(COUNTIF($M:$M,$AI47)&lt;CK$8,
"",
INDEX($J:$J,MATCH($AI47,$M:$M,0)+CK$8-1)),
""),
"")</f>
        <v/>
      </c>
      <c r="CM47" s="21" t="str">
        <f>IFERROR(
IF(COUNTIF($BI47:CL47,INDEX($J:$J,MATCH($AJ47,$M:$M,0)+CM$8-1))=0,
IF(COUNTIF($M:$M,$AJ47)&lt;CM$8,
"",
INDEX($J:$J,MATCH($AJ47,$M:$M,0)+CM$8-1)),
""),
"")</f>
        <v/>
      </c>
      <c r="CN47" s="21" t="str">
        <f>IFERROR(
IF(COUNTIF($BI47:CM47,INDEX($J:$J,MATCH($AJ47,$M:$M,0)+CN$8-1))=0,
IF(COUNTIF($M:$M,$AJ47)&lt;CN$8,
"",
INDEX($J:$J,MATCH($AJ47,$M:$M,0)+CN$8-1)),
""),
"")</f>
        <v/>
      </c>
      <c r="CO47" s="21" t="str">
        <f>IFERROR(
IF(COUNTIF($BI47:CN47,INDEX($J:$J,MATCH($AJ47,$M:$M,0)+CO$8-1))=0,
IF(COUNTIF($M:$M,$AJ47)&lt;CO$8,
"",
INDEX($J:$J,MATCH($AJ47,$M:$M,0)+CO$8-1)),
""),
"")</f>
        <v/>
      </c>
      <c r="CP47" s="21" t="str">
        <f>IFERROR(
IF(COUNTIF($BI47:CO47,INDEX($J:$J,MATCH($AJ47,$M:$M,0)+CP$8-1))=0,
IF(COUNTIF($M:$M,$AJ47)&lt;CP$8,
"",
INDEX($J:$J,MATCH($AJ47,$M:$M,0)+CP$8-1)),
""),
"")</f>
        <v/>
      </c>
      <c r="CR47" s="21" t="str">
        <f>IFERROR(
IF(COUNTIF($BI47:CQ47,INDEX($J:$J,MATCH($AK47,$M:$M,0)+CR$8-1))=0,
IF(COUNTIF($M:$M,$AK47)&lt;CR$8,
"",
INDEX($J:$J,MATCH($AK47,$M:$M,0)+CR$8-1)),
""),
"")</f>
        <v/>
      </c>
      <c r="CS47" s="21" t="str">
        <f>IFERROR(
IF(COUNTIF($BI47:CR47,INDEX($J:$J,MATCH($AK47,$M:$M,0)+CS$8-1))=0,
IF(COUNTIF($M:$M,$AK47)&lt;CS$8,
"",
INDEX($J:$J,MATCH($AK47,$M:$M,0)+CS$8-1)),
""),
"")</f>
        <v/>
      </c>
      <c r="CT47" s="21" t="str">
        <f>IFERROR(
IF(COUNTIF($BI47:CS47,INDEX($J:$J,MATCH($AK47,$M:$M,0)+CT$8-1))=0,
IF(COUNTIF($M:$M,$AK47)&lt;CT$8,
"",
INDEX($J:$J,MATCH($AK47,$M:$M,0)+CT$8-1)),
""),
"")</f>
        <v/>
      </c>
      <c r="CU47" s="21" t="str">
        <f>IFERROR(
IF(COUNTIF($BI47:CT47,INDEX($J:$J,MATCH($AK47,$M:$M,0)+CU$8-1))=0,
IF(COUNTIF($M:$M,$AK47)&lt;CU$8,
"",
INDEX($J:$J,MATCH($AK47,$M:$M,0)+CU$8-1)),
""),
"")</f>
        <v/>
      </c>
    </row>
    <row r="48" spans="3:99" ht="14.25">
      <c r="C48" s="16">
        <v>40</v>
      </c>
      <c r="D48" s="19" t="s">
        <v>64</v>
      </c>
      <c r="E48" s="20">
        <f>INDEX([1]武将基本资料!$S:$S,MATCH(D48,[1]武将基本资料!$N:$N,0))</f>
        <v>120</v>
      </c>
      <c r="F48" s="20" t="str">
        <f>INDEX([1]武将基本资料!$Q:$Q,MATCH(D48,[1]武将基本资料!$N:$N,0))</f>
        <v>橙</v>
      </c>
      <c r="H48" s="7" t="str">
        <f>IF(I48="","",COUNTA(I$9:$I48))</f>
        <v/>
      </c>
      <c r="I48" s="6" t="s">
        <v>188</v>
      </c>
      <c r="J48" s="6" t="s">
        <v>61</v>
      </c>
      <c r="K48" s="8" t="str">
        <f>IF(H48="","",阶段合并区域(J48:J58," ",L48:L58,1))</f>
        <v/>
      </c>
      <c r="L48" s="8">
        <f>COUNTIF(M$8:$M48,"="&amp;M48)</f>
        <v>2</v>
      </c>
      <c r="M48" s="9" t="str">
        <f t="shared" si="3"/>
        <v>棋逢对手</v>
      </c>
      <c r="N48" s="9" t="str">
        <f t="shared" si="4"/>
        <v>棋逢对手2</v>
      </c>
      <c r="O48" s="15">
        <f>INDEX(C:C,MATCH(J48,D:D,0))</f>
        <v>55</v>
      </c>
      <c r="P48" s="9">
        <f>INDEX(E:E,MATCH(J48,D:D,0))</f>
        <v>120</v>
      </c>
      <c r="Q48" s="7">
        <f t="shared" si="0"/>
        <v>55</v>
      </c>
      <c r="R48" s="7">
        <f>COUNTIF(J$8:$J48,"="&amp;J48)</f>
        <v>1</v>
      </c>
      <c r="S48" s="7">
        <f t="shared" si="5"/>
        <v>1055</v>
      </c>
      <c r="U48" s="7">
        <f t="shared" si="9"/>
        <v>1040</v>
      </c>
      <c r="V48" s="7">
        <f t="shared" si="9"/>
        <v>2040</v>
      </c>
      <c r="W48" s="7">
        <f t="shared" si="9"/>
        <v>3040</v>
      </c>
      <c r="X48" s="7">
        <f t="shared" si="9"/>
        <v>4040</v>
      </c>
      <c r="Y48" s="7">
        <f t="shared" si="9"/>
        <v>5040</v>
      </c>
      <c r="Z48" s="7">
        <f t="shared" si="9"/>
        <v>6040</v>
      </c>
      <c r="AA48" s="7">
        <f t="shared" si="9"/>
        <v>7040</v>
      </c>
      <c r="AB48" s="7">
        <f t="shared" si="9"/>
        <v>8040</v>
      </c>
      <c r="AD48" s="21" t="str">
        <f>IFERROR(INDEX($M:$M,MATCH(U48,$S:$S,0)),"&amp;")</f>
        <v>优国忘身</v>
      </c>
      <c r="AE48" s="21" t="str">
        <f>IFERROR(INDEX($M:$M,MATCH(V48,$S:$S,0)),"&amp;")</f>
        <v>国破家亡</v>
      </c>
      <c r="AF48" s="21" t="str">
        <f>IFERROR(INDEX($M:$M,MATCH(W48,$S:$S,0)),"&amp;")</f>
        <v>人文之士</v>
      </c>
      <c r="AG48" s="21" t="str">
        <f>IFERROR(INDEX($M:$M,MATCH(X48,$S:$S,0)),"&amp;")</f>
        <v>变法强国</v>
      </c>
      <c r="AH48" s="21" t="str">
        <f>IFERROR(INDEX($M:$M,MATCH(Y48,$S:$S,0)),"&amp;")</f>
        <v>国破家亡</v>
      </c>
      <c r="AI48" s="21" t="str">
        <f>IFERROR(INDEX($M:$M,MATCH(Z48,$S:$S,0)),"&amp;")</f>
        <v>为国为民</v>
      </c>
      <c r="AJ48" s="21" t="str">
        <f>IFERROR(INDEX($M:$M,MATCH(AA48,$S:$S,0)),"&amp;")</f>
        <v>功高震主</v>
      </c>
      <c r="AK48" s="21" t="str">
        <f>IFERROR(INDEX($M:$M,MATCH(AB48,$S:$S,0)),"&amp;")</f>
        <v>雄辩之才</v>
      </c>
      <c r="AM48" s="21" t="str">
        <f>IFERROR(INDEX($N:$N,MATCH(U48,$S:$S,0)),"&amp;")</f>
        <v>优国忘身1</v>
      </c>
      <c r="AN48" s="21" t="str">
        <f>IFERROR(INDEX($N:$N,MATCH(V48,$S:$S,0)),"&amp;")</f>
        <v>国破家亡3</v>
      </c>
      <c r="AO48" s="21" t="str">
        <f>IFERROR(INDEX($N:$N,MATCH(W48,$S:$S,0)),"&amp;")</f>
        <v>人文之士1</v>
      </c>
      <c r="AP48" s="21" t="str">
        <f>IFERROR(INDEX($N:$N,MATCH(X48,$S:$S,0)),"&amp;")</f>
        <v>变法强国2</v>
      </c>
      <c r="AQ48" s="21" t="str">
        <f>IFERROR(INDEX($N:$N,MATCH(Y48,$S:$S,0)),"&amp;")</f>
        <v>国破家亡6</v>
      </c>
      <c r="AR48" s="21" t="str">
        <f>IFERROR(INDEX($N:$N,MATCH(Z48,$S:$S,0)),"&amp;")</f>
        <v>为国为民2</v>
      </c>
      <c r="AS48" s="21" t="str">
        <f>IFERROR(INDEX($N:$N,MATCH(AA48,$S:$S,0)),"&amp;")</f>
        <v>功高震主2</v>
      </c>
      <c r="AT48" s="21" t="str">
        <f>IFERROR(INDEX($N:$N,MATCH(AB48,$S:$S,0)),"&amp;")</f>
        <v>雄辩之才4</v>
      </c>
      <c r="AV48" s="21" t="str">
        <f>IFERROR(SUBSTITUTE(INDEX($K:$K,MATCH(INDEX($M:$M,MATCH(AM48,$N:$N,0)),$M:$M,0)),$D48,""),"")</f>
        <v xml:space="preserve"> 苏秦</v>
      </c>
      <c r="AW48" s="21" t="str">
        <f>IFERROR(SUBSTITUTE(INDEX($K:$K,MATCH(INDEX($M:$M,MATCH(AN48,$N:$N,0)),$M:$M,0)),$D48,""),"")</f>
        <v xml:space="preserve">韩非子 项燕 </v>
      </c>
      <c r="AX48" s="21" t="str">
        <f>IFERROR(SUBSTITUTE(INDEX($K:$K,MATCH(INDEX($M:$M,MATCH(AO48,$N:$N,0)),$M:$M,0)),$D48,""),"")</f>
        <v xml:space="preserve"> 樗里疾</v>
      </c>
      <c r="AY48" s="21" t="str">
        <f>IFERROR(SUBSTITUTE(INDEX($K:$K,MATCH(INDEX($M:$M,MATCH(AP48,$N:$N,0)),$M:$M,0)),$D48,""),"")</f>
        <v>吴起  申不害 韩非子</v>
      </c>
      <c r="AZ48" s="21" t="str">
        <f>IFERROR(SUBSTITUTE(INDEX($K:$K,MATCH(INDEX($M:$M,MATCH(AQ48,$N:$N,0)),$M:$M,0)),$D48,""),"")</f>
        <v xml:space="preserve">韩非子 项燕 </v>
      </c>
      <c r="BA48" s="21" t="str">
        <f>IFERROR(SUBSTITUTE(INDEX($K:$K,MATCH(INDEX($M:$M,MATCH(AR48,$N:$N,0)),$M:$M,0)),$D48,""),"")</f>
        <v>墨子  孙膑 韩非子</v>
      </c>
      <c r="BB48" s="21" t="str">
        <f>IFERROR(SUBSTITUTE(INDEX($K:$K,MATCH(INDEX($M:$M,MATCH(AS48,$N:$N,0)),$M:$M,0)),$D48,""),"")</f>
        <v>典藏吕不韦  田单 项燕</v>
      </c>
      <c r="BC48" s="21" t="str">
        <f>IFERROR(SUBSTITUTE(INDEX($K:$K,MATCH(INDEX($M:$M,MATCH(AT48,$N:$N,0)),$M:$M,0)),$D48,""),"")</f>
        <v>蔺相如 韩非子 赵括</v>
      </c>
      <c r="BE48" s="9" t="str">
        <f t="shared" si="7"/>
        <v>屈原,苏秦,韩非子,项燕,樗里疾,吴起,申不害,墨子,孙膑,典藏吕不韦,田单,蔺相如,赵括</v>
      </c>
      <c r="BI48" s="9" t="str">
        <f>IFERROR(
IF(COUNTIF($M:$M,$AD48)&lt;BI$8,
"",
INDEX($J:$J,MATCH($AD48,$M:$M,0)+BI$8-1)),
"")</f>
        <v>屈原</v>
      </c>
      <c r="BJ48" s="9" t="str">
        <f>IFERROR(
IF(COUNTIF($M:$M,$AD48)&lt;BJ$8,
"",
INDEX($J:$J,MATCH($AD48,$M:$M,0)+BJ$8-1)),
"")</f>
        <v>苏秦</v>
      </c>
      <c r="BK48" s="9" t="str">
        <f>IFERROR(
IF(COUNTIF($M:$M,$AD48)&lt;BK$8,
"",
INDEX($J:$J,MATCH($AD48,$M:$M,0)+BK$8-1)),
"")</f>
        <v/>
      </c>
      <c r="BL48" s="9" t="str">
        <f>IFERROR(
IF(COUNTIF($M:$M,$AD48)&lt;BL$8,
"",
INDEX($J:$J,MATCH($AD48,$M:$M,0)+BL$8-1)),
"")</f>
        <v/>
      </c>
      <c r="BN48" s="21" t="str">
        <f>IFERROR(
IF(COUNTIF($BI48:BM48,INDEX($J:$J,MATCH($AE48,$M:$M,0)+BN$8-1))=0,
IF(COUNTIF($M:$M,$AE48)&lt;BN$8,
"",
INDEX($J:$J,MATCH($AE48,$M:$M,0)+BN$8-1)),
""),
"")</f>
        <v>韩非子</v>
      </c>
      <c r="BO48" s="21" t="str">
        <f>IFERROR(
IF(COUNTIF($BI48:BN48,INDEX($J:$J,MATCH($AE48,$M:$M,0)+BO$8-1))=0,
IF(COUNTIF($M:$M,$AE48)&lt;BO$8,
"",
INDEX($J:$J,MATCH($AE48,$M:$M,0)+BO$8-1)),
""),
"")</f>
        <v>项燕</v>
      </c>
      <c r="BP48" s="21" t="str">
        <f>IFERROR(
IF(COUNTIF($BI48:BO48,INDEX($J:$J,MATCH($AE48,$M:$M,0)+BP$8-1))=0,
IF(COUNTIF($M:$M,$AE48)&lt;BP$8,
"",
INDEX($J:$J,MATCH($AE48,$M:$M,0)+BP$8-1)),
""),
"")</f>
        <v/>
      </c>
      <c r="BQ48" s="21" t="str">
        <f>IFERROR(
IF(COUNTIF($BI48:BP48,INDEX($J:$J,MATCH($AE48,$M:$M,0)+BQ$8-1))=0,
IF(COUNTIF($M:$M,$AE48)&lt;BQ$8,
"",
INDEX($J:$J,MATCH($AE48,$M:$M,0)+BQ$8-1)),
""),
"")</f>
        <v/>
      </c>
      <c r="BS48" s="21" t="str">
        <f>IFERROR(
IF(COUNTIF($BI48:BR48,INDEX($J:$J,MATCH($AF48,$M:$M,0)+BS$8-1))=0,
IF(COUNTIF($M:$M,$AF48)&lt;BS$8,
"",
INDEX($J:$J,MATCH($AF48,$M:$M,0)+BS$8-1)),
""),
"")</f>
        <v/>
      </c>
      <c r="BT48" s="21" t="str">
        <f>IFERROR(
IF(COUNTIF($BI48:BS48,INDEX($J:$J,MATCH($AF48,$M:$M,0)+BT$8-1))=0,
IF(COUNTIF($M:$M,$AF48)&lt;BT$8,
"",
INDEX($J:$J,MATCH($AF48,$M:$M,0)+BT$8-1)),
""),
"")</f>
        <v>樗里疾</v>
      </c>
      <c r="BU48" s="21" t="str">
        <f>IFERROR(
IF(COUNTIF($BI48:BT48,INDEX($J:$J,MATCH($AF48,$M:$M,0)+BU$8-1))=0,
IF(COUNTIF($M:$M,$AF48)&lt;BU$8,
"",
INDEX($J:$J,MATCH($AF48,$M:$M,0)+BU$8-1)),
""),
"")</f>
        <v/>
      </c>
      <c r="BV48" s="21" t="str">
        <f>IFERROR(
IF(COUNTIF($BI48:BU48,INDEX($J:$J,MATCH($AF48,$M:$M,0)+BV$8-1))=0,
IF(COUNTIF($M:$M,$AF48)&lt;BV$8,
"",
INDEX($J:$J,MATCH($AF48,$M:$M,0)+BV$8-1)),
""),
"")</f>
        <v/>
      </c>
      <c r="BX48" s="21" t="str">
        <f>IFERROR(
IF(COUNTIF($BI48:BW48,INDEX($J:$J,MATCH($AG48,$M:$M,0)+BX$8-1))=0,
IF(COUNTIF($M:$M,$AG48)&lt;BX$8,
"",
INDEX($J:$J,MATCH($AG48,$M:$M,0)+BX$8-1)),
""),
"")</f>
        <v>吴起</v>
      </c>
      <c r="BY48" s="21" t="str">
        <f>IFERROR(
IF(COUNTIF($BI48:BX48,INDEX($J:$J,MATCH($AG48,$M:$M,0)+BY$8-1))=0,
IF(COUNTIF($M:$M,$AG48)&lt;BY$8,
"",
INDEX($J:$J,MATCH($AG48,$M:$M,0)+BY$8-1)),
""),
"")</f>
        <v/>
      </c>
      <c r="BZ48" s="21" t="str">
        <f>IFERROR(
IF(COUNTIF($BI48:BY48,INDEX($J:$J,MATCH($AG48,$M:$M,0)+BZ$8-1))=0,
IF(COUNTIF($M:$M,$AG48)&lt;BZ$8,
"",
INDEX($J:$J,MATCH($AG48,$M:$M,0)+BZ$8-1)),
""),
"")</f>
        <v>申不害</v>
      </c>
      <c r="CA48" s="21" t="str">
        <f>IFERROR(
IF(COUNTIF($BI48:BZ48,INDEX($J:$J,MATCH($AG48,$M:$M,0)+CA$8-1))=0,
IF(COUNTIF($M:$M,$AG48)&lt;CA$8,
"",
INDEX($J:$J,MATCH($AG48,$M:$M,0)+CA$8-1)),
""),
"")</f>
        <v/>
      </c>
      <c r="CC48" s="21" t="str">
        <f>IFERROR(
IF(COUNTIF($BI48:CB48,INDEX($J:$J,MATCH($AH48,$M:$M,0)+CC$8-1))=0,
IF(COUNTIF($M:$M,$AH48)&lt;CC$8,
"",
INDEX($J:$J,MATCH($AH48,$M:$M,0)+CC$8-1)),
""),
"")</f>
        <v/>
      </c>
      <c r="CD48" s="21" t="str">
        <f>IFERROR(
IF(COUNTIF($BI48:CC48,INDEX($J:$J,MATCH($AH48,$M:$M,0)+CD$8-1))=0,
IF(COUNTIF($M:$M,$AH48)&lt;CD$8,
"",
INDEX($J:$J,MATCH($AH48,$M:$M,0)+CD$8-1)),
""),
"")</f>
        <v/>
      </c>
      <c r="CE48" s="21" t="str">
        <f>IFERROR(
IF(COUNTIF($BI48:CD48,INDEX($J:$J,MATCH($AH48,$M:$M,0)+CE$8-1))=0,
IF(COUNTIF($M:$M,$AH48)&lt;CE$8,
"",
INDEX($J:$J,MATCH($AH48,$M:$M,0)+CE$8-1)),
""),
"")</f>
        <v/>
      </c>
      <c r="CF48" s="21" t="str">
        <f>IFERROR(
IF(COUNTIF($BI48:CE48,INDEX($J:$J,MATCH($AH48,$M:$M,0)+CF$8-1))=0,
IF(COUNTIF($M:$M,$AH48)&lt;CF$8,
"",
INDEX($J:$J,MATCH($AH48,$M:$M,0)+CF$8-1)),
""),
"")</f>
        <v/>
      </c>
      <c r="CH48" s="21" t="str">
        <f>IFERROR(
IF(COUNTIF($BI48:CG48,INDEX($J:$J,MATCH($AI48,$M:$M,0)+CH$8-1))=0,
IF(COUNTIF($M:$M,$AI48)&lt;CH$8,
"",
INDEX($J:$J,MATCH($AI48,$M:$M,0)+CH$8-1)),
""),
"")</f>
        <v>墨子</v>
      </c>
      <c r="CI48" s="21" t="str">
        <f>IFERROR(
IF(COUNTIF($BI48:CH48,INDEX($J:$J,MATCH($AI48,$M:$M,0)+CI$8-1))=0,
IF(COUNTIF($M:$M,$AI48)&lt;CI$8,
"",
INDEX($J:$J,MATCH($AI48,$M:$M,0)+CI$8-1)),
""),
"")</f>
        <v/>
      </c>
      <c r="CJ48" s="21" t="str">
        <f>IFERROR(
IF(COUNTIF($BI48:CI48,INDEX($J:$J,MATCH($AI48,$M:$M,0)+CJ$8-1))=0,
IF(COUNTIF($M:$M,$AI48)&lt;CJ$8,
"",
INDEX($J:$J,MATCH($AI48,$M:$M,0)+CJ$8-1)),
""),
"")</f>
        <v>孙膑</v>
      </c>
      <c r="CK48" s="21" t="str">
        <f>IFERROR(
IF(COUNTIF($BI48:CJ48,INDEX($J:$J,MATCH($AI48,$M:$M,0)+CK$8-1))=0,
IF(COUNTIF($M:$M,$AI48)&lt;CK$8,
"",
INDEX($J:$J,MATCH($AI48,$M:$M,0)+CK$8-1)),
""),
"")</f>
        <v/>
      </c>
      <c r="CM48" s="21" t="str">
        <f>IFERROR(
IF(COUNTIF($BI48:CL48,INDEX($J:$J,MATCH($AJ48,$M:$M,0)+CM$8-1))=0,
IF(COUNTIF($M:$M,$AJ48)&lt;CM$8,
"",
INDEX($J:$J,MATCH($AJ48,$M:$M,0)+CM$8-1)),
""),
"")</f>
        <v>典藏吕不韦</v>
      </c>
      <c r="CN48" s="21" t="str">
        <f>IFERROR(
IF(COUNTIF($BI48:CM48,INDEX($J:$J,MATCH($AJ48,$M:$M,0)+CN$8-1))=0,
IF(COUNTIF($M:$M,$AJ48)&lt;CN$8,
"",
INDEX($J:$J,MATCH($AJ48,$M:$M,0)+CN$8-1)),
""),
"")</f>
        <v/>
      </c>
      <c r="CO48" s="21" t="str">
        <f>IFERROR(
IF(COUNTIF($BI48:CN48,INDEX($J:$J,MATCH($AJ48,$M:$M,0)+CO$8-1))=0,
IF(COUNTIF($M:$M,$AJ48)&lt;CO$8,
"",
INDEX($J:$J,MATCH($AJ48,$M:$M,0)+CO$8-1)),
""),
"")</f>
        <v>田单</v>
      </c>
      <c r="CP48" s="21" t="str">
        <f>IFERROR(
IF(COUNTIF($BI48:CO48,INDEX($J:$J,MATCH($AJ48,$M:$M,0)+CP$8-1))=0,
IF(COUNTIF($M:$M,$AJ48)&lt;CP$8,
"",
INDEX($J:$J,MATCH($AJ48,$M:$M,0)+CP$8-1)),
""),
"")</f>
        <v/>
      </c>
      <c r="CR48" s="21" t="str">
        <f>IFERROR(
IF(COUNTIF($BI48:CQ48,INDEX($J:$J,MATCH($AK48,$M:$M,0)+CR$8-1))=0,
IF(COUNTIF($M:$M,$AK48)&lt;CR$8,
"",
INDEX($J:$J,MATCH($AK48,$M:$M,0)+CR$8-1)),
""),
"")</f>
        <v>蔺相如</v>
      </c>
      <c r="CS48" s="21" t="str">
        <f>IFERROR(
IF(COUNTIF($BI48:CR48,INDEX($J:$J,MATCH($AK48,$M:$M,0)+CS$8-1))=0,
IF(COUNTIF($M:$M,$AK48)&lt;CS$8,
"",
INDEX($J:$J,MATCH($AK48,$M:$M,0)+CS$8-1)),
""),
"")</f>
        <v/>
      </c>
      <c r="CT48" s="21" t="str">
        <f>IFERROR(
IF(COUNTIF($BI48:CS48,INDEX($J:$J,MATCH($AK48,$M:$M,0)+CT$8-1))=0,
IF(COUNTIF($M:$M,$AK48)&lt;CT$8,
"",
INDEX($J:$J,MATCH($AK48,$M:$M,0)+CT$8-1)),
""),
"")</f>
        <v>赵括</v>
      </c>
      <c r="CU48" s="21" t="str">
        <f>IFERROR(
IF(COUNTIF($BI48:CT48,INDEX($J:$J,MATCH($AK48,$M:$M,0)+CU$8-1))=0,
IF(COUNTIF($M:$M,$AK48)&lt;CU$8,
"",
INDEX($J:$J,MATCH($AK48,$M:$M,0)+CU$8-1)),
""),
"")</f>
        <v/>
      </c>
    </row>
    <row r="49" spans="3:99" ht="14.25">
      <c r="C49" s="16">
        <v>41</v>
      </c>
      <c r="D49" s="19" t="s">
        <v>72</v>
      </c>
      <c r="E49" s="20">
        <f>INDEX([1]武将基本资料!$S:$S,MATCH(D49,[1]武将基本资料!$N:$N,0))</f>
        <v>120</v>
      </c>
      <c r="F49" s="20" t="str">
        <f>INDEX([1]武将基本资料!$Q:$Q,MATCH(D49,[1]武将基本资料!$N:$N,0))</f>
        <v>橙</v>
      </c>
      <c r="H49" s="7">
        <f>IF(I49="","",COUNTA(I$9:$I49))</f>
        <v>39</v>
      </c>
      <c r="I49" s="6" t="s">
        <v>169</v>
      </c>
      <c r="J49" s="6" t="s">
        <v>111</v>
      </c>
      <c r="K49" s="8" t="str">
        <f>IF(H49="","",阶段合并区域(J49:J59," ",L49:L59,1))</f>
        <v>伯乐 楚庄王</v>
      </c>
      <c r="L49" s="8">
        <f>COUNTIF(M$8:$M49,"="&amp;M49)</f>
        <v>1</v>
      </c>
      <c r="M49" s="9" t="str">
        <f t="shared" si="3"/>
        <v>慧眼识人</v>
      </c>
      <c r="N49" s="9" t="str">
        <f t="shared" si="4"/>
        <v>慧眼识人1</v>
      </c>
      <c r="O49" s="15">
        <f>INDEX(C:C,MATCH(J49,D:D,0))</f>
        <v>28</v>
      </c>
      <c r="P49" s="9">
        <f>INDEX(E:E,MATCH(J49,D:D,0))</f>
        <v>120</v>
      </c>
      <c r="Q49" s="7">
        <f t="shared" si="0"/>
        <v>28</v>
      </c>
      <c r="R49" s="7">
        <f>COUNTIF(J$8:$J49,"="&amp;J49)</f>
        <v>2</v>
      </c>
      <c r="S49" s="7">
        <f t="shared" si="5"/>
        <v>2028</v>
      </c>
      <c r="U49" s="7">
        <f t="shared" si="9"/>
        <v>1041</v>
      </c>
      <c r="V49" s="7">
        <f t="shared" si="9"/>
        <v>2041</v>
      </c>
      <c r="W49" s="7">
        <f t="shared" si="9"/>
        <v>3041</v>
      </c>
      <c r="X49" s="7">
        <f t="shared" si="9"/>
        <v>4041</v>
      </c>
      <c r="Y49" s="7">
        <f t="shared" si="9"/>
        <v>5041</v>
      </c>
      <c r="Z49" s="7">
        <f t="shared" si="9"/>
        <v>6041</v>
      </c>
      <c r="AA49" s="7">
        <f t="shared" si="9"/>
        <v>7041</v>
      </c>
      <c r="AB49" s="7">
        <f t="shared" si="9"/>
        <v>8041</v>
      </c>
      <c r="AD49" s="21" t="str">
        <f>IFERROR(INDEX($M:$M,MATCH(U49,$S:$S,0)),"&amp;")</f>
        <v>破秦勇将</v>
      </c>
      <c r="AE49" s="21" t="str">
        <f>IFERROR(INDEX($M:$M,MATCH(V49,$S:$S,0)),"&amp;")</f>
        <v>国破家亡</v>
      </c>
      <c r="AF49" s="21" t="str">
        <f>IFERROR(INDEX($M:$M,MATCH(W49,$S:$S,0)),"&amp;")</f>
        <v>有死无生</v>
      </c>
      <c r="AG49" s="21" t="str">
        <f>IFERROR(INDEX($M:$M,MATCH(X49,$S:$S,0)),"&amp;")</f>
        <v>国破家亡</v>
      </c>
      <c r="AH49" s="21" t="str">
        <f>IFERROR(INDEX($M:$M,MATCH(Y49,$S:$S,0)),"&amp;")</f>
        <v>功高震主</v>
      </c>
      <c r="AI49" s="21" t="str">
        <f>IFERROR(INDEX($M:$M,MATCH(Z49,$S:$S,0)),"&amp;")</f>
        <v>国之栋梁</v>
      </c>
      <c r="AJ49" s="21" t="str">
        <f>IFERROR(INDEX($M:$M,MATCH(AA49,$S:$S,0)),"&amp;")</f>
        <v>退避三舍</v>
      </c>
      <c r="AK49" s="21" t="str">
        <f>IFERROR(INDEX($M:$M,MATCH(AB49,$S:$S,0)),"&amp;")</f>
        <v>国之重将</v>
      </c>
      <c r="AM49" s="21" t="str">
        <f>IFERROR(INDEX($N:$N,MATCH(U49,$S:$S,0)),"&amp;")</f>
        <v>破秦勇将2</v>
      </c>
      <c r="AN49" s="21" t="str">
        <f>IFERROR(INDEX($N:$N,MATCH(V49,$S:$S,0)),"&amp;")</f>
        <v>国破家亡2</v>
      </c>
      <c r="AO49" s="21" t="str">
        <f>IFERROR(INDEX($N:$N,MATCH(W49,$S:$S,0)),"&amp;")</f>
        <v>有死无生1</v>
      </c>
      <c r="AP49" s="21" t="str">
        <f>IFERROR(INDEX($N:$N,MATCH(X49,$S:$S,0)),"&amp;")</f>
        <v>国破家亡7</v>
      </c>
      <c r="AQ49" s="21" t="str">
        <f>IFERROR(INDEX($N:$N,MATCH(Y49,$S:$S,0)),"&amp;")</f>
        <v>功高震主4</v>
      </c>
      <c r="AR49" s="21" t="str">
        <f>IFERROR(INDEX($N:$N,MATCH(Z49,$S:$S,0)),"&amp;")</f>
        <v>国之栋梁4</v>
      </c>
      <c r="AS49" s="21" t="str">
        <f>IFERROR(INDEX($N:$N,MATCH(AA49,$S:$S,0)),"&amp;")</f>
        <v>退避三舍4</v>
      </c>
      <c r="AT49" s="21" t="str">
        <f>IFERROR(INDEX($N:$N,MATCH(AB49,$S:$S,0)),"&amp;")</f>
        <v>国之重将2</v>
      </c>
      <c r="AV49" s="21" t="str">
        <f>IFERROR(SUBSTITUTE(INDEX($K:$K,MATCH(INDEX($M:$M,MATCH(AM49,$N:$N,0)),$M:$M,0)),$D49,""),"")</f>
        <v xml:space="preserve">钟无艳 </v>
      </c>
      <c r="AW49" s="21" t="str">
        <f>IFERROR(SUBSTITUTE(INDEX($K:$K,MATCH(INDEX($M:$M,MATCH(AN49,$N:$N,0)),$M:$M,0)),$D49,""),"")</f>
        <v>韩非子  屈原</v>
      </c>
      <c r="AX49" s="21" t="str">
        <f>IFERROR(SUBSTITUTE(INDEX($K:$K,MATCH(INDEX($M:$M,MATCH(AO49,$N:$N,0)),$M:$M,0)),$D49,""),"")</f>
        <v xml:space="preserve"> 荆轲</v>
      </c>
      <c r="AY49" s="21" t="str">
        <f>IFERROR(SUBSTITUTE(INDEX($K:$K,MATCH(INDEX($M:$M,MATCH(AP49,$N:$N,0)),$M:$M,0)),$D49,""),"")</f>
        <v>韩非子  屈原</v>
      </c>
      <c r="AZ49" s="21" t="str">
        <f>IFERROR(SUBSTITUTE(INDEX($K:$K,MATCH(INDEX($M:$M,MATCH(AQ49,$N:$N,0)),$M:$M,0)),$D49,""),"")</f>
        <v xml:space="preserve">典藏吕不韦 屈原 田单 </v>
      </c>
      <c r="BA49" s="21" t="str">
        <f>IFERROR(SUBSTITUTE(INDEX($K:$K,MATCH(INDEX($M:$M,MATCH(AR49,$N:$N,0)),$M:$M,0)),$D49,""),"")</f>
        <v xml:space="preserve">蔺相如 吕不韦 信陵君 </v>
      </c>
      <c r="BB49" s="21" t="str">
        <f>IFERROR(SUBSTITUTE(INDEX($K:$K,MATCH(INDEX($M:$M,MATCH(AS49,$N:$N,0)),$M:$M,0)),$D49,""),"")</f>
        <v>晋文公 韩非子 伍子胥</v>
      </c>
      <c r="BC49" s="21" t="str">
        <f>IFERROR(SUBSTITUTE(INDEX($K:$K,MATCH(INDEX($M:$M,MATCH(AT49,$N:$N,0)),$M:$M,0)),$D49,""),"")</f>
        <v>蒙恬  孙膑 乐毅</v>
      </c>
      <c r="BE49" s="9" t="str">
        <f t="shared" si="7"/>
        <v>钟无艳,项燕,韩非子,屈原,荆轲,典藏吕不韦,田单,蔺相如,吕不韦,信陵君,晋文公,伍子胥,蒙恬,孙膑,乐毅</v>
      </c>
      <c r="BI49" s="9" t="str">
        <f>IFERROR(
IF(COUNTIF($M:$M,$AD49)&lt;BI$8,
"",
INDEX($J:$J,MATCH($AD49,$M:$M,0)+BI$8-1)),
"")</f>
        <v>钟无艳</v>
      </c>
      <c r="BJ49" s="9" t="str">
        <f>IFERROR(
IF(COUNTIF($M:$M,$AD49)&lt;BJ$8,
"",
INDEX($J:$J,MATCH($AD49,$M:$M,0)+BJ$8-1)),
"")</f>
        <v>项燕</v>
      </c>
      <c r="BK49" s="9" t="str">
        <f>IFERROR(
IF(COUNTIF($M:$M,$AD49)&lt;BK$8,
"",
INDEX($J:$J,MATCH($AD49,$M:$M,0)+BK$8-1)),
"")</f>
        <v/>
      </c>
      <c r="BL49" s="9" t="str">
        <f>IFERROR(
IF(COUNTIF($M:$M,$AD49)&lt;BL$8,
"",
INDEX($J:$J,MATCH($AD49,$M:$M,0)+BL$8-1)),
"")</f>
        <v/>
      </c>
      <c r="BN49" s="21" t="str">
        <f>IFERROR(
IF(COUNTIF($BI49:BM49,INDEX($J:$J,MATCH($AE49,$M:$M,0)+BN$8-1))=0,
IF(COUNTIF($M:$M,$AE49)&lt;BN$8,
"",
INDEX($J:$J,MATCH($AE49,$M:$M,0)+BN$8-1)),
""),
"")</f>
        <v>韩非子</v>
      </c>
      <c r="BO49" s="21" t="str">
        <f>IFERROR(
IF(COUNTIF($BI49:BN49,INDEX($J:$J,MATCH($AE49,$M:$M,0)+BO$8-1))=0,
IF(COUNTIF($M:$M,$AE49)&lt;BO$8,
"",
INDEX($J:$J,MATCH($AE49,$M:$M,0)+BO$8-1)),
""),
"")</f>
        <v/>
      </c>
      <c r="BP49" s="21" t="str">
        <f>IFERROR(
IF(COUNTIF($BI49:BO49,INDEX($J:$J,MATCH($AE49,$M:$M,0)+BP$8-1))=0,
IF(COUNTIF($M:$M,$AE49)&lt;BP$8,
"",
INDEX($J:$J,MATCH($AE49,$M:$M,0)+BP$8-1)),
""),
"")</f>
        <v>屈原</v>
      </c>
      <c r="BQ49" s="21" t="str">
        <f>IFERROR(
IF(COUNTIF($BI49:BP49,INDEX($J:$J,MATCH($AE49,$M:$M,0)+BQ$8-1))=0,
IF(COUNTIF($M:$M,$AE49)&lt;BQ$8,
"",
INDEX($J:$J,MATCH($AE49,$M:$M,0)+BQ$8-1)),
""),
"")</f>
        <v/>
      </c>
      <c r="BS49" s="21" t="str">
        <f>IFERROR(
IF(COUNTIF($BI49:BR49,INDEX($J:$J,MATCH($AF49,$M:$M,0)+BS$8-1))=0,
IF(COUNTIF($M:$M,$AF49)&lt;BS$8,
"",
INDEX($J:$J,MATCH($AF49,$M:$M,0)+BS$8-1)),
""),
"")</f>
        <v/>
      </c>
      <c r="BT49" s="21" t="str">
        <f>IFERROR(
IF(COUNTIF($BI49:BS49,INDEX($J:$J,MATCH($AF49,$M:$M,0)+BT$8-1))=0,
IF(COUNTIF($M:$M,$AF49)&lt;BT$8,
"",
INDEX($J:$J,MATCH($AF49,$M:$M,0)+BT$8-1)),
""),
"")</f>
        <v>荆轲</v>
      </c>
      <c r="BU49" s="21" t="str">
        <f>IFERROR(
IF(COUNTIF($BI49:BT49,INDEX($J:$J,MATCH($AF49,$M:$M,0)+BU$8-1))=0,
IF(COUNTIF($M:$M,$AF49)&lt;BU$8,
"",
INDEX($J:$J,MATCH($AF49,$M:$M,0)+BU$8-1)),
""),
"")</f>
        <v/>
      </c>
      <c r="BV49" s="21" t="str">
        <f>IFERROR(
IF(COUNTIF($BI49:BU49,INDEX($J:$J,MATCH($AF49,$M:$M,0)+BV$8-1))=0,
IF(COUNTIF($M:$M,$AF49)&lt;BV$8,
"",
INDEX($J:$J,MATCH($AF49,$M:$M,0)+BV$8-1)),
""),
"")</f>
        <v/>
      </c>
      <c r="BX49" s="21" t="str">
        <f>IFERROR(
IF(COUNTIF($BI49:BW49,INDEX($J:$J,MATCH($AG49,$M:$M,0)+BX$8-1))=0,
IF(COUNTIF($M:$M,$AG49)&lt;BX$8,
"",
INDEX($J:$J,MATCH($AG49,$M:$M,0)+BX$8-1)),
""),
"")</f>
        <v/>
      </c>
      <c r="BY49" s="21" t="str">
        <f>IFERROR(
IF(COUNTIF($BI49:BX49,INDEX($J:$J,MATCH($AG49,$M:$M,0)+BY$8-1))=0,
IF(COUNTIF($M:$M,$AG49)&lt;BY$8,
"",
INDEX($J:$J,MATCH($AG49,$M:$M,0)+BY$8-1)),
""),
"")</f>
        <v/>
      </c>
      <c r="BZ49" s="21" t="str">
        <f>IFERROR(
IF(COUNTIF($BI49:BY49,INDEX($J:$J,MATCH($AG49,$M:$M,0)+BZ$8-1))=0,
IF(COUNTIF($M:$M,$AG49)&lt;BZ$8,
"",
INDEX($J:$J,MATCH($AG49,$M:$M,0)+BZ$8-1)),
""),
"")</f>
        <v/>
      </c>
      <c r="CA49" s="21" t="str">
        <f>IFERROR(
IF(COUNTIF($BI49:BZ49,INDEX($J:$J,MATCH($AG49,$M:$M,0)+CA$8-1))=0,
IF(COUNTIF($M:$M,$AG49)&lt;CA$8,
"",
INDEX($J:$J,MATCH($AG49,$M:$M,0)+CA$8-1)),
""),
"")</f>
        <v/>
      </c>
      <c r="CC49" s="21" t="str">
        <f>IFERROR(
IF(COUNTIF($BI49:CB49,INDEX($J:$J,MATCH($AH49,$M:$M,0)+CC$8-1))=0,
IF(COUNTIF($M:$M,$AH49)&lt;CC$8,
"",
INDEX($J:$J,MATCH($AH49,$M:$M,0)+CC$8-1)),
""),
"")</f>
        <v>典藏吕不韦</v>
      </c>
      <c r="CD49" s="21" t="str">
        <f>IFERROR(
IF(COUNTIF($BI49:CC49,INDEX($J:$J,MATCH($AH49,$M:$M,0)+CD$8-1))=0,
IF(COUNTIF($M:$M,$AH49)&lt;CD$8,
"",
INDEX($J:$J,MATCH($AH49,$M:$M,0)+CD$8-1)),
""),
"")</f>
        <v/>
      </c>
      <c r="CE49" s="21" t="str">
        <f>IFERROR(
IF(COUNTIF($BI49:CD49,INDEX($J:$J,MATCH($AH49,$M:$M,0)+CE$8-1))=0,
IF(COUNTIF($M:$M,$AH49)&lt;CE$8,
"",
INDEX($J:$J,MATCH($AH49,$M:$M,0)+CE$8-1)),
""),
"")</f>
        <v>田单</v>
      </c>
      <c r="CF49" s="21" t="str">
        <f>IFERROR(
IF(COUNTIF($BI49:CE49,INDEX($J:$J,MATCH($AH49,$M:$M,0)+CF$8-1))=0,
IF(COUNTIF($M:$M,$AH49)&lt;CF$8,
"",
INDEX($J:$J,MATCH($AH49,$M:$M,0)+CF$8-1)),
""),
"")</f>
        <v/>
      </c>
      <c r="CH49" s="21" t="str">
        <f>IFERROR(
IF(COUNTIF($BI49:CG49,INDEX($J:$J,MATCH($AI49,$M:$M,0)+CH$8-1))=0,
IF(COUNTIF($M:$M,$AI49)&lt;CH$8,
"",
INDEX($J:$J,MATCH($AI49,$M:$M,0)+CH$8-1)),
""),
"")</f>
        <v>蔺相如</v>
      </c>
      <c r="CI49" s="21" t="str">
        <f>IFERROR(
IF(COUNTIF($BI49:CH49,INDEX($J:$J,MATCH($AI49,$M:$M,0)+CI$8-1))=0,
IF(COUNTIF($M:$M,$AI49)&lt;CI$8,
"",
INDEX($J:$J,MATCH($AI49,$M:$M,0)+CI$8-1)),
""),
"")</f>
        <v>吕不韦</v>
      </c>
      <c r="CJ49" s="21" t="str">
        <f>IFERROR(
IF(COUNTIF($BI49:CI49,INDEX($J:$J,MATCH($AI49,$M:$M,0)+CJ$8-1))=0,
IF(COUNTIF($M:$M,$AI49)&lt;CJ$8,
"",
INDEX($J:$J,MATCH($AI49,$M:$M,0)+CJ$8-1)),
""),
"")</f>
        <v>信陵君</v>
      </c>
      <c r="CK49" s="21" t="str">
        <f>IFERROR(
IF(COUNTIF($BI49:CJ49,INDEX($J:$J,MATCH($AI49,$M:$M,0)+CK$8-1))=0,
IF(COUNTIF($M:$M,$AI49)&lt;CK$8,
"",
INDEX($J:$J,MATCH($AI49,$M:$M,0)+CK$8-1)),
""),
"")</f>
        <v/>
      </c>
      <c r="CM49" s="21" t="str">
        <f>IFERROR(
IF(COUNTIF($BI49:CL49,INDEX($J:$J,MATCH($AJ49,$M:$M,0)+CM$8-1))=0,
IF(COUNTIF($M:$M,$AJ49)&lt;CM$8,
"",
INDEX($J:$J,MATCH($AJ49,$M:$M,0)+CM$8-1)),
""),
"")</f>
        <v>晋文公</v>
      </c>
      <c r="CN49" s="21" t="str">
        <f>IFERROR(
IF(COUNTIF($BI49:CM49,INDEX($J:$J,MATCH($AJ49,$M:$M,0)+CN$8-1))=0,
IF(COUNTIF($M:$M,$AJ49)&lt;CN$8,
"",
INDEX($J:$J,MATCH($AJ49,$M:$M,0)+CN$8-1)),
""),
"")</f>
        <v/>
      </c>
      <c r="CO49" s="21" t="str">
        <f>IFERROR(
IF(COUNTIF($BI49:CN49,INDEX($J:$J,MATCH($AJ49,$M:$M,0)+CO$8-1))=0,
IF(COUNTIF($M:$M,$AJ49)&lt;CO$8,
"",
INDEX($J:$J,MATCH($AJ49,$M:$M,0)+CO$8-1)),
""),
"")</f>
        <v>伍子胥</v>
      </c>
      <c r="CP49" s="21" t="str">
        <f>IFERROR(
IF(COUNTIF($BI49:CO49,INDEX($J:$J,MATCH($AJ49,$M:$M,0)+CP$8-1))=0,
IF(COUNTIF($M:$M,$AJ49)&lt;CP$8,
"",
INDEX($J:$J,MATCH($AJ49,$M:$M,0)+CP$8-1)),
""),
"")</f>
        <v/>
      </c>
      <c r="CR49" s="21" t="str">
        <f>IFERROR(
IF(COUNTIF($BI49:CQ49,INDEX($J:$J,MATCH($AK49,$M:$M,0)+CR$8-1))=0,
IF(COUNTIF($M:$M,$AK49)&lt;CR$8,
"",
INDEX($J:$J,MATCH($AK49,$M:$M,0)+CR$8-1)),
""),
"")</f>
        <v>蒙恬</v>
      </c>
      <c r="CS49" s="21" t="str">
        <f>IFERROR(
IF(COUNTIF($BI49:CR49,INDEX($J:$J,MATCH($AK49,$M:$M,0)+CS$8-1))=0,
IF(COUNTIF($M:$M,$AK49)&lt;CS$8,
"",
INDEX($J:$J,MATCH($AK49,$M:$M,0)+CS$8-1)),
""),
"")</f>
        <v/>
      </c>
      <c r="CT49" s="21" t="str">
        <f>IFERROR(
IF(COUNTIF($BI49:CS49,INDEX($J:$J,MATCH($AK49,$M:$M,0)+CT$8-1))=0,
IF(COUNTIF($M:$M,$AK49)&lt;CT$8,
"",
INDEX($J:$J,MATCH($AK49,$M:$M,0)+CT$8-1)),
""),
"")</f>
        <v>孙膑</v>
      </c>
      <c r="CU49" s="21" t="str">
        <f>IFERROR(
IF(COUNTIF($BI49:CT49,INDEX($J:$J,MATCH($AK49,$M:$M,0)+CU$8-1))=0,
IF(COUNTIF($M:$M,$AK49)&lt;CU$8,
"",
INDEX($J:$J,MATCH($AK49,$M:$M,0)+CU$8-1)),
""),
"")</f>
        <v>乐毅</v>
      </c>
    </row>
    <row r="50" spans="3:99" ht="14.25">
      <c r="C50" s="16">
        <v>42</v>
      </c>
      <c r="D50" s="19" t="s">
        <v>186</v>
      </c>
      <c r="E50" s="20">
        <f>INDEX([1]武将基本资料!$S:$S,MATCH(D50,[1]武将基本资料!$N:$N,0))</f>
        <v>110</v>
      </c>
      <c r="F50" s="20" t="str">
        <f>INDEX([1]武将基本资料!$Q:$Q,MATCH(D50,[1]武将基本资料!$N:$N,0))</f>
        <v>紫</v>
      </c>
      <c r="H50" s="7" t="str">
        <f>IF(I50="","",COUNTA(I$9:$I50))</f>
        <v/>
      </c>
      <c r="I50" s="6" t="s">
        <v>188</v>
      </c>
      <c r="J50" s="6" t="s">
        <v>199</v>
      </c>
      <c r="K50" s="8" t="str">
        <f>IF(H50="","",阶段合并区域(J50:J60," ",L50:L60,1))</f>
        <v/>
      </c>
      <c r="L50" s="8">
        <f>COUNTIF(M$8:$M50,"="&amp;M50)</f>
        <v>2</v>
      </c>
      <c r="M50" s="9" t="str">
        <f t="shared" si="3"/>
        <v>慧眼识人</v>
      </c>
      <c r="N50" s="9" t="str">
        <f t="shared" si="4"/>
        <v>慧眼识人2</v>
      </c>
      <c r="O50" s="15">
        <f>INDEX(C:C,MATCH(J50,D:D,0))</f>
        <v>15</v>
      </c>
      <c r="P50" s="9">
        <f>INDEX(E:E,MATCH(J50,D:D,0))</f>
        <v>120</v>
      </c>
      <c r="Q50" s="7">
        <f t="shared" si="0"/>
        <v>15</v>
      </c>
      <c r="R50" s="7">
        <f>COUNTIF(J$8:$J50,"="&amp;J50)</f>
        <v>1</v>
      </c>
      <c r="S50" s="7">
        <f t="shared" si="5"/>
        <v>1015</v>
      </c>
      <c r="U50" s="7">
        <f t="shared" si="9"/>
        <v>1042</v>
      </c>
      <c r="V50" s="7">
        <f t="shared" si="9"/>
        <v>2042</v>
      </c>
      <c r="W50" s="7">
        <f t="shared" si="9"/>
        <v>3042</v>
      </c>
      <c r="X50" s="7">
        <f t="shared" si="9"/>
        <v>4042</v>
      </c>
      <c r="Y50" s="7">
        <f t="shared" si="9"/>
        <v>5042</v>
      </c>
      <c r="Z50" s="7">
        <f t="shared" si="9"/>
        <v>6042</v>
      </c>
      <c r="AA50" s="7">
        <f t="shared" si="9"/>
        <v>7042</v>
      </c>
      <c r="AB50" s="7">
        <f t="shared" si="9"/>
        <v>8042</v>
      </c>
      <c r="AD50" s="21" t="str">
        <f>IFERROR(INDEX($M:$M,MATCH(U50,$S:$S,0)),"&amp;")</f>
        <v>穷兵黩武</v>
      </c>
      <c r="AE50" s="21" t="str">
        <f>IFERROR(INDEX($M:$M,MATCH(V50,$S:$S,0)),"&amp;")</f>
        <v>门客三千</v>
      </c>
      <c r="AF50" s="21" t="str">
        <f>IFERROR(INDEX($M:$M,MATCH(W50,$S:$S,0)),"&amp;")</f>
        <v>&amp;</v>
      </c>
      <c r="AG50" s="21" t="str">
        <f>IFERROR(INDEX($M:$M,MATCH(X50,$S:$S,0)),"&amp;")</f>
        <v>&amp;</v>
      </c>
      <c r="AH50" s="21" t="str">
        <f>IFERROR(INDEX($M:$M,MATCH(Y50,$S:$S,0)),"&amp;")</f>
        <v>&amp;</v>
      </c>
      <c r="AI50" s="21" t="str">
        <f>IFERROR(INDEX($M:$M,MATCH(Z50,$S:$S,0)),"&amp;")</f>
        <v>&amp;</v>
      </c>
      <c r="AJ50" s="21" t="str">
        <f>IFERROR(INDEX($M:$M,MATCH(AA50,$S:$S,0)),"&amp;")</f>
        <v>&amp;</v>
      </c>
      <c r="AK50" s="21" t="str">
        <f>IFERROR(INDEX($M:$M,MATCH(AB50,$S:$S,0)),"&amp;")</f>
        <v>&amp;</v>
      </c>
      <c r="AM50" s="21" t="str">
        <f>IFERROR(INDEX($N:$N,MATCH(U50,$S:$S,0)),"&amp;")</f>
        <v>穷兵黩武1</v>
      </c>
      <c r="AN50" s="21" t="str">
        <f>IFERROR(INDEX($N:$N,MATCH(V50,$S:$S,0)),"&amp;")</f>
        <v>门客三千1</v>
      </c>
      <c r="AO50" s="21" t="str">
        <f>IFERROR(INDEX($N:$N,MATCH(W50,$S:$S,0)),"&amp;")</f>
        <v>&amp;</v>
      </c>
      <c r="AP50" s="21" t="str">
        <f>IFERROR(INDEX($N:$N,MATCH(X50,$S:$S,0)),"&amp;")</f>
        <v>&amp;</v>
      </c>
      <c r="AQ50" s="21" t="str">
        <f>IFERROR(INDEX($N:$N,MATCH(Y50,$S:$S,0)),"&amp;")</f>
        <v>&amp;</v>
      </c>
      <c r="AR50" s="21" t="str">
        <f>IFERROR(INDEX($N:$N,MATCH(Z50,$S:$S,0)),"&amp;")</f>
        <v>&amp;</v>
      </c>
      <c r="AS50" s="21" t="str">
        <f>IFERROR(INDEX($N:$N,MATCH(AA50,$S:$S,0)),"&amp;")</f>
        <v>&amp;</v>
      </c>
      <c r="AT50" s="21" t="str">
        <f>IFERROR(INDEX($N:$N,MATCH(AB50,$S:$S,0)),"&amp;")</f>
        <v>&amp;</v>
      </c>
      <c r="AV50" s="21" t="str">
        <f>IFERROR(SUBSTITUTE(INDEX($K:$K,MATCH(INDEX($M:$M,MATCH(AM50,$N:$N,0)),$M:$M,0)),$D50,""),"")</f>
        <v xml:space="preserve"> 庞涓 义渠骇</v>
      </c>
      <c r="AW50" s="21" t="str">
        <f>IFERROR(SUBSTITUTE(INDEX($K:$K,MATCH(INDEX($M:$M,MATCH(AN50,$N:$N,0)),$M:$M,0)),$D50,""),"")</f>
        <v xml:space="preserve"> 信陵君</v>
      </c>
      <c r="AX50" s="21" t="str">
        <f>IFERROR(SUBSTITUTE(INDEX($K:$K,MATCH(INDEX($M:$M,MATCH(AO50,$N:$N,0)),$M:$M,0)),$D50,""),"")</f>
        <v/>
      </c>
      <c r="AY50" s="21" t="str">
        <f>IFERROR(SUBSTITUTE(INDEX($K:$K,MATCH(INDEX($M:$M,MATCH(AP50,$N:$N,0)),$M:$M,0)),$D50,""),"")</f>
        <v/>
      </c>
      <c r="AZ50" s="21" t="str">
        <f>IFERROR(SUBSTITUTE(INDEX($K:$K,MATCH(INDEX($M:$M,MATCH(AQ50,$N:$N,0)),$M:$M,0)),$D50,""),"")</f>
        <v/>
      </c>
      <c r="BA50" s="21" t="str">
        <f>IFERROR(SUBSTITUTE(INDEX($K:$K,MATCH(INDEX($M:$M,MATCH(AR50,$N:$N,0)),$M:$M,0)),$D50,""),"")</f>
        <v/>
      </c>
      <c r="BB50" s="21" t="str">
        <f>IFERROR(SUBSTITUTE(INDEX($K:$K,MATCH(INDEX($M:$M,MATCH(AS50,$N:$N,0)),$M:$M,0)),$D50,""),"")</f>
        <v/>
      </c>
      <c r="BC50" s="21" t="str">
        <f>IFERROR(SUBSTITUTE(INDEX($K:$K,MATCH(INDEX($M:$M,MATCH(AT50,$N:$N,0)),$M:$M,0)),$D50,""),"")</f>
        <v/>
      </c>
      <c r="BE50" s="9" t="str">
        <f t="shared" si="7"/>
        <v>春申君,庞涓,义渠骇,信陵君</v>
      </c>
      <c r="BI50" s="9" t="str">
        <f>IFERROR(
IF(COUNTIF($M:$M,$AD50)&lt;BI$8,
"",
INDEX($J:$J,MATCH($AD50,$M:$M,0)+BI$8-1)),
"")</f>
        <v>春申君</v>
      </c>
      <c r="BJ50" s="9" t="str">
        <f>IFERROR(
IF(COUNTIF($M:$M,$AD50)&lt;BJ$8,
"",
INDEX($J:$J,MATCH($AD50,$M:$M,0)+BJ$8-1)),
"")</f>
        <v>庞涓</v>
      </c>
      <c r="BK50" s="9" t="str">
        <f>IFERROR(
IF(COUNTIF($M:$M,$AD50)&lt;BK$8,
"",
INDEX($J:$J,MATCH($AD50,$M:$M,0)+BK$8-1)),
"")</f>
        <v>义渠骇</v>
      </c>
      <c r="BL50" s="9" t="str">
        <f>IFERROR(
IF(COUNTIF($M:$M,$AD50)&lt;BL$8,
"",
INDEX($J:$J,MATCH($AD50,$M:$M,0)+BL$8-1)),
"")</f>
        <v/>
      </c>
      <c r="BN50" s="21" t="str">
        <f>IFERROR(
IF(COUNTIF($BI50:BM50,INDEX($J:$J,MATCH($AE50,$M:$M,0)+BN$8-1))=0,
IF(COUNTIF($M:$M,$AE50)&lt;BN$8,
"",
INDEX($J:$J,MATCH($AE50,$M:$M,0)+BN$8-1)),
""),
"")</f>
        <v/>
      </c>
      <c r="BO50" s="21" t="str">
        <f>IFERROR(
IF(COUNTIF($BI50:BN50,INDEX($J:$J,MATCH($AE50,$M:$M,0)+BO$8-1))=0,
IF(COUNTIF($M:$M,$AE50)&lt;BO$8,
"",
INDEX($J:$J,MATCH($AE50,$M:$M,0)+BO$8-1)),
""),
"")</f>
        <v>信陵君</v>
      </c>
      <c r="BP50" s="21" t="str">
        <f>IFERROR(
IF(COUNTIF($BI50:BO50,INDEX($J:$J,MATCH($AE50,$M:$M,0)+BP$8-1))=0,
IF(COUNTIF($M:$M,$AE50)&lt;BP$8,
"",
INDEX($J:$J,MATCH($AE50,$M:$M,0)+BP$8-1)),
""),
"")</f>
        <v/>
      </c>
      <c r="BQ50" s="21" t="str">
        <f>IFERROR(
IF(COUNTIF($BI50:BP50,INDEX($J:$J,MATCH($AE50,$M:$M,0)+BQ$8-1))=0,
IF(COUNTIF($M:$M,$AE50)&lt;BQ$8,
"",
INDEX($J:$J,MATCH($AE50,$M:$M,0)+BQ$8-1)),
""),
"")</f>
        <v/>
      </c>
      <c r="BS50" s="21" t="str">
        <f>IFERROR(
IF(COUNTIF($BI50:BR50,INDEX($J:$J,MATCH($AF50,$M:$M,0)+BS$8-1))=0,
IF(COUNTIF($M:$M,$AF50)&lt;BS$8,
"",
INDEX($J:$J,MATCH($AF50,$M:$M,0)+BS$8-1)),
""),
"")</f>
        <v/>
      </c>
      <c r="BT50" s="21" t="str">
        <f>IFERROR(
IF(COUNTIF($BI50:BS50,INDEX($J:$J,MATCH($AF50,$M:$M,0)+BT$8-1))=0,
IF(COUNTIF($M:$M,$AF50)&lt;BT$8,
"",
INDEX($J:$J,MATCH($AF50,$M:$M,0)+BT$8-1)),
""),
"")</f>
        <v/>
      </c>
      <c r="BU50" s="21" t="str">
        <f>IFERROR(
IF(COUNTIF($BI50:BT50,INDEX($J:$J,MATCH($AF50,$M:$M,0)+BU$8-1))=0,
IF(COUNTIF($M:$M,$AF50)&lt;BU$8,
"",
INDEX($J:$J,MATCH($AF50,$M:$M,0)+BU$8-1)),
""),
"")</f>
        <v/>
      </c>
      <c r="BV50" s="21" t="str">
        <f>IFERROR(
IF(COUNTIF($BI50:BU50,INDEX($J:$J,MATCH($AF50,$M:$M,0)+BV$8-1))=0,
IF(COUNTIF($M:$M,$AF50)&lt;BV$8,
"",
INDEX($J:$J,MATCH($AF50,$M:$M,0)+BV$8-1)),
""),
"")</f>
        <v/>
      </c>
      <c r="BX50" s="21" t="str">
        <f>IFERROR(
IF(COUNTIF($BI50:BW50,INDEX($J:$J,MATCH($AG50,$M:$M,0)+BX$8-1))=0,
IF(COUNTIF($M:$M,$AG50)&lt;BX$8,
"",
INDEX($J:$J,MATCH($AG50,$M:$M,0)+BX$8-1)),
""),
"")</f>
        <v/>
      </c>
      <c r="BY50" s="21" t="str">
        <f>IFERROR(
IF(COUNTIF($BI50:BX50,INDEX($J:$J,MATCH($AG50,$M:$M,0)+BY$8-1))=0,
IF(COUNTIF($M:$M,$AG50)&lt;BY$8,
"",
INDEX($J:$J,MATCH($AG50,$M:$M,0)+BY$8-1)),
""),
"")</f>
        <v/>
      </c>
      <c r="BZ50" s="21" t="str">
        <f>IFERROR(
IF(COUNTIF($BI50:BY50,INDEX($J:$J,MATCH($AG50,$M:$M,0)+BZ$8-1))=0,
IF(COUNTIF($M:$M,$AG50)&lt;BZ$8,
"",
INDEX($J:$J,MATCH($AG50,$M:$M,0)+BZ$8-1)),
""),
"")</f>
        <v/>
      </c>
      <c r="CA50" s="21" t="str">
        <f>IFERROR(
IF(COUNTIF($BI50:BZ50,INDEX($J:$J,MATCH($AG50,$M:$M,0)+CA$8-1))=0,
IF(COUNTIF($M:$M,$AG50)&lt;CA$8,
"",
INDEX($J:$J,MATCH($AG50,$M:$M,0)+CA$8-1)),
""),
"")</f>
        <v/>
      </c>
      <c r="CC50" s="21" t="str">
        <f>IFERROR(
IF(COUNTIF($BI50:CB50,INDEX($J:$J,MATCH($AH50,$M:$M,0)+CC$8-1))=0,
IF(COUNTIF($M:$M,$AH50)&lt;CC$8,
"",
INDEX($J:$J,MATCH($AH50,$M:$M,0)+CC$8-1)),
""),
"")</f>
        <v/>
      </c>
      <c r="CD50" s="21" t="str">
        <f>IFERROR(
IF(COUNTIF($BI50:CC50,INDEX($J:$J,MATCH($AH50,$M:$M,0)+CD$8-1))=0,
IF(COUNTIF($M:$M,$AH50)&lt;CD$8,
"",
INDEX($J:$J,MATCH($AH50,$M:$M,0)+CD$8-1)),
""),
"")</f>
        <v/>
      </c>
      <c r="CE50" s="21" t="str">
        <f>IFERROR(
IF(COUNTIF($BI50:CD50,INDEX($J:$J,MATCH($AH50,$M:$M,0)+CE$8-1))=0,
IF(COUNTIF($M:$M,$AH50)&lt;CE$8,
"",
INDEX($J:$J,MATCH($AH50,$M:$M,0)+CE$8-1)),
""),
"")</f>
        <v/>
      </c>
      <c r="CF50" s="21" t="str">
        <f>IFERROR(
IF(COUNTIF($BI50:CE50,INDEX($J:$J,MATCH($AH50,$M:$M,0)+CF$8-1))=0,
IF(COUNTIF($M:$M,$AH50)&lt;CF$8,
"",
INDEX($J:$J,MATCH($AH50,$M:$M,0)+CF$8-1)),
""),
"")</f>
        <v/>
      </c>
      <c r="CH50" s="21" t="str">
        <f>IFERROR(
IF(COUNTIF($BI50:CG50,INDEX($J:$J,MATCH($AI50,$M:$M,0)+CH$8-1))=0,
IF(COUNTIF($M:$M,$AI50)&lt;CH$8,
"",
INDEX($J:$J,MATCH($AI50,$M:$M,0)+CH$8-1)),
""),
"")</f>
        <v/>
      </c>
      <c r="CI50" s="21" t="str">
        <f>IFERROR(
IF(COUNTIF($BI50:CH50,INDEX($J:$J,MATCH($AI50,$M:$M,0)+CI$8-1))=0,
IF(COUNTIF($M:$M,$AI50)&lt;CI$8,
"",
INDEX($J:$J,MATCH($AI50,$M:$M,0)+CI$8-1)),
""),
"")</f>
        <v/>
      </c>
      <c r="CJ50" s="21" t="str">
        <f>IFERROR(
IF(COUNTIF($BI50:CI50,INDEX($J:$J,MATCH($AI50,$M:$M,0)+CJ$8-1))=0,
IF(COUNTIF($M:$M,$AI50)&lt;CJ$8,
"",
INDEX($J:$J,MATCH($AI50,$M:$M,0)+CJ$8-1)),
""),
"")</f>
        <v/>
      </c>
      <c r="CK50" s="21" t="str">
        <f>IFERROR(
IF(COUNTIF($BI50:CJ50,INDEX($J:$J,MATCH($AI50,$M:$M,0)+CK$8-1))=0,
IF(COUNTIF($M:$M,$AI50)&lt;CK$8,
"",
INDEX($J:$J,MATCH($AI50,$M:$M,0)+CK$8-1)),
""),
"")</f>
        <v/>
      </c>
      <c r="CM50" s="21" t="str">
        <f>IFERROR(
IF(COUNTIF($BI50:CL50,INDEX($J:$J,MATCH($AJ50,$M:$M,0)+CM$8-1))=0,
IF(COUNTIF($M:$M,$AJ50)&lt;CM$8,
"",
INDEX($J:$J,MATCH($AJ50,$M:$M,0)+CM$8-1)),
""),
"")</f>
        <v/>
      </c>
      <c r="CN50" s="21" t="str">
        <f>IFERROR(
IF(COUNTIF($BI50:CM50,INDEX($J:$J,MATCH($AJ50,$M:$M,0)+CN$8-1))=0,
IF(COUNTIF($M:$M,$AJ50)&lt;CN$8,
"",
INDEX($J:$J,MATCH($AJ50,$M:$M,0)+CN$8-1)),
""),
"")</f>
        <v/>
      </c>
      <c r="CO50" s="21" t="str">
        <f>IFERROR(
IF(COUNTIF($BI50:CN50,INDEX($J:$J,MATCH($AJ50,$M:$M,0)+CO$8-1))=0,
IF(COUNTIF($M:$M,$AJ50)&lt;CO$8,
"",
INDEX($J:$J,MATCH($AJ50,$M:$M,0)+CO$8-1)),
""),
"")</f>
        <v/>
      </c>
      <c r="CP50" s="21" t="str">
        <f>IFERROR(
IF(COUNTIF($BI50:CO50,INDEX($J:$J,MATCH($AJ50,$M:$M,0)+CP$8-1))=0,
IF(COUNTIF($M:$M,$AJ50)&lt;CP$8,
"",
INDEX($J:$J,MATCH($AJ50,$M:$M,0)+CP$8-1)),
""),
"")</f>
        <v/>
      </c>
      <c r="CR50" s="21" t="str">
        <f>IFERROR(
IF(COUNTIF($BI50:CQ50,INDEX($J:$J,MATCH($AK50,$M:$M,0)+CR$8-1))=0,
IF(COUNTIF($M:$M,$AK50)&lt;CR$8,
"",
INDEX($J:$J,MATCH($AK50,$M:$M,0)+CR$8-1)),
""),
"")</f>
        <v/>
      </c>
      <c r="CS50" s="21" t="str">
        <f>IFERROR(
IF(COUNTIF($BI50:CR50,INDEX($J:$J,MATCH($AK50,$M:$M,0)+CS$8-1))=0,
IF(COUNTIF($M:$M,$AK50)&lt;CS$8,
"",
INDEX($J:$J,MATCH($AK50,$M:$M,0)+CS$8-1)),
""),
"")</f>
        <v/>
      </c>
      <c r="CT50" s="21" t="str">
        <f>IFERROR(
IF(COUNTIF($BI50:CS50,INDEX($J:$J,MATCH($AK50,$M:$M,0)+CT$8-1))=0,
IF(COUNTIF($M:$M,$AK50)&lt;CT$8,
"",
INDEX($J:$J,MATCH($AK50,$M:$M,0)+CT$8-1)),
""),
"")</f>
        <v/>
      </c>
      <c r="CU50" s="21" t="str">
        <f>IFERROR(
IF(COUNTIF($BI50:CT50,INDEX($J:$J,MATCH($AK50,$M:$M,0)+CU$8-1))=0,
IF(COUNTIF($M:$M,$AK50)&lt;CU$8,
"",
INDEX($J:$J,MATCH($AK50,$M:$M,0)+CU$8-1)),
""),
"")</f>
        <v/>
      </c>
    </row>
    <row r="51" spans="3:99" ht="14.25">
      <c r="C51" s="16">
        <v>43</v>
      </c>
      <c r="D51" s="19" t="s">
        <v>76</v>
      </c>
      <c r="E51" s="20">
        <f>INDEX([1]武将基本资料!$S:$S,MATCH(D51,[1]武将基本资料!$N:$N,0))</f>
        <v>110</v>
      </c>
      <c r="F51" s="20" t="str">
        <f>INDEX([1]武将基本资料!$Q:$Q,MATCH(D51,[1]武将基本资料!$N:$N,0))</f>
        <v>紫</v>
      </c>
      <c r="H51" s="7">
        <f>IF(I51="","",COUNTA(I$9:$I51))</f>
        <v>41</v>
      </c>
      <c r="I51" s="6" t="s">
        <v>145</v>
      </c>
      <c r="J51" s="6" t="s">
        <v>60</v>
      </c>
      <c r="K51" s="8" t="str">
        <f>IF(H51="","",阶段合并区域(J51:J61," ",L51:L61,1))</f>
        <v>司马错 秦武王</v>
      </c>
      <c r="L51" s="8">
        <f>COUNTIF(M$8:$M51,"="&amp;M51)</f>
        <v>1</v>
      </c>
      <c r="M51" s="9" t="str">
        <f t="shared" si="3"/>
        <v>平定蜀乱</v>
      </c>
      <c r="N51" s="9" t="str">
        <f t="shared" si="4"/>
        <v>平定蜀乱1</v>
      </c>
      <c r="O51" s="15">
        <f>INDEX(C:C,MATCH(J51,D:D,0))</f>
        <v>17</v>
      </c>
      <c r="P51" s="9">
        <f>INDEX(E:E,MATCH(J51,D:D,0))</f>
        <v>120</v>
      </c>
      <c r="Q51" s="7">
        <f t="shared" si="0"/>
        <v>17</v>
      </c>
      <c r="R51" s="7">
        <f>COUNTIF(J$8:$J51,"="&amp;J51)</f>
        <v>1</v>
      </c>
      <c r="S51" s="7">
        <f t="shared" si="5"/>
        <v>1017</v>
      </c>
      <c r="U51" s="7">
        <f t="shared" si="9"/>
        <v>1043</v>
      </c>
      <c r="V51" s="7">
        <f t="shared" si="9"/>
        <v>2043</v>
      </c>
      <c r="W51" s="7">
        <f t="shared" si="9"/>
        <v>3043</v>
      </c>
      <c r="X51" s="7">
        <f t="shared" si="9"/>
        <v>4043</v>
      </c>
      <c r="Y51" s="7">
        <f t="shared" si="9"/>
        <v>5043</v>
      </c>
      <c r="Z51" s="7">
        <f t="shared" si="9"/>
        <v>6043</v>
      </c>
      <c r="AA51" s="7">
        <f t="shared" si="9"/>
        <v>7043</v>
      </c>
      <c r="AB51" s="7">
        <f t="shared" si="9"/>
        <v>8043</v>
      </c>
      <c r="AD51" s="21" t="str">
        <f>IFERROR(INDEX($M:$M,MATCH(U51,$S:$S,0)),"&amp;")</f>
        <v>女中豪杰</v>
      </c>
      <c r="AE51" s="21" t="str">
        <f>IFERROR(INDEX($M:$M,MATCH(V51,$S:$S,0)),"&amp;")</f>
        <v>江湖豪侠</v>
      </c>
      <c r="AF51" s="21" t="str">
        <f>IFERROR(INDEX($M:$M,MATCH(W51,$S:$S,0)),"&amp;")</f>
        <v>神兵利刃</v>
      </c>
      <c r="AG51" s="21" t="str">
        <f>IFERROR(INDEX($M:$M,MATCH(X51,$S:$S,0)),"&amp;")</f>
        <v>&amp;</v>
      </c>
      <c r="AH51" s="21" t="str">
        <f>IFERROR(INDEX($M:$M,MATCH(Y51,$S:$S,0)),"&amp;")</f>
        <v>&amp;</v>
      </c>
      <c r="AI51" s="21" t="str">
        <f>IFERROR(INDEX($M:$M,MATCH(Z51,$S:$S,0)),"&amp;")</f>
        <v>&amp;</v>
      </c>
      <c r="AJ51" s="21" t="str">
        <f>IFERROR(INDEX($M:$M,MATCH(AA51,$S:$S,0)),"&amp;")</f>
        <v>&amp;</v>
      </c>
      <c r="AK51" s="21" t="str">
        <f>IFERROR(INDEX($M:$M,MATCH(AB51,$S:$S,0)),"&amp;")</f>
        <v>&amp;</v>
      </c>
      <c r="AM51" s="21" t="str">
        <f>IFERROR(INDEX($N:$N,MATCH(U51,$S:$S,0)),"&amp;")</f>
        <v>女中豪杰2</v>
      </c>
      <c r="AN51" s="21" t="str">
        <f>IFERROR(INDEX($N:$N,MATCH(V51,$S:$S,0)),"&amp;")</f>
        <v>江湖豪侠4</v>
      </c>
      <c r="AO51" s="21" t="str">
        <f>IFERROR(INDEX($N:$N,MATCH(W51,$S:$S,0)),"&amp;")</f>
        <v>神兵利刃2</v>
      </c>
      <c r="AP51" s="21" t="str">
        <f>IFERROR(INDEX($N:$N,MATCH(X51,$S:$S,0)),"&amp;")</f>
        <v>&amp;</v>
      </c>
      <c r="AQ51" s="21" t="str">
        <f>IFERROR(INDEX($N:$N,MATCH(Y51,$S:$S,0)),"&amp;")</f>
        <v>&amp;</v>
      </c>
      <c r="AR51" s="21" t="str">
        <f>IFERROR(INDEX($N:$N,MATCH(Z51,$S:$S,0)),"&amp;")</f>
        <v>&amp;</v>
      </c>
      <c r="AS51" s="21" t="str">
        <f>IFERROR(INDEX($N:$N,MATCH(AA51,$S:$S,0)),"&amp;")</f>
        <v>&amp;</v>
      </c>
      <c r="AT51" s="21" t="str">
        <f>IFERROR(INDEX($N:$N,MATCH(AB51,$S:$S,0)),"&amp;")</f>
        <v>&amp;</v>
      </c>
      <c r="AV51" s="21" t="str">
        <f>IFERROR(SUBSTITUTE(INDEX($K:$K,MATCH(INDEX($M:$M,MATCH(AM51,$N:$N,0)),$M:$M,0)),$D51,""),"")</f>
        <v>聂荌  钟无艳</v>
      </c>
      <c r="AW51" s="21" t="str">
        <f>IFERROR(SUBSTITUTE(INDEX($K:$K,MATCH(INDEX($M:$M,MATCH(AN51,$N:$N,0)),$M:$M,0)),$D51,""),"")</f>
        <v xml:space="preserve">聂荌 专诸 荆轲 </v>
      </c>
      <c r="AX51" s="21" t="str">
        <f>IFERROR(SUBSTITUTE(INDEX($K:$K,MATCH(INDEX($M:$M,MATCH(AO51,$N:$N,0)),$M:$M,0)),$D51,""),"")</f>
        <v xml:space="preserve">欧冶子 </v>
      </c>
      <c r="AY51" s="21" t="str">
        <f>IFERROR(SUBSTITUTE(INDEX($K:$K,MATCH(INDEX($M:$M,MATCH(AP51,$N:$N,0)),$M:$M,0)),$D51,""),"")</f>
        <v/>
      </c>
      <c r="AZ51" s="21" t="str">
        <f>IFERROR(SUBSTITUTE(INDEX($K:$K,MATCH(INDEX($M:$M,MATCH(AQ51,$N:$N,0)),$M:$M,0)),$D51,""),"")</f>
        <v/>
      </c>
      <c r="BA51" s="21" t="str">
        <f>IFERROR(SUBSTITUTE(INDEX($K:$K,MATCH(INDEX($M:$M,MATCH(AR51,$N:$N,0)),$M:$M,0)),$D51,""),"")</f>
        <v/>
      </c>
      <c r="BB51" s="21" t="str">
        <f>IFERROR(SUBSTITUTE(INDEX($K:$K,MATCH(INDEX($M:$M,MATCH(AS51,$N:$N,0)),$M:$M,0)),$D51,""),"")</f>
        <v/>
      </c>
      <c r="BC51" s="21" t="str">
        <f>IFERROR(SUBSTITUTE(INDEX($K:$K,MATCH(INDEX($M:$M,MATCH(AT51,$N:$N,0)),$M:$M,0)),$D51,""),"")</f>
        <v/>
      </c>
      <c r="BE51" s="9" t="str">
        <f t="shared" si="7"/>
        <v>聂荌,莫邪,钟无艳,专诸,荆轲,欧冶子</v>
      </c>
      <c r="BI51" s="9" t="str">
        <f>IFERROR(
IF(COUNTIF($M:$M,$AD51)&lt;BI$8,
"",
INDEX($J:$J,MATCH($AD51,$M:$M,0)+BI$8-1)),
"")</f>
        <v>聂荌</v>
      </c>
      <c r="BJ51" s="9" t="str">
        <f>IFERROR(
IF(COUNTIF($M:$M,$AD51)&lt;BJ$8,
"",
INDEX($J:$J,MATCH($AD51,$M:$M,0)+BJ$8-1)),
"")</f>
        <v>莫邪</v>
      </c>
      <c r="BK51" s="9" t="str">
        <f>IFERROR(
IF(COUNTIF($M:$M,$AD51)&lt;BK$8,
"",
INDEX($J:$J,MATCH($AD51,$M:$M,0)+BK$8-1)),
"")</f>
        <v>钟无艳</v>
      </c>
      <c r="BL51" s="9" t="str">
        <f>IFERROR(
IF(COUNTIF($M:$M,$AD51)&lt;BL$8,
"",
INDEX($J:$J,MATCH($AD51,$M:$M,0)+BL$8-1)),
"")</f>
        <v/>
      </c>
      <c r="BN51" s="21" t="str">
        <f>IFERROR(
IF(COUNTIF($BI51:BM51,INDEX($J:$J,MATCH($AE51,$M:$M,0)+BN$8-1))=0,
IF(COUNTIF($M:$M,$AE51)&lt;BN$8,
"",
INDEX($J:$J,MATCH($AE51,$M:$M,0)+BN$8-1)),
""),
"")</f>
        <v/>
      </c>
      <c r="BO51" s="21" t="str">
        <f>IFERROR(
IF(COUNTIF($BI51:BN51,INDEX($J:$J,MATCH($AE51,$M:$M,0)+BO$8-1))=0,
IF(COUNTIF($M:$M,$AE51)&lt;BO$8,
"",
INDEX($J:$J,MATCH($AE51,$M:$M,0)+BO$8-1)),
""),
"")</f>
        <v>专诸</v>
      </c>
      <c r="BP51" s="21" t="str">
        <f>IFERROR(
IF(COUNTIF($BI51:BO51,INDEX($J:$J,MATCH($AE51,$M:$M,0)+BP$8-1))=0,
IF(COUNTIF($M:$M,$AE51)&lt;BP$8,
"",
INDEX($J:$J,MATCH($AE51,$M:$M,0)+BP$8-1)),
""),
"")</f>
        <v>荆轲</v>
      </c>
      <c r="BQ51" s="21" t="str">
        <f>IFERROR(
IF(COUNTIF($BI51:BP51,INDEX($J:$J,MATCH($AE51,$M:$M,0)+BQ$8-1))=0,
IF(COUNTIF($M:$M,$AE51)&lt;BQ$8,
"",
INDEX($J:$J,MATCH($AE51,$M:$M,0)+BQ$8-1)),
""),
"")</f>
        <v/>
      </c>
      <c r="BS51" s="21" t="str">
        <f>IFERROR(
IF(COUNTIF($BI51:BR51,INDEX($J:$J,MATCH($AF51,$M:$M,0)+BS$8-1))=0,
IF(COUNTIF($M:$M,$AF51)&lt;BS$8,
"",
INDEX($J:$J,MATCH($AF51,$M:$M,0)+BS$8-1)),
""),
"")</f>
        <v>欧冶子</v>
      </c>
      <c r="BT51" s="21" t="str">
        <f>IFERROR(
IF(COUNTIF($BI51:BS51,INDEX($J:$J,MATCH($AF51,$M:$M,0)+BT$8-1))=0,
IF(COUNTIF($M:$M,$AF51)&lt;BT$8,
"",
INDEX($J:$J,MATCH($AF51,$M:$M,0)+BT$8-1)),
""),
"")</f>
        <v/>
      </c>
      <c r="BU51" s="21" t="str">
        <f>IFERROR(
IF(COUNTIF($BI51:BT51,INDEX($J:$J,MATCH($AF51,$M:$M,0)+BU$8-1))=0,
IF(COUNTIF($M:$M,$AF51)&lt;BU$8,
"",
INDEX($J:$J,MATCH($AF51,$M:$M,0)+BU$8-1)),
""),
"")</f>
        <v/>
      </c>
      <c r="BV51" s="21" t="str">
        <f>IFERROR(
IF(COUNTIF($BI51:BU51,INDEX($J:$J,MATCH($AF51,$M:$M,0)+BV$8-1))=0,
IF(COUNTIF($M:$M,$AF51)&lt;BV$8,
"",
INDEX($J:$J,MATCH($AF51,$M:$M,0)+BV$8-1)),
""),
"")</f>
        <v/>
      </c>
      <c r="BX51" s="21" t="str">
        <f>IFERROR(
IF(COUNTIF($BI51:BW51,INDEX($J:$J,MATCH($AG51,$M:$M,0)+BX$8-1))=0,
IF(COUNTIF($M:$M,$AG51)&lt;BX$8,
"",
INDEX($J:$J,MATCH($AG51,$M:$M,0)+BX$8-1)),
""),
"")</f>
        <v/>
      </c>
      <c r="BY51" s="21" t="str">
        <f>IFERROR(
IF(COUNTIF($BI51:BX51,INDEX($J:$J,MATCH($AG51,$M:$M,0)+BY$8-1))=0,
IF(COUNTIF($M:$M,$AG51)&lt;BY$8,
"",
INDEX($J:$J,MATCH($AG51,$M:$M,0)+BY$8-1)),
""),
"")</f>
        <v/>
      </c>
      <c r="BZ51" s="21" t="str">
        <f>IFERROR(
IF(COUNTIF($BI51:BY51,INDEX($J:$J,MATCH($AG51,$M:$M,0)+BZ$8-1))=0,
IF(COUNTIF($M:$M,$AG51)&lt;BZ$8,
"",
INDEX($J:$J,MATCH($AG51,$M:$M,0)+BZ$8-1)),
""),
"")</f>
        <v/>
      </c>
      <c r="CA51" s="21" t="str">
        <f>IFERROR(
IF(COUNTIF($BI51:BZ51,INDEX($J:$J,MATCH($AG51,$M:$M,0)+CA$8-1))=0,
IF(COUNTIF($M:$M,$AG51)&lt;CA$8,
"",
INDEX($J:$J,MATCH($AG51,$M:$M,0)+CA$8-1)),
""),
"")</f>
        <v/>
      </c>
      <c r="CC51" s="21" t="str">
        <f>IFERROR(
IF(COUNTIF($BI51:CB51,INDEX($J:$J,MATCH($AH51,$M:$M,0)+CC$8-1))=0,
IF(COUNTIF($M:$M,$AH51)&lt;CC$8,
"",
INDEX($J:$J,MATCH($AH51,$M:$M,0)+CC$8-1)),
""),
"")</f>
        <v/>
      </c>
      <c r="CD51" s="21" t="str">
        <f>IFERROR(
IF(COUNTIF($BI51:CC51,INDEX($J:$J,MATCH($AH51,$M:$M,0)+CD$8-1))=0,
IF(COUNTIF($M:$M,$AH51)&lt;CD$8,
"",
INDEX($J:$J,MATCH($AH51,$M:$M,0)+CD$8-1)),
""),
"")</f>
        <v/>
      </c>
      <c r="CE51" s="21" t="str">
        <f>IFERROR(
IF(COUNTIF($BI51:CD51,INDEX($J:$J,MATCH($AH51,$M:$M,0)+CE$8-1))=0,
IF(COUNTIF($M:$M,$AH51)&lt;CE$8,
"",
INDEX($J:$J,MATCH($AH51,$M:$M,0)+CE$8-1)),
""),
"")</f>
        <v/>
      </c>
      <c r="CF51" s="21" t="str">
        <f>IFERROR(
IF(COUNTIF($BI51:CE51,INDEX($J:$J,MATCH($AH51,$M:$M,0)+CF$8-1))=0,
IF(COUNTIF($M:$M,$AH51)&lt;CF$8,
"",
INDEX($J:$J,MATCH($AH51,$M:$M,0)+CF$8-1)),
""),
"")</f>
        <v/>
      </c>
      <c r="CH51" s="21" t="str">
        <f>IFERROR(
IF(COUNTIF($BI51:CG51,INDEX($J:$J,MATCH($AI51,$M:$M,0)+CH$8-1))=0,
IF(COUNTIF($M:$M,$AI51)&lt;CH$8,
"",
INDEX($J:$J,MATCH($AI51,$M:$M,0)+CH$8-1)),
""),
"")</f>
        <v/>
      </c>
      <c r="CI51" s="21" t="str">
        <f>IFERROR(
IF(COUNTIF($BI51:CH51,INDEX($J:$J,MATCH($AI51,$M:$M,0)+CI$8-1))=0,
IF(COUNTIF($M:$M,$AI51)&lt;CI$8,
"",
INDEX($J:$J,MATCH($AI51,$M:$M,0)+CI$8-1)),
""),
"")</f>
        <v/>
      </c>
      <c r="CJ51" s="21" t="str">
        <f>IFERROR(
IF(COUNTIF($BI51:CI51,INDEX($J:$J,MATCH($AI51,$M:$M,0)+CJ$8-1))=0,
IF(COUNTIF($M:$M,$AI51)&lt;CJ$8,
"",
INDEX($J:$J,MATCH($AI51,$M:$M,0)+CJ$8-1)),
""),
"")</f>
        <v/>
      </c>
      <c r="CK51" s="21" t="str">
        <f>IFERROR(
IF(COUNTIF($BI51:CJ51,INDEX($J:$J,MATCH($AI51,$M:$M,0)+CK$8-1))=0,
IF(COUNTIF($M:$M,$AI51)&lt;CK$8,
"",
INDEX($J:$J,MATCH($AI51,$M:$M,0)+CK$8-1)),
""),
"")</f>
        <v/>
      </c>
      <c r="CM51" s="21" t="str">
        <f>IFERROR(
IF(COUNTIF($BI51:CL51,INDEX($J:$J,MATCH($AJ51,$M:$M,0)+CM$8-1))=0,
IF(COUNTIF($M:$M,$AJ51)&lt;CM$8,
"",
INDEX($J:$J,MATCH($AJ51,$M:$M,0)+CM$8-1)),
""),
"")</f>
        <v/>
      </c>
      <c r="CN51" s="21" t="str">
        <f>IFERROR(
IF(COUNTIF($BI51:CM51,INDEX($J:$J,MATCH($AJ51,$M:$M,0)+CN$8-1))=0,
IF(COUNTIF($M:$M,$AJ51)&lt;CN$8,
"",
INDEX($J:$J,MATCH($AJ51,$M:$M,0)+CN$8-1)),
""),
"")</f>
        <v/>
      </c>
      <c r="CO51" s="21" t="str">
        <f>IFERROR(
IF(COUNTIF($BI51:CN51,INDEX($J:$J,MATCH($AJ51,$M:$M,0)+CO$8-1))=0,
IF(COUNTIF($M:$M,$AJ51)&lt;CO$8,
"",
INDEX($J:$J,MATCH($AJ51,$M:$M,0)+CO$8-1)),
""),
"")</f>
        <v/>
      </c>
      <c r="CP51" s="21" t="str">
        <f>IFERROR(
IF(COUNTIF($BI51:CO51,INDEX($J:$J,MATCH($AJ51,$M:$M,0)+CP$8-1))=0,
IF(COUNTIF($M:$M,$AJ51)&lt;CP$8,
"",
INDEX($J:$J,MATCH($AJ51,$M:$M,0)+CP$8-1)),
""),
"")</f>
        <v/>
      </c>
      <c r="CR51" s="21" t="str">
        <f>IFERROR(
IF(COUNTIF($BI51:CQ51,INDEX($J:$J,MATCH($AK51,$M:$M,0)+CR$8-1))=0,
IF(COUNTIF($M:$M,$AK51)&lt;CR$8,
"",
INDEX($J:$J,MATCH($AK51,$M:$M,0)+CR$8-1)),
""),
"")</f>
        <v/>
      </c>
      <c r="CS51" s="21" t="str">
        <f>IFERROR(
IF(COUNTIF($BI51:CR51,INDEX($J:$J,MATCH($AK51,$M:$M,0)+CS$8-1))=0,
IF(COUNTIF($M:$M,$AK51)&lt;CS$8,
"",
INDEX($J:$J,MATCH($AK51,$M:$M,0)+CS$8-1)),
""),
"")</f>
        <v/>
      </c>
      <c r="CT51" s="21" t="str">
        <f>IFERROR(
IF(COUNTIF($BI51:CS51,INDEX($J:$J,MATCH($AK51,$M:$M,0)+CT$8-1))=0,
IF(COUNTIF($M:$M,$AK51)&lt;CT$8,
"",
INDEX($J:$J,MATCH($AK51,$M:$M,0)+CT$8-1)),
""),
"")</f>
        <v/>
      </c>
      <c r="CU51" s="21" t="str">
        <f>IFERROR(
IF(COUNTIF($BI51:CT51,INDEX($J:$J,MATCH($AK51,$M:$M,0)+CU$8-1))=0,
IF(COUNTIF($M:$M,$AK51)&lt;CU$8,
"",
INDEX($J:$J,MATCH($AK51,$M:$M,0)+CU$8-1)),
""),
"")</f>
        <v/>
      </c>
    </row>
    <row r="52" spans="3:99" ht="14.25">
      <c r="C52" s="16">
        <v>44</v>
      </c>
      <c r="D52" s="19" t="s">
        <v>93</v>
      </c>
      <c r="E52" s="20">
        <f>INDEX([1]武将基本资料!$S:$S,MATCH(D52,[1]武将基本资料!$N:$N,0))</f>
        <v>110</v>
      </c>
      <c r="F52" s="20" t="str">
        <f>INDEX([1]武将基本资料!$Q:$Q,MATCH(D52,[1]武将基本资料!$N:$N,0))</f>
        <v>紫</v>
      </c>
      <c r="H52" s="7" t="str">
        <f>IF(I52="","",COUNTA(I$9:$I52))</f>
        <v/>
      </c>
      <c r="I52" s="6" t="s">
        <v>188</v>
      </c>
      <c r="J52" s="6" t="s">
        <v>198</v>
      </c>
      <c r="K52" s="8" t="str">
        <f>IF(H52="","",阶段合并区域(J52:J62," ",L52:L62,1))</f>
        <v/>
      </c>
      <c r="L52" s="8">
        <f>COUNTIF(M$8:$M52,"="&amp;M52)</f>
        <v>2</v>
      </c>
      <c r="M52" s="9" t="str">
        <f t="shared" si="3"/>
        <v>平定蜀乱</v>
      </c>
      <c r="N52" s="9" t="str">
        <f t="shared" si="4"/>
        <v>平定蜀乱2</v>
      </c>
      <c r="O52" s="15">
        <f>INDEX(C:C,MATCH(J52,D:D,0))</f>
        <v>20</v>
      </c>
      <c r="P52" s="9">
        <f>INDEX(E:E,MATCH(J52,D:D,0))</f>
        <v>120</v>
      </c>
      <c r="Q52" s="7">
        <f t="shared" si="0"/>
        <v>20</v>
      </c>
      <c r="R52" s="7">
        <f>COUNTIF(J$8:$J52,"="&amp;J52)</f>
        <v>2</v>
      </c>
      <c r="S52" s="7">
        <f t="shared" si="5"/>
        <v>2020</v>
      </c>
      <c r="U52" s="7">
        <f t="shared" si="9"/>
        <v>1044</v>
      </c>
      <c r="V52" s="7">
        <f t="shared" si="9"/>
        <v>2044</v>
      </c>
      <c r="W52" s="7">
        <f t="shared" si="9"/>
        <v>3044</v>
      </c>
      <c r="X52" s="7">
        <f t="shared" si="9"/>
        <v>4044</v>
      </c>
      <c r="Y52" s="7">
        <f t="shared" si="9"/>
        <v>5044</v>
      </c>
      <c r="Z52" s="7">
        <f t="shared" si="9"/>
        <v>6044</v>
      </c>
      <c r="AA52" s="7">
        <f t="shared" si="9"/>
        <v>7044</v>
      </c>
      <c r="AB52" s="7">
        <f t="shared" si="9"/>
        <v>8044</v>
      </c>
      <c r="AD52" s="21" t="str">
        <f>IFERROR(INDEX($M:$M,MATCH(U52,$S:$S,0)),"&amp;")</f>
        <v>&amp;</v>
      </c>
      <c r="AE52" s="21" t="str">
        <f>IFERROR(INDEX($M:$M,MATCH(V52,$S:$S,0)),"&amp;")</f>
        <v>&amp;</v>
      </c>
      <c r="AF52" s="21" t="str">
        <f>IFERROR(INDEX($M:$M,MATCH(W52,$S:$S,0)),"&amp;")</f>
        <v>&amp;</v>
      </c>
      <c r="AG52" s="21" t="str">
        <f>IFERROR(INDEX($M:$M,MATCH(X52,$S:$S,0)),"&amp;")</f>
        <v>&amp;</v>
      </c>
      <c r="AH52" s="21" t="str">
        <f>IFERROR(INDEX($M:$M,MATCH(Y52,$S:$S,0)),"&amp;")</f>
        <v>&amp;</v>
      </c>
      <c r="AI52" s="21" t="str">
        <f>IFERROR(INDEX($M:$M,MATCH(Z52,$S:$S,0)),"&amp;")</f>
        <v>&amp;</v>
      </c>
      <c r="AJ52" s="21" t="str">
        <f>IFERROR(INDEX($M:$M,MATCH(AA52,$S:$S,0)),"&amp;")</f>
        <v>&amp;</v>
      </c>
      <c r="AK52" s="21" t="str">
        <f>IFERROR(INDEX($M:$M,MATCH(AB52,$S:$S,0)),"&amp;")</f>
        <v>&amp;</v>
      </c>
      <c r="AM52" s="21" t="str">
        <f>IFERROR(INDEX($N:$N,MATCH(U52,$S:$S,0)),"&amp;")</f>
        <v>&amp;</v>
      </c>
      <c r="AN52" s="21" t="str">
        <f>IFERROR(INDEX($N:$N,MATCH(V52,$S:$S,0)),"&amp;")</f>
        <v>&amp;</v>
      </c>
      <c r="AO52" s="21" t="str">
        <f>IFERROR(INDEX($N:$N,MATCH(W52,$S:$S,0)),"&amp;")</f>
        <v>&amp;</v>
      </c>
      <c r="AP52" s="21" t="str">
        <f>IFERROR(INDEX($N:$N,MATCH(X52,$S:$S,0)),"&amp;")</f>
        <v>&amp;</v>
      </c>
      <c r="AQ52" s="21" t="str">
        <f>IFERROR(INDEX($N:$N,MATCH(Y52,$S:$S,0)),"&amp;")</f>
        <v>&amp;</v>
      </c>
      <c r="AR52" s="21" t="str">
        <f>IFERROR(INDEX($N:$N,MATCH(Z52,$S:$S,0)),"&amp;")</f>
        <v>&amp;</v>
      </c>
      <c r="AS52" s="21" t="str">
        <f>IFERROR(INDEX($N:$N,MATCH(AA52,$S:$S,0)),"&amp;")</f>
        <v>&amp;</v>
      </c>
      <c r="AT52" s="21" t="str">
        <f>IFERROR(INDEX($N:$N,MATCH(AB52,$S:$S,0)),"&amp;")</f>
        <v>&amp;</v>
      </c>
      <c r="AV52" s="21" t="str">
        <f>IFERROR(SUBSTITUTE(INDEX($K:$K,MATCH(INDEX($M:$M,MATCH(AM52,$N:$N,0)),$M:$M,0)),$D52,""),"")</f>
        <v/>
      </c>
      <c r="AW52" s="21" t="str">
        <f>IFERROR(SUBSTITUTE(INDEX($K:$K,MATCH(INDEX($M:$M,MATCH(AN52,$N:$N,0)),$M:$M,0)),$D52,""),"")</f>
        <v/>
      </c>
      <c r="AX52" s="21" t="str">
        <f>IFERROR(SUBSTITUTE(INDEX($K:$K,MATCH(INDEX($M:$M,MATCH(AO52,$N:$N,0)),$M:$M,0)),$D52,""),"")</f>
        <v/>
      </c>
      <c r="AY52" s="21" t="str">
        <f>IFERROR(SUBSTITUTE(INDEX($K:$K,MATCH(INDEX($M:$M,MATCH(AP52,$N:$N,0)),$M:$M,0)),$D52,""),"")</f>
        <v/>
      </c>
      <c r="AZ52" s="21" t="str">
        <f>IFERROR(SUBSTITUTE(INDEX($K:$K,MATCH(INDEX($M:$M,MATCH(AQ52,$N:$N,0)),$M:$M,0)),$D52,""),"")</f>
        <v/>
      </c>
      <c r="BA52" s="21" t="str">
        <f>IFERROR(SUBSTITUTE(INDEX($K:$K,MATCH(INDEX($M:$M,MATCH(AR52,$N:$N,0)),$M:$M,0)),$D52,""),"")</f>
        <v/>
      </c>
      <c r="BB52" s="21" t="str">
        <f>IFERROR(SUBSTITUTE(INDEX($K:$K,MATCH(INDEX($M:$M,MATCH(AS52,$N:$N,0)),$M:$M,0)),$D52,""),"")</f>
        <v/>
      </c>
      <c r="BC52" s="21" t="str">
        <f>IFERROR(SUBSTITUTE(INDEX($K:$K,MATCH(INDEX($M:$M,MATCH(AT52,$N:$N,0)),$M:$M,0)),$D52,""),"")</f>
        <v/>
      </c>
      <c r="BE52" s="9" t="str">
        <f t="shared" si="7"/>
        <v/>
      </c>
      <c r="BI52" s="9" t="str">
        <f>IFERROR(
IF(COUNTIF($M:$M,$AD52)&lt;BI$8,
"",
INDEX($J:$J,MATCH($AD52,$M:$M,0)+BI$8-1)),
"")</f>
        <v/>
      </c>
      <c r="BJ52" s="9" t="str">
        <f>IFERROR(
IF(COUNTIF($M:$M,$AD52)&lt;BJ$8,
"",
INDEX($J:$J,MATCH($AD52,$M:$M,0)+BJ$8-1)),
"")</f>
        <v/>
      </c>
      <c r="BK52" s="9" t="str">
        <f>IFERROR(
IF(COUNTIF($M:$M,$AD52)&lt;BK$8,
"",
INDEX($J:$J,MATCH($AD52,$M:$M,0)+BK$8-1)),
"")</f>
        <v/>
      </c>
      <c r="BL52" s="9" t="str">
        <f>IFERROR(
IF(COUNTIF($M:$M,$AD52)&lt;BL$8,
"",
INDEX($J:$J,MATCH($AD52,$M:$M,0)+BL$8-1)),
"")</f>
        <v/>
      </c>
      <c r="BN52" s="21" t="str">
        <f>IFERROR(
IF(COUNTIF($BI52:BM52,INDEX($J:$J,MATCH($AE52,$M:$M,0)+BN$8-1))=0,
IF(COUNTIF($M:$M,$AE52)&lt;BN$8,
"",
INDEX($J:$J,MATCH($AE52,$M:$M,0)+BN$8-1)),
""),
"")</f>
        <v/>
      </c>
      <c r="BO52" s="21" t="str">
        <f>IFERROR(
IF(COUNTIF($BI52:BN52,INDEX($J:$J,MATCH($AE52,$M:$M,0)+BO$8-1))=0,
IF(COUNTIF($M:$M,$AE52)&lt;BO$8,
"",
INDEX($J:$J,MATCH($AE52,$M:$M,0)+BO$8-1)),
""),
"")</f>
        <v/>
      </c>
      <c r="BP52" s="21" t="str">
        <f>IFERROR(
IF(COUNTIF($BI52:BO52,INDEX($J:$J,MATCH($AE52,$M:$M,0)+BP$8-1))=0,
IF(COUNTIF($M:$M,$AE52)&lt;BP$8,
"",
INDEX($J:$J,MATCH($AE52,$M:$M,0)+BP$8-1)),
""),
"")</f>
        <v/>
      </c>
      <c r="BQ52" s="21" t="str">
        <f>IFERROR(
IF(COUNTIF($BI52:BP52,INDEX($J:$J,MATCH($AE52,$M:$M,0)+BQ$8-1))=0,
IF(COUNTIF($M:$M,$AE52)&lt;BQ$8,
"",
INDEX($J:$J,MATCH($AE52,$M:$M,0)+BQ$8-1)),
""),
"")</f>
        <v/>
      </c>
      <c r="BS52" s="21" t="str">
        <f>IFERROR(
IF(COUNTIF($BI52:BR52,INDEX($J:$J,MATCH($AF52,$M:$M,0)+BS$8-1))=0,
IF(COUNTIF($M:$M,$AF52)&lt;BS$8,
"",
INDEX($J:$J,MATCH($AF52,$M:$M,0)+BS$8-1)),
""),
"")</f>
        <v/>
      </c>
      <c r="BT52" s="21" t="str">
        <f>IFERROR(
IF(COUNTIF($BI52:BS52,INDEX($J:$J,MATCH($AF52,$M:$M,0)+BT$8-1))=0,
IF(COUNTIF($M:$M,$AF52)&lt;BT$8,
"",
INDEX($J:$J,MATCH($AF52,$M:$M,0)+BT$8-1)),
""),
"")</f>
        <v/>
      </c>
      <c r="BU52" s="21" t="str">
        <f>IFERROR(
IF(COUNTIF($BI52:BT52,INDEX($J:$J,MATCH($AF52,$M:$M,0)+BU$8-1))=0,
IF(COUNTIF($M:$M,$AF52)&lt;BU$8,
"",
INDEX($J:$J,MATCH($AF52,$M:$M,0)+BU$8-1)),
""),
"")</f>
        <v/>
      </c>
      <c r="BV52" s="21" t="str">
        <f>IFERROR(
IF(COUNTIF($BI52:BU52,INDEX($J:$J,MATCH($AF52,$M:$M,0)+BV$8-1))=0,
IF(COUNTIF($M:$M,$AF52)&lt;BV$8,
"",
INDEX($J:$J,MATCH($AF52,$M:$M,0)+BV$8-1)),
""),
"")</f>
        <v/>
      </c>
      <c r="BX52" s="21" t="str">
        <f>IFERROR(
IF(COUNTIF($BI52:BW52,INDEX($J:$J,MATCH($AG52,$M:$M,0)+BX$8-1))=0,
IF(COUNTIF($M:$M,$AG52)&lt;BX$8,
"",
INDEX($J:$J,MATCH($AG52,$M:$M,0)+BX$8-1)),
""),
"")</f>
        <v/>
      </c>
      <c r="BY52" s="21" t="str">
        <f>IFERROR(
IF(COUNTIF($BI52:BX52,INDEX($J:$J,MATCH($AG52,$M:$M,0)+BY$8-1))=0,
IF(COUNTIF($M:$M,$AG52)&lt;BY$8,
"",
INDEX($J:$J,MATCH($AG52,$M:$M,0)+BY$8-1)),
""),
"")</f>
        <v/>
      </c>
      <c r="BZ52" s="21" t="str">
        <f>IFERROR(
IF(COUNTIF($BI52:BY52,INDEX($J:$J,MATCH($AG52,$M:$M,0)+BZ$8-1))=0,
IF(COUNTIF($M:$M,$AG52)&lt;BZ$8,
"",
INDEX($J:$J,MATCH($AG52,$M:$M,0)+BZ$8-1)),
""),
"")</f>
        <v/>
      </c>
      <c r="CA52" s="21" t="str">
        <f>IFERROR(
IF(COUNTIF($BI52:BZ52,INDEX($J:$J,MATCH($AG52,$M:$M,0)+CA$8-1))=0,
IF(COUNTIF($M:$M,$AG52)&lt;CA$8,
"",
INDEX($J:$J,MATCH($AG52,$M:$M,0)+CA$8-1)),
""),
"")</f>
        <v/>
      </c>
      <c r="CC52" s="21" t="str">
        <f>IFERROR(
IF(COUNTIF($BI52:CB52,INDEX($J:$J,MATCH($AH52,$M:$M,0)+CC$8-1))=0,
IF(COUNTIF($M:$M,$AH52)&lt;CC$8,
"",
INDEX($J:$J,MATCH($AH52,$M:$M,0)+CC$8-1)),
""),
"")</f>
        <v/>
      </c>
      <c r="CD52" s="21" t="str">
        <f>IFERROR(
IF(COUNTIF($BI52:CC52,INDEX($J:$J,MATCH($AH52,$M:$M,0)+CD$8-1))=0,
IF(COUNTIF($M:$M,$AH52)&lt;CD$8,
"",
INDEX($J:$J,MATCH($AH52,$M:$M,0)+CD$8-1)),
""),
"")</f>
        <v/>
      </c>
      <c r="CE52" s="21" t="str">
        <f>IFERROR(
IF(COUNTIF($BI52:CD52,INDEX($J:$J,MATCH($AH52,$M:$M,0)+CE$8-1))=0,
IF(COUNTIF($M:$M,$AH52)&lt;CE$8,
"",
INDEX($J:$J,MATCH($AH52,$M:$M,0)+CE$8-1)),
""),
"")</f>
        <v/>
      </c>
      <c r="CF52" s="21" t="str">
        <f>IFERROR(
IF(COUNTIF($BI52:CE52,INDEX($J:$J,MATCH($AH52,$M:$M,0)+CF$8-1))=0,
IF(COUNTIF($M:$M,$AH52)&lt;CF$8,
"",
INDEX($J:$J,MATCH($AH52,$M:$M,0)+CF$8-1)),
""),
"")</f>
        <v/>
      </c>
      <c r="CH52" s="21" t="str">
        <f>IFERROR(
IF(COUNTIF($BI52:CG52,INDEX($J:$J,MATCH($AI52,$M:$M,0)+CH$8-1))=0,
IF(COUNTIF($M:$M,$AI52)&lt;CH$8,
"",
INDEX($J:$J,MATCH($AI52,$M:$M,0)+CH$8-1)),
""),
"")</f>
        <v/>
      </c>
      <c r="CI52" s="21" t="str">
        <f>IFERROR(
IF(COUNTIF($BI52:CH52,INDEX($J:$J,MATCH($AI52,$M:$M,0)+CI$8-1))=0,
IF(COUNTIF($M:$M,$AI52)&lt;CI$8,
"",
INDEX($J:$J,MATCH($AI52,$M:$M,0)+CI$8-1)),
""),
"")</f>
        <v/>
      </c>
      <c r="CJ52" s="21" t="str">
        <f>IFERROR(
IF(COUNTIF($BI52:CI52,INDEX($J:$J,MATCH($AI52,$M:$M,0)+CJ$8-1))=0,
IF(COUNTIF($M:$M,$AI52)&lt;CJ$8,
"",
INDEX($J:$J,MATCH($AI52,$M:$M,0)+CJ$8-1)),
""),
"")</f>
        <v/>
      </c>
      <c r="CK52" s="21" t="str">
        <f>IFERROR(
IF(COUNTIF($BI52:CJ52,INDEX($J:$J,MATCH($AI52,$M:$M,0)+CK$8-1))=0,
IF(COUNTIF($M:$M,$AI52)&lt;CK$8,
"",
INDEX($J:$J,MATCH($AI52,$M:$M,0)+CK$8-1)),
""),
"")</f>
        <v/>
      </c>
      <c r="CM52" s="21" t="str">
        <f>IFERROR(
IF(COUNTIF($BI52:CL52,INDEX($J:$J,MATCH($AJ52,$M:$M,0)+CM$8-1))=0,
IF(COUNTIF($M:$M,$AJ52)&lt;CM$8,
"",
INDEX($J:$J,MATCH($AJ52,$M:$M,0)+CM$8-1)),
""),
"")</f>
        <v/>
      </c>
      <c r="CN52" s="21" t="str">
        <f>IFERROR(
IF(COUNTIF($BI52:CM52,INDEX($J:$J,MATCH($AJ52,$M:$M,0)+CN$8-1))=0,
IF(COUNTIF($M:$M,$AJ52)&lt;CN$8,
"",
INDEX($J:$J,MATCH($AJ52,$M:$M,0)+CN$8-1)),
""),
"")</f>
        <v/>
      </c>
      <c r="CO52" s="21" t="str">
        <f>IFERROR(
IF(COUNTIF($BI52:CN52,INDEX($J:$J,MATCH($AJ52,$M:$M,0)+CO$8-1))=0,
IF(COUNTIF($M:$M,$AJ52)&lt;CO$8,
"",
INDEX($J:$J,MATCH($AJ52,$M:$M,0)+CO$8-1)),
""),
"")</f>
        <v/>
      </c>
      <c r="CP52" s="21" t="str">
        <f>IFERROR(
IF(COUNTIF($BI52:CO52,INDEX($J:$J,MATCH($AJ52,$M:$M,0)+CP$8-1))=0,
IF(COUNTIF($M:$M,$AJ52)&lt;CP$8,
"",
INDEX($J:$J,MATCH($AJ52,$M:$M,0)+CP$8-1)),
""),
"")</f>
        <v/>
      </c>
      <c r="CR52" s="21" t="str">
        <f>IFERROR(
IF(COUNTIF($BI52:CQ52,INDEX($J:$J,MATCH($AK52,$M:$M,0)+CR$8-1))=0,
IF(COUNTIF($M:$M,$AK52)&lt;CR$8,
"",
INDEX($J:$J,MATCH($AK52,$M:$M,0)+CR$8-1)),
""),
"")</f>
        <v/>
      </c>
      <c r="CS52" s="21" t="str">
        <f>IFERROR(
IF(COUNTIF($BI52:CR52,INDEX($J:$J,MATCH($AK52,$M:$M,0)+CS$8-1))=0,
IF(COUNTIF($M:$M,$AK52)&lt;CS$8,
"",
INDEX($J:$J,MATCH($AK52,$M:$M,0)+CS$8-1)),
""),
"")</f>
        <v/>
      </c>
      <c r="CT52" s="21" t="str">
        <f>IFERROR(
IF(COUNTIF($BI52:CS52,INDEX($J:$J,MATCH($AK52,$M:$M,0)+CT$8-1))=0,
IF(COUNTIF($M:$M,$AK52)&lt;CT$8,
"",
INDEX($J:$J,MATCH($AK52,$M:$M,0)+CT$8-1)),
""),
"")</f>
        <v/>
      </c>
      <c r="CU52" s="21" t="str">
        <f>IFERROR(
IF(COUNTIF($BI52:CT52,INDEX($J:$J,MATCH($AK52,$M:$M,0)+CU$8-1))=0,
IF(COUNTIF($M:$M,$AK52)&lt;CU$8,
"",
INDEX($J:$J,MATCH($AK52,$M:$M,0)+CU$8-1)),
""),
"")</f>
        <v/>
      </c>
    </row>
    <row r="53" spans="3:99" ht="14.25">
      <c r="C53" s="16">
        <v>45</v>
      </c>
      <c r="D53" s="19" t="s">
        <v>92</v>
      </c>
      <c r="E53" s="20">
        <f>INDEX([1]武将基本资料!$S:$S,MATCH(D53,[1]武将基本资料!$N:$N,0))</f>
        <v>110</v>
      </c>
      <c r="F53" s="20" t="str">
        <f>INDEX([1]武将基本资料!$Q:$Q,MATCH(D53,[1]武将基本资料!$N:$N,0))</f>
        <v>紫</v>
      </c>
      <c r="H53" s="7">
        <f>IF(I53="","",COUNTA(I$9:$I53))</f>
        <v>43</v>
      </c>
      <c r="I53" s="6" t="s">
        <v>170</v>
      </c>
      <c r="J53" s="6" t="s">
        <v>87</v>
      </c>
      <c r="K53" s="8" t="str">
        <f>IF(H53="","",阶段合并区域(J53:J63," ",L53:L63,1))</f>
        <v>司马穰苴 司马错</v>
      </c>
      <c r="L53" s="8">
        <f>COUNTIF(M$8:$M53,"="&amp;M53)</f>
        <v>1</v>
      </c>
      <c r="M53" s="9" t="str">
        <f t="shared" si="3"/>
        <v>百战名将</v>
      </c>
      <c r="N53" s="9" t="str">
        <f t="shared" si="4"/>
        <v>百战名将1</v>
      </c>
      <c r="O53" s="15">
        <f>INDEX(C:C,MATCH(J53,D:D,0))</f>
        <v>34</v>
      </c>
      <c r="P53" s="9">
        <f>INDEX(E:E,MATCH(J53,D:D,0))</f>
        <v>120</v>
      </c>
      <c r="Q53" s="7">
        <f t="shared" si="0"/>
        <v>34</v>
      </c>
      <c r="R53" s="7">
        <f>COUNTIF(J$8:$J53,"="&amp;J53)</f>
        <v>3</v>
      </c>
      <c r="S53" s="7">
        <f t="shared" si="5"/>
        <v>3034</v>
      </c>
      <c r="U53" s="7">
        <f t="shared" si="9"/>
        <v>1045</v>
      </c>
      <c r="V53" s="7">
        <f t="shared" si="9"/>
        <v>2045</v>
      </c>
      <c r="W53" s="7">
        <f t="shared" si="9"/>
        <v>3045</v>
      </c>
      <c r="X53" s="7">
        <f t="shared" si="9"/>
        <v>4045</v>
      </c>
      <c r="Y53" s="7">
        <f t="shared" si="9"/>
        <v>5045</v>
      </c>
      <c r="Z53" s="7">
        <f t="shared" si="9"/>
        <v>6045</v>
      </c>
      <c r="AA53" s="7">
        <f t="shared" si="9"/>
        <v>7045</v>
      </c>
      <c r="AB53" s="7">
        <f t="shared" si="9"/>
        <v>8045</v>
      </c>
      <c r="AD53" s="21" t="str">
        <f>IFERROR(INDEX($M:$M,MATCH(U53,$S:$S,0)),"&amp;")</f>
        <v>治水修渠</v>
      </c>
      <c r="AE53" s="21" t="str">
        <f>IFERROR(INDEX($M:$M,MATCH(V53,$S:$S,0)),"&amp;")</f>
        <v>君圣臣贤</v>
      </c>
      <c r="AF53" s="21" t="str">
        <f>IFERROR(INDEX($M:$M,MATCH(W53,$S:$S,0)),"&amp;")</f>
        <v>&amp;</v>
      </c>
      <c r="AG53" s="21" t="str">
        <f>IFERROR(INDEX($M:$M,MATCH(X53,$S:$S,0)),"&amp;")</f>
        <v>&amp;</v>
      </c>
      <c r="AH53" s="21" t="str">
        <f>IFERROR(INDEX($M:$M,MATCH(Y53,$S:$S,0)),"&amp;")</f>
        <v>&amp;</v>
      </c>
      <c r="AI53" s="21" t="str">
        <f>IFERROR(INDEX($M:$M,MATCH(Z53,$S:$S,0)),"&amp;")</f>
        <v>&amp;</v>
      </c>
      <c r="AJ53" s="21" t="str">
        <f>IFERROR(INDEX($M:$M,MATCH(AA53,$S:$S,0)),"&amp;")</f>
        <v>&amp;</v>
      </c>
      <c r="AK53" s="21" t="str">
        <f>IFERROR(INDEX($M:$M,MATCH(AB53,$S:$S,0)),"&amp;")</f>
        <v>&amp;</v>
      </c>
      <c r="AM53" s="21" t="str">
        <f>IFERROR(INDEX($N:$N,MATCH(U53,$S:$S,0)),"&amp;")</f>
        <v>治水修渠1</v>
      </c>
      <c r="AN53" s="21" t="str">
        <f>IFERROR(INDEX($N:$N,MATCH(V53,$S:$S,0)),"&amp;")</f>
        <v>君圣臣贤2</v>
      </c>
      <c r="AO53" s="21" t="str">
        <f>IFERROR(INDEX($N:$N,MATCH(W53,$S:$S,0)),"&amp;")</f>
        <v>&amp;</v>
      </c>
      <c r="AP53" s="21" t="str">
        <f>IFERROR(INDEX($N:$N,MATCH(X53,$S:$S,0)),"&amp;")</f>
        <v>&amp;</v>
      </c>
      <c r="AQ53" s="21" t="str">
        <f>IFERROR(INDEX($N:$N,MATCH(Y53,$S:$S,0)),"&amp;")</f>
        <v>&amp;</v>
      </c>
      <c r="AR53" s="21" t="str">
        <f>IFERROR(INDEX($N:$N,MATCH(Z53,$S:$S,0)),"&amp;")</f>
        <v>&amp;</v>
      </c>
      <c r="AS53" s="21" t="str">
        <f>IFERROR(INDEX($N:$N,MATCH(AA53,$S:$S,0)),"&amp;")</f>
        <v>&amp;</v>
      </c>
      <c r="AT53" s="21" t="str">
        <f>IFERROR(INDEX($N:$N,MATCH(AB53,$S:$S,0)),"&amp;")</f>
        <v>&amp;</v>
      </c>
      <c r="AV53" s="21" t="str">
        <f>IFERROR(SUBSTITUTE(INDEX($K:$K,MATCH(INDEX($M:$M,MATCH(AM53,$N:$N,0)),$M:$M,0)),$D53,""),"")</f>
        <v xml:space="preserve"> 西门豹 伍子胥</v>
      </c>
      <c r="AW53" s="21" t="str">
        <f>IFERROR(SUBSTITUTE(INDEX($K:$K,MATCH(INDEX($M:$M,MATCH(AN53,$N:$N,0)),$M:$M,0)),$D53,""),"")</f>
        <v xml:space="preserve">楚庄王 </v>
      </c>
      <c r="AX53" s="21" t="str">
        <f>IFERROR(SUBSTITUTE(INDEX($K:$K,MATCH(INDEX($M:$M,MATCH(AO53,$N:$N,0)),$M:$M,0)),$D53,""),"")</f>
        <v/>
      </c>
      <c r="AY53" s="21" t="str">
        <f>IFERROR(SUBSTITUTE(INDEX($K:$K,MATCH(INDEX($M:$M,MATCH(AP53,$N:$N,0)),$M:$M,0)),$D53,""),"")</f>
        <v/>
      </c>
      <c r="AZ53" s="21" t="str">
        <f>IFERROR(SUBSTITUTE(INDEX($K:$K,MATCH(INDEX($M:$M,MATCH(AQ53,$N:$N,0)),$M:$M,0)),$D53,""),"")</f>
        <v/>
      </c>
      <c r="BA53" s="21" t="str">
        <f>IFERROR(SUBSTITUTE(INDEX($K:$K,MATCH(INDEX($M:$M,MATCH(AR53,$N:$N,0)),$M:$M,0)),$D53,""),"")</f>
        <v/>
      </c>
      <c r="BB53" s="21" t="str">
        <f>IFERROR(SUBSTITUTE(INDEX($K:$K,MATCH(INDEX($M:$M,MATCH(AS53,$N:$N,0)),$M:$M,0)),$D53,""),"")</f>
        <v/>
      </c>
      <c r="BC53" s="21" t="str">
        <f>IFERROR(SUBSTITUTE(INDEX($K:$K,MATCH(INDEX($M:$M,MATCH(AT53,$N:$N,0)),$M:$M,0)),$D53,""),"")</f>
        <v/>
      </c>
      <c r="BE53" s="9" t="str">
        <f t="shared" si="7"/>
        <v>孙叔敖,西门豹,伍子胥,楚庄王</v>
      </c>
      <c r="BI53" s="9" t="str">
        <f>IFERROR(
IF(COUNTIF($M:$M,$AD53)&lt;BI$8,
"",
INDEX($J:$J,MATCH($AD53,$M:$M,0)+BI$8-1)),
"")</f>
        <v>孙叔敖</v>
      </c>
      <c r="BJ53" s="9" t="str">
        <f>IFERROR(
IF(COUNTIF($M:$M,$AD53)&lt;BJ$8,
"",
INDEX($J:$J,MATCH($AD53,$M:$M,0)+BJ$8-1)),
"")</f>
        <v>西门豹</v>
      </c>
      <c r="BK53" s="9" t="str">
        <f>IFERROR(
IF(COUNTIF($M:$M,$AD53)&lt;BK$8,
"",
INDEX($J:$J,MATCH($AD53,$M:$M,0)+BK$8-1)),
"")</f>
        <v>伍子胥</v>
      </c>
      <c r="BL53" s="9" t="str">
        <f>IFERROR(
IF(COUNTIF($M:$M,$AD53)&lt;BL$8,
"",
INDEX($J:$J,MATCH($AD53,$M:$M,0)+BL$8-1)),
"")</f>
        <v/>
      </c>
      <c r="BN53" s="21" t="str">
        <f>IFERROR(
IF(COUNTIF($BI53:BM53,INDEX($J:$J,MATCH($AE53,$M:$M,0)+BN$8-1))=0,
IF(COUNTIF($M:$M,$AE53)&lt;BN$8,
"",
INDEX($J:$J,MATCH($AE53,$M:$M,0)+BN$8-1)),
""),
"")</f>
        <v>楚庄王</v>
      </c>
      <c r="BO53" s="21" t="str">
        <f>IFERROR(
IF(COUNTIF($BI53:BN53,INDEX($J:$J,MATCH($AE53,$M:$M,0)+BO$8-1))=0,
IF(COUNTIF($M:$M,$AE53)&lt;BO$8,
"",
INDEX($J:$J,MATCH($AE53,$M:$M,0)+BO$8-1)),
""),
"")</f>
        <v/>
      </c>
      <c r="BP53" s="21" t="str">
        <f>IFERROR(
IF(COUNTIF($BI53:BO53,INDEX($J:$J,MATCH($AE53,$M:$M,0)+BP$8-1))=0,
IF(COUNTIF($M:$M,$AE53)&lt;BP$8,
"",
INDEX($J:$J,MATCH($AE53,$M:$M,0)+BP$8-1)),
""),
"")</f>
        <v/>
      </c>
      <c r="BQ53" s="21" t="str">
        <f>IFERROR(
IF(COUNTIF($BI53:BP53,INDEX($J:$J,MATCH($AE53,$M:$M,0)+BQ$8-1))=0,
IF(COUNTIF($M:$M,$AE53)&lt;BQ$8,
"",
INDEX($J:$J,MATCH($AE53,$M:$M,0)+BQ$8-1)),
""),
"")</f>
        <v/>
      </c>
      <c r="BS53" s="21" t="str">
        <f>IFERROR(
IF(COUNTIF($BI53:BR53,INDEX($J:$J,MATCH($AF53,$M:$M,0)+BS$8-1))=0,
IF(COUNTIF($M:$M,$AF53)&lt;BS$8,
"",
INDEX($J:$J,MATCH($AF53,$M:$M,0)+BS$8-1)),
""),
"")</f>
        <v/>
      </c>
      <c r="BT53" s="21" t="str">
        <f>IFERROR(
IF(COUNTIF($BI53:BS53,INDEX($J:$J,MATCH($AF53,$M:$M,0)+BT$8-1))=0,
IF(COUNTIF($M:$M,$AF53)&lt;BT$8,
"",
INDEX($J:$J,MATCH($AF53,$M:$M,0)+BT$8-1)),
""),
"")</f>
        <v/>
      </c>
      <c r="BU53" s="21" t="str">
        <f>IFERROR(
IF(COUNTIF($BI53:BT53,INDEX($J:$J,MATCH($AF53,$M:$M,0)+BU$8-1))=0,
IF(COUNTIF($M:$M,$AF53)&lt;BU$8,
"",
INDEX($J:$J,MATCH($AF53,$M:$M,0)+BU$8-1)),
""),
"")</f>
        <v/>
      </c>
      <c r="BV53" s="21" t="str">
        <f>IFERROR(
IF(COUNTIF($BI53:BU53,INDEX($J:$J,MATCH($AF53,$M:$M,0)+BV$8-1))=0,
IF(COUNTIF($M:$M,$AF53)&lt;BV$8,
"",
INDEX($J:$J,MATCH($AF53,$M:$M,0)+BV$8-1)),
""),
"")</f>
        <v/>
      </c>
      <c r="BX53" s="21" t="str">
        <f>IFERROR(
IF(COUNTIF($BI53:BW53,INDEX($J:$J,MATCH($AG53,$M:$M,0)+BX$8-1))=0,
IF(COUNTIF($M:$M,$AG53)&lt;BX$8,
"",
INDEX($J:$J,MATCH($AG53,$M:$M,0)+BX$8-1)),
""),
"")</f>
        <v/>
      </c>
      <c r="BY53" s="21" t="str">
        <f>IFERROR(
IF(COUNTIF($BI53:BX53,INDEX($J:$J,MATCH($AG53,$M:$M,0)+BY$8-1))=0,
IF(COUNTIF($M:$M,$AG53)&lt;BY$8,
"",
INDEX($J:$J,MATCH($AG53,$M:$M,0)+BY$8-1)),
""),
"")</f>
        <v/>
      </c>
      <c r="BZ53" s="21" t="str">
        <f>IFERROR(
IF(COUNTIF($BI53:BY53,INDEX($J:$J,MATCH($AG53,$M:$M,0)+BZ$8-1))=0,
IF(COUNTIF($M:$M,$AG53)&lt;BZ$8,
"",
INDEX($J:$J,MATCH($AG53,$M:$M,0)+BZ$8-1)),
""),
"")</f>
        <v/>
      </c>
      <c r="CA53" s="21" t="str">
        <f>IFERROR(
IF(COUNTIF($BI53:BZ53,INDEX($J:$J,MATCH($AG53,$M:$M,0)+CA$8-1))=0,
IF(COUNTIF($M:$M,$AG53)&lt;CA$8,
"",
INDEX($J:$J,MATCH($AG53,$M:$M,0)+CA$8-1)),
""),
"")</f>
        <v/>
      </c>
      <c r="CC53" s="21" t="str">
        <f>IFERROR(
IF(COUNTIF($BI53:CB53,INDEX($J:$J,MATCH($AH53,$M:$M,0)+CC$8-1))=0,
IF(COUNTIF($M:$M,$AH53)&lt;CC$8,
"",
INDEX($J:$J,MATCH($AH53,$M:$M,0)+CC$8-1)),
""),
"")</f>
        <v/>
      </c>
      <c r="CD53" s="21" t="str">
        <f>IFERROR(
IF(COUNTIF($BI53:CC53,INDEX($J:$J,MATCH($AH53,$M:$M,0)+CD$8-1))=0,
IF(COUNTIF($M:$M,$AH53)&lt;CD$8,
"",
INDEX($J:$J,MATCH($AH53,$M:$M,0)+CD$8-1)),
""),
"")</f>
        <v/>
      </c>
      <c r="CE53" s="21" t="str">
        <f>IFERROR(
IF(COUNTIF($BI53:CD53,INDEX($J:$J,MATCH($AH53,$M:$M,0)+CE$8-1))=0,
IF(COUNTIF($M:$M,$AH53)&lt;CE$8,
"",
INDEX($J:$J,MATCH($AH53,$M:$M,0)+CE$8-1)),
""),
"")</f>
        <v/>
      </c>
      <c r="CF53" s="21" t="str">
        <f>IFERROR(
IF(COUNTIF($BI53:CE53,INDEX($J:$J,MATCH($AH53,$M:$M,0)+CF$8-1))=0,
IF(COUNTIF($M:$M,$AH53)&lt;CF$8,
"",
INDEX($J:$J,MATCH($AH53,$M:$M,0)+CF$8-1)),
""),
"")</f>
        <v/>
      </c>
      <c r="CH53" s="21" t="str">
        <f>IFERROR(
IF(COUNTIF($BI53:CG53,INDEX($J:$J,MATCH($AI53,$M:$M,0)+CH$8-1))=0,
IF(COUNTIF($M:$M,$AI53)&lt;CH$8,
"",
INDEX($J:$J,MATCH($AI53,$M:$M,0)+CH$8-1)),
""),
"")</f>
        <v/>
      </c>
      <c r="CI53" s="21" t="str">
        <f>IFERROR(
IF(COUNTIF($BI53:CH53,INDEX($J:$J,MATCH($AI53,$M:$M,0)+CI$8-1))=0,
IF(COUNTIF($M:$M,$AI53)&lt;CI$8,
"",
INDEX($J:$J,MATCH($AI53,$M:$M,0)+CI$8-1)),
""),
"")</f>
        <v/>
      </c>
      <c r="CJ53" s="21" t="str">
        <f>IFERROR(
IF(COUNTIF($BI53:CI53,INDEX($J:$J,MATCH($AI53,$M:$M,0)+CJ$8-1))=0,
IF(COUNTIF($M:$M,$AI53)&lt;CJ$8,
"",
INDEX($J:$J,MATCH($AI53,$M:$M,0)+CJ$8-1)),
""),
"")</f>
        <v/>
      </c>
      <c r="CK53" s="21" t="str">
        <f>IFERROR(
IF(COUNTIF($BI53:CJ53,INDEX($J:$J,MATCH($AI53,$M:$M,0)+CK$8-1))=0,
IF(COUNTIF($M:$M,$AI53)&lt;CK$8,
"",
INDEX($J:$J,MATCH($AI53,$M:$M,0)+CK$8-1)),
""),
"")</f>
        <v/>
      </c>
      <c r="CM53" s="21" t="str">
        <f>IFERROR(
IF(COUNTIF($BI53:CL53,INDEX($J:$J,MATCH($AJ53,$M:$M,0)+CM$8-1))=0,
IF(COUNTIF($M:$M,$AJ53)&lt;CM$8,
"",
INDEX($J:$J,MATCH($AJ53,$M:$M,0)+CM$8-1)),
""),
"")</f>
        <v/>
      </c>
      <c r="CN53" s="21" t="str">
        <f>IFERROR(
IF(COUNTIF($BI53:CM53,INDEX($J:$J,MATCH($AJ53,$M:$M,0)+CN$8-1))=0,
IF(COUNTIF($M:$M,$AJ53)&lt;CN$8,
"",
INDEX($J:$J,MATCH($AJ53,$M:$M,0)+CN$8-1)),
""),
"")</f>
        <v/>
      </c>
      <c r="CO53" s="21" t="str">
        <f>IFERROR(
IF(COUNTIF($BI53:CN53,INDEX($J:$J,MATCH($AJ53,$M:$M,0)+CO$8-1))=0,
IF(COUNTIF($M:$M,$AJ53)&lt;CO$8,
"",
INDEX($J:$J,MATCH($AJ53,$M:$M,0)+CO$8-1)),
""),
"")</f>
        <v/>
      </c>
      <c r="CP53" s="21" t="str">
        <f>IFERROR(
IF(COUNTIF($BI53:CO53,INDEX($J:$J,MATCH($AJ53,$M:$M,0)+CP$8-1))=0,
IF(COUNTIF($M:$M,$AJ53)&lt;CP$8,
"",
INDEX($J:$J,MATCH($AJ53,$M:$M,0)+CP$8-1)),
""),
"")</f>
        <v/>
      </c>
      <c r="CR53" s="21" t="str">
        <f>IFERROR(
IF(COUNTIF($BI53:CQ53,INDEX($J:$J,MATCH($AK53,$M:$M,0)+CR$8-1))=0,
IF(COUNTIF($M:$M,$AK53)&lt;CR$8,
"",
INDEX($J:$J,MATCH($AK53,$M:$M,0)+CR$8-1)),
""),
"")</f>
        <v/>
      </c>
      <c r="CS53" s="21" t="str">
        <f>IFERROR(
IF(COUNTIF($BI53:CR53,INDEX($J:$J,MATCH($AK53,$M:$M,0)+CS$8-1))=0,
IF(COUNTIF($M:$M,$AK53)&lt;CS$8,
"",
INDEX($J:$J,MATCH($AK53,$M:$M,0)+CS$8-1)),
""),
"")</f>
        <v/>
      </c>
      <c r="CT53" s="21" t="str">
        <f>IFERROR(
IF(COUNTIF($BI53:CS53,INDEX($J:$J,MATCH($AK53,$M:$M,0)+CT$8-1))=0,
IF(COUNTIF($M:$M,$AK53)&lt;CT$8,
"",
INDEX($J:$J,MATCH($AK53,$M:$M,0)+CT$8-1)),
""),
"")</f>
        <v/>
      </c>
      <c r="CU53" s="21" t="str">
        <f>IFERROR(
IF(COUNTIF($BI53:CT53,INDEX($J:$J,MATCH($AK53,$M:$M,0)+CU$8-1))=0,
IF(COUNTIF($M:$M,$AK53)&lt;CU$8,
"",
INDEX($J:$J,MATCH($AK53,$M:$M,0)+CU$8-1)),
""),
"")</f>
        <v/>
      </c>
    </row>
    <row r="54" spans="3:99" ht="14.25">
      <c r="C54" s="16">
        <v>46</v>
      </c>
      <c r="D54" s="19" t="s">
        <v>195</v>
      </c>
      <c r="E54" s="20">
        <f>INDEX([1]武将基本资料!$S:$S,MATCH(D54,[1]武将基本资料!$N:$N,0))</f>
        <v>110</v>
      </c>
      <c r="F54" s="20" t="str">
        <f>INDEX([1]武将基本资料!$Q:$Q,MATCH(D54,[1]武将基本资料!$N:$N,0))</f>
        <v>紫</v>
      </c>
      <c r="H54" s="7" t="str">
        <f>IF(I54="","",COUNTA(I$9:$I54))</f>
        <v/>
      </c>
      <c r="I54" s="6" t="s">
        <v>188</v>
      </c>
      <c r="J54" s="6" t="s">
        <v>60</v>
      </c>
      <c r="K54" s="8" t="str">
        <f>IF(H54="","",阶段合并区域(J54:J64," ",L54:L64,1))</f>
        <v/>
      </c>
      <c r="L54" s="8">
        <f>COUNTIF(M$8:$M54,"="&amp;M54)</f>
        <v>2</v>
      </c>
      <c r="M54" s="9" t="str">
        <f t="shared" si="3"/>
        <v>百战名将</v>
      </c>
      <c r="N54" s="9" t="str">
        <f t="shared" si="4"/>
        <v>百战名将2</v>
      </c>
      <c r="O54" s="15">
        <f>INDEX(C:C,MATCH(J54,D:D,0))</f>
        <v>17</v>
      </c>
      <c r="P54" s="9">
        <f>INDEX(E:E,MATCH(J54,D:D,0))</f>
        <v>120</v>
      </c>
      <c r="Q54" s="7">
        <f t="shared" si="0"/>
        <v>17</v>
      </c>
      <c r="R54" s="7">
        <f>COUNTIF(J$8:$J54,"="&amp;J54)</f>
        <v>2</v>
      </c>
      <c r="S54" s="7">
        <f t="shared" si="5"/>
        <v>2017</v>
      </c>
      <c r="U54" s="7">
        <f t="shared" si="9"/>
        <v>1046</v>
      </c>
      <c r="V54" s="7">
        <f t="shared" si="9"/>
        <v>2046</v>
      </c>
      <c r="W54" s="7">
        <f t="shared" si="9"/>
        <v>3046</v>
      </c>
      <c r="X54" s="7">
        <f t="shared" si="9"/>
        <v>4046</v>
      </c>
      <c r="Y54" s="7">
        <f t="shared" si="9"/>
        <v>5046</v>
      </c>
      <c r="Z54" s="7">
        <f t="shared" si="9"/>
        <v>6046</v>
      </c>
      <c r="AA54" s="7">
        <f t="shared" si="9"/>
        <v>7046</v>
      </c>
      <c r="AB54" s="7">
        <f t="shared" si="9"/>
        <v>8046</v>
      </c>
      <c r="AD54" s="21" t="str">
        <f>IFERROR(INDEX($M:$M,MATCH(U54,$S:$S,0)),"&amp;")</f>
        <v>&amp;</v>
      </c>
      <c r="AE54" s="21" t="str">
        <f>IFERROR(INDEX($M:$M,MATCH(V54,$S:$S,0)),"&amp;")</f>
        <v>&amp;</v>
      </c>
      <c r="AF54" s="21" t="str">
        <f>IFERROR(INDEX($M:$M,MATCH(W54,$S:$S,0)),"&amp;")</f>
        <v>&amp;</v>
      </c>
      <c r="AG54" s="21" t="str">
        <f>IFERROR(INDEX($M:$M,MATCH(X54,$S:$S,0)),"&amp;")</f>
        <v>&amp;</v>
      </c>
      <c r="AH54" s="21" t="str">
        <f>IFERROR(INDEX($M:$M,MATCH(Y54,$S:$S,0)),"&amp;")</f>
        <v>&amp;</v>
      </c>
      <c r="AI54" s="21" t="str">
        <f>IFERROR(INDEX($M:$M,MATCH(Z54,$S:$S,0)),"&amp;")</f>
        <v>&amp;</v>
      </c>
      <c r="AJ54" s="21" t="str">
        <f>IFERROR(INDEX($M:$M,MATCH(AA54,$S:$S,0)),"&amp;")</f>
        <v>&amp;</v>
      </c>
      <c r="AK54" s="21" t="str">
        <f>IFERROR(INDEX($M:$M,MATCH(AB54,$S:$S,0)),"&amp;")</f>
        <v>&amp;</v>
      </c>
      <c r="AM54" s="21" t="str">
        <f>IFERROR(INDEX($N:$N,MATCH(U54,$S:$S,0)),"&amp;")</f>
        <v>&amp;</v>
      </c>
      <c r="AN54" s="21" t="str">
        <f>IFERROR(INDEX($N:$N,MATCH(V54,$S:$S,0)),"&amp;")</f>
        <v>&amp;</v>
      </c>
      <c r="AO54" s="21" t="str">
        <f>IFERROR(INDEX($N:$N,MATCH(W54,$S:$S,0)),"&amp;")</f>
        <v>&amp;</v>
      </c>
      <c r="AP54" s="21" t="str">
        <f>IFERROR(INDEX($N:$N,MATCH(X54,$S:$S,0)),"&amp;")</f>
        <v>&amp;</v>
      </c>
      <c r="AQ54" s="21" t="str">
        <f>IFERROR(INDEX($N:$N,MATCH(Y54,$S:$S,0)),"&amp;")</f>
        <v>&amp;</v>
      </c>
      <c r="AR54" s="21" t="str">
        <f>IFERROR(INDEX($N:$N,MATCH(Z54,$S:$S,0)),"&amp;")</f>
        <v>&amp;</v>
      </c>
      <c r="AS54" s="21" t="str">
        <f>IFERROR(INDEX($N:$N,MATCH(AA54,$S:$S,0)),"&amp;")</f>
        <v>&amp;</v>
      </c>
      <c r="AT54" s="21" t="str">
        <f>IFERROR(INDEX($N:$N,MATCH(AB54,$S:$S,0)),"&amp;")</f>
        <v>&amp;</v>
      </c>
      <c r="AV54" s="21" t="str">
        <f>IFERROR(SUBSTITUTE(INDEX($K:$K,MATCH(INDEX($M:$M,MATCH(AM54,$N:$N,0)),$M:$M,0)),$D54,""),"")</f>
        <v/>
      </c>
      <c r="AW54" s="21" t="str">
        <f>IFERROR(SUBSTITUTE(INDEX($K:$K,MATCH(INDEX($M:$M,MATCH(AN54,$N:$N,0)),$M:$M,0)),$D54,""),"")</f>
        <v/>
      </c>
      <c r="AX54" s="21" t="str">
        <f>IFERROR(SUBSTITUTE(INDEX($K:$K,MATCH(INDEX($M:$M,MATCH(AO54,$N:$N,0)),$M:$M,0)),$D54,""),"")</f>
        <v/>
      </c>
      <c r="AY54" s="21" t="str">
        <f>IFERROR(SUBSTITUTE(INDEX($K:$K,MATCH(INDEX($M:$M,MATCH(AP54,$N:$N,0)),$M:$M,0)),$D54,""),"")</f>
        <v/>
      </c>
      <c r="AZ54" s="21" t="str">
        <f>IFERROR(SUBSTITUTE(INDEX($K:$K,MATCH(INDEX($M:$M,MATCH(AQ54,$N:$N,0)),$M:$M,0)),$D54,""),"")</f>
        <v/>
      </c>
      <c r="BA54" s="21" t="str">
        <f>IFERROR(SUBSTITUTE(INDEX($K:$K,MATCH(INDEX($M:$M,MATCH(AR54,$N:$N,0)),$M:$M,0)),$D54,""),"")</f>
        <v/>
      </c>
      <c r="BB54" s="21" t="str">
        <f>IFERROR(SUBSTITUTE(INDEX($K:$K,MATCH(INDEX($M:$M,MATCH(AS54,$N:$N,0)),$M:$M,0)),$D54,""),"")</f>
        <v/>
      </c>
      <c r="BC54" s="21" t="str">
        <f>IFERROR(SUBSTITUTE(INDEX($K:$K,MATCH(INDEX($M:$M,MATCH(AT54,$N:$N,0)),$M:$M,0)),$D54,""),"")</f>
        <v/>
      </c>
      <c r="BE54" s="9" t="str">
        <f t="shared" si="7"/>
        <v/>
      </c>
      <c r="BI54" s="9" t="str">
        <f>IFERROR(
IF(COUNTIF($M:$M,$AD54)&lt;BI$8,
"",
INDEX($J:$J,MATCH($AD54,$M:$M,0)+BI$8-1)),
"")</f>
        <v/>
      </c>
      <c r="BJ54" s="9" t="str">
        <f>IFERROR(
IF(COUNTIF($M:$M,$AD54)&lt;BJ$8,
"",
INDEX($J:$J,MATCH($AD54,$M:$M,0)+BJ$8-1)),
"")</f>
        <v/>
      </c>
      <c r="BK54" s="9" t="str">
        <f>IFERROR(
IF(COUNTIF($M:$M,$AD54)&lt;BK$8,
"",
INDEX($J:$J,MATCH($AD54,$M:$M,0)+BK$8-1)),
"")</f>
        <v/>
      </c>
      <c r="BL54" s="9" t="str">
        <f>IFERROR(
IF(COUNTIF($M:$M,$AD54)&lt;BL$8,
"",
INDEX($J:$J,MATCH($AD54,$M:$M,0)+BL$8-1)),
"")</f>
        <v/>
      </c>
      <c r="BN54" s="21" t="str">
        <f>IFERROR(
IF(COUNTIF($BI54:BM54,INDEX($J:$J,MATCH($AE54,$M:$M,0)+BN$8-1))=0,
IF(COUNTIF($M:$M,$AE54)&lt;BN$8,
"",
INDEX($J:$J,MATCH($AE54,$M:$M,0)+BN$8-1)),
""),
"")</f>
        <v/>
      </c>
      <c r="BO54" s="21" t="str">
        <f>IFERROR(
IF(COUNTIF($BI54:BN54,INDEX($J:$J,MATCH($AE54,$M:$M,0)+BO$8-1))=0,
IF(COUNTIF($M:$M,$AE54)&lt;BO$8,
"",
INDEX($J:$J,MATCH($AE54,$M:$M,0)+BO$8-1)),
""),
"")</f>
        <v/>
      </c>
      <c r="BP54" s="21" t="str">
        <f>IFERROR(
IF(COUNTIF($BI54:BO54,INDEX($J:$J,MATCH($AE54,$M:$M,0)+BP$8-1))=0,
IF(COUNTIF($M:$M,$AE54)&lt;BP$8,
"",
INDEX($J:$J,MATCH($AE54,$M:$M,0)+BP$8-1)),
""),
"")</f>
        <v/>
      </c>
      <c r="BQ54" s="21" t="str">
        <f>IFERROR(
IF(COUNTIF($BI54:BP54,INDEX($J:$J,MATCH($AE54,$M:$M,0)+BQ$8-1))=0,
IF(COUNTIF($M:$M,$AE54)&lt;BQ$8,
"",
INDEX($J:$J,MATCH($AE54,$M:$M,0)+BQ$8-1)),
""),
"")</f>
        <v/>
      </c>
      <c r="BS54" s="21" t="str">
        <f>IFERROR(
IF(COUNTIF($BI54:BR54,INDEX($J:$J,MATCH($AF54,$M:$M,0)+BS$8-1))=0,
IF(COUNTIF($M:$M,$AF54)&lt;BS$8,
"",
INDEX($J:$J,MATCH($AF54,$M:$M,0)+BS$8-1)),
""),
"")</f>
        <v/>
      </c>
      <c r="BT54" s="21" t="str">
        <f>IFERROR(
IF(COUNTIF($BI54:BS54,INDEX($J:$J,MATCH($AF54,$M:$M,0)+BT$8-1))=0,
IF(COUNTIF($M:$M,$AF54)&lt;BT$8,
"",
INDEX($J:$J,MATCH($AF54,$M:$M,0)+BT$8-1)),
""),
"")</f>
        <v/>
      </c>
      <c r="BU54" s="21" t="str">
        <f>IFERROR(
IF(COUNTIF($BI54:BT54,INDEX($J:$J,MATCH($AF54,$M:$M,0)+BU$8-1))=0,
IF(COUNTIF($M:$M,$AF54)&lt;BU$8,
"",
INDEX($J:$J,MATCH($AF54,$M:$M,0)+BU$8-1)),
""),
"")</f>
        <v/>
      </c>
      <c r="BV54" s="21" t="str">
        <f>IFERROR(
IF(COUNTIF($BI54:BU54,INDEX($J:$J,MATCH($AF54,$M:$M,0)+BV$8-1))=0,
IF(COUNTIF($M:$M,$AF54)&lt;BV$8,
"",
INDEX($J:$J,MATCH($AF54,$M:$M,0)+BV$8-1)),
""),
"")</f>
        <v/>
      </c>
      <c r="BX54" s="21" t="str">
        <f>IFERROR(
IF(COUNTIF($BI54:BW54,INDEX($J:$J,MATCH($AG54,$M:$M,0)+BX$8-1))=0,
IF(COUNTIF($M:$M,$AG54)&lt;BX$8,
"",
INDEX($J:$J,MATCH($AG54,$M:$M,0)+BX$8-1)),
""),
"")</f>
        <v/>
      </c>
      <c r="BY54" s="21" t="str">
        <f>IFERROR(
IF(COUNTIF($BI54:BX54,INDEX($J:$J,MATCH($AG54,$M:$M,0)+BY$8-1))=0,
IF(COUNTIF($M:$M,$AG54)&lt;BY$8,
"",
INDEX($J:$J,MATCH($AG54,$M:$M,0)+BY$8-1)),
""),
"")</f>
        <v/>
      </c>
      <c r="BZ54" s="21" t="str">
        <f>IFERROR(
IF(COUNTIF($BI54:BY54,INDEX($J:$J,MATCH($AG54,$M:$M,0)+BZ$8-1))=0,
IF(COUNTIF($M:$M,$AG54)&lt;BZ$8,
"",
INDEX($J:$J,MATCH($AG54,$M:$M,0)+BZ$8-1)),
""),
"")</f>
        <v/>
      </c>
      <c r="CA54" s="21" t="str">
        <f>IFERROR(
IF(COUNTIF($BI54:BZ54,INDEX($J:$J,MATCH($AG54,$M:$M,0)+CA$8-1))=0,
IF(COUNTIF($M:$M,$AG54)&lt;CA$8,
"",
INDEX($J:$J,MATCH($AG54,$M:$M,0)+CA$8-1)),
""),
"")</f>
        <v/>
      </c>
      <c r="CC54" s="21" t="str">
        <f>IFERROR(
IF(COUNTIF($BI54:CB54,INDEX($J:$J,MATCH($AH54,$M:$M,0)+CC$8-1))=0,
IF(COUNTIF($M:$M,$AH54)&lt;CC$8,
"",
INDEX($J:$J,MATCH($AH54,$M:$M,0)+CC$8-1)),
""),
"")</f>
        <v/>
      </c>
      <c r="CD54" s="21" t="str">
        <f>IFERROR(
IF(COUNTIF($BI54:CC54,INDEX($J:$J,MATCH($AH54,$M:$M,0)+CD$8-1))=0,
IF(COUNTIF($M:$M,$AH54)&lt;CD$8,
"",
INDEX($J:$J,MATCH($AH54,$M:$M,0)+CD$8-1)),
""),
"")</f>
        <v/>
      </c>
      <c r="CE54" s="21" t="str">
        <f>IFERROR(
IF(COUNTIF($BI54:CD54,INDEX($J:$J,MATCH($AH54,$M:$M,0)+CE$8-1))=0,
IF(COUNTIF($M:$M,$AH54)&lt;CE$8,
"",
INDEX($J:$J,MATCH($AH54,$M:$M,0)+CE$8-1)),
""),
"")</f>
        <v/>
      </c>
      <c r="CF54" s="21" t="str">
        <f>IFERROR(
IF(COUNTIF($BI54:CE54,INDEX($J:$J,MATCH($AH54,$M:$M,0)+CF$8-1))=0,
IF(COUNTIF($M:$M,$AH54)&lt;CF$8,
"",
INDEX($J:$J,MATCH($AH54,$M:$M,0)+CF$8-1)),
""),
"")</f>
        <v/>
      </c>
      <c r="CH54" s="21" t="str">
        <f>IFERROR(
IF(COUNTIF($BI54:CG54,INDEX($J:$J,MATCH($AI54,$M:$M,0)+CH$8-1))=0,
IF(COUNTIF($M:$M,$AI54)&lt;CH$8,
"",
INDEX($J:$J,MATCH($AI54,$M:$M,0)+CH$8-1)),
""),
"")</f>
        <v/>
      </c>
      <c r="CI54" s="21" t="str">
        <f>IFERROR(
IF(COUNTIF($BI54:CH54,INDEX($J:$J,MATCH($AI54,$M:$M,0)+CI$8-1))=0,
IF(COUNTIF($M:$M,$AI54)&lt;CI$8,
"",
INDEX($J:$J,MATCH($AI54,$M:$M,0)+CI$8-1)),
""),
"")</f>
        <v/>
      </c>
      <c r="CJ54" s="21" t="str">
        <f>IFERROR(
IF(COUNTIF($BI54:CI54,INDEX($J:$J,MATCH($AI54,$M:$M,0)+CJ$8-1))=0,
IF(COUNTIF($M:$M,$AI54)&lt;CJ$8,
"",
INDEX($J:$J,MATCH($AI54,$M:$M,0)+CJ$8-1)),
""),
"")</f>
        <v/>
      </c>
      <c r="CK54" s="21" t="str">
        <f>IFERROR(
IF(COUNTIF($BI54:CJ54,INDEX($J:$J,MATCH($AI54,$M:$M,0)+CK$8-1))=0,
IF(COUNTIF($M:$M,$AI54)&lt;CK$8,
"",
INDEX($J:$J,MATCH($AI54,$M:$M,0)+CK$8-1)),
""),
"")</f>
        <v/>
      </c>
      <c r="CM54" s="21" t="str">
        <f>IFERROR(
IF(COUNTIF($BI54:CL54,INDEX($J:$J,MATCH($AJ54,$M:$M,0)+CM$8-1))=0,
IF(COUNTIF($M:$M,$AJ54)&lt;CM$8,
"",
INDEX($J:$J,MATCH($AJ54,$M:$M,0)+CM$8-1)),
""),
"")</f>
        <v/>
      </c>
      <c r="CN54" s="21" t="str">
        <f>IFERROR(
IF(COUNTIF($BI54:CM54,INDEX($J:$J,MATCH($AJ54,$M:$M,0)+CN$8-1))=0,
IF(COUNTIF($M:$M,$AJ54)&lt;CN$8,
"",
INDEX($J:$J,MATCH($AJ54,$M:$M,0)+CN$8-1)),
""),
"")</f>
        <v/>
      </c>
      <c r="CO54" s="21" t="str">
        <f>IFERROR(
IF(COUNTIF($BI54:CN54,INDEX($J:$J,MATCH($AJ54,$M:$M,0)+CO$8-1))=0,
IF(COUNTIF($M:$M,$AJ54)&lt;CO$8,
"",
INDEX($J:$J,MATCH($AJ54,$M:$M,0)+CO$8-1)),
""),
"")</f>
        <v/>
      </c>
      <c r="CP54" s="21" t="str">
        <f>IFERROR(
IF(COUNTIF($BI54:CO54,INDEX($J:$J,MATCH($AJ54,$M:$M,0)+CP$8-1))=0,
IF(COUNTIF($M:$M,$AJ54)&lt;CP$8,
"",
INDEX($J:$J,MATCH($AJ54,$M:$M,0)+CP$8-1)),
""),
"")</f>
        <v/>
      </c>
      <c r="CR54" s="21" t="str">
        <f>IFERROR(
IF(COUNTIF($BI54:CQ54,INDEX($J:$J,MATCH($AK54,$M:$M,0)+CR$8-1))=0,
IF(COUNTIF($M:$M,$AK54)&lt;CR$8,
"",
INDEX($J:$J,MATCH($AK54,$M:$M,0)+CR$8-1)),
""),
"")</f>
        <v/>
      </c>
      <c r="CS54" s="21" t="str">
        <f>IFERROR(
IF(COUNTIF($BI54:CR54,INDEX($J:$J,MATCH($AK54,$M:$M,0)+CS$8-1))=0,
IF(COUNTIF($M:$M,$AK54)&lt;CS$8,
"",
INDEX($J:$J,MATCH($AK54,$M:$M,0)+CS$8-1)),
""),
"")</f>
        <v/>
      </c>
      <c r="CT54" s="21" t="str">
        <f>IFERROR(
IF(COUNTIF($BI54:CS54,INDEX($J:$J,MATCH($AK54,$M:$M,0)+CT$8-1))=0,
IF(COUNTIF($M:$M,$AK54)&lt;CT$8,
"",
INDEX($J:$J,MATCH($AK54,$M:$M,0)+CT$8-1)),
""),
"")</f>
        <v/>
      </c>
      <c r="CU54" s="21" t="str">
        <f>IFERROR(
IF(COUNTIF($BI54:CT54,INDEX($J:$J,MATCH($AK54,$M:$M,0)+CU$8-1))=0,
IF(COUNTIF($M:$M,$AK54)&lt;CU$8,
"",
INDEX($J:$J,MATCH($AK54,$M:$M,0)+CU$8-1)),
""),
"")</f>
        <v/>
      </c>
    </row>
    <row r="55" spans="3:99" ht="14.25">
      <c r="C55" s="16">
        <v>47</v>
      </c>
      <c r="D55" s="19" t="s">
        <v>86</v>
      </c>
      <c r="E55" s="20">
        <f>INDEX([1]武将基本资料!$S:$S,MATCH(D55,[1]武将基本资料!$N:$N,0))</f>
        <v>130</v>
      </c>
      <c r="F55" s="20" t="str">
        <f>INDEX([1]武将基本资料!$Q:$Q,MATCH(D55,[1]武将基本资料!$N:$N,0))</f>
        <v>橙+</v>
      </c>
      <c r="H55" s="7">
        <f>IF(I55="","",COUNTA(I$9:$I55))</f>
        <v>45</v>
      </c>
      <c r="I55" s="6" t="s">
        <v>153</v>
      </c>
      <c r="J55" s="6" t="s">
        <v>154</v>
      </c>
      <c r="K55" s="8" t="str">
        <f>IF(H55="","",阶段合并区域(J55:J65," ",L55:L65,1))</f>
        <v>秦开 司马错</v>
      </c>
      <c r="L55" s="8">
        <f>COUNTIF(M$8:$M55,"="&amp;M55)</f>
        <v>1</v>
      </c>
      <c r="M55" s="9" t="str">
        <f t="shared" si="3"/>
        <v>开疆扩土</v>
      </c>
      <c r="N55" s="9" t="str">
        <f t="shared" si="4"/>
        <v>开疆扩土1</v>
      </c>
      <c r="O55" s="15">
        <f>INDEX(C:C,MATCH(J55,D:D,0))</f>
        <v>58</v>
      </c>
      <c r="P55" s="9">
        <f>INDEX(E:E,MATCH(J55,D:D,0))</f>
        <v>110</v>
      </c>
      <c r="Q55" s="7">
        <f t="shared" si="0"/>
        <v>58</v>
      </c>
      <c r="R55" s="7">
        <f>COUNTIF(J$8:$J55,"="&amp;J55)</f>
        <v>1</v>
      </c>
      <c r="S55" s="7">
        <f t="shared" si="5"/>
        <v>1058</v>
      </c>
      <c r="U55" s="7">
        <f t="shared" si="9"/>
        <v>1047</v>
      </c>
      <c r="V55" s="7">
        <f t="shared" si="9"/>
        <v>2047</v>
      </c>
      <c r="W55" s="7">
        <f t="shared" si="9"/>
        <v>3047</v>
      </c>
      <c r="X55" s="7">
        <f t="shared" si="9"/>
        <v>4047</v>
      </c>
      <c r="Y55" s="7">
        <f t="shared" si="9"/>
        <v>5047</v>
      </c>
      <c r="Z55" s="7">
        <f t="shared" si="9"/>
        <v>6047</v>
      </c>
      <c r="AA55" s="7">
        <f t="shared" si="9"/>
        <v>7047</v>
      </c>
      <c r="AB55" s="7">
        <f t="shared" si="9"/>
        <v>8047</v>
      </c>
      <c r="AD55" s="21" t="str">
        <f>IFERROR(INDEX($M:$M,MATCH(U55,$S:$S,0)),"&amp;")</f>
        <v>雄辩之才</v>
      </c>
      <c r="AE55" s="21" t="str">
        <f>IFERROR(INDEX($M:$M,MATCH(V55,$S:$S,0)),"&amp;")</f>
        <v>国之栋梁</v>
      </c>
      <c r="AF55" s="21" t="str">
        <f>IFERROR(INDEX($M:$M,MATCH(W55,$S:$S,0)),"&amp;")</f>
        <v>辅佐奇才</v>
      </c>
      <c r="AG55" s="21" t="str">
        <f>IFERROR(INDEX($M:$M,MATCH(X55,$S:$S,0)),"&amp;")</f>
        <v>相印</v>
      </c>
      <c r="AH55" s="21" t="str">
        <f>IFERROR(INDEX($M:$M,MATCH(Y55,$S:$S,0)),"&amp;")</f>
        <v>&amp;</v>
      </c>
      <c r="AI55" s="21" t="str">
        <f>IFERROR(INDEX($M:$M,MATCH(Z55,$S:$S,0)),"&amp;")</f>
        <v>&amp;</v>
      </c>
      <c r="AJ55" s="21" t="str">
        <f>IFERROR(INDEX($M:$M,MATCH(AA55,$S:$S,0)),"&amp;")</f>
        <v>&amp;</v>
      </c>
      <c r="AK55" s="21" t="str">
        <f>IFERROR(INDEX($M:$M,MATCH(AB55,$S:$S,0)),"&amp;")</f>
        <v>&amp;</v>
      </c>
      <c r="AM55" s="21" t="str">
        <f>IFERROR(INDEX($N:$N,MATCH(U55,$S:$S,0)),"&amp;")</f>
        <v>雄辩之才1</v>
      </c>
      <c r="AN55" s="21" t="str">
        <f>IFERROR(INDEX($N:$N,MATCH(V55,$S:$S,0)),"&amp;")</f>
        <v>国之栋梁1</v>
      </c>
      <c r="AO55" s="21" t="str">
        <f>IFERROR(INDEX($N:$N,MATCH(W55,$S:$S,0)),"&amp;")</f>
        <v>辅佐奇才1</v>
      </c>
      <c r="AP55" s="21" t="str">
        <f>IFERROR(INDEX($N:$N,MATCH(X55,$S:$S,0)),"&amp;")</f>
        <v>相印4</v>
      </c>
      <c r="AQ55" s="21" t="str">
        <f>IFERROR(INDEX($N:$N,MATCH(Y55,$S:$S,0)),"&amp;")</f>
        <v>&amp;</v>
      </c>
      <c r="AR55" s="21" t="str">
        <f>IFERROR(INDEX($N:$N,MATCH(Z55,$S:$S,0)),"&amp;")</f>
        <v>&amp;</v>
      </c>
      <c r="AS55" s="21" t="str">
        <f>IFERROR(INDEX($N:$N,MATCH(AA55,$S:$S,0)),"&amp;")</f>
        <v>&amp;</v>
      </c>
      <c r="AT55" s="21" t="str">
        <f>IFERROR(INDEX($N:$N,MATCH(AB55,$S:$S,0)),"&amp;")</f>
        <v>&amp;</v>
      </c>
      <c r="AV55" s="21" t="str">
        <f>IFERROR(SUBSTITUTE(INDEX($K:$K,MATCH(INDEX($M:$M,MATCH(AM55,$N:$N,0)),$M:$M,0)),$D55,""),"")</f>
        <v xml:space="preserve"> 韩非子 赵括</v>
      </c>
      <c r="AW55" s="21" t="str">
        <f>IFERROR(SUBSTITUTE(INDEX($K:$K,MATCH(INDEX($M:$M,MATCH(AN55,$N:$N,0)),$M:$M,0)),$D55,""),"")</f>
        <v xml:space="preserve"> 吕不韦 信陵君 项燕</v>
      </c>
      <c r="AX55" s="21" t="str">
        <f>IFERROR(SUBSTITUTE(INDEX($K:$K,MATCH(INDEX($M:$M,MATCH(AO55,$N:$N,0)),$M:$M,0)),$D55,""),"")</f>
        <v xml:space="preserve"> 苏秦 伯乐 西施</v>
      </c>
      <c r="AY55" s="21" t="str">
        <f>IFERROR(SUBSTITUTE(INDEX($K:$K,MATCH(INDEX($M:$M,MATCH(AP55,$N:$N,0)),$M:$M,0)),$D55,""),"")</f>
        <v xml:space="preserve">范雎 吕不韦 苏秦 </v>
      </c>
      <c r="AZ55" s="21" t="str">
        <f>IFERROR(SUBSTITUTE(INDEX($K:$K,MATCH(INDEX($M:$M,MATCH(AQ55,$N:$N,0)),$M:$M,0)),$D55,""),"")</f>
        <v/>
      </c>
      <c r="BA55" s="21" t="str">
        <f>IFERROR(SUBSTITUTE(INDEX($K:$K,MATCH(INDEX($M:$M,MATCH(AR55,$N:$N,0)),$M:$M,0)),$D55,""),"")</f>
        <v/>
      </c>
      <c r="BB55" s="21" t="str">
        <f>IFERROR(SUBSTITUTE(INDEX($K:$K,MATCH(INDEX($M:$M,MATCH(AS55,$N:$N,0)),$M:$M,0)),$D55,""),"")</f>
        <v/>
      </c>
      <c r="BC55" s="21" t="str">
        <f>IFERROR(SUBSTITUTE(INDEX($K:$K,MATCH(INDEX($M:$M,MATCH(AT55,$N:$N,0)),$M:$M,0)),$D55,""),"")</f>
        <v/>
      </c>
      <c r="BE55" s="9" t="str">
        <f t="shared" si="7"/>
        <v>蔺相如,韩非子,赵括,屈原,吕不韦,信陵君,项燕,苏秦,伯乐,西施,范雎</v>
      </c>
      <c r="BI55" s="9" t="str">
        <f>IFERROR(
IF(COUNTIF($M:$M,$AD55)&lt;BI$8,
"",
INDEX($J:$J,MATCH($AD55,$M:$M,0)+BI$8-1)),
"")</f>
        <v>蔺相如</v>
      </c>
      <c r="BJ55" s="9" t="str">
        <f>IFERROR(
IF(COUNTIF($M:$M,$AD55)&lt;BJ$8,
"",
INDEX($J:$J,MATCH($AD55,$M:$M,0)+BJ$8-1)),
"")</f>
        <v>韩非子</v>
      </c>
      <c r="BK55" s="9" t="str">
        <f>IFERROR(
IF(COUNTIF($M:$M,$AD55)&lt;BK$8,
"",
INDEX($J:$J,MATCH($AD55,$M:$M,0)+BK$8-1)),
"")</f>
        <v>赵括</v>
      </c>
      <c r="BL55" s="9" t="str">
        <f>IFERROR(
IF(COUNTIF($M:$M,$AD55)&lt;BL$8,
"",
INDEX($J:$J,MATCH($AD55,$M:$M,0)+BL$8-1)),
"")</f>
        <v>屈原</v>
      </c>
      <c r="BN55" s="21" t="str">
        <f>IFERROR(
IF(COUNTIF($BI55:BM55,INDEX($J:$J,MATCH($AE55,$M:$M,0)+BN$8-1))=0,
IF(COUNTIF($M:$M,$AE55)&lt;BN$8,
"",
INDEX($J:$J,MATCH($AE55,$M:$M,0)+BN$8-1)),
""),
"")</f>
        <v/>
      </c>
      <c r="BO55" s="21" t="str">
        <f>IFERROR(
IF(COUNTIF($BI55:BN55,INDEX($J:$J,MATCH($AE55,$M:$M,0)+BO$8-1))=0,
IF(COUNTIF($M:$M,$AE55)&lt;BO$8,
"",
INDEX($J:$J,MATCH($AE55,$M:$M,0)+BO$8-1)),
""),
"")</f>
        <v>吕不韦</v>
      </c>
      <c r="BP55" s="21" t="str">
        <f>IFERROR(
IF(COUNTIF($BI55:BO55,INDEX($J:$J,MATCH($AE55,$M:$M,0)+BP$8-1))=0,
IF(COUNTIF($M:$M,$AE55)&lt;BP$8,
"",
INDEX($J:$J,MATCH($AE55,$M:$M,0)+BP$8-1)),
""),
"")</f>
        <v>信陵君</v>
      </c>
      <c r="BQ55" s="21" t="str">
        <f>IFERROR(
IF(COUNTIF($BI55:BP55,INDEX($J:$J,MATCH($AE55,$M:$M,0)+BQ$8-1))=0,
IF(COUNTIF($M:$M,$AE55)&lt;BQ$8,
"",
INDEX($J:$J,MATCH($AE55,$M:$M,0)+BQ$8-1)),
""),
"")</f>
        <v>项燕</v>
      </c>
      <c r="BS55" s="21" t="str">
        <f>IFERROR(
IF(COUNTIF($BI55:BR55,INDEX($J:$J,MATCH($AF55,$M:$M,0)+BS$8-1))=0,
IF(COUNTIF($M:$M,$AF55)&lt;BS$8,
"",
INDEX($J:$J,MATCH($AF55,$M:$M,0)+BS$8-1)),
""),
"")</f>
        <v/>
      </c>
      <c r="BT55" s="21" t="str">
        <f>IFERROR(
IF(COUNTIF($BI55:BS55,INDEX($J:$J,MATCH($AF55,$M:$M,0)+BT$8-1))=0,
IF(COUNTIF($M:$M,$AF55)&lt;BT$8,
"",
INDEX($J:$J,MATCH($AF55,$M:$M,0)+BT$8-1)),
""),
"")</f>
        <v>苏秦</v>
      </c>
      <c r="BU55" s="21" t="str">
        <f>IFERROR(
IF(COUNTIF($BI55:BT55,INDEX($J:$J,MATCH($AF55,$M:$M,0)+BU$8-1))=0,
IF(COUNTIF($M:$M,$AF55)&lt;BU$8,
"",
INDEX($J:$J,MATCH($AF55,$M:$M,0)+BU$8-1)),
""),
"")</f>
        <v>伯乐</v>
      </c>
      <c r="BV55" s="21" t="str">
        <f>IFERROR(
IF(COUNTIF($BI55:BU55,INDEX($J:$J,MATCH($AF55,$M:$M,0)+BV$8-1))=0,
IF(COUNTIF($M:$M,$AF55)&lt;BV$8,
"",
INDEX($J:$J,MATCH($AF55,$M:$M,0)+BV$8-1)),
""),
"")</f>
        <v>西施</v>
      </c>
      <c r="BX55" s="21" t="str">
        <f>IFERROR(
IF(COUNTIF($BI55:BW55,INDEX($J:$J,MATCH($AG55,$M:$M,0)+BX$8-1))=0,
IF(COUNTIF($M:$M,$AG55)&lt;BX$8,
"",
INDEX($J:$J,MATCH($AG55,$M:$M,0)+BX$8-1)),
""),
"")</f>
        <v>范雎</v>
      </c>
      <c r="BY55" s="21" t="str">
        <f>IFERROR(
IF(COUNTIF($BI55:BX55,INDEX($J:$J,MATCH($AG55,$M:$M,0)+BY$8-1))=0,
IF(COUNTIF($M:$M,$AG55)&lt;BY$8,
"",
INDEX($J:$J,MATCH($AG55,$M:$M,0)+BY$8-1)),
""),
"")</f>
        <v/>
      </c>
      <c r="BZ55" s="21" t="str">
        <f>IFERROR(
IF(COUNTIF($BI55:BY55,INDEX($J:$J,MATCH($AG55,$M:$M,0)+BZ$8-1))=0,
IF(COUNTIF($M:$M,$AG55)&lt;BZ$8,
"",
INDEX($J:$J,MATCH($AG55,$M:$M,0)+BZ$8-1)),
""),
"")</f>
        <v/>
      </c>
      <c r="CA55" s="21" t="str">
        <f>IFERROR(
IF(COUNTIF($BI55:BZ55,INDEX($J:$J,MATCH($AG55,$M:$M,0)+CA$8-1))=0,
IF(COUNTIF($M:$M,$AG55)&lt;CA$8,
"",
INDEX($J:$J,MATCH($AG55,$M:$M,0)+CA$8-1)),
""),
"")</f>
        <v/>
      </c>
      <c r="CC55" s="21" t="str">
        <f>IFERROR(
IF(COUNTIF($BI55:CB55,INDEX($J:$J,MATCH($AH55,$M:$M,0)+CC$8-1))=0,
IF(COUNTIF($M:$M,$AH55)&lt;CC$8,
"",
INDEX($J:$J,MATCH($AH55,$M:$M,0)+CC$8-1)),
""),
"")</f>
        <v/>
      </c>
      <c r="CD55" s="21" t="str">
        <f>IFERROR(
IF(COUNTIF($BI55:CC55,INDEX($J:$J,MATCH($AH55,$M:$M,0)+CD$8-1))=0,
IF(COUNTIF($M:$M,$AH55)&lt;CD$8,
"",
INDEX($J:$J,MATCH($AH55,$M:$M,0)+CD$8-1)),
""),
"")</f>
        <v/>
      </c>
      <c r="CE55" s="21" t="str">
        <f>IFERROR(
IF(COUNTIF($BI55:CD55,INDEX($J:$J,MATCH($AH55,$M:$M,0)+CE$8-1))=0,
IF(COUNTIF($M:$M,$AH55)&lt;CE$8,
"",
INDEX($J:$J,MATCH($AH55,$M:$M,0)+CE$8-1)),
""),
"")</f>
        <v/>
      </c>
      <c r="CF55" s="21" t="str">
        <f>IFERROR(
IF(COUNTIF($BI55:CE55,INDEX($J:$J,MATCH($AH55,$M:$M,0)+CF$8-1))=0,
IF(COUNTIF($M:$M,$AH55)&lt;CF$8,
"",
INDEX($J:$J,MATCH($AH55,$M:$M,0)+CF$8-1)),
""),
"")</f>
        <v/>
      </c>
      <c r="CH55" s="21" t="str">
        <f>IFERROR(
IF(COUNTIF($BI55:CG55,INDEX($J:$J,MATCH($AI55,$M:$M,0)+CH$8-1))=0,
IF(COUNTIF($M:$M,$AI55)&lt;CH$8,
"",
INDEX($J:$J,MATCH($AI55,$M:$M,0)+CH$8-1)),
""),
"")</f>
        <v/>
      </c>
      <c r="CI55" s="21" t="str">
        <f>IFERROR(
IF(COUNTIF($BI55:CH55,INDEX($J:$J,MATCH($AI55,$M:$M,0)+CI$8-1))=0,
IF(COUNTIF($M:$M,$AI55)&lt;CI$8,
"",
INDEX($J:$J,MATCH($AI55,$M:$M,0)+CI$8-1)),
""),
"")</f>
        <v/>
      </c>
      <c r="CJ55" s="21" t="str">
        <f>IFERROR(
IF(COUNTIF($BI55:CI55,INDEX($J:$J,MATCH($AI55,$M:$M,0)+CJ$8-1))=0,
IF(COUNTIF($M:$M,$AI55)&lt;CJ$8,
"",
INDEX($J:$J,MATCH($AI55,$M:$M,0)+CJ$8-1)),
""),
"")</f>
        <v/>
      </c>
      <c r="CK55" s="21" t="str">
        <f>IFERROR(
IF(COUNTIF($BI55:CJ55,INDEX($J:$J,MATCH($AI55,$M:$M,0)+CK$8-1))=0,
IF(COUNTIF($M:$M,$AI55)&lt;CK$8,
"",
INDEX($J:$J,MATCH($AI55,$M:$M,0)+CK$8-1)),
""),
"")</f>
        <v/>
      </c>
      <c r="CM55" s="21" t="str">
        <f>IFERROR(
IF(COUNTIF($BI55:CL55,INDEX($J:$J,MATCH($AJ55,$M:$M,0)+CM$8-1))=0,
IF(COUNTIF($M:$M,$AJ55)&lt;CM$8,
"",
INDEX($J:$J,MATCH($AJ55,$M:$M,0)+CM$8-1)),
""),
"")</f>
        <v/>
      </c>
      <c r="CN55" s="21" t="str">
        <f>IFERROR(
IF(COUNTIF($BI55:CM55,INDEX($J:$J,MATCH($AJ55,$M:$M,0)+CN$8-1))=0,
IF(COUNTIF($M:$M,$AJ55)&lt;CN$8,
"",
INDEX($J:$J,MATCH($AJ55,$M:$M,0)+CN$8-1)),
""),
"")</f>
        <v/>
      </c>
      <c r="CO55" s="21" t="str">
        <f>IFERROR(
IF(COUNTIF($BI55:CN55,INDEX($J:$J,MATCH($AJ55,$M:$M,0)+CO$8-1))=0,
IF(COUNTIF($M:$M,$AJ55)&lt;CO$8,
"",
INDEX($J:$J,MATCH($AJ55,$M:$M,0)+CO$8-1)),
""),
"")</f>
        <v/>
      </c>
      <c r="CP55" s="21" t="str">
        <f>IFERROR(
IF(COUNTIF($BI55:CO55,INDEX($J:$J,MATCH($AJ55,$M:$M,0)+CP$8-1))=0,
IF(COUNTIF($M:$M,$AJ55)&lt;CP$8,
"",
INDEX($J:$J,MATCH($AJ55,$M:$M,0)+CP$8-1)),
""),
"")</f>
        <v/>
      </c>
      <c r="CR55" s="21" t="str">
        <f>IFERROR(
IF(COUNTIF($BI55:CQ55,INDEX($J:$J,MATCH($AK55,$M:$M,0)+CR$8-1))=0,
IF(COUNTIF($M:$M,$AK55)&lt;CR$8,
"",
INDEX($J:$J,MATCH($AK55,$M:$M,0)+CR$8-1)),
""),
"")</f>
        <v/>
      </c>
      <c r="CS55" s="21" t="str">
        <f>IFERROR(
IF(COUNTIF($BI55:CR55,INDEX($J:$J,MATCH($AK55,$M:$M,0)+CS$8-1))=0,
IF(COUNTIF($M:$M,$AK55)&lt;CS$8,
"",
INDEX($J:$J,MATCH($AK55,$M:$M,0)+CS$8-1)),
""),
"")</f>
        <v/>
      </c>
      <c r="CT55" s="21" t="str">
        <f>IFERROR(
IF(COUNTIF($BI55:CS55,INDEX($J:$J,MATCH($AK55,$M:$M,0)+CT$8-1))=0,
IF(COUNTIF($M:$M,$AK55)&lt;CT$8,
"",
INDEX($J:$J,MATCH($AK55,$M:$M,0)+CT$8-1)),
""),
"")</f>
        <v/>
      </c>
      <c r="CU55" s="21" t="str">
        <f>IFERROR(
IF(COUNTIF($BI55:CT55,INDEX($J:$J,MATCH($AK55,$M:$M,0)+CU$8-1))=0,
IF(COUNTIF($M:$M,$AK55)&lt;CU$8,
"",
INDEX($J:$J,MATCH($AK55,$M:$M,0)+CU$8-1)),
""),
"")</f>
        <v/>
      </c>
    </row>
    <row r="56" spans="3:99" ht="14.25">
      <c r="C56" s="16">
        <v>48</v>
      </c>
      <c r="D56" s="19" t="s">
        <v>96</v>
      </c>
      <c r="E56" s="20">
        <f>INDEX([1]武将基本资料!$S:$S,MATCH(D56,[1]武将基本资料!$N:$N,0))</f>
        <v>120</v>
      </c>
      <c r="F56" s="20" t="str">
        <f>INDEX([1]武将基本资料!$Q:$Q,MATCH(D56,[1]武将基本资料!$N:$N,0))</f>
        <v>橙</v>
      </c>
      <c r="H56" s="7" t="str">
        <f>IF(I56="","",COUNTA(I$9:$I56))</f>
        <v/>
      </c>
      <c r="I56" s="6" t="s">
        <v>188</v>
      </c>
      <c r="J56" s="6" t="s">
        <v>60</v>
      </c>
      <c r="K56" s="8" t="str">
        <f>IF(H56="","",阶段合并区域(J56:J66," ",L56:L66,1))</f>
        <v/>
      </c>
      <c r="L56" s="8">
        <f>COUNTIF(M$8:$M56,"="&amp;M56)</f>
        <v>2</v>
      </c>
      <c r="M56" s="9" t="str">
        <f t="shared" si="3"/>
        <v>开疆扩土</v>
      </c>
      <c r="N56" s="9" t="str">
        <f t="shared" si="4"/>
        <v>开疆扩土2</v>
      </c>
      <c r="O56" s="15">
        <f>INDEX(C:C,MATCH(J56,D:D,0))</f>
        <v>17</v>
      </c>
      <c r="P56" s="9">
        <f>INDEX(E:E,MATCH(J56,D:D,0))</f>
        <v>120</v>
      </c>
      <c r="Q56" s="7">
        <f t="shared" si="0"/>
        <v>17</v>
      </c>
      <c r="R56" s="7">
        <f>COUNTIF(J$8:$J56,"="&amp;J56)</f>
        <v>3</v>
      </c>
      <c r="S56" s="7">
        <f t="shared" si="5"/>
        <v>3017</v>
      </c>
      <c r="U56" s="7">
        <f t="shared" si="9"/>
        <v>1048</v>
      </c>
      <c r="V56" s="7">
        <f t="shared" si="9"/>
        <v>2048</v>
      </c>
      <c r="W56" s="7">
        <f t="shared" si="9"/>
        <v>3048</v>
      </c>
      <c r="X56" s="7">
        <f t="shared" si="9"/>
        <v>4048</v>
      </c>
      <c r="Y56" s="7">
        <f t="shared" si="9"/>
        <v>5048</v>
      </c>
      <c r="Z56" s="7">
        <f t="shared" si="9"/>
        <v>6048</v>
      </c>
      <c r="AA56" s="7">
        <f t="shared" si="9"/>
        <v>7048</v>
      </c>
      <c r="AB56" s="7">
        <f t="shared" si="9"/>
        <v>8048</v>
      </c>
      <c r="AD56" s="21" t="str">
        <f>IFERROR(INDEX($M:$M,MATCH(U56,$S:$S,0)),"&amp;")</f>
        <v>知子之明</v>
      </c>
      <c r="AE56" s="21" t="str">
        <f>IFERROR(INDEX($M:$M,MATCH(V56,$S:$S,0)),"&amp;")</f>
        <v>秉公执法</v>
      </c>
      <c r="AF56" s="21" t="str">
        <f>IFERROR(INDEX($M:$M,MATCH(W56,$S:$S,0)),"&amp;")</f>
        <v>古之名将</v>
      </c>
      <c r="AG56" s="21" t="str">
        <f>IFERROR(INDEX($M:$M,MATCH(X56,$S:$S,0)),"&amp;")</f>
        <v>&amp;</v>
      </c>
      <c r="AH56" s="21" t="str">
        <f>IFERROR(INDEX($M:$M,MATCH(Y56,$S:$S,0)),"&amp;")</f>
        <v>&amp;</v>
      </c>
      <c r="AI56" s="21" t="str">
        <f>IFERROR(INDEX($M:$M,MATCH(Z56,$S:$S,0)),"&amp;")</f>
        <v>&amp;</v>
      </c>
      <c r="AJ56" s="21" t="str">
        <f>IFERROR(INDEX($M:$M,MATCH(AA56,$S:$S,0)),"&amp;")</f>
        <v>&amp;</v>
      </c>
      <c r="AK56" s="21" t="str">
        <f>IFERROR(INDEX($M:$M,MATCH(AB56,$S:$S,0)),"&amp;")</f>
        <v>&amp;</v>
      </c>
      <c r="AM56" s="21" t="str">
        <f>IFERROR(INDEX($N:$N,MATCH(U56,$S:$S,0)),"&amp;")</f>
        <v>知子之明1</v>
      </c>
      <c r="AN56" s="21" t="str">
        <f>IFERROR(INDEX($N:$N,MATCH(V56,$S:$S,0)),"&amp;")</f>
        <v>秉公执法1</v>
      </c>
      <c r="AO56" s="21" t="str">
        <f>IFERROR(INDEX($N:$N,MATCH(W56,$S:$S,0)),"&amp;")</f>
        <v>古之名将1</v>
      </c>
      <c r="AP56" s="21" t="str">
        <f>IFERROR(INDEX($N:$N,MATCH(X56,$S:$S,0)),"&amp;")</f>
        <v>&amp;</v>
      </c>
      <c r="AQ56" s="21" t="str">
        <f>IFERROR(INDEX($N:$N,MATCH(Y56,$S:$S,0)),"&amp;")</f>
        <v>&amp;</v>
      </c>
      <c r="AR56" s="21" t="str">
        <f>IFERROR(INDEX($N:$N,MATCH(Z56,$S:$S,0)),"&amp;")</f>
        <v>&amp;</v>
      </c>
      <c r="AS56" s="21" t="str">
        <f>IFERROR(INDEX($N:$N,MATCH(AA56,$S:$S,0)),"&amp;")</f>
        <v>&amp;</v>
      </c>
      <c r="AT56" s="21" t="str">
        <f>IFERROR(INDEX($N:$N,MATCH(AB56,$S:$S,0)),"&amp;")</f>
        <v>&amp;</v>
      </c>
      <c r="AV56" s="21" t="str">
        <f>IFERROR(SUBSTITUTE(INDEX($K:$K,MATCH(INDEX($M:$M,MATCH(AM56,$N:$N,0)),$M:$M,0)),$D56,""),"")</f>
        <v xml:space="preserve"> 赵括</v>
      </c>
      <c r="AW56" s="21" t="str">
        <f>IFERROR(SUBSTITUTE(INDEX($K:$K,MATCH(INDEX($M:$M,MATCH(AN56,$N:$N,0)),$M:$M,0)),$D56,""),"")</f>
        <v xml:space="preserve"> 吕不韦</v>
      </c>
      <c r="AX56" s="21" t="str">
        <f>IFERROR(SUBSTITUTE(INDEX($K:$K,MATCH(INDEX($M:$M,MATCH(AO56,$N:$N,0)),$M:$M,0)),$D56,""),"")</f>
        <v xml:space="preserve"> 孙膑 田单</v>
      </c>
      <c r="AY56" s="21" t="str">
        <f>IFERROR(SUBSTITUTE(INDEX($K:$K,MATCH(INDEX($M:$M,MATCH(AP56,$N:$N,0)),$M:$M,0)),$D56,""),"")</f>
        <v/>
      </c>
      <c r="AZ56" s="21" t="str">
        <f>IFERROR(SUBSTITUTE(INDEX($K:$K,MATCH(INDEX($M:$M,MATCH(AQ56,$N:$N,0)),$M:$M,0)),$D56,""),"")</f>
        <v/>
      </c>
      <c r="BA56" s="21" t="str">
        <f>IFERROR(SUBSTITUTE(INDEX($K:$K,MATCH(INDEX($M:$M,MATCH(AR56,$N:$N,0)),$M:$M,0)),$D56,""),"")</f>
        <v/>
      </c>
      <c r="BB56" s="21" t="str">
        <f>IFERROR(SUBSTITUTE(INDEX($K:$K,MATCH(INDEX($M:$M,MATCH(AS56,$N:$N,0)),$M:$M,0)),$D56,""),"")</f>
        <v/>
      </c>
      <c r="BC56" s="21" t="str">
        <f>IFERROR(SUBSTITUTE(INDEX($K:$K,MATCH(INDEX($M:$M,MATCH(AT56,$N:$N,0)),$M:$M,0)),$D56,""),"")</f>
        <v/>
      </c>
      <c r="BE56" s="9" t="str">
        <f t="shared" si="7"/>
        <v>赵奢,赵括,吕不韦,孙膑,田单</v>
      </c>
      <c r="BI56" s="9" t="str">
        <f>IFERROR(
IF(COUNTIF($M:$M,$AD56)&lt;BI$8,
"",
INDEX($J:$J,MATCH($AD56,$M:$M,0)+BI$8-1)),
"")</f>
        <v>赵奢</v>
      </c>
      <c r="BJ56" s="9" t="str">
        <f>IFERROR(
IF(COUNTIF($M:$M,$AD56)&lt;BJ$8,
"",
INDEX($J:$J,MATCH($AD56,$M:$M,0)+BJ$8-1)),
"")</f>
        <v>赵括</v>
      </c>
      <c r="BK56" s="9" t="str">
        <f>IFERROR(
IF(COUNTIF($M:$M,$AD56)&lt;BK$8,
"",
INDEX($J:$J,MATCH($AD56,$M:$M,0)+BK$8-1)),
"")</f>
        <v/>
      </c>
      <c r="BL56" s="9" t="str">
        <f>IFERROR(
IF(COUNTIF($M:$M,$AD56)&lt;BL$8,
"",
INDEX($J:$J,MATCH($AD56,$M:$M,0)+BL$8-1)),
"")</f>
        <v/>
      </c>
      <c r="BN56" s="21" t="str">
        <f>IFERROR(
IF(COUNTIF($BI56:BM56,INDEX($J:$J,MATCH($AE56,$M:$M,0)+BN$8-1))=0,
IF(COUNTIF($M:$M,$AE56)&lt;BN$8,
"",
INDEX($J:$J,MATCH($AE56,$M:$M,0)+BN$8-1)),
""),
"")</f>
        <v/>
      </c>
      <c r="BO56" s="21" t="str">
        <f>IFERROR(
IF(COUNTIF($BI56:BN56,INDEX($J:$J,MATCH($AE56,$M:$M,0)+BO$8-1))=0,
IF(COUNTIF($M:$M,$AE56)&lt;BO$8,
"",
INDEX($J:$J,MATCH($AE56,$M:$M,0)+BO$8-1)),
""),
"")</f>
        <v>吕不韦</v>
      </c>
      <c r="BP56" s="21" t="str">
        <f>IFERROR(
IF(COUNTIF($BI56:BO56,INDEX($J:$J,MATCH($AE56,$M:$M,0)+BP$8-1))=0,
IF(COUNTIF($M:$M,$AE56)&lt;BP$8,
"",
INDEX($J:$J,MATCH($AE56,$M:$M,0)+BP$8-1)),
""),
"")</f>
        <v/>
      </c>
      <c r="BQ56" s="21" t="str">
        <f>IFERROR(
IF(COUNTIF($BI56:BP56,INDEX($J:$J,MATCH($AE56,$M:$M,0)+BQ$8-1))=0,
IF(COUNTIF($M:$M,$AE56)&lt;BQ$8,
"",
INDEX($J:$J,MATCH($AE56,$M:$M,0)+BQ$8-1)),
""),
"")</f>
        <v/>
      </c>
      <c r="BS56" s="21" t="str">
        <f>IFERROR(
IF(COUNTIF($BI56:BR56,INDEX($J:$J,MATCH($AF56,$M:$M,0)+BS$8-1))=0,
IF(COUNTIF($M:$M,$AF56)&lt;BS$8,
"",
INDEX($J:$J,MATCH($AF56,$M:$M,0)+BS$8-1)),
""),
"")</f>
        <v/>
      </c>
      <c r="BT56" s="21" t="str">
        <f>IFERROR(
IF(COUNTIF($BI56:BS56,INDEX($J:$J,MATCH($AF56,$M:$M,0)+BT$8-1))=0,
IF(COUNTIF($M:$M,$AF56)&lt;BT$8,
"",
INDEX($J:$J,MATCH($AF56,$M:$M,0)+BT$8-1)),
""),
"")</f>
        <v>孙膑</v>
      </c>
      <c r="BU56" s="21" t="str">
        <f>IFERROR(
IF(COUNTIF($BI56:BT56,INDEX($J:$J,MATCH($AF56,$M:$M,0)+BU$8-1))=0,
IF(COUNTIF($M:$M,$AF56)&lt;BU$8,
"",
INDEX($J:$J,MATCH($AF56,$M:$M,0)+BU$8-1)),
""),
"")</f>
        <v>田单</v>
      </c>
      <c r="BV56" s="21" t="str">
        <f>IFERROR(
IF(COUNTIF($BI56:BU56,INDEX($J:$J,MATCH($AF56,$M:$M,0)+BV$8-1))=0,
IF(COUNTIF($M:$M,$AF56)&lt;BV$8,
"",
INDEX($J:$J,MATCH($AF56,$M:$M,0)+BV$8-1)),
""),
"")</f>
        <v/>
      </c>
      <c r="BX56" s="21" t="str">
        <f>IFERROR(
IF(COUNTIF($BI56:BW56,INDEX($J:$J,MATCH($AG56,$M:$M,0)+BX$8-1))=0,
IF(COUNTIF($M:$M,$AG56)&lt;BX$8,
"",
INDEX($J:$J,MATCH($AG56,$M:$M,0)+BX$8-1)),
""),
"")</f>
        <v/>
      </c>
      <c r="BY56" s="21" t="str">
        <f>IFERROR(
IF(COUNTIF($BI56:BX56,INDEX($J:$J,MATCH($AG56,$M:$M,0)+BY$8-1))=0,
IF(COUNTIF($M:$M,$AG56)&lt;BY$8,
"",
INDEX($J:$J,MATCH($AG56,$M:$M,0)+BY$8-1)),
""),
"")</f>
        <v/>
      </c>
      <c r="BZ56" s="21" t="str">
        <f>IFERROR(
IF(COUNTIF($BI56:BY56,INDEX($J:$J,MATCH($AG56,$M:$M,0)+BZ$8-1))=0,
IF(COUNTIF($M:$M,$AG56)&lt;BZ$8,
"",
INDEX($J:$J,MATCH($AG56,$M:$M,0)+BZ$8-1)),
""),
"")</f>
        <v/>
      </c>
      <c r="CA56" s="21" t="str">
        <f>IFERROR(
IF(COUNTIF($BI56:BZ56,INDEX($J:$J,MATCH($AG56,$M:$M,0)+CA$8-1))=0,
IF(COUNTIF($M:$M,$AG56)&lt;CA$8,
"",
INDEX($J:$J,MATCH($AG56,$M:$M,0)+CA$8-1)),
""),
"")</f>
        <v/>
      </c>
      <c r="CC56" s="21" t="str">
        <f>IFERROR(
IF(COUNTIF($BI56:CB56,INDEX($J:$J,MATCH($AH56,$M:$M,0)+CC$8-1))=0,
IF(COUNTIF($M:$M,$AH56)&lt;CC$8,
"",
INDEX($J:$J,MATCH($AH56,$M:$M,0)+CC$8-1)),
""),
"")</f>
        <v/>
      </c>
      <c r="CD56" s="21" t="str">
        <f>IFERROR(
IF(COUNTIF($BI56:CC56,INDEX($J:$J,MATCH($AH56,$M:$M,0)+CD$8-1))=0,
IF(COUNTIF($M:$M,$AH56)&lt;CD$8,
"",
INDEX($J:$J,MATCH($AH56,$M:$M,0)+CD$8-1)),
""),
"")</f>
        <v/>
      </c>
      <c r="CE56" s="21" t="str">
        <f>IFERROR(
IF(COUNTIF($BI56:CD56,INDEX($J:$J,MATCH($AH56,$M:$M,0)+CE$8-1))=0,
IF(COUNTIF($M:$M,$AH56)&lt;CE$8,
"",
INDEX($J:$J,MATCH($AH56,$M:$M,0)+CE$8-1)),
""),
"")</f>
        <v/>
      </c>
      <c r="CF56" s="21" t="str">
        <f>IFERROR(
IF(COUNTIF($BI56:CE56,INDEX($J:$J,MATCH($AH56,$M:$M,0)+CF$8-1))=0,
IF(COUNTIF($M:$M,$AH56)&lt;CF$8,
"",
INDEX($J:$J,MATCH($AH56,$M:$M,0)+CF$8-1)),
""),
"")</f>
        <v/>
      </c>
      <c r="CH56" s="21" t="str">
        <f>IFERROR(
IF(COUNTIF($BI56:CG56,INDEX($J:$J,MATCH($AI56,$M:$M,0)+CH$8-1))=0,
IF(COUNTIF($M:$M,$AI56)&lt;CH$8,
"",
INDEX($J:$J,MATCH($AI56,$M:$M,0)+CH$8-1)),
""),
"")</f>
        <v/>
      </c>
      <c r="CI56" s="21" t="str">
        <f>IFERROR(
IF(COUNTIF($BI56:CH56,INDEX($J:$J,MATCH($AI56,$M:$M,0)+CI$8-1))=0,
IF(COUNTIF($M:$M,$AI56)&lt;CI$8,
"",
INDEX($J:$J,MATCH($AI56,$M:$M,0)+CI$8-1)),
""),
"")</f>
        <v/>
      </c>
      <c r="CJ56" s="21" t="str">
        <f>IFERROR(
IF(COUNTIF($BI56:CI56,INDEX($J:$J,MATCH($AI56,$M:$M,0)+CJ$8-1))=0,
IF(COUNTIF($M:$M,$AI56)&lt;CJ$8,
"",
INDEX($J:$J,MATCH($AI56,$M:$M,0)+CJ$8-1)),
""),
"")</f>
        <v/>
      </c>
      <c r="CK56" s="21" t="str">
        <f>IFERROR(
IF(COUNTIF($BI56:CJ56,INDEX($J:$J,MATCH($AI56,$M:$M,0)+CK$8-1))=0,
IF(COUNTIF($M:$M,$AI56)&lt;CK$8,
"",
INDEX($J:$J,MATCH($AI56,$M:$M,0)+CK$8-1)),
""),
"")</f>
        <v/>
      </c>
      <c r="CM56" s="21" t="str">
        <f>IFERROR(
IF(COUNTIF($BI56:CL56,INDEX($J:$J,MATCH($AJ56,$M:$M,0)+CM$8-1))=0,
IF(COUNTIF($M:$M,$AJ56)&lt;CM$8,
"",
INDEX($J:$J,MATCH($AJ56,$M:$M,0)+CM$8-1)),
""),
"")</f>
        <v/>
      </c>
      <c r="CN56" s="21" t="str">
        <f>IFERROR(
IF(COUNTIF($BI56:CM56,INDEX($J:$J,MATCH($AJ56,$M:$M,0)+CN$8-1))=0,
IF(COUNTIF($M:$M,$AJ56)&lt;CN$8,
"",
INDEX($J:$J,MATCH($AJ56,$M:$M,0)+CN$8-1)),
""),
"")</f>
        <v/>
      </c>
      <c r="CO56" s="21" t="str">
        <f>IFERROR(
IF(COUNTIF($BI56:CN56,INDEX($J:$J,MATCH($AJ56,$M:$M,0)+CO$8-1))=0,
IF(COUNTIF($M:$M,$AJ56)&lt;CO$8,
"",
INDEX($J:$J,MATCH($AJ56,$M:$M,0)+CO$8-1)),
""),
"")</f>
        <v/>
      </c>
      <c r="CP56" s="21" t="str">
        <f>IFERROR(
IF(COUNTIF($BI56:CO56,INDEX($J:$J,MATCH($AJ56,$M:$M,0)+CP$8-1))=0,
IF(COUNTIF($M:$M,$AJ56)&lt;CP$8,
"",
INDEX($J:$J,MATCH($AJ56,$M:$M,0)+CP$8-1)),
""),
"")</f>
        <v/>
      </c>
      <c r="CR56" s="21" t="str">
        <f>IFERROR(
IF(COUNTIF($BI56:CQ56,INDEX($J:$J,MATCH($AK56,$M:$M,0)+CR$8-1))=0,
IF(COUNTIF($M:$M,$AK56)&lt;CR$8,
"",
INDEX($J:$J,MATCH($AK56,$M:$M,0)+CR$8-1)),
""),
"")</f>
        <v/>
      </c>
      <c r="CS56" s="21" t="str">
        <f>IFERROR(
IF(COUNTIF($BI56:CR56,INDEX($J:$J,MATCH($AK56,$M:$M,0)+CS$8-1))=0,
IF(COUNTIF($M:$M,$AK56)&lt;CS$8,
"",
INDEX($J:$J,MATCH($AK56,$M:$M,0)+CS$8-1)),
""),
"")</f>
        <v/>
      </c>
      <c r="CT56" s="21" t="str">
        <f>IFERROR(
IF(COUNTIF($BI56:CS56,INDEX($J:$J,MATCH($AK56,$M:$M,0)+CT$8-1))=0,
IF(COUNTIF($M:$M,$AK56)&lt;CT$8,
"",
INDEX($J:$J,MATCH($AK56,$M:$M,0)+CT$8-1)),
""),
"")</f>
        <v/>
      </c>
      <c r="CU56" s="21" t="str">
        <f>IFERROR(
IF(COUNTIF($BI56:CT56,INDEX($J:$J,MATCH($AK56,$M:$M,0)+CU$8-1))=0,
IF(COUNTIF($M:$M,$AK56)&lt;CU$8,
"",
INDEX($J:$J,MATCH($AK56,$M:$M,0)+CU$8-1)),
""),
"")</f>
        <v/>
      </c>
    </row>
    <row r="57" spans="3:99" ht="14.25">
      <c r="C57" s="16">
        <v>49</v>
      </c>
      <c r="D57" s="19" t="s">
        <v>66</v>
      </c>
      <c r="E57" s="20">
        <f>INDEX([1]武将基本资料!$S:$S,MATCH(D57,[1]武将基本资料!$N:$N,0))</f>
        <v>110</v>
      </c>
      <c r="F57" s="20" t="str">
        <f>INDEX([1]武将基本资料!$Q:$Q,MATCH(D57,[1]武将基本资料!$N:$N,0))</f>
        <v>紫</v>
      </c>
      <c r="H57" s="7">
        <f>IF(I57="","",COUNTA(I$9:$I57))</f>
        <v>47</v>
      </c>
      <c r="I57" s="6" t="s">
        <v>146</v>
      </c>
      <c r="J57" s="6" t="s">
        <v>199</v>
      </c>
      <c r="K57" s="8" t="str">
        <f>IF(H57="","",阶段合并区域(J57:J67," ",L57:L67,1))</f>
        <v>楚庄王 勾践 秦武王</v>
      </c>
      <c r="L57" s="8">
        <f>COUNTIF(M$8:$M57,"="&amp;M57)</f>
        <v>1</v>
      </c>
      <c r="M57" s="9" t="str">
        <f t="shared" si="3"/>
        <v>问鼎之心</v>
      </c>
      <c r="N57" s="9" t="str">
        <f t="shared" si="4"/>
        <v>问鼎之心1</v>
      </c>
      <c r="O57" s="15">
        <f>INDEX(C:C,MATCH(J57,D:D,0))</f>
        <v>15</v>
      </c>
      <c r="P57" s="9">
        <f>INDEX(E:E,MATCH(J57,D:D,0))</f>
        <v>120</v>
      </c>
      <c r="Q57" s="7">
        <f t="shared" si="0"/>
        <v>15</v>
      </c>
      <c r="R57" s="7">
        <f>COUNTIF(J$8:$J57,"="&amp;J57)</f>
        <v>2</v>
      </c>
      <c r="S57" s="7">
        <f t="shared" si="5"/>
        <v>2015</v>
      </c>
      <c r="U57" s="7">
        <f t="shared" si="9"/>
        <v>1049</v>
      </c>
      <c r="V57" s="7">
        <f t="shared" si="9"/>
        <v>2049</v>
      </c>
      <c r="W57" s="7">
        <f t="shared" si="9"/>
        <v>3049</v>
      </c>
      <c r="X57" s="7">
        <f t="shared" si="9"/>
        <v>4049</v>
      </c>
      <c r="Y57" s="7">
        <f t="shared" si="9"/>
        <v>5049</v>
      </c>
      <c r="Z57" s="7">
        <f t="shared" si="9"/>
        <v>6049</v>
      </c>
      <c r="AA57" s="7">
        <f t="shared" si="9"/>
        <v>7049</v>
      </c>
      <c r="AB57" s="7">
        <f t="shared" si="9"/>
        <v>8049</v>
      </c>
      <c r="AD57" s="21" t="str">
        <f>IFERROR(INDEX($M:$M,MATCH(U57,$S:$S,0)),"&amp;")</f>
        <v>针锋相对</v>
      </c>
      <c r="AE57" s="21" t="str">
        <f>IFERROR(INDEX($M:$M,MATCH(V57,$S:$S,0)),"&amp;")</f>
        <v>穷兵黩武</v>
      </c>
      <c r="AF57" s="21" t="str">
        <f>IFERROR(INDEX($M:$M,MATCH(W57,$S:$S,0)),"&amp;")</f>
        <v>心狠手辣</v>
      </c>
      <c r="AG57" s="21" t="str">
        <f>IFERROR(INDEX($M:$M,MATCH(X57,$S:$S,0)),"&amp;")</f>
        <v>&amp;</v>
      </c>
      <c r="AH57" s="21" t="str">
        <f>IFERROR(INDEX($M:$M,MATCH(Y57,$S:$S,0)),"&amp;")</f>
        <v>&amp;</v>
      </c>
      <c r="AI57" s="21" t="str">
        <f>IFERROR(INDEX($M:$M,MATCH(Z57,$S:$S,0)),"&amp;")</f>
        <v>&amp;</v>
      </c>
      <c r="AJ57" s="21" t="str">
        <f>IFERROR(INDEX($M:$M,MATCH(AA57,$S:$S,0)),"&amp;")</f>
        <v>&amp;</v>
      </c>
      <c r="AK57" s="21" t="str">
        <f>IFERROR(INDEX($M:$M,MATCH(AB57,$S:$S,0)),"&amp;")</f>
        <v>&amp;</v>
      </c>
      <c r="AM57" s="21" t="str">
        <f>IFERROR(INDEX($N:$N,MATCH(U57,$S:$S,0)),"&amp;")</f>
        <v>针锋相对2</v>
      </c>
      <c r="AN57" s="21" t="str">
        <f>IFERROR(INDEX($N:$N,MATCH(V57,$S:$S,0)),"&amp;")</f>
        <v>穷兵黩武2</v>
      </c>
      <c r="AO57" s="21" t="str">
        <f>IFERROR(INDEX($N:$N,MATCH(W57,$S:$S,0)),"&amp;")</f>
        <v>心狠手辣2</v>
      </c>
      <c r="AP57" s="21" t="str">
        <f>IFERROR(INDEX($N:$N,MATCH(X57,$S:$S,0)),"&amp;")</f>
        <v>&amp;</v>
      </c>
      <c r="AQ57" s="21" t="str">
        <f>IFERROR(INDEX($N:$N,MATCH(Y57,$S:$S,0)),"&amp;")</f>
        <v>&amp;</v>
      </c>
      <c r="AR57" s="21" t="str">
        <f>IFERROR(INDEX($N:$N,MATCH(Z57,$S:$S,0)),"&amp;")</f>
        <v>&amp;</v>
      </c>
      <c r="AS57" s="21" t="str">
        <f>IFERROR(INDEX($N:$N,MATCH(AA57,$S:$S,0)),"&amp;")</f>
        <v>&amp;</v>
      </c>
      <c r="AT57" s="21" t="str">
        <f>IFERROR(INDEX($N:$N,MATCH(AB57,$S:$S,0)),"&amp;")</f>
        <v>&amp;</v>
      </c>
      <c r="AV57" s="21" t="str">
        <f>IFERROR(SUBSTITUTE(INDEX($K:$K,MATCH(INDEX($M:$M,MATCH(AM57,$N:$N,0)),$M:$M,0)),$D57,""),"")</f>
        <v xml:space="preserve">孙膑 </v>
      </c>
      <c r="AW57" s="21" t="str">
        <f>IFERROR(SUBSTITUTE(INDEX($K:$K,MATCH(INDEX($M:$M,MATCH(AN57,$N:$N,0)),$M:$M,0)),$D57,""),"")</f>
        <v>春申君  义渠骇</v>
      </c>
      <c r="AX57" s="21" t="str">
        <f>IFERROR(SUBSTITUTE(INDEX($K:$K,MATCH(INDEX($M:$M,MATCH(AO57,$N:$N,0)),$M:$M,0)),$D57,""),"")</f>
        <v xml:space="preserve">吕雉 </v>
      </c>
      <c r="AY57" s="21" t="str">
        <f>IFERROR(SUBSTITUTE(INDEX($K:$K,MATCH(INDEX($M:$M,MATCH(AP57,$N:$N,0)),$M:$M,0)),$D57,""),"")</f>
        <v/>
      </c>
      <c r="AZ57" s="21" t="str">
        <f>IFERROR(SUBSTITUTE(INDEX($K:$K,MATCH(INDEX($M:$M,MATCH(AQ57,$N:$N,0)),$M:$M,0)),$D57,""),"")</f>
        <v/>
      </c>
      <c r="BA57" s="21" t="str">
        <f>IFERROR(SUBSTITUTE(INDEX($K:$K,MATCH(INDEX($M:$M,MATCH(AR57,$N:$N,0)),$M:$M,0)),$D57,""),"")</f>
        <v/>
      </c>
      <c r="BB57" s="21" t="str">
        <f>IFERROR(SUBSTITUTE(INDEX($K:$K,MATCH(INDEX($M:$M,MATCH(AS57,$N:$N,0)),$M:$M,0)),$D57,""),"")</f>
        <v/>
      </c>
      <c r="BC57" s="21" t="str">
        <f>IFERROR(SUBSTITUTE(INDEX($K:$K,MATCH(INDEX($M:$M,MATCH(AT57,$N:$N,0)),$M:$M,0)),$D57,""),"")</f>
        <v/>
      </c>
      <c r="BE57" s="9" t="str">
        <f t="shared" si="7"/>
        <v>孙膑,庞涓,春申君,义渠骇,吕雉</v>
      </c>
      <c r="BI57" s="9" t="str">
        <f>IFERROR(
IF(COUNTIF($M:$M,$AD57)&lt;BI$8,
"",
INDEX($J:$J,MATCH($AD57,$M:$M,0)+BI$8-1)),
"")</f>
        <v>孙膑</v>
      </c>
      <c r="BJ57" s="9" t="str">
        <f>IFERROR(
IF(COUNTIF($M:$M,$AD57)&lt;BJ$8,
"",
INDEX($J:$J,MATCH($AD57,$M:$M,0)+BJ$8-1)),
"")</f>
        <v>庞涓</v>
      </c>
      <c r="BK57" s="9" t="str">
        <f>IFERROR(
IF(COUNTIF($M:$M,$AD57)&lt;BK$8,
"",
INDEX($J:$J,MATCH($AD57,$M:$M,0)+BK$8-1)),
"")</f>
        <v/>
      </c>
      <c r="BL57" s="9" t="str">
        <f>IFERROR(
IF(COUNTIF($M:$M,$AD57)&lt;BL$8,
"",
INDEX($J:$J,MATCH($AD57,$M:$M,0)+BL$8-1)),
"")</f>
        <v/>
      </c>
      <c r="BN57" s="21" t="str">
        <f>IFERROR(
IF(COUNTIF($BI57:BM57,INDEX($J:$J,MATCH($AE57,$M:$M,0)+BN$8-1))=0,
IF(COUNTIF($M:$M,$AE57)&lt;BN$8,
"",
INDEX($J:$J,MATCH($AE57,$M:$M,0)+BN$8-1)),
""),
"")</f>
        <v>春申君</v>
      </c>
      <c r="BO57" s="21" t="str">
        <f>IFERROR(
IF(COUNTIF($BI57:BN57,INDEX($J:$J,MATCH($AE57,$M:$M,0)+BO$8-1))=0,
IF(COUNTIF($M:$M,$AE57)&lt;BO$8,
"",
INDEX($J:$J,MATCH($AE57,$M:$M,0)+BO$8-1)),
""),
"")</f>
        <v/>
      </c>
      <c r="BP57" s="21" t="str">
        <f>IFERROR(
IF(COUNTIF($BI57:BO57,INDEX($J:$J,MATCH($AE57,$M:$M,0)+BP$8-1))=0,
IF(COUNTIF($M:$M,$AE57)&lt;BP$8,
"",
INDEX($J:$J,MATCH($AE57,$M:$M,0)+BP$8-1)),
""),
"")</f>
        <v>义渠骇</v>
      </c>
      <c r="BQ57" s="21" t="str">
        <f>IFERROR(
IF(COUNTIF($BI57:BP57,INDEX($J:$J,MATCH($AE57,$M:$M,0)+BQ$8-1))=0,
IF(COUNTIF($M:$M,$AE57)&lt;BQ$8,
"",
INDEX($J:$J,MATCH($AE57,$M:$M,0)+BQ$8-1)),
""),
"")</f>
        <v/>
      </c>
      <c r="BS57" s="21" t="str">
        <f>IFERROR(
IF(COUNTIF($BI57:BR57,INDEX($J:$J,MATCH($AF57,$M:$M,0)+BS$8-1))=0,
IF(COUNTIF($M:$M,$AF57)&lt;BS$8,
"",
INDEX($J:$J,MATCH($AF57,$M:$M,0)+BS$8-1)),
""),
"")</f>
        <v>吕雉</v>
      </c>
      <c r="BT57" s="21" t="str">
        <f>IFERROR(
IF(COUNTIF($BI57:BS57,INDEX($J:$J,MATCH($AF57,$M:$M,0)+BT$8-1))=0,
IF(COUNTIF($M:$M,$AF57)&lt;BT$8,
"",
INDEX($J:$J,MATCH($AF57,$M:$M,0)+BT$8-1)),
""),
"")</f>
        <v/>
      </c>
      <c r="BU57" s="21" t="str">
        <f>IFERROR(
IF(COUNTIF($BI57:BT57,INDEX($J:$J,MATCH($AF57,$M:$M,0)+BU$8-1))=0,
IF(COUNTIF($M:$M,$AF57)&lt;BU$8,
"",
INDEX($J:$J,MATCH($AF57,$M:$M,0)+BU$8-1)),
""),
"")</f>
        <v/>
      </c>
      <c r="BV57" s="21" t="str">
        <f>IFERROR(
IF(COUNTIF($BI57:BU57,INDEX($J:$J,MATCH($AF57,$M:$M,0)+BV$8-1))=0,
IF(COUNTIF($M:$M,$AF57)&lt;BV$8,
"",
INDEX($J:$J,MATCH($AF57,$M:$M,0)+BV$8-1)),
""),
"")</f>
        <v/>
      </c>
      <c r="BX57" s="21" t="str">
        <f>IFERROR(
IF(COUNTIF($BI57:BW57,INDEX($J:$J,MATCH($AG57,$M:$M,0)+BX$8-1))=0,
IF(COUNTIF($M:$M,$AG57)&lt;BX$8,
"",
INDEX($J:$J,MATCH($AG57,$M:$M,0)+BX$8-1)),
""),
"")</f>
        <v/>
      </c>
      <c r="BY57" s="21" t="str">
        <f>IFERROR(
IF(COUNTIF($BI57:BX57,INDEX($J:$J,MATCH($AG57,$M:$M,0)+BY$8-1))=0,
IF(COUNTIF($M:$M,$AG57)&lt;BY$8,
"",
INDEX($J:$J,MATCH($AG57,$M:$M,0)+BY$8-1)),
""),
"")</f>
        <v/>
      </c>
      <c r="BZ57" s="21" t="str">
        <f>IFERROR(
IF(COUNTIF($BI57:BY57,INDEX($J:$J,MATCH($AG57,$M:$M,0)+BZ$8-1))=0,
IF(COUNTIF($M:$M,$AG57)&lt;BZ$8,
"",
INDEX($J:$J,MATCH($AG57,$M:$M,0)+BZ$8-1)),
""),
"")</f>
        <v/>
      </c>
      <c r="CA57" s="21" t="str">
        <f>IFERROR(
IF(COUNTIF($BI57:BZ57,INDEX($J:$J,MATCH($AG57,$M:$M,0)+CA$8-1))=0,
IF(COUNTIF($M:$M,$AG57)&lt;CA$8,
"",
INDEX($J:$J,MATCH($AG57,$M:$M,0)+CA$8-1)),
""),
"")</f>
        <v/>
      </c>
      <c r="CC57" s="21" t="str">
        <f>IFERROR(
IF(COUNTIF($BI57:CB57,INDEX($J:$J,MATCH($AH57,$M:$M,0)+CC$8-1))=0,
IF(COUNTIF($M:$M,$AH57)&lt;CC$8,
"",
INDEX($J:$J,MATCH($AH57,$M:$M,0)+CC$8-1)),
""),
"")</f>
        <v/>
      </c>
      <c r="CD57" s="21" t="str">
        <f>IFERROR(
IF(COUNTIF($BI57:CC57,INDEX($J:$J,MATCH($AH57,$M:$M,0)+CD$8-1))=0,
IF(COUNTIF($M:$M,$AH57)&lt;CD$8,
"",
INDEX($J:$J,MATCH($AH57,$M:$M,0)+CD$8-1)),
""),
"")</f>
        <v/>
      </c>
      <c r="CE57" s="21" t="str">
        <f>IFERROR(
IF(COUNTIF($BI57:CD57,INDEX($J:$J,MATCH($AH57,$M:$M,0)+CE$8-1))=0,
IF(COUNTIF($M:$M,$AH57)&lt;CE$8,
"",
INDEX($J:$J,MATCH($AH57,$M:$M,0)+CE$8-1)),
""),
"")</f>
        <v/>
      </c>
      <c r="CF57" s="21" t="str">
        <f>IFERROR(
IF(COUNTIF($BI57:CE57,INDEX($J:$J,MATCH($AH57,$M:$M,0)+CF$8-1))=0,
IF(COUNTIF($M:$M,$AH57)&lt;CF$8,
"",
INDEX($J:$J,MATCH($AH57,$M:$M,0)+CF$8-1)),
""),
"")</f>
        <v/>
      </c>
      <c r="CH57" s="21" t="str">
        <f>IFERROR(
IF(COUNTIF($BI57:CG57,INDEX($J:$J,MATCH($AI57,$M:$M,0)+CH$8-1))=0,
IF(COUNTIF($M:$M,$AI57)&lt;CH$8,
"",
INDEX($J:$J,MATCH($AI57,$M:$M,0)+CH$8-1)),
""),
"")</f>
        <v/>
      </c>
      <c r="CI57" s="21" t="str">
        <f>IFERROR(
IF(COUNTIF($BI57:CH57,INDEX($J:$J,MATCH($AI57,$M:$M,0)+CI$8-1))=0,
IF(COUNTIF($M:$M,$AI57)&lt;CI$8,
"",
INDEX($J:$J,MATCH($AI57,$M:$M,0)+CI$8-1)),
""),
"")</f>
        <v/>
      </c>
      <c r="CJ57" s="21" t="str">
        <f>IFERROR(
IF(COUNTIF($BI57:CI57,INDEX($J:$J,MATCH($AI57,$M:$M,0)+CJ$8-1))=0,
IF(COUNTIF($M:$M,$AI57)&lt;CJ$8,
"",
INDEX($J:$J,MATCH($AI57,$M:$M,0)+CJ$8-1)),
""),
"")</f>
        <v/>
      </c>
      <c r="CK57" s="21" t="str">
        <f>IFERROR(
IF(COUNTIF($BI57:CJ57,INDEX($J:$J,MATCH($AI57,$M:$M,0)+CK$8-1))=0,
IF(COUNTIF($M:$M,$AI57)&lt;CK$8,
"",
INDEX($J:$J,MATCH($AI57,$M:$M,0)+CK$8-1)),
""),
"")</f>
        <v/>
      </c>
      <c r="CM57" s="21" t="str">
        <f>IFERROR(
IF(COUNTIF($BI57:CL57,INDEX($J:$J,MATCH($AJ57,$M:$M,0)+CM$8-1))=0,
IF(COUNTIF($M:$M,$AJ57)&lt;CM$8,
"",
INDEX($J:$J,MATCH($AJ57,$M:$M,0)+CM$8-1)),
""),
"")</f>
        <v/>
      </c>
      <c r="CN57" s="21" t="str">
        <f>IFERROR(
IF(COUNTIF($BI57:CM57,INDEX($J:$J,MATCH($AJ57,$M:$M,0)+CN$8-1))=0,
IF(COUNTIF($M:$M,$AJ57)&lt;CN$8,
"",
INDEX($J:$J,MATCH($AJ57,$M:$M,0)+CN$8-1)),
""),
"")</f>
        <v/>
      </c>
      <c r="CO57" s="21" t="str">
        <f>IFERROR(
IF(COUNTIF($BI57:CN57,INDEX($J:$J,MATCH($AJ57,$M:$M,0)+CO$8-1))=0,
IF(COUNTIF($M:$M,$AJ57)&lt;CO$8,
"",
INDEX($J:$J,MATCH($AJ57,$M:$M,0)+CO$8-1)),
""),
"")</f>
        <v/>
      </c>
      <c r="CP57" s="21" t="str">
        <f>IFERROR(
IF(COUNTIF($BI57:CO57,INDEX($J:$J,MATCH($AJ57,$M:$M,0)+CP$8-1))=0,
IF(COUNTIF($M:$M,$AJ57)&lt;CP$8,
"",
INDEX($J:$J,MATCH($AJ57,$M:$M,0)+CP$8-1)),
""),
"")</f>
        <v/>
      </c>
      <c r="CR57" s="21" t="str">
        <f>IFERROR(
IF(COUNTIF($BI57:CQ57,INDEX($J:$J,MATCH($AK57,$M:$M,0)+CR$8-1))=0,
IF(COUNTIF($M:$M,$AK57)&lt;CR$8,
"",
INDEX($J:$J,MATCH($AK57,$M:$M,0)+CR$8-1)),
""),
"")</f>
        <v/>
      </c>
      <c r="CS57" s="21" t="str">
        <f>IFERROR(
IF(COUNTIF($BI57:CR57,INDEX($J:$J,MATCH($AK57,$M:$M,0)+CS$8-1))=0,
IF(COUNTIF($M:$M,$AK57)&lt;CS$8,
"",
INDEX($J:$J,MATCH($AK57,$M:$M,0)+CS$8-1)),
""),
"")</f>
        <v/>
      </c>
      <c r="CT57" s="21" t="str">
        <f>IFERROR(
IF(COUNTIF($BI57:CS57,INDEX($J:$J,MATCH($AK57,$M:$M,0)+CT$8-1))=0,
IF(COUNTIF($M:$M,$AK57)&lt;CT$8,
"",
INDEX($J:$J,MATCH($AK57,$M:$M,0)+CT$8-1)),
""),
"")</f>
        <v/>
      </c>
      <c r="CU57" s="21" t="str">
        <f>IFERROR(
IF(COUNTIF($BI57:CT57,INDEX($J:$J,MATCH($AK57,$M:$M,0)+CU$8-1))=0,
IF(COUNTIF($M:$M,$AK57)&lt;CU$8,
"",
INDEX($J:$J,MATCH($AK57,$M:$M,0)+CU$8-1)),
""),
"")</f>
        <v/>
      </c>
    </row>
    <row r="58" spans="3:99" ht="14.25">
      <c r="C58" s="16">
        <v>50</v>
      </c>
      <c r="D58" s="19" t="s">
        <v>63</v>
      </c>
      <c r="E58" s="20">
        <f>INDEX([1]武将基本资料!$S:$S,MATCH(D58,[1]武将基本资料!$N:$N,0))</f>
        <v>100</v>
      </c>
      <c r="F58" s="20" t="str">
        <f>INDEX([1]武将基本资料!$Q:$Q,MATCH(D58,[1]武将基本资料!$N:$N,0))</f>
        <v>蓝</v>
      </c>
      <c r="H58" s="7" t="str">
        <f>IF(I58="","",COUNTA(I$9:$I58))</f>
        <v/>
      </c>
      <c r="I58" s="6" t="s">
        <v>188</v>
      </c>
      <c r="J58" s="6" t="s">
        <v>85</v>
      </c>
      <c r="K58" s="8" t="str">
        <f>IF(H58="","",阶段合并区域(J58:J68," ",L58:L68,1))</f>
        <v/>
      </c>
      <c r="L58" s="8">
        <f>COUNTIF(M$8:$M58,"="&amp;M58)</f>
        <v>2</v>
      </c>
      <c r="M58" s="9" t="str">
        <f t="shared" si="3"/>
        <v>问鼎之心</v>
      </c>
      <c r="N58" s="9" t="str">
        <f t="shared" si="4"/>
        <v>问鼎之心2</v>
      </c>
      <c r="O58" s="15">
        <f>INDEX(C:C,MATCH(J58,D:D,0))</f>
        <v>64</v>
      </c>
      <c r="P58" s="9">
        <f>INDEX(E:E,MATCH(J58,D:D,0))</f>
        <v>120</v>
      </c>
      <c r="Q58" s="7">
        <f t="shared" si="0"/>
        <v>64</v>
      </c>
      <c r="R58" s="7">
        <f>COUNTIF(J$8:$J58,"="&amp;J58)</f>
        <v>1</v>
      </c>
      <c r="S58" s="7">
        <f t="shared" si="5"/>
        <v>1064</v>
      </c>
      <c r="U58" s="7">
        <f t="shared" si="9"/>
        <v>1050</v>
      </c>
      <c r="V58" s="7">
        <f t="shared" si="9"/>
        <v>2050</v>
      </c>
      <c r="W58" s="7">
        <f t="shared" si="9"/>
        <v>3050</v>
      </c>
      <c r="X58" s="7">
        <f t="shared" si="9"/>
        <v>4050</v>
      </c>
      <c r="Y58" s="7">
        <f t="shared" si="9"/>
        <v>5050</v>
      </c>
      <c r="Z58" s="7">
        <f t="shared" si="9"/>
        <v>6050</v>
      </c>
      <c r="AA58" s="7">
        <f t="shared" si="9"/>
        <v>7050</v>
      </c>
      <c r="AB58" s="7">
        <f t="shared" si="9"/>
        <v>8050</v>
      </c>
      <c r="AD58" s="21" t="str">
        <f>IFERROR(INDEX($M:$M,MATCH(U58,$S:$S,0)),"&amp;")</f>
        <v>敢死之士</v>
      </c>
      <c r="AE58" s="21" t="str">
        <f>IFERROR(INDEX($M:$M,MATCH(V58,$S:$S,0)),"&amp;")</f>
        <v>&amp;</v>
      </c>
      <c r="AF58" s="21" t="str">
        <f>IFERROR(INDEX($M:$M,MATCH(W58,$S:$S,0)),"&amp;")</f>
        <v>&amp;</v>
      </c>
      <c r="AG58" s="21" t="str">
        <f>IFERROR(INDEX($M:$M,MATCH(X58,$S:$S,0)),"&amp;")</f>
        <v>&amp;</v>
      </c>
      <c r="AH58" s="21" t="str">
        <f>IFERROR(INDEX($M:$M,MATCH(Y58,$S:$S,0)),"&amp;")</f>
        <v>&amp;</v>
      </c>
      <c r="AI58" s="21" t="str">
        <f>IFERROR(INDEX($M:$M,MATCH(Z58,$S:$S,0)),"&amp;")</f>
        <v>&amp;</v>
      </c>
      <c r="AJ58" s="21" t="str">
        <f>IFERROR(INDEX($M:$M,MATCH(AA58,$S:$S,0)),"&amp;")</f>
        <v>&amp;</v>
      </c>
      <c r="AK58" s="21" t="str">
        <f>IFERROR(INDEX($M:$M,MATCH(AB58,$S:$S,0)),"&amp;")</f>
        <v>&amp;</v>
      </c>
      <c r="AM58" s="21" t="str">
        <f>IFERROR(INDEX($N:$N,MATCH(U58,$S:$S,0)),"&amp;")</f>
        <v>敢死之士1</v>
      </c>
      <c r="AN58" s="21" t="str">
        <f>IFERROR(INDEX($N:$N,MATCH(V58,$S:$S,0)),"&amp;")</f>
        <v>&amp;</v>
      </c>
      <c r="AO58" s="21" t="str">
        <f>IFERROR(INDEX($N:$N,MATCH(W58,$S:$S,0)),"&amp;")</f>
        <v>&amp;</v>
      </c>
      <c r="AP58" s="21" t="str">
        <f>IFERROR(INDEX($N:$N,MATCH(X58,$S:$S,0)),"&amp;")</f>
        <v>&amp;</v>
      </c>
      <c r="AQ58" s="21" t="str">
        <f>IFERROR(INDEX($N:$N,MATCH(Y58,$S:$S,0)),"&amp;")</f>
        <v>&amp;</v>
      </c>
      <c r="AR58" s="21" t="str">
        <f>IFERROR(INDEX($N:$N,MATCH(Z58,$S:$S,0)),"&amp;")</f>
        <v>&amp;</v>
      </c>
      <c r="AS58" s="21" t="str">
        <f>IFERROR(INDEX($N:$N,MATCH(AA58,$S:$S,0)),"&amp;")</f>
        <v>&amp;</v>
      </c>
      <c r="AT58" s="21" t="str">
        <f>IFERROR(INDEX($N:$N,MATCH(AB58,$S:$S,0)),"&amp;")</f>
        <v>&amp;</v>
      </c>
      <c r="AV58" s="21" t="str">
        <f>IFERROR(SUBSTITUTE(INDEX($K:$K,MATCH(INDEX($M:$M,MATCH(AM58,$N:$N,0)),$M:$M,0)),$D58,""),"")</f>
        <v xml:space="preserve"> 专诸 荆轲 赵括</v>
      </c>
      <c r="AW58" s="21" t="str">
        <f>IFERROR(SUBSTITUTE(INDEX($K:$K,MATCH(INDEX($M:$M,MATCH(AN58,$N:$N,0)),$M:$M,0)),$D58,""),"")</f>
        <v/>
      </c>
      <c r="AX58" s="21" t="str">
        <f>IFERROR(SUBSTITUTE(INDEX($K:$K,MATCH(INDEX($M:$M,MATCH(AO58,$N:$N,0)),$M:$M,0)),$D58,""),"")</f>
        <v/>
      </c>
      <c r="AY58" s="21" t="str">
        <f>IFERROR(SUBSTITUTE(INDEX($K:$K,MATCH(INDEX($M:$M,MATCH(AP58,$N:$N,0)),$M:$M,0)),$D58,""),"")</f>
        <v/>
      </c>
      <c r="AZ58" s="21" t="str">
        <f>IFERROR(SUBSTITUTE(INDEX($K:$K,MATCH(INDEX($M:$M,MATCH(AQ58,$N:$N,0)),$M:$M,0)),$D58,""),"")</f>
        <v/>
      </c>
      <c r="BA58" s="21" t="str">
        <f>IFERROR(SUBSTITUTE(INDEX($K:$K,MATCH(INDEX($M:$M,MATCH(AR58,$N:$N,0)),$M:$M,0)),$D58,""),"")</f>
        <v/>
      </c>
      <c r="BB58" s="21" t="str">
        <f>IFERROR(SUBSTITUTE(INDEX($K:$K,MATCH(INDEX($M:$M,MATCH(AS58,$N:$N,0)),$M:$M,0)),$D58,""),"")</f>
        <v/>
      </c>
      <c r="BC58" s="21" t="str">
        <f>IFERROR(SUBSTITUTE(INDEX($K:$K,MATCH(INDEX($M:$M,MATCH(AT58,$N:$N,0)),$M:$M,0)),$D58,""),"")</f>
        <v/>
      </c>
      <c r="BE58" s="9" t="str">
        <f t="shared" si="7"/>
        <v>朱亥,专诸,荆轲,赵括</v>
      </c>
      <c r="BI58" s="9" t="str">
        <f>IFERROR(
IF(COUNTIF($M:$M,$AD58)&lt;BI$8,
"",
INDEX($J:$J,MATCH($AD58,$M:$M,0)+BI$8-1)),
"")</f>
        <v>朱亥</v>
      </c>
      <c r="BJ58" s="9" t="str">
        <f>IFERROR(
IF(COUNTIF($M:$M,$AD58)&lt;BJ$8,
"",
INDEX($J:$J,MATCH($AD58,$M:$M,0)+BJ$8-1)),
"")</f>
        <v>专诸</v>
      </c>
      <c r="BK58" s="9" t="str">
        <f>IFERROR(
IF(COUNTIF($M:$M,$AD58)&lt;BK$8,
"",
INDEX($J:$J,MATCH($AD58,$M:$M,0)+BK$8-1)),
"")</f>
        <v>荆轲</v>
      </c>
      <c r="BL58" s="9" t="str">
        <f>IFERROR(
IF(COUNTIF($M:$M,$AD58)&lt;BL$8,
"",
INDEX($J:$J,MATCH($AD58,$M:$M,0)+BL$8-1)),
"")</f>
        <v>赵括</v>
      </c>
      <c r="BN58" s="21" t="str">
        <f>IFERROR(
IF(COUNTIF($BI58:BM58,INDEX($J:$J,MATCH($AE58,$M:$M,0)+BN$8-1))=0,
IF(COUNTIF($M:$M,$AE58)&lt;BN$8,
"",
INDEX($J:$J,MATCH($AE58,$M:$M,0)+BN$8-1)),
""),
"")</f>
        <v/>
      </c>
      <c r="BO58" s="21" t="str">
        <f>IFERROR(
IF(COUNTIF($BI58:BN58,INDEX($J:$J,MATCH($AE58,$M:$M,0)+BO$8-1))=0,
IF(COUNTIF($M:$M,$AE58)&lt;BO$8,
"",
INDEX($J:$J,MATCH($AE58,$M:$M,0)+BO$8-1)),
""),
"")</f>
        <v/>
      </c>
      <c r="BP58" s="21" t="str">
        <f>IFERROR(
IF(COUNTIF($BI58:BO58,INDEX($J:$J,MATCH($AE58,$M:$M,0)+BP$8-1))=0,
IF(COUNTIF($M:$M,$AE58)&lt;BP$8,
"",
INDEX($J:$J,MATCH($AE58,$M:$M,0)+BP$8-1)),
""),
"")</f>
        <v/>
      </c>
      <c r="BQ58" s="21" t="str">
        <f>IFERROR(
IF(COUNTIF($BI58:BP58,INDEX($J:$J,MATCH($AE58,$M:$M,0)+BQ$8-1))=0,
IF(COUNTIF($M:$M,$AE58)&lt;BQ$8,
"",
INDEX($J:$J,MATCH($AE58,$M:$M,0)+BQ$8-1)),
""),
"")</f>
        <v/>
      </c>
      <c r="BS58" s="21" t="str">
        <f>IFERROR(
IF(COUNTIF($BI58:BR58,INDEX($J:$J,MATCH($AF58,$M:$M,0)+BS$8-1))=0,
IF(COUNTIF($M:$M,$AF58)&lt;BS$8,
"",
INDEX($J:$J,MATCH($AF58,$M:$M,0)+BS$8-1)),
""),
"")</f>
        <v/>
      </c>
      <c r="BT58" s="21" t="str">
        <f>IFERROR(
IF(COUNTIF($BI58:BS58,INDEX($J:$J,MATCH($AF58,$M:$M,0)+BT$8-1))=0,
IF(COUNTIF($M:$M,$AF58)&lt;BT$8,
"",
INDEX($J:$J,MATCH($AF58,$M:$M,0)+BT$8-1)),
""),
"")</f>
        <v/>
      </c>
      <c r="BU58" s="21" t="str">
        <f>IFERROR(
IF(COUNTIF($BI58:BT58,INDEX($J:$J,MATCH($AF58,$M:$M,0)+BU$8-1))=0,
IF(COUNTIF($M:$M,$AF58)&lt;BU$8,
"",
INDEX($J:$J,MATCH($AF58,$M:$M,0)+BU$8-1)),
""),
"")</f>
        <v/>
      </c>
      <c r="BV58" s="21" t="str">
        <f>IFERROR(
IF(COUNTIF($BI58:BU58,INDEX($J:$J,MATCH($AF58,$M:$M,0)+BV$8-1))=0,
IF(COUNTIF($M:$M,$AF58)&lt;BV$8,
"",
INDEX($J:$J,MATCH($AF58,$M:$M,0)+BV$8-1)),
""),
"")</f>
        <v/>
      </c>
      <c r="BX58" s="21" t="str">
        <f>IFERROR(
IF(COUNTIF($BI58:BW58,INDEX($J:$J,MATCH($AG58,$M:$M,0)+BX$8-1))=0,
IF(COUNTIF($M:$M,$AG58)&lt;BX$8,
"",
INDEX($J:$J,MATCH($AG58,$M:$M,0)+BX$8-1)),
""),
"")</f>
        <v/>
      </c>
      <c r="BY58" s="21" t="str">
        <f>IFERROR(
IF(COUNTIF($BI58:BX58,INDEX($J:$J,MATCH($AG58,$M:$M,0)+BY$8-1))=0,
IF(COUNTIF($M:$M,$AG58)&lt;BY$8,
"",
INDEX($J:$J,MATCH($AG58,$M:$M,0)+BY$8-1)),
""),
"")</f>
        <v/>
      </c>
      <c r="BZ58" s="21" t="str">
        <f>IFERROR(
IF(COUNTIF($BI58:BY58,INDEX($J:$J,MATCH($AG58,$M:$M,0)+BZ$8-1))=0,
IF(COUNTIF($M:$M,$AG58)&lt;BZ$8,
"",
INDEX($J:$J,MATCH($AG58,$M:$M,0)+BZ$8-1)),
""),
"")</f>
        <v/>
      </c>
      <c r="CA58" s="21" t="str">
        <f>IFERROR(
IF(COUNTIF($BI58:BZ58,INDEX($J:$J,MATCH($AG58,$M:$M,0)+CA$8-1))=0,
IF(COUNTIF($M:$M,$AG58)&lt;CA$8,
"",
INDEX($J:$J,MATCH($AG58,$M:$M,0)+CA$8-1)),
""),
"")</f>
        <v/>
      </c>
      <c r="CC58" s="21" t="str">
        <f>IFERROR(
IF(COUNTIF($BI58:CB58,INDEX($J:$J,MATCH($AH58,$M:$M,0)+CC$8-1))=0,
IF(COUNTIF($M:$M,$AH58)&lt;CC$8,
"",
INDEX($J:$J,MATCH($AH58,$M:$M,0)+CC$8-1)),
""),
"")</f>
        <v/>
      </c>
      <c r="CD58" s="21" t="str">
        <f>IFERROR(
IF(COUNTIF($BI58:CC58,INDEX($J:$J,MATCH($AH58,$M:$M,0)+CD$8-1))=0,
IF(COUNTIF($M:$M,$AH58)&lt;CD$8,
"",
INDEX($J:$J,MATCH($AH58,$M:$M,0)+CD$8-1)),
""),
"")</f>
        <v/>
      </c>
      <c r="CE58" s="21" t="str">
        <f>IFERROR(
IF(COUNTIF($BI58:CD58,INDEX($J:$J,MATCH($AH58,$M:$M,0)+CE$8-1))=0,
IF(COUNTIF($M:$M,$AH58)&lt;CE$8,
"",
INDEX($J:$J,MATCH($AH58,$M:$M,0)+CE$8-1)),
""),
"")</f>
        <v/>
      </c>
      <c r="CF58" s="21" t="str">
        <f>IFERROR(
IF(COUNTIF($BI58:CE58,INDEX($J:$J,MATCH($AH58,$M:$M,0)+CF$8-1))=0,
IF(COUNTIF($M:$M,$AH58)&lt;CF$8,
"",
INDEX($J:$J,MATCH($AH58,$M:$M,0)+CF$8-1)),
""),
"")</f>
        <v/>
      </c>
      <c r="CH58" s="21" t="str">
        <f>IFERROR(
IF(COUNTIF($BI58:CG58,INDEX($J:$J,MATCH($AI58,$M:$M,0)+CH$8-1))=0,
IF(COUNTIF($M:$M,$AI58)&lt;CH$8,
"",
INDEX($J:$J,MATCH($AI58,$M:$M,0)+CH$8-1)),
""),
"")</f>
        <v/>
      </c>
      <c r="CI58" s="21" t="str">
        <f>IFERROR(
IF(COUNTIF($BI58:CH58,INDEX($J:$J,MATCH($AI58,$M:$M,0)+CI$8-1))=0,
IF(COUNTIF($M:$M,$AI58)&lt;CI$8,
"",
INDEX($J:$J,MATCH($AI58,$M:$M,0)+CI$8-1)),
""),
"")</f>
        <v/>
      </c>
      <c r="CJ58" s="21" t="str">
        <f>IFERROR(
IF(COUNTIF($BI58:CI58,INDEX($J:$J,MATCH($AI58,$M:$M,0)+CJ$8-1))=0,
IF(COUNTIF($M:$M,$AI58)&lt;CJ$8,
"",
INDEX($J:$J,MATCH($AI58,$M:$M,0)+CJ$8-1)),
""),
"")</f>
        <v/>
      </c>
      <c r="CK58" s="21" t="str">
        <f>IFERROR(
IF(COUNTIF($BI58:CJ58,INDEX($J:$J,MATCH($AI58,$M:$M,0)+CK$8-1))=0,
IF(COUNTIF($M:$M,$AI58)&lt;CK$8,
"",
INDEX($J:$J,MATCH($AI58,$M:$M,0)+CK$8-1)),
""),
"")</f>
        <v/>
      </c>
      <c r="CM58" s="21" t="str">
        <f>IFERROR(
IF(COUNTIF($BI58:CL58,INDEX($J:$J,MATCH($AJ58,$M:$M,0)+CM$8-1))=0,
IF(COUNTIF($M:$M,$AJ58)&lt;CM$8,
"",
INDEX($J:$J,MATCH($AJ58,$M:$M,0)+CM$8-1)),
""),
"")</f>
        <v/>
      </c>
      <c r="CN58" s="21" t="str">
        <f>IFERROR(
IF(COUNTIF($BI58:CM58,INDEX($J:$J,MATCH($AJ58,$M:$M,0)+CN$8-1))=0,
IF(COUNTIF($M:$M,$AJ58)&lt;CN$8,
"",
INDEX($J:$J,MATCH($AJ58,$M:$M,0)+CN$8-1)),
""),
"")</f>
        <v/>
      </c>
      <c r="CO58" s="21" t="str">
        <f>IFERROR(
IF(COUNTIF($BI58:CN58,INDEX($J:$J,MATCH($AJ58,$M:$M,0)+CO$8-1))=0,
IF(COUNTIF($M:$M,$AJ58)&lt;CO$8,
"",
INDEX($J:$J,MATCH($AJ58,$M:$M,0)+CO$8-1)),
""),
"")</f>
        <v/>
      </c>
      <c r="CP58" s="21" t="str">
        <f>IFERROR(
IF(COUNTIF($BI58:CO58,INDEX($J:$J,MATCH($AJ58,$M:$M,0)+CP$8-1))=0,
IF(COUNTIF($M:$M,$AJ58)&lt;CP$8,
"",
INDEX($J:$J,MATCH($AJ58,$M:$M,0)+CP$8-1)),
""),
"")</f>
        <v/>
      </c>
      <c r="CR58" s="21" t="str">
        <f>IFERROR(
IF(COUNTIF($BI58:CQ58,INDEX($J:$J,MATCH($AK58,$M:$M,0)+CR$8-1))=0,
IF(COUNTIF($M:$M,$AK58)&lt;CR$8,
"",
INDEX($J:$J,MATCH($AK58,$M:$M,0)+CR$8-1)),
""),
"")</f>
        <v/>
      </c>
      <c r="CS58" s="21" t="str">
        <f>IFERROR(
IF(COUNTIF($BI58:CR58,INDEX($J:$J,MATCH($AK58,$M:$M,0)+CS$8-1))=0,
IF(COUNTIF($M:$M,$AK58)&lt;CS$8,
"",
INDEX($J:$J,MATCH($AK58,$M:$M,0)+CS$8-1)),
""),
"")</f>
        <v/>
      </c>
      <c r="CT58" s="21" t="str">
        <f>IFERROR(
IF(COUNTIF($BI58:CS58,INDEX($J:$J,MATCH($AK58,$M:$M,0)+CT$8-1))=0,
IF(COUNTIF($M:$M,$AK58)&lt;CT$8,
"",
INDEX($J:$J,MATCH($AK58,$M:$M,0)+CT$8-1)),
""),
"")</f>
        <v/>
      </c>
      <c r="CU58" s="21" t="str">
        <f>IFERROR(
IF(COUNTIF($BI58:CT58,INDEX($J:$J,MATCH($AK58,$M:$M,0)+CU$8-1))=0,
IF(COUNTIF($M:$M,$AK58)&lt;CU$8,
"",
INDEX($J:$J,MATCH($AK58,$M:$M,0)+CU$8-1)),
""),
"")</f>
        <v/>
      </c>
    </row>
    <row r="59" spans="3:99" ht="14.25">
      <c r="C59" s="16">
        <v>51</v>
      </c>
      <c r="D59" s="19" t="s">
        <v>77</v>
      </c>
      <c r="E59" s="20">
        <f>INDEX([1]武将基本资料!$S:$S,MATCH(D59,[1]武将基本资料!$N:$N,0))</f>
        <v>110</v>
      </c>
      <c r="F59" s="20" t="str">
        <f>INDEX([1]武将基本资料!$Q:$Q,MATCH(D59,[1]武将基本资料!$N:$N,0))</f>
        <v>紫</v>
      </c>
      <c r="H59" s="7" t="str">
        <f>IF(I59="","",COUNTA(I$9:$I59))</f>
        <v/>
      </c>
      <c r="I59" s="6" t="s">
        <v>188</v>
      </c>
      <c r="J59" s="6" t="s">
        <v>198</v>
      </c>
      <c r="K59" s="8" t="str">
        <f>IF(H59="","",阶段合并区域(J59:J69," ",L59:L69,1))</f>
        <v/>
      </c>
      <c r="L59" s="8">
        <f>COUNTIF(M$8:$M59,"="&amp;M59)</f>
        <v>3</v>
      </c>
      <c r="M59" s="9" t="str">
        <f t="shared" si="3"/>
        <v>问鼎之心</v>
      </c>
      <c r="N59" s="9" t="str">
        <f t="shared" si="4"/>
        <v>问鼎之心3</v>
      </c>
      <c r="O59" s="15">
        <f>INDEX(C:C,MATCH(J59,D:D,0))</f>
        <v>20</v>
      </c>
      <c r="P59" s="9">
        <f>INDEX(E:E,MATCH(J59,D:D,0))</f>
        <v>120</v>
      </c>
      <c r="Q59" s="7">
        <f t="shared" si="0"/>
        <v>20</v>
      </c>
      <c r="R59" s="7">
        <f>COUNTIF(J$8:$J59,"="&amp;J59)</f>
        <v>3</v>
      </c>
      <c r="S59" s="7">
        <f t="shared" si="5"/>
        <v>3020</v>
      </c>
      <c r="U59" s="7">
        <f t="shared" si="9"/>
        <v>1051</v>
      </c>
      <c r="V59" s="7">
        <f t="shared" si="9"/>
        <v>2051</v>
      </c>
      <c r="W59" s="7">
        <f t="shared" si="9"/>
        <v>3051</v>
      </c>
      <c r="X59" s="7">
        <f t="shared" si="9"/>
        <v>4051</v>
      </c>
      <c r="Y59" s="7">
        <f t="shared" si="9"/>
        <v>5051</v>
      </c>
      <c r="Z59" s="7">
        <f t="shared" si="9"/>
        <v>6051</v>
      </c>
      <c r="AA59" s="7">
        <f t="shared" si="9"/>
        <v>7051</v>
      </c>
      <c r="AB59" s="7">
        <f t="shared" si="9"/>
        <v>8051</v>
      </c>
      <c r="AD59" s="21" t="str">
        <f>IFERROR(INDEX($M:$M,MATCH(U59,$S:$S,0)),"&amp;")</f>
        <v>治水修渠</v>
      </c>
      <c r="AE59" s="21" t="str">
        <f>IFERROR(INDEX($M:$M,MATCH(V59,$S:$S,0)),"&amp;")</f>
        <v>富国强兵</v>
      </c>
      <c r="AF59" s="21" t="str">
        <f>IFERROR(INDEX($M:$M,MATCH(W59,$S:$S,0)),"&amp;")</f>
        <v>&amp;</v>
      </c>
      <c r="AG59" s="21" t="str">
        <f>IFERROR(INDEX($M:$M,MATCH(X59,$S:$S,0)),"&amp;")</f>
        <v>&amp;</v>
      </c>
      <c r="AH59" s="21" t="str">
        <f>IFERROR(INDEX($M:$M,MATCH(Y59,$S:$S,0)),"&amp;")</f>
        <v>&amp;</v>
      </c>
      <c r="AI59" s="21" t="str">
        <f>IFERROR(INDEX($M:$M,MATCH(Z59,$S:$S,0)),"&amp;")</f>
        <v>&amp;</v>
      </c>
      <c r="AJ59" s="21" t="str">
        <f>IFERROR(INDEX($M:$M,MATCH(AA59,$S:$S,0)),"&amp;")</f>
        <v>&amp;</v>
      </c>
      <c r="AK59" s="21" t="str">
        <f>IFERROR(INDEX($M:$M,MATCH(AB59,$S:$S,0)),"&amp;")</f>
        <v>&amp;</v>
      </c>
      <c r="AM59" s="21" t="str">
        <f>IFERROR(INDEX($N:$N,MATCH(U59,$S:$S,0)),"&amp;")</f>
        <v>治水修渠2</v>
      </c>
      <c r="AN59" s="21" t="str">
        <f>IFERROR(INDEX($N:$N,MATCH(V59,$S:$S,0)),"&amp;")</f>
        <v>富国强兵2</v>
      </c>
      <c r="AO59" s="21" t="str">
        <f>IFERROR(INDEX($N:$N,MATCH(W59,$S:$S,0)),"&amp;")</f>
        <v>&amp;</v>
      </c>
      <c r="AP59" s="21" t="str">
        <f>IFERROR(INDEX($N:$N,MATCH(X59,$S:$S,0)),"&amp;")</f>
        <v>&amp;</v>
      </c>
      <c r="AQ59" s="21" t="str">
        <f>IFERROR(INDEX($N:$N,MATCH(Y59,$S:$S,0)),"&amp;")</f>
        <v>&amp;</v>
      </c>
      <c r="AR59" s="21" t="str">
        <f>IFERROR(INDEX($N:$N,MATCH(Z59,$S:$S,0)),"&amp;")</f>
        <v>&amp;</v>
      </c>
      <c r="AS59" s="21" t="str">
        <f>IFERROR(INDEX($N:$N,MATCH(AA59,$S:$S,0)),"&amp;")</f>
        <v>&amp;</v>
      </c>
      <c r="AT59" s="21" t="str">
        <f>IFERROR(INDEX($N:$N,MATCH(AB59,$S:$S,0)),"&amp;")</f>
        <v>&amp;</v>
      </c>
      <c r="AV59" s="21" t="str">
        <f>IFERROR(SUBSTITUTE(INDEX($K:$K,MATCH(INDEX($M:$M,MATCH(AM59,$N:$N,0)),$M:$M,0)),$D59,""),"")</f>
        <v>孙叔敖  伍子胥</v>
      </c>
      <c r="AW59" s="21" t="str">
        <f>IFERROR(SUBSTITUTE(INDEX($K:$K,MATCH(INDEX($M:$M,MATCH(AN59,$N:$N,0)),$M:$M,0)),$D59,""),"")</f>
        <v xml:space="preserve">申不害 </v>
      </c>
      <c r="AX59" s="21" t="str">
        <f>IFERROR(SUBSTITUTE(INDEX($K:$K,MATCH(INDEX($M:$M,MATCH(AO59,$N:$N,0)),$M:$M,0)),$D59,""),"")</f>
        <v/>
      </c>
      <c r="AY59" s="21" t="str">
        <f>IFERROR(SUBSTITUTE(INDEX($K:$K,MATCH(INDEX($M:$M,MATCH(AP59,$N:$N,0)),$M:$M,0)),$D59,""),"")</f>
        <v/>
      </c>
      <c r="AZ59" s="21" t="str">
        <f>IFERROR(SUBSTITUTE(INDEX($K:$K,MATCH(INDEX($M:$M,MATCH(AQ59,$N:$N,0)),$M:$M,0)),$D59,""),"")</f>
        <v/>
      </c>
      <c r="BA59" s="21" t="str">
        <f>IFERROR(SUBSTITUTE(INDEX($K:$K,MATCH(INDEX($M:$M,MATCH(AR59,$N:$N,0)),$M:$M,0)),$D59,""),"")</f>
        <v/>
      </c>
      <c r="BB59" s="21" t="str">
        <f>IFERROR(SUBSTITUTE(INDEX($K:$K,MATCH(INDEX($M:$M,MATCH(AS59,$N:$N,0)),$M:$M,0)),$D59,""),"")</f>
        <v/>
      </c>
      <c r="BC59" s="21" t="str">
        <f>IFERROR(SUBSTITUTE(INDEX($K:$K,MATCH(INDEX($M:$M,MATCH(AT59,$N:$N,0)),$M:$M,0)),$D59,""),"")</f>
        <v/>
      </c>
      <c r="BE59" s="9" t="str">
        <f t="shared" si="7"/>
        <v>孙叔敖,西门豹,伍子胥,申不害</v>
      </c>
      <c r="BI59" s="9" t="str">
        <f>IFERROR(
IF(COUNTIF($M:$M,$AD59)&lt;BI$8,
"",
INDEX($J:$J,MATCH($AD59,$M:$M,0)+BI$8-1)),
"")</f>
        <v>孙叔敖</v>
      </c>
      <c r="BJ59" s="9" t="str">
        <f>IFERROR(
IF(COUNTIF($M:$M,$AD59)&lt;BJ$8,
"",
INDEX($J:$J,MATCH($AD59,$M:$M,0)+BJ$8-1)),
"")</f>
        <v>西门豹</v>
      </c>
      <c r="BK59" s="9" t="str">
        <f>IFERROR(
IF(COUNTIF($M:$M,$AD59)&lt;BK$8,
"",
INDEX($J:$J,MATCH($AD59,$M:$M,0)+BK$8-1)),
"")</f>
        <v>伍子胥</v>
      </c>
      <c r="BL59" s="9" t="str">
        <f>IFERROR(
IF(COUNTIF($M:$M,$AD59)&lt;BL$8,
"",
INDEX($J:$J,MATCH($AD59,$M:$M,0)+BL$8-1)),
"")</f>
        <v/>
      </c>
      <c r="BN59" s="21" t="str">
        <f>IFERROR(
IF(COUNTIF($BI59:BM59,INDEX($J:$J,MATCH($AE59,$M:$M,0)+BN$8-1))=0,
IF(COUNTIF($M:$M,$AE59)&lt;BN$8,
"",
INDEX($J:$J,MATCH($AE59,$M:$M,0)+BN$8-1)),
""),
"")</f>
        <v>申不害</v>
      </c>
      <c r="BO59" s="21" t="str">
        <f>IFERROR(
IF(COUNTIF($BI59:BN59,INDEX($J:$J,MATCH($AE59,$M:$M,0)+BO$8-1))=0,
IF(COUNTIF($M:$M,$AE59)&lt;BO$8,
"",
INDEX($J:$J,MATCH($AE59,$M:$M,0)+BO$8-1)),
""),
"")</f>
        <v/>
      </c>
      <c r="BP59" s="21" t="str">
        <f>IFERROR(
IF(COUNTIF($BI59:BO59,INDEX($J:$J,MATCH($AE59,$M:$M,0)+BP$8-1))=0,
IF(COUNTIF($M:$M,$AE59)&lt;BP$8,
"",
INDEX($J:$J,MATCH($AE59,$M:$M,0)+BP$8-1)),
""),
"")</f>
        <v/>
      </c>
      <c r="BQ59" s="21" t="str">
        <f>IFERROR(
IF(COUNTIF($BI59:BP59,INDEX($J:$J,MATCH($AE59,$M:$M,0)+BQ$8-1))=0,
IF(COUNTIF($M:$M,$AE59)&lt;BQ$8,
"",
INDEX($J:$J,MATCH($AE59,$M:$M,0)+BQ$8-1)),
""),
"")</f>
        <v/>
      </c>
      <c r="BS59" s="21" t="str">
        <f>IFERROR(
IF(COUNTIF($BI59:BR59,INDEX($J:$J,MATCH($AF59,$M:$M,0)+BS$8-1))=0,
IF(COUNTIF($M:$M,$AF59)&lt;BS$8,
"",
INDEX($J:$J,MATCH($AF59,$M:$M,0)+BS$8-1)),
""),
"")</f>
        <v/>
      </c>
      <c r="BT59" s="21" t="str">
        <f>IFERROR(
IF(COUNTIF($BI59:BS59,INDEX($J:$J,MATCH($AF59,$M:$M,0)+BT$8-1))=0,
IF(COUNTIF($M:$M,$AF59)&lt;BT$8,
"",
INDEX($J:$J,MATCH($AF59,$M:$M,0)+BT$8-1)),
""),
"")</f>
        <v/>
      </c>
      <c r="BU59" s="21" t="str">
        <f>IFERROR(
IF(COUNTIF($BI59:BT59,INDEX($J:$J,MATCH($AF59,$M:$M,0)+BU$8-1))=0,
IF(COUNTIF($M:$M,$AF59)&lt;BU$8,
"",
INDEX($J:$J,MATCH($AF59,$M:$M,0)+BU$8-1)),
""),
"")</f>
        <v/>
      </c>
      <c r="BV59" s="21" t="str">
        <f>IFERROR(
IF(COUNTIF($BI59:BU59,INDEX($J:$J,MATCH($AF59,$M:$M,0)+BV$8-1))=0,
IF(COUNTIF($M:$M,$AF59)&lt;BV$8,
"",
INDEX($J:$J,MATCH($AF59,$M:$M,0)+BV$8-1)),
""),
"")</f>
        <v/>
      </c>
      <c r="BX59" s="21" t="str">
        <f>IFERROR(
IF(COUNTIF($BI59:BW59,INDEX($J:$J,MATCH($AG59,$M:$M,0)+BX$8-1))=0,
IF(COUNTIF($M:$M,$AG59)&lt;BX$8,
"",
INDEX($J:$J,MATCH($AG59,$M:$M,0)+BX$8-1)),
""),
"")</f>
        <v/>
      </c>
      <c r="BY59" s="21" t="str">
        <f>IFERROR(
IF(COUNTIF($BI59:BX59,INDEX($J:$J,MATCH($AG59,$M:$M,0)+BY$8-1))=0,
IF(COUNTIF($M:$M,$AG59)&lt;BY$8,
"",
INDEX($J:$J,MATCH($AG59,$M:$M,0)+BY$8-1)),
""),
"")</f>
        <v/>
      </c>
      <c r="BZ59" s="21" t="str">
        <f>IFERROR(
IF(COUNTIF($BI59:BY59,INDEX($J:$J,MATCH($AG59,$M:$M,0)+BZ$8-1))=0,
IF(COUNTIF($M:$M,$AG59)&lt;BZ$8,
"",
INDEX($J:$J,MATCH($AG59,$M:$M,0)+BZ$8-1)),
""),
"")</f>
        <v/>
      </c>
      <c r="CA59" s="21" t="str">
        <f>IFERROR(
IF(COUNTIF($BI59:BZ59,INDEX($J:$J,MATCH($AG59,$M:$M,0)+CA$8-1))=0,
IF(COUNTIF($M:$M,$AG59)&lt;CA$8,
"",
INDEX($J:$J,MATCH($AG59,$M:$M,0)+CA$8-1)),
""),
"")</f>
        <v/>
      </c>
      <c r="CC59" s="21" t="str">
        <f>IFERROR(
IF(COUNTIF($BI59:CB59,INDEX($J:$J,MATCH($AH59,$M:$M,0)+CC$8-1))=0,
IF(COUNTIF($M:$M,$AH59)&lt;CC$8,
"",
INDEX($J:$J,MATCH($AH59,$M:$M,0)+CC$8-1)),
""),
"")</f>
        <v/>
      </c>
      <c r="CD59" s="21" t="str">
        <f>IFERROR(
IF(COUNTIF($BI59:CC59,INDEX($J:$J,MATCH($AH59,$M:$M,0)+CD$8-1))=0,
IF(COUNTIF($M:$M,$AH59)&lt;CD$8,
"",
INDEX($J:$J,MATCH($AH59,$M:$M,0)+CD$8-1)),
""),
"")</f>
        <v/>
      </c>
      <c r="CE59" s="21" t="str">
        <f>IFERROR(
IF(COUNTIF($BI59:CD59,INDEX($J:$J,MATCH($AH59,$M:$M,0)+CE$8-1))=0,
IF(COUNTIF($M:$M,$AH59)&lt;CE$8,
"",
INDEX($J:$J,MATCH($AH59,$M:$M,0)+CE$8-1)),
""),
"")</f>
        <v/>
      </c>
      <c r="CF59" s="21" t="str">
        <f>IFERROR(
IF(COUNTIF($BI59:CE59,INDEX($J:$J,MATCH($AH59,$M:$M,0)+CF$8-1))=0,
IF(COUNTIF($M:$M,$AH59)&lt;CF$8,
"",
INDEX($J:$J,MATCH($AH59,$M:$M,0)+CF$8-1)),
""),
"")</f>
        <v/>
      </c>
      <c r="CH59" s="21" t="str">
        <f>IFERROR(
IF(COUNTIF($BI59:CG59,INDEX($J:$J,MATCH($AI59,$M:$M,0)+CH$8-1))=0,
IF(COUNTIF($M:$M,$AI59)&lt;CH$8,
"",
INDEX($J:$J,MATCH($AI59,$M:$M,0)+CH$8-1)),
""),
"")</f>
        <v/>
      </c>
      <c r="CI59" s="21" t="str">
        <f>IFERROR(
IF(COUNTIF($BI59:CH59,INDEX($J:$J,MATCH($AI59,$M:$M,0)+CI$8-1))=0,
IF(COUNTIF($M:$M,$AI59)&lt;CI$8,
"",
INDEX($J:$J,MATCH($AI59,$M:$M,0)+CI$8-1)),
""),
"")</f>
        <v/>
      </c>
      <c r="CJ59" s="21" t="str">
        <f>IFERROR(
IF(COUNTIF($BI59:CI59,INDEX($J:$J,MATCH($AI59,$M:$M,0)+CJ$8-1))=0,
IF(COUNTIF($M:$M,$AI59)&lt;CJ$8,
"",
INDEX($J:$J,MATCH($AI59,$M:$M,0)+CJ$8-1)),
""),
"")</f>
        <v/>
      </c>
      <c r="CK59" s="21" t="str">
        <f>IFERROR(
IF(COUNTIF($BI59:CJ59,INDEX($J:$J,MATCH($AI59,$M:$M,0)+CK$8-1))=0,
IF(COUNTIF($M:$M,$AI59)&lt;CK$8,
"",
INDEX($J:$J,MATCH($AI59,$M:$M,0)+CK$8-1)),
""),
"")</f>
        <v/>
      </c>
      <c r="CM59" s="21" t="str">
        <f>IFERROR(
IF(COUNTIF($BI59:CL59,INDEX($J:$J,MATCH($AJ59,$M:$M,0)+CM$8-1))=0,
IF(COUNTIF($M:$M,$AJ59)&lt;CM$8,
"",
INDEX($J:$J,MATCH($AJ59,$M:$M,0)+CM$8-1)),
""),
"")</f>
        <v/>
      </c>
      <c r="CN59" s="21" t="str">
        <f>IFERROR(
IF(COUNTIF($BI59:CM59,INDEX($J:$J,MATCH($AJ59,$M:$M,0)+CN$8-1))=0,
IF(COUNTIF($M:$M,$AJ59)&lt;CN$8,
"",
INDEX($J:$J,MATCH($AJ59,$M:$M,0)+CN$8-1)),
""),
"")</f>
        <v/>
      </c>
      <c r="CO59" s="21" t="str">
        <f>IFERROR(
IF(COUNTIF($BI59:CN59,INDEX($J:$J,MATCH($AJ59,$M:$M,0)+CO$8-1))=0,
IF(COUNTIF($M:$M,$AJ59)&lt;CO$8,
"",
INDEX($J:$J,MATCH($AJ59,$M:$M,0)+CO$8-1)),
""),
"")</f>
        <v/>
      </c>
      <c r="CP59" s="21" t="str">
        <f>IFERROR(
IF(COUNTIF($BI59:CO59,INDEX($J:$J,MATCH($AJ59,$M:$M,0)+CP$8-1))=0,
IF(COUNTIF($M:$M,$AJ59)&lt;CP$8,
"",
INDEX($J:$J,MATCH($AJ59,$M:$M,0)+CP$8-1)),
""),
"")</f>
        <v/>
      </c>
      <c r="CR59" s="21" t="str">
        <f>IFERROR(
IF(COUNTIF($BI59:CQ59,INDEX($J:$J,MATCH($AK59,$M:$M,0)+CR$8-1))=0,
IF(COUNTIF($M:$M,$AK59)&lt;CR$8,
"",
INDEX($J:$J,MATCH($AK59,$M:$M,0)+CR$8-1)),
""),
"")</f>
        <v/>
      </c>
      <c r="CS59" s="21" t="str">
        <f>IFERROR(
IF(COUNTIF($BI59:CR59,INDEX($J:$J,MATCH($AK59,$M:$M,0)+CS$8-1))=0,
IF(COUNTIF($M:$M,$AK59)&lt;CS$8,
"",
INDEX($J:$J,MATCH($AK59,$M:$M,0)+CS$8-1)),
""),
"")</f>
        <v/>
      </c>
      <c r="CT59" s="21" t="str">
        <f>IFERROR(
IF(COUNTIF($BI59:CS59,INDEX($J:$J,MATCH($AK59,$M:$M,0)+CT$8-1))=0,
IF(COUNTIF($M:$M,$AK59)&lt;CT$8,
"",
INDEX($J:$J,MATCH($AK59,$M:$M,0)+CT$8-1)),
""),
"")</f>
        <v/>
      </c>
      <c r="CU59" s="21" t="str">
        <f>IFERROR(
IF(COUNTIF($BI59:CT59,INDEX($J:$J,MATCH($AK59,$M:$M,0)+CU$8-1))=0,
IF(COUNTIF($M:$M,$AK59)&lt;CU$8,
"",
INDEX($J:$J,MATCH($AK59,$M:$M,0)+CU$8-1)),
""),
"")</f>
        <v/>
      </c>
    </row>
    <row r="60" spans="3:99" ht="14.25">
      <c r="C60" s="16">
        <v>52</v>
      </c>
      <c r="D60" s="19" t="s">
        <v>82</v>
      </c>
      <c r="E60" s="20">
        <f>INDEX([1]武将基本资料!$S:$S,MATCH(D60,[1]武将基本资料!$N:$N,0))</f>
        <v>120</v>
      </c>
      <c r="F60" s="20" t="str">
        <f>INDEX([1]武将基本资料!$Q:$Q,MATCH(D60,[1]武将基本资料!$N:$N,0))</f>
        <v>橙</v>
      </c>
      <c r="H60" s="7">
        <f>IF(I60="","",COUNTA(I$9:$I60))</f>
        <v>50</v>
      </c>
      <c r="I60" s="6" t="s">
        <v>171</v>
      </c>
      <c r="J60" s="6" t="s">
        <v>65</v>
      </c>
      <c r="K60" s="8" t="str">
        <f>IF(H60="","",阶段合并区域(J60:J70," ",L60:L70,1))</f>
        <v>吕不韦 苏秦 信陵君</v>
      </c>
      <c r="L60" s="8">
        <f>COUNTIF(M$8:$M60,"="&amp;M60)</f>
        <v>1</v>
      </c>
      <c r="M60" s="9" t="str">
        <f t="shared" si="3"/>
        <v>权倾朝野</v>
      </c>
      <c r="N60" s="9" t="str">
        <f t="shared" si="4"/>
        <v>权倾朝野1</v>
      </c>
      <c r="O60" s="15">
        <f>INDEX(C:C,MATCH(J60,D:D,0))</f>
        <v>18</v>
      </c>
      <c r="P60" s="9">
        <f>INDEX(E:E,MATCH(J60,D:D,0))</f>
        <v>120</v>
      </c>
      <c r="Q60" s="7">
        <f t="shared" si="0"/>
        <v>18</v>
      </c>
      <c r="R60" s="7">
        <f>COUNTIF(J$8:$J60,"="&amp;J60)</f>
        <v>2</v>
      </c>
      <c r="S60" s="7">
        <f t="shared" si="5"/>
        <v>2018</v>
      </c>
      <c r="U60" s="7">
        <f t="shared" si="9"/>
        <v>1052</v>
      </c>
      <c r="V60" s="7">
        <f t="shared" si="9"/>
        <v>2052</v>
      </c>
      <c r="W60" s="7">
        <f t="shared" si="9"/>
        <v>3052</v>
      </c>
      <c r="X60" s="7">
        <f t="shared" si="9"/>
        <v>4052</v>
      </c>
      <c r="Y60" s="7">
        <f t="shared" si="9"/>
        <v>5052</v>
      </c>
      <c r="Z60" s="7">
        <f t="shared" si="9"/>
        <v>6052</v>
      </c>
      <c r="AA60" s="7">
        <f t="shared" si="9"/>
        <v>7052</v>
      </c>
      <c r="AB60" s="7">
        <f t="shared" si="9"/>
        <v>8052</v>
      </c>
      <c r="AD60" s="21" t="str">
        <f>IFERROR(INDEX($M:$M,MATCH(U60,$S:$S,0)),"&amp;")</f>
        <v>国破家亡</v>
      </c>
      <c r="AE60" s="21" t="str">
        <f>IFERROR(INDEX($M:$M,MATCH(V60,$S:$S,0)),"&amp;")</f>
        <v>严刑峻法</v>
      </c>
      <c r="AF60" s="21" t="str">
        <f>IFERROR(INDEX($M:$M,MATCH(W60,$S:$S,0)),"&amp;")</f>
        <v>生死予夺</v>
      </c>
      <c r="AG60" s="21" t="str">
        <f>IFERROR(INDEX($M:$M,MATCH(X60,$S:$S,0)),"&amp;")</f>
        <v>变法强国</v>
      </c>
      <c r="AH60" s="21" t="str">
        <f>IFERROR(INDEX($M:$M,MATCH(Y60,$S:$S,0)),"&amp;")</f>
        <v>国破家亡</v>
      </c>
      <c r="AI60" s="21" t="str">
        <f>IFERROR(INDEX($M:$M,MATCH(Z60,$S:$S,0)),"&amp;")</f>
        <v>为国为民</v>
      </c>
      <c r="AJ60" s="21" t="str">
        <f>IFERROR(INDEX($M:$M,MATCH(AA60,$S:$S,0)),"&amp;")</f>
        <v>权力之路</v>
      </c>
      <c r="AK60" s="21" t="str">
        <f>IFERROR(INDEX($M:$M,MATCH(AB60,$S:$S,0)),"&amp;")</f>
        <v>雄辩之才</v>
      </c>
      <c r="AM60" s="21" t="str">
        <f>IFERROR(INDEX($N:$N,MATCH(U60,$S:$S,0)),"&amp;")</f>
        <v>国破家亡1</v>
      </c>
      <c r="AN60" s="21" t="str">
        <f>IFERROR(INDEX($N:$N,MATCH(V60,$S:$S,0)),"&amp;")</f>
        <v>严刑峻法1</v>
      </c>
      <c r="AO60" s="21" t="str">
        <f>IFERROR(INDEX($N:$N,MATCH(W60,$S:$S,0)),"&amp;")</f>
        <v>生死予夺1</v>
      </c>
      <c r="AP60" s="21" t="str">
        <f>IFERROR(INDEX($N:$N,MATCH(X60,$S:$S,0)),"&amp;")</f>
        <v>变法强国4</v>
      </c>
      <c r="AQ60" s="21" t="str">
        <f>IFERROR(INDEX($N:$N,MATCH(Y60,$S:$S,0)),"&amp;")</f>
        <v>国破家亡5</v>
      </c>
      <c r="AR60" s="21" t="str">
        <f>IFERROR(INDEX($N:$N,MATCH(Z60,$S:$S,0)),"&amp;")</f>
        <v>为国为民4</v>
      </c>
      <c r="AS60" s="21" t="str">
        <f>IFERROR(INDEX($N:$N,MATCH(AA60,$S:$S,0)),"&amp;")</f>
        <v>权力之路3</v>
      </c>
      <c r="AT60" s="21" t="str">
        <f>IFERROR(INDEX($N:$N,MATCH(AB60,$S:$S,0)),"&amp;")</f>
        <v>雄辩之才2</v>
      </c>
      <c r="AV60" s="21" t="str">
        <f>IFERROR(SUBSTITUTE(INDEX($K:$K,MATCH(INDEX($M:$M,MATCH(AM60,$N:$N,0)),$M:$M,0)),$D60,""),"")</f>
        <v xml:space="preserve"> 项燕 屈原</v>
      </c>
      <c r="AW60" s="21" t="str">
        <f>IFERROR(SUBSTITUTE(INDEX($K:$K,MATCH(INDEX($M:$M,MATCH(AN60,$N:$N,0)),$M:$M,0)),$D60,""),"")</f>
        <v xml:space="preserve"> 申不害</v>
      </c>
      <c r="AX60" s="21" t="str">
        <f>IFERROR(SUBSTITUTE(INDEX($K:$K,MATCH(INDEX($M:$M,MATCH(AO60,$N:$N,0)),$M:$M,0)),$D60,""),"")</f>
        <v xml:space="preserve"> 吕不韦</v>
      </c>
      <c r="AY60" s="21" t="str">
        <f>IFERROR(SUBSTITUTE(INDEX($K:$K,MATCH(INDEX($M:$M,MATCH(AP60,$N:$N,0)),$M:$M,0)),$D60,""),"")</f>
        <v xml:space="preserve">吴起 屈原 申不害 </v>
      </c>
      <c r="AZ60" s="21" t="str">
        <f>IFERROR(SUBSTITUTE(INDEX($K:$K,MATCH(INDEX($M:$M,MATCH(AQ60,$N:$N,0)),$M:$M,0)),$D60,""),"")</f>
        <v xml:space="preserve"> 项燕 屈原</v>
      </c>
      <c r="BA60" s="21" t="str">
        <f>IFERROR(SUBSTITUTE(INDEX($K:$K,MATCH(INDEX($M:$M,MATCH(AR60,$N:$N,0)),$M:$M,0)),$D60,""),"")</f>
        <v xml:space="preserve">墨子 屈原 孙膑 </v>
      </c>
      <c r="BB60" s="21" t="str">
        <f>IFERROR(SUBSTITUTE(INDEX($K:$K,MATCH(INDEX($M:$M,MATCH(AS60,$N:$N,0)),$M:$M,0)),$D60,""),"")</f>
        <v xml:space="preserve">典藏吕不韦 吕不韦 </v>
      </c>
      <c r="BC60" s="21" t="str">
        <f>IFERROR(SUBSTITUTE(INDEX($K:$K,MATCH(INDEX($M:$M,MATCH(AT60,$N:$N,0)),$M:$M,0)),$D60,""),"")</f>
        <v>蔺相如  赵括</v>
      </c>
      <c r="BE60" s="9" t="str">
        <f t="shared" si="7"/>
        <v>韩非子,项燕,屈原,屈原,申不害,吕不韦,吴起,墨子,孙膑,典藏吕不韦,蔺相如,赵括</v>
      </c>
      <c r="BI60" s="9" t="str">
        <f>IFERROR(
IF(COUNTIF($M:$M,$AD60)&lt;BI$8,
"",
INDEX($J:$J,MATCH($AD60,$M:$M,0)+BI$8-1)),
"")</f>
        <v>韩非子</v>
      </c>
      <c r="BJ60" s="9" t="str">
        <f>IFERROR(
IF(COUNTIF($M:$M,$AD60)&lt;BJ$8,
"",
INDEX($J:$J,MATCH($AD60,$M:$M,0)+BJ$8-1)),
"")</f>
        <v>项燕</v>
      </c>
      <c r="BK60" s="9" t="str">
        <f>IFERROR(
IF(COUNTIF($M:$M,$AD60)&lt;BK$8,
"",
INDEX($J:$J,MATCH($AD60,$M:$M,0)+BK$8-1)),
"")</f>
        <v>屈原</v>
      </c>
      <c r="BL60" s="9" t="str">
        <f>IFERROR(
IF(COUNTIF($M:$M,$AD60)&lt;BL$8,
"",
INDEX($J:$J,MATCH($AD60,$M:$M,0)+BL$8-1)),
"")</f>
        <v>屈原</v>
      </c>
      <c r="BN60" s="21" t="str">
        <f>IFERROR(
IF(COUNTIF($BI60:BM60,INDEX($J:$J,MATCH($AE60,$M:$M,0)+BN$8-1))=0,
IF(COUNTIF($M:$M,$AE60)&lt;BN$8,
"",
INDEX($J:$J,MATCH($AE60,$M:$M,0)+BN$8-1)),
""),
"")</f>
        <v/>
      </c>
      <c r="BO60" s="21" t="str">
        <f>IFERROR(
IF(COUNTIF($BI60:BN60,INDEX($J:$J,MATCH($AE60,$M:$M,0)+BO$8-1))=0,
IF(COUNTIF($M:$M,$AE60)&lt;BO$8,
"",
INDEX($J:$J,MATCH($AE60,$M:$M,0)+BO$8-1)),
""),
"")</f>
        <v>申不害</v>
      </c>
      <c r="BP60" s="21" t="str">
        <f>IFERROR(
IF(COUNTIF($BI60:BO60,INDEX($J:$J,MATCH($AE60,$M:$M,0)+BP$8-1))=0,
IF(COUNTIF($M:$M,$AE60)&lt;BP$8,
"",
INDEX($J:$J,MATCH($AE60,$M:$M,0)+BP$8-1)),
""),
"")</f>
        <v/>
      </c>
      <c r="BQ60" s="21" t="str">
        <f>IFERROR(
IF(COUNTIF($BI60:BP60,INDEX($J:$J,MATCH($AE60,$M:$M,0)+BQ$8-1))=0,
IF(COUNTIF($M:$M,$AE60)&lt;BQ$8,
"",
INDEX($J:$J,MATCH($AE60,$M:$M,0)+BQ$8-1)),
""),
"")</f>
        <v/>
      </c>
      <c r="BS60" s="21" t="str">
        <f>IFERROR(
IF(COUNTIF($BI60:BR60,INDEX($J:$J,MATCH($AF60,$M:$M,0)+BS$8-1))=0,
IF(COUNTIF($M:$M,$AF60)&lt;BS$8,
"",
INDEX($J:$J,MATCH($AF60,$M:$M,0)+BS$8-1)),
""),
"")</f>
        <v/>
      </c>
      <c r="BT60" s="21" t="str">
        <f>IFERROR(
IF(COUNTIF($BI60:BS60,INDEX($J:$J,MATCH($AF60,$M:$M,0)+BT$8-1))=0,
IF(COUNTIF($M:$M,$AF60)&lt;BT$8,
"",
INDEX($J:$J,MATCH($AF60,$M:$M,0)+BT$8-1)),
""),
"")</f>
        <v>吕不韦</v>
      </c>
      <c r="BU60" s="21" t="str">
        <f>IFERROR(
IF(COUNTIF($BI60:BT60,INDEX($J:$J,MATCH($AF60,$M:$M,0)+BU$8-1))=0,
IF(COUNTIF($M:$M,$AF60)&lt;BU$8,
"",
INDEX($J:$J,MATCH($AF60,$M:$M,0)+BU$8-1)),
""),
"")</f>
        <v/>
      </c>
      <c r="BV60" s="21" t="str">
        <f>IFERROR(
IF(COUNTIF($BI60:BU60,INDEX($J:$J,MATCH($AF60,$M:$M,0)+BV$8-1))=0,
IF(COUNTIF($M:$M,$AF60)&lt;BV$8,
"",
INDEX($J:$J,MATCH($AF60,$M:$M,0)+BV$8-1)),
""),
"")</f>
        <v/>
      </c>
      <c r="BX60" s="21" t="str">
        <f>IFERROR(
IF(COUNTIF($BI60:BW60,INDEX($J:$J,MATCH($AG60,$M:$M,0)+BX$8-1))=0,
IF(COUNTIF($M:$M,$AG60)&lt;BX$8,
"",
INDEX($J:$J,MATCH($AG60,$M:$M,0)+BX$8-1)),
""),
"")</f>
        <v>吴起</v>
      </c>
      <c r="BY60" s="21" t="str">
        <f>IFERROR(
IF(COUNTIF($BI60:BX60,INDEX($J:$J,MATCH($AG60,$M:$M,0)+BY$8-1))=0,
IF(COUNTIF($M:$M,$AG60)&lt;BY$8,
"",
INDEX($J:$J,MATCH($AG60,$M:$M,0)+BY$8-1)),
""),
"")</f>
        <v/>
      </c>
      <c r="BZ60" s="21" t="str">
        <f>IFERROR(
IF(COUNTIF($BI60:BY60,INDEX($J:$J,MATCH($AG60,$M:$M,0)+BZ$8-1))=0,
IF(COUNTIF($M:$M,$AG60)&lt;BZ$8,
"",
INDEX($J:$J,MATCH($AG60,$M:$M,0)+BZ$8-1)),
""),
"")</f>
        <v/>
      </c>
      <c r="CA60" s="21" t="str">
        <f>IFERROR(
IF(COUNTIF($BI60:BZ60,INDEX($J:$J,MATCH($AG60,$M:$M,0)+CA$8-1))=0,
IF(COUNTIF($M:$M,$AG60)&lt;CA$8,
"",
INDEX($J:$J,MATCH($AG60,$M:$M,0)+CA$8-1)),
""),
"")</f>
        <v/>
      </c>
      <c r="CC60" s="21" t="str">
        <f>IFERROR(
IF(COUNTIF($BI60:CB60,INDEX($J:$J,MATCH($AH60,$M:$M,0)+CC$8-1))=0,
IF(COUNTIF($M:$M,$AH60)&lt;CC$8,
"",
INDEX($J:$J,MATCH($AH60,$M:$M,0)+CC$8-1)),
""),
"")</f>
        <v/>
      </c>
      <c r="CD60" s="21" t="str">
        <f>IFERROR(
IF(COUNTIF($BI60:CC60,INDEX($J:$J,MATCH($AH60,$M:$M,0)+CD$8-1))=0,
IF(COUNTIF($M:$M,$AH60)&lt;CD$8,
"",
INDEX($J:$J,MATCH($AH60,$M:$M,0)+CD$8-1)),
""),
"")</f>
        <v/>
      </c>
      <c r="CE60" s="21" t="str">
        <f>IFERROR(
IF(COUNTIF($BI60:CD60,INDEX($J:$J,MATCH($AH60,$M:$M,0)+CE$8-1))=0,
IF(COUNTIF($M:$M,$AH60)&lt;CE$8,
"",
INDEX($J:$J,MATCH($AH60,$M:$M,0)+CE$8-1)),
""),
"")</f>
        <v/>
      </c>
      <c r="CF60" s="21" t="str">
        <f>IFERROR(
IF(COUNTIF($BI60:CE60,INDEX($J:$J,MATCH($AH60,$M:$M,0)+CF$8-1))=0,
IF(COUNTIF($M:$M,$AH60)&lt;CF$8,
"",
INDEX($J:$J,MATCH($AH60,$M:$M,0)+CF$8-1)),
""),
"")</f>
        <v/>
      </c>
      <c r="CH60" s="21" t="str">
        <f>IFERROR(
IF(COUNTIF($BI60:CG60,INDEX($J:$J,MATCH($AI60,$M:$M,0)+CH$8-1))=0,
IF(COUNTIF($M:$M,$AI60)&lt;CH$8,
"",
INDEX($J:$J,MATCH($AI60,$M:$M,0)+CH$8-1)),
""),
"")</f>
        <v>墨子</v>
      </c>
      <c r="CI60" s="21" t="str">
        <f>IFERROR(
IF(COUNTIF($BI60:CH60,INDEX($J:$J,MATCH($AI60,$M:$M,0)+CI$8-1))=0,
IF(COUNTIF($M:$M,$AI60)&lt;CI$8,
"",
INDEX($J:$J,MATCH($AI60,$M:$M,0)+CI$8-1)),
""),
"")</f>
        <v/>
      </c>
      <c r="CJ60" s="21" t="str">
        <f>IFERROR(
IF(COUNTIF($BI60:CI60,INDEX($J:$J,MATCH($AI60,$M:$M,0)+CJ$8-1))=0,
IF(COUNTIF($M:$M,$AI60)&lt;CJ$8,
"",
INDEX($J:$J,MATCH($AI60,$M:$M,0)+CJ$8-1)),
""),
"")</f>
        <v>孙膑</v>
      </c>
      <c r="CK60" s="21" t="str">
        <f>IFERROR(
IF(COUNTIF($BI60:CJ60,INDEX($J:$J,MATCH($AI60,$M:$M,0)+CK$8-1))=0,
IF(COUNTIF($M:$M,$AI60)&lt;CK$8,
"",
INDEX($J:$J,MATCH($AI60,$M:$M,0)+CK$8-1)),
""),
"")</f>
        <v/>
      </c>
      <c r="CM60" s="21" t="str">
        <f>IFERROR(
IF(COUNTIF($BI60:CL60,INDEX($J:$J,MATCH($AJ60,$M:$M,0)+CM$8-1))=0,
IF(COUNTIF($M:$M,$AJ60)&lt;CM$8,
"",
INDEX($J:$J,MATCH($AJ60,$M:$M,0)+CM$8-1)),
""),
"")</f>
        <v>典藏吕不韦</v>
      </c>
      <c r="CN60" s="21" t="str">
        <f>IFERROR(
IF(COUNTIF($BI60:CM60,INDEX($J:$J,MATCH($AJ60,$M:$M,0)+CN$8-1))=0,
IF(COUNTIF($M:$M,$AJ60)&lt;CN$8,
"",
INDEX($J:$J,MATCH($AJ60,$M:$M,0)+CN$8-1)),
""),
"")</f>
        <v/>
      </c>
      <c r="CO60" s="21" t="str">
        <f>IFERROR(
IF(COUNTIF($BI60:CN60,INDEX($J:$J,MATCH($AJ60,$M:$M,0)+CO$8-1))=0,
IF(COUNTIF($M:$M,$AJ60)&lt;CO$8,
"",
INDEX($J:$J,MATCH($AJ60,$M:$M,0)+CO$8-1)),
""),
"")</f>
        <v/>
      </c>
      <c r="CP60" s="21" t="str">
        <f>IFERROR(
IF(COUNTIF($BI60:CO60,INDEX($J:$J,MATCH($AJ60,$M:$M,0)+CP$8-1))=0,
IF(COUNTIF($M:$M,$AJ60)&lt;CP$8,
"",
INDEX($J:$J,MATCH($AJ60,$M:$M,0)+CP$8-1)),
""),
"")</f>
        <v/>
      </c>
      <c r="CR60" s="21" t="str">
        <f>IFERROR(
IF(COUNTIF($BI60:CQ60,INDEX($J:$J,MATCH($AK60,$M:$M,0)+CR$8-1))=0,
IF(COUNTIF($M:$M,$AK60)&lt;CR$8,
"",
INDEX($J:$J,MATCH($AK60,$M:$M,0)+CR$8-1)),
""),
"")</f>
        <v>蔺相如</v>
      </c>
      <c r="CS60" s="21" t="str">
        <f>IFERROR(
IF(COUNTIF($BI60:CR60,INDEX($J:$J,MATCH($AK60,$M:$M,0)+CS$8-1))=0,
IF(COUNTIF($M:$M,$AK60)&lt;CS$8,
"",
INDEX($J:$J,MATCH($AK60,$M:$M,0)+CS$8-1)),
""),
"")</f>
        <v/>
      </c>
      <c r="CT60" s="21" t="str">
        <f>IFERROR(
IF(COUNTIF($BI60:CS60,INDEX($J:$J,MATCH($AK60,$M:$M,0)+CT$8-1))=0,
IF(COUNTIF($M:$M,$AK60)&lt;CT$8,
"",
INDEX($J:$J,MATCH($AK60,$M:$M,0)+CT$8-1)),
""),
"")</f>
        <v>赵括</v>
      </c>
      <c r="CU60" s="21" t="str">
        <f>IFERROR(
IF(COUNTIF($BI60:CT60,INDEX($J:$J,MATCH($AK60,$M:$M,0)+CU$8-1))=0,
IF(COUNTIF($M:$M,$AK60)&lt;CU$8,
"",
INDEX($J:$J,MATCH($AK60,$M:$M,0)+CU$8-1)),
""),
"")</f>
        <v/>
      </c>
    </row>
    <row r="61" spans="3:99" ht="14.25">
      <c r="C61" s="16">
        <v>53</v>
      </c>
      <c r="D61" s="19" t="s">
        <v>156</v>
      </c>
      <c r="E61" s="20">
        <f>INDEX([1]武将基本资料!$S:$S,MATCH(D61,[1]武将基本资料!$N:$N,0))</f>
        <v>110</v>
      </c>
      <c r="F61" s="20" t="str">
        <f>INDEX([1]武将基本资料!$Q:$Q,MATCH(D61,[1]武将基本资料!$N:$N,0))</f>
        <v>紫</v>
      </c>
      <c r="H61" s="7" t="str">
        <f>IF(I61="","",COUNTA(I$9:$I61))</f>
        <v/>
      </c>
      <c r="I61" s="6" t="s">
        <v>188</v>
      </c>
      <c r="J61" s="6" t="s">
        <v>70</v>
      </c>
      <c r="K61" s="8" t="str">
        <f>IF(H61="","",阶段合并区域(J61:J71," ",L61:L71,1))</f>
        <v/>
      </c>
      <c r="L61" s="8">
        <f>COUNTIF(M$8:$M61,"="&amp;M61)</f>
        <v>2</v>
      </c>
      <c r="M61" s="9" t="str">
        <f t="shared" si="3"/>
        <v>权倾朝野</v>
      </c>
      <c r="N61" s="9" t="str">
        <f t="shared" si="4"/>
        <v>权倾朝野2</v>
      </c>
      <c r="O61" s="15">
        <f>INDEX(C:C,MATCH(J61,D:D,0))</f>
        <v>57</v>
      </c>
      <c r="P61" s="9">
        <f>INDEX(E:E,MATCH(J61,D:D,0))</f>
        <v>120</v>
      </c>
      <c r="Q61" s="7">
        <f t="shared" si="0"/>
        <v>57</v>
      </c>
      <c r="R61" s="7">
        <f>COUNTIF(J$8:$J61,"="&amp;J61)</f>
        <v>1</v>
      </c>
      <c r="S61" s="7">
        <f t="shared" si="5"/>
        <v>1057</v>
      </c>
      <c r="U61" s="7">
        <f t="shared" si="9"/>
        <v>1053</v>
      </c>
      <c r="V61" s="7">
        <f t="shared" si="9"/>
        <v>2053</v>
      </c>
      <c r="W61" s="7">
        <f t="shared" si="9"/>
        <v>3053</v>
      </c>
      <c r="X61" s="7">
        <f t="shared" si="9"/>
        <v>4053</v>
      </c>
      <c r="Y61" s="7">
        <f t="shared" si="9"/>
        <v>5053</v>
      </c>
      <c r="Z61" s="7">
        <f t="shared" si="9"/>
        <v>6053</v>
      </c>
      <c r="AA61" s="7">
        <f t="shared" si="9"/>
        <v>7053</v>
      </c>
      <c r="AB61" s="7">
        <f t="shared" si="9"/>
        <v>8053</v>
      </c>
      <c r="AD61" s="21" t="str">
        <f>IFERROR(INDEX($M:$M,MATCH(U61,$S:$S,0)),"&amp;")</f>
        <v>东征西讨</v>
      </c>
      <c r="AE61" s="21" t="str">
        <f>IFERROR(INDEX($M:$M,MATCH(V61,$S:$S,0)),"&amp;")</f>
        <v>建功立业</v>
      </c>
      <c r="AF61" s="21" t="str">
        <f>IFERROR(INDEX($M:$M,MATCH(W61,$S:$S,0)),"&amp;")</f>
        <v>&amp;</v>
      </c>
      <c r="AG61" s="21" t="str">
        <f>IFERROR(INDEX($M:$M,MATCH(X61,$S:$S,0)),"&amp;")</f>
        <v>&amp;</v>
      </c>
      <c r="AH61" s="21" t="str">
        <f>IFERROR(INDEX($M:$M,MATCH(Y61,$S:$S,0)),"&amp;")</f>
        <v>&amp;</v>
      </c>
      <c r="AI61" s="21" t="str">
        <f>IFERROR(INDEX($M:$M,MATCH(Z61,$S:$S,0)),"&amp;")</f>
        <v>&amp;</v>
      </c>
      <c r="AJ61" s="21" t="str">
        <f>IFERROR(INDEX($M:$M,MATCH(AA61,$S:$S,0)),"&amp;")</f>
        <v>&amp;</v>
      </c>
      <c r="AK61" s="21" t="str">
        <f>IFERROR(INDEX($M:$M,MATCH(AB61,$S:$S,0)),"&amp;")</f>
        <v>&amp;</v>
      </c>
      <c r="AM61" s="21" t="str">
        <f>IFERROR(INDEX($N:$N,MATCH(U61,$S:$S,0)),"&amp;")</f>
        <v>东征西讨2</v>
      </c>
      <c r="AN61" s="21" t="str">
        <f>IFERROR(INDEX($N:$N,MATCH(V61,$S:$S,0)),"&amp;")</f>
        <v>建功立业2</v>
      </c>
      <c r="AO61" s="21" t="str">
        <f>IFERROR(INDEX($N:$N,MATCH(W61,$S:$S,0)),"&amp;")</f>
        <v>&amp;</v>
      </c>
      <c r="AP61" s="21" t="str">
        <f>IFERROR(INDEX($N:$N,MATCH(X61,$S:$S,0)),"&amp;")</f>
        <v>&amp;</v>
      </c>
      <c r="AQ61" s="21" t="str">
        <f>IFERROR(INDEX($N:$N,MATCH(Y61,$S:$S,0)),"&amp;")</f>
        <v>&amp;</v>
      </c>
      <c r="AR61" s="21" t="str">
        <f>IFERROR(INDEX($N:$N,MATCH(Z61,$S:$S,0)),"&amp;")</f>
        <v>&amp;</v>
      </c>
      <c r="AS61" s="21" t="str">
        <f>IFERROR(INDEX($N:$N,MATCH(AA61,$S:$S,0)),"&amp;")</f>
        <v>&amp;</v>
      </c>
      <c r="AT61" s="21" t="str">
        <f>IFERROR(INDEX($N:$N,MATCH(AB61,$S:$S,0)),"&amp;")</f>
        <v>&amp;</v>
      </c>
      <c r="AV61" s="21" t="str">
        <f>IFERROR(SUBSTITUTE(INDEX($K:$K,MATCH(INDEX($M:$M,MATCH(AM61,$N:$N,0)),$M:$M,0)),$D61,""),"")</f>
        <v xml:space="preserve">司马穰苴 </v>
      </c>
      <c r="AW61" s="21" t="str">
        <f>IFERROR(SUBSTITUTE(INDEX($K:$K,MATCH(INDEX($M:$M,MATCH(AN61,$N:$N,0)),$M:$M,0)),$D61,""),"")</f>
        <v xml:space="preserve">樗里疾 </v>
      </c>
      <c r="AX61" s="21" t="str">
        <f>IFERROR(SUBSTITUTE(INDEX($K:$K,MATCH(INDEX($M:$M,MATCH(AO61,$N:$N,0)),$M:$M,0)),$D61,""),"")</f>
        <v/>
      </c>
      <c r="AY61" s="21" t="str">
        <f>IFERROR(SUBSTITUTE(INDEX($K:$K,MATCH(INDEX($M:$M,MATCH(AP61,$N:$N,0)),$M:$M,0)),$D61,""),"")</f>
        <v/>
      </c>
      <c r="AZ61" s="21" t="str">
        <f>IFERROR(SUBSTITUTE(INDEX($K:$K,MATCH(INDEX($M:$M,MATCH(AQ61,$N:$N,0)),$M:$M,0)),$D61,""),"")</f>
        <v/>
      </c>
      <c r="BA61" s="21" t="str">
        <f>IFERROR(SUBSTITUTE(INDEX($K:$K,MATCH(INDEX($M:$M,MATCH(AR61,$N:$N,0)),$M:$M,0)),$D61,""),"")</f>
        <v/>
      </c>
      <c r="BB61" s="21" t="str">
        <f>IFERROR(SUBSTITUTE(INDEX($K:$K,MATCH(INDEX($M:$M,MATCH(AS61,$N:$N,0)),$M:$M,0)),$D61,""),"")</f>
        <v/>
      </c>
      <c r="BC61" s="21" t="str">
        <f>IFERROR(SUBSTITUTE(INDEX($K:$K,MATCH(INDEX($M:$M,MATCH(AT61,$N:$N,0)),$M:$M,0)),$D61,""),"")</f>
        <v/>
      </c>
      <c r="BE61" s="9" t="str">
        <f t="shared" si="7"/>
        <v>司马穰苴,暴鸢,樗里疾</v>
      </c>
      <c r="BI61" s="9" t="str">
        <f>IFERROR(
IF(COUNTIF($M:$M,$AD61)&lt;BI$8,
"",
INDEX($J:$J,MATCH($AD61,$M:$M,0)+BI$8-1)),
"")</f>
        <v>司马穰苴</v>
      </c>
      <c r="BJ61" s="9" t="str">
        <f>IFERROR(
IF(COUNTIF($M:$M,$AD61)&lt;BJ$8,
"",
INDEX($J:$J,MATCH($AD61,$M:$M,0)+BJ$8-1)),
"")</f>
        <v>暴鸢</v>
      </c>
      <c r="BK61" s="9" t="str">
        <f>IFERROR(
IF(COUNTIF($M:$M,$AD61)&lt;BK$8,
"",
INDEX($J:$J,MATCH($AD61,$M:$M,0)+BK$8-1)),
"")</f>
        <v/>
      </c>
      <c r="BL61" s="9" t="str">
        <f>IFERROR(
IF(COUNTIF($M:$M,$AD61)&lt;BL$8,
"",
INDEX($J:$J,MATCH($AD61,$M:$M,0)+BL$8-1)),
"")</f>
        <v/>
      </c>
      <c r="BN61" s="21" t="str">
        <f>IFERROR(
IF(COUNTIF($BI61:BM61,INDEX($J:$J,MATCH($AE61,$M:$M,0)+BN$8-1))=0,
IF(COUNTIF($M:$M,$AE61)&lt;BN$8,
"",
INDEX($J:$J,MATCH($AE61,$M:$M,0)+BN$8-1)),
""),
"")</f>
        <v>樗里疾</v>
      </c>
      <c r="BO61" s="21" t="str">
        <f>IFERROR(
IF(COUNTIF($BI61:BN61,INDEX($J:$J,MATCH($AE61,$M:$M,0)+BO$8-1))=0,
IF(COUNTIF($M:$M,$AE61)&lt;BO$8,
"",
INDEX($J:$J,MATCH($AE61,$M:$M,0)+BO$8-1)),
""),
"")</f>
        <v/>
      </c>
      <c r="BP61" s="21" t="str">
        <f>IFERROR(
IF(COUNTIF($BI61:BO61,INDEX($J:$J,MATCH($AE61,$M:$M,0)+BP$8-1))=0,
IF(COUNTIF($M:$M,$AE61)&lt;BP$8,
"",
INDEX($J:$J,MATCH($AE61,$M:$M,0)+BP$8-1)),
""),
"")</f>
        <v/>
      </c>
      <c r="BQ61" s="21" t="str">
        <f>IFERROR(
IF(COUNTIF($BI61:BP61,INDEX($J:$J,MATCH($AE61,$M:$M,0)+BQ$8-1))=0,
IF(COUNTIF($M:$M,$AE61)&lt;BQ$8,
"",
INDEX($J:$J,MATCH($AE61,$M:$M,0)+BQ$8-1)),
""),
"")</f>
        <v/>
      </c>
      <c r="BS61" s="21" t="str">
        <f>IFERROR(
IF(COUNTIF($BI61:BR61,INDEX($J:$J,MATCH($AF61,$M:$M,0)+BS$8-1))=0,
IF(COUNTIF($M:$M,$AF61)&lt;BS$8,
"",
INDEX($J:$J,MATCH($AF61,$M:$M,0)+BS$8-1)),
""),
"")</f>
        <v/>
      </c>
      <c r="BT61" s="21" t="str">
        <f>IFERROR(
IF(COUNTIF($BI61:BS61,INDEX($J:$J,MATCH($AF61,$M:$M,0)+BT$8-1))=0,
IF(COUNTIF($M:$M,$AF61)&lt;BT$8,
"",
INDEX($J:$J,MATCH($AF61,$M:$M,0)+BT$8-1)),
""),
"")</f>
        <v/>
      </c>
      <c r="BU61" s="21" t="str">
        <f>IFERROR(
IF(COUNTIF($BI61:BT61,INDEX($J:$J,MATCH($AF61,$M:$M,0)+BU$8-1))=0,
IF(COUNTIF($M:$M,$AF61)&lt;BU$8,
"",
INDEX($J:$J,MATCH($AF61,$M:$M,0)+BU$8-1)),
""),
"")</f>
        <v/>
      </c>
      <c r="BV61" s="21" t="str">
        <f>IFERROR(
IF(COUNTIF($BI61:BU61,INDEX($J:$J,MATCH($AF61,$M:$M,0)+BV$8-1))=0,
IF(COUNTIF($M:$M,$AF61)&lt;BV$8,
"",
INDEX($J:$J,MATCH($AF61,$M:$M,0)+BV$8-1)),
""),
"")</f>
        <v/>
      </c>
      <c r="BX61" s="21" t="str">
        <f>IFERROR(
IF(COUNTIF($BI61:BW61,INDEX($J:$J,MATCH($AG61,$M:$M,0)+BX$8-1))=0,
IF(COUNTIF($M:$M,$AG61)&lt;BX$8,
"",
INDEX($J:$J,MATCH($AG61,$M:$M,0)+BX$8-1)),
""),
"")</f>
        <v/>
      </c>
      <c r="BY61" s="21" t="str">
        <f>IFERROR(
IF(COUNTIF($BI61:BX61,INDEX($J:$J,MATCH($AG61,$M:$M,0)+BY$8-1))=0,
IF(COUNTIF($M:$M,$AG61)&lt;BY$8,
"",
INDEX($J:$J,MATCH($AG61,$M:$M,0)+BY$8-1)),
""),
"")</f>
        <v/>
      </c>
      <c r="BZ61" s="21" t="str">
        <f>IFERROR(
IF(COUNTIF($BI61:BY61,INDEX($J:$J,MATCH($AG61,$M:$M,0)+BZ$8-1))=0,
IF(COUNTIF($M:$M,$AG61)&lt;BZ$8,
"",
INDEX($J:$J,MATCH($AG61,$M:$M,0)+BZ$8-1)),
""),
"")</f>
        <v/>
      </c>
      <c r="CA61" s="21" t="str">
        <f>IFERROR(
IF(COUNTIF($BI61:BZ61,INDEX($J:$J,MATCH($AG61,$M:$M,0)+CA$8-1))=0,
IF(COUNTIF($M:$M,$AG61)&lt;CA$8,
"",
INDEX($J:$J,MATCH($AG61,$M:$M,0)+CA$8-1)),
""),
"")</f>
        <v/>
      </c>
      <c r="CC61" s="21" t="str">
        <f>IFERROR(
IF(COUNTIF($BI61:CB61,INDEX($J:$J,MATCH($AH61,$M:$M,0)+CC$8-1))=0,
IF(COUNTIF($M:$M,$AH61)&lt;CC$8,
"",
INDEX($J:$J,MATCH($AH61,$M:$M,0)+CC$8-1)),
""),
"")</f>
        <v/>
      </c>
      <c r="CD61" s="21" t="str">
        <f>IFERROR(
IF(COUNTIF($BI61:CC61,INDEX($J:$J,MATCH($AH61,$M:$M,0)+CD$8-1))=0,
IF(COUNTIF($M:$M,$AH61)&lt;CD$8,
"",
INDEX($J:$J,MATCH($AH61,$M:$M,0)+CD$8-1)),
""),
"")</f>
        <v/>
      </c>
      <c r="CE61" s="21" t="str">
        <f>IFERROR(
IF(COUNTIF($BI61:CD61,INDEX($J:$J,MATCH($AH61,$M:$M,0)+CE$8-1))=0,
IF(COUNTIF($M:$M,$AH61)&lt;CE$8,
"",
INDEX($J:$J,MATCH($AH61,$M:$M,0)+CE$8-1)),
""),
"")</f>
        <v/>
      </c>
      <c r="CF61" s="21" t="str">
        <f>IFERROR(
IF(COUNTIF($BI61:CE61,INDEX($J:$J,MATCH($AH61,$M:$M,0)+CF$8-1))=0,
IF(COUNTIF($M:$M,$AH61)&lt;CF$8,
"",
INDEX($J:$J,MATCH($AH61,$M:$M,0)+CF$8-1)),
""),
"")</f>
        <v/>
      </c>
      <c r="CH61" s="21" t="str">
        <f>IFERROR(
IF(COUNTIF($BI61:CG61,INDEX($J:$J,MATCH($AI61,$M:$M,0)+CH$8-1))=0,
IF(COUNTIF($M:$M,$AI61)&lt;CH$8,
"",
INDEX($J:$J,MATCH($AI61,$M:$M,0)+CH$8-1)),
""),
"")</f>
        <v/>
      </c>
      <c r="CI61" s="21" t="str">
        <f>IFERROR(
IF(COUNTIF($BI61:CH61,INDEX($J:$J,MATCH($AI61,$M:$M,0)+CI$8-1))=0,
IF(COUNTIF($M:$M,$AI61)&lt;CI$8,
"",
INDEX($J:$J,MATCH($AI61,$M:$M,0)+CI$8-1)),
""),
"")</f>
        <v/>
      </c>
      <c r="CJ61" s="21" t="str">
        <f>IFERROR(
IF(COUNTIF($BI61:CI61,INDEX($J:$J,MATCH($AI61,$M:$M,0)+CJ$8-1))=0,
IF(COUNTIF($M:$M,$AI61)&lt;CJ$8,
"",
INDEX($J:$J,MATCH($AI61,$M:$M,0)+CJ$8-1)),
""),
"")</f>
        <v/>
      </c>
      <c r="CK61" s="21" t="str">
        <f>IFERROR(
IF(COUNTIF($BI61:CJ61,INDEX($J:$J,MATCH($AI61,$M:$M,0)+CK$8-1))=0,
IF(COUNTIF($M:$M,$AI61)&lt;CK$8,
"",
INDEX($J:$J,MATCH($AI61,$M:$M,0)+CK$8-1)),
""),
"")</f>
        <v/>
      </c>
      <c r="CM61" s="21" t="str">
        <f>IFERROR(
IF(COUNTIF($BI61:CL61,INDEX($J:$J,MATCH($AJ61,$M:$M,0)+CM$8-1))=0,
IF(COUNTIF($M:$M,$AJ61)&lt;CM$8,
"",
INDEX($J:$J,MATCH($AJ61,$M:$M,0)+CM$8-1)),
""),
"")</f>
        <v/>
      </c>
      <c r="CN61" s="21" t="str">
        <f>IFERROR(
IF(COUNTIF($BI61:CM61,INDEX($J:$J,MATCH($AJ61,$M:$M,0)+CN$8-1))=0,
IF(COUNTIF($M:$M,$AJ61)&lt;CN$8,
"",
INDEX($J:$J,MATCH($AJ61,$M:$M,0)+CN$8-1)),
""),
"")</f>
        <v/>
      </c>
      <c r="CO61" s="21" t="str">
        <f>IFERROR(
IF(COUNTIF($BI61:CN61,INDEX($J:$J,MATCH($AJ61,$M:$M,0)+CO$8-1))=0,
IF(COUNTIF($M:$M,$AJ61)&lt;CO$8,
"",
INDEX($J:$J,MATCH($AJ61,$M:$M,0)+CO$8-1)),
""),
"")</f>
        <v/>
      </c>
      <c r="CP61" s="21" t="str">
        <f>IFERROR(
IF(COUNTIF($BI61:CO61,INDEX($J:$J,MATCH($AJ61,$M:$M,0)+CP$8-1))=0,
IF(COUNTIF($M:$M,$AJ61)&lt;CP$8,
"",
INDEX($J:$J,MATCH($AJ61,$M:$M,0)+CP$8-1)),
""),
"")</f>
        <v/>
      </c>
      <c r="CR61" s="21" t="str">
        <f>IFERROR(
IF(COUNTIF($BI61:CQ61,INDEX($J:$J,MATCH($AK61,$M:$M,0)+CR$8-1))=0,
IF(COUNTIF($M:$M,$AK61)&lt;CR$8,
"",
INDEX($J:$J,MATCH($AK61,$M:$M,0)+CR$8-1)),
""),
"")</f>
        <v/>
      </c>
      <c r="CS61" s="21" t="str">
        <f>IFERROR(
IF(COUNTIF($BI61:CR61,INDEX($J:$J,MATCH($AK61,$M:$M,0)+CS$8-1))=0,
IF(COUNTIF($M:$M,$AK61)&lt;CS$8,
"",
INDEX($J:$J,MATCH($AK61,$M:$M,0)+CS$8-1)),
""),
"")</f>
        <v/>
      </c>
      <c r="CT61" s="21" t="str">
        <f>IFERROR(
IF(COUNTIF($BI61:CS61,INDEX($J:$J,MATCH($AK61,$M:$M,0)+CT$8-1))=0,
IF(COUNTIF($M:$M,$AK61)&lt;CT$8,
"",
INDEX($J:$J,MATCH($AK61,$M:$M,0)+CT$8-1)),
""),
"")</f>
        <v/>
      </c>
      <c r="CU61" s="21" t="str">
        <f>IFERROR(
IF(COUNTIF($BI61:CT61,INDEX($J:$J,MATCH($AK61,$M:$M,0)+CU$8-1))=0,
IF(COUNTIF($M:$M,$AK61)&lt;CU$8,
"",
INDEX($J:$J,MATCH($AK61,$M:$M,0)+CU$8-1)),
""),
"")</f>
        <v/>
      </c>
    </row>
    <row r="62" spans="3:99" ht="14.25">
      <c r="C62" s="16">
        <v>54</v>
      </c>
      <c r="D62" s="19" t="s">
        <v>112</v>
      </c>
      <c r="E62" s="20">
        <f>INDEX([1]武将基本资料!$S:$S,MATCH(D62,[1]武将基本资料!$N:$N,0))</f>
        <v>120</v>
      </c>
      <c r="F62" s="20" t="str">
        <f>INDEX([1]武将基本资料!$Q:$Q,MATCH(D62,[1]武将基本资料!$N:$N,0))</f>
        <v>橙</v>
      </c>
      <c r="H62" s="7" t="str">
        <f>IF(I62="","",COUNTA(I$9:$I62))</f>
        <v/>
      </c>
      <c r="I62" s="6" t="s">
        <v>188</v>
      </c>
      <c r="J62" s="6" t="s">
        <v>196</v>
      </c>
      <c r="K62" s="8" t="str">
        <f>IF(H62="","",阶段合并区域(J62:J72," ",L62:L72,1))</f>
        <v/>
      </c>
      <c r="L62" s="8">
        <f>COUNTIF(M$8:$M62,"="&amp;M62)</f>
        <v>3</v>
      </c>
      <c r="M62" s="9" t="str">
        <f t="shared" si="3"/>
        <v>权倾朝野</v>
      </c>
      <c r="N62" s="9" t="str">
        <f t="shared" si="4"/>
        <v>权倾朝野3</v>
      </c>
      <c r="O62" s="15">
        <f>INDEX(C:C,MATCH(J62,D:D,0))</f>
        <v>6</v>
      </c>
      <c r="P62" s="9">
        <f>INDEX(E:E,MATCH(J62,D:D,0))</f>
        <v>120</v>
      </c>
      <c r="Q62" s="7">
        <f t="shared" si="0"/>
        <v>6</v>
      </c>
      <c r="R62" s="7">
        <f>COUNTIF(J$8:$J62,"="&amp;J62)</f>
        <v>2</v>
      </c>
      <c r="S62" s="7">
        <f t="shared" si="5"/>
        <v>2006</v>
      </c>
      <c r="U62" s="7">
        <f t="shared" si="9"/>
        <v>1054</v>
      </c>
      <c r="V62" s="7">
        <f t="shared" si="9"/>
        <v>2054</v>
      </c>
      <c r="W62" s="7">
        <f t="shared" si="9"/>
        <v>3054</v>
      </c>
      <c r="X62" s="7">
        <f t="shared" si="9"/>
        <v>4054</v>
      </c>
      <c r="Y62" s="7">
        <f t="shared" si="9"/>
        <v>5054</v>
      </c>
      <c r="Z62" s="7">
        <f t="shared" si="9"/>
        <v>6054</v>
      </c>
      <c r="AA62" s="7">
        <f t="shared" si="9"/>
        <v>7054</v>
      </c>
      <c r="AB62" s="7">
        <f t="shared" si="9"/>
        <v>8054</v>
      </c>
      <c r="AD62" s="21" t="str">
        <f>IFERROR(INDEX($M:$M,MATCH(U62,$S:$S,0)),"&amp;")</f>
        <v>御敌于国</v>
      </c>
      <c r="AE62" s="21" t="str">
        <f>IFERROR(INDEX($M:$M,MATCH(V62,$S:$S,0)),"&amp;")</f>
        <v>严刑峻法</v>
      </c>
      <c r="AF62" s="21" t="str">
        <f>IFERROR(INDEX($M:$M,MATCH(W62,$S:$S,0)),"&amp;")</f>
        <v>富国强兵</v>
      </c>
      <c r="AG62" s="21" t="str">
        <f>IFERROR(INDEX($M:$M,MATCH(X62,$S:$S,0)),"&amp;")</f>
        <v>变法强国</v>
      </c>
      <c r="AH62" s="21" t="str">
        <f>IFERROR(INDEX($M:$M,MATCH(Y62,$S:$S,0)),"&amp;")</f>
        <v>一人之下</v>
      </c>
      <c r="AI62" s="21" t="str">
        <f>IFERROR(INDEX($M:$M,MATCH(Z62,$S:$S,0)),"&amp;")</f>
        <v>位高权重</v>
      </c>
      <c r="AJ62" s="21" t="str">
        <f>IFERROR(INDEX($M:$M,MATCH(AA62,$S:$S,0)),"&amp;")</f>
        <v>有损无益</v>
      </c>
      <c r="AK62" s="21" t="str">
        <f>IFERROR(INDEX($M:$M,MATCH(AB62,$S:$S,0)),"&amp;")</f>
        <v>权倾一时</v>
      </c>
      <c r="AM62" s="21" t="str">
        <f>IFERROR(INDEX($N:$N,MATCH(U62,$S:$S,0)),"&amp;")</f>
        <v>御敌于国2</v>
      </c>
      <c r="AN62" s="21" t="str">
        <f>IFERROR(INDEX($N:$N,MATCH(V62,$S:$S,0)),"&amp;")</f>
        <v>严刑峻法2</v>
      </c>
      <c r="AO62" s="21" t="str">
        <f>IFERROR(INDEX($N:$N,MATCH(W62,$S:$S,0)),"&amp;")</f>
        <v>富国强兵1</v>
      </c>
      <c r="AP62" s="21" t="str">
        <f>IFERROR(INDEX($N:$N,MATCH(X62,$S:$S,0)),"&amp;")</f>
        <v>变法强国3</v>
      </c>
      <c r="AQ62" s="21" t="str">
        <f>IFERROR(INDEX($N:$N,MATCH(Y62,$S:$S,0)),"&amp;")</f>
        <v>一人之下4</v>
      </c>
      <c r="AR62" s="21" t="str">
        <f>IFERROR(INDEX($N:$N,MATCH(Z62,$S:$S,0)),"&amp;")</f>
        <v>位高权重3</v>
      </c>
      <c r="AS62" s="21" t="str">
        <f>IFERROR(INDEX($N:$N,MATCH(AA62,$S:$S,0)),"&amp;")</f>
        <v>有损无益2</v>
      </c>
      <c r="AT62" s="21" t="str">
        <f>IFERROR(INDEX($N:$N,MATCH(AB62,$S:$S,0)),"&amp;")</f>
        <v>权倾一时</v>
      </c>
      <c r="AV62" s="21" t="str">
        <f>IFERROR(SUBSTITUTE(INDEX($K:$K,MATCH(INDEX($M:$M,MATCH(AM62,$N:$N,0)),$M:$M,0)),$D62,""),"")</f>
        <v>田单  司马穰苴</v>
      </c>
      <c r="AW62" s="21" t="str">
        <f>IFERROR(SUBSTITUTE(INDEX($K:$K,MATCH(INDEX($M:$M,MATCH(AN62,$N:$N,0)),$M:$M,0)),$D62,""),"")</f>
        <v xml:space="preserve">韩非子 </v>
      </c>
      <c r="AX62" s="21" t="str">
        <f>IFERROR(SUBSTITUTE(INDEX($K:$K,MATCH(INDEX($M:$M,MATCH(AO62,$N:$N,0)),$M:$M,0)),$D62,""),"")</f>
        <v xml:space="preserve"> 西门豹</v>
      </c>
      <c r="AY62" s="21" t="str">
        <f>IFERROR(SUBSTITUTE(INDEX($K:$K,MATCH(INDEX($M:$M,MATCH(AP62,$N:$N,0)),$M:$M,0)),$D62,""),"")</f>
        <v>吴起 屈原  韩非子</v>
      </c>
      <c r="AZ62" s="21" t="str">
        <f>IFERROR(SUBSTITUTE(INDEX($K:$K,MATCH(INDEX($M:$M,MATCH(AQ62,$N:$N,0)),$M:$M,0)),$D62,""),"")</f>
        <v xml:space="preserve">典藏吕不韦 信陵君 苏秦 </v>
      </c>
      <c r="BA62" s="21" t="str">
        <f>IFERROR(SUBSTITUTE(INDEX($K:$K,MATCH(INDEX($M:$M,MATCH(AR62,$N:$N,0)),$M:$M,0)),$D62,""),"")</f>
        <v xml:space="preserve">吕雉 吕不韦 </v>
      </c>
      <c r="BB62" s="21" t="str">
        <f>IFERROR(SUBSTITUTE(INDEX($K:$K,MATCH(INDEX($M:$M,MATCH(AS62,$N:$N,0)),$M:$M,0)),$D62,""),"")</f>
        <v>范雎  田单 孙膑</v>
      </c>
      <c r="BC62" s="21" t="str">
        <f>IFERROR(SUBSTITUTE(INDEX($K:$K,MATCH(INDEX($M:$M,MATCH(AT62,$N:$N,0)),$M:$M,0)),$D62,""),"")</f>
        <v xml:space="preserve">吕雉 吕不韦 信陵君 </v>
      </c>
      <c r="BE62" s="9" t="str">
        <f t="shared" si="7"/>
        <v>田单,申不害,司马穰苴,韩非子,西门豹,吴起,屈原,典藏吕不韦,信陵君,苏秦,吕雉,吕不韦,范雎,孙膑</v>
      </c>
      <c r="BI62" s="9" t="str">
        <f>IFERROR(
IF(COUNTIF($M:$M,$AD62)&lt;BI$8,
"",
INDEX($J:$J,MATCH($AD62,$M:$M,0)+BI$8-1)),
"")</f>
        <v>田单</v>
      </c>
      <c r="BJ62" s="9" t="str">
        <f>IFERROR(
IF(COUNTIF($M:$M,$AD62)&lt;BJ$8,
"",
INDEX($J:$J,MATCH($AD62,$M:$M,0)+BJ$8-1)),
"")</f>
        <v>申不害</v>
      </c>
      <c r="BK62" s="9" t="str">
        <f>IFERROR(
IF(COUNTIF($M:$M,$AD62)&lt;BK$8,
"",
INDEX($J:$J,MATCH($AD62,$M:$M,0)+BK$8-1)),
"")</f>
        <v>司马穰苴</v>
      </c>
      <c r="BL62" s="9" t="str">
        <f>IFERROR(
IF(COUNTIF($M:$M,$AD62)&lt;BL$8,
"",
INDEX($J:$J,MATCH($AD62,$M:$M,0)+BL$8-1)),
"")</f>
        <v/>
      </c>
      <c r="BN62" s="21" t="str">
        <f>IFERROR(
IF(COUNTIF($BI62:BM62,INDEX($J:$J,MATCH($AE62,$M:$M,0)+BN$8-1))=0,
IF(COUNTIF($M:$M,$AE62)&lt;BN$8,
"",
INDEX($J:$J,MATCH($AE62,$M:$M,0)+BN$8-1)),
""),
"")</f>
        <v>韩非子</v>
      </c>
      <c r="BO62" s="21" t="str">
        <f>IFERROR(
IF(COUNTIF($BI62:BN62,INDEX($J:$J,MATCH($AE62,$M:$M,0)+BO$8-1))=0,
IF(COUNTIF($M:$M,$AE62)&lt;BO$8,
"",
INDEX($J:$J,MATCH($AE62,$M:$M,0)+BO$8-1)),
""),
"")</f>
        <v/>
      </c>
      <c r="BP62" s="21" t="str">
        <f>IFERROR(
IF(COUNTIF($BI62:BO62,INDEX($J:$J,MATCH($AE62,$M:$M,0)+BP$8-1))=0,
IF(COUNTIF($M:$M,$AE62)&lt;BP$8,
"",
INDEX($J:$J,MATCH($AE62,$M:$M,0)+BP$8-1)),
""),
"")</f>
        <v/>
      </c>
      <c r="BQ62" s="21" t="str">
        <f>IFERROR(
IF(COUNTIF($BI62:BP62,INDEX($J:$J,MATCH($AE62,$M:$M,0)+BQ$8-1))=0,
IF(COUNTIF($M:$M,$AE62)&lt;BQ$8,
"",
INDEX($J:$J,MATCH($AE62,$M:$M,0)+BQ$8-1)),
""),
"")</f>
        <v/>
      </c>
      <c r="BS62" s="21" t="str">
        <f>IFERROR(
IF(COUNTIF($BI62:BR62,INDEX($J:$J,MATCH($AF62,$M:$M,0)+BS$8-1))=0,
IF(COUNTIF($M:$M,$AF62)&lt;BS$8,
"",
INDEX($J:$J,MATCH($AF62,$M:$M,0)+BS$8-1)),
""),
"")</f>
        <v/>
      </c>
      <c r="BT62" s="21" t="str">
        <f>IFERROR(
IF(COUNTIF($BI62:BS62,INDEX($J:$J,MATCH($AF62,$M:$M,0)+BT$8-1))=0,
IF(COUNTIF($M:$M,$AF62)&lt;BT$8,
"",
INDEX($J:$J,MATCH($AF62,$M:$M,0)+BT$8-1)),
""),
"")</f>
        <v>西门豹</v>
      </c>
      <c r="BU62" s="21" t="str">
        <f>IFERROR(
IF(COUNTIF($BI62:BT62,INDEX($J:$J,MATCH($AF62,$M:$M,0)+BU$8-1))=0,
IF(COUNTIF($M:$M,$AF62)&lt;BU$8,
"",
INDEX($J:$J,MATCH($AF62,$M:$M,0)+BU$8-1)),
""),
"")</f>
        <v/>
      </c>
      <c r="BV62" s="21" t="str">
        <f>IFERROR(
IF(COUNTIF($BI62:BU62,INDEX($J:$J,MATCH($AF62,$M:$M,0)+BV$8-1))=0,
IF(COUNTIF($M:$M,$AF62)&lt;BV$8,
"",
INDEX($J:$J,MATCH($AF62,$M:$M,0)+BV$8-1)),
""),
"")</f>
        <v/>
      </c>
      <c r="BX62" s="21" t="str">
        <f>IFERROR(
IF(COUNTIF($BI62:BW62,INDEX($J:$J,MATCH($AG62,$M:$M,0)+BX$8-1))=0,
IF(COUNTIF($M:$M,$AG62)&lt;BX$8,
"",
INDEX($J:$J,MATCH($AG62,$M:$M,0)+BX$8-1)),
""),
"")</f>
        <v>吴起</v>
      </c>
      <c r="BY62" s="21" t="str">
        <f>IFERROR(
IF(COUNTIF($BI62:BX62,INDEX($J:$J,MATCH($AG62,$M:$M,0)+BY$8-1))=0,
IF(COUNTIF($M:$M,$AG62)&lt;BY$8,
"",
INDEX($J:$J,MATCH($AG62,$M:$M,0)+BY$8-1)),
""),
"")</f>
        <v>屈原</v>
      </c>
      <c r="BZ62" s="21" t="str">
        <f>IFERROR(
IF(COUNTIF($BI62:BY62,INDEX($J:$J,MATCH($AG62,$M:$M,0)+BZ$8-1))=0,
IF(COUNTIF($M:$M,$AG62)&lt;BZ$8,
"",
INDEX($J:$J,MATCH($AG62,$M:$M,0)+BZ$8-1)),
""),
"")</f>
        <v/>
      </c>
      <c r="CA62" s="21" t="str">
        <f>IFERROR(
IF(COUNTIF($BI62:BZ62,INDEX($J:$J,MATCH($AG62,$M:$M,0)+CA$8-1))=0,
IF(COUNTIF($M:$M,$AG62)&lt;CA$8,
"",
INDEX($J:$J,MATCH($AG62,$M:$M,0)+CA$8-1)),
""),
"")</f>
        <v/>
      </c>
      <c r="CC62" s="21" t="str">
        <f>IFERROR(
IF(COUNTIF($BI62:CB62,INDEX($J:$J,MATCH($AH62,$M:$M,0)+CC$8-1))=0,
IF(COUNTIF($M:$M,$AH62)&lt;CC$8,
"",
INDEX($J:$J,MATCH($AH62,$M:$M,0)+CC$8-1)),
""),
"")</f>
        <v>典藏吕不韦</v>
      </c>
      <c r="CD62" s="21" t="str">
        <f>IFERROR(
IF(COUNTIF($BI62:CC62,INDEX($J:$J,MATCH($AH62,$M:$M,0)+CD$8-1))=0,
IF(COUNTIF($M:$M,$AH62)&lt;CD$8,
"",
INDEX($J:$J,MATCH($AH62,$M:$M,0)+CD$8-1)),
""),
"")</f>
        <v>信陵君</v>
      </c>
      <c r="CE62" s="21" t="str">
        <f>IFERROR(
IF(COUNTIF($BI62:CD62,INDEX($J:$J,MATCH($AH62,$M:$M,0)+CE$8-1))=0,
IF(COUNTIF($M:$M,$AH62)&lt;CE$8,
"",
INDEX($J:$J,MATCH($AH62,$M:$M,0)+CE$8-1)),
""),
"")</f>
        <v>苏秦</v>
      </c>
      <c r="CF62" s="21" t="str">
        <f>IFERROR(
IF(COUNTIF($BI62:CE62,INDEX($J:$J,MATCH($AH62,$M:$M,0)+CF$8-1))=0,
IF(COUNTIF($M:$M,$AH62)&lt;CF$8,
"",
INDEX($J:$J,MATCH($AH62,$M:$M,0)+CF$8-1)),
""),
"")</f>
        <v/>
      </c>
      <c r="CH62" s="21" t="str">
        <f>IFERROR(
IF(COUNTIF($BI62:CG62,INDEX($J:$J,MATCH($AI62,$M:$M,0)+CH$8-1))=0,
IF(COUNTIF($M:$M,$AI62)&lt;CH$8,
"",
INDEX($J:$J,MATCH($AI62,$M:$M,0)+CH$8-1)),
""),
"")</f>
        <v>吕雉</v>
      </c>
      <c r="CI62" s="21" t="str">
        <f>IFERROR(
IF(COUNTIF($BI62:CH62,INDEX($J:$J,MATCH($AI62,$M:$M,0)+CI$8-1))=0,
IF(COUNTIF($M:$M,$AI62)&lt;CI$8,
"",
INDEX($J:$J,MATCH($AI62,$M:$M,0)+CI$8-1)),
""),
"")</f>
        <v>吕不韦</v>
      </c>
      <c r="CJ62" s="21" t="str">
        <f>IFERROR(
IF(COUNTIF($BI62:CI62,INDEX($J:$J,MATCH($AI62,$M:$M,0)+CJ$8-1))=0,
IF(COUNTIF($M:$M,$AI62)&lt;CJ$8,
"",
INDEX($J:$J,MATCH($AI62,$M:$M,0)+CJ$8-1)),
""),
"")</f>
        <v/>
      </c>
      <c r="CK62" s="21" t="str">
        <f>IFERROR(
IF(COUNTIF($BI62:CJ62,INDEX($J:$J,MATCH($AI62,$M:$M,0)+CK$8-1))=0,
IF(COUNTIF($M:$M,$AI62)&lt;CK$8,
"",
INDEX($J:$J,MATCH($AI62,$M:$M,0)+CK$8-1)),
""),
"")</f>
        <v/>
      </c>
      <c r="CM62" s="21" t="str">
        <f>IFERROR(
IF(COUNTIF($BI62:CL62,INDEX($J:$J,MATCH($AJ62,$M:$M,0)+CM$8-1))=0,
IF(COUNTIF($M:$M,$AJ62)&lt;CM$8,
"",
INDEX($J:$J,MATCH($AJ62,$M:$M,0)+CM$8-1)),
""),
"")</f>
        <v>范雎</v>
      </c>
      <c r="CN62" s="21" t="str">
        <f>IFERROR(
IF(COUNTIF($BI62:CM62,INDEX($J:$J,MATCH($AJ62,$M:$M,0)+CN$8-1))=0,
IF(COUNTIF($M:$M,$AJ62)&lt;CN$8,
"",
INDEX($J:$J,MATCH($AJ62,$M:$M,0)+CN$8-1)),
""),
"")</f>
        <v/>
      </c>
      <c r="CO62" s="21" t="str">
        <f>IFERROR(
IF(COUNTIF($BI62:CN62,INDEX($J:$J,MATCH($AJ62,$M:$M,0)+CO$8-1))=0,
IF(COUNTIF($M:$M,$AJ62)&lt;CO$8,
"",
INDEX($J:$J,MATCH($AJ62,$M:$M,0)+CO$8-1)),
""),
"")</f>
        <v/>
      </c>
      <c r="CP62" s="21" t="str">
        <f>IFERROR(
IF(COUNTIF($BI62:CO62,INDEX($J:$J,MATCH($AJ62,$M:$M,0)+CP$8-1))=0,
IF(COUNTIF($M:$M,$AJ62)&lt;CP$8,
"",
INDEX($J:$J,MATCH($AJ62,$M:$M,0)+CP$8-1)),
""),
"")</f>
        <v>孙膑</v>
      </c>
      <c r="CR62" s="21" t="str">
        <f>IFERROR(
IF(COUNTIF($BI62:CQ62,INDEX($J:$J,MATCH($AK62,$M:$M,0)+CR$8-1))=0,
IF(COUNTIF($M:$M,$AK62)&lt;CR$8,
"",
INDEX($J:$J,MATCH($AK62,$M:$M,0)+CR$8-1)),
""),
"")</f>
        <v/>
      </c>
      <c r="CS62" s="21" t="str">
        <f>IFERROR(
IF(COUNTIF($BI62:CR62,INDEX($J:$J,MATCH($AK62,$M:$M,0)+CS$8-1))=0,
IF(COUNTIF($M:$M,$AK62)&lt;CS$8,
"",
INDEX($J:$J,MATCH($AK62,$M:$M,0)+CS$8-1)),
""),
"")</f>
        <v/>
      </c>
      <c r="CT62" s="21" t="str">
        <f>IFERROR(
IF(COUNTIF($BI62:CS62,INDEX($J:$J,MATCH($AK62,$M:$M,0)+CT$8-1))=0,
IF(COUNTIF($M:$M,$AK62)&lt;CT$8,
"",
INDEX($J:$J,MATCH($AK62,$M:$M,0)+CT$8-1)),
""),
"")</f>
        <v/>
      </c>
      <c r="CU62" s="21" t="str">
        <f>IFERROR(
IF(COUNTIF($BI62:CT62,INDEX($J:$J,MATCH($AK62,$M:$M,0)+CU$8-1))=0,
IF(COUNTIF($M:$M,$AK62)&lt;CU$8,
"",
INDEX($J:$J,MATCH($AK62,$M:$M,0)+CU$8-1)),
""),
"")</f>
        <v/>
      </c>
    </row>
    <row r="63" spans="3:99" ht="14.25">
      <c r="C63" s="16">
        <v>55</v>
      </c>
      <c r="D63" s="19" t="s">
        <v>61</v>
      </c>
      <c r="E63" s="20">
        <f>INDEX([1]武将基本资料!$S:$S,MATCH(D63,[1]武将基本资料!$N:$N,0))</f>
        <v>120</v>
      </c>
      <c r="F63" s="20" t="str">
        <f>INDEX([1]武将基本资料!$Q:$Q,MATCH(D63,[1]武将基本资料!$N:$N,0))</f>
        <v>橙</v>
      </c>
      <c r="H63" s="7">
        <f>IF(I63="","",COUNTA(I$9:$I63))</f>
        <v>53</v>
      </c>
      <c r="I63" s="22" t="s">
        <v>212</v>
      </c>
      <c r="J63" s="6" t="s">
        <v>213</v>
      </c>
      <c r="K63" s="8" t="str">
        <f>IF(H63="","",阶段合并区域(J63:J73," ",L63:L73,1))</f>
        <v>屈原 苏秦</v>
      </c>
      <c r="L63" s="8">
        <f>COUNTIF(M$8:$M63,"="&amp;M63)</f>
        <v>1</v>
      </c>
      <c r="M63" s="9" t="str">
        <f t="shared" si="3"/>
        <v>优国忘身</v>
      </c>
      <c r="N63" s="9" t="str">
        <f t="shared" si="4"/>
        <v>优国忘身1</v>
      </c>
      <c r="O63" s="15">
        <f>INDEX(C:C,MATCH(J63,D:D,0))</f>
        <v>40</v>
      </c>
      <c r="P63" s="9">
        <f>INDEX(E:E,MATCH(J63,D:D,0))</f>
        <v>120</v>
      </c>
      <c r="Q63" s="7">
        <f t="shared" si="0"/>
        <v>40</v>
      </c>
      <c r="R63" s="7">
        <f>COUNTIF(J$8:$J63,"="&amp;J63)</f>
        <v>1</v>
      </c>
      <c r="S63" s="7">
        <f t="shared" si="5"/>
        <v>1040</v>
      </c>
      <c r="U63" s="7">
        <f t="shared" si="9"/>
        <v>1055</v>
      </c>
      <c r="V63" s="7">
        <f t="shared" si="9"/>
        <v>2055</v>
      </c>
      <c r="W63" s="7">
        <f t="shared" si="9"/>
        <v>3055</v>
      </c>
      <c r="X63" s="7">
        <f t="shared" si="9"/>
        <v>4055</v>
      </c>
      <c r="Y63" s="7">
        <f t="shared" si="9"/>
        <v>5055</v>
      </c>
      <c r="Z63" s="7">
        <f t="shared" si="9"/>
        <v>6055</v>
      </c>
      <c r="AA63" s="7">
        <f t="shared" si="9"/>
        <v>7055</v>
      </c>
      <c r="AB63" s="7">
        <f t="shared" si="9"/>
        <v>8055</v>
      </c>
      <c r="AD63" s="21" t="str">
        <f>IFERROR(INDEX($M:$M,MATCH(U63,$S:$S,0)),"&amp;")</f>
        <v>棋逢对手</v>
      </c>
      <c r="AE63" s="21" t="str">
        <f>IFERROR(INDEX($M:$M,MATCH(V63,$S:$S,0)),"&amp;")</f>
        <v>南征北战</v>
      </c>
      <c r="AF63" s="21" t="str">
        <f>IFERROR(INDEX($M:$M,MATCH(W63,$S:$S,0)),"&amp;")</f>
        <v>大权在握</v>
      </c>
      <c r="AG63" s="21" t="str">
        <f>IFERROR(INDEX($M:$M,MATCH(X63,$S:$S,0)),"&amp;")</f>
        <v>兴国安邦</v>
      </c>
      <c r="AH63" s="21" t="str">
        <f>IFERROR(INDEX($M:$M,MATCH(Y63,$S:$S,0)),"&amp;")</f>
        <v>国之柱石</v>
      </c>
      <c r="AI63" s="21" t="str">
        <f>IFERROR(INDEX($M:$M,MATCH(Z63,$S:$S,0)),"&amp;")</f>
        <v>攻守相济</v>
      </c>
      <c r="AJ63" s="21" t="str">
        <f>IFERROR(INDEX($M:$M,MATCH(AA63,$S:$S,0)),"&amp;")</f>
        <v>国之重将</v>
      </c>
      <c r="AK63" s="21" t="str">
        <f>IFERROR(INDEX($M:$M,MATCH(AB63,$S:$S,0)),"&amp;")</f>
        <v>身经百战</v>
      </c>
      <c r="AM63" s="21" t="str">
        <f>IFERROR(INDEX($N:$N,MATCH(U63,$S:$S,0)),"&amp;")</f>
        <v>棋逢对手2</v>
      </c>
      <c r="AN63" s="21" t="str">
        <f>IFERROR(INDEX($N:$N,MATCH(V63,$S:$S,0)),"&amp;")</f>
        <v>南征北战1</v>
      </c>
      <c r="AO63" s="21" t="str">
        <f>IFERROR(INDEX($N:$N,MATCH(W63,$S:$S,0)),"&amp;")</f>
        <v>大权在握3</v>
      </c>
      <c r="AP63" s="21" t="str">
        <f>IFERROR(INDEX($N:$N,MATCH(X63,$S:$S,0)),"&amp;")</f>
        <v>兴国安邦4</v>
      </c>
      <c r="AQ63" s="21" t="str">
        <f>IFERROR(INDEX($N:$N,MATCH(Y63,$S:$S,0)),"&amp;")</f>
        <v>国之柱石3</v>
      </c>
      <c r="AR63" s="21" t="str">
        <f>IFERROR(INDEX($N:$N,MATCH(Z63,$S:$S,0)),"&amp;")</f>
        <v>攻守相济4</v>
      </c>
      <c r="AS63" s="21" t="str">
        <f>IFERROR(INDEX($N:$N,MATCH(AA63,$S:$S,0)),"&amp;")</f>
        <v>国之重将4</v>
      </c>
      <c r="AT63" s="21" t="str">
        <f>IFERROR(INDEX($N:$N,MATCH(AB63,$S:$S,0)),"&amp;")</f>
        <v>身经百战4</v>
      </c>
      <c r="AV63" s="21" t="str">
        <f>IFERROR(SUBSTITUTE(INDEX($K:$K,MATCH(INDEX($M:$M,MATCH(AM63,$N:$N,0)),$M:$M,0)),$D63,""),"")</f>
        <v xml:space="preserve">田单 </v>
      </c>
      <c r="AW63" s="21" t="str">
        <f>IFERROR(SUBSTITUTE(INDEX($K:$K,MATCH(INDEX($M:$M,MATCH(AN63,$N:$N,0)),$M:$M,0)),$D63,""),"")</f>
        <v xml:space="preserve"> 义渠骇 樗里疾</v>
      </c>
      <c r="AX63" s="21" t="str">
        <f>IFERROR(SUBSTITUTE(INDEX($K:$K,MATCH(INDEX($M:$M,MATCH(AO63,$N:$N,0)),$M:$M,0)),$D63,""),"")</f>
        <v>吴起 信陵君  苏秦</v>
      </c>
      <c r="AY63" s="21" t="str">
        <f>IFERROR(SUBSTITUTE(INDEX($K:$K,MATCH(INDEX($M:$M,MATCH(AP63,$N:$N,0)),$M:$M,0)),$D63,""),"")</f>
        <v xml:space="preserve">廉颇 田单 樗里疾 </v>
      </c>
      <c r="AZ63" s="21" t="str">
        <f>IFERROR(SUBSTITUTE(INDEX($K:$K,MATCH(INDEX($M:$M,MATCH(AQ63,$N:$N,0)),$M:$M,0)),$D63,""),"")</f>
        <v>廉颇 樗里疾  司马穰苴</v>
      </c>
      <c r="BA63" s="21" t="str">
        <f>IFERROR(SUBSTITUTE(INDEX($K:$K,MATCH(INDEX($M:$M,MATCH(AR63,$N:$N,0)),$M:$M,0)),$D63,""),"")</f>
        <v xml:space="preserve">墨子 司马穰苴 田单 </v>
      </c>
      <c r="BB63" s="21" t="str">
        <f>IFERROR(SUBSTITUTE(INDEX($K:$K,MATCH(INDEX($M:$M,MATCH(AS63,$N:$N,0)),$M:$M,0)),$D63,""),"")</f>
        <v xml:space="preserve">蒙恬 项燕 孙膑 </v>
      </c>
      <c r="BC63" s="21" t="str">
        <f>IFERROR(SUBSTITUTE(INDEX($K:$K,MATCH(INDEX($M:$M,MATCH(AT63,$N:$N,0)),$M:$M,0)),$D63,""),"")</f>
        <v xml:space="preserve">白起 吴起 田单 </v>
      </c>
      <c r="BE63" s="9" t="str">
        <f t="shared" si="7"/>
        <v>田单,乐毅,义渠骇,樗里疾,吴起,信陵君,苏秦,廉颇,司马穰苴,墨子,蒙恬,项燕,孙膑,白起</v>
      </c>
      <c r="BI63" s="9" t="str">
        <f>IFERROR(
IF(COUNTIF($M:$M,$AD63)&lt;BI$8,
"",
INDEX($J:$J,MATCH($AD63,$M:$M,0)+BI$8-1)),
"")</f>
        <v>田单</v>
      </c>
      <c r="BJ63" s="9" t="str">
        <f>IFERROR(
IF(COUNTIF($M:$M,$AD63)&lt;BJ$8,
"",
INDEX($J:$J,MATCH($AD63,$M:$M,0)+BJ$8-1)),
"")</f>
        <v>乐毅</v>
      </c>
      <c r="BK63" s="9" t="str">
        <f>IFERROR(
IF(COUNTIF($M:$M,$AD63)&lt;BK$8,
"",
INDEX($J:$J,MATCH($AD63,$M:$M,0)+BK$8-1)),
"")</f>
        <v/>
      </c>
      <c r="BL63" s="9" t="str">
        <f>IFERROR(
IF(COUNTIF($M:$M,$AD63)&lt;BL$8,
"",
INDEX($J:$J,MATCH($AD63,$M:$M,0)+BL$8-1)),
"")</f>
        <v/>
      </c>
      <c r="BN63" s="21" t="str">
        <f>IFERROR(
IF(COUNTIF($BI63:BM63,INDEX($J:$J,MATCH($AE63,$M:$M,0)+BN$8-1))=0,
IF(COUNTIF($M:$M,$AE63)&lt;BN$8,
"",
INDEX($J:$J,MATCH($AE63,$M:$M,0)+BN$8-1)),
""),
"")</f>
        <v/>
      </c>
      <c r="BO63" s="21" t="str">
        <f>IFERROR(
IF(COUNTIF($BI63:BN63,INDEX($J:$J,MATCH($AE63,$M:$M,0)+BO$8-1))=0,
IF(COUNTIF($M:$M,$AE63)&lt;BO$8,
"",
INDEX($J:$J,MATCH($AE63,$M:$M,0)+BO$8-1)),
""),
"")</f>
        <v>义渠骇</v>
      </c>
      <c r="BP63" s="21" t="str">
        <f>IFERROR(
IF(COUNTIF($BI63:BO63,INDEX($J:$J,MATCH($AE63,$M:$M,0)+BP$8-1))=0,
IF(COUNTIF($M:$M,$AE63)&lt;BP$8,
"",
INDEX($J:$J,MATCH($AE63,$M:$M,0)+BP$8-1)),
""),
"")</f>
        <v>樗里疾</v>
      </c>
      <c r="BQ63" s="21" t="str">
        <f>IFERROR(
IF(COUNTIF($BI63:BP63,INDEX($J:$J,MATCH($AE63,$M:$M,0)+BQ$8-1))=0,
IF(COUNTIF($M:$M,$AE63)&lt;BQ$8,
"",
INDEX($J:$J,MATCH($AE63,$M:$M,0)+BQ$8-1)),
""),
"")</f>
        <v/>
      </c>
      <c r="BS63" s="21" t="str">
        <f>IFERROR(
IF(COUNTIF($BI63:BR63,INDEX($J:$J,MATCH($AF63,$M:$M,0)+BS$8-1))=0,
IF(COUNTIF($M:$M,$AF63)&lt;BS$8,
"",
INDEX($J:$J,MATCH($AF63,$M:$M,0)+BS$8-1)),
""),
"")</f>
        <v>吴起</v>
      </c>
      <c r="BT63" s="21" t="str">
        <f>IFERROR(
IF(COUNTIF($BI63:BS63,INDEX($J:$J,MATCH($AF63,$M:$M,0)+BT$8-1))=0,
IF(COUNTIF($M:$M,$AF63)&lt;BT$8,
"",
INDEX($J:$J,MATCH($AF63,$M:$M,0)+BT$8-1)),
""),
"")</f>
        <v>信陵君</v>
      </c>
      <c r="BU63" s="21" t="str">
        <f>IFERROR(
IF(COUNTIF($BI63:BT63,INDEX($J:$J,MATCH($AF63,$M:$M,0)+BU$8-1))=0,
IF(COUNTIF($M:$M,$AF63)&lt;BU$8,
"",
INDEX($J:$J,MATCH($AF63,$M:$M,0)+BU$8-1)),
""),
"")</f>
        <v/>
      </c>
      <c r="BV63" s="21" t="str">
        <f>IFERROR(
IF(COUNTIF($BI63:BU63,INDEX($J:$J,MATCH($AF63,$M:$M,0)+BV$8-1))=0,
IF(COUNTIF($M:$M,$AF63)&lt;BV$8,
"",
INDEX($J:$J,MATCH($AF63,$M:$M,0)+BV$8-1)),
""),
"")</f>
        <v>苏秦</v>
      </c>
      <c r="BX63" s="21" t="str">
        <f>IFERROR(
IF(COUNTIF($BI63:BW63,INDEX($J:$J,MATCH($AG63,$M:$M,0)+BX$8-1))=0,
IF(COUNTIF($M:$M,$AG63)&lt;BX$8,
"",
INDEX($J:$J,MATCH($AG63,$M:$M,0)+BX$8-1)),
""),
"")</f>
        <v>廉颇</v>
      </c>
      <c r="BY63" s="21" t="str">
        <f>IFERROR(
IF(COUNTIF($BI63:BX63,INDEX($J:$J,MATCH($AG63,$M:$M,0)+BY$8-1))=0,
IF(COUNTIF($M:$M,$AG63)&lt;BY$8,
"",
INDEX($J:$J,MATCH($AG63,$M:$M,0)+BY$8-1)),
""),
"")</f>
        <v/>
      </c>
      <c r="BZ63" s="21" t="str">
        <f>IFERROR(
IF(COUNTIF($BI63:BY63,INDEX($J:$J,MATCH($AG63,$M:$M,0)+BZ$8-1))=0,
IF(COUNTIF($M:$M,$AG63)&lt;BZ$8,
"",
INDEX($J:$J,MATCH($AG63,$M:$M,0)+BZ$8-1)),
""),
"")</f>
        <v/>
      </c>
      <c r="CA63" s="21" t="str">
        <f>IFERROR(
IF(COUNTIF($BI63:BZ63,INDEX($J:$J,MATCH($AG63,$M:$M,0)+CA$8-1))=0,
IF(COUNTIF($M:$M,$AG63)&lt;CA$8,
"",
INDEX($J:$J,MATCH($AG63,$M:$M,0)+CA$8-1)),
""),
"")</f>
        <v/>
      </c>
      <c r="CC63" s="21" t="str">
        <f>IFERROR(
IF(COUNTIF($BI63:CB63,INDEX($J:$J,MATCH($AH63,$M:$M,0)+CC$8-1))=0,
IF(COUNTIF($M:$M,$AH63)&lt;CC$8,
"",
INDEX($J:$J,MATCH($AH63,$M:$M,0)+CC$8-1)),
""),
"")</f>
        <v/>
      </c>
      <c r="CD63" s="21" t="str">
        <f>IFERROR(
IF(COUNTIF($BI63:CC63,INDEX($J:$J,MATCH($AH63,$M:$M,0)+CD$8-1))=0,
IF(COUNTIF($M:$M,$AH63)&lt;CD$8,
"",
INDEX($J:$J,MATCH($AH63,$M:$M,0)+CD$8-1)),
""),
"")</f>
        <v/>
      </c>
      <c r="CE63" s="21" t="str">
        <f>IFERROR(
IF(COUNTIF($BI63:CD63,INDEX($J:$J,MATCH($AH63,$M:$M,0)+CE$8-1))=0,
IF(COUNTIF($M:$M,$AH63)&lt;CE$8,
"",
INDEX($J:$J,MATCH($AH63,$M:$M,0)+CE$8-1)),
""),
"")</f>
        <v/>
      </c>
      <c r="CF63" s="21" t="str">
        <f>IFERROR(
IF(COUNTIF($BI63:CE63,INDEX($J:$J,MATCH($AH63,$M:$M,0)+CF$8-1))=0,
IF(COUNTIF($M:$M,$AH63)&lt;CF$8,
"",
INDEX($J:$J,MATCH($AH63,$M:$M,0)+CF$8-1)),
""),
"")</f>
        <v>司马穰苴</v>
      </c>
      <c r="CH63" s="21" t="str">
        <f>IFERROR(
IF(COUNTIF($BI63:CG63,INDEX($J:$J,MATCH($AI63,$M:$M,0)+CH$8-1))=0,
IF(COUNTIF($M:$M,$AI63)&lt;CH$8,
"",
INDEX($J:$J,MATCH($AI63,$M:$M,0)+CH$8-1)),
""),
"")</f>
        <v>墨子</v>
      </c>
      <c r="CI63" s="21" t="str">
        <f>IFERROR(
IF(COUNTIF($BI63:CH63,INDEX($J:$J,MATCH($AI63,$M:$M,0)+CI$8-1))=0,
IF(COUNTIF($M:$M,$AI63)&lt;CI$8,
"",
INDEX($J:$J,MATCH($AI63,$M:$M,0)+CI$8-1)),
""),
"")</f>
        <v/>
      </c>
      <c r="CJ63" s="21" t="str">
        <f>IFERROR(
IF(COUNTIF($BI63:CI63,INDEX($J:$J,MATCH($AI63,$M:$M,0)+CJ$8-1))=0,
IF(COUNTIF($M:$M,$AI63)&lt;CJ$8,
"",
INDEX($J:$J,MATCH($AI63,$M:$M,0)+CJ$8-1)),
""),
"")</f>
        <v/>
      </c>
      <c r="CK63" s="21" t="str">
        <f>IFERROR(
IF(COUNTIF($BI63:CJ63,INDEX($J:$J,MATCH($AI63,$M:$M,0)+CK$8-1))=0,
IF(COUNTIF($M:$M,$AI63)&lt;CK$8,
"",
INDEX($J:$J,MATCH($AI63,$M:$M,0)+CK$8-1)),
""),
"")</f>
        <v/>
      </c>
      <c r="CM63" s="21" t="str">
        <f>IFERROR(
IF(COUNTIF($BI63:CL63,INDEX($J:$J,MATCH($AJ63,$M:$M,0)+CM$8-1))=0,
IF(COUNTIF($M:$M,$AJ63)&lt;CM$8,
"",
INDEX($J:$J,MATCH($AJ63,$M:$M,0)+CM$8-1)),
""),
"")</f>
        <v>蒙恬</v>
      </c>
      <c r="CN63" s="21" t="str">
        <f>IFERROR(
IF(COUNTIF($BI63:CM63,INDEX($J:$J,MATCH($AJ63,$M:$M,0)+CN$8-1))=0,
IF(COUNTIF($M:$M,$AJ63)&lt;CN$8,
"",
INDEX($J:$J,MATCH($AJ63,$M:$M,0)+CN$8-1)),
""),
"")</f>
        <v>项燕</v>
      </c>
      <c r="CO63" s="21" t="str">
        <f>IFERROR(
IF(COUNTIF($BI63:CN63,INDEX($J:$J,MATCH($AJ63,$M:$M,0)+CO$8-1))=0,
IF(COUNTIF($M:$M,$AJ63)&lt;CO$8,
"",
INDEX($J:$J,MATCH($AJ63,$M:$M,0)+CO$8-1)),
""),
"")</f>
        <v>孙膑</v>
      </c>
      <c r="CP63" s="21" t="str">
        <f>IFERROR(
IF(COUNTIF($BI63:CO63,INDEX($J:$J,MATCH($AJ63,$M:$M,0)+CP$8-1))=0,
IF(COUNTIF($M:$M,$AJ63)&lt;CP$8,
"",
INDEX($J:$J,MATCH($AJ63,$M:$M,0)+CP$8-1)),
""),
"")</f>
        <v/>
      </c>
      <c r="CR63" s="21" t="str">
        <f>IFERROR(
IF(COUNTIF($BI63:CQ63,INDEX($J:$J,MATCH($AK63,$M:$M,0)+CR$8-1))=0,
IF(COUNTIF($M:$M,$AK63)&lt;CR$8,
"",
INDEX($J:$J,MATCH($AK63,$M:$M,0)+CR$8-1)),
""),
"")</f>
        <v>白起</v>
      </c>
      <c r="CS63" s="21" t="str">
        <f>IFERROR(
IF(COUNTIF($BI63:CR63,INDEX($J:$J,MATCH($AK63,$M:$M,0)+CS$8-1))=0,
IF(COUNTIF($M:$M,$AK63)&lt;CS$8,
"",
INDEX($J:$J,MATCH($AK63,$M:$M,0)+CS$8-1)),
""),
"")</f>
        <v/>
      </c>
      <c r="CT63" s="21" t="str">
        <f>IFERROR(
IF(COUNTIF($BI63:CS63,INDEX($J:$J,MATCH($AK63,$M:$M,0)+CT$8-1))=0,
IF(COUNTIF($M:$M,$AK63)&lt;CT$8,
"",
INDEX($J:$J,MATCH($AK63,$M:$M,0)+CT$8-1)),
""),
"")</f>
        <v/>
      </c>
      <c r="CU63" s="21" t="str">
        <f>IFERROR(
IF(COUNTIF($BI63:CT63,INDEX($J:$J,MATCH($AK63,$M:$M,0)+CU$8-1))=0,
IF(COUNTIF($M:$M,$AK63)&lt;CU$8,
"",
INDEX($J:$J,MATCH($AK63,$M:$M,0)+CU$8-1)),
""),
"")</f>
        <v/>
      </c>
    </row>
    <row r="64" spans="3:99" ht="14.25">
      <c r="C64" s="16">
        <v>56</v>
      </c>
      <c r="D64" s="19" t="s">
        <v>62</v>
      </c>
      <c r="E64" s="20">
        <f>INDEX([1]武将基本资料!$S:$S,MATCH(D64,[1]武将基本资料!$N:$N,0))</f>
        <v>120</v>
      </c>
      <c r="F64" s="20" t="str">
        <f>INDEX([1]武将基本资料!$Q:$Q,MATCH(D64,[1]武将基本资料!$N:$N,0))</f>
        <v>橙</v>
      </c>
      <c r="H64" s="7" t="str">
        <f>IF(I64="","",COUNTA(I$9:$I64))</f>
        <v/>
      </c>
      <c r="I64" s="6" t="s">
        <v>188</v>
      </c>
      <c r="J64" s="6" t="s">
        <v>70</v>
      </c>
      <c r="K64" s="8" t="str">
        <f>IF(H64="","",阶段合并区域(J64:J74," ",L64:L74,1))</f>
        <v/>
      </c>
      <c r="L64" s="8">
        <f>COUNTIF(M$8:$M64,"="&amp;M64)</f>
        <v>2</v>
      </c>
      <c r="M64" s="9" t="str">
        <f t="shared" si="3"/>
        <v>优国忘身</v>
      </c>
      <c r="N64" s="9" t="str">
        <f t="shared" si="4"/>
        <v>优国忘身2</v>
      </c>
      <c r="O64" s="15">
        <f>INDEX(C:C,MATCH(J64,D:D,0))</f>
        <v>57</v>
      </c>
      <c r="P64" s="9">
        <f>INDEX(E:E,MATCH(J64,D:D,0))</f>
        <v>120</v>
      </c>
      <c r="Q64" s="7">
        <f t="shared" si="0"/>
        <v>57</v>
      </c>
      <c r="R64" s="7">
        <f>COUNTIF(J$8:$J64,"="&amp;J64)</f>
        <v>2</v>
      </c>
      <c r="S64" s="7">
        <f t="shared" si="5"/>
        <v>2057</v>
      </c>
      <c r="U64" s="7">
        <f t="shared" si="9"/>
        <v>1056</v>
      </c>
      <c r="V64" s="7">
        <f t="shared" si="9"/>
        <v>2056</v>
      </c>
      <c r="W64" s="7">
        <f t="shared" si="9"/>
        <v>3056</v>
      </c>
      <c r="X64" s="7">
        <f t="shared" si="9"/>
        <v>4056</v>
      </c>
      <c r="Y64" s="7">
        <f t="shared" si="9"/>
        <v>5056</v>
      </c>
      <c r="Z64" s="7">
        <f t="shared" si="9"/>
        <v>6056</v>
      </c>
      <c r="AA64" s="7">
        <f t="shared" si="9"/>
        <v>7056</v>
      </c>
      <c r="AB64" s="7">
        <f t="shared" si="9"/>
        <v>8056</v>
      </c>
      <c r="AD64" s="21" t="str">
        <f>IFERROR(INDEX($M:$M,MATCH(U64,$S:$S,0)),"&amp;")</f>
        <v>敢死之士</v>
      </c>
      <c r="AE64" s="21" t="str">
        <f>IFERROR(INDEX($M:$M,MATCH(V64,$S:$S,0)),"&amp;")</f>
        <v>江湖豪侠</v>
      </c>
      <c r="AF64" s="21" t="str">
        <f>IFERROR(INDEX($M:$M,MATCH(W64,$S:$S,0)),"&amp;")</f>
        <v>有死无生</v>
      </c>
      <c r="AG64" s="21" t="str">
        <f>IFERROR(INDEX($M:$M,MATCH(X64,$S:$S,0)),"&amp;")</f>
        <v>恩怨情仇</v>
      </c>
      <c r="AH64" s="21" t="str">
        <f>IFERROR(INDEX($M:$M,MATCH(Y64,$S:$S,0)),"&amp;")</f>
        <v>见血封喉</v>
      </c>
      <c r="AI64" s="21" t="str">
        <f>IFERROR(INDEX($M:$M,MATCH(Z64,$S:$S,0)),"&amp;")</f>
        <v>春秋大义</v>
      </c>
      <c r="AJ64" s="21" t="str">
        <f>IFERROR(INDEX($M:$M,MATCH(AA64,$S:$S,0)),"&amp;")</f>
        <v>义贯金石</v>
      </c>
      <c r="AK64" s="21" t="str">
        <f>IFERROR(INDEX($M:$M,MATCH(AB64,$S:$S,0)),"&amp;")</f>
        <v>&amp;</v>
      </c>
      <c r="AM64" s="21" t="str">
        <f>IFERROR(INDEX($N:$N,MATCH(U64,$S:$S,0)),"&amp;")</f>
        <v>敢死之士3</v>
      </c>
      <c r="AN64" s="21" t="str">
        <f>IFERROR(INDEX($N:$N,MATCH(V64,$S:$S,0)),"&amp;")</f>
        <v>江湖豪侠3</v>
      </c>
      <c r="AO64" s="21" t="str">
        <f>IFERROR(INDEX($N:$N,MATCH(W64,$S:$S,0)),"&amp;")</f>
        <v>有死无生2</v>
      </c>
      <c r="AP64" s="21" t="str">
        <f>IFERROR(INDEX($N:$N,MATCH(X64,$S:$S,0)),"&amp;")</f>
        <v>恩怨情仇4</v>
      </c>
      <c r="AQ64" s="21" t="str">
        <f>IFERROR(INDEX($N:$N,MATCH(Y64,$S:$S,0)),"&amp;")</f>
        <v>见血封喉3</v>
      </c>
      <c r="AR64" s="21" t="str">
        <f>IFERROR(INDEX($N:$N,MATCH(Z64,$S:$S,0)),"&amp;")</f>
        <v>春秋大义3</v>
      </c>
      <c r="AS64" s="21" t="str">
        <f>IFERROR(INDEX($N:$N,MATCH(AA64,$S:$S,0)),"&amp;")</f>
        <v>义贯金石3</v>
      </c>
      <c r="AT64" s="21" t="str">
        <f>IFERROR(INDEX($N:$N,MATCH(AB64,$S:$S,0)),"&amp;")</f>
        <v>&amp;</v>
      </c>
      <c r="AV64" s="21" t="str">
        <f>IFERROR(SUBSTITUTE(INDEX($K:$K,MATCH(INDEX($M:$M,MATCH(AM64,$N:$N,0)),$M:$M,0)),$D64,""),"")</f>
        <v>朱亥 专诸  赵括</v>
      </c>
      <c r="AW64" s="21" t="str">
        <f>IFERROR(SUBSTITUTE(INDEX($K:$K,MATCH(INDEX($M:$M,MATCH(AN64,$N:$N,0)),$M:$M,0)),$D64,""),"")</f>
        <v>聂荌 专诸  莫邪</v>
      </c>
      <c r="AX64" s="21" t="str">
        <f>IFERROR(SUBSTITUTE(INDEX($K:$K,MATCH(INDEX($M:$M,MATCH(AO64,$N:$N,0)),$M:$M,0)),$D64,""),"")</f>
        <v xml:space="preserve">项燕 </v>
      </c>
      <c r="AY64" s="21" t="str">
        <f>IFERROR(SUBSTITUTE(INDEX($K:$K,MATCH(INDEX($M:$M,MATCH(AP64,$N:$N,0)),$M:$M,0)),$D64,""),"")</f>
        <v xml:space="preserve">嬴政 秦武王 义渠骇 </v>
      </c>
      <c r="AZ64" s="21" t="str">
        <f>IFERROR(SUBSTITUTE(INDEX($K:$K,MATCH(INDEX($M:$M,MATCH(AQ64,$N:$N,0)),$M:$M,0)),$D64,""),"")</f>
        <v xml:space="preserve">越女 骊姬 </v>
      </c>
      <c r="BA64" s="21" t="str">
        <f>IFERROR(SUBSTITUTE(INDEX($K:$K,MATCH(INDEX($M:$M,MATCH(AR64,$N:$N,0)),$M:$M,0)),$D64,""),"")</f>
        <v>关羽 屈原  廉颇</v>
      </c>
      <c r="BB64" s="21" t="str">
        <f>IFERROR(SUBSTITUTE(INDEX($K:$K,MATCH(INDEX($M:$M,MATCH(AS64,$N:$N,0)),$M:$M,0)),$D64,""),"")</f>
        <v xml:space="preserve">赵云 关羽 </v>
      </c>
      <c r="BC64" s="21" t="str">
        <f>IFERROR(SUBSTITUTE(INDEX($K:$K,MATCH(INDEX($M:$M,MATCH(AT64,$N:$N,0)),$M:$M,0)),$D64,""),"")</f>
        <v/>
      </c>
      <c r="BE64" s="9" t="str">
        <f t="shared" si="7"/>
        <v>朱亥,专诸,荆轲,赵括,聂荌,莫邪,项燕,嬴政,秦武王,义渠骇,越女,骊姬,关羽,屈原,廉颇,赵云</v>
      </c>
      <c r="BI64" s="9" t="str">
        <f>IFERROR(
IF(COUNTIF($M:$M,$AD64)&lt;BI$8,
"",
INDEX($J:$J,MATCH($AD64,$M:$M,0)+BI$8-1)),
"")</f>
        <v>朱亥</v>
      </c>
      <c r="BJ64" s="9" t="str">
        <f>IFERROR(
IF(COUNTIF($M:$M,$AD64)&lt;BJ$8,
"",
INDEX($J:$J,MATCH($AD64,$M:$M,0)+BJ$8-1)),
"")</f>
        <v>专诸</v>
      </c>
      <c r="BK64" s="9" t="str">
        <f>IFERROR(
IF(COUNTIF($M:$M,$AD64)&lt;BK$8,
"",
INDEX($J:$J,MATCH($AD64,$M:$M,0)+BK$8-1)),
"")</f>
        <v>荆轲</v>
      </c>
      <c r="BL64" s="9" t="str">
        <f>IFERROR(
IF(COUNTIF($M:$M,$AD64)&lt;BL$8,
"",
INDEX($J:$J,MATCH($AD64,$M:$M,0)+BL$8-1)),
"")</f>
        <v>赵括</v>
      </c>
      <c r="BN64" s="21" t="str">
        <f>IFERROR(
IF(COUNTIF($BI64:BM64,INDEX($J:$J,MATCH($AE64,$M:$M,0)+BN$8-1))=0,
IF(COUNTIF($M:$M,$AE64)&lt;BN$8,
"",
INDEX($J:$J,MATCH($AE64,$M:$M,0)+BN$8-1)),
""),
"")</f>
        <v>聂荌</v>
      </c>
      <c r="BO64" s="21" t="str">
        <f>IFERROR(
IF(COUNTIF($BI64:BN64,INDEX($J:$J,MATCH($AE64,$M:$M,0)+BO$8-1))=0,
IF(COUNTIF($M:$M,$AE64)&lt;BO$8,
"",
INDEX($J:$J,MATCH($AE64,$M:$M,0)+BO$8-1)),
""),
"")</f>
        <v/>
      </c>
      <c r="BP64" s="21" t="str">
        <f>IFERROR(
IF(COUNTIF($BI64:BO64,INDEX($J:$J,MATCH($AE64,$M:$M,0)+BP$8-1))=0,
IF(COUNTIF($M:$M,$AE64)&lt;BP$8,
"",
INDEX($J:$J,MATCH($AE64,$M:$M,0)+BP$8-1)),
""),
"")</f>
        <v/>
      </c>
      <c r="BQ64" s="21" t="str">
        <f>IFERROR(
IF(COUNTIF($BI64:BP64,INDEX($J:$J,MATCH($AE64,$M:$M,0)+BQ$8-1))=0,
IF(COUNTIF($M:$M,$AE64)&lt;BQ$8,
"",
INDEX($J:$J,MATCH($AE64,$M:$M,0)+BQ$8-1)),
""),
"")</f>
        <v>莫邪</v>
      </c>
      <c r="BS64" s="21" t="str">
        <f>IFERROR(
IF(COUNTIF($BI64:BR64,INDEX($J:$J,MATCH($AF64,$M:$M,0)+BS$8-1))=0,
IF(COUNTIF($M:$M,$AF64)&lt;BS$8,
"",
INDEX($J:$J,MATCH($AF64,$M:$M,0)+BS$8-1)),
""),
"")</f>
        <v>项燕</v>
      </c>
      <c r="BT64" s="21" t="str">
        <f>IFERROR(
IF(COUNTIF($BI64:BS64,INDEX($J:$J,MATCH($AF64,$M:$M,0)+BT$8-1))=0,
IF(COUNTIF($M:$M,$AF64)&lt;BT$8,
"",
INDEX($J:$J,MATCH($AF64,$M:$M,0)+BT$8-1)),
""),
"")</f>
        <v/>
      </c>
      <c r="BU64" s="21" t="str">
        <f>IFERROR(
IF(COUNTIF($BI64:BT64,INDEX($J:$J,MATCH($AF64,$M:$M,0)+BU$8-1))=0,
IF(COUNTIF($M:$M,$AF64)&lt;BU$8,
"",
INDEX($J:$J,MATCH($AF64,$M:$M,0)+BU$8-1)),
""),
"")</f>
        <v/>
      </c>
      <c r="BV64" s="21" t="str">
        <f>IFERROR(
IF(COUNTIF($BI64:BU64,INDEX($J:$J,MATCH($AF64,$M:$M,0)+BV$8-1))=0,
IF(COUNTIF($M:$M,$AF64)&lt;BV$8,
"",
INDEX($J:$J,MATCH($AF64,$M:$M,0)+BV$8-1)),
""),
"")</f>
        <v/>
      </c>
      <c r="BX64" s="21" t="str">
        <f>IFERROR(
IF(COUNTIF($BI64:BW64,INDEX($J:$J,MATCH($AG64,$M:$M,0)+BX$8-1))=0,
IF(COUNTIF($M:$M,$AG64)&lt;BX$8,
"",
INDEX($J:$J,MATCH($AG64,$M:$M,0)+BX$8-1)),
""),
"")</f>
        <v>嬴政</v>
      </c>
      <c r="BY64" s="21" t="str">
        <f>IFERROR(
IF(COUNTIF($BI64:BX64,INDEX($J:$J,MATCH($AG64,$M:$M,0)+BY$8-1))=0,
IF(COUNTIF($M:$M,$AG64)&lt;BY$8,
"",
INDEX($J:$J,MATCH($AG64,$M:$M,0)+BY$8-1)),
""),
"")</f>
        <v>秦武王</v>
      </c>
      <c r="BZ64" s="21" t="str">
        <f>IFERROR(
IF(COUNTIF($BI64:BY64,INDEX($J:$J,MATCH($AG64,$M:$M,0)+BZ$8-1))=0,
IF(COUNTIF($M:$M,$AG64)&lt;BZ$8,
"",
INDEX($J:$J,MATCH($AG64,$M:$M,0)+BZ$8-1)),
""),
"")</f>
        <v>义渠骇</v>
      </c>
      <c r="CA64" s="21" t="str">
        <f>IFERROR(
IF(COUNTIF($BI64:BZ64,INDEX($J:$J,MATCH($AG64,$M:$M,0)+CA$8-1))=0,
IF(COUNTIF($M:$M,$AG64)&lt;CA$8,
"",
INDEX($J:$J,MATCH($AG64,$M:$M,0)+CA$8-1)),
""),
"")</f>
        <v/>
      </c>
      <c r="CC64" s="21" t="str">
        <f>IFERROR(
IF(COUNTIF($BI64:CB64,INDEX($J:$J,MATCH($AH64,$M:$M,0)+CC$8-1))=0,
IF(COUNTIF($M:$M,$AH64)&lt;CC$8,
"",
INDEX($J:$J,MATCH($AH64,$M:$M,0)+CC$8-1)),
""),
"")</f>
        <v>越女</v>
      </c>
      <c r="CD64" s="21" t="str">
        <f>IFERROR(
IF(COUNTIF($BI64:CC64,INDEX($J:$J,MATCH($AH64,$M:$M,0)+CD$8-1))=0,
IF(COUNTIF($M:$M,$AH64)&lt;CD$8,
"",
INDEX($J:$J,MATCH($AH64,$M:$M,0)+CD$8-1)),
""),
"")</f>
        <v>骊姬</v>
      </c>
      <c r="CE64" s="21" t="str">
        <f>IFERROR(
IF(COUNTIF($BI64:CD64,INDEX($J:$J,MATCH($AH64,$M:$M,0)+CE$8-1))=0,
IF(COUNTIF($M:$M,$AH64)&lt;CE$8,
"",
INDEX($J:$J,MATCH($AH64,$M:$M,0)+CE$8-1)),
""),
"")</f>
        <v/>
      </c>
      <c r="CF64" s="21" t="str">
        <f>IFERROR(
IF(COUNTIF($BI64:CE64,INDEX($J:$J,MATCH($AH64,$M:$M,0)+CF$8-1))=0,
IF(COUNTIF($M:$M,$AH64)&lt;CF$8,
"",
INDEX($J:$J,MATCH($AH64,$M:$M,0)+CF$8-1)),
""),
"")</f>
        <v/>
      </c>
      <c r="CH64" s="21" t="str">
        <f>IFERROR(
IF(COUNTIF($BI64:CG64,INDEX($J:$J,MATCH($AI64,$M:$M,0)+CH$8-1))=0,
IF(COUNTIF($M:$M,$AI64)&lt;CH$8,
"",
INDEX($J:$J,MATCH($AI64,$M:$M,0)+CH$8-1)),
""),
"")</f>
        <v>关羽</v>
      </c>
      <c r="CI64" s="21" t="str">
        <f>IFERROR(
IF(COUNTIF($BI64:CH64,INDEX($J:$J,MATCH($AI64,$M:$M,0)+CI$8-1))=0,
IF(COUNTIF($M:$M,$AI64)&lt;CI$8,
"",
INDEX($J:$J,MATCH($AI64,$M:$M,0)+CI$8-1)),
""),
"")</f>
        <v>屈原</v>
      </c>
      <c r="CJ64" s="21" t="str">
        <f>IFERROR(
IF(COUNTIF($BI64:CI64,INDEX($J:$J,MATCH($AI64,$M:$M,0)+CJ$8-1))=0,
IF(COUNTIF($M:$M,$AI64)&lt;CJ$8,
"",
INDEX($J:$J,MATCH($AI64,$M:$M,0)+CJ$8-1)),
""),
"")</f>
        <v/>
      </c>
      <c r="CK64" s="21" t="str">
        <f>IFERROR(
IF(COUNTIF($BI64:CJ64,INDEX($J:$J,MATCH($AI64,$M:$M,0)+CK$8-1))=0,
IF(COUNTIF($M:$M,$AI64)&lt;CK$8,
"",
INDEX($J:$J,MATCH($AI64,$M:$M,0)+CK$8-1)),
""),
"")</f>
        <v>廉颇</v>
      </c>
      <c r="CM64" s="21" t="str">
        <f>IFERROR(
IF(COUNTIF($BI64:CL64,INDEX($J:$J,MATCH($AJ64,$M:$M,0)+CM$8-1))=0,
IF(COUNTIF($M:$M,$AJ64)&lt;CM$8,
"",
INDEX($J:$J,MATCH($AJ64,$M:$M,0)+CM$8-1)),
""),
"")</f>
        <v>赵云</v>
      </c>
      <c r="CN64" s="21" t="str">
        <f>IFERROR(
IF(COUNTIF($BI64:CM64,INDEX($J:$J,MATCH($AJ64,$M:$M,0)+CN$8-1))=0,
IF(COUNTIF($M:$M,$AJ64)&lt;CN$8,
"",
INDEX($J:$J,MATCH($AJ64,$M:$M,0)+CN$8-1)),
""),
"")</f>
        <v/>
      </c>
      <c r="CO64" s="21" t="str">
        <f>IFERROR(
IF(COUNTIF($BI64:CN64,INDEX($J:$J,MATCH($AJ64,$M:$M,0)+CO$8-1))=0,
IF(COUNTIF($M:$M,$AJ64)&lt;CO$8,
"",
INDEX($J:$J,MATCH($AJ64,$M:$M,0)+CO$8-1)),
""),
"")</f>
        <v/>
      </c>
      <c r="CP64" s="21" t="str">
        <f>IFERROR(
IF(COUNTIF($BI64:CO64,INDEX($J:$J,MATCH($AJ64,$M:$M,0)+CP$8-1))=0,
IF(COUNTIF($M:$M,$AJ64)&lt;CP$8,
"",
INDEX($J:$J,MATCH($AJ64,$M:$M,0)+CP$8-1)),
""),
"")</f>
        <v/>
      </c>
      <c r="CR64" s="21" t="str">
        <f>IFERROR(
IF(COUNTIF($BI64:CQ64,INDEX($J:$J,MATCH($AK64,$M:$M,0)+CR$8-1))=0,
IF(COUNTIF($M:$M,$AK64)&lt;CR$8,
"",
INDEX($J:$J,MATCH($AK64,$M:$M,0)+CR$8-1)),
""),
"")</f>
        <v/>
      </c>
      <c r="CS64" s="21" t="str">
        <f>IFERROR(
IF(COUNTIF($BI64:CR64,INDEX($J:$J,MATCH($AK64,$M:$M,0)+CS$8-1))=0,
IF(COUNTIF($M:$M,$AK64)&lt;CS$8,
"",
INDEX($J:$J,MATCH($AK64,$M:$M,0)+CS$8-1)),
""),
"")</f>
        <v/>
      </c>
      <c r="CT64" s="21" t="str">
        <f>IFERROR(
IF(COUNTIF($BI64:CS64,INDEX($J:$J,MATCH($AK64,$M:$M,0)+CT$8-1))=0,
IF(COUNTIF($M:$M,$AK64)&lt;CT$8,
"",
INDEX($J:$J,MATCH($AK64,$M:$M,0)+CT$8-1)),
""),
"")</f>
        <v/>
      </c>
      <c r="CU64" s="21" t="str">
        <f>IFERROR(
IF(COUNTIF($BI64:CT64,INDEX($J:$J,MATCH($AK64,$M:$M,0)+CU$8-1))=0,
IF(COUNTIF($M:$M,$AK64)&lt;CU$8,
"",
INDEX($J:$J,MATCH($AK64,$M:$M,0)+CU$8-1)),
""),
"")</f>
        <v/>
      </c>
    </row>
    <row r="65" spans="3:99" ht="14.25">
      <c r="C65" s="16">
        <v>57</v>
      </c>
      <c r="D65" s="19" t="s">
        <v>70</v>
      </c>
      <c r="E65" s="20">
        <f>INDEX([1]武将基本资料!$S:$S,MATCH(D65,[1]武将基本资料!$N:$N,0))</f>
        <v>120</v>
      </c>
      <c r="F65" s="20" t="str">
        <f>INDEX([1]武将基本资料!$Q:$Q,MATCH(D65,[1]武将基本资料!$N:$N,0))</f>
        <v>橙</v>
      </c>
      <c r="H65" s="7">
        <f>IF(I65="","",COUNTA(I$9:$I65))</f>
        <v>55</v>
      </c>
      <c r="I65" s="6" t="s">
        <v>149</v>
      </c>
      <c r="J65" s="6" t="s">
        <v>199</v>
      </c>
      <c r="K65" s="8" t="str">
        <f>IF(H65="","",阶段合并区域(J65:J75," ",L65:L75,1))</f>
        <v>楚庄王 孙叔敖</v>
      </c>
      <c r="L65" s="8">
        <f>COUNTIF(M$8:$M65,"="&amp;M65)</f>
        <v>1</v>
      </c>
      <c r="M65" s="9" t="str">
        <f t="shared" si="3"/>
        <v>君圣臣贤</v>
      </c>
      <c r="N65" s="9" t="str">
        <f t="shared" si="4"/>
        <v>君圣臣贤1</v>
      </c>
      <c r="O65" s="15">
        <f>INDEX(C:C,MATCH(J65,D:D,0))</f>
        <v>15</v>
      </c>
      <c r="P65" s="9">
        <f>INDEX(E:E,MATCH(J65,D:D,0))</f>
        <v>120</v>
      </c>
      <c r="Q65" s="7">
        <f t="shared" si="0"/>
        <v>15</v>
      </c>
      <c r="R65" s="7">
        <f>COUNTIF(J$8:$J65,"="&amp;J65)</f>
        <v>3</v>
      </c>
      <c r="S65" s="7">
        <f t="shared" si="5"/>
        <v>3015</v>
      </c>
      <c r="U65" s="7">
        <f t="shared" si="9"/>
        <v>1057</v>
      </c>
      <c r="V65" s="7">
        <f t="shared" si="9"/>
        <v>2057</v>
      </c>
      <c r="W65" s="7">
        <f t="shared" si="9"/>
        <v>3057</v>
      </c>
      <c r="X65" s="7">
        <f t="shared" si="9"/>
        <v>4057</v>
      </c>
      <c r="Y65" s="7">
        <f t="shared" si="9"/>
        <v>5057</v>
      </c>
      <c r="Z65" s="7">
        <f t="shared" si="9"/>
        <v>6057</v>
      </c>
      <c r="AA65" s="7">
        <f t="shared" si="9"/>
        <v>7057</v>
      </c>
      <c r="AB65" s="7">
        <f t="shared" si="9"/>
        <v>8057</v>
      </c>
      <c r="AD65" s="21" t="str">
        <f>IFERROR(INDEX($M:$M,MATCH(U65,$S:$S,0)),"&amp;")</f>
        <v>权倾朝野</v>
      </c>
      <c r="AE65" s="21" t="str">
        <f>IFERROR(INDEX($M:$M,MATCH(V65,$S:$S,0)),"&amp;")</f>
        <v>优国忘身</v>
      </c>
      <c r="AF65" s="21" t="str">
        <f>IFERROR(INDEX($M:$M,MATCH(W65,$S:$S,0)),"&amp;")</f>
        <v>颠沛流离</v>
      </c>
      <c r="AG65" s="21" t="str">
        <f>IFERROR(INDEX($M:$M,MATCH(X65,$S:$S,0)),"&amp;")</f>
        <v>大权在握</v>
      </c>
      <c r="AH65" s="21" t="str">
        <f>IFERROR(INDEX($M:$M,MATCH(Y65,$S:$S,0)),"&amp;")</f>
        <v>一人之下</v>
      </c>
      <c r="AI65" s="21" t="str">
        <f>IFERROR(INDEX($M:$M,MATCH(Z65,$S:$S,0)),"&amp;")</f>
        <v>辅佐奇才</v>
      </c>
      <c r="AJ65" s="21" t="str">
        <f>IFERROR(INDEX($M:$M,MATCH(AA65,$S:$S,0)),"&amp;")</f>
        <v>年少有为</v>
      </c>
      <c r="AK65" s="21" t="str">
        <f>IFERROR(INDEX($M:$M,MATCH(AB65,$S:$S,0)),"&amp;")</f>
        <v>合纵攻秦</v>
      </c>
      <c r="AM65" s="21" t="str">
        <f>IFERROR(INDEX($N:$N,MATCH(U65,$S:$S,0)),"&amp;")</f>
        <v>权倾朝野2</v>
      </c>
      <c r="AN65" s="21" t="str">
        <f>IFERROR(INDEX($N:$N,MATCH(V65,$S:$S,0)),"&amp;")</f>
        <v>优国忘身2</v>
      </c>
      <c r="AO65" s="21" t="str">
        <f>IFERROR(INDEX($N:$N,MATCH(W65,$S:$S,0)),"&amp;")</f>
        <v>颠沛流离2</v>
      </c>
      <c r="AP65" s="21" t="str">
        <f>IFERROR(INDEX($N:$N,MATCH(X65,$S:$S,0)),"&amp;")</f>
        <v>大权在握4</v>
      </c>
      <c r="AQ65" s="21" t="str">
        <f>IFERROR(INDEX($N:$N,MATCH(Y65,$S:$S,0)),"&amp;")</f>
        <v>一人之下3</v>
      </c>
      <c r="AR65" s="21" t="str">
        <f>IFERROR(INDEX($N:$N,MATCH(Z65,$S:$S,0)),"&amp;")</f>
        <v>辅佐奇才2</v>
      </c>
      <c r="AS65" s="21" t="str">
        <f>IFERROR(INDEX($N:$N,MATCH(AA65,$S:$S,0)),"&amp;")</f>
        <v>年少有为4</v>
      </c>
      <c r="AT65" s="21" t="str">
        <f>IFERROR(INDEX($N:$N,MATCH(AB65,$S:$S,0)),"&amp;")</f>
        <v>合纵攻秦2</v>
      </c>
      <c r="AV65" s="21" t="str">
        <f>IFERROR(SUBSTITUTE(INDEX($K:$K,MATCH(INDEX($M:$M,MATCH(AM65,$N:$N,0)),$M:$M,0)),$D65,""),"")</f>
        <v>吕不韦  信陵君</v>
      </c>
      <c r="AW65" s="21" t="str">
        <f>IFERROR(SUBSTITUTE(INDEX($K:$K,MATCH(INDEX($M:$M,MATCH(AN65,$N:$N,0)),$M:$M,0)),$D65,""),"")</f>
        <v xml:space="preserve">屈原 </v>
      </c>
      <c r="AX65" s="21" t="str">
        <f>IFERROR(SUBSTITUTE(INDEX($K:$K,MATCH(INDEX($M:$M,MATCH(AO65,$N:$N,0)),$M:$M,0)),$D65,""),"")</f>
        <v xml:space="preserve">扁鹊 </v>
      </c>
      <c r="AY65" s="21" t="str">
        <f>IFERROR(SUBSTITUTE(INDEX($K:$K,MATCH(INDEX($M:$M,MATCH(AP65,$N:$N,0)),$M:$M,0)),$D65,""),"")</f>
        <v xml:space="preserve">吴起 信陵君 乐毅 </v>
      </c>
      <c r="AZ65" s="21" t="str">
        <f>IFERROR(SUBSTITUTE(INDEX($K:$K,MATCH(INDEX($M:$M,MATCH(AQ65,$N:$N,0)),$M:$M,0)),$D65,""),"")</f>
        <v>典藏吕不韦 信陵君  申不害</v>
      </c>
      <c r="BA65" s="21" t="str">
        <f>IFERROR(SUBSTITUTE(INDEX($K:$K,MATCH(INDEX($M:$M,MATCH(AR65,$N:$N,0)),$M:$M,0)),$D65,""),"")</f>
        <v>蔺相如  伯乐 西施</v>
      </c>
      <c r="BB65" s="21" t="str">
        <f>IFERROR(SUBSTITUTE(INDEX($K:$K,MATCH(INDEX($M:$M,MATCH(AS65,$N:$N,0)),$M:$M,0)),$D65,""),"")</f>
        <v xml:space="preserve">嬴政 信陵君 屈原 </v>
      </c>
      <c r="BC65" s="21" t="str">
        <f>IFERROR(SUBSTITUTE(INDEX($K:$K,MATCH(INDEX($M:$M,MATCH(AT65,$N:$N,0)),$M:$M,0)),$D65,""),"")</f>
        <v xml:space="preserve">孟尝君 </v>
      </c>
      <c r="BE65" s="9" t="str">
        <f t="shared" si="7"/>
        <v>吕不韦,苏秦,信陵君,屈原,扁鹊,吴起,乐毅,典藏吕不韦,申不害,蔺相如,伯乐,西施,嬴政,孟尝君</v>
      </c>
      <c r="BI65" s="9" t="str">
        <f>IFERROR(
IF(COUNTIF($M:$M,$AD65)&lt;BI$8,
"",
INDEX($J:$J,MATCH($AD65,$M:$M,0)+BI$8-1)),
"")</f>
        <v>吕不韦</v>
      </c>
      <c r="BJ65" s="9" t="str">
        <f>IFERROR(
IF(COUNTIF($M:$M,$AD65)&lt;BJ$8,
"",
INDEX($J:$J,MATCH($AD65,$M:$M,0)+BJ$8-1)),
"")</f>
        <v>苏秦</v>
      </c>
      <c r="BK65" s="9" t="str">
        <f>IFERROR(
IF(COUNTIF($M:$M,$AD65)&lt;BK$8,
"",
INDEX($J:$J,MATCH($AD65,$M:$M,0)+BK$8-1)),
"")</f>
        <v>信陵君</v>
      </c>
      <c r="BL65" s="9" t="str">
        <f>IFERROR(
IF(COUNTIF($M:$M,$AD65)&lt;BL$8,
"",
INDEX($J:$J,MATCH($AD65,$M:$M,0)+BL$8-1)),
"")</f>
        <v/>
      </c>
      <c r="BN65" s="21" t="str">
        <f>IFERROR(
IF(COUNTIF($BI65:BM65,INDEX($J:$J,MATCH($AE65,$M:$M,0)+BN$8-1))=0,
IF(COUNTIF($M:$M,$AE65)&lt;BN$8,
"",
INDEX($J:$J,MATCH($AE65,$M:$M,0)+BN$8-1)),
""),
"")</f>
        <v>屈原</v>
      </c>
      <c r="BO65" s="21" t="str">
        <f>IFERROR(
IF(COUNTIF($BI65:BN65,INDEX($J:$J,MATCH($AE65,$M:$M,0)+BO$8-1))=0,
IF(COUNTIF($M:$M,$AE65)&lt;BO$8,
"",
INDEX($J:$J,MATCH($AE65,$M:$M,0)+BO$8-1)),
""),
"")</f>
        <v/>
      </c>
      <c r="BP65" s="21" t="str">
        <f>IFERROR(
IF(COUNTIF($BI65:BO65,INDEX($J:$J,MATCH($AE65,$M:$M,0)+BP$8-1))=0,
IF(COUNTIF($M:$M,$AE65)&lt;BP$8,
"",
INDEX($J:$J,MATCH($AE65,$M:$M,0)+BP$8-1)),
""),
"")</f>
        <v/>
      </c>
      <c r="BQ65" s="21" t="str">
        <f>IFERROR(
IF(COUNTIF($BI65:BP65,INDEX($J:$J,MATCH($AE65,$M:$M,0)+BQ$8-1))=0,
IF(COUNTIF($M:$M,$AE65)&lt;BQ$8,
"",
INDEX($J:$J,MATCH($AE65,$M:$M,0)+BQ$8-1)),
""),
"")</f>
        <v/>
      </c>
      <c r="BS65" s="21" t="str">
        <f>IFERROR(
IF(COUNTIF($BI65:BR65,INDEX($J:$J,MATCH($AF65,$M:$M,0)+BS$8-1))=0,
IF(COUNTIF($M:$M,$AF65)&lt;BS$8,
"",
INDEX($J:$J,MATCH($AF65,$M:$M,0)+BS$8-1)),
""),
"")</f>
        <v>扁鹊</v>
      </c>
      <c r="BT65" s="21" t="str">
        <f>IFERROR(
IF(COUNTIF($BI65:BS65,INDEX($J:$J,MATCH($AF65,$M:$M,0)+BT$8-1))=0,
IF(COUNTIF($M:$M,$AF65)&lt;BT$8,
"",
INDEX($J:$J,MATCH($AF65,$M:$M,0)+BT$8-1)),
""),
"")</f>
        <v/>
      </c>
      <c r="BU65" s="21" t="str">
        <f>IFERROR(
IF(COUNTIF($BI65:BT65,INDEX($J:$J,MATCH($AF65,$M:$M,0)+BU$8-1))=0,
IF(COUNTIF($M:$M,$AF65)&lt;BU$8,
"",
INDEX($J:$J,MATCH($AF65,$M:$M,0)+BU$8-1)),
""),
"")</f>
        <v/>
      </c>
      <c r="BV65" s="21" t="str">
        <f>IFERROR(
IF(COUNTIF($BI65:BU65,INDEX($J:$J,MATCH($AF65,$M:$M,0)+BV$8-1))=0,
IF(COUNTIF($M:$M,$AF65)&lt;BV$8,
"",
INDEX($J:$J,MATCH($AF65,$M:$M,0)+BV$8-1)),
""),
"")</f>
        <v/>
      </c>
      <c r="BX65" s="21" t="str">
        <f>IFERROR(
IF(COUNTIF($BI65:BW65,INDEX($J:$J,MATCH($AG65,$M:$M,0)+BX$8-1))=0,
IF(COUNTIF($M:$M,$AG65)&lt;BX$8,
"",
INDEX($J:$J,MATCH($AG65,$M:$M,0)+BX$8-1)),
""),
"")</f>
        <v>吴起</v>
      </c>
      <c r="BY65" s="21" t="str">
        <f>IFERROR(
IF(COUNTIF($BI65:BX65,INDEX($J:$J,MATCH($AG65,$M:$M,0)+BY$8-1))=0,
IF(COUNTIF($M:$M,$AG65)&lt;BY$8,
"",
INDEX($J:$J,MATCH($AG65,$M:$M,0)+BY$8-1)),
""),
"")</f>
        <v/>
      </c>
      <c r="BZ65" s="21" t="str">
        <f>IFERROR(
IF(COUNTIF($BI65:BY65,INDEX($J:$J,MATCH($AG65,$M:$M,0)+BZ$8-1))=0,
IF(COUNTIF($M:$M,$AG65)&lt;BZ$8,
"",
INDEX($J:$J,MATCH($AG65,$M:$M,0)+BZ$8-1)),
""),
"")</f>
        <v>乐毅</v>
      </c>
      <c r="CA65" s="21" t="str">
        <f>IFERROR(
IF(COUNTIF($BI65:BZ65,INDEX($J:$J,MATCH($AG65,$M:$M,0)+CA$8-1))=0,
IF(COUNTIF($M:$M,$AG65)&lt;CA$8,
"",
INDEX($J:$J,MATCH($AG65,$M:$M,0)+CA$8-1)),
""),
"")</f>
        <v/>
      </c>
      <c r="CC65" s="21" t="str">
        <f>IFERROR(
IF(COUNTIF($BI65:CB65,INDEX($J:$J,MATCH($AH65,$M:$M,0)+CC$8-1))=0,
IF(COUNTIF($M:$M,$AH65)&lt;CC$8,
"",
INDEX($J:$J,MATCH($AH65,$M:$M,0)+CC$8-1)),
""),
"")</f>
        <v>典藏吕不韦</v>
      </c>
      <c r="CD65" s="21" t="str">
        <f>IFERROR(
IF(COUNTIF($BI65:CC65,INDEX($J:$J,MATCH($AH65,$M:$M,0)+CD$8-1))=0,
IF(COUNTIF($M:$M,$AH65)&lt;CD$8,
"",
INDEX($J:$J,MATCH($AH65,$M:$M,0)+CD$8-1)),
""),
"")</f>
        <v/>
      </c>
      <c r="CE65" s="21" t="str">
        <f>IFERROR(
IF(COUNTIF($BI65:CD65,INDEX($J:$J,MATCH($AH65,$M:$M,0)+CE$8-1))=0,
IF(COUNTIF($M:$M,$AH65)&lt;CE$8,
"",
INDEX($J:$J,MATCH($AH65,$M:$M,0)+CE$8-1)),
""),
"")</f>
        <v/>
      </c>
      <c r="CF65" s="21" t="str">
        <f>IFERROR(
IF(COUNTIF($BI65:CE65,INDEX($J:$J,MATCH($AH65,$M:$M,0)+CF$8-1))=0,
IF(COUNTIF($M:$M,$AH65)&lt;CF$8,
"",
INDEX($J:$J,MATCH($AH65,$M:$M,0)+CF$8-1)),
""),
"")</f>
        <v>申不害</v>
      </c>
      <c r="CH65" s="21" t="str">
        <f>IFERROR(
IF(COUNTIF($BI65:CG65,INDEX($J:$J,MATCH($AI65,$M:$M,0)+CH$8-1))=0,
IF(COUNTIF($M:$M,$AI65)&lt;CH$8,
"",
INDEX($J:$J,MATCH($AI65,$M:$M,0)+CH$8-1)),
""),
"")</f>
        <v>蔺相如</v>
      </c>
      <c r="CI65" s="21" t="str">
        <f>IFERROR(
IF(COUNTIF($BI65:CH65,INDEX($J:$J,MATCH($AI65,$M:$M,0)+CI$8-1))=0,
IF(COUNTIF($M:$M,$AI65)&lt;CI$8,
"",
INDEX($J:$J,MATCH($AI65,$M:$M,0)+CI$8-1)),
""),
"")</f>
        <v/>
      </c>
      <c r="CJ65" s="21" t="str">
        <f>IFERROR(
IF(COUNTIF($BI65:CI65,INDEX($J:$J,MATCH($AI65,$M:$M,0)+CJ$8-1))=0,
IF(COUNTIF($M:$M,$AI65)&lt;CJ$8,
"",
INDEX($J:$J,MATCH($AI65,$M:$M,0)+CJ$8-1)),
""),
"")</f>
        <v>伯乐</v>
      </c>
      <c r="CK65" s="21" t="str">
        <f>IFERROR(
IF(COUNTIF($BI65:CJ65,INDEX($J:$J,MATCH($AI65,$M:$M,0)+CK$8-1))=0,
IF(COUNTIF($M:$M,$AI65)&lt;CK$8,
"",
INDEX($J:$J,MATCH($AI65,$M:$M,0)+CK$8-1)),
""),
"")</f>
        <v>西施</v>
      </c>
      <c r="CM65" s="21" t="str">
        <f>IFERROR(
IF(COUNTIF($BI65:CL65,INDEX($J:$J,MATCH($AJ65,$M:$M,0)+CM$8-1))=0,
IF(COUNTIF($M:$M,$AJ65)&lt;CM$8,
"",
INDEX($J:$J,MATCH($AJ65,$M:$M,0)+CM$8-1)),
""),
"")</f>
        <v>嬴政</v>
      </c>
      <c r="CN65" s="21" t="str">
        <f>IFERROR(
IF(COUNTIF($BI65:CM65,INDEX($J:$J,MATCH($AJ65,$M:$M,0)+CN$8-1))=0,
IF(COUNTIF($M:$M,$AJ65)&lt;CN$8,
"",
INDEX($J:$J,MATCH($AJ65,$M:$M,0)+CN$8-1)),
""),
"")</f>
        <v/>
      </c>
      <c r="CO65" s="21" t="str">
        <f>IFERROR(
IF(COUNTIF($BI65:CN65,INDEX($J:$J,MATCH($AJ65,$M:$M,0)+CO$8-1))=0,
IF(COUNTIF($M:$M,$AJ65)&lt;CO$8,
"",
INDEX($J:$J,MATCH($AJ65,$M:$M,0)+CO$8-1)),
""),
"")</f>
        <v/>
      </c>
      <c r="CP65" s="21" t="str">
        <f>IFERROR(
IF(COUNTIF($BI65:CO65,INDEX($J:$J,MATCH($AJ65,$M:$M,0)+CP$8-1))=0,
IF(COUNTIF($M:$M,$AJ65)&lt;CP$8,
"",
INDEX($J:$J,MATCH($AJ65,$M:$M,0)+CP$8-1)),
""),
"")</f>
        <v/>
      </c>
      <c r="CR65" s="21" t="str">
        <f>IFERROR(
IF(COUNTIF($BI65:CQ65,INDEX($J:$J,MATCH($AK65,$M:$M,0)+CR$8-1))=0,
IF(COUNTIF($M:$M,$AK65)&lt;CR$8,
"",
INDEX($J:$J,MATCH($AK65,$M:$M,0)+CR$8-1)),
""),
"")</f>
        <v>孟尝君</v>
      </c>
      <c r="CS65" s="21" t="str">
        <f>IFERROR(
IF(COUNTIF($BI65:CR65,INDEX($J:$J,MATCH($AK65,$M:$M,0)+CS$8-1))=0,
IF(COUNTIF($M:$M,$AK65)&lt;CS$8,
"",
INDEX($J:$J,MATCH($AK65,$M:$M,0)+CS$8-1)),
""),
"")</f>
        <v/>
      </c>
      <c r="CT65" s="21" t="str">
        <f>IFERROR(
IF(COUNTIF($BI65:CS65,INDEX($J:$J,MATCH($AK65,$M:$M,0)+CT$8-1))=0,
IF(COUNTIF($M:$M,$AK65)&lt;CT$8,
"",
INDEX($J:$J,MATCH($AK65,$M:$M,0)+CT$8-1)),
""),
"")</f>
        <v/>
      </c>
      <c r="CU65" s="21" t="str">
        <f>IFERROR(
IF(COUNTIF($BI65:CT65,INDEX($J:$J,MATCH($AK65,$M:$M,0)+CU$8-1))=0,
IF(COUNTIF($M:$M,$AK65)&lt;CU$8,
"",
INDEX($J:$J,MATCH($AK65,$M:$M,0)+CU$8-1)),
""),
"")</f>
        <v/>
      </c>
    </row>
    <row r="66" spans="3:99" ht="14.25">
      <c r="C66" s="16">
        <v>58</v>
      </c>
      <c r="D66" s="19" t="s">
        <v>154</v>
      </c>
      <c r="E66" s="20">
        <f>INDEX([1]武将基本资料!$S:$S,MATCH(D66,[1]武将基本资料!$N:$N,0))</f>
        <v>110</v>
      </c>
      <c r="F66" s="20" t="str">
        <f>INDEX([1]武将基本资料!$Q:$Q,MATCH(D66,[1]武将基本资料!$N:$N,0))</f>
        <v>紫</v>
      </c>
      <c r="H66" s="7" t="str">
        <f>IF(I66="","",COUNTA(I$9:$I66))</f>
        <v/>
      </c>
      <c r="I66" s="6" t="s">
        <v>188</v>
      </c>
      <c r="J66" s="6" t="s">
        <v>92</v>
      </c>
      <c r="K66" s="8" t="str">
        <f>IF(H66="","",阶段合并区域(J66:J76," ",L66:L76,1))</f>
        <v/>
      </c>
      <c r="L66" s="8">
        <f>COUNTIF(M$8:$M66,"="&amp;M66)</f>
        <v>2</v>
      </c>
      <c r="M66" s="9" t="str">
        <f t="shared" si="3"/>
        <v>君圣臣贤</v>
      </c>
      <c r="N66" s="9" t="str">
        <f t="shared" si="4"/>
        <v>君圣臣贤2</v>
      </c>
      <c r="O66" s="15">
        <f>INDEX(C:C,MATCH(J66,D:D,0))</f>
        <v>45</v>
      </c>
      <c r="P66" s="9">
        <f>INDEX(E:E,MATCH(J66,D:D,0))</f>
        <v>110</v>
      </c>
      <c r="Q66" s="7">
        <f t="shared" si="0"/>
        <v>45</v>
      </c>
      <c r="R66" s="7">
        <f>COUNTIF(J$8:$J66,"="&amp;J66)</f>
        <v>2</v>
      </c>
      <c r="S66" s="7">
        <f t="shared" si="5"/>
        <v>2045</v>
      </c>
      <c r="U66" s="7">
        <f t="shared" si="9"/>
        <v>1058</v>
      </c>
      <c r="V66" s="7">
        <f t="shared" si="9"/>
        <v>2058</v>
      </c>
      <c r="W66" s="7">
        <f t="shared" si="9"/>
        <v>3058</v>
      </c>
      <c r="X66" s="7">
        <f t="shared" si="9"/>
        <v>4058</v>
      </c>
      <c r="Y66" s="7">
        <f t="shared" si="9"/>
        <v>5058</v>
      </c>
      <c r="Z66" s="7">
        <f t="shared" si="9"/>
        <v>6058</v>
      </c>
      <c r="AA66" s="7">
        <f t="shared" si="9"/>
        <v>7058</v>
      </c>
      <c r="AB66" s="7">
        <f t="shared" si="9"/>
        <v>8058</v>
      </c>
      <c r="AD66" s="21" t="str">
        <f>IFERROR(INDEX($M:$M,MATCH(U66,$S:$S,0)),"&amp;")</f>
        <v>开疆扩土</v>
      </c>
      <c r="AE66" s="21" t="str">
        <f>IFERROR(INDEX($M:$M,MATCH(V66,$S:$S,0)),"&amp;")</f>
        <v>乘胜追击</v>
      </c>
      <c r="AF66" s="21" t="str">
        <f>IFERROR(INDEX($M:$M,MATCH(W66,$S:$S,0)),"&amp;")</f>
        <v>&amp;</v>
      </c>
      <c r="AG66" s="21" t="str">
        <f>IFERROR(INDEX($M:$M,MATCH(X66,$S:$S,0)),"&amp;")</f>
        <v>&amp;</v>
      </c>
      <c r="AH66" s="21" t="str">
        <f>IFERROR(INDEX($M:$M,MATCH(Y66,$S:$S,0)),"&amp;")</f>
        <v>&amp;</v>
      </c>
      <c r="AI66" s="21" t="str">
        <f>IFERROR(INDEX($M:$M,MATCH(Z66,$S:$S,0)),"&amp;")</f>
        <v>&amp;</v>
      </c>
      <c r="AJ66" s="21" t="str">
        <f>IFERROR(INDEX($M:$M,MATCH(AA66,$S:$S,0)),"&amp;")</f>
        <v>&amp;</v>
      </c>
      <c r="AK66" s="21" t="str">
        <f>IFERROR(INDEX($M:$M,MATCH(AB66,$S:$S,0)),"&amp;")</f>
        <v>&amp;</v>
      </c>
      <c r="AM66" s="21" t="str">
        <f>IFERROR(INDEX($N:$N,MATCH(U66,$S:$S,0)),"&amp;")</f>
        <v>开疆扩土1</v>
      </c>
      <c r="AN66" s="21" t="str">
        <f>IFERROR(INDEX($N:$N,MATCH(V66,$S:$S,0)),"&amp;")</f>
        <v>乘胜追击1</v>
      </c>
      <c r="AO66" s="21" t="str">
        <f>IFERROR(INDEX($N:$N,MATCH(W66,$S:$S,0)),"&amp;")</f>
        <v>&amp;</v>
      </c>
      <c r="AP66" s="21" t="str">
        <f>IFERROR(INDEX($N:$N,MATCH(X66,$S:$S,0)),"&amp;")</f>
        <v>&amp;</v>
      </c>
      <c r="AQ66" s="21" t="str">
        <f>IFERROR(INDEX($N:$N,MATCH(Y66,$S:$S,0)),"&amp;")</f>
        <v>&amp;</v>
      </c>
      <c r="AR66" s="21" t="str">
        <f>IFERROR(INDEX($N:$N,MATCH(Z66,$S:$S,0)),"&amp;")</f>
        <v>&amp;</v>
      </c>
      <c r="AS66" s="21" t="str">
        <f>IFERROR(INDEX($N:$N,MATCH(AA66,$S:$S,0)),"&amp;")</f>
        <v>&amp;</v>
      </c>
      <c r="AT66" s="21" t="str">
        <f>IFERROR(INDEX($N:$N,MATCH(AB66,$S:$S,0)),"&amp;")</f>
        <v>&amp;</v>
      </c>
      <c r="AV66" s="21" t="str">
        <f>IFERROR(SUBSTITUTE(INDEX($K:$K,MATCH(INDEX($M:$M,MATCH(AM66,$N:$N,0)),$M:$M,0)),$D66,""),"")</f>
        <v xml:space="preserve"> 司马错</v>
      </c>
      <c r="AW66" s="21" t="str">
        <f>IFERROR(SUBSTITUTE(INDEX($K:$K,MATCH(INDEX($M:$M,MATCH(AN66,$N:$N,0)),$M:$M,0)),$D66,""),"")</f>
        <v xml:space="preserve"> 勾践</v>
      </c>
      <c r="AX66" s="21" t="str">
        <f>IFERROR(SUBSTITUTE(INDEX($K:$K,MATCH(INDEX($M:$M,MATCH(AO66,$N:$N,0)),$M:$M,0)),$D66,""),"")</f>
        <v/>
      </c>
      <c r="AY66" s="21" t="str">
        <f>IFERROR(SUBSTITUTE(INDEX($K:$K,MATCH(INDEX($M:$M,MATCH(AP66,$N:$N,0)),$M:$M,0)),$D66,""),"")</f>
        <v/>
      </c>
      <c r="AZ66" s="21" t="str">
        <f>IFERROR(SUBSTITUTE(INDEX($K:$K,MATCH(INDEX($M:$M,MATCH(AQ66,$N:$N,0)),$M:$M,0)),$D66,""),"")</f>
        <v/>
      </c>
      <c r="BA66" s="21" t="str">
        <f>IFERROR(SUBSTITUTE(INDEX($K:$K,MATCH(INDEX($M:$M,MATCH(AR66,$N:$N,0)),$M:$M,0)),$D66,""),"")</f>
        <v/>
      </c>
      <c r="BB66" s="21" t="str">
        <f>IFERROR(SUBSTITUTE(INDEX($K:$K,MATCH(INDEX($M:$M,MATCH(AS66,$N:$N,0)),$M:$M,0)),$D66,""),"")</f>
        <v/>
      </c>
      <c r="BC66" s="21" t="str">
        <f>IFERROR(SUBSTITUTE(INDEX($K:$K,MATCH(INDEX($M:$M,MATCH(AT66,$N:$N,0)),$M:$M,0)),$D66,""),"")</f>
        <v/>
      </c>
      <c r="BE66" s="9" t="str">
        <f t="shared" si="7"/>
        <v>秦开,司马错,勾践</v>
      </c>
      <c r="BI66" s="9" t="str">
        <f>IFERROR(
IF(COUNTIF($M:$M,$AD66)&lt;BI$8,
"",
INDEX($J:$J,MATCH($AD66,$M:$M,0)+BI$8-1)),
"")</f>
        <v>秦开</v>
      </c>
      <c r="BJ66" s="9" t="str">
        <f>IFERROR(
IF(COUNTIF($M:$M,$AD66)&lt;BJ$8,
"",
INDEX($J:$J,MATCH($AD66,$M:$M,0)+BJ$8-1)),
"")</f>
        <v>司马错</v>
      </c>
      <c r="BK66" s="9" t="str">
        <f>IFERROR(
IF(COUNTIF($M:$M,$AD66)&lt;BK$8,
"",
INDEX($J:$J,MATCH($AD66,$M:$M,0)+BK$8-1)),
"")</f>
        <v/>
      </c>
      <c r="BL66" s="9" t="str">
        <f>IFERROR(
IF(COUNTIF($M:$M,$AD66)&lt;BL$8,
"",
INDEX($J:$J,MATCH($AD66,$M:$M,0)+BL$8-1)),
"")</f>
        <v/>
      </c>
      <c r="BN66" s="21" t="str">
        <f>IFERROR(
IF(COUNTIF($BI66:BM66,INDEX($J:$J,MATCH($AE66,$M:$M,0)+BN$8-1))=0,
IF(COUNTIF($M:$M,$AE66)&lt;BN$8,
"",
INDEX($J:$J,MATCH($AE66,$M:$M,0)+BN$8-1)),
""),
"")</f>
        <v/>
      </c>
      <c r="BO66" s="21" t="str">
        <f>IFERROR(
IF(COUNTIF($BI66:BN66,INDEX($J:$J,MATCH($AE66,$M:$M,0)+BO$8-1))=0,
IF(COUNTIF($M:$M,$AE66)&lt;BO$8,
"",
INDEX($J:$J,MATCH($AE66,$M:$M,0)+BO$8-1)),
""),
"")</f>
        <v>勾践</v>
      </c>
      <c r="BP66" s="21" t="str">
        <f>IFERROR(
IF(COUNTIF($BI66:BO66,INDEX($J:$J,MATCH($AE66,$M:$M,0)+BP$8-1))=0,
IF(COUNTIF($M:$M,$AE66)&lt;BP$8,
"",
INDEX($J:$J,MATCH($AE66,$M:$M,0)+BP$8-1)),
""),
"")</f>
        <v/>
      </c>
      <c r="BQ66" s="21" t="str">
        <f>IFERROR(
IF(COUNTIF($BI66:BP66,INDEX($J:$J,MATCH($AE66,$M:$M,0)+BQ$8-1))=0,
IF(COUNTIF($M:$M,$AE66)&lt;BQ$8,
"",
INDEX($J:$J,MATCH($AE66,$M:$M,0)+BQ$8-1)),
""),
"")</f>
        <v/>
      </c>
      <c r="BS66" s="21" t="str">
        <f>IFERROR(
IF(COUNTIF($BI66:BR66,INDEX($J:$J,MATCH($AF66,$M:$M,0)+BS$8-1))=0,
IF(COUNTIF($M:$M,$AF66)&lt;BS$8,
"",
INDEX($J:$J,MATCH($AF66,$M:$M,0)+BS$8-1)),
""),
"")</f>
        <v/>
      </c>
      <c r="BT66" s="21" t="str">
        <f>IFERROR(
IF(COUNTIF($BI66:BS66,INDEX($J:$J,MATCH($AF66,$M:$M,0)+BT$8-1))=0,
IF(COUNTIF($M:$M,$AF66)&lt;BT$8,
"",
INDEX($J:$J,MATCH($AF66,$M:$M,0)+BT$8-1)),
""),
"")</f>
        <v/>
      </c>
      <c r="BU66" s="21" t="str">
        <f>IFERROR(
IF(COUNTIF($BI66:BT66,INDEX($J:$J,MATCH($AF66,$M:$M,0)+BU$8-1))=0,
IF(COUNTIF($M:$M,$AF66)&lt;BU$8,
"",
INDEX($J:$J,MATCH($AF66,$M:$M,0)+BU$8-1)),
""),
"")</f>
        <v/>
      </c>
      <c r="BV66" s="21" t="str">
        <f>IFERROR(
IF(COUNTIF($BI66:BU66,INDEX($J:$J,MATCH($AF66,$M:$M,0)+BV$8-1))=0,
IF(COUNTIF($M:$M,$AF66)&lt;BV$8,
"",
INDEX($J:$J,MATCH($AF66,$M:$M,0)+BV$8-1)),
""),
"")</f>
        <v/>
      </c>
      <c r="BX66" s="21" t="str">
        <f>IFERROR(
IF(COUNTIF($BI66:BW66,INDEX($J:$J,MATCH($AG66,$M:$M,0)+BX$8-1))=0,
IF(COUNTIF($M:$M,$AG66)&lt;BX$8,
"",
INDEX($J:$J,MATCH($AG66,$M:$M,0)+BX$8-1)),
""),
"")</f>
        <v/>
      </c>
      <c r="BY66" s="21" t="str">
        <f>IFERROR(
IF(COUNTIF($BI66:BX66,INDEX($J:$J,MATCH($AG66,$M:$M,0)+BY$8-1))=0,
IF(COUNTIF($M:$M,$AG66)&lt;BY$8,
"",
INDEX($J:$J,MATCH($AG66,$M:$M,0)+BY$8-1)),
""),
"")</f>
        <v/>
      </c>
      <c r="BZ66" s="21" t="str">
        <f>IFERROR(
IF(COUNTIF($BI66:BY66,INDEX($J:$J,MATCH($AG66,$M:$M,0)+BZ$8-1))=0,
IF(COUNTIF($M:$M,$AG66)&lt;BZ$8,
"",
INDEX($J:$J,MATCH($AG66,$M:$M,0)+BZ$8-1)),
""),
"")</f>
        <v/>
      </c>
      <c r="CA66" s="21" t="str">
        <f>IFERROR(
IF(COUNTIF($BI66:BZ66,INDEX($J:$J,MATCH($AG66,$M:$M,0)+CA$8-1))=0,
IF(COUNTIF($M:$M,$AG66)&lt;CA$8,
"",
INDEX($J:$J,MATCH($AG66,$M:$M,0)+CA$8-1)),
""),
"")</f>
        <v/>
      </c>
      <c r="CC66" s="21" t="str">
        <f>IFERROR(
IF(COUNTIF($BI66:CB66,INDEX($J:$J,MATCH($AH66,$M:$M,0)+CC$8-1))=0,
IF(COUNTIF($M:$M,$AH66)&lt;CC$8,
"",
INDEX($J:$J,MATCH($AH66,$M:$M,0)+CC$8-1)),
""),
"")</f>
        <v/>
      </c>
      <c r="CD66" s="21" t="str">
        <f>IFERROR(
IF(COUNTIF($BI66:CC66,INDEX($J:$J,MATCH($AH66,$M:$M,0)+CD$8-1))=0,
IF(COUNTIF($M:$M,$AH66)&lt;CD$8,
"",
INDEX($J:$J,MATCH($AH66,$M:$M,0)+CD$8-1)),
""),
"")</f>
        <v/>
      </c>
      <c r="CE66" s="21" t="str">
        <f>IFERROR(
IF(COUNTIF($BI66:CD66,INDEX($J:$J,MATCH($AH66,$M:$M,0)+CE$8-1))=0,
IF(COUNTIF($M:$M,$AH66)&lt;CE$8,
"",
INDEX($J:$J,MATCH($AH66,$M:$M,0)+CE$8-1)),
""),
"")</f>
        <v/>
      </c>
      <c r="CF66" s="21" t="str">
        <f>IFERROR(
IF(COUNTIF($BI66:CE66,INDEX($J:$J,MATCH($AH66,$M:$M,0)+CF$8-1))=0,
IF(COUNTIF($M:$M,$AH66)&lt;CF$8,
"",
INDEX($J:$J,MATCH($AH66,$M:$M,0)+CF$8-1)),
""),
"")</f>
        <v/>
      </c>
      <c r="CH66" s="21" t="str">
        <f>IFERROR(
IF(COUNTIF($BI66:CG66,INDEX($J:$J,MATCH($AI66,$M:$M,0)+CH$8-1))=0,
IF(COUNTIF($M:$M,$AI66)&lt;CH$8,
"",
INDEX($J:$J,MATCH($AI66,$M:$M,0)+CH$8-1)),
""),
"")</f>
        <v/>
      </c>
      <c r="CI66" s="21" t="str">
        <f>IFERROR(
IF(COUNTIF($BI66:CH66,INDEX($J:$J,MATCH($AI66,$M:$M,0)+CI$8-1))=0,
IF(COUNTIF($M:$M,$AI66)&lt;CI$8,
"",
INDEX($J:$J,MATCH($AI66,$M:$M,0)+CI$8-1)),
""),
"")</f>
        <v/>
      </c>
      <c r="CJ66" s="21" t="str">
        <f>IFERROR(
IF(COUNTIF($BI66:CI66,INDEX($J:$J,MATCH($AI66,$M:$M,0)+CJ$8-1))=0,
IF(COUNTIF($M:$M,$AI66)&lt;CJ$8,
"",
INDEX($J:$J,MATCH($AI66,$M:$M,0)+CJ$8-1)),
""),
"")</f>
        <v/>
      </c>
      <c r="CK66" s="21" t="str">
        <f>IFERROR(
IF(COUNTIF($BI66:CJ66,INDEX($J:$J,MATCH($AI66,$M:$M,0)+CK$8-1))=0,
IF(COUNTIF($M:$M,$AI66)&lt;CK$8,
"",
INDEX($J:$J,MATCH($AI66,$M:$M,0)+CK$8-1)),
""),
"")</f>
        <v/>
      </c>
      <c r="CM66" s="21" t="str">
        <f>IFERROR(
IF(COUNTIF($BI66:CL66,INDEX($J:$J,MATCH($AJ66,$M:$M,0)+CM$8-1))=0,
IF(COUNTIF($M:$M,$AJ66)&lt;CM$8,
"",
INDEX($J:$J,MATCH($AJ66,$M:$M,0)+CM$8-1)),
""),
"")</f>
        <v/>
      </c>
      <c r="CN66" s="21" t="str">
        <f>IFERROR(
IF(COUNTIF($BI66:CM66,INDEX($J:$J,MATCH($AJ66,$M:$M,0)+CN$8-1))=0,
IF(COUNTIF($M:$M,$AJ66)&lt;CN$8,
"",
INDEX($J:$J,MATCH($AJ66,$M:$M,0)+CN$8-1)),
""),
"")</f>
        <v/>
      </c>
      <c r="CO66" s="21" t="str">
        <f>IFERROR(
IF(COUNTIF($BI66:CN66,INDEX($J:$J,MATCH($AJ66,$M:$M,0)+CO$8-1))=0,
IF(COUNTIF($M:$M,$AJ66)&lt;CO$8,
"",
INDEX($J:$J,MATCH($AJ66,$M:$M,0)+CO$8-1)),
""),
"")</f>
        <v/>
      </c>
      <c r="CP66" s="21" t="str">
        <f>IFERROR(
IF(COUNTIF($BI66:CO66,INDEX($J:$J,MATCH($AJ66,$M:$M,0)+CP$8-1))=0,
IF(COUNTIF($M:$M,$AJ66)&lt;CP$8,
"",
INDEX($J:$J,MATCH($AJ66,$M:$M,0)+CP$8-1)),
""),
"")</f>
        <v/>
      </c>
      <c r="CR66" s="21" t="str">
        <f>IFERROR(
IF(COUNTIF($BI66:CQ66,INDEX($J:$J,MATCH($AK66,$M:$M,0)+CR$8-1))=0,
IF(COUNTIF($M:$M,$AK66)&lt;CR$8,
"",
INDEX($J:$J,MATCH($AK66,$M:$M,0)+CR$8-1)),
""),
"")</f>
        <v/>
      </c>
      <c r="CS66" s="21" t="str">
        <f>IFERROR(
IF(COUNTIF($BI66:CR66,INDEX($J:$J,MATCH($AK66,$M:$M,0)+CS$8-1))=0,
IF(COUNTIF($M:$M,$AK66)&lt;CS$8,
"",
INDEX($J:$J,MATCH($AK66,$M:$M,0)+CS$8-1)),
""),
"")</f>
        <v/>
      </c>
      <c r="CT66" s="21" t="str">
        <f>IFERROR(
IF(COUNTIF($BI66:CS66,INDEX($J:$J,MATCH($AK66,$M:$M,0)+CT$8-1))=0,
IF(COUNTIF($M:$M,$AK66)&lt;CT$8,
"",
INDEX($J:$J,MATCH($AK66,$M:$M,0)+CT$8-1)),
""),
"")</f>
        <v/>
      </c>
      <c r="CU66" s="21" t="str">
        <f>IFERROR(
IF(COUNTIF($BI66:CT66,INDEX($J:$J,MATCH($AK66,$M:$M,0)+CU$8-1))=0,
IF(COUNTIF($M:$M,$AK66)&lt;CU$8,
"",
INDEX($J:$J,MATCH($AK66,$M:$M,0)+CU$8-1)),
""),
"")</f>
        <v/>
      </c>
    </row>
    <row r="67" spans="3:99" ht="14.25">
      <c r="C67" s="16">
        <v>59</v>
      </c>
      <c r="D67" s="19" t="s">
        <v>83</v>
      </c>
      <c r="E67" s="20">
        <f>INDEX([1]武将基本资料!$S:$S,MATCH(D67,[1]武将基本资料!$N:$N,0))</f>
        <v>130</v>
      </c>
      <c r="F67" s="20" t="str">
        <f>INDEX([1]武将基本资料!$Q:$Q,MATCH(D67,[1]武将基本资料!$N:$N,0))</f>
        <v>橙+</v>
      </c>
      <c r="H67" s="7">
        <f>IF(I67="","",COUNTA(I$9:$I67))</f>
        <v>57</v>
      </c>
      <c r="I67" s="6" t="s">
        <v>150</v>
      </c>
      <c r="J67" s="6" t="s">
        <v>82</v>
      </c>
      <c r="K67" s="8" t="str">
        <f>IF(H67="","",阶段合并区域(J67:J77," ",L67:L77,1))</f>
        <v>韩非子 项燕 屈原</v>
      </c>
      <c r="L67" s="8">
        <f>COUNTIF(M$8:$M67,"="&amp;M67)</f>
        <v>1</v>
      </c>
      <c r="M67" s="9" t="str">
        <f t="shared" si="3"/>
        <v>国破家亡</v>
      </c>
      <c r="N67" s="9" t="str">
        <f t="shared" si="4"/>
        <v>国破家亡1</v>
      </c>
      <c r="O67" s="15">
        <f>INDEX(C:C,MATCH(J67,D:D,0))</f>
        <v>52</v>
      </c>
      <c r="P67" s="9">
        <f>INDEX(E:E,MATCH(J67,D:D,0))</f>
        <v>120</v>
      </c>
      <c r="Q67" s="7">
        <f t="shared" si="0"/>
        <v>52</v>
      </c>
      <c r="R67" s="7">
        <f>COUNTIF(J$8:$J67,"="&amp;J67)</f>
        <v>1</v>
      </c>
      <c r="S67" s="7">
        <f t="shared" si="5"/>
        <v>1052</v>
      </c>
      <c r="U67" s="7">
        <f t="shared" si="9"/>
        <v>1059</v>
      </c>
      <c r="V67" s="7">
        <f t="shared" si="9"/>
        <v>2059</v>
      </c>
      <c r="W67" s="7">
        <f t="shared" si="9"/>
        <v>3059</v>
      </c>
      <c r="X67" s="7">
        <f t="shared" si="9"/>
        <v>4059</v>
      </c>
      <c r="Y67" s="7">
        <f t="shared" si="9"/>
        <v>5059</v>
      </c>
      <c r="Z67" s="7">
        <f t="shared" si="9"/>
        <v>6059</v>
      </c>
      <c r="AA67" s="7">
        <f t="shared" si="9"/>
        <v>7059</v>
      </c>
      <c r="AB67" s="7">
        <f t="shared" si="9"/>
        <v>8059</v>
      </c>
      <c r="AD67" s="21" t="str">
        <f>IFERROR(INDEX($M:$M,MATCH(U67,$S:$S,0)),"&amp;")</f>
        <v>出类拔萃</v>
      </c>
      <c r="AE67" s="21" t="str">
        <f>IFERROR(INDEX($M:$M,MATCH(V67,$S:$S,0)),"&amp;")</f>
        <v>为国为民</v>
      </c>
      <c r="AF67" s="21" t="str">
        <f>IFERROR(INDEX($M:$M,MATCH(W67,$S:$S,0)),"&amp;")</f>
        <v>攻守相济</v>
      </c>
      <c r="AG67" s="21" t="str">
        <f>IFERROR(INDEX($M:$M,MATCH(X67,$S:$S,0)),"&amp;")</f>
        <v>&amp;</v>
      </c>
      <c r="AH67" s="21" t="str">
        <f>IFERROR(INDEX($M:$M,MATCH(Y67,$S:$S,0)),"&amp;")</f>
        <v>&amp;</v>
      </c>
      <c r="AI67" s="21" t="str">
        <f>IFERROR(INDEX($M:$M,MATCH(Z67,$S:$S,0)),"&amp;")</f>
        <v>&amp;</v>
      </c>
      <c r="AJ67" s="21" t="str">
        <f>IFERROR(INDEX($M:$M,MATCH(AA67,$S:$S,0)),"&amp;")</f>
        <v>&amp;</v>
      </c>
      <c r="AK67" s="21" t="str">
        <f>IFERROR(INDEX($M:$M,MATCH(AB67,$S:$S,0)),"&amp;")</f>
        <v>&amp;</v>
      </c>
      <c r="AM67" s="21" t="str">
        <f>IFERROR(INDEX($N:$N,MATCH(U67,$S:$S,0)),"&amp;")</f>
        <v>出类拔萃1</v>
      </c>
      <c r="AN67" s="21" t="str">
        <f>IFERROR(INDEX($N:$N,MATCH(V67,$S:$S,0)),"&amp;")</f>
        <v>为国为民1</v>
      </c>
      <c r="AO67" s="21" t="str">
        <f>IFERROR(INDEX($N:$N,MATCH(W67,$S:$S,0)),"&amp;")</f>
        <v>攻守相济1</v>
      </c>
      <c r="AP67" s="21" t="str">
        <f>IFERROR(INDEX($N:$N,MATCH(X67,$S:$S,0)),"&amp;")</f>
        <v>&amp;</v>
      </c>
      <c r="AQ67" s="21" t="str">
        <f>IFERROR(INDEX($N:$N,MATCH(Y67,$S:$S,0)),"&amp;")</f>
        <v>&amp;</v>
      </c>
      <c r="AR67" s="21" t="str">
        <f>IFERROR(INDEX($N:$N,MATCH(Z67,$S:$S,0)),"&amp;")</f>
        <v>&amp;</v>
      </c>
      <c r="AS67" s="21" t="str">
        <f>IFERROR(INDEX($N:$N,MATCH(AA67,$S:$S,0)),"&amp;")</f>
        <v>&amp;</v>
      </c>
      <c r="AT67" s="21" t="str">
        <f>IFERROR(INDEX($N:$N,MATCH(AB67,$S:$S,0)),"&amp;")</f>
        <v>&amp;</v>
      </c>
      <c r="AV67" s="21" t="str">
        <f>IFERROR(SUBSTITUTE(INDEX($K:$K,MATCH(INDEX($M:$M,MATCH(AM67,$N:$N,0)),$M:$M,0)),$D67,""),"")</f>
        <v xml:space="preserve"> 扁鹊 伯乐 欧冶子</v>
      </c>
      <c r="AW67" s="21" t="str">
        <f>IFERROR(SUBSTITUTE(INDEX($K:$K,MATCH(INDEX($M:$M,MATCH(AN67,$N:$N,0)),$M:$M,0)),$D67,""),"")</f>
        <v xml:space="preserve"> 屈原 孙膑 韩非子</v>
      </c>
      <c r="AX67" s="21" t="str">
        <f>IFERROR(SUBSTITUTE(INDEX($K:$K,MATCH(INDEX($M:$M,MATCH(AO67,$N:$N,0)),$M:$M,0)),$D67,""),"")</f>
        <v xml:space="preserve"> 司马穰苴 田单 乐毅</v>
      </c>
      <c r="AY67" s="21" t="str">
        <f>IFERROR(SUBSTITUTE(INDEX($K:$K,MATCH(INDEX($M:$M,MATCH(AP67,$N:$N,0)),$M:$M,0)),$D67,""),"")</f>
        <v/>
      </c>
      <c r="AZ67" s="21" t="str">
        <f>IFERROR(SUBSTITUTE(INDEX($K:$K,MATCH(INDEX($M:$M,MATCH(AQ67,$N:$N,0)),$M:$M,0)),$D67,""),"")</f>
        <v/>
      </c>
      <c r="BA67" s="21" t="str">
        <f>IFERROR(SUBSTITUTE(INDEX($K:$K,MATCH(INDEX($M:$M,MATCH(AR67,$N:$N,0)),$M:$M,0)),$D67,""),"")</f>
        <v/>
      </c>
      <c r="BB67" s="21" t="str">
        <f>IFERROR(SUBSTITUTE(INDEX($K:$K,MATCH(INDEX($M:$M,MATCH(AS67,$N:$N,0)),$M:$M,0)),$D67,""),"")</f>
        <v/>
      </c>
      <c r="BC67" s="21" t="str">
        <f>IFERROR(SUBSTITUTE(INDEX($K:$K,MATCH(INDEX($M:$M,MATCH(AT67,$N:$N,0)),$M:$M,0)),$D67,""),"")</f>
        <v/>
      </c>
      <c r="BE67" s="9" t="str">
        <f t="shared" si="7"/>
        <v>墨子,扁鹊,伯乐,欧冶子,屈原,孙膑,韩非子,司马穰苴,田单,乐毅</v>
      </c>
      <c r="BI67" s="9" t="str">
        <f>IFERROR(
IF(COUNTIF($M:$M,$AD67)&lt;BI$8,
"",
INDEX($J:$J,MATCH($AD67,$M:$M,0)+BI$8-1)),
"")</f>
        <v>墨子</v>
      </c>
      <c r="BJ67" s="9" t="str">
        <f>IFERROR(
IF(COUNTIF($M:$M,$AD67)&lt;BJ$8,
"",
INDEX($J:$J,MATCH($AD67,$M:$M,0)+BJ$8-1)),
"")</f>
        <v>扁鹊</v>
      </c>
      <c r="BK67" s="9" t="str">
        <f>IFERROR(
IF(COUNTIF($M:$M,$AD67)&lt;BK$8,
"",
INDEX($J:$J,MATCH($AD67,$M:$M,0)+BK$8-1)),
"")</f>
        <v>伯乐</v>
      </c>
      <c r="BL67" s="9" t="str">
        <f>IFERROR(
IF(COUNTIF($M:$M,$AD67)&lt;BL$8,
"",
INDEX($J:$J,MATCH($AD67,$M:$M,0)+BL$8-1)),
"")</f>
        <v>欧冶子</v>
      </c>
      <c r="BN67" s="21" t="str">
        <f>IFERROR(
IF(COUNTIF($BI67:BM67,INDEX($J:$J,MATCH($AE67,$M:$M,0)+BN$8-1))=0,
IF(COUNTIF($M:$M,$AE67)&lt;BN$8,
"",
INDEX($J:$J,MATCH($AE67,$M:$M,0)+BN$8-1)),
""),
"")</f>
        <v/>
      </c>
      <c r="BO67" s="21" t="str">
        <f>IFERROR(
IF(COUNTIF($BI67:BN67,INDEX($J:$J,MATCH($AE67,$M:$M,0)+BO$8-1))=0,
IF(COUNTIF($M:$M,$AE67)&lt;BO$8,
"",
INDEX($J:$J,MATCH($AE67,$M:$M,0)+BO$8-1)),
""),
"")</f>
        <v>屈原</v>
      </c>
      <c r="BP67" s="21" t="str">
        <f>IFERROR(
IF(COUNTIF($BI67:BO67,INDEX($J:$J,MATCH($AE67,$M:$M,0)+BP$8-1))=0,
IF(COUNTIF($M:$M,$AE67)&lt;BP$8,
"",
INDEX($J:$J,MATCH($AE67,$M:$M,0)+BP$8-1)),
""),
"")</f>
        <v>孙膑</v>
      </c>
      <c r="BQ67" s="21" t="str">
        <f>IFERROR(
IF(COUNTIF($BI67:BP67,INDEX($J:$J,MATCH($AE67,$M:$M,0)+BQ$8-1))=0,
IF(COUNTIF($M:$M,$AE67)&lt;BQ$8,
"",
INDEX($J:$J,MATCH($AE67,$M:$M,0)+BQ$8-1)),
""),
"")</f>
        <v>韩非子</v>
      </c>
      <c r="BS67" s="21" t="str">
        <f>IFERROR(
IF(COUNTIF($BI67:BR67,INDEX($J:$J,MATCH($AF67,$M:$M,0)+BS$8-1))=0,
IF(COUNTIF($M:$M,$AF67)&lt;BS$8,
"",
INDEX($J:$J,MATCH($AF67,$M:$M,0)+BS$8-1)),
""),
"")</f>
        <v/>
      </c>
      <c r="BT67" s="21" t="str">
        <f>IFERROR(
IF(COUNTIF($BI67:BS67,INDEX($J:$J,MATCH($AF67,$M:$M,0)+BT$8-1))=0,
IF(COUNTIF($M:$M,$AF67)&lt;BT$8,
"",
INDEX($J:$J,MATCH($AF67,$M:$M,0)+BT$8-1)),
""),
"")</f>
        <v>司马穰苴</v>
      </c>
      <c r="BU67" s="21" t="str">
        <f>IFERROR(
IF(COUNTIF($BI67:BT67,INDEX($J:$J,MATCH($AF67,$M:$M,0)+BU$8-1))=0,
IF(COUNTIF($M:$M,$AF67)&lt;BU$8,
"",
INDEX($J:$J,MATCH($AF67,$M:$M,0)+BU$8-1)),
""),
"")</f>
        <v>田单</v>
      </c>
      <c r="BV67" s="21" t="str">
        <f>IFERROR(
IF(COUNTIF($BI67:BU67,INDEX($J:$J,MATCH($AF67,$M:$M,0)+BV$8-1))=0,
IF(COUNTIF($M:$M,$AF67)&lt;BV$8,
"",
INDEX($J:$J,MATCH($AF67,$M:$M,0)+BV$8-1)),
""),
"")</f>
        <v>乐毅</v>
      </c>
      <c r="BX67" s="21" t="str">
        <f>IFERROR(
IF(COUNTIF($BI67:BW67,INDEX($J:$J,MATCH($AG67,$M:$M,0)+BX$8-1))=0,
IF(COUNTIF($M:$M,$AG67)&lt;BX$8,
"",
INDEX($J:$J,MATCH($AG67,$M:$M,0)+BX$8-1)),
""),
"")</f>
        <v/>
      </c>
      <c r="BY67" s="21" t="str">
        <f>IFERROR(
IF(COUNTIF($BI67:BX67,INDEX($J:$J,MATCH($AG67,$M:$M,0)+BY$8-1))=0,
IF(COUNTIF($M:$M,$AG67)&lt;BY$8,
"",
INDEX($J:$J,MATCH($AG67,$M:$M,0)+BY$8-1)),
""),
"")</f>
        <v/>
      </c>
      <c r="BZ67" s="21" t="str">
        <f>IFERROR(
IF(COUNTIF($BI67:BY67,INDEX($J:$J,MATCH($AG67,$M:$M,0)+BZ$8-1))=0,
IF(COUNTIF($M:$M,$AG67)&lt;BZ$8,
"",
INDEX($J:$J,MATCH($AG67,$M:$M,0)+BZ$8-1)),
""),
"")</f>
        <v/>
      </c>
      <c r="CA67" s="21" t="str">
        <f>IFERROR(
IF(COUNTIF($BI67:BZ67,INDEX($J:$J,MATCH($AG67,$M:$M,0)+CA$8-1))=0,
IF(COUNTIF($M:$M,$AG67)&lt;CA$8,
"",
INDEX($J:$J,MATCH($AG67,$M:$M,0)+CA$8-1)),
""),
"")</f>
        <v/>
      </c>
      <c r="CC67" s="21" t="str">
        <f>IFERROR(
IF(COUNTIF($BI67:CB67,INDEX($J:$J,MATCH($AH67,$M:$M,0)+CC$8-1))=0,
IF(COUNTIF($M:$M,$AH67)&lt;CC$8,
"",
INDEX($J:$J,MATCH($AH67,$M:$M,0)+CC$8-1)),
""),
"")</f>
        <v/>
      </c>
      <c r="CD67" s="21" t="str">
        <f>IFERROR(
IF(COUNTIF($BI67:CC67,INDEX($J:$J,MATCH($AH67,$M:$M,0)+CD$8-1))=0,
IF(COUNTIF($M:$M,$AH67)&lt;CD$8,
"",
INDEX($J:$J,MATCH($AH67,$M:$M,0)+CD$8-1)),
""),
"")</f>
        <v/>
      </c>
      <c r="CE67" s="21" t="str">
        <f>IFERROR(
IF(COUNTIF($BI67:CD67,INDEX($J:$J,MATCH($AH67,$M:$M,0)+CE$8-1))=0,
IF(COUNTIF($M:$M,$AH67)&lt;CE$8,
"",
INDEX($J:$J,MATCH($AH67,$M:$M,0)+CE$8-1)),
""),
"")</f>
        <v/>
      </c>
      <c r="CF67" s="21" t="str">
        <f>IFERROR(
IF(COUNTIF($BI67:CE67,INDEX($J:$J,MATCH($AH67,$M:$M,0)+CF$8-1))=0,
IF(COUNTIF($M:$M,$AH67)&lt;CF$8,
"",
INDEX($J:$J,MATCH($AH67,$M:$M,0)+CF$8-1)),
""),
"")</f>
        <v/>
      </c>
      <c r="CH67" s="21" t="str">
        <f>IFERROR(
IF(COUNTIF($BI67:CG67,INDEX($J:$J,MATCH($AI67,$M:$M,0)+CH$8-1))=0,
IF(COUNTIF($M:$M,$AI67)&lt;CH$8,
"",
INDEX($J:$J,MATCH($AI67,$M:$M,0)+CH$8-1)),
""),
"")</f>
        <v/>
      </c>
      <c r="CI67" s="21" t="str">
        <f>IFERROR(
IF(COUNTIF($BI67:CH67,INDEX($J:$J,MATCH($AI67,$M:$M,0)+CI$8-1))=0,
IF(COUNTIF($M:$M,$AI67)&lt;CI$8,
"",
INDEX($J:$J,MATCH($AI67,$M:$M,0)+CI$8-1)),
""),
"")</f>
        <v/>
      </c>
      <c r="CJ67" s="21" t="str">
        <f>IFERROR(
IF(COUNTIF($BI67:CI67,INDEX($J:$J,MATCH($AI67,$M:$M,0)+CJ$8-1))=0,
IF(COUNTIF($M:$M,$AI67)&lt;CJ$8,
"",
INDEX($J:$J,MATCH($AI67,$M:$M,0)+CJ$8-1)),
""),
"")</f>
        <v/>
      </c>
      <c r="CK67" s="21" t="str">
        <f>IFERROR(
IF(COUNTIF($BI67:CJ67,INDEX($J:$J,MATCH($AI67,$M:$M,0)+CK$8-1))=0,
IF(COUNTIF($M:$M,$AI67)&lt;CK$8,
"",
INDEX($J:$J,MATCH($AI67,$M:$M,0)+CK$8-1)),
""),
"")</f>
        <v/>
      </c>
      <c r="CM67" s="21" t="str">
        <f>IFERROR(
IF(COUNTIF($BI67:CL67,INDEX($J:$J,MATCH($AJ67,$M:$M,0)+CM$8-1))=0,
IF(COUNTIF($M:$M,$AJ67)&lt;CM$8,
"",
INDEX($J:$J,MATCH($AJ67,$M:$M,0)+CM$8-1)),
""),
"")</f>
        <v/>
      </c>
      <c r="CN67" s="21" t="str">
        <f>IFERROR(
IF(COUNTIF($BI67:CM67,INDEX($J:$J,MATCH($AJ67,$M:$M,0)+CN$8-1))=0,
IF(COUNTIF($M:$M,$AJ67)&lt;CN$8,
"",
INDEX($J:$J,MATCH($AJ67,$M:$M,0)+CN$8-1)),
""),
"")</f>
        <v/>
      </c>
      <c r="CO67" s="21" t="str">
        <f>IFERROR(
IF(COUNTIF($BI67:CN67,INDEX($J:$J,MATCH($AJ67,$M:$M,0)+CO$8-1))=0,
IF(COUNTIF($M:$M,$AJ67)&lt;CO$8,
"",
INDEX($J:$J,MATCH($AJ67,$M:$M,0)+CO$8-1)),
""),
"")</f>
        <v/>
      </c>
      <c r="CP67" s="21" t="str">
        <f>IFERROR(
IF(COUNTIF($BI67:CO67,INDEX($J:$J,MATCH($AJ67,$M:$M,0)+CP$8-1))=0,
IF(COUNTIF($M:$M,$AJ67)&lt;CP$8,
"",
INDEX($J:$J,MATCH($AJ67,$M:$M,0)+CP$8-1)),
""),
"")</f>
        <v/>
      </c>
      <c r="CR67" s="21" t="str">
        <f>IFERROR(
IF(COUNTIF($BI67:CQ67,INDEX($J:$J,MATCH($AK67,$M:$M,0)+CR$8-1))=0,
IF(COUNTIF($M:$M,$AK67)&lt;CR$8,
"",
INDEX($J:$J,MATCH($AK67,$M:$M,0)+CR$8-1)),
""),
"")</f>
        <v/>
      </c>
      <c r="CS67" s="21" t="str">
        <f>IFERROR(
IF(COUNTIF($BI67:CR67,INDEX($J:$J,MATCH($AK67,$M:$M,0)+CS$8-1))=0,
IF(COUNTIF($M:$M,$AK67)&lt;CS$8,
"",
INDEX($J:$J,MATCH($AK67,$M:$M,0)+CS$8-1)),
""),
"")</f>
        <v/>
      </c>
      <c r="CT67" s="21" t="str">
        <f>IFERROR(
IF(COUNTIF($BI67:CS67,INDEX($J:$J,MATCH($AK67,$M:$M,0)+CT$8-1))=0,
IF(COUNTIF($M:$M,$AK67)&lt;CT$8,
"",
INDEX($J:$J,MATCH($AK67,$M:$M,0)+CT$8-1)),
""),
"")</f>
        <v/>
      </c>
      <c r="CU67" s="21" t="str">
        <f>IFERROR(
IF(COUNTIF($BI67:CT67,INDEX($J:$J,MATCH($AK67,$M:$M,0)+CU$8-1))=0,
IF(COUNTIF($M:$M,$AK67)&lt;CU$8,
"",
INDEX($J:$J,MATCH($AK67,$M:$M,0)+CU$8-1)),
""),
"")</f>
        <v/>
      </c>
    </row>
    <row r="68" spans="3:99" ht="14.25">
      <c r="C68" s="16">
        <v>60</v>
      </c>
      <c r="D68" s="19" t="s">
        <v>79</v>
      </c>
      <c r="E68" s="20">
        <f>INDEX([1]武将基本资料!$S:$S,MATCH(D68,[1]武将基本资料!$N:$N,0))</f>
        <v>130</v>
      </c>
      <c r="F68" s="20" t="str">
        <f>INDEX([1]武将基本资料!$Q:$Q,MATCH(D68,[1]武将基本资料!$N:$N,0))</f>
        <v>橙+</v>
      </c>
      <c r="H68" s="7" t="str">
        <f>IF(I68="","",COUNTA(I$9:$I68))</f>
        <v/>
      </c>
      <c r="I68" s="6" t="s">
        <v>188</v>
      </c>
      <c r="J68" s="6" t="s">
        <v>72</v>
      </c>
      <c r="K68" s="8" t="str">
        <f>IF(H68="","",阶段合并区域(J68:J78," ",L68:L78,1))</f>
        <v/>
      </c>
      <c r="L68" s="8">
        <f>COUNTIF(M$8:$M68,"="&amp;M68)</f>
        <v>2</v>
      </c>
      <c r="M68" s="9" t="str">
        <f t="shared" si="3"/>
        <v>国破家亡</v>
      </c>
      <c r="N68" s="9" t="str">
        <f t="shared" si="4"/>
        <v>国破家亡2</v>
      </c>
      <c r="O68" s="15">
        <f>INDEX(C:C,MATCH(J68,D:D,0))</f>
        <v>41</v>
      </c>
      <c r="P68" s="9">
        <f>INDEX(E:E,MATCH(J68,D:D,0))</f>
        <v>120</v>
      </c>
      <c r="Q68" s="7">
        <f t="shared" si="0"/>
        <v>41</v>
      </c>
      <c r="R68" s="7">
        <f>COUNTIF(J$8:$J68,"="&amp;J68)</f>
        <v>2</v>
      </c>
      <c r="S68" s="7">
        <f t="shared" si="5"/>
        <v>2041</v>
      </c>
      <c r="U68" s="7">
        <f t="shared" si="9"/>
        <v>1060</v>
      </c>
      <c r="V68" s="7">
        <f t="shared" si="9"/>
        <v>2060</v>
      </c>
      <c r="W68" s="7">
        <f t="shared" si="9"/>
        <v>3060</v>
      </c>
      <c r="X68" s="7">
        <f t="shared" si="9"/>
        <v>4060</v>
      </c>
      <c r="Y68" s="7">
        <f t="shared" si="9"/>
        <v>5060</v>
      </c>
      <c r="Z68" s="7">
        <f t="shared" si="9"/>
        <v>6060</v>
      </c>
      <c r="AA68" s="7">
        <f t="shared" si="9"/>
        <v>7060</v>
      </c>
      <c r="AB68" s="7">
        <f t="shared" si="9"/>
        <v>8060</v>
      </c>
      <c r="AD68" s="21" t="str">
        <f>IFERROR(INDEX($M:$M,MATCH(U68,$S:$S,0)),"&amp;")</f>
        <v>红颜薄命</v>
      </c>
      <c r="AE68" s="21" t="str">
        <f>IFERROR(INDEX($M:$M,MATCH(V68,$S:$S,0)),"&amp;")</f>
        <v>国破家亡</v>
      </c>
      <c r="AF68" s="21" t="str">
        <f>IFERROR(INDEX($M:$M,MATCH(W68,$S:$S,0)),"&amp;")</f>
        <v>英雄美人</v>
      </c>
      <c r="AG68" s="21" t="str">
        <f>IFERROR(INDEX($M:$M,MATCH(X68,$S:$S,0)),"&amp;")</f>
        <v>英雄美人</v>
      </c>
      <c r="AH68" s="21" t="str">
        <f>IFERROR(INDEX($M:$M,MATCH(Y68,$S:$S,0)),"&amp;")</f>
        <v>&amp;</v>
      </c>
      <c r="AI68" s="21" t="str">
        <f>IFERROR(INDEX($M:$M,MATCH(Z68,$S:$S,0)),"&amp;")</f>
        <v>&amp;</v>
      </c>
      <c r="AJ68" s="21" t="str">
        <f>IFERROR(INDEX($M:$M,MATCH(AA68,$S:$S,0)),"&amp;")</f>
        <v>&amp;</v>
      </c>
      <c r="AK68" s="21" t="str">
        <f>IFERROR(INDEX($M:$M,MATCH(AB68,$S:$S,0)),"&amp;")</f>
        <v>&amp;</v>
      </c>
      <c r="AM68" s="21" t="str">
        <f>IFERROR(INDEX($N:$N,MATCH(U68,$S:$S,0)),"&amp;")</f>
        <v>红颜薄命1</v>
      </c>
      <c r="AN68" s="21" t="str">
        <f>IFERROR(INDEX($N:$N,MATCH(V68,$S:$S,0)),"&amp;")</f>
        <v>国破家亡4</v>
      </c>
      <c r="AO68" s="21" t="str">
        <f>IFERROR(INDEX($N:$N,MATCH(W68,$S:$S,0)),"&amp;")</f>
        <v>英雄美人1</v>
      </c>
      <c r="AP68" s="21" t="str">
        <f>IFERROR(INDEX($N:$N,MATCH(X68,$S:$S,0)),"&amp;")</f>
        <v>英雄美人7</v>
      </c>
      <c r="AQ68" s="21" t="str">
        <f>IFERROR(INDEX($N:$N,MATCH(Y68,$S:$S,0)),"&amp;")</f>
        <v>&amp;</v>
      </c>
      <c r="AR68" s="21" t="str">
        <f>IFERROR(INDEX($N:$N,MATCH(Z68,$S:$S,0)),"&amp;")</f>
        <v>&amp;</v>
      </c>
      <c r="AS68" s="21" t="str">
        <f>IFERROR(INDEX($N:$N,MATCH(AA68,$S:$S,0)),"&amp;")</f>
        <v>&amp;</v>
      </c>
      <c r="AT68" s="21" t="str">
        <f>IFERROR(INDEX($N:$N,MATCH(AB68,$S:$S,0)),"&amp;")</f>
        <v>&amp;</v>
      </c>
      <c r="AV68" s="21" t="str">
        <f>IFERROR(SUBSTITUTE(INDEX($K:$K,MATCH(INDEX($M:$M,MATCH(AM68,$N:$N,0)),$M:$M,0)),$D68,""),"")</f>
        <v xml:space="preserve"> 西施 骊姬  韩非子 屈原 项燕</v>
      </c>
      <c r="AW68" s="21" t="str">
        <f>IFERROR(SUBSTITUTE(INDEX($K:$K,MATCH(INDEX($M:$M,MATCH(AN68,$N:$N,0)),$M:$M,0)),$D68,""),"")</f>
        <v>韩非子 项燕 屈原</v>
      </c>
      <c r="AX68" s="21" t="str">
        <f>IFERROR(SUBSTITUTE(INDEX($K:$K,MATCH(INDEX($M:$M,MATCH(AO68,$N:$N,0)),$M:$M,0)),$D68,""),"")</f>
        <v xml:space="preserve"> 勾践 楚庄王 秦武王</v>
      </c>
      <c r="AY68" s="21" t="str">
        <f>IFERROR(SUBSTITUTE(INDEX($K:$K,MATCH(INDEX($M:$M,MATCH(AP68,$N:$N,0)),$M:$M,0)),$D68,""),"")</f>
        <v xml:space="preserve"> 勾践 楚庄王 秦武王</v>
      </c>
      <c r="AZ68" s="21" t="str">
        <f>IFERROR(SUBSTITUTE(INDEX($K:$K,MATCH(INDEX($M:$M,MATCH(AQ68,$N:$N,0)),$M:$M,0)),$D68,""),"")</f>
        <v/>
      </c>
      <c r="BA68" s="21" t="str">
        <f>IFERROR(SUBSTITUTE(INDEX($K:$K,MATCH(INDEX($M:$M,MATCH(AR68,$N:$N,0)),$M:$M,0)),$D68,""),"")</f>
        <v/>
      </c>
      <c r="BB68" s="21" t="str">
        <f>IFERROR(SUBSTITUTE(INDEX($K:$K,MATCH(INDEX($M:$M,MATCH(AS68,$N:$N,0)),$M:$M,0)),$D68,""),"")</f>
        <v/>
      </c>
      <c r="BC68" s="21" t="str">
        <f>IFERROR(SUBSTITUTE(INDEX($K:$K,MATCH(INDEX($M:$M,MATCH(AT68,$N:$N,0)),$M:$M,0)),$D68,""),"")</f>
        <v/>
      </c>
      <c r="BE68" s="9" t="str">
        <f t="shared" si="7"/>
        <v>褒姒,西施,骊姬,韩非子,项燕,屈原,勾践,楚庄王,秦武王</v>
      </c>
      <c r="BI68" s="9" t="str">
        <f>IFERROR(
IF(COUNTIF($M:$M,$AD68)&lt;BI$8,
"",
INDEX($J:$J,MATCH($AD68,$M:$M,0)+BI$8-1)),
"")</f>
        <v>褒姒</v>
      </c>
      <c r="BJ68" s="9" t="str">
        <f>IFERROR(
IF(COUNTIF($M:$M,$AD68)&lt;BJ$8,
"",
INDEX($J:$J,MATCH($AD68,$M:$M,0)+BJ$8-1)),
"")</f>
        <v>西施</v>
      </c>
      <c r="BK68" s="9" t="str">
        <f>IFERROR(
IF(COUNTIF($M:$M,$AD68)&lt;BK$8,
"",
INDEX($J:$J,MATCH($AD68,$M:$M,0)+BK$8-1)),
"")</f>
        <v>骊姬</v>
      </c>
      <c r="BL68" s="9" t="str">
        <f>IFERROR(
IF(COUNTIF($M:$M,$AD68)&lt;BL$8,
"",
INDEX($J:$J,MATCH($AD68,$M:$M,0)+BL$8-1)),
"")</f>
        <v/>
      </c>
      <c r="BN68" s="21" t="str">
        <f>IFERROR(
IF(COUNTIF($BI68:BM68,INDEX($J:$J,MATCH($AE68,$M:$M,0)+BN$8-1))=0,
IF(COUNTIF($M:$M,$AE68)&lt;BN$8,
"",
INDEX($J:$J,MATCH($AE68,$M:$M,0)+BN$8-1)),
""),
"")</f>
        <v>韩非子</v>
      </c>
      <c r="BO68" s="21" t="str">
        <f>IFERROR(
IF(COUNTIF($BI68:BN68,INDEX($J:$J,MATCH($AE68,$M:$M,0)+BO$8-1))=0,
IF(COUNTIF($M:$M,$AE68)&lt;BO$8,
"",
INDEX($J:$J,MATCH($AE68,$M:$M,0)+BO$8-1)),
""),
"")</f>
        <v>项燕</v>
      </c>
      <c r="BP68" s="21" t="str">
        <f>IFERROR(
IF(COUNTIF($BI68:BO68,INDEX($J:$J,MATCH($AE68,$M:$M,0)+BP$8-1))=0,
IF(COUNTIF($M:$M,$AE68)&lt;BP$8,
"",
INDEX($J:$J,MATCH($AE68,$M:$M,0)+BP$8-1)),
""),
"")</f>
        <v>屈原</v>
      </c>
      <c r="BQ68" s="21" t="str">
        <f>IFERROR(
IF(COUNTIF($BI68:BP68,INDEX($J:$J,MATCH($AE68,$M:$M,0)+BQ$8-1))=0,
IF(COUNTIF($M:$M,$AE68)&lt;BQ$8,
"",
INDEX($J:$J,MATCH($AE68,$M:$M,0)+BQ$8-1)),
""),
"")</f>
        <v/>
      </c>
      <c r="BS68" s="21" t="str">
        <f>IFERROR(
IF(COUNTIF($BI68:BR68,INDEX($J:$J,MATCH($AF68,$M:$M,0)+BS$8-1))=0,
IF(COUNTIF($M:$M,$AF68)&lt;BS$8,
"",
INDEX($J:$J,MATCH($AF68,$M:$M,0)+BS$8-1)),
""),
"")</f>
        <v/>
      </c>
      <c r="BT68" s="21" t="str">
        <f>IFERROR(
IF(COUNTIF($BI68:BS68,INDEX($J:$J,MATCH($AF68,$M:$M,0)+BT$8-1))=0,
IF(COUNTIF($M:$M,$AF68)&lt;BT$8,
"",
INDEX($J:$J,MATCH($AF68,$M:$M,0)+BT$8-1)),
""),
"")</f>
        <v>勾践</v>
      </c>
      <c r="BU68" s="21" t="str">
        <f>IFERROR(
IF(COUNTIF($BI68:BT68,INDEX($J:$J,MATCH($AF68,$M:$M,0)+BU$8-1))=0,
IF(COUNTIF($M:$M,$AF68)&lt;BU$8,
"",
INDEX($J:$J,MATCH($AF68,$M:$M,0)+BU$8-1)),
""),
"")</f>
        <v>楚庄王</v>
      </c>
      <c r="BV68" s="21" t="str">
        <f>IFERROR(
IF(COUNTIF($BI68:BU68,INDEX($J:$J,MATCH($AF68,$M:$M,0)+BV$8-1))=0,
IF(COUNTIF($M:$M,$AF68)&lt;BV$8,
"",
INDEX($J:$J,MATCH($AF68,$M:$M,0)+BV$8-1)),
""),
"")</f>
        <v>秦武王</v>
      </c>
      <c r="BX68" s="21" t="str">
        <f>IFERROR(
IF(COUNTIF($BI68:BW68,INDEX($J:$J,MATCH($AG68,$M:$M,0)+BX$8-1))=0,
IF(COUNTIF($M:$M,$AG68)&lt;BX$8,
"",
INDEX($J:$J,MATCH($AG68,$M:$M,0)+BX$8-1)),
""),
"")</f>
        <v/>
      </c>
      <c r="BY68" s="21" t="str">
        <f>IFERROR(
IF(COUNTIF($BI68:BX68,INDEX($J:$J,MATCH($AG68,$M:$M,0)+BY$8-1))=0,
IF(COUNTIF($M:$M,$AG68)&lt;BY$8,
"",
INDEX($J:$J,MATCH($AG68,$M:$M,0)+BY$8-1)),
""),
"")</f>
        <v/>
      </c>
      <c r="BZ68" s="21" t="str">
        <f>IFERROR(
IF(COUNTIF($BI68:BY68,INDEX($J:$J,MATCH($AG68,$M:$M,0)+BZ$8-1))=0,
IF(COUNTIF($M:$M,$AG68)&lt;BZ$8,
"",
INDEX($J:$J,MATCH($AG68,$M:$M,0)+BZ$8-1)),
""),
"")</f>
        <v/>
      </c>
      <c r="CA68" s="21" t="str">
        <f>IFERROR(
IF(COUNTIF($BI68:BZ68,INDEX($J:$J,MATCH($AG68,$M:$M,0)+CA$8-1))=0,
IF(COUNTIF($M:$M,$AG68)&lt;CA$8,
"",
INDEX($J:$J,MATCH($AG68,$M:$M,0)+CA$8-1)),
""),
"")</f>
        <v/>
      </c>
      <c r="CC68" s="21" t="str">
        <f>IFERROR(
IF(COUNTIF($BI68:CB68,INDEX($J:$J,MATCH($AH68,$M:$M,0)+CC$8-1))=0,
IF(COUNTIF($M:$M,$AH68)&lt;CC$8,
"",
INDEX($J:$J,MATCH($AH68,$M:$M,0)+CC$8-1)),
""),
"")</f>
        <v/>
      </c>
      <c r="CD68" s="21" t="str">
        <f>IFERROR(
IF(COUNTIF($BI68:CC68,INDEX($J:$J,MATCH($AH68,$M:$M,0)+CD$8-1))=0,
IF(COUNTIF($M:$M,$AH68)&lt;CD$8,
"",
INDEX($J:$J,MATCH($AH68,$M:$M,0)+CD$8-1)),
""),
"")</f>
        <v/>
      </c>
      <c r="CE68" s="21" t="str">
        <f>IFERROR(
IF(COUNTIF($BI68:CD68,INDEX($J:$J,MATCH($AH68,$M:$M,0)+CE$8-1))=0,
IF(COUNTIF($M:$M,$AH68)&lt;CE$8,
"",
INDEX($J:$J,MATCH($AH68,$M:$M,0)+CE$8-1)),
""),
"")</f>
        <v/>
      </c>
      <c r="CF68" s="21" t="str">
        <f>IFERROR(
IF(COUNTIF($BI68:CE68,INDEX($J:$J,MATCH($AH68,$M:$M,0)+CF$8-1))=0,
IF(COUNTIF($M:$M,$AH68)&lt;CF$8,
"",
INDEX($J:$J,MATCH($AH68,$M:$M,0)+CF$8-1)),
""),
"")</f>
        <v/>
      </c>
      <c r="CH68" s="21" t="str">
        <f>IFERROR(
IF(COUNTIF($BI68:CG68,INDEX($J:$J,MATCH($AI68,$M:$M,0)+CH$8-1))=0,
IF(COUNTIF($M:$M,$AI68)&lt;CH$8,
"",
INDEX($J:$J,MATCH($AI68,$M:$M,0)+CH$8-1)),
""),
"")</f>
        <v/>
      </c>
      <c r="CI68" s="21" t="str">
        <f>IFERROR(
IF(COUNTIF($BI68:CH68,INDEX($J:$J,MATCH($AI68,$M:$M,0)+CI$8-1))=0,
IF(COUNTIF($M:$M,$AI68)&lt;CI$8,
"",
INDEX($J:$J,MATCH($AI68,$M:$M,0)+CI$8-1)),
""),
"")</f>
        <v/>
      </c>
      <c r="CJ68" s="21" t="str">
        <f>IFERROR(
IF(COUNTIF($BI68:CI68,INDEX($J:$J,MATCH($AI68,$M:$M,0)+CJ$8-1))=0,
IF(COUNTIF($M:$M,$AI68)&lt;CJ$8,
"",
INDEX($J:$J,MATCH($AI68,$M:$M,0)+CJ$8-1)),
""),
"")</f>
        <v/>
      </c>
      <c r="CK68" s="21" t="str">
        <f>IFERROR(
IF(COUNTIF($BI68:CJ68,INDEX($J:$J,MATCH($AI68,$M:$M,0)+CK$8-1))=0,
IF(COUNTIF($M:$M,$AI68)&lt;CK$8,
"",
INDEX($J:$J,MATCH($AI68,$M:$M,0)+CK$8-1)),
""),
"")</f>
        <v/>
      </c>
      <c r="CM68" s="21" t="str">
        <f>IFERROR(
IF(COUNTIF($BI68:CL68,INDEX($J:$J,MATCH($AJ68,$M:$M,0)+CM$8-1))=0,
IF(COUNTIF($M:$M,$AJ68)&lt;CM$8,
"",
INDEX($J:$J,MATCH($AJ68,$M:$M,0)+CM$8-1)),
""),
"")</f>
        <v/>
      </c>
      <c r="CN68" s="21" t="str">
        <f>IFERROR(
IF(COUNTIF($BI68:CM68,INDEX($J:$J,MATCH($AJ68,$M:$M,0)+CN$8-1))=0,
IF(COUNTIF($M:$M,$AJ68)&lt;CN$8,
"",
INDEX($J:$J,MATCH($AJ68,$M:$M,0)+CN$8-1)),
""),
"")</f>
        <v/>
      </c>
      <c r="CO68" s="21" t="str">
        <f>IFERROR(
IF(COUNTIF($BI68:CN68,INDEX($J:$J,MATCH($AJ68,$M:$M,0)+CO$8-1))=0,
IF(COUNTIF($M:$M,$AJ68)&lt;CO$8,
"",
INDEX($J:$J,MATCH($AJ68,$M:$M,0)+CO$8-1)),
""),
"")</f>
        <v/>
      </c>
      <c r="CP68" s="21" t="str">
        <f>IFERROR(
IF(COUNTIF($BI68:CO68,INDEX($J:$J,MATCH($AJ68,$M:$M,0)+CP$8-1))=0,
IF(COUNTIF($M:$M,$AJ68)&lt;CP$8,
"",
INDEX($J:$J,MATCH($AJ68,$M:$M,0)+CP$8-1)),
""),
"")</f>
        <v/>
      </c>
      <c r="CR68" s="21" t="str">
        <f>IFERROR(
IF(COUNTIF($BI68:CQ68,INDEX($J:$J,MATCH($AK68,$M:$M,0)+CR$8-1))=0,
IF(COUNTIF($M:$M,$AK68)&lt;CR$8,
"",
INDEX($J:$J,MATCH($AK68,$M:$M,0)+CR$8-1)),
""),
"")</f>
        <v/>
      </c>
      <c r="CS68" s="21" t="str">
        <f>IFERROR(
IF(COUNTIF($BI68:CR68,INDEX($J:$J,MATCH($AK68,$M:$M,0)+CS$8-1))=0,
IF(COUNTIF($M:$M,$AK68)&lt;CS$8,
"",
INDEX($J:$J,MATCH($AK68,$M:$M,0)+CS$8-1)),
""),
"")</f>
        <v/>
      </c>
      <c r="CT68" s="21" t="str">
        <f>IFERROR(
IF(COUNTIF($BI68:CS68,INDEX($J:$J,MATCH($AK68,$M:$M,0)+CT$8-1))=0,
IF(COUNTIF($M:$M,$AK68)&lt;CT$8,
"",
INDEX($J:$J,MATCH($AK68,$M:$M,0)+CT$8-1)),
""),
"")</f>
        <v/>
      </c>
      <c r="CU68" s="21" t="str">
        <f>IFERROR(
IF(COUNTIF($BI68:CT68,INDEX($J:$J,MATCH($AK68,$M:$M,0)+CU$8-1))=0,
IF(COUNTIF($M:$M,$AK68)&lt;CU$8,
"",
INDEX($J:$J,MATCH($AK68,$M:$M,0)+CU$8-1)),
""),
"")</f>
        <v/>
      </c>
    </row>
    <row r="69" spans="3:99" ht="14.25">
      <c r="C69" s="16">
        <v>61</v>
      </c>
      <c r="D69" s="19" t="s">
        <v>73</v>
      </c>
      <c r="E69" s="20">
        <f>INDEX([1]武将基本资料!$S:$S,MATCH(D69,[1]武将基本资料!$N:$N,0))</f>
        <v>120</v>
      </c>
      <c r="F69" s="20" t="str">
        <f>INDEX([1]武将基本资料!$Q:$Q,MATCH(D69,[1]武将基本资料!$N:$N,0))</f>
        <v>橙</v>
      </c>
      <c r="H69" s="7" t="str">
        <f>IF(I69="","",COUNTA(I$9:$I69))</f>
        <v/>
      </c>
      <c r="I69" s="6" t="s">
        <v>188</v>
      </c>
      <c r="J69" s="6" t="s">
        <v>64</v>
      </c>
      <c r="K69" s="8" t="str">
        <f>IF(H69="","",阶段合并区域(J69:J79," ",L69:L79,1))</f>
        <v/>
      </c>
      <c r="L69" s="8">
        <f>COUNTIF(M$8:$M69,"="&amp;M69)</f>
        <v>3</v>
      </c>
      <c r="M69" s="9" t="str">
        <f t="shared" si="3"/>
        <v>国破家亡</v>
      </c>
      <c r="N69" s="9" t="str">
        <f t="shared" si="4"/>
        <v>国破家亡3</v>
      </c>
      <c r="O69" s="15">
        <f>INDEX(C:C,MATCH(J69,D:D,0))</f>
        <v>40</v>
      </c>
      <c r="P69" s="9">
        <f>INDEX(E:E,MATCH(J69,D:D,0))</f>
        <v>120</v>
      </c>
      <c r="Q69" s="7">
        <f t="shared" si="0"/>
        <v>40</v>
      </c>
      <c r="R69" s="7">
        <f>COUNTIF(J$8:$J69,"="&amp;J69)</f>
        <v>2</v>
      </c>
      <c r="S69" s="7">
        <f t="shared" si="5"/>
        <v>2040</v>
      </c>
      <c r="U69" s="7">
        <f t="shared" si="9"/>
        <v>1061</v>
      </c>
      <c r="V69" s="7">
        <f t="shared" si="9"/>
        <v>2061</v>
      </c>
      <c r="W69" s="7">
        <f t="shared" si="9"/>
        <v>3061</v>
      </c>
      <c r="X69" s="7">
        <f t="shared" si="9"/>
        <v>4061</v>
      </c>
      <c r="Y69" s="7">
        <f t="shared" si="9"/>
        <v>5061</v>
      </c>
      <c r="Z69" s="7">
        <f t="shared" si="9"/>
        <v>6061</v>
      </c>
      <c r="AA69" s="7">
        <f t="shared" si="9"/>
        <v>7061</v>
      </c>
      <c r="AB69" s="7">
        <f t="shared" si="9"/>
        <v>8061</v>
      </c>
      <c r="AD69" s="21" t="str">
        <f>IFERROR(INDEX($M:$M,MATCH(U69,$S:$S,0)),"&amp;")</f>
        <v>出类拔粹</v>
      </c>
      <c r="AE69" s="21" t="str">
        <f>IFERROR(INDEX($M:$M,MATCH(V69,$S:$S,0)),"&amp;")</f>
        <v>著作留世</v>
      </c>
      <c r="AF69" s="21" t="str">
        <f>IFERROR(INDEX($M:$M,MATCH(W69,$S:$S,0)),"&amp;")</f>
        <v>七窍玲珑</v>
      </c>
      <c r="AG69" s="21" t="str">
        <f>IFERROR(INDEX($M:$M,MATCH(X69,$S:$S,0)),"&amp;")</f>
        <v>技惊当世</v>
      </c>
      <c r="AH69" s="21" t="str">
        <f>IFERROR(INDEX($M:$M,MATCH(Y69,$S:$S,0)),"&amp;")</f>
        <v>&amp;</v>
      </c>
      <c r="AI69" s="21" t="str">
        <f>IFERROR(INDEX($M:$M,MATCH(Z69,$S:$S,0)),"&amp;")</f>
        <v>&amp;</v>
      </c>
      <c r="AJ69" s="21" t="str">
        <f>IFERROR(INDEX($M:$M,MATCH(AA69,$S:$S,0)),"&amp;")</f>
        <v>&amp;</v>
      </c>
      <c r="AK69" s="21" t="str">
        <f>IFERROR(INDEX($M:$M,MATCH(AB69,$S:$S,0)),"&amp;")</f>
        <v>&amp;</v>
      </c>
      <c r="AM69" s="21" t="str">
        <f>IFERROR(INDEX($N:$N,MATCH(U69,$S:$S,0)),"&amp;")</f>
        <v>出类拔粹1</v>
      </c>
      <c r="AN69" s="21" t="str">
        <f>IFERROR(INDEX($N:$N,MATCH(V69,$S:$S,0)),"&amp;")</f>
        <v>著作留世1</v>
      </c>
      <c r="AO69" s="21" t="str">
        <f>IFERROR(INDEX($N:$N,MATCH(W69,$S:$S,0)),"&amp;")</f>
        <v>七窍玲珑1</v>
      </c>
      <c r="AP69" s="21" t="str">
        <f>IFERROR(INDEX($N:$N,MATCH(X69,$S:$S,0)),"&amp;")</f>
        <v>技惊当世2</v>
      </c>
      <c r="AQ69" s="21" t="str">
        <f>IFERROR(INDEX($N:$N,MATCH(Y69,$S:$S,0)),"&amp;")</f>
        <v>&amp;</v>
      </c>
      <c r="AR69" s="21" t="str">
        <f>IFERROR(INDEX($N:$N,MATCH(Z69,$S:$S,0)),"&amp;")</f>
        <v>&amp;</v>
      </c>
      <c r="AS69" s="21" t="str">
        <f>IFERROR(INDEX($N:$N,MATCH(AA69,$S:$S,0)),"&amp;")</f>
        <v>&amp;</v>
      </c>
      <c r="AT69" s="21" t="str">
        <f>IFERROR(INDEX($N:$N,MATCH(AB69,$S:$S,0)),"&amp;")</f>
        <v>&amp;</v>
      </c>
      <c r="AV69" s="21" t="str">
        <f>IFERROR(SUBSTITUTE(INDEX($K:$K,MATCH(INDEX($M:$M,MATCH(AM69,$N:$N,0)),$M:$M,0)),$D69,""),"")</f>
        <v xml:space="preserve"> 扁鹊</v>
      </c>
      <c r="AW69" s="21" t="str">
        <f>IFERROR(SUBSTITUTE(INDEX($K:$K,MATCH(INDEX($M:$M,MATCH(AN69,$N:$N,0)),$M:$M,0)),$D69,""),"")</f>
        <v xml:space="preserve"> 伯乐</v>
      </c>
      <c r="AX69" s="21" t="str">
        <f>IFERROR(SUBSTITUTE(INDEX($K:$K,MATCH(INDEX($M:$M,MATCH(AO69,$N:$N,0)),$M:$M,0)),$D69,""),"")</f>
        <v xml:space="preserve"> 孙膑 田单</v>
      </c>
      <c r="AY69" s="21" t="str">
        <f>IFERROR(SUBSTITUTE(INDEX($K:$K,MATCH(INDEX($M:$M,MATCH(AP69,$N:$N,0)),$M:$M,0)),$D69,""),"")</f>
        <v>养由基  扁鹊</v>
      </c>
      <c r="AZ69" s="21" t="str">
        <f>IFERROR(SUBSTITUTE(INDEX($K:$K,MATCH(INDEX($M:$M,MATCH(AQ69,$N:$N,0)),$M:$M,0)),$D69,""),"")</f>
        <v/>
      </c>
      <c r="BA69" s="21" t="str">
        <f>IFERROR(SUBSTITUTE(INDEX($K:$K,MATCH(INDEX($M:$M,MATCH(AR69,$N:$N,0)),$M:$M,0)),$D69,""),"")</f>
        <v/>
      </c>
      <c r="BB69" s="21" t="str">
        <f>IFERROR(SUBSTITUTE(INDEX($K:$K,MATCH(INDEX($M:$M,MATCH(AS69,$N:$N,0)),$M:$M,0)),$D69,""),"")</f>
        <v/>
      </c>
      <c r="BC69" s="21" t="str">
        <f>IFERROR(SUBSTITUTE(INDEX($K:$K,MATCH(INDEX($M:$M,MATCH(AT69,$N:$N,0)),$M:$M,0)),$D69,""),"")</f>
        <v/>
      </c>
      <c r="BE69" s="9" t="str">
        <f t="shared" si="7"/>
        <v>鲁班,扁鹊,伯乐,孙膑,田单,养由基</v>
      </c>
      <c r="BI69" s="9" t="str">
        <f>IFERROR(
IF(COUNTIF($M:$M,$AD69)&lt;BI$8,
"",
INDEX($J:$J,MATCH($AD69,$M:$M,0)+BI$8-1)),
"")</f>
        <v>鲁班</v>
      </c>
      <c r="BJ69" s="9" t="str">
        <f>IFERROR(
IF(COUNTIF($M:$M,$AD69)&lt;BJ$8,
"",
INDEX($J:$J,MATCH($AD69,$M:$M,0)+BJ$8-1)),
"")</f>
        <v>扁鹊</v>
      </c>
      <c r="BK69" s="9" t="str">
        <f>IFERROR(
IF(COUNTIF($M:$M,$AD69)&lt;BK$8,
"",
INDEX($J:$J,MATCH($AD69,$M:$M,0)+BK$8-1)),
"")</f>
        <v/>
      </c>
      <c r="BL69" s="9" t="str">
        <f>IFERROR(
IF(COUNTIF($M:$M,$AD69)&lt;BL$8,
"",
INDEX($J:$J,MATCH($AD69,$M:$M,0)+BL$8-1)),
"")</f>
        <v/>
      </c>
      <c r="BN69" s="21" t="str">
        <f>IFERROR(
IF(COUNTIF($BI69:BM69,INDEX($J:$J,MATCH($AE69,$M:$M,0)+BN$8-1))=0,
IF(COUNTIF($M:$M,$AE69)&lt;BN$8,
"",
INDEX($J:$J,MATCH($AE69,$M:$M,0)+BN$8-1)),
""),
"")</f>
        <v/>
      </c>
      <c r="BO69" s="21" t="str">
        <f>IFERROR(
IF(COUNTIF($BI69:BN69,INDEX($J:$J,MATCH($AE69,$M:$M,0)+BO$8-1))=0,
IF(COUNTIF($M:$M,$AE69)&lt;BO$8,
"",
INDEX($J:$J,MATCH($AE69,$M:$M,0)+BO$8-1)),
""),
"")</f>
        <v>伯乐</v>
      </c>
      <c r="BP69" s="21" t="str">
        <f>IFERROR(
IF(COUNTIF($BI69:BO69,INDEX($J:$J,MATCH($AE69,$M:$M,0)+BP$8-1))=0,
IF(COUNTIF($M:$M,$AE69)&lt;BP$8,
"",
INDEX($J:$J,MATCH($AE69,$M:$M,0)+BP$8-1)),
""),
"")</f>
        <v/>
      </c>
      <c r="BQ69" s="21" t="str">
        <f>IFERROR(
IF(COUNTIF($BI69:BP69,INDEX($J:$J,MATCH($AE69,$M:$M,0)+BQ$8-1))=0,
IF(COUNTIF($M:$M,$AE69)&lt;BQ$8,
"",
INDEX($J:$J,MATCH($AE69,$M:$M,0)+BQ$8-1)),
""),
"")</f>
        <v/>
      </c>
      <c r="BS69" s="21" t="str">
        <f>IFERROR(
IF(COUNTIF($BI69:BR69,INDEX($J:$J,MATCH($AF69,$M:$M,0)+BS$8-1))=0,
IF(COUNTIF($M:$M,$AF69)&lt;BS$8,
"",
INDEX($J:$J,MATCH($AF69,$M:$M,0)+BS$8-1)),
""),
"")</f>
        <v/>
      </c>
      <c r="BT69" s="21" t="str">
        <f>IFERROR(
IF(COUNTIF($BI69:BS69,INDEX($J:$J,MATCH($AF69,$M:$M,0)+BT$8-1))=0,
IF(COUNTIF($M:$M,$AF69)&lt;BT$8,
"",
INDEX($J:$J,MATCH($AF69,$M:$M,0)+BT$8-1)),
""),
"")</f>
        <v>孙膑</v>
      </c>
      <c r="BU69" s="21" t="str">
        <f>IFERROR(
IF(COUNTIF($BI69:BT69,INDEX($J:$J,MATCH($AF69,$M:$M,0)+BU$8-1))=0,
IF(COUNTIF($M:$M,$AF69)&lt;BU$8,
"",
INDEX($J:$J,MATCH($AF69,$M:$M,0)+BU$8-1)),
""),
"")</f>
        <v>田单</v>
      </c>
      <c r="BV69" s="21" t="str">
        <f>IFERROR(
IF(COUNTIF($BI69:BU69,INDEX($J:$J,MATCH($AF69,$M:$M,0)+BV$8-1))=0,
IF(COUNTIF($M:$M,$AF69)&lt;BV$8,
"",
INDEX($J:$J,MATCH($AF69,$M:$M,0)+BV$8-1)),
""),
"")</f>
        <v/>
      </c>
      <c r="BX69" s="21" t="str">
        <f>IFERROR(
IF(COUNTIF($BI69:BW69,INDEX($J:$J,MATCH($AG69,$M:$M,0)+BX$8-1))=0,
IF(COUNTIF($M:$M,$AG69)&lt;BX$8,
"",
INDEX($J:$J,MATCH($AG69,$M:$M,0)+BX$8-1)),
""),
"")</f>
        <v>养由基</v>
      </c>
      <c r="BY69" s="21" t="str">
        <f>IFERROR(
IF(COUNTIF($BI69:BX69,INDEX($J:$J,MATCH($AG69,$M:$M,0)+BY$8-1))=0,
IF(COUNTIF($M:$M,$AG69)&lt;BY$8,
"",
INDEX($J:$J,MATCH($AG69,$M:$M,0)+BY$8-1)),
""),
"")</f>
        <v/>
      </c>
      <c r="BZ69" s="21" t="str">
        <f>IFERROR(
IF(COUNTIF($BI69:BY69,INDEX($J:$J,MATCH($AG69,$M:$M,0)+BZ$8-1))=0,
IF(COUNTIF($M:$M,$AG69)&lt;BZ$8,
"",
INDEX($J:$J,MATCH($AG69,$M:$M,0)+BZ$8-1)),
""),
"")</f>
        <v/>
      </c>
      <c r="CA69" s="21" t="str">
        <f>IFERROR(
IF(COUNTIF($BI69:BZ69,INDEX($J:$J,MATCH($AG69,$M:$M,0)+CA$8-1))=0,
IF(COUNTIF($M:$M,$AG69)&lt;CA$8,
"",
INDEX($J:$J,MATCH($AG69,$M:$M,0)+CA$8-1)),
""),
"")</f>
        <v/>
      </c>
      <c r="CC69" s="21" t="str">
        <f>IFERROR(
IF(COUNTIF($BI69:CB69,INDEX($J:$J,MATCH($AH69,$M:$M,0)+CC$8-1))=0,
IF(COUNTIF($M:$M,$AH69)&lt;CC$8,
"",
INDEX($J:$J,MATCH($AH69,$M:$M,0)+CC$8-1)),
""),
"")</f>
        <v/>
      </c>
      <c r="CD69" s="21" t="str">
        <f>IFERROR(
IF(COUNTIF($BI69:CC69,INDEX($J:$J,MATCH($AH69,$M:$M,0)+CD$8-1))=0,
IF(COUNTIF($M:$M,$AH69)&lt;CD$8,
"",
INDEX($J:$J,MATCH($AH69,$M:$M,0)+CD$8-1)),
""),
"")</f>
        <v/>
      </c>
      <c r="CE69" s="21" t="str">
        <f>IFERROR(
IF(COUNTIF($BI69:CD69,INDEX($J:$J,MATCH($AH69,$M:$M,0)+CE$8-1))=0,
IF(COUNTIF($M:$M,$AH69)&lt;CE$8,
"",
INDEX($J:$J,MATCH($AH69,$M:$M,0)+CE$8-1)),
""),
"")</f>
        <v/>
      </c>
      <c r="CF69" s="21" t="str">
        <f>IFERROR(
IF(COUNTIF($BI69:CE69,INDEX($J:$J,MATCH($AH69,$M:$M,0)+CF$8-1))=0,
IF(COUNTIF($M:$M,$AH69)&lt;CF$8,
"",
INDEX($J:$J,MATCH($AH69,$M:$M,0)+CF$8-1)),
""),
"")</f>
        <v/>
      </c>
      <c r="CH69" s="21" t="str">
        <f>IFERROR(
IF(COUNTIF($BI69:CG69,INDEX($J:$J,MATCH($AI69,$M:$M,0)+CH$8-1))=0,
IF(COUNTIF($M:$M,$AI69)&lt;CH$8,
"",
INDEX($J:$J,MATCH($AI69,$M:$M,0)+CH$8-1)),
""),
"")</f>
        <v/>
      </c>
      <c r="CI69" s="21" t="str">
        <f>IFERROR(
IF(COUNTIF($BI69:CH69,INDEX($J:$J,MATCH($AI69,$M:$M,0)+CI$8-1))=0,
IF(COUNTIF($M:$M,$AI69)&lt;CI$8,
"",
INDEX($J:$J,MATCH($AI69,$M:$M,0)+CI$8-1)),
""),
"")</f>
        <v/>
      </c>
      <c r="CJ69" s="21" t="str">
        <f>IFERROR(
IF(COUNTIF($BI69:CI69,INDEX($J:$J,MATCH($AI69,$M:$M,0)+CJ$8-1))=0,
IF(COUNTIF($M:$M,$AI69)&lt;CJ$8,
"",
INDEX($J:$J,MATCH($AI69,$M:$M,0)+CJ$8-1)),
""),
"")</f>
        <v/>
      </c>
      <c r="CK69" s="21" t="str">
        <f>IFERROR(
IF(COUNTIF($BI69:CJ69,INDEX($J:$J,MATCH($AI69,$M:$M,0)+CK$8-1))=0,
IF(COUNTIF($M:$M,$AI69)&lt;CK$8,
"",
INDEX($J:$J,MATCH($AI69,$M:$M,0)+CK$8-1)),
""),
"")</f>
        <v/>
      </c>
      <c r="CM69" s="21" t="str">
        <f>IFERROR(
IF(COUNTIF($BI69:CL69,INDEX($J:$J,MATCH($AJ69,$M:$M,0)+CM$8-1))=0,
IF(COUNTIF($M:$M,$AJ69)&lt;CM$8,
"",
INDEX($J:$J,MATCH($AJ69,$M:$M,0)+CM$8-1)),
""),
"")</f>
        <v/>
      </c>
      <c r="CN69" s="21" t="str">
        <f>IFERROR(
IF(COUNTIF($BI69:CM69,INDEX($J:$J,MATCH($AJ69,$M:$M,0)+CN$8-1))=0,
IF(COUNTIF($M:$M,$AJ69)&lt;CN$8,
"",
INDEX($J:$J,MATCH($AJ69,$M:$M,0)+CN$8-1)),
""),
"")</f>
        <v/>
      </c>
      <c r="CO69" s="21" t="str">
        <f>IFERROR(
IF(COUNTIF($BI69:CN69,INDEX($J:$J,MATCH($AJ69,$M:$M,0)+CO$8-1))=0,
IF(COUNTIF($M:$M,$AJ69)&lt;CO$8,
"",
INDEX($J:$J,MATCH($AJ69,$M:$M,0)+CO$8-1)),
""),
"")</f>
        <v/>
      </c>
      <c r="CP69" s="21" t="str">
        <f>IFERROR(
IF(COUNTIF($BI69:CO69,INDEX($J:$J,MATCH($AJ69,$M:$M,0)+CP$8-1))=0,
IF(COUNTIF($M:$M,$AJ69)&lt;CP$8,
"",
INDEX($J:$J,MATCH($AJ69,$M:$M,0)+CP$8-1)),
""),
"")</f>
        <v/>
      </c>
      <c r="CR69" s="21" t="str">
        <f>IFERROR(
IF(COUNTIF($BI69:CQ69,INDEX($J:$J,MATCH($AK69,$M:$M,0)+CR$8-1))=0,
IF(COUNTIF($M:$M,$AK69)&lt;CR$8,
"",
INDEX($J:$J,MATCH($AK69,$M:$M,0)+CR$8-1)),
""),
"")</f>
        <v/>
      </c>
      <c r="CS69" s="21" t="str">
        <f>IFERROR(
IF(COUNTIF($BI69:CR69,INDEX($J:$J,MATCH($AK69,$M:$M,0)+CS$8-1))=0,
IF(COUNTIF($M:$M,$AK69)&lt;CS$8,
"",
INDEX($J:$J,MATCH($AK69,$M:$M,0)+CS$8-1)),
""),
"")</f>
        <v/>
      </c>
      <c r="CT69" s="21" t="str">
        <f>IFERROR(
IF(COUNTIF($BI69:CS69,INDEX($J:$J,MATCH($AK69,$M:$M,0)+CT$8-1))=0,
IF(COUNTIF($M:$M,$AK69)&lt;CT$8,
"",
INDEX($J:$J,MATCH($AK69,$M:$M,0)+CT$8-1)),
""),
"")</f>
        <v/>
      </c>
      <c r="CU69" s="21" t="str">
        <f>IFERROR(
IF(COUNTIF($BI69:CT69,INDEX($J:$J,MATCH($AK69,$M:$M,0)+CU$8-1))=0,
IF(COUNTIF($M:$M,$AK69)&lt;CU$8,
"",
INDEX($J:$J,MATCH($AK69,$M:$M,0)+CU$8-1)),
""),
"")</f>
        <v/>
      </c>
    </row>
    <row r="70" spans="3:99" ht="14.25">
      <c r="C70" s="16">
        <v>62</v>
      </c>
      <c r="D70" s="19" t="s">
        <v>71</v>
      </c>
      <c r="E70" s="20">
        <f>INDEX([1]武将基本资料!$S:$S,MATCH(D70,[1]武将基本资料!$N:$N,0))</f>
        <v>120</v>
      </c>
      <c r="F70" s="20" t="str">
        <f>INDEX([1]武将基本资料!$Q:$Q,MATCH(D70,[1]武将基本资料!$N:$N,0))</f>
        <v>橙</v>
      </c>
      <c r="H70" s="7">
        <f>IF(I70="","",COUNTA(I$9:$I70))</f>
        <v>60</v>
      </c>
      <c r="I70" s="6" t="s">
        <v>164</v>
      </c>
      <c r="J70" s="6" t="s">
        <v>64</v>
      </c>
      <c r="K70" s="8" t="str">
        <f>IF(H70="","",阶段合并区域(J70:J80," ",L70:L80,1))</f>
        <v>屈原 樗里疾</v>
      </c>
      <c r="L70" s="8">
        <f>COUNTIF(M$8:$M70,"="&amp;M70)</f>
        <v>1</v>
      </c>
      <c r="M70" s="9" t="str">
        <f t="shared" si="3"/>
        <v>人文之士</v>
      </c>
      <c r="N70" s="9" t="str">
        <f t="shared" si="4"/>
        <v>人文之士1</v>
      </c>
      <c r="O70" s="15">
        <f>INDEX(C:C,MATCH(J70,D:D,0))</f>
        <v>40</v>
      </c>
      <c r="P70" s="9">
        <f>INDEX(E:E,MATCH(J70,D:D,0))</f>
        <v>120</v>
      </c>
      <c r="Q70" s="7">
        <f t="shared" si="0"/>
        <v>40</v>
      </c>
      <c r="R70" s="7">
        <f>COUNTIF(J$8:$J70,"="&amp;J70)</f>
        <v>3</v>
      </c>
      <c r="S70" s="7">
        <f t="shared" si="5"/>
        <v>3040</v>
      </c>
      <c r="U70" s="7">
        <f t="shared" si="9"/>
        <v>1062</v>
      </c>
      <c r="V70" s="7">
        <f t="shared" si="9"/>
        <v>2062</v>
      </c>
      <c r="W70" s="7">
        <f t="shared" si="9"/>
        <v>3062</v>
      </c>
      <c r="X70" s="7">
        <f t="shared" si="9"/>
        <v>4062</v>
      </c>
      <c r="Y70" s="7">
        <f t="shared" si="9"/>
        <v>5062</v>
      </c>
      <c r="Z70" s="7">
        <f t="shared" si="9"/>
        <v>6062</v>
      </c>
      <c r="AA70" s="7">
        <f t="shared" si="9"/>
        <v>7062</v>
      </c>
      <c r="AB70" s="7">
        <f t="shared" si="9"/>
        <v>8062</v>
      </c>
      <c r="AD70" s="21" t="str">
        <f>IFERROR(INDEX($M:$M,MATCH(U70,$S:$S,0)),"&amp;")</f>
        <v>治水修渠</v>
      </c>
      <c r="AE70" s="21" t="str">
        <f>IFERROR(INDEX($M:$M,MATCH(V70,$S:$S,0)),"&amp;")</f>
        <v>出将入相</v>
      </c>
      <c r="AF70" s="21" t="str">
        <f>IFERROR(INDEX($M:$M,MATCH(W70,$S:$S,0)),"&amp;")</f>
        <v>报仇雪耻</v>
      </c>
      <c r="AG70" s="21" t="str">
        <f>IFERROR(INDEX($M:$M,MATCH(X70,$S:$S,0)),"&amp;")</f>
        <v>老当益壮</v>
      </c>
      <c r="AH70" s="21" t="str">
        <f>IFERROR(INDEX($M:$M,MATCH(Y70,$S:$S,0)),"&amp;")</f>
        <v>退避三舍</v>
      </c>
      <c r="AI70" s="21" t="str">
        <f>IFERROR(INDEX($M:$M,MATCH(Z70,$S:$S,0)),"&amp;")</f>
        <v>位居相国</v>
      </c>
      <c r="AJ70" s="21" t="str">
        <f>IFERROR(INDEX($M:$M,MATCH(AA70,$S:$S,0)),"&amp;")</f>
        <v>衔冤而死</v>
      </c>
      <c r="AK70" s="21" t="str">
        <f>IFERROR(INDEX($M:$M,MATCH(AB70,$S:$S,0)),"&amp;")</f>
        <v>暮年壮志</v>
      </c>
      <c r="AM70" s="21" t="str">
        <f>IFERROR(INDEX($N:$N,MATCH(U70,$S:$S,0)),"&amp;")</f>
        <v>治水修渠3</v>
      </c>
      <c r="AN70" s="21" t="str">
        <f>IFERROR(INDEX($N:$N,MATCH(V70,$S:$S,0)),"&amp;")</f>
        <v>出将入相1</v>
      </c>
      <c r="AO70" s="21" t="str">
        <f>IFERROR(INDEX($N:$N,MATCH(W70,$S:$S,0)),"&amp;")</f>
        <v>报仇雪耻2</v>
      </c>
      <c r="AP70" s="21" t="str">
        <f>IFERROR(INDEX($N:$N,MATCH(X70,$S:$S,0)),"&amp;")</f>
        <v>老当益壮2</v>
      </c>
      <c r="AQ70" s="21" t="str">
        <f>IFERROR(INDEX($N:$N,MATCH(Y70,$S:$S,0)),"&amp;")</f>
        <v>退避三舍3</v>
      </c>
      <c r="AR70" s="21" t="str">
        <f>IFERROR(INDEX($N:$N,MATCH(Z70,$S:$S,0)),"&amp;")</f>
        <v>位居相国2</v>
      </c>
      <c r="AS70" s="21" t="str">
        <f>IFERROR(INDEX($N:$N,MATCH(AA70,$S:$S,0)),"&amp;")</f>
        <v>衔冤而死2</v>
      </c>
      <c r="AT70" s="21" t="str">
        <f>IFERROR(INDEX($N:$N,MATCH(AB70,$S:$S,0)),"&amp;")</f>
        <v>暮年壮志2</v>
      </c>
      <c r="AV70" s="21" t="str">
        <f>IFERROR(SUBSTITUTE(INDEX($K:$K,MATCH(INDEX($M:$M,MATCH(AM70,$N:$N,0)),$M:$M,0)),$D70,""),"")</f>
        <v xml:space="preserve">孙叔敖 西门豹 </v>
      </c>
      <c r="AW70" s="21" t="str">
        <f>IFERROR(SUBSTITUTE(INDEX($K:$K,MATCH(INDEX($M:$M,MATCH(AN70,$N:$N,0)),$M:$M,0)),$D70,""),"")</f>
        <v xml:space="preserve"> 信陵君</v>
      </c>
      <c r="AX70" s="21" t="str">
        <f>IFERROR(SUBSTITUTE(INDEX($K:$K,MATCH(INDEX($M:$M,MATCH(AO70,$N:$N,0)),$M:$M,0)),$D70,""),"")</f>
        <v xml:space="preserve">孙膑 </v>
      </c>
      <c r="AY70" s="21" t="str">
        <f>IFERROR(SUBSTITUTE(INDEX($K:$K,MATCH(INDEX($M:$M,MATCH(AP70,$N:$N,0)),$M:$M,0)),$D70,""),"")</f>
        <v>廉颇  司马错 扁鹊</v>
      </c>
      <c r="AZ70" s="21" t="str">
        <f>IFERROR(SUBSTITUTE(INDEX($K:$K,MATCH(INDEX($M:$M,MATCH(AQ70,$N:$N,0)),$M:$M,0)),$D70,""),"")</f>
        <v xml:space="preserve">晋文公 韩非子 </v>
      </c>
      <c r="BA70" s="21" t="str">
        <f>IFERROR(SUBSTITUTE(INDEX($K:$K,MATCH(INDEX($M:$M,MATCH(AR70,$N:$N,0)),$M:$M,0)),$D70,""),"")</f>
        <v xml:space="preserve">孟尝君 </v>
      </c>
      <c r="BB70" s="21" t="str">
        <f>IFERROR(SUBSTITUTE(INDEX($K:$K,MATCH(INDEX($M:$M,MATCH(AS70,$N:$N,0)),$M:$M,0)),$D70,""),"")</f>
        <v>蒙恬  韩非子 司马穰苴</v>
      </c>
      <c r="BC70" s="21" t="str">
        <f>IFERROR(SUBSTITUTE(INDEX($K:$K,MATCH(INDEX($M:$M,MATCH(AT70,$N:$N,0)),$M:$M,0)),$D70,""),"")</f>
        <v xml:space="preserve">范增 </v>
      </c>
      <c r="BE70" s="9" t="str">
        <f t="shared" si="7"/>
        <v>孙叔敖,西门豹,伍子胥,信陵君,孙膑,廉颇,司马错,扁鹊,晋文公,韩非子,项燕,孟尝君,蒙恬,司马穰苴,范增</v>
      </c>
      <c r="BI70" s="9" t="str">
        <f>IFERROR(
IF(COUNTIF($M:$M,$AD70)&lt;BI$8,
"",
INDEX($J:$J,MATCH($AD70,$M:$M,0)+BI$8-1)),
"")</f>
        <v>孙叔敖</v>
      </c>
      <c r="BJ70" s="9" t="str">
        <f>IFERROR(
IF(COUNTIF($M:$M,$AD70)&lt;BJ$8,
"",
INDEX($J:$J,MATCH($AD70,$M:$M,0)+BJ$8-1)),
"")</f>
        <v>西门豹</v>
      </c>
      <c r="BK70" s="9" t="str">
        <f>IFERROR(
IF(COUNTIF($M:$M,$AD70)&lt;BK$8,
"",
INDEX($J:$J,MATCH($AD70,$M:$M,0)+BK$8-1)),
"")</f>
        <v>伍子胥</v>
      </c>
      <c r="BL70" s="9" t="str">
        <f>IFERROR(
IF(COUNTIF($M:$M,$AD70)&lt;BL$8,
"",
INDEX($J:$J,MATCH($AD70,$M:$M,0)+BL$8-1)),
"")</f>
        <v/>
      </c>
      <c r="BN70" s="21" t="str">
        <f>IFERROR(
IF(COUNTIF($BI70:BM70,INDEX($J:$J,MATCH($AE70,$M:$M,0)+BN$8-1))=0,
IF(COUNTIF($M:$M,$AE70)&lt;BN$8,
"",
INDEX($J:$J,MATCH($AE70,$M:$M,0)+BN$8-1)),
""),
"")</f>
        <v/>
      </c>
      <c r="BO70" s="21" t="str">
        <f>IFERROR(
IF(COUNTIF($BI70:BN70,INDEX($J:$J,MATCH($AE70,$M:$M,0)+BO$8-1))=0,
IF(COUNTIF($M:$M,$AE70)&lt;BO$8,
"",
INDEX($J:$J,MATCH($AE70,$M:$M,0)+BO$8-1)),
""),
"")</f>
        <v>信陵君</v>
      </c>
      <c r="BP70" s="21" t="str">
        <f>IFERROR(
IF(COUNTIF($BI70:BO70,INDEX($J:$J,MATCH($AE70,$M:$M,0)+BP$8-1))=0,
IF(COUNTIF($M:$M,$AE70)&lt;BP$8,
"",
INDEX($J:$J,MATCH($AE70,$M:$M,0)+BP$8-1)),
""),
"")</f>
        <v/>
      </c>
      <c r="BQ70" s="21" t="str">
        <f>IFERROR(
IF(COUNTIF($BI70:BP70,INDEX($J:$J,MATCH($AE70,$M:$M,0)+BQ$8-1))=0,
IF(COUNTIF($M:$M,$AE70)&lt;BQ$8,
"",
INDEX($J:$J,MATCH($AE70,$M:$M,0)+BQ$8-1)),
""),
"")</f>
        <v/>
      </c>
      <c r="BS70" s="21" t="str">
        <f>IFERROR(
IF(COUNTIF($BI70:BR70,INDEX($J:$J,MATCH($AF70,$M:$M,0)+BS$8-1))=0,
IF(COUNTIF($M:$M,$AF70)&lt;BS$8,
"",
INDEX($J:$J,MATCH($AF70,$M:$M,0)+BS$8-1)),
""),
"")</f>
        <v>孙膑</v>
      </c>
      <c r="BT70" s="21" t="str">
        <f>IFERROR(
IF(COUNTIF($BI70:BS70,INDEX($J:$J,MATCH($AF70,$M:$M,0)+BT$8-1))=0,
IF(COUNTIF($M:$M,$AF70)&lt;BT$8,
"",
INDEX($J:$J,MATCH($AF70,$M:$M,0)+BT$8-1)),
""),
"")</f>
        <v/>
      </c>
      <c r="BU70" s="21" t="str">
        <f>IFERROR(
IF(COUNTIF($BI70:BT70,INDEX($J:$J,MATCH($AF70,$M:$M,0)+BU$8-1))=0,
IF(COUNTIF($M:$M,$AF70)&lt;BU$8,
"",
INDEX($J:$J,MATCH($AF70,$M:$M,0)+BU$8-1)),
""),
"")</f>
        <v/>
      </c>
      <c r="BV70" s="21" t="str">
        <f>IFERROR(
IF(COUNTIF($BI70:BU70,INDEX($J:$J,MATCH($AF70,$M:$M,0)+BV$8-1))=0,
IF(COUNTIF($M:$M,$AF70)&lt;BV$8,
"",
INDEX($J:$J,MATCH($AF70,$M:$M,0)+BV$8-1)),
""),
"")</f>
        <v/>
      </c>
      <c r="BX70" s="21" t="str">
        <f>IFERROR(
IF(COUNTIF($BI70:BW70,INDEX($J:$J,MATCH($AG70,$M:$M,0)+BX$8-1))=0,
IF(COUNTIF($M:$M,$AG70)&lt;BX$8,
"",
INDEX($J:$J,MATCH($AG70,$M:$M,0)+BX$8-1)),
""),
"")</f>
        <v>廉颇</v>
      </c>
      <c r="BY70" s="21" t="str">
        <f>IFERROR(
IF(COUNTIF($BI70:BX70,INDEX($J:$J,MATCH($AG70,$M:$M,0)+BY$8-1))=0,
IF(COUNTIF($M:$M,$AG70)&lt;BY$8,
"",
INDEX($J:$J,MATCH($AG70,$M:$M,0)+BY$8-1)),
""),
"")</f>
        <v/>
      </c>
      <c r="BZ70" s="21" t="str">
        <f>IFERROR(
IF(COUNTIF($BI70:BY70,INDEX($J:$J,MATCH($AG70,$M:$M,0)+BZ$8-1))=0,
IF(COUNTIF($M:$M,$AG70)&lt;BZ$8,
"",
INDEX($J:$J,MATCH($AG70,$M:$M,0)+BZ$8-1)),
""),
"")</f>
        <v>司马错</v>
      </c>
      <c r="CA70" s="21" t="str">
        <f>IFERROR(
IF(COUNTIF($BI70:BZ70,INDEX($J:$J,MATCH($AG70,$M:$M,0)+CA$8-1))=0,
IF(COUNTIF($M:$M,$AG70)&lt;CA$8,
"",
INDEX($J:$J,MATCH($AG70,$M:$M,0)+CA$8-1)),
""),
"")</f>
        <v>扁鹊</v>
      </c>
      <c r="CC70" s="21" t="str">
        <f>IFERROR(
IF(COUNTIF($BI70:CB70,INDEX($J:$J,MATCH($AH70,$M:$M,0)+CC$8-1))=0,
IF(COUNTIF($M:$M,$AH70)&lt;CC$8,
"",
INDEX($J:$J,MATCH($AH70,$M:$M,0)+CC$8-1)),
""),
"")</f>
        <v>晋文公</v>
      </c>
      <c r="CD70" s="21" t="str">
        <f>IFERROR(
IF(COUNTIF($BI70:CC70,INDEX($J:$J,MATCH($AH70,$M:$M,0)+CD$8-1))=0,
IF(COUNTIF($M:$M,$AH70)&lt;CD$8,
"",
INDEX($J:$J,MATCH($AH70,$M:$M,0)+CD$8-1)),
""),
"")</f>
        <v>韩非子</v>
      </c>
      <c r="CE70" s="21" t="str">
        <f>IFERROR(
IF(COUNTIF($BI70:CD70,INDEX($J:$J,MATCH($AH70,$M:$M,0)+CE$8-1))=0,
IF(COUNTIF($M:$M,$AH70)&lt;CE$8,
"",
INDEX($J:$J,MATCH($AH70,$M:$M,0)+CE$8-1)),
""),
"")</f>
        <v/>
      </c>
      <c r="CF70" s="21" t="str">
        <f>IFERROR(
IF(COUNTIF($BI70:CE70,INDEX($J:$J,MATCH($AH70,$M:$M,0)+CF$8-1))=0,
IF(COUNTIF($M:$M,$AH70)&lt;CF$8,
"",
INDEX($J:$J,MATCH($AH70,$M:$M,0)+CF$8-1)),
""),
"")</f>
        <v>项燕</v>
      </c>
      <c r="CH70" s="21" t="str">
        <f>IFERROR(
IF(COUNTIF($BI70:CG70,INDEX($J:$J,MATCH($AI70,$M:$M,0)+CH$8-1))=0,
IF(COUNTIF($M:$M,$AI70)&lt;CH$8,
"",
INDEX($J:$J,MATCH($AI70,$M:$M,0)+CH$8-1)),
""),
"")</f>
        <v>孟尝君</v>
      </c>
      <c r="CI70" s="21" t="str">
        <f>IFERROR(
IF(COUNTIF($BI70:CH70,INDEX($J:$J,MATCH($AI70,$M:$M,0)+CI$8-1))=0,
IF(COUNTIF($M:$M,$AI70)&lt;CI$8,
"",
INDEX($J:$J,MATCH($AI70,$M:$M,0)+CI$8-1)),
""),
"")</f>
        <v/>
      </c>
      <c r="CJ70" s="21" t="str">
        <f>IFERROR(
IF(COUNTIF($BI70:CI70,INDEX($J:$J,MATCH($AI70,$M:$M,0)+CJ$8-1))=0,
IF(COUNTIF($M:$M,$AI70)&lt;CJ$8,
"",
INDEX($J:$J,MATCH($AI70,$M:$M,0)+CJ$8-1)),
""),
"")</f>
        <v/>
      </c>
      <c r="CK70" s="21" t="str">
        <f>IFERROR(
IF(COUNTIF($BI70:CJ70,INDEX($J:$J,MATCH($AI70,$M:$M,0)+CK$8-1))=0,
IF(COUNTIF($M:$M,$AI70)&lt;CK$8,
"",
INDEX($J:$J,MATCH($AI70,$M:$M,0)+CK$8-1)),
""),
"")</f>
        <v/>
      </c>
      <c r="CM70" s="21" t="str">
        <f>IFERROR(
IF(COUNTIF($BI70:CL70,INDEX($J:$J,MATCH($AJ70,$M:$M,0)+CM$8-1))=0,
IF(COUNTIF($M:$M,$AJ70)&lt;CM$8,
"",
INDEX($J:$J,MATCH($AJ70,$M:$M,0)+CM$8-1)),
""),
"")</f>
        <v>蒙恬</v>
      </c>
      <c r="CN70" s="21" t="str">
        <f>IFERROR(
IF(COUNTIF($BI70:CM70,INDEX($J:$J,MATCH($AJ70,$M:$M,0)+CN$8-1))=0,
IF(COUNTIF($M:$M,$AJ70)&lt;CN$8,
"",
INDEX($J:$J,MATCH($AJ70,$M:$M,0)+CN$8-1)),
""),
"")</f>
        <v/>
      </c>
      <c r="CO70" s="21" t="str">
        <f>IFERROR(
IF(COUNTIF($BI70:CN70,INDEX($J:$J,MATCH($AJ70,$M:$M,0)+CO$8-1))=0,
IF(COUNTIF($M:$M,$AJ70)&lt;CO$8,
"",
INDEX($J:$J,MATCH($AJ70,$M:$M,0)+CO$8-1)),
""),
"")</f>
        <v/>
      </c>
      <c r="CP70" s="21" t="str">
        <f>IFERROR(
IF(COUNTIF($BI70:CO70,INDEX($J:$J,MATCH($AJ70,$M:$M,0)+CP$8-1))=0,
IF(COUNTIF($M:$M,$AJ70)&lt;CP$8,
"",
INDEX($J:$J,MATCH($AJ70,$M:$M,0)+CP$8-1)),
""),
"")</f>
        <v>司马穰苴</v>
      </c>
      <c r="CR70" s="21" t="str">
        <f>IFERROR(
IF(COUNTIF($BI70:CQ70,INDEX($J:$J,MATCH($AK70,$M:$M,0)+CR$8-1))=0,
IF(COUNTIF($M:$M,$AK70)&lt;CR$8,
"",
INDEX($J:$J,MATCH($AK70,$M:$M,0)+CR$8-1)),
""),
"")</f>
        <v>范增</v>
      </c>
      <c r="CS70" s="21" t="str">
        <f>IFERROR(
IF(COUNTIF($BI70:CR70,INDEX($J:$J,MATCH($AK70,$M:$M,0)+CS$8-1))=0,
IF(COUNTIF($M:$M,$AK70)&lt;CS$8,
"",
INDEX($J:$J,MATCH($AK70,$M:$M,0)+CS$8-1)),
""),
"")</f>
        <v/>
      </c>
      <c r="CT70" s="21" t="str">
        <f>IFERROR(
IF(COUNTIF($BI70:CS70,INDEX($J:$J,MATCH($AK70,$M:$M,0)+CT$8-1))=0,
IF(COUNTIF($M:$M,$AK70)&lt;CT$8,
"",
INDEX($J:$J,MATCH($AK70,$M:$M,0)+CT$8-1)),
""),
"")</f>
        <v/>
      </c>
      <c r="CU70" s="21" t="str">
        <f>IFERROR(
IF(COUNTIF($BI70:CT70,INDEX($J:$J,MATCH($AK70,$M:$M,0)+CU$8-1))=0,
IF(COUNTIF($M:$M,$AK70)&lt;CU$8,
"",
INDEX($J:$J,MATCH($AK70,$M:$M,0)+CU$8-1)),
""),
"")</f>
        <v/>
      </c>
    </row>
    <row r="71" spans="3:99" ht="14.25">
      <c r="C71" s="16">
        <v>63</v>
      </c>
      <c r="D71" s="19" t="s">
        <v>68</v>
      </c>
      <c r="E71" s="20">
        <f>INDEX([1]武将基本资料!$S:$S,MATCH(D71,[1]武将基本资料!$N:$N,0))</f>
        <v>120</v>
      </c>
      <c r="F71" s="20" t="str">
        <f>INDEX([1]武将基本资料!$Q:$Q,MATCH(D71,[1]武将基本资料!$N:$N,0))</f>
        <v>橙</v>
      </c>
      <c r="H71" s="7" t="str">
        <f>IF(I71="","",COUNTA(I$9:$I71))</f>
        <v/>
      </c>
      <c r="I71" s="6" t="s">
        <v>188</v>
      </c>
      <c r="J71" s="6" t="s">
        <v>189</v>
      </c>
      <c r="K71" s="8" t="str">
        <f>IF(H71="","",阶段合并区域(J71:J81," ",L71:L81,1))</f>
        <v/>
      </c>
      <c r="L71" s="8">
        <f>COUNTIF(M$8:$M71,"="&amp;M71)</f>
        <v>2</v>
      </c>
      <c r="M71" s="9" t="str">
        <f t="shared" si="3"/>
        <v>人文之士</v>
      </c>
      <c r="N71" s="9" t="str">
        <f t="shared" si="4"/>
        <v>人文之士2</v>
      </c>
      <c r="O71" s="15">
        <f>INDEX(C:C,MATCH(J71,D:D,0))</f>
        <v>27</v>
      </c>
      <c r="P71" s="9">
        <f>INDEX(E:E,MATCH(J71,D:D,0))</f>
        <v>120</v>
      </c>
      <c r="Q71" s="7">
        <f t="shared" si="0"/>
        <v>27</v>
      </c>
      <c r="R71" s="7">
        <f>COUNTIF(J$8:$J71,"="&amp;J71)</f>
        <v>1</v>
      </c>
      <c r="S71" s="7">
        <f t="shared" si="5"/>
        <v>1027</v>
      </c>
      <c r="U71" s="7">
        <f t="shared" si="9"/>
        <v>1063</v>
      </c>
      <c r="V71" s="7">
        <f t="shared" si="9"/>
        <v>2063</v>
      </c>
      <c r="W71" s="7">
        <f t="shared" si="9"/>
        <v>3063</v>
      </c>
      <c r="X71" s="7">
        <f t="shared" si="9"/>
        <v>4063</v>
      </c>
      <c r="Y71" s="7">
        <f t="shared" si="9"/>
        <v>5063</v>
      </c>
      <c r="Z71" s="7">
        <f t="shared" si="9"/>
        <v>6063</v>
      </c>
      <c r="AA71" s="7">
        <f t="shared" si="9"/>
        <v>7063</v>
      </c>
      <c r="AB71" s="7">
        <f t="shared" si="9"/>
        <v>8063</v>
      </c>
      <c r="AD71" s="21" t="str">
        <f>IFERROR(INDEX($M:$M,MATCH(U71,$S:$S,0)),"&amp;")</f>
        <v>百业翘楚</v>
      </c>
      <c r="AE71" s="21" t="str">
        <f>IFERROR(INDEX($M:$M,MATCH(V71,$S:$S,0)),"&amp;")</f>
        <v>神兵利刃</v>
      </c>
      <c r="AF71" s="21" t="str">
        <f>IFERROR(INDEX($M:$M,MATCH(W71,$S:$S,0)),"&amp;")</f>
        <v>一展身手</v>
      </c>
      <c r="AG71" s="21" t="str">
        <f>IFERROR(INDEX($M:$M,MATCH(X71,$S:$S,0)),"&amp;")</f>
        <v>出类拔萃</v>
      </c>
      <c r="AH71" s="21" t="str">
        <f>IFERROR(INDEX($M:$M,MATCH(Y71,$S:$S,0)),"&amp;")</f>
        <v>剑风凌厉</v>
      </c>
      <c r="AI71" s="21" t="str">
        <f>IFERROR(INDEX($M:$M,MATCH(Z71,$S:$S,0)),"&amp;")</f>
        <v>&amp;</v>
      </c>
      <c r="AJ71" s="21" t="str">
        <f>IFERROR(INDEX($M:$M,MATCH(AA71,$S:$S,0)),"&amp;")</f>
        <v>&amp;</v>
      </c>
      <c r="AK71" s="21" t="str">
        <f>IFERROR(INDEX($M:$M,MATCH(AB71,$S:$S,0)),"&amp;")</f>
        <v>&amp;</v>
      </c>
      <c r="AM71" s="21" t="str">
        <f>IFERROR(INDEX($N:$N,MATCH(U71,$S:$S,0)),"&amp;")</f>
        <v>百业翘楚1</v>
      </c>
      <c r="AN71" s="21" t="str">
        <f>IFERROR(INDEX($N:$N,MATCH(V71,$S:$S,0)),"&amp;")</f>
        <v>神兵利刃1</v>
      </c>
      <c r="AO71" s="21" t="str">
        <f>IFERROR(INDEX($N:$N,MATCH(W71,$S:$S,0)),"&amp;")</f>
        <v>一展身手2</v>
      </c>
      <c r="AP71" s="21" t="str">
        <f>IFERROR(INDEX($N:$N,MATCH(X71,$S:$S,0)),"&amp;")</f>
        <v>出类拔萃4</v>
      </c>
      <c r="AQ71" s="21" t="str">
        <f>IFERROR(INDEX($N:$N,MATCH(Y71,$S:$S,0)),"&amp;")</f>
        <v>剑风凌厉2</v>
      </c>
      <c r="AR71" s="21" t="str">
        <f>IFERROR(INDEX($N:$N,MATCH(Z71,$S:$S,0)),"&amp;")</f>
        <v>&amp;</v>
      </c>
      <c r="AS71" s="21" t="str">
        <f>IFERROR(INDEX($N:$N,MATCH(AA71,$S:$S,0)),"&amp;")</f>
        <v>&amp;</v>
      </c>
      <c r="AT71" s="21" t="str">
        <f>IFERROR(INDEX($N:$N,MATCH(AB71,$S:$S,0)),"&amp;")</f>
        <v>&amp;</v>
      </c>
      <c r="AV71" s="21" t="str">
        <f>IFERROR(SUBSTITUTE(INDEX($K:$K,MATCH(INDEX($M:$M,MATCH(AM71,$N:$N,0)),$M:$M,0)),$D71,""),"")</f>
        <v xml:space="preserve"> 伯乐 扁鹊</v>
      </c>
      <c r="AW71" s="21" t="str">
        <f>IFERROR(SUBSTITUTE(INDEX($K:$K,MATCH(INDEX($M:$M,MATCH(AN71,$N:$N,0)),$M:$M,0)),$D71,""),"")</f>
        <v xml:space="preserve"> 莫邪</v>
      </c>
      <c r="AX71" s="21" t="str">
        <f>IFERROR(SUBSTITUTE(INDEX($K:$K,MATCH(INDEX($M:$M,MATCH(AO71,$N:$N,0)),$M:$M,0)),$D71,""),"")</f>
        <v xml:space="preserve">赵括 </v>
      </c>
      <c r="AY71" s="21" t="str">
        <f>IFERROR(SUBSTITUTE(INDEX($K:$K,MATCH(INDEX($M:$M,MATCH(AP71,$N:$N,0)),$M:$M,0)),$D71,""),"")</f>
        <v xml:space="preserve">墨子 扁鹊 伯乐 </v>
      </c>
      <c r="AZ71" s="21" t="str">
        <f>IFERROR(SUBSTITUTE(INDEX($K:$K,MATCH(INDEX($M:$M,MATCH(AQ71,$N:$N,0)),$M:$M,0)),$D71,""),"")</f>
        <v>越女  司马错 晋文公</v>
      </c>
      <c r="BA71" s="21" t="str">
        <f>IFERROR(SUBSTITUTE(INDEX($K:$K,MATCH(INDEX($M:$M,MATCH(AR71,$N:$N,0)),$M:$M,0)),$D71,""),"")</f>
        <v/>
      </c>
      <c r="BB71" s="21" t="str">
        <f>IFERROR(SUBSTITUTE(INDEX($K:$K,MATCH(INDEX($M:$M,MATCH(AS71,$N:$N,0)),$M:$M,0)),$D71,""),"")</f>
        <v/>
      </c>
      <c r="BC71" s="21" t="str">
        <f>IFERROR(SUBSTITUTE(INDEX($K:$K,MATCH(INDEX($M:$M,MATCH(AT71,$N:$N,0)),$M:$M,0)),$D71,""),"")</f>
        <v/>
      </c>
      <c r="BE71" s="9" t="str">
        <f t="shared" si="7"/>
        <v>欧冶子,伯乐,扁鹊,莫邪,赵括,墨子,越女,司马错,晋文公</v>
      </c>
      <c r="BI71" s="9" t="str">
        <f>IFERROR(
IF(COUNTIF($M:$M,$AD71)&lt;BI$8,
"",
INDEX($J:$J,MATCH($AD71,$M:$M,0)+BI$8-1)),
"")</f>
        <v>欧冶子</v>
      </c>
      <c r="BJ71" s="9" t="str">
        <f>IFERROR(
IF(COUNTIF($M:$M,$AD71)&lt;BJ$8,
"",
INDEX($J:$J,MATCH($AD71,$M:$M,0)+BJ$8-1)),
"")</f>
        <v>伯乐</v>
      </c>
      <c r="BK71" s="9" t="str">
        <f>IFERROR(
IF(COUNTIF($M:$M,$AD71)&lt;BK$8,
"",
INDEX($J:$J,MATCH($AD71,$M:$M,0)+BK$8-1)),
"")</f>
        <v>扁鹊</v>
      </c>
      <c r="BL71" s="9" t="str">
        <f>IFERROR(
IF(COUNTIF($M:$M,$AD71)&lt;BL$8,
"",
INDEX($J:$J,MATCH($AD71,$M:$M,0)+BL$8-1)),
"")</f>
        <v/>
      </c>
      <c r="BN71" s="21" t="str">
        <f>IFERROR(
IF(COUNTIF($BI71:BM71,INDEX($J:$J,MATCH($AE71,$M:$M,0)+BN$8-1))=0,
IF(COUNTIF($M:$M,$AE71)&lt;BN$8,
"",
INDEX($J:$J,MATCH($AE71,$M:$M,0)+BN$8-1)),
""),
"")</f>
        <v/>
      </c>
      <c r="BO71" s="21" t="str">
        <f>IFERROR(
IF(COUNTIF($BI71:BN71,INDEX($J:$J,MATCH($AE71,$M:$M,0)+BO$8-1))=0,
IF(COUNTIF($M:$M,$AE71)&lt;BO$8,
"",
INDEX($J:$J,MATCH($AE71,$M:$M,0)+BO$8-1)),
""),
"")</f>
        <v>莫邪</v>
      </c>
      <c r="BP71" s="21" t="str">
        <f>IFERROR(
IF(COUNTIF($BI71:BO71,INDEX($J:$J,MATCH($AE71,$M:$M,0)+BP$8-1))=0,
IF(COUNTIF($M:$M,$AE71)&lt;BP$8,
"",
INDEX($J:$J,MATCH($AE71,$M:$M,0)+BP$8-1)),
""),
"")</f>
        <v/>
      </c>
      <c r="BQ71" s="21" t="str">
        <f>IFERROR(
IF(COUNTIF($BI71:BP71,INDEX($J:$J,MATCH($AE71,$M:$M,0)+BQ$8-1))=0,
IF(COUNTIF($M:$M,$AE71)&lt;BQ$8,
"",
INDEX($J:$J,MATCH($AE71,$M:$M,0)+BQ$8-1)),
""),
"")</f>
        <v/>
      </c>
      <c r="BS71" s="21" t="str">
        <f>IFERROR(
IF(COUNTIF($BI71:BR71,INDEX($J:$J,MATCH($AF71,$M:$M,0)+BS$8-1))=0,
IF(COUNTIF($M:$M,$AF71)&lt;BS$8,
"",
INDEX($J:$J,MATCH($AF71,$M:$M,0)+BS$8-1)),
""),
"")</f>
        <v>赵括</v>
      </c>
      <c r="BT71" s="21" t="str">
        <f>IFERROR(
IF(COUNTIF($BI71:BS71,INDEX($J:$J,MATCH($AF71,$M:$M,0)+BT$8-1))=0,
IF(COUNTIF($M:$M,$AF71)&lt;BT$8,
"",
INDEX($J:$J,MATCH($AF71,$M:$M,0)+BT$8-1)),
""),
"")</f>
        <v/>
      </c>
      <c r="BU71" s="21" t="str">
        <f>IFERROR(
IF(COUNTIF($BI71:BT71,INDEX($J:$J,MATCH($AF71,$M:$M,0)+BU$8-1))=0,
IF(COUNTIF($M:$M,$AF71)&lt;BU$8,
"",
INDEX($J:$J,MATCH($AF71,$M:$M,0)+BU$8-1)),
""),
"")</f>
        <v/>
      </c>
      <c r="BV71" s="21" t="str">
        <f>IFERROR(
IF(COUNTIF($BI71:BU71,INDEX($J:$J,MATCH($AF71,$M:$M,0)+BV$8-1))=0,
IF(COUNTIF($M:$M,$AF71)&lt;BV$8,
"",
INDEX($J:$J,MATCH($AF71,$M:$M,0)+BV$8-1)),
""),
"")</f>
        <v/>
      </c>
      <c r="BX71" s="21" t="str">
        <f>IFERROR(
IF(COUNTIF($BI71:BW71,INDEX($J:$J,MATCH($AG71,$M:$M,0)+BX$8-1))=0,
IF(COUNTIF($M:$M,$AG71)&lt;BX$8,
"",
INDEX($J:$J,MATCH($AG71,$M:$M,0)+BX$8-1)),
""),
"")</f>
        <v>墨子</v>
      </c>
      <c r="BY71" s="21" t="str">
        <f>IFERROR(
IF(COUNTIF($BI71:BX71,INDEX($J:$J,MATCH($AG71,$M:$M,0)+BY$8-1))=0,
IF(COUNTIF($M:$M,$AG71)&lt;BY$8,
"",
INDEX($J:$J,MATCH($AG71,$M:$M,0)+BY$8-1)),
""),
"")</f>
        <v/>
      </c>
      <c r="BZ71" s="21" t="str">
        <f>IFERROR(
IF(COUNTIF($BI71:BY71,INDEX($J:$J,MATCH($AG71,$M:$M,0)+BZ$8-1))=0,
IF(COUNTIF($M:$M,$AG71)&lt;BZ$8,
"",
INDEX($J:$J,MATCH($AG71,$M:$M,0)+BZ$8-1)),
""),
"")</f>
        <v/>
      </c>
      <c r="CA71" s="21" t="str">
        <f>IFERROR(
IF(COUNTIF($BI71:BZ71,INDEX($J:$J,MATCH($AG71,$M:$M,0)+CA$8-1))=0,
IF(COUNTIF($M:$M,$AG71)&lt;CA$8,
"",
INDEX($J:$J,MATCH($AG71,$M:$M,0)+CA$8-1)),
""),
"")</f>
        <v/>
      </c>
      <c r="CC71" s="21" t="str">
        <f>IFERROR(
IF(COUNTIF($BI71:CB71,INDEX($J:$J,MATCH($AH71,$M:$M,0)+CC$8-1))=0,
IF(COUNTIF($M:$M,$AH71)&lt;CC$8,
"",
INDEX($J:$J,MATCH($AH71,$M:$M,0)+CC$8-1)),
""),
"")</f>
        <v>越女</v>
      </c>
      <c r="CD71" s="21" t="str">
        <f>IFERROR(
IF(COUNTIF($BI71:CC71,INDEX($J:$J,MATCH($AH71,$M:$M,0)+CD$8-1))=0,
IF(COUNTIF($M:$M,$AH71)&lt;CD$8,
"",
INDEX($J:$J,MATCH($AH71,$M:$M,0)+CD$8-1)),
""),
"")</f>
        <v/>
      </c>
      <c r="CE71" s="21" t="str">
        <f>IFERROR(
IF(COUNTIF($BI71:CD71,INDEX($J:$J,MATCH($AH71,$M:$M,0)+CE$8-1))=0,
IF(COUNTIF($M:$M,$AH71)&lt;CE$8,
"",
INDEX($J:$J,MATCH($AH71,$M:$M,0)+CE$8-1)),
""),
"")</f>
        <v>司马错</v>
      </c>
      <c r="CF71" s="21" t="str">
        <f>IFERROR(
IF(COUNTIF($BI71:CE71,INDEX($J:$J,MATCH($AH71,$M:$M,0)+CF$8-1))=0,
IF(COUNTIF($M:$M,$AH71)&lt;CF$8,
"",
INDEX($J:$J,MATCH($AH71,$M:$M,0)+CF$8-1)),
""),
"")</f>
        <v>晋文公</v>
      </c>
      <c r="CH71" s="21" t="str">
        <f>IFERROR(
IF(COUNTIF($BI71:CG71,INDEX($J:$J,MATCH($AI71,$M:$M,0)+CH$8-1))=0,
IF(COUNTIF($M:$M,$AI71)&lt;CH$8,
"",
INDEX($J:$J,MATCH($AI71,$M:$M,0)+CH$8-1)),
""),
"")</f>
        <v/>
      </c>
      <c r="CI71" s="21" t="str">
        <f>IFERROR(
IF(COUNTIF($BI71:CH71,INDEX($J:$J,MATCH($AI71,$M:$M,0)+CI$8-1))=0,
IF(COUNTIF($M:$M,$AI71)&lt;CI$8,
"",
INDEX($J:$J,MATCH($AI71,$M:$M,0)+CI$8-1)),
""),
"")</f>
        <v/>
      </c>
      <c r="CJ71" s="21" t="str">
        <f>IFERROR(
IF(COUNTIF($BI71:CI71,INDEX($J:$J,MATCH($AI71,$M:$M,0)+CJ$8-1))=0,
IF(COUNTIF($M:$M,$AI71)&lt;CJ$8,
"",
INDEX($J:$J,MATCH($AI71,$M:$M,0)+CJ$8-1)),
""),
"")</f>
        <v/>
      </c>
      <c r="CK71" s="21" t="str">
        <f>IFERROR(
IF(COUNTIF($BI71:CJ71,INDEX($J:$J,MATCH($AI71,$M:$M,0)+CK$8-1))=0,
IF(COUNTIF($M:$M,$AI71)&lt;CK$8,
"",
INDEX($J:$J,MATCH($AI71,$M:$M,0)+CK$8-1)),
""),
"")</f>
        <v/>
      </c>
      <c r="CM71" s="21" t="str">
        <f>IFERROR(
IF(COUNTIF($BI71:CL71,INDEX($J:$J,MATCH($AJ71,$M:$M,0)+CM$8-1))=0,
IF(COUNTIF($M:$M,$AJ71)&lt;CM$8,
"",
INDEX($J:$J,MATCH($AJ71,$M:$M,0)+CM$8-1)),
""),
"")</f>
        <v/>
      </c>
      <c r="CN71" s="21" t="str">
        <f>IFERROR(
IF(COUNTIF($BI71:CM71,INDEX($J:$J,MATCH($AJ71,$M:$M,0)+CN$8-1))=0,
IF(COUNTIF($M:$M,$AJ71)&lt;CN$8,
"",
INDEX($J:$J,MATCH($AJ71,$M:$M,0)+CN$8-1)),
""),
"")</f>
        <v/>
      </c>
      <c r="CO71" s="21" t="str">
        <f>IFERROR(
IF(COUNTIF($BI71:CN71,INDEX($J:$J,MATCH($AJ71,$M:$M,0)+CO$8-1))=0,
IF(COUNTIF($M:$M,$AJ71)&lt;CO$8,
"",
INDEX($J:$J,MATCH($AJ71,$M:$M,0)+CO$8-1)),
""),
"")</f>
        <v/>
      </c>
      <c r="CP71" s="21" t="str">
        <f>IFERROR(
IF(COUNTIF($BI71:CO71,INDEX($J:$J,MATCH($AJ71,$M:$M,0)+CP$8-1))=0,
IF(COUNTIF($M:$M,$AJ71)&lt;CP$8,
"",
INDEX($J:$J,MATCH($AJ71,$M:$M,0)+CP$8-1)),
""),
"")</f>
        <v/>
      </c>
      <c r="CR71" s="21" t="str">
        <f>IFERROR(
IF(COUNTIF($BI71:CQ71,INDEX($J:$J,MATCH($AK71,$M:$M,0)+CR$8-1))=0,
IF(COUNTIF($M:$M,$AK71)&lt;CR$8,
"",
INDEX($J:$J,MATCH($AK71,$M:$M,0)+CR$8-1)),
""),
"")</f>
        <v/>
      </c>
      <c r="CS71" s="21" t="str">
        <f>IFERROR(
IF(COUNTIF($BI71:CR71,INDEX($J:$J,MATCH($AK71,$M:$M,0)+CS$8-1))=0,
IF(COUNTIF($M:$M,$AK71)&lt;CS$8,
"",
INDEX($J:$J,MATCH($AK71,$M:$M,0)+CS$8-1)),
""),
"")</f>
        <v/>
      </c>
      <c r="CT71" s="21" t="str">
        <f>IFERROR(
IF(COUNTIF($BI71:CS71,INDEX($J:$J,MATCH($AK71,$M:$M,0)+CT$8-1))=0,
IF(COUNTIF($M:$M,$AK71)&lt;CT$8,
"",
INDEX($J:$J,MATCH($AK71,$M:$M,0)+CT$8-1)),
""),
"")</f>
        <v/>
      </c>
      <c r="CU71" s="21" t="str">
        <f>IFERROR(
IF(COUNTIF($BI71:CT71,INDEX($J:$J,MATCH($AK71,$M:$M,0)+CU$8-1))=0,
IF(COUNTIF($M:$M,$AK71)&lt;CU$8,
"",
INDEX($J:$J,MATCH($AK71,$M:$M,0)+CU$8-1)),
""),
"")</f>
        <v/>
      </c>
    </row>
    <row r="72" spans="3:99" ht="14.25">
      <c r="C72" s="16">
        <v>64</v>
      </c>
      <c r="D72" s="19" t="s">
        <v>85</v>
      </c>
      <c r="E72" s="20">
        <f>INDEX([1]武将基本资料!$S:$S,MATCH(D72,[1]武将基本资料!$N:$N,0))</f>
        <v>120</v>
      </c>
      <c r="F72" s="20" t="str">
        <f>INDEX([1]武将基本资料!$Q:$Q,MATCH(D72,[1]武将基本资料!$N:$N,0))</f>
        <v>橙</v>
      </c>
      <c r="H72" s="7">
        <f>IF(I72="","",COUNTA(I$9:$I72))</f>
        <v>62</v>
      </c>
      <c r="I72" s="6" t="s">
        <v>157</v>
      </c>
      <c r="J72" s="6" t="s">
        <v>82</v>
      </c>
      <c r="K72" s="8" t="str">
        <f>IF(H72="","",阶段合并区域(J72:J82," ",L72:L82,1))</f>
        <v>韩非子 申不害</v>
      </c>
      <c r="L72" s="8">
        <f>COUNTIF(M$8:$M72,"="&amp;M72)</f>
        <v>1</v>
      </c>
      <c r="M72" s="9" t="str">
        <f t="shared" si="3"/>
        <v>严刑峻法</v>
      </c>
      <c r="N72" s="9" t="str">
        <f t="shared" si="4"/>
        <v>严刑峻法1</v>
      </c>
      <c r="O72" s="15">
        <f>INDEX(C:C,MATCH(J72,D:D,0))</f>
        <v>52</v>
      </c>
      <c r="P72" s="9">
        <f>INDEX(E:E,MATCH(J72,D:D,0))</f>
        <v>120</v>
      </c>
      <c r="Q72" s="7">
        <f t="shared" si="0"/>
        <v>52</v>
      </c>
      <c r="R72" s="7">
        <f>COUNTIF(J$8:$J72,"="&amp;J72)</f>
        <v>2</v>
      </c>
      <c r="S72" s="7">
        <f t="shared" si="5"/>
        <v>2052</v>
      </c>
      <c r="U72" s="7">
        <f t="shared" si="9"/>
        <v>1064</v>
      </c>
      <c r="V72" s="7">
        <f t="shared" si="9"/>
        <v>2064</v>
      </c>
      <c r="W72" s="7">
        <f t="shared" si="9"/>
        <v>3064</v>
      </c>
      <c r="X72" s="7">
        <f t="shared" si="9"/>
        <v>4064</v>
      </c>
      <c r="Y72" s="7">
        <f t="shared" si="9"/>
        <v>5064</v>
      </c>
      <c r="Z72" s="7">
        <f t="shared" si="9"/>
        <v>6064</v>
      </c>
      <c r="AA72" s="7">
        <f t="shared" si="9"/>
        <v>7064</v>
      </c>
      <c r="AB72" s="7">
        <f t="shared" si="9"/>
        <v>8064</v>
      </c>
      <c r="AD72" s="21" t="str">
        <f>IFERROR(INDEX($M:$M,MATCH(U72,$S:$S,0)),"&amp;")</f>
        <v>问鼎之心</v>
      </c>
      <c r="AE72" s="21" t="str">
        <f>IFERROR(INDEX($M:$M,MATCH(V72,$S:$S,0)),"&amp;")</f>
        <v>忍辱负重</v>
      </c>
      <c r="AF72" s="21" t="str">
        <f>IFERROR(INDEX($M:$M,MATCH(W72,$S:$S,0)),"&amp;")</f>
        <v>乘胜追击</v>
      </c>
      <c r="AG72" s="21" t="str">
        <f>IFERROR(INDEX($M:$M,MATCH(X72,$S:$S,0)),"&amp;")</f>
        <v>英雄美人</v>
      </c>
      <c r="AH72" s="21" t="str">
        <f>IFERROR(INDEX($M:$M,MATCH(Y72,$S:$S,0)),"&amp;")</f>
        <v>春秋霸主</v>
      </c>
      <c r="AI72" s="21" t="str">
        <f>IFERROR(INDEX($M:$M,MATCH(Z72,$S:$S,0)),"&amp;")</f>
        <v>助越灭吴</v>
      </c>
      <c r="AJ72" s="21" t="str">
        <f>IFERROR(INDEX($M:$M,MATCH(AA72,$S:$S,0)),"&amp;")</f>
        <v>能文能武</v>
      </c>
      <c r="AK72" s="21" t="str">
        <f>IFERROR(INDEX($M:$M,MATCH(AB72,$S:$S,0)),"&amp;")</f>
        <v>&amp;</v>
      </c>
      <c r="AM72" s="21" t="str">
        <f>IFERROR(INDEX($N:$N,MATCH(U72,$S:$S,0)),"&amp;")</f>
        <v>问鼎之心2</v>
      </c>
      <c r="AN72" s="21" t="str">
        <f>IFERROR(INDEX($N:$N,MATCH(V72,$S:$S,0)),"&amp;")</f>
        <v>忍辱负重2</v>
      </c>
      <c r="AO72" s="21" t="str">
        <f>IFERROR(INDEX($N:$N,MATCH(W72,$S:$S,0)),"&amp;")</f>
        <v>乘胜追击2</v>
      </c>
      <c r="AP72" s="21" t="str">
        <f>IFERROR(INDEX($N:$N,MATCH(X72,$S:$S,0)),"&amp;")</f>
        <v>英雄美人2</v>
      </c>
      <c r="AQ72" s="21" t="str">
        <f>IFERROR(INDEX($N:$N,MATCH(Y72,$S:$S,0)),"&amp;")</f>
        <v>春秋霸主3</v>
      </c>
      <c r="AR72" s="21" t="str">
        <f>IFERROR(INDEX($N:$N,MATCH(Z72,$S:$S,0)),"&amp;")</f>
        <v>助越灭吴2</v>
      </c>
      <c r="AS72" s="21" t="str">
        <f>IFERROR(INDEX($N:$N,MATCH(AA72,$S:$S,0)),"&amp;")</f>
        <v>能文能武3</v>
      </c>
      <c r="AT72" s="21" t="str">
        <f>IFERROR(INDEX($N:$N,MATCH(AB72,$S:$S,0)),"&amp;")</f>
        <v>&amp;</v>
      </c>
      <c r="AV72" s="21" t="str">
        <f>IFERROR(SUBSTITUTE(INDEX($K:$K,MATCH(INDEX($M:$M,MATCH(AM72,$N:$N,0)),$M:$M,0)),$D72,""),"")</f>
        <v>楚庄王  秦武王</v>
      </c>
      <c r="AW72" s="21" t="str">
        <f>IFERROR(SUBSTITUTE(INDEX($K:$K,MATCH(INDEX($M:$M,MATCH(AN72,$N:$N,0)),$M:$M,0)),$D72,""),"")</f>
        <v xml:space="preserve">西施 </v>
      </c>
      <c r="AX72" s="21" t="str">
        <f>IFERROR(SUBSTITUTE(INDEX($K:$K,MATCH(INDEX($M:$M,MATCH(AO72,$N:$N,0)),$M:$M,0)),$D72,""),"")</f>
        <v xml:space="preserve">秦开 </v>
      </c>
      <c r="AY72" s="21" t="str">
        <f>IFERROR(SUBSTITUTE(INDEX($K:$K,MATCH(INDEX($M:$M,MATCH(AP72,$N:$N,0)),$M:$M,0)),$D72,""),"")</f>
        <v>褒姒  楚庄王 秦武王</v>
      </c>
      <c r="AZ72" s="21" t="str">
        <f>IFERROR(SUBSTITUTE(INDEX($K:$K,MATCH(INDEX($M:$M,MATCH(AQ72,$N:$N,0)),$M:$M,0)),$D72,""),"")</f>
        <v>晋文公 楚庄王  秦武王</v>
      </c>
      <c r="BA72" s="21" t="str">
        <f>IFERROR(SUBSTITUTE(INDEX($K:$K,MATCH(INDEX($M:$M,MATCH(AR72,$N:$N,0)),$M:$M,0)),$D72,""),"")</f>
        <v xml:space="preserve">越女 </v>
      </c>
      <c r="BB72" s="21" t="str">
        <f>IFERROR(SUBSTITUTE(INDEX($K:$K,MATCH(INDEX($M:$M,MATCH(AS72,$N:$N,0)),$M:$M,0)),$D72,""),"")</f>
        <v xml:space="preserve">齐桓公 吴起 </v>
      </c>
      <c r="BC72" s="21" t="str">
        <f>IFERROR(SUBSTITUTE(INDEX($K:$K,MATCH(INDEX($M:$M,MATCH(AT72,$N:$N,0)),$M:$M,0)),$D72,""),"")</f>
        <v/>
      </c>
      <c r="BE72" s="9" t="str">
        <f t="shared" si="7"/>
        <v>楚庄王,勾践,秦武王,西施,秦开,褒姒,晋文公,越女,齐桓公,吴起</v>
      </c>
      <c r="BI72" s="9" t="str">
        <f>IFERROR(
IF(COUNTIF($M:$M,$AD72)&lt;BI$8,
"",
INDEX($J:$J,MATCH($AD72,$M:$M,0)+BI$8-1)),
"")</f>
        <v>楚庄王</v>
      </c>
      <c r="BJ72" s="9" t="str">
        <f>IFERROR(
IF(COUNTIF($M:$M,$AD72)&lt;BJ$8,
"",
INDEX($J:$J,MATCH($AD72,$M:$M,0)+BJ$8-1)),
"")</f>
        <v>勾践</v>
      </c>
      <c r="BK72" s="9" t="str">
        <f>IFERROR(
IF(COUNTIF($M:$M,$AD72)&lt;BK$8,
"",
INDEX($J:$J,MATCH($AD72,$M:$M,0)+BK$8-1)),
"")</f>
        <v>秦武王</v>
      </c>
      <c r="BL72" s="9" t="str">
        <f>IFERROR(
IF(COUNTIF($M:$M,$AD72)&lt;BL$8,
"",
INDEX($J:$J,MATCH($AD72,$M:$M,0)+BL$8-1)),
"")</f>
        <v/>
      </c>
      <c r="BN72" s="21" t="str">
        <f>IFERROR(
IF(COUNTIF($BI72:BM72,INDEX($J:$J,MATCH($AE72,$M:$M,0)+BN$8-1))=0,
IF(COUNTIF($M:$M,$AE72)&lt;BN$8,
"",
INDEX($J:$J,MATCH($AE72,$M:$M,0)+BN$8-1)),
""),
"")</f>
        <v>西施</v>
      </c>
      <c r="BO72" s="21" t="str">
        <f>IFERROR(
IF(COUNTIF($BI72:BN72,INDEX($J:$J,MATCH($AE72,$M:$M,0)+BO$8-1))=0,
IF(COUNTIF($M:$M,$AE72)&lt;BO$8,
"",
INDEX($J:$J,MATCH($AE72,$M:$M,0)+BO$8-1)),
""),
"")</f>
        <v/>
      </c>
      <c r="BP72" s="21" t="str">
        <f>IFERROR(
IF(COUNTIF($BI72:BO72,INDEX($J:$J,MATCH($AE72,$M:$M,0)+BP$8-1))=0,
IF(COUNTIF($M:$M,$AE72)&lt;BP$8,
"",
INDEX($J:$J,MATCH($AE72,$M:$M,0)+BP$8-1)),
""),
"")</f>
        <v/>
      </c>
      <c r="BQ72" s="21" t="str">
        <f>IFERROR(
IF(COUNTIF($BI72:BP72,INDEX($J:$J,MATCH($AE72,$M:$M,0)+BQ$8-1))=0,
IF(COUNTIF($M:$M,$AE72)&lt;BQ$8,
"",
INDEX($J:$J,MATCH($AE72,$M:$M,0)+BQ$8-1)),
""),
"")</f>
        <v/>
      </c>
      <c r="BS72" s="21" t="str">
        <f>IFERROR(
IF(COUNTIF($BI72:BR72,INDEX($J:$J,MATCH($AF72,$M:$M,0)+BS$8-1))=0,
IF(COUNTIF($M:$M,$AF72)&lt;BS$8,
"",
INDEX($J:$J,MATCH($AF72,$M:$M,0)+BS$8-1)),
""),
"")</f>
        <v>秦开</v>
      </c>
      <c r="BT72" s="21" t="str">
        <f>IFERROR(
IF(COUNTIF($BI72:BS72,INDEX($J:$J,MATCH($AF72,$M:$M,0)+BT$8-1))=0,
IF(COUNTIF($M:$M,$AF72)&lt;BT$8,
"",
INDEX($J:$J,MATCH($AF72,$M:$M,0)+BT$8-1)),
""),
"")</f>
        <v/>
      </c>
      <c r="BU72" s="21" t="str">
        <f>IFERROR(
IF(COUNTIF($BI72:BT72,INDEX($J:$J,MATCH($AF72,$M:$M,0)+BU$8-1))=0,
IF(COUNTIF($M:$M,$AF72)&lt;BU$8,
"",
INDEX($J:$J,MATCH($AF72,$M:$M,0)+BU$8-1)),
""),
"")</f>
        <v/>
      </c>
      <c r="BV72" s="21" t="str">
        <f>IFERROR(
IF(COUNTIF($BI72:BU72,INDEX($J:$J,MATCH($AF72,$M:$M,0)+BV$8-1))=0,
IF(COUNTIF($M:$M,$AF72)&lt;BV$8,
"",
INDEX($J:$J,MATCH($AF72,$M:$M,0)+BV$8-1)),
""),
"")</f>
        <v/>
      </c>
      <c r="BX72" s="21" t="str">
        <f>IFERROR(
IF(COUNTIF($BI72:BW72,INDEX($J:$J,MATCH($AG72,$M:$M,0)+BX$8-1))=0,
IF(COUNTIF($M:$M,$AG72)&lt;BX$8,
"",
INDEX($J:$J,MATCH($AG72,$M:$M,0)+BX$8-1)),
""),
"")</f>
        <v>褒姒</v>
      </c>
      <c r="BY72" s="21" t="str">
        <f>IFERROR(
IF(COUNTIF($BI72:BX72,INDEX($J:$J,MATCH($AG72,$M:$M,0)+BY$8-1))=0,
IF(COUNTIF($M:$M,$AG72)&lt;BY$8,
"",
INDEX($J:$J,MATCH($AG72,$M:$M,0)+BY$8-1)),
""),
"")</f>
        <v/>
      </c>
      <c r="BZ72" s="21" t="str">
        <f>IFERROR(
IF(COUNTIF($BI72:BY72,INDEX($J:$J,MATCH($AG72,$M:$M,0)+BZ$8-1))=0,
IF(COUNTIF($M:$M,$AG72)&lt;BZ$8,
"",
INDEX($J:$J,MATCH($AG72,$M:$M,0)+BZ$8-1)),
""),
"")</f>
        <v/>
      </c>
      <c r="CA72" s="21" t="str">
        <f>IFERROR(
IF(COUNTIF($BI72:BZ72,INDEX($J:$J,MATCH($AG72,$M:$M,0)+CA$8-1))=0,
IF(COUNTIF($M:$M,$AG72)&lt;CA$8,
"",
INDEX($J:$J,MATCH($AG72,$M:$M,0)+CA$8-1)),
""),
"")</f>
        <v/>
      </c>
      <c r="CC72" s="21" t="str">
        <f>IFERROR(
IF(COUNTIF($BI72:CB72,INDEX($J:$J,MATCH($AH72,$M:$M,0)+CC$8-1))=0,
IF(COUNTIF($M:$M,$AH72)&lt;CC$8,
"",
INDEX($J:$J,MATCH($AH72,$M:$M,0)+CC$8-1)),
""),
"")</f>
        <v>晋文公</v>
      </c>
      <c r="CD72" s="21" t="str">
        <f>IFERROR(
IF(COUNTIF($BI72:CC72,INDEX($J:$J,MATCH($AH72,$M:$M,0)+CD$8-1))=0,
IF(COUNTIF($M:$M,$AH72)&lt;CD$8,
"",
INDEX($J:$J,MATCH($AH72,$M:$M,0)+CD$8-1)),
""),
"")</f>
        <v/>
      </c>
      <c r="CE72" s="21" t="str">
        <f>IFERROR(
IF(COUNTIF($BI72:CD72,INDEX($J:$J,MATCH($AH72,$M:$M,0)+CE$8-1))=0,
IF(COUNTIF($M:$M,$AH72)&lt;CE$8,
"",
INDEX($J:$J,MATCH($AH72,$M:$M,0)+CE$8-1)),
""),
"")</f>
        <v/>
      </c>
      <c r="CF72" s="21" t="str">
        <f>IFERROR(
IF(COUNTIF($BI72:CE72,INDEX($J:$J,MATCH($AH72,$M:$M,0)+CF$8-1))=0,
IF(COUNTIF($M:$M,$AH72)&lt;CF$8,
"",
INDEX($J:$J,MATCH($AH72,$M:$M,0)+CF$8-1)),
""),
"")</f>
        <v/>
      </c>
      <c r="CH72" s="21" t="str">
        <f>IFERROR(
IF(COUNTIF($BI72:CG72,INDEX($J:$J,MATCH($AI72,$M:$M,0)+CH$8-1))=0,
IF(COUNTIF($M:$M,$AI72)&lt;CH$8,
"",
INDEX($J:$J,MATCH($AI72,$M:$M,0)+CH$8-1)),
""),
"")</f>
        <v>越女</v>
      </c>
      <c r="CI72" s="21" t="str">
        <f>IFERROR(
IF(COUNTIF($BI72:CH72,INDEX($J:$J,MATCH($AI72,$M:$M,0)+CI$8-1))=0,
IF(COUNTIF($M:$M,$AI72)&lt;CI$8,
"",
INDEX($J:$J,MATCH($AI72,$M:$M,0)+CI$8-1)),
""),
"")</f>
        <v/>
      </c>
      <c r="CJ72" s="21" t="str">
        <f>IFERROR(
IF(COUNTIF($BI72:CI72,INDEX($J:$J,MATCH($AI72,$M:$M,0)+CJ$8-1))=0,
IF(COUNTIF($M:$M,$AI72)&lt;CJ$8,
"",
INDEX($J:$J,MATCH($AI72,$M:$M,0)+CJ$8-1)),
""),
"")</f>
        <v/>
      </c>
      <c r="CK72" s="21" t="str">
        <f>IFERROR(
IF(COUNTIF($BI72:CJ72,INDEX($J:$J,MATCH($AI72,$M:$M,0)+CK$8-1))=0,
IF(COUNTIF($M:$M,$AI72)&lt;CK$8,
"",
INDEX($J:$J,MATCH($AI72,$M:$M,0)+CK$8-1)),
""),
"")</f>
        <v/>
      </c>
      <c r="CM72" s="21" t="str">
        <f>IFERROR(
IF(COUNTIF($BI72:CL72,INDEX($J:$J,MATCH($AJ72,$M:$M,0)+CM$8-1))=0,
IF(COUNTIF($M:$M,$AJ72)&lt;CM$8,
"",
INDEX($J:$J,MATCH($AJ72,$M:$M,0)+CM$8-1)),
""),
"")</f>
        <v>齐桓公</v>
      </c>
      <c r="CN72" s="21" t="str">
        <f>IFERROR(
IF(COUNTIF($BI72:CM72,INDEX($J:$J,MATCH($AJ72,$M:$M,0)+CN$8-1))=0,
IF(COUNTIF($M:$M,$AJ72)&lt;CN$8,
"",
INDEX($J:$J,MATCH($AJ72,$M:$M,0)+CN$8-1)),
""),
"")</f>
        <v>吴起</v>
      </c>
      <c r="CO72" s="21" t="str">
        <f>IFERROR(
IF(COUNTIF($BI72:CN72,INDEX($J:$J,MATCH($AJ72,$M:$M,0)+CO$8-1))=0,
IF(COUNTIF($M:$M,$AJ72)&lt;CO$8,
"",
INDEX($J:$J,MATCH($AJ72,$M:$M,0)+CO$8-1)),
""),
"")</f>
        <v/>
      </c>
      <c r="CP72" s="21" t="str">
        <f>IFERROR(
IF(COUNTIF($BI72:CO72,INDEX($J:$J,MATCH($AJ72,$M:$M,0)+CP$8-1))=0,
IF(COUNTIF($M:$M,$AJ72)&lt;CP$8,
"",
INDEX($J:$J,MATCH($AJ72,$M:$M,0)+CP$8-1)),
""),
"")</f>
        <v/>
      </c>
      <c r="CR72" s="21" t="str">
        <f>IFERROR(
IF(COUNTIF($BI72:CQ72,INDEX($J:$J,MATCH($AK72,$M:$M,0)+CR$8-1))=0,
IF(COUNTIF($M:$M,$AK72)&lt;CR$8,
"",
INDEX($J:$J,MATCH($AK72,$M:$M,0)+CR$8-1)),
""),
"")</f>
        <v/>
      </c>
      <c r="CS72" s="21" t="str">
        <f>IFERROR(
IF(COUNTIF($BI72:CR72,INDEX($J:$J,MATCH($AK72,$M:$M,0)+CS$8-1))=0,
IF(COUNTIF($M:$M,$AK72)&lt;CS$8,
"",
INDEX($J:$J,MATCH($AK72,$M:$M,0)+CS$8-1)),
""),
"")</f>
        <v/>
      </c>
      <c r="CT72" s="21" t="str">
        <f>IFERROR(
IF(COUNTIF($BI72:CS72,INDEX($J:$J,MATCH($AK72,$M:$M,0)+CT$8-1))=0,
IF(COUNTIF($M:$M,$AK72)&lt;CT$8,
"",
INDEX($J:$J,MATCH($AK72,$M:$M,0)+CT$8-1)),
""),
"")</f>
        <v/>
      </c>
      <c r="CU72" s="21" t="str">
        <f>IFERROR(
IF(COUNTIF($BI72:CT72,INDEX($J:$J,MATCH($AK72,$M:$M,0)+CU$8-1))=0,
IF(COUNTIF($M:$M,$AK72)&lt;CU$8,
"",
INDEX($J:$J,MATCH($AK72,$M:$M,0)+CU$8-1)),
""),
"")</f>
        <v/>
      </c>
    </row>
    <row r="73" spans="3:99" ht="14.25">
      <c r="C73" s="16">
        <v>65</v>
      </c>
      <c r="D73" s="19" t="s">
        <v>197</v>
      </c>
      <c r="E73" s="20">
        <f>INDEX([1]武将基本资料!$S:$S,MATCH(D73,[1]武将基本资料!$N:$N,0))</f>
        <v>130</v>
      </c>
      <c r="F73" s="20" t="str">
        <f>INDEX([1]武将基本资料!$Q:$Q,MATCH(D73,[1]武将基本资料!$N:$N,0))</f>
        <v>橙+</v>
      </c>
      <c r="H73" s="7" t="str">
        <f>IF(I73="","",COUNTA(I$9:$I73))</f>
        <v/>
      </c>
      <c r="I73" s="6" t="s">
        <v>188</v>
      </c>
      <c r="J73" s="6" t="s">
        <v>112</v>
      </c>
      <c r="K73" s="8" t="str">
        <f>IF(H73="","",阶段合并区域(J73:J83," ",L73:L83,1))</f>
        <v/>
      </c>
      <c r="L73" s="8">
        <f>COUNTIF(M$8:$M73,"="&amp;M73)</f>
        <v>2</v>
      </c>
      <c r="M73" s="9" t="str">
        <f t="shared" si="3"/>
        <v>严刑峻法</v>
      </c>
      <c r="N73" s="9" t="str">
        <f t="shared" si="4"/>
        <v>严刑峻法2</v>
      </c>
      <c r="O73" s="15">
        <f>INDEX(C:C,MATCH(J73,D:D,0))</f>
        <v>54</v>
      </c>
      <c r="P73" s="9">
        <f>INDEX(E:E,MATCH(J73,D:D,0))</f>
        <v>120</v>
      </c>
      <c r="Q73" s="7">
        <f t="shared" ref="Q73:Q136" si="10">INDEX($C$9:$C$190,MATCH(J73,$D$9:$D$190,0))</f>
        <v>54</v>
      </c>
      <c r="R73" s="7">
        <f>COUNTIF(J$8:$J73,"="&amp;J73)</f>
        <v>2</v>
      </c>
      <c r="S73" s="7">
        <f t="shared" ref="S73:S103" si="11">R73*1000+Q73</f>
        <v>2054</v>
      </c>
      <c r="U73" s="7">
        <f t="shared" si="9"/>
        <v>1065</v>
      </c>
      <c r="V73" s="7">
        <f t="shared" si="9"/>
        <v>2065</v>
      </c>
      <c r="W73" s="7">
        <f t="shared" si="9"/>
        <v>3065</v>
      </c>
      <c r="X73" s="7">
        <f t="shared" si="9"/>
        <v>4065</v>
      </c>
      <c r="Y73" s="7">
        <f t="shared" si="9"/>
        <v>5065</v>
      </c>
      <c r="Z73" s="7">
        <f t="shared" si="9"/>
        <v>6065</v>
      </c>
      <c r="AA73" s="7">
        <f t="shared" si="9"/>
        <v>7065</v>
      </c>
      <c r="AB73" s="7">
        <f t="shared" ref="V73:AB90" si="12">AB$8*1000+$C73</f>
        <v>8065</v>
      </c>
      <c r="AD73" s="21" t="str">
        <f>IFERROR(INDEX($M:$M,MATCH(U73,$S:$S,0)),"&amp;")</f>
        <v>退避三舍</v>
      </c>
      <c r="AE73" s="21" t="str">
        <f>IFERROR(INDEX($M:$M,MATCH(V73,$S:$S,0)),"&amp;")</f>
        <v>春秋霸主</v>
      </c>
      <c r="AF73" s="21" t="str">
        <f>IFERROR(INDEX($M:$M,MATCH(W73,$S:$S,0)),"&amp;")</f>
        <v>野心勃勃</v>
      </c>
      <c r="AG73" s="21" t="str">
        <f>IFERROR(INDEX($M:$M,MATCH(X73,$S:$S,0)),"&amp;")</f>
        <v>剑风凌厉</v>
      </c>
      <c r="AH73" s="21" t="str">
        <f>IFERROR(INDEX($M:$M,MATCH(Y73,$S:$S,0)),"&amp;")</f>
        <v>春秋霸主</v>
      </c>
      <c r="AI73" s="21" t="str">
        <f>IFERROR(INDEX($M:$M,MATCH(Z73,$S:$S,0)),"&amp;")</f>
        <v>乱世枭雄</v>
      </c>
      <c r="AJ73" s="21" t="str">
        <f>IFERROR(INDEX($M:$M,MATCH(AA73,$S:$S,0)),"&amp;")</f>
        <v>&amp;</v>
      </c>
      <c r="AK73" s="21" t="str">
        <f>IFERROR(INDEX($M:$M,MATCH(AB73,$S:$S,0)),"&amp;")</f>
        <v>&amp;</v>
      </c>
      <c r="AM73" s="21" t="str">
        <f>IFERROR(INDEX($N:$N,MATCH(U73,$S:$S,0)),"&amp;")</f>
        <v>退避三舍1</v>
      </c>
      <c r="AN73" s="21" t="str">
        <f>IFERROR(INDEX($N:$N,MATCH(V73,$S:$S,0)),"&amp;")</f>
        <v>春秋霸主1</v>
      </c>
      <c r="AO73" s="21" t="str">
        <f>IFERROR(INDEX($N:$N,MATCH(W73,$S:$S,0)),"&amp;")</f>
        <v>野心勃勃1</v>
      </c>
      <c r="AP73" s="21" t="str">
        <f>IFERROR(INDEX($N:$N,MATCH(X73,$S:$S,0)),"&amp;")</f>
        <v>剑风凌厉4</v>
      </c>
      <c r="AQ73" s="21" t="str">
        <f>IFERROR(INDEX($N:$N,MATCH(Y73,$S:$S,0)),"&amp;")</f>
        <v>春秋霸主7</v>
      </c>
      <c r="AR73" s="21" t="str">
        <f>IFERROR(INDEX($N:$N,MATCH(Z73,$S:$S,0)),"&amp;")</f>
        <v>乱世枭雄3</v>
      </c>
      <c r="AS73" s="21" t="str">
        <f>IFERROR(INDEX($N:$N,MATCH(AA73,$S:$S,0)),"&amp;")</f>
        <v>&amp;</v>
      </c>
      <c r="AT73" s="21" t="str">
        <f>IFERROR(INDEX($N:$N,MATCH(AB73,$S:$S,0)),"&amp;")</f>
        <v>&amp;</v>
      </c>
      <c r="AV73" s="21" t="str">
        <f>IFERROR(SUBSTITUTE(INDEX($K:$K,MATCH(INDEX($M:$M,MATCH(AM73,$N:$N,0)),$M:$M,0)),$D73,""),"")</f>
        <v xml:space="preserve"> 韩非子 伍子胥</v>
      </c>
      <c r="AW73" s="21" t="str">
        <f>IFERROR(SUBSTITUTE(INDEX($K:$K,MATCH(INDEX($M:$M,MATCH(AN73,$N:$N,0)),$M:$M,0)),$D73,""),"")</f>
        <v xml:space="preserve"> 楚庄王 勾践 秦武王</v>
      </c>
      <c r="AX73" s="21" t="str">
        <f>IFERROR(SUBSTITUTE(INDEX($K:$K,MATCH(INDEX($M:$M,MATCH(AO73,$N:$N,0)),$M:$M,0)),$D73,""),"")</f>
        <v xml:space="preserve"> 吕不韦 义渠骇 孙膑</v>
      </c>
      <c r="AY73" s="21" t="str">
        <f>IFERROR(SUBSTITUTE(INDEX($K:$K,MATCH(INDEX($M:$M,MATCH(AP73,$N:$N,0)),$M:$M,0)),$D73,""),"")</f>
        <v xml:space="preserve">越女 欧冶子 司马错 </v>
      </c>
      <c r="AZ73" s="21" t="str">
        <f>IFERROR(SUBSTITUTE(INDEX($K:$K,MATCH(INDEX($M:$M,MATCH(AQ73,$N:$N,0)),$M:$M,0)),$D73,""),"")</f>
        <v xml:space="preserve"> 楚庄王 勾践 秦武王</v>
      </c>
      <c r="BA73" s="21" t="str">
        <f>IFERROR(SUBSTITUTE(INDEX($K:$K,MATCH(INDEX($M:$M,MATCH(AR73,$N:$N,0)),$M:$M,0)),$D73,""),"")</f>
        <v xml:space="preserve">曹操 齐桓公 </v>
      </c>
      <c r="BB73" s="21" t="str">
        <f>IFERROR(SUBSTITUTE(INDEX($K:$K,MATCH(INDEX($M:$M,MATCH(AS73,$N:$N,0)),$M:$M,0)),$D73,""),"")</f>
        <v/>
      </c>
      <c r="BC73" s="21" t="str">
        <f>IFERROR(SUBSTITUTE(INDEX($K:$K,MATCH(INDEX($M:$M,MATCH(AT73,$N:$N,0)),$M:$M,0)),$D73,""),"")</f>
        <v/>
      </c>
      <c r="BE73" s="9" t="str">
        <f t="shared" si="7"/>
        <v>晋文公,韩非子,伍子胥,项燕,楚庄王,勾践,秦武王,吕不韦,义渠骇,孙膑,越女,欧冶子,司马错,曹操,齐桓公</v>
      </c>
      <c r="BI73" s="9" t="str">
        <f>IFERROR(
IF(COUNTIF($M:$M,$AD73)&lt;BI$8,
"",
INDEX($J:$J,MATCH($AD73,$M:$M,0)+BI$8-1)),
"")</f>
        <v>晋文公</v>
      </c>
      <c r="BJ73" s="9" t="str">
        <f>IFERROR(
IF(COUNTIF($M:$M,$AD73)&lt;BJ$8,
"",
INDEX($J:$J,MATCH($AD73,$M:$M,0)+BJ$8-1)),
"")</f>
        <v>韩非子</v>
      </c>
      <c r="BK73" s="9" t="str">
        <f>IFERROR(
IF(COUNTIF($M:$M,$AD73)&lt;BK$8,
"",
INDEX($J:$J,MATCH($AD73,$M:$M,0)+BK$8-1)),
"")</f>
        <v>伍子胥</v>
      </c>
      <c r="BL73" s="9" t="str">
        <f>IFERROR(
IF(COUNTIF($M:$M,$AD73)&lt;BL$8,
"",
INDEX($J:$J,MATCH($AD73,$M:$M,0)+BL$8-1)),
"")</f>
        <v>项燕</v>
      </c>
      <c r="BN73" s="21" t="str">
        <f>IFERROR(
IF(COUNTIF($BI73:BM73,INDEX($J:$J,MATCH($AE73,$M:$M,0)+BN$8-1))=0,
IF(COUNTIF($M:$M,$AE73)&lt;BN$8,
"",
INDEX($J:$J,MATCH($AE73,$M:$M,0)+BN$8-1)),
""),
"")</f>
        <v/>
      </c>
      <c r="BO73" s="21" t="str">
        <f>IFERROR(
IF(COUNTIF($BI73:BN73,INDEX($J:$J,MATCH($AE73,$M:$M,0)+BO$8-1))=0,
IF(COUNTIF($M:$M,$AE73)&lt;BO$8,
"",
INDEX($J:$J,MATCH($AE73,$M:$M,0)+BO$8-1)),
""),
"")</f>
        <v>楚庄王</v>
      </c>
      <c r="BP73" s="21" t="str">
        <f>IFERROR(
IF(COUNTIF($BI73:BO73,INDEX($J:$J,MATCH($AE73,$M:$M,0)+BP$8-1))=0,
IF(COUNTIF($M:$M,$AE73)&lt;BP$8,
"",
INDEX($J:$J,MATCH($AE73,$M:$M,0)+BP$8-1)),
""),
"")</f>
        <v>勾践</v>
      </c>
      <c r="BQ73" s="21" t="str">
        <f>IFERROR(
IF(COUNTIF($BI73:BP73,INDEX($J:$J,MATCH($AE73,$M:$M,0)+BQ$8-1))=0,
IF(COUNTIF($M:$M,$AE73)&lt;BQ$8,
"",
INDEX($J:$J,MATCH($AE73,$M:$M,0)+BQ$8-1)),
""),
"")</f>
        <v>秦武王</v>
      </c>
      <c r="BS73" s="21" t="str">
        <f>IFERROR(
IF(COUNTIF($BI73:BR73,INDEX($J:$J,MATCH($AF73,$M:$M,0)+BS$8-1))=0,
IF(COUNTIF($M:$M,$AF73)&lt;BS$8,
"",
INDEX($J:$J,MATCH($AF73,$M:$M,0)+BS$8-1)),
""),
"")</f>
        <v/>
      </c>
      <c r="BT73" s="21" t="str">
        <f>IFERROR(
IF(COUNTIF($BI73:BS73,INDEX($J:$J,MATCH($AF73,$M:$M,0)+BT$8-1))=0,
IF(COUNTIF($M:$M,$AF73)&lt;BT$8,
"",
INDEX($J:$J,MATCH($AF73,$M:$M,0)+BT$8-1)),
""),
"")</f>
        <v>吕不韦</v>
      </c>
      <c r="BU73" s="21" t="str">
        <f>IFERROR(
IF(COUNTIF($BI73:BT73,INDEX($J:$J,MATCH($AF73,$M:$M,0)+BU$8-1))=0,
IF(COUNTIF($M:$M,$AF73)&lt;BU$8,
"",
INDEX($J:$J,MATCH($AF73,$M:$M,0)+BU$8-1)),
""),
"")</f>
        <v>义渠骇</v>
      </c>
      <c r="BV73" s="21" t="str">
        <f>IFERROR(
IF(COUNTIF($BI73:BU73,INDEX($J:$J,MATCH($AF73,$M:$M,0)+BV$8-1))=0,
IF(COUNTIF($M:$M,$AF73)&lt;BV$8,
"",
INDEX($J:$J,MATCH($AF73,$M:$M,0)+BV$8-1)),
""),
"")</f>
        <v>孙膑</v>
      </c>
      <c r="BX73" s="21" t="str">
        <f>IFERROR(
IF(COUNTIF($BI73:BW73,INDEX($J:$J,MATCH($AG73,$M:$M,0)+BX$8-1))=0,
IF(COUNTIF($M:$M,$AG73)&lt;BX$8,
"",
INDEX($J:$J,MATCH($AG73,$M:$M,0)+BX$8-1)),
""),
"")</f>
        <v>越女</v>
      </c>
      <c r="BY73" s="21" t="str">
        <f>IFERROR(
IF(COUNTIF($BI73:BX73,INDEX($J:$J,MATCH($AG73,$M:$M,0)+BY$8-1))=0,
IF(COUNTIF($M:$M,$AG73)&lt;BY$8,
"",
INDEX($J:$J,MATCH($AG73,$M:$M,0)+BY$8-1)),
""),
"")</f>
        <v>欧冶子</v>
      </c>
      <c r="BZ73" s="21" t="str">
        <f>IFERROR(
IF(COUNTIF($BI73:BY73,INDEX($J:$J,MATCH($AG73,$M:$M,0)+BZ$8-1))=0,
IF(COUNTIF($M:$M,$AG73)&lt;BZ$8,
"",
INDEX($J:$J,MATCH($AG73,$M:$M,0)+BZ$8-1)),
""),
"")</f>
        <v>司马错</v>
      </c>
      <c r="CA73" s="21" t="str">
        <f>IFERROR(
IF(COUNTIF($BI73:BZ73,INDEX($J:$J,MATCH($AG73,$M:$M,0)+CA$8-1))=0,
IF(COUNTIF($M:$M,$AG73)&lt;CA$8,
"",
INDEX($J:$J,MATCH($AG73,$M:$M,0)+CA$8-1)),
""),
"")</f>
        <v/>
      </c>
      <c r="CC73" s="21" t="str">
        <f>IFERROR(
IF(COUNTIF($BI73:CB73,INDEX($J:$J,MATCH($AH73,$M:$M,0)+CC$8-1))=0,
IF(COUNTIF($M:$M,$AH73)&lt;CC$8,
"",
INDEX($J:$J,MATCH($AH73,$M:$M,0)+CC$8-1)),
""),
"")</f>
        <v/>
      </c>
      <c r="CD73" s="21" t="str">
        <f>IFERROR(
IF(COUNTIF($BI73:CC73,INDEX($J:$J,MATCH($AH73,$M:$M,0)+CD$8-1))=0,
IF(COUNTIF($M:$M,$AH73)&lt;CD$8,
"",
INDEX($J:$J,MATCH($AH73,$M:$M,0)+CD$8-1)),
""),
"")</f>
        <v/>
      </c>
      <c r="CE73" s="21" t="str">
        <f>IFERROR(
IF(COUNTIF($BI73:CD73,INDEX($J:$J,MATCH($AH73,$M:$M,0)+CE$8-1))=0,
IF(COUNTIF($M:$M,$AH73)&lt;CE$8,
"",
INDEX($J:$J,MATCH($AH73,$M:$M,0)+CE$8-1)),
""),
"")</f>
        <v/>
      </c>
      <c r="CF73" s="21" t="str">
        <f>IFERROR(
IF(COUNTIF($BI73:CE73,INDEX($J:$J,MATCH($AH73,$M:$M,0)+CF$8-1))=0,
IF(COUNTIF($M:$M,$AH73)&lt;CF$8,
"",
INDEX($J:$J,MATCH($AH73,$M:$M,0)+CF$8-1)),
""),
"")</f>
        <v/>
      </c>
      <c r="CH73" s="21" t="str">
        <f>IFERROR(
IF(COUNTIF($BI73:CG73,INDEX($J:$J,MATCH($AI73,$M:$M,0)+CH$8-1))=0,
IF(COUNTIF($M:$M,$AI73)&lt;CH$8,
"",
INDEX($J:$J,MATCH($AI73,$M:$M,0)+CH$8-1)),
""),
"")</f>
        <v>曹操</v>
      </c>
      <c r="CI73" s="21" t="str">
        <f>IFERROR(
IF(COUNTIF($BI73:CH73,INDEX($J:$J,MATCH($AI73,$M:$M,0)+CI$8-1))=0,
IF(COUNTIF($M:$M,$AI73)&lt;CI$8,
"",
INDEX($J:$J,MATCH($AI73,$M:$M,0)+CI$8-1)),
""),
"")</f>
        <v>齐桓公</v>
      </c>
      <c r="CJ73" s="21" t="str">
        <f>IFERROR(
IF(COUNTIF($BI73:CI73,INDEX($J:$J,MATCH($AI73,$M:$M,0)+CJ$8-1))=0,
IF(COUNTIF($M:$M,$AI73)&lt;CJ$8,
"",
INDEX($J:$J,MATCH($AI73,$M:$M,0)+CJ$8-1)),
""),
"")</f>
        <v/>
      </c>
      <c r="CK73" s="21" t="str">
        <f>IFERROR(
IF(COUNTIF($BI73:CJ73,INDEX($J:$J,MATCH($AI73,$M:$M,0)+CK$8-1))=0,
IF(COUNTIF($M:$M,$AI73)&lt;CK$8,
"",
INDEX($J:$J,MATCH($AI73,$M:$M,0)+CK$8-1)),
""),
"")</f>
        <v/>
      </c>
      <c r="CM73" s="21" t="str">
        <f>IFERROR(
IF(COUNTIF($BI73:CL73,INDEX($J:$J,MATCH($AJ73,$M:$M,0)+CM$8-1))=0,
IF(COUNTIF($M:$M,$AJ73)&lt;CM$8,
"",
INDEX($J:$J,MATCH($AJ73,$M:$M,0)+CM$8-1)),
""),
"")</f>
        <v/>
      </c>
      <c r="CN73" s="21" t="str">
        <f>IFERROR(
IF(COUNTIF($BI73:CM73,INDEX($J:$J,MATCH($AJ73,$M:$M,0)+CN$8-1))=0,
IF(COUNTIF($M:$M,$AJ73)&lt;CN$8,
"",
INDEX($J:$J,MATCH($AJ73,$M:$M,0)+CN$8-1)),
""),
"")</f>
        <v/>
      </c>
      <c r="CO73" s="21" t="str">
        <f>IFERROR(
IF(COUNTIF($BI73:CN73,INDEX($J:$J,MATCH($AJ73,$M:$M,0)+CO$8-1))=0,
IF(COUNTIF($M:$M,$AJ73)&lt;CO$8,
"",
INDEX($J:$J,MATCH($AJ73,$M:$M,0)+CO$8-1)),
""),
"")</f>
        <v/>
      </c>
      <c r="CP73" s="21" t="str">
        <f>IFERROR(
IF(COUNTIF($BI73:CO73,INDEX($J:$J,MATCH($AJ73,$M:$M,0)+CP$8-1))=0,
IF(COUNTIF($M:$M,$AJ73)&lt;CP$8,
"",
INDEX($J:$J,MATCH($AJ73,$M:$M,0)+CP$8-1)),
""),
"")</f>
        <v/>
      </c>
      <c r="CR73" s="21" t="str">
        <f>IFERROR(
IF(COUNTIF($BI73:CQ73,INDEX($J:$J,MATCH($AK73,$M:$M,0)+CR$8-1))=0,
IF(COUNTIF($M:$M,$AK73)&lt;CR$8,
"",
INDEX($J:$J,MATCH($AK73,$M:$M,0)+CR$8-1)),
""),
"")</f>
        <v/>
      </c>
      <c r="CS73" s="21" t="str">
        <f>IFERROR(
IF(COUNTIF($BI73:CR73,INDEX($J:$J,MATCH($AK73,$M:$M,0)+CS$8-1))=0,
IF(COUNTIF($M:$M,$AK73)&lt;CS$8,
"",
INDEX($J:$J,MATCH($AK73,$M:$M,0)+CS$8-1)),
""),
"")</f>
        <v/>
      </c>
      <c r="CT73" s="21" t="str">
        <f>IFERROR(
IF(COUNTIF($BI73:CS73,INDEX($J:$J,MATCH($AK73,$M:$M,0)+CT$8-1))=0,
IF(COUNTIF($M:$M,$AK73)&lt;CT$8,
"",
INDEX($J:$J,MATCH($AK73,$M:$M,0)+CT$8-1)),
""),
"")</f>
        <v/>
      </c>
      <c r="CU73" s="21" t="str">
        <f>IFERROR(
IF(COUNTIF($BI73:CT73,INDEX($J:$J,MATCH($AK73,$M:$M,0)+CU$8-1))=0,
IF(COUNTIF($M:$M,$AK73)&lt;CU$8,
"",
INDEX($J:$J,MATCH($AK73,$M:$M,0)+CU$8-1)),
""),
"")</f>
        <v/>
      </c>
    </row>
    <row r="74" spans="3:99" ht="14.25">
      <c r="C74" s="16">
        <v>66</v>
      </c>
      <c r="D74" s="19" t="s">
        <v>95</v>
      </c>
      <c r="E74" s="20">
        <f>INDEX([1]武将基本资料!$S:$S,MATCH(D74,[1]武将基本资料!$N:$N,0))</f>
        <v>120</v>
      </c>
      <c r="F74" s="20" t="str">
        <f>INDEX([1]武将基本资料!$Q:$Q,MATCH(D74,[1]武将基本资料!$N:$N,0))</f>
        <v>橙</v>
      </c>
      <c r="H74" s="7">
        <f>IF(I74="","",COUNTA(I$9:$I74))</f>
        <v>64</v>
      </c>
      <c r="I74" s="6" t="s">
        <v>172</v>
      </c>
      <c r="J74" s="6" t="s">
        <v>112</v>
      </c>
      <c r="K74" s="8" t="str">
        <f>IF(H74="","",阶段合并区域(J74:J84," ",L74:L84,1))</f>
        <v>申不害 西门豹</v>
      </c>
      <c r="L74" s="8">
        <f>COUNTIF(M$8:$M74,"="&amp;M74)</f>
        <v>1</v>
      </c>
      <c r="M74" s="9" t="str">
        <f t="shared" ref="M74:M105" si="13">IF(H74="",M73,I74)</f>
        <v>富国强兵</v>
      </c>
      <c r="N74" s="9" t="str">
        <f t="shared" ref="N74:N105" si="14">M74&amp;L74</f>
        <v>富国强兵1</v>
      </c>
      <c r="O74" s="15">
        <f>INDEX(C:C,MATCH(J74,D:D,0))</f>
        <v>54</v>
      </c>
      <c r="P74" s="9">
        <f>INDEX(E:E,MATCH(J74,D:D,0))</f>
        <v>120</v>
      </c>
      <c r="Q74" s="7">
        <f t="shared" si="10"/>
        <v>54</v>
      </c>
      <c r="R74" s="7">
        <f>COUNTIF(J$8:$J74,"="&amp;J74)</f>
        <v>3</v>
      </c>
      <c r="S74" s="7">
        <f t="shared" si="11"/>
        <v>3054</v>
      </c>
      <c r="U74" s="7">
        <f t="shared" ref="U74:AB91" si="15">U$8*1000+$C74</f>
        <v>1066</v>
      </c>
      <c r="V74" s="7">
        <f t="shared" si="12"/>
        <v>2066</v>
      </c>
      <c r="W74" s="7">
        <f t="shared" si="12"/>
        <v>3066</v>
      </c>
      <c r="X74" s="7">
        <f t="shared" si="12"/>
        <v>4066</v>
      </c>
      <c r="Y74" s="7">
        <f t="shared" si="12"/>
        <v>5066</v>
      </c>
      <c r="Z74" s="7">
        <f t="shared" si="12"/>
        <v>6066</v>
      </c>
      <c r="AA74" s="7">
        <f t="shared" si="12"/>
        <v>7066</v>
      </c>
      <c r="AB74" s="7">
        <f t="shared" si="12"/>
        <v>8066</v>
      </c>
      <c r="AD74" s="21" t="str">
        <f>IFERROR(INDEX($M:$M,MATCH(U74,$S:$S,0)),"&amp;")</f>
        <v>&amp;</v>
      </c>
      <c r="AE74" s="21" t="str">
        <f>IFERROR(INDEX($M:$M,MATCH(V74,$S:$S,0)),"&amp;")</f>
        <v>&amp;</v>
      </c>
      <c r="AF74" s="21" t="str">
        <f>IFERROR(INDEX($M:$M,MATCH(W74,$S:$S,0)),"&amp;")</f>
        <v>&amp;</v>
      </c>
      <c r="AG74" s="21" t="str">
        <f>IFERROR(INDEX($M:$M,MATCH(X74,$S:$S,0)),"&amp;")</f>
        <v>&amp;</v>
      </c>
      <c r="AH74" s="21" t="str">
        <f>IFERROR(INDEX($M:$M,MATCH(Y74,$S:$S,0)),"&amp;")</f>
        <v>&amp;</v>
      </c>
      <c r="AI74" s="21" t="str">
        <f>IFERROR(INDEX($M:$M,MATCH(Z74,$S:$S,0)),"&amp;")</f>
        <v>&amp;</v>
      </c>
      <c r="AJ74" s="21" t="str">
        <f>IFERROR(INDEX($M:$M,MATCH(AA74,$S:$S,0)),"&amp;")</f>
        <v>&amp;</v>
      </c>
      <c r="AK74" s="21" t="str">
        <f>IFERROR(INDEX($M:$M,MATCH(AB74,$S:$S,0)),"&amp;")</f>
        <v>&amp;</v>
      </c>
      <c r="AM74" s="21" t="str">
        <f>IFERROR(INDEX($N:$N,MATCH(U74,$S:$S,0)),"&amp;")</f>
        <v>&amp;</v>
      </c>
      <c r="AN74" s="21" t="str">
        <f>IFERROR(INDEX($N:$N,MATCH(V74,$S:$S,0)),"&amp;")</f>
        <v>&amp;</v>
      </c>
      <c r="AO74" s="21" t="str">
        <f>IFERROR(INDEX($N:$N,MATCH(W74,$S:$S,0)),"&amp;")</f>
        <v>&amp;</v>
      </c>
      <c r="AP74" s="21" t="str">
        <f>IFERROR(INDEX($N:$N,MATCH(X74,$S:$S,0)),"&amp;")</f>
        <v>&amp;</v>
      </c>
      <c r="AQ74" s="21" t="str">
        <f>IFERROR(INDEX($N:$N,MATCH(Y74,$S:$S,0)),"&amp;")</f>
        <v>&amp;</v>
      </c>
      <c r="AR74" s="21" t="str">
        <f>IFERROR(INDEX($N:$N,MATCH(Z74,$S:$S,0)),"&amp;")</f>
        <v>&amp;</v>
      </c>
      <c r="AS74" s="21" t="str">
        <f>IFERROR(INDEX($N:$N,MATCH(AA74,$S:$S,0)),"&amp;")</f>
        <v>&amp;</v>
      </c>
      <c r="AT74" s="21" t="str">
        <f>IFERROR(INDEX($N:$N,MATCH(AB74,$S:$S,0)),"&amp;")</f>
        <v>&amp;</v>
      </c>
      <c r="AV74" s="21" t="str">
        <f>IFERROR(SUBSTITUTE(INDEX($K:$K,MATCH(INDEX($M:$M,MATCH(AM74,$N:$N,0)),$M:$M,0)),$D74,""),"")</f>
        <v/>
      </c>
      <c r="AW74" s="21" t="str">
        <f>IFERROR(SUBSTITUTE(INDEX($K:$K,MATCH(INDEX($M:$M,MATCH(AN74,$N:$N,0)),$M:$M,0)),$D74,""),"")</f>
        <v/>
      </c>
      <c r="AX74" s="21" t="str">
        <f>IFERROR(SUBSTITUTE(INDEX($K:$K,MATCH(INDEX($M:$M,MATCH(AO74,$N:$N,0)),$M:$M,0)),$D74,""),"")</f>
        <v/>
      </c>
      <c r="AY74" s="21" t="str">
        <f>IFERROR(SUBSTITUTE(INDEX($K:$K,MATCH(INDEX($M:$M,MATCH(AP74,$N:$N,0)),$M:$M,0)),$D74,""),"")</f>
        <v/>
      </c>
      <c r="AZ74" s="21" t="str">
        <f>IFERROR(SUBSTITUTE(INDEX($K:$K,MATCH(INDEX($M:$M,MATCH(AQ74,$N:$N,0)),$M:$M,0)),$D74,""),"")</f>
        <v/>
      </c>
      <c r="BA74" s="21" t="str">
        <f>IFERROR(SUBSTITUTE(INDEX($K:$K,MATCH(INDEX($M:$M,MATCH(AR74,$N:$N,0)),$M:$M,0)),$D74,""),"")</f>
        <v/>
      </c>
      <c r="BB74" s="21" t="str">
        <f>IFERROR(SUBSTITUTE(INDEX($K:$K,MATCH(INDEX($M:$M,MATCH(AS74,$N:$N,0)),$M:$M,0)),$D74,""),"")</f>
        <v/>
      </c>
      <c r="BC74" s="21" t="str">
        <f>IFERROR(SUBSTITUTE(INDEX($K:$K,MATCH(INDEX($M:$M,MATCH(AT74,$N:$N,0)),$M:$M,0)),$D74,""),"")</f>
        <v/>
      </c>
      <c r="BE74" s="9" t="str">
        <f t="shared" ref="BE74:BE137" si="16">合并区域(BI74:CU74,",")</f>
        <v/>
      </c>
      <c r="BI74" s="9" t="str">
        <f>IFERROR(
IF(COUNTIF($M:$M,$AD74)&lt;BI$8,
"",
INDEX($J:$J,MATCH($AD74,$M:$M,0)+BI$8-1)),
"")</f>
        <v/>
      </c>
      <c r="BJ74" s="9" t="str">
        <f>IFERROR(
IF(COUNTIF($M:$M,$AD74)&lt;BJ$8,
"",
INDEX($J:$J,MATCH($AD74,$M:$M,0)+BJ$8-1)),
"")</f>
        <v/>
      </c>
      <c r="BK74" s="9" t="str">
        <f>IFERROR(
IF(COUNTIF($M:$M,$AD74)&lt;BK$8,
"",
INDEX($J:$J,MATCH($AD74,$M:$M,0)+BK$8-1)),
"")</f>
        <v/>
      </c>
      <c r="BL74" s="9" t="str">
        <f>IFERROR(
IF(COUNTIF($M:$M,$AD74)&lt;BL$8,
"",
INDEX($J:$J,MATCH($AD74,$M:$M,0)+BL$8-1)),
"")</f>
        <v/>
      </c>
      <c r="BN74" s="21" t="str">
        <f>IFERROR(
IF(COUNTIF($BI74:BM74,INDEX($J:$J,MATCH($AE74,$M:$M,0)+BN$8-1))=0,
IF(COUNTIF($M:$M,$AE74)&lt;BN$8,
"",
INDEX($J:$J,MATCH($AE74,$M:$M,0)+BN$8-1)),
""),
"")</f>
        <v/>
      </c>
      <c r="BO74" s="21" t="str">
        <f>IFERROR(
IF(COUNTIF($BI74:BN74,INDEX($J:$J,MATCH($AE74,$M:$M,0)+BO$8-1))=0,
IF(COUNTIF($M:$M,$AE74)&lt;BO$8,
"",
INDEX($J:$J,MATCH($AE74,$M:$M,0)+BO$8-1)),
""),
"")</f>
        <v/>
      </c>
      <c r="BP74" s="21" t="str">
        <f>IFERROR(
IF(COUNTIF($BI74:BO74,INDEX($J:$J,MATCH($AE74,$M:$M,0)+BP$8-1))=0,
IF(COUNTIF($M:$M,$AE74)&lt;BP$8,
"",
INDEX($J:$J,MATCH($AE74,$M:$M,0)+BP$8-1)),
""),
"")</f>
        <v/>
      </c>
      <c r="BQ74" s="21" t="str">
        <f>IFERROR(
IF(COUNTIF($BI74:BP74,INDEX($J:$J,MATCH($AE74,$M:$M,0)+BQ$8-1))=0,
IF(COUNTIF($M:$M,$AE74)&lt;BQ$8,
"",
INDEX($J:$J,MATCH($AE74,$M:$M,0)+BQ$8-1)),
""),
"")</f>
        <v/>
      </c>
      <c r="BS74" s="21" t="str">
        <f>IFERROR(
IF(COUNTIF($BI74:BR74,INDEX($J:$J,MATCH($AF74,$M:$M,0)+BS$8-1))=0,
IF(COUNTIF($M:$M,$AF74)&lt;BS$8,
"",
INDEX($J:$J,MATCH($AF74,$M:$M,0)+BS$8-1)),
""),
"")</f>
        <v/>
      </c>
      <c r="BT74" s="21" t="str">
        <f>IFERROR(
IF(COUNTIF($BI74:BS74,INDEX($J:$J,MATCH($AF74,$M:$M,0)+BT$8-1))=0,
IF(COUNTIF($M:$M,$AF74)&lt;BT$8,
"",
INDEX($J:$J,MATCH($AF74,$M:$M,0)+BT$8-1)),
""),
"")</f>
        <v/>
      </c>
      <c r="BU74" s="21" t="str">
        <f>IFERROR(
IF(COUNTIF($BI74:BT74,INDEX($J:$J,MATCH($AF74,$M:$M,0)+BU$8-1))=0,
IF(COUNTIF($M:$M,$AF74)&lt;BU$8,
"",
INDEX($J:$J,MATCH($AF74,$M:$M,0)+BU$8-1)),
""),
"")</f>
        <v/>
      </c>
      <c r="BV74" s="21" t="str">
        <f>IFERROR(
IF(COUNTIF($BI74:BU74,INDEX($J:$J,MATCH($AF74,$M:$M,0)+BV$8-1))=0,
IF(COUNTIF($M:$M,$AF74)&lt;BV$8,
"",
INDEX($J:$J,MATCH($AF74,$M:$M,0)+BV$8-1)),
""),
"")</f>
        <v/>
      </c>
      <c r="BX74" s="21" t="str">
        <f>IFERROR(
IF(COUNTIF($BI74:BW74,INDEX($J:$J,MATCH($AG74,$M:$M,0)+BX$8-1))=0,
IF(COUNTIF($M:$M,$AG74)&lt;BX$8,
"",
INDEX($J:$J,MATCH($AG74,$M:$M,0)+BX$8-1)),
""),
"")</f>
        <v/>
      </c>
      <c r="BY74" s="21" t="str">
        <f>IFERROR(
IF(COUNTIF($BI74:BX74,INDEX($J:$J,MATCH($AG74,$M:$M,0)+BY$8-1))=0,
IF(COUNTIF($M:$M,$AG74)&lt;BY$8,
"",
INDEX($J:$J,MATCH($AG74,$M:$M,0)+BY$8-1)),
""),
"")</f>
        <v/>
      </c>
      <c r="BZ74" s="21" t="str">
        <f>IFERROR(
IF(COUNTIF($BI74:BY74,INDEX($J:$J,MATCH($AG74,$M:$M,0)+BZ$8-1))=0,
IF(COUNTIF($M:$M,$AG74)&lt;BZ$8,
"",
INDEX($J:$J,MATCH($AG74,$M:$M,0)+BZ$8-1)),
""),
"")</f>
        <v/>
      </c>
      <c r="CA74" s="21" t="str">
        <f>IFERROR(
IF(COUNTIF($BI74:BZ74,INDEX($J:$J,MATCH($AG74,$M:$M,0)+CA$8-1))=0,
IF(COUNTIF($M:$M,$AG74)&lt;CA$8,
"",
INDEX($J:$J,MATCH($AG74,$M:$M,0)+CA$8-1)),
""),
"")</f>
        <v/>
      </c>
      <c r="CC74" s="21" t="str">
        <f>IFERROR(
IF(COUNTIF($BI74:CB74,INDEX($J:$J,MATCH($AH74,$M:$M,0)+CC$8-1))=0,
IF(COUNTIF($M:$M,$AH74)&lt;CC$8,
"",
INDEX($J:$J,MATCH($AH74,$M:$M,0)+CC$8-1)),
""),
"")</f>
        <v/>
      </c>
      <c r="CD74" s="21" t="str">
        <f>IFERROR(
IF(COUNTIF($BI74:CC74,INDEX($J:$J,MATCH($AH74,$M:$M,0)+CD$8-1))=0,
IF(COUNTIF($M:$M,$AH74)&lt;CD$8,
"",
INDEX($J:$J,MATCH($AH74,$M:$M,0)+CD$8-1)),
""),
"")</f>
        <v/>
      </c>
      <c r="CE74" s="21" t="str">
        <f>IFERROR(
IF(COUNTIF($BI74:CD74,INDEX($J:$J,MATCH($AH74,$M:$M,0)+CE$8-1))=0,
IF(COUNTIF($M:$M,$AH74)&lt;CE$8,
"",
INDEX($J:$J,MATCH($AH74,$M:$M,0)+CE$8-1)),
""),
"")</f>
        <v/>
      </c>
      <c r="CF74" s="21" t="str">
        <f>IFERROR(
IF(COUNTIF($BI74:CE74,INDEX($J:$J,MATCH($AH74,$M:$M,0)+CF$8-1))=0,
IF(COUNTIF($M:$M,$AH74)&lt;CF$8,
"",
INDEX($J:$J,MATCH($AH74,$M:$M,0)+CF$8-1)),
""),
"")</f>
        <v/>
      </c>
      <c r="CH74" s="21" t="str">
        <f>IFERROR(
IF(COUNTIF($BI74:CG74,INDEX($J:$J,MATCH($AI74,$M:$M,0)+CH$8-1))=0,
IF(COUNTIF($M:$M,$AI74)&lt;CH$8,
"",
INDEX($J:$J,MATCH($AI74,$M:$M,0)+CH$8-1)),
""),
"")</f>
        <v/>
      </c>
      <c r="CI74" s="21" t="str">
        <f>IFERROR(
IF(COUNTIF($BI74:CH74,INDEX($J:$J,MATCH($AI74,$M:$M,0)+CI$8-1))=0,
IF(COUNTIF($M:$M,$AI74)&lt;CI$8,
"",
INDEX($J:$J,MATCH($AI74,$M:$M,0)+CI$8-1)),
""),
"")</f>
        <v/>
      </c>
      <c r="CJ74" s="21" t="str">
        <f>IFERROR(
IF(COUNTIF($BI74:CI74,INDEX($J:$J,MATCH($AI74,$M:$M,0)+CJ$8-1))=0,
IF(COUNTIF($M:$M,$AI74)&lt;CJ$8,
"",
INDEX($J:$J,MATCH($AI74,$M:$M,0)+CJ$8-1)),
""),
"")</f>
        <v/>
      </c>
      <c r="CK74" s="21" t="str">
        <f>IFERROR(
IF(COUNTIF($BI74:CJ74,INDEX($J:$J,MATCH($AI74,$M:$M,0)+CK$8-1))=0,
IF(COUNTIF($M:$M,$AI74)&lt;CK$8,
"",
INDEX($J:$J,MATCH($AI74,$M:$M,0)+CK$8-1)),
""),
"")</f>
        <v/>
      </c>
      <c r="CM74" s="21" t="str">
        <f>IFERROR(
IF(COUNTIF($BI74:CL74,INDEX($J:$J,MATCH($AJ74,$M:$M,0)+CM$8-1))=0,
IF(COUNTIF($M:$M,$AJ74)&lt;CM$8,
"",
INDEX($J:$J,MATCH($AJ74,$M:$M,0)+CM$8-1)),
""),
"")</f>
        <v/>
      </c>
      <c r="CN74" s="21" t="str">
        <f>IFERROR(
IF(COUNTIF($BI74:CM74,INDEX($J:$J,MATCH($AJ74,$M:$M,0)+CN$8-1))=0,
IF(COUNTIF($M:$M,$AJ74)&lt;CN$8,
"",
INDEX($J:$J,MATCH($AJ74,$M:$M,0)+CN$8-1)),
""),
"")</f>
        <v/>
      </c>
      <c r="CO74" s="21" t="str">
        <f>IFERROR(
IF(COUNTIF($BI74:CN74,INDEX($J:$J,MATCH($AJ74,$M:$M,0)+CO$8-1))=0,
IF(COUNTIF($M:$M,$AJ74)&lt;CO$8,
"",
INDEX($J:$J,MATCH($AJ74,$M:$M,0)+CO$8-1)),
""),
"")</f>
        <v/>
      </c>
      <c r="CP74" s="21" t="str">
        <f>IFERROR(
IF(COUNTIF($BI74:CO74,INDEX($J:$J,MATCH($AJ74,$M:$M,0)+CP$8-1))=0,
IF(COUNTIF($M:$M,$AJ74)&lt;CP$8,
"",
INDEX($J:$J,MATCH($AJ74,$M:$M,0)+CP$8-1)),
""),
"")</f>
        <v/>
      </c>
      <c r="CR74" s="21" t="str">
        <f>IFERROR(
IF(COUNTIF($BI74:CQ74,INDEX($J:$J,MATCH($AK74,$M:$M,0)+CR$8-1))=0,
IF(COUNTIF($M:$M,$AK74)&lt;CR$8,
"",
INDEX($J:$J,MATCH($AK74,$M:$M,0)+CR$8-1)),
""),
"")</f>
        <v/>
      </c>
      <c r="CS74" s="21" t="str">
        <f>IFERROR(
IF(COUNTIF($BI74:CR74,INDEX($J:$J,MATCH($AK74,$M:$M,0)+CS$8-1))=0,
IF(COUNTIF($M:$M,$AK74)&lt;CS$8,
"",
INDEX($J:$J,MATCH($AK74,$M:$M,0)+CS$8-1)),
""),
"")</f>
        <v/>
      </c>
      <c r="CT74" s="21" t="str">
        <f>IFERROR(
IF(COUNTIF($BI74:CS74,INDEX($J:$J,MATCH($AK74,$M:$M,0)+CT$8-1))=0,
IF(COUNTIF($M:$M,$AK74)&lt;CT$8,
"",
INDEX($J:$J,MATCH($AK74,$M:$M,0)+CT$8-1)),
""),
"")</f>
        <v/>
      </c>
      <c r="CU74" s="21" t="str">
        <f>IFERROR(
IF(COUNTIF($BI74:CT74,INDEX($J:$J,MATCH($AK74,$M:$M,0)+CU$8-1))=0,
IF(COUNTIF($M:$M,$AK74)&lt;CU$8,
"",
INDEX($J:$J,MATCH($AK74,$M:$M,0)+CU$8-1)),
""),
"")</f>
        <v/>
      </c>
    </row>
    <row r="75" spans="3:99" ht="14.25">
      <c r="C75" s="16">
        <v>67</v>
      </c>
      <c r="D75" s="19" t="s">
        <v>91</v>
      </c>
      <c r="E75" s="20">
        <f>INDEX([1]武将基本资料!$S:$S,MATCH(D75,[1]武将基本资料!$N:$N,0))</f>
        <v>130</v>
      </c>
      <c r="F75" s="20" t="str">
        <f>INDEX([1]武将基本资料!$Q:$Q,MATCH(D75,[1]武将基本资料!$N:$N,0))</f>
        <v>橙+</v>
      </c>
      <c r="H75" s="7" t="str">
        <f>IF(I75="","",COUNTA(I$9:$I75))</f>
        <v/>
      </c>
      <c r="I75" s="6" t="s">
        <v>188</v>
      </c>
      <c r="J75" s="6" t="s">
        <v>77</v>
      </c>
      <c r="K75" s="8" t="str">
        <f>IF(H75="","",阶段合并区域(J75:J85," ",L75:L85,1))</f>
        <v/>
      </c>
      <c r="L75" s="8">
        <f>COUNTIF(M$8:$M75,"="&amp;M75)</f>
        <v>2</v>
      </c>
      <c r="M75" s="9" t="str">
        <f t="shared" si="13"/>
        <v>富国强兵</v>
      </c>
      <c r="N75" s="9" t="str">
        <f t="shared" si="14"/>
        <v>富国强兵2</v>
      </c>
      <c r="O75" s="15">
        <f>INDEX(C:C,MATCH(J75,D:D,0))</f>
        <v>51</v>
      </c>
      <c r="P75" s="9">
        <f>INDEX(E:E,MATCH(J75,D:D,0))</f>
        <v>110</v>
      </c>
      <c r="Q75" s="7">
        <f t="shared" si="10"/>
        <v>51</v>
      </c>
      <c r="R75" s="7">
        <f>COUNTIF(J$8:$J75,"="&amp;J75)</f>
        <v>2</v>
      </c>
      <c r="S75" s="7">
        <f t="shared" si="11"/>
        <v>2051</v>
      </c>
      <c r="U75" s="7">
        <f t="shared" si="15"/>
        <v>1067</v>
      </c>
      <c r="V75" s="7">
        <f t="shared" si="12"/>
        <v>2067</v>
      </c>
      <c r="W75" s="7">
        <f t="shared" si="12"/>
        <v>3067</v>
      </c>
      <c r="X75" s="7">
        <f t="shared" si="12"/>
        <v>4067</v>
      </c>
      <c r="Y75" s="7">
        <f t="shared" si="12"/>
        <v>5067</v>
      </c>
      <c r="Z75" s="7">
        <f t="shared" si="12"/>
        <v>6067</v>
      </c>
      <c r="AA75" s="7">
        <f t="shared" si="12"/>
        <v>7067</v>
      </c>
      <c r="AB75" s="7">
        <f t="shared" si="12"/>
        <v>8067</v>
      </c>
      <c r="AD75" s="21" t="str">
        <f>IFERROR(INDEX($M:$M,MATCH(U75,$S:$S,0)),"&amp;")</f>
        <v>&amp;</v>
      </c>
      <c r="AE75" s="21" t="str">
        <f>IFERROR(INDEX($M:$M,MATCH(V75,$S:$S,0)),"&amp;")</f>
        <v>&amp;</v>
      </c>
      <c r="AF75" s="21" t="str">
        <f>IFERROR(INDEX($M:$M,MATCH(W75,$S:$S,0)),"&amp;")</f>
        <v>&amp;</v>
      </c>
      <c r="AG75" s="21" t="str">
        <f>IFERROR(INDEX($M:$M,MATCH(X75,$S:$S,0)),"&amp;")</f>
        <v>&amp;</v>
      </c>
      <c r="AH75" s="21" t="str">
        <f>IFERROR(INDEX($M:$M,MATCH(Y75,$S:$S,0)),"&amp;")</f>
        <v>&amp;</v>
      </c>
      <c r="AI75" s="21" t="str">
        <f>IFERROR(INDEX($M:$M,MATCH(Z75,$S:$S,0)),"&amp;")</f>
        <v>&amp;</v>
      </c>
      <c r="AJ75" s="21" t="str">
        <f>IFERROR(INDEX($M:$M,MATCH(AA75,$S:$S,0)),"&amp;")</f>
        <v>&amp;</v>
      </c>
      <c r="AK75" s="21" t="str">
        <f>IFERROR(INDEX($M:$M,MATCH(AB75,$S:$S,0)),"&amp;")</f>
        <v>&amp;</v>
      </c>
      <c r="AM75" s="21" t="str">
        <f>IFERROR(INDEX($N:$N,MATCH(U75,$S:$S,0)),"&amp;")</f>
        <v>&amp;</v>
      </c>
      <c r="AN75" s="21" t="str">
        <f>IFERROR(INDEX($N:$N,MATCH(V75,$S:$S,0)),"&amp;")</f>
        <v>&amp;</v>
      </c>
      <c r="AO75" s="21" t="str">
        <f>IFERROR(INDEX($N:$N,MATCH(W75,$S:$S,0)),"&amp;")</f>
        <v>&amp;</v>
      </c>
      <c r="AP75" s="21" t="str">
        <f>IFERROR(INDEX($N:$N,MATCH(X75,$S:$S,0)),"&amp;")</f>
        <v>&amp;</v>
      </c>
      <c r="AQ75" s="21" t="str">
        <f>IFERROR(INDEX($N:$N,MATCH(Y75,$S:$S,0)),"&amp;")</f>
        <v>&amp;</v>
      </c>
      <c r="AR75" s="21" t="str">
        <f>IFERROR(INDEX($N:$N,MATCH(Z75,$S:$S,0)),"&amp;")</f>
        <v>&amp;</v>
      </c>
      <c r="AS75" s="21" t="str">
        <f>IFERROR(INDEX($N:$N,MATCH(AA75,$S:$S,0)),"&amp;")</f>
        <v>&amp;</v>
      </c>
      <c r="AT75" s="21" t="str">
        <f>IFERROR(INDEX($N:$N,MATCH(AB75,$S:$S,0)),"&amp;")</f>
        <v>&amp;</v>
      </c>
      <c r="AV75" s="21" t="str">
        <f>IFERROR(SUBSTITUTE(INDEX($K:$K,MATCH(INDEX($M:$M,MATCH(AM75,$N:$N,0)),$M:$M,0)),$D75,""),"")</f>
        <v/>
      </c>
      <c r="AW75" s="21" t="str">
        <f>IFERROR(SUBSTITUTE(INDEX($K:$K,MATCH(INDEX($M:$M,MATCH(AN75,$N:$N,0)),$M:$M,0)),$D75,""),"")</f>
        <v/>
      </c>
      <c r="AX75" s="21" t="str">
        <f>IFERROR(SUBSTITUTE(INDEX($K:$K,MATCH(INDEX($M:$M,MATCH(AO75,$N:$N,0)),$M:$M,0)),$D75,""),"")</f>
        <v/>
      </c>
      <c r="AY75" s="21" t="str">
        <f>IFERROR(SUBSTITUTE(INDEX($K:$K,MATCH(INDEX($M:$M,MATCH(AP75,$N:$N,0)),$M:$M,0)),$D75,""),"")</f>
        <v/>
      </c>
      <c r="AZ75" s="21" t="str">
        <f>IFERROR(SUBSTITUTE(INDEX($K:$K,MATCH(INDEX($M:$M,MATCH(AQ75,$N:$N,0)),$M:$M,0)),$D75,""),"")</f>
        <v/>
      </c>
      <c r="BA75" s="21" t="str">
        <f>IFERROR(SUBSTITUTE(INDEX($K:$K,MATCH(INDEX($M:$M,MATCH(AR75,$N:$N,0)),$M:$M,0)),$D75,""),"")</f>
        <v/>
      </c>
      <c r="BB75" s="21" t="str">
        <f>IFERROR(SUBSTITUTE(INDEX($K:$K,MATCH(INDEX($M:$M,MATCH(AS75,$N:$N,0)),$M:$M,0)),$D75,""),"")</f>
        <v/>
      </c>
      <c r="BC75" s="21" t="str">
        <f>IFERROR(SUBSTITUTE(INDEX($K:$K,MATCH(INDEX($M:$M,MATCH(AT75,$N:$N,0)),$M:$M,0)),$D75,""),"")</f>
        <v/>
      </c>
      <c r="BE75" s="9" t="str">
        <f t="shared" si="16"/>
        <v/>
      </c>
      <c r="BI75" s="9" t="str">
        <f>IFERROR(
IF(COUNTIF($M:$M,$AD75)&lt;BI$8,
"",
INDEX($J:$J,MATCH($AD75,$M:$M,0)+BI$8-1)),
"")</f>
        <v/>
      </c>
      <c r="BJ75" s="9" t="str">
        <f>IFERROR(
IF(COUNTIF($M:$M,$AD75)&lt;BJ$8,
"",
INDEX($J:$J,MATCH($AD75,$M:$M,0)+BJ$8-1)),
"")</f>
        <v/>
      </c>
      <c r="BK75" s="9" t="str">
        <f>IFERROR(
IF(COUNTIF($M:$M,$AD75)&lt;BK$8,
"",
INDEX($J:$J,MATCH($AD75,$M:$M,0)+BK$8-1)),
"")</f>
        <v/>
      </c>
      <c r="BL75" s="9" t="str">
        <f>IFERROR(
IF(COUNTIF($M:$M,$AD75)&lt;BL$8,
"",
INDEX($J:$J,MATCH($AD75,$M:$M,0)+BL$8-1)),
"")</f>
        <v/>
      </c>
      <c r="BN75" s="21" t="str">
        <f>IFERROR(
IF(COUNTIF($BI75:BM75,INDEX($J:$J,MATCH($AE75,$M:$M,0)+BN$8-1))=0,
IF(COUNTIF($M:$M,$AE75)&lt;BN$8,
"",
INDEX($J:$J,MATCH($AE75,$M:$M,0)+BN$8-1)),
""),
"")</f>
        <v/>
      </c>
      <c r="BO75" s="21" t="str">
        <f>IFERROR(
IF(COUNTIF($BI75:BN75,INDEX($J:$J,MATCH($AE75,$M:$M,0)+BO$8-1))=0,
IF(COUNTIF($M:$M,$AE75)&lt;BO$8,
"",
INDEX($J:$J,MATCH($AE75,$M:$M,0)+BO$8-1)),
""),
"")</f>
        <v/>
      </c>
      <c r="BP75" s="21" t="str">
        <f>IFERROR(
IF(COUNTIF($BI75:BO75,INDEX($J:$J,MATCH($AE75,$M:$M,0)+BP$8-1))=0,
IF(COUNTIF($M:$M,$AE75)&lt;BP$8,
"",
INDEX($J:$J,MATCH($AE75,$M:$M,0)+BP$8-1)),
""),
"")</f>
        <v/>
      </c>
      <c r="BQ75" s="21" t="str">
        <f>IFERROR(
IF(COUNTIF($BI75:BP75,INDEX($J:$J,MATCH($AE75,$M:$M,0)+BQ$8-1))=0,
IF(COUNTIF($M:$M,$AE75)&lt;BQ$8,
"",
INDEX($J:$J,MATCH($AE75,$M:$M,0)+BQ$8-1)),
""),
"")</f>
        <v/>
      </c>
      <c r="BS75" s="21" t="str">
        <f>IFERROR(
IF(COUNTIF($BI75:BR75,INDEX($J:$J,MATCH($AF75,$M:$M,0)+BS$8-1))=0,
IF(COUNTIF($M:$M,$AF75)&lt;BS$8,
"",
INDEX($J:$J,MATCH($AF75,$M:$M,0)+BS$8-1)),
""),
"")</f>
        <v/>
      </c>
      <c r="BT75" s="21" t="str">
        <f>IFERROR(
IF(COUNTIF($BI75:BS75,INDEX($J:$J,MATCH($AF75,$M:$M,0)+BT$8-1))=0,
IF(COUNTIF($M:$M,$AF75)&lt;BT$8,
"",
INDEX($J:$J,MATCH($AF75,$M:$M,0)+BT$8-1)),
""),
"")</f>
        <v/>
      </c>
      <c r="BU75" s="21" t="str">
        <f>IFERROR(
IF(COUNTIF($BI75:BT75,INDEX($J:$J,MATCH($AF75,$M:$M,0)+BU$8-1))=0,
IF(COUNTIF($M:$M,$AF75)&lt;BU$8,
"",
INDEX($J:$J,MATCH($AF75,$M:$M,0)+BU$8-1)),
""),
"")</f>
        <v/>
      </c>
      <c r="BV75" s="21" t="str">
        <f>IFERROR(
IF(COUNTIF($BI75:BU75,INDEX($J:$J,MATCH($AF75,$M:$M,0)+BV$8-1))=0,
IF(COUNTIF($M:$M,$AF75)&lt;BV$8,
"",
INDEX($J:$J,MATCH($AF75,$M:$M,0)+BV$8-1)),
""),
"")</f>
        <v/>
      </c>
      <c r="BX75" s="21" t="str">
        <f>IFERROR(
IF(COUNTIF($BI75:BW75,INDEX($J:$J,MATCH($AG75,$M:$M,0)+BX$8-1))=0,
IF(COUNTIF($M:$M,$AG75)&lt;BX$8,
"",
INDEX($J:$J,MATCH($AG75,$M:$M,0)+BX$8-1)),
""),
"")</f>
        <v/>
      </c>
      <c r="BY75" s="21" t="str">
        <f>IFERROR(
IF(COUNTIF($BI75:BX75,INDEX($J:$J,MATCH($AG75,$M:$M,0)+BY$8-1))=0,
IF(COUNTIF($M:$M,$AG75)&lt;BY$8,
"",
INDEX($J:$J,MATCH($AG75,$M:$M,0)+BY$8-1)),
""),
"")</f>
        <v/>
      </c>
      <c r="BZ75" s="21" t="str">
        <f>IFERROR(
IF(COUNTIF($BI75:BY75,INDEX($J:$J,MATCH($AG75,$M:$M,0)+BZ$8-1))=0,
IF(COUNTIF($M:$M,$AG75)&lt;BZ$8,
"",
INDEX($J:$J,MATCH($AG75,$M:$M,0)+BZ$8-1)),
""),
"")</f>
        <v/>
      </c>
      <c r="CA75" s="21" t="str">
        <f>IFERROR(
IF(COUNTIF($BI75:BZ75,INDEX($J:$J,MATCH($AG75,$M:$M,0)+CA$8-1))=0,
IF(COUNTIF($M:$M,$AG75)&lt;CA$8,
"",
INDEX($J:$J,MATCH($AG75,$M:$M,0)+CA$8-1)),
""),
"")</f>
        <v/>
      </c>
      <c r="CC75" s="21" t="str">
        <f>IFERROR(
IF(COUNTIF($BI75:CB75,INDEX($J:$J,MATCH($AH75,$M:$M,0)+CC$8-1))=0,
IF(COUNTIF($M:$M,$AH75)&lt;CC$8,
"",
INDEX($J:$J,MATCH($AH75,$M:$M,0)+CC$8-1)),
""),
"")</f>
        <v/>
      </c>
      <c r="CD75" s="21" t="str">
        <f>IFERROR(
IF(COUNTIF($BI75:CC75,INDEX($J:$J,MATCH($AH75,$M:$M,0)+CD$8-1))=0,
IF(COUNTIF($M:$M,$AH75)&lt;CD$8,
"",
INDEX($J:$J,MATCH($AH75,$M:$M,0)+CD$8-1)),
""),
"")</f>
        <v/>
      </c>
      <c r="CE75" s="21" t="str">
        <f>IFERROR(
IF(COUNTIF($BI75:CD75,INDEX($J:$J,MATCH($AH75,$M:$M,0)+CE$8-1))=0,
IF(COUNTIF($M:$M,$AH75)&lt;CE$8,
"",
INDEX($J:$J,MATCH($AH75,$M:$M,0)+CE$8-1)),
""),
"")</f>
        <v/>
      </c>
      <c r="CF75" s="21" t="str">
        <f>IFERROR(
IF(COUNTIF($BI75:CE75,INDEX($J:$J,MATCH($AH75,$M:$M,0)+CF$8-1))=0,
IF(COUNTIF($M:$M,$AH75)&lt;CF$8,
"",
INDEX($J:$J,MATCH($AH75,$M:$M,0)+CF$8-1)),
""),
"")</f>
        <v/>
      </c>
      <c r="CH75" s="21" t="str">
        <f>IFERROR(
IF(COUNTIF($BI75:CG75,INDEX($J:$J,MATCH($AI75,$M:$M,0)+CH$8-1))=0,
IF(COUNTIF($M:$M,$AI75)&lt;CH$8,
"",
INDEX($J:$J,MATCH($AI75,$M:$M,0)+CH$8-1)),
""),
"")</f>
        <v/>
      </c>
      <c r="CI75" s="21" t="str">
        <f>IFERROR(
IF(COUNTIF($BI75:CH75,INDEX($J:$J,MATCH($AI75,$M:$M,0)+CI$8-1))=0,
IF(COUNTIF($M:$M,$AI75)&lt;CI$8,
"",
INDEX($J:$J,MATCH($AI75,$M:$M,0)+CI$8-1)),
""),
"")</f>
        <v/>
      </c>
      <c r="CJ75" s="21" t="str">
        <f>IFERROR(
IF(COUNTIF($BI75:CI75,INDEX($J:$J,MATCH($AI75,$M:$M,0)+CJ$8-1))=0,
IF(COUNTIF($M:$M,$AI75)&lt;CJ$8,
"",
INDEX($J:$J,MATCH($AI75,$M:$M,0)+CJ$8-1)),
""),
"")</f>
        <v/>
      </c>
      <c r="CK75" s="21" t="str">
        <f>IFERROR(
IF(COUNTIF($BI75:CJ75,INDEX($J:$J,MATCH($AI75,$M:$M,0)+CK$8-1))=0,
IF(COUNTIF($M:$M,$AI75)&lt;CK$8,
"",
INDEX($J:$J,MATCH($AI75,$M:$M,0)+CK$8-1)),
""),
"")</f>
        <v/>
      </c>
      <c r="CM75" s="21" t="str">
        <f>IFERROR(
IF(COUNTIF($BI75:CL75,INDEX($J:$J,MATCH($AJ75,$M:$M,0)+CM$8-1))=0,
IF(COUNTIF($M:$M,$AJ75)&lt;CM$8,
"",
INDEX($J:$J,MATCH($AJ75,$M:$M,0)+CM$8-1)),
""),
"")</f>
        <v/>
      </c>
      <c r="CN75" s="21" t="str">
        <f>IFERROR(
IF(COUNTIF($BI75:CM75,INDEX($J:$J,MATCH($AJ75,$M:$M,0)+CN$8-1))=0,
IF(COUNTIF($M:$M,$AJ75)&lt;CN$8,
"",
INDEX($J:$J,MATCH($AJ75,$M:$M,0)+CN$8-1)),
""),
"")</f>
        <v/>
      </c>
      <c r="CO75" s="21" t="str">
        <f>IFERROR(
IF(COUNTIF($BI75:CN75,INDEX($J:$J,MATCH($AJ75,$M:$M,0)+CO$8-1))=0,
IF(COUNTIF($M:$M,$AJ75)&lt;CO$8,
"",
INDEX($J:$J,MATCH($AJ75,$M:$M,0)+CO$8-1)),
""),
"")</f>
        <v/>
      </c>
      <c r="CP75" s="21" t="str">
        <f>IFERROR(
IF(COUNTIF($BI75:CO75,INDEX($J:$J,MATCH($AJ75,$M:$M,0)+CP$8-1))=0,
IF(COUNTIF($M:$M,$AJ75)&lt;CP$8,
"",
INDEX($J:$J,MATCH($AJ75,$M:$M,0)+CP$8-1)),
""),
"")</f>
        <v/>
      </c>
      <c r="CR75" s="21" t="str">
        <f>IFERROR(
IF(COUNTIF($BI75:CQ75,INDEX($J:$J,MATCH($AK75,$M:$M,0)+CR$8-1))=0,
IF(COUNTIF($M:$M,$AK75)&lt;CR$8,
"",
INDEX($J:$J,MATCH($AK75,$M:$M,0)+CR$8-1)),
""),
"")</f>
        <v/>
      </c>
      <c r="CS75" s="21" t="str">
        <f>IFERROR(
IF(COUNTIF($BI75:CR75,INDEX($J:$J,MATCH($AK75,$M:$M,0)+CS$8-1))=0,
IF(COUNTIF($M:$M,$AK75)&lt;CS$8,
"",
INDEX($J:$J,MATCH($AK75,$M:$M,0)+CS$8-1)),
""),
"")</f>
        <v/>
      </c>
      <c r="CT75" s="21" t="str">
        <f>IFERROR(
IF(COUNTIF($BI75:CS75,INDEX($J:$J,MATCH($AK75,$M:$M,0)+CT$8-1))=0,
IF(COUNTIF($M:$M,$AK75)&lt;CT$8,
"",
INDEX($J:$J,MATCH($AK75,$M:$M,0)+CT$8-1)),
""),
"")</f>
        <v/>
      </c>
      <c r="CU75" s="21" t="str">
        <f>IFERROR(
IF(COUNTIF($BI75:CT75,INDEX($J:$J,MATCH($AK75,$M:$M,0)+CU$8-1))=0,
IF(COUNTIF($M:$M,$AK75)&lt;CU$8,
"",
INDEX($J:$J,MATCH($AK75,$M:$M,0)+CU$8-1)),
""),
"")</f>
        <v/>
      </c>
    </row>
    <row r="76" spans="3:99" ht="14.25">
      <c r="C76" s="16">
        <v>68</v>
      </c>
      <c r="D76" s="19" t="s">
        <v>88</v>
      </c>
      <c r="E76" s="20">
        <f>INDEX([1]武将基本资料!$S:$S,MATCH(D76,[1]武将基本资料!$N:$N,0))</f>
        <v>130</v>
      </c>
      <c r="F76" s="20" t="str">
        <f>INDEX([1]武将基本资料!$Q:$Q,MATCH(D76,[1]武将基本资料!$N:$N,0))</f>
        <v>橙+</v>
      </c>
      <c r="H76" s="7">
        <f>IF(I76="","",COUNTA(I$9:$I76))</f>
        <v>66</v>
      </c>
      <c r="I76" s="6" t="s">
        <v>152</v>
      </c>
      <c r="J76" s="6" t="s">
        <v>200</v>
      </c>
      <c r="K76" s="8" t="str">
        <f>IF(H76="","",阶段合并区域(J76:J86," ",L76:L86,1))</f>
        <v>春申君 庞涓 义渠骇</v>
      </c>
      <c r="L76" s="8">
        <f>COUNTIF(M$8:$M76,"="&amp;M76)</f>
        <v>1</v>
      </c>
      <c r="M76" s="9" t="str">
        <f t="shared" si="13"/>
        <v>穷兵黩武</v>
      </c>
      <c r="N76" s="9" t="str">
        <f t="shared" si="14"/>
        <v>穷兵黩武1</v>
      </c>
      <c r="O76" s="15">
        <f>INDEX(C:C,MATCH(J76,D:D,0))</f>
        <v>42</v>
      </c>
      <c r="P76" s="9">
        <f>INDEX(E:E,MATCH(J76,D:D,0))</f>
        <v>110</v>
      </c>
      <c r="Q76" s="7">
        <f t="shared" si="10"/>
        <v>42</v>
      </c>
      <c r="R76" s="7">
        <f>COUNTIF(J$8:$J76,"="&amp;J76)</f>
        <v>1</v>
      </c>
      <c r="S76" s="7">
        <f t="shared" si="11"/>
        <v>1042</v>
      </c>
      <c r="U76" s="7">
        <f t="shared" si="15"/>
        <v>1068</v>
      </c>
      <c r="V76" s="7">
        <f t="shared" si="12"/>
        <v>2068</v>
      </c>
      <c r="W76" s="7">
        <f t="shared" si="12"/>
        <v>3068</v>
      </c>
      <c r="X76" s="7">
        <f t="shared" si="12"/>
        <v>4068</v>
      </c>
      <c r="Y76" s="7">
        <f t="shared" si="12"/>
        <v>5068</v>
      </c>
      <c r="Z76" s="7">
        <f t="shared" si="12"/>
        <v>6068</v>
      </c>
      <c r="AA76" s="7">
        <f t="shared" si="12"/>
        <v>7068</v>
      </c>
      <c r="AB76" s="7">
        <f t="shared" si="12"/>
        <v>8068</v>
      </c>
      <c r="AD76" s="21" t="str">
        <f>IFERROR(INDEX($M:$M,MATCH(U76,$S:$S,0)),"&amp;")</f>
        <v>&amp;</v>
      </c>
      <c r="AE76" s="21" t="str">
        <f>IFERROR(INDEX($M:$M,MATCH(V76,$S:$S,0)),"&amp;")</f>
        <v>&amp;</v>
      </c>
      <c r="AF76" s="21" t="str">
        <f>IFERROR(INDEX($M:$M,MATCH(W76,$S:$S,0)),"&amp;")</f>
        <v>&amp;</v>
      </c>
      <c r="AG76" s="21" t="str">
        <f>IFERROR(INDEX($M:$M,MATCH(X76,$S:$S,0)),"&amp;")</f>
        <v>&amp;</v>
      </c>
      <c r="AH76" s="21" t="str">
        <f>IFERROR(INDEX($M:$M,MATCH(Y76,$S:$S,0)),"&amp;")</f>
        <v>&amp;</v>
      </c>
      <c r="AI76" s="21" t="str">
        <f>IFERROR(INDEX($M:$M,MATCH(Z76,$S:$S,0)),"&amp;")</f>
        <v>&amp;</v>
      </c>
      <c r="AJ76" s="21" t="str">
        <f>IFERROR(INDEX($M:$M,MATCH(AA76,$S:$S,0)),"&amp;")</f>
        <v>&amp;</v>
      </c>
      <c r="AK76" s="21" t="str">
        <f>IFERROR(INDEX($M:$M,MATCH(AB76,$S:$S,0)),"&amp;")</f>
        <v>&amp;</v>
      </c>
      <c r="AM76" s="21" t="str">
        <f>IFERROR(INDEX($N:$N,MATCH(U76,$S:$S,0)),"&amp;")</f>
        <v>&amp;</v>
      </c>
      <c r="AN76" s="21" t="str">
        <f>IFERROR(INDEX($N:$N,MATCH(V76,$S:$S,0)),"&amp;")</f>
        <v>&amp;</v>
      </c>
      <c r="AO76" s="21" t="str">
        <f>IFERROR(INDEX($N:$N,MATCH(W76,$S:$S,0)),"&amp;")</f>
        <v>&amp;</v>
      </c>
      <c r="AP76" s="21" t="str">
        <f>IFERROR(INDEX($N:$N,MATCH(X76,$S:$S,0)),"&amp;")</f>
        <v>&amp;</v>
      </c>
      <c r="AQ76" s="21" t="str">
        <f>IFERROR(INDEX($N:$N,MATCH(Y76,$S:$S,0)),"&amp;")</f>
        <v>&amp;</v>
      </c>
      <c r="AR76" s="21" t="str">
        <f>IFERROR(INDEX($N:$N,MATCH(Z76,$S:$S,0)),"&amp;")</f>
        <v>&amp;</v>
      </c>
      <c r="AS76" s="21" t="str">
        <f>IFERROR(INDEX($N:$N,MATCH(AA76,$S:$S,0)),"&amp;")</f>
        <v>&amp;</v>
      </c>
      <c r="AT76" s="21" t="str">
        <f>IFERROR(INDEX($N:$N,MATCH(AB76,$S:$S,0)),"&amp;")</f>
        <v>&amp;</v>
      </c>
      <c r="AV76" s="21" t="str">
        <f>IFERROR(SUBSTITUTE(INDEX($K:$K,MATCH(INDEX($M:$M,MATCH(AM76,$N:$N,0)),$M:$M,0)),$D76,""),"")</f>
        <v/>
      </c>
      <c r="AW76" s="21" t="str">
        <f>IFERROR(SUBSTITUTE(INDEX($K:$K,MATCH(INDEX($M:$M,MATCH(AN76,$N:$N,0)),$M:$M,0)),$D76,""),"")</f>
        <v/>
      </c>
      <c r="AX76" s="21" t="str">
        <f>IFERROR(SUBSTITUTE(INDEX($K:$K,MATCH(INDEX($M:$M,MATCH(AO76,$N:$N,0)),$M:$M,0)),$D76,""),"")</f>
        <v/>
      </c>
      <c r="AY76" s="21" t="str">
        <f>IFERROR(SUBSTITUTE(INDEX($K:$K,MATCH(INDEX($M:$M,MATCH(AP76,$N:$N,0)),$M:$M,0)),$D76,""),"")</f>
        <v/>
      </c>
      <c r="AZ76" s="21" t="str">
        <f>IFERROR(SUBSTITUTE(INDEX($K:$K,MATCH(INDEX($M:$M,MATCH(AQ76,$N:$N,0)),$M:$M,0)),$D76,""),"")</f>
        <v/>
      </c>
      <c r="BA76" s="21" t="str">
        <f>IFERROR(SUBSTITUTE(INDEX($K:$K,MATCH(INDEX($M:$M,MATCH(AR76,$N:$N,0)),$M:$M,0)),$D76,""),"")</f>
        <v/>
      </c>
      <c r="BB76" s="21" t="str">
        <f>IFERROR(SUBSTITUTE(INDEX($K:$K,MATCH(INDEX($M:$M,MATCH(AS76,$N:$N,0)),$M:$M,0)),$D76,""),"")</f>
        <v/>
      </c>
      <c r="BC76" s="21" t="str">
        <f>IFERROR(SUBSTITUTE(INDEX($K:$K,MATCH(INDEX($M:$M,MATCH(AT76,$N:$N,0)),$M:$M,0)),$D76,""),"")</f>
        <v/>
      </c>
      <c r="BE76" s="9" t="str">
        <f t="shared" si="16"/>
        <v/>
      </c>
      <c r="BI76" s="9" t="str">
        <f>IFERROR(
IF(COUNTIF($M:$M,$AD76)&lt;BI$8,
"",
INDEX($J:$J,MATCH($AD76,$M:$M,0)+BI$8-1)),
"")</f>
        <v/>
      </c>
      <c r="BJ76" s="9" t="str">
        <f>IFERROR(
IF(COUNTIF($M:$M,$AD76)&lt;BJ$8,
"",
INDEX($J:$J,MATCH($AD76,$M:$M,0)+BJ$8-1)),
"")</f>
        <v/>
      </c>
      <c r="BK76" s="9" t="str">
        <f>IFERROR(
IF(COUNTIF($M:$M,$AD76)&lt;BK$8,
"",
INDEX($J:$J,MATCH($AD76,$M:$M,0)+BK$8-1)),
"")</f>
        <v/>
      </c>
      <c r="BL76" s="9" t="str">
        <f>IFERROR(
IF(COUNTIF($M:$M,$AD76)&lt;BL$8,
"",
INDEX($J:$J,MATCH($AD76,$M:$M,0)+BL$8-1)),
"")</f>
        <v/>
      </c>
      <c r="BN76" s="21" t="str">
        <f>IFERROR(
IF(COUNTIF($BI76:BM76,INDEX($J:$J,MATCH($AE76,$M:$M,0)+BN$8-1))=0,
IF(COUNTIF($M:$M,$AE76)&lt;BN$8,
"",
INDEX($J:$J,MATCH($AE76,$M:$M,0)+BN$8-1)),
""),
"")</f>
        <v/>
      </c>
      <c r="BO76" s="21" t="str">
        <f>IFERROR(
IF(COUNTIF($BI76:BN76,INDEX($J:$J,MATCH($AE76,$M:$M,0)+BO$8-1))=0,
IF(COUNTIF($M:$M,$AE76)&lt;BO$8,
"",
INDEX($J:$J,MATCH($AE76,$M:$M,0)+BO$8-1)),
""),
"")</f>
        <v/>
      </c>
      <c r="BP76" s="21" t="str">
        <f>IFERROR(
IF(COUNTIF($BI76:BO76,INDEX($J:$J,MATCH($AE76,$M:$M,0)+BP$8-1))=0,
IF(COUNTIF($M:$M,$AE76)&lt;BP$8,
"",
INDEX($J:$J,MATCH($AE76,$M:$M,0)+BP$8-1)),
""),
"")</f>
        <v/>
      </c>
      <c r="BQ76" s="21" t="str">
        <f>IFERROR(
IF(COUNTIF($BI76:BP76,INDEX($J:$J,MATCH($AE76,$M:$M,0)+BQ$8-1))=0,
IF(COUNTIF($M:$M,$AE76)&lt;BQ$8,
"",
INDEX($J:$J,MATCH($AE76,$M:$M,0)+BQ$8-1)),
""),
"")</f>
        <v/>
      </c>
      <c r="BS76" s="21" t="str">
        <f>IFERROR(
IF(COUNTIF($BI76:BR76,INDEX($J:$J,MATCH($AF76,$M:$M,0)+BS$8-1))=0,
IF(COUNTIF($M:$M,$AF76)&lt;BS$8,
"",
INDEX($J:$J,MATCH($AF76,$M:$M,0)+BS$8-1)),
""),
"")</f>
        <v/>
      </c>
      <c r="BT76" s="21" t="str">
        <f>IFERROR(
IF(COUNTIF($BI76:BS76,INDEX($J:$J,MATCH($AF76,$M:$M,0)+BT$8-1))=0,
IF(COUNTIF($M:$M,$AF76)&lt;BT$8,
"",
INDEX($J:$J,MATCH($AF76,$M:$M,0)+BT$8-1)),
""),
"")</f>
        <v/>
      </c>
      <c r="BU76" s="21" t="str">
        <f>IFERROR(
IF(COUNTIF($BI76:BT76,INDEX($J:$J,MATCH($AF76,$M:$M,0)+BU$8-1))=0,
IF(COUNTIF($M:$M,$AF76)&lt;BU$8,
"",
INDEX($J:$J,MATCH($AF76,$M:$M,0)+BU$8-1)),
""),
"")</f>
        <v/>
      </c>
      <c r="BV76" s="21" t="str">
        <f>IFERROR(
IF(COUNTIF($BI76:BU76,INDEX($J:$J,MATCH($AF76,$M:$M,0)+BV$8-1))=0,
IF(COUNTIF($M:$M,$AF76)&lt;BV$8,
"",
INDEX($J:$J,MATCH($AF76,$M:$M,0)+BV$8-1)),
""),
"")</f>
        <v/>
      </c>
      <c r="BX76" s="21" t="str">
        <f>IFERROR(
IF(COUNTIF($BI76:BW76,INDEX($J:$J,MATCH($AG76,$M:$M,0)+BX$8-1))=0,
IF(COUNTIF($M:$M,$AG76)&lt;BX$8,
"",
INDEX($J:$J,MATCH($AG76,$M:$M,0)+BX$8-1)),
""),
"")</f>
        <v/>
      </c>
      <c r="BY76" s="21" t="str">
        <f>IFERROR(
IF(COUNTIF($BI76:BX76,INDEX($J:$J,MATCH($AG76,$M:$M,0)+BY$8-1))=0,
IF(COUNTIF($M:$M,$AG76)&lt;BY$8,
"",
INDEX($J:$J,MATCH($AG76,$M:$M,0)+BY$8-1)),
""),
"")</f>
        <v/>
      </c>
      <c r="BZ76" s="21" t="str">
        <f>IFERROR(
IF(COUNTIF($BI76:BY76,INDEX($J:$J,MATCH($AG76,$M:$M,0)+BZ$8-1))=0,
IF(COUNTIF($M:$M,$AG76)&lt;BZ$8,
"",
INDEX($J:$J,MATCH($AG76,$M:$M,0)+BZ$8-1)),
""),
"")</f>
        <v/>
      </c>
      <c r="CA76" s="21" t="str">
        <f>IFERROR(
IF(COUNTIF($BI76:BZ76,INDEX($J:$J,MATCH($AG76,$M:$M,0)+CA$8-1))=0,
IF(COUNTIF($M:$M,$AG76)&lt;CA$8,
"",
INDEX($J:$J,MATCH($AG76,$M:$M,0)+CA$8-1)),
""),
"")</f>
        <v/>
      </c>
      <c r="CC76" s="21" t="str">
        <f>IFERROR(
IF(COUNTIF($BI76:CB76,INDEX($J:$J,MATCH($AH76,$M:$M,0)+CC$8-1))=0,
IF(COUNTIF($M:$M,$AH76)&lt;CC$8,
"",
INDEX($J:$J,MATCH($AH76,$M:$M,0)+CC$8-1)),
""),
"")</f>
        <v/>
      </c>
      <c r="CD76" s="21" t="str">
        <f>IFERROR(
IF(COUNTIF($BI76:CC76,INDEX($J:$J,MATCH($AH76,$M:$M,0)+CD$8-1))=0,
IF(COUNTIF($M:$M,$AH76)&lt;CD$8,
"",
INDEX($J:$J,MATCH($AH76,$M:$M,0)+CD$8-1)),
""),
"")</f>
        <v/>
      </c>
      <c r="CE76" s="21" t="str">
        <f>IFERROR(
IF(COUNTIF($BI76:CD76,INDEX($J:$J,MATCH($AH76,$M:$M,0)+CE$8-1))=0,
IF(COUNTIF($M:$M,$AH76)&lt;CE$8,
"",
INDEX($J:$J,MATCH($AH76,$M:$M,0)+CE$8-1)),
""),
"")</f>
        <v/>
      </c>
      <c r="CF76" s="21" t="str">
        <f>IFERROR(
IF(COUNTIF($BI76:CE76,INDEX($J:$J,MATCH($AH76,$M:$M,0)+CF$8-1))=0,
IF(COUNTIF($M:$M,$AH76)&lt;CF$8,
"",
INDEX($J:$J,MATCH($AH76,$M:$M,0)+CF$8-1)),
""),
"")</f>
        <v/>
      </c>
      <c r="CH76" s="21" t="str">
        <f>IFERROR(
IF(COUNTIF($BI76:CG76,INDEX($J:$J,MATCH($AI76,$M:$M,0)+CH$8-1))=0,
IF(COUNTIF($M:$M,$AI76)&lt;CH$8,
"",
INDEX($J:$J,MATCH($AI76,$M:$M,0)+CH$8-1)),
""),
"")</f>
        <v/>
      </c>
      <c r="CI76" s="21" t="str">
        <f>IFERROR(
IF(COUNTIF($BI76:CH76,INDEX($J:$J,MATCH($AI76,$M:$M,0)+CI$8-1))=0,
IF(COUNTIF($M:$M,$AI76)&lt;CI$8,
"",
INDEX($J:$J,MATCH($AI76,$M:$M,0)+CI$8-1)),
""),
"")</f>
        <v/>
      </c>
      <c r="CJ76" s="21" t="str">
        <f>IFERROR(
IF(COUNTIF($BI76:CI76,INDEX($J:$J,MATCH($AI76,$M:$M,0)+CJ$8-1))=0,
IF(COUNTIF($M:$M,$AI76)&lt;CJ$8,
"",
INDEX($J:$J,MATCH($AI76,$M:$M,0)+CJ$8-1)),
""),
"")</f>
        <v/>
      </c>
      <c r="CK76" s="21" t="str">
        <f>IFERROR(
IF(COUNTIF($BI76:CJ76,INDEX($J:$J,MATCH($AI76,$M:$M,0)+CK$8-1))=0,
IF(COUNTIF($M:$M,$AI76)&lt;CK$8,
"",
INDEX($J:$J,MATCH($AI76,$M:$M,0)+CK$8-1)),
""),
"")</f>
        <v/>
      </c>
      <c r="CM76" s="21" t="str">
        <f>IFERROR(
IF(COUNTIF($BI76:CL76,INDEX($J:$J,MATCH($AJ76,$M:$M,0)+CM$8-1))=0,
IF(COUNTIF($M:$M,$AJ76)&lt;CM$8,
"",
INDEX($J:$J,MATCH($AJ76,$M:$M,0)+CM$8-1)),
""),
"")</f>
        <v/>
      </c>
      <c r="CN76" s="21" t="str">
        <f>IFERROR(
IF(COUNTIF($BI76:CM76,INDEX($J:$J,MATCH($AJ76,$M:$M,0)+CN$8-1))=0,
IF(COUNTIF($M:$M,$AJ76)&lt;CN$8,
"",
INDEX($J:$J,MATCH($AJ76,$M:$M,0)+CN$8-1)),
""),
"")</f>
        <v/>
      </c>
      <c r="CO76" s="21" t="str">
        <f>IFERROR(
IF(COUNTIF($BI76:CN76,INDEX($J:$J,MATCH($AJ76,$M:$M,0)+CO$8-1))=0,
IF(COUNTIF($M:$M,$AJ76)&lt;CO$8,
"",
INDEX($J:$J,MATCH($AJ76,$M:$M,0)+CO$8-1)),
""),
"")</f>
        <v/>
      </c>
      <c r="CP76" s="21" t="str">
        <f>IFERROR(
IF(COUNTIF($BI76:CO76,INDEX($J:$J,MATCH($AJ76,$M:$M,0)+CP$8-1))=0,
IF(COUNTIF($M:$M,$AJ76)&lt;CP$8,
"",
INDEX($J:$J,MATCH($AJ76,$M:$M,0)+CP$8-1)),
""),
"")</f>
        <v/>
      </c>
      <c r="CR76" s="21" t="str">
        <f>IFERROR(
IF(COUNTIF($BI76:CQ76,INDEX($J:$J,MATCH($AK76,$M:$M,0)+CR$8-1))=0,
IF(COUNTIF($M:$M,$AK76)&lt;CR$8,
"",
INDEX($J:$J,MATCH($AK76,$M:$M,0)+CR$8-1)),
""),
"")</f>
        <v/>
      </c>
      <c r="CS76" s="21" t="str">
        <f>IFERROR(
IF(COUNTIF($BI76:CR76,INDEX($J:$J,MATCH($AK76,$M:$M,0)+CS$8-1))=0,
IF(COUNTIF($M:$M,$AK76)&lt;CS$8,
"",
INDEX($J:$J,MATCH($AK76,$M:$M,0)+CS$8-1)),
""),
"")</f>
        <v/>
      </c>
      <c r="CT76" s="21" t="str">
        <f>IFERROR(
IF(COUNTIF($BI76:CS76,INDEX($J:$J,MATCH($AK76,$M:$M,0)+CT$8-1))=0,
IF(COUNTIF($M:$M,$AK76)&lt;CT$8,
"",
INDEX($J:$J,MATCH($AK76,$M:$M,0)+CT$8-1)),
""),
"")</f>
        <v/>
      </c>
      <c r="CU76" s="21" t="str">
        <f>IFERROR(
IF(COUNTIF($BI76:CT76,INDEX($J:$J,MATCH($AK76,$M:$M,0)+CU$8-1))=0,
IF(COUNTIF($M:$M,$AK76)&lt;CU$8,
"",
INDEX($J:$J,MATCH($AK76,$M:$M,0)+CU$8-1)),
""),
"")</f>
        <v/>
      </c>
    </row>
    <row r="77" spans="3:99" ht="14.25">
      <c r="C77" s="16">
        <v>69</v>
      </c>
      <c r="D77" s="19" t="s">
        <v>89</v>
      </c>
      <c r="E77" s="20">
        <f>INDEX([1]武将基本资料!$S:$S,MATCH(D77,[1]武将基本资料!$N:$N,0))</f>
        <v>130</v>
      </c>
      <c r="F77" s="20" t="str">
        <f>INDEX([1]武将基本资料!$Q:$Q,MATCH(D77,[1]武将基本资料!$N:$N,0))</f>
        <v>橙+</v>
      </c>
      <c r="H77" s="7" t="str">
        <f>IF(I77="","",COUNTA(I$9:$I77))</f>
        <v/>
      </c>
      <c r="I77" s="6" t="s">
        <v>188</v>
      </c>
      <c r="J77" s="6" t="s">
        <v>66</v>
      </c>
      <c r="K77" s="8" t="str">
        <f>IF(H77="","",阶段合并区域(J77:J87," ",L77:L87,1))</f>
        <v/>
      </c>
      <c r="L77" s="8">
        <f>COUNTIF(M$8:$M77,"="&amp;M77)</f>
        <v>2</v>
      </c>
      <c r="M77" s="9" t="str">
        <f t="shared" si="13"/>
        <v>穷兵黩武</v>
      </c>
      <c r="N77" s="9" t="str">
        <f t="shared" si="14"/>
        <v>穷兵黩武2</v>
      </c>
      <c r="O77" s="15">
        <f>INDEX(C:C,MATCH(J77,D:D,0))</f>
        <v>49</v>
      </c>
      <c r="P77" s="9">
        <f>INDEX(E:E,MATCH(J77,D:D,0))</f>
        <v>110</v>
      </c>
      <c r="Q77" s="7">
        <f t="shared" si="10"/>
        <v>49</v>
      </c>
      <c r="R77" s="7">
        <f>COUNTIF(J$8:$J77,"="&amp;J77)</f>
        <v>2</v>
      </c>
      <c r="S77" s="7">
        <f t="shared" si="11"/>
        <v>2049</v>
      </c>
      <c r="U77" s="7">
        <f t="shared" si="15"/>
        <v>1069</v>
      </c>
      <c r="V77" s="7">
        <f t="shared" si="12"/>
        <v>2069</v>
      </c>
      <c r="W77" s="7">
        <f t="shared" si="12"/>
        <v>3069</v>
      </c>
      <c r="X77" s="7">
        <f t="shared" si="12"/>
        <v>4069</v>
      </c>
      <c r="Y77" s="7">
        <f t="shared" si="12"/>
        <v>5069</v>
      </c>
      <c r="Z77" s="7">
        <f t="shared" si="12"/>
        <v>6069</v>
      </c>
      <c r="AA77" s="7">
        <f t="shared" si="12"/>
        <v>7069</v>
      </c>
      <c r="AB77" s="7">
        <f t="shared" si="12"/>
        <v>8069</v>
      </c>
      <c r="AD77" s="21" t="str">
        <f>IFERROR(INDEX($M:$M,MATCH(U77,$S:$S,0)),"&amp;")</f>
        <v>&amp;</v>
      </c>
      <c r="AE77" s="21" t="str">
        <f>IFERROR(INDEX($M:$M,MATCH(V77,$S:$S,0)),"&amp;")</f>
        <v>&amp;</v>
      </c>
      <c r="AF77" s="21" t="str">
        <f>IFERROR(INDEX($M:$M,MATCH(W77,$S:$S,0)),"&amp;")</f>
        <v>&amp;</v>
      </c>
      <c r="AG77" s="21" t="str">
        <f>IFERROR(INDEX($M:$M,MATCH(X77,$S:$S,0)),"&amp;")</f>
        <v>&amp;</v>
      </c>
      <c r="AH77" s="21" t="str">
        <f>IFERROR(INDEX($M:$M,MATCH(Y77,$S:$S,0)),"&amp;")</f>
        <v>&amp;</v>
      </c>
      <c r="AI77" s="21" t="str">
        <f>IFERROR(INDEX($M:$M,MATCH(Z77,$S:$S,0)),"&amp;")</f>
        <v>&amp;</v>
      </c>
      <c r="AJ77" s="21" t="str">
        <f>IFERROR(INDEX($M:$M,MATCH(AA77,$S:$S,0)),"&amp;")</f>
        <v>&amp;</v>
      </c>
      <c r="AK77" s="21" t="str">
        <f>IFERROR(INDEX($M:$M,MATCH(AB77,$S:$S,0)),"&amp;")</f>
        <v>&amp;</v>
      </c>
      <c r="AM77" s="21" t="str">
        <f>IFERROR(INDEX($N:$N,MATCH(U77,$S:$S,0)),"&amp;")</f>
        <v>&amp;</v>
      </c>
      <c r="AN77" s="21" t="str">
        <f>IFERROR(INDEX($N:$N,MATCH(V77,$S:$S,0)),"&amp;")</f>
        <v>&amp;</v>
      </c>
      <c r="AO77" s="21" t="str">
        <f>IFERROR(INDEX($N:$N,MATCH(W77,$S:$S,0)),"&amp;")</f>
        <v>&amp;</v>
      </c>
      <c r="AP77" s="21" t="str">
        <f>IFERROR(INDEX($N:$N,MATCH(X77,$S:$S,0)),"&amp;")</f>
        <v>&amp;</v>
      </c>
      <c r="AQ77" s="21" t="str">
        <f>IFERROR(INDEX($N:$N,MATCH(Y77,$S:$S,0)),"&amp;")</f>
        <v>&amp;</v>
      </c>
      <c r="AR77" s="21" t="str">
        <f>IFERROR(INDEX($N:$N,MATCH(Z77,$S:$S,0)),"&amp;")</f>
        <v>&amp;</v>
      </c>
      <c r="AS77" s="21" t="str">
        <f>IFERROR(INDEX($N:$N,MATCH(AA77,$S:$S,0)),"&amp;")</f>
        <v>&amp;</v>
      </c>
      <c r="AT77" s="21" t="str">
        <f>IFERROR(INDEX($N:$N,MATCH(AB77,$S:$S,0)),"&amp;")</f>
        <v>&amp;</v>
      </c>
      <c r="AV77" s="21" t="str">
        <f>IFERROR(SUBSTITUTE(INDEX($K:$K,MATCH(INDEX($M:$M,MATCH(AM77,$N:$N,0)),$M:$M,0)),$D77,""),"")</f>
        <v/>
      </c>
      <c r="AW77" s="21" t="str">
        <f>IFERROR(SUBSTITUTE(INDEX($K:$K,MATCH(INDEX($M:$M,MATCH(AN77,$N:$N,0)),$M:$M,0)),$D77,""),"")</f>
        <v/>
      </c>
      <c r="AX77" s="21" t="str">
        <f>IFERROR(SUBSTITUTE(INDEX($K:$K,MATCH(INDEX($M:$M,MATCH(AO77,$N:$N,0)),$M:$M,0)),$D77,""),"")</f>
        <v/>
      </c>
      <c r="AY77" s="21" t="str">
        <f>IFERROR(SUBSTITUTE(INDEX($K:$K,MATCH(INDEX($M:$M,MATCH(AP77,$N:$N,0)),$M:$M,0)),$D77,""),"")</f>
        <v/>
      </c>
      <c r="AZ77" s="21" t="str">
        <f>IFERROR(SUBSTITUTE(INDEX($K:$K,MATCH(INDEX($M:$M,MATCH(AQ77,$N:$N,0)),$M:$M,0)),$D77,""),"")</f>
        <v/>
      </c>
      <c r="BA77" s="21" t="str">
        <f>IFERROR(SUBSTITUTE(INDEX($K:$K,MATCH(INDEX($M:$M,MATCH(AR77,$N:$N,0)),$M:$M,0)),$D77,""),"")</f>
        <v/>
      </c>
      <c r="BB77" s="21" t="str">
        <f>IFERROR(SUBSTITUTE(INDEX($K:$K,MATCH(INDEX($M:$M,MATCH(AS77,$N:$N,0)),$M:$M,0)),$D77,""),"")</f>
        <v/>
      </c>
      <c r="BC77" s="21" t="str">
        <f>IFERROR(SUBSTITUTE(INDEX($K:$K,MATCH(INDEX($M:$M,MATCH(AT77,$N:$N,0)),$M:$M,0)),$D77,""),"")</f>
        <v/>
      </c>
      <c r="BE77" s="9" t="str">
        <f t="shared" si="16"/>
        <v/>
      </c>
      <c r="BI77" s="9" t="str">
        <f>IFERROR(
IF(COUNTIF($M:$M,$AD77)&lt;BI$8,
"",
INDEX($J:$J,MATCH($AD77,$M:$M,0)+BI$8-1)),
"")</f>
        <v/>
      </c>
      <c r="BJ77" s="9" t="str">
        <f>IFERROR(
IF(COUNTIF($M:$M,$AD77)&lt;BJ$8,
"",
INDEX($J:$J,MATCH($AD77,$M:$M,0)+BJ$8-1)),
"")</f>
        <v/>
      </c>
      <c r="BK77" s="9" t="str">
        <f>IFERROR(
IF(COUNTIF($M:$M,$AD77)&lt;BK$8,
"",
INDEX($J:$J,MATCH($AD77,$M:$M,0)+BK$8-1)),
"")</f>
        <v/>
      </c>
      <c r="BL77" s="9" t="str">
        <f>IFERROR(
IF(COUNTIF($M:$M,$AD77)&lt;BL$8,
"",
INDEX($J:$J,MATCH($AD77,$M:$M,0)+BL$8-1)),
"")</f>
        <v/>
      </c>
      <c r="BN77" s="21" t="str">
        <f>IFERROR(
IF(COUNTIF($BI77:BM77,INDEX($J:$J,MATCH($AE77,$M:$M,0)+BN$8-1))=0,
IF(COUNTIF($M:$M,$AE77)&lt;BN$8,
"",
INDEX($J:$J,MATCH($AE77,$M:$M,0)+BN$8-1)),
""),
"")</f>
        <v/>
      </c>
      <c r="BO77" s="21" t="str">
        <f>IFERROR(
IF(COUNTIF($BI77:BN77,INDEX($J:$J,MATCH($AE77,$M:$M,0)+BO$8-1))=0,
IF(COUNTIF($M:$M,$AE77)&lt;BO$8,
"",
INDEX($J:$J,MATCH($AE77,$M:$M,0)+BO$8-1)),
""),
"")</f>
        <v/>
      </c>
      <c r="BP77" s="21" t="str">
        <f>IFERROR(
IF(COUNTIF($BI77:BO77,INDEX($J:$J,MATCH($AE77,$M:$M,0)+BP$8-1))=0,
IF(COUNTIF($M:$M,$AE77)&lt;BP$8,
"",
INDEX($J:$J,MATCH($AE77,$M:$M,0)+BP$8-1)),
""),
"")</f>
        <v/>
      </c>
      <c r="BQ77" s="21" t="str">
        <f>IFERROR(
IF(COUNTIF($BI77:BP77,INDEX($J:$J,MATCH($AE77,$M:$M,0)+BQ$8-1))=0,
IF(COUNTIF($M:$M,$AE77)&lt;BQ$8,
"",
INDEX($J:$J,MATCH($AE77,$M:$M,0)+BQ$8-1)),
""),
"")</f>
        <v/>
      </c>
      <c r="BS77" s="21" t="str">
        <f>IFERROR(
IF(COUNTIF($BI77:BR77,INDEX($J:$J,MATCH($AF77,$M:$M,0)+BS$8-1))=0,
IF(COUNTIF($M:$M,$AF77)&lt;BS$8,
"",
INDEX($J:$J,MATCH($AF77,$M:$M,0)+BS$8-1)),
""),
"")</f>
        <v/>
      </c>
      <c r="BT77" s="21" t="str">
        <f>IFERROR(
IF(COUNTIF($BI77:BS77,INDEX($J:$J,MATCH($AF77,$M:$M,0)+BT$8-1))=0,
IF(COUNTIF($M:$M,$AF77)&lt;BT$8,
"",
INDEX($J:$J,MATCH($AF77,$M:$M,0)+BT$8-1)),
""),
"")</f>
        <v/>
      </c>
      <c r="BU77" s="21" t="str">
        <f>IFERROR(
IF(COUNTIF($BI77:BT77,INDEX($J:$J,MATCH($AF77,$M:$M,0)+BU$8-1))=0,
IF(COUNTIF($M:$M,$AF77)&lt;BU$8,
"",
INDEX($J:$J,MATCH($AF77,$M:$M,0)+BU$8-1)),
""),
"")</f>
        <v/>
      </c>
      <c r="BV77" s="21" t="str">
        <f>IFERROR(
IF(COUNTIF($BI77:BU77,INDEX($J:$J,MATCH($AF77,$M:$M,0)+BV$8-1))=0,
IF(COUNTIF($M:$M,$AF77)&lt;BV$8,
"",
INDEX($J:$J,MATCH($AF77,$M:$M,0)+BV$8-1)),
""),
"")</f>
        <v/>
      </c>
      <c r="BX77" s="21" t="str">
        <f>IFERROR(
IF(COUNTIF($BI77:BW77,INDEX($J:$J,MATCH($AG77,$M:$M,0)+BX$8-1))=0,
IF(COUNTIF($M:$M,$AG77)&lt;BX$8,
"",
INDEX($J:$J,MATCH($AG77,$M:$M,0)+BX$8-1)),
""),
"")</f>
        <v/>
      </c>
      <c r="BY77" s="21" t="str">
        <f>IFERROR(
IF(COUNTIF($BI77:BX77,INDEX($J:$J,MATCH($AG77,$M:$M,0)+BY$8-1))=0,
IF(COUNTIF($M:$M,$AG77)&lt;BY$8,
"",
INDEX($J:$J,MATCH($AG77,$M:$M,0)+BY$8-1)),
""),
"")</f>
        <v/>
      </c>
      <c r="BZ77" s="21" t="str">
        <f>IFERROR(
IF(COUNTIF($BI77:BY77,INDEX($J:$J,MATCH($AG77,$M:$M,0)+BZ$8-1))=0,
IF(COUNTIF($M:$M,$AG77)&lt;BZ$8,
"",
INDEX($J:$J,MATCH($AG77,$M:$M,0)+BZ$8-1)),
""),
"")</f>
        <v/>
      </c>
      <c r="CA77" s="21" t="str">
        <f>IFERROR(
IF(COUNTIF($BI77:BZ77,INDEX($J:$J,MATCH($AG77,$M:$M,0)+CA$8-1))=0,
IF(COUNTIF($M:$M,$AG77)&lt;CA$8,
"",
INDEX($J:$J,MATCH($AG77,$M:$M,0)+CA$8-1)),
""),
"")</f>
        <v/>
      </c>
      <c r="CC77" s="21" t="str">
        <f>IFERROR(
IF(COUNTIF($BI77:CB77,INDEX($J:$J,MATCH($AH77,$M:$M,0)+CC$8-1))=0,
IF(COUNTIF($M:$M,$AH77)&lt;CC$8,
"",
INDEX($J:$J,MATCH($AH77,$M:$M,0)+CC$8-1)),
""),
"")</f>
        <v/>
      </c>
      <c r="CD77" s="21" t="str">
        <f>IFERROR(
IF(COUNTIF($BI77:CC77,INDEX($J:$J,MATCH($AH77,$M:$M,0)+CD$8-1))=0,
IF(COUNTIF($M:$M,$AH77)&lt;CD$8,
"",
INDEX($J:$J,MATCH($AH77,$M:$M,0)+CD$8-1)),
""),
"")</f>
        <v/>
      </c>
      <c r="CE77" s="21" t="str">
        <f>IFERROR(
IF(COUNTIF($BI77:CD77,INDEX($J:$J,MATCH($AH77,$M:$M,0)+CE$8-1))=0,
IF(COUNTIF($M:$M,$AH77)&lt;CE$8,
"",
INDEX($J:$J,MATCH($AH77,$M:$M,0)+CE$8-1)),
""),
"")</f>
        <v/>
      </c>
      <c r="CF77" s="21" t="str">
        <f>IFERROR(
IF(COUNTIF($BI77:CE77,INDEX($J:$J,MATCH($AH77,$M:$M,0)+CF$8-1))=0,
IF(COUNTIF($M:$M,$AH77)&lt;CF$8,
"",
INDEX($J:$J,MATCH($AH77,$M:$M,0)+CF$8-1)),
""),
"")</f>
        <v/>
      </c>
      <c r="CH77" s="21" t="str">
        <f>IFERROR(
IF(COUNTIF($BI77:CG77,INDEX($J:$J,MATCH($AI77,$M:$M,0)+CH$8-1))=0,
IF(COUNTIF($M:$M,$AI77)&lt;CH$8,
"",
INDEX($J:$J,MATCH($AI77,$M:$M,0)+CH$8-1)),
""),
"")</f>
        <v/>
      </c>
      <c r="CI77" s="21" t="str">
        <f>IFERROR(
IF(COUNTIF($BI77:CH77,INDEX($J:$J,MATCH($AI77,$M:$M,0)+CI$8-1))=0,
IF(COUNTIF($M:$M,$AI77)&lt;CI$8,
"",
INDEX($J:$J,MATCH($AI77,$M:$M,0)+CI$8-1)),
""),
"")</f>
        <v/>
      </c>
      <c r="CJ77" s="21" t="str">
        <f>IFERROR(
IF(COUNTIF($BI77:CI77,INDEX($J:$J,MATCH($AI77,$M:$M,0)+CJ$8-1))=0,
IF(COUNTIF($M:$M,$AI77)&lt;CJ$8,
"",
INDEX($J:$J,MATCH($AI77,$M:$M,0)+CJ$8-1)),
""),
"")</f>
        <v/>
      </c>
      <c r="CK77" s="21" t="str">
        <f>IFERROR(
IF(COUNTIF($BI77:CJ77,INDEX($J:$J,MATCH($AI77,$M:$M,0)+CK$8-1))=0,
IF(COUNTIF($M:$M,$AI77)&lt;CK$8,
"",
INDEX($J:$J,MATCH($AI77,$M:$M,0)+CK$8-1)),
""),
"")</f>
        <v/>
      </c>
      <c r="CM77" s="21" t="str">
        <f>IFERROR(
IF(COUNTIF($BI77:CL77,INDEX($J:$J,MATCH($AJ77,$M:$M,0)+CM$8-1))=0,
IF(COUNTIF($M:$M,$AJ77)&lt;CM$8,
"",
INDEX($J:$J,MATCH($AJ77,$M:$M,0)+CM$8-1)),
""),
"")</f>
        <v/>
      </c>
      <c r="CN77" s="21" t="str">
        <f>IFERROR(
IF(COUNTIF($BI77:CM77,INDEX($J:$J,MATCH($AJ77,$M:$M,0)+CN$8-1))=0,
IF(COUNTIF($M:$M,$AJ77)&lt;CN$8,
"",
INDEX($J:$J,MATCH($AJ77,$M:$M,0)+CN$8-1)),
""),
"")</f>
        <v/>
      </c>
      <c r="CO77" s="21" t="str">
        <f>IFERROR(
IF(COUNTIF($BI77:CN77,INDEX($J:$J,MATCH($AJ77,$M:$M,0)+CO$8-1))=0,
IF(COUNTIF($M:$M,$AJ77)&lt;CO$8,
"",
INDEX($J:$J,MATCH($AJ77,$M:$M,0)+CO$8-1)),
""),
"")</f>
        <v/>
      </c>
      <c r="CP77" s="21" t="str">
        <f>IFERROR(
IF(COUNTIF($BI77:CO77,INDEX($J:$J,MATCH($AJ77,$M:$M,0)+CP$8-1))=0,
IF(COUNTIF($M:$M,$AJ77)&lt;CP$8,
"",
INDEX($J:$J,MATCH($AJ77,$M:$M,0)+CP$8-1)),
""),
"")</f>
        <v/>
      </c>
      <c r="CR77" s="21" t="str">
        <f>IFERROR(
IF(COUNTIF($BI77:CQ77,INDEX($J:$J,MATCH($AK77,$M:$M,0)+CR$8-1))=0,
IF(COUNTIF($M:$M,$AK77)&lt;CR$8,
"",
INDEX($J:$J,MATCH($AK77,$M:$M,0)+CR$8-1)),
""),
"")</f>
        <v/>
      </c>
      <c r="CS77" s="21" t="str">
        <f>IFERROR(
IF(COUNTIF($BI77:CR77,INDEX($J:$J,MATCH($AK77,$M:$M,0)+CS$8-1))=0,
IF(COUNTIF($M:$M,$AK77)&lt;CS$8,
"",
INDEX($J:$J,MATCH($AK77,$M:$M,0)+CS$8-1)),
""),
"")</f>
        <v/>
      </c>
      <c r="CT77" s="21" t="str">
        <f>IFERROR(
IF(COUNTIF($BI77:CS77,INDEX($J:$J,MATCH($AK77,$M:$M,0)+CT$8-1))=0,
IF(COUNTIF($M:$M,$AK77)&lt;CT$8,
"",
INDEX($J:$J,MATCH($AK77,$M:$M,0)+CT$8-1)),
""),
"")</f>
        <v/>
      </c>
      <c r="CU77" s="21" t="str">
        <f>IFERROR(
IF(COUNTIF($BI77:CT77,INDEX($J:$J,MATCH($AK77,$M:$M,0)+CU$8-1))=0,
IF(COUNTIF($M:$M,$AK77)&lt;CU$8,
"",
INDEX($J:$J,MATCH($AK77,$M:$M,0)+CU$8-1)),
""),
"")</f>
        <v/>
      </c>
    </row>
    <row r="78" spans="3:99" ht="14.25">
      <c r="C78" s="16">
        <v>70</v>
      </c>
      <c r="D78" s="19" t="s">
        <v>90</v>
      </c>
      <c r="E78" s="20">
        <f>INDEX([1]武将基本资料!$S:$S,MATCH(D78,[1]武将基本资料!$N:$N,0))</f>
        <v>130</v>
      </c>
      <c r="F78" s="20" t="str">
        <f>INDEX([1]武将基本资料!$Q:$Q,MATCH(D78,[1]武将基本资料!$N:$N,0))</f>
        <v>橙+</v>
      </c>
      <c r="H78" s="7" t="str">
        <f>IF(I78="","",COUNTA(I$9:$I78))</f>
        <v/>
      </c>
      <c r="I78" s="6" t="s">
        <v>188</v>
      </c>
      <c r="J78" s="6" t="s">
        <v>53</v>
      </c>
      <c r="K78" s="8" t="str">
        <f>IF(H78="","",阶段合并区域(J78:J88," ",L78:L88,1))</f>
        <v/>
      </c>
      <c r="L78" s="8">
        <f>COUNTIF(M$8:$M78,"="&amp;M78)</f>
        <v>3</v>
      </c>
      <c r="M78" s="9" t="str">
        <f t="shared" si="13"/>
        <v>穷兵黩武</v>
      </c>
      <c r="N78" s="9" t="str">
        <f t="shared" si="14"/>
        <v>穷兵黩武3</v>
      </c>
      <c r="O78" s="15">
        <f>INDEX(C:C,MATCH(J78,D:D,0))</f>
        <v>3</v>
      </c>
      <c r="P78" s="9">
        <f>INDEX(E:E,MATCH(J78,D:D,0))</f>
        <v>120</v>
      </c>
      <c r="Q78" s="7">
        <f t="shared" si="10"/>
        <v>3</v>
      </c>
      <c r="R78" s="7">
        <f>COUNTIF(J$8:$J78,"="&amp;J78)</f>
        <v>1</v>
      </c>
      <c r="S78" s="7">
        <f t="shared" si="11"/>
        <v>1003</v>
      </c>
      <c r="U78" s="7">
        <f t="shared" si="15"/>
        <v>1070</v>
      </c>
      <c r="V78" s="7">
        <f t="shared" si="12"/>
        <v>2070</v>
      </c>
      <c r="W78" s="7">
        <f t="shared" si="12"/>
        <v>3070</v>
      </c>
      <c r="X78" s="7">
        <f t="shared" si="12"/>
        <v>4070</v>
      </c>
      <c r="Y78" s="7">
        <f t="shared" si="12"/>
        <v>5070</v>
      </c>
      <c r="Z78" s="7">
        <f t="shared" si="12"/>
        <v>6070</v>
      </c>
      <c r="AA78" s="7">
        <f t="shared" si="12"/>
        <v>7070</v>
      </c>
      <c r="AB78" s="7">
        <f t="shared" si="12"/>
        <v>8070</v>
      </c>
      <c r="AD78" s="21" t="str">
        <f>IFERROR(INDEX($M:$M,MATCH(U78,$S:$S,0)),"&amp;")</f>
        <v>&amp;</v>
      </c>
      <c r="AE78" s="21" t="str">
        <f>IFERROR(INDEX($M:$M,MATCH(V78,$S:$S,0)),"&amp;")</f>
        <v>&amp;</v>
      </c>
      <c r="AF78" s="21" t="str">
        <f>IFERROR(INDEX($M:$M,MATCH(W78,$S:$S,0)),"&amp;")</f>
        <v>&amp;</v>
      </c>
      <c r="AG78" s="21" t="str">
        <f>IFERROR(INDEX($M:$M,MATCH(X78,$S:$S,0)),"&amp;")</f>
        <v>&amp;</v>
      </c>
      <c r="AH78" s="21" t="str">
        <f>IFERROR(INDEX($M:$M,MATCH(Y78,$S:$S,0)),"&amp;")</f>
        <v>&amp;</v>
      </c>
      <c r="AI78" s="21" t="str">
        <f>IFERROR(INDEX($M:$M,MATCH(Z78,$S:$S,0)),"&amp;")</f>
        <v>&amp;</v>
      </c>
      <c r="AJ78" s="21" t="str">
        <f>IFERROR(INDEX($M:$M,MATCH(AA78,$S:$S,0)),"&amp;")</f>
        <v>&amp;</v>
      </c>
      <c r="AK78" s="21" t="str">
        <f>IFERROR(INDEX($M:$M,MATCH(AB78,$S:$S,0)),"&amp;")</f>
        <v>&amp;</v>
      </c>
      <c r="AM78" s="21" t="str">
        <f>IFERROR(INDEX($N:$N,MATCH(U78,$S:$S,0)),"&amp;")</f>
        <v>&amp;</v>
      </c>
      <c r="AN78" s="21" t="str">
        <f>IFERROR(INDEX($N:$N,MATCH(V78,$S:$S,0)),"&amp;")</f>
        <v>&amp;</v>
      </c>
      <c r="AO78" s="21" t="str">
        <f>IFERROR(INDEX($N:$N,MATCH(W78,$S:$S,0)),"&amp;")</f>
        <v>&amp;</v>
      </c>
      <c r="AP78" s="21" t="str">
        <f>IFERROR(INDEX($N:$N,MATCH(X78,$S:$S,0)),"&amp;")</f>
        <v>&amp;</v>
      </c>
      <c r="AQ78" s="21" t="str">
        <f>IFERROR(INDEX($N:$N,MATCH(Y78,$S:$S,0)),"&amp;")</f>
        <v>&amp;</v>
      </c>
      <c r="AR78" s="21" t="str">
        <f>IFERROR(INDEX($N:$N,MATCH(Z78,$S:$S,0)),"&amp;")</f>
        <v>&amp;</v>
      </c>
      <c r="AS78" s="21" t="str">
        <f>IFERROR(INDEX($N:$N,MATCH(AA78,$S:$S,0)),"&amp;")</f>
        <v>&amp;</v>
      </c>
      <c r="AT78" s="21" t="str">
        <f>IFERROR(INDEX($N:$N,MATCH(AB78,$S:$S,0)),"&amp;")</f>
        <v>&amp;</v>
      </c>
      <c r="AV78" s="21" t="str">
        <f>IFERROR(SUBSTITUTE(INDEX($K:$K,MATCH(INDEX($M:$M,MATCH(AM78,$N:$N,0)),$M:$M,0)),$D78,""),"")</f>
        <v/>
      </c>
      <c r="AW78" s="21" t="str">
        <f>IFERROR(SUBSTITUTE(INDEX($K:$K,MATCH(INDEX($M:$M,MATCH(AN78,$N:$N,0)),$M:$M,0)),$D78,""),"")</f>
        <v/>
      </c>
      <c r="AX78" s="21" t="str">
        <f>IFERROR(SUBSTITUTE(INDEX($K:$K,MATCH(INDEX($M:$M,MATCH(AO78,$N:$N,0)),$M:$M,0)),$D78,""),"")</f>
        <v/>
      </c>
      <c r="AY78" s="21" t="str">
        <f>IFERROR(SUBSTITUTE(INDEX($K:$K,MATCH(INDEX($M:$M,MATCH(AP78,$N:$N,0)),$M:$M,0)),$D78,""),"")</f>
        <v/>
      </c>
      <c r="AZ78" s="21" t="str">
        <f>IFERROR(SUBSTITUTE(INDEX($K:$K,MATCH(INDEX($M:$M,MATCH(AQ78,$N:$N,0)),$M:$M,0)),$D78,""),"")</f>
        <v/>
      </c>
      <c r="BA78" s="21" t="str">
        <f>IFERROR(SUBSTITUTE(INDEX($K:$K,MATCH(INDEX($M:$M,MATCH(AR78,$N:$N,0)),$M:$M,0)),$D78,""),"")</f>
        <v/>
      </c>
      <c r="BB78" s="21" t="str">
        <f>IFERROR(SUBSTITUTE(INDEX($K:$K,MATCH(INDEX($M:$M,MATCH(AS78,$N:$N,0)),$M:$M,0)),$D78,""),"")</f>
        <v/>
      </c>
      <c r="BC78" s="21" t="str">
        <f>IFERROR(SUBSTITUTE(INDEX($K:$K,MATCH(INDEX($M:$M,MATCH(AT78,$N:$N,0)),$M:$M,0)),$D78,""),"")</f>
        <v/>
      </c>
      <c r="BE78" s="9" t="str">
        <f t="shared" si="16"/>
        <v/>
      </c>
      <c r="BI78" s="9" t="str">
        <f>IFERROR(
IF(COUNTIF($M:$M,$AD78)&lt;BI$8,
"",
INDEX($J:$J,MATCH($AD78,$M:$M,0)+BI$8-1)),
"")</f>
        <v/>
      </c>
      <c r="BJ78" s="9" t="str">
        <f>IFERROR(
IF(COUNTIF($M:$M,$AD78)&lt;BJ$8,
"",
INDEX($J:$J,MATCH($AD78,$M:$M,0)+BJ$8-1)),
"")</f>
        <v/>
      </c>
      <c r="BK78" s="9" t="str">
        <f>IFERROR(
IF(COUNTIF($M:$M,$AD78)&lt;BK$8,
"",
INDEX($J:$J,MATCH($AD78,$M:$M,0)+BK$8-1)),
"")</f>
        <v/>
      </c>
      <c r="BL78" s="9" t="str">
        <f>IFERROR(
IF(COUNTIF($M:$M,$AD78)&lt;BL$8,
"",
INDEX($J:$J,MATCH($AD78,$M:$M,0)+BL$8-1)),
"")</f>
        <v/>
      </c>
      <c r="BN78" s="21" t="str">
        <f>IFERROR(
IF(COUNTIF($BI78:BM78,INDEX($J:$J,MATCH($AE78,$M:$M,0)+BN$8-1))=0,
IF(COUNTIF($M:$M,$AE78)&lt;BN$8,
"",
INDEX($J:$J,MATCH($AE78,$M:$M,0)+BN$8-1)),
""),
"")</f>
        <v/>
      </c>
      <c r="BO78" s="21" t="str">
        <f>IFERROR(
IF(COUNTIF($BI78:BN78,INDEX($J:$J,MATCH($AE78,$M:$M,0)+BO$8-1))=0,
IF(COUNTIF($M:$M,$AE78)&lt;BO$8,
"",
INDEX($J:$J,MATCH($AE78,$M:$M,0)+BO$8-1)),
""),
"")</f>
        <v/>
      </c>
      <c r="BP78" s="21" t="str">
        <f>IFERROR(
IF(COUNTIF($BI78:BO78,INDEX($J:$J,MATCH($AE78,$M:$M,0)+BP$8-1))=0,
IF(COUNTIF($M:$M,$AE78)&lt;BP$8,
"",
INDEX($J:$J,MATCH($AE78,$M:$M,0)+BP$8-1)),
""),
"")</f>
        <v/>
      </c>
      <c r="BQ78" s="21" t="str">
        <f>IFERROR(
IF(COUNTIF($BI78:BP78,INDEX($J:$J,MATCH($AE78,$M:$M,0)+BQ$8-1))=0,
IF(COUNTIF($M:$M,$AE78)&lt;BQ$8,
"",
INDEX($J:$J,MATCH($AE78,$M:$M,0)+BQ$8-1)),
""),
"")</f>
        <v/>
      </c>
      <c r="BS78" s="21" t="str">
        <f>IFERROR(
IF(COUNTIF($BI78:BR78,INDEX($J:$J,MATCH($AF78,$M:$M,0)+BS$8-1))=0,
IF(COUNTIF($M:$M,$AF78)&lt;BS$8,
"",
INDEX($J:$J,MATCH($AF78,$M:$M,0)+BS$8-1)),
""),
"")</f>
        <v/>
      </c>
      <c r="BT78" s="21" t="str">
        <f>IFERROR(
IF(COUNTIF($BI78:BS78,INDEX($J:$J,MATCH($AF78,$M:$M,0)+BT$8-1))=0,
IF(COUNTIF($M:$M,$AF78)&lt;BT$8,
"",
INDEX($J:$J,MATCH($AF78,$M:$M,0)+BT$8-1)),
""),
"")</f>
        <v/>
      </c>
      <c r="BU78" s="21" t="str">
        <f>IFERROR(
IF(COUNTIF($BI78:BT78,INDEX($J:$J,MATCH($AF78,$M:$M,0)+BU$8-1))=0,
IF(COUNTIF($M:$M,$AF78)&lt;BU$8,
"",
INDEX($J:$J,MATCH($AF78,$M:$M,0)+BU$8-1)),
""),
"")</f>
        <v/>
      </c>
      <c r="BV78" s="21" t="str">
        <f>IFERROR(
IF(COUNTIF($BI78:BU78,INDEX($J:$J,MATCH($AF78,$M:$M,0)+BV$8-1))=0,
IF(COUNTIF($M:$M,$AF78)&lt;BV$8,
"",
INDEX($J:$J,MATCH($AF78,$M:$M,0)+BV$8-1)),
""),
"")</f>
        <v/>
      </c>
      <c r="BX78" s="21" t="str">
        <f>IFERROR(
IF(COUNTIF($BI78:BW78,INDEX($J:$J,MATCH($AG78,$M:$M,0)+BX$8-1))=0,
IF(COUNTIF($M:$M,$AG78)&lt;BX$8,
"",
INDEX($J:$J,MATCH($AG78,$M:$M,0)+BX$8-1)),
""),
"")</f>
        <v/>
      </c>
      <c r="BY78" s="21" t="str">
        <f>IFERROR(
IF(COUNTIF($BI78:BX78,INDEX($J:$J,MATCH($AG78,$M:$M,0)+BY$8-1))=0,
IF(COUNTIF($M:$M,$AG78)&lt;BY$8,
"",
INDEX($J:$J,MATCH($AG78,$M:$M,0)+BY$8-1)),
""),
"")</f>
        <v/>
      </c>
      <c r="BZ78" s="21" t="str">
        <f>IFERROR(
IF(COUNTIF($BI78:BY78,INDEX($J:$J,MATCH($AG78,$M:$M,0)+BZ$8-1))=0,
IF(COUNTIF($M:$M,$AG78)&lt;BZ$8,
"",
INDEX($J:$J,MATCH($AG78,$M:$M,0)+BZ$8-1)),
""),
"")</f>
        <v/>
      </c>
      <c r="CA78" s="21" t="str">
        <f>IFERROR(
IF(COUNTIF($BI78:BZ78,INDEX($J:$J,MATCH($AG78,$M:$M,0)+CA$8-1))=0,
IF(COUNTIF($M:$M,$AG78)&lt;CA$8,
"",
INDEX($J:$J,MATCH($AG78,$M:$M,0)+CA$8-1)),
""),
"")</f>
        <v/>
      </c>
      <c r="CC78" s="21" t="str">
        <f>IFERROR(
IF(COUNTIF($BI78:CB78,INDEX($J:$J,MATCH($AH78,$M:$M,0)+CC$8-1))=0,
IF(COUNTIF($M:$M,$AH78)&lt;CC$8,
"",
INDEX($J:$J,MATCH($AH78,$M:$M,0)+CC$8-1)),
""),
"")</f>
        <v/>
      </c>
      <c r="CD78" s="21" t="str">
        <f>IFERROR(
IF(COUNTIF($BI78:CC78,INDEX($J:$J,MATCH($AH78,$M:$M,0)+CD$8-1))=0,
IF(COUNTIF($M:$M,$AH78)&lt;CD$8,
"",
INDEX($J:$J,MATCH($AH78,$M:$M,0)+CD$8-1)),
""),
"")</f>
        <v/>
      </c>
      <c r="CE78" s="21" t="str">
        <f>IFERROR(
IF(COUNTIF($BI78:CD78,INDEX($J:$J,MATCH($AH78,$M:$M,0)+CE$8-1))=0,
IF(COUNTIF($M:$M,$AH78)&lt;CE$8,
"",
INDEX($J:$J,MATCH($AH78,$M:$M,0)+CE$8-1)),
""),
"")</f>
        <v/>
      </c>
      <c r="CF78" s="21" t="str">
        <f>IFERROR(
IF(COUNTIF($BI78:CE78,INDEX($J:$J,MATCH($AH78,$M:$M,0)+CF$8-1))=0,
IF(COUNTIF($M:$M,$AH78)&lt;CF$8,
"",
INDEX($J:$J,MATCH($AH78,$M:$M,0)+CF$8-1)),
""),
"")</f>
        <v/>
      </c>
      <c r="CH78" s="21" t="str">
        <f>IFERROR(
IF(COUNTIF($BI78:CG78,INDEX($J:$J,MATCH($AI78,$M:$M,0)+CH$8-1))=0,
IF(COUNTIF($M:$M,$AI78)&lt;CH$8,
"",
INDEX($J:$J,MATCH($AI78,$M:$M,0)+CH$8-1)),
""),
"")</f>
        <v/>
      </c>
      <c r="CI78" s="21" t="str">
        <f>IFERROR(
IF(COUNTIF($BI78:CH78,INDEX($J:$J,MATCH($AI78,$M:$M,0)+CI$8-1))=0,
IF(COUNTIF($M:$M,$AI78)&lt;CI$8,
"",
INDEX($J:$J,MATCH($AI78,$M:$M,0)+CI$8-1)),
""),
"")</f>
        <v/>
      </c>
      <c r="CJ78" s="21" t="str">
        <f>IFERROR(
IF(COUNTIF($BI78:CI78,INDEX($J:$J,MATCH($AI78,$M:$M,0)+CJ$8-1))=0,
IF(COUNTIF($M:$M,$AI78)&lt;CJ$8,
"",
INDEX($J:$J,MATCH($AI78,$M:$M,0)+CJ$8-1)),
""),
"")</f>
        <v/>
      </c>
      <c r="CK78" s="21" t="str">
        <f>IFERROR(
IF(COUNTIF($BI78:CJ78,INDEX($J:$J,MATCH($AI78,$M:$M,0)+CK$8-1))=0,
IF(COUNTIF($M:$M,$AI78)&lt;CK$8,
"",
INDEX($J:$J,MATCH($AI78,$M:$M,0)+CK$8-1)),
""),
"")</f>
        <v/>
      </c>
      <c r="CM78" s="21" t="str">
        <f>IFERROR(
IF(COUNTIF($BI78:CL78,INDEX($J:$J,MATCH($AJ78,$M:$M,0)+CM$8-1))=0,
IF(COUNTIF($M:$M,$AJ78)&lt;CM$8,
"",
INDEX($J:$J,MATCH($AJ78,$M:$M,0)+CM$8-1)),
""),
"")</f>
        <v/>
      </c>
      <c r="CN78" s="21" t="str">
        <f>IFERROR(
IF(COUNTIF($BI78:CM78,INDEX($J:$J,MATCH($AJ78,$M:$M,0)+CN$8-1))=0,
IF(COUNTIF($M:$M,$AJ78)&lt;CN$8,
"",
INDEX($J:$J,MATCH($AJ78,$M:$M,0)+CN$8-1)),
""),
"")</f>
        <v/>
      </c>
      <c r="CO78" s="21" t="str">
        <f>IFERROR(
IF(COUNTIF($BI78:CN78,INDEX($J:$J,MATCH($AJ78,$M:$M,0)+CO$8-1))=0,
IF(COUNTIF($M:$M,$AJ78)&lt;CO$8,
"",
INDEX($J:$J,MATCH($AJ78,$M:$M,0)+CO$8-1)),
""),
"")</f>
        <v/>
      </c>
      <c r="CP78" s="21" t="str">
        <f>IFERROR(
IF(COUNTIF($BI78:CO78,INDEX($J:$J,MATCH($AJ78,$M:$M,0)+CP$8-1))=0,
IF(COUNTIF($M:$M,$AJ78)&lt;CP$8,
"",
INDEX($J:$J,MATCH($AJ78,$M:$M,0)+CP$8-1)),
""),
"")</f>
        <v/>
      </c>
      <c r="CR78" s="21" t="str">
        <f>IFERROR(
IF(COUNTIF($BI78:CQ78,INDEX($J:$J,MATCH($AK78,$M:$M,0)+CR$8-1))=0,
IF(COUNTIF($M:$M,$AK78)&lt;CR$8,
"",
INDEX($J:$J,MATCH($AK78,$M:$M,0)+CR$8-1)),
""),
"")</f>
        <v/>
      </c>
      <c r="CS78" s="21" t="str">
        <f>IFERROR(
IF(COUNTIF($BI78:CR78,INDEX($J:$J,MATCH($AK78,$M:$M,0)+CS$8-1))=0,
IF(COUNTIF($M:$M,$AK78)&lt;CS$8,
"",
INDEX($J:$J,MATCH($AK78,$M:$M,0)+CS$8-1)),
""),
"")</f>
        <v/>
      </c>
      <c r="CT78" s="21" t="str">
        <f>IFERROR(
IF(COUNTIF($BI78:CS78,INDEX($J:$J,MATCH($AK78,$M:$M,0)+CT$8-1))=0,
IF(COUNTIF($M:$M,$AK78)&lt;CT$8,
"",
INDEX($J:$J,MATCH($AK78,$M:$M,0)+CT$8-1)),
""),
"")</f>
        <v/>
      </c>
      <c r="CU78" s="21" t="str">
        <f>IFERROR(
IF(COUNTIF($BI78:CT78,INDEX($J:$J,MATCH($AK78,$M:$M,0)+CU$8-1))=0,
IF(COUNTIF($M:$M,$AK78)&lt;CU$8,
"",
INDEX($J:$J,MATCH($AK78,$M:$M,0)+CU$8-1)),
""),
"")</f>
        <v/>
      </c>
    </row>
    <row r="79" spans="3:99" ht="14.25">
      <c r="C79" s="16">
        <v>71</v>
      </c>
      <c r="D79" s="19" t="s">
        <v>271</v>
      </c>
      <c r="E79" s="20">
        <f>INDEX([1]武将基本资料!$S:$S,MATCH(D79,[1]武将基本资料!$N:$N,0))</f>
        <v>120</v>
      </c>
      <c r="F79" s="20" t="str">
        <f>INDEX([1]武将基本资料!$Q:$Q,MATCH(D79,[1]武将基本资料!$N:$N,0))</f>
        <v>橙</v>
      </c>
      <c r="H79" s="7">
        <f>IF(I79="","",COUNTA(I$9:$I79))</f>
        <v>69</v>
      </c>
      <c r="I79" s="6" t="s">
        <v>173</v>
      </c>
      <c r="J79" s="6" t="s">
        <v>46</v>
      </c>
      <c r="K79" s="8" t="str">
        <f>IF(H79="","",阶段合并区域(J79:J89," ",L79:L89,1))</f>
        <v>西施 勾践</v>
      </c>
      <c r="L79" s="8">
        <f>COUNTIF(M$8:$M79,"="&amp;M79)</f>
        <v>1</v>
      </c>
      <c r="M79" s="9" t="str">
        <f t="shared" si="13"/>
        <v>忍辱负重</v>
      </c>
      <c r="N79" s="9" t="str">
        <f t="shared" si="14"/>
        <v>忍辱负重1</v>
      </c>
      <c r="O79" s="15">
        <f>INDEX(C:C,MATCH(J79,D:D,0))</f>
        <v>7</v>
      </c>
      <c r="P79" s="9">
        <f>INDEX(E:E,MATCH(J79,D:D,0))</f>
        <v>120</v>
      </c>
      <c r="Q79" s="7">
        <f t="shared" si="10"/>
        <v>7</v>
      </c>
      <c r="R79" s="7">
        <f>COUNTIF(J$8:$J79,"="&amp;J79)</f>
        <v>2</v>
      </c>
      <c r="S79" s="7">
        <f t="shared" ref="S79:S81" si="17">R79*1000+Q79</f>
        <v>2007</v>
      </c>
      <c r="U79" s="7">
        <f t="shared" si="15"/>
        <v>1071</v>
      </c>
      <c r="V79" s="7">
        <f t="shared" si="12"/>
        <v>2071</v>
      </c>
      <c r="W79" s="7">
        <f t="shared" si="12"/>
        <v>3071</v>
      </c>
      <c r="X79" s="7">
        <f t="shared" si="12"/>
        <v>4071</v>
      </c>
      <c r="Y79" s="7">
        <f t="shared" si="12"/>
        <v>5071</v>
      </c>
      <c r="Z79" s="7">
        <f t="shared" si="12"/>
        <v>6071</v>
      </c>
      <c r="AA79" s="7">
        <f t="shared" si="12"/>
        <v>7071</v>
      </c>
      <c r="AB79" s="7">
        <f t="shared" si="12"/>
        <v>8071</v>
      </c>
      <c r="AD79" s="21" t="str">
        <f>IFERROR(INDEX($M:$M,MATCH(U79,$S:$S,0)),"&amp;")</f>
        <v>敢死之士</v>
      </c>
      <c r="AE79" s="21" t="str">
        <f>IFERROR(INDEX($M:$M,MATCH(V79,$S:$S,0)),"&amp;")</f>
        <v>一展身手</v>
      </c>
      <c r="AF79" s="21" t="str">
        <f>IFERROR(INDEX($M:$M,MATCH(W79,$S:$S,0)),"&amp;")</f>
        <v>雄辩之才</v>
      </c>
      <c r="AG79" s="21" t="str">
        <f>IFERROR(INDEX($M:$M,MATCH(X79,$S:$S,0)),"&amp;")</f>
        <v>知子之明</v>
      </c>
      <c r="AH79" s="21" t="str">
        <f>IFERROR(INDEX($M:$M,MATCH(Y79,$S:$S,0)),"&amp;")</f>
        <v>反间计</v>
      </c>
      <c r="AI79" s="21" t="str">
        <f>IFERROR(INDEX($M:$M,MATCH(Z79,$S:$S,0)),"&amp;")</f>
        <v>才貌双全</v>
      </c>
      <c r="AJ79" s="21" t="str">
        <f>IFERROR(INDEX($M:$M,MATCH(AA79,$S:$S,0)),"&amp;")</f>
        <v>轻敌冒进</v>
      </c>
      <c r="AK79" s="21" t="str">
        <f>IFERROR(INDEX($M:$M,MATCH(AB79,$S:$S,0)),"&amp;")</f>
        <v>刚愎自用</v>
      </c>
      <c r="AM79" s="21" t="str">
        <f>IFERROR(INDEX($N:$N,MATCH(U79,$S:$S,0)),"&amp;")</f>
        <v>敢死之士4</v>
      </c>
      <c r="AN79" s="21" t="str">
        <f>IFERROR(INDEX($N:$N,MATCH(V79,$S:$S,0)),"&amp;")</f>
        <v>一展身手1</v>
      </c>
      <c r="AO79" s="21" t="str">
        <f>IFERROR(INDEX($N:$N,MATCH(W79,$S:$S,0)),"&amp;")</f>
        <v>雄辩之才3</v>
      </c>
      <c r="AP79" s="21" t="str">
        <f>IFERROR(INDEX($N:$N,MATCH(X79,$S:$S,0)),"&amp;")</f>
        <v>知子之明2</v>
      </c>
      <c r="AQ79" s="21" t="str">
        <f>IFERROR(INDEX($N:$N,MATCH(Y79,$S:$S,0)),"&amp;")</f>
        <v>反间计2</v>
      </c>
      <c r="AR79" s="21" t="str">
        <f>IFERROR(INDEX($N:$N,MATCH(Z79,$S:$S,0)),"&amp;")</f>
        <v>才貌双全4</v>
      </c>
      <c r="AS79" s="21" t="str">
        <f>IFERROR(INDEX($N:$N,MATCH(AA79,$S:$S,0)),"&amp;")</f>
        <v>轻敌冒进2</v>
      </c>
      <c r="AT79" s="21" t="str">
        <f>IFERROR(INDEX($N:$N,MATCH(AB79,$S:$S,0)),"&amp;")</f>
        <v>刚愎自用2</v>
      </c>
      <c r="AV79" s="21" t="str">
        <f>IFERROR(SUBSTITUTE(INDEX($K:$K,MATCH(INDEX($M:$M,MATCH(AM79,$N:$N,0)),$M:$M,0)),$D79,""),"")</f>
        <v xml:space="preserve">朱亥 专诸 荆轲 </v>
      </c>
      <c r="AW79" s="21" t="str">
        <f>IFERROR(SUBSTITUTE(INDEX($K:$K,MATCH(INDEX($M:$M,MATCH(AN79,$N:$N,0)),$M:$M,0)),$D79,""),"")</f>
        <v xml:space="preserve"> 欧冶子</v>
      </c>
      <c r="AX79" s="21" t="str">
        <f>IFERROR(SUBSTITUTE(INDEX($K:$K,MATCH(INDEX($M:$M,MATCH(AO79,$N:$N,0)),$M:$M,0)),$D79,""),"")</f>
        <v xml:space="preserve">蔺相如 韩非子 </v>
      </c>
      <c r="AY79" s="21" t="str">
        <f>IFERROR(SUBSTITUTE(INDEX($K:$K,MATCH(INDEX($M:$M,MATCH(AP79,$N:$N,0)),$M:$M,0)),$D79,""),"")</f>
        <v xml:space="preserve">赵奢 </v>
      </c>
      <c r="AZ79" s="21" t="str">
        <f>IFERROR(SUBSTITUTE(INDEX($K:$K,MATCH(INDEX($M:$M,MATCH(AQ79,$N:$N,0)),$M:$M,0)),$D79,""),"")</f>
        <v>范雎  廉颇</v>
      </c>
      <c r="BA79" s="21" t="str">
        <f>IFERROR(SUBSTITUTE(INDEX($K:$K,MATCH(INDEX($M:$M,MATCH(AR79,$N:$N,0)),$M:$M,0)),$D79,""),"")</f>
        <v xml:space="preserve">虞姬 信陵君 孟尝君 </v>
      </c>
      <c r="BB79" s="21" t="str">
        <f>IFERROR(SUBSTITUTE(INDEX($K:$K,MATCH(INDEX($M:$M,MATCH(AS79,$N:$N,0)),$M:$M,0)),$D79,""),"")</f>
        <v xml:space="preserve">养由基 </v>
      </c>
      <c r="BC79" s="21" t="str">
        <f>IFERROR(SUBSTITUTE(INDEX($K:$K,MATCH(INDEX($M:$M,MATCH(AT79,$N:$N,0)),$M:$M,0)),$D79,""),"")</f>
        <v xml:space="preserve">袁绍 </v>
      </c>
      <c r="BE79" s="9" t="str">
        <f t="shared" si="16"/>
        <v>朱亥,专诸,荆轲,赵括,欧冶子,蔺相如,韩非子,屈原,赵奢,范雎,廉颇,虞姬,信陵君,孟尝君,养由基,袁绍</v>
      </c>
      <c r="BI79" s="9" t="str">
        <f>IFERROR(
IF(COUNTIF($M:$M,$AD79)&lt;BI$8,
"",
INDEX($J:$J,MATCH($AD79,$M:$M,0)+BI$8-1)),
"")</f>
        <v>朱亥</v>
      </c>
      <c r="BJ79" s="9" t="str">
        <f>IFERROR(
IF(COUNTIF($M:$M,$AD79)&lt;BJ$8,
"",
INDEX($J:$J,MATCH($AD79,$M:$M,0)+BJ$8-1)),
"")</f>
        <v>专诸</v>
      </c>
      <c r="BK79" s="9" t="str">
        <f>IFERROR(
IF(COUNTIF($M:$M,$AD79)&lt;BK$8,
"",
INDEX($J:$J,MATCH($AD79,$M:$M,0)+BK$8-1)),
"")</f>
        <v>荆轲</v>
      </c>
      <c r="BL79" s="9" t="str">
        <f>IFERROR(
IF(COUNTIF($M:$M,$AD79)&lt;BL$8,
"",
INDEX($J:$J,MATCH($AD79,$M:$M,0)+BL$8-1)),
"")</f>
        <v>赵括</v>
      </c>
      <c r="BN79" s="21" t="str">
        <f>IFERROR(
IF(COUNTIF($BI79:BM79,INDEX($J:$J,MATCH($AE79,$M:$M,0)+BN$8-1))=0,
IF(COUNTIF($M:$M,$AE79)&lt;BN$8,
"",
INDEX($J:$J,MATCH($AE79,$M:$M,0)+BN$8-1)),
""),
"")</f>
        <v/>
      </c>
      <c r="BO79" s="21" t="str">
        <f>IFERROR(
IF(COUNTIF($BI79:BN79,INDEX($J:$J,MATCH($AE79,$M:$M,0)+BO$8-1))=0,
IF(COUNTIF($M:$M,$AE79)&lt;BO$8,
"",
INDEX($J:$J,MATCH($AE79,$M:$M,0)+BO$8-1)),
""),
"")</f>
        <v>欧冶子</v>
      </c>
      <c r="BP79" s="21" t="str">
        <f>IFERROR(
IF(COUNTIF($BI79:BO79,INDEX($J:$J,MATCH($AE79,$M:$M,0)+BP$8-1))=0,
IF(COUNTIF($M:$M,$AE79)&lt;BP$8,
"",
INDEX($J:$J,MATCH($AE79,$M:$M,0)+BP$8-1)),
""),
"")</f>
        <v/>
      </c>
      <c r="BQ79" s="21" t="str">
        <f>IFERROR(
IF(COUNTIF($BI79:BP79,INDEX($J:$J,MATCH($AE79,$M:$M,0)+BQ$8-1))=0,
IF(COUNTIF($M:$M,$AE79)&lt;BQ$8,
"",
INDEX($J:$J,MATCH($AE79,$M:$M,0)+BQ$8-1)),
""),
"")</f>
        <v/>
      </c>
      <c r="BS79" s="21" t="str">
        <f>IFERROR(
IF(COUNTIF($BI79:BR79,INDEX($J:$J,MATCH($AF79,$M:$M,0)+BS$8-1))=0,
IF(COUNTIF($M:$M,$AF79)&lt;BS$8,
"",
INDEX($J:$J,MATCH($AF79,$M:$M,0)+BS$8-1)),
""),
"")</f>
        <v>蔺相如</v>
      </c>
      <c r="BT79" s="21" t="str">
        <f>IFERROR(
IF(COUNTIF($BI79:BS79,INDEX($J:$J,MATCH($AF79,$M:$M,0)+BT$8-1))=0,
IF(COUNTIF($M:$M,$AF79)&lt;BT$8,
"",
INDEX($J:$J,MATCH($AF79,$M:$M,0)+BT$8-1)),
""),
"")</f>
        <v>韩非子</v>
      </c>
      <c r="BU79" s="21" t="str">
        <f>IFERROR(
IF(COUNTIF($BI79:BT79,INDEX($J:$J,MATCH($AF79,$M:$M,0)+BU$8-1))=0,
IF(COUNTIF($M:$M,$AF79)&lt;BU$8,
"",
INDEX($J:$J,MATCH($AF79,$M:$M,0)+BU$8-1)),
""),
"")</f>
        <v/>
      </c>
      <c r="BV79" s="21" t="str">
        <f>IFERROR(
IF(COUNTIF($BI79:BU79,INDEX($J:$J,MATCH($AF79,$M:$M,0)+BV$8-1))=0,
IF(COUNTIF($M:$M,$AF79)&lt;BV$8,
"",
INDEX($J:$J,MATCH($AF79,$M:$M,0)+BV$8-1)),
""),
"")</f>
        <v>屈原</v>
      </c>
      <c r="BX79" s="21" t="str">
        <f>IFERROR(
IF(COUNTIF($BI79:BW79,INDEX($J:$J,MATCH($AG79,$M:$M,0)+BX$8-1))=0,
IF(COUNTIF($M:$M,$AG79)&lt;BX$8,
"",
INDEX($J:$J,MATCH($AG79,$M:$M,0)+BX$8-1)),
""),
"")</f>
        <v>赵奢</v>
      </c>
      <c r="BY79" s="21" t="str">
        <f>IFERROR(
IF(COUNTIF($BI79:BX79,INDEX($J:$J,MATCH($AG79,$M:$M,0)+BY$8-1))=0,
IF(COUNTIF($M:$M,$AG79)&lt;BY$8,
"",
INDEX($J:$J,MATCH($AG79,$M:$M,0)+BY$8-1)),
""),
"")</f>
        <v/>
      </c>
      <c r="BZ79" s="21" t="str">
        <f>IFERROR(
IF(COUNTIF($BI79:BY79,INDEX($J:$J,MATCH($AG79,$M:$M,0)+BZ$8-1))=0,
IF(COUNTIF($M:$M,$AG79)&lt;BZ$8,
"",
INDEX($J:$J,MATCH($AG79,$M:$M,0)+BZ$8-1)),
""),
"")</f>
        <v/>
      </c>
      <c r="CA79" s="21" t="str">
        <f>IFERROR(
IF(COUNTIF($BI79:BZ79,INDEX($J:$J,MATCH($AG79,$M:$M,0)+CA$8-1))=0,
IF(COUNTIF($M:$M,$AG79)&lt;CA$8,
"",
INDEX($J:$J,MATCH($AG79,$M:$M,0)+CA$8-1)),
""),
"")</f>
        <v/>
      </c>
      <c r="CC79" s="21" t="str">
        <f>IFERROR(
IF(COUNTIF($BI79:CB79,INDEX($J:$J,MATCH($AH79,$M:$M,0)+CC$8-1))=0,
IF(COUNTIF($M:$M,$AH79)&lt;CC$8,
"",
INDEX($J:$J,MATCH($AH79,$M:$M,0)+CC$8-1)),
""),
"")</f>
        <v>范雎</v>
      </c>
      <c r="CD79" s="21" t="str">
        <f>IFERROR(
IF(COUNTIF($BI79:CC79,INDEX($J:$J,MATCH($AH79,$M:$M,0)+CD$8-1))=0,
IF(COUNTIF($M:$M,$AH79)&lt;CD$8,
"",
INDEX($J:$J,MATCH($AH79,$M:$M,0)+CD$8-1)),
""),
"")</f>
        <v/>
      </c>
      <c r="CE79" s="21" t="str">
        <f>IFERROR(
IF(COUNTIF($BI79:CD79,INDEX($J:$J,MATCH($AH79,$M:$M,0)+CE$8-1))=0,
IF(COUNTIF($M:$M,$AH79)&lt;CE$8,
"",
INDEX($J:$J,MATCH($AH79,$M:$M,0)+CE$8-1)),
""),
"")</f>
        <v>廉颇</v>
      </c>
      <c r="CF79" s="21" t="str">
        <f>IFERROR(
IF(COUNTIF($BI79:CE79,INDEX($J:$J,MATCH($AH79,$M:$M,0)+CF$8-1))=0,
IF(COUNTIF($M:$M,$AH79)&lt;CF$8,
"",
INDEX($J:$J,MATCH($AH79,$M:$M,0)+CF$8-1)),
""),
"")</f>
        <v/>
      </c>
      <c r="CH79" s="21" t="str">
        <f>IFERROR(
IF(COUNTIF($BI79:CG79,INDEX($J:$J,MATCH($AI79,$M:$M,0)+CH$8-1))=0,
IF(COUNTIF($M:$M,$AI79)&lt;CH$8,
"",
INDEX($J:$J,MATCH($AI79,$M:$M,0)+CH$8-1)),
""),
"")</f>
        <v>虞姬</v>
      </c>
      <c r="CI79" s="21" t="str">
        <f>IFERROR(
IF(COUNTIF($BI79:CH79,INDEX($J:$J,MATCH($AI79,$M:$M,0)+CI$8-1))=0,
IF(COUNTIF($M:$M,$AI79)&lt;CI$8,
"",
INDEX($J:$J,MATCH($AI79,$M:$M,0)+CI$8-1)),
""),
"")</f>
        <v>信陵君</v>
      </c>
      <c r="CJ79" s="21" t="str">
        <f>IFERROR(
IF(COUNTIF($BI79:CI79,INDEX($J:$J,MATCH($AI79,$M:$M,0)+CJ$8-1))=0,
IF(COUNTIF($M:$M,$AI79)&lt;CJ$8,
"",
INDEX($J:$J,MATCH($AI79,$M:$M,0)+CJ$8-1)),
""),
"")</f>
        <v>孟尝君</v>
      </c>
      <c r="CK79" s="21" t="str">
        <f>IFERROR(
IF(COUNTIF($BI79:CJ79,INDEX($J:$J,MATCH($AI79,$M:$M,0)+CK$8-1))=0,
IF(COUNTIF($M:$M,$AI79)&lt;CK$8,
"",
INDEX($J:$J,MATCH($AI79,$M:$M,0)+CK$8-1)),
""),
"")</f>
        <v/>
      </c>
      <c r="CM79" s="21" t="str">
        <f>IFERROR(
IF(COUNTIF($BI79:CL79,INDEX($J:$J,MATCH($AJ79,$M:$M,0)+CM$8-1))=0,
IF(COUNTIF($M:$M,$AJ79)&lt;CM$8,
"",
INDEX($J:$J,MATCH($AJ79,$M:$M,0)+CM$8-1)),
""),
"")</f>
        <v>养由基</v>
      </c>
      <c r="CN79" s="21" t="str">
        <f>IFERROR(
IF(COUNTIF($BI79:CM79,INDEX($J:$J,MATCH($AJ79,$M:$M,0)+CN$8-1))=0,
IF(COUNTIF($M:$M,$AJ79)&lt;CN$8,
"",
INDEX($J:$J,MATCH($AJ79,$M:$M,0)+CN$8-1)),
""),
"")</f>
        <v/>
      </c>
      <c r="CO79" s="21" t="str">
        <f>IFERROR(
IF(COUNTIF($BI79:CN79,INDEX($J:$J,MATCH($AJ79,$M:$M,0)+CO$8-1))=0,
IF(COUNTIF($M:$M,$AJ79)&lt;CO$8,
"",
INDEX($J:$J,MATCH($AJ79,$M:$M,0)+CO$8-1)),
""),
"")</f>
        <v/>
      </c>
      <c r="CP79" s="21" t="str">
        <f>IFERROR(
IF(COUNTIF($BI79:CO79,INDEX($J:$J,MATCH($AJ79,$M:$M,0)+CP$8-1))=0,
IF(COUNTIF($M:$M,$AJ79)&lt;CP$8,
"",
INDEX($J:$J,MATCH($AJ79,$M:$M,0)+CP$8-1)),
""),
"")</f>
        <v/>
      </c>
      <c r="CR79" s="21" t="str">
        <f>IFERROR(
IF(COUNTIF($BI79:CQ79,INDEX($J:$J,MATCH($AK79,$M:$M,0)+CR$8-1))=0,
IF(COUNTIF($M:$M,$AK79)&lt;CR$8,
"",
INDEX($J:$J,MATCH($AK79,$M:$M,0)+CR$8-1)),
""),
"")</f>
        <v>袁绍</v>
      </c>
      <c r="CS79" s="21" t="str">
        <f>IFERROR(
IF(COUNTIF($BI79:CR79,INDEX($J:$J,MATCH($AK79,$M:$M,0)+CS$8-1))=0,
IF(COUNTIF($M:$M,$AK79)&lt;CS$8,
"",
INDEX($J:$J,MATCH($AK79,$M:$M,0)+CS$8-1)),
""),
"")</f>
        <v/>
      </c>
      <c r="CT79" s="21" t="str">
        <f>IFERROR(
IF(COUNTIF($BI79:CS79,INDEX($J:$J,MATCH($AK79,$M:$M,0)+CT$8-1))=0,
IF(COUNTIF($M:$M,$AK79)&lt;CT$8,
"",
INDEX($J:$J,MATCH($AK79,$M:$M,0)+CT$8-1)),
""),
"")</f>
        <v/>
      </c>
      <c r="CU79" s="21" t="str">
        <f>IFERROR(
IF(COUNTIF($BI79:CT79,INDEX($J:$J,MATCH($AK79,$M:$M,0)+CU$8-1))=0,
IF(COUNTIF($M:$M,$AK79)&lt;CU$8,
"",
INDEX($J:$J,MATCH($AK79,$M:$M,0)+CU$8-1)),
""),
"")</f>
        <v/>
      </c>
    </row>
    <row r="80" spans="3:99" ht="14.25">
      <c r="C80" s="16">
        <v>72</v>
      </c>
      <c r="D80" s="19" t="s">
        <v>278</v>
      </c>
      <c r="E80" s="20">
        <f>INDEX([1]武将基本资料!$S:$S,MATCH(D80,[1]武将基本资料!$N:$N,0))</f>
        <v>130</v>
      </c>
      <c r="F80" s="20" t="str">
        <f>INDEX([1]武将基本资料!$Q:$Q,MATCH(D80,[1]武将基本资料!$N:$N,0))</f>
        <v>橙+</v>
      </c>
      <c r="H80" s="7" t="str">
        <f>IF(I80="","",COUNTA(I$9:$I80))</f>
        <v/>
      </c>
      <c r="I80" s="6" t="s">
        <v>188</v>
      </c>
      <c r="J80" s="6" t="s">
        <v>85</v>
      </c>
      <c r="K80" s="8" t="str">
        <f>IF(H80="","",阶段合并区域(J80:J90," ",L80:L90,1))</f>
        <v/>
      </c>
      <c r="L80" s="8">
        <f>COUNTIF(M$8:$M80,"="&amp;M80)</f>
        <v>2</v>
      </c>
      <c r="M80" s="9" t="str">
        <f t="shared" si="13"/>
        <v>忍辱负重</v>
      </c>
      <c r="N80" s="9" t="str">
        <f t="shared" si="14"/>
        <v>忍辱负重2</v>
      </c>
      <c r="O80" s="15">
        <f>INDEX(C:C,MATCH(J80,D:D,0))</f>
        <v>64</v>
      </c>
      <c r="P80" s="9">
        <f>INDEX(E:E,MATCH(J80,D:D,0))</f>
        <v>120</v>
      </c>
      <c r="Q80" s="7">
        <f t="shared" si="10"/>
        <v>64</v>
      </c>
      <c r="R80" s="7">
        <f>COUNTIF(J$8:$J80,"="&amp;J80)</f>
        <v>2</v>
      </c>
      <c r="S80" s="7">
        <f t="shared" si="17"/>
        <v>2064</v>
      </c>
      <c r="U80" s="7">
        <f t="shared" si="15"/>
        <v>1072</v>
      </c>
      <c r="V80" s="7">
        <f t="shared" si="12"/>
        <v>2072</v>
      </c>
      <c r="W80" s="7">
        <f t="shared" si="12"/>
        <v>3072</v>
      </c>
      <c r="X80" s="7">
        <f t="shared" si="12"/>
        <v>4072</v>
      </c>
      <c r="Y80" s="7">
        <f t="shared" si="12"/>
        <v>5072</v>
      </c>
      <c r="Z80" s="7">
        <f t="shared" si="12"/>
        <v>6072</v>
      </c>
      <c r="AA80" s="7">
        <f t="shared" si="12"/>
        <v>7072</v>
      </c>
      <c r="AB80" s="7">
        <f t="shared" si="12"/>
        <v>8072</v>
      </c>
      <c r="AD80" s="21" t="str">
        <f>IFERROR(INDEX($M:$M,MATCH(U80,$S:$S,0)),"&amp;")</f>
        <v>权力之路</v>
      </c>
      <c r="AE80" s="21" t="str">
        <f>IFERROR(INDEX($M:$M,MATCH(V80,$S:$S,0)),"&amp;")</f>
        <v>功高震主</v>
      </c>
      <c r="AF80" s="21" t="str">
        <f>IFERROR(INDEX($M:$M,MATCH(W80,$S:$S,0)),"&amp;")</f>
        <v>一人之下</v>
      </c>
      <c r="AG80" s="21" t="str">
        <f>IFERROR(INDEX($M:$M,MATCH(X80,$S:$S,0)),"&amp;")</f>
        <v>&amp;</v>
      </c>
      <c r="AH80" s="21" t="str">
        <f>IFERROR(INDEX($M:$M,MATCH(Y80,$S:$S,0)),"&amp;")</f>
        <v>&amp;</v>
      </c>
      <c r="AI80" s="21" t="str">
        <f>IFERROR(INDEX($M:$M,MATCH(Z80,$S:$S,0)),"&amp;")</f>
        <v>&amp;</v>
      </c>
      <c r="AJ80" s="21" t="str">
        <f>IFERROR(INDEX($M:$M,MATCH(AA80,$S:$S,0)),"&amp;")</f>
        <v>&amp;</v>
      </c>
      <c r="AK80" s="21" t="str">
        <f>IFERROR(INDEX($M:$M,MATCH(AB80,$S:$S,0)),"&amp;")</f>
        <v>&amp;</v>
      </c>
      <c r="AM80" s="21" t="str">
        <f>IFERROR(INDEX($N:$N,MATCH(U80,$S:$S,0)),"&amp;")</f>
        <v>权力之路1</v>
      </c>
      <c r="AN80" s="21" t="str">
        <f>IFERROR(INDEX($N:$N,MATCH(V80,$S:$S,0)),"&amp;")</f>
        <v>功高震主1</v>
      </c>
      <c r="AO80" s="21" t="str">
        <f>IFERROR(INDEX($N:$N,MATCH(W80,$S:$S,0)),"&amp;")</f>
        <v>一人之下1</v>
      </c>
      <c r="AP80" s="21" t="str">
        <f>IFERROR(INDEX($N:$N,MATCH(X80,$S:$S,0)),"&amp;")</f>
        <v>&amp;</v>
      </c>
      <c r="AQ80" s="21" t="str">
        <f>IFERROR(INDEX($N:$N,MATCH(Y80,$S:$S,0)),"&amp;")</f>
        <v>&amp;</v>
      </c>
      <c r="AR80" s="21" t="str">
        <f>IFERROR(INDEX($N:$N,MATCH(Z80,$S:$S,0)),"&amp;")</f>
        <v>&amp;</v>
      </c>
      <c r="AS80" s="21" t="str">
        <f>IFERROR(INDEX($N:$N,MATCH(AA80,$S:$S,0)),"&amp;")</f>
        <v>&amp;</v>
      </c>
      <c r="AT80" s="21" t="str">
        <f>IFERROR(INDEX($N:$N,MATCH(AB80,$S:$S,0)),"&amp;")</f>
        <v>&amp;</v>
      </c>
      <c r="AV80" s="21" t="str">
        <f>IFERROR(SUBSTITUTE(INDEX($K:$K,MATCH(INDEX($M:$M,MATCH(AM80,$N:$N,0)),$M:$M,0)),$D80,""),"")</f>
        <v xml:space="preserve"> 吕不韦 韩非子</v>
      </c>
      <c r="AW80" s="21" t="str">
        <f>IFERROR(SUBSTITUTE(INDEX($K:$K,MATCH(INDEX($M:$M,MATCH(AN80,$N:$N,0)),$M:$M,0)),$D80,""),"")</f>
        <v xml:space="preserve"> 屈原 田单 项燕</v>
      </c>
      <c r="AX80" s="21" t="str">
        <f>IFERROR(SUBSTITUTE(INDEX($K:$K,MATCH(INDEX($M:$M,MATCH(AO80,$N:$N,0)),$M:$M,0)),$D80,""),"")</f>
        <v xml:space="preserve"> 信陵君 苏秦 申不害</v>
      </c>
      <c r="AY80" s="21" t="str">
        <f>IFERROR(SUBSTITUTE(INDEX($K:$K,MATCH(INDEX($M:$M,MATCH(AP80,$N:$N,0)),$M:$M,0)),$D80,""),"")</f>
        <v/>
      </c>
      <c r="AZ80" s="21" t="str">
        <f>IFERROR(SUBSTITUTE(INDEX($K:$K,MATCH(INDEX($M:$M,MATCH(AQ80,$N:$N,0)),$M:$M,0)),$D80,""),"")</f>
        <v/>
      </c>
      <c r="BA80" s="21" t="str">
        <f>IFERROR(SUBSTITUTE(INDEX($K:$K,MATCH(INDEX($M:$M,MATCH(AR80,$N:$N,0)),$M:$M,0)),$D80,""),"")</f>
        <v/>
      </c>
      <c r="BB80" s="21" t="str">
        <f>IFERROR(SUBSTITUTE(INDEX($K:$K,MATCH(INDEX($M:$M,MATCH(AS80,$N:$N,0)),$M:$M,0)),$D80,""),"")</f>
        <v/>
      </c>
      <c r="BC80" s="21" t="str">
        <f>IFERROR(SUBSTITUTE(INDEX($K:$K,MATCH(INDEX($M:$M,MATCH(AT80,$N:$N,0)),$M:$M,0)),$D80,""),"")</f>
        <v/>
      </c>
      <c r="BE80" s="9" t="str">
        <f t="shared" si="16"/>
        <v>典藏吕不韦,吕不韦,韩非子,孙膑,屈原,田单,项燕,信陵君,苏秦,申不害</v>
      </c>
      <c r="BI80" s="9" t="str">
        <f>IFERROR(
IF(COUNTIF($M:$M,$AD80)&lt;BI$8,
"",
INDEX($J:$J,MATCH($AD80,$M:$M,0)+BI$8-1)),
"")</f>
        <v>典藏吕不韦</v>
      </c>
      <c r="BJ80" s="9" t="str">
        <f>IFERROR(
IF(COUNTIF($M:$M,$AD80)&lt;BJ$8,
"",
INDEX($J:$J,MATCH($AD80,$M:$M,0)+BJ$8-1)),
"")</f>
        <v>吕不韦</v>
      </c>
      <c r="BK80" s="9" t="str">
        <f>IFERROR(
IF(COUNTIF($M:$M,$AD80)&lt;BK$8,
"",
INDEX($J:$J,MATCH($AD80,$M:$M,0)+BK$8-1)),
"")</f>
        <v>韩非子</v>
      </c>
      <c r="BL80" s="9" t="str">
        <f>IFERROR(
IF(COUNTIF($M:$M,$AD80)&lt;BL$8,
"",
INDEX($J:$J,MATCH($AD80,$M:$M,0)+BL$8-1)),
"")</f>
        <v>孙膑</v>
      </c>
      <c r="BN80" s="21" t="str">
        <f>IFERROR(
IF(COUNTIF($BI80:BM80,INDEX($J:$J,MATCH($AE80,$M:$M,0)+BN$8-1))=0,
IF(COUNTIF($M:$M,$AE80)&lt;BN$8,
"",
INDEX($J:$J,MATCH($AE80,$M:$M,0)+BN$8-1)),
""),
"")</f>
        <v/>
      </c>
      <c r="BO80" s="21" t="str">
        <f>IFERROR(
IF(COUNTIF($BI80:BN80,INDEX($J:$J,MATCH($AE80,$M:$M,0)+BO$8-1))=0,
IF(COUNTIF($M:$M,$AE80)&lt;BO$8,
"",
INDEX($J:$J,MATCH($AE80,$M:$M,0)+BO$8-1)),
""),
"")</f>
        <v>屈原</v>
      </c>
      <c r="BP80" s="21" t="str">
        <f>IFERROR(
IF(COUNTIF($BI80:BO80,INDEX($J:$J,MATCH($AE80,$M:$M,0)+BP$8-1))=0,
IF(COUNTIF($M:$M,$AE80)&lt;BP$8,
"",
INDEX($J:$J,MATCH($AE80,$M:$M,0)+BP$8-1)),
""),
"")</f>
        <v>田单</v>
      </c>
      <c r="BQ80" s="21" t="str">
        <f>IFERROR(
IF(COUNTIF($BI80:BP80,INDEX($J:$J,MATCH($AE80,$M:$M,0)+BQ$8-1))=0,
IF(COUNTIF($M:$M,$AE80)&lt;BQ$8,
"",
INDEX($J:$J,MATCH($AE80,$M:$M,0)+BQ$8-1)),
""),
"")</f>
        <v>项燕</v>
      </c>
      <c r="BS80" s="21" t="str">
        <f>IFERROR(
IF(COUNTIF($BI80:BR80,INDEX($J:$J,MATCH($AF80,$M:$M,0)+BS$8-1))=0,
IF(COUNTIF($M:$M,$AF80)&lt;BS$8,
"",
INDEX($J:$J,MATCH($AF80,$M:$M,0)+BS$8-1)),
""),
"")</f>
        <v/>
      </c>
      <c r="BT80" s="21" t="str">
        <f>IFERROR(
IF(COUNTIF($BI80:BS80,INDEX($J:$J,MATCH($AF80,$M:$M,0)+BT$8-1))=0,
IF(COUNTIF($M:$M,$AF80)&lt;BT$8,
"",
INDEX($J:$J,MATCH($AF80,$M:$M,0)+BT$8-1)),
""),
"")</f>
        <v>信陵君</v>
      </c>
      <c r="BU80" s="21" t="str">
        <f>IFERROR(
IF(COUNTIF($BI80:BT80,INDEX($J:$J,MATCH($AF80,$M:$M,0)+BU$8-1))=0,
IF(COUNTIF($M:$M,$AF80)&lt;BU$8,
"",
INDEX($J:$J,MATCH($AF80,$M:$M,0)+BU$8-1)),
""),
"")</f>
        <v>苏秦</v>
      </c>
      <c r="BV80" s="21" t="str">
        <f>IFERROR(
IF(COUNTIF($BI80:BU80,INDEX($J:$J,MATCH($AF80,$M:$M,0)+BV$8-1))=0,
IF(COUNTIF($M:$M,$AF80)&lt;BV$8,
"",
INDEX($J:$J,MATCH($AF80,$M:$M,0)+BV$8-1)),
""),
"")</f>
        <v>申不害</v>
      </c>
      <c r="BX80" s="21" t="str">
        <f>IFERROR(
IF(COUNTIF($BI80:BW80,INDEX($J:$J,MATCH($AG80,$M:$M,0)+BX$8-1))=0,
IF(COUNTIF($M:$M,$AG80)&lt;BX$8,
"",
INDEX($J:$J,MATCH($AG80,$M:$M,0)+BX$8-1)),
""),
"")</f>
        <v/>
      </c>
      <c r="BY80" s="21" t="str">
        <f>IFERROR(
IF(COUNTIF($BI80:BX80,INDEX($J:$J,MATCH($AG80,$M:$M,0)+BY$8-1))=0,
IF(COUNTIF($M:$M,$AG80)&lt;BY$8,
"",
INDEX($J:$J,MATCH($AG80,$M:$M,0)+BY$8-1)),
""),
"")</f>
        <v/>
      </c>
      <c r="BZ80" s="21" t="str">
        <f>IFERROR(
IF(COUNTIF($BI80:BY80,INDEX($J:$J,MATCH($AG80,$M:$M,0)+BZ$8-1))=0,
IF(COUNTIF($M:$M,$AG80)&lt;BZ$8,
"",
INDEX($J:$J,MATCH($AG80,$M:$M,0)+BZ$8-1)),
""),
"")</f>
        <v/>
      </c>
      <c r="CA80" s="21" t="str">
        <f>IFERROR(
IF(COUNTIF($BI80:BZ80,INDEX($J:$J,MATCH($AG80,$M:$M,0)+CA$8-1))=0,
IF(COUNTIF($M:$M,$AG80)&lt;CA$8,
"",
INDEX($J:$J,MATCH($AG80,$M:$M,0)+CA$8-1)),
""),
"")</f>
        <v/>
      </c>
      <c r="CC80" s="21" t="str">
        <f>IFERROR(
IF(COUNTIF($BI80:CB80,INDEX($J:$J,MATCH($AH80,$M:$M,0)+CC$8-1))=0,
IF(COUNTIF($M:$M,$AH80)&lt;CC$8,
"",
INDEX($J:$J,MATCH($AH80,$M:$M,0)+CC$8-1)),
""),
"")</f>
        <v/>
      </c>
      <c r="CD80" s="21" t="str">
        <f>IFERROR(
IF(COUNTIF($BI80:CC80,INDEX($J:$J,MATCH($AH80,$M:$M,0)+CD$8-1))=0,
IF(COUNTIF($M:$M,$AH80)&lt;CD$8,
"",
INDEX($J:$J,MATCH($AH80,$M:$M,0)+CD$8-1)),
""),
"")</f>
        <v/>
      </c>
      <c r="CE80" s="21" t="str">
        <f>IFERROR(
IF(COUNTIF($BI80:CD80,INDEX($J:$J,MATCH($AH80,$M:$M,0)+CE$8-1))=0,
IF(COUNTIF($M:$M,$AH80)&lt;CE$8,
"",
INDEX($J:$J,MATCH($AH80,$M:$M,0)+CE$8-1)),
""),
"")</f>
        <v/>
      </c>
      <c r="CF80" s="21" t="str">
        <f>IFERROR(
IF(COUNTIF($BI80:CE80,INDEX($J:$J,MATCH($AH80,$M:$M,0)+CF$8-1))=0,
IF(COUNTIF($M:$M,$AH80)&lt;CF$8,
"",
INDEX($J:$J,MATCH($AH80,$M:$M,0)+CF$8-1)),
""),
"")</f>
        <v/>
      </c>
      <c r="CH80" s="21" t="str">
        <f>IFERROR(
IF(COUNTIF($BI80:CG80,INDEX($J:$J,MATCH($AI80,$M:$M,0)+CH$8-1))=0,
IF(COUNTIF($M:$M,$AI80)&lt;CH$8,
"",
INDEX($J:$J,MATCH($AI80,$M:$M,0)+CH$8-1)),
""),
"")</f>
        <v/>
      </c>
      <c r="CI80" s="21" t="str">
        <f>IFERROR(
IF(COUNTIF($BI80:CH80,INDEX($J:$J,MATCH($AI80,$M:$M,0)+CI$8-1))=0,
IF(COUNTIF($M:$M,$AI80)&lt;CI$8,
"",
INDEX($J:$J,MATCH($AI80,$M:$M,0)+CI$8-1)),
""),
"")</f>
        <v/>
      </c>
      <c r="CJ80" s="21" t="str">
        <f>IFERROR(
IF(COUNTIF($BI80:CI80,INDEX($J:$J,MATCH($AI80,$M:$M,0)+CJ$8-1))=0,
IF(COUNTIF($M:$M,$AI80)&lt;CJ$8,
"",
INDEX($J:$J,MATCH($AI80,$M:$M,0)+CJ$8-1)),
""),
"")</f>
        <v/>
      </c>
      <c r="CK80" s="21" t="str">
        <f>IFERROR(
IF(COUNTIF($BI80:CJ80,INDEX($J:$J,MATCH($AI80,$M:$M,0)+CK$8-1))=0,
IF(COUNTIF($M:$M,$AI80)&lt;CK$8,
"",
INDEX($J:$J,MATCH($AI80,$M:$M,0)+CK$8-1)),
""),
"")</f>
        <v/>
      </c>
      <c r="CM80" s="21" t="str">
        <f>IFERROR(
IF(COUNTIF($BI80:CL80,INDEX($J:$J,MATCH($AJ80,$M:$M,0)+CM$8-1))=0,
IF(COUNTIF($M:$M,$AJ80)&lt;CM$8,
"",
INDEX($J:$J,MATCH($AJ80,$M:$M,0)+CM$8-1)),
""),
"")</f>
        <v/>
      </c>
      <c r="CN80" s="21" t="str">
        <f>IFERROR(
IF(COUNTIF($BI80:CM80,INDEX($J:$J,MATCH($AJ80,$M:$M,0)+CN$8-1))=0,
IF(COUNTIF($M:$M,$AJ80)&lt;CN$8,
"",
INDEX($J:$J,MATCH($AJ80,$M:$M,0)+CN$8-1)),
""),
"")</f>
        <v/>
      </c>
      <c r="CO80" s="21" t="str">
        <f>IFERROR(
IF(COUNTIF($BI80:CN80,INDEX($J:$J,MATCH($AJ80,$M:$M,0)+CO$8-1))=0,
IF(COUNTIF($M:$M,$AJ80)&lt;CO$8,
"",
INDEX($J:$J,MATCH($AJ80,$M:$M,0)+CO$8-1)),
""),
"")</f>
        <v/>
      </c>
      <c r="CP80" s="21" t="str">
        <f>IFERROR(
IF(COUNTIF($BI80:CO80,INDEX($J:$J,MATCH($AJ80,$M:$M,0)+CP$8-1))=0,
IF(COUNTIF($M:$M,$AJ80)&lt;CP$8,
"",
INDEX($J:$J,MATCH($AJ80,$M:$M,0)+CP$8-1)),
""),
"")</f>
        <v/>
      </c>
      <c r="CR80" s="21" t="str">
        <f>IFERROR(
IF(COUNTIF($BI80:CQ80,INDEX($J:$J,MATCH($AK80,$M:$M,0)+CR$8-1))=0,
IF(COUNTIF($M:$M,$AK80)&lt;CR$8,
"",
INDEX($J:$J,MATCH($AK80,$M:$M,0)+CR$8-1)),
""),
"")</f>
        <v/>
      </c>
      <c r="CS80" s="21" t="str">
        <f>IFERROR(
IF(COUNTIF($BI80:CR80,INDEX($J:$J,MATCH($AK80,$M:$M,0)+CS$8-1))=0,
IF(COUNTIF($M:$M,$AK80)&lt;CS$8,
"",
INDEX($J:$J,MATCH($AK80,$M:$M,0)+CS$8-1)),
""),
"")</f>
        <v/>
      </c>
      <c r="CT80" s="21" t="str">
        <f>IFERROR(
IF(COUNTIF($BI80:CS80,INDEX($J:$J,MATCH($AK80,$M:$M,0)+CT$8-1))=0,
IF(COUNTIF($M:$M,$AK80)&lt;CT$8,
"",
INDEX($J:$J,MATCH($AK80,$M:$M,0)+CT$8-1)),
""),
"")</f>
        <v/>
      </c>
      <c r="CU80" s="21" t="str">
        <f>IFERROR(
IF(COUNTIF($BI80:CT80,INDEX($J:$J,MATCH($AK80,$M:$M,0)+CU$8-1))=0,
IF(COUNTIF($M:$M,$AK80)&lt;CU$8,
"",
INDEX($J:$J,MATCH($AK80,$M:$M,0)+CU$8-1)),
""),
"")</f>
        <v/>
      </c>
    </row>
    <row r="81" spans="3:99" ht="14.25">
      <c r="C81" s="16">
        <v>73</v>
      </c>
      <c r="D81" s="19" t="s">
        <v>339</v>
      </c>
      <c r="E81" s="20">
        <f>INDEX([1]武将基本资料!$S:$S,MATCH(D81,[1]武将基本资料!$N:$N,0))</f>
        <v>130</v>
      </c>
      <c r="F81" s="20" t="str">
        <f>INDEX([1]武将基本资料!$Q:$Q,MATCH(D81,[1]武将基本资料!$N:$N,0))</f>
        <v>橙+</v>
      </c>
      <c r="H81" s="7">
        <f>IF(I81="","",COUNTA(I$9:$I81))</f>
        <v>71</v>
      </c>
      <c r="I81" s="6" t="s">
        <v>174</v>
      </c>
      <c r="J81" s="6" t="s">
        <v>58</v>
      </c>
      <c r="K81" s="8" t="str">
        <f>IF(H81="","",阶段合并区域(J81:J91," ",L81:L91,1))</f>
        <v>钟无艳 西施</v>
      </c>
      <c r="L81" s="8">
        <f>COUNTIF(M$8:$M81,"="&amp;M81)</f>
        <v>1</v>
      </c>
      <c r="M81" s="9" t="str">
        <f t="shared" si="13"/>
        <v>巾帼英雄</v>
      </c>
      <c r="N81" s="9" t="str">
        <f t="shared" si="14"/>
        <v>巾帼英雄1</v>
      </c>
      <c r="O81" s="15">
        <f>INDEX(C:C,MATCH(J81,D:D,0))</f>
        <v>29</v>
      </c>
      <c r="P81" s="9">
        <f>INDEX(E:E,MATCH(J81,D:D,0))</f>
        <v>110</v>
      </c>
      <c r="Q81" s="7">
        <f t="shared" si="10"/>
        <v>29</v>
      </c>
      <c r="R81" s="7">
        <f>COUNTIF(J$8:$J81,"="&amp;J81)</f>
        <v>3</v>
      </c>
      <c r="S81" s="7">
        <f t="shared" si="17"/>
        <v>3029</v>
      </c>
      <c r="U81" s="7">
        <f t="shared" si="15"/>
        <v>1073</v>
      </c>
      <c r="V81" s="7">
        <f t="shared" si="12"/>
        <v>2073</v>
      </c>
      <c r="W81" s="7">
        <f t="shared" si="12"/>
        <v>3073</v>
      </c>
      <c r="X81" s="7">
        <f t="shared" si="12"/>
        <v>4073</v>
      </c>
      <c r="Y81" s="7">
        <f t="shared" si="12"/>
        <v>5073</v>
      </c>
      <c r="Z81" s="7">
        <f t="shared" si="12"/>
        <v>6073</v>
      </c>
      <c r="AA81" s="7">
        <f t="shared" si="12"/>
        <v>7073</v>
      </c>
      <c r="AB81" s="7">
        <f t="shared" si="12"/>
        <v>8073</v>
      </c>
      <c r="AD81" s="21" t="str">
        <f>IFERROR(INDEX($M:$M,MATCH(U81,$S:$S,0)),"&amp;")</f>
        <v>大秦帝国</v>
      </c>
      <c r="AE81" s="21" t="str">
        <f>IFERROR(INDEX($M:$M,MATCH(V81,$S:$S,0)),"&amp;")</f>
        <v>年少有为</v>
      </c>
      <c r="AF81" s="21" t="str">
        <f>IFERROR(INDEX($M:$M,MATCH(W81,$S:$S,0)),"&amp;")</f>
        <v>恩怨情仇</v>
      </c>
      <c r="AG81" s="21" t="str">
        <f>IFERROR(INDEX($M:$M,MATCH(X81,$S:$S,0)),"&amp;")</f>
        <v>执掌天下</v>
      </c>
      <c r="AH81" s="21" t="str">
        <f>IFERROR(INDEX($M:$M,MATCH(Y81,$S:$S,0)),"&amp;")</f>
        <v>一统天下</v>
      </c>
      <c r="AI81" s="21" t="str">
        <f>IFERROR(INDEX($M:$M,MATCH(Z81,$S:$S,0)),"&amp;")</f>
        <v>平步天下</v>
      </c>
      <c r="AJ81" s="21" t="str">
        <f>IFERROR(INDEX($M:$M,MATCH(AA81,$S:$S,0)),"&amp;")</f>
        <v>少年继位</v>
      </c>
      <c r="AK81" s="21" t="str">
        <f>IFERROR(INDEX($M:$M,MATCH(AB81,$S:$S,0)),"&amp;")</f>
        <v>主仆殊途</v>
      </c>
      <c r="AM81" s="21" t="str">
        <f>IFERROR(INDEX($N:$N,MATCH(U81,$S:$S,0)),"&amp;")</f>
        <v>大秦帝国1</v>
      </c>
      <c r="AN81" s="21" t="str">
        <f>IFERROR(INDEX($N:$N,MATCH(V81,$S:$S,0)),"&amp;")</f>
        <v>年少有为1</v>
      </c>
      <c r="AO81" s="21" t="str">
        <f>IFERROR(INDEX($N:$N,MATCH(W81,$S:$S,0)),"&amp;")</f>
        <v>恩怨情仇1</v>
      </c>
      <c r="AP81" s="21" t="str">
        <f>IFERROR(INDEX($N:$N,MATCH(X81,$S:$S,0)),"&amp;")</f>
        <v>执掌天下3</v>
      </c>
      <c r="AQ81" s="21" t="str">
        <f>IFERROR(INDEX($N:$N,MATCH(Y81,$S:$S,0)),"&amp;")</f>
        <v>一统天下2</v>
      </c>
      <c r="AR81" s="21" t="str">
        <f>IFERROR(INDEX($N:$N,MATCH(Z81,$S:$S,0)),"&amp;")</f>
        <v>平步天下2</v>
      </c>
      <c r="AS81" s="21" t="str">
        <f>IFERROR(INDEX($N:$N,MATCH(AA81,$S:$S,0)),"&amp;")</f>
        <v>少年继位2</v>
      </c>
      <c r="AT81" s="21" t="str">
        <f>IFERROR(INDEX($N:$N,MATCH(AB81,$S:$S,0)),"&amp;")</f>
        <v>主仆殊途2</v>
      </c>
      <c r="AV81" s="21" t="str">
        <f>IFERROR(SUBSTITUTE(INDEX($K:$K,MATCH(INDEX($M:$M,MATCH(AM81,$N:$N,0)),$M:$M,0)),$D81,""),"")</f>
        <v xml:space="preserve"> 吕不韦 司马错 樗里疾</v>
      </c>
      <c r="AW81" s="21" t="str">
        <f>IFERROR(SUBSTITUTE(INDEX($K:$K,MATCH(INDEX($M:$M,MATCH(AN81,$N:$N,0)),$M:$M,0)),$D81,""),"")</f>
        <v xml:space="preserve"> 信陵君 屈原 苏秦</v>
      </c>
      <c r="AX81" s="21" t="str">
        <f>IFERROR(SUBSTITUTE(INDEX($K:$K,MATCH(INDEX($M:$M,MATCH(AO81,$N:$N,0)),$M:$M,0)),$D81,""),"")</f>
        <v xml:space="preserve"> 秦武王 义渠骇 荆轲</v>
      </c>
      <c r="AY81" s="21" t="str">
        <f>IFERROR(SUBSTITUTE(INDEX($K:$K,MATCH(INDEX($M:$M,MATCH(AP81,$N:$N,0)),$M:$M,0)),$D81,""),"")</f>
        <v xml:space="preserve">吕雉 李斯 </v>
      </c>
      <c r="AZ81" s="21" t="str">
        <f>IFERROR(SUBSTITUTE(INDEX($K:$K,MATCH(INDEX($M:$M,MATCH(AQ81,$N:$N,0)),$M:$M,0)),$D81,""),"")</f>
        <v xml:space="preserve">刘邦 </v>
      </c>
      <c r="BA81" s="21" t="str">
        <f>IFERROR(SUBSTITUTE(INDEX($K:$K,MATCH(INDEX($M:$M,MATCH(AR81,$N:$N,0)),$M:$M,0)),$D81,""),"")</f>
        <v xml:space="preserve">韩信 </v>
      </c>
      <c r="BB81" s="21" t="str">
        <f>IFERROR(SUBSTITUTE(INDEX($K:$K,MATCH(INDEX($M:$M,MATCH(AS81,$N:$N,0)),$M:$M,0)),$D81,""),"")</f>
        <v xml:space="preserve">孙权 </v>
      </c>
      <c r="BC81" s="21" t="str">
        <f>IFERROR(SUBSTITUTE(INDEX($K:$K,MATCH(INDEX($M:$M,MATCH(AT81,$N:$N,0)),$M:$M,0)),$D81,""),"")</f>
        <v xml:space="preserve">荀彧 </v>
      </c>
      <c r="BE81" s="9" t="str">
        <f t="shared" si="16"/>
        <v>嬴政,吕不韦,司马错,樗里疾,信陵君,屈原,苏秦,秦武王,义渠骇,荆轲,吕雉,李斯,刘邦,韩信,孙权,荀彧</v>
      </c>
      <c r="BI81" s="9" t="str">
        <f>IFERROR(
IF(COUNTIF($M:$M,$AD81)&lt;BI$8,
"",
INDEX($J:$J,MATCH($AD81,$M:$M,0)+BI$8-1)),
"")</f>
        <v>嬴政</v>
      </c>
      <c r="BJ81" s="9" t="str">
        <f>IFERROR(
IF(COUNTIF($M:$M,$AD81)&lt;BJ$8,
"",
INDEX($J:$J,MATCH($AD81,$M:$M,0)+BJ$8-1)),
"")</f>
        <v>吕不韦</v>
      </c>
      <c r="BK81" s="9" t="str">
        <f>IFERROR(
IF(COUNTIF($M:$M,$AD81)&lt;BK$8,
"",
INDEX($J:$J,MATCH($AD81,$M:$M,0)+BK$8-1)),
"")</f>
        <v>司马错</v>
      </c>
      <c r="BL81" s="9" t="str">
        <f>IFERROR(
IF(COUNTIF($M:$M,$AD81)&lt;BL$8,
"",
INDEX($J:$J,MATCH($AD81,$M:$M,0)+BL$8-1)),
"")</f>
        <v>樗里疾</v>
      </c>
      <c r="BN81" s="21" t="str">
        <f>IFERROR(
IF(COUNTIF($BI81:BM81,INDEX($J:$J,MATCH($AE81,$M:$M,0)+BN$8-1))=0,
IF(COUNTIF($M:$M,$AE81)&lt;BN$8,
"",
INDEX($J:$J,MATCH($AE81,$M:$M,0)+BN$8-1)),
""),
"")</f>
        <v/>
      </c>
      <c r="BO81" s="21" t="str">
        <f>IFERROR(
IF(COUNTIF($BI81:BN81,INDEX($J:$J,MATCH($AE81,$M:$M,0)+BO$8-1))=0,
IF(COUNTIF($M:$M,$AE81)&lt;BO$8,
"",
INDEX($J:$J,MATCH($AE81,$M:$M,0)+BO$8-1)),
""),
"")</f>
        <v>信陵君</v>
      </c>
      <c r="BP81" s="21" t="str">
        <f>IFERROR(
IF(COUNTIF($BI81:BO81,INDEX($J:$J,MATCH($AE81,$M:$M,0)+BP$8-1))=0,
IF(COUNTIF($M:$M,$AE81)&lt;BP$8,
"",
INDEX($J:$J,MATCH($AE81,$M:$M,0)+BP$8-1)),
""),
"")</f>
        <v>屈原</v>
      </c>
      <c r="BQ81" s="21" t="str">
        <f>IFERROR(
IF(COUNTIF($BI81:BP81,INDEX($J:$J,MATCH($AE81,$M:$M,0)+BQ$8-1))=0,
IF(COUNTIF($M:$M,$AE81)&lt;BQ$8,
"",
INDEX($J:$J,MATCH($AE81,$M:$M,0)+BQ$8-1)),
""),
"")</f>
        <v>苏秦</v>
      </c>
      <c r="BS81" s="21" t="str">
        <f>IFERROR(
IF(COUNTIF($BI81:BR81,INDEX($J:$J,MATCH($AF81,$M:$M,0)+BS$8-1))=0,
IF(COUNTIF($M:$M,$AF81)&lt;BS$8,
"",
INDEX($J:$J,MATCH($AF81,$M:$M,0)+BS$8-1)),
""),
"")</f>
        <v/>
      </c>
      <c r="BT81" s="21" t="str">
        <f>IFERROR(
IF(COUNTIF($BI81:BS81,INDEX($J:$J,MATCH($AF81,$M:$M,0)+BT$8-1))=0,
IF(COUNTIF($M:$M,$AF81)&lt;BT$8,
"",
INDEX($J:$J,MATCH($AF81,$M:$M,0)+BT$8-1)),
""),
"")</f>
        <v>秦武王</v>
      </c>
      <c r="BU81" s="21" t="str">
        <f>IFERROR(
IF(COUNTIF($BI81:BT81,INDEX($J:$J,MATCH($AF81,$M:$M,0)+BU$8-1))=0,
IF(COUNTIF($M:$M,$AF81)&lt;BU$8,
"",
INDEX($J:$J,MATCH($AF81,$M:$M,0)+BU$8-1)),
""),
"")</f>
        <v>义渠骇</v>
      </c>
      <c r="BV81" s="21" t="str">
        <f>IFERROR(
IF(COUNTIF($BI81:BU81,INDEX($J:$J,MATCH($AF81,$M:$M,0)+BV$8-1))=0,
IF(COUNTIF($M:$M,$AF81)&lt;BV$8,
"",
INDEX($J:$J,MATCH($AF81,$M:$M,0)+BV$8-1)),
""),
"")</f>
        <v>荆轲</v>
      </c>
      <c r="BX81" s="21" t="str">
        <f>IFERROR(
IF(COUNTIF($BI81:BW81,INDEX($J:$J,MATCH($AG81,$M:$M,0)+BX$8-1))=0,
IF(COUNTIF($M:$M,$AG81)&lt;BX$8,
"",
INDEX($J:$J,MATCH($AG81,$M:$M,0)+BX$8-1)),
""),
"")</f>
        <v>吕雉</v>
      </c>
      <c r="BY81" s="21" t="str">
        <f>IFERROR(
IF(COUNTIF($BI81:BX81,INDEX($J:$J,MATCH($AG81,$M:$M,0)+BY$8-1))=0,
IF(COUNTIF($M:$M,$AG81)&lt;BY$8,
"",
INDEX($J:$J,MATCH($AG81,$M:$M,0)+BY$8-1)),
""),
"")</f>
        <v>李斯</v>
      </c>
      <c r="BZ81" s="21" t="str">
        <f>IFERROR(
IF(COUNTIF($BI81:BY81,INDEX($J:$J,MATCH($AG81,$M:$M,0)+BZ$8-1))=0,
IF(COUNTIF($M:$M,$AG81)&lt;BZ$8,
"",
INDEX($J:$J,MATCH($AG81,$M:$M,0)+BZ$8-1)),
""),
"")</f>
        <v/>
      </c>
      <c r="CA81" s="21" t="str">
        <f>IFERROR(
IF(COUNTIF($BI81:BZ81,INDEX($J:$J,MATCH($AG81,$M:$M,0)+CA$8-1))=0,
IF(COUNTIF($M:$M,$AG81)&lt;CA$8,
"",
INDEX($J:$J,MATCH($AG81,$M:$M,0)+CA$8-1)),
""),
"")</f>
        <v/>
      </c>
      <c r="CC81" s="21" t="str">
        <f>IFERROR(
IF(COUNTIF($BI81:CB81,INDEX($J:$J,MATCH($AH81,$M:$M,0)+CC$8-1))=0,
IF(COUNTIF($M:$M,$AH81)&lt;CC$8,
"",
INDEX($J:$J,MATCH($AH81,$M:$M,0)+CC$8-1)),
""),
"")</f>
        <v>刘邦</v>
      </c>
      <c r="CD81" s="21" t="str">
        <f>IFERROR(
IF(COUNTIF($BI81:CC81,INDEX($J:$J,MATCH($AH81,$M:$M,0)+CD$8-1))=0,
IF(COUNTIF($M:$M,$AH81)&lt;CD$8,
"",
INDEX($J:$J,MATCH($AH81,$M:$M,0)+CD$8-1)),
""),
"")</f>
        <v/>
      </c>
      <c r="CE81" s="21" t="str">
        <f>IFERROR(
IF(COUNTIF($BI81:CD81,INDEX($J:$J,MATCH($AH81,$M:$M,0)+CE$8-1))=0,
IF(COUNTIF($M:$M,$AH81)&lt;CE$8,
"",
INDEX($J:$J,MATCH($AH81,$M:$M,0)+CE$8-1)),
""),
"")</f>
        <v/>
      </c>
      <c r="CF81" s="21" t="str">
        <f>IFERROR(
IF(COUNTIF($BI81:CE81,INDEX($J:$J,MATCH($AH81,$M:$M,0)+CF$8-1))=0,
IF(COUNTIF($M:$M,$AH81)&lt;CF$8,
"",
INDEX($J:$J,MATCH($AH81,$M:$M,0)+CF$8-1)),
""),
"")</f>
        <v/>
      </c>
      <c r="CH81" s="21" t="str">
        <f>IFERROR(
IF(COUNTIF($BI81:CG81,INDEX($J:$J,MATCH($AI81,$M:$M,0)+CH$8-1))=0,
IF(COUNTIF($M:$M,$AI81)&lt;CH$8,
"",
INDEX($J:$J,MATCH($AI81,$M:$M,0)+CH$8-1)),
""),
"")</f>
        <v>韩信</v>
      </c>
      <c r="CI81" s="21" t="str">
        <f>IFERROR(
IF(COUNTIF($BI81:CH81,INDEX($J:$J,MATCH($AI81,$M:$M,0)+CI$8-1))=0,
IF(COUNTIF($M:$M,$AI81)&lt;CI$8,
"",
INDEX($J:$J,MATCH($AI81,$M:$M,0)+CI$8-1)),
""),
"")</f>
        <v/>
      </c>
      <c r="CJ81" s="21" t="str">
        <f>IFERROR(
IF(COUNTIF($BI81:CI81,INDEX($J:$J,MATCH($AI81,$M:$M,0)+CJ$8-1))=0,
IF(COUNTIF($M:$M,$AI81)&lt;CJ$8,
"",
INDEX($J:$J,MATCH($AI81,$M:$M,0)+CJ$8-1)),
""),
"")</f>
        <v/>
      </c>
      <c r="CK81" s="21" t="str">
        <f>IFERROR(
IF(COUNTIF($BI81:CJ81,INDEX($J:$J,MATCH($AI81,$M:$M,0)+CK$8-1))=0,
IF(COUNTIF($M:$M,$AI81)&lt;CK$8,
"",
INDEX($J:$J,MATCH($AI81,$M:$M,0)+CK$8-1)),
""),
"")</f>
        <v/>
      </c>
      <c r="CM81" s="21" t="str">
        <f>IFERROR(
IF(COUNTIF($BI81:CL81,INDEX($J:$J,MATCH($AJ81,$M:$M,0)+CM$8-1))=0,
IF(COUNTIF($M:$M,$AJ81)&lt;CM$8,
"",
INDEX($J:$J,MATCH($AJ81,$M:$M,0)+CM$8-1)),
""),
"")</f>
        <v>孙权</v>
      </c>
      <c r="CN81" s="21" t="str">
        <f>IFERROR(
IF(COUNTIF($BI81:CM81,INDEX($J:$J,MATCH($AJ81,$M:$M,0)+CN$8-1))=0,
IF(COUNTIF($M:$M,$AJ81)&lt;CN$8,
"",
INDEX($J:$J,MATCH($AJ81,$M:$M,0)+CN$8-1)),
""),
"")</f>
        <v/>
      </c>
      <c r="CO81" s="21" t="str">
        <f>IFERROR(
IF(COUNTIF($BI81:CN81,INDEX($J:$J,MATCH($AJ81,$M:$M,0)+CO$8-1))=0,
IF(COUNTIF($M:$M,$AJ81)&lt;CO$8,
"",
INDEX($J:$J,MATCH($AJ81,$M:$M,0)+CO$8-1)),
""),
"")</f>
        <v/>
      </c>
      <c r="CP81" s="21" t="str">
        <f>IFERROR(
IF(COUNTIF($BI81:CO81,INDEX($J:$J,MATCH($AJ81,$M:$M,0)+CP$8-1))=0,
IF(COUNTIF($M:$M,$AJ81)&lt;CP$8,
"",
INDEX($J:$J,MATCH($AJ81,$M:$M,0)+CP$8-1)),
""),
"")</f>
        <v/>
      </c>
      <c r="CR81" s="21" t="str">
        <f>IFERROR(
IF(COUNTIF($BI81:CQ81,INDEX($J:$J,MATCH($AK81,$M:$M,0)+CR$8-1))=0,
IF(COUNTIF($M:$M,$AK81)&lt;CR$8,
"",
INDEX($J:$J,MATCH($AK81,$M:$M,0)+CR$8-1)),
""),
"")</f>
        <v>荀彧</v>
      </c>
      <c r="CS81" s="21" t="str">
        <f>IFERROR(
IF(COUNTIF($BI81:CR81,INDEX($J:$J,MATCH($AK81,$M:$M,0)+CS$8-1))=0,
IF(COUNTIF($M:$M,$AK81)&lt;CS$8,
"",
INDEX($J:$J,MATCH($AK81,$M:$M,0)+CS$8-1)),
""),
"")</f>
        <v/>
      </c>
      <c r="CT81" s="21" t="str">
        <f>IFERROR(
IF(COUNTIF($BI81:CS81,INDEX($J:$J,MATCH($AK81,$M:$M,0)+CT$8-1))=0,
IF(COUNTIF($M:$M,$AK81)&lt;CT$8,
"",
INDEX($J:$J,MATCH($AK81,$M:$M,0)+CT$8-1)),
""),
"")</f>
        <v/>
      </c>
      <c r="CU81" s="21" t="str">
        <f>IFERROR(
IF(COUNTIF($BI81:CT81,INDEX($J:$J,MATCH($AK81,$M:$M,0)+CU$8-1))=0,
IF(COUNTIF($M:$M,$AK81)&lt;CU$8,
"",
INDEX($J:$J,MATCH($AK81,$M:$M,0)+CU$8-1)),
""),
"")</f>
        <v/>
      </c>
    </row>
    <row r="82" spans="3:99" ht="14.25">
      <c r="C82" s="16">
        <v>74</v>
      </c>
      <c r="D82" s="19" t="s">
        <v>335</v>
      </c>
      <c r="E82" s="20">
        <f>INDEX([1]武将基本资料!$S:$S,MATCH(D82,[1]武将基本资料!$N:$N,0))</f>
        <v>130</v>
      </c>
      <c r="F82" s="20" t="str">
        <f>INDEX([1]武将基本资料!$Q:$Q,MATCH(D82,[1]武将基本资料!$N:$N,0))</f>
        <v>橙+</v>
      </c>
      <c r="H82" s="7" t="str">
        <f>IF(I82="","",COUNTA(I$9:$I82))</f>
        <v/>
      </c>
      <c r="I82" s="6" t="s">
        <v>188</v>
      </c>
      <c r="J82" s="6" t="s">
        <v>46</v>
      </c>
      <c r="K82" s="8" t="str">
        <f>IF(H82="","",阶段合并区域(J82:J92," ",L82:L92,1))</f>
        <v/>
      </c>
      <c r="L82" s="8">
        <f>COUNTIF(M$8:$M82,"="&amp;M82)</f>
        <v>2</v>
      </c>
      <c r="M82" s="9" t="str">
        <f t="shared" si="13"/>
        <v>巾帼英雄</v>
      </c>
      <c r="N82" s="9" t="str">
        <f t="shared" si="14"/>
        <v>巾帼英雄2</v>
      </c>
      <c r="O82" s="15">
        <f>INDEX(C:C,MATCH(J82,D:D,0))</f>
        <v>7</v>
      </c>
      <c r="P82" s="9">
        <f>INDEX(E:E,MATCH(J82,D:D,0))</f>
        <v>120</v>
      </c>
      <c r="Q82" s="7">
        <f t="shared" si="10"/>
        <v>7</v>
      </c>
      <c r="R82" s="7">
        <f>COUNTIF(J$8:$J82,"="&amp;J82)</f>
        <v>3</v>
      </c>
      <c r="S82" s="7">
        <f t="shared" si="11"/>
        <v>3007</v>
      </c>
      <c r="U82" s="7">
        <f t="shared" si="15"/>
        <v>1074</v>
      </c>
      <c r="V82" s="7">
        <f t="shared" si="12"/>
        <v>2074</v>
      </c>
      <c r="W82" s="7">
        <f t="shared" si="12"/>
        <v>3074</v>
      </c>
      <c r="X82" s="7">
        <f t="shared" si="12"/>
        <v>4074</v>
      </c>
      <c r="Y82" s="7">
        <f t="shared" si="12"/>
        <v>5074</v>
      </c>
      <c r="Z82" s="7">
        <f t="shared" si="12"/>
        <v>6074</v>
      </c>
      <c r="AA82" s="7">
        <f t="shared" si="12"/>
        <v>7074</v>
      </c>
      <c r="AB82" s="7">
        <f t="shared" si="12"/>
        <v>8074</v>
      </c>
      <c r="AD82" s="21" t="str">
        <f>IFERROR(INDEX($M:$M,MATCH(U82,$S:$S,0)),"&amp;")</f>
        <v>衔冤而死</v>
      </c>
      <c r="AE82" s="21" t="str">
        <f>IFERROR(INDEX($M:$M,MATCH(V82,$S:$S,0)),"&amp;")</f>
        <v>一心为国</v>
      </c>
      <c r="AF82" s="21" t="str">
        <f>IFERROR(INDEX($M:$M,MATCH(W82,$S:$S,0)),"&amp;")</f>
        <v>国之重将</v>
      </c>
      <c r="AG82" s="21" t="str">
        <f>IFERROR(INDEX($M:$M,MATCH(X82,$S:$S,0)),"&amp;")</f>
        <v>抗击匈奴</v>
      </c>
      <c r="AH82" s="21" t="str">
        <f>IFERROR(INDEX($M:$M,MATCH(Y82,$S:$S,0)),"&amp;")</f>
        <v>驱逐匈奴</v>
      </c>
      <c r="AI82" s="21" t="str">
        <f>IFERROR(INDEX($M:$M,MATCH(Z82,$S:$S,0)),"&amp;")</f>
        <v>&amp;</v>
      </c>
      <c r="AJ82" s="21" t="str">
        <f>IFERROR(INDEX($M:$M,MATCH(AA82,$S:$S,0)),"&amp;")</f>
        <v>&amp;</v>
      </c>
      <c r="AK82" s="21" t="str">
        <f>IFERROR(INDEX($M:$M,MATCH(AB82,$S:$S,0)),"&amp;")</f>
        <v>&amp;</v>
      </c>
      <c r="AM82" s="21" t="str">
        <f>IFERROR(INDEX($N:$N,MATCH(U82,$S:$S,0)),"&amp;")</f>
        <v>衔冤而死1</v>
      </c>
      <c r="AN82" s="21" t="str">
        <f>IFERROR(INDEX($N:$N,MATCH(V82,$S:$S,0)),"&amp;")</f>
        <v>一心为国1</v>
      </c>
      <c r="AO82" s="21" t="str">
        <f>IFERROR(INDEX($N:$N,MATCH(W82,$S:$S,0)),"&amp;")</f>
        <v>国之重将1</v>
      </c>
      <c r="AP82" s="21" t="str">
        <f>IFERROR(INDEX($N:$N,MATCH(X82,$S:$S,0)),"&amp;")</f>
        <v>抗击匈奴2</v>
      </c>
      <c r="AQ82" s="21" t="str">
        <f>IFERROR(INDEX($N:$N,MATCH(Y82,$S:$S,0)),"&amp;")</f>
        <v>驱逐匈奴2</v>
      </c>
      <c r="AR82" s="21" t="str">
        <f>IFERROR(INDEX($N:$N,MATCH(Z82,$S:$S,0)),"&amp;")</f>
        <v>&amp;</v>
      </c>
      <c r="AS82" s="21" t="str">
        <f>IFERROR(INDEX($N:$N,MATCH(AA82,$S:$S,0)),"&amp;")</f>
        <v>&amp;</v>
      </c>
      <c r="AT82" s="21" t="str">
        <f>IFERROR(INDEX($N:$N,MATCH(AB82,$S:$S,0)),"&amp;")</f>
        <v>&amp;</v>
      </c>
      <c r="AV82" s="21" t="str">
        <f>IFERROR(SUBSTITUTE(INDEX($K:$K,MATCH(INDEX($M:$M,MATCH(AM82,$N:$N,0)),$M:$M,0)),$D82,""),"")</f>
        <v xml:space="preserve"> 伍子胥 韩非子 司马穰苴</v>
      </c>
      <c r="AW82" s="21" t="str">
        <f>IFERROR(SUBSTITUTE(INDEX($K:$K,MATCH(INDEX($M:$M,MATCH(AN82,$N:$N,0)),$M:$M,0)),$D82,""),"")</f>
        <v xml:space="preserve"> 屈原 信陵君 司马错</v>
      </c>
      <c r="AX82" s="21" t="str">
        <f>IFERROR(SUBSTITUTE(INDEX($K:$K,MATCH(INDEX($M:$M,MATCH(AO82,$N:$N,0)),$M:$M,0)),$D82,""),"")</f>
        <v xml:space="preserve"> 项燕 孙膑 乐毅</v>
      </c>
      <c r="AY82" s="21" t="str">
        <f>IFERROR(SUBSTITUTE(INDEX($K:$K,MATCH(INDEX($M:$M,MATCH(AP82,$N:$N,0)),$M:$M,0)),$D82,""),"")</f>
        <v>卫青  霍去病 卫青</v>
      </c>
      <c r="AZ82" s="21" t="str">
        <f>IFERROR(SUBSTITUTE(INDEX($K:$K,MATCH(INDEX($M:$M,MATCH(AQ82,$N:$N,0)),$M:$M,0)),$D82,""),"")</f>
        <v>霍去病  李广</v>
      </c>
      <c r="BA82" s="21" t="str">
        <f>IFERROR(SUBSTITUTE(INDEX($K:$K,MATCH(INDEX($M:$M,MATCH(AR82,$N:$N,0)),$M:$M,0)),$D82,""),"")</f>
        <v/>
      </c>
      <c r="BB82" s="21" t="str">
        <f>IFERROR(SUBSTITUTE(INDEX($K:$K,MATCH(INDEX($M:$M,MATCH(AS82,$N:$N,0)),$M:$M,0)),$D82,""),"")</f>
        <v/>
      </c>
      <c r="BC82" s="21" t="str">
        <f>IFERROR(SUBSTITUTE(INDEX($K:$K,MATCH(INDEX($M:$M,MATCH(AT82,$N:$N,0)),$M:$M,0)),$D82,""),"")</f>
        <v/>
      </c>
      <c r="BE82" s="9" t="str">
        <f t="shared" si="16"/>
        <v>蒙恬,伍子胥,韩非子,司马穰苴,屈原,信陵君,司马错,项燕,孙膑,乐毅,卫青,霍去病,李广</v>
      </c>
      <c r="BI82" s="9" t="str">
        <f>IFERROR(
IF(COUNTIF($M:$M,$AD82)&lt;BI$8,
"",
INDEX($J:$J,MATCH($AD82,$M:$M,0)+BI$8-1)),
"")</f>
        <v>蒙恬</v>
      </c>
      <c r="BJ82" s="9" t="str">
        <f>IFERROR(
IF(COUNTIF($M:$M,$AD82)&lt;BJ$8,
"",
INDEX($J:$J,MATCH($AD82,$M:$M,0)+BJ$8-1)),
"")</f>
        <v>伍子胥</v>
      </c>
      <c r="BK82" s="9" t="str">
        <f>IFERROR(
IF(COUNTIF($M:$M,$AD82)&lt;BK$8,
"",
INDEX($J:$J,MATCH($AD82,$M:$M,0)+BK$8-1)),
"")</f>
        <v>韩非子</v>
      </c>
      <c r="BL82" s="9" t="str">
        <f>IFERROR(
IF(COUNTIF($M:$M,$AD82)&lt;BL$8,
"",
INDEX($J:$J,MATCH($AD82,$M:$M,0)+BL$8-1)),
"")</f>
        <v>司马穰苴</v>
      </c>
      <c r="BN82" s="21" t="str">
        <f>IFERROR(
IF(COUNTIF($BI82:BM82,INDEX($J:$J,MATCH($AE82,$M:$M,0)+BN$8-1))=0,
IF(COUNTIF($M:$M,$AE82)&lt;BN$8,
"",
INDEX($J:$J,MATCH($AE82,$M:$M,0)+BN$8-1)),
""),
"")</f>
        <v/>
      </c>
      <c r="BO82" s="21" t="str">
        <f>IFERROR(
IF(COUNTIF($BI82:BN82,INDEX($J:$J,MATCH($AE82,$M:$M,0)+BO$8-1))=0,
IF(COUNTIF($M:$M,$AE82)&lt;BO$8,
"",
INDEX($J:$J,MATCH($AE82,$M:$M,0)+BO$8-1)),
""),
"")</f>
        <v>屈原</v>
      </c>
      <c r="BP82" s="21" t="str">
        <f>IFERROR(
IF(COUNTIF($BI82:BO82,INDEX($J:$J,MATCH($AE82,$M:$M,0)+BP$8-1))=0,
IF(COUNTIF($M:$M,$AE82)&lt;BP$8,
"",
INDEX($J:$J,MATCH($AE82,$M:$M,0)+BP$8-1)),
""),
"")</f>
        <v>信陵君</v>
      </c>
      <c r="BQ82" s="21" t="str">
        <f>IFERROR(
IF(COUNTIF($BI82:BP82,INDEX($J:$J,MATCH($AE82,$M:$M,0)+BQ$8-1))=0,
IF(COUNTIF($M:$M,$AE82)&lt;BQ$8,
"",
INDEX($J:$J,MATCH($AE82,$M:$M,0)+BQ$8-1)),
""),
"")</f>
        <v>司马错</v>
      </c>
      <c r="BS82" s="21" t="str">
        <f>IFERROR(
IF(COUNTIF($BI82:BR82,INDEX($J:$J,MATCH($AF82,$M:$M,0)+BS$8-1))=0,
IF(COUNTIF($M:$M,$AF82)&lt;BS$8,
"",
INDEX($J:$J,MATCH($AF82,$M:$M,0)+BS$8-1)),
""),
"")</f>
        <v/>
      </c>
      <c r="BT82" s="21" t="str">
        <f>IFERROR(
IF(COUNTIF($BI82:BS82,INDEX($J:$J,MATCH($AF82,$M:$M,0)+BT$8-1))=0,
IF(COUNTIF($M:$M,$AF82)&lt;BT$8,
"",
INDEX($J:$J,MATCH($AF82,$M:$M,0)+BT$8-1)),
""),
"")</f>
        <v>项燕</v>
      </c>
      <c r="BU82" s="21" t="str">
        <f>IFERROR(
IF(COUNTIF($BI82:BT82,INDEX($J:$J,MATCH($AF82,$M:$M,0)+BU$8-1))=0,
IF(COUNTIF($M:$M,$AF82)&lt;BU$8,
"",
INDEX($J:$J,MATCH($AF82,$M:$M,0)+BU$8-1)),
""),
"")</f>
        <v>孙膑</v>
      </c>
      <c r="BV82" s="21" t="str">
        <f>IFERROR(
IF(COUNTIF($BI82:BU82,INDEX($J:$J,MATCH($AF82,$M:$M,0)+BV$8-1))=0,
IF(COUNTIF($M:$M,$AF82)&lt;BV$8,
"",
INDEX($J:$J,MATCH($AF82,$M:$M,0)+BV$8-1)),
""),
"")</f>
        <v>乐毅</v>
      </c>
      <c r="BX82" s="21" t="str">
        <f>IFERROR(
IF(COUNTIF($BI82:BW82,INDEX($J:$J,MATCH($AG82,$M:$M,0)+BX$8-1))=0,
IF(COUNTIF($M:$M,$AG82)&lt;BX$8,
"",
INDEX($J:$J,MATCH($AG82,$M:$M,0)+BX$8-1)),
""),
"")</f>
        <v>卫青</v>
      </c>
      <c r="BY82" s="21" t="str">
        <f>IFERROR(
IF(COUNTIF($BI82:BX82,INDEX($J:$J,MATCH($AG82,$M:$M,0)+BY$8-1))=0,
IF(COUNTIF($M:$M,$AG82)&lt;BY$8,
"",
INDEX($J:$J,MATCH($AG82,$M:$M,0)+BY$8-1)),
""),
"")</f>
        <v/>
      </c>
      <c r="BZ82" s="21" t="str">
        <f>IFERROR(
IF(COUNTIF($BI82:BY82,INDEX($J:$J,MATCH($AG82,$M:$M,0)+BZ$8-1))=0,
IF(COUNTIF($M:$M,$AG82)&lt;BZ$8,
"",
INDEX($J:$J,MATCH($AG82,$M:$M,0)+BZ$8-1)),
""),
"")</f>
        <v/>
      </c>
      <c r="CA82" s="21" t="str">
        <f>IFERROR(
IF(COUNTIF($BI82:BZ82,INDEX($J:$J,MATCH($AG82,$M:$M,0)+CA$8-1))=0,
IF(COUNTIF($M:$M,$AG82)&lt;CA$8,
"",
INDEX($J:$J,MATCH($AG82,$M:$M,0)+CA$8-1)),
""),
"")</f>
        <v/>
      </c>
      <c r="CC82" s="21" t="str">
        <f>IFERROR(
IF(COUNTIF($BI82:CB82,INDEX($J:$J,MATCH($AH82,$M:$M,0)+CC$8-1))=0,
IF(COUNTIF($M:$M,$AH82)&lt;CC$8,
"",
INDEX($J:$J,MATCH($AH82,$M:$M,0)+CC$8-1)),
""),
"")</f>
        <v>霍去病</v>
      </c>
      <c r="CD82" s="21" t="str">
        <f>IFERROR(
IF(COUNTIF($BI82:CC82,INDEX($J:$J,MATCH($AH82,$M:$M,0)+CD$8-1))=0,
IF(COUNTIF($M:$M,$AH82)&lt;CD$8,
"",
INDEX($J:$J,MATCH($AH82,$M:$M,0)+CD$8-1)),
""),
"")</f>
        <v/>
      </c>
      <c r="CE82" s="21" t="str">
        <f>IFERROR(
IF(COUNTIF($BI82:CD82,INDEX($J:$J,MATCH($AH82,$M:$M,0)+CE$8-1))=0,
IF(COUNTIF($M:$M,$AH82)&lt;CE$8,
"",
INDEX($J:$J,MATCH($AH82,$M:$M,0)+CE$8-1)),
""),
"")</f>
        <v>李广</v>
      </c>
      <c r="CF82" s="21" t="str">
        <f>IFERROR(
IF(COUNTIF($BI82:CE82,INDEX($J:$J,MATCH($AH82,$M:$M,0)+CF$8-1))=0,
IF(COUNTIF($M:$M,$AH82)&lt;CF$8,
"",
INDEX($J:$J,MATCH($AH82,$M:$M,0)+CF$8-1)),
""),
"")</f>
        <v/>
      </c>
      <c r="CH82" s="21" t="str">
        <f>IFERROR(
IF(COUNTIF($BI82:CG82,INDEX($J:$J,MATCH($AI82,$M:$M,0)+CH$8-1))=0,
IF(COUNTIF($M:$M,$AI82)&lt;CH$8,
"",
INDEX($J:$J,MATCH($AI82,$M:$M,0)+CH$8-1)),
""),
"")</f>
        <v/>
      </c>
      <c r="CI82" s="21" t="str">
        <f>IFERROR(
IF(COUNTIF($BI82:CH82,INDEX($J:$J,MATCH($AI82,$M:$M,0)+CI$8-1))=0,
IF(COUNTIF($M:$M,$AI82)&lt;CI$8,
"",
INDEX($J:$J,MATCH($AI82,$M:$M,0)+CI$8-1)),
""),
"")</f>
        <v/>
      </c>
      <c r="CJ82" s="21" t="str">
        <f>IFERROR(
IF(COUNTIF($BI82:CI82,INDEX($J:$J,MATCH($AI82,$M:$M,0)+CJ$8-1))=0,
IF(COUNTIF($M:$M,$AI82)&lt;CJ$8,
"",
INDEX($J:$J,MATCH($AI82,$M:$M,0)+CJ$8-1)),
""),
"")</f>
        <v/>
      </c>
      <c r="CK82" s="21" t="str">
        <f>IFERROR(
IF(COUNTIF($BI82:CJ82,INDEX($J:$J,MATCH($AI82,$M:$M,0)+CK$8-1))=0,
IF(COUNTIF($M:$M,$AI82)&lt;CK$8,
"",
INDEX($J:$J,MATCH($AI82,$M:$M,0)+CK$8-1)),
""),
"")</f>
        <v/>
      </c>
      <c r="CM82" s="21" t="str">
        <f>IFERROR(
IF(COUNTIF($BI82:CL82,INDEX($J:$J,MATCH($AJ82,$M:$M,0)+CM$8-1))=0,
IF(COUNTIF($M:$M,$AJ82)&lt;CM$8,
"",
INDEX($J:$J,MATCH($AJ82,$M:$M,0)+CM$8-1)),
""),
"")</f>
        <v/>
      </c>
      <c r="CN82" s="21" t="str">
        <f>IFERROR(
IF(COUNTIF($BI82:CM82,INDEX($J:$J,MATCH($AJ82,$M:$M,0)+CN$8-1))=0,
IF(COUNTIF($M:$M,$AJ82)&lt;CN$8,
"",
INDEX($J:$J,MATCH($AJ82,$M:$M,0)+CN$8-1)),
""),
"")</f>
        <v/>
      </c>
      <c r="CO82" s="21" t="str">
        <f>IFERROR(
IF(COUNTIF($BI82:CN82,INDEX($J:$J,MATCH($AJ82,$M:$M,0)+CO$8-1))=0,
IF(COUNTIF($M:$M,$AJ82)&lt;CO$8,
"",
INDEX($J:$J,MATCH($AJ82,$M:$M,0)+CO$8-1)),
""),
"")</f>
        <v/>
      </c>
      <c r="CP82" s="21" t="str">
        <f>IFERROR(
IF(COUNTIF($BI82:CO82,INDEX($J:$J,MATCH($AJ82,$M:$M,0)+CP$8-1))=0,
IF(COUNTIF($M:$M,$AJ82)&lt;CP$8,
"",
INDEX($J:$J,MATCH($AJ82,$M:$M,0)+CP$8-1)),
""),
"")</f>
        <v/>
      </c>
      <c r="CR82" s="21" t="str">
        <f>IFERROR(
IF(COUNTIF($BI82:CQ82,INDEX($J:$J,MATCH($AK82,$M:$M,0)+CR$8-1))=0,
IF(COUNTIF($M:$M,$AK82)&lt;CR$8,
"",
INDEX($J:$J,MATCH($AK82,$M:$M,0)+CR$8-1)),
""),
"")</f>
        <v/>
      </c>
      <c r="CS82" s="21" t="str">
        <f>IFERROR(
IF(COUNTIF($BI82:CR82,INDEX($J:$J,MATCH($AK82,$M:$M,0)+CS$8-1))=0,
IF(COUNTIF($M:$M,$AK82)&lt;CS$8,
"",
INDEX($J:$J,MATCH($AK82,$M:$M,0)+CS$8-1)),
""),
"")</f>
        <v/>
      </c>
      <c r="CT82" s="21" t="str">
        <f>IFERROR(
IF(COUNTIF($BI82:CS82,INDEX($J:$J,MATCH($AK82,$M:$M,0)+CT$8-1))=0,
IF(COUNTIF($M:$M,$AK82)&lt;CT$8,
"",
INDEX($J:$J,MATCH($AK82,$M:$M,0)+CT$8-1)),
""),
"")</f>
        <v/>
      </c>
      <c r="CU82" s="21" t="str">
        <f>IFERROR(
IF(COUNTIF($BI82:CT82,INDEX($J:$J,MATCH($AK82,$M:$M,0)+CU$8-1))=0,
IF(COUNTIF($M:$M,$AK82)&lt;CU$8,
"",
INDEX($J:$J,MATCH($AK82,$M:$M,0)+CU$8-1)),
""),
"")</f>
        <v/>
      </c>
    </row>
    <row r="83" spans="3:99" ht="14.25">
      <c r="C83" s="16">
        <v>75</v>
      </c>
      <c r="D83" s="19" t="s">
        <v>341</v>
      </c>
      <c r="E83" s="20">
        <f>INDEX([1]武将基本资料!$S:$S,MATCH(D83,[1]武将基本资料!$N:$N,0))</f>
        <v>130</v>
      </c>
      <c r="F83" s="20" t="str">
        <f>INDEX([1]武将基本资料!$Q:$Q,MATCH(D83,[1]武将基本资料!$N:$N,0))</f>
        <v>橙+</v>
      </c>
      <c r="H83" s="7">
        <f>IF(I83="","",COUNTA(I$9:$I83))</f>
        <v>73</v>
      </c>
      <c r="I83" s="6" t="s">
        <v>175</v>
      </c>
      <c r="J83" s="6" t="s">
        <v>61</v>
      </c>
      <c r="K83" s="8" t="str">
        <f>IF(H83="","",阶段合并区域(J83:J93," ",L83:L93,1))</f>
        <v>乐毅 义渠骇 樗里疾</v>
      </c>
      <c r="L83" s="8">
        <f>COUNTIF(M$8:$M83,"="&amp;M83)</f>
        <v>1</v>
      </c>
      <c r="M83" s="9" t="str">
        <f t="shared" si="13"/>
        <v>南征北战</v>
      </c>
      <c r="N83" s="9" t="str">
        <f t="shared" si="14"/>
        <v>南征北战1</v>
      </c>
      <c r="O83" s="15">
        <f>INDEX(C:C,MATCH(J83,D:D,0))</f>
        <v>55</v>
      </c>
      <c r="P83" s="9">
        <f>INDEX(E:E,MATCH(J83,D:D,0))</f>
        <v>120</v>
      </c>
      <c r="Q83" s="7">
        <f t="shared" si="10"/>
        <v>55</v>
      </c>
      <c r="R83" s="7">
        <f>COUNTIF(J$8:$J83,"="&amp;J83)</f>
        <v>2</v>
      </c>
      <c r="S83" s="7">
        <f t="shared" si="11"/>
        <v>2055</v>
      </c>
      <c r="U83" s="7">
        <f t="shared" si="15"/>
        <v>1075</v>
      </c>
      <c r="V83" s="7">
        <f t="shared" si="12"/>
        <v>2075</v>
      </c>
      <c r="W83" s="7">
        <f t="shared" si="12"/>
        <v>3075</v>
      </c>
      <c r="X83" s="7">
        <f t="shared" si="12"/>
        <v>4075</v>
      </c>
      <c r="Y83" s="7">
        <f t="shared" si="12"/>
        <v>5075</v>
      </c>
      <c r="Z83" s="7">
        <f t="shared" si="12"/>
        <v>6075</v>
      </c>
      <c r="AA83" s="7">
        <f t="shared" si="12"/>
        <v>7075</v>
      </c>
      <c r="AB83" s="7">
        <f t="shared" si="12"/>
        <v>8075</v>
      </c>
      <c r="AD83" s="21" t="str">
        <f>IFERROR(INDEX($M:$M,MATCH(U83,$S:$S,0)),"&amp;")</f>
        <v>缓急相济</v>
      </c>
      <c r="AE83" s="21" t="str">
        <f>IFERROR(INDEX($M:$M,MATCH(V83,$S:$S,0)),"&amp;")</f>
        <v>一脉相传</v>
      </c>
      <c r="AF83" s="21" t="str">
        <f>IFERROR(INDEX($M:$M,MATCH(W83,$S:$S,0)),"&amp;")</f>
        <v>金枝玉叶</v>
      </c>
      <c r="AG83" s="21" t="str">
        <f>IFERROR(INDEX($M:$M,MATCH(X83,$S:$S,0)),"&amp;")</f>
        <v>英雄美人</v>
      </c>
      <c r="AH83" s="21" t="str">
        <f>IFERROR(INDEX($M:$M,MATCH(Y83,$S:$S,0)),"&amp;")</f>
        <v>精通音律</v>
      </c>
      <c r="AI83" s="21" t="str">
        <f>IFERROR(INDEX($M:$M,MATCH(Z83,$S:$S,0)),"&amp;")</f>
        <v>&amp;</v>
      </c>
      <c r="AJ83" s="21" t="str">
        <f>IFERROR(INDEX($M:$M,MATCH(AA83,$S:$S,0)),"&amp;")</f>
        <v>&amp;</v>
      </c>
      <c r="AK83" s="21" t="str">
        <f>IFERROR(INDEX($M:$M,MATCH(AB83,$S:$S,0)),"&amp;")</f>
        <v>&amp;</v>
      </c>
      <c r="AM83" s="21" t="str">
        <f>IFERROR(INDEX($N:$N,MATCH(U83,$S:$S,0)),"&amp;")</f>
        <v>缓急相济1</v>
      </c>
      <c r="AN83" s="21" t="str">
        <f>IFERROR(INDEX($N:$N,MATCH(V83,$S:$S,0)),"&amp;")</f>
        <v>一脉相传1</v>
      </c>
      <c r="AO83" s="21" t="str">
        <f>IFERROR(INDEX($N:$N,MATCH(W83,$S:$S,0)),"&amp;")</f>
        <v>金枝玉叶1</v>
      </c>
      <c r="AP83" s="21" t="str">
        <f>IFERROR(INDEX($N:$N,MATCH(X83,$S:$S,0)),"&amp;")</f>
        <v>英雄美人6</v>
      </c>
      <c r="AQ83" s="21" t="str">
        <f>IFERROR(INDEX($N:$N,MATCH(Y83,$S:$S,0)),"&amp;")</f>
        <v>精通音律2</v>
      </c>
      <c r="AR83" s="21" t="str">
        <f>IFERROR(INDEX($N:$N,MATCH(Z83,$S:$S,0)),"&amp;")</f>
        <v>&amp;</v>
      </c>
      <c r="AS83" s="21" t="str">
        <f>IFERROR(INDEX($N:$N,MATCH(AA83,$S:$S,0)),"&amp;")</f>
        <v>&amp;</v>
      </c>
      <c r="AT83" s="21" t="str">
        <f>IFERROR(INDEX($N:$N,MATCH(AB83,$S:$S,0)),"&amp;")</f>
        <v>&amp;</v>
      </c>
      <c r="AV83" s="21" t="str">
        <f>IFERROR(SUBSTITUTE(INDEX($K:$K,MATCH(INDEX($M:$M,MATCH(AM83,$N:$N,0)),$M:$M,0)),$D83,""),"")</f>
        <v xml:space="preserve"> 西施 扁鹊</v>
      </c>
      <c r="AW83" s="21" t="str">
        <f>IFERROR(SUBSTITUTE(INDEX($K:$K,MATCH(INDEX($M:$M,MATCH(AN83,$N:$N,0)),$M:$M,0)),$D83,""),"")</f>
        <v xml:space="preserve"> 秦武王</v>
      </c>
      <c r="AX83" s="21" t="str">
        <f>IFERROR(SUBSTITUTE(INDEX($K:$K,MATCH(INDEX($M:$M,MATCH(AO83,$N:$N,0)),$M:$M,0)),$D83,""),"")</f>
        <v xml:space="preserve"> 骊姬</v>
      </c>
      <c r="AY83" s="21" t="str">
        <f>IFERROR(SUBSTITUTE(INDEX($K:$K,MATCH(INDEX($M:$M,MATCH(AP83,$N:$N,0)),$M:$M,0)),$D83,""),"")</f>
        <v>褒姒 勾践 楚庄王 秦武王</v>
      </c>
      <c r="AZ83" s="21" t="str">
        <f>IFERROR(SUBSTITUTE(INDEX($K:$K,MATCH(INDEX($M:$M,MATCH(AQ83,$N:$N,0)),$M:$M,0)),$D83,""),"")</f>
        <v xml:space="preserve">虞姬 </v>
      </c>
      <c r="BA83" s="21" t="str">
        <f>IFERROR(SUBSTITUTE(INDEX($K:$K,MATCH(INDEX($M:$M,MATCH(AR83,$N:$N,0)),$M:$M,0)),$D83,""),"")</f>
        <v/>
      </c>
      <c r="BB83" s="21" t="str">
        <f>IFERROR(SUBSTITUTE(INDEX($K:$K,MATCH(INDEX($M:$M,MATCH(AS83,$N:$N,0)),$M:$M,0)),$D83,""),"")</f>
        <v/>
      </c>
      <c r="BC83" s="21" t="str">
        <f>IFERROR(SUBSTITUTE(INDEX($K:$K,MATCH(INDEX($M:$M,MATCH(AT83,$N:$N,0)),$M:$M,0)),$D83,""),"")</f>
        <v/>
      </c>
      <c r="BE83" s="9" t="str">
        <f t="shared" si="16"/>
        <v>弄玉,西施,扁鹊,秦武王,骊姬,褒姒,勾践,楚庄王,虞姬</v>
      </c>
      <c r="BI83" s="9" t="str">
        <f>IFERROR(
IF(COUNTIF($M:$M,$AD83)&lt;BI$8,
"",
INDEX($J:$J,MATCH($AD83,$M:$M,0)+BI$8-1)),
"")</f>
        <v>弄玉</v>
      </c>
      <c r="BJ83" s="9" t="str">
        <f>IFERROR(
IF(COUNTIF($M:$M,$AD83)&lt;BJ$8,
"",
INDEX($J:$J,MATCH($AD83,$M:$M,0)+BJ$8-1)),
"")</f>
        <v>西施</v>
      </c>
      <c r="BK83" s="9" t="str">
        <f>IFERROR(
IF(COUNTIF($M:$M,$AD83)&lt;BK$8,
"",
INDEX($J:$J,MATCH($AD83,$M:$M,0)+BK$8-1)),
"")</f>
        <v>扁鹊</v>
      </c>
      <c r="BL83" s="9" t="str">
        <f>IFERROR(
IF(COUNTIF($M:$M,$AD83)&lt;BL$8,
"",
INDEX($J:$J,MATCH($AD83,$M:$M,0)+BL$8-1)),
"")</f>
        <v/>
      </c>
      <c r="BN83" s="21" t="str">
        <f>IFERROR(
IF(COUNTIF($BI83:BM83,INDEX($J:$J,MATCH($AE83,$M:$M,0)+BN$8-1))=0,
IF(COUNTIF($M:$M,$AE83)&lt;BN$8,
"",
INDEX($J:$J,MATCH($AE83,$M:$M,0)+BN$8-1)),
""),
"")</f>
        <v/>
      </c>
      <c r="BO83" s="21" t="str">
        <f>IFERROR(
IF(COUNTIF($BI83:BN83,INDEX($J:$J,MATCH($AE83,$M:$M,0)+BO$8-1))=0,
IF(COUNTIF($M:$M,$AE83)&lt;BO$8,
"",
INDEX($J:$J,MATCH($AE83,$M:$M,0)+BO$8-1)),
""),
"")</f>
        <v>秦武王</v>
      </c>
      <c r="BP83" s="21" t="str">
        <f>IFERROR(
IF(COUNTIF($BI83:BO83,INDEX($J:$J,MATCH($AE83,$M:$M,0)+BP$8-1))=0,
IF(COUNTIF($M:$M,$AE83)&lt;BP$8,
"",
INDEX($J:$J,MATCH($AE83,$M:$M,0)+BP$8-1)),
""),
"")</f>
        <v/>
      </c>
      <c r="BQ83" s="21" t="str">
        <f>IFERROR(
IF(COUNTIF($BI83:BP83,INDEX($J:$J,MATCH($AE83,$M:$M,0)+BQ$8-1))=0,
IF(COUNTIF($M:$M,$AE83)&lt;BQ$8,
"",
INDEX($J:$J,MATCH($AE83,$M:$M,0)+BQ$8-1)),
""),
"")</f>
        <v/>
      </c>
      <c r="BS83" s="21" t="str">
        <f>IFERROR(
IF(COUNTIF($BI83:BR83,INDEX($J:$J,MATCH($AF83,$M:$M,0)+BS$8-1))=0,
IF(COUNTIF($M:$M,$AF83)&lt;BS$8,
"",
INDEX($J:$J,MATCH($AF83,$M:$M,0)+BS$8-1)),
""),
"")</f>
        <v/>
      </c>
      <c r="BT83" s="21" t="str">
        <f>IFERROR(
IF(COUNTIF($BI83:BS83,INDEX($J:$J,MATCH($AF83,$M:$M,0)+BT$8-1))=0,
IF(COUNTIF($M:$M,$AF83)&lt;BT$8,
"",
INDEX($J:$J,MATCH($AF83,$M:$M,0)+BT$8-1)),
""),
"")</f>
        <v>骊姬</v>
      </c>
      <c r="BU83" s="21" t="str">
        <f>IFERROR(
IF(COUNTIF($BI83:BT83,INDEX($J:$J,MATCH($AF83,$M:$M,0)+BU$8-1))=0,
IF(COUNTIF($M:$M,$AF83)&lt;BU$8,
"",
INDEX($J:$J,MATCH($AF83,$M:$M,0)+BU$8-1)),
""),
"")</f>
        <v/>
      </c>
      <c r="BV83" s="21" t="str">
        <f>IFERROR(
IF(COUNTIF($BI83:BU83,INDEX($J:$J,MATCH($AF83,$M:$M,0)+BV$8-1))=0,
IF(COUNTIF($M:$M,$AF83)&lt;BV$8,
"",
INDEX($J:$J,MATCH($AF83,$M:$M,0)+BV$8-1)),
""),
"")</f>
        <v/>
      </c>
      <c r="BX83" s="21" t="str">
        <f>IFERROR(
IF(COUNTIF($BI83:BW83,INDEX($J:$J,MATCH($AG83,$M:$M,0)+BX$8-1))=0,
IF(COUNTIF($M:$M,$AG83)&lt;BX$8,
"",
INDEX($J:$J,MATCH($AG83,$M:$M,0)+BX$8-1)),
""),
"")</f>
        <v>褒姒</v>
      </c>
      <c r="BY83" s="21" t="str">
        <f>IFERROR(
IF(COUNTIF($BI83:BX83,INDEX($J:$J,MATCH($AG83,$M:$M,0)+BY$8-1))=0,
IF(COUNTIF($M:$M,$AG83)&lt;BY$8,
"",
INDEX($J:$J,MATCH($AG83,$M:$M,0)+BY$8-1)),
""),
"")</f>
        <v>勾践</v>
      </c>
      <c r="BZ83" s="21" t="str">
        <f>IFERROR(
IF(COUNTIF($BI83:BY83,INDEX($J:$J,MATCH($AG83,$M:$M,0)+BZ$8-1))=0,
IF(COUNTIF($M:$M,$AG83)&lt;BZ$8,
"",
INDEX($J:$J,MATCH($AG83,$M:$M,0)+BZ$8-1)),
""),
"")</f>
        <v>楚庄王</v>
      </c>
      <c r="CA83" s="21" t="str">
        <f>IFERROR(
IF(COUNTIF($BI83:BZ83,INDEX($J:$J,MATCH($AG83,$M:$M,0)+CA$8-1))=0,
IF(COUNTIF($M:$M,$AG83)&lt;CA$8,
"",
INDEX($J:$J,MATCH($AG83,$M:$M,0)+CA$8-1)),
""),
"")</f>
        <v/>
      </c>
      <c r="CC83" s="21" t="str">
        <f>IFERROR(
IF(COUNTIF($BI83:CB83,INDEX($J:$J,MATCH($AH83,$M:$M,0)+CC$8-1))=0,
IF(COUNTIF($M:$M,$AH83)&lt;CC$8,
"",
INDEX($J:$J,MATCH($AH83,$M:$M,0)+CC$8-1)),
""),
"")</f>
        <v>虞姬</v>
      </c>
      <c r="CD83" s="21" t="str">
        <f>IFERROR(
IF(COUNTIF($BI83:CC83,INDEX($J:$J,MATCH($AH83,$M:$M,0)+CD$8-1))=0,
IF(COUNTIF($M:$M,$AH83)&lt;CD$8,
"",
INDEX($J:$J,MATCH($AH83,$M:$M,0)+CD$8-1)),
""),
"")</f>
        <v/>
      </c>
      <c r="CE83" s="21" t="str">
        <f>IFERROR(
IF(COUNTIF($BI83:CD83,INDEX($J:$J,MATCH($AH83,$M:$M,0)+CE$8-1))=0,
IF(COUNTIF($M:$M,$AH83)&lt;CE$8,
"",
INDEX($J:$J,MATCH($AH83,$M:$M,0)+CE$8-1)),
""),
"")</f>
        <v/>
      </c>
      <c r="CF83" s="21" t="str">
        <f>IFERROR(
IF(COUNTIF($BI83:CE83,INDEX($J:$J,MATCH($AH83,$M:$M,0)+CF$8-1))=0,
IF(COUNTIF($M:$M,$AH83)&lt;CF$8,
"",
INDEX($J:$J,MATCH($AH83,$M:$M,0)+CF$8-1)),
""),
"")</f>
        <v/>
      </c>
      <c r="CH83" s="21" t="str">
        <f>IFERROR(
IF(COUNTIF($BI83:CG83,INDEX($J:$J,MATCH($AI83,$M:$M,0)+CH$8-1))=0,
IF(COUNTIF($M:$M,$AI83)&lt;CH$8,
"",
INDEX($J:$J,MATCH($AI83,$M:$M,0)+CH$8-1)),
""),
"")</f>
        <v/>
      </c>
      <c r="CI83" s="21" t="str">
        <f>IFERROR(
IF(COUNTIF($BI83:CH83,INDEX($J:$J,MATCH($AI83,$M:$M,0)+CI$8-1))=0,
IF(COUNTIF($M:$M,$AI83)&lt;CI$8,
"",
INDEX($J:$J,MATCH($AI83,$M:$M,0)+CI$8-1)),
""),
"")</f>
        <v/>
      </c>
      <c r="CJ83" s="21" t="str">
        <f>IFERROR(
IF(COUNTIF($BI83:CI83,INDEX($J:$J,MATCH($AI83,$M:$M,0)+CJ$8-1))=0,
IF(COUNTIF($M:$M,$AI83)&lt;CJ$8,
"",
INDEX($J:$J,MATCH($AI83,$M:$M,0)+CJ$8-1)),
""),
"")</f>
        <v/>
      </c>
      <c r="CK83" s="21" t="str">
        <f>IFERROR(
IF(COUNTIF($BI83:CJ83,INDEX($J:$J,MATCH($AI83,$M:$M,0)+CK$8-1))=0,
IF(COUNTIF($M:$M,$AI83)&lt;CK$8,
"",
INDEX($J:$J,MATCH($AI83,$M:$M,0)+CK$8-1)),
""),
"")</f>
        <v/>
      </c>
      <c r="CM83" s="21" t="str">
        <f>IFERROR(
IF(COUNTIF($BI83:CL83,INDEX($J:$J,MATCH($AJ83,$M:$M,0)+CM$8-1))=0,
IF(COUNTIF($M:$M,$AJ83)&lt;CM$8,
"",
INDEX($J:$J,MATCH($AJ83,$M:$M,0)+CM$8-1)),
""),
"")</f>
        <v/>
      </c>
      <c r="CN83" s="21" t="str">
        <f>IFERROR(
IF(COUNTIF($BI83:CM83,INDEX($J:$J,MATCH($AJ83,$M:$M,0)+CN$8-1))=0,
IF(COUNTIF($M:$M,$AJ83)&lt;CN$8,
"",
INDEX($J:$J,MATCH($AJ83,$M:$M,0)+CN$8-1)),
""),
"")</f>
        <v/>
      </c>
      <c r="CO83" s="21" t="str">
        <f>IFERROR(
IF(COUNTIF($BI83:CN83,INDEX($J:$J,MATCH($AJ83,$M:$M,0)+CO$8-1))=0,
IF(COUNTIF($M:$M,$AJ83)&lt;CO$8,
"",
INDEX($J:$J,MATCH($AJ83,$M:$M,0)+CO$8-1)),
""),
"")</f>
        <v/>
      </c>
      <c r="CP83" s="21" t="str">
        <f>IFERROR(
IF(COUNTIF($BI83:CO83,INDEX($J:$J,MATCH($AJ83,$M:$M,0)+CP$8-1))=0,
IF(COUNTIF($M:$M,$AJ83)&lt;CP$8,
"",
INDEX($J:$J,MATCH($AJ83,$M:$M,0)+CP$8-1)),
""),
"")</f>
        <v/>
      </c>
      <c r="CR83" s="21" t="str">
        <f>IFERROR(
IF(COUNTIF($BI83:CQ83,INDEX($J:$J,MATCH($AK83,$M:$M,0)+CR$8-1))=0,
IF(COUNTIF($M:$M,$AK83)&lt;CR$8,
"",
INDEX($J:$J,MATCH($AK83,$M:$M,0)+CR$8-1)),
""),
"")</f>
        <v/>
      </c>
      <c r="CS83" s="21" t="str">
        <f>IFERROR(
IF(COUNTIF($BI83:CR83,INDEX($J:$J,MATCH($AK83,$M:$M,0)+CS$8-1))=0,
IF(COUNTIF($M:$M,$AK83)&lt;CS$8,
"",
INDEX($J:$J,MATCH($AK83,$M:$M,0)+CS$8-1)),
""),
"")</f>
        <v/>
      </c>
      <c r="CT83" s="21" t="str">
        <f>IFERROR(
IF(COUNTIF($BI83:CS83,INDEX($J:$J,MATCH($AK83,$M:$M,0)+CT$8-1))=0,
IF(COUNTIF($M:$M,$AK83)&lt;CT$8,
"",
INDEX($J:$J,MATCH($AK83,$M:$M,0)+CT$8-1)),
""),
"")</f>
        <v/>
      </c>
      <c r="CU83" s="21" t="str">
        <f>IFERROR(
IF(COUNTIF($BI83:CT83,INDEX($J:$J,MATCH($AK83,$M:$M,0)+CU$8-1))=0,
IF(COUNTIF($M:$M,$AK83)&lt;CU$8,
"",
INDEX($J:$J,MATCH($AK83,$M:$M,0)+CU$8-1)),
""),
"")</f>
        <v/>
      </c>
    </row>
    <row r="84" spans="3:99" ht="14.25">
      <c r="C84" s="16">
        <v>76</v>
      </c>
      <c r="D84" s="19" t="s">
        <v>344</v>
      </c>
      <c r="E84" s="20">
        <f>INDEX([1]武将基本资料!$S:$S,MATCH(D84,[1]武将基本资料!$N:$N,0))</f>
        <v>130</v>
      </c>
      <c r="F84" s="20" t="str">
        <f>INDEX([1]武将基本资料!$Q:$Q,MATCH(D84,[1]武将基本资料!$N:$N,0))</f>
        <v>橙+</v>
      </c>
      <c r="H84" s="7" t="str">
        <f>IF(I84="","",COUNTA(I$9:$I84))</f>
        <v/>
      </c>
      <c r="I84" s="6" t="s">
        <v>188</v>
      </c>
      <c r="J84" s="6" t="s">
        <v>53</v>
      </c>
      <c r="K84" s="8" t="str">
        <f>IF(H84="","",阶段合并区域(J84:J94," ",L84:L94,1))</f>
        <v/>
      </c>
      <c r="L84" s="8">
        <f>COUNTIF(M$8:$M84,"="&amp;M84)</f>
        <v>2</v>
      </c>
      <c r="M84" s="9" t="str">
        <f t="shared" si="13"/>
        <v>南征北战</v>
      </c>
      <c r="N84" s="9" t="str">
        <f t="shared" si="14"/>
        <v>南征北战2</v>
      </c>
      <c r="O84" s="15">
        <f>INDEX(C:C,MATCH(J84,D:D,0))</f>
        <v>3</v>
      </c>
      <c r="P84" s="9">
        <f>INDEX(E:E,MATCH(J84,D:D,0))</f>
        <v>120</v>
      </c>
      <c r="Q84" s="7">
        <f t="shared" si="10"/>
        <v>3</v>
      </c>
      <c r="R84" s="7">
        <f>COUNTIF(J$8:$J84,"="&amp;J84)</f>
        <v>2</v>
      </c>
      <c r="S84" s="7">
        <f t="shared" si="11"/>
        <v>2003</v>
      </c>
      <c r="U84" s="7">
        <f t="shared" si="15"/>
        <v>1076</v>
      </c>
      <c r="V84" s="7">
        <f t="shared" si="12"/>
        <v>2076</v>
      </c>
      <c r="W84" s="7">
        <f t="shared" si="12"/>
        <v>3076</v>
      </c>
      <c r="X84" s="7">
        <f t="shared" si="12"/>
        <v>4076</v>
      </c>
      <c r="Y84" s="7">
        <f t="shared" si="12"/>
        <v>5076</v>
      </c>
      <c r="Z84" s="7">
        <f t="shared" si="12"/>
        <v>6076</v>
      </c>
      <c r="AA84" s="7">
        <f t="shared" si="12"/>
        <v>7076</v>
      </c>
      <c r="AB84" s="7">
        <f t="shared" si="12"/>
        <v>8076</v>
      </c>
      <c r="AD84" s="21" t="str">
        <f>IFERROR(INDEX($M:$M,MATCH(U84,$S:$S,0)),"&amp;")</f>
        <v>助越灭吴</v>
      </c>
      <c r="AE84" s="21" t="str">
        <f>IFERROR(INDEX($M:$M,MATCH(V84,$S:$S,0)),"&amp;")</f>
        <v>见血封喉</v>
      </c>
      <c r="AF84" s="21" t="str">
        <f>IFERROR(INDEX($M:$M,MATCH(W84,$S:$S,0)),"&amp;")</f>
        <v>剑风凌厉</v>
      </c>
      <c r="AG84" s="21" t="str">
        <f>IFERROR(INDEX($M:$M,MATCH(X84,$S:$S,0)),"&amp;")</f>
        <v>英雄美人</v>
      </c>
      <c r="AH84" s="21" t="str">
        <f>IFERROR(INDEX($M:$M,MATCH(Y84,$S:$S,0)),"&amp;")</f>
        <v>巾帼义女</v>
      </c>
      <c r="AI84" s="21" t="str">
        <f>IFERROR(INDEX($M:$M,MATCH(Z84,$S:$S,0)),"&amp;")</f>
        <v>&amp;</v>
      </c>
      <c r="AJ84" s="21" t="str">
        <f>IFERROR(INDEX($M:$M,MATCH(AA84,$S:$S,0)),"&amp;")</f>
        <v>&amp;</v>
      </c>
      <c r="AK84" s="21" t="str">
        <f>IFERROR(INDEX($M:$M,MATCH(AB84,$S:$S,0)),"&amp;")</f>
        <v>&amp;</v>
      </c>
      <c r="AM84" s="21" t="str">
        <f>IFERROR(INDEX($N:$N,MATCH(U84,$S:$S,0)),"&amp;")</f>
        <v>助越灭吴1</v>
      </c>
      <c r="AN84" s="21" t="str">
        <f>IFERROR(INDEX($N:$N,MATCH(V84,$S:$S,0)),"&amp;")</f>
        <v>见血封喉1</v>
      </c>
      <c r="AO84" s="21" t="str">
        <f>IFERROR(INDEX($N:$N,MATCH(W84,$S:$S,0)),"&amp;")</f>
        <v>剑风凌厉1</v>
      </c>
      <c r="AP84" s="21" t="str">
        <f>IFERROR(INDEX($N:$N,MATCH(X84,$S:$S,0)),"&amp;")</f>
        <v>英雄美人8</v>
      </c>
      <c r="AQ84" s="21" t="str">
        <f>IFERROR(INDEX($N:$N,MATCH(Y84,$S:$S,0)),"&amp;")</f>
        <v>巾帼义女2</v>
      </c>
      <c r="AR84" s="21" t="str">
        <f>IFERROR(INDEX($N:$N,MATCH(Z84,$S:$S,0)),"&amp;")</f>
        <v>&amp;</v>
      </c>
      <c r="AS84" s="21" t="str">
        <f>IFERROR(INDEX($N:$N,MATCH(AA84,$S:$S,0)),"&amp;")</f>
        <v>&amp;</v>
      </c>
      <c r="AT84" s="21" t="str">
        <f>IFERROR(INDEX($N:$N,MATCH(AB84,$S:$S,0)),"&amp;")</f>
        <v>&amp;</v>
      </c>
      <c r="AV84" s="21" t="str">
        <f>IFERROR(SUBSTITUTE(INDEX($K:$K,MATCH(INDEX($M:$M,MATCH(AM84,$N:$N,0)),$M:$M,0)),$D84,""),"")</f>
        <v xml:space="preserve"> 勾践</v>
      </c>
      <c r="AW84" s="21" t="str">
        <f>IFERROR(SUBSTITUTE(INDEX($K:$K,MATCH(INDEX($M:$M,MATCH(AN84,$N:$N,0)),$M:$M,0)),$D84,""),"")</f>
        <v xml:space="preserve"> 骊姬 荆轲</v>
      </c>
      <c r="AX84" s="21" t="str">
        <f>IFERROR(SUBSTITUTE(INDEX($K:$K,MATCH(INDEX($M:$M,MATCH(AO84,$N:$N,0)),$M:$M,0)),$D84,""),"")</f>
        <v xml:space="preserve"> 欧冶子 司马错 晋文公</v>
      </c>
      <c r="AY84" s="21" t="str">
        <f>IFERROR(SUBSTITUTE(INDEX($K:$K,MATCH(INDEX($M:$M,MATCH(AP84,$N:$N,0)),$M:$M,0)),$D84,""),"")</f>
        <v>褒姒 勾践 楚庄王 秦武王</v>
      </c>
      <c r="AZ84" s="21" t="str">
        <f>IFERROR(SUBSTITUTE(INDEX($K:$K,MATCH(INDEX($M:$M,MATCH(AQ84,$N:$N,0)),$M:$M,0)),$D84,""),"")</f>
        <v>貂蝉  虞姬</v>
      </c>
      <c r="BA84" s="21" t="str">
        <f>IFERROR(SUBSTITUTE(INDEX($K:$K,MATCH(INDEX($M:$M,MATCH(AR84,$N:$N,0)),$M:$M,0)),$D84,""),"")</f>
        <v/>
      </c>
      <c r="BB84" s="21" t="str">
        <f>IFERROR(SUBSTITUTE(INDEX($K:$K,MATCH(INDEX($M:$M,MATCH(AS84,$N:$N,0)),$M:$M,0)),$D84,""),"")</f>
        <v/>
      </c>
      <c r="BC84" s="21" t="str">
        <f>IFERROR(SUBSTITUTE(INDEX($K:$K,MATCH(INDEX($M:$M,MATCH(AT84,$N:$N,0)),$M:$M,0)),$D84,""),"")</f>
        <v/>
      </c>
      <c r="BE84" s="9" t="str">
        <f t="shared" si="16"/>
        <v>越女,勾践,骊姬,荆轲,欧冶子,司马错,晋文公,褒姒,楚庄王,秦武王,貂蝉,虞姬</v>
      </c>
      <c r="BI84" s="9" t="str">
        <f>IFERROR(
IF(COUNTIF($M:$M,$AD84)&lt;BI$8,
"",
INDEX($J:$J,MATCH($AD84,$M:$M,0)+BI$8-1)),
"")</f>
        <v>越女</v>
      </c>
      <c r="BJ84" s="9" t="str">
        <f>IFERROR(
IF(COUNTIF($M:$M,$AD84)&lt;BJ$8,
"",
INDEX($J:$J,MATCH($AD84,$M:$M,0)+BJ$8-1)),
"")</f>
        <v>勾践</v>
      </c>
      <c r="BK84" s="9" t="str">
        <f>IFERROR(
IF(COUNTIF($M:$M,$AD84)&lt;BK$8,
"",
INDEX($J:$J,MATCH($AD84,$M:$M,0)+BK$8-1)),
"")</f>
        <v/>
      </c>
      <c r="BL84" s="9" t="str">
        <f>IFERROR(
IF(COUNTIF($M:$M,$AD84)&lt;BL$8,
"",
INDEX($J:$J,MATCH($AD84,$M:$M,0)+BL$8-1)),
"")</f>
        <v/>
      </c>
      <c r="BN84" s="21" t="str">
        <f>IFERROR(
IF(COUNTIF($BI84:BM84,INDEX($J:$J,MATCH($AE84,$M:$M,0)+BN$8-1))=0,
IF(COUNTIF($M:$M,$AE84)&lt;BN$8,
"",
INDEX($J:$J,MATCH($AE84,$M:$M,0)+BN$8-1)),
""),
"")</f>
        <v/>
      </c>
      <c r="BO84" s="21" t="str">
        <f>IFERROR(
IF(COUNTIF($BI84:BN84,INDEX($J:$J,MATCH($AE84,$M:$M,0)+BO$8-1))=0,
IF(COUNTIF($M:$M,$AE84)&lt;BO$8,
"",
INDEX($J:$J,MATCH($AE84,$M:$M,0)+BO$8-1)),
""),
"")</f>
        <v>骊姬</v>
      </c>
      <c r="BP84" s="21" t="str">
        <f>IFERROR(
IF(COUNTIF($BI84:BO84,INDEX($J:$J,MATCH($AE84,$M:$M,0)+BP$8-1))=0,
IF(COUNTIF($M:$M,$AE84)&lt;BP$8,
"",
INDEX($J:$J,MATCH($AE84,$M:$M,0)+BP$8-1)),
""),
"")</f>
        <v>荆轲</v>
      </c>
      <c r="BQ84" s="21" t="str">
        <f>IFERROR(
IF(COUNTIF($BI84:BP84,INDEX($J:$J,MATCH($AE84,$M:$M,0)+BQ$8-1))=0,
IF(COUNTIF($M:$M,$AE84)&lt;BQ$8,
"",
INDEX($J:$J,MATCH($AE84,$M:$M,0)+BQ$8-1)),
""),
"")</f>
        <v/>
      </c>
      <c r="BS84" s="21" t="str">
        <f>IFERROR(
IF(COUNTIF($BI84:BR84,INDEX($J:$J,MATCH($AF84,$M:$M,0)+BS$8-1))=0,
IF(COUNTIF($M:$M,$AF84)&lt;BS$8,
"",
INDEX($J:$J,MATCH($AF84,$M:$M,0)+BS$8-1)),
""),
"")</f>
        <v/>
      </c>
      <c r="BT84" s="21" t="str">
        <f>IFERROR(
IF(COUNTIF($BI84:BS84,INDEX($J:$J,MATCH($AF84,$M:$M,0)+BT$8-1))=0,
IF(COUNTIF($M:$M,$AF84)&lt;BT$8,
"",
INDEX($J:$J,MATCH($AF84,$M:$M,0)+BT$8-1)),
""),
"")</f>
        <v>欧冶子</v>
      </c>
      <c r="BU84" s="21" t="str">
        <f>IFERROR(
IF(COUNTIF($BI84:BT84,INDEX($J:$J,MATCH($AF84,$M:$M,0)+BU$8-1))=0,
IF(COUNTIF($M:$M,$AF84)&lt;BU$8,
"",
INDEX($J:$J,MATCH($AF84,$M:$M,0)+BU$8-1)),
""),
"")</f>
        <v>司马错</v>
      </c>
      <c r="BV84" s="21" t="str">
        <f>IFERROR(
IF(COUNTIF($BI84:BU84,INDEX($J:$J,MATCH($AF84,$M:$M,0)+BV$8-1))=0,
IF(COUNTIF($M:$M,$AF84)&lt;BV$8,
"",
INDEX($J:$J,MATCH($AF84,$M:$M,0)+BV$8-1)),
""),
"")</f>
        <v>晋文公</v>
      </c>
      <c r="BX84" s="21" t="str">
        <f>IFERROR(
IF(COUNTIF($BI84:BW84,INDEX($J:$J,MATCH($AG84,$M:$M,0)+BX$8-1))=0,
IF(COUNTIF($M:$M,$AG84)&lt;BX$8,
"",
INDEX($J:$J,MATCH($AG84,$M:$M,0)+BX$8-1)),
""),
"")</f>
        <v>褒姒</v>
      </c>
      <c r="BY84" s="21" t="str">
        <f>IFERROR(
IF(COUNTIF($BI84:BX84,INDEX($J:$J,MATCH($AG84,$M:$M,0)+BY$8-1))=0,
IF(COUNTIF($M:$M,$AG84)&lt;BY$8,
"",
INDEX($J:$J,MATCH($AG84,$M:$M,0)+BY$8-1)),
""),
"")</f>
        <v/>
      </c>
      <c r="BZ84" s="21" t="str">
        <f>IFERROR(
IF(COUNTIF($BI84:BY84,INDEX($J:$J,MATCH($AG84,$M:$M,0)+BZ$8-1))=0,
IF(COUNTIF($M:$M,$AG84)&lt;BZ$8,
"",
INDEX($J:$J,MATCH($AG84,$M:$M,0)+BZ$8-1)),
""),
"")</f>
        <v>楚庄王</v>
      </c>
      <c r="CA84" s="21" t="str">
        <f>IFERROR(
IF(COUNTIF($BI84:BZ84,INDEX($J:$J,MATCH($AG84,$M:$M,0)+CA$8-1))=0,
IF(COUNTIF($M:$M,$AG84)&lt;CA$8,
"",
INDEX($J:$J,MATCH($AG84,$M:$M,0)+CA$8-1)),
""),
"")</f>
        <v>秦武王</v>
      </c>
      <c r="CC84" s="21" t="str">
        <f>IFERROR(
IF(COUNTIF($BI84:CB84,INDEX($J:$J,MATCH($AH84,$M:$M,0)+CC$8-1))=0,
IF(COUNTIF($M:$M,$AH84)&lt;CC$8,
"",
INDEX($J:$J,MATCH($AH84,$M:$M,0)+CC$8-1)),
""),
"")</f>
        <v>貂蝉</v>
      </c>
      <c r="CD84" s="21" t="str">
        <f>IFERROR(
IF(COUNTIF($BI84:CC84,INDEX($J:$J,MATCH($AH84,$M:$M,0)+CD$8-1))=0,
IF(COUNTIF($M:$M,$AH84)&lt;CD$8,
"",
INDEX($J:$J,MATCH($AH84,$M:$M,0)+CD$8-1)),
""),
"")</f>
        <v/>
      </c>
      <c r="CE84" s="21" t="str">
        <f>IFERROR(
IF(COUNTIF($BI84:CD84,INDEX($J:$J,MATCH($AH84,$M:$M,0)+CE$8-1))=0,
IF(COUNTIF($M:$M,$AH84)&lt;CE$8,
"",
INDEX($J:$J,MATCH($AH84,$M:$M,0)+CE$8-1)),
""),
"")</f>
        <v>虞姬</v>
      </c>
      <c r="CF84" s="21" t="str">
        <f>IFERROR(
IF(COUNTIF($BI84:CE84,INDEX($J:$J,MATCH($AH84,$M:$M,0)+CF$8-1))=0,
IF(COUNTIF($M:$M,$AH84)&lt;CF$8,
"",
INDEX($J:$J,MATCH($AH84,$M:$M,0)+CF$8-1)),
""),
"")</f>
        <v/>
      </c>
      <c r="CH84" s="21" t="str">
        <f>IFERROR(
IF(COUNTIF($BI84:CG84,INDEX($J:$J,MATCH($AI84,$M:$M,0)+CH$8-1))=0,
IF(COUNTIF($M:$M,$AI84)&lt;CH$8,
"",
INDEX($J:$J,MATCH($AI84,$M:$M,0)+CH$8-1)),
""),
"")</f>
        <v/>
      </c>
      <c r="CI84" s="21" t="str">
        <f>IFERROR(
IF(COUNTIF($BI84:CH84,INDEX($J:$J,MATCH($AI84,$M:$M,0)+CI$8-1))=0,
IF(COUNTIF($M:$M,$AI84)&lt;CI$8,
"",
INDEX($J:$J,MATCH($AI84,$M:$M,0)+CI$8-1)),
""),
"")</f>
        <v/>
      </c>
      <c r="CJ84" s="21" t="str">
        <f>IFERROR(
IF(COUNTIF($BI84:CI84,INDEX($J:$J,MATCH($AI84,$M:$M,0)+CJ$8-1))=0,
IF(COUNTIF($M:$M,$AI84)&lt;CJ$8,
"",
INDEX($J:$J,MATCH($AI84,$M:$M,0)+CJ$8-1)),
""),
"")</f>
        <v/>
      </c>
      <c r="CK84" s="21" t="str">
        <f>IFERROR(
IF(COUNTIF($BI84:CJ84,INDEX($J:$J,MATCH($AI84,$M:$M,0)+CK$8-1))=0,
IF(COUNTIF($M:$M,$AI84)&lt;CK$8,
"",
INDEX($J:$J,MATCH($AI84,$M:$M,0)+CK$8-1)),
""),
"")</f>
        <v/>
      </c>
      <c r="CM84" s="21" t="str">
        <f>IFERROR(
IF(COUNTIF($BI84:CL84,INDEX($J:$J,MATCH($AJ84,$M:$M,0)+CM$8-1))=0,
IF(COUNTIF($M:$M,$AJ84)&lt;CM$8,
"",
INDEX($J:$J,MATCH($AJ84,$M:$M,0)+CM$8-1)),
""),
"")</f>
        <v/>
      </c>
      <c r="CN84" s="21" t="str">
        <f>IFERROR(
IF(COUNTIF($BI84:CM84,INDEX($J:$J,MATCH($AJ84,$M:$M,0)+CN$8-1))=0,
IF(COUNTIF($M:$M,$AJ84)&lt;CN$8,
"",
INDEX($J:$J,MATCH($AJ84,$M:$M,0)+CN$8-1)),
""),
"")</f>
        <v/>
      </c>
      <c r="CO84" s="21" t="str">
        <f>IFERROR(
IF(COUNTIF($BI84:CN84,INDEX($J:$J,MATCH($AJ84,$M:$M,0)+CO$8-1))=0,
IF(COUNTIF($M:$M,$AJ84)&lt;CO$8,
"",
INDEX($J:$J,MATCH($AJ84,$M:$M,0)+CO$8-1)),
""),
"")</f>
        <v/>
      </c>
      <c r="CP84" s="21" t="str">
        <f>IFERROR(
IF(COUNTIF($BI84:CO84,INDEX($J:$J,MATCH($AJ84,$M:$M,0)+CP$8-1))=0,
IF(COUNTIF($M:$M,$AJ84)&lt;CP$8,
"",
INDEX($J:$J,MATCH($AJ84,$M:$M,0)+CP$8-1)),
""),
"")</f>
        <v/>
      </c>
      <c r="CR84" s="21" t="str">
        <f>IFERROR(
IF(COUNTIF($BI84:CQ84,INDEX($J:$J,MATCH($AK84,$M:$M,0)+CR$8-1))=0,
IF(COUNTIF($M:$M,$AK84)&lt;CR$8,
"",
INDEX($J:$J,MATCH($AK84,$M:$M,0)+CR$8-1)),
""),
"")</f>
        <v/>
      </c>
      <c r="CS84" s="21" t="str">
        <f>IFERROR(
IF(COUNTIF($BI84:CR84,INDEX($J:$J,MATCH($AK84,$M:$M,0)+CS$8-1))=0,
IF(COUNTIF($M:$M,$AK84)&lt;CS$8,
"",
INDEX($J:$J,MATCH($AK84,$M:$M,0)+CS$8-1)),
""),
"")</f>
        <v/>
      </c>
      <c r="CT84" s="21" t="str">
        <f>IFERROR(
IF(COUNTIF($BI84:CS84,INDEX($J:$J,MATCH($AK84,$M:$M,0)+CT$8-1))=0,
IF(COUNTIF($M:$M,$AK84)&lt;CT$8,
"",
INDEX($J:$J,MATCH($AK84,$M:$M,0)+CT$8-1)),
""),
"")</f>
        <v/>
      </c>
      <c r="CU84" s="21" t="str">
        <f>IFERROR(
IF(COUNTIF($BI84:CT84,INDEX($J:$J,MATCH($AK84,$M:$M,0)+CU$8-1))=0,
IF(COUNTIF($M:$M,$AK84)&lt;CU$8,
"",
INDEX($J:$J,MATCH($AK84,$M:$M,0)+CU$8-1)),
""),
"")</f>
        <v/>
      </c>
    </row>
    <row r="85" spans="3:99" ht="14.25">
      <c r="C85" s="16">
        <v>77</v>
      </c>
      <c r="D85" s="19" t="s">
        <v>373</v>
      </c>
      <c r="E85" s="20">
        <f>INDEX([1]武将基本资料!$S:$S,MATCH(D85,[1]武将基本资料!$N:$N,0))</f>
        <v>130</v>
      </c>
      <c r="F85" s="20" t="str">
        <f>INDEX([1]武将基本资料!$Q:$Q,MATCH(D85,[1]武将基本资料!$N:$N,0))</f>
        <v>橙+</v>
      </c>
      <c r="H85" s="7" t="str">
        <f>IF(I85="","",COUNTA(I$9:$I85))</f>
        <v/>
      </c>
      <c r="I85" s="6" t="s">
        <v>188</v>
      </c>
      <c r="J85" s="6" t="s">
        <v>97</v>
      </c>
      <c r="K85" s="8" t="str">
        <f>IF(H85="","",阶段合并区域(J85:J95," ",L85:L95,1))</f>
        <v/>
      </c>
      <c r="L85" s="8">
        <f>COUNTIF(M$8:$M85,"="&amp;M85)</f>
        <v>3</v>
      </c>
      <c r="M85" s="9" t="str">
        <f t="shared" si="13"/>
        <v>南征北战</v>
      </c>
      <c r="N85" s="9" t="str">
        <f t="shared" si="14"/>
        <v>南征北战3</v>
      </c>
      <c r="O85" s="15">
        <f>INDEX(C:C,MATCH(J85,D:D,0))</f>
        <v>27</v>
      </c>
      <c r="P85" s="9">
        <f>INDEX(E:E,MATCH(J85,D:D,0))</f>
        <v>120</v>
      </c>
      <c r="Q85" s="7">
        <f t="shared" si="10"/>
        <v>27</v>
      </c>
      <c r="R85" s="7">
        <f>COUNTIF(J$8:$J85,"="&amp;J85)</f>
        <v>2</v>
      </c>
      <c r="S85" s="7">
        <f t="shared" si="11"/>
        <v>2027</v>
      </c>
      <c r="U85" s="7">
        <f t="shared" si="15"/>
        <v>1077</v>
      </c>
      <c r="V85" s="7">
        <f t="shared" si="12"/>
        <v>2077</v>
      </c>
      <c r="W85" s="7">
        <f t="shared" si="12"/>
        <v>3077</v>
      </c>
      <c r="X85" s="7">
        <f t="shared" si="12"/>
        <v>4077</v>
      </c>
      <c r="Y85" s="7">
        <f t="shared" si="12"/>
        <v>5077</v>
      </c>
      <c r="Z85" s="7">
        <f t="shared" si="12"/>
        <v>6077</v>
      </c>
      <c r="AA85" s="7">
        <f t="shared" si="12"/>
        <v>7077</v>
      </c>
      <c r="AB85" s="7">
        <f t="shared" si="12"/>
        <v>8077</v>
      </c>
      <c r="AD85" s="21" t="str">
        <f>IFERROR(INDEX($M:$M,MATCH(U85,$S:$S,0)),"&amp;")</f>
        <v>精通音律</v>
      </c>
      <c r="AE85" s="21" t="str">
        <f>IFERROR(INDEX($M:$M,MATCH(V85,$S:$S,0)),"&amp;")</f>
        <v>楚楚动人</v>
      </c>
      <c r="AF85" s="21" t="str">
        <f>IFERROR(INDEX($M:$M,MATCH(W85,$S:$S,0)),"&amp;")</f>
        <v>才貌双全</v>
      </c>
      <c r="AG85" s="21" t="str">
        <f>IFERROR(INDEX($M:$M,MATCH(X85,$S:$S,0)),"&amp;")</f>
        <v>霸王别姬</v>
      </c>
      <c r="AH85" s="21" t="str">
        <f>IFERROR(INDEX($M:$M,MATCH(Y85,$S:$S,0)),"&amp;")</f>
        <v>巾帼义女</v>
      </c>
      <c r="AI85" s="21" t="str">
        <f>IFERROR(INDEX($M:$M,MATCH(Z85,$S:$S,0)),"&amp;")</f>
        <v>&amp;</v>
      </c>
      <c r="AJ85" s="21" t="str">
        <f>IFERROR(INDEX($M:$M,MATCH(AA85,$S:$S,0)),"&amp;")</f>
        <v>&amp;</v>
      </c>
      <c r="AK85" s="21" t="str">
        <f>IFERROR(INDEX($M:$M,MATCH(AB85,$S:$S,0)),"&amp;")</f>
        <v>&amp;</v>
      </c>
      <c r="AM85" s="21" t="str">
        <f>IFERROR(INDEX($N:$N,MATCH(U85,$S:$S,0)),"&amp;")</f>
        <v>精通音律1</v>
      </c>
      <c r="AN85" s="21" t="str">
        <f>IFERROR(INDEX($N:$N,MATCH(V85,$S:$S,0)),"&amp;")</f>
        <v>楚楚动人1</v>
      </c>
      <c r="AO85" s="21" t="str">
        <f>IFERROR(INDEX($N:$N,MATCH(W85,$S:$S,0)),"&amp;")</f>
        <v>才貌双全1</v>
      </c>
      <c r="AP85" s="21" t="str">
        <f>IFERROR(INDEX($N:$N,MATCH(X85,$S:$S,0)),"&amp;")</f>
        <v>霸王别姬2</v>
      </c>
      <c r="AQ85" s="21" t="str">
        <f>IFERROR(INDEX($N:$N,MATCH(Y85,$S:$S,0)),"&amp;")</f>
        <v>巾帼义女3</v>
      </c>
      <c r="AR85" s="21" t="str">
        <f>IFERROR(INDEX($N:$N,MATCH(Z85,$S:$S,0)),"&amp;")</f>
        <v>&amp;</v>
      </c>
      <c r="AS85" s="21" t="str">
        <f>IFERROR(INDEX($N:$N,MATCH(AA85,$S:$S,0)),"&amp;")</f>
        <v>&amp;</v>
      </c>
      <c r="AT85" s="21" t="str">
        <f>IFERROR(INDEX($N:$N,MATCH(AB85,$S:$S,0)),"&amp;")</f>
        <v>&amp;</v>
      </c>
      <c r="AV85" s="21" t="str">
        <f>IFERROR(SUBSTITUTE(INDEX($K:$K,MATCH(INDEX($M:$M,MATCH(AM85,$N:$N,0)),$M:$M,0)),$D85,""),"")</f>
        <v xml:space="preserve"> 弄玉</v>
      </c>
      <c r="AW85" s="21" t="str">
        <f>IFERROR(SUBSTITUTE(INDEX($K:$K,MATCH(INDEX($M:$M,MATCH(AN85,$N:$N,0)),$M:$M,0)),$D85,""),"")</f>
        <v xml:space="preserve"> 西施</v>
      </c>
      <c r="AX85" s="21" t="str">
        <f>IFERROR(SUBSTITUTE(INDEX($K:$K,MATCH(INDEX($M:$M,MATCH(AO85,$N:$N,0)),$M:$M,0)),$D85,""),"")</f>
        <v xml:space="preserve"> 信陵君 孟尝君 赵括</v>
      </c>
      <c r="AY85" s="21" t="str">
        <f>IFERROR(SUBSTITUTE(INDEX($K:$K,MATCH(INDEX($M:$M,MATCH(AP85,$N:$N,0)),$M:$M,0)),$D85,""),"")</f>
        <v xml:space="preserve">项羽 </v>
      </c>
      <c r="AZ85" s="21" t="str">
        <f>IFERROR(SUBSTITUTE(INDEX($K:$K,MATCH(INDEX($M:$M,MATCH(AQ85,$N:$N,0)),$M:$M,0)),$D85,""),"")</f>
        <v xml:space="preserve">貂蝉 越女 </v>
      </c>
      <c r="BA85" s="21" t="str">
        <f>IFERROR(SUBSTITUTE(INDEX($K:$K,MATCH(INDEX($M:$M,MATCH(AR85,$N:$N,0)),$M:$M,0)),$D85,""),"")</f>
        <v/>
      </c>
      <c r="BB85" s="21" t="str">
        <f>IFERROR(SUBSTITUTE(INDEX($K:$K,MATCH(INDEX($M:$M,MATCH(AS85,$N:$N,0)),$M:$M,0)),$D85,""),"")</f>
        <v/>
      </c>
      <c r="BC85" s="21" t="str">
        <f>IFERROR(SUBSTITUTE(INDEX($K:$K,MATCH(INDEX($M:$M,MATCH(AT85,$N:$N,0)),$M:$M,0)),$D85,""),"")</f>
        <v/>
      </c>
      <c r="BE85" s="9" t="str">
        <f t="shared" si="16"/>
        <v>虞姬,弄玉,西施,信陵君,孟尝君,赵括,项羽,貂蝉,越女</v>
      </c>
      <c r="BI85" s="9" t="str">
        <f>IFERROR(
IF(COUNTIF($M:$M,$AD85)&lt;BI$8,
"",
INDEX($J:$J,MATCH($AD85,$M:$M,0)+BI$8-1)),
"")</f>
        <v>虞姬</v>
      </c>
      <c r="BJ85" s="9" t="str">
        <f>IFERROR(
IF(COUNTIF($M:$M,$AD85)&lt;BJ$8,
"",
INDEX($J:$J,MATCH($AD85,$M:$M,0)+BJ$8-1)),
"")</f>
        <v>弄玉</v>
      </c>
      <c r="BK85" s="9" t="str">
        <f>IFERROR(
IF(COUNTIF($M:$M,$AD85)&lt;BK$8,
"",
INDEX($J:$J,MATCH($AD85,$M:$M,0)+BK$8-1)),
"")</f>
        <v/>
      </c>
      <c r="BL85" s="9" t="str">
        <f>IFERROR(
IF(COUNTIF($M:$M,$AD85)&lt;BL$8,
"",
INDEX($J:$J,MATCH($AD85,$M:$M,0)+BL$8-1)),
"")</f>
        <v/>
      </c>
      <c r="BN85" s="21" t="str">
        <f>IFERROR(
IF(COUNTIF($BI85:BM85,INDEX($J:$J,MATCH($AE85,$M:$M,0)+BN$8-1))=0,
IF(COUNTIF($M:$M,$AE85)&lt;BN$8,
"",
INDEX($J:$J,MATCH($AE85,$M:$M,0)+BN$8-1)),
""),
"")</f>
        <v/>
      </c>
      <c r="BO85" s="21" t="str">
        <f>IFERROR(
IF(COUNTIF($BI85:BN85,INDEX($J:$J,MATCH($AE85,$M:$M,0)+BO$8-1))=0,
IF(COUNTIF($M:$M,$AE85)&lt;BO$8,
"",
INDEX($J:$J,MATCH($AE85,$M:$M,0)+BO$8-1)),
""),
"")</f>
        <v>西施</v>
      </c>
      <c r="BP85" s="21" t="str">
        <f>IFERROR(
IF(COUNTIF($BI85:BO85,INDEX($J:$J,MATCH($AE85,$M:$M,0)+BP$8-1))=0,
IF(COUNTIF($M:$M,$AE85)&lt;BP$8,
"",
INDEX($J:$J,MATCH($AE85,$M:$M,0)+BP$8-1)),
""),
"")</f>
        <v/>
      </c>
      <c r="BQ85" s="21" t="str">
        <f>IFERROR(
IF(COUNTIF($BI85:BP85,INDEX($J:$J,MATCH($AE85,$M:$M,0)+BQ$8-1))=0,
IF(COUNTIF($M:$M,$AE85)&lt;BQ$8,
"",
INDEX($J:$J,MATCH($AE85,$M:$M,0)+BQ$8-1)),
""),
"")</f>
        <v/>
      </c>
      <c r="BS85" s="21" t="str">
        <f>IFERROR(
IF(COUNTIF($BI85:BR85,INDEX($J:$J,MATCH($AF85,$M:$M,0)+BS$8-1))=0,
IF(COUNTIF($M:$M,$AF85)&lt;BS$8,
"",
INDEX($J:$J,MATCH($AF85,$M:$M,0)+BS$8-1)),
""),
"")</f>
        <v/>
      </c>
      <c r="BT85" s="21" t="str">
        <f>IFERROR(
IF(COUNTIF($BI85:BS85,INDEX($J:$J,MATCH($AF85,$M:$M,0)+BT$8-1))=0,
IF(COUNTIF($M:$M,$AF85)&lt;BT$8,
"",
INDEX($J:$J,MATCH($AF85,$M:$M,0)+BT$8-1)),
""),
"")</f>
        <v>信陵君</v>
      </c>
      <c r="BU85" s="21" t="str">
        <f>IFERROR(
IF(COUNTIF($BI85:BT85,INDEX($J:$J,MATCH($AF85,$M:$M,0)+BU$8-1))=0,
IF(COUNTIF($M:$M,$AF85)&lt;BU$8,
"",
INDEX($J:$J,MATCH($AF85,$M:$M,0)+BU$8-1)),
""),
"")</f>
        <v>孟尝君</v>
      </c>
      <c r="BV85" s="21" t="str">
        <f>IFERROR(
IF(COUNTIF($BI85:BU85,INDEX($J:$J,MATCH($AF85,$M:$M,0)+BV$8-1))=0,
IF(COUNTIF($M:$M,$AF85)&lt;BV$8,
"",
INDEX($J:$J,MATCH($AF85,$M:$M,0)+BV$8-1)),
""),
"")</f>
        <v>赵括</v>
      </c>
      <c r="BX85" s="21" t="str">
        <f>IFERROR(
IF(COUNTIF($BI85:BW85,INDEX($J:$J,MATCH($AG85,$M:$M,0)+BX$8-1))=0,
IF(COUNTIF($M:$M,$AG85)&lt;BX$8,
"",
INDEX($J:$J,MATCH($AG85,$M:$M,0)+BX$8-1)),
""),
"")</f>
        <v>项羽</v>
      </c>
      <c r="BY85" s="21" t="str">
        <f>IFERROR(
IF(COUNTIF($BI85:BX85,INDEX($J:$J,MATCH($AG85,$M:$M,0)+BY$8-1))=0,
IF(COUNTIF($M:$M,$AG85)&lt;BY$8,
"",
INDEX($J:$J,MATCH($AG85,$M:$M,0)+BY$8-1)),
""),
"")</f>
        <v/>
      </c>
      <c r="BZ85" s="21" t="str">
        <f>IFERROR(
IF(COUNTIF($BI85:BY85,INDEX($J:$J,MATCH($AG85,$M:$M,0)+BZ$8-1))=0,
IF(COUNTIF($M:$M,$AG85)&lt;BZ$8,
"",
INDEX($J:$J,MATCH($AG85,$M:$M,0)+BZ$8-1)),
""),
"")</f>
        <v/>
      </c>
      <c r="CA85" s="21" t="str">
        <f>IFERROR(
IF(COUNTIF($BI85:BZ85,INDEX($J:$J,MATCH($AG85,$M:$M,0)+CA$8-1))=0,
IF(COUNTIF($M:$M,$AG85)&lt;CA$8,
"",
INDEX($J:$J,MATCH($AG85,$M:$M,0)+CA$8-1)),
""),
"")</f>
        <v/>
      </c>
      <c r="CC85" s="21" t="str">
        <f>IFERROR(
IF(COUNTIF($BI85:CB85,INDEX($J:$J,MATCH($AH85,$M:$M,0)+CC$8-1))=0,
IF(COUNTIF($M:$M,$AH85)&lt;CC$8,
"",
INDEX($J:$J,MATCH($AH85,$M:$M,0)+CC$8-1)),
""),
"")</f>
        <v>貂蝉</v>
      </c>
      <c r="CD85" s="21" t="str">
        <f>IFERROR(
IF(COUNTIF($BI85:CC85,INDEX($J:$J,MATCH($AH85,$M:$M,0)+CD$8-1))=0,
IF(COUNTIF($M:$M,$AH85)&lt;CD$8,
"",
INDEX($J:$J,MATCH($AH85,$M:$M,0)+CD$8-1)),
""),
"")</f>
        <v>越女</v>
      </c>
      <c r="CE85" s="21" t="str">
        <f>IFERROR(
IF(COUNTIF($BI85:CD85,INDEX($J:$J,MATCH($AH85,$M:$M,0)+CE$8-1))=0,
IF(COUNTIF($M:$M,$AH85)&lt;CE$8,
"",
INDEX($J:$J,MATCH($AH85,$M:$M,0)+CE$8-1)),
""),
"")</f>
        <v/>
      </c>
      <c r="CF85" s="21" t="str">
        <f>IFERROR(
IF(COUNTIF($BI85:CE85,INDEX($J:$J,MATCH($AH85,$M:$M,0)+CF$8-1))=0,
IF(COUNTIF($M:$M,$AH85)&lt;CF$8,
"",
INDEX($J:$J,MATCH($AH85,$M:$M,0)+CF$8-1)),
""),
"")</f>
        <v/>
      </c>
      <c r="CH85" s="21" t="str">
        <f>IFERROR(
IF(COUNTIF($BI85:CG85,INDEX($J:$J,MATCH($AI85,$M:$M,0)+CH$8-1))=0,
IF(COUNTIF($M:$M,$AI85)&lt;CH$8,
"",
INDEX($J:$J,MATCH($AI85,$M:$M,0)+CH$8-1)),
""),
"")</f>
        <v/>
      </c>
      <c r="CI85" s="21" t="str">
        <f>IFERROR(
IF(COUNTIF($BI85:CH85,INDEX($J:$J,MATCH($AI85,$M:$M,0)+CI$8-1))=0,
IF(COUNTIF($M:$M,$AI85)&lt;CI$8,
"",
INDEX($J:$J,MATCH($AI85,$M:$M,0)+CI$8-1)),
""),
"")</f>
        <v/>
      </c>
      <c r="CJ85" s="21" t="str">
        <f>IFERROR(
IF(COUNTIF($BI85:CI85,INDEX($J:$J,MATCH($AI85,$M:$M,0)+CJ$8-1))=0,
IF(COUNTIF($M:$M,$AI85)&lt;CJ$8,
"",
INDEX($J:$J,MATCH($AI85,$M:$M,0)+CJ$8-1)),
""),
"")</f>
        <v/>
      </c>
      <c r="CK85" s="21" t="str">
        <f>IFERROR(
IF(COUNTIF($BI85:CJ85,INDEX($J:$J,MATCH($AI85,$M:$M,0)+CK$8-1))=0,
IF(COUNTIF($M:$M,$AI85)&lt;CK$8,
"",
INDEX($J:$J,MATCH($AI85,$M:$M,0)+CK$8-1)),
""),
"")</f>
        <v/>
      </c>
      <c r="CM85" s="21" t="str">
        <f>IFERROR(
IF(COUNTIF($BI85:CL85,INDEX($J:$J,MATCH($AJ85,$M:$M,0)+CM$8-1))=0,
IF(COUNTIF($M:$M,$AJ85)&lt;CM$8,
"",
INDEX($J:$J,MATCH($AJ85,$M:$M,0)+CM$8-1)),
""),
"")</f>
        <v/>
      </c>
      <c r="CN85" s="21" t="str">
        <f>IFERROR(
IF(COUNTIF($BI85:CM85,INDEX($J:$J,MATCH($AJ85,$M:$M,0)+CN$8-1))=0,
IF(COUNTIF($M:$M,$AJ85)&lt;CN$8,
"",
INDEX($J:$J,MATCH($AJ85,$M:$M,0)+CN$8-1)),
""),
"")</f>
        <v/>
      </c>
      <c r="CO85" s="21" t="str">
        <f>IFERROR(
IF(COUNTIF($BI85:CN85,INDEX($J:$J,MATCH($AJ85,$M:$M,0)+CO$8-1))=0,
IF(COUNTIF($M:$M,$AJ85)&lt;CO$8,
"",
INDEX($J:$J,MATCH($AJ85,$M:$M,0)+CO$8-1)),
""),
"")</f>
        <v/>
      </c>
      <c r="CP85" s="21" t="str">
        <f>IFERROR(
IF(COUNTIF($BI85:CO85,INDEX($J:$J,MATCH($AJ85,$M:$M,0)+CP$8-1))=0,
IF(COUNTIF($M:$M,$AJ85)&lt;CP$8,
"",
INDEX($J:$J,MATCH($AJ85,$M:$M,0)+CP$8-1)),
""),
"")</f>
        <v/>
      </c>
      <c r="CR85" s="21" t="str">
        <f>IFERROR(
IF(COUNTIF($BI85:CQ85,INDEX($J:$J,MATCH($AK85,$M:$M,0)+CR$8-1))=0,
IF(COUNTIF($M:$M,$AK85)&lt;CR$8,
"",
INDEX($J:$J,MATCH($AK85,$M:$M,0)+CR$8-1)),
""),
"")</f>
        <v/>
      </c>
      <c r="CS85" s="21" t="str">
        <f>IFERROR(
IF(COUNTIF($BI85:CR85,INDEX($J:$J,MATCH($AK85,$M:$M,0)+CS$8-1))=0,
IF(COUNTIF($M:$M,$AK85)&lt;CS$8,
"",
INDEX($J:$J,MATCH($AK85,$M:$M,0)+CS$8-1)),
""),
"")</f>
        <v/>
      </c>
      <c r="CT85" s="21" t="str">
        <f>IFERROR(
IF(COUNTIF($BI85:CS85,INDEX($J:$J,MATCH($AK85,$M:$M,0)+CT$8-1))=0,
IF(COUNTIF($M:$M,$AK85)&lt;CT$8,
"",
INDEX($J:$J,MATCH($AK85,$M:$M,0)+CT$8-1)),
""),
"")</f>
        <v/>
      </c>
      <c r="CU85" s="21" t="str">
        <f>IFERROR(
IF(COUNTIF($BI85:CT85,INDEX($J:$J,MATCH($AK85,$M:$M,0)+CU$8-1))=0,
IF(COUNTIF($M:$M,$AK85)&lt;CU$8,
"",
INDEX($J:$J,MATCH($AK85,$M:$M,0)+CU$8-1)),
""),
"")</f>
        <v/>
      </c>
    </row>
    <row r="86" spans="3:99" ht="14.25">
      <c r="C86" s="16">
        <v>78</v>
      </c>
      <c r="D86" s="19" t="s">
        <v>375</v>
      </c>
      <c r="E86" s="20">
        <f>INDEX([1]武将基本资料!$S:$S,MATCH(D86,[1]武将基本资料!$N:$N,0))</f>
        <v>140</v>
      </c>
      <c r="F86" s="20" t="str">
        <f>INDEX([1]武将基本资料!$Q:$Q,MATCH(D86,[1]武将基本资料!$N:$N,0))</f>
        <v>红</v>
      </c>
      <c r="H86" s="7">
        <f>IF(I86="","",COUNTA(I$9:$I86))</f>
        <v>76</v>
      </c>
      <c r="I86" s="6" t="s">
        <v>176</v>
      </c>
      <c r="J86" s="6" t="s">
        <v>53</v>
      </c>
      <c r="K86" s="8" t="str">
        <f>IF(H86="","",阶段合并区域(J86:J96," ",L86:L96,1))</f>
        <v>义渠骇 骊姬</v>
      </c>
      <c r="L86" s="8">
        <f>COUNTIF(M$8:$M86,"="&amp;M86)</f>
        <v>1</v>
      </c>
      <c r="M86" s="9" t="str">
        <f t="shared" si="13"/>
        <v>东夷西戎</v>
      </c>
      <c r="N86" s="9" t="str">
        <f t="shared" si="14"/>
        <v>东夷西戎1</v>
      </c>
      <c r="O86" s="15">
        <f>INDEX(C:C,MATCH(J86,D:D,0))</f>
        <v>3</v>
      </c>
      <c r="P86" s="9">
        <f>INDEX(E:E,MATCH(J86,D:D,0))</f>
        <v>120</v>
      </c>
      <c r="Q86" s="7">
        <f t="shared" si="10"/>
        <v>3</v>
      </c>
      <c r="R86" s="7">
        <f>COUNTIF(J$8:$J86,"="&amp;J86)</f>
        <v>3</v>
      </c>
      <c r="S86" s="7">
        <f t="shared" si="11"/>
        <v>3003</v>
      </c>
      <c r="U86" s="7">
        <f t="shared" si="15"/>
        <v>1078</v>
      </c>
      <c r="V86" s="7">
        <f t="shared" si="12"/>
        <v>2078</v>
      </c>
      <c r="W86" s="7">
        <f t="shared" si="12"/>
        <v>3078</v>
      </c>
      <c r="X86" s="7">
        <f t="shared" si="12"/>
        <v>4078</v>
      </c>
      <c r="Y86" s="7">
        <f t="shared" si="12"/>
        <v>5078</v>
      </c>
      <c r="Z86" s="7">
        <f t="shared" si="12"/>
        <v>6078</v>
      </c>
      <c r="AA86" s="7">
        <f t="shared" si="12"/>
        <v>7078</v>
      </c>
      <c r="AB86" s="7">
        <f t="shared" si="12"/>
        <v>8078</v>
      </c>
      <c r="AD86" s="21" t="str">
        <f>IFERROR(INDEX($M:$M,MATCH(U86,$S:$S,0)),"&amp;")</f>
        <v>勇武过人</v>
      </c>
      <c r="AE86" s="21" t="str">
        <f>IFERROR(INDEX($M:$M,MATCH(V86,$S:$S,0)),"&amp;")</f>
        <v>霸王别姬</v>
      </c>
      <c r="AF86" s="21" t="str">
        <f>IFERROR(INDEX($M:$M,MATCH(W86,$S:$S,0)),"&amp;")</f>
        <v>楚国翘楚</v>
      </c>
      <c r="AG86" s="21" t="str">
        <f>IFERROR(INDEX($M:$M,MATCH(X86,$S:$S,0)),"&amp;")</f>
        <v>&amp;</v>
      </c>
      <c r="AH86" s="21" t="str">
        <f>IFERROR(INDEX($M:$M,MATCH(Y86,$S:$S,0)),"&amp;")</f>
        <v>&amp;</v>
      </c>
      <c r="AI86" s="21" t="str">
        <f>IFERROR(INDEX($M:$M,MATCH(Z86,$S:$S,0)),"&amp;")</f>
        <v>&amp;</v>
      </c>
      <c r="AJ86" s="21" t="str">
        <f>IFERROR(INDEX($M:$M,MATCH(AA86,$S:$S,0)),"&amp;")</f>
        <v>&amp;</v>
      </c>
      <c r="AK86" s="21" t="str">
        <f>IFERROR(INDEX($M:$M,MATCH(AB86,$S:$S,0)),"&amp;")</f>
        <v>&amp;</v>
      </c>
      <c r="AM86" s="21" t="str">
        <f>IFERROR(INDEX($N:$N,MATCH(U86,$S:$S,0)),"&amp;")</f>
        <v>勇武过人1</v>
      </c>
      <c r="AN86" s="21" t="str">
        <f>IFERROR(INDEX($N:$N,MATCH(V86,$S:$S,0)),"&amp;")</f>
        <v>霸王别姬1</v>
      </c>
      <c r="AO86" s="21" t="str">
        <f>IFERROR(INDEX($N:$N,MATCH(W86,$S:$S,0)),"&amp;")</f>
        <v>楚国翘楚1</v>
      </c>
      <c r="AP86" s="21" t="str">
        <f>IFERROR(INDEX($N:$N,MATCH(X86,$S:$S,0)),"&amp;")</f>
        <v>&amp;</v>
      </c>
      <c r="AQ86" s="21" t="str">
        <f>IFERROR(INDEX($N:$N,MATCH(Y86,$S:$S,0)),"&amp;")</f>
        <v>&amp;</v>
      </c>
      <c r="AR86" s="21" t="str">
        <f>IFERROR(INDEX($N:$N,MATCH(Z86,$S:$S,0)),"&amp;")</f>
        <v>&amp;</v>
      </c>
      <c r="AS86" s="21" t="str">
        <f>IFERROR(INDEX($N:$N,MATCH(AA86,$S:$S,0)),"&amp;")</f>
        <v>&amp;</v>
      </c>
      <c r="AT86" s="21" t="str">
        <f>IFERROR(INDEX($N:$N,MATCH(AB86,$S:$S,0)),"&amp;")</f>
        <v>&amp;</v>
      </c>
      <c r="AV86" s="21" t="str">
        <f>IFERROR(SUBSTITUTE(INDEX($K:$K,MATCH(INDEX($M:$M,MATCH(AM86,$N:$N,0)),$M:$M,0)),$D86,""),"")</f>
        <v xml:space="preserve"> 秦武王 廉颇</v>
      </c>
      <c r="AW86" s="21" t="str">
        <f>IFERROR(SUBSTITUTE(INDEX($K:$K,MATCH(INDEX($M:$M,MATCH(AN86,$N:$N,0)),$M:$M,0)),$D86,""),"")</f>
        <v xml:space="preserve"> 虞姬</v>
      </c>
      <c r="AX86" s="21" t="str">
        <f>IFERROR(SUBSTITUTE(INDEX($K:$K,MATCH(INDEX($M:$M,MATCH(AO86,$N:$N,0)),$M:$M,0)),$D86,""),"")</f>
        <v xml:space="preserve"> 楚庄王 屈原</v>
      </c>
      <c r="AY86" s="21" t="str">
        <f>IFERROR(SUBSTITUTE(INDEX($K:$K,MATCH(INDEX($M:$M,MATCH(AP86,$N:$N,0)),$M:$M,0)),$D86,""),"")</f>
        <v/>
      </c>
      <c r="AZ86" s="21" t="str">
        <f>IFERROR(SUBSTITUTE(INDEX($K:$K,MATCH(INDEX($M:$M,MATCH(AQ86,$N:$N,0)),$M:$M,0)),$D86,""),"")</f>
        <v/>
      </c>
      <c r="BA86" s="21" t="str">
        <f>IFERROR(SUBSTITUTE(INDEX($K:$K,MATCH(INDEX($M:$M,MATCH(AR86,$N:$N,0)),$M:$M,0)),$D86,""),"")</f>
        <v/>
      </c>
      <c r="BB86" s="21" t="str">
        <f>IFERROR(SUBSTITUTE(INDEX($K:$K,MATCH(INDEX($M:$M,MATCH(AS86,$N:$N,0)),$M:$M,0)),$D86,""),"")</f>
        <v/>
      </c>
      <c r="BC86" s="21" t="str">
        <f>IFERROR(SUBSTITUTE(INDEX($K:$K,MATCH(INDEX($M:$M,MATCH(AT86,$N:$N,0)),$M:$M,0)),$D86,""),"")</f>
        <v/>
      </c>
      <c r="BE86" s="9" t="str">
        <f t="shared" si="16"/>
        <v>项羽,秦武王,廉颇,虞姬,楚庄王,屈原</v>
      </c>
      <c r="BI86" s="9" t="str">
        <f>IFERROR(
IF(COUNTIF($M:$M,$AD86)&lt;BI$8,
"",
INDEX($J:$J,MATCH($AD86,$M:$M,0)+BI$8-1)),
"")</f>
        <v>项羽</v>
      </c>
      <c r="BJ86" s="9" t="str">
        <f>IFERROR(
IF(COUNTIF($M:$M,$AD86)&lt;BJ$8,
"",
INDEX($J:$J,MATCH($AD86,$M:$M,0)+BJ$8-1)),
"")</f>
        <v>秦武王</v>
      </c>
      <c r="BK86" s="9" t="str">
        <f>IFERROR(
IF(COUNTIF($M:$M,$AD86)&lt;BK$8,
"",
INDEX($J:$J,MATCH($AD86,$M:$M,0)+BK$8-1)),
"")</f>
        <v>廉颇</v>
      </c>
      <c r="BL86" s="9" t="str">
        <f>IFERROR(
IF(COUNTIF($M:$M,$AD86)&lt;BL$8,
"",
INDEX($J:$J,MATCH($AD86,$M:$M,0)+BL$8-1)),
"")</f>
        <v/>
      </c>
      <c r="BN86" s="21" t="str">
        <f>IFERROR(
IF(COUNTIF($BI86:BM86,INDEX($J:$J,MATCH($AE86,$M:$M,0)+BN$8-1))=0,
IF(COUNTIF($M:$M,$AE86)&lt;BN$8,
"",
INDEX($J:$J,MATCH($AE86,$M:$M,0)+BN$8-1)),
""),
"")</f>
        <v/>
      </c>
      <c r="BO86" s="21" t="str">
        <f>IFERROR(
IF(COUNTIF($BI86:BN86,INDEX($J:$J,MATCH($AE86,$M:$M,0)+BO$8-1))=0,
IF(COUNTIF($M:$M,$AE86)&lt;BO$8,
"",
INDEX($J:$J,MATCH($AE86,$M:$M,0)+BO$8-1)),
""),
"")</f>
        <v>虞姬</v>
      </c>
      <c r="BP86" s="21" t="str">
        <f>IFERROR(
IF(COUNTIF($BI86:BO86,INDEX($J:$J,MATCH($AE86,$M:$M,0)+BP$8-1))=0,
IF(COUNTIF($M:$M,$AE86)&lt;BP$8,
"",
INDEX($J:$J,MATCH($AE86,$M:$M,0)+BP$8-1)),
""),
"")</f>
        <v/>
      </c>
      <c r="BQ86" s="21" t="str">
        <f>IFERROR(
IF(COUNTIF($BI86:BP86,INDEX($J:$J,MATCH($AE86,$M:$M,0)+BQ$8-1))=0,
IF(COUNTIF($M:$M,$AE86)&lt;BQ$8,
"",
INDEX($J:$J,MATCH($AE86,$M:$M,0)+BQ$8-1)),
""),
"")</f>
        <v/>
      </c>
      <c r="BS86" s="21" t="str">
        <f>IFERROR(
IF(COUNTIF($BI86:BR86,INDEX($J:$J,MATCH($AF86,$M:$M,0)+BS$8-1))=0,
IF(COUNTIF($M:$M,$AF86)&lt;BS$8,
"",
INDEX($J:$J,MATCH($AF86,$M:$M,0)+BS$8-1)),
""),
"")</f>
        <v/>
      </c>
      <c r="BT86" s="21" t="str">
        <f>IFERROR(
IF(COUNTIF($BI86:BS86,INDEX($J:$J,MATCH($AF86,$M:$M,0)+BT$8-1))=0,
IF(COUNTIF($M:$M,$AF86)&lt;BT$8,
"",
INDEX($J:$J,MATCH($AF86,$M:$M,0)+BT$8-1)),
""),
"")</f>
        <v>楚庄王</v>
      </c>
      <c r="BU86" s="21" t="str">
        <f>IFERROR(
IF(COUNTIF($BI86:BT86,INDEX($J:$J,MATCH($AF86,$M:$M,0)+BU$8-1))=0,
IF(COUNTIF($M:$M,$AF86)&lt;BU$8,
"",
INDEX($J:$J,MATCH($AF86,$M:$M,0)+BU$8-1)),
""),
"")</f>
        <v>屈原</v>
      </c>
      <c r="BV86" s="21" t="str">
        <f>IFERROR(
IF(COUNTIF($BI86:BU86,INDEX($J:$J,MATCH($AF86,$M:$M,0)+BV$8-1))=0,
IF(COUNTIF($M:$M,$AF86)&lt;BV$8,
"",
INDEX($J:$J,MATCH($AF86,$M:$M,0)+BV$8-1)),
""),
"")</f>
        <v/>
      </c>
      <c r="BX86" s="21" t="str">
        <f>IFERROR(
IF(COUNTIF($BI86:BW86,INDEX($J:$J,MATCH($AG86,$M:$M,0)+BX$8-1))=0,
IF(COUNTIF($M:$M,$AG86)&lt;BX$8,
"",
INDEX($J:$J,MATCH($AG86,$M:$M,0)+BX$8-1)),
""),
"")</f>
        <v/>
      </c>
      <c r="BY86" s="21" t="str">
        <f>IFERROR(
IF(COUNTIF($BI86:BX86,INDEX($J:$J,MATCH($AG86,$M:$M,0)+BY$8-1))=0,
IF(COUNTIF($M:$M,$AG86)&lt;BY$8,
"",
INDEX($J:$J,MATCH($AG86,$M:$M,0)+BY$8-1)),
""),
"")</f>
        <v/>
      </c>
      <c r="BZ86" s="21" t="str">
        <f>IFERROR(
IF(COUNTIF($BI86:BY86,INDEX($J:$J,MATCH($AG86,$M:$M,0)+BZ$8-1))=0,
IF(COUNTIF($M:$M,$AG86)&lt;BZ$8,
"",
INDEX($J:$J,MATCH($AG86,$M:$M,0)+BZ$8-1)),
""),
"")</f>
        <v/>
      </c>
      <c r="CA86" s="21" t="str">
        <f>IFERROR(
IF(COUNTIF($BI86:BZ86,INDEX($J:$J,MATCH($AG86,$M:$M,0)+CA$8-1))=0,
IF(COUNTIF($M:$M,$AG86)&lt;CA$8,
"",
INDEX($J:$J,MATCH($AG86,$M:$M,0)+CA$8-1)),
""),
"")</f>
        <v/>
      </c>
      <c r="CC86" s="21" t="str">
        <f>IFERROR(
IF(COUNTIF($BI86:CB86,INDEX($J:$J,MATCH($AH86,$M:$M,0)+CC$8-1))=0,
IF(COUNTIF($M:$M,$AH86)&lt;CC$8,
"",
INDEX($J:$J,MATCH($AH86,$M:$M,0)+CC$8-1)),
""),
"")</f>
        <v/>
      </c>
      <c r="CD86" s="21" t="str">
        <f>IFERROR(
IF(COUNTIF($BI86:CC86,INDEX($J:$J,MATCH($AH86,$M:$M,0)+CD$8-1))=0,
IF(COUNTIF($M:$M,$AH86)&lt;CD$8,
"",
INDEX($J:$J,MATCH($AH86,$M:$M,0)+CD$8-1)),
""),
"")</f>
        <v/>
      </c>
      <c r="CE86" s="21" t="str">
        <f>IFERROR(
IF(COUNTIF($BI86:CD86,INDEX($J:$J,MATCH($AH86,$M:$M,0)+CE$8-1))=0,
IF(COUNTIF($M:$M,$AH86)&lt;CE$8,
"",
INDEX($J:$J,MATCH($AH86,$M:$M,0)+CE$8-1)),
""),
"")</f>
        <v/>
      </c>
      <c r="CF86" s="21" t="str">
        <f>IFERROR(
IF(COUNTIF($BI86:CE86,INDEX($J:$J,MATCH($AH86,$M:$M,0)+CF$8-1))=0,
IF(COUNTIF($M:$M,$AH86)&lt;CF$8,
"",
INDEX($J:$J,MATCH($AH86,$M:$M,0)+CF$8-1)),
""),
"")</f>
        <v/>
      </c>
      <c r="CH86" s="21" t="str">
        <f>IFERROR(
IF(COUNTIF($BI86:CG86,INDEX($J:$J,MATCH($AI86,$M:$M,0)+CH$8-1))=0,
IF(COUNTIF($M:$M,$AI86)&lt;CH$8,
"",
INDEX($J:$J,MATCH($AI86,$M:$M,0)+CH$8-1)),
""),
"")</f>
        <v/>
      </c>
      <c r="CI86" s="21" t="str">
        <f>IFERROR(
IF(COUNTIF($BI86:CH86,INDEX($J:$J,MATCH($AI86,$M:$M,0)+CI$8-1))=0,
IF(COUNTIF($M:$M,$AI86)&lt;CI$8,
"",
INDEX($J:$J,MATCH($AI86,$M:$M,0)+CI$8-1)),
""),
"")</f>
        <v/>
      </c>
      <c r="CJ86" s="21" t="str">
        <f>IFERROR(
IF(COUNTIF($BI86:CI86,INDEX($J:$J,MATCH($AI86,$M:$M,0)+CJ$8-1))=0,
IF(COUNTIF($M:$M,$AI86)&lt;CJ$8,
"",
INDEX($J:$J,MATCH($AI86,$M:$M,0)+CJ$8-1)),
""),
"")</f>
        <v/>
      </c>
      <c r="CK86" s="21" t="str">
        <f>IFERROR(
IF(COUNTIF($BI86:CJ86,INDEX($J:$J,MATCH($AI86,$M:$M,0)+CK$8-1))=0,
IF(COUNTIF($M:$M,$AI86)&lt;CK$8,
"",
INDEX($J:$J,MATCH($AI86,$M:$M,0)+CK$8-1)),
""),
"")</f>
        <v/>
      </c>
      <c r="CM86" s="21" t="str">
        <f>IFERROR(
IF(COUNTIF($BI86:CL86,INDEX($J:$J,MATCH($AJ86,$M:$M,0)+CM$8-1))=0,
IF(COUNTIF($M:$M,$AJ86)&lt;CM$8,
"",
INDEX($J:$J,MATCH($AJ86,$M:$M,0)+CM$8-1)),
""),
"")</f>
        <v/>
      </c>
      <c r="CN86" s="21" t="str">
        <f>IFERROR(
IF(COUNTIF($BI86:CM86,INDEX($J:$J,MATCH($AJ86,$M:$M,0)+CN$8-1))=0,
IF(COUNTIF($M:$M,$AJ86)&lt;CN$8,
"",
INDEX($J:$J,MATCH($AJ86,$M:$M,0)+CN$8-1)),
""),
"")</f>
        <v/>
      </c>
      <c r="CO86" s="21" t="str">
        <f>IFERROR(
IF(COUNTIF($BI86:CN86,INDEX($J:$J,MATCH($AJ86,$M:$M,0)+CO$8-1))=0,
IF(COUNTIF($M:$M,$AJ86)&lt;CO$8,
"",
INDEX($J:$J,MATCH($AJ86,$M:$M,0)+CO$8-1)),
""),
"")</f>
        <v/>
      </c>
      <c r="CP86" s="21" t="str">
        <f>IFERROR(
IF(COUNTIF($BI86:CO86,INDEX($J:$J,MATCH($AJ86,$M:$M,0)+CP$8-1))=0,
IF(COUNTIF($M:$M,$AJ86)&lt;CP$8,
"",
INDEX($J:$J,MATCH($AJ86,$M:$M,0)+CP$8-1)),
""),
"")</f>
        <v/>
      </c>
      <c r="CR86" s="21" t="str">
        <f>IFERROR(
IF(COUNTIF($BI86:CQ86,INDEX($J:$J,MATCH($AK86,$M:$M,0)+CR$8-1))=0,
IF(COUNTIF($M:$M,$AK86)&lt;CR$8,
"",
INDEX($J:$J,MATCH($AK86,$M:$M,0)+CR$8-1)),
""),
"")</f>
        <v/>
      </c>
      <c r="CS86" s="21" t="str">
        <f>IFERROR(
IF(COUNTIF($BI86:CR86,INDEX($J:$J,MATCH($AK86,$M:$M,0)+CS$8-1))=0,
IF(COUNTIF($M:$M,$AK86)&lt;CS$8,
"",
INDEX($J:$J,MATCH($AK86,$M:$M,0)+CS$8-1)),
""),
"")</f>
        <v/>
      </c>
      <c r="CT86" s="21" t="str">
        <f>IFERROR(
IF(COUNTIF($BI86:CS86,INDEX($J:$J,MATCH($AK86,$M:$M,0)+CT$8-1))=0,
IF(COUNTIF($M:$M,$AK86)&lt;CT$8,
"",
INDEX($J:$J,MATCH($AK86,$M:$M,0)+CT$8-1)),
""),
"")</f>
        <v/>
      </c>
      <c r="CU86" s="21" t="str">
        <f>IFERROR(
IF(COUNTIF($BI86:CT86,INDEX($J:$J,MATCH($AK86,$M:$M,0)+CU$8-1))=0,
IF(COUNTIF($M:$M,$AK86)&lt;CU$8,
"",
INDEX($J:$J,MATCH($AK86,$M:$M,0)+CU$8-1)),
""),
"")</f>
        <v/>
      </c>
    </row>
    <row r="87" spans="3:99" ht="14.25">
      <c r="C87" s="16">
        <v>79</v>
      </c>
      <c r="D87" s="19" t="s">
        <v>404</v>
      </c>
      <c r="E87" s="20">
        <f>INDEX([1]武将基本资料!$S:$S,MATCH(D87,[1]武将基本资料!$N:$N,0))</f>
        <v>130</v>
      </c>
      <c r="F87" s="20" t="str">
        <f>INDEX([1]武将基本资料!$Q:$Q,MATCH(D87,[1]武将基本资料!$N:$N,0))</f>
        <v>橙+</v>
      </c>
      <c r="H87" s="7" t="str">
        <f>IF(I87="","",COUNTA(I$9:$I87))</f>
        <v/>
      </c>
      <c r="I87" s="6" t="s">
        <v>188</v>
      </c>
      <c r="J87" s="6" t="s">
        <v>51</v>
      </c>
      <c r="K87" s="8" t="str">
        <f>IF(H87="","",阶段合并区域(J87:J97," ",L87:L97,1))</f>
        <v/>
      </c>
      <c r="L87" s="8">
        <f>COUNTIF(M$8:$M87,"="&amp;M87)</f>
        <v>2</v>
      </c>
      <c r="M87" s="9" t="str">
        <f t="shared" si="13"/>
        <v>东夷西戎</v>
      </c>
      <c r="N87" s="9" t="str">
        <f t="shared" si="14"/>
        <v>东夷西戎2</v>
      </c>
      <c r="O87" s="15">
        <f>INDEX(C:C,MATCH(J87,D:D,0))</f>
        <v>1</v>
      </c>
      <c r="P87" s="9">
        <f>INDEX(E:E,MATCH(J87,D:D,0))</f>
        <v>120</v>
      </c>
      <c r="Q87" s="7">
        <f t="shared" si="10"/>
        <v>1</v>
      </c>
      <c r="R87" s="7">
        <f>COUNTIF(J$8:$J87,"="&amp;J87)</f>
        <v>2</v>
      </c>
      <c r="S87" s="7">
        <f t="shared" si="11"/>
        <v>2001</v>
      </c>
      <c r="U87" s="7">
        <f t="shared" si="15"/>
        <v>1079</v>
      </c>
      <c r="V87" s="7">
        <f t="shared" si="12"/>
        <v>2079</v>
      </c>
      <c r="W87" s="7">
        <f t="shared" si="12"/>
        <v>3079</v>
      </c>
      <c r="X87" s="7">
        <f t="shared" si="12"/>
        <v>4079</v>
      </c>
      <c r="Y87" s="7">
        <f t="shared" si="12"/>
        <v>5079</v>
      </c>
      <c r="Z87" s="7">
        <f t="shared" si="12"/>
        <v>6079</v>
      </c>
      <c r="AA87" s="7">
        <f t="shared" si="12"/>
        <v>7079</v>
      </c>
      <c r="AB87" s="7">
        <f t="shared" si="12"/>
        <v>8079</v>
      </c>
      <c r="AD87" s="21" t="str">
        <f>IFERROR(INDEX($M:$M,MATCH(U87,$S:$S,0)),"&amp;")</f>
        <v>一统天下</v>
      </c>
      <c r="AE87" s="21" t="str">
        <f>IFERROR(INDEX($M:$M,MATCH(V87,$S:$S,0)),"&amp;")</f>
        <v>知人善用</v>
      </c>
      <c r="AF87" s="21" t="str">
        <f>IFERROR(INDEX($M:$M,MATCH(W87,$S:$S,0)),"&amp;")</f>
        <v>任人唯亲</v>
      </c>
      <c r="AG87" s="21" t="str">
        <f>IFERROR(INDEX($M:$M,MATCH(X87,$S:$S,0)),"&amp;")</f>
        <v>国士无双</v>
      </c>
      <c r="AH87" s="21" t="str">
        <f>IFERROR(INDEX($M:$M,MATCH(Y87,$S:$S,0)),"&amp;")</f>
        <v>平定中原</v>
      </c>
      <c r="AI87" s="21" t="str">
        <f>IFERROR(INDEX($M:$M,MATCH(Z87,$S:$S,0)),"&amp;")</f>
        <v>汉室之胄</v>
      </c>
      <c r="AJ87" s="21" t="str">
        <f>IFERROR(INDEX($M:$M,MATCH(AA87,$S:$S,0)),"&amp;")</f>
        <v>&amp;</v>
      </c>
      <c r="AK87" s="21" t="str">
        <f>IFERROR(INDEX($M:$M,MATCH(AB87,$S:$S,0)),"&amp;")</f>
        <v>&amp;</v>
      </c>
      <c r="AM87" s="21" t="str">
        <f>IFERROR(INDEX($N:$N,MATCH(U87,$S:$S,0)),"&amp;")</f>
        <v>一统天下1</v>
      </c>
      <c r="AN87" s="21" t="str">
        <f>IFERROR(INDEX($N:$N,MATCH(V87,$S:$S,0)),"&amp;")</f>
        <v>知人善用1</v>
      </c>
      <c r="AO87" s="21" t="str">
        <f>IFERROR(INDEX($N:$N,MATCH(W87,$S:$S,0)),"&amp;")</f>
        <v>任人唯亲1</v>
      </c>
      <c r="AP87" s="21" t="str">
        <f>IFERROR(INDEX($N:$N,MATCH(X87,$S:$S,0)),"&amp;")</f>
        <v>国士无双2</v>
      </c>
      <c r="AQ87" s="21" t="str">
        <f>IFERROR(INDEX($N:$N,MATCH(Y87,$S:$S,0)),"&amp;")</f>
        <v>平定中原2</v>
      </c>
      <c r="AR87" s="21" t="str">
        <f>IFERROR(INDEX($N:$N,MATCH(Z87,$S:$S,0)),"&amp;")</f>
        <v>汉室之胄2</v>
      </c>
      <c r="AS87" s="21" t="str">
        <f>IFERROR(INDEX($N:$N,MATCH(AA87,$S:$S,0)),"&amp;")</f>
        <v>&amp;</v>
      </c>
      <c r="AT87" s="21" t="str">
        <f>IFERROR(INDEX($N:$N,MATCH(AB87,$S:$S,0)),"&amp;")</f>
        <v>&amp;</v>
      </c>
      <c r="AV87" s="21" t="str">
        <f>IFERROR(SUBSTITUTE(INDEX($K:$K,MATCH(INDEX($M:$M,MATCH(AM87,$N:$N,0)),$M:$M,0)),$D87,""),"")</f>
        <v xml:space="preserve"> 嬴政</v>
      </c>
      <c r="AW87" s="21" t="str">
        <f>IFERROR(SUBSTITUTE(INDEX($K:$K,MATCH(INDEX($M:$M,MATCH(AN87,$N:$N,0)),$M:$M,0)),$D87,""),"")</f>
        <v xml:space="preserve"> 韩信 彭越</v>
      </c>
      <c r="AX87" s="21" t="str">
        <f>IFERROR(SUBSTITUTE(INDEX($K:$K,MATCH(INDEX($M:$M,MATCH(AO87,$N:$N,0)),$M:$M,0)),$D87,""),"")</f>
        <v xml:space="preserve"> 吕雉</v>
      </c>
      <c r="AY87" s="21" t="str">
        <f>IFERROR(SUBSTITUTE(INDEX($K:$K,MATCH(INDEX($M:$M,MATCH(AP87,$N:$N,0)),$M:$M,0)),$D87,""),"")</f>
        <v xml:space="preserve">韩信 </v>
      </c>
      <c r="AZ87" s="21" t="str">
        <f>IFERROR(SUBSTITUTE(INDEX($K:$K,MATCH(INDEX($M:$M,MATCH(AQ87,$N:$N,0)),$M:$M,0)),$D87,""),"")</f>
        <v xml:space="preserve">曹操 </v>
      </c>
      <c r="BA87" s="21" t="str">
        <f>IFERROR(SUBSTITUTE(INDEX($K:$K,MATCH(INDEX($M:$M,MATCH(AR87,$N:$N,0)),$M:$M,0)),$D87,""),"")</f>
        <v xml:space="preserve">刘备 </v>
      </c>
      <c r="BB87" s="21" t="str">
        <f>IFERROR(SUBSTITUTE(INDEX($K:$K,MATCH(INDEX($M:$M,MATCH(AS87,$N:$N,0)),$M:$M,0)),$D87,""),"")</f>
        <v/>
      </c>
      <c r="BC87" s="21" t="str">
        <f>IFERROR(SUBSTITUTE(INDEX($K:$K,MATCH(INDEX($M:$M,MATCH(AT87,$N:$N,0)),$M:$M,0)),$D87,""),"")</f>
        <v/>
      </c>
      <c r="BE87" s="9" t="str">
        <f t="shared" si="16"/>
        <v>刘邦,嬴政,韩信,彭越,吕雉,曹操,刘备</v>
      </c>
      <c r="BI87" s="9" t="str">
        <f>IFERROR(
IF(COUNTIF($M:$M,$AD87)&lt;BI$8,
"",
INDEX($J:$J,MATCH($AD87,$M:$M,0)+BI$8-1)),
"")</f>
        <v>刘邦</v>
      </c>
      <c r="BJ87" s="9" t="str">
        <f>IFERROR(
IF(COUNTIF($M:$M,$AD87)&lt;BJ$8,
"",
INDEX($J:$J,MATCH($AD87,$M:$M,0)+BJ$8-1)),
"")</f>
        <v>嬴政</v>
      </c>
      <c r="BK87" s="9" t="str">
        <f>IFERROR(
IF(COUNTIF($M:$M,$AD87)&lt;BK$8,
"",
INDEX($J:$J,MATCH($AD87,$M:$M,0)+BK$8-1)),
"")</f>
        <v/>
      </c>
      <c r="BL87" s="9" t="str">
        <f>IFERROR(
IF(COUNTIF($M:$M,$AD87)&lt;BL$8,
"",
INDEX($J:$J,MATCH($AD87,$M:$M,0)+BL$8-1)),
"")</f>
        <v/>
      </c>
      <c r="BN87" s="21" t="str">
        <f>IFERROR(
IF(COUNTIF($BI87:BM87,INDEX($J:$J,MATCH($AE87,$M:$M,0)+BN$8-1))=0,
IF(COUNTIF($M:$M,$AE87)&lt;BN$8,
"",
INDEX($J:$J,MATCH($AE87,$M:$M,0)+BN$8-1)),
""),
"")</f>
        <v/>
      </c>
      <c r="BO87" s="21" t="str">
        <f>IFERROR(
IF(COUNTIF($BI87:BN87,INDEX($J:$J,MATCH($AE87,$M:$M,0)+BO$8-1))=0,
IF(COUNTIF($M:$M,$AE87)&lt;BO$8,
"",
INDEX($J:$J,MATCH($AE87,$M:$M,0)+BO$8-1)),
""),
"")</f>
        <v>韩信</v>
      </c>
      <c r="BP87" s="21" t="str">
        <f>IFERROR(
IF(COUNTIF($BI87:BO87,INDEX($J:$J,MATCH($AE87,$M:$M,0)+BP$8-1))=0,
IF(COUNTIF($M:$M,$AE87)&lt;BP$8,
"",
INDEX($J:$J,MATCH($AE87,$M:$M,0)+BP$8-1)),
""),
"")</f>
        <v>彭越</v>
      </c>
      <c r="BQ87" s="21" t="str">
        <f>IFERROR(
IF(COUNTIF($BI87:BP87,INDEX($J:$J,MATCH($AE87,$M:$M,0)+BQ$8-1))=0,
IF(COUNTIF($M:$M,$AE87)&lt;BQ$8,
"",
INDEX($J:$J,MATCH($AE87,$M:$M,0)+BQ$8-1)),
""),
"")</f>
        <v/>
      </c>
      <c r="BS87" s="21" t="str">
        <f>IFERROR(
IF(COUNTIF($BI87:BR87,INDEX($J:$J,MATCH($AF87,$M:$M,0)+BS$8-1))=0,
IF(COUNTIF($M:$M,$AF87)&lt;BS$8,
"",
INDEX($J:$J,MATCH($AF87,$M:$M,0)+BS$8-1)),
""),
"")</f>
        <v/>
      </c>
      <c r="BT87" s="21" t="str">
        <f>IFERROR(
IF(COUNTIF($BI87:BS87,INDEX($J:$J,MATCH($AF87,$M:$M,0)+BT$8-1))=0,
IF(COUNTIF($M:$M,$AF87)&lt;BT$8,
"",
INDEX($J:$J,MATCH($AF87,$M:$M,0)+BT$8-1)),
""),
"")</f>
        <v>吕雉</v>
      </c>
      <c r="BU87" s="21" t="str">
        <f>IFERROR(
IF(COUNTIF($BI87:BT87,INDEX($J:$J,MATCH($AF87,$M:$M,0)+BU$8-1))=0,
IF(COUNTIF($M:$M,$AF87)&lt;BU$8,
"",
INDEX($J:$J,MATCH($AF87,$M:$M,0)+BU$8-1)),
""),
"")</f>
        <v/>
      </c>
      <c r="BV87" s="21" t="str">
        <f>IFERROR(
IF(COUNTIF($BI87:BU87,INDEX($J:$J,MATCH($AF87,$M:$M,0)+BV$8-1))=0,
IF(COUNTIF($M:$M,$AF87)&lt;BV$8,
"",
INDEX($J:$J,MATCH($AF87,$M:$M,0)+BV$8-1)),
""),
"")</f>
        <v/>
      </c>
      <c r="BX87" s="21" t="str">
        <f>IFERROR(
IF(COUNTIF($BI87:BW87,INDEX($J:$J,MATCH($AG87,$M:$M,0)+BX$8-1))=0,
IF(COUNTIF($M:$M,$AG87)&lt;BX$8,
"",
INDEX($J:$J,MATCH($AG87,$M:$M,0)+BX$8-1)),
""),
"")</f>
        <v/>
      </c>
      <c r="BY87" s="21" t="str">
        <f>IFERROR(
IF(COUNTIF($BI87:BX87,INDEX($J:$J,MATCH($AG87,$M:$M,0)+BY$8-1))=0,
IF(COUNTIF($M:$M,$AG87)&lt;BY$8,
"",
INDEX($J:$J,MATCH($AG87,$M:$M,0)+BY$8-1)),
""),
"")</f>
        <v/>
      </c>
      <c r="BZ87" s="21" t="str">
        <f>IFERROR(
IF(COUNTIF($BI87:BY87,INDEX($J:$J,MATCH($AG87,$M:$M,0)+BZ$8-1))=0,
IF(COUNTIF($M:$M,$AG87)&lt;BZ$8,
"",
INDEX($J:$J,MATCH($AG87,$M:$M,0)+BZ$8-1)),
""),
"")</f>
        <v/>
      </c>
      <c r="CA87" s="21" t="str">
        <f>IFERROR(
IF(COUNTIF($BI87:BZ87,INDEX($J:$J,MATCH($AG87,$M:$M,0)+CA$8-1))=0,
IF(COUNTIF($M:$M,$AG87)&lt;CA$8,
"",
INDEX($J:$J,MATCH($AG87,$M:$M,0)+CA$8-1)),
""),
"")</f>
        <v/>
      </c>
      <c r="CC87" s="21" t="str">
        <f>IFERROR(
IF(COUNTIF($BI87:CB87,INDEX($J:$J,MATCH($AH87,$M:$M,0)+CC$8-1))=0,
IF(COUNTIF($M:$M,$AH87)&lt;CC$8,
"",
INDEX($J:$J,MATCH($AH87,$M:$M,0)+CC$8-1)),
""),
"")</f>
        <v>曹操</v>
      </c>
      <c r="CD87" s="21" t="str">
        <f>IFERROR(
IF(COUNTIF($BI87:CC87,INDEX($J:$J,MATCH($AH87,$M:$M,0)+CD$8-1))=0,
IF(COUNTIF($M:$M,$AH87)&lt;CD$8,
"",
INDEX($J:$J,MATCH($AH87,$M:$M,0)+CD$8-1)),
""),
"")</f>
        <v/>
      </c>
      <c r="CE87" s="21" t="str">
        <f>IFERROR(
IF(COUNTIF($BI87:CD87,INDEX($J:$J,MATCH($AH87,$M:$M,0)+CE$8-1))=0,
IF(COUNTIF($M:$M,$AH87)&lt;CE$8,
"",
INDEX($J:$J,MATCH($AH87,$M:$M,0)+CE$8-1)),
""),
"")</f>
        <v/>
      </c>
      <c r="CF87" s="21" t="str">
        <f>IFERROR(
IF(COUNTIF($BI87:CE87,INDEX($J:$J,MATCH($AH87,$M:$M,0)+CF$8-1))=0,
IF(COUNTIF($M:$M,$AH87)&lt;CF$8,
"",
INDEX($J:$J,MATCH($AH87,$M:$M,0)+CF$8-1)),
""),
"")</f>
        <v/>
      </c>
      <c r="CH87" s="21" t="str">
        <f>IFERROR(
IF(COUNTIF($BI87:CG87,INDEX($J:$J,MATCH($AI87,$M:$M,0)+CH$8-1))=0,
IF(COUNTIF($M:$M,$AI87)&lt;CH$8,
"",
INDEX($J:$J,MATCH($AI87,$M:$M,0)+CH$8-1)),
""),
"")</f>
        <v>刘备</v>
      </c>
      <c r="CI87" s="21" t="str">
        <f>IFERROR(
IF(COUNTIF($BI87:CH87,INDEX($J:$J,MATCH($AI87,$M:$M,0)+CI$8-1))=0,
IF(COUNTIF($M:$M,$AI87)&lt;CI$8,
"",
INDEX($J:$J,MATCH($AI87,$M:$M,0)+CI$8-1)),
""),
"")</f>
        <v/>
      </c>
      <c r="CJ87" s="21" t="str">
        <f>IFERROR(
IF(COUNTIF($BI87:CI87,INDEX($J:$J,MATCH($AI87,$M:$M,0)+CJ$8-1))=0,
IF(COUNTIF($M:$M,$AI87)&lt;CJ$8,
"",
INDEX($J:$J,MATCH($AI87,$M:$M,0)+CJ$8-1)),
""),
"")</f>
        <v/>
      </c>
      <c r="CK87" s="21" t="str">
        <f>IFERROR(
IF(COUNTIF($BI87:CJ87,INDEX($J:$J,MATCH($AI87,$M:$M,0)+CK$8-1))=0,
IF(COUNTIF($M:$M,$AI87)&lt;CK$8,
"",
INDEX($J:$J,MATCH($AI87,$M:$M,0)+CK$8-1)),
""),
"")</f>
        <v/>
      </c>
      <c r="CM87" s="21" t="str">
        <f>IFERROR(
IF(COUNTIF($BI87:CL87,INDEX($J:$J,MATCH($AJ87,$M:$M,0)+CM$8-1))=0,
IF(COUNTIF($M:$M,$AJ87)&lt;CM$8,
"",
INDEX($J:$J,MATCH($AJ87,$M:$M,0)+CM$8-1)),
""),
"")</f>
        <v/>
      </c>
      <c r="CN87" s="21" t="str">
        <f>IFERROR(
IF(COUNTIF($BI87:CM87,INDEX($J:$J,MATCH($AJ87,$M:$M,0)+CN$8-1))=0,
IF(COUNTIF($M:$M,$AJ87)&lt;CN$8,
"",
INDEX($J:$J,MATCH($AJ87,$M:$M,0)+CN$8-1)),
""),
"")</f>
        <v/>
      </c>
      <c r="CO87" s="21" t="str">
        <f>IFERROR(
IF(COUNTIF($BI87:CN87,INDEX($J:$J,MATCH($AJ87,$M:$M,0)+CO$8-1))=0,
IF(COUNTIF($M:$M,$AJ87)&lt;CO$8,
"",
INDEX($J:$J,MATCH($AJ87,$M:$M,0)+CO$8-1)),
""),
"")</f>
        <v/>
      </c>
      <c r="CP87" s="21" t="str">
        <f>IFERROR(
IF(COUNTIF($BI87:CO87,INDEX($J:$J,MATCH($AJ87,$M:$M,0)+CP$8-1))=0,
IF(COUNTIF($M:$M,$AJ87)&lt;CP$8,
"",
INDEX($J:$J,MATCH($AJ87,$M:$M,0)+CP$8-1)),
""),
"")</f>
        <v/>
      </c>
      <c r="CR87" s="21" t="str">
        <f>IFERROR(
IF(COUNTIF($BI87:CQ87,INDEX($J:$J,MATCH($AK87,$M:$M,0)+CR$8-1))=0,
IF(COUNTIF($M:$M,$AK87)&lt;CR$8,
"",
INDEX($J:$J,MATCH($AK87,$M:$M,0)+CR$8-1)),
""),
"")</f>
        <v/>
      </c>
      <c r="CS87" s="21" t="str">
        <f>IFERROR(
IF(COUNTIF($BI87:CR87,INDEX($J:$J,MATCH($AK87,$M:$M,0)+CS$8-1))=0,
IF(COUNTIF($M:$M,$AK87)&lt;CS$8,
"",
INDEX($J:$J,MATCH($AK87,$M:$M,0)+CS$8-1)),
""),
"")</f>
        <v/>
      </c>
      <c r="CT87" s="21" t="str">
        <f>IFERROR(
IF(COUNTIF($BI87:CS87,INDEX($J:$J,MATCH($AK87,$M:$M,0)+CT$8-1))=0,
IF(COUNTIF($M:$M,$AK87)&lt;CT$8,
"",
INDEX($J:$J,MATCH($AK87,$M:$M,0)+CT$8-1)),
""),
"")</f>
        <v/>
      </c>
      <c r="CU87" s="21" t="str">
        <f>IFERROR(
IF(COUNTIF($BI87:CT87,INDEX($J:$J,MATCH($AK87,$M:$M,0)+CU$8-1))=0,
IF(COUNTIF($M:$M,$AK87)&lt;CU$8,
"",
INDEX($J:$J,MATCH($AK87,$M:$M,0)+CU$8-1)),
""),
"")</f>
        <v/>
      </c>
    </row>
    <row r="88" spans="3:99" ht="14.25">
      <c r="C88" s="16">
        <v>80</v>
      </c>
      <c r="D88" s="19" t="s">
        <v>398</v>
      </c>
      <c r="E88" s="20">
        <f>INDEX([1]武将基本资料!$S:$S,MATCH(D88,[1]武将基本资料!$N:$N,0))</f>
        <v>130</v>
      </c>
      <c r="F88" s="20" t="str">
        <f>INDEX([1]武将基本资料!$Q:$Q,MATCH(D88,[1]武将基本资料!$N:$N,0))</f>
        <v>橙+</v>
      </c>
      <c r="H88" s="7">
        <f>IF(I88="","",COUNTA(I$9:$I88))</f>
        <v>78</v>
      </c>
      <c r="I88" s="6" t="s">
        <v>177</v>
      </c>
      <c r="J88" s="6" t="s">
        <v>200</v>
      </c>
      <c r="K88" s="8" t="str">
        <f>IF(H88="","",阶段合并区域(J88:J98," ",L88:L98,1))</f>
        <v>春申君 信陵君</v>
      </c>
      <c r="L88" s="8">
        <f>COUNTIF(M$8:$M88,"="&amp;M88)</f>
        <v>1</v>
      </c>
      <c r="M88" s="9" t="str">
        <f t="shared" si="13"/>
        <v>门客三千</v>
      </c>
      <c r="N88" s="9" t="str">
        <f t="shared" si="14"/>
        <v>门客三千1</v>
      </c>
      <c r="O88" s="15">
        <f>INDEX(C:C,MATCH(J88,D:D,0))</f>
        <v>42</v>
      </c>
      <c r="P88" s="9">
        <f>INDEX(E:E,MATCH(J88,D:D,0))</f>
        <v>110</v>
      </c>
      <c r="Q88" s="7">
        <f t="shared" si="10"/>
        <v>42</v>
      </c>
      <c r="R88" s="7">
        <f>COUNTIF(J$8:$J88,"="&amp;J88)</f>
        <v>2</v>
      </c>
      <c r="S88" s="7">
        <f t="shared" si="11"/>
        <v>2042</v>
      </c>
      <c r="U88" s="7">
        <f t="shared" si="15"/>
        <v>1080</v>
      </c>
      <c r="V88" s="7">
        <f t="shared" si="12"/>
        <v>2080</v>
      </c>
      <c r="W88" s="7">
        <f t="shared" si="12"/>
        <v>3080</v>
      </c>
      <c r="X88" s="7">
        <f t="shared" si="12"/>
        <v>4080</v>
      </c>
      <c r="Y88" s="7">
        <f t="shared" si="12"/>
        <v>5080</v>
      </c>
      <c r="Z88" s="7">
        <f t="shared" si="12"/>
        <v>6080</v>
      </c>
      <c r="AA88" s="7">
        <f t="shared" si="12"/>
        <v>7080</v>
      </c>
      <c r="AB88" s="7">
        <f t="shared" si="12"/>
        <v>8080</v>
      </c>
      <c r="AD88" s="21" t="str">
        <f>IFERROR(INDEX($M:$M,MATCH(U88,$S:$S,0)),"&amp;")</f>
        <v>知人善用</v>
      </c>
      <c r="AE88" s="21" t="str">
        <f>IFERROR(INDEX($M:$M,MATCH(V88,$S:$S,0)),"&amp;")</f>
        <v>名奉武庙</v>
      </c>
      <c r="AF88" s="21" t="str">
        <f>IFERROR(INDEX($M:$M,MATCH(W88,$S:$S,0)),"&amp;")</f>
        <v>平步天下</v>
      </c>
      <c r="AG88" s="21" t="str">
        <f>IFERROR(INDEX($M:$M,MATCH(X88,$S:$S,0)),"&amp;")</f>
        <v>国士无双</v>
      </c>
      <c r="AH88" s="21" t="str">
        <f>IFERROR(INDEX($M:$M,MATCH(Y88,$S:$S,0)),"&amp;")</f>
        <v>英年早逝</v>
      </c>
      <c r="AI88" s="21" t="str">
        <f>IFERROR(INDEX($M:$M,MATCH(Z88,$S:$S,0)),"&amp;")</f>
        <v>兵出汉中</v>
      </c>
      <c r="AJ88" s="21" t="str">
        <f>IFERROR(INDEX($M:$M,MATCH(AA88,$S:$S,0)),"&amp;")</f>
        <v>智囊军师</v>
      </c>
      <c r="AK88" s="21" t="str">
        <f>IFERROR(INDEX($M:$M,MATCH(AB88,$S:$S,0)),"&amp;")</f>
        <v>&amp;</v>
      </c>
      <c r="AM88" s="21" t="str">
        <f>IFERROR(INDEX($N:$N,MATCH(U88,$S:$S,0)),"&amp;")</f>
        <v>知人善用2</v>
      </c>
      <c r="AN88" s="21" t="str">
        <f>IFERROR(INDEX($N:$N,MATCH(V88,$S:$S,0)),"&amp;")</f>
        <v>名奉武庙1</v>
      </c>
      <c r="AO88" s="21" t="str">
        <f>IFERROR(INDEX($N:$N,MATCH(W88,$S:$S,0)),"&amp;")</f>
        <v>平步天下1</v>
      </c>
      <c r="AP88" s="21" t="str">
        <f>IFERROR(INDEX($N:$N,MATCH(X88,$S:$S,0)),"&amp;")</f>
        <v>国士无双1</v>
      </c>
      <c r="AQ88" s="21" t="str">
        <f>IFERROR(INDEX($N:$N,MATCH(Y88,$S:$S,0)),"&amp;")</f>
        <v>英年早逝2</v>
      </c>
      <c r="AR88" s="21" t="str">
        <f>IFERROR(INDEX($N:$N,MATCH(Z88,$S:$S,0)),"&amp;")</f>
        <v>兵出汉中2</v>
      </c>
      <c r="AS88" s="21" t="str">
        <f>IFERROR(INDEX($N:$N,MATCH(AA88,$S:$S,0)),"&amp;")</f>
        <v>智囊军师2</v>
      </c>
      <c r="AT88" s="21" t="str">
        <f>IFERROR(INDEX($N:$N,MATCH(AB88,$S:$S,0)),"&amp;")</f>
        <v>&amp;</v>
      </c>
      <c r="AV88" s="21" t="str">
        <f>IFERROR(SUBSTITUTE(INDEX($K:$K,MATCH(INDEX($M:$M,MATCH(AM88,$N:$N,0)),$M:$M,0)),$D88,""),"")</f>
        <v>刘邦  彭越</v>
      </c>
      <c r="AW88" s="21" t="str">
        <f>IFERROR(SUBSTITUTE(INDEX($K:$K,MATCH(INDEX($M:$M,MATCH(AN88,$N:$N,0)),$M:$M,0)),$D88,""),"")</f>
        <v xml:space="preserve"> 吴起 司马穰苴</v>
      </c>
      <c r="AX88" s="21" t="str">
        <f>IFERROR(SUBSTITUTE(INDEX($K:$K,MATCH(INDEX($M:$M,MATCH(AO88,$N:$N,0)),$M:$M,0)),$D88,""),"")</f>
        <v xml:space="preserve"> 嬴政</v>
      </c>
      <c r="AY88" s="21" t="str">
        <f>IFERROR(SUBSTITUTE(INDEX($K:$K,MATCH(INDEX($M:$M,MATCH(AP88,$N:$N,0)),$M:$M,0)),$D88,""),"")</f>
        <v xml:space="preserve"> 刘邦</v>
      </c>
      <c r="AZ88" s="21" t="str">
        <f>IFERROR(SUBSTITUTE(INDEX($K:$K,MATCH(INDEX($M:$M,MATCH(AQ88,$N:$N,0)),$M:$M,0)),$D88,""),"")</f>
        <v xml:space="preserve">霍去病 </v>
      </c>
      <c r="BA88" s="21" t="str">
        <f>IFERROR(SUBSTITUTE(INDEX($K:$K,MATCH(INDEX($M:$M,MATCH(AR88,$N:$N,0)),$M:$M,0)),$D88,""),"")</f>
        <v xml:space="preserve">诸葛亮 </v>
      </c>
      <c r="BB88" s="21" t="str">
        <f>IFERROR(SUBSTITUTE(INDEX($K:$K,MATCH(INDEX($M:$M,MATCH(AS88,$N:$N,0)),$M:$M,0)),$D88,""),"")</f>
        <v xml:space="preserve"> 陆逊 司马懿</v>
      </c>
      <c r="BC88" s="21" t="str">
        <f>IFERROR(SUBSTITUTE(INDEX($K:$K,MATCH(INDEX($M:$M,MATCH(AT88,$N:$N,0)),$M:$M,0)),$D88,""),"")</f>
        <v/>
      </c>
      <c r="BE88" s="9" t="str">
        <f t="shared" si="16"/>
        <v>刘邦,韩信,彭越,吴起,司马穰苴,嬴政,霍去病,诸葛亮,司马懿,陆逊</v>
      </c>
      <c r="BI88" s="9" t="str">
        <f>IFERROR(
IF(COUNTIF($M:$M,$AD88)&lt;BI$8,
"",
INDEX($J:$J,MATCH($AD88,$M:$M,0)+BI$8-1)),
"")</f>
        <v>刘邦</v>
      </c>
      <c r="BJ88" s="9" t="str">
        <f>IFERROR(
IF(COUNTIF($M:$M,$AD88)&lt;BJ$8,
"",
INDEX($J:$J,MATCH($AD88,$M:$M,0)+BJ$8-1)),
"")</f>
        <v>韩信</v>
      </c>
      <c r="BK88" s="9" t="str">
        <f>IFERROR(
IF(COUNTIF($M:$M,$AD88)&lt;BK$8,
"",
INDEX($J:$J,MATCH($AD88,$M:$M,0)+BK$8-1)),
"")</f>
        <v>彭越</v>
      </c>
      <c r="BL88" s="9" t="str">
        <f>IFERROR(
IF(COUNTIF($M:$M,$AD88)&lt;BL$8,
"",
INDEX($J:$J,MATCH($AD88,$M:$M,0)+BL$8-1)),
"")</f>
        <v/>
      </c>
      <c r="BN88" s="21" t="str">
        <f>IFERROR(
IF(COUNTIF($BI88:BM88,INDEX($J:$J,MATCH($AE88,$M:$M,0)+BN$8-1))=0,
IF(COUNTIF($M:$M,$AE88)&lt;BN$8,
"",
INDEX($J:$J,MATCH($AE88,$M:$M,0)+BN$8-1)),
""),
"")</f>
        <v/>
      </c>
      <c r="BO88" s="21" t="str">
        <f>IFERROR(
IF(COUNTIF($BI88:BN88,INDEX($J:$J,MATCH($AE88,$M:$M,0)+BO$8-1))=0,
IF(COUNTIF($M:$M,$AE88)&lt;BO$8,
"",
INDEX($J:$J,MATCH($AE88,$M:$M,0)+BO$8-1)),
""),
"")</f>
        <v>吴起</v>
      </c>
      <c r="BP88" s="21" t="str">
        <f>IFERROR(
IF(COUNTIF($BI88:BO88,INDEX($J:$J,MATCH($AE88,$M:$M,0)+BP$8-1))=0,
IF(COUNTIF($M:$M,$AE88)&lt;BP$8,
"",
INDEX($J:$J,MATCH($AE88,$M:$M,0)+BP$8-1)),
""),
"")</f>
        <v>司马穰苴</v>
      </c>
      <c r="BQ88" s="21" t="str">
        <f>IFERROR(
IF(COUNTIF($BI88:BP88,INDEX($J:$J,MATCH($AE88,$M:$M,0)+BQ$8-1))=0,
IF(COUNTIF($M:$M,$AE88)&lt;BQ$8,
"",
INDEX($J:$J,MATCH($AE88,$M:$M,0)+BQ$8-1)),
""),
"")</f>
        <v/>
      </c>
      <c r="BS88" s="21" t="str">
        <f>IFERROR(
IF(COUNTIF($BI88:BR88,INDEX($J:$J,MATCH($AF88,$M:$M,0)+BS$8-1))=0,
IF(COUNTIF($M:$M,$AF88)&lt;BS$8,
"",
INDEX($J:$J,MATCH($AF88,$M:$M,0)+BS$8-1)),
""),
"")</f>
        <v/>
      </c>
      <c r="BT88" s="21" t="str">
        <f>IFERROR(
IF(COUNTIF($BI88:BS88,INDEX($J:$J,MATCH($AF88,$M:$M,0)+BT$8-1))=0,
IF(COUNTIF($M:$M,$AF88)&lt;BT$8,
"",
INDEX($J:$J,MATCH($AF88,$M:$M,0)+BT$8-1)),
""),
"")</f>
        <v>嬴政</v>
      </c>
      <c r="BU88" s="21" t="str">
        <f>IFERROR(
IF(COUNTIF($BI88:BT88,INDEX($J:$J,MATCH($AF88,$M:$M,0)+BU$8-1))=0,
IF(COUNTIF($M:$M,$AF88)&lt;BU$8,
"",
INDEX($J:$J,MATCH($AF88,$M:$M,0)+BU$8-1)),
""),
"")</f>
        <v/>
      </c>
      <c r="BV88" s="21" t="str">
        <f>IFERROR(
IF(COUNTIF($BI88:BU88,INDEX($J:$J,MATCH($AF88,$M:$M,0)+BV$8-1))=0,
IF(COUNTIF($M:$M,$AF88)&lt;BV$8,
"",
INDEX($J:$J,MATCH($AF88,$M:$M,0)+BV$8-1)),
""),
"")</f>
        <v/>
      </c>
      <c r="BX88" s="21" t="str">
        <f>IFERROR(
IF(COUNTIF($BI88:BW88,INDEX($J:$J,MATCH($AG88,$M:$M,0)+BX$8-1))=0,
IF(COUNTIF($M:$M,$AG88)&lt;BX$8,
"",
INDEX($J:$J,MATCH($AG88,$M:$M,0)+BX$8-1)),
""),
"")</f>
        <v/>
      </c>
      <c r="BY88" s="21" t="str">
        <f>IFERROR(
IF(COUNTIF($BI88:BX88,INDEX($J:$J,MATCH($AG88,$M:$M,0)+BY$8-1))=0,
IF(COUNTIF($M:$M,$AG88)&lt;BY$8,
"",
INDEX($J:$J,MATCH($AG88,$M:$M,0)+BY$8-1)),
""),
"")</f>
        <v/>
      </c>
      <c r="BZ88" s="21" t="str">
        <f>IFERROR(
IF(COUNTIF($BI88:BY88,INDEX($J:$J,MATCH($AG88,$M:$M,0)+BZ$8-1))=0,
IF(COUNTIF($M:$M,$AG88)&lt;BZ$8,
"",
INDEX($J:$J,MATCH($AG88,$M:$M,0)+BZ$8-1)),
""),
"")</f>
        <v/>
      </c>
      <c r="CA88" s="21" t="str">
        <f>IFERROR(
IF(COUNTIF($BI88:BZ88,INDEX($J:$J,MATCH($AG88,$M:$M,0)+CA$8-1))=0,
IF(COUNTIF($M:$M,$AG88)&lt;CA$8,
"",
INDEX($J:$J,MATCH($AG88,$M:$M,0)+CA$8-1)),
""),
"")</f>
        <v/>
      </c>
      <c r="CC88" s="21" t="str">
        <f>IFERROR(
IF(COUNTIF($BI88:CB88,INDEX($J:$J,MATCH($AH88,$M:$M,0)+CC$8-1))=0,
IF(COUNTIF($M:$M,$AH88)&lt;CC$8,
"",
INDEX($J:$J,MATCH($AH88,$M:$M,0)+CC$8-1)),
""),
"")</f>
        <v>霍去病</v>
      </c>
      <c r="CD88" s="21" t="str">
        <f>IFERROR(
IF(COUNTIF($BI88:CC88,INDEX($J:$J,MATCH($AH88,$M:$M,0)+CD$8-1))=0,
IF(COUNTIF($M:$M,$AH88)&lt;CD$8,
"",
INDEX($J:$J,MATCH($AH88,$M:$M,0)+CD$8-1)),
""),
"")</f>
        <v/>
      </c>
      <c r="CE88" s="21" t="str">
        <f>IFERROR(
IF(COUNTIF($BI88:CD88,INDEX($J:$J,MATCH($AH88,$M:$M,0)+CE$8-1))=0,
IF(COUNTIF($M:$M,$AH88)&lt;CE$8,
"",
INDEX($J:$J,MATCH($AH88,$M:$M,0)+CE$8-1)),
""),
"")</f>
        <v/>
      </c>
      <c r="CF88" s="21" t="str">
        <f>IFERROR(
IF(COUNTIF($BI88:CE88,INDEX($J:$J,MATCH($AH88,$M:$M,0)+CF$8-1))=0,
IF(COUNTIF($M:$M,$AH88)&lt;CF$8,
"",
INDEX($J:$J,MATCH($AH88,$M:$M,0)+CF$8-1)),
""),
"")</f>
        <v/>
      </c>
      <c r="CH88" s="21" t="str">
        <f>IFERROR(
IF(COUNTIF($BI88:CG88,INDEX($J:$J,MATCH($AI88,$M:$M,0)+CH$8-1))=0,
IF(COUNTIF($M:$M,$AI88)&lt;CH$8,
"",
INDEX($J:$J,MATCH($AI88,$M:$M,0)+CH$8-1)),
""),
"")</f>
        <v>诸葛亮</v>
      </c>
      <c r="CI88" s="21" t="str">
        <f>IFERROR(
IF(COUNTIF($BI88:CH88,INDEX($J:$J,MATCH($AI88,$M:$M,0)+CI$8-1))=0,
IF(COUNTIF($M:$M,$AI88)&lt;CI$8,
"",
INDEX($J:$J,MATCH($AI88,$M:$M,0)+CI$8-1)),
""),
"")</f>
        <v/>
      </c>
      <c r="CJ88" s="21" t="str">
        <f>IFERROR(
IF(COUNTIF($BI88:CI88,INDEX($J:$J,MATCH($AI88,$M:$M,0)+CJ$8-1))=0,
IF(COUNTIF($M:$M,$AI88)&lt;CJ$8,
"",
INDEX($J:$J,MATCH($AI88,$M:$M,0)+CJ$8-1)),
""),
"")</f>
        <v/>
      </c>
      <c r="CK88" s="21" t="str">
        <f>IFERROR(
IF(COUNTIF($BI88:CJ88,INDEX($J:$J,MATCH($AI88,$M:$M,0)+CK$8-1))=0,
IF(COUNTIF($M:$M,$AI88)&lt;CK$8,
"",
INDEX($J:$J,MATCH($AI88,$M:$M,0)+CK$8-1)),
""),
"")</f>
        <v/>
      </c>
      <c r="CM88" s="21" t="str">
        <f>IFERROR(
IF(COUNTIF($BI88:CL88,INDEX($J:$J,MATCH($AJ88,$M:$M,0)+CM$8-1))=0,
IF(COUNTIF($M:$M,$AJ88)&lt;CM$8,
"",
INDEX($J:$J,MATCH($AJ88,$M:$M,0)+CM$8-1)),
""),
"")</f>
        <v>司马懿</v>
      </c>
      <c r="CN88" s="21" t="str">
        <f>IFERROR(
IF(COUNTIF($BI88:CM88,INDEX($J:$J,MATCH($AJ88,$M:$M,0)+CN$8-1))=0,
IF(COUNTIF($M:$M,$AJ88)&lt;CN$8,
"",
INDEX($J:$J,MATCH($AJ88,$M:$M,0)+CN$8-1)),
""),
"")</f>
        <v/>
      </c>
      <c r="CO88" s="21" t="str">
        <f>IFERROR(
IF(COUNTIF($BI88:CN88,INDEX($J:$J,MATCH($AJ88,$M:$M,0)+CO$8-1))=0,
IF(COUNTIF($M:$M,$AJ88)&lt;CO$8,
"",
INDEX($J:$J,MATCH($AJ88,$M:$M,0)+CO$8-1)),
""),
"")</f>
        <v>陆逊</v>
      </c>
      <c r="CP88" s="21" t="str">
        <f>IFERROR(
IF(COUNTIF($BI88:CO88,INDEX($J:$J,MATCH($AJ88,$M:$M,0)+CP$8-1))=0,
IF(COUNTIF($M:$M,$AJ88)&lt;CP$8,
"",
INDEX($J:$J,MATCH($AJ88,$M:$M,0)+CP$8-1)),
""),
"")</f>
        <v/>
      </c>
      <c r="CR88" s="21" t="str">
        <f>IFERROR(
IF(COUNTIF($BI88:CQ88,INDEX($J:$J,MATCH($AK88,$M:$M,0)+CR$8-1))=0,
IF(COUNTIF($M:$M,$AK88)&lt;CR$8,
"",
INDEX($J:$J,MATCH($AK88,$M:$M,0)+CR$8-1)),
""),
"")</f>
        <v/>
      </c>
      <c r="CS88" s="21" t="str">
        <f>IFERROR(
IF(COUNTIF($BI88:CR88,INDEX($J:$J,MATCH($AK88,$M:$M,0)+CS$8-1))=0,
IF(COUNTIF($M:$M,$AK88)&lt;CS$8,
"",
INDEX($J:$J,MATCH($AK88,$M:$M,0)+CS$8-1)),
""),
"")</f>
        <v/>
      </c>
      <c r="CT88" s="21" t="str">
        <f>IFERROR(
IF(COUNTIF($BI88:CS88,INDEX($J:$J,MATCH($AK88,$M:$M,0)+CT$8-1))=0,
IF(COUNTIF($M:$M,$AK88)&lt;CT$8,
"",
INDEX($J:$J,MATCH($AK88,$M:$M,0)+CT$8-1)),
""),
"")</f>
        <v/>
      </c>
      <c r="CU88" s="21" t="str">
        <f>IFERROR(
IF(COUNTIF($BI88:CT88,INDEX($J:$J,MATCH($AK88,$M:$M,0)+CU$8-1))=0,
IF(COUNTIF($M:$M,$AK88)&lt;CU$8,
"",
INDEX($J:$J,MATCH($AK88,$M:$M,0)+CU$8-1)),
""),
"")</f>
        <v/>
      </c>
    </row>
    <row r="89" spans="3:99" ht="14.25">
      <c r="C89" s="16">
        <v>81</v>
      </c>
      <c r="D89" s="19" t="s">
        <v>405</v>
      </c>
      <c r="E89" s="20">
        <f>INDEX([1]武将基本资料!$S:$S,MATCH(D89,[1]武将基本资料!$N:$N,0))</f>
        <v>120</v>
      </c>
      <c r="F89" s="20" t="str">
        <f>INDEX([1]武将基本资料!$Q:$Q,MATCH(D89,[1]武将基本资料!$N:$N,0))</f>
        <v>橙</v>
      </c>
      <c r="H89" s="7" t="str">
        <f>IF(I89="","",COUNTA(I$9:$I89))</f>
        <v/>
      </c>
      <c r="I89" s="6" t="s">
        <v>188</v>
      </c>
      <c r="J89" s="6" t="s">
        <v>196</v>
      </c>
      <c r="K89" s="8" t="str">
        <f>IF(H89="","",阶段合并区域(J89:J99," ",L89:L99,1))</f>
        <v/>
      </c>
      <c r="L89" s="8">
        <f>COUNTIF(M$8:$M89,"="&amp;M89)</f>
        <v>2</v>
      </c>
      <c r="M89" s="9" t="str">
        <f t="shared" si="13"/>
        <v>门客三千</v>
      </c>
      <c r="N89" s="9" t="str">
        <f t="shared" si="14"/>
        <v>门客三千2</v>
      </c>
      <c r="O89" s="15">
        <f>INDEX(C:C,MATCH(J89,D:D,0))</f>
        <v>6</v>
      </c>
      <c r="P89" s="9">
        <f>INDEX(E:E,MATCH(J89,D:D,0))</f>
        <v>120</v>
      </c>
      <c r="Q89" s="7">
        <f t="shared" si="10"/>
        <v>6</v>
      </c>
      <c r="R89" s="7">
        <f>COUNTIF(J$8:$J89,"="&amp;J89)</f>
        <v>3</v>
      </c>
      <c r="S89" s="7">
        <f t="shared" si="11"/>
        <v>3006</v>
      </c>
      <c r="U89" s="7">
        <f t="shared" si="15"/>
        <v>1081</v>
      </c>
      <c r="V89" s="7">
        <f t="shared" si="12"/>
        <v>2081</v>
      </c>
      <c r="W89" s="7">
        <f t="shared" si="12"/>
        <v>3081</v>
      </c>
      <c r="X89" s="7">
        <f t="shared" si="12"/>
        <v>4081</v>
      </c>
      <c r="Y89" s="7">
        <f t="shared" si="12"/>
        <v>5081</v>
      </c>
      <c r="Z89" s="7">
        <f t="shared" si="12"/>
        <v>6081</v>
      </c>
      <c r="AA89" s="7">
        <f t="shared" si="12"/>
        <v>7081</v>
      </c>
      <c r="AB89" s="7">
        <f t="shared" si="12"/>
        <v>8081</v>
      </c>
      <c r="AD89" s="21" t="str">
        <f>IFERROR(INDEX($M:$M,MATCH(U89,$S:$S,0)),"&amp;")</f>
        <v>知人善用</v>
      </c>
      <c r="AE89" s="21" t="str">
        <f>IFERROR(INDEX($M:$M,MATCH(V89,$S:$S,0)),"&amp;")</f>
        <v>因势利导</v>
      </c>
      <c r="AF89" s="21" t="str">
        <f>IFERROR(INDEX($M:$M,MATCH(W89,$S:$S,0)),"&amp;")</f>
        <v>不得善终</v>
      </c>
      <c r="AG89" s="21" t="str">
        <f>IFERROR(INDEX($M:$M,MATCH(X89,$S:$S,0)),"&amp;")</f>
        <v>反复无常</v>
      </c>
      <c r="AH89" s="21" t="str">
        <f>IFERROR(INDEX($M:$M,MATCH(Y89,$S:$S,0)),"&amp;")</f>
        <v>&amp;</v>
      </c>
      <c r="AI89" s="21" t="str">
        <f>IFERROR(INDEX($M:$M,MATCH(Z89,$S:$S,0)),"&amp;")</f>
        <v>&amp;</v>
      </c>
      <c r="AJ89" s="21" t="str">
        <f>IFERROR(INDEX($M:$M,MATCH(AA89,$S:$S,0)),"&amp;")</f>
        <v>&amp;</v>
      </c>
      <c r="AK89" s="21" t="str">
        <f>IFERROR(INDEX($M:$M,MATCH(AB89,$S:$S,0)),"&amp;")</f>
        <v>&amp;</v>
      </c>
      <c r="AM89" s="21" t="str">
        <f>IFERROR(INDEX($N:$N,MATCH(U89,$S:$S,0)),"&amp;")</f>
        <v>知人善用3</v>
      </c>
      <c r="AN89" s="21" t="str">
        <f>IFERROR(INDEX($N:$N,MATCH(V89,$S:$S,0)),"&amp;")</f>
        <v>因势利导1</v>
      </c>
      <c r="AO89" s="21" t="str">
        <f>IFERROR(INDEX($N:$N,MATCH(W89,$S:$S,0)),"&amp;")</f>
        <v>不得善终1</v>
      </c>
      <c r="AP89" s="21" t="str">
        <f>IFERROR(INDEX($N:$N,MATCH(X89,$S:$S,0)),"&amp;")</f>
        <v>反复无常2</v>
      </c>
      <c r="AQ89" s="21" t="str">
        <f>IFERROR(INDEX($N:$N,MATCH(Y89,$S:$S,0)),"&amp;")</f>
        <v>&amp;</v>
      </c>
      <c r="AR89" s="21" t="str">
        <f>IFERROR(INDEX($N:$N,MATCH(Z89,$S:$S,0)),"&amp;")</f>
        <v>&amp;</v>
      </c>
      <c r="AS89" s="21" t="str">
        <f>IFERROR(INDEX($N:$N,MATCH(AA89,$S:$S,0)),"&amp;")</f>
        <v>&amp;</v>
      </c>
      <c r="AT89" s="21" t="str">
        <f>IFERROR(INDEX($N:$N,MATCH(AB89,$S:$S,0)),"&amp;")</f>
        <v>&amp;</v>
      </c>
      <c r="AV89" s="21" t="str">
        <f>IFERROR(SUBSTITUTE(INDEX($K:$K,MATCH(INDEX($M:$M,MATCH(AM89,$N:$N,0)),$M:$M,0)),$D89,""),"")</f>
        <v xml:space="preserve">刘邦 韩信 </v>
      </c>
      <c r="AW89" s="21" t="str">
        <f>IFERROR(SUBSTITUTE(INDEX($K:$K,MATCH(INDEX($M:$M,MATCH(AN89,$N:$N,0)),$M:$M,0)),$D89,""),"")</f>
        <v xml:space="preserve"> 吕不韦</v>
      </c>
      <c r="AX89" s="21" t="str">
        <f>IFERROR(SUBSTITUTE(INDEX($K:$K,MATCH(INDEX($M:$M,MATCH(AO89,$N:$N,0)),$M:$M,0)),$D89,""),"")</f>
        <v xml:space="preserve"> 李斯 苏秦</v>
      </c>
      <c r="AY89" s="21" t="str">
        <f>IFERROR(SUBSTITUTE(INDEX($K:$K,MATCH(INDEX($M:$M,MATCH(AP89,$N:$N,0)),$M:$M,0)),$D89,""),"")</f>
        <v>吕布  义渠骇</v>
      </c>
      <c r="AZ89" s="21" t="str">
        <f>IFERROR(SUBSTITUTE(INDEX($K:$K,MATCH(INDEX($M:$M,MATCH(AQ89,$N:$N,0)),$M:$M,0)),$D89,""),"")</f>
        <v/>
      </c>
      <c r="BA89" s="21" t="str">
        <f>IFERROR(SUBSTITUTE(INDEX($K:$K,MATCH(INDEX($M:$M,MATCH(AR89,$N:$N,0)),$M:$M,0)),$D89,""),"")</f>
        <v/>
      </c>
      <c r="BB89" s="21" t="str">
        <f>IFERROR(SUBSTITUTE(INDEX($K:$K,MATCH(INDEX($M:$M,MATCH(AS89,$N:$N,0)),$M:$M,0)),$D89,""),"")</f>
        <v/>
      </c>
      <c r="BC89" s="21" t="str">
        <f>IFERROR(SUBSTITUTE(INDEX($K:$K,MATCH(INDEX($M:$M,MATCH(AT89,$N:$N,0)),$M:$M,0)),$D89,""),"")</f>
        <v/>
      </c>
      <c r="BE89" s="9" t="str">
        <f t="shared" si="16"/>
        <v>刘邦,韩信,彭越,吕不韦,李斯,苏秦,吕布,义渠骇</v>
      </c>
      <c r="BI89" s="9" t="str">
        <f>IFERROR(
IF(COUNTIF($M:$M,$AD89)&lt;BI$8,
"",
INDEX($J:$J,MATCH($AD89,$M:$M,0)+BI$8-1)),
"")</f>
        <v>刘邦</v>
      </c>
      <c r="BJ89" s="9" t="str">
        <f>IFERROR(
IF(COUNTIF($M:$M,$AD89)&lt;BJ$8,
"",
INDEX($J:$J,MATCH($AD89,$M:$M,0)+BJ$8-1)),
"")</f>
        <v>韩信</v>
      </c>
      <c r="BK89" s="9" t="str">
        <f>IFERROR(
IF(COUNTIF($M:$M,$AD89)&lt;BK$8,
"",
INDEX($J:$J,MATCH($AD89,$M:$M,0)+BK$8-1)),
"")</f>
        <v>彭越</v>
      </c>
      <c r="BL89" s="9" t="str">
        <f>IFERROR(
IF(COUNTIF($M:$M,$AD89)&lt;BL$8,
"",
INDEX($J:$J,MATCH($AD89,$M:$M,0)+BL$8-1)),
"")</f>
        <v/>
      </c>
      <c r="BN89" s="21" t="str">
        <f>IFERROR(
IF(COUNTIF($BI89:BM89,INDEX($J:$J,MATCH($AE89,$M:$M,0)+BN$8-1))=0,
IF(COUNTIF($M:$M,$AE89)&lt;BN$8,
"",
INDEX($J:$J,MATCH($AE89,$M:$M,0)+BN$8-1)),
""),
"")</f>
        <v/>
      </c>
      <c r="BO89" s="21" t="str">
        <f>IFERROR(
IF(COUNTIF($BI89:BN89,INDEX($J:$J,MATCH($AE89,$M:$M,0)+BO$8-1))=0,
IF(COUNTIF($M:$M,$AE89)&lt;BO$8,
"",
INDEX($J:$J,MATCH($AE89,$M:$M,0)+BO$8-1)),
""),
"")</f>
        <v>吕不韦</v>
      </c>
      <c r="BP89" s="21" t="str">
        <f>IFERROR(
IF(COUNTIF($BI89:BO89,INDEX($J:$J,MATCH($AE89,$M:$M,0)+BP$8-1))=0,
IF(COUNTIF($M:$M,$AE89)&lt;BP$8,
"",
INDEX($J:$J,MATCH($AE89,$M:$M,0)+BP$8-1)),
""),
"")</f>
        <v/>
      </c>
      <c r="BQ89" s="21" t="str">
        <f>IFERROR(
IF(COUNTIF($BI89:BP89,INDEX($J:$J,MATCH($AE89,$M:$M,0)+BQ$8-1))=0,
IF(COUNTIF($M:$M,$AE89)&lt;BQ$8,
"",
INDEX($J:$J,MATCH($AE89,$M:$M,0)+BQ$8-1)),
""),
"")</f>
        <v/>
      </c>
      <c r="BS89" s="21" t="str">
        <f>IFERROR(
IF(COUNTIF($BI89:BR89,INDEX($J:$J,MATCH($AF89,$M:$M,0)+BS$8-1))=0,
IF(COUNTIF($M:$M,$AF89)&lt;BS$8,
"",
INDEX($J:$J,MATCH($AF89,$M:$M,0)+BS$8-1)),
""),
"")</f>
        <v/>
      </c>
      <c r="BT89" s="21" t="str">
        <f>IFERROR(
IF(COUNTIF($BI89:BS89,INDEX($J:$J,MATCH($AF89,$M:$M,0)+BT$8-1))=0,
IF(COUNTIF($M:$M,$AF89)&lt;BT$8,
"",
INDEX($J:$J,MATCH($AF89,$M:$M,0)+BT$8-1)),
""),
"")</f>
        <v>李斯</v>
      </c>
      <c r="BU89" s="21" t="str">
        <f>IFERROR(
IF(COUNTIF($BI89:BT89,INDEX($J:$J,MATCH($AF89,$M:$M,0)+BU$8-1))=0,
IF(COUNTIF($M:$M,$AF89)&lt;BU$8,
"",
INDEX($J:$J,MATCH($AF89,$M:$M,0)+BU$8-1)),
""),
"")</f>
        <v>苏秦</v>
      </c>
      <c r="BV89" s="21" t="str">
        <f>IFERROR(
IF(COUNTIF($BI89:BU89,INDEX($J:$J,MATCH($AF89,$M:$M,0)+BV$8-1))=0,
IF(COUNTIF($M:$M,$AF89)&lt;BV$8,
"",
INDEX($J:$J,MATCH($AF89,$M:$M,0)+BV$8-1)),
""),
"")</f>
        <v/>
      </c>
      <c r="BX89" s="21" t="str">
        <f>IFERROR(
IF(COUNTIF($BI89:BW89,INDEX($J:$J,MATCH($AG89,$M:$M,0)+BX$8-1))=0,
IF(COUNTIF($M:$M,$AG89)&lt;BX$8,
"",
INDEX($J:$J,MATCH($AG89,$M:$M,0)+BX$8-1)),
""),
"")</f>
        <v>吕布</v>
      </c>
      <c r="BY89" s="21" t="str">
        <f>IFERROR(
IF(COUNTIF($BI89:BX89,INDEX($J:$J,MATCH($AG89,$M:$M,0)+BY$8-1))=0,
IF(COUNTIF($M:$M,$AG89)&lt;BY$8,
"",
INDEX($J:$J,MATCH($AG89,$M:$M,0)+BY$8-1)),
""),
"")</f>
        <v/>
      </c>
      <c r="BZ89" s="21" t="str">
        <f>IFERROR(
IF(COUNTIF($BI89:BY89,INDEX($J:$J,MATCH($AG89,$M:$M,0)+BZ$8-1))=0,
IF(COUNTIF($M:$M,$AG89)&lt;BZ$8,
"",
INDEX($J:$J,MATCH($AG89,$M:$M,0)+BZ$8-1)),
""),
"")</f>
        <v>义渠骇</v>
      </c>
      <c r="CA89" s="21" t="str">
        <f>IFERROR(
IF(COUNTIF($BI89:BZ89,INDEX($J:$J,MATCH($AG89,$M:$M,0)+CA$8-1))=0,
IF(COUNTIF($M:$M,$AG89)&lt;CA$8,
"",
INDEX($J:$J,MATCH($AG89,$M:$M,0)+CA$8-1)),
""),
"")</f>
        <v/>
      </c>
      <c r="CC89" s="21" t="str">
        <f>IFERROR(
IF(COUNTIF($BI89:CB89,INDEX($J:$J,MATCH($AH89,$M:$M,0)+CC$8-1))=0,
IF(COUNTIF($M:$M,$AH89)&lt;CC$8,
"",
INDEX($J:$J,MATCH($AH89,$M:$M,0)+CC$8-1)),
""),
"")</f>
        <v/>
      </c>
      <c r="CD89" s="21" t="str">
        <f>IFERROR(
IF(COUNTIF($BI89:CC89,INDEX($J:$J,MATCH($AH89,$M:$M,0)+CD$8-1))=0,
IF(COUNTIF($M:$M,$AH89)&lt;CD$8,
"",
INDEX($J:$J,MATCH($AH89,$M:$M,0)+CD$8-1)),
""),
"")</f>
        <v/>
      </c>
      <c r="CE89" s="21" t="str">
        <f>IFERROR(
IF(COUNTIF($BI89:CD89,INDEX($J:$J,MATCH($AH89,$M:$M,0)+CE$8-1))=0,
IF(COUNTIF($M:$M,$AH89)&lt;CE$8,
"",
INDEX($J:$J,MATCH($AH89,$M:$M,0)+CE$8-1)),
""),
"")</f>
        <v/>
      </c>
      <c r="CF89" s="21" t="str">
        <f>IFERROR(
IF(COUNTIF($BI89:CE89,INDEX($J:$J,MATCH($AH89,$M:$M,0)+CF$8-1))=0,
IF(COUNTIF($M:$M,$AH89)&lt;CF$8,
"",
INDEX($J:$J,MATCH($AH89,$M:$M,0)+CF$8-1)),
""),
"")</f>
        <v/>
      </c>
      <c r="CH89" s="21" t="str">
        <f>IFERROR(
IF(COUNTIF($BI89:CG89,INDEX($J:$J,MATCH($AI89,$M:$M,0)+CH$8-1))=0,
IF(COUNTIF($M:$M,$AI89)&lt;CH$8,
"",
INDEX($J:$J,MATCH($AI89,$M:$M,0)+CH$8-1)),
""),
"")</f>
        <v/>
      </c>
      <c r="CI89" s="21" t="str">
        <f>IFERROR(
IF(COUNTIF($BI89:CH89,INDEX($J:$J,MATCH($AI89,$M:$M,0)+CI$8-1))=0,
IF(COUNTIF($M:$M,$AI89)&lt;CI$8,
"",
INDEX($J:$J,MATCH($AI89,$M:$M,0)+CI$8-1)),
""),
"")</f>
        <v/>
      </c>
      <c r="CJ89" s="21" t="str">
        <f>IFERROR(
IF(COUNTIF($BI89:CI89,INDEX($J:$J,MATCH($AI89,$M:$M,0)+CJ$8-1))=0,
IF(COUNTIF($M:$M,$AI89)&lt;CJ$8,
"",
INDEX($J:$J,MATCH($AI89,$M:$M,0)+CJ$8-1)),
""),
"")</f>
        <v/>
      </c>
      <c r="CK89" s="21" t="str">
        <f>IFERROR(
IF(COUNTIF($BI89:CJ89,INDEX($J:$J,MATCH($AI89,$M:$M,0)+CK$8-1))=0,
IF(COUNTIF($M:$M,$AI89)&lt;CK$8,
"",
INDEX($J:$J,MATCH($AI89,$M:$M,0)+CK$8-1)),
""),
"")</f>
        <v/>
      </c>
      <c r="CM89" s="21" t="str">
        <f>IFERROR(
IF(COUNTIF($BI89:CL89,INDEX($J:$J,MATCH($AJ89,$M:$M,0)+CM$8-1))=0,
IF(COUNTIF($M:$M,$AJ89)&lt;CM$8,
"",
INDEX($J:$J,MATCH($AJ89,$M:$M,0)+CM$8-1)),
""),
"")</f>
        <v/>
      </c>
      <c r="CN89" s="21" t="str">
        <f>IFERROR(
IF(COUNTIF($BI89:CM89,INDEX($J:$J,MATCH($AJ89,$M:$M,0)+CN$8-1))=0,
IF(COUNTIF($M:$M,$AJ89)&lt;CN$8,
"",
INDEX($J:$J,MATCH($AJ89,$M:$M,0)+CN$8-1)),
""),
"")</f>
        <v/>
      </c>
      <c r="CO89" s="21" t="str">
        <f>IFERROR(
IF(COUNTIF($BI89:CN89,INDEX($J:$J,MATCH($AJ89,$M:$M,0)+CO$8-1))=0,
IF(COUNTIF($M:$M,$AJ89)&lt;CO$8,
"",
INDEX($J:$J,MATCH($AJ89,$M:$M,0)+CO$8-1)),
""),
"")</f>
        <v/>
      </c>
      <c r="CP89" s="21" t="str">
        <f>IFERROR(
IF(COUNTIF($BI89:CO89,INDEX($J:$J,MATCH($AJ89,$M:$M,0)+CP$8-1))=0,
IF(COUNTIF($M:$M,$AJ89)&lt;CP$8,
"",
INDEX($J:$J,MATCH($AJ89,$M:$M,0)+CP$8-1)),
""),
"")</f>
        <v/>
      </c>
      <c r="CR89" s="21" t="str">
        <f>IFERROR(
IF(COUNTIF($BI89:CQ89,INDEX($J:$J,MATCH($AK89,$M:$M,0)+CR$8-1))=0,
IF(COUNTIF($M:$M,$AK89)&lt;CR$8,
"",
INDEX($J:$J,MATCH($AK89,$M:$M,0)+CR$8-1)),
""),
"")</f>
        <v/>
      </c>
      <c r="CS89" s="21" t="str">
        <f>IFERROR(
IF(COUNTIF($BI89:CR89,INDEX($J:$J,MATCH($AK89,$M:$M,0)+CS$8-1))=0,
IF(COUNTIF($M:$M,$AK89)&lt;CS$8,
"",
INDEX($J:$J,MATCH($AK89,$M:$M,0)+CS$8-1)),
""),
"")</f>
        <v/>
      </c>
      <c r="CT89" s="21" t="str">
        <f>IFERROR(
IF(COUNTIF($BI89:CS89,INDEX($J:$J,MATCH($AK89,$M:$M,0)+CT$8-1))=0,
IF(COUNTIF($M:$M,$AK89)&lt;CT$8,
"",
INDEX($J:$J,MATCH($AK89,$M:$M,0)+CT$8-1)),
""),
"")</f>
        <v/>
      </c>
      <c r="CU89" s="21" t="str">
        <f>IFERROR(
IF(COUNTIF($BI89:CT89,INDEX($J:$J,MATCH($AK89,$M:$M,0)+CU$8-1))=0,
IF(COUNTIF($M:$M,$AK89)&lt;CU$8,
"",
INDEX($J:$J,MATCH($AK89,$M:$M,0)+CU$8-1)),
""),
"")</f>
        <v/>
      </c>
    </row>
    <row r="90" spans="3:99" ht="14.25">
      <c r="C90" s="16">
        <v>82</v>
      </c>
      <c r="D90" s="19" t="s">
        <v>426</v>
      </c>
      <c r="E90" s="20">
        <f>INDEX([1]武将基本资料!$S:$S,MATCH(D90,[1]武将基本资料!$N:$N,0))</f>
        <v>130</v>
      </c>
      <c r="F90" s="20" t="str">
        <f>INDEX([1]武将基本资料!$Q:$Q,MATCH(D90,[1]武将基本资料!$N:$N,0))</f>
        <v>橙+</v>
      </c>
      <c r="H90" s="7">
        <f>IF(I90="","",COUNTA(I$9:$I90))</f>
        <v>80</v>
      </c>
      <c r="I90" s="6" t="s">
        <v>178</v>
      </c>
      <c r="J90" s="6" t="s">
        <v>68</v>
      </c>
      <c r="K90" s="8" t="str">
        <f>IF(H90="","",阶段合并区域(J90:J100," ",L90:L100,1))</f>
        <v>欧冶子 莫邪</v>
      </c>
      <c r="L90" s="8">
        <f>COUNTIF(M$8:$M90,"="&amp;M90)</f>
        <v>1</v>
      </c>
      <c r="M90" s="9" t="str">
        <f t="shared" si="13"/>
        <v>神兵利刃</v>
      </c>
      <c r="N90" s="9" t="str">
        <f t="shared" si="14"/>
        <v>神兵利刃1</v>
      </c>
      <c r="O90" s="15">
        <f>INDEX(C:C,MATCH(J90,D:D,0))</f>
        <v>63</v>
      </c>
      <c r="P90" s="9">
        <f>INDEX(E:E,MATCH(J90,D:D,0))</f>
        <v>120</v>
      </c>
      <c r="Q90" s="7">
        <f t="shared" si="10"/>
        <v>63</v>
      </c>
      <c r="R90" s="7">
        <f>COUNTIF(J$8:$J90,"="&amp;J90)</f>
        <v>2</v>
      </c>
      <c r="S90" s="7">
        <f t="shared" si="11"/>
        <v>2063</v>
      </c>
      <c r="U90" s="7">
        <f t="shared" si="15"/>
        <v>1082</v>
      </c>
      <c r="V90" s="7">
        <f t="shared" si="12"/>
        <v>2082</v>
      </c>
      <c r="W90" s="7">
        <f t="shared" si="12"/>
        <v>3082</v>
      </c>
      <c r="X90" s="7">
        <f t="shared" si="12"/>
        <v>4082</v>
      </c>
      <c r="Y90" s="7">
        <f t="shared" si="12"/>
        <v>5082</v>
      </c>
      <c r="Z90" s="7">
        <f t="shared" si="12"/>
        <v>6082</v>
      </c>
      <c r="AA90" s="7">
        <f t="shared" si="12"/>
        <v>7082</v>
      </c>
      <c r="AB90" s="7">
        <f t="shared" si="12"/>
        <v>8082</v>
      </c>
      <c r="AD90" s="21" t="str">
        <f>IFERROR(INDEX($M:$M,MATCH(U90,$S:$S,0)),"&amp;")</f>
        <v>龙城飞将</v>
      </c>
      <c r="AE90" s="21" t="str">
        <f>IFERROR(INDEX($M:$M,MATCH(V90,$S:$S,0)),"&amp;")</f>
        <v>大汉双壁</v>
      </c>
      <c r="AF90" s="21" t="str">
        <f>IFERROR(INDEX($M:$M,MATCH(W90,$S:$S,0)),"&amp;")</f>
        <v>龙城飞将</v>
      </c>
      <c r="AG90" s="21" t="str">
        <f>IFERROR(INDEX($M:$M,MATCH(X90,$S:$S,0)),"&amp;")</f>
        <v>抗击匈奴</v>
      </c>
      <c r="AH90" s="21" t="str">
        <f>IFERROR(INDEX($M:$M,MATCH(Y90,$S:$S,0)),"&amp;")</f>
        <v>大汉双壁</v>
      </c>
      <c r="AI90" s="21" t="str">
        <f>IFERROR(INDEX($M:$M,MATCH(Z90,$S:$S,0)),"&amp;")</f>
        <v>&amp;</v>
      </c>
      <c r="AJ90" s="21" t="str">
        <f>IFERROR(INDEX($M:$M,MATCH(AA90,$S:$S,0)),"&amp;")</f>
        <v>&amp;</v>
      </c>
      <c r="AK90" s="21" t="str">
        <f>IFERROR(INDEX($M:$M,MATCH(AB90,$S:$S,0)),"&amp;")</f>
        <v>&amp;</v>
      </c>
      <c r="AM90" s="21" t="str">
        <f>IFERROR(INDEX($N:$N,MATCH(U90,$S:$S,0)),"&amp;")</f>
        <v>龙城飞将2</v>
      </c>
      <c r="AN90" s="21" t="str">
        <f>IFERROR(INDEX($N:$N,MATCH(V90,$S:$S,0)),"&amp;")</f>
        <v>大汉双壁1</v>
      </c>
      <c r="AO90" s="21" t="str">
        <f>IFERROR(INDEX($N:$N,MATCH(W90,$S:$S,0)),"&amp;")</f>
        <v>龙城飞将3</v>
      </c>
      <c r="AP90" s="21" t="str">
        <f>IFERROR(INDEX($N:$N,MATCH(X90,$S:$S,0)),"&amp;")</f>
        <v>抗击匈奴1</v>
      </c>
      <c r="AQ90" s="21" t="str">
        <f>IFERROR(INDEX($N:$N,MATCH(Y90,$S:$S,0)),"&amp;")</f>
        <v>大汉双壁4</v>
      </c>
      <c r="AR90" s="21" t="str">
        <f>IFERROR(INDEX($N:$N,MATCH(Z90,$S:$S,0)),"&amp;")</f>
        <v>&amp;</v>
      </c>
      <c r="AS90" s="21" t="str">
        <f>IFERROR(INDEX($N:$N,MATCH(AA90,$S:$S,0)),"&amp;")</f>
        <v>&amp;</v>
      </c>
      <c r="AT90" s="21" t="str">
        <f>IFERROR(INDEX($N:$N,MATCH(AB90,$S:$S,0)),"&amp;")</f>
        <v>&amp;</v>
      </c>
      <c r="AV90" s="21" t="str">
        <f>IFERROR(SUBSTITUTE(INDEX($K:$K,MATCH(INDEX($M:$M,MATCH(AM90,$N:$N,0)),$M:$M,0)),$D90,""),"")</f>
        <v xml:space="preserve">李广 </v>
      </c>
      <c r="AW90" s="21" t="str">
        <f>IFERROR(SUBSTITUTE(INDEX($K:$K,MATCH(INDEX($M:$M,MATCH(AN90,$N:$N,0)),$M:$M,0)),$D90,""),"")</f>
        <v xml:space="preserve"> 霍去病  李广</v>
      </c>
      <c r="AX90" s="21" t="str">
        <f>IFERROR(SUBSTITUTE(INDEX($K:$K,MATCH(INDEX($M:$M,MATCH(AO90,$N:$N,0)),$M:$M,0)),$D90,""),"")</f>
        <v xml:space="preserve">李广 </v>
      </c>
      <c r="AY90" s="21" t="str">
        <f>IFERROR(SUBSTITUTE(INDEX($K:$K,MATCH(INDEX($M:$M,MATCH(AP90,$N:$N,0)),$M:$M,0)),$D90,""),"")</f>
        <v xml:space="preserve"> 蒙恬 霍去病 </v>
      </c>
      <c r="AZ90" s="21" t="str">
        <f>IFERROR(SUBSTITUTE(INDEX($K:$K,MATCH(INDEX($M:$M,MATCH(AQ90,$N:$N,0)),$M:$M,0)),$D90,""),"")</f>
        <v xml:space="preserve"> 霍去病  李广</v>
      </c>
      <c r="BA90" s="21" t="str">
        <f>IFERROR(SUBSTITUTE(INDEX($K:$K,MATCH(INDEX($M:$M,MATCH(AR90,$N:$N,0)),$M:$M,0)),$D90,""),"")</f>
        <v/>
      </c>
      <c r="BB90" s="21" t="str">
        <f>IFERROR(SUBSTITUTE(INDEX($K:$K,MATCH(INDEX($M:$M,MATCH(AS90,$N:$N,0)),$M:$M,0)),$D90,""),"")</f>
        <v/>
      </c>
      <c r="BC90" s="21" t="str">
        <f>IFERROR(SUBSTITUTE(INDEX($K:$K,MATCH(INDEX($M:$M,MATCH(AT90,$N:$N,0)),$M:$M,0)),$D90,""),"")</f>
        <v/>
      </c>
      <c r="BE90" s="9" t="str">
        <f t="shared" si="16"/>
        <v>李广,卫青,卫青,霍去病,蒙恬</v>
      </c>
      <c r="BI90" s="9" t="str">
        <f>IFERROR(
IF(COUNTIF($M:$M,$AD90)&lt;BI$8,
"",
INDEX($J:$J,MATCH($AD90,$M:$M,0)+BI$8-1)),
"")</f>
        <v>李广</v>
      </c>
      <c r="BJ90" s="9" t="str">
        <f>IFERROR(
IF(COUNTIF($M:$M,$AD90)&lt;BJ$8,
"",
INDEX($J:$J,MATCH($AD90,$M:$M,0)+BJ$8-1)),
"")</f>
        <v>卫青</v>
      </c>
      <c r="BK90" s="9" t="str">
        <f>IFERROR(
IF(COUNTIF($M:$M,$AD90)&lt;BK$8,
"",
INDEX($J:$J,MATCH($AD90,$M:$M,0)+BK$8-1)),
"")</f>
        <v>卫青</v>
      </c>
      <c r="BL90" s="9" t="str">
        <f>IFERROR(
IF(COUNTIF($M:$M,$AD90)&lt;BL$8,
"",
INDEX($J:$J,MATCH($AD90,$M:$M,0)+BL$8-1)),
"")</f>
        <v>霍去病</v>
      </c>
      <c r="BN90" s="21" t="str">
        <f>IFERROR(
IF(COUNTIF($BI90:BM90,INDEX($J:$J,MATCH($AE90,$M:$M,0)+BN$8-1))=0,
IF(COUNTIF($M:$M,$AE90)&lt;BN$8,
"",
INDEX($J:$J,MATCH($AE90,$M:$M,0)+BN$8-1)),
""),
"")</f>
        <v/>
      </c>
      <c r="BO90" s="21" t="str">
        <f>IFERROR(
IF(COUNTIF($BI90:BN90,INDEX($J:$J,MATCH($AE90,$M:$M,0)+BO$8-1))=0,
IF(COUNTIF($M:$M,$AE90)&lt;BO$8,
"",
INDEX($J:$J,MATCH($AE90,$M:$M,0)+BO$8-1)),
""),
"")</f>
        <v/>
      </c>
      <c r="BP90" s="21" t="str">
        <f>IFERROR(
IF(COUNTIF($BI90:BO90,INDEX($J:$J,MATCH($AE90,$M:$M,0)+BP$8-1))=0,
IF(COUNTIF($M:$M,$AE90)&lt;BP$8,
"",
INDEX($J:$J,MATCH($AE90,$M:$M,0)+BP$8-1)),
""),
"")</f>
        <v/>
      </c>
      <c r="BQ90" s="21" t="str">
        <f>IFERROR(
IF(COUNTIF($BI90:BP90,INDEX($J:$J,MATCH($AE90,$M:$M,0)+BQ$8-1))=0,
IF(COUNTIF($M:$M,$AE90)&lt;BQ$8,
"",
INDEX($J:$J,MATCH($AE90,$M:$M,0)+BQ$8-1)),
""),
"")</f>
        <v/>
      </c>
      <c r="BS90" s="21" t="str">
        <f>IFERROR(
IF(COUNTIF($BI90:BR90,INDEX($J:$J,MATCH($AF90,$M:$M,0)+BS$8-1))=0,
IF(COUNTIF($M:$M,$AF90)&lt;BS$8,
"",
INDEX($J:$J,MATCH($AF90,$M:$M,0)+BS$8-1)),
""),
"")</f>
        <v/>
      </c>
      <c r="BT90" s="21" t="str">
        <f>IFERROR(
IF(COUNTIF($BI90:BS90,INDEX($J:$J,MATCH($AF90,$M:$M,0)+BT$8-1))=0,
IF(COUNTIF($M:$M,$AF90)&lt;BT$8,
"",
INDEX($J:$J,MATCH($AF90,$M:$M,0)+BT$8-1)),
""),
"")</f>
        <v/>
      </c>
      <c r="BU90" s="21" t="str">
        <f>IFERROR(
IF(COUNTIF($BI90:BT90,INDEX($J:$J,MATCH($AF90,$M:$M,0)+BU$8-1))=0,
IF(COUNTIF($M:$M,$AF90)&lt;BU$8,
"",
INDEX($J:$J,MATCH($AF90,$M:$M,0)+BU$8-1)),
""),
"")</f>
        <v/>
      </c>
      <c r="BV90" s="21" t="str">
        <f>IFERROR(
IF(COUNTIF($BI90:BU90,INDEX($J:$J,MATCH($AF90,$M:$M,0)+BV$8-1))=0,
IF(COUNTIF($M:$M,$AF90)&lt;BV$8,
"",
INDEX($J:$J,MATCH($AF90,$M:$M,0)+BV$8-1)),
""),
"")</f>
        <v/>
      </c>
      <c r="BX90" s="21" t="str">
        <f>IFERROR(
IF(COUNTIF($BI90:BW90,INDEX($J:$J,MATCH($AG90,$M:$M,0)+BX$8-1))=0,
IF(COUNTIF($M:$M,$AG90)&lt;BX$8,
"",
INDEX($J:$J,MATCH($AG90,$M:$M,0)+BX$8-1)),
""),
"")</f>
        <v/>
      </c>
      <c r="BY90" s="21" t="str">
        <f>IFERROR(
IF(COUNTIF($BI90:BX90,INDEX($J:$J,MATCH($AG90,$M:$M,0)+BY$8-1))=0,
IF(COUNTIF($M:$M,$AG90)&lt;BY$8,
"",
INDEX($J:$J,MATCH($AG90,$M:$M,0)+BY$8-1)),
""),
"")</f>
        <v>蒙恬</v>
      </c>
      <c r="BZ90" s="21" t="str">
        <f>IFERROR(
IF(COUNTIF($BI90:BY90,INDEX($J:$J,MATCH($AG90,$M:$M,0)+BZ$8-1))=0,
IF(COUNTIF($M:$M,$AG90)&lt;BZ$8,
"",
INDEX($J:$J,MATCH($AG90,$M:$M,0)+BZ$8-1)),
""),
"")</f>
        <v/>
      </c>
      <c r="CA90" s="21" t="str">
        <f>IFERROR(
IF(COUNTIF($BI90:BZ90,INDEX($J:$J,MATCH($AG90,$M:$M,0)+CA$8-1))=0,
IF(COUNTIF($M:$M,$AG90)&lt;CA$8,
"",
INDEX($J:$J,MATCH($AG90,$M:$M,0)+CA$8-1)),
""),
"")</f>
        <v/>
      </c>
      <c r="CC90" s="21" t="str">
        <f>IFERROR(
IF(COUNTIF($BI90:CB90,INDEX($J:$J,MATCH($AH90,$M:$M,0)+CC$8-1))=0,
IF(COUNTIF($M:$M,$AH90)&lt;CC$8,
"",
INDEX($J:$J,MATCH($AH90,$M:$M,0)+CC$8-1)),
""),
"")</f>
        <v/>
      </c>
      <c r="CD90" s="21" t="str">
        <f>IFERROR(
IF(COUNTIF($BI90:CC90,INDEX($J:$J,MATCH($AH90,$M:$M,0)+CD$8-1))=0,
IF(COUNTIF($M:$M,$AH90)&lt;CD$8,
"",
INDEX($J:$J,MATCH($AH90,$M:$M,0)+CD$8-1)),
""),
"")</f>
        <v/>
      </c>
      <c r="CE90" s="21" t="str">
        <f>IFERROR(
IF(COUNTIF($BI90:CD90,INDEX($J:$J,MATCH($AH90,$M:$M,0)+CE$8-1))=0,
IF(COUNTIF($M:$M,$AH90)&lt;CE$8,
"",
INDEX($J:$J,MATCH($AH90,$M:$M,0)+CE$8-1)),
""),
"")</f>
        <v/>
      </c>
      <c r="CF90" s="21" t="str">
        <f>IFERROR(
IF(COUNTIF($BI90:CE90,INDEX($J:$J,MATCH($AH90,$M:$M,0)+CF$8-1))=0,
IF(COUNTIF($M:$M,$AH90)&lt;CF$8,
"",
INDEX($J:$J,MATCH($AH90,$M:$M,0)+CF$8-1)),
""),
"")</f>
        <v/>
      </c>
      <c r="CH90" s="21" t="str">
        <f>IFERROR(
IF(COUNTIF($BI90:CG90,INDEX($J:$J,MATCH($AI90,$M:$M,0)+CH$8-1))=0,
IF(COUNTIF($M:$M,$AI90)&lt;CH$8,
"",
INDEX($J:$J,MATCH($AI90,$M:$M,0)+CH$8-1)),
""),
"")</f>
        <v/>
      </c>
      <c r="CI90" s="21" t="str">
        <f>IFERROR(
IF(COUNTIF($BI90:CH90,INDEX($J:$J,MATCH($AI90,$M:$M,0)+CI$8-1))=0,
IF(COUNTIF($M:$M,$AI90)&lt;CI$8,
"",
INDEX($J:$J,MATCH($AI90,$M:$M,0)+CI$8-1)),
""),
"")</f>
        <v/>
      </c>
      <c r="CJ90" s="21" t="str">
        <f>IFERROR(
IF(COUNTIF($BI90:CI90,INDEX($J:$J,MATCH($AI90,$M:$M,0)+CJ$8-1))=0,
IF(COUNTIF($M:$M,$AI90)&lt;CJ$8,
"",
INDEX($J:$J,MATCH($AI90,$M:$M,0)+CJ$8-1)),
""),
"")</f>
        <v/>
      </c>
      <c r="CK90" s="21" t="str">
        <f>IFERROR(
IF(COUNTIF($BI90:CJ90,INDEX($J:$J,MATCH($AI90,$M:$M,0)+CK$8-1))=0,
IF(COUNTIF($M:$M,$AI90)&lt;CK$8,
"",
INDEX($J:$J,MATCH($AI90,$M:$M,0)+CK$8-1)),
""),
"")</f>
        <v/>
      </c>
      <c r="CM90" s="21" t="str">
        <f>IFERROR(
IF(COUNTIF($BI90:CL90,INDEX($J:$J,MATCH($AJ90,$M:$M,0)+CM$8-1))=0,
IF(COUNTIF($M:$M,$AJ90)&lt;CM$8,
"",
INDEX($J:$J,MATCH($AJ90,$M:$M,0)+CM$8-1)),
""),
"")</f>
        <v/>
      </c>
      <c r="CN90" s="21" t="str">
        <f>IFERROR(
IF(COUNTIF($BI90:CM90,INDEX($J:$J,MATCH($AJ90,$M:$M,0)+CN$8-1))=0,
IF(COUNTIF($M:$M,$AJ90)&lt;CN$8,
"",
INDEX($J:$J,MATCH($AJ90,$M:$M,0)+CN$8-1)),
""),
"")</f>
        <v/>
      </c>
      <c r="CO90" s="21" t="str">
        <f>IFERROR(
IF(COUNTIF($BI90:CN90,INDEX($J:$J,MATCH($AJ90,$M:$M,0)+CO$8-1))=0,
IF(COUNTIF($M:$M,$AJ90)&lt;CO$8,
"",
INDEX($J:$J,MATCH($AJ90,$M:$M,0)+CO$8-1)),
""),
"")</f>
        <v/>
      </c>
      <c r="CP90" s="21" t="str">
        <f>IFERROR(
IF(COUNTIF($BI90:CO90,INDEX($J:$J,MATCH($AJ90,$M:$M,0)+CP$8-1))=0,
IF(COUNTIF($M:$M,$AJ90)&lt;CP$8,
"",
INDEX($J:$J,MATCH($AJ90,$M:$M,0)+CP$8-1)),
""),
"")</f>
        <v/>
      </c>
      <c r="CR90" s="21" t="str">
        <f>IFERROR(
IF(COUNTIF($BI90:CQ90,INDEX($J:$J,MATCH($AK90,$M:$M,0)+CR$8-1))=0,
IF(COUNTIF($M:$M,$AK90)&lt;CR$8,
"",
INDEX($J:$J,MATCH($AK90,$M:$M,0)+CR$8-1)),
""),
"")</f>
        <v/>
      </c>
      <c r="CS90" s="21" t="str">
        <f>IFERROR(
IF(COUNTIF($BI90:CR90,INDEX($J:$J,MATCH($AK90,$M:$M,0)+CS$8-1))=0,
IF(COUNTIF($M:$M,$AK90)&lt;CS$8,
"",
INDEX($J:$J,MATCH($AK90,$M:$M,0)+CS$8-1)),
""),
"")</f>
        <v/>
      </c>
      <c r="CT90" s="21" t="str">
        <f>IFERROR(
IF(COUNTIF($BI90:CS90,INDEX($J:$J,MATCH($AK90,$M:$M,0)+CT$8-1))=0,
IF(COUNTIF($M:$M,$AK90)&lt;CT$8,
"",
INDEX($J:$J,MATCH($AK90,$M:$M,0)+CT$8-1)),
""),
"")</f>
        <v/>
      </c>
      <c r="CU90" s="21" t="str">
        <f>IFERROR(
IF(COUNTIF($BI90:CT90,INDEX($J:$J,MATCH($AK90,$M:$M,0)+CU$8-1))=0,
IF(COUNTIF($M:$M,$AK90)&lt;CU$8,
"",
INDEX($J:$J,MATCH($AK90,$M:$M,0)+CU$8-1)),
""),
"")</f>
        <v/>
      </c>
    </row>
    <row r="91" spans="3:99" ht="14.25">
      <c r="C91" s="16">
        <v>83</v>
      </c>
      <c r="D91" s="19" t="s">
        <v>439</v>
      </c>
      <c r="E91" s="20">
        <f>INDEX([1]武将基本资料!$S:$S,MATCH(D91,[1]武将基本资料!$N:$N,0))</f>
        <v>130</v>
      </c>
      <c r="F91" s="20" t="str">
        <f>INDEX([1]武将基本资料!$Q:$Q,MATCH(D91,[1]武将基本资料!$N:$N,0))</f>
        <v>橙+</v>
      </c>
      <c r="H91" s="7" t="str">
        <f>IF(I91="","",COUNTA(I$9:$I91))</f>
        <v/>
      </c>
      <c r="I91" s="6" t="s">
        <v>188</v>
      </c>
      <c r="J91" s="6" t="s">
        <v>76</v>
      </c>
      <c r="K91" s="8" t="str">
        <f>IF(H91="","",阶段合并区域(J91:J101," ",L91:L101,1))</f>
        <v/>
      </c>
      <c r="L91" s="8">
        <f>COUNTIF(M$8:$M91,"="&amp;M91)</f>
        <v>2</v>
      </c>
      <c r="M91" s="9" t="str">
        <f t="shared" si="13"/>
        <v>神兵利刃</v>
      </c>
      <c r="N91" s="9" t="str">
        <f t="shared" si="14"/>
        <v>神兵利刃2</v>
      </c>
      <c r="O91" s="15">
        <f>INDEX(C:C,MATCH(J91,D:D,0))</f>
        <v>43</v>
      </c>
      <c r="P91" s="9">
        <f>INDEX(E:E,MATCH(J91,D:D,0))</f>
        <v>110</v>
      </c>
      <c r="Q91" s="7">
        <f t="shared" si="10"/>
        <v>43</v>
      </c>
      <c r="R91" s="7">
        <f>COUNTIF(J$8:$J91,"="&amp;J91)</f>
        <v>3</v>
      </c>
      <c r="S91" s="7">
        <f t="shared" si="11"/>
        <v>3043</v>
      </c>
      <c r="U91" s="7">
        <f t="shared" si="15"/>
        <v>1083</v>
      </c>
      <c r="V91" s="7">
        <f t="shared" si="15"/>
        <v>2083</v>
      </c>
      <c r="W91" s="7">
        <f t="shared" si="15"/>
        <v>3083</v>
      </c>
      <c r="X91" s="7">
        <f t="shared" si="15"/>
        <v>4083</v>
      </c>
      <c r="Y91" s="7">
        <f t="shared" si="15"/>
        <v>5083</v>
      </c>
      <c r="Z91" s="7">
        <f t="shared" si="15"/>
        <v>6083</v>
      </c>
      <c r="AA91" s="7">
        <f t="shared" si="15"/>
        <v>7083</v>
      </c>
      <c r="AB91" s="7">
        <f t="shared" si="15"/>
        <v>8083</v>
      </c>
      <c r="AD91" s="21" t="str">
        <f>IFERROR(INDEX($M:$M,MATCH(U91,$S:$S,0)),"&amp;")</f>
        <v>大漢飛將</v>
      </c>
      <c r="AE91" s="21" t="str">
        <f>IFERROR(INDEX($M:$M,MATCH(V91,$S:$S,0)),"&amp;")</f>
        <v>大汉双壁</v>
      </c>
      <c r="AF91" s="21" t="str">
        <f>IFERROR(INDEX($M:$M,MATCH(W91,$S:$S,0)),"&amp;")</f>
        <v>大汉双壁</v>
      </c>
      <c r="AG91" s="21" t="str">
        <f>IFERROR(INDEX($M:$M,MATCH(X91,$S:$S,0)),"&amp;")</f>
        <v>驱逐匈奴</v>
      </c>
      <c r="AH91" s="21" t="str">
        <f>IFERROR(INDEX($M:$M,MATCH(Y91,$S:$S,0)),"&amp;")</f>
        <v>英年早逝</v>
      </c>
      <c r="AI91" s="21" t="str">
        <f>IFERROR(INDEX($M:$M,MATCH(Z91,$S:$S,0)),"&amp;")</f>
        <v>&amp;</v>
      </c>
      <c r="AJ91" s="21" t="str">
        <f>IFERROR(INDEX($M:$M,MATCH(AA91,$S:$S,0)),"&amp;")</f>
        <v>&amp;</v>
      </c>
      <c r="AK91" s="21" t="str">
        <f>IFERROR(INDEX($M:$M,MATCH(AB91,$S:$S,0)),"&amp;")</f>
        <v>&amp;</v>
      </c>
      <c r="AM91" s="21" t="str">
        <f>IFERROR(INDEX($N:$N,MATCH(U91,$S:$S,0)),"&amp;")</f>
        <v>大漢飛將2</v>
      </c>
      <c r="AN91" s="21" t="str">
        <f>IFERROR(INDEX($N:$N,MATCH(V91,$S:$S,0)),"&amp;")</f>
        <v>大汉双壁2</v>
      </c>
      <c r="AO91" s="21" t="str">
        <f>IFERROR(INDEX($N:$N,MATCH(W91,$S:$S,0)),"&amp;")</f>
        <v>大汉双壁3</v>
      </c>
      <c r="AP91" s="21" t="str">
        <f>IFERROR(INDEX($N:$N,MATCH(X91,$S:$S,0)),"&amp;")</f>
        <v>驱逐匈奴1</v>
      </c>
      <c r="AQ91" s="21" t="str">
        <f>IFERROR(INDEX($N:$N,MATCH(Y91,$S:$S,0)),"&amp;")</f>
        <v>英年早逝1</v>
      </c>
      <c r="AR91" s="21" t="str">
        <f>IFERROR(INDEX($N:$N,MATCH(Z91,$S:$S,0)),"&amp;")</f>
        <v>&amp;</v>
      </c>
      <c r="AS91" s="21" t="str">
        <f>IFERROR(INDEX($N:$N,MATCH(AA91,$S:$S,0)),"&amp;")</f>
        <v>&amp;</v>
      </c>
      <c r="AT91" s="21" t="str">
        <f>IFERROR(INDEX($N:$N,MATCH(AB91,$S:$S,0)),"&amp;")</f>
        <v>&amp;</v>
      </c>
      <c r="AV91" s="21" t="str">
        <f>IFERROR(SUBSTITUTE(INDEX($K:$K,MATCH(INDEX($M:$M,MATCH(AM91,$N:$N,0)),$M:$M,0)),$D91,""),"")</f>
        <v xml:space="preserve">李广 </v>
      </c>
      <c r="AW91" s="21" t="str">
        <f>IFERROR(SUBSTITUTE(INDEX($K:$K,MATCH(INDEX($M:$M,MATCH(AN91,$N:$N,0)),$M:$M,0)),$D91,""),"")</f>
        <v>卫青  卫青 李广</v>
      </c>
      <c r="AX91" s="21" t="str">
        <f>IFERROR(SUBSTITUTE(INDEX($K:$K,MATCH(INDEX($M:$M,MATCH(AO91,$N:$N,0)),$M:$M,0)),$D91,""),"")</f>
        <v>卫青  卫青 李广</v>
      </c>
      <c r="AY91" s="21" t="str">
        <f>IFERROR(SUBSTITUTE(INDEX($K:$K,MATCH(INDEX($M:$M,MATCH(AP91,$N:$N,0)),$M:$M,0)),$D91,""),"")</f>
        <v xml:space="preserve"> 蒙恬 李广</v>
      </c>
      <c r="AZ91" s="21" t="str">
        <f>IFERROR(SUBSTITUTE(INDEX($K:$K,MATCH(INDEX($M:$M,MATCH(AQ91,$N:$N,0)),$M:$M,0)),$D91,""),"")</f>
        <v xml:space="preserve"> 韩信</v>
      </c>
      <c r="BA91" s="21" t="str">
        <f>IFERROR(SUBSTITUTE(INDEX($K:$K,MATCH(INDEX($M:$M,MATCH(AR91,$N:$N,0)),$M:$M,0)),$D91,""),"")</f>
        <v/>
      </c>
      <c r="BB91" s="21" t="str">
        <f>IFERROR(SUBSTITUTE(INDEX($K:$K,MATCH(INDEX($M:$M,MATCH(AS91,$N:$N,0)),$M:$M,0)),$D91,""),"")</f>
        <v/>
      </c>
      <c r="BC91" s="21" t="str">
        <f>IFERROR(SUBSTITUTE(INDEX($K:$K,MATCH(INDEX($M:$M,MATCH(AT91,$N:$N,0)),$M:$M,0)),$D91,""),"")</f>
        <v/>
      </c>
      <c r="BE91" s="9" t="str">
        <f t="shared" si="16"/>
        <v>李广,霍去病,卫青,蒙恬,韩信</v>
      </c>
      <c r="BI91" s="9" t="str">
        <f>IFERROR(
IF(COUNTIF($M:$M,$AD91)&lt;BI$8,
"",
INDEX($J:$J,MATCH($AD91,$M:$M,0)+BI$8-1)),
"")</f>
        <v>李广</v>
      </c>
      <c r="BJ91" s="9" t="str">
        <f>IFERROR(
IF(COUNTIF($M:$M,$AD91)&lt;BJ$8,
"",
INDEX($J:$J,MATCH($AD91,$M:$M,0)+BJ$8-1)),
"")</f>
        <v>霍去病</v>
      </c>
      <c r="BK91" s="9" t="str">
        <f>IFERROR(
IF(COUNTIF($M:$M,$AD91)&lt;BK$8,
"",
INDEX($J:$J,MATCH($AD91,$M:$M,0)+BK$8-1)),
"")</f>
        <v/>
      </c>
      <c r="BL91" s="9" t="str">
        <f>IFERROR(
IF(COUNTIF($M:$M,$AD91)&lt;BL$8,
"",
INDEX($J:$J,MATCH($AD91,$M:$M,0)+BL$8-1)),
"")</f>
        <v/>
      </c>
      <c r="BN91" s="21" t="str">
        <f>IFERROR(
IF(COUNTIF($BI91:BM91,INDEX($J:$J,MATCH($AE91,$M:$M,0)+BN$8-1))=0,
IF(COUNTIF($M:$M,$AE91)&lt;BN$8,
"",
INDEX($J:$J,MATCH($AE91,$M:$M,0)+BN$8-1)),
""),
"")</f>
        <v>卫青</v>
      </c>
      <c r="BO91" s="21" t="str">
        <f>IFERROR(
IF(COUNTIF($BI91:BN91,INDEX($J:$J,MATCH($AE91,$M:$M,0)+BO$8-1))=0,
IF(COUNTIF($M:$M,$AE91)&lt;BO$8,
"",
INDEX($J:$J,MATCH($AE91,$M:$M,0)+BO$8-1)),
""),
"")</f>
        <v/>
      </c>
      <c r="BP91" s="21" t="str">
        <f>IFERROR(
IF(COUNTIF($BI91:BO91,INDEX($J:$J,MATCH($AE91,$M:$M,0)+BP$8-1))=0,
IF(COUNTIF($M:$M,$AE91)&lt;BP$8,
"",
INDEX($J:$J,MATCH($AE91,$M:$M,0)+BP$8-1)),
""),
"")</f>
        <v/>
      </c>
      <c r="BQ91" s="21" t="str">
        <f>IFERROR(
IF(COUNTIF($BI91:BP91,INDEX($J:$J,MATCH($AE91,$M:$M,0)+BQ$8-1))=0,
IF(COUNTIF($M:$M,$AE91)&lt;BQ$8,
"",
INDEX($J:$J,MATCH($AE91,$M:$M,0)+BQ$8-1)),
""),
"")</f>
        <v/>
      </c>
      <c r="BS91" s="21" t="str">
        <f>IFERROR(
IF(COUNTIF($BI91:BR91,INDEX($J:$J,MATCH($AF91,$M:$M,0)+BS$8-1))=0,
IF(COUNTIF($M:$M,$AF91)&lt;BS$8,
"",
INDEX($J:$J,MATCH($AF91,$M:$M,0)+BS$8-1)),
""),
"")</f>
        <v/>
      </c>
      <c r="BT91" s="21" t="str">
        <f>IFERROR(
IF(COUNTIF($BI91:BS91,INDEX($J:$J,MATCH($AF91,$M:$M,0)+BT$8-1))=0,
IF(COUNTIF($M:$M,$AF91)&lt;BT$8,
"",
INDEX($J:$J,MATCH($AF91,$M:$M,0)+BT$8-1)),
""),
"")</f>
        <v/>
      </c>
      <c r="BU91" s="21" t="str">
        <f>IFERROR(
IF(COUNTIF($BI91:BT91,INDEX($J:$J,MATCH($AF91,$M:$M,0)+BU$8-1))=0,
IF(COUNTIF($M:$M,$AF91)&lt;BU$8,
"",
INDEX($J:$J,MATCH($AF91,$M:$M,0)+BU$8-1)),
""),
"")</f>
        <v/>
      </c>
      <c r="BV91" s="21" t="str">
        <f>IFERROR(
IF(COUNTIF($BI91:BU91,INDEX($J:$J,MATCH($AF91,$M:$M,0)+BV$8-1))=0,
IF(COUNTIF($M:$M,$AF91)&lt;BV$8,
"",
INDEX($J:$J,MATCH($AF91,$M:$M,0)+BV$8-1)),
""),
"")</f>
        <v/>
      </c>
      <c r="BX91" s="21" t="str">
        <f>IFERROR(
IF(COUNTIF($BI91:BW91,INDEX($J:$J,MATCH($AG91,$M:$M,0)+BX$8-1))=0,
IF(COUNTIF($M:$M,$AG91)&lt;BX$8,
"",
INDEX($J:$J,MATCH($AG91,$M:$M,0)+BX$8-1)),
""),
"")</f>
        <v/>
      </c>
      <c r="BY91" s="21" t="str">
        <f>IFERROR(
IF(COUNTIF($BI91:BX91,INDEX($J:$J,MATCH($AG91,$M:$M,0)+BY$8-1))=0,
IF(COUNTIF($M:$M,$AG91)&lt;BY$8,
"",
INDEX($J:$J,MATCH($AG91,$M:$M,0)+BY$8-1)),
""),
"")</f>
        <v>蒙恬</v>
      </c>
      <c r="BZ91" s="21" t="str">
        <f>IFERROR(
IF(COUNTIF($BI91:BY91,INDEX($J:$J,MATCH($AG91,$M:$M,0)+BZ$8-1))=0,
IF(COUNTIF($M:$M,$AG91)&lt;BZ$8,
"",
INDEX($J:$J,MATCH($AG91,$M:$M,0)+BZ$8-1)),
""),
"")</f>
        <v/>
      </c>
      <c r="CA91" s="21" t="str">
        <f>IFERROR(
IF(COUNTIF($BI91:BZ91,INDEX($J:$J,MATCH($AG91,$M:$M,0)+CA$8-1))=0,
IF(COUNTIF($M:$M,$AG91)&lt;CA$8,
"",
INDEX($J:$J,MATCH($AG91,$M:$M,0)+CA$8-1)),
""),
"")</f>
        <v/>
      </c>
      <c r="CC91" s="21" t="str">
        <f>IFERROR(
IF(COUNTIF($BI91:CB91,INDEX($J:$J,MATCH($AH91,$M:$M,0)+CC$8-1))=0,
IF(COUNTIF($M:$M,$AH91)&lt;CC$8,
"",
INDEX($J:$J,MATCH($AH91,$M:$M,0)+CC$8-1)),
""),
"")</f>
        <v/>
      </c>
      <c r="CD91" s="21" t="str">
        <f>IFERROR(
IF(COUNTIF($BI91:CC91,INDEX($J:$J,MATCH($AH91,$M:$M,0)+CD$8-1))=0,
IF(COUNTIF($M:$M,$AH91)&lt;CD$8,
"",
INDEX($J:$J,MATCH($AH91,$M:$M,0)+CD$8-1)),
""),
"")</f>
        <v>韩信</v>
      </c>
      <c r="CE91" s="21" t="str">
        <f>IFERROR(
IF(COUNTIF($BI91:CD91,INDEX($J:$J,MATCH($AH91,$M:$M,0)+CE$8-1))=0,
IF(COUNTIF($M:$M,$AH91)&lt;CE$8,
"",
INDEX($J:$J,MATCH($AH91,$M:$M,0)+CE$8-1)),
""),
"")</f>
        <v/>
      </c>
      <c r="CF91" s="21" t="str">
        <f>IFERROR(
IF(COUNTIF($BI91:CE91,INDEX($J:$J,MATCH($AH91,$M:$M,0)+CF$8-1))=0,
IF(COUNTIF($M:$M,$AH91)&lt;CF$8,
"",
INDEX($J:$J,MATCH($AH91,$M:$M,0)+CF$8-1)),
""),
"")</f>
        <v/>
      </c>
      <c r="CH91" s="21" t="str">
        <f>IFERROR(
IF(COUNTIF($BI91:CG91,INDEX($J:$J,MATCH($AI91,$M:$M,0)+CH$8-1))=0,
IF(COUNTIF($M:$M,$AI91)&lt;CH$8,
"",
INDEX($J:$J,MATCH($AI91,$M:$M,0)+CH$8-1)),
""),
"")</f>
        <v/>
      </c>
      <c r="CI91" s="21" t="str">
        <f>IFERROR(
IF(COUNTIF($BI91:CH91,INDEX($J:$J,MATCH($AI91,$M:$M,0)+CI$8-1))=0,
IF(COUNTIF($M:$M,$AI91)&lt;CI$8,
"",
INDEX($J:$J,MATCH($AI91,$M:$M,0)+CI$8-1)),
""),
"")</f>
        <v/>
      </c>
      <c r="CJ91" s="21" t="str">
        <f>IFERROR(
IF(COUNTIF($BI91:CI91,INDEX($J:$J,MATCH($AI91,$M:$M,0)+CJ$8-1))=0,
IF(COUNTIF($M:$M,$AI91)&lt;CJ$8,
"",
INDEX($J:$J,MATCH($AI91,$M:$M,0)+CJ$8-1)),
""),
"")</f>
        <v/>
      </c>
      <c r="CK91" s="21" t="str">
        <f>IFERROR(
IF(COUNTIF($BI91:CJ91,INDEX($J:$J,MATCH($AI91,$M:$M,0)+CK$8-1))=0,
IF(COUNTIF($M:$M,$AI91)&lt;CK$8,
"",
INDEX($J:$J,MATCH($AI91,$M:$M,0)+CK$8-1)),
""),
"")</f>
        <v/>
      </c>
      <c r="CM91" s="21" t="str">
        <f>IFERROR(
IF(COUNTIF($BI91:CL91,INDEX($J:$J,MATCH($AJ91,$M:$M,0)+CM$8-1))=0,
IF(COUNTIF($M:$M,$AJ91)&lt;CM$8,
"",
INDEX($J:$J,MATCH($AJ91,$M:$M,0)+CM$8-1)),
""),
"")</f>
        <v/>
      </c>
      <c r="CN91" s="21" t="str">
        <f>IFERROR(
IF(COUNTIF($BI91:CM91,INDEX($J:$J,MATCH($AJ91,$M:$M,0)+CN$8-1))=0,
IF(COUNTIF($M:$M,$AJ91)&lt;CN$8,
"",
INDEX($J:$J,MATCH($AJ91,$M:$M,0)+CN$8-1)),
""),
"")</f>
        <v/>
      </c>
      <c r="CO91" s="21" t="str">
        <f>IFERROR(
IF(COUNTIF($BI91:CN91,INDEX($J:$J,MATCH($AJ91,$M:$M,0)+CO$8-1))=0,
IF(COUNTIF($M:$M,$AJ91)&lt;CO$8,
"",
INDEX($J:$J,MATCH($AJ91,$M:$M,0)+CO$8-1)),
""),
"")</f>
        <v/>
      </c>
      <c r="CP91" s="21" t="str">
        <f>IFERROR(
IF(COUNTIF($BI91:CO91,INDEX($J:$J,MATCH($AJ91,$M:$M,0)+CP$8-1))=0,
IF(COUNTIF($M:$M,$AJ91)&lt;CP$8,
"",
INDEX($J:$J,MATCH($AJ91,$M:$M,0)+CP$8-1)),
""),
"")</f>
        <v/>
      </c>
      <c r="CR91" s="21" t="str">
        <f>IFERROR(
IF(COUNTIF($BI91:CQ91,INDEX($J:$J,MATCH($AK91,$M:$M,0)+CR$8-1))=0,
IF(COUNTIF($M:$M,$AK91)&lt;CR$8,
"",
INDEX($J:$J,MATCH($AK91,$M:$M,0)+CR$8-1)),
""),
"")</f>
        <v/>
      </c>
      <c r="CS91" s="21" t="str">
        <f>IFERROR(
IF(COUNTIF($BI91:CR91,INDEX($J:$J,MATCH($AK91,$M:$M,0)+CS$8-1))=0,
IF(COUNTIF($M:$M,$AK91)&lt;CS$8,
"",
INDEX($J:$J,MATCH($AK91,$M:$M,0)+CS$8-1)),
""),
"")</f>
        <v/>
      </c>
      <c r="CT91" s="21" t="str">
        <f>IFERROR(
IF(COUNTIF($BI91:CS91,INDEX($J:$J,MATCH($AK91,$M:$M,0)+CT$8-1))=0,
IF(COUNTIF($M:$M,$AK91)&lt;CT$8,
"",
INDEX($J:$J,MATCH($AK91,$M:$M,0)+CT$8-1)),
""),
"")</f>
        <v/>
      </c>
      <c r="CU91" s="21" t="str">
        <f>IFERROR(
IF(COUNTIF($BI91:CT91,INDEX($J:$J,MATCH($AK91,$M:$M,0)+CU$8-1))=0,
IF(COUNTIF($M:$M,$AK91)&lt;CU$8,
"",
INDEX($J:$J,MATCH($AK91,$M:$M,0)+CU$8-1)),
""),
"")</f>
        <v/>
      </c>
    </row>
    <row r="92" spans="3:99" ht="14.25">
      <c r="C92" s="16">
        <v>84</v>
      </c>
      <c r="D92" s="19" t="s">
        <v>444</v>
      </c>
      <c r="E92" s="20">
        <f>INDEX([1]武将基本资料!$S:$S,MATCH(D92,[1]武将基本资料!$N:$N,0))</f>
        <v>130</v>
      </c>
      <c r="F92" s="20" t="str">
        <f>INDEX([1]武将基本资料!$Q:$Q,MATCH(D92,[1]武将基本资料!$N:$N,0))</f>
        <v>橙+</v>
      </c>
      <c r="H92" s="7">
        <f>IF(I92="","",COUNTA(I$9:$I92))</f>
        <v>82</v>
      </c>
      <c r="I92" s="6" t="s">
        <v>179</v>
      </c>
      <c r="J92" s="6" t="s">
        <v>72</v>
      </c>
      <c r="K92" s="8" t="str">
        <f>IF(H92="","",阶段合并区域(J92:J102," ",L92:L102,1))</f>
        <v>项燕 荆轲</v>
      </c>
      <c r="L92" s="8">
        <f>COUNTIF(M$8:$M92,"="&amp;M92)</f>
        <v>1</v>
      </c>
      <c r="M92" s="9" t="str">
        <f t="shared" si="13"/>
        <v>有死无生</v>
      </c>
      <c r="N92" s="9" t="str">
        <f t="shared" si="14"/>
        <v>有死无生1</v>
      </c>
      <c r="O92" s="15">
        <f>INDEX(C:C,MATCH(J92,D:D,0))</f>
        <v>41</v>
      </c>
      <c r="P92" s="9">
        <f>INDEX(E:E,MATCH(J92,D:D,0))</f>
        <v>120</v>
      </c>
      <c r="Q92" s="7">
        <f t="shared" si="10"/>
        <v>41</v>
      </c>
      <c r="R92" s="7">
        <f>COUNTIF(J$8:$J92,"="&amp;J92)</f>
        <v>3</v>
      </c>
      <c r="S92" s="7">
        <f t="shared" si="11"/>
        <v>3041</v>
      </c>
      <c r="U92" s="7">
        <f t="shared" ref="U92:AB96" si="18">U$8*1000+$C92</f>
        <v>1084</v>
      </c>
      <c r="V92" s="7">
        <f t="shared" si="18"/>
        <v>2084</v>
      </c>
      <c r="W92" s="7">
        <f t="shared" si="18"/>
        <v>3084</v>
      </c>
      <c r="X92" s="7">
        <f t="shared" si="18"/>
        <v>4084</v>
      </c>
      <c r="Y92" s="7">
        <f t="shared" si="18"/>
        <v>5084</v>
      </c>
      <c r="Z92" s="7">
        <f t="shared" si="18"/>
        <v>6084</v>
      </c>
      <c r="AA92" s="7">
        <f t="shared" si="18"/>
        <v>7084</v>
      </c>
      <c r="AB92" s="7">
        <f t="shared" si="18"/>
        <v>8084</v>
      </c>
      <c r="AD92" s="21" t="str">
        <f>IFERROR(INDEX($M:$M,MATCH(U92,$S:$S,0)),"&amp;")</f>
        <v>挂印封金</v>
      </c>
      <c r="AE92" s="21" t="str">
        <f>IFERROR(INDEX($M:$M,MATCH(V92,$S:$S,0)),"&amp;")</f>
        <v>乱世枭雄</v>
      </c>
      <c r="AF92" s="21" t="str">
        <f>IFERROR(INDEX($M:$M,MATCH(W92,$S:$S,0)),"&amp;")</f>
        <v>平定中原</v>
      </c>
      <c r="AG92" s="21" t="str">
        <f>IFERROR(INDEX($M:$M,MATCH(X92,$S:$S,0)),"&amp;")</f>
        <v>挂印封金</v>
      </c>
      <c r="AH92" s="21" t="str">
        <f>IFERROR(INDEX($M:$M,MATCH(Y92,$S:$S,0)),"&amp;")</f>
        <v>官渡之战</v>
      </c>
      <c r="AI92" s="21" t="str">
        <f>IFERROR(INDEX($M:$M,MATCH(Z92,$S:$S,0)),"&amp;")</f>
        <v>青梅煮酒</v>
      </c>
      <c r="AJ92" s="21" t="str">
        <f>IFERROR(INDEX($M:$M,MATCH(AA92,$S:$S,0)),"&amp;")</f>
        <v>天下三分</v>
      </c>
      <c r="AK92" s="21" t="str">
        <f>IFERROR(INDEX($M:$M,MATCH(AB92,$S:$S,0)),"&amp;")</f>
        <v>白地将军</v>
      </c>
      <c r="AM92" s="21" t="str">
        <f>IFERROR(INDEX($N:$N,MATCH(U92,$S:$S,0)),"&amp;")</f>
        <v>挂印封金1</v>
      </c>
      <c r="AN92" s="21" t="str">
        <f>IFERROR(INDEX($N:$N,MATCH(V92,$S:$S,0)),"&amp;")</f>
        <v>乱世枭雄1</v>
      </c>
      <c r="AO92" s="21" t="str">
        <f>IFERROR(INDEX($N:$N,MATCH(W92,$S:$S,0)),"&amp;")</f>
        <v>平定中原1</v>
      </c>
      <c r="AP92" s="21" t="str">
        <f>IFERROR(INDEX($N:$N,MATCH(X92,$S:$S,0)),"&amp;")</f>
        <v>挂印封金4</v>
      </c>
      <c r="AQ92" s="21" t="str">
        <f>IFERROR(INDEX($N:$N,MATCH(Y92,$S:$S,0)),"&amp;")</f>
        <v>官渡之战2</v>
      </c>
      <c r="AR92" s="21" t="str">
        <f>IFERROR(INDEX($N:$N,MATCH(Z92,$S:$S,0)),"&amp;")</f>
        <v>青梅煮酒2</v>
      </c>
      <c r="AS92" s="21" t="str">
        <f>IFERROR(INDEX($N:$N,MATCH(AA92,$S:$S,0)),"&amp;")</f>
        <v>天下三分3</v>
      </c>
      <c r="AT92" s="21" t="str">
        <f>IFERROR(INDEX($N:$N,MATCH(AB92,$S:$S,0)),"&amp;")</f>
        <v>白地将军2</v>
      </c>
      <c r="AV92" s="21" t="str">
        <f>IFERROR(SUBSTITUTE(INDEX($K:$K,MATCH(INDEX($M:$M,MATCH(AM92,$N:$N,0)),$M:$M,0)),$D92,""),"")</f>
        <v xml:space="preserve"> 关羽</v>
      </c>
      <c r="AW92" s="21" t="str">
        <f>IFERROR(SUBSTITUTE(INDEX($K:$K,MATCH(INDEX($M:$M,MATCH(AN92,$N:$N,0)),$M:$M,0)),$D92,""),"")</f>
        <v xml:space="preserve"> 齐桓公 晋文公</v>
      </c>
      <c r="AX92" s="21" t="str">
        <f>IFERROR(SUBSTITUTE(INDEX($K:$K,MATCH(INDEX($M:$M,MATCH(AO92,$N:$N,0)),$M:$M,0)),$D92,""),"")</f>
        <v xml:space="preserve"> 刘邦</v>
      </c>
      <c r="AY92" s="21" t="str">
        <f>IFERROR(SUBSTITUTE(INDEX($K:$K,MATCH(INDEX($M:$M,MATCH(AP92,$N:$N,0)),$M:$M,0)),$D92,""),"")</f>
        <v xml:space="preserve"> 关羽</v>
      </c>
      <c r="AZ92" s="21" t="str">
        <f>IFERROR(SUBSTITUTE(INDEX($K:$K,MATCH(INDEX($M:$M,MATCH(AQ92,$N:$N,0)),$M:$M,0)),$D92,""),"")</f>
        <v xml:space="preserve">袁绍 </v>
      </c>
      <c r="BA92" s="21" t="str">
        <f>IFERROR(SUBSTITUTE(INDEX($K:$K,MATCH(INDEX($M:$M,MATCH(AR92,$N:$N,0)),$M:$M,0)),$D92,""),"")</f>
        <v xml:space="preserve">刘备 </v>
      </c>
      <c r="BB92" s="21" t="str">
        <f>IFERROR(SUBSTITUTE(INDEX($K:$K,MATCH(INDEX($M:$M,MATCH(AS92,$N:$N,0)),$M:$M,0)),$D92,""),"")</f>
        <v xml:space="preserve">孙权 刘备 </v>
      </c>
      <c r="BC92" s="21" t="str">
        <f>IFERROR(SUBSTITUTE(INDEX($K:$K,MATCH(INDEX($M:$M,MATCH(AT92,$N:$N,0)),$M:$M,0)),$D92,""),"")</f>
        <v xml:space="preserve">夏侯渊 </v>
      </c>
      <c r="BE92" s="9" t="str">
        <f t="shared" si="16"/>
        <v>曹操,关羽,曹操,齐桓公,晋文公,刘邦,袁绍,刘备,孙权,夏侯渊</v>
      </c>
      <c r="BI92" s="9" t="str">
        <f>IFERROR(
IF(COUNTIF($M:$M,$AD92)&lt;BI$8,
"",
INDEX($J:$J,MATCH($AD92,$M:$M,0)+BI$8-1)),
"")</f>
        <v>曹操</v>
      </c>
      <c r="BJ92" s="9" t="str">
        <f>IFERROR(
IF(COUNTIF($M:$M,$AD92)&lt;BJ$8,
"",
INDEX($J:$J,MATCH($AD92,$M:$M,0)+BJ$8-1)),
"")</f>
        <v>关羽</v>
      </c>
      <c r="BK92" s="9" t="str">
        <f>IFERROR(
IF(COUNTIF($M:$M,$AD92)&lt;BK$8,
"",
INDEX($J:$J,MATCH($AD92,$M:$M,0)+BK$8-1)),
"")</f>
        <v>曹操</v>
      </c>
      <c r="BL92" s="9" t="str">
        <f>IFERROR(
IF(COUNTIF($M:$M,$AD92)&lt;BL$8,
"",
INDEX($J:$J,MATCH($AD92,$M:$M,0)+BL$8-1)),
"")</f>
        <v>齐桓公</v>
      </c>
      <c r="BN92" s="21" t="str">
        <f>IFERROR(
IF(COUNTIF($BI92:BM92,INDEX($J:$J,MATCH($AE92,$M:$M,0)+BN$8-1))=0,
IF(COUNTIF($M:$M,$AE92)&lt;BN$8,
"",
INDEX($J:$J,MATCH($AE92,$M:$M,0)+BN$8-1)),
""),
"")</f>
        <v/>
      </c>
      <c r="BO92" s="21" t="str">
        <f>IFERROR(
IF(COUNTIF($BI92:BN92,INDEX($J:$J,MATCH($AE92,$M:$M,0)+BO$8-1))=0,
IF(COUNTIF($M:$M,$AE92)&lt;BO$8,
"",
INDEX($J:$J,MATCH($AE92,$M:$M,0)+BO$8-1)),
""),
"")</f>
        <v/>
      </c>
      <c r="BP92" s="21" t="str">
        <f>IFERROR(
IF(COUNTIF($BI92:BO92,INDEX($J:$J,MATCH($AE92,$M:$M,0)+BP$8-1))=0,
IF(COUNTIF($M:$M,$AE92)&lt;BP$8,
"",
INDEX($J:$J,MATCH($AE92,$M:$M,0)+BP$8-1)),
""),
"")</f>
        <v>晋文公</v>
      </c>
      <c r="BQ92" s="21" t="str">
        <f>IFERROR(
IF(COUNTIF($BI92:BP92,INDEX($J:$J,MATCH($AE92,$M:$M,0)+BQ$8-1))=0,
IF(COUNTIF($M:$M,$AE92)&lt;BQ$8,
"",
INDEX($J:$J,MATCH($AE92,$M:$M,0)+BQ$8-1)),
""),
"")</f>
        <v/>
      </c>
      <c r="BS92" s="21" t="str">
        <f>IFERROR(
IF(COUNTIF($BI92:BR92,INDEX($J:$J,MATCH($AF92,$M:$M,0)+BS$8-1))=0,
IF(COUNTIF($M:$M,$AF92)&lt;BS$8,
"",
INDEX($J:$J,MATCH($AF92,$M:$M,0)+BS$8-1)),
""),
"")</f>
        <v/>
      </c>
      <c r="BT92" s="21" t="str">
        <f>IFERROR(
IF(COUNTIF($BI92:BS92,INDEX($J:$J,MATCH($AF92,$M:$M,0)+BT$8-1))=0,
IF(COUNTIF($M:$M,$AF92)&lt;BT$8,
"",
INDEX($J:$J,MATCH($AF92,$M:$M,0)+BT$8-1)),
""),
"")</f>
        <v>刘邦</v>
      </c>
      <c r="BU92" s="21" t="str">
        <f>IFERROR(
IF(COUNTIF($BI92:BT92,INDEX($J:$J,MATCH($AF92,$M:$M,0)+BU$8-1))=0,
IF(COUNTIF($M:$M,$AF92)&lt;BU$8,
"",
INDEX($J:$J,MATCH($AF92,$M:$M,0)+BU$8-1)),
""),
"")</f>
        <v/>
      </c>
      <c r="BV92" s="21" t="str">
        <f>IFERROR(
IF(COUNTIF($BI92:BU92,INDEX($J:$J,MATCH($AF92,$M:$M,0)+BV$8-1))=0,
IF(COUNTIF($M:$M,$AF92)&lt;BV$8,
"",
INDEX($J:$J,MATCH($AF92,$M:$M,0)+BV$8-1)),
""),
"")</f>
        <v/>
      </c>
      <c r="BX92" s="21" t="str">
        <f>IFERROR(
IF(COUNTIF($BI92:BW92,INDEX($J:$J,MATCH($AG92,$M:$M,0)+BX$8-1))=0,
IF(COUNTIF($M:$M,$AG92)&lt;BX$8,
"",
INDEX($J:$J,MATCH($AG92,$M:$M,0)+BX$8-1)),
""),
"")</f>
        <v/>
      </c>
      <c r="BY92" s="21" t="str">
        <f>IFERROR(
IF(COUNTIF($BI92:BX92,INDEX($J:$J,MATCH($AG92,$M:$M,0)+BY$8-1))=0,
IF(COUNTIF($M:$M,$AG92)&lt;BY$8,
"",
INDEX($J:$J,MATCH($AG92,$M:$M,0)+BY$8-1)),
""),
"")</f>
        <v/>
      </c>
      <c r="BZ92" s="21" t="str">
        <f>IFERROR(
IF(COUNTIF($BI92:BY92,INDEX($J:$J,MATCH($AG92,$M:$M,0)+BZ$8-1))=0,
IF(COUNTIF($M:$M,$AG92)&lt;BZ$8,
"",
INDEX($J:$J,MATCH($AG92,$M:$M,0)+BZ$8-1)),
""),
"")</f>
        <v/>
      </c>
      <c r="CA92" s="21" t="str">
        <f>IFERROR(
IF(COUNTIF($BI92:BZ92,INDEX($J:$J,MATCH($AG92,$M:$M,0)+CA$8-1))=0,
IF(COUNTIF($M:$M,$AG92)&lt;CA$8,
"",
INDEX($J:$J,MATCH($AG92,$M:$M,0)+CA$8-1)),
""),
"")</f>
        <v/>
      </c>
      <c r="CC92" s="21" t="str">
        <f>IFERROR(
IF(COUNTIF($BI92:CB92,INDEX($J:$J,MATCH($AH92,$M:$M,0)+CC$8-1))=0,
IF(COUNTIF($M:$M,$AH92)&lt;CC$8,
"",
INDEX($J:$J,MATCH($AH92,$M:$M,0)+CC$8-1)),
""),
"")</f>
        <v>袁绍</v>
      </c>
      <c r="CD92" s="21" t="str">
        <f>IFERROR(
IF(COUNTIF($BI92:CC92,INDEX($J:$J,MATCH($AH92,$M:$M,0)+CD$8-1))=0,
IF(COUNTIF($M:$M,$AH92)&lt;CD$8,
"",
INDEX($J:$J,MATCH($AH92,$M:$M,0)+CD$8-1)),
""),
"")</f>
        <v/>
      </c>
      <c r="CE92" s="21" t="str">
        <f>IFERROR(
IF(COUNTIF($BI92:CD92,INDEX($J:$J,MATCH($AH92,$M:$M,0)+CE$8-1))=0,
IF(COUNTIF($M:$M,$AH92)&lt;CE$8,
"",
INDEX($J:$J,MATCH($AH92,$M:$M,0)+CE$8-1)),
""),
"")</f>
        <v/>
      </c>
      <c r="CF92" s="21" t="str">
        <f>IFERROR(
IF(COUNTIF($BI92:CE92,INDEX($J:$J,MATCH($AH92,$M:$M,0)+CF$8-1))=0,
IF(COUNTIF($M:$M,$AH92)&lt;CF$8,
"",
INDEX($J:$J,MATCH($AH92,$M:$M,0)+CF$8-1)),
""),
"")</f>
        <v/>
      </c>
      <c r="CH92" s="21" t="str">
        <f>IFERROR(
IF(COUNTIF($BI92:CG92,INDEX($J:$J,MATCH($AI92,$M:$M,0)+CH$8-1))=0,
IF(COUNTIF($M:$M,$AI92)&lt;CH$8,
"",
INDEX($J:$J,MATCH($AI92,$M:$M,0)+CH$8-1)),
""),
"")</f>
        <v>刘备</v>
      </c>
      <c r="CI92" s="21" t="str">
        <f>IFERROR(
IF(COUNTIF($BI92:CH92,INDEX($J:$J,MATCH($AI92,$M:$M,0)+CI$8-1))=0,
IF(COUNTIF($M:$M,$AI92)&lt;CI$8,
"",
INDEX($J:$J,MATCH($AI92,$M:$M,0)+CI$8-1)),
""),
"")</f>
        <v/>
      </c>
      <c r="CJ92" s="21" t="str">
        <f>IFERROR(
IF(COUNTIF($BI92:CI92,INDEX($J:$J,MATCH($AI92,$M:$M,0)+CJ$8-1))=0,
IF(COUNTIF($M:$M,$AI92)&lt;CJ$8,
"",
INDEX($J:$J,MATCH($AI92,$M:$M,0)+CJ$8-1)),
""),
"")</f>
        <v/>
      </c>
      <c r="CK92" s="21" t="str">
        <f>IFERROR(
IF(COUNTIF($BI92:CJ92,INDEX($J:$J,MATCH($AI92,$M:$M,0)+CK$8-1))=0,
IF(COUNTIF($M:$M,$AI92)&lt;CK$8,
"",
INDEX($J:$J,MATCH($AI92,$M:$M,0)+CK$8-1)),
""),
"")</f>
        <v/>
      </c>
      <c r="CM92" s="21" t="str">
        <f>IFERROR(
IF(COUNTIF($BI92:CL92,INDEX($J:$J,MATCH($AJ92,$M:$M,0)+CM$8-1))=0,
IF(COUNTIF($M:$M,$AJ92)&lt;CM$8,
"",
INDEX($J:$J,MATCH($AJ92,$M:$M,0)+CM$8-1)),
""),
"")</f>
        <v>孙权</v>
      </c>
      <c r="CN92" s="21" t="str">
        <f>IFERROR(
IF(COUNTIF($BI92:CM92,INDEX($J:$J,MATCH($AJ92,$M:$M,0)+CN$8-1))=0,
IF(COUNTIF($M:$M,$AJ92)&lt;CN$8,
"",
INDEX($J:$J,MATCH($AJ92,$M:$M,0)+CN$8-1)),
""),
"")</f>
        <v/>
      </c>
      <c r="CO92" s="21" t="str">
        <f>IFERROR(
IF(COUNTIF($BI92:CN92,INDEX($J:$J,MATCH($AJ92,$M:$M,0)+CO$8-1))=0,
IF(COUNTIF($M:$M,$AJ92)&lt;CO$8,
"",
INDEX($J:$J,MATCH($AJ92,$M:$M,0)+CO$8-1)),
""),
"")</f>
        <v/>
      </c>
      <c r="CP92" s="21" t="str">
        <f>IFERROR(
IF(COUNTIF($BI92:CO92,INDEX($J:$J,MATCH($AJ92,$M:$M,0)+CP$8-1))=0,
IF(COUNTIF($M:$M,$AJ92)&lt;CP$8,
"",
INDEX($J:$J,MATCH($AJ92,$M:$M,0)+CP$8-1)),
""),
"")</f>
        <v/>
      </c>
      <c r="CR92" s="21" t="str">
        <f>IFERROR(
IF(COUNTIF($BI92:CQ92,INDEX($J:$J,MATCH($AK92,$M:$M,0)+CR$8-1))=0,
IF(COUNTIF($M:$M,$AK92)&lt;CR$8,
"",
INDEX($J:$J,MATCH($AK92,$M:$M,0)+CR$8-1)),
""),
"")</f>
        <v>夏侯渊</v>
      </c>
      <c r="CS92" s="21" t="str">
        <f>IFERROR(
IF(COUNTIF($BI92:CR92,INDEX($J:$J,MATCH($AK92,$M:$M,0)+CS$8-1))=0,
IF(COUNTIF($M:$M,$AK92)&lt;CS$8,
"",
INDEX($J:$J,MATCH($AK92,$M:$M,0)+CS$8-1)),
""),
"")</f>
        <v/>
      </c>
      <c r="CT92" s="21" t="str">
        <f>IFERROR(
IF(COUNTIF($BI92:CS92,INDEX($J:$J,MATCH($AK92,$M:$M,0)+CT$8-1))=0,
IF(COUNTIF($M:$M,$AK92)&lt;CT$8,
"",
INDEX($J:$J,MATCH($AK92,$M:$M,0)+CT$8-1)),
""),
"")</f>
        <v/>
      </c>
      <c r="CU92" s="21" t="str">
        <f>IFERROR(
IF(COUNTIF($BI92:CT92,INDEX($J:$J,MATCH($AK92,$M:$M,0)+CU$8-1))=0,
IF(COUNTIF($M:$M,$AK92)&lt;CU$8,
"",
INDEX($J:$J,MATCH($AK92,$M:$M,0)+CU$8-1)),
""),
"")</f>
        <v/>
      </c>
    </row>
    <row r="93" spans="3:99" ht="14.25">
      <c r="C93" s="16">
        <v>85</v>
      </c>
      <c r="D93" s="19" t="s">
        <v>38</v>
      </c>
      <c r="E93" s="20">
        <f>INDEX([1]武将基本资料!$S:$S,MATCH(D93,[1]武将基本资料!$N:$N,0))</f>
        <v>130</v>
      </c>
      <c r="F93" s="20" t="str">
        <f>INDEX([1]武将基本资料!$Q:$Q,MATCH(D93,[1]武将基本资料!$N:$N,0))</f>
        <v>橙+</v>
      </c>
      <c r="H93" s="7" t="str">
        <f>IF(I93="","",COUNTA(I$9:$I93))</f>
        <v/>
      </c>
      <c r="I93" s="6" t="s">
        <v>188</v>
      </c>
      <c r="J93" s="6" t="s">
        <v>62</v>
      </c>
      <c r="K93" s="8" t="str">
        <f>IF(H93="","",阶段合并区域(J93:J103," ",L93:L103,1))</f>
        <v/>
      </c>
      <c r="L93" s="8">
        <f>COUNTIF(M$8:$M93,"="&amp;M93)</f>
        <v>2</v>
      </c>
      <c r="M93" s="9" t="str">
        <f t="shared" si="13"/>
        <v>有死无生</v>
      </c>
      <c r="N93" s="9" t="str">
        <f t="shared" si="14"/>
        <v>有死无生2</v>
      </c>
      <c r="O93" s="15">
        <f>INDEX(C:C,MATCH(J93,D:D,0))</f>
        <v>56</v>
      </c>
      <c r="P93" s="9">
        <f>INDEX(E:E,MATCH(J93,D:D,0))</f>
        <v>120</v>
      </c>
      <c r="Q93" s="7">
        <f t="shared" si="10"/>
        <v>56</v>
      </c>
      <c r="R93" s="7">
        <f>COUNTIF(J$8:$J93,"="&amp;J93)</f>
        <v>3</v>
      </c>
      <c r="S93" s="7">
        <f t="shared" si="11"/>
        <v>3056</v>
      </c>
      <c r="U93" s="7">
        <f t="shared" si="18"/>
        <v>1085</v>
      </c>
      <c r="V93" s="7">
        <f t="shared" si="18"/>
        <v>2085</v>
      </c>
      <c r="W93" s="7">
        <f t="shared" si="18"/>
        <v>3085</v>
      </c>
      <c r="X93" s="7">
        <f t="shared" si="18"/>
        <v>4085</v>
      </c>
      <c r="Y93" s="7">
        <f t="shared" si="18"/>
        <v>5085</v>
      </c>
      <c r="Z93" s="7">
        <f t="shared" si="18"/>
        <v>6085</v>
      </c>
      <c r="AA93" s="7">
        <f t="shared" si="18"/>
        <v>7085</v>
      </c>
      <c r="AB93" s="7">
        <f t="shared" si="18"/>
        <v>8085</v>
      </c>
      <c r="AD93" s="21" t="str">
        <f>IFERROR(INDEX($M:$M,MATCH(U93,$S:$S,0)),"&amp;")</f>
        <v>挂印封金</v>
      </c>
      <c r="AE93" s="21" t="str">
        <f>IFERROR(INDEX($M:$M,MATCH(V93,$S:$S,0)),"&amp;")</f>
        <v>春秋大义</v>
      </c>
      <c r="AF93" s="21" t="str">
        <f>IFERROR(INDEX($M:$M,MATCH(W93,$S:$S,0)),"&amp;")</f>
        <v>大意败亡</v>
      </c>
      <c r="AG93" s="21" t="str">
        <f>IFERROR(INDEX($M:$M,MATCH(X93,$S:$S,0)),"&amp;")</f>
        <v>挂印封金</v>
      </c>
      <c r="AH93" s="21" t="str">
        <f>IFERROR(INDEX($M:$M,MATCH(Y93,$S:$S,0)),"&amp;")</f>
        <v>袭取荆襄</v>
      </c>
      <c r="AI93" s="21" t="str">
        <f>IFERROR(INDEX($M:$M,MATCH(Z93,$S:$S,0)),"&amp;")</f>
        <v>生死相交</v>
      </c>
      <c r="AJ93" s="21" t="str">
        <f>IFERROR(INDEX($M:$M,MATCH(AA93,$S:$S,0)),"&amp;")</f>
        <v>义贯金石</v>
      </c>
      <c r="AK93" s="21" t="str">
        <f>IFERROR(INDEX($M:$M,MATCH(AB93,$S:$S,0)),"&amp;")</f>
        <v>季汉群英</v>
      </c>
      <c r="AM93" s="21" t="str">
        <f>IFERROR(INDEX($N:$N,MATCH(U93,$S:$S,0)),"&amp;")</f>
        <v>挂印封金2</v>
      </c>
      <c r="AN93" s="21" t="str">
        <f>IFERROR(INDEX($N:$N,MATCH(V93,$S:$S,0)),"&amp;")</f>
        <v>春秋大义1</v>
      </c>
      <c r="AO93" s="21" t="str">
        <f>IFERROR(INDEX($N:$N,MATCH(W93,$S:$S,0)),"&amp;")</f>
        <v>大意败亡1</v>
      </c>
      <c r="AP93" s="21" t="str">
        <f>IFERROR(INDEX($N:$N,MATCH(X93,$S:$S,0)),"&amp;")</f>
        <v>挂印封金3</v>
      </c>
      <c r="AQ93" s="21" t="str">
        <f>IFERROR(INDEX($N:$N,MATCH(Y93,$S:$S,0)),"&amp;")</f>
        <v>袭取荆襄2</v>
      </c>
      <c r="AR93" s="21" t="str">
        <f>IFERROR(INDEX($N:$N,MATCH(Z93,$S:$S,0)),"&amp;")</f>
        <v>生死相交2</v>
      </c>
      <c r="AS93" s="21" t="str">
        <f>IFERROR(INDEX($N:$N,MATCH(AA93,$S:$S,0)),"&amp;")</f>
        <v>义贯金石2</v>
      </c>
      <c r="AT93" s="21" t="str">
        <f>IFERROR(INDEX($N:$N,MATCH(AB93,$S:$S,0)),"&amp;")</f>
        <v>季汉群英2</v>
      </c>
      <c r="AV93" s="21" t="str">
        <f>IFERROR(SUBSTITUTE(INDEX($K:$K,MATCH(INDEX($M:$M,MATCH(AM93,$N:$N,0)),$M:$M,0)),$D93,""),"")</f>
        <v xml:space="preserve">曹操 </v>
      </c>
      <c r="AW93" s="21" t="str">
        <f>IFERROR(SUBSTITUTE(INDEX($K:$K,MATCH(INDEX($M:$M,MATCH(AN93,$N:$N,0)),$M:$M,0)),$D93,""),"")</f>
        <v xml:space="preserve"> 屈原 荆轲 廉颇</v>
      </c>
      <c r="AX93" s="21" t="str">
        <f>IFERROR(SUBSTITUTE(INDEX($K:$K,MATCH(INDEX($M:$M,MATCH(AO93,$N:$N,0)),$M:$M,0)),$D93,""),"")</f>
        <v xml:space="preserve"> 养由基  曹操</v>
      </c>
      <c r="AY93" s="21" t="str">
        <f>IFERROR(SUBSTITUTE(INDEX($K:$K,MATCH(INDEX($M:$M,MATCH(AP93,$N:$N,0)),$M:$M,0)),$D93,""),"")</f>
        <v xml:space="preserve">曹操 </v>
      </c>
      <c r="AZ93" s="21" t="str">
        <f>IFERROR(SUBSTITUTE(INDEX($K:$K,MATCH(INDEX($M:$M,MATCH(AQ93,$N:$N,0)),$M:$M,0)),$D93,""),"")</f>
        <v xml:space="preserve">陆逊 </v>
      </c>
      <c r="BA93" s="21" t="str">
        <f>IFERROR(SUBSTITUTE(INDEX($K:$K,MATCH(INDEX($M:$M,MATCH(AR93,$N:$N,0)),$M:$M,0)),$D93,""),"")</f>
        <v>刘备  赵云</v>
      </c>
      <c r="BB93" s="21" t="str">
        <f>IFERROR(SUBSTITUTE(INDEX($K:$K,MATCH(INDEX($M:$M,MATCH(AS93,$N:$N,0)),$M:$M,0)),$D93,""),"")</f>
        <v>赵云  荆轲</v>
      </c>
      <c r="BC93" s="21" t="str">
        <f>IFERROR(SUBSTITUTE(INDEX($K:$K,MATCH(INDEX($M:$M,MATCH(AT93,$N:$N,0)),$M:$M,0)),$D93,""),"")</f>
        <v>诸葛亮  赵云</v>
      </c>
      <c r="BE93" s="9" t="str">
        <f t="shared" si="16"/>
        <v>曹操,关羽,曹操,齐桓公,屈原,荆轲,廉颇,养由基,陆逊,刘备,赵云,诸葛亮</v>
      </c>
      <c r="BI93" s="9" t="str">
        <f>IFERROR(
IF(COUNTIF($M:$M,$AD93)&lt;BI$8,
"",
INDEX($J:$J,MATCH($AD93,$M:$M,0)+BI$8-1)),
"")</f>
        <v>曹操</v>
      </c>
      <c r="BJ93" s="9" t="str">
        <f>IFERROR(
IF(COUNTIF($M:$M,$AD93)&lt;BJ$8,
"",
INDEX($J:$J,MATCH($AD93,$M:$M,0)+BJ$8-1)),
"")</f>
        <v>关羽</v>
      </c>
      <c r="BK93" s="9" t="str">
        <f>IFERROR(
IF(COUNTIF($M:$M,$AD93)&lt;BK$8,
"",
INDEX($J:$J,MATCH($AD93,$M:$M,0)+BK$8-1)),
"")</f>
        <v>曹操</v>
      </c>
      <c r="BL93" s="9" t="str">
        <f>IFERROR(
IF(COUNTIF($M:$M,$AD93)&lt;BL$8,
"",
INDEX($J:$J,MATCH($AD93,$M:$M,0)+BL$8-1)),
"")</f>
        <v>齐桓公</v>
      </c>
      <c r="BN93" s="21" t="str">
        <f>IFERROR(
IF(COUNTIF($BI93:BM93,INDEX($J:$J,MATCH($AE93,$M:$M,0)+BN$8-1))=0,
IF(COUNTIF($M:$M,$AE93)&lt;BN$8,
"",
INDEX($J:$J,MATCH($AE93,$M:$M,0)+BN$8-1)),
""),
"")</f>
        <v/>
      </c>
      <c r="BO93" s="21" t="str">
        <f>IFERROR(
IF(COUNTIF($BI93:BN93,INDEX($J:$J,MATCH($AE93,$M:$M,0)+BO$8-1))=0,
IF(COUNTIF($M:$M,$AE93)&lt;BO$8,
"",
INDEX($J:$J,MATCH($AE93,$M:$M,0)+BO$8-1)),
""),
"")</f>
        <v>屈原</v>
      </c>
      <c r="BP93" s="21" t="str">
        <f>IFERROR(
IF(COUNTIF($BI93:BO93,INDEX($J:$J,MATCH($AE93,$M:$M,0)+BP$8-1))=0,
IF(COUNTIF($M:$M,$AE93)&lt;BP$8,
"",
INDEX($J:$J,MATCH($AE93,$M:$M,0)+BP$8-1)),
""),
"")</f>
        <v>荆轲</v>
      </c>
      <c r="BQ93" s="21" t="str">
        <f>IFERROR(
IF(COUNTIF($BI93:BP93,INDEX($J:$J,MATCH($AE93,$M:$M,0)+BQ$8-1))=0,
IF(COUNTIF($M:$M,$AE93)&lt;BQ$8,
"",
INDEX($J:$J,MATCH($AE93,$M:$M,0)+BQ$8-1)),
""),
"")</f>
        <v>廉颇</v>
      </c>
      <c r="BS93" s="21" t="str">
        <f>IFERROR(
IF(COUNTIF($BI93:BR93,INDEX($J:$J,MATCH($AF93,$M:$M,0)+BS$8-1))=0,
IF(COUNTIF($M:$M,$AF93)&lt;BS$8,
"",
INDEX($J:$J,MATCH($AF93,$M:$M,0)+BS$8-1)),
""),
"")</f>
        <v/>
      </c>
      <c r="BT93" s="21" t="str">
        <f>IFERROR(
IF(COUNTIF($BI93:BS93,INDEX($J:$J,MATCH($AF93,$M:$M,0)+BT$8-1))=0,
IF(COUNTIF($M:$M,$AF93)&lt;BT$8,
"",
INDEX($J:$J,MATCH($AF93,$M:$M,0)+BT$8-1)),
""),
"")</f>
        <v>养由基</v>
      </c>
      <c r="BU93" s="21" t="str">
        <f>IFERROR(
IF(COUNTIF($BI93:BT93,INDEX($J:$J,MATCH($AF93,$M:$M,0)+BU$8-1))=0,
IF(COUNTIF($M:$M,$AF93)&lt;BU$8,
"",
INDEX($J:$J,MATCH($AF93,$M:$M,0)+BU$8-1)),
""),
"")</f>
        <v/>
      </c>
      <c r="BV93" s="21" t="str">
        <f>IFERROR(
IF(COUNTIF($BI93:BU93,INDEX($J:$J,MATCH($AF93,$M:$M,0)+BV$8-1))=0,
IF(COUNTIF($M:$M,$AF93)&lt;BV$8,
"",
INDEX($J:$J,MATCH($AF93,$M:$M,0)+BV$8-1)),
""),
"")</f>
        <v/>
      </c>
      <c r="BX93" s="21" t="str">
        <f>IFERROR(
IF(COUNTIF($BI93:BW93,INDEX($J:$J,MATCH($AG93,$M:$M,0)+BX$8-1))=0,
IF(COUNTIF($M:$M,$AG93)&lt;BX$8,
"",
INDEX($J:$J,MATCH($AG93,$M:$M,0)+BX$8-1)),
""),
"")</f>
        <v/>
      </c>
      <c r="BY93" s="21" t="str">
        <f>IFERROR(
IF(COUNTIF($BI93:BX93,INDEX($J:$J,MATCH($AG93,$M:$M,0)+BY$8-1))=0,
IF(COUNTIF($M:$M,$AG93)&lt;BY$8,
"",
INDEX($J:$J,MATCH($AG93,$M:$M,0)+BY$8-1)),
""),
"")</f>
        <v/>
      </c>
      <c r="BZ93" s="21" t="str">
        <f>IFERROR(
IF(COUNTIF($BI93:BY93,INDEX($J:$J,MATCH($AG93,$M:$M,0)+BZ$8-1))=0,
IF(COUNTIF($M:$M,$AG93)&lt;BZ$8,
"",
INDEX($J:$J,MATCH($AG93,$M:$M,0)+BZ$8-1)),
""),
"")</f>
        <v/>
      </c>
      <c r="CA93" s="21" t="str">
        <f>IFERROR(
IF(COUNTIF($BI93:BZ93,INDEX($J:$J,MATCH($AG93,$M:$M,0)+CA$8-1))=0,
IF(COUNTIF($M:$M,$AG93)&lt;CA$8,
"",
INDEX($J:$J,MATCH($AG93,$M:$M,0)+CA$8-1)),
""),
"")</f>
        <v/>
      </c>
      <c r="CC93" s="21" t="str">
        <f>IFERROR(
IF(COUNTIF($BI93:CB93,INDEX($J:$J,MATCH($AH93,$M:$M,0)+CC$8-1))=0,
IF(COUNTIF($M:$M,$AH93)&lt;CC$8,
"",
INDEX($J:$J,MATCH($AH93,$M:$M,0)+CC$8-1)),
""),
"")</f>
        <v>陆逊</v>
      </c>
      <c r="CD93" s="21" t="str">
        <f>IFERROR(
IF(COUNTIF($BI93:CC93,INDEX($J:$J,MATCH($AH93,$M:$M,0)+CD$8-1))=0,
IF(COUNTIF($M:$M,$AH93)&lt;CD$8,
"",
INDEX($J:$J,MATCH($AH93,$M:$M,0)+CD$8-1)),
""),
"")</f>
        <v/>
      </c>
      <c r="CE93" s="21" t="str">
        <f>IFERROR(
IF(COUNTIF($BI93:CD93,INDEX($J:$J,MATCH($AH93,$M:$M,0)+CE$8-1))=0,
IF(COUNTIF($M:$M,$AH93)&lt;CE$8,
"",
INDEX($J:$J,MATCH($AH93,$M:$M,0)+CE$8-1)),
""),
"")</f>
        <v/>
      </c>
      <c r="CF93" s="21" t="str">
        <f>IFERROR(
IF(COUNTIF($BI93:CE93,INDEX($J:$J,MATCH($AH93,$M:$M,0)+CF$8-1))=0,
IF(COUNTIF($M:$M,$AH93)&lt;CF$8,
"",
INDEX($J:$J,MATCH($AH93,$M:$M,0)+CF$8-1)),
""),
"")</f>
        <v/>
      </c>
      <c r="CH93" s="21" t="str">
        <f>IFERROR(
IF(COUNTIF($BI93:CG93,INDEX($J:$J,MATCH($AI93,$M:$M,0)+CH$8-1))=0,
IF(COUNTIF($M:$M,$AI93)&lt;CH$8,
"",
INDEX($J:$J,MATCH($AI93,$M:$M,0)+CH$8-1)),
""),
"")</f>
        <v>刘备</v>
      </c>
      <c r="CI93" s="21" t="str">
        <f>IFERROR(
IF(COUNTIF($BI93:CH93,INDEX($J:$J,MATCH($AI93,$M:$M,0)+CI$8-1))=0,
IF(COUNTIF($M:$M,$AI93)&lt;CI$8,
"",
INDEX($J:$J,MATCH($AI93,$M:$M,0)+CI$8-1)),
""),
"")</f>
        <v/>
      </c>
      <c r="CJ93" s="21" t="str">
        <f>IFERROR(
IF(COUNTIF($BI93:CI93,INDEX($J:$J,MATCH($AI93,$M:$M,0)+CJ$8-1))=0,
IF(COUNTIF($M:$M,$AI93)&lt;CJ$8,
"",
INDEX($J:$J,MATCH($AI93,$M:$M,0)+CJ$8-1)),
""),
"")</f>
        <v>赵云</v>
      </c>
      <c r="CK93" s="21" t="str">
        <f>IFERROR(
IF(COUNTIF($BI93:CJ93,INDEX($J:$J,MATCH($AI93,$M:$M,0)+CK$8-1))=0,
IF(COUNTIF($M:$M,$AI93)&lt;CK$8,
"",
INDEX($J:$J,MATCH($AI93,$M:$M,0)+CK$8-1)),
""),
"")</f>
        <v/>
      </c>
      <c r="CM93" s="21" t="str">
        <f>IFERROR(
IF(COUNTIF($BI93:CL93,INDEX($J:$J,MATCH($AJ93,$M:$M,0)+CM$8-1))=0,
IF(COUNTIF($M:$M,$AJ93)&lt;CM$8,
"",
INDEX($J:$J,MATCH($AJ93,$M:$M,0)+CM$8-1)),
""),
"")</f>
        <v/>
      </c>
      <c r="CN93" s="21" t="str">
        <f>IFERROR(
IF(COUNTIF($BI93:CM93,INDEX($J:$J,MATCH($AJ93,$M:$M,0)+CN$8-1))=0,
IF(COUNTIF($M:$M,$AJ93)&lt;CN$8,
"",
INDEX($J:$J,MATCH($AJ93,$M:$M,0)+CN$8-1)),
""),
"")</f>
        <v/>
      </c>
      <c r="CO93" s="21" t="str">
        <f>IFERROR(
IF(COUNTIF($BI93:CN93,INDEX($J:$J,MATCH($AJ93,$M:$M,0)+CO$8-1))=0,
IF(COUNTIF($M:$M,$AJ93)&lt;CO$8,
"",
INDEX($J:$J,MATCH($AJ93,$M:$M,0)+CO$8-1)),
""),
"")</f>
        <v/>
      </c>
      <c r="CP93" s="21" t="str">
        <f>IFERROR(
IF(COUNTIF($BI93:CO93,INDEX($J:$J,MATCH($AJ93,$M:$M,0)+CP$8-1))=0,
IF(COUNTIF($M:$M,$AJ93)&lt;CP$8,
"",
INDEX($J:$J,MATCH($AJ93,$M:$M,0)+CP$8-1)),
""),
"")</f>
        <v/>
      </c>
      <c r="CR93" s="21" t="str">
        <f>IFERROR(
IF(COUNTIF($BI93:CQ93,INDEX($J:$J,MATCH($AK93,$M:$M,0)+CR$8-1))=0,
IF(COUNTIF($M:$M,$AK93)&lt;CR$8,
"",
INDEX($J:$J,MATCH($AK93,$M:$M,0)+CR$8-1)),
""),
"")</f>
        <v>诸葛亮</v>
      </c>
      <c r="CS93" s="21" t="str">
        <f>IFERROR(
IF(COUNTIF($BI93:CR93,INDEX($J:$J,MATCH($AK93,$M:$M,0)+CS$8-1))=0,
IF(COUNTIF($M:$M,$AK93)&lt;CS$8,
"",
INDEX($J:$J,MATCH($AK93,$M:$M,0)+CS$8-1)),
""),
"")</f>
        <v/>
      </c>
      <c r="CT93" s="21" t="str">
        <f>IFERROR(
IF(COUNTIF($BI93:CS93,INDEX($J:$J,MATCH($AK93,$M:$M,0)+CT$8-1))=0,
IF(COUNTIF($M:$M,$AK93)&lt;CT$8,
"",
INDEX($J:$J,MATCH($AK93,$M:$M,0)+CT$8-1)),
""),
"")</f>
        <v/>
      </c>
      <c r="CU93" s="21" t="str">
        <f>IFERROR(
IF(COUNTIF($BI93:CT93,INDEX($J:$J,MATCH($AK93,$M:$M,0)+CU$8-1))=0,
IF(COUNTIF($M:$M,$AK93)&lt;CU$8,
"",
INDEX($J:$J,MATCH($AK93,$M:$M,0)+CU$8-1)),
""),
"")</f>
        <v/>
      </c>
    </row>
    <row r="94" spans="3:99" ht="14.25">
      <c r="C94" s="16">
        <v>86</v>
      </c>
      <c r="D94" s="19" t="s">
        <v>460</v>
      </c>
      <c r="E94" s="20">
        <f>INDEX([1]武将基本资料!$S:$S,MATCH(D94,[1]武将基本资料!$N:$N,0))</f>
        <v>130</v>
      </c>
      <c r="F94" s="20" t="str">
        <f>INDEX([1]武将基本资料!$Q:$Q,MATCH(D94,[1]武将基本资料!$N:$N,0))</f>
        <v>橙+</v>
      </c>
      <c r="H94" s="7">
        <f>IF(I94="","",COUNTA(I$9:$I94))</f>
        <v>84</v>
      </c>
      <c r="I94" s="6" t="s">
        <v>180</v>
      </c>
      <c r="J94" s="6" t="s">
        <v>154</v>
      </c>
      <c r="K94" s="8" t="str">
        <f>IF(H94="","",阶段合并区域(J94:J104," ",L94:L104,1))</f>
        <v>秦开 勾践</v>
      </c>
      <c r="L94" s="8">
        <f>COUNTIF(M$8:$M94,"="&amp;M94)</f>
        <v>1</v>
      </c>
      <c r="M94" s="9" t="str">
        <f t="shared" si="13"/>
        <v>乘胜追击</v>
      </c>
      <c r="N94" s="9" t="str">
        <f t="shared" si="14"/>
        <v>乘胜追击1</v>
      </c>
      <c r="O94" s="15">
        <f>INDEX(C:C,MATCH(J94,D:D,0))</f>
        <v>58</v>
      </c>
      <c r="P94" s="9">
        <f>INDEX(E:E,MATCH(J94,D:D,0))</f>
        <v>110</v>
      </c>
      <c r="Q94" s="7">
        <f t="shared" si="10"/>
        <v>58</v>
      </c>
      <c r="R94" s="7">
        <f>COUNTIF(J$8:$J94,"="&amp;J94)</f>
        <v>2</v>
      </c>
      <c r="S94" s="7">
        <f t="shared" si="11"/>
        <v>2058</v>
      </c>
      <c r="U94" s="7">
        <f t="shared" si="18"/>
        <v>1086</v>
      </c>
      <c r="V94" s="7">
        <f t="shared" si="18"/>
        <v>2086</v>
      </c>
      <c r="W94" s="7">
        <f t="shared" si="18"/>
        <v>3086</v>
      </c>
      <c r="X94" s="7">
        <f t="shared" si="18"/>
        <v>4086</v>
      </c>
      <c r="Y94" s="7">
        <f t="shared" si="18"/>
        <v>5086</v>
      </c>
      <c r="Z94" s="7">
        <f t="shared" si="18"/>
        <v>6086</v>
      </c>
      <c r="AA94" s="7">
        <f t="shared" si="18"/>
        <v>7086</v>
      </c>
      <c r="AB94" s="7">
        <f t="shared" si="18"/>
        <v>8086</v>
      </c>
      <c r="AD94" s="21" t="str">
        <f>IFERROR(INDEX($M:$M,MATCH(U94,$S:$S,0)),"&amp;")</f>
        <v>胁上作乱</v>
      </c>
      <c r="AE94" s="21" t="str">
        <f>IFERROR(INDEX($M:$M,MATCH(V94,$S:$S,0)),"&amp;")</f>
        <v>起兵边蛮</v>
      </c>
      <c r="AF94" s="21" t="str">
        <f>IFERROR(INDEX($M:$M,MATCH(W94,$S:$S,0)),"&amp;")</f>
        <v>手段残暴</v>
      </c>
      <c r="AG94" s="21" t="str">
        <f>IFERROR(INDEX($M:$M,MATCH(X94,$S:$S,0)),"&amp;")</f>
        <v>连环计</v>
      </c>
      <c r="AH94" s="21" t="str">
        <f>IFERROR(INDEX($M:$M,MATCH(Y94,$S:$S,0)),"&amp;")</f>
        <v>会盟讨董</v>
      </c>
      <c r="AI94" s="21" t="str">
        <f>IFERROR(INDEX($M:$M,MATCH(Z94,$S:$S,0)),"&amp;")</f>
        <v>挟制天子</v>
      </c>
      <c r="AJ94" s="21" t="str">
        <f>IFERROR(INDEX($M:$M,MATCH(AA94,$S:$S,0)),"&amp;")</f>
        <v>&amp;</v>
      </c>
      <c r="AK94" s="21" t="str">
        <f>IFERROR(INDEX($M:$M,MATCH(AB94,$S:$S,0)),"&amp;")</f>
        <v>&amp;</v>
      </c>
      <c r="AM94" s="21" t="str">
        <f>IFERROR(INDEX($N:$N,MATCH(U94,$S:$S,0)),"&amp;")</f>
        <v>胁上作乱1</v>
      </c>
      <c r="AN94" s="21" t="str">
        <f>IFERROR(INDEX($N:$N,MATCH(V94,$S:$S,0)),"&amp;")</f>
        <v>起兵边蛮1</v>
      </c>
      <c r="AO94" s="21" t="str">
        <f>IFERROR(INDEX($N:$N,MATCH(W94,$S:$S,0)),"&amp;")</f>
        <v>手段残暴1</v>
      </c>
      <c r="AP94" s="21" t="str">
        <f>IFERROR(INDEX($N:$N,MATCH(X94,$S:$S,0)),"&amp;")</f>
        <v>连环计2</v>
      </c>
      <c r="AQ94" s="21" t="str">
        <f>IFERROR(INDEX($N:$N,MATCH(Y94,$S:$S,0)),"&amp;")</f>
        <v>会盟讨董2</v>
      </c>
      <c r="AR94" s="21" t="str">
        <f>IFERROR(INDEX($N:$N,MATCH(Z94,$S:$S,0)),"&amp;")</f>
        <v>挟制天子2</v>
      </c>
      <c r="AS94" s="21" t="str">
        <f>IFERROR(INDEX($N:$N,MATCH(AA94,$S:$S,0)),"&amp;")</f>
        <v>&amp;</v>
      </c>
      <c r="AT94" s="21" t="str">
        <f>IFERROR(INDEX($N:$N,MATCH(AB94,$S:$S,0)),"&amp;")</f>
        <v>&amp;</v>
      </c>
      <c r="AV94" s="21" t="str">
        <f>IFERROR(SUBSTITUTE(INDEX($K:$K,MATCH(INDEX($M:$M,MATCH(AM94,$N:$N,0)),$M:$M,0)),$D94,""),"")</f>
        <v xml:space="preserve"> 吕不韦</v>
      </c>
      <c r="AW94" s="21" t="str">
        <f>IFERROR(SUBSTITUTE(INDEX($K:$K,MATCH(INDEX($M:$M,MATCH(AN94,$N:$N,0)),$M:$M,0)),$D94,""),"")</f>
        <v xml:space="preserve"> 义渠骇</v>
      </c>
      <c r="AX94" s="21" t="str">
        <f>IFERROR(SUBSTITUTE(INDEX($K:$K,MATCH(INDEX($M:$M,MATCH(AO94,$N:$N,0)),$M:$M,0)),$D94,""),"")</f>
        <v xml:space="preserve"> 伍子胥</v>
      </c>
      <c r="AY94" s="21" t="str">
        <f>IFERROR(SUBSTITUTE(INDEX($K:$K,MATCH(INDEX($M:$M,MATCH(AP94,$N:$N,0)),$M:$M,0)),$D94,""),"")</f>
        <v xml:space="preserve">貂蝉 </v>
      </c>
      <c r="AZ94" s="21" t="str">
        <f>IFERROR(SUBSTITUTE(INDEX($K:$K,MATCH(INDEX($M:$M,MATCH(AQ94,$N:$N,0)),$M:$M,0)),$D94,""),"")</f>
        <v xml:space="preserve">袁绍 </v>
      </c>
      <c r="BA94" s="21" t="str">
        <f>IFERROR(SUBSTITUTE(INDEX($K:$K,MATCH(INDEX($M:$M,MATCH(AR94,$N:$N,0)),$M:$M,0)),$D94,""),"")</f>
        <v/>
      </c>
      <c r="BB94" s="21" t="str">
        <f>IFERROR(SUBSTITUTE(INDEX($K:$K,MATCH(INDEX($M:$M,MATCH(AS94,$N:$N,0)),$M:$M,0)),$D94,""),"")</f>
        <v/>
      </c>
      <c r="BC94" s="21" t="str">
        <f>IFERROR(SUBSTITUTE(INDEX($K:$K,MATCH(INDEX($M:$M,MATCH(AT94,$N:$N,0)),$M:$M,0)),$D94,""),"")</f>
        <v/>
      </c>
      <c r="BE94" s="9" t="str">
        <f t="shared" si="16"/>
        <v>董卓,吕不韦,义渠骇,伍子胥,貂蝉,袁绍,司马懿</v>
      </c>
      <c r="BI94" s="9" t="str">
        <f>IFERROR(
IF(COUNTIF($M:$M,$AD94)&lt;BI$8,
"",
INDEX($J:$J,MATCH($AD94,$M:$M,0)+BI$8-1)),
"")</f>
        <v>董卓</v>
      </c>
      <c r="BJ94" s="9" t="str">
        <f>IFERROR(
IF(COUNTIF($M:$M,$AD94)&lt;BJ$8,
"",
INDEX($J:$J,MATCH($AD94,$M:$M,0)+BJ$8-1)),
"")</f>
        <v>吕不韦</v>
      </c>
      <c r="BK94" s="9" t="str">
        <f>IFERROR(
IF(COUNTIF($M:$M,$AD94)&lt;BK$8,
"",
INDEX($J:$J,MATCH($AD94,$M:$M,0)+BK$8-1)),
"")</f>
        <v/>
      </c>
      <c r="BL94" s="9" t="str">
        <f>IFERROR(
IF(COUNTIF($M:$M,$AD94)&lt;BL$8,
"",
INDEX($J:$J,MATCH($AD94,$M:$M,0)+BL$8-1)),
"")</f>
        <v/>
      </c>
      <c r="BN94" s="21" t="str">
        <f>IFERROR(
IF(COUNTIF($BI94:BM94,INDEX($J:$J,MATCH($AE94,$M:$M,0)+BN$8-1))=0,
IF(COUNTIF($M:$M,$AE94)&lt;BN$8,
"",
INDEX($J:$J,MATCH($AE94,$M:$M,0)+BN$8-1)),
""),
"")</f>
        <v/>
      </c>
      <c r="BO94" s="21" t="str">
        <f>IFERROR(
IF(COUNTIF($BI94:BN94,INDEX($J:$J,MATCH($AE94,$M:$M,0)+BO$8-1))=0,
IF(COUNTIF($M:$M,$AE94)&lt;BO$8,
"",
INDEX($J:$J,MATCH($AE94,$M:$M,0)+BO$8-1)),
""),
"")</f>
        <v>义渠骇</v>
      </c>
      <c r="BP94" s="21" t="str">
        <f>IFERROR(
IF(COUNTIF($BI94:BO94,INDEX($J:$J,MATCH($AE94,$M:$M,0)+BP$8-1))=0,
IF(COUNTIF($M:$M,$AE94)&lt;BP$8,
"",
INDEX($J:$J,MATCH($AE94,$M:$M,0)+BP$8-1)),
""),
"")</f>
        <v/>
      </c>
      <c r="BQ94" s="21" t="str">
        <f>IFERROR(
IF(COUNTIF($BI94:BP94,INDEX($J:$J,MATCH($AE94,$M:$M,0)+BQ$8-1))=0,
IF(COUNTIF($M:$M,$AE94)&lt;BQ$8,
"",
INDEX($J:$J,MATCH($AE94,$M:$M,0)+BQ$8-1)),
""),
"")</f>
        <v/>
      </c>
      <c r="BS94" s="21" t="str">
        <f>IFERROR(
IF(COUNTIF($BI94:BR94,INDEX($J:$J,MATCH($AF94,$M:$M,0)+BS$8-1))=0,
IF(COUNTIF($M:$M,$AF94)&lt;BS$8,
"",
INDEX($J:$J,MATCH($AF94,$M:$M,0)+BS$8-1)),
""),
"")</f>
        <v/>
      </c>
      <c r="BT94" s="21" t="str">
        <f>IFERROR(
IF(COUNTIF($BI94:BS94,INDEX($J:$J,MATCH($AF94,$M:$M,0)+BT$8-1))=0,
IF(COUNTIF($M:$M,$AF94)&lt;BT$8,
"",
INDEX($J:$J,MATCH($AF94,$M:$M,0)+BT$8-1)),
""),
"")</f>
        <v>伍子胥</v>
      </c>
      <c r="BU94" s="21" t="str">
        <f>IFERROR(
IF(COUNTIF($BI94:BT94,INDEX($J:$J,MATCH($AF94,$M:$M,0)+BU$8-1))=0,
IF(COUNTIF($M:$M,$AF94)&lt;BU$8,
"",
INDEX($J:$J,MATCH($AF94,$M:$M,0)+BU$8-1)),
""),
"")</f>
        <v/>
      </c>
      <c r="BV94" s="21" t="str">
        <f>IFERROR(
IF(COUNTIF($BI94:BU94,INDEX($J:$J,MATCH($AF94,$M:$M,0)+BV$8-1))=0,
IF(COUNTIF($M:$M,$AF94)&lt;BV$8,
"",
INDEX($J:$J,MATCH($AF94,$M:$M,0)+BV$8-1)),
""),
"")</f>
        <v/>
      </c>
      <c r="BX94" s="21" t="str">
        <f>IFERROR(
IF(COUNTIF($BI94:BW94,INDEX($J:$J,MATCH($AG94,$M:$M,0)+BX$8-1))=0,
IF(COUNTIF($M:$M,$AG94)&lt;BX$8,
"",
INDEX($J:$J,MATCH($AG94,$M:$M,0)+BX$8-1)),
""),
"")</f>
        <v>貂蝉</v>
      </c>
      <c r="BY94" s="21" t="str">
        <f>IFERROR(
IF(COUNTIF($BI94:BX94,INDEX($J:$J,MATCH($AG94,$M:$M,0)+BY$8-1))=0,
IF(COUNTIF($M:$M,$AG94)&lt;BY$8,
"",
INDEX($J:$J,MATCH($AG94,$M:$M,0)+BY$8-1)),
""),
"")</f>
        <v/>
      </c>
      <c r="BZ94" s="21" t="str">
        <f>IFERROR(
IF(COUNTIF($BI94:BY94,INDEX($J:$J,MATCH($AG94,$M:$M,0)+BZ$8-1))=0,
IF(COUNTIF($M:$M,$AG94)&lt;BZ$8,
"",
INDEX($J:$J,MATCH($AG94,$M:$M,0)+BZ$8-1)),
""),
"")</f>
        <v/>
      </c>
      <c r="CA94" s="21" t="str">
        <f>IFERROR(
IF(COUNTIF($BI94:BZ94,INDEX($J:$J,MATCH($AG94,$M:$M,0)+CA$8-1))=0,
IF(COUNTIF($M:$M,$AG94)&lt;CA$8,
"",
INDEX($J:$J,MATCH($AG94,$M:$M,0)+CA$8-1)),
""),
"")</f>
        <v/>
      </c>
      <c r="CC94" s="21" t="str">
        <f>IFERROR(
IF(COUNTIF($BI94:CB94,INDEX($J:$J,MATCH($AH94,$M:$M,0)+CC$8-1))=0,
IF(COUNTIF($M:$M,$AH94)&lt;CC$8,
"",
INDEX($J:$J,MATCH($AH94,$M:$M,0)+CC$8-1)),
""),
"")</f>
        <v>袁绍</v>
      </c>
      <c r="CD94" s="21" t="str">
        <f>IFERROR(
IF(COUNTIF($BI94:CC94,INDEX($J:$J,MATCH($AH94,$M:$M,0)+CD$8-1))=0,
IF(COUNTIF($M:$M,$AH94)&lt;CD$8,
"",
INDEX($J:$J,MATCH($AH94,$M:$M,0)+CD$8-1)),
""),
"")</f>
        <v/>
      </c>
      <c r="CE94" s="21" t="str">
        <f>IFERROR(
IF(COUNTIF($BI94:CD94,INDEX($J:$J,MATCH($AH94,$M:$M,0)+CE$8-1))=0,
IF(COUNTIF($M:$M,$AH94)&lt;CE$8,
"",
INDEX($J:$J,MATCH($AH94,$M:$M,0)+CE$8-1)),
""),
"")</f>
        <v/>
      </c>
      <c r="CF94" s="21" t="str">
        <f>IFERROR(
IF(COUNTIF($BI94:CE94,INDEX($J:$J,MATCH($AH94,$M:$M,0)+CF$8-1))=0,
IF(COUNTIF($M:$M,$AH94)&lt;CF$8,
"",
INDEX($J:$J,MATCH($AH94,$M:$M,0)+CF$8-1)),
""),
"")</f>
        <v/>
      </c>
      <c r="CH94" s="21" t="str">
        <f>IFERROR(
IF(COUNTIF($BI94:CG94,INDEX($J:$J,MATCH($AI94,$M:$M,0)+CH$8-1))=0,
IF(COUNTIF($M:$M,$AI94)&lt;CH$8,
"",
INDEX($J:$J,MATCH($AI94,$M:$M,0)+CH$8-1)),
""),
"")</f>
        <v>司马懿</v>
      </c>
      <c r="CI94" s="21" t="str">
        <f>IFERROR(
IF(COUNTIF($BI94:CH94,INDEX($J:$J,MATCH($AI94,$M:$M,0)+CI$8-1))=0,
IF(COUNTIF($M:$M,$AI94)&lt;CI$8,
"",
INDEX($J:$J,MATCH($AI94,$M:$M,0)+CI$8-1)),
""),
"")</f>
        <v/>
      </c>
      <c r="CJ94" s="21" t="str">
        <f>IFERROR(
IF(COUNTIF($BI94:CI94,INDEX($J:$J,MATCH($AI94,$M:$M,0)+CJ$8-1))=0,
IF(COUNTIF($M:$M,$AI94)&lt;CJ$8,
"",
INDEX($J:$J,MATCH($AI94,$M:$M,0)+CJ$8-1)),
""),
"")</f>
        <v/>
      </c>
      <c r="CK94" s="21" t="str">
        <f>IFERROR(
IF(COUNTIF($BI94:CJ94,INDEX($J:$J,MATCH($AI94,$M:$M,0)+CK$8-1))=0,
IF(COUNTIF($M:$M,$AI94)&lt;CK$8,
"",
INDEX($J:$J,MATCH($AI94,$M:$M,0)+CK$8-1)),
""),
"")</f>
        <v/>
      </c>
      <c r="CM94" s="21" t="str">
        <f>IFERROR(
IF(COUNTIF($BI94:CL94,INDEX($J:$J,MATCH($AJ94,$M:$M,0)+CM$8-1))=0,
IF(COUNTIF($M:$M,$AJ94)&lt;CM$8,
"",
INDEX($J:$J,MATCH($AJ94,$M:$M,0)+CM$8-1)),
""),
"")</f>
        <v/>
      </c>
      <c r="CN94" s="21" t="str">
        <f>IFERROR(
IF(COUNTIF($BI94:CM94,INDEX($J:$J,MATCH($AJ94,$M:$M,0)+CN$8-1))=0,
IF(COUNTIF($M:$M,$AJ94)&lt;CN$8,
"",
INDEX($J:$J,MATCH($AJ94,$M:$M,0)+CN$8-1)),
""),
"")</f>
        <v/>
      </c>
      <c r="CO94" s="21" t="str">
        <f>IFERROR(
IF(COUNTIF($BI94:CN94,INDEX($J:$J,MATCH($AJ94,$M:$M,0)+CO$8-1))=0,
IF(COUNTIF($M:$M,$AJ94)&lt;CO$8,
"",
INDEX($J:$J,MATCH($AJ94,$M:$M,0)+CO$8-1)),
""),
"")</f>
        <v/>
      </c>
      <c r="CP94" s="21" t="str">
        <f>IFERROR(
IF(COUNTIF($BI94:CO94,INDEX($J:$J,MATCH($AJ94,$M:$M,0)+CP$8-1))=0,
IF(COUNTIF($M:$M,$AJ94)&lt;CP$8,
"",
INDEX($J:$J,MATCH($AJ94,$M:$M,0)+CP$8-1)),
""),
"")</f>
        <v/>
      </c>
      <c r="CR94" s="21" t="str">
        <f>IFERROR(
IF(COUNTIF($BI94:CQ94,INDEX($J:$J,MATCH($AK94,$M:$M,0)+CR$8-1))=0,
IF(COUNTIF($M:$M,$AK94)&lt;CR$8,
"",
INDEX($J:$J,MATCH($AK94,$M:$M,0)+CR$8-1)),
""),
"")</f>
        <v/>
      </c>
      <c r="CS94" s="21" t="str">
        <f>IFERROR(
IF(COUNTIF($BI94:CR94,INDEX($J:$J,MATCH($AK94,$M:$M,0)+CS$8-1))=0,
IF(COUNTIF($M:$M,$AK94)&lt;CS$8,
"",
INDEX($J:$J,MATCH($AK94,$M:$M,0)+CS$8-1)),
""),
"")</f>
        <v/>
      </c>
      <c r="CT94" s="21" t="str">
        <f>IFERROR(
IF(COUNTIF($BI94:CS94,INDEX($J:$J,MATCH($AK94,$M:$M,0)+CT$8-1))=0,
IF(COUNTIF($M:$M,$AK94)&lt;CT$8,
"",
INDEX($J:$J,MATCH($AK94,$M:$M,0)+CT$8-1)),
""),
"")</f>
        <v/>
      </c>
      <c r="CU94" s="21" t="str">
        <f>IFERROR(
IF(COUNTIF($BI94:CT94,INDEX($J:$J,MATCH($AK94,$M:$M,0)+CU$8-1))=0,
IF(COUNTIF($M:$M,$AK94)&lt;CU$8,
"",
INDEX($J:$J,MATCH($AK94,$M:$M,0)+CU$8-1)),
""),
"")</f>
        <v/>
      </c>
    </row>
    <row r="95" spans="3:99" ht="14.25">
      <c r="C95" s="16">
        <v>87</v>
      </c>
      <c r="D95" s="19" t="s">
        <v>468</v>
      </c>
      <c r="E95" s="20">
        <f>INDEX([1]武将基本资料!$S:$S,MATCH(D95,[1]武将基本资料!$N:$N,0))</f>
        <v>130</v>
      </c>
      <c r="F95" s="20" t="str">
        <f>INDEX([1]武将基本资料!$Q:$Q,MATCH(D95,[1]武将基本资料!$N:$N,0))</f>
        <v>橙+</v>
      </c>
      <c r="H95" s="7" t="str">
        <f>IF(I95="","",COUNTA(I$9:$I95))</f>
        <v/>
      </c>
      <c r="I95" s="6" t="s">
        <v>188</v>
      </c>
      <c r="J95" s="6" t="s">
        <v>85</v>
      </c>
      <c r="K95" s="8" t="str">
        <f>IF(H95="","",阶段合并区域(J95:J105," ",L95:L105,1))</f>
        <v/>
      </c>
      <c r="L95" s="8">
        <f>COUNTIF(M$8:$M95,"="&amp;M95)</f>
        <v>2</v>
      </c>
      <c r="M95" s="9" t="str">
        <f t="shared" si="13"/>
        <v>乘胜追击</v>
      </c>
      <c r="N95" s="9" t="str">
        <f t="shared" si="14"/>
        <v>乘胜追击2</v>
      </c>
      <c r="O95" s="15">
        <f>INDEX(C:C,MATCH(J95,D:D,0))</f>
        <v>64</v>
      </c>
      <c r="P95" s="9">
        <f>INDEX(E:E,MATCH(J95,D:D,0))</f>
        <v>120</v>
      </c>
      <c r="Q95" s="7">
        <f t="shared" si="10"/>
        <v>64</v>
      </c>
      <c r="R95" s="7">
        <f>COUNTIF(J$8:$J95,"="&amp;J95)</f>
        <v>3</v>
      </c>
      <c r="S95" s="7">
        <f t="shared" si="11"/>
        <v>3064</v>
      </c>
      <c r="U95" s="7">
        <f t="shared" si="18"/>
        <v>1087</v>
      </c>
      <c r="V95" s="7">
        <f t="shared" si="18"/>
        <v>2087</v>
      </c>
      <c r="W95" s="7">
        <f t="shared" si="18"/>
        <v>3087</v>
      </c>
      <c r="X95" s="7">
        <f t="shared" si="18"/>
        <v>4087</v>
      </c>
      <c r="Y95" s="7">
        <f t="shared" si="18"/>
        <v>5087</v>
      </c>
      <c r="Z95" s="7">
        <f t="shared" si="18"/>
        <v>6087</v>
      </c>
      <c r="AA95" s="7">
        <f t="shared" si="18"/>
        <v>7087</v>
      </c>
      <c r="AB95" s="7">
        <f t="shared" si="18"/>
        <v>8087</v>
      </c>
      <c r="AD95" s="21" t="str">
        <f>IFERROR(INDEX($M:$M,MATCH(U95,$S:$S,0)),"&amp;")</f>
        <v>连环计</v>
      </c>
      <c r="AE95" s="21" t="str">
        <f>IFERROR(INDEX($M:$M,MATCH(V95,$S:$S,0)),"&amp;")</f>
        <v>沉鱼落雁</v>
      </c>
      <c r="AF95" s="21" t="str">
        <f>IFERROR(INDEX($M:$M,MATCH(W95,$S:$S,0)),"&amp;")</f>
        <v>巾帼义女</v>
      </c>
      <c r="AG95" s="21" t="str">
        <f>IFERROR(INDEX($M:$M,MATCH(X95,$S:$S,0)),"&amp;")</f>
        <v>&amp;</v>
      </c>
      <c r="AH95" s="21" t="str">
        <f>IFERROR(INDEX($M:$M,MATCH(Y95,$S:$S,0)),"&amp;")</f>
        <v>&amp;</v>
      </c>
      <c r="AI95" s="21" t="str">
        <f>IFERROR(INDEX($M:$M,MATCH(Z95,$S:$S,0)),"&amp;")</f>
        <v>&amp;</v>
      </c>
      <c r="AJ95" s="21" t="str">
        <f>IFERROR(INDEX($M:$M,MATCH(AA95,$S:$S,0)),"&amp;")</f>
        <v>&amp;</v>
      </c>
      <c r="AK95" s="21" t="str">
        <f>IFERROR(INDEX($M:$M,MATCH(AB95,$S:$S,0)),"&amp;")</f>
        <v>&amp;</v>
      </c>
      <c r="AM95" s="21" t="str">
        <f>IFERROR(INDEX($N:$N,MATCH(U95,$S:$S,0)),"&amp;")</f>
        <v>连环计1</v>
      </c>
      <c r="AN95" s="21" t="str">
        <f>IFERROR(INDEX($N:$N,MATCH(V95,$S:$S,0)),"&amp;")</f>
        <v>沉鱼落雁1</v>
      </c>
      <c r="AO95" s="21" t="str">
        <f>IFERROR(INDEX($N:$N,MATCH(W95,$S:$S,0)),"&amp;")</f>
        <v>巾帼义女1</v>
      </c>
      <c r="AP95" s="21" t="str">
        <f>IFERROR(INDEX($N:$N,MATCH(X95,$S:$S,0)),"&amp;")</f>
        <v>&amp;</v>
      </c>
      <c r="AQ95" s="21" t="str">
        <f>IFERROR(INDEX($N:$N,MATCH(Y95,$S:$S,0)),"&amp;")</f>
        <v>&amp;</v>
      </c>
      <c r="AR95" s="21" t="str">
        <f>IFERROR(INDEX($N:$N,MATCH(Z95,$S:$S,0)),"&amp;")</f>
        <v>&amp;</v>
      </c>
      <c r="AS95" s="21" t="str">
        <f>IFERROR(INDEX($N:$N,MATCH(AA95,$S:$S,0)),"&amp;")</f>
        <v>&amp;</v>
      </c>
      <c r="AT95" s="21" t="str">
        <f>IFERROR(INDEX($N:$N,MATCH(AB95,$S:$S,0)),"&amp;")</f>
        <v>&amp;</v>
      </c>
      <c r="AV95" s="21" t="str">
        <f>IFERROR(SUBSTITUTE(INDEX($K:$K,MATCH(INDEX($M:$M,MATCH(AM95,$N:$N,0)),$M:$M,0)),$D95,""),"")</f>
        <v xml:space="preserve"> 董卓</v>
      </c>
      <c r="AW95" s="21" t="str">
        <f>IFERROR(SUBSTITUTE(INDEX($K:$K,MATCH(INDEX($M:$M,MATCH(AN95,$N:$N,0)),$M:$M,0)),$D95,""),"")</f>
        <v xml:space="preserve"> 西施</v>
      </c>
      <c r="AX95" s="21" t="str">
        <f>IFERROR(SUBSTITUTE(INDEX($K:$K,MATCH(INDEX($M:$M,MATCH(AO95,$N:$N,0)),$M:$M,0)),$D95,""),"")</f>
        <v xml:space="preserve"> 越女 虞姬</v>
      </c>
      <c r="AY95" s="21" t="str">
        <f>IFERROR(SUBSTITUTE(INDEX($K:$K,MATCH(INDEX($M:$M,MATCH(AP95,$N:$N,0)),$M:$M,0)),$D95,""),"")</f>
        <v/>
      </c>
      <c r="AZ95" s="21" t="str">
        <f>IFERROR(SUBSTITUTE(INDEX($K:$K,MATCH(INDEX($M:$M,MATCH(AQ95,$N:$N,0)),$M:$M,0)),$D95,""),"")</f>
        <v/>
      </c>
      <c r="BA95" s="21" t="str">
        <f>IFERROR(SUBSTITUTE(INDEX($K:$K,MATCH(INDEX($M:$M,MATCH(AR95,$N:$N,0)),$M:$M,0)),$D95,""),"")</f>
        <v/>
      </c>
      <c r="BB95" s="21" t="str">
        <f>IFERROR(SUBSTITUTE(INDEX($K:$K,MATCH(INDEX($M:$M,MATCH(AS95,$N:$N,0)),$M:$M,0)),$D95,""),"")</f>
        <v/>
      </c>
      <c r="BC95" s="21" t="str">
        <f>IFERROR(SUBSTITUTE(INDEX($K:$K,MATCH(INDEX($M:$M,MATCH(AT95,$N:$N,0)),$M:$M,0)),$D95,""),"")</f>
        <v/>
      </c>
      <c r="BE95" s="9" t="str">
        <f t="shared" si="16"/>
        <v>貂蝉,董卓,西施,越女,虞姬</v>
      </c>
      <c r="BI95" s="9" t="str">
        <f>IFERROR(
IF(COUNTIF($M:$M,$AD95)&lt;BI$8,
"",
INDEX($J:$J,MATCH($AD95,$M:$M,0)+BI$8-1)),
"")</f>
        <v>貂蝉</v>
      </c>
      <c r="BJ95" s="9" t="str">
        <f>IFERROR(
IF(COUNTIF($M:$M,$AD95)&lt;BJ$8,
"",
INDEX($J:$J,MATCH($AD95,$M:$M,0)+BJ$8-1)),
"")</f>
        <v>董卓</v>
      </c>
      <c r="BK95" s="9" t="str">
        <f>IFERROR(
IF(COUNTIF($M:$M,$AD95)&lt;BK$8,
"",
INDEX($J:$J,MATCH($AD95,$M:$M,0)+BK$8-1)),
"")</f>
        <v/>
      </c>
      <c r="BL95" s="9" t="str">
        <f>IFERROR(
IF(COUNTIF($M:$M,$AD95)&lt;BL$8,
"",
INDEX($J:$J,MATCH($AD95,$M:$M,0)+BL$8-1)),
"")</f>
        <v/>
      </c>
      <c r="BN95" s="21" t="str">
        <f>IFERROR(
IF(COUNTIF($BI95:BM95,INDEX($J:$J,MATCH($AE95,$M:$M,0)+BN$8-1))=0,
IF(COUNTIF($M:$M,$AE95)&lt;BN$8,
"",
INDEX($J:$J,MATCH($AE95,$M:$M,0)+BN$8-1)),
""),
"")</f>
        <v/>
      </c>
      <c r="BO95" s="21" t="str">
        <f>IFERROR(
IF(COUNTIF($BI95:BN95,INDEX($J:$J,MATCH($AE95,$M:$M,0)+BO$8-1))=0,
IF(COUNTIF($M:$M,$AE95)&lt;BO$8,
"",
INDEX($J:$J,MATCH($AE95,$M:$M,0)+BO$8-1)),
""),
"")</f>
        <v>西施</v>
      </c>
      <c r="BP95" s="21" t="str">
        <f>IFERROR(
IF(COUNTIF($BI95:BO95,INDEX($J:$J,MATCH($AE95,$M:$M,0)+BP$8-1))=0,
IF(COUNTIF($M:$M,$AE95)&lt;BP$8,
"",
INDEX($J:$J,MATCH($AE95,$M:$M,0)+BP$8-1)),
""),
"")</f>
        <v/>
      </c>
      <c r="BQ95" s="21" t="str">
        <f>IFERROR(
IF(COUNTIF($BI95:BP95,INDEX($J:$J,MATCH($AE95,$M:$M,0)+BQ$8-1))=0,
IF(COUNTIF($M:$M,$AE95)&lt;BQ$8,
"",
INDEX($J:$J,MATCH($AE95,$M:$M,0)+BQ$8-1)),
""),
"")</f>
        <v/>
      </c>
      <c r="BS95" s="21" t="str">
        <f>IFERROR(
IF(COUNTIF($BI95:BR95,INDEX($J:$J,MATCH($AF95,$M:$M,0)+BS$8-1))=0,
IF(COUNTIF($M:$M,$AF95)&lt;BS$8,
"",
INDEX($J:$J,MATCH($AF95,$M:$M,0)+BS$8-1)),
""),
"")</f>
        <v/>
      </c>
      <c r="BT95" s="21" t="str">
        <f>IFERROR(
IF(COUNTIF($BI95:BS95,INDEX($J:$J,MATCH($AF95,$M:$M,0)+BT$8-1))=0,
IF(COUNTIF($M:$M,$AF95)&lt;BT$8,
"",
INDEX($J:$J,MATCH($AF95,$M:$M,0)+BT$8-1)),
""),
"")</f>
        <v>越女</v>
      </c>
      <c r="BU95" s="21" t="str">
        <f>IFERROR(
IF(COUNTIF($BI95:BT95,INDEX($J:$J,MATCH($AF95,$M:$M,0)+BU$8-1))=0,
IF(COUNTIF($M:$M,$AF95)&lt;BU$8,
"",
INDEX($J:$J,MATCH($AF95,$M:$M,0)+BU$8-1)),
""),
"")</f>
        <v>虞姬</v>
      </c>
      <c r="BV95" s="21" t="str">
        <f>IFERROR(
IF(COUNTIF($BI95:BU95,INDEX($J:$J,MATCH($AF95,$M:$M,0)+BV$8-1))=0,
IF(COUNTIF($M:$M,$AF95)&lt;BV$8,
"",
INDEX($J:$J,MATCH($AF95,$M:$M,0)+BV$8-1)),
""),
"")</f>
        <v/>
      </c>
      <c r="BX95" s="21" t="str">
        <f>IFERROR(
IF(COUNTIF($BI95:BW95,INDEX($J:$J,MATCH($AG95,$M:$M,0)+BX$8-1))=0,
IF(COUNTIF($M:$M,$AG95)&lt;BX$8,
"",
INDEX($J:$J,MATCH($AG95,$M:$M,0)+BX$8-1)),
""),
"")</f>
        <v/>
      </c>
      <c r="BY95" s="21" t="str">
        <f>IFERROR(
IF(COUNTIF($BI95:BX95,INDEX($J:$J,MATCH($AG95,$M:$M,0)+BY$8-1))=0,
IF(COUNTIF($M:$M,$AG95)&lt;BY$8,
"",
INDEX($J:$J,MATCH($AG95,$M:$M,0)+BY$8-1)),
""),
"")</f>
        <v/>
      </c>
      <c r="BZ95" s="21" t="str">
        <f>IFERROR(
IF(COUNTIF($BI95:BY95,INDEX($J:$J,MATCH($AG95,$M:$M,0)+BZ$8-1))=0,
IF(COUNTIF($M:$M,$AG95)&lt;BZ$8,
"",
INDEX($J:$J,MATCH($AG95,$M:$M,0)+BZ$8-1)),
""),
"")</f>
        <v/>
      </c>
      <c r="CA95" s="21" t="str">
        <f>IFERROR(
IF(COUNTIF($BI95:BZ95,INDEX($J:$J,MATCH($AG95,$M:$M,0)+CA$8-1))=0,
IF(COUNTIF($M:$M,$AG95)&lt;CA$8,
"",
INDEX($J:$J,MATCH($AG95,$M:$M,0)+CA$8-1)),
""),
"")</f>
        <v/>
      </c>
      <c r="CC95" s="21" t="str">
        <f>IFERROR(
IF(COUNTIF($BI95:CB95,INDEX($J:$J,MATCH($AH95,$M:$M,0)+CC$8-1))=0,
IF(COUNTIF($M:$M,$AH95)&lt;CC$8,
"",
INDEX($J:$J,MATCH($AH95,$M:$M,0)+CC$8-1)),
""),
"")</f>
        <v/>
      </c>
      <c r="CD95" s="21" t="str">
        <f>IFERROR(
IF(COUNTIF($BI95:CC95,INDEX($J:$J,MATCH($AH95,$M:$M,0)+CD$8-1))=0,
IF(COUNTIF($M:$M,$AH95)&lt;CD$8,
"",
INDEX($J:$J,MATCH($AH95,$M:$M,0)+CD$8-1)),
""),
"")</f>
        <v/>
      </c>
      <c r="CE95" s="21" t="str">
        <f>IFERROR(
IF(COUNTIF($BI95:CD95,INDEX($J:$J,MATCH($AH95,$M:$M,0)+CE$8-1))=0,
IF(COUNTIF($M:$M,$AH95)&lt;CE$8,
"",
INDEX($J:$J,MATCH($AH95,$M:$M,0)+CE$8-1)),
""),
"")</f>
        <v/>
      </c>
      <c r="CF95" s="21" t="str">
        <f>IFERROR(
IF(COUNTIF($BI95:CE95,INDEX($J:$J,MATCH($AH95,$M:$M,0)+CF$8-1))=0,
IF(COUNTIF($M:$M,$AH95)&lt;CF$8,
"",
INDEX($J:$J,MATCH($AH95,$M:$M,0)+CF$8-1)),
""),
"")</f>
        <v/>
      </c>
      <c r="CH95" s="21" t="str">
        <f>IFERROR(
IF(COUNTIF($BI95:CG95,INDEX($J:$J,MATCH($AI95,$M:$M,0)+CH$8-1))=0,
IF(COUNTIF($M:$M,$AI95)&lt;CH$8,
"",
INDEX($J:$J,MATCH($AI95,$M:$M,0)+CH$8-1)),
""),
"")</f>
        <v/>
      </c>
      <c r="CI95" s="21" t="str">
        <f>IFERROR(
IF(COUNTIF($BI95:CH95,INDEX($J:$J,MATCH($AI95,$M:$M,0)+CI$8-1))=0,
IF(COUNTIF($M:$M,$AI95)&lt;CI$8,
"",
INDEX($J:$J,MATCH($AI95,$M:$M,0)+CI$8-1)),
""),
"")</f>
        <v/>
      </c>
      <c r="CJ95" s="21" t="str">
        <f>IFERROR(
IF(COUNTIF($BI95:CI95,INDEX($J:$J,MATCH($AI95,$M:$M,0)+CJ$8-1))=0,
IF(COUNTIF($M:$M,$AI95)&lt;CJ$8,
"",
INDEX($J:$J,MATCH($AI95,$M:$M,0)+CJ$8-1)),
""),
"")</f>
        <v/>
      </c>
      <c r="CK95" s="21" t="str">
        <f>IFERROR(
IF(COUNTIF($BI95:CJ95,INDEX($J:$J,MATCH($AI95,$M:$M,0)+CK$8-1))=0,
IF(COUNTIF($M:$M,$AI95)&lt;CK$8,
"",
INDEX($J:$J,MATCH($AI95,$M:$M,0)+CK$8-1)),
""),
"")</f>
        <v/>
      </c>
      <c r="CM95" s="21" t="str">
        <f>IFERROR(
IF(COUNTIF($BI95:CL95,INDEX($J:$J,MATCH($AJ95,$M:$M,0)+CM$8-1))=0,
IF(COUNTIF($M:$M,$AJ95)&lt;CM$8,
"",
INDEX($J:$J,MATCH($AJ95,$M:$M,0)+CM$8-1)),
""),
"")</f>
        <v/>
      </c>
      <c r="CN95" s="21" t="str">
        <f>IFERROR(
IF(COUNTIF($BI95:CM95,INDEX($J:$J,MATCH($AJ95,$M:$M,0)+CN$8-1))=0,
IF(COUNTIF($M:$M,$AJ95)&lt;CN$8,
"",
INDEX($J:$J,MATCH($AJ95,$M:$M,0)+CN$8-1)),
""),
"")</f>
        <v/>
      </c>
      <c r="CO95" s="21" t="str">
        <f>IFERROR(
IF(COUNTIF($BI95:CN95,INDEX($J:$J,MATCH($AJ95,$M:$M,0)+CO$8-1))=0,
IF(COUNTIF($M:$M,$AJ95)&lt;CO$8,
"",
INDEX($J:$J,MATCH($AJ95,$M:$M,0)+CO$8-1)),
""),
"")</f>
        <v/>
      </c>
      <c r="CP95" s="21" t="str">
        <f>IFERROR(
IF(COUNTIF($BI95:CO95,INDEX($J:$J,MATCH($AJ95,$M:$M,0)+CP$8-1))=0,
IF(COUNTIF($M:$M,$AJ95)&lt;CP$8,
"",
INDEX($J:$J,MATCH($AJ95,$M:$M,0)+CP$8-1)),
""),
"")</f>
        <v/>
      </c>
      <c r="CR95" s="21" t="str">
        <f>IFERROR(
IF(COUNTIF($BI95:CQ95,INDEX($J:$J,MATCH($AK95,$M:$M,0)+CR$8-1))=0,
IF(COUNTIF($M:$M,$AK95)&lt;CR$8,
"",
INDEX($J:$J,MATCH($AK95,$M:$M,0)+CR$8-1)),
""),
"")</f>
        <v/>
      </c>
      <c r="CS95" s="21" t="str">
        <f>IFERROR(
IF(COUNTIF($BI95:CR95,INDEX($J:$J,MATCH($AK95,$M:$M,0)+CS$8-1))=0,
IF(COUNTIF($M:$M,$AK95)&lt;CS$8,
"",
INDEX($J:$J,MATCH($AK95,$M:$M,0)+CS$8-1)),
""),
"")</f>
        <v/>
      </c>
      <c r="CT95" s="21" t="str">
        <f>IFERROR(
IF(COUNTIF($BI95:CS95,INDEX($J:$J,MATCH($AK95,$M:$M,0)+CT$8-1))=0,
IF(COUNTIF($M:$M,$AK95)&lt;CT$8,
"",
INDEX($J:$J,MATCH($AK95,$M:$M,0)+CT$8-1)),
""),
"")</f>
        <v/>
      </c>
      <c r="CU95" s="21" t="str">
        <f>IFERROR(
IF(COUNTIF($BI95:CT95,INDEX($J:$J,MATCH($AK95,$M:$M,0)+CU$8-1))=0,
IF(COUNTIF($M:$M,$AK95)&lt;CU$8,
"",
INDEX($J:$J,MATCH($AK95,$M:$M,0)+CU$8-1)),
""),
"")</f>
        <v/>
      </c>
    </row>
    <row r="96" spans="3:99" ht="14.25">
      <c r="C96" s="16">
        <v>88</v>
      </c>
      <c r="D96" s="19" t="s">
        <v>470</v>
      </c>
      <c r="E96" s="20">
        <f>INDEX([1]武将基本资料!$S:$S,MATCH(D96,[1]武将基本资料!$N:$N,0))</f>
        <v>140</v>
      </c>
      <c r="F96" s="20" t="str">
        <f>INDEX([1]武将基本资料!$Q:$Q,MATCH(D96,[1]武将基本资料!$N:$N,0))</f>
        <v>红</v>
      </c>
      <c r="H96" s="7">
        <f>IF(I96="","",COUNTA(I$9:$I96))</f>
        <v>86</v>
      </c>
      <c r="I96" s="6" t="s">
        <v>160</v>
      </c>
      <c r="J96" s="6" t="s">
        <v>67</v>
      </c>
      <c r="K96" s="8" t="str">
        <f>IF(H96="","",阶段合并区域(J96:J106," ",L96:L106,1))</f>
        <v>扁鹊 苏秦</v>
      </c>
      <c r="L96" s="8">
        <f>COUNTIF(M$8:$M96,"="&amp;M96)</f>
        <v>1</v>
      </c>
      <c r="M96" s="9" t="str">
        <f t="shared" si="13"/>
        <v>颠沛流离</v>
      </c>
      <c r="N96" s="9" t="str">
        <f t="shared" si="14"/>
        <v>颠沛流离1</v>
      </c>
      <c r="O96" s="15">
        <f>INDEX(C:C,MATCH(J96,D:D,0))</f>
        <v>32</v>
      </c>
      <c r="P96" s="9">
        <f>INDEX(E:E,MATCH(J96,D:D,0))</f>
        <v>120</v>
      </c>
      <c r="Q96" s="7">
        <f t="shared" si="10"/>
        <v>32</v>
      </c>
      <c r="R96" s="7">
        <f>COUNTIF(J$8:$J96,"="&amp;J96)</f>
        <v>2</v>
      </c>
      <c r="S96" s="7">
        <f t="shared" si="11"/>
        <v>2032</v>
      </c>
      <c r="U96" s="7">
        <f t="shared" si="18"/>
        <v>1088</v>
      </c>
      <c r="V96" s="7">
        <f t="shared" si="18"/>
        <v>2088</v>
      </c>
      <c r="W96" s="7">
        <f t="shared" si="18"/>
        <v>3088</v>
      </c>
      <c r="X96" s="7">
        <f t="shared" si="18"/>
        <v>4088</v>
      </c>
      <c r="Y96" s="7">
        <f t="shared" si="18"/>
        <v>5088</v>
      </c>
      <c r="Z96" s="7">
        <f t="shared" si="18"/>
        <v>6088</v>
      </c>
      <c r="AA96" s="7">
        <f t="shared" si="18"/>
        <v>7088</v>
      </c>
      <c r="AB96" s="7">
        <f t="shared" si="18"/>
        <v>8088</v>
      </c>
      <c r="AD96" s="21" t="str">
        <f>IFERROR(INDEX($M:$M,MATCH(U96,$S:$S,0)),"&amp;")</f>
        <v>万夫莫当</v>
      </c>
      <c r="AE96" s="21" t="str">
        <f>IFERROR(INDEX($M:$M,MATCH(V96,$S:$S,0)),"&amp;")</f>
        <v>反复无常</v>
      </c>
      <c r="AF96" s="21" t="str">
        <f>IFERROR(INDEX($M:$M,MATCH(W96,$S:$S,0)),"&amp;")</f>
        <v>众叛亲离</v>
      </c>
      <c r="AG96" s="21" t="str">
        <f>IFERROR(INDEX($M:$M,MATCH(X96,$S:$S,0)),"&amp;")</f>
        <v>&amp;</v>
      </c>
      <c r="AH96" s="21" t="str">
        <f>IFERROR(INDEX($M:$M,MATCH(Y96,$S:$S,0)),"&amp;")</f>
        <v>&amp;</v>
      </c>
      <c r="AI96" s="21" t="str">
        <f>IFERROR(INDEX($M:$M,MATCH(Z96,$S:$S,0)),"&amp;")</f>
        <v>&amp;</v>
      </c>
      <c r="AJ96" s="21" t="str">
        <f>IFERROR(INDEX($M:$M,MATCH(AA96,$S:$S,0)),"&amp;")</f>
        <v>&amp;</v>
      </c>
      <c r="AK96" s="21" t="str">
        <f>IFERROR(INDEX($M:$M,MATCH(AB96,$S:$S,0)),"&amp;")</f>
        <v>&amp;</v>
      </c>
      <c r="AM96" s="21" t="str">
        <f>IFERROR(INDEX($N:$N,MATCH(U96,$S:$S,0)),"&amp;")</f>
        <v>万夫莫当1</v>
      </c>
      <c r="AN96" s="21" t="str">
        <f>IFERROR(INDEX($N:$N,MATCH(V96,$S:$S,0)),"&amp;")</f>
        <v>反复无常1</v>
      </c>
      <c r="AO96" s="21" t="str">
        <f>IFERROR(INDEX($N:$N,MATCH(W96,$S:$S,0)),"&amp;")</f>
        <v>众叛亲离1</v>
      </c>
      <c r="AP96" s="21" t="str">
        <f>IFERROR(INDEX($N:$N,MATCH(X96,$S:$S,0)),"&amp;")</f>
        <v>&amp;</v>
      </c>
      <c r="AQ96" s="21" t="str">
        <f>IFERROR(INDEX($N:$N,MATCH(Y96,$S:$S,0)),"&amp;")</f>
        <v>&amp;</v>
      </c>
      <c r="AR96" s="21" t="str">
        <f>IFERROR(INDEX($N:$N,MATCH(Z96,$S:$S,0)),"&amp;")</f>
        <v>&amp;</v>
      </c>
      <c r="AS96" s="21" t="str">
        <f>IFERROR(INDEX($N:$N,MATCH(AA96,$S:$S,0)),"&amp;")</f>
        <v>&amp;</v>
      </c>
      <c r="AT96" s="21" t="str">
        <f>IFERROR(INDEX($N:$N,MATCH(AB96,$S:$S,0)),"&amp;")</f>
        <v>&amp;</v>
      </c>
      <c r="AV96" s="21" t="str">
        <f>IFERROR(SUBSTITUTE(INDEX($K:$K,MATCH(INDEX($M:$M,MATCH(AM96,$N:$N,0)),$M:$M,0)),$D96,""),"")</f>
        <v xml:space="preserve"> 楚庄王 项燕 秦武王</v>
      </c>
      <c r="AW96" s="21" t="str">
        <f>IFERROR(SUBSTITUTE(INDEX($K:$K,MATCH(INDEX($M:$M,MATCH(AN96,$N:$N,0)),$M:$M,0)),$D96,""),"")</f>
        <v xml:space="preserve"> 彭越 义渠骇</v>
      </c>
      <c r="AX96" s="21" t="str">
        <f>IFERROR(SUBSTITUTE(INDEX($K:$K,MATCH(INDEX($M:$M,MATCH(AO96,$N:$N,0)),$M:$M,0)),$D96,""),"")</f>
        <v xml:space="preserve"> 齐桓公 吕不韦</v>
      </c>
      <c r="AY96" s="21" t="str">
        <f>IFERROR(SUBSTITUTE(INDEX($K:$K,MATCH(INDEX($M:$M,MATCH(AP96,$N:$N,0)),$M:$M,0)),$D96,""),"")</f>
        <v/>
      </c>
      <c r="AZ96" s="21" t="str">
        <f>IFERROR(SUBSTITUTE(INDEX($K:$K,MATCH(INDEX($M:$M,MATCH(AQ96,$N:$N,0)),$M:$M,0)),$D96,""),"")</f>
        <v/>
      </c>
      <c r="BA96" s="21" t="str">
        <f>IFERROR(SUBSTITUTE(INDEX($K:$K,MATCH(INDEX($M:$M,MATCH(AR96,$N:$N,0)),$M:$M,0)),$D96,""),"")</f>
        <v/>
      </c>
      <c r="BB96" s="21" t="str">
        <f>IFERROR(SUBSTITUTE(INDEX($K:$K,MATCH(INDEX($M:$M,MATCH(AS96,$N:$N,0)),$M:$M,0)),$D96,""),"")</f>
        <v/>
      </c>
      <c r="BC96" s="21" t="str">
        <f>IFERROR(SUBSTITUTE(INDEX($K:$K,MATCH(INDEX($M:$M,MATCH(AT96,$N:$N,0)),$M:$M,0)),$D96,""),"")</f>
        <v/>
      </c>
      <c r="BE96" s="9" t="str">
        <f t="shared" si="16"/>
        <v>吕布,楚庄王,项燕,秦武王,彭越,义渠骇,齐桓公,吕不韦</v>
      </c>
      <c r="BI96" s="9" t="str">
        <f>IFERROR(
IF(COUNTIF($M:$M,$AD96)&lt;BI$8,
"",
INDEX($J:$J,MATCH($AD96,$M:$M,0)+BI$8-1)),
"")</f>
        <v>吕布</v>
      </c>
      <c r="BJ96" s="9" t="str">
        <f>IFERROR(
IF(COUNTIF($M:$M,$AD96)&lt;BJ$8,
"",
INDEX($J:$J,MATCH($AD96,$M:$M,0)+BJ$8-1)),
"")</f>
        <v>楚庄王</v>
      </c>
      <c r="BK96" s="9" t="str">
        <f>IFERROR(
IF(COUNTIF($M:$M,$AD96)&lt;BK$8,
"",
INDEX($J:$J,MATCH($AD96,$M:$M,0)+BK$8-1)),
"")</f>
        <v>项燕</v>
      </c>
      <c r="BL96" s="9" t="str">
        <f>IFERROR(
IF(COUNTIF($M:$M,$AD96)&lt;BL$8,
"",
INDEX($J:$J,MATCH($AD96,$M:$M,0)+BL$8-1)),
"")</f>
        <v>秦武王</v>
      </c>
      <c r="BN96" s="21" t="str">
        <f>IFERROR(
IF(COUNTIF($BI96:BM96,INDEX($J:$J,MATCH($AE96,$M:$M,0)+BN$8-1))=0,
IF(COUNTIF($M:$M,$AE96)&lt;BN$8,
"",
INDEX($J:$J,MATCH($AE96,$M:$M,0)+BN$8-1)),
""),
"")</f>
        <v/>
      </c>
      <c r="BO96" s="21" t="str">
        <f>IFERROR(
IF(COUNTIF($BI96:BN96,INDEX($J:$J,MATCH($AE96,$M:$M,0)+BO$8-1))=0,
IF(COUNTIF($M:$M,$AE96)&lt;BO$8,
"",
INDEX($J:$J,MATCH($AE96,$M:$M,0)+BO$8-1)),
""),
"")</f>
        <v>彭越</v>
      </c>
      <c r="BP96" s="21" t="str">
        <f>IFERROR(
IF(COUNTIF($BI96:BO96,INDEX($J:$J,MATCH($AE96,$M:$M,0)+BP$8-1))=0,
IF(COUNTIF($M:$M,$AE96)&lt;BP$8,
"",
INDEX($J:$J,MATCH($AE96,$M:$M,0)+BP$8-1)),
""),
"")</f>
        <v>义渠骇</v>
      </c>
      <c r="BQ96" s="21" t="str">
        <f>IFERROR(
IF(COUNTIF($BI96:BP96,INDEX($J:$J,MATCH($AE96,$M:$M,0)+BQ$8-1))=0,
IF(COUNTIF($M:$M,$AE96)&lt;BQ$8,
"",
INDEX($J:$J,MATCH($AE96,$M:$M,0)+BQ$8-1)),
""),
"")</f>
        <v/>
      </c>
      <c r="BS96" s="21" t="str">
        <f>IFERROR(
IF(COUNTIF($BI96:BR96,INDEX($J:$J,MATCH($AF96,$M:$M,0)+BS$8-1))=0,
IF(COUNTIF($M:$M,$AF96)&lt;BS$8,
"",
INDEX($J:$J,MATCH($AF96,$M:$M,0)+BS$8-1)),
""),
"")</f>
        <v/>
      </c>
      <c r="BT96" s="21" t="str">
        <f>IFERROR(
IF(COUNTIF($BI96:BS96,INDEX($J:$J,MATCH($AF96,$M:$M,0)+BT$8-1))=0,
IF(COUNTIF($M:$M,$AF96)&lt;BT$8,
"",
INDEX($J:$J,MATCH($AF96,$M:$M,0)+BT$8-1)),
""),
"")</f>
        <v>齐桓公</v>
      </c>
      <c r="BU96" s="21" t="str">
        <f>IFERROR(
IF(COUNTIF($BI96:BT96,INDEX($J:$J,MATCH($AF96,$M:$M,0)+BU$8-1))=0,
IF(COUNTIF($M:$M,$AF96)&lt;BU$8,
"",
INDEX($J:$J,MATCH($AF96,$M:$M,0)+BU$8-1)),
""),
"")</f>
        <v>吕不韦</v>
      </c>
      <c r="BV96" s="21" t="str">
        <f>IFERROR(
IF(COUNTIF($BI96:BU96,INDEX($J:$J,MATCH($AF96,$M:$M,0)+BV$8-1))=0,
IF(COUNTIF($M:$M,$AF96)&lt;BV$8,
"",
INDEX($J:$J,MATCH($AF96,$M:$M,0)+BV$8-1)),
""),
"")</f>
        <v/>
      </c>
      <c r="BX96" s="21" t="str">
        <f>IFERROR(
IF(COUNTIF($BI96:BW96,INDEX($J:$J,MATCH($AG96,$M:$M,0)+BX$8-1))=0,
IF(COUNTIF($M:$M,$AG96)&lt;BX$8,
"",
INDEX($J:$J,MATCH($AG96,$M:$M,0)+BX$8-1)),
""),
"")</f>
        <v/>
      </c>
      <c r="BY96" s="21" t="str">
        <f>IFERROR(
IF(COUNTIF($BI96:BX96,INDEX($J:$J,MATCH($AG96,$M:$M,0)+BY$8-1))=0,
IF(COUNTIF($M:$M,$AG96)&lt;BY$8,
"",
INDEX($J:$J,MATCH($AG96,$M:$M,0)+BY$8-1)),
""),
"")</f>
        <v/>
      </c>
      <c r="BZ96" s="21" t="str">
        <f>IFERROR(
IF(COUNTIF($BI96:BY96,INDEX($J:$J,MATCH($AG96,$M:$M,0)+BZ$8-1))=0,
IF(COUNTIF($M:$M,$AG96)&lt;BZ$8,
"",
INDEX($J:$J,MATCH($AG96,$M:$M,0)+BZ$8-1)),
""),
"")</f>
        <v/>
      </c>
      <c r="CA96" s="21" t="str">
        <f>IFERROR(
IF(COUNTIF($BI96:BZ96,INDEX($J:$J,MATCH($AG96,$M:$M,0)+CA$8-1))=0,
IF(COUNTIF($M:$M,$AG96)&lt;CA$8,
"",
INDEX($J:$J,MATCH($AG96,$M:$M,0)+CA$8-1)),
""),
"")</f>
        <v/>
      </c>
      <c r="CC96" s="21" t="str">
        <f>IFERROR(
IF(COUNTIF($BI96:CB96,INDEX($J:$J,MATCH($AH96,$M:$M,0)+CC$8-1))=0,
IF(COUNTIF($M:$M,$AH96)&lt;CC$8,
"",
INDEX($J:$J,MATCH($AH96,$M:$M,0)+CC$8-1)),
""),
"")</f>
        <v/>
      </c>
      <c r="CD96" s="21" t="str">
        <f>IFERROR(
IF(COUNTIF($BI96:CC96,INDEX($J:$J,MATCH($AH96,$M:$M,0)+CD$8-1))=0,
IF(COUNTIF($M:$M,$AH96)&lt;CD$8,
"",
INDEX($J:$J,MATCH($AH96,$M:$M,0)+CD$8-1)),
""),
"")</f>
        <v/>
      </c>
      <c r="CE96" s="21" t="str">
        <f>IFERROR(
IF(COUNTIF($BI96:CD96,INDEX($J:$J,MATCH($AH96,$M:$M,0)+CE$8-1))=0,
IF(COUNTIF($M:$M,$AH96)&lt;CE$8,
"",
INDEX($J:$J,MATCH($AH96,$M:$M,0)+CE$8-1)),
""),
"")</f>
        <v/>
      </c>
      <c r="CF96" s="21" t="str">
        <f>IFERROR(
IF(COUNTIF($BI96:CE96,INDEX($J:$J,MATCH($AH96,$M:$M,0)+CF$8-1))=0,
IF(COUNTIF($M:$M,$AH96)&lt;CF$8,
"",
INDEX($J:$J,MATCH($AH96,$M:$M,0)+CF$8-1)),
""),
"")</f>
        <v/>
      </c>
      <c r="CH96" s="21" t="str">
        <f>IFERROR(
IF(COUNTIF($BI96:CG96,INDEX($J:$J,MATCH($AI96,$M:$M,0)+CH$8-1))=0,
IF(COUNTIF($M:$M,$AI96)&lt;CH$8,
"",
INDEX($J:$J,MATCH($AI96,$M:$M,0)+CH$8-1)),
""),
"")</f>
        <v/>
      </c>
      <c r="CI96" s="21" t="str">
        <f>IFERROR(
IF(COUNTIF($BI96:CH96,INDEX($J:$J,MATCH($AI96,$M:$M,0)+CI$8-1))=0,
IF(COUNTIF($M:$M,$AI96)&lt;CI$8,
"",
INDEX($J:$J,MATCH($AI96,$M:$M,0)+CI$8-1)),
""),
"")</f>
        <v/>
      </c>
      <c r="CJ96" s="21" t="str">
        <f>IFERROR(
IF(COUNTIF($BI96:CI96,INDEX($J:$J,MATCH($AI96,$M:$M,0)+CJ$8-1))=0,
IF(COUNTIF($M:$M,$AI96)&lt;CJ$8,
"",
INDEX($J:$J,MATCH($AI96,$M:$M,0)+CJ$8-1)),
""),
"")</f>
        <v/>
      </c>
      <c r="CK96" s="21" t="str">
        <f>IFERROR(
IF(COUNTIF($BI96:CJ96,INDEX($J:$J,MATCH($AI96,$M:$M,0)+CK$8-1))=0,
IF(COUNTIF($M:$M,$AI96)&lt;CK$8,
"",
INDEX($J:$J,MATCH($AI96,$M:$M,0)+CK$8-1)),
""),
"")</f>
        <v/>
      </c>
      <c r="CM96" s="21" t="str">
        <f>IFERROR(
IF(COUNTIF($BI96:CL96,INDEX($J:$J,MATCH($AJ96,$M:$M,0)+CM$8-1))=0,
IF(COUNTIF($M:$M,$AJ96)&lt;CM$8,
"",
INDEX($J:$J,MATCH($AJ96,$M:$M,0)+CM$8-1)),
""),
"")</f>
        <v/>
      </c>
      <c r="CN96" s="21" t="str">
        <f>IFERROR(
IF(COUNTIF($BI96:CM96,INDEX($J:$J,MATCH($AJ96,$M:$M,0)+CN$8-1))=0,
IF(COUNTIF($M:$M,$AJ96)&lt;CN$8,
"",
INDEX($J:$J,MATCH($AJ96,$M:$M,0)+CN$8-1)),
""),
"")</f>
        <v/>
      </c>
      <c r="CO96" s="21" t="str">
        <f>IFERROR(
IF(COUNTIF($BI96:CN96,INDEX($J:$J,MATCH($AJ96,$M:$M,0)+CO$8-1))=0,
IF(COUNTIF($M:$M,$AJ96)&lt;CO$8,
"",
INDEX($J:$J,MATCH($AJ96,$M:$M,0)+CO$8-1)),
""),
"")</f>
        <v/>
      </c>
      <c r="CP96" s="21" t="str">
        <f>IFERROR(
IF(COUNTIF($BI96:CO96,INDEX($J:$J,MATCH($AJ96,$M:$M,0)+CP$8-1))=0,
IF(COUNTIF($M:$M,$AJ96)&lt;CP$8,
"",
INDEX($J:$J,MATCH($AJ96,$M:$M,0)+CP$8-1)),
""),
"")</f>
        <v/>
      </c>
      <c r="CR96" s="21" t="str">
        <f>IFERROR(
IF(COUNTIF($BI96:CQ96,INDEX($J:$J,MATCH($AK96,$M:$M,0)+CR$8-1))=0,
IF(COUNTIF($M:$M,$AK96)&lt;CR$8,
"",
INDEX($J:$J,MATCH($AK96,$M:$M,0)+CR$8-1)),
""),
"")</f>
        <v/>
      </c>
      <c r="CS96" s="21" t="str">
        <f>IFERROR(
IF(COUNTIF($BI96:CR96,INDEX($J:$J,MATCH($AK96,$M:$M,0)+CS$8-1))=0,
IF(COUNTIF($M:$M,$AK96)&lt;CS$8,
"",
INDEX($J:$J,MATCH($AK96,$M:$M,0)+CS$8-1)),
""),
"")</f>
        <v/>
      </c>
      <c r="CT96" s="21" t="str">
        <f>IFERROR(
IF(COUNTIF($BI96:CS96,INDEX($J:$J,MATCH($AK96,$M:$M,0)+CT$8-1))=0,
IF(COUNTIF($M:$M,$AK96)&lt;CT$8,
"",
INDEX($J:$J,MATCH($AK96,$M:$M,0)+CT$8-1)),
""),
"")</f>
        <v/>
      </c>
      <c r="CU96" s="21" t="str">
        <f>IFERROR(
IF(COUNTIF($BI96:CT96,INDEX($J:$J,MATCH($AK96,$M:$M,0)+CU$8-1))=0,
IF(COUNTIF($M:$M,$AK96)&lt;CU$8,
"",
INDEX($J:$J,MATCH($AK96,$M:$M,0)+CU$8-1)),
""),
"")</f>
        <v/>
      </c>
    </row>
    <row r="97" spans="3:99" ht="14.25">
      <c r="C97" s="16">
        <v>89</v>
      </c>
      <c r="D97" s="19" t="s">
        <v>484</v>
      </c>
      <c r="E97" s="20">
        <f>INDEX([1]武将基本资料!$S:$S,MATCH(D97,[1]武将基本资料!$N:$N,0))</f>
        <v>130</v>
      </c>
      <c r="F97" s="20" t="str">
        <f>INDEX([1]武将基本资料!$Q:$Q,MATCH(D97,[1]武将基本资料!$N:$N,0))</f>
        <v>橙+</v>
      </c>
      <c r="H97" s="7" t="str">
        <f>IF(I97="","",COUNTA(I$9:$I97))</f>
        <v/>
      </c>
      <c r="I97" s="6" t="s">
        <v>188</v>
      </c>
      <c r="J97" s="6" t="s">
        <v>230</v>
      </c>
      <c r="K97" s="8" t="str">
        <f>IF(H97="","",阶段合并区域(J97:J107," ",L97:L107,1))</f>
        <v/>
      </c>
      <c r="L97" s="8">
        <f>COUNTIF(M$8:$M97,"="&amp;M97)</f>
        <v>2</v>
      </c>
      <c r="M97" s="9" t="str">
        <f t="shared" si="13"/>
        <v>颠沛流离</v>
      </c>
      <c r="N97" s="9" t="str">
        <f t="shared" si="14"/>
        <v>颠沛流离2</v>
      </c>
      <c r="O97" s="15">
        <f>INDEX(C:C,MATCH(J97,D:D,0))</f>
        <v>57</v>
      </c>
      <c r="P97" s="9">
        <f>INDEX(E:E,MATCH(J97,D:D,0))</f>
        <v>120</v>
      </c>
      <c r="Q97" s="7">
        <f t="shared" si="10"/>
        <v>57</v>
      </c>
      <c r="R97" s="7">
        <f>COUNTIF(J$8:$J97,"="&amp;J97)</f>
        <v>3</v>
      </c>
      <c r="S97" s="7">
        <f t="shared" si="11"/>
        <v>3057</v>
      </c>
      <c r="U97" s="7">
        <f t="shared" ref="U97:AB112" si="19">U$8*1000+$C97</f>
        <v>1089</v>
      </c>
      <c r="V97" s="7">
        <f t="shared" si="19"/>
        <v>2089</v>
      </c>
      <c r="W97" s="7">
        <f t="shared" si="19"/>
        <v>3089</v>
      </c>
      <c r="X97" s="7">
        <f t="shared" si="19"/>
        <v>4089</v>
      </c>
      <c r="Y97" s="7">
        <f t="shared" si="19"/>
        <v>5089</v>
      </c>
      <c r="Z97" s="7">
        <f t="shared" si="19"/>
        <v>6089</v>
      </c>
      <c r="AA97" s="7">
        <f t="shared" si="19"/>
        <v>7089</v>
      </c>
      <c r="AB97" s="7">
        <f t="shared" si="19"/>
        <v>8089</v>
      </c>
      <c r="AD97" s="21" t="str">
        <f>IFERROR(INDEX($M:$M,MATCH(U97,$S:$S,0)),"&amp;")</f>
        <v>生死相交</v>
      </c>
      <c r="AE97" s="21" t="str">
        <f>IFERROR(INDEX($M:$M,MATCH(V97,$S:$S,0)),"&amp;")</f>
        <v>扶危破乱</v>
      </c>
      <c r="AF97" s="21" t="str">
        <f>IFERROR(INDEX($M:$M,MATCH(W97,$S:$S,0)),"&amp;")</f>
        <v>沙场宿将</v>
      </c>
      <c r="AG97" s="21" t="str">
        <f>IFERROR(INDEX($M:$M,MATCH(X97,$S:$S,0)),"&amp;")</f>
        <v>义贯金石</v>
      </c>
      <c r="AH97" s="21" t="str">
        <f>IFERROR(INDEX($M:$M,MATCH(Y97,$S:$S,0)),"&amp;")</f>
        <v>季汉群英</v>
      </c>
      <c r="AI97" s="21" t="str">
        <f>IFERROR(INDEX($M:$M,MATCH(Z97,$S:$S,0)),"&amp;")</f>
        <v>世之勇将</v>
      </c>
      <c r="AJ97" s="21" t="str">
        <f>IFERROR(INDEX($M:$M,MATCH(AA97,$S:$S,0)),"&amp;")</f>
        <v>甘露寺</v>
      </c>
      <c r="AK97" s="21" t="str">
        <f>IFERROR(INDEX($M:$M,MATCH(AB97,$S:$S,0)),"&amp;")</f>
        <v>人定胜天</v>
      </c>
      <c r="AM97" s="21" t="str">
        <f>IFERROR(INDEX($N:$N,MATCH(U97,$S:$S,0)),"&amp;")</f>
        <v>生死相交3</v>
      </c>
      <c r="AN97" s="21" t="str">
        <f>IFERROR(INDEX($N:$N,MATCH(V97,$S:$S,0)),"&amp;")</f>
        <v>扶危破乱1</v>
      </c>
      <c r="AO97" s="21" t="str">
        <f>IFERROR(INDEX($N:$N,MATCH(W97,$S:$S,0)),"&amp;")</f>
        <v>沙场宿将1</v>
      </c>
      <c r="AP97" s="21" t="str">
        <f>IFERROR(INDEX($N:$N,MATCH(X97,$S:$S,0)),"&amp;")</f>
        <v>义贯金石1</v>
      </c>
      <c r="AQ97" s="21" t="str">
        <f>IFERROR(INDEX($N:$N,MATCH(Y97,$S:$S,0)),"&amp;")</f>
        <v>季汉群英3</v>
      </c>
      <c r="AR97" s="21" t="str">
        <f>IFERROR(INDEX($N:$N,MATCH(Z97,$S:$S,0)),"&amp;")</f>
        <v>世之勇将2</v>
      </c>
      <c r="AS97" s="21" t="str">
        <f>IFERROR(INDEX($N:$N,MATCH(AA97,$S:$S,0)),"&amp;")</f>
        <v>甘露寺2</v>
      </c>
      <c r="AT97" s="21" t="str">
        <f>IFERROR(INDEX($N:$N,MATCH(AB97,$S:$S,0)),"&amp;")</f>
        <v>人定胜天2</v>
      </c>
      <c r="AV97" s="21" t="str">
        <f>IFERROR(SUBSTITUTE(INDEX($K:$K,MATCH(INDEX($M:$M,MATCH(AM97,$N:$N,0)),$M:$M,0)),$D97,""),"")</f>
        <v xml:space="preserve">刘备 关羽 </v>
      </c>
      <c r="AW97" s="21" t="str">
        <f>IFERROR(SUBSTITUTE(INDEX($K:$K,MATCH(INDEX($M:$M,MATCH(AN97,$N:$N,0)),$M:$M,0)),$D97,""),"")</f>
        <v xml:space="preserve"> 刘备</v>
      </c>
      <c r="AX97" s="21" t="str">
        <f>IFERROR(SUBSTITUTE(INDEX($K:$K,MATCH(INDEX($M:$M,MATCH(AO97,$N:$N,0)),$M:$M,0)),$D97,""),"")</f>
        <v xml:space="preserve"> 廉颇 李广</v>
      </c>
      <c r="AY97" s="21" t="str">
        <f>IFERROR(SUBSTITUTE(INDEX($K:$K,MATCH(INDEX($M:$M,MATCH(AP97,$N:$N,0)),$M:$M,0)),$D97,""),"")</f>
        <v xml:space="preserve"> 关羽 荆轲</v>
      </c>
      <c r="AZ97" s="21" t="str">
        <f>IFERROR(SUBSTITUTE(INDEX($K:$K,MATCH(INDEX($M:$M,MATCH(AQ97,$N:$N,0)),$M:$M,0)),$D97,""),"")</f>
        <v xml:space="preserve">诸葛亮 关羽 </v>
      </c>
      <c r="BA97" s="21" t="str">
        <f>IFERROR(SUBSTITUTE(INDEX($K:$K,MATCH(INDEX($M:$M,MATCH(AR97,$N:$N,0)),$M:$M,0)),$D97,""),"")</f>
        <v xml:space="preserve">太史慈 </v>
      </c>
      <c r="BB97" s="21" t="str">
        <f>IFERROR(SUBSTITUTE(INDEX($K:$K,MATCH(INDEX($M:$M,MATCH(AS97,$N:$N,0)),$M:$M,0)),$D97,""),"")</f>
        <v xml:space="preserve">孙权 </v>
      </c>
      <c r="BC97" s="21" t="str">
        <f>IFERROR(SUBSTITUTE(INDEX($K:$K,MATCH(INDEX($M:$M,MATCH(AT97,$N:$N,0)),$M:$M,0)),$D97,""),"")</f>
        <v xml:space="preserve">荀彧 </v>
      </c>
      <c r="BE97" s="9" t="str">
        <f t="shared" si="16"/>
        <v>刘备,关羽,赵云,廉颇,李广,荆轲,诸葛亮,太史慈,孙权,荀彧</v>
      </c>
      <c r="BI97" s="9" t="str">
        <f>IFERROR(
IF(COUNTIF($M:$M,$AD97)&lt;BI$8,
"",
INDEX($J:$J,MATCH($AD97,$M:$M,0)+BI$8-1)),
"")</f>
        <v>刘备</v>
      </c>
      <c r="BJ97" s="9" t="str">
        <f>IFERROR(
IF(COUNTIF($M:$M,$AD97)&lt;BJ$8,
"",
INDEX($J:$J,MATCH($AD97,$M:$M,0)+BJ$8-1)),
"")</f>
        <v>关羽</v>
      </c>
      <c r="BK97" s="9" t="str">
        <f>IFERROR(
IF(COUNTIF($M:$M,$AD97)&lt;BK$8,
"",
INDEX($J:$J,MATCH($AD97,$M:$M,0)+BK$8-1)),
"")</f>
        <v>赵云</v>
      </c>
      <c r="BL97" s="9" t="str">
        <f>IFERROR(
IF(COUNTIF($M:$M,$AD97)&lt;BL$8,
"",
INDEX($J:$J,MATCH($AD97,$M:$M,0)+BL$8-1)),
"")</f>
        <v/>
      </c>
      <c r="BN97" s="21" t="str">
        <f>IFERROR(
IF(COUNTIF($BI97:BM97,INDEX($J:$J,MATCH($AE97,$M:$M,0)+BN$8-1))=0,
IF(COUNTIF($M:$M,$AE97)&lt;BN$8,
"",
INDEX($J:$J,MATCH($AE97,$M:$M,0)+BN$8-1)),
""),
"")</f>
        <v/>
      </c>
      <c r="BO97" s="21" t="str">
        <f>IFERROR(
IF(COUNTIF($BI97:BN97,INDEX($J:$J,MATCH($AE97,$M:$M,0)+BO$8-1))=0,
IF(COUNTIF($M:$M,$AE97)&lt;BO$8,
"",
INDEX($J:$J,MATCH($AE97,$M:$M,0)+BO$8-1)),
""),
"")</f>
        <v/>
      </c>
      <c r="BP97" s="21" t="str">
        <f>IFERROR(
IF(COUNTIF($BI97:BO97,INDEX($J:$J,MATCH($AE97,$M:$M,0)+BP$8-1))=0,
IF(COUNTIF($M:$M,$AE97)&lt;BP$8,
"",
INDEX($J:$J,MATCH($AE97,$M:$M,0)+BP$8-1)),
""),
"")</f>
        <v/>
      </c>
      <c r="BQ97" s="21" t="str">
        <f>IFERROR(
IF(COUNTIF($BI97:BP97,INDEX($J:$J,MATCH($AE97,$M:$M,0)+BQ$8-1))=0,
IF(COUNTIF($M:$M,$AE97)&lt;BQ$8,
"",
INDEX($J:$J,MATCH($AE97,$M:$M,0)+BQ$8-1)),
""),
"")</f>
        <v/>
      </c>
      <c r="BS97" s="21" t="str">
        <f>IFERROR(
IF(COUNTIF($BI97:BR97,INDEX($J:$J,MATCH($AF97,$M:$M,0)+BS$8-1))=0,
IF(COUNTIF($M:$M,$AF97)&lt;BS$8,
"",
INDEX($J:$J,MATCH($AF97,$M:$M,0)+BS$8-1)),
""),
"")</f>
        <v/>
      </c>
      <c r="BT97" s="21" t="str">
        <f>IFERROR(
IF(COUNTIF($BI97:BS97,INDEX($J:$J,MATCH($AF97,$M:$M,0)+BT$8-1))=0,
IF(COUNTIF($M:$M,$AF97)&lt;BT$8,
"",
INDEX($J:$J,MATCH($AF97,$M:$M,0)+BT$8-1)),
""),
"")</f>
        <v>廉颇</v>
      </c>
      <c r="BU97" s="21" t="str">
        <f>IFERROR(
IF(COUNTIF($BI97:BT97,INDEX($J:$J,MATCH($AF97,$M:$M,0)+BU$8-1))=0,
IF(COUNTIF($M:$M,$AF97)&lt;BU$8,
"",
INDEX($J:$J,MATCH($AF97,$M:$M,0)+BU$8-1)),
""),
"")</f>
        <v>李广</v>
      </c>
      <c r="BV97" s="21" t="str">
        <f>IFERROR(
IF(COUNTIF($BI97:BU97,INDEX($J:$J,MATCH($AF97,$M:$M,0)+BV$8-1))=0,
IF(COUNTIF($M:$M,$AF97)&lt;BV$8,
"",
INDEX($J:$J,MATCH($AF97,$M:$M,0)+BV$8-1)),
""),
"")</f>
        <v/>
      </c>
      <c r="BX97" s="21" t="str">
        <f>IFERROR(
IF(COUNTIF($BI97:BW97,INDEX($J:$J,MATCH($AG97,$M:$M,0)+BX$8-1))=0,
IF(COUNTIF($M:$M,$AG97)&lt;BX$8,
"",
INDEX($J:$J,MATCH($AG97,$M:$M,0)+BX$8-1)),
""),
"")</f>
        <v/>
      </c>
      <c r="BY97" s="21" t="str">
        <f>IFERROR(
IF(COUNTIF($BI97:BX97,INDEX($J:$J,MATCH($AG97,$M:$M,0)+BY$8-1))=0,
IF(COUNTIF($M:$M,$AG97)&lt;BY$8,
"",
INDEX($J:$J,MATCH($AG97,$M:$M,0)+BY$8-1)),
""),
"")</f>
        <v/>
      </c>
      <c r="BZ97" s="21" t="str">
        <f>IFERROR(
IF(COUNTIF($BI97:BY97,INDEX($J:$J,MATCH($AG97,$M:$M,0)+BZ$8-1))=0,
IF(COUNTIF($M:$M,$AG97)&lt;BZ$8,
"",
INDEX($J:$J,MATCH($AG97,$M:$M,0)+BZ$8-1)),
""),
"")</f>
        <v>荆轲</v>
      </c>
      <c r="CA97" s="21" t="str">
        <f>IFERROR(
IF(COUNTIF($BI97:BZ97,INDEX($J:$J,MATCH($AG97,$M:$M,0)+CA$8-1))=0,
IF(COUNTIF($M:$M,$AG97)&lt;CA$8,
"",
INDEX($J:$J,MATCH($AG97,$M:$M,0)+CA$8-1)),
""),
"")</f>
        <v/>
      </c>
      <c r="CC97" s="21" t="str">
        <f>IFERROR(
IF(COUNTIF($BI97:CB97,INDEX($J:$J,MATCH($AH97,$M:$M,0)+CC$8-1))=0,
IF(COUNTIF($M:$M,$AH97)&lt;CC$8,
"",
INDEX($J:$J,MATCH($AH97,$M:$M,0)+CC$8-1)),
""),
"")</f>
        <v>诸葛亮</v>
      </c>
      <c r="CD97" s="21" t="str">
        <f>IFERROR(
IF(COUNTIF($BI97:CC97,INDEX($J:$J,MATCH($AH97,$M:$M,0)+CD$8-1))=0,
IF(COUNTIF($M:$M,$AH97)&lt;CD$8,
"",
INDEX($J:$J,MATCH($AH97,$M:$M,0)+CD$8-1)),
""),
"")</f>
        <v/>
      </c>
      <c r="CE97" s="21" t="str">
        <f>IFERROR(
IF(COUNTIF($BI97:CD97,INDEX($J:$J,MATCH($AH97,$M:$M,0)+CE$8-1))=0,
IF(COUNTIF($M:$M,$AH97)&lt;CE$8,
"",
INDEX($J:$J,MATCH($AH97,$M:$M,0)+CE$8-1)),
""),
"")</f>
        <v/>
      </c>
      <c r="CF97" s="21" t="str">
        <f>IFERROR(
IF(COUNTIF($BI97:CE97,INDEX($J:$J,MATCH($AH97,$M:$M,0)+CF$8-1))=0,
IF(COUNTIF($M:$M,$AH97)&lt;CF$8,
"",
INDEX($J:$J,MATCH($AH97,$M:$M,0)+CF$8-1)),
""),
"")</f>
        <v/>
      </c>
      <c r="CH97" s="21" t="str">
        <f>IFERROR(
IF(COUNTIF($BI97:CG97,INDEX($J:$J,MATCH($AI97,$M:$M,0)+CH$8-1))=0,
IF(COUNTIF($M:$M,$AI97)&lt;CH$8,
"",
INDEX($J:$J,MATCH($AI97,$M:$M,0)+CH$8-1)),
""),
"")</f>
        <v>太史慈</v>
      </c>
      <c r="CI97" s="21" t="str">
        <f>IFERROR(
IF(COUNTIF($BI97:CH97,INDEX($J:$J,MATCH($AI97,$M:$M,0)+CI$8-1))=0,
IF(COUNTIF($M:$M,$AI97)&lt;CI$8,
"",
INDEX($J:$J,MATCH($AI97,$M:$M,0)+CI$8-1)),
""),
"")</f>
        <v/>
      </c>
      <c r="CJ97" s="21" t="str">
        <f>IFERROR(
IF(COUNTIF($BI97:CI97,INDEX($J:$J,MATCH($AI97,$M:$M,0)+CJ$8-1))=0,
IF(COUNTIF($M:$M,$AI97)&lt;CJ$8,
"",
INDEX($J:$J,MATCH($AI97,$M:$M,0)+CJ$8-1)),
""),
"")</f>
        <v/>
      </c>
      <c r="CK97" s="21" t="str">
        <f>IFERROR(
IF(COUNTIF($BI97:CJ97,INDEX($J:$J,MATCH($AI97,$M:$M,0)+CK$8-1))=0,
IF(COUNTIF($M:$M,$AI97)&lt;CK$8,
"",
INDEX($J:$J,MATCH($AI97,$M:$M,0)+CK$8-1)),
""),
"")</f>
        <v/>
      </c>
      <c r="CM97" s="21" t="str">
        <f>IFERROR(
IF(COUNTIF($BI97:CL97,INDEX($J:$J,MATCH($AJ97,$M:$M,0)+CM$8-1))=0,
IF(COUNTIF($M:$M,$AJ97)&lt;CM$8,
"",
INDEX($J:$J,MATCH($AJ97,$M:$M,0)+CM$8-1)),
""),
"")</f>
        <v>孙权</v>
      </c>
      <c r="CN97" s="21" t="str">
        <f>IFERROR(
IF(COUNTIF($BI97:CM97,INDEX($J:$J,MATCH($AJ97,$M:$M,0)+CN$8-1))=0,
IF(COUNTIF($M:$M,$AJ97)&lt;CN$8,
"",
INDEX($J:$J,MATCH($AJ97,$M:$M,0)+CN$8-1)),
""),
"")</f>
        <v/>
      </c>
      <c r="CO97" s="21" t="str">
        <f>IFERROR(
IF(COUNTIF($BI97:CN97,INDEX($J:$J,MATCH($AJ97,$M:$M,0)+CO$8-1))=0,
IF(COUNTIF($M:$M,$AJ97)&lt;CO$8,
"",
INDEX($J:$J,MATCH($AJ97,$M:$M,0)+CO$8-1)),
""),
"")</f>
        <v/>
      </c>
      <c r="CP97" s="21" t="str">
        <f>IFERROR(
IF(COUNTIF($BI97:CO97,INDEX($J:$J,MATCH($AJ97,$M:$M,0)+CP$8-1))=0,
IF(COUNTIF($M:$M,$AJ97)&lt;CP$8,
"",
INDEX($J:$J,MATCH($AJ97,$M:$M,0)+CP$8-1)),
""),
"")</f>
        <v/>
      </c>
      <c r="CR97" s="21" t="str">
        <f>IFERROR(
IF(COUNTIF($BI97:CQ97,INDEX($J:$J,MATCH($AK97,$M:$M,0)+CR$8-1))=0,
IF(COUNTIF($M:$M,$AK97)&lt;CR$8,
"",
INDEX($J:$J,MATCH($AK97,$M:$M,0)+CR$8-1)),
""),
"")</f>
        <v>荀彧</v>
      </c>
      <c r="CS97" s="21" t="str">
        <f>IFERROR(
IF(COUNTIF($BI97:CR97,INDEX($J:$J,MATCH($AK97,$M:$M,0)+CS$8-1))=0,
IF(COUNTIF($M:$M,$AK97)&lt;CS$8,
"",
INDEX($J:$J,MATCH($AK97,$M:$M,0)+CS$8-1)),
""),
"")</f>
        <v/>
      </c>
      <c r="CT97" s="21" t="str">
        <f>IFERROR(
IF(COUNTIF($BI97:CS97,INDEX($J:$J,MATCH($AK97,$M:$M,0)+CT$8-1))=0,
IF(COUNTIF($M:$M,$AK97)&lt;CT$8,
"",
INDEX($J:$J,MATCH($AK97,$M:$M,0)+CT$8-1)),
""),
"")</f>
        <v/>
      </c>
      <c r="CU97" s="21" t="str">
        <f>IFERROR(
IF(COUNTIF($BI97:CT97,INDEX($J:$J,MATCH($AK97,$M:$M,0)+CU$8-1))=0,
IF(COUNTIF($M:$M,$AK97)&lt;CU$8,
"",
INDEX($J:$J,MATCH($AK97,$M:$M,0)+CU$8-1)),
""),
"")</f>
        <v/>
      </c>
    </row>
    <row r="98" spans="3:99" ht="14.25">
      <c r="C98" s="16">
        <v>90</v>
      </c>
      <c r="D98" s="19" t="s">
        <v>37</v>
      </c>
      <c r="E98" s="20">
        <v>130</v>
      </c>
      <c r="F98" s="20" t="s">
        <v>478</v>
      </c>
      <c r="H98" s="7">
        <f>IF(I98="","",COUNTA(I$9:$I98))</f>
        <v>88</v>
      </c>
      <c r="I98" s="6" t="s">
        <v>181</v>
      </c>
      <c r="J98" s="6" t="s">
        <v>97</v>
      </c>
      <c r="K98" s="8" t="str">
        <f>IF(H98="","",阶段合并区域(J98:J108," ",L98:L108,1))</f>
        <v>樗里疾 暴鸢</v>
      </c>
      <c r="L98" s="8">
        <f>COUNTIF(M$8:$M98,"="&amp;M98)</f>
        <v>1</v>
      </c>
      <c r="M98" s="9" t="str">
        <f t="shared" si="13"/>
        <v>建功立业</v>
      </c>
      <c r="N98" s="9" t="str">
        <f t="shared" si="14"/>
        <v>建功立业1</v>
      </c>
      <c r="O98" s="15">
        <f>INDEX(C:C,MATCH(J98,D:D,0))</f>
        <v>27</v>
      </c>
      <c r="P98" s="9">
        <f>INDEX(E:E,MATCH(J98,D:D,0))</f>
        <v>120</v>
      </c>
      <c r="Q98" s="7">
        <f t="shared" si="10"/>
        <v>27</v>
      </c>
      <c r="R98" s="7">
        <f>COUNTIF(J$8:$J98,"="&amp;J98)</f>
        <v>3</v>
      </c>
      <c r="S98" s="7">
        <f t="shared" si="11"/>
        <v>3027</v>
      </c>
      <c r="U98" s="7">
        <f t="shared" si="19"/>
        <v>1090</v>
      </c>
      <c r="V98" s="7">
        <f t="shared" si="19"/>
        <v>2090</v>
      </c>
      <c r="W98" s="7">
        <f t="shared" si="19"/>
        <v>3090</v>
      </c>
      <c r="X98" s="7">
        <f t="shared" si="19"/>
        <v>4090</v>
      </c>
      <c r="Y98" s="7">
        <f t="shared" si="19"/>
        <v>5090</v>
      </c>
      <c r="Z98" s="7">
        <f t="shared" si="19"/>
        <v>6090</v>
      </c>
      <c r="AA98" s="7">
        <f t="shared" si="19"/>
        <v>7090</v>
      </c>
      <c r="AB98" s="7">
        <f t="shared" si="19"/>
        <v>8090</v>
      </c>
      <c r="AD98" s="21" t="str">
        <f>IFERROR(INDEX($M:$M,MATCH(U98,$S:$S,0)),"&amp;")</f>
        <v>夷陵之战</v>
      </c>
      <c r="AE98" s="21" t="str">
        <f>IFERROR(INDEX($M:$M,MATCH(V98,$S:$S,0)),"&amp;")</f>
        <v>生死相交</v>
      </c>
      <c r="AF98" s="21" t="str">
        <f>IFERROR(INDEX($M:$M,MATCH(W98,$S:$S,0)),"&amp;")</f>
        <v>青梅煮酒</v>
      </c>
      <c r="AG98" s="21" t="str">
        <f>IFERROR(INDEX($M:$M,MATCH(X98,$S:$S,0)),"&amp;")</f>
        <v>汉室之胄</v>
      </c>
      <c r="AH98" s="21" t="str">
        <f>IFERROR(INDEX($M:$M,MATCH(Y98,$S:$S,0)),"&amp;")</f>
        <v>扶危破乱</v>
      </c>
      <c r="AI98" s="21" t="str">
        <f>IFERROR(INDEX($M:$M,MATCH(Z98,$S:$S,0)),"&amp;")</f>
        <v>君臣之至合</v>
      </c>
      <c r="AJ98" s="21" t="str">
        <f>IFERROR(INDEX($M:$M,MATCH(AA98,$S:$S,0)),"&amp;")</f>
        <v>天下三分</v>
      </c>
      <c r="AK98" s="21" t="str">
        <f>IFERROR(INDEX($M:$M,MATCH(AB98,$S:$S,0)),"&amp;")</f>
        <v>虎步关右</v>
      </c>
      <c r="AM98" s="21" t="str">
        <f>IFERROR(INDEX($N:$N,MATCH(U98,$S:$S,0)),"&amp;")</f>
        <v>夷陵之战2</v>
      </c>
      <c r="AN98" s="21" t="str">
        <f>IFERROR(INDEX($N:$N,MATCH(V98,$S:$S,0)),"&amp;")</f>
        <v>生死相交1</v>
      </c>
      <c r="AO98" s="21" t="str">
        <f>IFERROR(INDEX($N:$N,MATCH(W98,$S:$S,0)),"&amp;")</f>
        <v>青梅煮酒1</v>
      </c>
      <c r="AP98" s="21" t="str">
        <f>IFERROR(INDEX($N:$N,MATCH(X98,$S:$S,0)),"&amp;")</f>
        <v>汉室之胄1</v>
      </c>
      <c r="AQ98" s="21" t="str">
        <f>IFERROR(INDEX($N:$N,MATCH(Y98,$S:$S,0)),"&amp;")</f>
        <v>扶危破乱2</v>
      </c>
      <c r="AR98" s="21" t="str">
        <f>IFERROR(INDEX($N:$N,MATCH(Z98,$S:$S,0)),"&amp;")</f>
        <v>君臣之至合2</v>
      </c>
      <c r="AS98" s="21" t="str">
        <f>IFERROR(INDEX($N:$N,MATCH(AA98,$S:$S,0)),"&amp;")</f>
        <v>天下三分2</v>
      </c>
      <c r="AT98" s="21" t="str">
        <f>IFERROR(INDEX($N:$N,MATCH(AB98,$S:$S,0)),"&amp;")</f>
        <v>虎步关右2</v>
      </c>
      <c r="AV98" s="21" t="str">
        <f>IFERROR(SUBSTITUTE(INDEX($K:$K,MATCH(INDEX($M:$M,MATCH(AM98,$N:$N,0)),$M:$M,0)),$D98,""),"")</f>
        <v xml:space="preserve">陆逊 </v>
      </c>
      <c r="AW98" s="21" t="str">
        <f>IFERROR(SUBSTITUTE(INDEX($K:$K,MATCH(INDEX($M:$M,MATCH(AN98,$N:$N,0)),$M:$M,0)),$D98,""),"")</f>
        <v xml:space="preserve"> 关羽 赵云</v>
      </c>
      <c r="AX98" s="21" t="str">
        <f>IFERROR(SUBSTITUTE(INDEX($K:$K,MATCH(INDEX($M:$M,MATCH(AO98,$N:$N,0)),$M:$M,0)),$D98,""),"")</f>
        <v xml:space="preserve"> 曹操</v>
      </c>
      <c r="AY98" s="21" t="str">
        <f>IFERROR(SUBSTITUTE(INDEX($K:$K,MATCH(INDEX($M:$M,MATCH(AP98,$N:$N,0)),$M:$M,0)),$D98,""),"")</f>
        <v xml:space="preserve"> 刘邦</v>
      </c>
      <c r="AZ98" s="21" t="str">
        <f>IFERROR(SUBSTITUTE(INDEX($K:$K,MATCH(INDEX($M:$M,MATCH(AQ98,$N:$N,0)),$M:$M,0)),$D98,""),"")</f>
        <v xml:space="preserve">赵云 </v>
      </c>
      <c r="BA98" s="21" t="str">
        <f>IFERROR(SUBSTITUTE(INDEX($K:$K,MATCH(INDEX($M:$M,MATCH(AR98,$N:$N,0)),$M:$M,0)),$D98,""),"")</f>
        <v xml:space="preserve">诸葛亮 </v>
      </c>
      <c r="BB98" s="21" t="str">
        <f>IFERROR(SUBSTITUTE(INDEX($K:$K,MATCH(INDEX($M:$M,MATCH(AS98,$N:$N,0)),$M:$M,0)),$D98,""),"")</f>
        <v>孙权  曹操</v>
      </c>
      <c r="BC98" s="21" t="str">
        <f>IFERROR(SUBSTITUTE(INDEX($K:$K,MATCH(INDEX($M:$M,MATCH(AT98,$N:$N,0)),$M:$M,0)),$D98,""),"")</f>
        <v xml:space="preserve">夏侯渊 </v>
      </c>
      <c r="BE98" s="9" t="str">
        <f t="shared" si="16"/>
        <v>陆逊,刘备,关羽,赵云,曹操,刘邦,诸葛亮,孙权,夏侯渊</v>
      </c>
      <c r="BI98" s="9" t="str">
        <f>IFERROR(
IF(COUNTIF($M:$M,$AD98)&lt;BI$8,
"",
INDEX($J:$J,MATCH($AD98,$M:$M,0)+BI$8-1)),
"")</f>
        <v>陆逊</v>
      </c>
      <c r="BJ98" s="9" t="str">
        <f>IFERROR(
IF(COUNTIF($M:$M,$AD98)&lt;BJ$8,
"",
INDEX($J:$J,MATCH($AD98,$M:$M,0)+BJ$8-1)),
"")</f>
        <v>刘备</v>
      </c>
      <c r="BK98" s="9" t="str">
        <f>IFERROR(
IF(COUNTIF($M:$M,$AD98)&lt;BK$8,
"",
INDEX($J:$J,MATCH($AD98,$M:$M,0)+BK$8-1)),
"")</f>
        <v/>
      </c>
      <c r="BL98" s="9" t="str">
        <f>IFERROR(
IF(COUNTIF($M:$M,$AD98)&lt;BL$8,
"",
INDEX($J:$J,MATCH($AD98,$M:$M,0)+BL$8-1)),
"")</f>
        <v/>
      </c>
      <c r="BN98" s="21" t="str">
        <f>IFERROR(
IF(COUNTIF($BI98:BM98,INDEX($J:$J,MATCH($AE98,$M:$M,0)+BN$8-1))=0,
IF(COUNTIF($M:$M,$AE98)&lt;BN$8,
"",
INDEX($J:$J,MATCH($AE98,$M:$M,0)+BN$8-1)),
""),
"")</f>
        <v/>
      </c>
      <c r="BO98" s="21" t="str">
        <f>IFERROR(
IF(COUNTIF($BI98:BN98,INDEX($J:$J,MATCH($AE98,$M:$M,0)+BO$8-1))=0,
IF(COUNTIF($M:$M,$AE98)&lt;BO$8,
"",
INDEX($J:$J,MATCH($AE98,$M:$M,0)+BO$8-1)),
""),
"")</f>
        <v>关羽</v>
      </c>
      <c r="BP98" s="21" t="str">
        <f>IFERROR(
IF(COUNTIF($BI98:BO98,INDEX($J:$J,MATCH($AE98,$M:$M,0)+BP$8-1))=0,
IF(COUNTIF($M:$M,$AE98)&lt;BP$8,
"",
INDEX($J:$J,MATCH($AE98,$M:$M,0)+BP$8-1)),
""),
"")</f>
        <v>赵云</v>
      </c>
      <c r="BQ98" s="21" t="str">
        <f>IFERROR(
IF(COUNTIF($BI98:BP98,INDEX($J:$J,MATCH($AE98,$M:$M,0)+BQ$8-1))=0,
IF(COUNTIF($M:$M,$AE98)&lt;BQ$8,
"",
INDEX($J:$J,MATCH($AE98,$M:$M,0)+BQ$8-1)),
""),
"")</f>
        <v/>
      </c>
      <c r="BS98" s="21" t="str">
        <f>IFERROR(
IF(COUNTIF($BI98:BR98,INDEX($J:$J,MATCH($AF98,$M:$M,0)+BS$8-1))=0,
IF(COUNTIF($M:$M,$AF98)&lt;BS$8,
"",
INDEX($J:$J,MATCH($AF98,$M:$M,0)+BS$8-1)),
""),
"")</f>
        <v/>
      </c>
      <c r="BT98" s="21" t="str">
        <f>IFERROR(
IF(COUNTIF($BI98:BS98,INDEX($J:$J,MATCH($AF98,$M:$M,0)+BT$8-1))=0,
IF(COUNTIF($M:$M,$AF98)&lt;BT$8,
"",
INDEX($J:$J,MATCH($AF98,$M:$M,0)+BT$8-1)),
""),
"")</f>
        <v>曹操</v>
      </c>
      <c r="BU98" s="21" t="str">
        <f>IFERROR(
IF(COUNTIF($BI98:BT98,INDEX($J:$J,MATCH($AF98,$M:$M,0)+BU$8-1))=0,
IF(COUNTIF($M:$M,$AF98)&lt;BU$8,
"",
INDEX($J:$J,MATCH($AF98,$M:$M,0)+BU$8-1)),
""),
"")</f>
        <v/>
      </c>
      <c r="BV98" s="21" t="str">
        <f>IFERROR(
IF(COUNTIF($BI98:BU98,INDEX($J:$J,MATCH($AF98,$M:$M,0)+BV$8-1))=0,
IF(COUNTIF($M:$M,$AF98)&lt;BV$8,
"",
INDEX($J:$J,MATCH($AF98,$M:$M,0)+BV$8-1)),
""),
"")</f>
        <v/>
      </c>
      <c r="BX98" s="21" t="str">
        <f>IFERROR(
IF(COUNTIF($BI98:BW98,INDEX($J:$J,MATCH($AG98,$M:$M,0)+BX$8-1))=0,
IF(COUNTIF($M:$M,$AG98)&lt;BX$8,
"",
INDEX($J:$J,MATCH($AG98,$M:$M,0)+BX$8-1)),
""),
"")</f>
        <v/>
      </c>
      <c r="BY98" s="21" t="str">
        <f>IFERROR(
IF(COUNTIF($BI98:BX98,INDEX($J:$J,MATCH($AG98,$M:$M,0)+BY$8-1))=0,
IF(COUNTIF($M:$M,$AG98)&lt;BY$8,
"",
INDEX($J:$J,MATCH($AG98,$M:$M,0)+BY$8-1)),
""),
"")</f>
        <v>刘邦</v>
      </c>
      <c r="BZ98" s="21" t="str">
        <f>IFERROR(
IF(COUNTIF($BI98:BY98,INDEX($J:$J,MATCH($AG98,$M:$M,0)+BZ$8-1))=0,
IF(COUNTIF($M:$M,$AG98)&lt;BZ$8,
"",
INDEX($J:$J,MATCH($AG98,$M:$M,0)+BZ$8-1)),
""),
"")</f>
        <v/>
      </c>
      <c r="CA98" s="21" t="str">
        <f>IFERROR(
IF(COUNTIF($BI98:BZ98,INDEX($J:$J,MATCH($AG98,$M:$M,0)+CA$8-1))=0,
IF(COUNTIF($M:$M,$AG98)&lt;CA$8,
"",
INDEX($J:$J,MATCH($AG98,$M:$M,0)+CA$8-1)),
""),
"")</f>
        <v/>
      </c>
      <c r="CC98" s="21" t="str">
        <f>IFERROR(
IF(COUNTIF($BI98:CB98,INDEX($J:$J,MATCH($AH98,$M:$M,0)+CC$8-1))=0,
IF(COUNTIF($M:$M,$AH98)&lt;CC$8,
"",
INDEX($J:$J,MATCH($AH98,$M:$M,0)+CC$8-1)),
""),
"")</f>
        <v/>
      </c>
      <c r="CD98" s="21" t="str">
        <f>IFERROR(
IF(COUNTIF($BI98:CC98,INDEX($J:$J,MATCH($AH98,$M:$M,0)+CD$8-1))=0,
IF(COUNTIF($M:$M,$AH98)&lt;CD$8,
"",
INDEX($J:$J,MATCH($AH98,$M:$M,0)+CD$8-1)),
""),
"")</f>
        <v/>
      </c>
      <c r="CE98" s="21" t="str">
        <f>IFERROR(
IF(COUNTIF($BI98:CD98,INDEX($J:$J,MATCH($AH98,$M:$M,0)+CE$8-1))=0,
IF(COUNTIF($M:$M,$AH98)&lt;CE$8,
"",
INDEX($J:$J,MATCH($AH98,$M:$M,0)+CE$8-1)),
""),
"")</f>
        <v/>
      </c>
      <c r="CF98" s="21" t="str">
        <f>IFERROR(
IF(COUNTIF($BI98:CE98,INDEX($J:$J,MATCH($AH98,$M:$M,0)+CF$8-1))=0,
IF(COUNTIF($M:$M,$AH98)&lt;CF$8,
"",
INDEX($J:$J,MATCH($AH98,$M:$M,0)+CF$8-1)),
""),
"")</f>
        <v/>
      </c>
      <c r="CH98" s="21" t="str">
        <f>IFERROR(
IF(COUNTIF($BI98:CG98,INDEX($J:$J,MATCH($AI98,$M:$M,0)+CH$8-1))=0,
IF(COUNTIF($M:$M,$AI98)&lt;CH$8,
"",
INDEX($J:$J,MATCH($AI98,$M:$M,0)+CH$8-1)),
""),
"")</f>
        <v>诸葛亮</v>
      </c>
      <c r="CI98" s="21" t="str">
        <f>IFERROR(
IF(COUNTIF($BI98:CH98,INDEX($J:$J,MATCH($AI98,$M:$M,0)+CI$8-1))=0,
IF(COUNTIF($M:$M,$AI98)&lt;CI$8,
"",
INDEX($J:$J,MATCH($AI98,$M:$M,0)+CI$8-1)),
""),
"")</f>
        <v/>
      </c>
      <c r="CJ98" s="21" t="str">
        <f>IFERROR(
IF(COUNTIF($BI98:CI98,INDEX($J:$J,MATCH($AI98,$M:$M,0)+CJ$8-1))=0,
IF(COUNTIF($M:$M,$AI98)&lt;CJ$8,
"",
INDEX($J:$J,MATCH($AI98,$M:$M,0)+CJ$8-1)),
""),
"")</f>
        <v/>
      </c>
      <c r="CK98" s="21" t="str">
        <f>IFERROR(
IF(COUNTIF($BI98:CJ98,INDEX($J:$J,MATCH($AI98,$M:$M,0)+CK$8-1))=0,
IF(COUNTIF($M:$M,$AI98)&lt;CK$8,
"",
INDEX($J:$J,MATCH($AI98,$M:$M,0)+CK$8-1)),
""),
"")</f>
        <v/>
      </c>
      <c r="CM98" s="21" t="str">
        <f>IFERROR(
IF(COUNTIF($BI98:CL98,INDEX($J:$J,MATCH($AJ98,$M:$M,0)+CM$8-1))=0,
IF(COUNTIF($M:$M,$AJ98)&lt;CM$8,
"",
INDEX($J:$J,MATCH($AJ98,$M:$M,0)+CM$8-1)),
""),
"")</f>
        <v>孙权</v>
      </c>
      <c r="CN98" s="21" t="str">
        <f>IFERROR(
IF(COUNTIF($BI98:CM98,INDEX($J:$J,MATCH($AJ98,$M:$M,0)+CN$8-1))=0,
IF(COUNTIF($M:$M,$AJ98)&lt;CN$8,
"",
INDEX($J:$J,MATCH($AJ98,$M:$M,0)+CN$8-1)),
""),
"")</f>
        <v/>
      </c>
      <c r="CO98" s="21" t="str">
        <f>IFERROR(
IF(COUNTIF($BI98:CN98,INDEX($J:$J,MATCH($AJ98,$M:$M,0)+CO$8-1))=0,
IF(COUNTIF($M:$M,$AJ98)&lt;CO$8,
"",
INDEX($J:$J,MATCH($AJ98,$M:$M,0)+CO$8-1)),
""),
"")</f>
        <v/>
      </c>
      <c r="CP98" s="21" t="str">
        <f>IFERROR(
IF(COUNTIF($BI98:CO98,INDEX($J:$J,MATCH($AJ98,$M:$M,0)+CP$8-1))=0,
IF(COUNTIF($M:$M,$AJ98)&lt;CP$8,
"",
INDEX($J:$J,MATCH($AJ98,$M:$M,0)+CP$8-1)),
""),
"")</f>
        <v/>
      </c>
      <c r="CR98" s="21" t="str">
        <f>IFERROR(
IF(COUNTIF($BI98:CQ98,INDEX($J:$J,MATCH($AK98,$M:$M,0)+CR$8-1))=0,
IF(COUNTIF($M:$M,$AK98)&lt;CR$8,
"",
INDEX($J:$J,MATCH($AK98,$M:$M,0)+CR$8-1)),
""),
"")</f>
        <v>夏侯渊</v>
      </c>
      <c r="CS98" s="21" t="str">
        <f>IFERROR(
IF(COUNTIF($BI98:CR98,INDEX($J:$J,MATCH($AK98,$M:$M,0)+CS$8-1))=0,
IF(COUNTIF($M:$M,$AK98)&lt;CS$8,
"",
INDEX($J:$J,MATCH($AK98,$M:$M,0)+CS$8-1)),
""),
"")</f>
        <v/>
      </c>
      <c r="CT98" s="21" t="str">
        <f>IFERROR(
IF(COUNTIF($BI98:CS98,INDEX($J:$J,MATCH($AK98,$M:$M,0)+CT$8-1))=0,
IF(COUNTIF($M:$M,$AK98)&lt;CT$8,
"",
INDEX($J:$J,MATCH($AK98,$M:$M,0)+CT$8-1)),
""),
"")</f>
        <v/>
      </c>
      <c r="CU98" s="21" t="str">
        <f>IFERROR(
IF(COUNTIF($BI98:CT98,INDEX($J:$J,MATCH($AK98,$M:$M,0)+CU$8-1))=0,
IF(COUNTIF($M:$M,$AK98)&lt;CU$8,
"",
INDEX($J:$J,MATCH($AK98,$M:$M,0)+CU$8-1)),
""),
"")</f>
        <v/>
      </c>
    </row>
    <row r="99" spans="3:99" ht="14.25">
      <c r="C99" s="16">
        <v>91</v>
      </c>
      <c r="D99" s="19" t="s">
        <v>475</v>
      </c>
      <c r="E99" s="20">
        <f>INDEX([1]武将基本资料!$S:$S,MATCH(D99,[1]武将基本资料!$N:$N,0))</f>
        <v>130</v>
      </c>
      <c r="F99" s="20" t="str">
        <f>INDEX([1]武将基本资料!$Q:$Q,MATCH(D99,[1]武将基本资料!$N:$N,0))</f>
        <v>橙+</v>
      </c>
      <c r="H99" s="7" t="str">
        <f>IF(I99="","",COUNTA(I$9:$I99))</f>
        <v/>
      </c>
      <c r="I99" s="6" t="s">
        <v>188</v>
      </c>
      <c r="J99" s="6" t="s">
        <v>156</v>
      </c>
      <c r="K99" s="8" t="str">
        <f>IF(H99="","",阶段合并区域(J99:J109," ",L99:L109,1))</f>
        <v/>
      </c>
      <c r="L99" s="8">
        <f>COUNTIF(M$8:$M99,"="&amp;M99)</f>
        <v>2</v>
      </c>
      <c r="M99" s="9" t="str">
        <f t="shared" si="13"/>
        <v>建功立业</v>
      </c>
      <c r="N99" s="9" t="str">
        <f t="shared" si="14"/>
        <v>建功立业2</v>
      </c>
      <c r="O99" s="15">
        <f>INDEX(C:C,MATCH(J99,D:D,0))</f>
        <v>53</v>
      </c>
      <c r="P99" s="9">
        <f>INDEX(E:E,MATCH(J99,D:D,0))</f>
        <v>110</v>
      </c>
      <c r="Q99" s="7">
        <f t="shared" si="10"/>
        <v>53</v>
      </c>
      <c r="R99" s="7">
        <f>COUNTIF(J$8:$J99,"="&amp;J99)</f>
        <v>2</v>
      </c>
      <c r="S99" s="7">
        <f t="shared" si="11"/>
        <v>2053</v>
      </c>
      <c r="U99" s="7">
        <f t="shared" si="19"/>
        <v>1091</v>
      </c>
      <c r="V99" s="7">
        <f t="shared" si="19"/>
        <v>2091</v>
      </c>
      <c r="W99" s="7">
        <f t="shared" si="19"/>
        <v>3091</v>
      </c>
      <c r="X99" s="7">
        <f t="shared" si="19"/>
        <v>4091</v>
      </c>
      <c r="Y99" s="7">
        <f t="shared" si="19"/>
        <v>5091</v>
      </c>
      <c r="Z99" s="7">
        <f t="shared" si="19"/>
        <v>6091</v>
      </c>
      <c r="AA99" s="7">
        <f t="shared" si="19"/>
        <v>7091</v>
      </c>
      <c r="AB99" s="7">
        <f t="shared" si="19"/>
        <v>8091</v>
      </c>
      <c r="AD99" s="21" t="str">
        <f>IFERROR(INDEX($M:$M,MATCH(U99,$S:$S,0)),"&amp;")</f>
        <v>文韬武略</v>
      </c>
      <c r="AE99" s="21" t="str">
        <f>IFERROR(INDEX($M:$M,MATCH(V99,$S:$S,0)),"&amp;")</f>
        <v>夷陵之战</v>
      </c>
      <c r="AF99" s="21" t="str">
        <f>IFERROR(INDEX($M:$M,MATCH(W99,$S:$S,0)),"&amp;")</f>
        <v>袭取荆襄</v>
      </c>
      <c r="AG99" s="21" t="str">
        <f>IFERROR(INDEX($M:$M,MATCH(X99,$S:$S,0)),"&amp;")</f>
        <v>智囊军师</v>
      </c>
      <c r="AH99" s="21" t="str">
        <f>IFERROR(INDEX($M:$M,MATCH(Y99,$S:$S,0)),"&amp;")</f>
        <v>&amp;</v>
      </c>
      <c r="AI99" s="21" t="str">
        <f>IFERROR(INDEX($M:$M,MATCH(Z99,$S:$S,0)),"&amp;")</f>
        <v>&amp;</v>
      </c>
      <c r="AJ99" s="21" t="str">
        <f>IFERROR(INDEX($M:$M,MATCH(AA99,$S:$S,0)),"&amp;")</f>
        <v>&amp;</v>
      </c>
      <c r="AK99" s="21" t="str">
        <f>IFERROR(INDEX($M:$M,MATCH(AB99,$S:$S,0)),"&amp;")</f>
        <v>&amp;</v>
      </c>
      <c r="AM99" s="21" t="str">
        <f>IFERROR(INDEX($N:$N,MATCH(U99,$S:$S,0)),"&amp;")</f>
        <v>文韬武略1</v>
      </c>
      <c r="AN99" s="21" t="str">
        <f>IFERROR(INDEX($N:$N,MATCH(V99,$S:$S,0)),"&amp;")</f>
        <v>夷陵之战1</v>
      </c>
      <c r="AO99" s="21" t="str">
        <f>IFERROR(INDEX($N:$N,MATCH(W99,$S:$S,0)),"&amp;")</f>
        <v>袭取荆襄1</v>
      </c>
      <c r="AP99" s="21" t="str">
        <f>IFERROR(INDEX($N:$N,MATCH(X99,$S:$S,0)),"&amp;")</f>
        <v>智囊军师3</v>
      </c>
      <c r="AQ99" s="21" t="str">
        <f>IFERROR(INDEX($N:$N,MATCH(Y99,$S:$S,0)),"&amp;")</f>
        <v>&amp;</v>
      </c>
      <c r="AR99" s="21" t="str">
        <f>IFERROR(INDEX($N:$N,MATCH(Z99,$S:$S,0)),"&amp;")</f>
        <v>&amp;</v>
      </c>
      <c r="AS99" s="21" t="str">
        <f>IFERROR(INDEX($N:$N,MATCH(AA99,$S:$S,0)),"&amp;")</f>
        <v>&amp;</v>
      </c>
      <c r="AT99" s="21" t="str">
        <f>IFERROR(INDEX($N:$N,MATCH(AB99,$S:$S,0)),"&amp;")</f>
        <v>&amp;</v>
      </c>
      <c r="AV99" s="21" t="str">
        <f>IFERROR(SUBSTITUTE(INDEX($K:$K,MATCH(INDEX($M:$M,MATCH(AM99,$N:$N,0)),$M:$M,0)),$D99,""),"")</f>
        <v xml:space="preserve"> 吴起 伍子胥 田单</v>
      </c>
      <c r="AW99" s="21" t="str">
        <f>IFERROR(SUBSTITUTE(INDEX($K:$K,MATCH(INDEX($M:$M,MATCH(AN99,$N:$N,0)),$M:$M,0)),$D99,""),"")</f>
        <v xml:space="preserve"> 刘备</v>
      </c>
      <c r="AX99" s="21" t="str">
        <f>IFERROR(SUBSTITUTE(INDEX($K:$K,MATCH(INDEX($M:$M,MATCH(AO99,$N:$N,0)),$M:$M,0)),$D99,""),"")</f>
        <v xml:space="preserve"> 关羽</v>
      </c>
      <c r="AY99" s="21" t="str">
        <f>IFERROR(SUBSTITUTE(INDEX($K:$K,MATCH(INDEX($M:$M,MATCH(AP99,$N:$N,0)),$M:$M,0)),$D99,""),"")</f>
        <v>韩信  司马懿</v>
      </c>
      <c r="AZ99" s="21" t="str">
        <f>IFERROR(SUBSTITUTE(INDEX($K:$K,MATCH(INDEX($M:$M,MATCH(AQ99,$N:$N,0)),$M:$M,0)),$D99,""),"")</f>
        <v/>
      </c>
      <c r="BA99" s="21" t="str">
        <f>IFERROR(SUBSTITUTE(INDEX($K:$K,MATCH(INDEX($M:$M,MATCH(AR99,$N:$N,0)),$M:$M,0)),$D99,""),"")</f>
        <v/>
      </c>
      <c r="BB99" s="21" t="str">
        <f>IFERROR(SUBSTITUTE(INDEX($K:$K,MATCH(INDEX($M:$M,MATCH(AS99,$N:$N,0)),$M:$M,0)),$D99,""),"")</f>
        <v/>
      </c>
      <c r="BC99" s="21" t="str">
        <f>IFERROR(SUBSTITUTE(INDEX($K:$K,MATCH(INDEX($M:$M,MATCH(AT99,$N:$N,0)),$M:$M,0)),$D99,""),"")</f>
        <v/>
      </c>
      <c r="BE99" s="9" t="str">
        <f t="shared" si="16"/>
        <v>陆逊,吴起,伍子胥,田单,刘备,关羽,司马懿,韩信</v>
      </c>
      <c r="BI99" s="9" t="str">
        <f>IFERROR(
IF(COUNTIF($M:$M,$AD99)&lt;BI$8,
"",
INDEX($J:$J,MATCH($AD99,$M:$M,0)+BI$8-1)),
"")</f>
        <v>陆逊</v>
      </c>
      <c r="BJ99" s="9" t="str">
        <f>IFERROR(
IF(COUNTIF($M:$M,$AD99)&lt;BJ$8,
"",
INDEX($J:$J,MATCH($AD99,$M:$M,0)+BJ$8-1)),
"")</f>
        <v>吴起</v>
      </c>
      <c r="BK99" s="9" t="str">
        <f>IFERROR(
IF(COUNTIF($M:$M,$AD99)&lt;BK$8,
"",
INDEX($J:$J,MATCH($AD99,$M:$M,0)+BK$8-1)),
"")</f>
        <v>伍子胥</v>
      </c>
      <c r="BL99" s="9" t="str">
        <f>IFERROR(
IF(COUNTIF($M:$M,$AD99)&lt;BL$8,
"",
INDEX($J:$J,MATCH($AD99,$M:$M,0)+BL$8-1)),
"")</f>
        <v>田单</v>
      </c>
      <c r="BN99" s="21" t="str">
        <f>IFERROR(
IF(COUNTIF($BI99:BM99,INDEX($J:$J,MATCH($AE99,$M:$M,0)+BN$8-1))=0,
IF(COUNTIF($M:$M,$AE99)&lt;BN$8,
"",
INDEX($J:$J,MATCH($AE99,$M:$M,0)+BN$8-1)),
""),
"")</f>
        <v/>
      </c>
      <c r="BO99" s="21" t="str">
        <f>IFERROR(
IF(COUNTIF($BI99:BN99,INDEX($J:$J,MATCH($AE99,$M:$M,0)+BO$8-1))=0,
IF(COUNTIF($M:$M,$AE99)&lt;BO$8,
"",
INDEX($J:$J,MATCH($AE99,$M:$M,0)+BO$8-1)),
""),
"")</f>
        <v>刘备</v>
      </c>
      <c r="BP99" s="21" t="str">
        <f>IFERROR(
IF(COUNTIF($BI99:BO99,INDEX($J:$J,MATCH($AE99,$M:$M,0)+BP$8-1))=0,
IF(COUNTIF($M:$M,$AE99)&lt;BP$8,
"",
INDEX($J:$J,MATCH($AE99,$M:$M,0)+BP$8-1)),
""),
"")</f>
        <v/>
      </c>
      <c r="BQ99" s="21" t="str">
        <f>IFERROR(
IF(COUNTIF($BI99:BP99,INDEX($J:$J,MATCH($AE99,$M:$M,0)+BQ$8-1))=0,
IF(COUNTIF($M:$M,$AE99)&lt;BQ$8,
"",
INDEX($J:$J,MATCH($AE99,$M:$M,0)+BQ$8-1)),
""),
"")</f>
        <v/>
      </c>
      <c r="BS99" s="21" t="str">
        <f>IFERROR(
IF(COUNTIF($BI99:BR99,INDEX($J:$J,MATCH($AF99,$M:$M,0)+BS$8-1))=0,
IF(COUNTIF($M:$M,$AF99)&lt;BS$8,
"",
INDEX($J:$J,MATCH($AF99,$M:$M,0)+BS$8-1)),
""),
"")</f>
        <v/>
      </c>
      <c r="BT99" s="21" t="str">
        <f>IFERROR(
IF(COUNTIF($BI99:BS99,INDEX($J:$J,MATCH($AF99,$M:$M,0)+BT$8-1))=0,
IF(COUNTIF($M:$M,$AF99)&lt;BT$8,
"",
INDEX($J:$J,MATCH($AF99,$M:$M,0)+BT$8-1)),
""),
"")</f>
        <v>关羽</v>
      </c>
      <c r="BU99" s="21" t="str">
        <f>IFERROR(
IF(COUNTIF($BI99:BT99,INDEX($J:$J,MATCH($AF99,$M:$M,0)+BU$8-1))=0,
IF(COUNTIF($M:$M,$AF99)&lt;BU$8,
"",
INDEX($J:$J,MATCH($AF99,$M:$M,0)+BU$8-1)),
""),
"")</f>
        <v/>
      </c>
      <c r="BV99" s="21" t="str">
        <f>IFERROR(
IF(COUNTIF($BI99:BU99,INDEX($J:$J,MATCH($AF99,$M:$M,0)+BV$8-1))=0,
IF(COUNTIF($M:$M,$AF99)&lt;BV$8,
"",
INDEX($J:$J,MATCH($AF99,$M:$M,0)+BV$8-1)),
""),
"")</f>
        <v/>
      </c>
      <c r="BX99" s="21" t="str">
        <f>IFERROR(
IF(COUNTIF($BI99:BW99,INDEX($J:$J,MATCH($AG99,$M:$M,0)+BX$8-1))=0,
IF(COUNTIF($M:$M,$AG99)&lt;BX$8,
"",
INDEX($J:$J,MATCH($AG99,$M:$M,0)+BX$8-1)),
""),
"")</f>
        <v>司马懿</v>
      </c>
      <c r="BY99" s="21" t="str">
        <f>IFERROR(
IF(COUNTIF($BI99:BX99,INDEX($J:$J,MATCH($AG99,$M:$M,0)+BY$8-1))=0,
IF(COUNTIF($M:$M,$AG99)&lt;BY$8,
"",
INDEX($J:$J,MATCH($AG99,$M:$M,0)+BY$8-1)),
""),
"")</f>
        <v>韩信</v>
      </c>
      <c r="BZ99" s="21" t="str">
        <f>IFERROR(
IF(COUNTIF($BI99:BY99,INDEX($J:$J,MATCH($AG99,$M:$M,0)+BZ$8-1))=0,
IF(COUNTIF($M:$M,$AG99)&lt;BZ$8,
"",
INDEX($J:$J,MATCH($AG99,$M:$M,0)+BZ$8-1)),
""),
"")</f>
        <v/>
      </c>
      <c r="CA99" s="21" t="str">
        <f>IFERROR(
IF(COUNTIF($BI99:BZ99,INDEX($J:$J,MATCH($AG99,$M:$M,0)+CA$8-1))=0,
IF(COUNTIF($M:$M,$AG99)&lt;CA$8,
"",
INDEX($J:$J,MATCH($AG99,$M:$M,0)+CA$8-1)),
""),
"")</f>
        <v/>
      </c>
      <c r="CC99" s="21" t="str">
        <f>IFERROR(
IF(COUNTIF($BI99:CB99,INDEX($J:$J,MATCH($AH99,$M:$M,0)+CC$8-1))=0,
IF(COUNTIF($M:$M,$AH99)&lt;CC$8,
"",
INDEX($J:$J,MATCH($AH99,$M:$M,0)+CC$8-1)),
""),
"")</f>
        <v/>
      </c>
      <c r="CD99" s="21" t="str">
        <f>IFERROR(
IF(COUNTIF($BI99:CC99,INDEX($J:$J,MATCH($AH99,$M:$M,0)+CD$8-1))=0,
IF(COUNTIF($M:$M,$AH99)&lt;CD$8,
"",
INDEX($J:$J,MATCH($AH99,$M:$M,0)+CD$8-1)),
""),
"")</f>
        <v/>
      </c>
      <c r="CE99" s="21" t="str">
        <f>IFERROR(
IF(COUNTIF($BI99:CD99,INDEX($J:$J,MATCH($AH99,$M:$M,0)+CE$8-1))=0,
IF(COUNTIF($M:$M,$AH99)&lt;CE$8,
"",
INDEX($J:$J,MATCH($AH99,$M:$M,0)+CE$8-1)),
""),
"")</f>
        <v/>
      </c>
      <c r="CF99" s="21" t="str">
        <f>IFERROR(
IF(COUNTIF($BI99:CE99,INDEX($J:$J,MATCH($AH99,$M:$M,0)+CF$8-1))=0,
IF(COUNTIF($M:$M,$AH99)&lt;CF$8,
"",
INDEX($J:$J,MATCH($AH99,$M:$M,0)+CF$8-1)),
""),
"")</f>
        <v/>
      </c>
      <c r="CH99" s="21" t="str">
        <f>IFERROR(
IF(COUNTIF($BI99:CG99,INDEX($J:$J,MATCH($AI99,$M:$M,0)+CH$8-1))=0,
IF(COUNTIF($M:$M,$AI99)&lt;CH$8,
"",
INDEX($J:$J,MATCH($AI99,$M:$M,0)+CH$8-1)),
""),
"")</f>
        <v/>
      </c>
      <c r="CI99" s="21" t="str">
        <f>IFERROR(
IF(COUNTIF($BI99:CH99,INDEX($J:$J,MATCH($AI99,$M:$M,0)+CI$8-1))=0,
IF(COUNTIF($M:$M,$AI99)&lt;CI$8,
"",
INDEX($J:$J,MATCH($AI99,$M:$M,0)+CI$8-1)),
""),
"")</f>
        <v/>
      </c>
      <c r="CJ99" s="21" t="str">
        <f>IFERROR(
IF(COUNTIF($BI99:CI99,INDEX($J:$J,MATCH($AI99,$M:$M,0)+CJ$8-1))=0,
IF(COUNTIF($M:$M,$AI99)&lt;CJ$8,
"",
INDEX($J:$J,MATCH($AI99,$M:$M,0)+CJ$8-1)),
""),
"")</f>
        <v/>
      </c>
      <c r="CK99" s="21" t="str">
        <f>IFERROR(
IF(COUNTIF($BI99:CJ99,INDEX($J:$J,MATCH($AI99,$M:$M,0)+CK$8-1))=0,
IF(COUNTIF($M:$M,$AI99)&lt;CK$8,
"",
INDEX($J:$J,MATCH($AI99,$M:$M,0)+CK$8-1)),
""),
"")</f>
        <v/>
      </c>
      <c r="CM99" s="21" t="str">
        <f>IFERROR(
IF(COUNTIF($BI99:CL99,INDEX($J:$J,MATCH($AJ99,$M:$M,0)+CM$8-1))=0,
IF(COUNTIF($M:$M,$AJ99)&lt;CM$8,
"",
INDEX($J:$J,MATCH($AJ99,$M:$M,0)+CM$8-1)),
""),
"")</f>
        <v/>
      </c>
      <c r="CN99" s="21" t="str">
        <f>IFERROR(
IF(COUNTIF($BI99:CM99,INDEX($J:$J,MATCH($AJ99,$M:$M,0)+CN$8-1))=0,
IF(COUNTIF($M:$M,$AJ99)&lt;CN$8,
"",
INDEX($J:$J,MATCH($AJ99,$M:$M,0)+CN$8-1)),
""),
"")</f>
        <v/>
      </c>
      <c r="CO99" s="21" t="str">
        <f>IFERROR(
IF(COUNTIF($BI99:CN99,INDEX($J:$J,MATCH($AJ99,$M:$M,0)+CO$8-1))=0,
IF(COUNTIF($M:$M,$AJ99)&lt;CO$8,
"",
INDEX($J:$J,MATCH($AJ99,$M:$M,0)+CO$8-1)),
""),
"")</f>
        <v/>
      </c>
      <c r="CP99" s="21" t="str">
        <f>IFERROR(
IF(COUNTIF($BI99:CO99,INDEX($J:$J,MATCH($AJ99,$M:$M,0)+CP$8-1))=0,
IF(COUNTIF($M:$M,$AJ99)&lt;CP$8,
"",
INDEX($J:$J,MATCH($AJ99,$M:$M,0)+CP$8-1)),
""),
"")</f>
        <v/>
      </c>
      <c r="CR99" s="21" t="str">
        <f>IFERROR(
IF(COUNTIF($BI99:CQ99,INDEX($J:$J,MATCH($AK99,$M:$M,0)+CR$8-1))=0,
IF(COUNTIF($M:$M,$AK99)&lt;CR$8,
"",
INDEX($J:$J,MATCH($AK99,$M:$M,0)+CR$8-1)),
""),
"")</f>
        <v/>
      </c>
      <c r="CS99" s="21" t="str">
        <f>IFERROR(
IF(COUNTIF($BI99:CR99,INDEX($J:$J,MATCH($AK99,$M:$M,0)+CS$8-1))=0,
IF(COUNTIF($M:$M,$AK99)&lt;CS$8,
"",
INDEX($J:$J,MATCH($AK99,$M:$M,0)+CS$8-1)),
""),
"")</f>
        <v/>
      </c>
      <c r="CT99" s="21" t="str">
        <f>IFERROR(
IF(COUNTIF($BI99:CS99,INDEX($J:$J,MATCH($AK99,$M:$M,0)+CT$8-1))=0,
IF(COUNTIF($M:$M,$AK99)&lt;CT$8,
"",
INDEX($J:$J,MATCH($AK99,$M:$M,0)+CT$8-1)),
""),
"")</f>
        <v/>
      </c>
      <c r="CU99" s="21" t="str">
        <f>IFERROR(
IF(COUNTIF($BI99:CT99,INDEX($J:$J,MATCH($AK99,$M:$M,0)+CU$8-1))=0,
IF(COUNTIF($M:$M,$AK99)&lt;CU$8,
"",
INDEX($J:$J,MATCH($AK99,$M:$M,0)+CU$8-1)),
""),
"")</f>
        <v/>
      </c>
    </row>
    <row r="100" spans="3:99" ht="14.25">
      <c r="C100" s="16">
        <v>92</v>
      </c>
      <c r="D100" s="19" t="s">
        <v>480</v>
      </c>
      <c r="E100" s="20">
        <f>INDEX([1]武将基本资料!$S:$S,MATCH(D100,[1]武将基本资料!$N:$N,0))</f>
        <v>130</v>
      </c>
      <c r="F100" s="20" t="str">
        <f>INDEX([1]武将基本资料!$Q:$Q,MATCH(D100,[1]武将基本资料!$N:$N,0))</f>
        <v>橙+</v>
      </c>
      <c r="H100" s="7">
        <f>IF(I100="","",COUNTA(I$9:$I100))</f>
        <v>90</v>
      </c>
      <c r="I100" s="22" t="s">
        <v>214</v>
      </c>
      <c r="J100" s="6" t="s">
        <v>82</v>
      </c>
      <c r="K100" s="8" t="str">
        <f>IF(H100="","",阶段合并区域(J100:J110," ",L100:L110,1))</f>
        <v>韩非子 吕不韦</v>
      </c>
      <c r="L100" s="8">
        <f>COUNTIF(M$8:$M100,"="&amp;M100)</f>
        <v>1</v>
      </c>
      <c r="M100" s="9" t="str">
        <f t="shared" si="13"/>
        <v>生死予夺</v>
      </c>
      <c r="N100" s="9" t="str">
        <f t="shared" si="14"/>
        <v>生死予夺1</v>
      </c>
      <c r="O100" s="15">
        <f>INDEX(C:C,MATCH(J100,D:D,0))</f>
        <v>52</v>
      </c>
      <c r="P100" s="9">
        <f>INDEX(E:E,MATCH(J100,D:D,0))</f>
        <v>120</v>
      </c>
      <c r="Q100" s="7">
        <f t="shared" si="10"/>
        <v>52</v>
      </c>
      <c r="R100" s="7">
        <f>COUNTIF(J$8:$J100,"="&amp;J100)</f>
        <v>3</v>
      </c>
      <c r="S100" s="7">
        <f t="shared" si="11"/>
        <v>3052</v>
      </c>
      <c r="U100" s="7">
        <f t="shared" si="19"/>
        <v>1092</v>
      </c>
      <c r="V100" s="7">
        <f t="shared" si="19"/>
        <v>2092</v>
      </c>
      <c r="W100" s="7">
        <f t="shared" si="19"/>
        <v>3092</v>
      </c>
      <c r="X100" s="7">
        <f t="shared" si="19"/>
        <v>4092</v>
      </c>
      <c r="Y100" s="7">
        <f t="shared" si="19"/>
        <v>5092</v>
      </c>
      <c r="Z100" s="7">
        <f t="shared" si="19"/>
        <v>6092</v>
      </c>
      <c r="AA100" s="7">
        <f t="shared" si="19"/>
        <v>7092</v>
      </c>
      <c r="AB100" s="7">
        <f t="shared" si="19"/>
        <v>8092</v>
      </c>
      <c r="AD100" s="21" t="str">
        <f>IFERROR(INDEX($M:$M,MATCH(U100,$S:$S,0)),"&amp;")</f>
        <v>官渡之战</v>
      </c>
      <c r="AE100" s="21" t="str">
        <f>IFERROR(INDEX($M:$M,MATCH(V100,$S:$S,0)),"&amp;")</f>
        <v>会盟讨董</v>
      </c>
      <c r="AF100" s="21" t="str">
        <f>IFERROR(INDEX($M:$M,MATCH(W100,$S:$S,0)),"&amp;")</f>
        <v>刚愎自用</v>
      </c>
      <c r="AG100" s="21" t="str">
        <f>IFERROR(INDEX($M:$M,MATCH(X100,$S:$S,0)),"&amp;")</f>
        <v>&amp;</v>
      </c>
      <c r="AH100" s="21" t="str">
        <f>IFERROR(INDEX($M:$M,MATCH(Y100,$S:$S,0)),"&amp;")</f>
        <v>&amp;</v>
      </c>
      <c r="AI100" s="21" t="str">
        <f>IFERROR(INDEX($M:$M,MATCH(Z100,$S:$S,0)),"&amp;")</f>
        <v>&amp;</v>
      </c>
      <c r="AJ100" s="21" t="str">
        <f>IFERROR(INDEX($M:$M,MATCH(AA100,$S:$S,0)),"&amp;")</f>
        <v>&amp;</v>
      </c>
      <c r="AK100" s="21" t="str">
        <f>IFERROR(INDEX($M:$M,MATCH(AB100,$S:$S,0)),"&amp;")</f>
        <v>&amp;</v>
      </c>
      <c r="AM100" s="21" t="str">
        <f>IFERROR(INDEX($N:$N,MATCH(U100,$S:$S,0)),"&amp;")</f>
        <v>官渡之战1</v>
      </c>
      <c r="AN100" s="21" t="str">
        <f>IFERROR(INDEX($N:$N,MATCH(V100,$S:$S,0)),"&amp;")</f>
        <v>会盟讨董1</v>
      </c>
      <c r="AO100" s="21" t="str">
        <f>IFERROR(INDEX($N:$N,MATCH(W100,$S:$S,0)),"&amp;")</f>
        <v>刚愎自用1</v>
      </c>
      <c r="AP100" s="21" t="str">
        <f>IFERROR(INDEX($N:$N,MATCH(X100,$S:$S,0)),"&amp;")</f>
        <v>&amp;</v>
      </c>
      <c r="AQ100" s="21" t="str">
        <f>IFERROR(INDEX($N:$N,MATCH(Y100,$S:$S,0)),"&amp;")</f>
        <v>&amp;</v>
      </c>
      <c r="AR100" s="21" t="str">
        <f>IFERROR(INDEX($N:$N,MATCH(Z100,$S:$S,0)),"&amp;")</f>
        <v>&amp;</v>
      </c>
      <c r="AS100" s="21" t="str">
        <f>IFERROR(INDEX($N:$N,MATCH(AA100,$S:$S,0)),"&amp;")</f>
        <v>&amp;</v>
      </c>
      <c r="AT100" s="21" t="str">
        <f>IFERROR(INDEX($N:$N,MATCH(AB100,$S:$S,0)),"&amp;")</f>
        <v>&amp;</v>
      </c>
      <c r="AV100" s="21" t="str">
        <f>IFERROR(SUBSTITUTE(INDEX($K:$K,MATCH(INDEX($M:$M,MATCH(AM100,$N:$N,0)),$M:$M,0)),$D100,""),"")</f>
        <v xml:space="preserve"> 曹操</v>
      </c>
      <c r="AW100" s="21" t="str">
        <f>IFERROR(SUBSTITUTE(INDEX($K:$K,MATCH(INDEX($M:$M,MATCH(AN100,$N:$N,0)),$M:$M,0)),$D100,""),"")</f>
        <v xml:space="preserve"> 董卓</v>
      </c>
      <c r="AX100" s="21" t="str">
        <f>IFERROR(SUBSTITUTE(INDEX($K:$K,MATCH(INDEX($M:$M,MATCH(AO100,$N:$N,0)),$M:$M,0)),$D100,""),"")</f>
        <v xml:space="preserve"> 赵括</v>
      </c>
      <c r="AY100" s="21" t="str">
        <f>IFERROR(SUBSTITUTE(INDEX($K:$K,MATCH(INDEX($M:$M,MATCH(AP100,$N:$N,0)),$M:$M,0)),$D100,""),"")</f>
        <v/>
      </c>
      <c r="AZ100" s="21" t="str">
        <f>IFERROR(SUBSTITUTE(INDEX($K:$K,MATCH(INDEX($M:$M,MATCH(AQ100,$N:$N,0)),$M:$M,0)),$D100,""),"")</f>
        <v/>
      </c>
      <c r="BA100" s="21" t="str">
        <f>IFERROR(SUBSTITUTE(INDEX($K:$K,MATCH(INDEX($M:$M,MATCH(AR100,$N:$N,0)),$M:$M,0)),$D100,""),"")</f>
        <v/>
      </c>
      <c r="BB100" s="21" t="str">
        <f>IFERROR(SUBSTITUTE(INDEX($K:$K,MATCH(INDEX($M:$M,MATCH(AS100,$N:$N,0)),$M:$M,0)),$D100,""),"")</f>
        <v/>
      </c>
      <c r="BC100" s="21" t="str">
        <f>IFERROR(SUBSTITUTE(INDEX($K:$K,MATCH(INDEX($M:$M,MATCH(AT100,$N:$N,0)),$M:$M,0)),$D100,""),"")</f>
        <v/>
      </c>
      <c r="BE100" s="9" t="str">
        <f t="shared" si="16"/>
        <v>袁绍,曹操,董卓,赵括</v>
      </c>
      <c r="BI100" s="9" t="str">
        <f>IFERROR(
IF(COUNTIF($M:$M,$AD100)&lt;BI$8,
"",
INDEX($J:$J,MATCH($AD100,$M:$M,0)+BI$8-1)),
"")</f>
        <v>袁绍</v>
      </c>
      <c r="BJ100" s="9" t="str">
        <f>IFERROR(
IF(COUNTIF($M:$M,$AD100)&lt;BJ$8,
"",
INDEX($J:$J,MATCH($AD100,$M:$M,0)+BJ$8-1)),
"")</f>
        <v>曹操</v>
      </c>
      <c r="BK100" s="9" t="str">
        <f>IFERROR(
IF(COUNTIF($M:$M,$AD100)&lt;BK$8,
"",
INDEX($J:$J,MATCH($AD100,$M:$M,0)+BK$8-1)),
"")</f>
        <v/>
      </c>
      <c r="BL100" s="9" t="str">
        <f>IFERROR(
IF(COUNTIF($M:$M,$AD100)&lt;BL$8,
"",
INDEX($J:$J,MATCH($AD100,$M:$M,0)+BL$8-1)),
"")</f>
        <v/>
      </c>
      <c r="BN100" s="21" t="str">
        <f>IFERROR(
IF(COUNTIF($BI100:BM100,INDEX($J:$J,MATCH($AE100,$M:$M,0)+BN$8-1))=0,
IF(COUNTIF($M:$M,$AE100)&lt;BN$8,
"",
INDEX($J:$J,MATCH($AE100,$M:$M,0)+BN$8-1)),
""),
"")</f>
        <v/>
      </c>
      <c r="BO100" s="21" t="str">
        <f>IFERROR(
IF(COUNTIF($BI100:BN100,INDEX($J:$J,MATCH($AE100,$M:$M,0)+BO$8-1))=0,
IF(COUNTIF($M:$M,$AE100)&lt;BO$8,
"",
INDEX($J:$J,MATCH($AE100,$M:$M,0)+BO$8-1)),
""),
"")</f>
        <v>董卓</v>
      </c>
      <c r="BP100" s="21" t="str">
        <f>IFERROR(
IF(COUNTIF($BI100:BO100,INDEX($J:$J,MATCH($AE100,$M:$M,0)+BP$8-1))=0,
IF(COUNTIF($M:$M,$AE100)&lt;BP$8,
"",
INDEX($J:$J,MATCH($AE100,$M:$M,0)+BP$8-1)),
""),
"")</f>
        <v/>
      </c>
      <c r="BQ100" s="21" t="str">
        <f>IFERROR(
IF(COUNTIF($BI100:BP100,INDEX($J:$J,MATCH($AE100,$M:$M,0)+BQ$8-1))=0,
IF(COUNTIF($M:$M,$AE100)&lt;BQ$8,
"",
INDEX($J:$J,MATCH($AE100,$M:$M,0)+BQ$8-1)),
""),
"")</f>
        <v/>
      </c>
      <c r="BS100" s="21" t="str">
        <f>IFERROR(
IF(COUNTIF($BI100:BR100,INDEX($J:$J,MATCH($AF100,$M:$M,0)+BS$8-1))=0,
IF(COUNTIF($M:$M,$AF100)&lt;BS$8,
"",
INDEX($J:$J,MATCH($AF100,$M:$M,0)+BS$8-1)),
""),
"")</f>
        <v/>
      </c>
      <c r="BT100" s="21" t="str">
        <f>IFERROR(
IF(COUNTIF($BI100:BS100,INDEX($J:$J,MATCH($AF100,$M:$M,0)+BT$8-1))=0,
IF(COUNTIF($M:$M,$AF100)&lt;BT$8,
"",
INDEX($J:$J,MATCH($AF100,$M:$M,0)+BT$8-1)),
""),
"")</f>
        <v>赵括</v>
      </c>
      <c r="BU100" s="21" t="str">
        <f>IFERROR(
IF(COUNTIF($BI100:BT100,INDEX($J:$J,MATCH($AF100,$M:$M,0)+BU$8-1))=0,
IF(COUNTIF($M:$M,$AF100)&lt;BU$8,
"",
INDEX($J:$J,MATCH($AF100,$M:$M,0)+BU$8-1)),
""),
"")</f>
        <v/>
      </c>
      <c r="BV100" s="21" t="str">
        <f>IFERROR(
IF(COUNTIF($BI100:BU100,INDEX($J:$J,MATCH($AF100,$M:$M,0)+BV$8-1))=0,
IF(COUNTIF($M:$M,$AF100)&lt;BV$8,
"",
INDEX($J:$J,MATCH($AF100,$M:$M,0)+BV$8-1)),
""),
"")</f>
        <v/>
      </c>
      <c r="BX100" s="21" t="str">
        <f>IFERROR(
IF(COUNTIF($BI100:BW100,INDEX($J:$J,MATCH($AG100,$M:$M,0)+BX$8-1))=0,
IF(COUNTIF($M:$M,$AG100)&lt;BX$8,
"",
INDEX($J:$J,MATCH($AG100,$M:$M,0)+BX$8-1)),
""),
"")</f>
        <v/>
      </c>
      <c r="BY100" s="21" t="str">
        <f>IFERROR(
IF(COUNTIF($BI100:BX100,INDEX($J:$J,MATCH($AG100,$M:$M,0)+BY$8-1))=0,
IF(COUNTIF($M:$M,$AG100)&lt;BY$8,
"",
INDEX($J:$J,MATCH($AG100,$M:$M,0)+BY$8-1)),
""),
"")</f>
        <v/>
      </c>
      <c r="BZ100" s="21" t="str">
        <f>IFERROR(
IF(COUNTIF($BI100:BY100,INDEX($J:$J,MATCH($AG100,$M:$M,0)+BZ$8-1))=0,
IF(COUNTIF($M:$M,$AG100)&lt;BZ$8,
"",
INDEX($J:$J,MATCH($AG100,$M:$M,0)+BZ$8-1)),
""),
"")</f>
        <v/>
      </c>
      <c r="CA100" s="21" t="str">
        <f>IFERROR(
IF(COUNTIF($BI100:BZ100,INDEX($J:$J,MATCH($AG100,$M:$M,0)+CA$8-1))=0,
IF(COUNTIF($M:$M,$AG100)&lt;CA$8,
"",
INDEX($J:$J,MATCH($AG100,$M:$M,0)+CA$8-1)),
""),
"")</f>
        <v/>
      </c>
      <c r="CC100" s="21" t="str">
        <f>IFERROR(
IF(COUNTIF($BI100:CB100,INDEX($J:$J,MATCH($AH100,$M:$M,0)+CC$8-1))=0,
IF(COUNTIF($M:$M,$AH100)&lt;CC$8,
"",
INDEX($J:$J,MATCH($AH100,$M:$M,0)+CC$8-1)),
""),
"")</f>
        <v/>
      </c>
      <c r="CD100" s="21" t="str">
        <f>IFERROR(
IF(COUNTIF($BI100:CC100,INDEX($J:$J,MATCH($AH100,$M:$M,0)+CD$8-1))=0,
IF(COUNTIF($M:$M,$AH100)&lt;CD$8,
"",
INDEX($J:$J,MATCH($AH100,$M:$M,0)+CD$8-1)),
""),
"")</f>
        <v/>
      </c>
      <c r="CE100" s="21" t="str">
        <f>IFERROR(
IF(COUNTIF($BI100:CD100,INDEX($J:$J,MATCH($AH100,$M:$M,0)+CE$8-1))=0,
IF(COUNTIF($M:$M,$AH100)&lt;CE$8,
"",
INDEX($J:$J,MATCH($AH100,$M:$M,0)+CE$8-1)),
""),
"")</f>
        <v/>
      </c>
      <c r="CF100" s="21" t="str">
        <f>IFERROR(
IF(COUNTIF($BI100:CE100,INDEX($J:$J,MATCH($AH100,$M:$M,0)+CF$8-1))=0,
IF(COUNTIF($M:$M,$AH100)&lt;CF$8,
"",
INDEX($J:$J,MATCH($AH100,$M:$M,0)+CF$8-1)),
""),
"")</f>
        <v/>
      </c>
      <c r="CH100" s="21" t="str">
        <f>IFERROR(
IF(COUNTIF($BI100:CG100,INDEX($J:$J,MATCH($AI100,$M:$M,0)+CH$8-1))=0,
IF(COUNTIF($M:$M,$AI100)&lt;CH$8,
"",
INDEX($J:$J,MATCH($AI100,$M:$M,0)+CH$8-1)),
""),
"")</f>
        <v/>
      </c>
      <c r="CI100" s="21" t="str">
        <f>IFERROR(
IF(COUNTIF($BI100:CH100,INDEX($J:$J,MATCH($AI100,$M:$M,0)+CI$8-1))=0,
IF(COUNTIF($M:$M,$AI100)&lt;CI$8,
"",
INDEX($J:$J,MATCH($AI100,$M:$M,0)+CI$8-1)),
""),
"")</f>
        <v/>
      </c>
      <c r="CJ100" s="21" t="str">
        <f>IFERROR(
IF(COUNTIF($BI100:CI100,INDEX($J:$J,MATCH($AI100,$M:$M,0)+CJ$8-1))=0,
IF(COUNTIF($M:$M,$AI100)&lt;CJ$8,
"",
INDEX($J:$J,MATCH($AI100,$M:$M,0)+CJ$8-1)),
""),
"")</f>
        <v/>
      </c>
      <c r="CK100" s="21" t="str">
        <f>IFERROR(
IF(COUNTIF($BI100:CJ100,INDEX($J:$J,MATCH($AI100,$M:$M,0)+CK$8-1))=0,
IF(COUNTIF($M:$M,$AI100)&lt;CK$8,
"",
INDEX($J:$J,MATCH($AI100,$M:$M,0)+CK$8-1)),
""),
"")</f>
        <v/>
      </c>
      <c r="CM100" s="21" t="str">
        <f>IFERROR(
IF(COUNTIF($BI100:CL100,INDEX($J:$J,MATCH($AJ100,$M:$M,0)+CM$8-1))=0,
IF(COUNTIF($M:$M,$AJ100)&lt;CM$8,
"",
INDEX($J:$J,MATCH($AJ100,$M:$M,0)+CM$8-1)),
""),
"")</f>
        <v/>
      </c>
      <c r="CN100" s="21" t="str">
        <f>IFERROR(
IF(COUNTIF($BI100:CM100,INDEX($J:$J,MATCH($AJ100,$M:$M,0)+CN$8-1))=0,
IF(COUNTIF($M:$M,$AJ100)&lt;CN$8,
"",
INDEX($J:$J,MATCH($AJ100,$M:$M,0)+CN$8-1)),
""),
"")</f>
        <v/>
      </c>
      <c r="CO100" s="21" t="str">
        <f>IFERROR(
IF(COUNTIF($BI100:CN100,INDEX($J:$J,MATCH($AJ100,$M:$M,0)+CO$8-1))=0,
IF(COUNTIF($M:$M,$AJ100)&lt;CO$8,
"",
INDEX($J:$J,MATCH($AJ100,$M:$M,0)+CO$8-1)),
""),
"")</f>
        <v/>
      </c>
      <c r="CP100" s="21" t="str">
        <f>IFERROR(
IF(COUNTIF($BI100:CO100,INDEX($J:$J,MATCH($AJ100,$M:$M,0)+CP$8-1))=0,
IF(COUNTIF($M:$M,$AJ100)&lt;CP$8,
"",
INDEX($J:$J,MATCH($AJ100,$M:$M,0)+CP$8-1)),
""),
"")</f>
        <v/>
      </c>
      <c r="CR100" s="21" t="str">
        <f>IFERROR(
IF(COUNTIF($BI100:CQ100,INDEX($J:$J,MATCH($AK100,$M:$M,0)+CR$8-1))=0,
IF(COUNTIF($M:$M,$AK100)&lt;CR$8,
"",
INDEX($J:$J,MATCH($AK100,$M:$M,0)+CR$8-1)),
""),
"")</f>
        <v/>
      </c>
      <c r="CS100" s="21" t="str">
        <f>IFERROR(
IF(COUNTIF($BI100:CR100,INDEX($J:$J,MATCH($AK100,$M:$M,0)+CS$8-1))=0,
IF(COUNTIF($M:$M,$AK100)&lt;CS$8,
"",
INDEX($J:$J,MATCH($AK100,$M:$M,0)+CS$8-1)),
""),
"")</f>
        <v/>
      </c>
      <c r="CT100" s="21" t="str">
        <f>IFERROR(
IF(COUNTIF($BI100:CS100,INDEX($J:$J,MATCH($AK100,$M:$M,0)+CT$8-1))=0,
IF(COUNTIF($M:$M,$AK100)&lt;CT$8,
"",
INDEX($J:$J,MATCH($AK100,$M:$M,0)+CT$8-1)),
""),
"")</f>
        <v/>
      </c>
      <c r="CU100" s="21" t="str">
        <f>IFERROR(
IF(COUNTIF($BI100:CT100,INDEX($J:$J,MATCH($AK100,$M:$M,0)+CU$8-1))=0,
IF(COUNTIF($M:$M,$AK100)&lt;CU$8,
"",
INDEX($J:$J,MATCH($AK100,$M:$M,0)+CU$8-1)),
""),
"")</f>
        <v/>
      </c>
    </row>
    <row r="101" spans="3:99" ht="14.25">
      <c r="C101" s="16">
        <v>93</v>
      </c>
      <c r="D101" s="19" t="s">
        <v>491</v>
      </c>
      <c r="E101" s="20">
        <f>INDEX([1]武将基本资料!$S:$S,MATCH(D101,[1]武将基本资料!$N:$N,0))</f>
        <v>140</v>
      </c>
      <c r="F101" s="20" t="str">
        <f>INDEX([1]武将基本资料!$Q:$Q,MATCH(D101,[1]武将基本资料!$N:$N,0))</f>
        <v>红</v>
      </c>
      <c r="H101" s="7" t="str">
        <f>IF(I101="","",COUNTA(I$9:$I101))</f>
        <v/>
      </c>
      <c r="I101" s="6" t="s">
        <v>188</v>
      </c>
      <c r="J101" s="6" t="s">
        <v>215</v>
      </c>
      <c r="K101" s="8" t="str">
        <f>IF(H101="","",阶段合并区域(J101:J111," ",L101:L111,1))</f>
        <v/>
      </c>
      <c r="L101" s="8">
        <f>COUNTIF(M$8:$M101,"="&amp;M101)</f>
        <v>2</v>
      </c>
      <c r="M101" s="9" t="str">
        <f t="shared" si="13"/>
        <v>生死予夺</v>
      </c>
      <c r="N101" s="9" t="str">
        <f t="shared" si="14"/>
        <v>生死予夺2</v>
      </c>
      <c r="O101" s="15">
        <f>INDEX(C:C,MATCH(J101,D:D,0))</f>
        <v>18</v>
      </c>
      <c r="P101" s="9">
        <f>INDEX(E:E,MATCH(J101,D:D,0))</f>
        <v>120</v>
      </c>
      <c r="Q101" s="7">
        <f t="shared" si="10"/>
        <v>18</v>
      </c>
      <c r="R101" s="7">
        <f>COUNTIF(J$8:$J101,"="&amp;J101)</f>
        <v>3</v>
      </c>
      <c r="S101" s="7">
        <f t="shared" si="11"/>
        <v>3018</v>
      </c>
      <c r="U101" s="7">
        <f t="shared" si="19"/>
        <v>1093</v>
      </c>
      <c r="V101" s="7">
        <f t="shared" si="19"/>
        <v>2093</v>
      </c>
      <c r="W101" s="7">
        <f t="shared" si="19"/>
        <v>3093</v>
      </c>
      <c r="X101" s="7">
        <f t="shared" si="19"/>
        <v>4093</v>
      </c>
      <c r="Y101" s="7">
        <f t="shared" si="19"/>
        <v>5093</v>
      </c>
      <c r="Z101" s="7">
        <f t="shared" si="19"/>
        <v>6093</v>
      </c>
      <c r="AA101" s="7">
        <f t="shared" si="19"/>
        <v>7093</v>
      </c>
      <c r="AB101" s="7">
        <f t="shared" si="19"/>
        <v>8093</v>
      </c>
      <c r="AD101" s="21" t="str">
        <f>IFERROR(INDEX($M:$M,MATCH(U101,$S:$S,0)),"&amp;")</f>
        <v>兵出汉中</v>
      </c>
      <c r="AE101" s="21" t="str">
        <f>IFERROR(INDEX($M:$M,MATCH(V101,$S:$S,0)),"&amp;")</f>
        <v>君臣之至合</v>
      </c>
      <c r="AF101" s="21" t="str">
        <f>IFERROR(INDEX($M:$M,MATCH(W101,$S:$S,0)),"&amp;")</f>
        <v>季汉群英</v>
      </c>
      <c r="AG101" s="21" t="str">
        <f>IFERROR(INDEX($M:$M,MATCH(X101,$S:$S,0)),"&amp;")</f>
        <v>&amp;</v>
      </c>
      <c r="AH101" s="21" t="str">
        <f>IFERROR(INDEX($M:$M,MATCH(Y101,$S:$S,0)),"&amp;")</f>
        <v>&amp;</v>
      </c>
      <c r="AI101" s="21" t="str">
        <f>IFERROR(INDEX($M:$M,MATCH(Z101,$S:$S,0)),"&amp;")</f>
        <v>&amp;</v>
      </c>
      <c r="AJ101" s="21" t="str">
        <f>IFERROR(INDEX($M:$M,MATCH(AA101,$S:$S,0)),"&amp;")</f>
        <v>&amp;</v>
      </c>
      <c r="AK101" s="21" t="str">
        <f>IFERROR(INDEX($M:$M,MATCH(AB101,$S:$S,0)),"&amp;")</f>
        <v>&amp;</v>
      </c>
      <c r="AM101" s="21" t="str">
        <f>IFERROR(INDEX($N:$N,MATCH(U101,$S:$S,0)),"&amp;")</f>
        <v>兵出汉中1</v>
      </c>
      <c r="AN101" s="21" t="str">
        <f>IFERROR(INDEX($N:$N,MATCH(V101,$S:$S,0)),"&amp;")</f>
        <v>君臣之至合1</v>
      </c>
      <c r="AO101" s="21" t="str">
        <f>IFERROR(INDEX($N:$N,MATCH(W101,$S:$S,0)),"&amp;")</f>
        <v>季汉群英1</v>
      </c>
      <c r="AP101" s="21" t="str">
        <f>IFERROR(INDEX($N:$N,MATCH(X101,$S:$S,0)),"&amp;")</f>
        <v>&amp;</v>
      </c>
      <c r="AQ101" s="21" t="str">
        <f>IFERROR(INDEX($N:$N,MATCH(Y101,$S:$S,0)),"&amp;")</f>
        <v>&amp;</v>
      </c>
      <c r="AR101" s="21" t="str">
        <f>IFERROR(INDEX($N:$N,MATCH(Z101,$S:$S,0)),"&amp;")</f>
        <v>&amp;</v>
      </c>
      <c r="AS101" s="21" t="str">
        <f>IFERROR(INDEX($N:$N,MATCH(AA101,$S:$S,0)),"&amp;")</f>
        <v>&amp;</v>
      </c>
      <c r="AT101" s="21" t="str">
        <f>IFERROR(INDEX($N:$N,MATCH(AB101,$S:$S,0)),"&amp;")</f>
        <v>&amp;</v>
      </c>
      <c r="AV101" s="21" t="str">
        <f>IFERROR(SUBSTITUTE(INDEX($K:$K,MATCH(INDEX($M:$M,MATCH(AM101,$N:$N,0)),$M:$M,0)),$D101,""),"")</f>
        <v xml:space="preserve"> 韩信</v>
      </c>
      <c r="AW101" s="21" t="str">
        <f>IFERROR(SUBSTITUTE(INDEX($K:$K,MATCH(INDEX($M:$M,MATCH(AN101,$N:$N,0)),$M:$M,0)),$D101,""),"")</f>
        <v xml:space="preserve"> 刘备</v>
      </c>
      <c r="AX101" s="21" t="str">
        <f>IFERROR(SUBSTITUTE(INDEX($K:$K,MATCH(INDEX($M:$M,MATCH(AO101,$N:$N,0)),$M:$M,0)),$D101,""),"")</f>
        <v xml:space="preserve"> 关羽 赵云</v>
      </c>
      <c r="AY101" s="21" t="str">
        <f>IFERROR(SUBSTITUTE(INDEX($K:$K,MATCH(INDEX($M:$M,MATCH(AP101,$N:$N,0)),$M:$M,0)),$D101,""),"")</f>
        <v/>
      </c>
      <c r="AZ101" s="21" t="str">
        <f>IFERROR(SUBSTITUTE(INDEX($K:$K,MATCH(INDEX($M:$M,MATCH(AQ101,$N:$N,0)),$M:$M,0)),$D101,""),"")</f>
        <v/>
      </c>
      <c r="BA101" s="21" t="str">
        <f>IFERROR(SUBSTITUTE(INDEX($K:$K,MATCH(INDEX($M:$M,MATCH(AR101,$N:$N,0)),$M:$M,0)),$D101,""),"")</f>
        <v/>
      </c>
      <c r="BB101" s="21" t="str">
        <f>IFERROR(SUBSTITUTE(INDEX($K:$K,MATCH(INDEX($M:$M,MATCH(AS101,$N:$N,0)),$M:$M,0)),$D101,""),"")</f>
        <v/>
      </c>
      <c r="BC101" s="21" t="str">
        <f>IFERROR(SUBSTITUTE(INDEX($K:$K,MATCH(INDEX($M:$M,MATCH(AT101,$N:$N,0)),$M:$M,0)),$D101,""),"")</f>
        <v/>
      </c>
      <c r="BE101" s="9" t="str">
        <f t="shared" si="16"/>
        <v>诸葛亮,韩信,刘备,关羽,赵云</v>
      </c>
      <c r="BI101" s="9" t="str">
        <f>IFERROR(
IF(COUNTIF($M:$M,$AD101)&lt;BI$8,
"",
INDEX($J:$J,MATCH($AD101,$M:$M,0)+BI$8-1)),
"")</f>
        <v>诸葛亮</v>
      </c>
      <c r="BJ101" s="9" t="str">
        <f>IFERROR(
IF(COUNTIF($M:$M,$AD101)&lt;BJ$8,
"",
INDEX($J:$J,MATCH($AD101,$M:$M,0)+BJ$8-1)),
"")</f>
        <v>韩信</v>
      </c>
      <c r="BK101" s="9" t="str">
        <f>IFERROR(
IF(COUNTIF($M:$M,$AD101)&lt;BK$8,
"",
INDEX($J:$J,MATCH($AD101,$M:$M,0)+BK$8-1)),
"")</f>
        <v/>
      </c>
      <c r="BL101" s="9" t="str">
        <f>IFERROR(
IF(COUNTIF($M:$M,$AD101)&lt;BL$8,
"",
INDEX($J:$J,MATCH($AD101,$M:$M,0)+BL$8-1)),
"")</f>
        <v/>
      </c>
      <c r="BN101" s="21" t="str">
        <f>IFERROR(
IF(COUNTIF($BI101:BM101,INDEX($J:$J,MATCH($AE101,$M:$M,0)+BN$8-1))=0,
IF(COUNTIF($M:$M,$AE101)&lt;BN$8,
"",
INDEX($J:$J,MATCH($AE101,$M:$M,0)+BN$8-1)),
""),
"")</f>
        <v/>
      </c>
      <c r="BO101" s="21" t="str">
        <f>IFERROR(
IF(COUNTIF($BI101:BN101,INDEX($J:$J,MATCH($AE101,$M:$M,0)+BO$8-1))=0,
IF(COUNTIF($M:$M,$AE101)&lt;BO$8,
"",
INDEX($J:$J,MATCH($AE101,$M:$M,0)+BO$8-1)),
""),
"")</f>
        <v>刘备</v>
      </c>
      <c r="BP101" s="21" t="str">
        <f>IFERROR(
IF(COUNTIF($BI101:BO101,INDEX($J:$J,MATCH($AE101,$M:$M,0)+BP$8-1))=0,
IF(COUNTIF($M:$M,$AE101)&lt;BP$8,
"",
INDEX($J:$J,MATCH($AE101,$M:$M,0)+BP$8-1)),
""),
"")</f>
        <v/>
      </c>
      <c r="BQ101" s="21" t="str">
        <f>IFERROR(
IF(COUNTIF($BI101:BP101,INDEX($J:$J,MATCH($AE101,$M:$M,0)+BQ$8-1))=0,
IF(COUNTIF($M:$M,$AE101)&lt;BQ$8,
"",
INDEX($J:$J,MATCH($AE101,$M:$M,0)+BQ$8-1)),
""),
"")</f>
        <v/>
      </c>
      <c r="BS101" s="21" t="str">
        <f>IFERROR(
IF(COUNTIF($BI101:BR101,INDEX($J:$J,MATCH($AF101,$M:$M,0)+BS$8-1))=0,
IF(COUNTIF($M:$M,$AF101)&lt;BS$8,
"",
INDEX($J:$J,MATCH($AF101,$M:$M,0)+BS$8-1)),
""),
"")</f>
        <v/>
      </c>
      <c r="BT101" s="21" t="str">
        <f>IFERROR(
IF(COUNTIF($BI101:BS101,INDEX($J:$J,MATCH($AF101,$M:$M,0)+BT$8-1))=0,
IF(COUNTIF($M:$M,$AF101)&lt;BT$8,
"",
INDEX($J:$J,MATCH($AF101,$M:$M,0)+BT$8-1)),
""),
"")</f>
        <v>关羽</v>
      </c>
      <c r="BU101" s="21" t="str">
        <f>IFERROR(
IF(COUNTIF($BI101:BT101,INDEX($J:$J,MATCH($AF101,$M:$M,0)+BU$8-1))=0,
IF(COUNTIF($M:$M,$AF101)&lt;BU$8,
"",
INDEX($J:$J,MATCH($AF101,$M:$M,0)+BU$8-1)),
""),
"")</f>
        <v>赵云</v>
      </c>
      <c r="BV101" s="21" t="str">
        <f>IFERROR(
IF(COUNTIF($BI101:BU101,INDEX($J:$J,MATCH($AF101,$M:$M,0)+BV$8-1))=0,
IF(COUNTIF($M:$M,$AF101)&lt;BV$8,
"",
INDEX($J:$J,MATCH($AF101,$M:$M,0)+BV$8-1)),
""),
"")</f>
        <v/>
      </c>
      <c r="BX101" s="21" t="str">
        <f>IFERROR(
IF(COUNTIF($BI101:BW101,INDEX($J:$J,MATCH($AG101,$M:$M,0)+BX$8-1))=0,
IF(COUNTIF($M:$M,$AG101)&lt;BX$8,
"",
INDEX($J:$J,MATCH($AG101,$M:$M,0)+BX$8-1)),
""),
"")</f>
        <v/>
      </c>
      <c r="BY101" s="21" t="str">
        <f>IFERROR(
IF(COUNTIF($BI101:BX101,INDEX($J:$J,MATCH($AG101,$M:$M,0)+BY$8-1))=0,
IF(COUNTIF($M:$M,$AG101)&lt;BY$8,
"",
INDEX($J:$J,MATCH($AG101,$M:$M,0)+BY$8-1)),
""),
"")</f>
        <v/>
      </c>
      <c r="BZ101" s="21" t="str">
        <f>IFERROR(
IF(COUNTIF($BI101:BY101,INDEX($J:$J,MATCH($AG101,$M:$M,0)+BZ$8-1))=0,
IF(COUNTIF($M:$M,$AG101)&lt;BZ$8,
"",
INDEX($J:$J,MATCH($AG101,$M:$M,0)+BZ$8-1)),
""),
"")</f>
        <v/>
      </c>
      <c r="CA101" s="21" t="str">
        <f>IFERROR(
IF(COUNTIF($BI101:BZ101,INDEX($J:$J,MATCH($AG101,$M:$M,0)+CA$8-1))=0,
IF(COUNTIF($M:$M,$AG101)&lt;CA$8,
"",
INDEX($J:$J,MATCH($AG101,$M:$M,0)+CA$8-1)),
""),
"")</f>
        <v/>
      </c>
      <c r="CC101" s="21" t="str">
        <f>IFERROR(
IF(COUNTIF($BI101:CB101,INDEX($J:$J,MATCH($AH101,$M:$M,0)+CC$8-1))=0,
IF(COUNTIF($M:$M,$AH101)&lt;CC$8,
"",
INDEX($J:$J,MATCH($AH101,$M:$M,0)+CC$8-1)),
""),
"")</f>
        <v/>
      </c>
      <c r="CD101" s="21" t="str">
        <f>IFERROR(
IF(COUNTIF($BI101:CC101,INDEX($J:$J,MATCH($AH101,$M:$M,0)+CD$8-1))=0,
IF(COUNTIF($M:$M,$AH101)&lt;CD$8,
"",
INDEX($J:$J,MATCH($AH101,$M:$M,0)+CD$8-1)),
""),
"")</f>
        <v/>
      </c>
      <c r="CE101" s="21" t="str">
        <f>IFERROR(
IF(COUNTIF($BI101:CD101,INDEX($J:$J,MATCH($AH101,$M:$M,0)+CE$8-1))=0,
IF(COUNTIF($M:$M,$AH101)&lt;CE$8,
"",
INDEX($J:$J,MATCH($AH101,$M:$M,0)+CE$8-1)),
""),
"")</f>
        <v/>
      </c>
      <c r="CF101" s="21" t="str">
        <f>IFERROR(
IF(COUNTIF($BI101:CE101,INDEX($J:$J,MATCH($AH101,$M:$M,0)+CF$8-1))=0,
IF(COUNTIF($M:$M,$AH101)&lt;CF$8,
"",
INDEX($J:$J,MATCH($AH101,$M:$M,0)+CF$8-1)),
""),
"")</f>
        <v/>
      </c>
      <c r="CH101" s="21" t="str">
        <f>IFERROR(
IF(COUNTIF($BI101:CG101,INDEX($J:$J,MATCH($AI101,$M:$M,0)+CH$8-1))=0,
IF(COUNTIF($M:$M,$AI101)&lt;CH$8,
"",
INDEX($J:$J,MATCH($AI101,$M:$M,0)+CH$8-1)),
""),
"")</f>
        <v/>
      </c>
      <c r="CI101" s="21" t="str">
        <f>IFERROR(
IF(COUNTIF($BI101:CH101,INDEX($J:$J,MATCH($AI101,$M:$M,0)+CI$8-1))=0,
IF(COUNTIF($M:$M,$AI101)&lt;CI$8,
"",
INDEX($J:$J,MATCH($AI101,$M:$M,0)+CI$8-1)),
""),
"")</f>
        <v/>
      </c>
      <c r="CJ101" s="21" t="str">
        <f>IFERROR(
IF(COUNTIF($BI101:CI101,INDEX($J:$J,MATCH($AI101,$M:$M,0)+CJ$8-1))=0,
IF(COUNTIF($M:$M,$AI101)&lt;CJ$8,
"",
INDEX($J:$J,MATCH($AI101,$M:$M,0)+CJ$8-1)),
""),
"")</f>
        <v/>
      </c>
      <c r="CK101" s="21" t="str">
        <f>IFERROR(
IF(COUNTIF($BI101:CJ101,INDEX($J:$J,MATCH($AI101,$M:$M,0)+CK$8-1))=0,
IF(COUNTIF($M:$M,$AI101)&lt;CK$8,
"",
INDEX($J:$J,MATCH($AI101,$M:$M,0)+CK$8-1)),
""),
"")</f>
        <v/>
      </c>
      <c r="CM101" s="21" t="str">
        <f>IFERROR(
IF(COUNTIF($BI101:CL101,INDEX($J:$J,MATCH($AJ101,$M:$M,0)+CM$8-1))=0,
IF(COUNTIF($M:$M,$AJ101)&lt;CM$8,
"",
INDEX($J:$J,MATCH($AJ101,$M:$M,0)+CM$8-1)),
""),
"")</f>
        <v/>
      </c>
      <c r="CN101" s="21" t="str">
        <f>IFERROR(
IF(COUNTIF($BI101:CM101,INDEX($J:$J,MATCH($AJ101,$M:$M,0)+CN$8-1))=0,
IF(COUNTIF($M:$M,$AJ101)&lt;CN$8,
"",
INDEX($J:$J,MATCH($AJ101,$M:$M,0)+CN$8-1)),
""),
"")</f>
        <v/>
      </c>
      <c r="CO101" s="21" t="str">
        <f>IFERROR(
IF(COUNTIF($BI101:CN101,INDEX($J:$J,MATCH($AJ101,$M:$M,0)+CO$8-1))=0,
IF(COUNTIF($M:$M,$AJ101)&lt;CO$8,
"",
INDEX($J:$J,MATCH($AJ101,$M:$M,0)+CO$8-1)),
""),
"")</f>
        <v/>
      </c>
      <c r="CP101" s="21" t="str">
        <f>IFERROR(
IF(COUNTIF($BI101:CO101,INDEX($J:$J,MATCH($AJ101,$M:$M,0)+CP$8-1))=0,
IF(COUNTIF($M:$M,$AJ101)&lt;CP$8,
"",
INDEX($J:$J,MATCH($AJ101,$M:$M,0)+CP$8-1)),
""),
"")</f>
        <v/>
      </c>
      <c r="CR101" s="21" t="str">
        <f>IFERROR(
IF(COUNTIF($BI101:CQ101,INDEX($J:$J,MATCH($AK101,$M:$M,0)+CR$8-1))=0,
IF(COUNTIF($M:$M,$AK101)&lt;CR$8,
"",
INDEX($J:$J,MATCH($AK101,$M:$M,0)+CR$8-1)),
""),
"")</f>
        <v/>
      </c>
      <c r="CS101" s="21" t="str">
        <f>IFERROR(
IF(COUNTIF($BI101:CR101,INDEX($J:$J,MATCH($AK101,$M:$M,0)+CS$8-1))=0,
IF(COUNTIF($M:$M,$AK101)&lt;CS$8,
"",
INDEX($J:$J,MATCH($AK101,$M:$M,0)+CS$8-1)),
""),
"")</f>
        <v/>
      </c>
      <c r="CT101" s="21" t="str">
        <f>IFERROR(
IF(COUNTIF($BI101:CS101,INDEX($J:$J,MATCH($AK101,$M:$M,0)+CT$8-1))=0,
IF(COUNTIF($M:$M,$AK101)&lt;CT$8,
"",
INDEX($J:$J,MATCH($AK101,$M:$M,0)+CT$8-1)),
""),
"")</f>
        <v/>
      </c>
      <c r="CU101" s="21" t="str">
        <f>IFERROR(
IF(COUNTIF($BI101:CT101,INDEX($J:$J,MATCH($AK101,$M:$M,0)+CU$8-1))=0,
IF(COUNTIF($M:$M,$AK101)&lt;CU$8,
"",
INDEX($J:$J,MATCH($AK101,$M:$M,0)+CU$8-1)),
""),
"")</f>
        <v/>
      </c>
    </row>
    <row r="102" spans="3:99" ht="14.25">
      <c r="C102" s="16">
        <v>94</v>
      </c>
      <c r="D102" s="19" t="s">
        <v>495</v>
      </c>
      <c r="E102" s="20">
        <f>INDEX([1]武将基本资料!$S:$S,MATCH(D102,[1]武将基本资料!$N:$N,0))</f>
        <v>130</v>
      </c>
      <c r="F102" s="20" t="str">
        <f>INDEX([1]武将基本资料!$Q:$Q,MATCH(D102,[1]武将基本资料!$N:$N,0))</f>
        <v>橙+</v>
      </c>
      <c r="H102" s="7">
        <f>IF(I102="","",COUNTA(I$9:$I102))</f>
        <v>92</v>
      </c>
      <c r="I102" s="6" t="s">
        <v>217</v>
      </c>
      <c r="J102" s="6" t="s">
        <v>218</v>
      </c>
      <c r="K102" s="8" t="str">
        <f>IF(H102="","",阶段合并区域(J102:J114," ",L102:L114,1))</f>
        <v>孙膑 伍子胥</v>
      </c>
      <c r="L102" s="8">
        <f>COUNTIF(M$8:$M102,"="&amp;M102)</f>
        <v>1</v>
      </c>
      <c r="M102" s="9" t="str">
        <f t="shared" si="13"/>
        <v>报仇雪耻</v>
      </c>
      <c r="N102" s="9" t="str">
        <f t="shared" si="14"/>
        <v>报仇雪耻1</v>
      </c>
      <c r="O102" s="15">
        <f>INDEX(C:C,MATCH(J102,D:D,0))</f>
        <v>36</v>
      </c>
      <c r="P102" s="9">
        <f>INDEX(E:E,MATCH(J102,D:D,0))</f>
        <v>120</v>
      </c>
      <c r="Q102" s="7">
        <f t="shared" si="10"/>
        <v>36</v>
      </c>
      <c r="R102" s="7">
        <f>COUNTIF(J$8:$J102,"="&amp;J102)</f>
        <v>3</v>
      </c>
      <c r="S102" s="7">
        <f t="shared" si="11"/>
        <v>3036</v>
      </c>
      <c r="U102" s="7">
        <f t="shared" si="19"/>
        <v>1094</v>
      </c>
      <c r="V102" s="7">
        <f t="shared" si="19"/>
        <v>2094</v>
      </c>
      <c r="W102" s="7">
        <f t="shared" si="19"/>
        <v>3094</v>
      </c>
      <c r="X102" s="7">
        <f t="shared" si="19"/>
        <v>4094</v>
      </c>
      <c r="Y102" s="7">
        <f t="shared" si="19"/>
        <v>5094</v>
      </c>
      <c r="Z102" s="7">
        <f t="shared" si="19"/>
        <v>6094</v>
      </c>
      <c r="AA102" s="7">
        <f t="shared" si="19"/>
        <v>7094</v>
      </c>
      <c r="AB102" s="7">
        <f t="shared" si="19"/>
        <v>8094</v>
      </c>
      <c r="AD102" s="21" t="str">
        <f>IFERROR(INDEX($M:$M,MATCH(U102,$S:$S,0)),"&amp;")</f>
        <v>虎踞三江</v>
      </c>
      <c r="AE102" s="21" t="str">
        <f>IFERROR(INDEX($M:$M,MATCH(V102,$S:$S,0)),"&amp;")</f>
        <v>世之勇将</v>
      </c>
      <c r="AF102" s="21" t="str">
        <f>IFERROR(INDEX($M:$M,MATCH(W102,$S:$S,0)),"&amp;")</f>
        <v>强弓擅射</v>
      </c>
      <c r="AG102" s="21" t="str">
        <f>IFERROR(INDEX($M:$M,MATCH(X102,$S:$S,0)),"&amp;")</f>
        <v>&amp;</v>
      </c>
      <c r="AH102" s="21" t="str">
        <f>IFERROR(INDEX($M:$M,MATCH(Y102,$S:$S,0)),"&amp;")</f>
        <v>&amp;</v>
      </c>
      <c r="AI102" s="21" t="str">
        <f>IFERROR(INDEX($M:$M,MATCH(Z102,$S:$S,0)),"&amp;")</f>
        <v>&amp;</v>
      </c>
      <c r="AJ102" s="21" t="str">
        <f>IFERROR(INDEX($M:$M,MATCH(AA102,$S:$S,0)),"&amp;")</f>
        <v>&amp;</v>
      </c>
      <c r="AK102" s="21" t="str">
        <f>IFERROR(INDEX($M:$M,MATCH(AB102,$S:$S,0)),"&amp;")</f>
        <v>&amp;</v>
      </c>
      <c r="AM102" s="21" t="str">
        <f>IFERROR(INDEX($N:$N,MATCH(U102,$S:$S,0)),"&amp;")</f>
        <v>虎踞三江1</v>
      </c>
      <c r="AN102" s="21" t="str">
        <f>IFERROR(INDEX($N:$N,MATCH(V102,$S:$S,0)),"&amp;")</f>
        <v>世之勇将1</v>
      </c>
      <c r="AO102" s="21" t="str">
        <f>IFERROR(INDEX($N:$N,MATCH(W102,$S:$S,0)),"&amp;")</f>
        <v>强弓擅射1</v>
      </c>
      <c r="AP102" s="21" t="str">
        <f>IFERROR(INDEX($N:$N,MATCH(X102,$S:$S,0)),"&amp;")</f>
        <v>&amp;</v>
      </c>
      <c r="AQ102" s="21" t="str">
        <f>IFERROR(INDEX($N:$N,MATCH(Y102,$S:$S,0)),"&amp;")</f>
        <v>&amp;</v>
      </c>
      <c r="AR102" s="21" t="str">
        <f>IFERROR(INDEX($N:$N,MATCH(Z102,$S:$S,0)),"&amp;")</f>
        <v>&amp;</v>
      </c>
      <c r="AS102" s="21" t="str">
        <f>IFERROR(INDEX($N:$N,MATCH(AA102,$S:$S,0)),"&amp;")</f>
        <v>&amp;</v>
      </c>
      <c r="AT102" s="21" t="str">
        <f>IFERROR(INDEX($N:$N,MATCH(AB102,$S:$S,0)),"&amp;")</f>
        <v>&amp;</v>
      </c>
      <c r="AV102" s="21" t="str">
        <f>IFERROR(SUBSTITUTE(INDEX($K:$K,MATCH(INDEX($M:$M,MATCH(AM102,$N:$N,0)),$M:$M,0)),$D102,""),"")</f>
        <v xml:space="preserve"> 孙权</v>
      </c>
      <c r="AW102" s="21" t="str">
        <f>IFERROR(SUBSTITUTE(INDEX($K:$K,MATCH(INDEX($M:$M,MATCH(AN102,$N:$N,0)),$M:$M,0)),$D102,""),"")</f>
        <v xml:space="preserve"> 赵云</v>
      </c>
      <c r="AX102" s="21" t="str">
        <f>IFERROR(SUBSTITUTE(INDEX($K:$K,MATCH(INDEX($M:$M,MATCH(AO102,$N:$N,0)),$M:$M,0)),$D102,""),"")</f>
        <v xml:space="preserve"> 养由基</v>
      </c>
      <c r="AY102" s="21" t="str">
        <f>IFERROR(SUBSTITUTE(INDEX($K:$K,MATCH(INDEX($M:$M,MATCH(AP102,$N:$N,0)),$M:$M,0)),$D102,""),"")</f>
        <v/>
      </c>
      <c r="AZ102" s="21" t="str">
        <f>IFERROR(SUBSTITUTE(INDEX($K:$K,MATCH(INDEX($M:$M,MATCH(AQ102,$N:$N,0)),$M:$M,0)),$D102,""),"")</f>
        <v/>
      </c>
      <c r="BA102" s="21" t="str">
        <f>IFERROR(SUBSTITUTE(INDEX($K:$K,MATCH(INDEX($M:$M,MATCH(AR102,$N:$N,0)),$M:$M,0)),$D102,""),"")</f>
        <v/>
      </c>
      <c r="BB102" s="21" t="str">
        <f>IFERROR(SUBSTITUTE(INDEX($K:$K,MATCH(INDEX($M:$M,MATCH(AS102,$N:$N,0)),$M:$M,0)),$D102,""),"")</f>
        <v/>
      </c>
      <c r="BC102" s="21" t="str">
        <f>IFERROR(SUBSTITUTE(INDEX($K:$K,MATCH(INDEX($M:$M,MATCH(AT102,$N:$N,0)),$M:$M,0)),$D102,""),"")</f>
        <v/>
      </c>
      <c r="BE102" s="9" t="str">
        <f t="shared" si="16"/>
        <v>太史慈,孙权,赵云,养由基</v>
      </c>
      <c r="BI102" s="9" t="str">
        <f>IFERROR(
IF(COUNTIF($M:$M,$AD102)&lt;BI$8,
"",
INDEX($J:$J,MATCH($AD102,$M:$M,0)+BI$8-1)),
"")</f>
        <v>太史慈</v>
      </c>
      <c r="BJ102" s="9" t="str">
        <f>IFERROR(
IF(COUNTIF($M:$M,$AD102)&lt;BJ$8,
"",
INDEX($J:$J,MATCH($AD102,$M:$M,0)+BJ$8-1)),
"")</f>
        <v>孙权</v>
      </c>
      <c r="BK102" s="9" t="str">
        <f>IFERROR(
IF(COUNTIF($M:$M,$AD102)&lt;BK$8,
"",
INDEX($J:$J,MATCH($AD102,$M:$M,0)+BK$8-1)),
"")</f>
        <v/>
      </c>
      <c r="BL102" s="9" t="str">
        <f>IFERROR(
IF(COUNTIF($M:$M,$AD102)&lt;BL$8,
"",
INDEX($J:$J,MATCH($AD102,$M:$M,0)+BL$8-1)),
"")</f>
        <v/>
      </c>
      <c r="BN102" s="21" t="str">
        <f>IFERROR(
IF(COUNTIF($BI102:BM102,INDEX($J:$J,MATCH($AE102,$M:$M,0)+BN$8-1))=0,
IF(COUNTIF($M:$M,$AE102)&lt;BN$8,
"",
INDEX($J:$J,MATCH($AE102,$M:$M,0)+BN$8-1)),
""),
"")</f>
        <v/>
      </c>
      <c r="BO102" s="21" t="str">
        <f>IFERROR(
IF(COUNTIF($BI102:BN102,INDEX($J:$J,MATCH($AE102,$M:$M,0)+BO$8-1))=0,
IF(COUNTIF($M:$M,$AE102)&lt;BO$8,
"",
INDEX($J:$J,MATCH($AE102,$M:$M,0)+BO$8-1)),
""),
"")</f>
        <v>赵云</v>
      </c>
      <c r="BP102" s="21" t="str">
        <f>IFERROR(
IF(COUNTIF($BI102:BO102,INDEX($J:$J,MATCH($AE102,$M:$M,0)+BP$8-1))=0,
IF(COUNTIF($M:$M,$AE102)&lt;BP$8,
"",
INDEX($J:$J,MATCH($AE102,$M:$M,0)+BP$8-1)),
""),
"")</f>
        <v/>
      </c>
      <c r="BQ102" s="21" t="str">
        <f>IFERROR(
IF(COUNTIF($BI102:BP102,INDEX($J:$J,MATCH($AE102,$M:$M,0)+BQ$8-1))=0,
IF(COUNTIF($M:$M,$AE102)&lt;BQ$8,
"",
INDEX($J:$J,MATCH($AE102,$M:$M,0)+BQ$8-1)),
""),
"")</f>
        <v/>
      </c>
      <c r="BS102" s="21" t="str">
        <f>IFERROR(
IF(COUNTIF($BI102:BR102,INDEX($J:$J,MATCH($AF102,$M:$M,0)+BS$8-1))=0,
IF(COUNTIF($M:$M,$AF102)&lt;BS$8,
"",
INDEX($J:$J,MATCH($AF102,$M:$M,0)+BS$8-1)),
""),
"")</f>
        <v/>
      </c>
      <c r="BT102" s="21" t="str">
        <f>IFERROR(
IF(COUNTIF($BI102:BS102,INDEX($J:$J,MATCH($AF102,$M:$M,0)+BT$8-1))=0,
IF(COUNTIF($M:$M,$AF102)&lt;BT$8,
"",
INDEX($J:$J,MATCH($AF102,$M:$M,0)+BT$8-1)),
""),
"")</f>
        <v>养由基</v>
      </c>
      <c r="BU102" s="21" t="str">
        <f>IFERROR(
IF(COUNTIF($BI102:BT102,INDEX($J:$J,MATCH($AF102,$M:$M,0)+BU$8-1))=0,
IF(COUNTIF($M:$M,$AF102)&lt;BU$8,
"",
INDEX($J:$J,MATCH($AF102,$M:$M,0)+BU$8-1)),
""),
"")</f>
        <v/>
      </c>
      <c r="BV102" s="21" t="str">
        <f>IFERROR(
IF(COUNTIF($BI102:BU102,INDEX($J:$J,MATCH($AF102,$M:$M,0)+BV$8-1))=0,
IF(COUNTIF($M:$M,$AF102)&lt;BV$8,
"",
INDEX($J:$J,MATCH($AF102,$M:$M,0)+BV$8-1)),
""),
"")</f>
        <v/>
      </c>
      <c r="BX102" s="21" t="str">
        <f>IFERROR(
IF(COUNTIF($BI102:BW102,INDEX($J:$J,MATCH($AG102,$M:$M,0)+BX$8-1))=0,
IF(COUNTIF($M:$M,$AG102)&lt;BX$8,
"",
INDEX($J:$J,MATCH($AG102,$M:$M,0)+BX$8-1)),
""),
"")</f>
        <v/>
      </c>
      <c r="BY102" s="21" t="str">
        <f>IFERROR(
IF(COUNTIF($BI102:BX102,INDEX($J:$J,MATCH($AG102,$M:$M,0)+BY$8-1))=0,
IF(COUNTIF($M:$M,$AG102)&lt;BY$8,
"",
INDEX($J:$J,MATCH($AG102,$M:$M,0)+BY$8-1)),
""),
"")</f>
        <v/>
      </c>
      <c r="BZ102" s="21" t="str">
        <f>IFERROR(
IF(COUNTIF($BI102:BY102,INDEX($J:$J,MATCH($AG102,$M:$M,0)+BZ$8-1))=0,
IF(COUNTIF($M:$M,$AG102)&lt;BZ$8,
"",
INDEX($J:$J,MATCH($AG102,$M:$M,0)+BZ$8-1)),
""),
"")</f>
        <v/>
      </c>
      <c r="CA102" s="21" t="str">
        <f>IFERROR(
IF(COUNTIF($BI102:BZ102,INDEX($J:$J,MATCH($AG102,$M:$M,0)+CA$8-1))=0,
IF(COUNTIF($M:$M,$AG102)&lt;CA$8,
"",
INDEX($J:$J,MATCH($AG102,$M:$M,0)+CA$8-1)),
""),
"")</f>
        <v/>
      </c>
      <c r="CC102" s="21" t="str">
        <f>IFERROR(
IF(COUNTIF($BI102:CB102,INDEX($J:$J,MATCH($AH102,$M:$M,0)+CC$8-1))=0,
IF(COUNTIF($M:$M,$AH102)&lt;CC$8,
"",
INDEX($J:$J,MATCH($AH102,$M:$M,0)+CC$8-1)),
""),
"")</f>
        <v/>
      </c>
      <c r="CD102" s="21" t="str">
        <f>IFERROR(
IF(COUNTIF($BI102:CC102,INDEX($J:$J,MATCH($AH102,$M:$M,0)+CD$8-1))=0,
IF(COUNTIF($M:$M,$AH102)&lt;CD$8,
"",
INDEX($J:$J,MATCH($AH102,$M:$M,0)+CD$8-1)),
""),
"")</f>
        <v/>
      </c>
      <c r="CE102" s="21" t="str">
        <f>IFERROR(
IF(COUNTIF($BI102:CD102,INDEX($J:$J,MATCH($AH102,$M:$M,0)+CE$8-1))=0,
IF(COUNTIF($M:$M,$AH102)&lt;CE$8,
"",
INDEX($J:$J,MATCH($AH102,$M:$M,0)+CE$8-1)),
""),
"")</f>
        <v/>
      </c>
      <c r="CF102" s="21" t="str">
        <f>IFERROR(
IF(COUNTIF($BI102:CE102,INDEX($J:$J,MATCH($AH102,$M:$M,0)+CF$8-1))=0,
IF(COUNTIF($M:$M,$AH102)&lt;CF$8,
"",
INDEX($J:$J,MATCH($AH102,$M:$M,0)+CF$8-1)),
""),
"")</f>
        <v/>
      </c>
      <c r="CH102" s="21" t="str">
        <f>IFERROR(
IF(COUNTIF($BI102:CG102,INDEX($J:$J,MATCH($AI102,$M:$M,0)+CH$8-1))=0,
IF(COUNTIF($M:$M,$AI102)&lt;CH$8,
"",
INDEX($J:$J,MATCH($AI102,$M:$M,0)+CH$8-1)),
""),
"")</f>
        <v/>
      </c>
      <c r="CI102" s="21" t="str">
        <f>IFERROR(
IF(COUNTIF($BI102:CH102,INDEX($J:$J,MATCH($AI102,$M:$M,0)+CI$8-1))=0,
IF(COUNTIF($M:$M,$AI102)&lt;CI$8,
"",
INDEX($J:$J,MATCH($AI102,$M:$M,0)+CI$8-1)),
""),
"")</f>
        <v/>
      </c>
      <c r="CJ102" s="21" t="str">
        <f>IFERROR(
IF(COUNTIF($BI102:CI102,INDEX($J:$J,MATCH($AI102,$M:$M,0)+CJ$8-1))=0,
IF(COUNTIF($M:$M,$AI102)&lt;CJ$8,
"",
INDEX($J:$J,MATCH($AI102,$M:$M,0)+CJ$8-1)),
""),
"")</f>
        <v/>
      </c>
      <c r="CK102" s="21" t="str">
        <f>IFERROR(
IF(COUNTIF($BI102:CJ102,INDEX($J:$J,MATCH($AI102,$M:$M,0)+CK$8-1))=0,
IF(COUNTIF($M:$M,$AI102)&lt;CK$8,
"",
INDEX($J:$J,MATCH($AI102,$M:$M,0)+CK$8-1)),
""),
"")</f>
        <v/>
      </c>
      <c r="CM102" s="21" t="str">
        <f>IFERROR(
IF(COUNTIF($BI102:CL102,INDEX($J:$J,MATCH($AJ102,$M:$M,0)+CM$8-1))=0,
IF(COUNTIF($M:$M,$AJ102)&lt;CM$8,
"",
INDEX($J:$J,MATCH($AJ102,$M:$M,0)+CM$8-1)),
""),
"")</f>
        <v/>
      </c>
      <c r="CN102" s="21" t="str">
        <f>IFERROR(
IF(COUNTIF($BI102:CM102,INDEX($J:$J,MATCH($AJ102,$M:$M,0)+CN$8-1))=0,
IF(COUNTIF($M:$M,$AJ102)&lt;CN$8,
"",
INDEX($J:$J,MATCH($AJ102,$M:$M,0)+CN$8-1)),
""),
"")</f>
        <v/>
      </c>
      <c r="CO102" s="21" t="str">
        <f>IFERROR(
IF(COUNTIF($BI102:CN102,INDEX($J:$J,MATCH($AJ102,$M:$M,0)+CO$8-1))=0,
IF(COUNTIF($M:$M,$AJ102)&lt;CO$8,
"",
INDEX($J:$J,MATCH($AJ102,$M:$M,0)+CO$8-1)),
""),
"")</f>
        <v/>
      </c>
      <c r="CP102" s="21" t="str">
        <f>IFERROR(
IF(COUNTIF($BI102:CO102,INDEX($J:$J,MATCH($AJ102,$M:$M,0)+CP$8-1))=0,
IF(COUNTIF($M:$M,$AJ102)&lt;CP$8,
"",
INDEX($J:$J,MATCH($AJ102,$M:$M,0)+CP$8-1)),
""),
"")</f>
        <v/>
      </c>
      <c r="CR102" s="21" t="str">
        <f>IFERROR(
IF(COUNTIF($BI102:CQ102,INDEX($J:$J,MATCH($AK102,$M:$M,0)+CR$8-1))=0,
IF(COUNTIF($M:$M,$AK102)&lt;CR$8,
"",
INDEX($J:$J,MATCH($AK102,$M:$M,0)+CR$8-1)),
""),
"")</f>
        <v/>
      </c>
      <c r="CS102" s="21" t="str">
        <f>IFERROR(
IF(COUNTIF($BI102:CR102,INDEX($J:$J,MATCH($AK102,$M:$M,0)+CS$8-1))=0,
IF(COUNTIF($M:$M,$AK102)&lt;CS$8,
"",
INDEX($J:$J,MATCH($AK102,$M:$M,0)+CS$8-1)),
""),
"")</f>
        <v/>
      </c>
      <c r="CT102" s="21" t="str">
        <f>IFERROR(
IF(COUNTIF($BI102:CS102,INDEX($J:$J,MATCH($AK102,$M:$M,0)+CT$8-1))=0,
IF(COUNTIF($M:$M,$AK102)&lt;CT$8,
"",
INDEX($J:$J,MATCH($AK102,$M:$M,0)+CT$8-1)),
""),
"")</f>
        <v/>
      </c>
      <c r="CU102" s="21" t="str">
        <f>IFERROR(
IF(COUNTIF($BI102:CT102,INDEX($J:$J,MATCH($AK102,$M:$M,0)+CU$8-1))=0,
IF(COUNTIF($M:$M,$AK102)&lt;CU$8,
"",
INDEX($J:$J,MATCH($AK102,$M:$M,0)+CU$8-1)),
""),
"")</f>
        <v/>
      </c>
    </row>
    <row r="103" spans="3:99" ht="14.25">
      <c r="C103" s="16">
        <v>95</v>
      </c>
      <c r="D103" s="19" t="s">
        <v>496</v>
      </c>
      <c r="E103" s="20">
        <f>INDEX([1]武将基本资料!$S:$S,MATCH(D103,[1]武将基本资料!$N:$N,0))</f>
        <v>130</v>
      </c>
      <c r="F103" s="20" t="str">
        <f>INDEX([1]武将基本资料!$Q:$Q,MATCH(D103,[1]武将基本资料!$N:$N,0))</f>
        <v>橙+</v>
      </c>
      <c r="H103" s="7" t="str">
        <f>IF(I103="","",COUNTA(I$9:$I103))</f>
        <v/>
      </c>
      <c r="I103" s="6" t="s">
        <v>188</v>
      </c>
      <c r="J103" s="6" t="s">
        <v>219</v>
      </c>
      <c r="K103" s="8" t="str">
        <f>IF(H103="","",阶段合并区域(J103:J115," ",L103:L115,1))</f>
        <v/>
      </c>
      <c r="L103" s="8">
        <f>COUNTIF(M$8:$M103,"="&amp;M103)</f>
        <v>2</v>
      </c>
      <c r="M103" s="9" t="str">
        <f t="shared" si="13"/>
        <v>报仇雪耻</v>
      </c>
      <c r="N103" s="9" t="str">
        <f t="shared" si="14"/>
        <v>报仇雪耻2</v>
      </c>
      <c r="O103" s="15">
        <f>INDEX(C:C,MATCH(J103,D:D,0))</f>
        <v>62</v>
      </c>
      <c r="P103" s="9">
        <f>INDEX(E:E,MATCH(J103,D:D,0))</f>
        <v>120</v>
      </c>
      <c r="Q103" s="7">
        <f t="shared" si="10"/>
        <v>62</v>
      </c>
      <c r="R103" s="7">
        <f>COUNTIF(J$8:$J103,"="&amp;J103)</f>
        <v>3</v>
      </c>
      <c r="S103" s="7">
        <f t="shared" si="11"/>
        <v>3062</v>
      </c>
      <c r="U103" s="7">
        <f t="shared" si="19"/>
        <v>1095</v>
      </c>
      <c r="V103" s="7">
        <f t="shared" si="19"/>
        <v>2095</v>
      </c>
      <c r="W103" s="7">
        <f t="shared" si="19"/>
        <v>3095</v>
      </c>
      <c r="X103" s="7">
        <f t="shared" si="19"/>
        <v>4095</v>
      </c>
      <c r="Y103" s="7">
        <f t="shared" si="19"/>
        <v>5095</v>
      </c>
      <c r="Z103" s="7">
        <f t="shared" si="19"/>
        <v>6095</v>
      </c>
      <c r="AA103" s="7">
        <f t="shared" si="19"/>
        <v>7095</v>
      </c>
      <c r="AB103" s="7">
        <f t="shared" si="19"/>
        <v>8095</v>
      </c>
      <c r="AD103" s="21" t="str">
        <f>IFERROR(INDEX($M:$M,MATCH(U103,$S:$S,0)),"&amp;")</f>
        <v>虎踞三江</v>
      </c>
      <c r="AE103" s="21" t="str">
        <f>IFERROR(INDEX($M:$M,MATCH(V103,$S:$S,0)),"&amp;")</f>
        <v>天下三分</v>
      </c>
      <c r="AF103" s="21" t="str">
        <f>IFERROR(INDEX($M:$M,MATCH(W103,$S:$S,0)),"&amp;")</f>
        <v>少年继位</v>
      </c>
      <c r="AG103" s="21" t="str">
        <f>IFERROR(INDEX($M:$M,MATCH(X103,$S:$S,0)),"&amp;")</f>
        <v>甘露寺</v>
      </c>
      <c r="AH103" s="21" t="str">
        <f>IFERROR(INDEX($M:$M,MATCH(Y103,$S:$S,0)),"&amp;")</f>
        <v>&amp;</v>
      </c>
      <c r="AI103" s="21" t="str">
        <f>IFERROR(INDEX($M:$M,MATCH(Z103,$S:$S,0)),"&amp;")</f>
        <v>&amp;</v>
      </c>
      <c r="AJ103" s="21" t="str">
        <f>IFERROR(INDEX($M:$M,MATCH(AA103,$S:$S,0)),"&amp;")</f>
        <v>&amp;</v>
      </c>
      <c r="AK103" s="21" t="str">
        <f>IFERROR(INDEX($M:$M,MATCH(AB103,$S:$S,0)),"&amp;")</f>
        <v>&amp;</v>
      </c>
      <c r="AM103" s="21" t="str">
        <f>IFERROR(INDEX($N:$N,MATCH(U103,$S:$S,0)),"&amp;")</f>
        <v>虎踞三江2</v>
      </c>
      <c r="AN103" s="21" t="str">
        <f>IFERROR(INDEX($N:$N,MATCH(V103,$S:$S,0)),"&amp;")</f>
        <v>天下三分1</v>
      </c>
      <c r="AO103" s="21" t="str">
        <f>IFERROR(INDEX($N:$N,MATCH(W103,$S:$S,0)),"&amp;")</f>
        <v>少年继位1</v>
      </c>
      <c r="AP103" s="21" t="str">
        <f>IFERROR(INDEX($N:$N,MATCH(X103,$S:$S,0)),"&amp;")</f>
        <v>甘露寺1</v>
      </c>
      <c r="AQ103" s="21" t="str">
        <f>IFERROR(INDEX($N:$N,MATCH(Y103,$S:$S,0)),"&amp;")</f>
        <v>&amp;</v>
      </c>
      <c r="AR103" s="21" t="str">
        <f>IFERROR(INDEX($N:$N,MATCH(Z103,$S:$S,0)),"&amp;")</f>
        <v>&amp;</v>
      </c>
      <c r="AS103" s="21" t="str">
        <f>IFERROR(INDEX($N:$N,MATCH(AA103,$S:$S,0)),"&amp;")</f>
        <v>&amp;</v>
      </c>
      <c r="AT103" s="21" t="str">
        <f>IFERROR(INDEX($N:$N,MATCH(AB103,$S:$S,0)),"&amp;")</f>
        <v>&amp;</v>
      </c>
      <c r="AV103" s="21" t="str">
        <f>IFERROR(SUBSTITUTE(INDEX($K:$K,MATCH(INDEX($M:$M,MATCH(AM103,$N:$N,0)),$M:$M,0)),$D103,""),"")</f>
        <v xml:space="preserve">太史慈 </v>
      </c>
      <c r="AW103" s="21" t="str">
        <f>IFERROR(SUBSTITUTE(INDEX($K:$K,MATCH(INDEX($M:$M,MATCH(AN103,$N:$N,0)),$M:$M,0)),$D103,""),"")</f>
        <v xml:space="preserve"> 刘备 曹操</v>
      </c>
      <c r="AX103" s="21" t="str">
        <f>IFERROR(SUBSTITUTE(INDEX($K:$K,MATCH(INDEX($M:$M,MATCH(AO103,$N:$N,0)),$M:$M,0)),$D103,""),"")</f>
        <v xml:space="preserve"> 嬴政</v>
      </c>
      <c r="AY103" s="21" t="str">
        <f>IFERROR(SUBSTITUTE(INDEX($K:$K,MATCH(INDEX($M:$M,MATCH(AP103,$N:$N,0)),$M:$M,0)),$D103,""),"")</f>
        <v xml:space="preserve"> 赵云</v>
      </c>
      <c r="AZ103" s="21" t="str">
        <f>IFERROR(SUBSTITUTE(INDEX($K:$K,MATCH(INDEX($M:$M,MATCH(AQ103,$N:$N,0)),$M:$M,0)),$D103,""),"")</f>
        <v/>
      </c>
      <c r="BA103" s="21" t="str">
        <f>IFERROR(SUBSTITUTE(INDEX($K:$K,MATCH(INDEX($M:$M,MATCH(AR103,$N:$N,0)),$M:$M,0)),$D103,""),"")</f>
        <v/>
      </c>
      <c r="BB103" s="21" t="str">
        <f>IFERROR(SUBSTITUTE(INDEX($K:$K,MATCH(INDEX($M:$M,MATCH(AS103,$N:$N,0)),$M:$M,0)),$D103,""),"")</f>
        <v/>
      </c>
      <c r="BC103" s="21" t="str">
        <f>IFERROR(SUBSTITUTE(INDEX($K:$K,MATCH(INDEX($M:$M,MATCH(AT103,$N:$N,0)),$M:$M,0)),$D103,""),"")</f>
        <v/>
      </c>
      <c r="BE103" s="9" t="str">
        <f t="shared" si="16"/>
        <v>太史慈,孙权,刘备,曹操,嬴政,赵云</v>
      </c>
      <c r="BI103" s="9" t="str">
        <f>IFERROR(
IF(COUNTIF($M:$M,$AD103)&lt;BI$8,
"",
INDEX($J:$J,MATCH($AD103,$M:$M,0)+BI$8-1)),
"")</f>
        <v>太史慈</v>
      </c>
      <c r="BJ103" s="9" t="str">
        <f>IFERROR(
IF(COUNTIF($M:$M,$AD103)&lt;BJ$8,
"",
INDEX($J:$J,MATCH($AD103,$M:$M,0)+BJ$8-1)),
"")</f>
        <v>孙权</v>
      </c>
      <c r="BK103" s="9" t="str">
        <f>IFERROR(
IF(COUNTIF($M:$M,$AD103)&lt;BK$8,
"",
INDEX($J:$J,MATCH($AD103,$M:$M,0)+BK$8-1)),
"")</f>
        <v/>
      </c>
      <c r="BL103" s="9" t="str">
        <f>IFERROR(
IF(COUNTIF($M:$M,$AD103)&lt;BL$8,
"",
INDEX($J:$J,MATCH($AD103,$M:$M,0)+BL$8-1)),
"")</f>
        <v/>
      </c>
      <c r="BN103" s="21" t="str">
        <f>IFERROR(
IF(COUNTIF($BI103:BM103,INDEX($J:$J,MATCH($AE103,$M:$M,0)+BN$8-1))=0,
IF(COUNTIF($M:$M,$AE103)&lt;BN$8,
"",
INDEX($J:$J,MATCH($AE103,$M:$M,0)+BN$8-1)),
""),
"")</f>
        <v/>
      </c>
      <c r="BO103" s="21" t="str">
        <f>IFERROR(
IF(COUNTIF($BI103:BN103,INDEX($J:$J,MATCH($AE103,$M:$M,0)+BO$8-1))=0,
IF(COUNTIF($M:$M,$AE103)&lt;BO$8,
"",
INDEX($J:$J,MATCH($AE103,$M:$M,0)+BO$8-1)),
""),
"")</f>
        <v>刘备</v>
      </c>
      <c r="BP103" s="21" t="str">
        <f>IFERROR(
IF(COUNTIF($BI103:BO103,INDEX($J:$J,MATCH($AE103,$M:$M,0)+BP$8-1))=0,
IF(COUNTIF($M:$M,$AE103)&lt;BP$8,
"",
INDEX($J:$J,MATCH($AE103,$M:$M,0)+BP$8-1)),
""),
"")</f>
        <v>曹操</v>
      </c>
      <c r="BQ103" s="21" t="str">
        <f>IFERROR(
IF(COUNTIF($BI103:BP103,INDEX($J:$J,MATCH($AE103,$M:$M,0)+BQ$8-1))=0,
IF(COUNTIF($M:$M,$AE103)&lt;BQ$8,
"",
INDEX($J:$J,MATCH($AE103,$M:$M,0)+BQ$8-1)),
""),
"")</f>
        <v/>
      </c>
      <c r="BS103" s="21" t="str">
        <f>IFERROR(
IF(COUNTIF($BI103:BR103,INDEX($J:$J,MATCH($AF103,$M:$M,0)+BS$8-1))=0,
IF(COUNTIF($M:$M,$AF103)&lt;BS$8,
"",
INDEX($J:$J,MATCH($AF103,$M:$M,0)+BS$8-1)),
""),
"")</f>
        <v/>
      </c>
      <c r="BT103" s="21" t="str">
        <f>IFERROR(
IF(COUNTIF($BI103:BS103,INDEX($J:$J,MATCH($AF103,$M:$M,0)+BT$8-1))=0,
IF(COUNTIF($M:$M,$AF103)&lt;BT$8,
"",
INDEX($J:$J,MATCH($AF103,$M:$M,0)+BT$8-1)),
""),
"")</f>
        <v>嬴政</v>
      </c>
      <c r="BU103" s="21" t="str">
        <f>IFERROR(
IF(COUNTIF($BI103:BT103,INDEX($J:$J,MATCH($AF103,$M:$M,0)+BU$8-1))=0,
IF(COUNTIF($M:$M,$AF103)&lt;BU$8,
"",
INDEX($J:$J,MATCH($AF103,$M:$M,0)+BU$8-1)),
""),
"")</f>
        <v/>
      </c>
      <c r="BV103" s="21" t="str">
        <f>IFERROR(
IF(COUNTIF($BI103:BU103,INDEX($J:$J,MATCH($AF103,$M:$M,0)+BV$8-1))=0,
IF(COUNTIF($M:$M,$AF103)&lt;BV$8,
"",
INDEX($J:$J,MATCH($AF103,$M:$M,0)+BV$8-1)),
""),
"")</f>
        <v/>
      </c>
      <c r="BX103" s="21" t="str">
        <f>IFERROR(
IF(COUNTIF($BI103:BW103,INDEX($J:$J,MATCH($AG103,$M:$M,0)+BX$8-1))=0,
IF(COUNTIF($M:$M,$AG103)&lt;BX$8,
"",
INDEX($J:$J,MATCH($AG103,$M:$M,0)+BX$8-1)),
""),
"")</f>
        <v/>
      </c>
      <c r="BY103" s="21" t="str">
        <f>IFERROR(
IF(COUNTIF($BI103:BX103,INDEX($J:$J,MATCH($AG103,$M:$M,0)+BY$8-1))=0,
IF(COUNTIF($M:$M,$AG103)&lt;BY$8,
"",
INDEX($J:$J,MATCH($AG103,$M:$M,0)+BY$8-1)),
""),
"")</f>
        <v>赵云</v>
      </c>
      <c r="BZ103" s="21" t="str">
        <f>IFERROR(
IF(COUNTIF($BI103:BY103,INDEX($J:$J,MATCH($AG103,$M:$M,0)+BZ$8-1))=0,
IF(COUNTIF($M:$M,$AG103)&lt;BZ$8,
"",
INDEX($J:$J,MATCH($AG103,$M:$M,0)+BZ$8-1)),
""),
"")</f>
        <v/>
      </c>
      <c r="CA103" s="21" t="str">
        <f>IFERROR(
IF(COUNTIF($BI103:BZ103,INDEX($J:$J,MATCH($AG103,$M:$M,0)+CA$8-1))=0,
IF(COUNTIF($M:$M,$AG103)&lt;CA$8,
"",
INDEX($J:$J,MATCH($AG103,$M:$M,0)+CA$8-1)),
""),
"")</f>
        <v/>
      </c>
      <c r="CC103" s="21" t="str">
        <f>IFERROR(
IF(COUNTIF($BI103:CB103,INDEX($J:$J,MATCH($AH103,$M:$M,0)+CC$8-1))=0,
IF(COUNTIF($M:$M,$AH103)&lt;CC$8,
"",
INDEX($J:$J,MATCH($AH103,$M:$M,0)+CC$8-1)),
""),
"")</f>
        <v/>
      </c>
      <c r="CD103" s="21" t="str">
        <f>IFERROR(
IF(COUNTIF($BI103:CC103,INDEX($J:$J,MATCH($AH103,$M:$M,0)+CD$8-1))=0,
IF(COUNTIF($M:$M,$AH103)&lt;CD$8,
"",
INDEX($J:$J,MATCH($AH103,$M:$M,0)+CD$8-1)),
""),
"")</f>
        <v/>
      </c>
      <c r="CE103" s="21" t="str">
        <f>IFERROR(
IF(COUNTIF($BI103:CD103,INDEX($J:$J,MATCH($AH103,$M:$M,0)+CE$8-1))=0,
IF(COUNTIF($M:$M,$AH103)&lt;CE$8,
"",
INDEX($J:$J,MATCH($AH103,$M:$M,0)+CE$8-1)),
""),
"")</f>
        <v/>
      </c>
      <c r="CF103" s="21" t="str">
        <f>IFERROR(
IF(COUNTIF($BI103:CE103,INDEX($J:$J,MATCH($AH103,$M:$M,0)+CF$8-1))=0,
IF(COUNTIF($M:$M,$AH103)&lt;CF$8,
"",
INDEX($J:$J,MATCH($AH103,$M:$M,0)+CF$8-1)),
""),
"")</f>
        <v/>
      </c>
      <c r="CH103" s="21" t="str">
        <f>IFERROR(
IF(COUNTIF($BI103:CG103,INDEX($J:$J,MATCH($AI103,$M:$M,0)+CH$8-1))=0,
IF(COUNTIF($M:$M,$AI103)&lt;CH$8,
"",
INDEX($J:$J,MATCH($AI103,$M:$M,0)+CH$8-1)),
""),
"")</f>
        <v/>
      </c>
      <c r="CI103" s="21" t="str">
        <f>IFERROR(
IF(COUNTIF($BI103:CH103,INDEX($J:$J,MATCH($AI103,$M:$M,0)+CI$8-1))=0,
IF(COUNTIF($M:$M,$AI103)&lt;CI$8,
"",
INDEX($J:$J,MATCH($AI103,$M:$M,0)+CI$8-1)),
""),
"")</f>
        <v/>
      </c>
      <c r="CJ103" s="21" t="str">
        <f>IFERROR(
IF(COUNTIF($BI103:CI103,INDEX($J:$J,MATCH($AI103,$M:$M,0)+CJ$8-1))=0,
IF(COUNTIF($M:$M,$AI103)&lt;CJ$8,
"",
INDEX($J:$J,MATCH($AI103,$M:$M,0)+CJ$8-1)),
""),
"")</f>
        <v/>
      </c>
      <c r="CK103" s="21" t="str">
        <f>IFERROR(
IF(COUNTIF($BI103:CJ103,INDEX($J:$J,MATCH($AI103,$M:$M,0)+CK$8-1))=0,
IF(COUNTIF($M:$M,$AI103)&lt;CK$8,
"",
INDEX($J:$J,MATCH($AI103,$M:$M,0)+CK$8-1)),
""),
"")</f>
        <v/>
      </c>
      <c r="CM103" s="21" t="str">
        <f>IFERROR(
IF(COUNTIF($BI103:CL103,INDEX($J:$J,MATCH($AJ103,$M:$M,0)+CM$8-1))=0,
IF(COUNTIF($M:$M,$AJ103)&lt;CM$8,
"",
INDEX($J:$J,MATCH($AJ103,$M:$M,0)+CM$8-1)),
""),
"")</f>
        <v/>
      </c>
      <c r="CN103" s="21" t="str">
        <f>IFERROR(
IF(COUNTIF($BI103:CM103,INDEX($J:$J,MATCH($AJ103,$M:$M,0)+CN$8-1))=0,
IF(COUNTIF($M:$M,$AJ103)&lt;CN$8,
"",
INDEX($J:$J,MATCH($AJ103,$M:$M,0)+CN$8-1)),
""),
"")</f>
        <v/>
      </c>
      <c r="CO103" s="21" t="str">
        <f>IFERROR(
IF(COUNTIF($BI103:CN103,INDEX($J:$J,MATCH($AJ103,$M:$M,0)+CO$8-1))=0,
IF(COUNTIF($M:$M,$AJ103)&lt;CO$8,
"",
INDEX($J:$J,MATCH($AJ103,$M:$M,0)+CO$8-1)),
""),
"")</f>
        <v/>
      </c>
      <c r="CP103" s="21" t="str">
        <f>IFERROR(
IF(COUNTIF($BI103:CO103,INDEX($J:$J,MATCH($AJ103,$M:$M,0)+CP$8-1))=0,
IF(COUNTIF($M:$M,$AJ103)&lt;CP$8,
"",
INDEX($J:$J,MATCH($AJ103,$M:$M,0)+CP$8-1)),
""),
"")</f>
        <v/>
      </c>
      <c r="CR103" s="21" t="str">
        <f>IFERROR(
IF(COUNTIF($BI103:CQ103,INDEX($J:$J,MATCH($AK103,$M:$M,0)+CR$8-1))=0,
IF(COUNTIF($M:$M,$AK103)&lt;CR$8,
"",
INDEX($J:$J,MATCH($AK103,$M:$M,0)+CR$8-1)),
""),
"")</f>
        <v/>
      </c>
      <c r="CS103" s="21" t="str">
        <f>IFERROR(
IF(COUNTIF($BI103:CR103,INDEX($J:$J,MATCH($AK103,$M:$M,0)+CS$8-1))=0,
IF(COUNTIF($M:$M,$AK103)&lt;CS$8,
"",
INDEX($J:$J,MATCH($AK103,$M:$M,0)+CS$8-1)),
""),
"")</f>
        <v/>
      </c>
      <c r="CT103" s="21" t="str">
        <f>IFERROR(
IF(COUNTIF($BI103:CS103,INDEX($J:$J,MATCH($AK103,$M:$M,0)+CT$8-1))=0,
IF(COUNTIF($M:$M,$AK103)&lt;CT$8,
"",
INDEX($J:$J,MATCH($AK103,$M:$M,0)+CT$8-1)),
""),
"")</f>
        <v/>
      </c>
      <c r="CU103" s="21" t="str">
        <f>IFERROR(
IF(COUNTIF($BI103:CT103,INDEX($J:$J,MATCH($AK103,$M:$M,0)+CU$8-1))=0,
IF(COUNTIF($M:$M,$AK103)&lt;CU$8,
"",
INDEX($J:$J,MATCH($AK103,$M:$M,0)+CU$8-1)),
""),
"")</f>
        <v/>
      </c>
    </row>
    <row r="104" spans="3:99" ht="14.25">
      <c r="C104" s="16">
        <v>96</v>
      </c>
      <c r="D104" s="19" t="s">
        <v>509</v>
      </c>
      <c r="E104" s="20">
        <f>INDEX([1]武将基本资料!$S:$S,MATCH(D104,[1]武将基本资料!$N:$N,0))</f>
        <v>130</v>
      </c>
      <c r="F104" s="20" t="str">
        <f>INDEX([1]武将基本资料!$Q:$Q,MATCH(D104,[1]武将基本资料!$N:$N,0))</f>
        <v>橙+</v>
      </c>
      <c r="H104" s="7">
        <f>IF(I104="","",COUNTA(I$9:$I104))</f>
        <v>94</v>
      </c>
      <c r="I104" s="6" t="s">
        <v>226</v>
      </c>
      <c r="J104" s="6" t="s">
        <v>223</v>
      </c>
      <c r="K104" s="8" t="str">
        <f>IF(H104="","",阶段合并区域(J104:J116," ",L104:L116,1))</f>
        <v>赵括 欧冶子</v>
      </c>
      <c r="L104" s="8">
        <f>COUNTIF(M$8:$M104,"="&amp;M104)</f>
        <v>1</v>
      </c>
      <c r="M104" s="9" t="str">
        <f t="shared" si="13"/>
        <v>一展身手</v>
      </c>
      <c r="N104" s="9" t="str">
        <f t="shared" si="14"/>
        <v>一展身手1</v>
      </c>
      <c r="O104" s="15">
        <f>INDEX(C:C,MATCH(J104,D:D,0))</f>
        <v>71</v>
      </c>
      <c r="P104" s="9">
        <f>INDEX(E:E,MATCH(J104,D:D,0))</f>
        <v>120</v>
      </c>
      <c r="Q104" s="7">
        <f t="shared" si="10"/>
        <v>71</v>
      </c>
      <c r="R104" s="7">
        <f>COUNTIF(J$8:$J104,"="&amp;J104)</f>
        <v>2</v>
      </c>
      <c r="S104" s="7">
        <f t="shared" ref="S104" si="20">R104*1000+Q104</f>
        <v>2071</v>
      </c>
      <c r="U104" s="7">
        <f t="shared" si="19"/>
        <v>1096</v>
      </c>
      <c r="V104" s="7">
        <f t="shared" si="19"/>
        <v>2096</v>
      </c>
      <c r="W104" s="7">
        <f t="shared" si="19"/>
        <v>3096</v>
      </c>
      <c r="X104" s="7">
        <f t="shared" si="19"/>
        <v>4096</v>
      </c>
      <c r="Y104" s="7">
        <f t="shared" si="19"/>
        <v>5096</v>
      </c>
      <c r="Z104" s="7">
        <f t="shared" si="19"/>
        <v>6096</v>
      </c>
      <c r="AA104" s="7">
        <f t="shared" si="19"/>
        <v>7096</v>
      </c>
      <c r="AB104" s="7">
        <f t="shared" si="19"/>
        <v>8096</v>
      </c>
      <c r="AD104" s="21" t="str">
        <f>IFERROR(INDEX($M:$M,MATCH(U104,$S:$S,0)),"&amp;")</f>
        <v>虎步关右</v>
      </c>
      <c r="AE104" s="21" t="str">
        <f>IFERROR(INDEX($M:$M,MATCH(V104,$S:$S,0)),"&amp;")</f>
        <v>白地将军</v>
      </c>
      <c r="AF104" s="21" t="str">
        <f>IFERROR(INDEX($M:$M,MATCH(W104,$S:$S,0)),"&amp;")</f>
        <v>忠义事主</v>
      </c>
      <c r="AG104" s="21" t="str">
        <f>IFERROR(INDEX($M:$M,MATCH(X104,$S:$S,0)),"&amp;")</f>
        <v>曹魏军团</v>
      </c>
      <c r="AH104" s="21" t="str">
        <f>IFERROR(INDEX($M:$M,MATCH(Y104,$S:$S,0)),"&amp;")</f>
        <v>&amp;</v>
      </c>
      <c r="AI104" s="21" t="str">
        <f>IFERROR(INDEX($M:$M,MATCH(Z104,$S:$S,0)),"&amp;")</f>
        <v>&amp;</v>
      </c>
      <c r="AJ104" s="21" t="str">
        <f>IFERROR(INDEX($M:$M,MATCH(AA104,$S:$S,0)),"&amp;")</f>
        <v>&amp;</v>
      </c>
      <c r="AK104" s="21" t="str">
        <f>IFERROR(INDEX($M:$M,MATCH(AB104,$S:$S,0)),"&amp;")</f>
        <v>&amp;</v>
      </c>
      <c r="AM104" s="21" t="str">
        <f>IFERROR(INDEX($N:$N,MATCH(U104,$S:$S,0)),"&amp;")</f>
        <v>虎步关右1</v>
      </c>
      <c r="AN104" s="21" t="str">
        <f>IFERROR(INDEX($N:$N,MATCH(V104,$S:$S,0)),"&amp;")</f>
        <v>白地将军1</v>
      </c>
      <c r="AO104" s="21" t="str">
        <f>IFERROR(INDEX($N:$N,MATCH(W104,$S:$S,0)),"&amp;")</f>
        <v>忠义事主1</v>
      </c>
      <c r="AP104" s="21" t="str">
        <f>IFERROR(INDEX($N:$N,MATCH(X104,$S:$S,0)),"&amp;")</f>
        <v>曹魏军团3</v>
      </c>
      <c r="AQ104" s="21" t="str">
        <f>IFERROR(INDEX($N:$N,MATCH(Y104,$S:$S,0)),"&amp;")</f>
        <v>&amp;</v>
      </c>
      <c r="AR104" s="21" t="str">
        <f>IFERROR(INDEX($N:$N,MATCH(Z104,$S:$S,0)),"&amp;")</f>
        <v>&amp;</v>
      </c>
      <c r="AS104" s="21" t="str">
        <f>IFERROR(INDEX($N:$N,MATCH(AA104,$S:$S,0)),"&amp;")</f>
        <v>&amp;</v>
      </c>
      <c r="AT104" s="21" t="str">
        <f>IFERROR(INDEX($N:$N,MATCH(AB104,$S:$S,0)),"&amp;")</f>
        <v>&amp;</v>
      </c>
      <c r="AV104" s="21" t="str">
        <f>IFERROR(SUBSTITUTE(INDEX($K:$K,MATCH(INDEX($M:$M,MATCH(AM104,$N:$N,0)),$M:$M,0)),$D104,""),"")</f>
        <v xml:space="preserve"> 刘备</v>
      </c>
      <c r="AW104" s="21" t="str">
        <f>IFERROR(SUBSTITUTE(INDEX($K:$K,MATCH(INDEX($M:$M,MATCH(AN104,$N:$N,0)),$M:$M,0)),$D104,""),"")</f>
        <v xml:space="preserve"> 曹操</v>
      </c>
      <c r="AX104" s="21" t="str">
        <f>IFERROR(SUBSTITUTE(INDEX($K:$K,MATCH(INDEX($M:$M,MATCH(AO104,$N:$N,0)),$M:$M,0)),$D104,""),"")</f>
        <v xml:space="preserve"> 关羽</v>
      </c>
      <c r="AY104" s="21" t="str">
        <f>IFERROR(SUBSTITUTE(INDEX($K:$K,MATCH(INDEX($M:$M,MATCH(AP104,$N:$N,0)),$M:$M,0)),$D104,""),"")</f>
        <v>曹操  司马懿</v>
      </c>
      <c r="AZ104" s="21" t="str">
        <f>IFERROR(SUBSTITUTE(INDEX($K:$K,MATCH(INDEX($M:$M,MATCH(AQ104,$N:$N,0)),$M:$M,0)),$D104,""),"")</f>
        <v/>
      </c>
      <c r="BA104" s="21" t="str">
        <f>IFERROR(SUBSTITUTE(INDEX($K:$K,MATCH(INDEX($M:$M,MATCH(AR104,$N:$N,0)),$M:$M,0)),$D104,""),"")</f>
        <v/>
      </c>
      <c r="BB104" s="21" t="str">
        <f>IFERROR(SUBSTITUTE(INDEX($K:$K,MATCH(INDEX($M:$M,MATCH(AS104,$N:$N,0)),$M:$M,0)),$D104,""),"")</f>
        <v/>
      </c>
      <c r="BC104" s="21" t="str">
        <f>IFERROR(SUBSTITUTE(INDEX($K:$K,MATCH(INDEX($M:$M,MATCH(AT104,$N:$N,0)),$M:$M,0)),$D104,""),"")</f>
        <v/>
      </c>
      <c r="BE104" s="9" t="str">
        <f t="shared" si="16"/>
        <v>夏侯渊,刘备,曹操,关羽,司马懿</v>
      </c>
      <c r="BI104" s="9" t="str">
        <f>IFERROR(
IF(COUNTIF($M:$M,$AD104)&lt;BI$8,
"",
INDEX($J:$J,MATCH($AD104,$M:$M,0)+BI$8-1)),
"")</f>
        <v>夏侯渊</v>
      </c>
      <c r="BJ104" s="9" t="str">
        <f>IFERROR(
IF(COUNTIF($M:$M,$AD104)&lt;BJ$8,
"",
INDEX($J:$J,MATCH($AD104,$M:$M,0)+BJ$8-1)),
"")</f>
        <v>刘备</v>
      </c>
      <c r="BK104" s="9" t="str">
        <f>IFERROR(
IF(COUNTIF($M:$M,$AD104)&lt;BK$8,
"",
INDEX($J:$J,MATCH($AD104,$M:$M,0)+BK$8-1)),
"")</f>
        <v/>
      </c>
      <c r="BL104" s="9" t="str">
        <f>IFERROR(
IF(COUNTIF($M:$M,$AD104)&lt;BL$8,
"",
INDEX($J:$J,MATCH($AD104,$M:$M,0)+BL$8-1)),
"")</f>
        <v/>
      </c>
      <c r="BN104" s="21" t="str">
        <f>IFERROR(
IF(COUNTIF($BI104:BM104,INDEX($J:$J,MATCH($AE104,$M:$M,0)+BN$8-1))=0,
IF(COUNTIF($M:$M,$AE104)&lt;BN$8,
"",
INDEX($J:$J,MATCH($AE104,$M:$M,0)+BN$8-1)),
""),
"")</f>
        <v/>
      </c>
      <c r="BO104" s="21" t="str">
        <f>IFERROR(
IF(COUNTIF($BI104:BN104,INDEX($J:$J,MATCH($AE104,$M:$M,0)+BO$8-1))=0,
IF(COUNTIF($M:$M,$AE104)&lt;BO$8,
"",
INDEX($J:$J,MATCH($AE104,$M:$M,0)+BO$8-1)),
""),
"")</f>
        <v>曹操</v>
      </c>
      <c r="BP104" s="21" t="str">
        <f>IFERROR(
IF(COUNTIF($BI104:BO104,INDEX($J:$J,MATCH($AE104,$M:$M,0)+BP$8-1))=0,
IF(COUNTIF($M:$M,$AE104)&lt;BP$8,
"",
INDEX($J:$J,MATCH($AE104,$M:$M,0)+BP$8-1)),
""),
"")</f>
        <v/>
      </c>
      <c r="BQ104" s="21" t="str">
        <f>IFERROR(
IF(COUNTIF($BI104:BP104,INDEX($J:$J,MATCH($AE104,$M:$M,0)+BQ$8-1))=0,
IF(COUNTIF($M:$M,$AE104)&lt;BQ$8,
"",
INDEX($J:$J,MATCH($AE104,$M:$M,0)+BQ$8-1)),
""),
"")</f>
        <v/>
      </c>
      <c r="BS104" s="21" t="str">
        <f>IFERROR(
IF(COUNTIF($BI104:BR104,INDEX($J:$J,MATCH($AF104,$M:$M,0)+BS$8-1))=0,
IF(COUNTIF($M:$M,$AF104)&lt;BS$8,
"",
INDEX($J:$J,MATCH($AF104,$M:$M,0)+BS$8-1)),
""),
"")</f>
        <v/>
      </c>
      <c r="BT104" s="21" t="str">
        <f>IFERROR(
IF(COUNTIF($BI104:BS104,INDEX($J:$J,MATCH($AF104,$M:$M,0)+BT$8-1))=0,
IF(COUNTIF($M:$M,$AF104)&lt;BT$8,
"",
INDEX($J:$J,MATCH($AF104,$M:$M,0)+BT$8-1)),
""),
"")</f>
        <v>关羽</v>
      </c>
      <c r="BU104" s="21" t="str">
        <f>IFERROR(
IF(COUNTIF($BI104:BT104,INDEX($J:$J,MATCH($AF104,$M:$M,0)+BU$8-1))=0,
IF(COUNTIF($M:$M,$AF104)&lt;BU$8,
"",
INDEX($J:$J,MATCH($AF104,$M:$M,0)+BU$8-1)),
""),
"")</f>
        <v/>
      </c>
      <c r="BV104" s="21" t="str">
        <f>IFERROR(
IF(COUNTIF($BI104:BU104,INDEX($J:$J,MATCH($AF104,$M:$M,0)+BV$8-1))=0,
IF(COUNTIF($M:$M,$AF104)&lt;BV$8,
"",
INDEX($J:$J,MATCH($AF104,$M:$M,0)+BV$8-1)),
""),
"")</f>
        <v/>
      </c>
      <c r="BX104" s="21" t="str">
        <f>IFERROR(
IF(COUNTIF($BI104:BW104,INDEX($J:$J,MATCH($AG104,$M:$M,0)+BX$8-1))=0,
IF(COUNTIF($M:$M,$AG104)&lt;BX$8,
"",
INDEX($J:$J,MATCH($AG104,$M:$M,0)+BX$8-1)),
""),
"")</f>
        <v>司马懿</v>
      </c>
      <c r="BY104" s="21" t="str">
        <f>IFERROR(
IF(COUNTIF($BI104:BX104,INDEX($J:$J,MATCH($AG104,$M:$M,0)+BY$8-1))=0,
IF(COUNTIF($M:$M,$AG104)&lt;BY$8,
"",
INDEX($J:$J,MATCH($AG104,$M:$M,0)+BY$8-1)),
""),
"")</f>
        <v/>
      </c>
      <c r="BZ104" s="21" t="str">
        <f>IFERROR(
IF(COUNTIF($BI104:BY104,INDEX($J:$J,MATCH($AG104,$M:$M,0)+BZ$8-1))=0,
IF(COUNTIF($M:$M,$AG104)&lt;BZ$8,
"",
INDEX($J:$J,MATCH($AG104,$M:$M,0)+BZ$8-1)),
""),
"")</f>
        <v/>
      </c>
      <c r="CA104" s="21" t="str">
        <f>IFERROR(
IF(COUNTIF($BI104:BZ104,INDEX($J:$J,MATCH($AG104,$M:$M,0)+CA$8-1))=0,
IF(COUNTIF($M:$M,$AG104)&lt;CA$8,
"",
INDEX($J:$J,MATCH($AG104,$M:$M,0)+CA$8-1)),
""),
"")</f>
        <v/>
      </c>
      <c r="CC104" s="21" t="str">
        <f>IFERROR(
IF(COUNTIF($BI104:CB104,INDEX($J:$J,MATCH($AH104,$M:$M,0)+CC$8-1))=0,
IF(COUNTIF($M:$M,$AH104)&lt;CC$8,
"",
INDEX($J:$J,MATCH($AH104,$M:$M,0)+CC$8-1)),
""),
"")</f>
        <v/>
      </c>
      <c r="CD104" s="21" t="str">
        <f>IFERROR(
IF(COUNTIF($BI104:CC104,INDEX($J:$J,MATCH($AH104,$M:$M,0)+CD$8-1))=0,
IF(COUNTIF($M:$M,$AH104)&lt;CD$8,
"",
INDEX($J:$J,MATCH($AH104,$M:$M,0)+CD$8-1)),
""),
"")</f>
        <v/>
      </c>
      <c r="CE104" s="21" t="str">
        <f>IFERROR(
IF(COUNTIF($BI104:CD104,INDEX($J:$J,MATCH($AH104,$M:$M,0)+CE$8-1))=0,
IF(COUNTIF($M:$M,$AH104)&lt;CE$8,
"",
INDEX($J:$J,MATCH($AH104,$M:$M,0)+CE$8-1)),
""),
"")</f>
        <v/>
      </c>
      <c r="CF104" s="21" t="str">
        <f>IFERROR(
IF(COUNTIF($BI104:CE104,INDEX($J:$J,MATCH($AH104,$M:$M,0)+CF$8-1))=0,
IF(COUNTIF($M:$M,$AH104)&lt;CF$8,
"",
INDEX($J:$J,MATCH($AH104,$M:$M,0)+CF$8-1)),
""),
"")</f>
        <v/>
      </c>
      <c r="CH104" s="21" t="str">
        <f>IFERROR(
IF(COUNTIF($BI104:CG104,INDEX($J:$J,MATCH($AI104,$M:$M,0)+CH$8-1))=0,
IF(COUNTIF($M:$M,$AI104)&lt;CH$8,
"",
INDEX($J:$J,MATCH($AI104,$M:$M,0)+CH$8-1)),
""),
"")</f>
        <v/>
      </c>
      <c r="CI104" s="21" t="str">
        <f>IFERROR(
IF(COUNTIF($BI104:CH104,INDEX($J:$J,MATCH($AI104,$M:$M,0)+CI$8-1))=0,
IF(COUNTIF($M:$M,$AI104)&lt;CI$8,
"",
INDEX($J:$J,MATCH($AI104,$M:$M,0)+CI$8-1)),
""),
"")</f>
        <v/>
      </c>
      <c r="CJ104" s="21" t="str">
        <f>IFERROR(
IF(COUNTIF($BI104:CI104,INDEX($J:$J,MATCH($AI104,$M:$M,0)+CJ$8-1))=0,
IF(COUNTIF($M:$M,$AI104)&lt;CJ$8,
"",
INDEX($J:$J,MATCH($AI104,$M:$M,0)+CJ$8-1)),
""),
"")</f>
        <v/>
      </c>
      <c r="CK104" s="21" t="str">
        <f>IFERROR(
IF(COUNTIF($BI104:CJ104,INDEX($J:$J,MATCH($AI104,$M:$M,0)+CK$8-1))=0,
IF(COUNTIF($M:$M,$AI104)&lt;CK$8,
"",
INDEX($J:$J,MATCH($AI104,$M:$M,0)+CK$8-1)),
""),
"")</f>
        <v/>
      </c>
      <c r="CM104" s="21" t="str">
        <f>IFERROR(
IF(COUNTIF($BI104:CL104,INDEX($J:$J,MATCH($AJ104,$M:$M,0)+CM$8-1))=0,
IF(COUNTIF($M:$M,$AJ104)&lt;CM$8,
"",
INDEX($J:$J,MATCH($AJ104,$M:$M,0)+CM$8-1)),
""),
"")</f>
        <v/>
      </c>
      <c r="CN104" s="21" t="str">
        <f>IFERROR(
IF(COUNTIF($BI104:CM104,INDEX($J:$J,MATCH($AJ104,$M:$M,0)+CN$8-1))=0,
IF(COUNTIF($M:$M,$AJ104)&lt;CN$8,
"",
INDEX($J:$J,MATCH($AJ104,$M:$M,0)+CN$8-1)),
""),
"")</f>
        <v/>
      </c>
      <c r="CO104" s="21" t="str">
        <f>IFERROR(
IF(COUNTIF($BI104:CN104,INDEX($J:$J,MATCH($AJ104,$M:$M,0)+CO$8-1))=0,
IF(COUNTIF($M:$M,$AJ104)&lt;CO$8,
"",
INDEX($J:$J,MATCH($AJ104,$M:$M,0)+CO$8-1)),
""),
"")</f>
        <v/>
      </c>
      <c r="CP104" s="21" t="str">
        <f>IFERROR(
IF(COUNTIF($BI104:CO104,INDEX($J:$J,MATCH($AJ104,$M:$M,0)+CP$8-1))=0,
IF(COUNTIF($M:$M,$AJ104)&lt;CP$8,
"",
INDEX($J:$J,MATCH($AJ104,$M:$M,0)+CP$8-1)),
""),
"")</f>
        <v/>
      </c>
      <c r="CR104" s="21" t="str">
        <f>IFERROR(
IF(COUNTIF($BI104:CQ104,INDEX($J:$J,MATCH($AK104,$M:$M,0)+CR$8-1))=0,
IF(COUNTIF($M:$M,$AK104)&lt;CR$8,
"",
INDEX($J:$J,MATCH($AK104,$M:$M,0)+CR$8-1)),
""),
"")</f>
        <v/>
      </c>
      <c r="CS104" s="21" t="str">
        <f>IFERROR(
IF(COUNTIF($BI104:CR104,INDEX($J:$J,MATCH($AK104,$M:$M,0)+CS$8-1))=0,
IF(COUNTIF($M:$M,$AK104)&lt;CS$8,
"",
INDEX($J:$J,MATCH($AK104,$M:$M,0)+CS$8-1)),
""),
"")</f>
        <v/>
      </c>
      <c r="CT104" s="21" t="str">
        <f>IFERROR(
IF(COUNTIF($BI104:CS104,INDEX($J:$J,MATCH($AK104,$M:$M,0)+CT$8-1))=0,
IF(COUNTIF($M:$M,$AK104)&lt;CT$8,
"",
INDEX($J:$J,MATCH($AK104,$M:$M,0)+CT$8-1)),
""),
"")</f>
        <v/>
      </c>
      <c r="CU104" s="21" t="str">
        <f>IFERROR(
IF(COUNTIF($BI104:CT104,INDEX($J:$J,MATCH($AK104,$M:$M,0)+CU$8-1))=0,
IF(COUNTIF($M:$M,$AK104)&lt;CU$8,
"",
INDEX($J:$J,MATCH($AK104,$M:$M,0)+CU$8-1)),
""),
"")</f>
        <v/>
      </c>
    </row>
    <row r="105" spans="3:99" ht="14.25">
      <c r="C105" s="16">
        <v>97</v>
      </c>
      <c r="D105" s="19" t="s">
        <v>513</v>
      </c>
      <c r="E105" s="20">
        <f>INDEX([1]武将基本资料!$S:$S,MATCH(D105,[1]武将基本资料!$N:$N,0))</f>
        <v>140</v>
      </c>
      <c r="F105" s="20" t="str">
        <f>INDEX([1]武将基本资料!$Q:$Q,MATCH(D105,[1]武将基本资料!$N:$N,0))</f>
        <v>红</v>
      </c>
      <c r="H105" s="7" t="str">
        <f>IF(I105="","",COUNTA(I$9:$I105))</f>
        <v/>
      </c>
      <c r="I105" s="6" t="s">
        <v>188</v>
      </c>
      <c r="J105" s="6" t="s">
        <v>224</v>
      </c>
      <c r="K105" s="8" t="str">
        <f>IF(H105="","",阶段合并区域(J105:J117," ",L105:L117,1))</f>
        <v/>
      </c>
      <c r="L105" s="8">
        <f>COUNTIF(M$8:$M105,"="&amp;M105)</f>
        <v>2</v>
      </c>
      <c r="M105" s="9" t="str">
        <f t="shared" si="13"/>
        <v>一展身手</v>
      </c>
      <c r="N105" s="9" t="str">
        <f t="shared" si="14"/>
        <v>一展身手2</v>
      </c>
      <c r="O105" s="15">
        <f>INDEX(C:C,MATCH(J105,D:D,0))</f>
        <v>63</v>
      </c>
      <c r="P105" s="9">
        <f>INDEX(E:E,MATCH(J105,D:D,0))</f>
        <v>120</v>
      </c>
      <c r="Q105" s="7">
        <f t="shared" si="10"/>
        <v>63</v>
      </c>
      <c r="R105" s="7">
        <f>COUNTIF(J$8:$J105,"="&amp;J105)</f>
        <v>3</v>
      </c>
      <c r="S105" s="7">
        <f>R105*1000+Q105</f>
        <v>3063</v>
      </c>
      <c r="U105" s="7">
        <f t="shared" si="19"/>
        <v>1097</v>
      </c>
      <c r="V105" s="7">
        <f t="shared" si="19"/>
        <v>2097</v>
      </c>
      <c r="W105" s="7">
        <f t="shared" si="19"/>
        <v>3097</v>
      </c>
      <c r="X105" s="7">
        <f t="shared" si="19"/>
        <v>4097</v>
      </c>
      <c r="Y105" s="7">
        <f t="shared" si="19"/>
        <v>5097</v>
      </c>
      <c r="Z105" s="7">
        <f t="shared" si="19"/>
        <v>6097</v>
      </c>
      <c r="AA105" s="7">
        <f t="shared" si="19"/>
        <v>7097</v>
      </c>
      <c r="AB105" s="7">
        <f t="shared" si="19"/>
        <v>8097</v>
      </c>
      <c r="AD105" s="21" t="str">
        <f>IFERROR(INDEX($M:$M,MATCH(U105,$S:$S,0)),"&amp;")</f>
        <v>曹魏军团</v>
      </c>
      <c r="AE105" s="21" t="str">
        <f>IFERROR(INDEX($M:$M,MATCH(V105,$S:$S,0)),"&amp;")</f>
        <v>智囊军师</v>
      </c>
      <c r="AF105" s="21" t="str">
        <f>IFERROR(INDEX($M:$M,MATCH(W105,$S:$S,0)),"&amp;")</f>
        <v>挟制天子</v>
      </c>
      <c r="AG105" s="21" t="str">
        <f>IFERROR(INDEX($M:$M,MATCH(X105,$S:$S,0)),"&amp;")</f>
        <v>&amp;</v>
      </c>
      <c r="AH105" s="21" t="str">
        <f>IFERROR(INDEX($M:$M,MATCH(Y105,$S:$S,0)),"&amp;")</f>
        <v>&amp;</v>
      </c>
      <c r="AI105" s="21" t="str">
        <f>IFERROR(INDEX($M:$M,MATCH(Z105,$S:$S,0)),"&amp;")</f>
        <v>&amp;</v>
      </c>
      <c r="AJ105" s="21" t="str">
        <f>IFERROR(INDEX($M:$M,MATCH(AA105,$S:$S,0)),"&amp;")</f>
        <v>&amp;</v>
      </c>
      <c r="AK105" s="21" t="str">
        <f>IFERROR(INDEX($M:$M,MATCH(AB105,$S:$S,0)),"&amp;")</f>
        <v>&amp;</v>
      </c>
      <c r="AM105" s="21" t="str">
        <f>IFERROR(INDEX($N:$N,MATCH(U105,$S:$S,0)),"&amp;")</f>
        <v>曹魏军团1</v>
      </c>
      <c r="AN105" s="21" t="str">
        <f>IFERROR(INDEX($N:$N,MATCH(V105,$S:$S,0)),"&amp;")</f>
        <v>智囊军师1</v>
      </c>
      <c r="AO105" s="21" t="str">
        <f>IFERROR(INDEX($N:$N,MATCH(W105,$S:$S,0)),"&amp;")</f>
        <v>挟制天子1</v>
      </c>
      <c r="AP105" s="21" t="str">
        <f>IFERROR(INDEX($N:$N,MATCH(X105,$S:$S,0)),"&amp;")</f>
        <v>&amp;</v>
      </c>
      <c r="AQ105" s="21" t="str">
        <f>IFERROR(INDEX($N:$N,MATCH(Y105,$S:$S,0)),"&amp;")</f>
        <v>&amp;</v>
      </c>
      <c r="AR105" s="21" t="str">
        <f>IFERROR(INDEX($N:$N,MATCH(Z105,$S:$S,0)),"&amp;")</f>
        <v>&amp;</v>
      </c>
      <c r="AS105" s="21" t="str">
        <f>IFERROR(INDEX($N:$N,MATCH(AA105,$S:$S,0)),"&amp;")</f>
        <v>&amp;</v>
      </c>
      <c r="AT105" s="21" t="str">
        <f>IFERROR(INDEX($N:$N,MATCH(AB105,$S:$S,0)),"&amp;")</f>
        <v>&amp;</v>
      </c>
      <c r="AV105" s="21" t="str">
        <f>IFERROR(SUBSTITUTE(INDEX($K:$K,MATCH(INDEX($M:$M,MATCH(AM105,$N:$N,0)),$M:$M,0)),$D105,""),"")</f>
        <v xml:space="preserve">曹操 夏侯渊 </v>
      </c>
      <c r="AW105" s="21" t="str">
        <f>IFERROR(SUBSTITUTE(INDEX($K:$K,MATCH(INDEX($M:$M,MATCH(AN105,$N:$N,0)),$M:$M,0)),$D105,""),"")</f>
        <v xml:space="preserve">韩信 陆逊 </v>
      </c>
      <c r="AX105" s="21" t="str">
        <f>IFERROR(SUBSTITUTE(INDEX($K:$K,MATCH(INDEX($M:$M,MATCH(AO105,$N:$N,0)),$M:$M,0)),$D105,""),"")</f>
        <v>董卓</v>
      </c>
      <c r="AY105" s="21" t="str">
        <f>IFERROR(SUBSTITUTE(INDEX($K:$K,MATCH(INDEX($M:$M,MATCH(AP105,$N:$N,0)),$M:$M,0)),$D105,""),"")</f>
        <v/>
      </c>
      <c r="AZ105" s="21" t="str">
        <f>IFERROR(SUBSTITUTE(INDEX($K:$K,MATCH(INDEX($M:$M,MATCH(AQ105,$N:$N,0)),$M:$M,0)),$D105,""),"")</f>
        <v/>
      </c>
      <c r="BA105" s="21" t="str">
        <f>IFERROR(SUBSTITUTE(INDEX($K:$K,MATCH(INDEX($M:$M,MATCH(AR105,$N:$N,0)),$M:$M,0)),$D105,""),"")</f>
        <v/>
      </c>
      <c r="BB105" s="21" t="str">
        <f>IFERROR(SUBSTITUTE(INDEX($K:$K,MATCH(INDEX($M:$M,MATCH(AS105,$N:$N,0)),$M:$M,0)),$D105,""),"")</f>
        <v/>
      </c>
      <c r="BC105" s="21" t="str">
        <f>IFERROR(SUBSTITUTE(INDEX($K:$K,MATCH(INDEX($M:$M,MATCH(AT105,$N:$N,0)),$M:$M,0)),$D105,""),"")</f>
        <v/>
      </c>
      <c r="BE105" s="9" t="str">
        <f t="shared" si="16"/>
        <v>司马懿,曹操,夏侯渊,韩信,陆逊,董卓</v>
      </c>
      <c r="BI105" s="9" t="str">
        <f>IFERROR(
IF(COUNTIF($M:$M,$AD105)&lt;BI$8,
"",
INDEX($J:$J,MATCH($AD105,$M:$M,0)+BI$8-1)),
"")</f>
        <v>司马懿</v>
      </c>
      <c r="BJ105" s="9" t="str">
        <f>IFERROR(
IF(COUNTIF($M:$M,$AD105)&lt;BJ$8,
"",
INDEX($J:$J,MATCH($AD105,$M:$M,0)+BJ$8-1)),
"")</f>
        <v>曹操</v>
      </c>
      <c r="BK105" s="9" t="str">
        <f>IFERROR(
IF(COUNTIF($M:$M,$AD105)&lt;BK$8,
"",
INDEX($J:$J,MATCH($AD105,$M:$M,0)+BK$8-1)),
"")</f>
        <v>夏侯渊</v>
      </c>
      <c r="BL105" s="9" t="str">
        <f>IFERROR(
IF(COUNTIF($M:$M,$AD105)&lt;BL$8,
"",
INDEX($J:$J,MATCH($AD105,$M:$M,0)+BL$8-1)),
"")</f>
        <v/>
      </c>
      <c r="BN105" s="21" t="str">
        <f>IFERROR(
IF(COUNTIF($BI105:BM105,INDEX($J:$J,MATCH($AE105,$M:$M,0)+BN$8-1))=0,
IF(COUNTIF($M:$M,$AE105)&lt;BN$8,
"",
INDEX($J:$J,MATCH($AE105,$M:$M,0)+BN$8-1)),
""),
"")</f>
        <v/>
      </c>
      <c r="BO105" s="21" t="str">
        <f>IFERROR(
IF(COUNTIF($BI105:BN105,INDEX($J:$J,MATCH($AE105,$M:$M,0)+BO$8-1))=0,
IF(COUNTIF($M:$M,$AE105)&lt;BO$8,
"",
INDEX($J:$J,MATCH($AE105,$M:$M,0)+BO$8-1)),
""),
"")</f>
        <v>韩信</v>
      </c>
      <c r="BP105" s="21" t="str">
        <f>IFERROR(
IF(COUNTIF($BI105:BO105,INDEX($J:$J,MATCH($AE105,$M:$M,0)+BP$8-1))=0,
IF(COUNTIF($M:$M,$AE105)&lt;BP$8,
"",
INDEX($J:$J,MATCH($AE105,$M:$M,0)+BP$8-1)),
""),
"")</f>
        <v>陆逊</v>
      </c>
      <c r="BQ105" s="21" t="str">
        <f>IFERROR(
IF(COUNTIF($BI105:BP105,INDEX($J:$J,MATCH($AE105,$M:$M,0)+BQ$8-1))=0,
IF(COUNTIF($M:$M,$AE105)&lt;BQ$8,
"",
INDEX($J:$J,MATCH($AE105,$M:$M,0)+BQ$8-1)),
""),
"")</f>
        <v/>
      </c>
      <c r="BS105" s="21" t="str">
        <f>IFERROR(
IF(COUNTIF($BI105:BR105,INDEX($J:$J,MATCH($AF105,$M:$M,0)+BS$8-1))=0,
IF(COUNTIF($M:$M,$AF105)&lt;BS$8,
"",
INDEX($J:$J,MATCH($AF105,$M:$M,0)+BS$8-1)),
""),
"")</f>
        <v/>
      </c>
      <c r="BT105" s="21" t="str">
        <f>IFERROR(
IF(COUNTIF($BI105:BS105,INDEX($J:$J,MATCH($AF105,$M:$M,0)+BT$8-1))=0,
IF(COUNTIF($M:$M,$AF105)&lt;BT$8,
"",
INDEX($J:$J,MATCH($AF105,$M:$M,0)+BT$8-1)),
""),
"")</f>
        <v>董卓</v>
      </c>
      <c r="BU105" s="21" t="str">
        <f>IFERROR(
IF(COUNTIF($BI105:BT105,INDEX($J:$J,MATCH($AF105,$M:$M,0)+BU$8-1))=0,
IF(COUNTIF($M:$M,$AF105)&lt;BU$8,
"",
INDEX($J:$J,MATCH($AF105,$M:$M,0)+BU$8-1)),
""),
"")</f>
        <v/>
      </c>
      <c r="BV105" s="21" t="str">
        <f>IFERROR(
IF(COUNTIF($BI105:BU105,INDEX($J:$J,MATCH($AF105,$M:$M,0)+BV$8-1))=0,
IF(COUNTIF($M:$M,$AF105)&lt;BV$8,
"",
INDEX($J:$J,MATCH($AF105,$M:$M,0)+BV$8-1)),
""),
"")</f>
        <v/>
      </c>
      <c r="BX105" s="21" t="str">
        <f>IFERROR(
IF(COUNTIF($BI105:BW105,INDEX($J:$J,MATCH($AG105,$M:$M,0)+BX$8-1))=0,
IF(COUNTIF($M:$M,$AG105)&lt;BX$8,
"",
INDEX($J:$J,MATCH($AG105,$M:$M,0)+BX$8-1)),
""),
"")</f>
        <v/>
      </c>
      <c r="BY105" s="21" t="str">
        <f>IFERROR(
IF(COUNTIF($BI105:BX105,INDEX($J:$J,MATCH($AG105,$M:$M,0)+BY$8-1))=0,
IF(COUNTIF($M:$M,$AG105)&lt;BY$8,
"",
INDEX($J:$J,MATCH($AG105,$M:$M,0)+BY$8-1)),
""),
"")</f>
        <v/>
      </c>
      <c r="BZ105" s="21" t="str">
        <f>IFERROR(
IF(COUNTIF($BI105:BY105,INDEX($J:$J,MATCH($AG105,$M:$M,0)+BZ$8-1))=0,
IF(COUNTIF($M:$M,$AG105)&lt;BZ$8,
"",
INDEX($J:$J,MATCH($AG105,$M:$M,0)+BZ$8-1)),
""),
"")</f>
        <v/>
      </c>
      <c r="CA105" s="21" t="str">
        <f>IFERROR(
IF(COUNTIF($BI105:BZ105,INDEX($J:$J,MATCH($AG105,$M:$M,0)+CA$8-1))=0,
IF(COUNTIF($M:$M,$AG105)&lt;CA$8,
"",
INDEX($J:$J,MATCH($AG105,$M:$M,0)+CA$8-1)),
""),
"")</f>
        <v/>
      </c>
      <c r="CC105" s="21" t="str">
        <f>IFERROR(
IF(COUNTIF($BI105:CB105,INDEX($J:$J,MATCH($AH105,$M:$M,0)+CC$8-1))=0,
IF(COUNTIF($M:$M,$AH105)&lt;CC$8,
"",
INDEX($J:$J,MATCH($AH105,$M:$M,0)+CC$8-1)),
""),
"")</f>
        <v/>
      </c>
      <c r="CD105" s="21" t="str">
        <f>IFERROR(
IF(COUNTIF($BI105:CC105,INDEX($J:$J,MATCH($AH105,$M:$M,0)+CD$8-1))=0,
IF(COUNTIF($M:$M,$AH105)&lt;CD$8,
"",
INDEX($J:$J,MATCH($AH105,$M:$M,0)+CD$8-1)),
""),
"")</f>
        <v/>
      </c>
      <c r="CE105" s="21" t="str">
        <f>IFERROR(
IF(COUNTIF($BI105:CD105,INDEX($J:$J,MATCH($AH105,$M:$M,0)+CE$8-1))=0,
IF(COUNTIF($M:$M,$AH105)&lt;CE$8,
"",
INDEX($J:$J,MATCH($AH105,$M:$M,0)+CE$8-1)),
""),
"")</f>
        <v/>
      </c>
      <c r="CF105" s="21" t="str">
        <f>IFERROR(
IF(COUNTIF($BI105:CE105,INDEX($J:$J,MATCH($AH105,$M:$M,0)+CF$8-1))=0,
IF(COUNTIF($M:$M,$AH105)&lt;CF$8,
"",
INDEX($J:$J,MATCH($AH105,$M:$M,0)+CF$8-1)),
""),
"")</f>
        <v/>
      </c>
      <c r="CH105" s="21" t="str">
        <f>IFERROR(
IF(COUNTIF($BI105:CG105,INDEX($J:$J,MATCH($AI105,$M:$M,0)+CH$8-1))=0,
IF(COUNTIF($M:$M,$AI105)&lt;CH$8,
"",
INDEX($J:$J,MATCH($AI105,$M:$M,0)+CH$8-1)),
""),
"")</f>
        <v/>
      </c>
      <c r="CI105" s="21" t="str">
        <f>IFERROR(
IF(COUNTIF($BI105:CH105,INDEX($J:$J,MATCH($AI105,$M:$M,0)+CI$8-1))=0,
IF(COUNTIF($M:$M,$AI105)&lt;CI$8,
"",
INDEX($J:$J,MATCH($AI105,$M:$M,0)+CI$8-1)),
""),
"")</f>
        <v/>
      </c>
      <c r="CJ105" s="21" t="str">
        <f>IFERROR(
IF(COUNTIF($BI105:CI105,INDEX($J:$J,MATCH($AI105,$M:$M,0)+CJ$8-1))=0,
IF(COUNTIF($M:$M,$AI105)&lt;CJ$8,
"",
INDEX($J:$J,MATCH($AI105,$M:$M,0)+CJ$8-1)),
""),
"")</f>
        <v/>
      </c>
      <c r="CK105" s="21" t="str">
        <f>IFERROR(
IF(COUNTIF($BI105:CJ105,INDEX($J:$J,MATCH($AI105,$M:$M,0)+CK$8-1))=0,
IF(COUNTIF($M:$M,$AI105)&lt;CK$8,
"",
INDEX($J:$J,MATCH($AI105,$M:$M,0)+CK$8-1)),
""),
"")</f>
        <v/>
      </c>
      <c r="CM105" s="21" t="str">
        <f>IFERROR(
IF(COUNTIF($BI105:CL105,INDEX($J:$J,MATCH($AJ105,$M:$M,0)+CM$8-1))=0,
IF(COUNTIF($M:$M,$AJ105)&lt;CM$8,
"",
INDEX($J:$J,MATCH($AJ105,$M:$M,0)+CM$8-1)),
""),
"")</f>
        <v/>
      </c>
      <c r="CN105" s="21" t="str">
        <f>IFERROR(
IF(COUNTIF($BI105:CM105,INDEX($J:$J,MATCH($AJ105,$M:$M,0)+CN$8-1))=0,
IF(COUNTIF($M:$M,$AJ105)&lt;CN$8,
"",
INDEX($J:$J,MATCH($AJ105,$M:$M,0)+CN$8-1)),
""),
"")</f>
        <v/>
      </c>
      <c r="CO105" s="21" t="str">
        <f>IFERROR(
IF(COUNTIF($BI105:CN105,INDEX($J:$J,MATCH($AJ105,$M:$M,0)+CO$8-1))=0,
IF(COUNTIF($M:$M,$AJ105)&lt;CO$8,
"",
INDEX($J:$J,MATCH($AJ105,$M:$M,0)+CO$8-1)),
""),
"")</f>
        <v/>
      </c>
      <c r="CP105" s="21" t="str">
        <f>IFERROR(
IF(COUNTIF($BI105:CO105,INDEX($J:$J,MATCH($AJ105,$M:$M,0)+CP$8-1))=0,
IF(COUNTIF($M:$M,$AJ105)&lt;CP$8,
"",
INDEX($J:$J,MATCH($AJ105,$M:$M,0)+CP$8-1)),
""),
"")</f>
        <v/>
      </c>
      <c r="CR105" s="21" t="str">
        <f>IFERROR(
IF(COUNTIF($BI105:CQ105,INDEX($J:$J,MATCH($AK105,$M:$M,0)+CR$8-1))=0,
IF(COUNTIF($M:$M,$AK105)&lt;CR$8,
"",
INDEX($J:$J,MATCH($AK105,$M:$M,0)+CR$8-1)),
""),
"")</f>
        <v/>
      </c>
      <c r="CS105" s="21" t="str">
        <f>IFERROR(
IF(COUNTIF($BI105:CR105,INDEX($J:$J,MATCH($AK105,$M:$M,0)+CS$8-1))=0,
IF(COUNTIF($M:$M,$AK105)&lt;CS$8,
"",
INDEX($J:$J,MATCH($AK105,$M:$M,0)+CS$8-1)),
""),
"")</f>
        <v/>
      </c>
      <c r="CT105" s="21" t="str">
        <f>IFERROR(
IF(COUNTIF($BI105:CS105,INDEX($J:$J,MATCH($AK105,$M:$M,0)+CT$8-1))=0,
IF(COUNTIF($M:$M,$AK105)&lt;CT$8,
"",
INDEX($J:$J,MATCH($AK105,$M:$M,0)+CT$8-1)),
""),
"")</f>
        <v/>
      </c>
      <c r="CU105" s="21" t="str">
        <f>IFERROR(
IF(COUNTIF($BI105:CT105,INDEX($J:$J,MATCH($AK105,$M:$M,0)+CU$8-1))=0,
IF(COUNTIF($M:$M,$AK105)&lt;CU$8,
"",
INDEX($J:$J,MATCH($AK105,$M:$M,0)+CU$8-1)),
""),
"")</f>
        <v/>
      </c>
    </row>
    <row r="106" spans="3:99">
      <c r="H106" s="7">
        <f>IF(I106="","",COUNTA(I$9:$I106))</f>
        <v>96</v>
      </c>
      <c r="I106" s="22" t="s">
        <v>231</v>
      </c>
      <c r="J106" s="6" t="s">
        <v>232</v>
      </c>
      <c r="K106" s="8" t="str">
        <f>IF(H106="","",阶段合并区域(J106:J118," ",L106:L118,1))</f>
        <v>吴起 司马穰苴 孙膑 吕不韦</v>
      </c>
      <c r="L106" s="8">
        <f>COUNTIF(M$8:$M106,"="&amp;M106)</f>
        <v>1</v>
      </c>
      <c r="M106" s="9" t="str">
        <f t="shared" ref="M106:M117" si="21">IF(H106="",M105,I106)</f>
        <v>著书立说</v>
      </c>
      <c r="N106" s="9" t="str">
        <f t="shared" ref="N106:N117" si="22">M106&amp;L106</f>
        <v>著书立说1</v>
      </c>
      <c r="O106" s="15">
        <f>INDEX(C:C,MATCH(J106,D:D,0))</f>
        <v>9</v>
      </c>
      <c r="P106" s="9">
        <f>INDEX(E:E,MATCH(J106,D:D,0))</f>
        <v>130</v>
      </c>
      <c r="Q106" s="7">
        <f t="shared" si="10"/>
        <v>9</v>
      </c>
      <c r="R106" s="7">
        <f>COUNTIF(J$8:$J106,"="&amp;J106)</f>
        <v>1</v>
      </c>
      <c r="S106" s="7">
        <f t="shared" ref="S106:S117" si="23">R106*1000+Q106</f>
        <v>1009</v>
      </c>
      <c r="U106" s="7">
        <f t="shared" si="19"/>
        <v>1000</v>
      </c>
      <c r="V106" s="7">
        <f t="shared" si="19"/>
        <v>2000</v>
      </c>
      <c r="W106" s="7">
        <f t="shared" si="19"/>
        <v>3000</v>
      </c>
      <c r="X106" s="7">
        <f t="shared" si="19"/>
        <v>4000</v>
      </c>
      <c r="Y106" s="7">
        <f t="shared" si="19"/>
        <v>5000</v>
      </c>
      <c r="Z106" s="7">
        <f t="shared" si="19"/>
        <v>6000</v>
      </c>
      <c r="AA106" s="7">
        <f t="shared" si="19"/>
        <v>7000</v>
      </c>
      <c r="AB106" s="7">
        <f t="shared" si="19"/>
        <v>8000</v>
      </c>
      <c r="AD106" s="21" t="str">
        <f>IFERROR(INDEX($M:$M,MATCH(U106,$S:$S,0)),"&amp;")</f>
        <v>&amp;</v>
      </c>
      <c r="AE106" s="21" t="str">
        <f>IFERROR(INDEX($M:$M,MATCH(V106,$S:$S,0)),"&amp;")</f>
        <v>&amp;</v>
      </c>
      <c r="AF106" s="21" t="str">
        <f>IFERROR(INDEX($M:$M,MATCH(W106,$S:$S,0)),"&amp;")</f>
        <v>&amp;</v>
      </c>
      <c r="AG106" s="21" t="str">
        <f>IFERROR(INDEX($M:$M,MATCH(X106,$S:$S,0)),"&amp;")</f>
        <v>&amp;</v>
      </c>
      <c r="AH106" s="21" t="str">
        <f>IFERROR(INDEX($M:$M,MATCH(Y106,$S:$S,0)),"&amp;")</f>
        <v>&amp;</v>
      </c>
      <c r="AI106" s="21" t="str">
        <f>IFERROR(INDEX($M:$M,MATCH(Z106,$S:$S,0)),"&amp;")</f>
        <v>&amp;</v>
      </c>
      <c r="AJ106" s="21" t="str">
        <f>IFERROR(INDEX($M:$M,MATCH(AA106,$S:$S,0)),"&amp;")</f>
        <v>&amp;</v>
      </c>
      <c r="AK106" s="21" t="str">
        <f>IFERROR(INDEX($M:$M,MATCH(AB106,$S:$S,0)),"&amp;")</f>
        <v>&amp;</v>
      </c>
      <c r="AM106" s="21" t="str">
        <f>IFERROR(INDEX($N:$N,MATCH(U106,$S:$S,0)),"&amp;")</f>
        <v>&amp;</v>
      </c>
      <c r="AN106" s="21" t="str">
        <f>IFERROR(INDEX($N:$N,MATCH(V106,$S:$S,0)),"&amp;")</f>
        <v>&amp;</v>
      </c>
      <c r="AO106" s="21" t="str">
        <f>IFERROR(INDEX($N:$N,MATCH(W106,$S:$S,0)),"&amp;")</f>
        <v>&amp;</v>
      </c>
      <c r="AP106" s="21" t="str">
        <f>IFERROR(INDEX($N:$N,MATCH(X106,$S:$S,0)),"&amp;")</f>
        <v>&amp;</v>
      </c>
      <c r="AQ106" s="21" t="str">
        <f>IFERROR(INDEX($N:$N,MATCH(Y106,$S:$S,0)),"&amp;")</f>
        <v>&amp;</v>
      </c>
      <c r="AR106" s="21" t="str">
        <f>IFERROR(INDEX($N:$N,MATCH(Z106,$S:$S,0)),"&amp;")</f>
        <v>&amp;</v>
      </c>
      <c r="AS106" s="21" t="str">
        <f>IFERROR(INDEX($N:$N,MATCH(AA106,$S:$S,0)),"&amp;")</f>
        <v>&amp;</v>
      </c>
      <c r="AT106" s="21" t="str">
        <f>IFERROR(INDEX($N:$N,MATCH(AB106,$S:$S,0)),"&amp;")</f>
        <v>&amp;</v>
      </c>
      <c r="AV106" s="21" t="str">
        <f>IFERROR(SUBSTITUTE(INDEX($K:$K,MATCH(INDEX($M:$M,MATCH(AM106,$N:$N,0)),$M:$M,0)),$D106,""),"")</f>
        <v/>
      </c>
      <c r="AW106" s="21" t="str">
        <f>IFERROR(SUBSTITUTE(INDEX($K:$K,MATCH(INDEX($M:$M,MATCH(AN106,$N:$N,0)),$M:$M,0)),$D106,""),"")</f>
        <v/>
      </c>
      <c r="AX106" s="21" t="str">
        <f>IFERROR(SUBSTITUTE(INDEX($K:$K,MATCH(INDEX($M:$M,MATCH(AO106,$N:$N,0)),$M:$M,0)),$D106,""),"")</f>
        <v/>
      </c>
      <c r="AY106" s="21" t="str">
        <f>IFERROR(SUBSTITUTE(INDEX($K:$K,MATCH(INDEX($M:$M,MATCH(AP106,$N:$N,0)),$M:$M,0)),$D106,""),"")</f>
        <v/>
      </c>
      <c r="AZ106" s="21" t="str">
        <f>IFERROR(SUBSTITUTE(INDEX($K:$K,MATCH(INDEX($M:$M,MATCH(AQ106,$N:$N,0)),$M:$M,0)),$D106,""),"")</f>
        <v/>
      </c>
      <c r="BA106" s="21" t="str">
        <f>IFERROR(SUBSTITUTE(INDEX($K:$K,MATCH(INDEX($M:$M,MATCH(AR106,$N:$N,0)),$M:$M,0)),$D106,""),"")</f>
        <v/>
      </c>
      <c r="BB106" s="21" t="str">
        <f>IFERROR(SUBSTITUTE(INDEX($K:$K,MATCH(INDEX($M:$M,MATCH(AS106,$N:$N,0)),$M:$M,0)),$D106,""),"")</f>
        <v/>
      </c>
      <c r="BC106" s="21" t="str">
        <f>IFERROR(SUBSTITUTE(INDEX($K:$K,MATCH(INDEX($M:$M,MATCH(AT106,$N:$N,0)),$M:$M,0)),$D106,""),"")</f>
        <v/>
      </c>
      <c r="BE106" s="9" t="str">
        <f t="shared" si="16"/>
        <v/>
      </c>
      <c r="BI106" s="9" t="str">
        <f>IFERROR(
IF(COUNTIF($M:$M,$AD106)&lt;BI$8,
"",
INDEX($J:$J,MATCH($AD106,$M:$M,0)+BI$8-1)),
"")</f>
        <v/>
      </c>
      <c r="BJ106" s="9" t="str">
        <f>IFERROR(
IF(COUNTIF($M:$M,$AD106)&lt;BJ$8,
"",
INDEX($J:$J,MATCH($AD106,$M:$M,0)+BJ$8-1)),
"")</f>
        <v/>
      </c>
      <c r="BK106" s="9" t="str">
        <f>IFERROR(
IF(COUNTIF($M:$M,$AD106)&lt;BK$8,
"",
INDEX($J:$J,MATCH($AD106,$M:$M,0)+BK$8-1)),
"")</f>
        <v/>
      </c>
      <c r="BL106" s="9" t="str">
        <f>IFERROR(
IF(COUNTIF($M:$M,$AD106)&lt;BL$8,
"",
INDEX($J:$J,MATCH($AD106,$M:$M,0)+BL$8-1)),
"")</f>
        <v/>
      </c>
      <c r="BN106" s="21" t="str">
        <f>IFERROR(
IF(COUNTIF($BI106:BM106,INDEX($J:$J,MATCH($AE106,$M:$M,0)+BN$8-1))=0,
IF(COUNTIF($M:$M,$AE106)&lt;BN$8,
"",
INDEX($J:$J,MATCH($AE106,$M:$M,0)+BN$8-1)),
""),
"")</f>
        <v/>
      </c>
      <c r="BO106" s="21" t="str">
        <f>IFERROR(
IF(COUNTIF($BI106:BN106,INDEX($J:$J,MATCH($AE106,$M:$M,0)+BO$8-1))=0,
IF(COUNTIF($M:$M,$AE106)&lt;BO$8,
"",
INDEX($J:$J,MATCH($AE106,$M:$M,0)+BO$8-1)),
""),
"")</f>
        <v/>
      </c>
      <c r="BP106" s="21" t="str">
        <f>IFERROR(
IF(COUNTIF($BI106:BO106,INDEX($J:$J,MATCH($AE106,$M:$M,0)+BP$8-1))=0,
IF(COUNTIF($M:$M,$AE106)&lt;BP$8,
"",
INDEX($J:$J,MATCH($AE106,$M:$M,0)+BP$8-1)),
""),
"")</f>
        <v/>
      </c>
      <c r="BQ106" s="21" t="str">
        <f>IFERROR(
IF(COUNTIF($BI106:BP106,INDEX($J:$J,MATCH($AE106,$M:$M,0)+BQ$8-1))=0,
IF(COUNTIF($M:$M,$AE106)&lt;BQ$8,
"",
INDEX($J:$J,MATCH($AE106,$M:$M,0)+BQ$8-1)),
""),
"")</f>
        <v/>
      </c>
      <c r="BS106" s="21" t="str">
        <f>IFERROR(
IF(COUNTIF($BI106:BR106,INDEX($J:$J,MATCH($AF106,$M:$M,0)+BS$8-1))=0,
IF(COUNTIF($M:$M,$AF106)&lt;BS$8,
"",
INDEX($J:$J,MATCH($AF106,$M:$M,0)+BS$8-1)),
""),
"")</f>
        <v/>
      </c>
      <c r="BT106" s="21" t="str">
        <f>IFERROR(
IF(COUNTIF($BI106:BS106,INDEX($J:$J,MATCH($AF106,$M:$M,0)+BT$8-1))=0,
IF(COUNTIF($M:$M,$AF106)&lt;BT$8,
"",
INDEX($J:$J,MATCH($AF106,$M:$M,0)+BT$8-1)),
""),
"")</f>
        <v/>
      </c>
      <c r="BU106" s="21" t="str">
        <f>IFERROR(
IF(COUNTIF($BI106:BT106,INDEX($J:$J,MATCH($AF106,$M:$M,0)+BU$8-1))=0,
IF(COUNTIF($M:$M,$AF106)&lt;BU$8,
"",
INDEX($J:$J,MATCH($AF106,$M:$M,0)+BU$8-1)),
""),
"")</f>
        <v/>
      </c>
      <c r="BV106" s="21" t="str">
        <f>IFERROR(
IF(COUNTIF($BI106:BU106,INDEX($J:$J,MATCH($AF106,$M:$M,0)+BV$8-1))=0,
IF(COUNTIF($M:$M,$AF106)&lt;BV$8,
"",
INDEX($J:$J,MATCH($AF106,$M:$M,0)+BV$8-1)),
""),
"")</f>
        <v/>
      </c>
      <c r="BX106" s="21" t="str">
        <f>IFERROR(
IF(COUNTIF($BI106:BW106,INDEX($J:$J,MATCH($AG106,$M:$M,0)+BX$8-1))=0,
IF(COUNTIF($M:$M,$AG106)&lt;BX$8,
"",
INDEX($J:$J,MATCH($AG106,$M:$M,0)+BX$8-1)),
""),
"")</f>
        <v/>
      </c>
      <c r="BY106" s="21" t="str">
        <f>IFERROR(
IF(COUNTIF($BI106:BX106,INDEX($J:$J,MATCH($AG106,$M:$M,0)+BY$8-1))=0,
IF(COUNTIF($M:$M,$AG106)&lt;BY$8,
"",
INDEX($J:$J,MATCH($AG106,$M:$M,0)+BY$8-1)),
""),
"")</f>
        <v/>
      </c>
      <c r="BZ106" s="21" t="str">
        <f>IFERROR(
IF(COUNTIF($BI106:BY106,INDEX($J:$J,MATCH($AG106,$M:$M,0)+BZ$8-1))=0,
IF(COUNTIF($M:$M,$AG106)&lt;BZ$8,
"",
INDEX($J:$J,MATCH($AG106,$M:$M,0)+BZ$8-1)),
""),
"")</f>
        <v/>
      </c>
      <c r="CA106" s="21" t="str">
        <f>IFERROR(
IF(COUNTIF($BI106:BZ106,INDEX($J:$J,MATCH($AG106,$M:$M,0)+CA$8-1))=0,
IF(COUNTIF($M:$M,$AG106)&lt;CA$8,
"",
INDEX($J:$J,MATCH($AG106,$M:$M,0)+CA$8-1)),
""),
"")</f>
        <v/>
      </c>
      <c r="CC106" s="21" t="str">
        <f>IFERROR(
IF(COUNTIF($BI106:CB106,INDEX($J:$J,MATCH($AH106,$M:$M,0)+CC$8-1))=0,
IF(COUNTIF($M:$M,$AH106)&lt;CC$8,
"",
INDEX($J:$J,MATCH($AH106,$M:$M,0)+CC$8-1)),
""),
"")</f>
        <v/>
      </c>
      <c r="CD106" s="21" t="str">
        <f>IFERROR(
IF(COUNTIF($BI106:CC106,INDEX($J:$J,MATCH($AH106,$M:$M,0)+CD$8-1))=0,
IF(COUNTIF($M:$M,$AH106)&lt;CD$8,
"",
INDEX($J:$J,MATCH($AH106,$M:$M,0)+CD$8-1)),
""),
"")</f>
        <v/>
      </c>
      <c r="CE106" s="21" t="str">
        <f>IFERROR(
IF(COUNTIF($BI106:CD106,INDEX($J:$J,MATCH($AH106,$M:$M,0)+CE$8-1))=0,
IF(COUNTIF($M:$M,$AH106)&lt;CE$8,
"",
INDEX($J:$J,MATCH($AH106,$M:$M,0)+CE$8-1)),
""),
"")</f>
        <v/>
      </c>
      <c r="CF106" s="21" t="str">
        <f>IFERROR(
IF(COUNTIF($BI106:CE106,INDEX($J:$J,MATCH($AH106,$M:$M,0)+CF$8-1))=0,
IF(COUNTIF($M:$M,$AH106)&lt;CF$8,
"",
INDEX($J:$J,MATCH($AH106,$M:$M,0)+CF$8-1)),
""),
"")</f>
        <v/>
      </c>
      <c r="CH106" s="21" t="str">
        <f>IFERROR(
IF(COUNTIF($BI106:CG106,INDEX($J:$J,MATCH($AI106,$M:$M,0)+CH$8-1))=0,
IF(COUNTIF($M:$M,$AI106)&lt;CH$8,
"",
INDEX($J:$J,MATCH($AI106,$M:$M,0)+CH$8-1)),
""),
"")</f>
        <v/>
      </c>
      <c r="CI106" s="21" t="str">
        <f>IFERROR(
IF(COUNTIF($BI106:CH106,INDEX($J:$J,MATCH($AI106,$M:$M,0)+CI$8-1))=0,
IF(COUNTIF($M:$M,$AI106)&lt;CI$8,
"",
INDEX($J:$J,MATCH($AI106,$M:$M,0)+CI$8-1)),
""),
"")</f>
        <v/>
      </c>
      <c r="CJ106" s="21" t="str">
        <f>IFERROR(
IF(COUNTIF($BI106:CI106,INDEX($J:$J,MATCH($AI106,$M:$M,0)+CJ$8-1))=0,
IF(COUNTIF($M:$M,$AI106)&lt;CJ$8,
"",
INDEX($J:$J,MATCH($AI106,$M:$M,0)+CJ$8-1)),
""),
"")</f>
        <v/>
      </c>
      <c r="CK106" s="21" t="str">
        <f>IFERROR(
IF(COUNTIF($BI106:CJ106,INDEX($J:$J,MATCH($AI106,$M:$M,0)+CK$8-1))=0,
IF(COUNTIF($M:$M,$AI106)&lt;CK$8,
"",
INDEX($J:$J,MATCH($AI106,$M:$M,0)+CK$8-1)),
""),
"")</f>
        <v/>
      </c>
      <c r="CM106" s="21" t="str">
        <f>IFERROR(
IF(COUNTIF($BI106:CL106,INDEX($J:$J,MATCH($AJ106,$M:$M,0)+CM$8-1))=0,
IF(COUNTIF($M:$M,$AJ106)&lt;CM$8,
"",
INDEX($J:$J,MATCH($AJ106,$M:$M,0)+CM$8-1)),
""),
"")</f>
        <v/>
      </c>
      <c r="CN106" s="21" t="str">
        <f>IFERROR(
IF(COUNTIF($BI106:CM106,INDEX($J:$J,MATCH($AJ106,$M:$M,0)+CN$8-1))=0,
IF(COUNTIF($M:$M,$AJ106)&lt;CN$8,
"",
INDEX($J:$J,MATCH($AJ106,$M:$M,0)+CN$8-1)),
""),
"")</f>
        <v/>
      </c>
      <c r="CO106" s="21" t="str">
        <f>IFERROR(
IF(COUNTIF($BI106:CN106,INDEX($J:$J,MATCH($AJ106,$M:$M,0)+CO$8-1))=0,
IF(COUNTIF($M:$M,$AJ106)&lt;CO$8,
"",
INDEX($J:$J,MATCH($AJ106,$M:$M,0)+CO$8-1)),
""),
"")</f>
        <v/>
      </c>
      <c r="CP106" s="21" t="str">
        <f>IFERROR(
IF(COUNTIF($BI106:CO106,INDEX($J:$J,MATCH($AJ106,$M:$M,0)+CP$8-1))=0,
IF(COUNTIF($M:$M,$AJ106)&lt;CP$8,
"",
INDEX($J:$J,MATCH($AJ106,$M:$M,0)+CP$8-1)),
""),
"")</f>
        <v/>
      </c>
      <c r="CR106" s="21" t="str">
        <f>IFERROR(
IF(COUNTIF($BI106:CQ106,INDEX($J:$J,MATCH($AK106,$M:$M,0)+CR$8-1))=0,
IF(COUNTIF($M:$M,$AK106)&lt;CR$8,
"",
INDEX($J:$J,MATCH($AK106,$M:$M,0)+CR$8-1)),
""),
"")</f>
        <v/>
      </c>
      <c r="CS106" s="21" t="str">
        <f>IFERROR(
IF(COUNTIF($BI106:CR106,INDEX($J:$J,MATCH($AK106,$M:$M,0)+CS$8-1))=0,
IF(COUNTIF($M:$M,$AK106)&lt;CS$8,
"",
INDEX($J:$J,MATCH($AK106,$M:$M,0)+CS$8-1)),
""),
"")</f>
        <v/>
      </c>
      <c r="CT106" s="21" t="str">
        <f>IFERROR(
IF(COUNTIF($BI106:CS106,INDEX($J:$J,MATCH($AK106,$M:$M,0)+CT$8-1))=0,
IF(COUNTIF($M:$M,$AK106)&lt;CT$8,
"",
INDEX($J:$J,MATCH($AK106,$M:$M,0)+CT$8-1)),
""),
"")</f>
        <v/>
      </c>
      <c r="CU106" s="21" t="str">
        <f>IFERROR(
IF(COUNTIF($BI106:CT106,INDEX($J:$J,MATCH($AK106,$M:$M,0)+CU$8-1))=0,
IF(COUNTIF($M:$M,$AK106)&lt;CU$8,
"",
INDEX($J:$J,MATCH($AK106,$M:$M,0)+CU$8-1)),
""),
"")</f>
        <v/>
      </c>
    </row>
    <row r="107" spans="3:99">
      <c r="H107" s="7" t="str">
        <f>IF(I107="","",COUNTA(I$9:$I107))</f>
        <v/>
      </c>
      <c r="I107" s="6"/>
      <c r="J107" s="6" t="s">
        <v>233</v>
      </c>
      <c r="K107" s="8" t="str">
        <f>IF(H107="","",阶段合并区域(J107:J119," ",L107:L119,1))</f>
        <v/>
      </c>
      <c r="L107" s="8">
        <f>COUNTIF(M$8:$M107,"="&amp;M107)</f>
        <v>2</v>
      </c>
      <c r="M107" s="9" t="str">
        <f t="shared" si="21"/>
        <v>著书立说</v>
      </c>
      <c r="N107" s="9" t="str">
        <f t="shared" si="22"/>
        <v>著书立说2</v>
      </c>
      <c r="O107" s="15">
        <f>INDEX(C:C,MATCH(J107,D:D,0))</f>
        <v>34</v>
      </c>
      <c r="P107" s="9">
        <f>INDEX(E:E,MATCH(J107,D:D,0))</f>
        <v>120</v>
      </c>
      <c r="Q107" s="7">
        <f t="shared" si="10"/>
        <v>34</v>
      </c>
      <c r="R107" s="7">
        <f>COUNTIF(J$8:$J107,"="&amp;J107)</f>
        <v>4</v>
      </c>
      <c r="S107" s="7">
        <f t="shared" si="23"/>
        <v>4034</v>
      </c>
      <c r="U107" s="7">
        <f t="shared" si="19"/>
        <v>1000</v>
      </c>
      <c r="V107" s="7">
        <f t="shared" si="19"/>
        <v>2000</v>
      </c>
      <c r="W107" s="7">
        <f t="shared" si="19"/>
        <v>3000</v>
      </c>
      <c r="X107" s="7">
        <f t="shared" si="19"/>
        <v>4000</v>
      </c>
      <c r="Y107" s="7">
        <f t="shared" si="19"/>
        <v>5000</v>
      </c>
      <c r="Z107" s="7">
        <f t="shared" si="19"/>
        <v>6000</v>
      </c>
      <c r="AA107" s="7">
        <f t="shared" si="19"/>
        <v>7000</v>
      </c>
      <c r="AB107" s="7">
        <f t="shared" si="19"/>
        <v>8000</v>
      </c>
      <c r="AD107" s="21" t="str">
        <f>IFERROR(INDEX($M:$M,MATCH(U107,$S:$S,0)),"&amp;")</f>
        <v>&amp;</v>
      </c>
      <c r="AE107" s="21" t="str">
        <f>IFERROR(INDEX($M:$M,MATCH(V107,$S:$S,0)),"&amp;")</f>
        <v>&amp;</v>
      </c>
      <c r="AF107" s="21" t="str">
        <f>IFERROR(INDEX($M:$M,MATCH(W107,$S:$S,0)),"&amp;")</f>
        <v>&amp;</v>
      </c>
      <c r="AG107" s="21" t="str">
        <f>IFERROR(INDEX($M:$M,MATCH(X107,$S:$S,0)),"&amp;")</f>
        <v>&amp;</v>
      </c>
      <c r="AH107" s="21" t="str">
        <f>IFERROR(INDEX($M:$M,MATCH(Y107,$S:$S,0)),"&amp;")</f>
        <v>&amp;</v>
      </c>
      <c r="AI107" s="21" t="str">
        <f>IFERROR(INDEX($M:$M,MATCH(Z107,$S:$S,0)),"&amp;")</f>
        <v>&amp;</v>
      </c>
      <c r="AJ107" s="21" t="str">
        <f>IFERROR(INDEX($M:$M,MATCH(AA107,$S:$S,0)),"&amp;")</f>
        <v>&amp;</v>
      </c>
      <c r="AK107" s="21" t="str">
        <f>IFERROR(INDEX($M:$M,MATCH(AB107,$S:$S,0)),"&amp;")</f>
        <v>&amp;</v>
      </c>
      <c r="AM107" s="21" t="str">
        <f>IFERROR(INDEX($N:$N,MATCH(U107,$S:$S,0)),"&amp;")</f>
        <v>&amp;</v>
      </c>
      <c r="AN107" s="21" t="str">
        <f>IFERROR(INDEX($N:$N,MATCH(V107,$S:$S,0)),"&amp;")</f>
        <v>&amp;</v>
      </c>
      <c r="AO107" s="21" t="str">
        <f>IFERROR(INDEX($N:$N,MATCH(W107,$S:$S,0)),"&amp;")</f>
        <v>&amp;</v>
      </c>
      <c r="AP107" s="21" t="str">
        <f>IFERROR(INDEX($N:$N,MATCH(X107,$S:$S,0)),"&amp;")</f>
        <v>&amp;</v>
      </c>
      <c r="AQ107" s="21" t="str">
        <f>IFERROR(INDEX($N:$N,MATCH(Y107,$S:$S,0)),"&amp;")</f>
        <v>&amp;</v>
      </c>
      <c r="AR107" s="21" t="str">
        <f>IFERROR(INDEX($N:$N,MATCH(Z107,$S:$S,0)),"&amp;")</f>
        <v>&amp;</v>
      </c>
      <c r="AS107" s="21" t="str">
        <f>IFERROR(INDEX($N:$N,MATCH(AA107,$S:$S,0)),"&amp;")</f>
        <v>&amp;</v>
      </c>
      <c r="AT107" s="21" t="str">
        <f>IFERROR(INDEX($N:$N,MATCH(AB107,$S:$S,0)),"&amp;")</f>
        <v>&amp;</v>
      </c>
      <c r="AV107" s="21" t="str">
        <f>IFERROR(SUBSTITUTE(INDEX($K:$K,MATCH(INDEX($M:$M,MATCH(AM107,$N:$N,0)),$M:$M,0)),$D107,""),"")</f>
        <v/>
      </c>
      <c r="AW107" s="21" t="str">
        <f>IFERROR(SUBSTITUTE(INDEX($K:$K,MATCH(INDEX($M:$M,MATCH(AN107,$N:$N,0)),$M:$M,0)),$D107,""),"")</f>
        <v/>
      </c>
      <c r="AX107" s="21" t="str">
        <f>IFERROR(SUBSTITUTE(INDEX($K:$K,MATCH(INDEX($M:$M,MATCH(AO107,$N:$N,0)),$M:$M,0)),$D107,""),"")</f>
        <v/>
      </c>
      <c r="AY107" s="21" t="str">
        <f>IFERROR(SUBSTITUTE(INDEX($K:$K,MATCH(INDEX($M:$M,MATCH(AP107,$N:$N,0)),$M:$M,0)),$D107,""),"")</f>
        <v/>
      </c>
      <c r="AZ107" s="21" t="str">
        <f>IFERROR(SUBSTITUTE(INDEX($K:$K,MATCH(INDEX($M:$M,MATCH(AQ107,$N:$N,0)),$M:$M,0)),$D107,""),"")</f>
        <v/>
      </c>
      <c r="BA107" s="21" t="str">
        <f>IFERROR(SUBSTITUTE(INDEX($K:$K,MATCH(INDEX($M:$M,MATCH(AR107,$N:$N,0)),$M:$M,0)),$D107,""),"")</f>
        <v/>
      </c>
      <c r="BB107" s="21" t="str">
        <f>IFERROR(SUBSTITUTE(INDEX($K:$K,MATCH(INDEX($M:$M,MATCH(AS107,$N:$N,0)),$M:$M,0)),$D107,""),"")</f>
        <v/>
      </c>
      <c r="BC107" s="21" t="str">
        <f>IFERROR(SUBSTITUTE(INDEX($K:$K,MATCH(INDEX($M:$M,MATCH(AT107,$N:$N,0)),$M:$M,0)),$D107,""),"")</f>
        <v/>
      </c>
      <c r="BE107" s="9" t="str">
        <f t="shared" si="16"/>
        <v/>
      </c>
      <c r="BI107" s="9" t="str">
        <f>IFERROR(
IF(COUNTIF($M:$M,$AD107)&lt;BI$8,
"",
INDEX($J:$J,MATCH($AD107,$M:$M,0)+BI$8-1)),
"")</f>
        <v/>
      </c>
      <c r="BJ107" s="9" t="str">
        <f>IFERROR(
IF(COUNTIF($M:$M,$AD107)&lt;BJ$8,
"",
INDEX($J:$J,MATCH($AD107,$M:$M,0)+BJ$8-1)),
"")</f>
        <v/>
      </c>
      <c r="BK107" s="9" t="str">
        <f>IFERROR(
IF(COUNTIF($M:$M,$AD107)&lt;BK$8,
"",
INDEX($J:$J,MATCH($AD107,$M:$M,0)+BK$8-1)),
"")</f>
        <v/>
      </c>
      <c r="BL107" s="9" t="str">
        <f>IFERROR(
IF(COUNTIF($M:$M,$AD107)&lt;BL$8,
"",
INDEX($J:$J,MATCH($AD107,$M:$M,0)+BL$8-1)),
"")</f>
        <v/>
      </c>
      <c r="BN107" s="21" t="str">
        <f>IFERROR(
IF(COUNTIF($BI107:BM107,INDEX($J:$J,MATCH($AE107,$M:$M,0)+BN$8-1))=0,
IF(COUNTIF($M:$M,$AE107)&lt;BN$8,
"",
INDEX($J:$J,MATCH($AE107,$M:$M,0)+BN$8-1)),
""),
"")</f>
        <v/>
      </c>
      <c r="BO107" s="21" t="str">
        <f>IFERROR(
IF(COUNTIF($BI107:BN107,INDEX($J:$J,MATCH($AE107,$M:$M,0)+BO$8-1))=0,
IF(COUNTIF($M:$M,$AE107)&lt;BO$8,
"",
INDEX($J:$J,MATCH($AE107,$M:$M,0)+BO$8-1)),
""),
"")</f>
        <v/>
      </c>
      <c r="BP107" s="21" t="str">
        <f>IFERROR(
IF(COUNTIF($BI107:BO107,INDEX($J:$J,MATCH($AE107,$M:$M,0)+BP$8-1))=0,
IF(COUNTIF($M:$M,$AE107)&lt;BP$8,
"",
INDEX($J:$J,MATCH($AE107,$M:$M,0)+BP$8-1)),
""),
"")</f>
        <v/>
      </c>
      <c r="BQ107" s="21" t="str">
        <f>IFERROR(
IF(COUNTIF($BI107:BP107,INDEX($J:$J,MATCH($AE107,$M:$M,0)+BQ$8-1))=0,
IF(COUNTIF($M:$M,$AE107)&lt;BQ$8,
"",
INDEX($J:$J,MATCH($AE107,$M:$M,0)+BQ$8-1)),
""),
"")</f>
        <v/>
      </c>
      <c r="BS107" s="21" t="str">
        <f>IFERROR(
IF(COUNTIF($BI107:BR107,INDEX($J:$J,MATCH($AF107,$M:$M,0)+BS$8-1))=0,
IF(COUNTIF($M:$M,$AF107)&lt;BS$8,
"",
INDEX($J:$J,MATCH($AF107,$M:$M,0)+BS$8-1)),
""),
"")</f>
        <v/>
      </c>
      <c r="BT107" s="21" t="str">
        <f>IFERROR(
IF(COUNTIF($BI107:BS107,INDEX($J:$J,MATCH($AF107,$M:$M,0)+BT$8-1))=0,
IF(COUNTIF($M:$M,$AF107)&lt;BT$8,
"",
INDEX($J:$J,MATCH($AF107,$M:$M,0)+BT$8-1)),
""),
"")</f>
        <v/>
      </c>
      <c r="BU107" s="21" t="str">
        <f>IFERROR(
IF(COUNTIF($BI107:BT107,INDEX($J:$J,MATCH($AF107,$M:$M,0)+BU$8-1))=0,
IF(COUNTIF($M:$M,$AF107)&lt;BU$8,
"",
INDEX($J:$J,MATCH($AF107,$M:$M,0)+BU$8-1)),
""),
"")</f>
        <v/>
      </c>
      <c r="BV107" s="21" t="str">
        <f>IFERROR(
IF(COUNTIF($BI107:BU107,INDEX($J:$J,MATCH($AF107,$M:$M,0)+BV$8-1))=0,
IF(COUNTIF($M:$M,$AF107)&lt;BV$8,
"",
INDEX($J:$J,MATCH($AF107,$M:$M,0)+BV$8-1)),
""),
"")</f>
        <v/>
      </c>
      <c r="BX107" s="21" t="str">
        <f>IFERROR(
IF(COUNTIF($BI107:BW107,INDEX($J:$J,MATCH($AG107,$M:$M,0)+BX$8-1))=0,
IF(COUNTIF($M:$M,$AG107)&lt;BX$8,
"",
INDEX($J:$J,MATCH($AG107,$M:$M,0)+BX$8-1)),
""),
"")</f>
        <v/>
      </c>
      <c r="BY107" s="21" t="str">
        <f>IFERROR(
IF(COUNTIF($BI107:BX107,INDEX($J:$J,MATCH($AG107,$M:$M,0)+BY$8-1))=0,
IF(COUNTIF($M:$M,$AG107)&lt;BY$8,
"",
INDEX($J:$J,MATCH($AG107,$M:$M,0)+BY$8-1)),
""),
"")</f>
        <v/>
      </c>
      <c r="BZ107" s="21" t="str">
        <f>IFERROR(
IF(COUNTIF($BI107:BY107,INDEX($J:$J,MATCH($AG107,$M:$M,0)+BZ$8-1))=0,
IF(COUNTIF($M:$M,$AG107)&lt;BZ$8,
"",
INDEX($J:$J,MATCH($AG107,$M:$M,0)+BZ$8-1)),
""),
"")</f>
        <v/>
      </c>
      <c r="CA107" s="21" t="str">
        <f>IFERROR(
IF(COUNTIF($BI107:BZ107,INDEX($J:$J,MATCH($AG107,$M:$M,0)+CA$8-1))=0,
IF(COUNTIF($M:$M,$AG107)&lt;CA$8,
"",
INDEX($J:$J,MATCH($AG107,$M:$M,0)+CA$8-1)),
""),
"")</f>
        <v/>
      </c>
      <c r="CC107" s="21" t="str">
        <f>IFERROR(
IF(COUNTIF($BI107:CB107,INDEX($J:$J,MATCH($AH107,$M:$M,0)+CC$8-1))=0,
IF(COUNTIF($M:$M,$AH107)&lt;CC$8,
"",
INDEX($J:$J,MATCH($AH107,$M:$M,0)+CC$8-1)),
""),
"")</f>
        <v/>
      </c>
      <c r="CD107" s="21" t="str">
        <f>IFERROR(
IF(COUNTIF($BI107:CC107,INDEX($J:$J,MATCH($AH107,$M:$M,0)+CD$8-1))=0,
IF(COUNTIF($M:$M,$AH107)&lt;CD$8,
"",
INDEX($J:$J,MATCH($AH107,$M:$M,0)+CD$8-1)),
""),
"")</f>
        <v/>
      </c>
      <c r="CE107" s="21" t="str">
        <f>IFERROR(
IF(COUNTIF($BI107:CD107,INDEX($J:$J,MATCH($AH107,$M:$M,0)+CE$8-1))=0,
IF(COUNTIF($M:$M,$AH107)&lt;CE$8,
"",
INDEX($J:$J,MATCH($AH107,$M:$M,0)+CE$8-1)),
""),
"")</f>
        <v/>
      </c>
      <c r="CF107" s="21" t="str">
        <f>IFERROR(
IF(COUNTIF($BI107:CE107,INDEX($J:$J,MATCH($AH107,$M:$M,0)+CF$8-1))=0,
IF(COUNTIF($M:$M,$AH107)&lt;CF$8,
"",
INDEX($J:$J,MATCH($AH107,$M:$M,0)+CF$8-1)),
""),
"")</f>
        <v/>
      </c>
      <c r="CH107" s="21" t="str">
        <f>IFERROR(
IF(COUNTIF($BI107:CG107,INDEX($J:$J,MATCH($AI107,$M:$M,0)+CH$8-1))=0,
IF(COUNTIF($M:$M,$AI107)&lt;CH$8,
"",
INDEX($J:$J,MATCH($AI107,$M:$M,0)+CH$8-1)),
""),
"")</f>
        <v/>
      </c>
      <c r="CI107" s="21" t="str">
        <f>IFERROR(
IF(COUNTIF($BI107:CH107,INDEX($J:$J,MATCH($AI107,$M:$M,0)+CI$8-1))=0,
IF(COUNTIF($M:$M,$AI107)&lt;CI$8,
"",
INDEX($J:$J,MATCH($AI107,$M:$M,0)+CI$8-1)),
""),
"")</f>
        <v/>
      </c>
      <c r="CJ107" s="21" t="str">
        <f>IFERROR(
IF(COUNTIF($BI107:CI107,INDEX($J:$J,MATCH($AI107,$M:$M,0)+CJ$8-1))=0,
IF(COUNTIF($M:$M,$AI107)&lt;CJ$8,
"",
INDEX($J:$J,MATCH($AI107,$M:$M,0)+CJ$8-1)),
""),
"")</f>
        <v/>
      </c>
      <c r="CK107" s="21" t="str">
        <f>IFERROR(
IF(COUNTIF($BI107:CJ107,INDEX($J:$J,MATCH($AI107,$M:$M,0)+CK$8-1))=0,
IF(COUNTIF($M:$M,$AI107)&lt;CK$8,
"",
INDEX($J:$J,MATCH($AI107,$M:$M,0)+CK$8-1)),
""),
"")</f>
        <v/>
      </c>
      <c r="CM107" s="21" t="str">
        <f>IFERROR(
IF(COUNTIF($BI107:CL107,INDEX($J:$J,MATCH($AJ107,$M:$M,0)+CM$8-1))=0,
IF(COUNTIF($M:$M,$AJ107)&lt;CM$8,
"",
INDEX($J:$J,MATCH($AJ107,$M:$M,0)+CM$8-1)),
""),
"")</f>
        <v/>
      </c>
      <c r="CN107" s="21" t="str">
        <f>IFERROR(
IF(COUNTIF($BI107:CM107,INDEX($J:$J,MATCH($AJ107,$M:$M,0)+CN$8-1))=0,
IF(COUNTIF($M:$M,$AJ107)&lt;CN$8,
"",
INDEX($J:$J,MATCH($AJ107,$M:$M,0)+CN$8-1)),
""),
"")</f>
        <v/>
      </c>
      <c r="CO107" s="21" t="str">
        <f>IFERROR(
IF(COUNTIF($BI107:CN107,INDEX($J:$J,MATCH($AJ107,$M:$M,0)+CO$8-1))=0,
IF(COUNTIF($M:$M,$AJ107)&lt;CO$8,
"",
INDEX($J:$J,MATCH($AJ107,$M:$M,0)+CO$8-1)),
""),
"")</f>
        <v/>
      </c>
      <c r="CP107" s="21" t="str">
        <f>IFERROR(
IF(COUNTIF($BI107:CO107,INDEX($J:$J,MATCH($AJ107,$M:$M,0)+CP$8-1))=0,
IF(COUNTIF($M:$M,$AJ107)&lt;CP$8,
"",
INDEX($J:$J,MATCH($AJ107,$M:$M,0)+CP$8-1)),
""),
"")</f>
        <v/>
      </c>
      <c r="CR107" s="21" t="str">
        <f>IFERROR(
IF(COUNTIF($BI107:CQ107,INDEX($J:$J,MATCH($AK107,$M:$M,0)+CR$8-1))=0,
IF(COUNTIF($M:$M,$AK107)&lt;CR$8,
"",
INDEX($J:$J,MATCH($AK107,$M:$M,0)+CR$8-1)),
""),
"")</f>
        <v/>
      </c>
      <c r="CS107" s="21" t="str">
        <f>IFERROR(
IF(COUNTIF($BI107:CR107,INDEX($J:$J,MATCH($AK107,$M:$M,0)+CS$8-1))=0,
IF(COUNTIF($M:$M,$AK107)&lt;CS$8,
"",
INDEX($J:$J,MATCH($AK107,$M:$M,0)+CS$8-1)),
""),
"")</f>
        <v/>
      </c>
      <c r="CT107" s="21" t="str">
        <f>IFERROR(
IF(COUNTIF($BI107:CS107,INDEX($J:$J,MATCH($AK107,$M:$M,0)+CT$8-1))=0,
IF(COUNTIF($M:$M,$AK107)&lt;CT$8,
"",
INDEX($J:$J,MATCH($AK107,$M:$M,0)+CT$8-1)),
""),
"")</f>
        <v/>
      </c>
      <c r="CU107" s="21" t="str">
        <f>IFERROR(
IF(COUNTIF($BI107:CT107,INDEX($J:$J,MATCH($AK107,$M:$M,0)+CU$8-1))=0,
IF(COUNTIF($M:$M,$AK107)&lt;CU$8,
"",
INDEX($J:$J,MATCH($AK107,$M:$M,0)+CU$8-1)),
""),
"")</f>
        <v/>
      </c>
    </row>
    <row r="108" spans="3:99">
      <c r="H108" s="7" t="str">
        <f>IF(I108="","",COUNTA(I$9:$I108))</f>
        <v/>
      </c>
      <c r="I108" s="6"/>
      <c r="J108" s="6" t="s">
        <v>234</v>
      </c>
      <c r="K108" s="8" t="str">
        <f>IF(H108="","",阶段合并区域(J108:J120," ",L108:L120,1))</f>
        <v/>
      </c>
      <c r="L108" s="8">
        <f>COUNTIF(M$8:$M108,"="&amp;M108)</f>
        <v>3</v>
      </c>
      <c r="M108" s="9" t="str">
        <f t="shared" si="21"/>
        <v>著书立说</v>
      </c>
      <c r="N108" s="9" t="str">
        <f t="shared" si="22"/>
        <v>著书立说3</v>
      </c>
      <c r="O108" s="15">
        <f>INDEX(C:C,MATCH(J108,D:D,0))</f>
        <v>36</v>
      </c>
      <c r="P108" s="9">
        <f>INDEX(E:E,MATCH(J108,D:D,0))</f>
        <v>120</v>
      </c>
      <c r="Q108" s="7">
        <f t="shared" si="10"/>
        <v>36</v>
      </c>
      <c r="R108" s="7">
        <f>COUNTIF(J$8:$J108,"="&amp;J108)</f>
        <v>4</v>
      </c>
      <c r="S108" s="7">
        <f t="shared" si="23"/>
        <v>4036</v>
      </c>
      <c r="U108" s="7">
        <f t="shared" si="19"/>
        <v>1000</v>
      </c>
      <c r="V108" s="7">
        <f t="shared" si="19"/>
        <v>2000</v>
      </c>
      <c r="W108" s="7">
        <f t="shared" si="19"/>
        <v>3000</v>
      </c>
      <c r="X108" s="7">
        <f t="shared" si="19"/>
        <v>4000</v>
      </c>
      <c r="Y108" s="7">
        <f t="shared" si="19"/>
        <v>5000</v>
      </c>
      <c r="Z108" s="7">
        <f t="shared" si="19"/>
        <v>6000</v>
      </c>
      <c r="AA108" s="7">
        <f t="shared" si="19"/>
        <v>7000</v>
      </c>
      <c r="AB108" s="7">
        <f t="shared" si="19"/>
        <v>8000</v>
      </c>
      <c r="AD108" s="21" t="str">
        <f>IFERROR(INDEX($M:$M,MATCH(U108,$S:$S,0)),"&amp;")</f>
        <v>&amp;</v>
      </c>
      <c r="AE108" s="21" t="str">
        <f>IFERROR(INDEX($M:$M,MATCH(V108,$S:$S,0)),"&amp;")</f>
        <v>&amp;</v>
      </c>
      <c r="AF108" s="21" t="str">
        <f>IFERROR(INDEX($M:$M,MATCH(W108,$S:$S,0)),"&amp;")</f>
        <v>&amp;</v>
      </c>
      <c r="AG108" s="21" t="str">
        <f>IFERROR(INDEX($M:$M,MATCH(X108,$S:$S,0)),"&amp;")</f>
        <v>&amp;</v>
      </c>
      <c r="AH108" s="21" t="str">
        <f>IFERROR(INDEX($M:$M,MATCH(Y108,$S:$S,0)),"&amp;")</f>
        <v>&amp;</v>
      </c>
      <c r="AI108" s="21" t="str">
        <f>IFERROR(INDEX($M:$M,MATCH(Z108,$S:$S,0)),"&amp;")</f>
        <v>&amp;</v>
      </c>
      <c r="AJ108" s="21" t="str">
        <f>IFERROR(INDEX($M:$M,MATCH(AA108,$S:$S,0)),"&amp;")</f>
        <v>&amp;</v>
      </c>
      <c r="AK108" s="21" t="str">
        <f>IFERROR(INDEX($M:$M,MATCH(AB108,$S:$S,0)),"&amp;")</f>
        <v>&amp;</v>
      </c>
      <c r="AM108" s="21" t="str">
        <f>IFERROR(INDEX($N:$N,MATCH(U108,$S:$S,0)),"&amp;")</f>
        <v>&amp;</v>
      </c>
      <c r="AN108" s="21" t="str">
        <f>IFERROR(INDEX($N:$N,MATCH(V108,$S:$S,0)),"&amp;")</f>
        <v>&amp;</v>
      </c>
      <c r="AO108" s="21" t="str">
        <f>IFERROR(INDEX($N:$N,MATCH(W108,$S:$S,0)),"&amp;")</f>
        <v>&amp;</v>
      </c>
      <c r="AP108" s="21" t="str">
        <f>IFERROR(INDEX($N:$N,MATCH(X108,$S:$S,0)),"&amp;")</f>
        <v>&amp;</v>
      </c>
      <c r="AQ108" s="21" t="str">
        <f>IFERROR(INDEX($N:$N,MATCH(Y108,$S:$S,0)),"&amp;")</f>
        <v>&amp;</v>
      </c>
      <c r="AR108" s="21" t="str">
        <f>IFERROR(INDEX($N:$N,MATCH(Z108,$S:$S,0)),"&amp;")</f>
        <v>&amp;</v>
      </c>
      <c r="AS108" s="21" t="str">
        <f>IFERROR(INDEX($N:$N,MATCH(AA108,$S:$S,0)),"&amp;")</f>
        <v>&amp;</v>
      </c>
      <c r="AT108" s="21" t="str">
        <f>IFERROR(INDEX($N:$N,MATCH(AB108,$S:$S,0)),"&amp;")</f>
        <v>&amp;</v>
      </c>
      <c r="AV108" s="21" t="str">
        <f>IFERROR(SUBSTITUTE(INDEX($K:$K,MATCH(INDEX($M:$M,MATCH(AM108,$N:$N,0)),$M:$M,0)),$D108,""),"")</f>
        <v/>
      </c>
      <c r="AW108" s="21" t="str">
        <f>IFERROR(SUBSTITUTE(INDEX($K:$K,MATCH(INDEX($M:$M,MATCH(AN108,$N:$N,0)),$M:$M,0)),$D108,""),"")</f>
        <v/>
      </c>
      <c r="AX108" s="21" t="str">
        <f>IFERROR(SUBSTITUTE(INDEX($K:$K,MATCH(INDEX($M:$M,MATCH(AO108,$N:$N,0)),$M:$M,0)),$D108,""),"")</f>
        <v/>
      </c>
      <c r="AY108" s="21" t="str">
        <f>IFERROR(SUBSTITUTE(INDEX($K:$K,MATCH(INDEX($M:$M,MATCH(AP108,$N:$N,0)),$M:$M,0)),$D108,""),"")</f>
        <v/>
      </c>
      <c r="AZ108" s="21" t="str">
        <f>IFERROR(SUBSTITUTE(INDEX($K:$K,MATCH(INDEX($M:$M,MATCH(AQ108,$N:$N,0)),$M:$M,0)),$D108,""),"")</f>
        <v/>
      </c>
      <c r="BA108" s="21" t="str">
        <f>IFERROR(SUBSTITUTE(INDEX($K:$K,MATCH(INDEX($M:$M,MATCH(AR108,$N:$N,0)),$M:$M,0)),$D108,""),"")</f>
        <v/>
      </c>
      <c r="BB108" s="21" t="str">
        <f>IFERROR(SUBSTITUTE(INDEX($K:$K,MATCH(INDEX($M:$M,MATCH(AS108,$N:$N,0)),$M:$M,0)),$D108,""),"")</f>
        <v/>
      </c>
      <c r="BC108" s="21" t="str">
        <f>IFERROR(SUBSTITUTE(INDEX($K:$K,MATCH(INDEX($M:$M,MATCH(AT108,$N:$N,0)),$M:$M,0)),$D108,""),"")</f>
        <v/>
      </c>
      <c r="BE108" s="9" t="str">
        <f t="shared" si="16"/>
        <v/>
      </c>
      <c r="BI108" s="9" t="str">
        <f>IFERROR(
IF(COUNTIF($M:$M,$AD108)&lt;BI$8,
"",
INDEX($J:$J,MATCH($AD108,$M:$M,0)+BI$8-1)),
"")</f>
        <v/>
      </c>
      <c r="BJ108" s="9" t="str">
        <f>IFERROR(
IF(COUNTIF($M:$M,$AD108)&lt;BJ$8,
"",
INDEX($J:$J,MATCH($AD108,$M:$M,0)+BJ$8-1)),
"")</f>
        <v/>
      </c>
      <c r="BK108" s="9" t="str">
        <f>IFERROR(
IF(COUNTIF($M:$M,$AD108)&lt;BK$8,
"",
INDEX($J:$J,MATCH($AD108,$M:$M,0)+BK$8-1)),
"")</f>
        <v/>
      </c>
      <c r="BL108" s="9" t="str">
        <f>IFERROR(
IF(COUNTIF($M:$M,$AD108)&lt;BL$8,
"",
INDEX($J:$J,MATCH($AD108,$M:$M,0)+BL$8-1)),
"")</f>
        <v/>
      </c>
      <c r="BN108" s="21" t="str">
        <f>IFERROR(
IF(COUNTIF($BI108:BM108,INDEX($J:$J,MATCH($AE108,$M:$M,0)+BN$8-1))=0,
IF(COUNTIF($M:$M,$AE108)&lt;BN$8,
"",
INDEX($J:$J,MATCH($AE108,$M:$M,0)+BN$8-1)),
""),
"")</f>
        <v/>
      </c>
      <c r="BO108" s="21" t="str">
        <f>IFERROR(
IF(COUNTIF($BI108:BN108,INDEX($J:$J,MATCH($AE108,$M:$M,0)+BO$8-1))=0,
IF(COUNTIF($M:$M,$AE108)&lt;BO$8,
"",
INDEX($J:$J,MATCH($AE108,$M:$M,0)+BO$8-1)),
""),
"")</f>
        <v/>
      </c>
      <c r="BP108" s="21" t="str">
        <f>IFERROR(
IF(COUNTIF($BI108:BO108,INDEX($J:$J,MATCH($AE108,$M:$M,0)+BP$8-1))=0,
IF(COUNTIF($M:$M,$AE108)&lt;BP$8,
"",
INDEX($J:$J,MATCH($AE108,$M:$M,0)+BP$8-1)),
""),
"")</f>
        <v/>
      </c>
      <c r="BQ108" s="21" t="str">
        <f>IFERROR(
IF(COUNTIF($BI108:BP108,INDEX($J:$J,MATCH($AE108,$M:$M,0)+BQ$8-1))=0,
IF(COUNTIF($M:$M,$AE108)&lt;BQ$8,
"",
INDEX($J:$J,MATCH($AE108,$M:$M,0)+BQ$8-1)),
""),
"")</f>
        <v/>
      </c>
      <c r="BS108" s="21" t="str">
        <f>IFERROR(
IF(COUNTIF($BI108:BR108,INDEX($J:$J,MATCH($AF108,$M:$M,0)+BS$8-1))=0,
IF(COUNTIF($M:$M,$AF108)&lt;BS$8,
"",
INDEX($J:$J,MATCH($AF108,$M:$M,0)+BS$8-1)),
""),
"")</f>
        <v/>
      </c>
      <c r="BT108" s="21" t="str">
        <f>IFERROR(
IF(COUNTIF($BI108:BS108,INDEX($J:$J,MATCH($AF108,$M:$M,0)+BT$8-1))=0,
IF(COUNTIF($M:$M,$AF108)&lt;BT$8,
"",
INDEX($J:$J,MATCH($AF108,$M:$M,0)+BT$8-1)),
""),
"")</f>
        <v/>
      </c>
      <c r="BU108" s="21" t="str">
        <f>IFERROR(
IF(COUNTIF($BI108:BT108,INDEX($J:$J,MATCH($AF108,$M:$M,0)+BU$8-1))=0,
IF(COUNTIF($M:$M,$AF108)&lt;BU$8,
"",
INDEX($J:$J,MATCH($AF108,$M:$M,0)+BU$8-1)),
""),
"")</f>
        <v/>
      </c>
      <c r="BV108" s="21" t="str">
        <f>IFERROR(
IF(COUNTIF($BI108:BU108,INDEX($J:$J,MATCH($AF108,$M:$M,0)+BV$8-1))=0,
IF(COUNTIF($M:$M,$AF108)&lt;BV$8,
"",
INDEX($J:$J,MATCH($AF108,$M:$M,0)+BV$8-1)),
""),
"")</f>
        <v/>
      </c>
      <c r="BX108" s="21" t="str">
        <f>IFERROR(
IF(COUNTIF($BI108:BW108,INDEX($J:$J,MATCH($AG108,$M:$M,0)+BX$8-1))=0,
IF(COUNTIF($M:$M,$AG108)&lt;BX$8,
"",
INDEX($J:$J,MATCH($AG108,$M:$M,0)+BX$8-1)),
""),
"")</f>
        <v/>
      </c>
      <c r="BY108" s="21" t="str">
        <f>IFERROR(
IF(COUNTIF($BI108:BX108,INDEX($J:$J,MATCH($AG108,$M:$M,0)+BY$8-1))=0,
IF(COUNTIF($M:$M,$AG108)&lt;BY$8,
"",
INDEX($J:$J,MATCH($AG108,$M:$M,0)+BY$8-1)),
""),
"")</f>
        <v/>
      </c>
      <c r="BZ108" s="21" t="str">
        <f>IFERROR(
IF(COUNTIF($BI108:BY108,INDEX($J:$J,MATCH($AG108,$M:$M,0)+BZ$8-1))=0,
IF(COUNTIF($M:$M,$AG108)&lt;BZ$8,
"",
INDEX($J:$J,MATCH($AG108,$M:$M,0)+BZ$8-1)),
""),
"")</f>
        <v/>
      </c>
      <c r="CA108" s="21" t="str">
        <f>IFERROR(
IF(COUNTIF($BI108:BZ108,INDEX($J:$J,MATCH($AG108,$M:$M,0)+CA$8-1))=0,
IF(COUNTIF($M:$M,$AG108)&lt;CA$8,
"",
INDEX($J:$J,MATCH($AG108,$M:$M,0)+CA$8-1)),
""),
"")</f>
        <v/>
      </c>
      <c r="CC108" s="21" t="str">
        <f>IFERROR(
IF(COUNTIF($BI108:CB108,INDEX($J:$J,MATCH($AH108,$M:$M,0)+CC$8-1))=0,
IF(COUNTIF($M:$M,$AH108)&lt;CC$8,
"",
INDEX($J:$J,MATCH($AH108,$M:$M,0)+CC$8-1)),
""),
"")</f>
        <v/>
      </c>
      <c r="CD108" s="21" t="str">
        <f>IFERROR(
IF(COUNTIF($BI108:CC108,INDEX($J:$J,MATCH($AH108,$M:$M,0)+CD$8-1))=0,
IF(COUNTIF($M:$M,$AH108)&lt;CD$8,
"",
INDEX($J:$J,MATCH($AH108,$M:$M,0)+CD$8-1)),
""),
"")</f>
        <v/>
      </c>
      <c r="CE108" s="21" t="str">
        <f>IFERROR(
IF(COUNTIF($BI108:CD108,INDEX($J:$J,MATCH($AH108,$M:$M,0)+CE$8-1))=0,
IF(COUNTIF($M:$M,$AH108)&lt;CE$8,
"",
INDEX($J:$J,MATCH($AH108,$M:$M,0)+CE$8-1)),
""),
"")</f>
        <v/>
      </c>
      <c r="CF108" s="21" t="str">
        <f>IFERROR(
IF(COUNTIF($BI108:CE108,INDEX($J:$J,MATCH($AH108,$M:$M,0)+CF$8-1))=0,
IF(COUNTIF($M:$M,$AH108)&lt;CF$8,
"",
INDEX($J:$J,MATCH($AH108,$M:$M,0)+CF$8-1)),
""),
"")</f>
        <v/>
      </c>
      <c r="CH108" s="21" t="str">
        <f>IFERROR(
IF(COUNTIF($BI108:CG108,INDEX($J:$J,MATCH($AI108,$M:$M,0)+CH$8-1))=0,
IF(COUNTIF($M:$M,$AI108)&lt;CH$8,
"",
INDEX($J:$J,MATCH($AI108,$M:$M,0)+CH$8-1)),
""),
"")</f>
        <v/>
      </c>
      <c r="CI108" s="21" t="str">
        <f>IFERROR(
IF(COUNTIF($BI108:CH108,INDEX($J:$J,MATCH($AI108,$M:$M,0)+CI$8-1))=0,
IF(COUNTIF($M:$M,$AI108)&lt;CI$8,
"",
INDEX($J:$J,MATCH($AI108,$M:$M,0)+CI$8-1)),
""),
"")</f>
        <v/>
      </c>
      <c r="CJ108" s="21" t="str">
        <f>IFERROR(
IF(COUNTIF($BI108:CI108,INDEX($J:$J,MATCH($AI108,$M:$M,0)+CJ$8-1))=0,
IF(COUNTIF($M:$M,$AI108)&lt;CJ$8,
"",
INDEX($J:$J,MATCH($AI108,$M:$M,0)+CJ$8-1)),
""),
"")</f>
        <v/>
      </c>
      <c r="CK108" s="21" t="str">
        <f>IFERROR(
IF(COUNTIF($BI108:CJ108,INDEX($J:$J,MATCH($AI108,$M:$M,0)+CK$8-1))=0,
IF(COUNTIF($M:$M,$AI108)&lt;CK$8,
"",
INDEX($J:$J,MATCH($AI108,$M:$M,0)+CK$8-1)),
""),
"")</f>
        <v/>
      </c>
      <c r="CM108" s="21" t="str">
        <f>IFERROR(
IF(COUNTIF($BI108:CL108,INDEX($J:$J,MATCH($AJ108,$M:$M,0)+CM$8-1))=0,
IF(COUNTIF($M:$M,$AJ108)&lt;CM$8,
"",
INDEX($J:$J,MATCH($AJ108,$M:$M,0)+CM$8-1)),
""),
"")</f>
        <v/>
      </c>
      <c r="CN108" s="21" t="str">
        <f>IFERROR(
IF(COUNTIF($BI108:CM108,INDEX($J:$J,MATCH($AJ108,$M:$M,0)+CN$8-1))=0,
IF(COUNTIF($M:$M,$AJ108)&lt;CN$8,
"",
INDEX($J:$J,MATCH($AJ108,$M:$M,0)+CN$8-1)),
""),
"")</f>
        <v/>
      </c>
      <c r="CO108" s="21" t="str">
        <f>IFERROR(
IF(COUNTIF($BI108:CN108,INDEX($J:$J,MATCH($AJ108,$M:$M,0)+CO$8-1))=0,
IF(COUNTIF($M:$M,$AJ108)&lt;CO$8,
"",
INDEX($J:$J,MATCH($AJ108,$M:$M,0)+CO$8-1)),
""),
"")</f>
        <v/>
      </c>
      <c r="CP108" s="21" t="str">
        <f>IFERROR(
IF(COUNTIF($BI108:CO108,INDEX($J:$J,MATCH($AJ108,$M:$M,0)+CP$8-1))=0,
IF(COUNTIF($M:$M,$AJ108)&lt;CP$8,
"",
INDEX($J:$J,MATCH($AJ108,$M:$M,0)+CP$8-1)),
""),
"")</f>
        <v/>
      </c>
      <c r="CR108" s="21" t="str">
        <f>IFERROR(
IF(COUNTIF($BI108:CQ108,INDEX($J:$J,MATCH($AK108,$M:$M,0)+CR$8-1))=0,
IF(COUNTIF($M:$M,$AK108)&lt;CR$8,
"",
INDEX($J:$J,MATCH($AK108,$M:$M,0)+CR$8-1)),
""),
"")</f>
        <v/>
      </c>
      <c r="CS108" s="21" t="str">
        <f>IFERROR(
IF(COUNTIF($BI108:CR108,INDEX($J:$J,MATCH($AK108,$M:$M,0)+CS$8-1))=0,
IF(COUNTIF($M:$M,$AK108)&lt;CS$8,
"",
INDEX($J:$J,MATCH($AK108,$M:$M,0)+CS$8-1)),
""),
"")</f>
        <v/>
      </c>
      <c r="CT108" s="21" t="str">
        <f>IFERROR(
IF(COUNTIF($BI108:CS108,INDEX($J:$J,MATCH($AK108,$M:$M,0)+CT$8-1))=0,
IF(COUNTIF($M:$M,$AK108)&lt;CT$8,
"",
INDEX($J:$J,MATCH($AK108,$M:$M,0)+CT$8-1)),
""),
"")</f>
        <v/>
      </c>
      <c r="CU108" s="21" t="str">
        <f>IFERROR(
IF(COUNTIF($BI108:CT108,INDEX($J:$J,MATCH($AK108,$M:$M,0)+CU$8-1))=0,
IF(COUNTIF($M:$M,$AK108)&lt;CU$8,
"",
INDEX($J:$J,MATCH($AK108,$M:$M,0)+CU$8-1)),
""),
"")</f>
        <v/>
      </c>
    </row>
    <row r="109" spans="3:99">
      <c r="H109" s="7" t="str">
        <f>IF(I109="","",COUNTA(I$9:$I109))</f>
        <v/>
      </c>
      <c r="I109" s="6"/>
      <c r="J109" s="6" t="s">
        <v>235</v>
      </c>
      <c r="K109" s="8" t="str">
        <f>IF(H109="","",阶段合并区域(J109:J121," ",L109:L121,1))</f>
        <v/>
      </c>
      <c r="L109" s="8">
        <f>COUNTIF(M$8:$M109,"="&amp;M109)</f>
        <v>4</v>
      </c>
      <c r="M109" s="9" t="str">
        <f t="shared" si="21"/>
        <v>著书立说</v>
      </c>
      <c r="N109" s="9" t="str">
        <f t="shared" si="22"/>
        <v>著书立说4</v>
      </c>
      <c r="O109" s="15">
        <f>INDEX(C:C,MATCH(J109,D:D,0))</f>
        <v>18</v>
      </c>
      <c r="P109" s="9">
        <f>INDEX(E:E,MATCH(J109,D:D,0))</f>
        <v>120</v>
      </c>
      <c r="Q109" s="7">
        <f t="shared" si="10"/>
        <v>18</v>
      </c>
      <c r="R109" s="7">
        <f>COUNTIF(J$8:$J109,"="&amp;J109)</f>
        <v>4</v>
      </c>
      <c r="S109" s="7">
        <f t="shared" si="23"/>
        <v>4018</v>
      </c>
      <c r="U109" s="7">
        <f t="shared" si="19"/>
        <v>1000</v>
      </c>
      <c r="V109" s="7">
        <f t="shared" si="19"/>
        <v>2000</v>
      </c>
      <c r="W109" s="7">
        <f t="shared" si="19"/>
        <v>3000</v>
      </c>
      <c r="X109" s="7">
        <f t="shared" si="19"/>
        <v>4000</v>
      </c>
      <c r="Y109" s="7">
        <f t="shared" si="19"/>
        <v>5000</v>
      </c>
      <c r="Z109" s="7">
        <f t="shared" si="19"/>
        <v>6000</v>
      </c>
      <c r="AA109" s="7">
        <f t="shared" si="19"/>
        <v>7000</v>
      </c>
      <c r="AB109" s="7">
        <f t="shared" si="19"/>
        <v>8000</v>
      </c>
      <c r="AD109" s="21" t="str">
        <f>IFERROR(INDEX($M:$M,MATCH(U109,$S:$S,0)),"&amp;")</f>
        <v>&amp;</v>
      </c>
      <c r="AE109" s="21" t="str">
        <f>IFERROR(INDEX($M:$M,MATCH(V109,$S:$S,0)),"&amp;")</f>
        <v>&amp;</v>
      </c>
      <c r="AF109" s="21" t="str">
        <f>IFERROR(INDEX($M:$M,MATCH(W109,$S:$S,0)),"&amp;")</f>
        <v>&amp;</v>
      </c>
      <c r="AG109" s="21" t="str">
        <f>IFERROR(INDEX($M:$M,MATCH(X109,$S:$S,0)),"&amp;")</f>
        <v>&amp;</v>
      </c>
      <c r="AH109" s="21" t="str">
        <f>IFERROR(INDEX($M:$M,MATCH(Y109,$S:$S,0)),"&amp;")</f>
        <v>&amp;</v>
      </c>
      <c r="AI109" s="21" t="str">
        <f>IFERROR(INDEX($M:$M,MATCH(Z109,$S:$S,0)),"&amp;")</f>
        <v>&amp;</v>
      </c>
      <c r="AJ109" s="21" t="str">
        <f>IFERROR(INDEX($M:$M,MATCH(AA109,$S:$S,0)),"&amp;")</f>
        <v>&amp;</v>
      </c>
      <c r="AK109" s="21" t="str">
        <f>IFERROR(INDEX($M:$M,MATCH(AB109,$S:$S,0)),"&amp;")</f>
        <v>&amp;</v>
      </c>
      <c r="AM109" s="21" t="str">
        <f>IFERROR(INDEX($N:$N,MATCH(U109,$S:$S,0)),"&amp;")</f>
        <v>&amp;</v>
      </c>
      <c r="AN109" s="21" t="str">
        <f>IFERROR(INDEX($N:$N,MATCH(V109,$S:$S,0)),"&amp;")</f>
        <v>&amp;</v>
      </c>
      <c r="AO109" s="21" t="str">
        <f>IFERROR(INDEX($N:$N,MATCH(W109,$S:$S,0)),"&amp;")</f>
        <v>&amp;</v>
      </c>
      <c r="AP109" s="21" t="str">
        <f>IFERROR(INDEX($N:$N,MATCH(X109,$S:$S,0)),"&amp;")</f>
        <v>&amp;</v>
      </c>
      <c r="AQ109" s="21" t="str">
        <f>IFERROR(INDEX($N:$N,MATCH(Y109,$S:$S,0)),"&amp;")</f>
        <v>&amp;</v>
      </c>
      <c r="AR109" s="21" t="str">
        <f>IFERROR(INDEX($N:$N,MATCH(Z109,$S:$S,0)),"&amp;")</f>
        <v>&amp;</v>
      </c>
      <c r="AS109" s="21" t="str">
        <f>IFERROR(INDEX($N:$N,MATCH(AA109,$S:$S,0)),"&amp;")</f>
        <v>&amp;</v>
      </c>
      <c r="AT109" s="21" t="str">
        <f>IFERROR(INDEX($N:$N,MATCH(AB109,$S:$S,0)),"&amp;")</f>
        <v>&amp;</v>
      </c>
      <c r="AV109" s="21" t="str">
        <f>IFERROR(SUBSTITUTE(INDEX($K:$K,MATCH(INDEX($M:$M,MATCH(AM109,$N:$N,0)),$M:$M,0)),$D109,""),"")</f>
        <v/>
      </c>
      <c r="AW109" s="21" t="str">
        <f>IFERROR(SUBSTITUTE(INDEX($K:$K,MATCH(INDEX($M:$M,MATCH(AN109,$N:$N,0)),$M:$M,0)),$D109,""),"")</f>
        <v/>
      </c>
      <c r="AX109" s="21" t="str">
        <f>IFERROR(SUBSTITUTE(INDEX($K:$K,MATCH(INDEX($M:$M,MATCH(AO109,$N:$N,0)),$M:$M,0)),$D109,""),"")</f>
        <v/>
      </c>
      <c r="AY109" s="21" t="str">
        <f>IFERROR(SUBSTITUTE(INDEX($K:$K,MATCH(INDEX($M:$M,MATCH(AP109,$N:$N,0)),$M:$M,0)),$D109,""),"")</f>
        <v/>
      </c>
      <c r="AZ109" s="21" t="str">
        <f>IFERROR(SUBSTITUTE(INDEX($K:$K,MATCH(INDEX($M:$M,MATCH(AQ109,$N:$N,0)),$M:$M,0)),$D109,""),"")</f>
        <v/>
      </c>
      <c r="BA109" s="21" t="str">
        <f>IFERROR(SUBSTITUTE(INDEX($K:$K,MATCH(INDEX($M:$M,MATCH(AR109,$N:$N,0)),$M:$M,0)),$D109,""),"")</f>
        <v/>
      </c>
      <c r="BB109" s="21" t="str">
        <f>IFERROR(SUBSTITUTE(INDEX($K:$K,MATCH(INDEX($M:$M,MATCH(AS109,$N:$N,0)),$M:$M,0)),$D109,""),"")</f>
        <v/>
      </c>
      <c r="BC109" s="21" t="str">
        <f>IFERROR(SUBSTITUTE(INDEX($K:$K,MATCH(INDEX($M:$M,MATCH(AT109,$N:$N,0)),$M:$M,0)),$D109,""),"")</f>
        <v/>
      </c>
      <c r="BE109" s="9" t="str">
        <f t="shared" si="16"/>
        <v/>
      </c>
      <c r="BI109" s="9" t="str">
        <f>IFERROR(
IF(COUNTIF($M:$M,$AD109)&lt;BI$8,
"",
INDEX($J:$J,MATCH($AD109,$M:$M,0)+BI$8-1)),
"")</f>
        <v/>
      </c>
      <c r="BJ109" s="9" t="str">
        <f>IFERROR(
IF(COUNTIF($M:$M,$AD109)&lt;BJ$8,
"",
INDEX($J:$J,MATCH($AD109,$M:$M,0)+BJ$8-1)),
"")</f>
        <v/>
      </c>
      <c r="BK109" s="9" t="str">
        <f>IFERROR(
IF(COUNTIF($M:$M,$AD109)&lt;BK$8,
"",
INDEX($J:$J,MATCH($AD109,$M:$M,0)+BK$8-1)),
"")</f>
        <v/>
      </c>
      <c r="BL109" s="9" t="str">
        <f>IFERROR(
IF(COUNTIF($M:$M,$AD109)&lt;BL$8,
"",
INDEX($J:$J,MATCH($AD109,$M:$M,0)+BL$8-1)),
"")</f>
        <v/>
      </c>
      <c r="BN109" s="21" t="str">
        <f>IFERROR(
IF(COUNTIF($BI109:BM109,INDEX($J:$J,MATCH($AE109,$M:$M,0)+BN$8-1))=0,
IF(COUNTIF($M:$M,$AE109)&lt;BN$8,
"",
INDEX($J:$J,MATCH($AE109,$M:$M,0)+BN$8-1)),
""),
"")</f>
        <v/>
      </c>
      <c r="BO109" s="21" t="str">
        <f>IFERROR(
IF(COUNTIF($BI109:BN109,INDEX($J:$J,MATCH($AE109,$M:$M,0)+BO$8-1))=0,
IF(COUNTIF($M:$M,$AE109)&lt;BO$8,
"",
INDEX($J:$J,MATCH($AE109,$M:$M,0)+BO$8-1)),
""),
"")</f>
        <v/>
      </c>
      <c r="BP109" s="21" t="str">
        <f>IFERROR(
IF(COUNTIF($BI109:BO109,INDEX($J:$J,MATCH($AE109,$M:$M,0)+BP$8-1))=0,
IF(COUNTIF($M:$M,$AE109)&lt;BP$8,
"",
INDEX($J:$J,MATCH($AE109,$M:$M,0)+BP$8-1)),
""),
"")</f>
        <v/>
      </c>
      <c r="BQ109" s="21" t="str">
        <f>IFERROR(
IF(COUNTIF($BI109:BP109,INDEX($J:$J,MATCH($AE109,$M:$M,0)+BQ$8-1))=0,
IF(COUNTIF($M:$M,$AE109)&lt;BQ$8,
"",
INDEX($J:$J,MATCH($AE109,$M:$M,0)+BQ$8-1)),
""),
"")</f>
        <v/>
      </c>
      <c r="BS109" s="21" t="str">
        <f>IFERROR(
IF(COUNTIF($BI109:BR109,INDEX($J:$J,MATCH($AF109,$M:$M,0)+BS$8-1))=0,
IF(COUNTIF($M:$M,$AF109)&lt;BS$8,
"",
INDEX($J:$J,MATCH($AF109,$M:$M,0)+BS$8-1)),
""),
"")</f>
        <v/>
      </c>
      <c r="BT109" s="21" t="str">
        <f>IFERROR(
IF(COUNTIF($BI109:BS109,INDEX($J:$J,MATCH($AF109,$M:$M,0)+BT$8-1))=0,
IF(COUNTIF($M:$M,$AF109)&lt;BT$8,
"",
INDEX($J:$J,MATCH($AF109,$M:$M,0)+BT$8-1)),
""),
"")</f>
        <v/>
      </c>
      <c r="BU109" s="21" t="str">
        <f>IFERROR(
IF(COUNTIF($BI109:BT109,INDEX($J:$J,MATCH($AF109,$M:$M,0)+BU$8-1))=0,
IF(COUNTIF($M:$M,$AF109)&lt;BU$8,
"",
INDEX($J:$J,MATCH($AF109,$M:$M,0)+BU$8-1)),
""),
"")</f>
        <v/>
      </c>
      <c r="BV109" s="21" t="str">
        <f>IFERROR(
IF(COUNTIF($BI109:BU109,INDEX($J:$J,MATCH($AF109,$M:$M,0)+BV$8-1))=0,
IF(COUNTIF($M:$M,$AF109)&lt;BV$8,
"",
INDEX($J:$J,MATCH($AF109,$M:$M,0)+BV$8-1)),
""),
"")</f>
        <v/>
      </c>
      <c r="BX109" s="21" t="str">
        <f>IFERROR(
IF(COUNTIF($BI109:BW109,INDEX($J:$J,MATCH($AG109,$M:$M,0)+BX$8-1))=0,
IF(COUNTIF($M:$M,$AG109)&lt;BX$8,
"",
INDEX($J:$J,MATCH($AG109,$M:$M,0)+BX$8-1)),
""),
"")</f>
        <v/>
      </c>
      <c r="BY109" s="21" t="str">
        <f>IFERROR(
IF(COUNTIF($BI109:BX109,INDEX($J:$J,MATCH($AG109,$M:$M,0)+BY$8-1))=0,
IF(COUNTIF($M:$M,$AG109)&lt;BY$8,
"",
INDEX($J:$J,MATCH($AG109,$M:$M,0)+BY$8-1)),
""),
"")</f>
        <v/>
      </c>
      <c r="BZ109" s="21" t="str">
        <f>IFERROR(
IF(COUNTIF($BI109:BY109,INDEX($J:$J,MATCH($AG109,$M:$M,0)+BZ$8-1))=0,
IF(COUNTIF($M:$M,$AG109)&lt;BZ$8,
"",
INDEX($J:$J,MATCH($AG109,$M:$M,0)+BZ$8-1)),
""),
"")</f>
        <v/>
      </c>
      <c r="CA109" s="21" t="str">
        <f>IFERROR(
IF(COUNTIF($BI109:BZ109,INDEX($J:$J,MATCH($AG109,$M:$M,0)+CA$8-1))=0,
IF(COUNTIF($M:$M,$AG109)&lt;CA$8,
"",
INDEX($J:$J,MATCH($AG109,$M:$M,0)+CA$8-1)),
""),
"")</f>
        <v/>
      </c>
      <c r="CC109" s="21" t="str">
        <f>IFERROR(
IF(COUNTIF($BI109:CB109,INDEX($J:$J,MATCH($AH109,$M:$M,0)+CC$8-1))=0,
IF(COUNTIF($M:$M,$AH109)&lt;CC$8,
"",
INDEX($J:$J,MATCH($AH109,$M:$M,0)+CC$8-1)),
""),
"")</f>
        <v/>
      </c>
      <c r="CD109" s="21" t="str">
        <f>IFERROR(
IF(COUNTIF($BI109:CC109,INDEX($J:$J,MATCH($AH109,$M:$M,0)+CD$8-1))=0,
IF(COUNTIF($M:$M,$AH109)&lt;CD$8,
"",
INDEX($J:$J,MATCH($AH109,$M:$M,0)+CD$8-1)),
""),
"")</f>
        <v/>
      </c>
      <c r="CE109" s="21" t="str">
        <f>IFERROR(
IF(COUNTIF($BI109:CD109,INDEX($J:$J,MATCH($AH109,$M:$M,0)+CE$8-1))=0,
IF(COUNTIF($M:$M,$AH109)&lt;CE$8,
"",
INDEX($J:$J,MATCH($AH109,$M:$M,0)+CE$8-1)),
""),
"")</f>
        <v/>
      </c>
      <c r="CF109" s="21" t="str">
        <f>IFERROR(
IF(COUNTIF($BI109:CE109,INDEX($J:$J,MATCH($AH109,$M:$M,0)+CF$8-1))=0,
IF(COUNTIF($M:$M,$AH109)&lt;CF$8,
"",
INDEX($J:$J,MATCH($AH109,$M:$M,0)+CF$8-1)),
""),
"")</f>
        <v/>
      </c>
      <c r="CH109" s="21" t="str">
        <f>IFERROR(
IF(COUNTIF($BI109:CG109,INDEX($J:$J,MATCH($AI109,$M:$M,0)+CH$8-1))=0,
IF(COUNTIF($M:$M,$AI109)&lt;CH$8,
"",
INDEX($J:$J,MATCH($AI109,$M:$M,0)+CH$8-1)),
""),
"")</f>
        <v/>
      </c>
      <c r="CI109" s="21" t="str">
        <f>IFERROR(
IF(COUNTIF($BI109:CH109,INDEX($J:$J,MATCH($AI109,$M:$M,0)+CI$8-1))=0,
IF(COUNTIF($M:$M,$AI109)&lt;CI$8,
"",
INDEX($J:$J,MATCH($AI109,$M:$M,0)+CI$8-1)),
""),
"")</f>
        <v/>
      </c>
      <c r="CJ109" s="21" t="str">
        <f>IFERROR(
IF(COUNTIF($BI109:CI109,INDEX($J:$J,MATCH($AI109,$M:$M,0)+CJ$8-1))=0,
IF(COUNTIF($M:$M,$AI109)&lt;CJ$8,
"",
INDEX($J:$J,MATCH($AI109,$M:$M,0)+CJ$8-1)),
""),
"")</f>
        <v/>
      </c>
      <c r="CK109" s="21" t="str">
        <f>IFERROR(
IF(COUNTIF($BI109:CJ109,INDEX($J:$J,MATCH($AI109,$M:$M,0)+CK$8-1))=0,
IF(COUNTIF($M:$M,$AI109)&lt;CK$8,
"",
INDEX($J:$J,MATCH($AI109,$M:$M,0)+CK$8-1)),
""),
"")</f>
        <v/>
      </c>
      <c r="CM109" s="21" t="str">
        <f>IFERROR(
IF(COUNTIF($BI109:CL109,INDEX($J:$J,MATCH($AJ109,$M:$M,0)+CM$8-1))=0,
IF(COUNTIF($M:$M,$AJ109)&lt;CM$8,
"",
INDEX($J:$J,MATCH($AJ109,$M:$M,0)+CM$8-1)),
""),
"")</f>
        <v/>
      </c>
      <c r="CN109" s="21" t="str">
        <f>IFERROR(
IF(COUNTIF($BI109:CM109,INDEX($J:$J,MATCH($AJ109,$M:$M,0)+CN$8-1))=0,
IF(COUNTIF($M:$M,$AJ109)&lt;CN$8,
"",
INDEX($J:$J,MATCH($AJ109,$M:$M,0)+CN$8-1)),
""),
"")</f>
        <v/>
      </c>
      <c r="CO109" s="21" t="str">
        <f>IFERROR(
IF(COUNTIF($BI109:CN109,INDEX($J:$J,MATCH($AJ109,$M:$M,0)+CO$8-1))=0,
IF(COUNTIF($M:$M,$AJ109)&lt;CO$8,
"",
INDEX($J:$J,MATCH($AJ109,$M:$M,0)+CO$8-1)),
""),
"")</f>
        <v/>
      </c>
      <c r="CP109" s="21" t="str">
        <f>IFERROR(
IF(COUNTIF($BI109:CO109,INDEX($J:$J,MATCH($AJ109,$M:$M,0)+CP$8-1))=0,
IF(COUNTIF($M:$M,$AJ109)&lt;CP$8,
"",
INDEX($J:$J,MATCH($AJ109,$M:$M,0)+CP$8-1)),
""),
"")</f>
        <v/>
      </c>
      <c r="CR109" s="21" t="str">
        <f>IFERROR(
IF(COUNTIF($BI109:CQ109,INDEX($J:$J,MATCH($AK109,$M:$M,0)+CR$8-1))=0,
IF(COUNTIF($M:$M,$AK109)&lt;CR$8,
"",
INDEX($J:$J,MATCH($AK109,$M:$M,0)+CR$8-1)),
""),
"")</f>
        <v/>
      </c>
      <c r="CS109" s="21" t="str">
        <f>IFERROR(
IF(COUNTIF($BI109:CR109,INDEX($J:$J,MATCH($AK109,$M:$M,0)+CS$8-1))=0,
IF(COUNTIF($M:$M,$AK109)&lt;CS$8,
"",
INDEX($J:$J,MATCH($AK109,$M:$M,0)+CS$8-1)),
""),
"")</f>
        <v/>
      </c>
      <c r="CT109" s="21" t="str">
        <f>IFERROR(
IF(COUNTIF($BI109:CS109,INDEX($J:$J,MATCH($AK109,$M:$M,0)+CT$8-1))=0,
IF(COUNTIF($M:$M,$AK109)&lt;CT$8,
"",
INDEX($J:$J,MATCH($AK109,$M:$M,0)+CT$8-1)),
""),
"")</f>
        <v/>
      </c>
      <c r="CU109" s="21" t="str">
        <f>IFERROR(
IF(COUNTIF($BI109:CT109,INDEX($J:$J,MATCH($AK109,$M:$M,0)+CU$8-1))=0,
IF(COUNTIF($M:$M,$AK109)&lt;CU$8,
"",
INDEX($J:$J,MATCH($AK109,$M:$M,0)+CU$8-1)),
""),
"")</f>
        <v/>
      </c>
    </row>
    <row r="110" spans="3:99">
      <c r="H110" s="7">
        <f>IF(I110="","",COUNTA(I$9:$I110))</f>
        <v>97</v>
      </c>
      <c r="I110" s="6" t="s">
        <v>236</v>
      </c>
      <c r="J110" s="6" t="s">
        <v>237</v>
      </c>
      <c r="K110" s="8" t="str">
        <f>IF(H110="","",阶段合并区域(J110:J122," ",L110:L122,1))</f>
        <v>吴起 屈原 申不害 韩非子</v>
      </c>
      <c r="L110" s="8">
        <f>COUNTIF(M$8:$M110,"="&amp;M110)</f>
        <v>1</v>
      </c>
      <c r="M110" s="9" t="str">
        <f t="shared" si="21"/>
        <v>变法强国</v>
      </c>
      <c r="N110" s="9" t="str">
        <f t="shared" si="22"/>
        <v>变法强国1</v>
      </c>
      <c r="O110" s="15">
        <f>INDEX(C:C,MATCH(J110,D:D,0))</f>
        <v>9</v>
      </c>
      <c r="P110" s="9">
        <f>INDEX(E:E,MATCH(J110,D:D,0))</f>
        <v>130</v>
      </c>
      <c r="Q110" s="7">
        <f t="shared" si="10"/>
        <v>9</v>
      </c>
      <c r="R110" s="7">
        <f>COUNTIF(J$8:$J110,"="&amp;J110)</f>
        <v>2</v>
      </c>
      <c r="S110" s="7">
        <f t="shared" si="23"/>
        <v>2009</v>
      </c>
      <c r="U110" s="7">
        <f t="shared" si="19"/>
        <v>1000</v>
      </c>
      <c r="V110" s="7">
        <f t="shared" si="19"/>
        <v>2000</v>
      </c>
      <c r="W110" s="7">
        <f t="shared" si="19"/>
        <v>3000</v>
      </c>
      <c r="X110" s="7">
        <f t="shared" si="19"/>
        <v>4000</v>
      </c>
      <c r="Y110" s="7">
        <f t="shared" si="19"/>
        <v>5000</v>
      </c>
      <c r="Z110" s="7">
        <f t="shared" si="19"/>
        <v>6000</v>
      </c>
      <c r="AA110" s="7">
        <f t="shared" si="19"/>
        <v>7000</v>
      </c>
      <c r="AB110" s="7">
        <f t="shared" si="19"/>
        <v>8000</v>
      </c>
      <c r="AD110" s="21" t="str">
        <f>IFERROR(INDEX($M:$M,MATCH(U110,$S:$S,0)),"&amp;")</f>
        <v>&amp;</v>
      </c>
      <c r="AE110" s="21" t="str">
        <f>IFERROR(INDEX($M:$M,MATCH(V110,$S:$S,0)),"&amp;")</f>
        <v>&amp;</v>
      </c>
      <c r="AF110" s="21" t="str">
        <f>IFERROR(INDEX($M:$M,MATCH(W110,$S:$S,0)),"&amp;")</f>
        <v>&amp;</v>
      </c>
      <c r="AG110" s="21" t="str">
        <f>IFERROR(INDEX($M:$M,MATCH(X110,$S:$S,0)),"&amp;")</f>
        <v>&amp;</v>
      </c>
      <c r="AH110" s="21" t="str">
        <f>IFERROR(INDEX($M:$M,MATCH(Y110,$S:$S,0)),"&amp;")</f>
        <v>&amp;</v>
      </c>
      <c r="AI110" s="21" t="str">
        <f>IFERROR(INDEX($M:$M,MATCH(Z110,$S:$S,0)),"&amp;")</f>
        <v>&amp;</v>
      </c>
      <c r="AJ110" s="21" t="str">
        <f>IFERROR(INDEX($M:$M,MATCH(AA110,$S:$S,0)),"&amp;")</f>
        <v>&amp;</v>
      </c>
      <c r="AK110" s="21" t="str">
        <f>IFERROR(INDEX($M:$M,MATCH(AB110,$S:$S,0)),"&amp;")</f>
        <v>&amp;</v>
      </c>
      <c r="AM110" s="21" t="str">
        <f>IFERROR(INDEX($N:$N,MATCH(U110,$S:$S,0)),"&amp;")</f>
        <v>&amp;</v>
      </c>
      <c r="AN110" s="21" t="str">
        <f>IFERROR(INDEX($N:$N,MATCH(V110,$S:$S,0)),"&amp;")</f>
        <v>&amp;</v>
      </c>
      <c r="AO110" s="21" t="str">
        <f>IFERROR(INDEX($N:$N,MATCH(W110,$S:$S,0)),"&amp;")</f>
        <v>&amp;</v>
      </c>
      <c r="AP110" s="21" t="str">
        <f>IFERROR(INDEX($N:$N,MATCH(X110,$S:$S,0)),"&amp;")</f>
        <v>&amp;</v>
      </c>
      <c r="AQ110" s="21" t="str">
        <f>IFERROR(INDEX($N:$N,MATCH(Y110,$S:$S,0)),"&amp;")</f>
        <v>&amp;</v>
      </c>
      <c r="AR110" s="21" t="str">
        <f>IFERROR(INDEX($N:$N,MATCH(Z110,$S:$S,0)),"&amp;")</f>
        <v>&amp;</v>
      </c>
      <c r="AS110" s="21" t="str">
        <f>IFERROR(INDEX($N:$N,MATCH(AA110,$S:$S,0)),"&amp;")</f>
        <v>&amp;</v>
      </c>
      <c r="AT110" s="21" t="str">
        <f>IFERROR(INDEX($N:$N,MATCH(AB110,$S:$S,0)),"&amp;")</f>
        <v>&amp;</v>
      </c>
      <c r="AV110" s="21" t="str">
        <f>IFERROR(SUBSTITUTE(INDEX($K:$K,MATCH(INDEX($M:$M,MATCH(AM110,$N:$N,0)),$M:$M,0)),$D110,""),"")</f>
        <v/>
      </c>
      <c r="AW110" s="21" t="str">
        <f>IFERROR(SUBSTITUTE(INDEX($K:$K,MATCH(INDEX($M:$M,MATCH(AN110,$N:$N,0)),$M:$M,0)),$D110,""),"")</f>
        <v/>
      </c>
      <c r="AX110" s="21" t="str">
        <f>IFERROR(SUBSTITUTE(INDEX($K:$K,MATCH(INDEX($M:$M,MATCH(AO110,$N:$N,0)),$M:$M,0)),$D110,""),"")</f>
        <v/>
      </c>
      <c r="AY110" s="21" t="str">
        <f>IFERROR(SUBSTITUTE(INDEX($K:$K,MATCH(INDEX($M:$M,MATCH(AP110,$N:$N,0)),$M:$M,0)),$D110,""),"")</f>
        <v/>
      </c>
      <c r="AZ110" s="21" t="str">
        <f>IFERROR(SUBSTITUTE(INDEX($K:$K,MATCH(INDEX($M:$M,MATCH(AQ110,$N:$N,0)),$M:$M,0)),$D110,""),"")</f>
        <v/>
      </c>
      <c r="BA110" s="21" t="str">
        <f>IFERROR(SUBSTITUTE(INDEX($K:$K,MATCH(INDEX($M:$M,MATCH(AR110,$N:$N,0)),$M:$M,0)),$D110,""),"")</f>
        <v/>
      </c>
      <c r="BB110" s="21" t="str">
        <f>IFERROR(SUBSTITUTE(INDEX($K:$K,MATCH(INDEX($M:$M,MATCH(AS110,$N:$N,0)),$M:$M,0)),$D110,""),"")</f>
        <v/>
      </c>
      <c r="BC110" s="21" t="str">
        <f>IFERROR(SUBSTITUTE(INDEX($K:$K,MATCH(INDEX($M:$M,MATCH(AT110,$N:$N,0)),$M:$M,0)),$D110,""),"")</f>
        <v/>
      </c>
      <c r="BE110" s="9" t="str">
        <f t="shared" si="16"/>
        <v/>
      </c>
      <c r="BI110" s="9" t="str">
        <f>IFERROR(
IF(COUNTIF($M:$M,$AD110)&lt;BI$8,
"",
INDEX($J:$J,MATCH($AD110,$M:$M,0)+BI$8-1)),
"")</f>
        <v/>
      </c>
      <c r="BJ110" s="9" t="str">
        <f>IFERROR(
IF(COUNTIF($M:$M,$AD110)&lt;BJ$8,
"",
INDEX($J:$J,MATCH($AD110,$M:$M,0)+BJ$8-1)),
"")</f>
        <v/>
      </c>
      <c r="BK110" s="9" t="str">
        <f>IFERROR(
IF(COUNTIF($M:$M,$AD110)&lt;BK$8,
"",
INDEX($J:$J,MATCH($AD110,$M:$M,0)+BK$8-1)),
"")</f>
        <v/>
      </c>
      <c r="BL110" s="9" t="str">
        <f>IFERROR(
IF(COUNTIF($M:$M,$AD110)&lt;BL$8,
"",
INDEX($J:$J,MATCH($AD110,$M:$M,0)+BL$8-1)),
"")</f>
        <v/>
      </c>
      <c r="BN110" s="21" t="str">
        <f>IFERROR(
IF(COUNTIF($BI110:BM110,INDEX($J:$J,MATCH($AE110,$M:$M,0)+BN$8-1))=0,
IF(COUNTIF($M:$M,$AE110)&lt;BN$8,
"",
INDEX($J:$J,MATCH($AE110,$M:$M,0)+BN$8-1)),
""),
"")</f>
        <v/>
      </c>
      <c r="BO110" s="21" t="str">
        <f>IFERROR(
IF(COUNTIF($BI110:BN110,INDEX($J:$J,MATCH($AE110,$M:$M,0)+BO$8-1))=0,
IF(COUNTIF($M:$M,$AE110)&lt;BO$8,
"",
INDEX($J:$J,MATCH($AE110,$M:$M,0)+BO$8-1)),
""),
"")</f>
        <v/>
      </c>
      <c r="BP110" s="21" t="str">
        <f>IFERROR(
IF(COUNTIF($BI110:BO110,INDEX($J:$J,MATCH($AE110,$M:$M,0)+BP$8-1))=0,
IF(COUNTIF($M:$M,$AE110)&lt;BP$8,
"",
INDEX($J:$J,MATCH($AE110,$M:$M,0)+BP$8-1)),
""),
"")</f>
        <v/>
      </c>
      <c r="BQ110" s="21" t="str">
        <f>IFERROR(
IF(COUNTIF($BI110:BP110,INDEX($J:$J,MATCH($AE110,$M:$M,0)+BQ$8-1))=0,
IF(COUNTIF($M:$M,$AE110)&lt;BQ$8,
"",
INDEX($J:$J,MATCH($AE110,$M:$M,0)+BQ$8-1)),
""),
"")</f>
        <v/>
      </c>
      <c r="BS110" s="21" t="str">
        <f>IFERROR(
IF(COUNTIF($BI110:BR110,INDEX($J:$J,MATCH($AF110,$M:$M,0)+BS$8-1))=0,
IF(COUNTIF($M:$M,$AF110)&lt;BS$8,
"",
INDEX($J:$J,MATCH($AF110,$M:$M,0)+BS$8-1)),
""),
"")</f>
        <v/>
      </c>
      <c r="BT110" s="21" t="str">
        <f>IFERROR(
IF(COUNTIF($BI110:BS110,INDEX($J:$J,MATCH($AF110,$M:$M,0)+BT$8-1))=0,
IF(COUNTIF($M:$M,$AF110)&lt;BT$8,
"",
INDEX($J:$J,MATCH($AF110,$M:$M,0)+BT$8-1)),
""),
"")</f>
        <v/>
      </c>
      <c r="BU110" s="21" t="str">
        <f>IFERROR(
IF(COUNTIF($BI110:BT110,INDEX($J:$J,MATCH($AF110,$M:$M,0)+BU$8-1))=0,
IF(COUNTIF($M:$M,$AF110)&lt;BU$8,
"",
INDEX($J:$J,MATCH($AF110,$M:$M,0)+BU$8-1)),
""),
"")</f>
        <v/>
      </c>
      <c r="BV110" s="21" t="str">
        <f>IFERROR(
IF(COUNTIF($BI110:BU110,INDEX($J:$J,MATCH($AF110,$M:$M,0)+BV$8-1))=0,
IF(COUNTIF($M:$M,$AF110)&lt;BV$8,
"",
INDEX($J:$J,MATCH($AF110,$M:$M,0)+BV$8-1)),
""),
"")</f>
        <v/>
      </c>
      <c r="BX110" s="21" t="str">
        <f>IFERROR(
IF(COUNTIF($BI110:BW110,INDEX($J:$J,MATCH($AG110,$M:$M,0)+BX$8-1))=0,
IF(COUNTIF($M:$M,$AG110)&lt;BX$8,
"",
INDEX($J:$J,MATCH($AG110,$M:$M,0)+BX$8-1)),
""),
"")</f>
        <v/>
      </c>
      <c r="BY110" s="21" t="str">
        <f>IFERROR(
IF(COUNTIF($BI110:BX110,INDEX($J:$J,MATCH($AG110,$M:$M,0)+BY$8-1))=0,
IF(COUNTIF($M:$M,$AG110)&lt;BY$8,
"",
INDEX($J:$J,MATCH($AG110,$M:$M,0)+BY$8-1)),
""),
"")</f>
        <v/>
      </c>
      <c r="BZ110" s="21" t="str">
        <f>IFERROR(
IF(COUNTIF($BI110:BY110,INDEX($J:$J,MATCH($AG110,$M:$M,0)+BZ$8-1))=0,
IF(COUNTIF($M:$M,$AG110)&lt;BZ$8,
"",
INDEX($J:$J,MATCH($AG110,$M:$M,0)+BZ$8-1)),
""),
"")</f>
        <v/>
      </c>
      <c r="CA110" s="21" t="str">
        <f>IFERROR(
IF(COUNTIF($BI110:BZ110,INDEX($J:$J,MATCH($AG110,$M:$M,0)+CA$8-1))=0,
IF(COUNTIF($M:$M,$AG110)&lt;CA$8,
"",
INDEX($J:$J,MATCH($AG110,$M:$M,0)+CA$8-1)),
""),
"")</f>
        <v/>
      </c>
      <c r="CC110" s="21" t="str">
        <f>IFERROR(
IF(COUNTIF($BI110:CB110,INDEX($J:$J,MATCH($AH110,$M:$M,0)+CC$8-1))=0,
IF(COUNTIF($M:$M,$AH110)&lt;CC$8,
"",
INDEX($J:$J,MATCH($AH110,$M:$M,0)+CC$8-1)),
""),
"")</f>
        <v/>
      </c>
      <c r="CD110" s="21" t="str">
        <f>IFERROR(
IF(COUNTIF($BI110:CC110,INDEX($J:$J,MATCH($AH110,$M:$M,0)+CD$8-1))=0,
IF(COUNTIF($M:$M,$AH110)&lt;CD$8,
"",
INDEX($J:$J,MATCH($AH110,$M:$M,0)+CD$8-1)),
""),
"")</f>
        <v/>
      </c>
      <c r="CE110" s="21" t="str">
        <f>IFERROR(
IF(COUNTIF($BI110:CD110,INDEX($J:$J,MATCH($AH110,$M:$M,0)+CE$8-1))=0,
IF(COUNTIF($M:$M,$AH110)&lt;CE$8,
"",
INDEX($J:$J,MATCH($AH110,$M:$M,0)+CE$8-1)),
""),
"")</f>
        <v/>
      </c>
      <c r="CF110" s="21" t="str">
        <f>IFERROR(
IF(COUNTIF($BI110:CE110,INDEX($J:$J,MATCH($AH110,$M:$M,0)+CF$8-1))=0,
IF(COUNTIF($M:$M,$AH110)&lt;CF$8,
"",
INDEX($J:$J,MATCH($AH110,$M:$M,0)+CF$8-1)),
""),
"")</f>
        <v/>
      </c>
      <c r="CH110" s="21" t="str">
        <f>IFERROR(
IF(COUNTIF($BI110:CG110,INDEX($J:$J,MATCH($AI110,$M:$M,0)+CH$8-1))=0,
IF(COUNTIF($M:$M,$AI110)&lt;CH$8,
"",
INDEX($J:$J,MATCH($AI110,$M:$M,0)+CH$8-1)),
""),
"")</f>
        <v/>
      </c>
      <c r="CI110" s="21" t="str">
        <f>IFERROR(
IF(COUNTIF($BI110:CH110,INDEX($J:$J,MATCH($AI110,$M:$M,0)+CI$8-1))=0,
IF(COUNTIF($M:$M,$AI110)&lt;CI$8,
"",
INDEX($J:$J,MATCH($AI110,$M:$M,0)+CI$8-1)),
""),
"")</f>
        <v/>
      </c>
      <c r="CJ110" s="21" t="str">
        <f>IFERROR(
IF(COUNTIF($BI110:CI110,INDEX($J:$J,MATCH($AI110,$M:$M,0)+CJ$8-1))=0,
IF(COUNTIF($M:$M,$AI110)&lt;CJ$8,
"",
INDEX($J:$J,MATCH($AI110,$M:$M,0)+CJ$8-1)),
""),
"")</f>
        <v/>
      </c>
      <c r="CK110" s="21" t="str">
        <f>IFERROR(
IF(COUNTIF($BI110:CJ110,INDEX($J:$J,MATCH($AI110,$M:$M,0)+CK$8-1))=0,
IF(COUNTIF($M:$M,$AI110)&lt;CK$8,
"",
INDEX($J:$J,MATCH($AI110,$M:$M,0)+CK$8-1)),
""),
"")</f>
        <v/>
      </c>
      <c r="CM110" s="21" t="str">
        <f>IFERROR(
IF(COUNTIF($BI110:CL110,INDEX($J:$J,MATCH($AJ110,$M:$M,0)+CM$8-1))=0,
IF(COUNTIF($M:$M,$AJ110)&lt;CM$8,
"",
INDEX($J:$J,MATCH($AJ110,$M:$M,0)+CM$8-1)),
""),
"")</f>
        <v/>
      </c>
      <c r="CN110" s="21" t="str">
        <f>IFERROR(
IF(COUNTIF($BI110:CM110,INDEX($J:$J,MATCH($AJ110,$M:$M,0)+CN$8-1))=0,
IF(COUNTIF($M:$M,$AJ110)&lt;CN$8,
"",
INDEX($J:$J,MATCH($AJ110,$M:$M,0)+CN$8-1)),
""),
"")</f>
        <v/>
      </c>
      <c r="CO110" s="21" t="str">
        <f>IFERROR(
IF(COUNTIF($BI110:CN110,INDEX($J:$J,MATCH($AJ110,$M:$M,0)+CO$8-1))=0,
IF(COUNTIF($M:$M,$AJ110)&lt;CO$8,
"",
INDEX($J:$J,MATCH($AJ110,$M:$M,0)+CO$8-1)),
""),
"")</f>
        <v/>
      </c>
      <c r="CP110" s="21" t="str">
        <f>IFERROR(
IF(COUNTIF($BI110:CO110,INDEX($J:$J,MATCH($AJ110,$M:$M,0)+CP$8-1))=0,
IF(COUNTIF($M:$M,$AJ110)&lt;CP$8,
"",
INDEX($J:$J,MATCH($AJ110,$M:$M,0)+CP$8-1)),
""),
"")</f>
        <v/>
      </c>
      <c r="CR110" s="21" t="str">
        <f>IFERROR(
IF(COUNTIF($BI110:CQ110,INDEX($J:$J,MATCH($AK110,$M:$M,0)+CR$8-1))=0,
IF(COUNTIF($M:$M,$AK110)&lt;CR$8,
"",
INDEX($J:$J,MATCH($AK110,$M:$M,0)+CR$8-1)),
""),
"")</f>
        <v/>
      </c>
      <c r="CS110" s="21" t="str">
        <f>IFERROR(
IF(COUNTIF($BI110:CR110,INDEX($J:$J,MATCH($AK110,$M:$M,0)+CS$8-1))=0,
IF(COUNTIF($M:$M,$AK110)&lt;CS$8,
"",
INDEX($J:$J,MATCH($AK110,$M:$M,0)+CS$8-1)),
""),
"")</f>
        <v/>
      </c>
      <c r="CT110" s="21" t="str">
        <f>IFERROR(
IF(COUNTIF($BI110:CS110,INDEX($J:$J,MATCH($AK110,$M:$M,0)+CT$8-1))=0,
IF(COUNTIF($M:$M,$AK110)&lt;CT$8,
"",
INDEX($J:$J,MATCH($AK110,$M:$M,0)+CT$8-1)),
""),
"")</f>
        <v/>
      </c>
      <c r="CU110" s="21" t="str">
        <f>IFERROR(
IF(COUNTIF($BI110:CT110,INDEX($J:$J,MATCH($AK110,$M:$M,0)+CU$8-1))=0,
IF(COUNTIF($M:$M,$AK110)&lt;CU$8,
"",
INDEX($J:$J,MATCH($AK110,$M:$M,0)+CU$8-1)),
""),
"")</f>
        <v/>
      </c>
    </row>
    <row r="111" spans="3:99">
      <c r="H111" s="7" t="str">
        <f>IF(I111="","",COUNTA(I$9:$I111))</f>
        <v/>
      </c>
      <c r="I111" s="6"/>
      <c r="J111" s="6" t="s">
        <v>238</v>
      </c>
      <c r="K111" s="8" t="str">
        <f>IF(H111="","",阶段合并区域(J111:J123," ",L111:L123,1))</f>
        <v/>
      </c>
      <c r="L111" s="8">
        <f>COUNTIF(M$8:$M111,"="&amp;M111)</f>
        <v>2</v>
      </c>
      <c r="M111" s="9" t="str">
        <f t="shared" si="21"/>
        <v>变法强国</v>
      </c>
      <c r="N111" s="9" t="str">
        <f t="shared" si="22"/>
        <v>变法强国2</v>
      </c>
      <c r="O111" s="15">
        <f>INDEX(C:C,MATCH(J111,D:D,0))</f>
        <v>40</v>
      </c>
      <c r="P111" s="9">
        <f>INDEX(E:E,MATCH(J111,D:D,0))</f>
        <v>120</v>
      </c>
      <c r="Q111" s="7">
        <f t="shared" si="10"/>
        <v>40</v>
      </c>
      <c r="R111" s="7">
        <f>COUNTIF(J$8:$J111,"="&amp;J111)</f>
        <v>4</v>
      </c>
      <c r="S111" s="7">
        <f t="shared" si="23"/>
        <v>4040</v>
      </c>
      <c r="U111" s="7">
        <f t="shared" si="19"/>
        <v>1000</v>
      </c>
      <c r="V111" s="7">
        <f t="shared" si="19"/>
        <v>2000</v>
      </c>
      <c r="W111" s="7">
        <f t="shared" si="19"/>
        <v>3000</v>
      </c>
      <c r="X111" s="7">
        <f t="shared" si="19"/>
        <v>4000</v>
      </c>
      <c r="Y111" s="7">
        <f t="shared" si="19"/>
        <v>5000</v>
      </c>
      <c r="Z111" s="7">
        <f t="shared" si="19"/>
        <v>6000</v>
      </c>
      <c r="AA111" s="7">
        <f t="shared" si="19"/>
        <v>7000</v>
      </c>
      <c r="AB111" s="7">
        <f t="shared" si="19"/>
        <v>8000</v>
      </c>
      <c r="AD111" s="21" t="str">
        <f>IFERROR(INDEX($M:$M,MATCH(U111,$S:$S,0)),"&amp;")</f>
        <v>&amp;</v>
      </c>
      <c r="AE111" s="21" t="str">
        <f>IFERROR(INDEX($M:$M,MATCH(V111,$S:$S,0)),"&amp;")</f>
        <v>&amp;</v>
      </c>
      <c r="AF111" s="21" t="str">
        <f>IFERROR(INDEX($M:$M,MATCH(W111,$S:$S,0)),"&amp;")</f>
        <v>&amp;</v>
      </c>
      <c r="AG111" s="21" t="str">
        <f>IFERROR(INDEX($M:$M,MATCH(X111,$S:$S,0)),"&amp;")</f>
        <v>&amp;</v>
      </c>
      <c r="AH111" s="21" t="str">
        <f>IFERROR(INDEX($M:$M,MATCH(Y111,$S:$S,0)),"&amp;")</f>
        <v>&amp;</v>
      </c>
      <c r="AI111" s="21" t="str">
        <f>IFERROR(INDEX($M:$M,MATCH(Z111,$S:$S,0)),"&amp;")</f>
        <v>&amp;</v>
      </c>
      <c r="AJ111" s="21" t="str">
        <f>IFERROR(INDEX($M:$M,MATCH(AA111,$S:$S,0)),"&amp;")</f>
        <v>&amp;</v>
      </c>
      <c r="AK111" s="21" t="str">
        <f>IFERROR(INDEX($M:$M,MATCH(AB111,$S:$S,0)),"&amp;")</f>
        <v>&amp;</v>
      </c>
      <c r="AM111" s="21" t="str">
        <f>IFERROR(INDEX($N:$N,MATCH(U111,$S:$S,0)),"&amp;")</f>
        <v>&amp;</v>
      </c>
      <c r="AN111" s="21" t="str">
        <f>IFERROR(INDEX($N:$N,MATCH(V111,$S:$S,0)),"&amp;")</f>
        <v>&amp;</v>
      </c>
      <c r="AO111" s="21" t="str">
        <f>IFERROR(INDEX($N:$N,MATCH(W111,$S:$S,0)),"&amp;")</f>
        <v>&amp;</v>
      </c>
      <c r="AP111" s="21" t="str">
        <f>IFERROR(INDEX($N:$N,MATCH(X111,$S:$S,0)),"&amp;")</f>
        <v>&amp;</v>
      </c>
      <c r="AQ111" s="21" t="str">
        <f>IFERROR(INDEX($N:$N,MATCH(Y111,$S:$S,0)),"&amp;")</f>
        <v>&amp;</v>
      </c>
      <c r="AR111" s="21" t="str">
        <f>IFERROR(INDEX($N:$N,MATCH(Z111,$S:$S,0)),"&amp;")</f>
        <v>&amp;</v>
      </c>
      <c r="AS111" s="21" t="str">
        <f>IFERROR(INDEX($N:$N,MATCH(AA111,$S:$S,0)),"&amp;")</f>
        <v>&amp;</v>
      </c>
      <c r="AT111" s="21" t="str">
        <f>IFERROR(INDEX($N:$N,MATCH(AB111,$S:$S,0)),"&amp;")</f>
        <v>&amp;</v>
      </c>
      <c r="AV111" s="21" t="str">
        <f>IFERROR(SUBSTITUTE(INDEX($K:$K,MATCH(INDEX($M:$M,MATCH(AM111,$N:$N,0)),$M:$M,0)),$D111,""),"")</f>
        <v/>
      </c>
      <c r="AW111" s="21" t="str">
        <f>IFERROR(SUBSTITUTE(INDEX($K:$K,MATCH(INDEX($M:$M,MATCH(AN111,$N:$N,0)),$M:$M,0)),$D111,""),"")</f>
        <v/>
      </c>
      <c r="AX111" s="21" t="str">
        <f>IFERROR(SUBSTITUTE(INDEX($K:$K,MATCH(INDEX($M:$M,MATCH(AO111,$N:$N,0)),$M:$M,0)),$D111,""),"")</f>
        <v/>
      </c>
      <c r="AY111" s="21" t="str">
        <f>IFERROR(SUBSTITUTE(INDEX($K:$K,MATCH(INDEX($M:$M,MATCH(AP111,$N:$N,0)),$M:$M,0)),$D111,""),"")</f>
        <v/>
      </c>
      <c r="AZ111" s="21" t="str">
        <f>IFERROR(SUBSTITUTE(INDEX($K:$K,MATCH(INDEX($M:$M,MATCH(AQ111,$N:$N,0)),$M:$M,0)),$D111,""),"")</f>
        <v/>
      </c>
      <c r="BA111" s="21" t="str">
        <f>IFERROR(SUBSTITUTE(INDEX($K:$K,MATCH(INDEX($M:$M,MATCH(AR111,$N:$N,0)),$M:$M,0)),$D111,""),"")</f>
        <v/>
      </c>
      <c r="BB111" s="21" t="str">
        <f>IFERROR(SUBSTITUTE(INDEX($K:$K,MATCH(INDEX($M:$M,MATCH(AS111,$N:$N,0)),$M:$M,0)),$D111,""),"")</f>
        <v/>
      </c>
      <c r="BC111" s="21" t="str">
        <f>IFERROR(SUBSTITUTE(INDEX($K:$K,MATCH(INDEX($M:$M,MATCH(AT111,$N:$N,0)),$M:$M,0)),$D111,""),"")</f>
        <v/>
      </c>
      <c r="BE111" s="9" t="str">
        <f t="shared" si="16"/>
        <v/>
      </c>
      <c r="BI111" s="9" t="str">
        <f>IFERROR(
IF(COUNTIF($M:$M,$AD111)&lt;BI$8,
"",
INDEX($J:$J,MATCH($AD111,$M:$M,0)+BI$8-1)),
"")</f>
        <v/>
      </c>
      <c r="BJ111" s="9" t="str">
        <f>IFERROR(
IF(COUNTIF($M:$M,$AD111)&lt;BJ$8,
"",
INDEX($J:$J,MATCH($AD111,$M:$M,0)+BJ$8-1)),
"")</f>
        <v/>
      </c>
      <c r="BK111" s="9" t="str">
        <f>IFERROR(
IF(COUNTIF($M:$M,$AD111)&lt;BK$8,
"",
INDEX($J:$J,MATCH($AD111,$M:$M,0)+BK$8-1)),
"")</f>
        <v/>
      </c>
      <c r="BL111" s="9" t="str">
        <f>IFERROR(
IF(COUNTIF($M:$M,$AD111)&lt;BL$8,
"",
INDEX($J:$J,MATCH($AD111,$M:$M,0)+BL$8-1)),
"")</f>
        <v/>
      </c>
      <c r="BN111" s="21" t="str">
        <f>IFERROR(
IF(COUNTIF($BI111:BM111,INDEX($J:$J,MATCH($AE111,$M:$M,0)+BN$8-1))=0,
IF(COUNTIF($M:$M,$AE111)&lt;BN$8,
"",
INDEX($J:$J,MATCH($AE111,$M:$M,0)+BN$8-1)),
""),
"")</f>
        <v/>
      </c>
      <c r="BO111" s="21" t="str">
        <f>IFERROR(
IF(COUNTIF($BI111:BN111,INDEX($J:$J,MATCH($AE111,$M:$M,0)+BO$8-1))=0,
IF(COUNTIF($M:$M,$AE111)&lt;BO$8,
"",
INDEX($J:$J,MATCH($AE111,$M:$M,0)+BO$8-1)),
""),
"")</f>
        <v/>
      </c>
      <c r="BP111" s="21" t="str">
        <f>IFERROR(
IF(COUNTIF($BI111:BO111,INDEX($J:$J,MATCH($AE111,$M:$M,0)+BP$8-1))=0,
IF(COUNTIF($M:$M,$AE111)&lt;BP$8,
"",
INDEX($J:$J,MATCH($AE111,$M:$M,0)+BP$8-1)),
""),
"")</f>
        <v/>
      </c>
      <c r="BQ111" s="21" t="str">
        <f>IFERROR(
IF(COUNTIF($BI111:BP111,INDEX($J:$J,MATCH($AE111,$M:$M,0)+BQ$8-1))=0,
IF(COUNTIF($M:$M,$AE111)&lt;BQ$8,
"",
INDEX($J:$J,MATCH($AE111,$M:$M,0)+BQ$8-1)),
""),
"")</f>
        <v/>
      </c>
      <c r="BS111" s="21" t="str">
        <f>IFERROR(
IF(COUNTIF($BI111:BR111,INDEX($J:$J,MATCH($AF111,$M:$M,0)+BS$8-1))=0,
IF(COUNTIF($M:$M,$AF111)&lt;BS$8,
"",
INDEX($J:$J,MATCH($AF111,$M:$M,0)+BS$8-1)),
""),
"")</f>
        <v/>
      </c>
      <c r="BT111" s="21" t="str">
        <f>IFERROR(
IF(COUNTIF($BI111:BS111,INDEX($J:$J,MATCH($AF111,$M:$M,0)+BT$8-1))=0,
IF(COUNTIF($M:$M,$AF111)&lt;BT$8,
"",
INDEX($J:$J,MATCH($AF111,$M:$M,0)+BT$8-1)),
""),
"")</f>
        <v/>
      </c>
      <c r="BU111" s="21" t="str">
        <f>IFERROR(
IF(COUNTIF($BI111:BT111,INDEX($J:$J,MATCH($AF111,$M:$M,0)+BU$8-1))=0,
IF(COUNTIF($M:$M,$AF111)&lt;BU$8,
"",
INDEX($J:$J,MATCH($AF111,$M:$M,0)+BU$8-1)),
""),
"")</f>
        <v/>
      </c>
      <c r="BV111" s="21" t="str">
        <f>IFERROR(
IF(COUNTIF($BI111:BU111,INDEX($J:$J,MATCH($AF111,$M:$M,0)+BV$8-1))=0,
IF(COUNTIF($M:$M,$AF111)&lt;BV$8,
"",
INDEX($J:$J,MATCH($AF111,$M:$M,0)+BV$8-1)),
""),
"")</f>
        <v/>
      </c>
      <c r="BX111" s="21" t="str">
        <f>IFERROR(
IF(COUNTIF($BI111:BW111,INDEX($J:$J,MATCH($AG111,$M:$M,0)+BX$8-1))=0,
IF(COUNTIF($M:$M,$AG111)&lt;BX$8,
"",
INDEX($J:$J,MATCH($AG111,$M:$M,0)+BX$8-1)),
""),
"")</f>
        <v/>
      </c>
      <c r="BY111" s="21" t="str">
        <f>IFERROR(
IF(COUNTIF($BI111:BX111,INDEX($J:$J,MATCH($AG111,$M:$M,0)+BY$8-1))=0,
IF(COUNTIF($M:$M,$AG111)&lt;BY$8,
"",
INDEX($J:$J,MATCH($AG111,$M:$M,0)+BY$8-1)),
""),
"")</f>
        <v/>
      </c>
      <c r="BZ111" s="21" t="str">
        <f>IFERROR(
IF(COUNTIF($BI111:BY111,INDEX($J:$J,MATCH($AG111,$M:$M,0)+BZ$8-1))=0,
IF(COUNTIF($M:$M,$AG111)&lt;BZ$8,
"",
INDEX($J:$J,MATCH($AG111,$M:$M,0)+BZ$8-1)),
""),
"")</f>
        <v/>
      </c>
      <c r="CA111" s="21" t="str">
        <f>IFERROR(
IF(COUNTIF($BI111:BZ111,INDEX($J:$J,MATCH($AG111,$M:$M,0)+CA$8-1))=0,
IF(COUNTIF($M:$M,$AG111)&lt;CA$8,
"",
INDEX($J:$J,MATCH($AG111,$M:$M,0)+CA$8-1)),
""),
"")</f>
        <v/>
      </c>
      <c r="CC111" s="21" t="str">
        <f>IFERROR(
IF(COUNTIF($BI111:CB111,INDEX($J:$J,MATCH($AH111,$M:$M,0)+CC$8-1))=0,
IF(COUNTIF($M:$M,$AH111)&lt;CC$8,
"",
INDEX($J:$J,MATCH($AH111,$M:$M,0)+CC$8-1)),
""),
"")</f>
        <v/>
      </c>
      <c r="CD111" s="21" t="str">
        <f>IFERROR(
IF(COUNTIF($BI111:CC111,INDEX($J:$J,MATCH($AH111,$M:$M,0)+CD$8-1))=0,
IF(COUNTIF($M:$M,$AH111)&lt;CD$8,
"",
INDEX($J:$J,MATCH($AH111,$M:$M,0)+CD$8-1)),
""),
"")</f>
        <v/>
      </c>
      <c r="CE111" s="21" t="str">
        <f>IFERROR(
IF(COUNTIF($BI111:CD111,INDEX($J:$J,MATCH($AH111,$M:$M,0)+CE$8-1))=0,
IF(COUNTIF($M:$M,$AH111)&lt;CE$8,
"",
INDEX($J:$J,MATCH($AH111,$M:$M,0)+CE$8-1)),
""),
"")</f>
        <v/>
      </c>
      <c r="CF111" s="21" t="str">
        <f>IFERROR(
IF(COUNTIF($BI111:CE111,INDEX($J:$J,MATCH($AH111,$M:$M,0)+CF$8-1))=0,
IF(COUNTIF($M:$M,$AH111)&lt;CF$8,
"",
INDEX($J:$J,MATCH($AH111,$M:$M,0)+CF$8-1)),
""),
"")</f>
        <v/>
      </c>
      <c r="CH111" s="21" t="str">
        <f>IFERROR(
IF(COUNTIF($BI111:CG111,INDEX($J:$J,MATCH($AI111,$M:$M,0)+CH$8-1))=0,
IF(COUNTIF($M:$M,$AI111)&lt;CH$8,
"",
INDEX($J:$J,MATCH($AI111,$M:$M,0)+CH$8-1)),
""),
"")</f>
        <v/>
      </c>
      <c r="CI111" s="21" t="str">
        <f>IFERROR(
IF(COUNTIF($BI111:CH111,INDEX($J:$J,MATCH($AI111,$M:$M,0)+CI$8-1))=0,
IF(COUNTIF($M:$M,$AI111)&lt;CI$8,
"",
INDEX($J:$J,MATCH($AI111,$M:$M,0)+CI$8-1)),
""),
"")</f>
        <v/>
      </c>
      <c r="CJ111" s="21" t="str">
        <f>IFERROR(
IF(COUNTIF($BI111:CI111,INDEX($J:$J,MATCH($AI111,$M:$M,0)+CJ$8-1))=0,
IF(COUNTIF($M:$M,$AI111)&lt;CJ$8,
"",
INDEX($J:$J,MATCH($AI111,$M:$M,0)+CJ$8-1)),
""),
"")</f>
        <v/>
      </c>
      <c r="CK111" s="21" t="str">
        <f>IFERROR(
IF(COUNTIF($BI111:CJ111,INDEX($J:$J,MATCH($AI111,$M:$M,0)+CK$8-1))=0,
IF(COUNTIF($M:$M,$AI111)&lt;CK$8,
"",
INDEX($J:$J,MATCH($AI111,$M:$M,0)+CK$8-1)),
""),
"")</f>
        <v/>
      </c>
      <c r="CM111" s="21" t="str">
        <f>IFERROR(
IF(COUNTIF($BI111:CL111,INDEX($J:$J,MATCH($AJ111,$M:$M,0)+CM$8-1))=0,
IF(COUNTIF($M:$M,$AJ111)&lt;CM$8,
"",
INDEX($J:$J,MATCH($AJ111,$M:$M,0)+CM$8-1)),
""),
"")</f>
        <v/>
      </c>
      <c r="CN111" s="21" t="str">
        <f>IFERROR(
IF(COUNTIF($BI111:CM111,INDEX($J:$J,MATCH($AJ111,$M:$M,0)+CN$8-1))=0,
IF(COUNTIF($M:$M,$AJ111)&lt;CN$8,
"",
INDEX($J:$J,MATCH($AJ111,$M:$M,0)+CN$8-1)),
""),
"")</f>
        <v/>
      </c>
      <c r="CO111" s="21" t="str">
        <f>IFERROR(
IF(COUNTIF($BI111:CN111,INDEX($J:$J,MATCH($AJ111,$M:$M,0)+CO$8-1))=0,
IF(COUNTIF($M:$M,$AJ111)&lt;CO$8,
"",
INDEX($J:$J,MATCH($AJ111,$M:$M,0)+CO$8-1)),
""),
"")</f>
        <v/>
      </c>
      <c r="CP111" s="21" t="str">
        <f>IFERROR(
IF(COUNTIF($BI111:CO111,INDEX($J:$J,MATCH($AJ111,$M:$M,0)+CP$8-1))=0,
IF(COUNTIF($M:$M,$AJ111)&lt;CP$8,
"",
INDEX($J:$J,MATCH($AJ111,$M:$M,0)+CP$8-1)),
""),
"")</f>
        <v/>
      </c>
      <c r="CR111" s="21" t="str">
        <f>IFERROR(
IF(COUNTIF($BI111:CQ111,INDEX($J:$J,MATCH($AK111,$M:$M,0)+CR$8-1))=0,
IF(COUNTIF($M:$M,$AK111)&lt;CR$8,
"",
INDEX($J:$J,MATCH($AK111,$M:$M,0)+CR$8-1)),
""),
"")</f>
        <v/>
      </c>
      <c r="CS111" s="21" t="str">
        <f>IFERROR(
IF(COUNTIF($BI111:CR111,INDEX($J:$J,MATCH($AK111,$M:$M,0)+CS$8-1))=0,
IF(COUNTIF($M:$M,$AK111)&lt;CS$8,
"",
INDEX($J:$J,MATCH($AK111,$M:$M,0)+CS$8-1)),
""),
"")</f>
        <v/>
      </c>
      <c r="CT111" s="21" t="str">
        <f>IFERROR(
IF(COUNTIF($BI111:CS111,INDEX($J:$J,MATCH($AK111,$M:$M,0)+CT$8-1))=0,
IF(COUNTIF($M:$M,$AK111)&lt;CT$8,
"",
INDEX($J:$J,MATCH($AK111,$M:$M,0)+CT$8-1)),
""),
"")</f>
        <v/>
      </c>
      <c r="CU111" s="21" t="str">
        <f>IFERROR(
IF(COUNTIF($BI111:CT111,INDEX($J:$J,MATCH($AK111,$M:$M,0)+CU$8-1))=0,
IF(COUNTIF($M:$M,$AK111)&lt;CU$8,
"",
INDEX($J:$J,MATCH($AK111,$M:$M,0)+CU$8-1)),
""),
"")</f>
        <v/>
      </c>
    </row>
    <row r="112" spans="3:99">
      <c r="H112" s="7" t="str">
        <f>IF(I112="","",COUNTA(I$9:$I112))</f>
        <v/>
      </c>
      <c r="I112" s="6"/>
      <c r="J112" s="6" t="s">
        <v>239</v>
      </c>
      <c r="K112" s="8" t="str">
        <f>IF(H112="","",阶段合并区域(J112:J124," ",L112:L124,1))</f>
        <v/>
      </c>
      <c r="L112" s="8">
        <f>COUNTIF(M$8:$M112,"="&amp;M112)</f>
        <v>3</v>
      </c>
      <c r="M112" s="9" t="str">
        <f t="shared" si="21"/>
        <v>变法强国</v>
      </c>
      <c r="N112" s="9" t="str">
        <f t="shared" si="22"/>
        <v>变法强国3</v>
      </c>
      <c r="O112" s="15">
        <f>INDEX(C:C,MATCH(J112,D:D,0))</f>
        <v>54</v>
      </c>
      <c r="P112" s="9">
        <f>INDEX(E:E,MATCH(J112,D:D,0))</f>
        <v>120</v>
      </c>
      <c r="Q112" s="7">
        <f t="shared" si="10"/>
        <v>54</v>
      </c>
      <c r="R112" s="7">
        <f>COUNTIF(J$8:$J112,"="&amp;J112)</f>
        <v>4</v>
      </c>
      <c r="S112" s="7">
        <f t="shared" si="23"/>
        <v>4054</v>
      </c>
      <c r="U112" s="7">
        <f t="shared" si="19"/>
        <v>1000</v>
      </c>
      <c r="V112" s="7">
        <f t="shared" si="19"/>
        <v>2000</v>
      </c>
      <c r="W112" s="7">
        <f t="shared" si="19"/>
        <v>3000</v>
      </c>
      <c r="X112" s="7">
        <f t="shared" si="19"/>
        <v>4000</v>
      </c>
      <c r="Y112" s="7">
        <f t="shared" si="19"/>
        <v>5000</v>
      </c>
      <c r="Z112" s="7">
        <f t="shared" si="19"/>
        <v>6000</v>
      </c>
      <c r="AA112" s="7">
        <f t="shared" si="19"/>
        <v>7000</v>
      </c>
      <c r="AB112" s="7">
        <f t="shared" si="19"/>
        <v>8000</v>
      </c>
      <c r="AD112" s="21" t="str">
        <f>IFERROR(INDEX($M:$M,MATCH(U112,$S:$S,0)),"&amp;")</f>
        <v>&amp;</v>
      </c>
      <c r="AE112" s="21" t="str">
        <f>IFERROR(INDEX($M:$M,MATCH(V112,$S:$S,0)),"&amp;")</f>
        <v>&amp;</v>
      </c>
      <c r="AF112" s="21" t="str">
        <f>IFERROR(INDEX($M:$M,MATCH(W112,$S:$S,0)),"&amp;")</f>
        <v>&amp;</v>
      </c>
      <c r="AG112" s="21" t="str">
        <f>IFERROR(INDEX($M:$M,MATCH(X112,$S:$S,0)),"&amp;")</f>
        <v>&amp;</v>
      </c>
      <c r="AH112" s="21" t="str">
        <f>IFERROR(INDEX($M:$M,MATCH(Y112,$S:$S,0)),"&amp;")</f>
        <v>&amp;</v>
      </c>
      <c r="AI112" s="21" t="str">
        <f>IFERROR(INDEX($M:$M,MATCH(Z112,$S:$S,0)),"&amp;")</f>
        <v>&amp;</v>
      </c>
      <c r="AJ112" s="21" t="str">
        <f>IFERROR(INDEX($M:$M,MATCH(AA112,$S:$S,0)),"&amp;")</f>
        <v>&amp;</v>
      </c>
      <c r="AK112" s="21" t="str">
        <f>IFERROR(INDEX($M:$M,MATCH(AB112,$S:$S,0)),"&amp;")</f>
        <v>&amp;</v>
      </c>
      <c r="AM112" s="21" t="str">
        <f>IFERROR(INDEX($N:$N,MATCH(U112,$S:$S,0)),"&amp;")</f>
        <v>&amp;</v>
      </c>
      <c r="AN112" s="21" t="str">
        <f>IFERROR(INDEX($N:$N,MATCH(V112,$S:$S,0)),"&amp;")</f>
        <v>&amp;</v>
      </c>
      <c r="AO112" s="21" t="str">
        <f>IFERROR(INDEX($N:$N,MATCH(W112,$S:$S,0)),"&amp;")</f>
        <v>&amp;</v>
      </c>
      <c r="AP112" s="21" t="str">
        <f>IFERROR(INDEX($N:$N,MATCH(X112,$S:$S,0)),"&amp;")</f>
        <v>&amp;</v>
      </c>
      <c r="AQ112" s="21" t="str">
        <f>IFERROR(INDEX($N:$N,MATCH(Y112,$S:$S,0)),"&amp;")</f>
        <v>&amp;</v>
      </c>
      <c r="AR112" s="21" t="str">
        <f>IFERROR(INDEX($N:$N,MATCH(Z112,$S:$S,0)),"&amp;")</f>
        <v>&amp;</v>
      </c>
      <c r="AS112" s="21" t="str">
        <f>IFERROR(INDEX($N:$N,MATCH(AA112,$S:$S,0)),"&amp;")</f>
        <v>&amp;</v>
      </c>
      <c r="AT112" s="21" t="str">
        <f>IFERROR(INDEX($N:$N,MATCH(AB112,$S:$S,0)),"&amp;")</f>
        <v>&amp;</v>
      </c>
      <c r="AV112" s="21" t="str">
        <f>IFERROR(SUBSTITUTE(INDEX($K:$K,MATCH(INDEX($M:$M,MATCH(AM112,$N:$N,0)),$M:$M,0)),$D112,""),"")</f>
        <v/>
      </c>
      <c r="AW112" s="21" t="str">
        <f>IFERROR(SUBSTITUTE(INDEX($K:$K,MATCH(INDEX($M:$M,MATCH(AN112,$N:$N,0)),$M:$M,0)),$D112,""),"")</f>
        <v/>
      </c>
      <c r="AX112" s="21" t="str">
        <f>IFERROR(SUBSTITUTE(INDEX($K:$K,MATCH(INDEX($M:$M,MATCH(AO112,$N:$N,0)),$M:$M,0)),$D112,""),"")</f>
        <v/>
      </c>
      <c r="AY112" s="21" t="str">
        <f>IFERROR(SUBSTITUTE(INDEX($K:$K,MATCH(INDEX($M:$M,MATCH(AP112,$N:$N,0)),$M:$M,0)),$D112,""),"")</f>
        <v/>
      </c>
      <c r="AZ112" s="21" t="str">
        <f>IFERROR(SUBSTITUTE(INDEX($K:$K,MATCH(INDEX($M:$M,MATCH(AQ112,$N:$N,0)),$M:$M,0)),$D112,""),"")</f>
        <v/>
      </c>
      <c r="BA112" s="21" t="str">
        <f>IFERROR(SUBSTITUTE(INDEX($K:$K,MATCH(INDEX($M:$M,MATCH(AR112,$N:$N,0)),$M:$M,0)),$D112,""),"")</f>
        <v/>
      </c>
      <c r="BB112" s="21" t="str">
        <f>IFERROR(SUBSTITUTE(INDEX($K:$K,MATCH(INDEX($M:$M,MATCH(AS112,$N:$N,0)),$M:$M,0)),$D112,""),"")</f>
        <v/>
      </c>
      <c r="BC112" s="21" t="str">
        <f>IFERROR(SUBSTITUTE(INDEX($K:$K,MATCH(INDEX($M:$M,MATCH(AT112,$N:$N,0)),$M:$M,0)),$D112,""),"")</f>
        <v/>
      </c>
      <c r="BE112" s="9" t="str">
        <f t="shared" si="16"/>
        <v/>
      </c>
      <c r="BI112" s="9" t="str">
        <f>IFERROR(
IF(COUNTIF($M:$M,$AD112)&lt;BI$8,
"",
INDEX($J:$J,MATCH($AD112,$M:$M,0)+BI$8-1)),
"")</f>
        <v/>
      </c>
      <c r="BJ112" s="9" t="str">
        <f>IFERROR(
IF(COUNTIF($M:$M,$AD112)&lt;BJ$8,
"",
INDEX($J:$J,MATCH($AD112,$M:$M,0)+BJ$8-1)),
"")</f>
        <v/>
      </c>
      <c r="BK112" s="9" t="str">
        <f>IFERROR(
IF(COUNTIF($M:$M,$AD112)&lt;BK$8,
"",
INDEX($J:$J,MATCH($AD112,$M:$M,0)+BK$8-1)),
"")</f>
        <v/>
      </c>
      <c r="BL112" s="9" t="str">
        <f>IFERROR(
IF(COUNTIF($M:$M,$AD112)&lt;BL$8,
"",
INDEX($J:$J,MATCH($AD112,$M:$M,0)+BL$8-1)),
"")</f>
        <v/>
      </c>
      <c r="BN112" s="21" t="str">
        <f>IFERROR(
IF(COUNTIF($BI112:BM112,INDEX($J:$J,MATCH($AE112,$M:$M,0)+BN$8-1))=0,
IF(COUNTIF($M:$M,$AE112)&lt;BN$8,
"",
INDEX($J:$J,MATCH($AE112,$M:$M,0)+BN$8-1)),
""),
"")</f>
        <v/>
      </c>
      <c r="BO112" s="21" t="str">
        <f>IFERROR(
IF(COUNTIF($BI112:BN112,INDEX($J:$J,MATCH($AE112,$M:$M,0)+BO$8-1))=0,
IF(COUNTIF($M:$M,$AE112)&lt;BO$8,
"",
INDEX($J:$J,MATCH($AE112,$M:$M,0)+BO$8-1)),
""),
"")</f>
        <v/>
      </c>
      <c r="BP112" s="21" t="str">
        <f>IFERROR(
IF(COUNTIF($BI112:BO112,INDEX($J:$J,MATCH($AE112,$M:$M,0)+BP$8-1))=0,
IF(COUNTIF($M:$M,$AE112)&lt;BP$8,
"",
INDEX($J:$J,MATCH($AE112,$M:$M,0)+BP$8-1)),
""),
"")</f>
        <v/>
      </c>
      <c r="BQ112" s="21" t="str">
        <f>IFERROR(
IF(COUNTIF($BI112:BP112,INDEX($J:$J,MATCH($AE112,$M:$M,0)+BQ$8-1))=0,
IF(COUNTIF($M:$M,$AE112)&lt;BQ$8,
"",
INDEX($J:$J,MATCH($AE112,$M:$M,0)+BQ$8-1)),
""),
"")</f>
        <v/>
      </c>
      <c r="BS112" s="21" t="str">
        <f>IFERROR(
IF(COUNTIF($BI112:BR112,INDEX($J:$J,MATCH($AF112,$M:$M,0)+BS$8-1))=0,
IF(COUNTIF($M:$M,$AF112)&lt;BS$8,
"",
INDEX($J:$J,MATCH($AF112,$M:$M,0)+BS$8-1)),
""),
"")</f>
        <v/>
      </c>
      <c r="BT112" s="21" t="str">
        <f>IFERROR(
IF(COUNTIF($BI112:BS112,INDEX($J:$J,MATCH($AF112,$M:$M,0)+BT$8-1))=0,
IF(COUNTIF($M:$M,$AF112)&lt;BT$8,
"",
INDEX($J:$J,MATCH($AF112,$M:$M,0)+BT$8-1)),
""),
"")</f>
        <v/>
      </c>
      <c r="BU112" s="21" t="str">
        <f>IFERROR(
IF(COUNTIF($BI112:BT112,INDEX($J:$J,MATCH($AF112,$M:$M,0)+BU$8-1))=0,
IF(COUNTIF($M:$M,$AF112)&lt;BU$8,
"",
INDEX($J:$J,MATCH($AF112,$M:$M,0)+BU$8-1)),
""),
"")</f>
        <v/>
      </c>
      <c r="BV112" s="21" t="str">
        <f>IFERROR(
IF(COUNTIF($BI112:BU112,INDEX($J:$J,MATCH($AF112,$M:$M,0)+BV$8-1))=0,
IF(COUNTIF($M:$M,$AF112)&lt;BV$8,
"",
INDEX($J:$J,MATCH($AF112,$M:$M,0)+BV$8-1)),
""),
"")</f>
        <v/>
      </c>
      <c r="BX112" s="21" t="str">
        <f>IFERROR(
IF(COUNTIF($BI112:BW112,INDEX($J:$J,MATCH($AG112,$M:$M,0)+BX$8-1))=0,
IF(COUNTIF($M:$M,$AG112)&lt;BX$8,
"",
INDEX($J:$J,MATCH($AG112,$M:$M,0)+BX$8-1)),
""),
"")</f>
        <v/>
      </c>
      <c r="BY112" s="21" t="str">
        <f>IFERROR(
IF(COUNTIF($BI112:BX112,INDEX($J:$J,MATCH($AG112,$M:$M,0)+BY$8-1))=0,
IF(COUNTIF($M:$M,$AG112)&lt;BY$8,
"",
INDEX($J:$J,MATCH($AG112,$M:$M,0)+BY$8-1)),
""),
"")</f>
        <v/>
      </c>
      <c r="BZ112" s="21" t="str">
        <f>IFERROR(
IF(COUNTIF($BI112:BY112,INDEX($J:$J,MATCH($AG112,$M:$M,0)+BZ$8-1))=0,
IF(COUNTIF($M:$M,$AG112)&lt;BZ$8,
"",
INDEX($J:$J,MATCH($AG112,$M:$M,0)+BZ$8-1)),
""),
"")</f>
        <v/>
      </c>
      <c r="CA112" s="21" t="str">
        <f>IFERROR(
IF(COUNTIF($BI112:BZ112,INDEX($J:$J,MATCH($AG112,$M:$M,0)+CA$8-1))=0,
IF(COUNTIF($M:$M,$AG112)&lt;CA$8,
"",
INDEX($J:$J,MATCH($AG112,$M:$M,0)+CA$8-1)),
""),
"")</f>
        <v/>
      </c>
      <c r="CC112" s="21" t="str">
        <f>IFERROR(
IF(COUNTIF($BI112:CB112,INDEX($J:$J,MATCH($AH112,$M:$M,0)+CC$8-1))=0,
IF(COUNTIF($M:$M,$AH112)&lt;CC$8,
"",
INDEX($J:$J,MATCH($AH112,$M:$M,0)+CC$8-1)),
""),
"")</f>
        <v/>
      </c>
      <c r="CD112" s="21" t="str">
        <f>IFERROR(
IF(COUNTIF($BI112:CC112,INDEX($J:$J,MATCH($AH112,$M:$M,0)+CD$8-1))=0,
IF(COUNTIF($M:$M,$AH112)&lt;CD$8,
"",
INDEX($J:$J,MATCH($AH112,$M:$M,0)+CD$8-1)),
""),
"")</f>
        <v/>
      </c>
      <c r="CE112" s="21" t="str">
        <f>IFERROR(
IF(COUNTIF($BI112:CD112,INDEX($J:$J,MATCH($AH112,$M:$M,0)+CE$8-1))=0,
IF(COUNTIF($M:$M,$AH112)&lt;CE$8,
"",
INDEX($J:$J,MATCH($AH112,$M:$M,0)+CE$8-1)),
""),
"")</f>
        <v/>
      </c>
      <c r="CF112" s="21" t="str">
        <f>IFERROR(
IF(COUNTIF($BI112:CE112,INDEX($J:$J,MATCH($AH112,$M:$M,0)+CF$8-1))=0,
IF(COUNTIF($M:$M,$AH112)&lt;CF$8,
"",
INDEX($J:$J,MATCH($AH112,$M:$M,0)+CF$8-1)),
""),
"")</f>
        <v/>
      </c>
      <c r="CH112" s="21" t="str">
        <f>IFERROR(
IF(COUNTIF($BI112:CG112,INDEX($J:$J,MATCH($AI112,$M:$M,0)+CH$8-1))=0,
IF(COUNTIF($M:$M,$AI112)&lt;CH$8,
"",
INDEX($J:$J,MATCH($AI112,$M:$M,0)+CH$8-1)),
""),
"")</f>
        <v/>
      </c>
      <c r="CI112" s="21" t="str">
        <f>IFERROR(
IF(COUNTIF($BI112:CH112,INDEX($J:$J,MATCH($AI112,$M:$M,0)+CI$8-1))=0,
IF(COUNTIF($M:$M,$AI112)&lt;CI$8,
"",
INDEX($J:$J,MATCH($AI112,$M:$M,0)+CI$8-1)),
""),
"")</f>
        <v/>
      </c>
      <c r="CJ112" s="21" t="str">
        <f>IFERROR(
IF(COUNTIF($BI112:CI112,INDEX($J:$J,MATCH($AI112,$M:$M,0)+CJ$8-1))=0,
IF(COUNTIF($M:$M,$AI112)&lt;CJ$8,
"",
INDEX($J:$J,MATCH($AI112,$M:$M,0)+CJ$8-1)),
""),
"")</f>
        <v/>
      </c>
      <c r="CK112" s="21" t="str">
        <f>IFERROR(
IF(COUNTIF($BI112:CJ112,INDEX($J:$J,MATCH($AI112,$M:$M,0)+CK$8-1))=0,
IF(COUNTIF($M:$M,$AI112)&lt;CK$8,
"",
INDEX($J:$J,MATCH($AI112,$M:$M,0)+CK$8-1)),
""),
"")</f>
        <v/>
      </c>
      <c r="CM112" s="21" t="str">
        <f>IFERROR(
IF(COUNTIF($BI112:CL112,INDEX($J:$J,MATCH($AJ112,$M:$M,0)+CM$8-1))=0,
IF(COUNTIF($M:$M,$AJ112)&lt;CM$8,
"",
INDEX($J:$J,MATCH($AJ112,$M:$M,0)+CM$8-1)),
""),
"")</f>
        <v/>
      </c>
      <c r="CN112" s="21" t="str">
        <f>IFERROR(
IF(COUNTIF($BI112:CM112,INDEX($J:$J,MATCH($AJ112,$M:$M,0)+CN$8-1))=0,
IF(COUNTIF($M:$M,$AJ112)&lt;CN$8,
"",
INDEX($J:$J,MATCH($AJ112,$M:$M,0)+CN$8-1)),
""),
"")</f>
        <v/>
      </c>
      <c r="CO112" s="21" t="str">
        <f>IFERROR(
IF(COUNTIF($BI112:CN112,INDEX($J:$J,MATCH($AJ112,$M:$M,0)+CO$8-1))=0,
IF(COUNTIF($M:$M,$AJ112)&lt;CO$8,
"",
INDEX($J:$J,MATCH($AJ112,$M:$M,0)+CO$8-1)),
""),
"")</f>
        <v/>
      </c>
      <c r="CP112" s="21" t="str">
        <f>IFERROR(
IF(COUNTIF($BI112:CO112,INDEX($J:$J,MATCH($AJ112,$M:$M,0)+CP$8-1))=0,
IF(COUNTIF($M:$M,$AJ112)&lt;CP$8,
"",
INDEX($J:$J,MATCH($AJ112,$M:$M,0)+CP$8-1)),
""),
"")</f>
        <v/>
      </c>
      <c r="CR112" s="21" t="str">
        <f>IFERROR(
IF(COUNTIF($BI112:CQ112,INDEX($J:$J,MATCH($AK112,$M:$M,0)+CR$8-1))=0,
IF(COUNTIF($M:$M,$AK112)&lt;CR$8,
"",
INDEX($J:$J,MATCH($AK112,$M:$M,0)+CR$8-1)),
""),
"")</f>
        <v/>
      </c>
      <c r="CS112" s="21" t="str">
        <f>IFERROR(
IF(COUNTIF($BI112:CR112,INDEX($J:$J,MATCH($AK112,$M:$M,0)+CS$8-1))=0,
IF(COUNTIF($M:$M,$AK112)&lt;CS$8,
"",
INDEX($J:$J,MATCH($AK112,$M:$M,0)+CS$8-1)),
""),
"")</f>
        <v/>
      </c>
      <c r="CT112" s="21" t="str">
        <f>IFERROR(
IF(COUNTIF($BI112:CS112,INDEX($J:$J,MATCH($AK112,$M:$M,0)+CT$8-1))=0,
IF(COUNTIF($M:$M,$AK112)&lt;CT$8,
"",
INDEX($J:$J,MATCH($AK112,$M:$M,0)+CT$8-1)),
""),
"")</f>
        <v/>
      </c>
      <c r="CU112" s="21" t="str">
        <f>IFERROR(
IF(COUNTIF($BI112:CT112,INDEX($J:$J,MATCH($AK112,$M:$M,0)+CU$8-1))=0,
IF(COUNTIF($M:$M,$AK112)&lt;CU$8,
"",
INDEX($J:$J,MATCH($AK112,$M:$M,0)+CU$8-1)),
""),
"")</f>
        <v/>
      </c>
    </row>
    <row r="113" spans="8:99">
      <c r="H113" s="7" t="str">
        <f>IF(I113="","",COUNTA(I$9:$I113))</f>
        <v/>
      </c>
      <c r="I113" s="6"/>
      <c r="J113" s="6" t="s">
        <v>240</v>
      </c>
      <c r="K113" s="8" t="str">
        <f>IF(H113="","",阶段合并区域(J113:J125," ",L113:L125,1))</f>
        <v/>
      </c>
      <c r="L113" s="8">
        <f>COUNTIF(M$8:$M113,"="&amp;M113)</f>
        <v>4</v>
      </c>
      <c r="M113" s="9" t="str">
        <f t="shared" si="21"/>
        <v>变法强国</v>
      </c>
      <c r="N113" s="9" t="str">
        <f t="shared" si="22"/>
        <v>变法强国4</v>
      </c>
      <c r="O113" s="15">
        <f>INDEX(C:C,MATCH(J113,D:D,0))</f>
        <v>52</v>
      </c>
      <c r="P113" s="9">
        <f>INDEX(E:E,MATCH(J113,D:D,0))</f>
        <v>120</v>
      </c>
      <c r="Q113" s="7">
        <f t="shared" si="10"/>
        <v>52</v>
      </c>
      <c r="R113" s="7">
        <f>COUNTIF(J$8:$J113,"="&amp;J113)</f>
        <v>4</v>
      </c>
      <c r="S113" s="7">
        <f t="shared" si="23"/>
        <v>4052</v>
      </c>
      <c r="U113" s="7">
        <f t="shared" ref="U113:AB144" si="24">U$8*1000+$C113</f>
        <v>1000</v>
      </c>
      <c r="V113" s="7">
        <f t="shared" si="24"/>
        <v>2000</v>
      </c>
      <c r="W113" s="7">
        <f t="shared" si="24"/>
        <v>3000</v>
      </c>
      <c r="X113" s="7">
        <f t="shared" si="24"/>
        <v>4000</v>
      </c>
      <c r="Y113" s="7">
        <f t="shared" si="24"/>
        <v>5000</v>
      </c>
      <c r="Z113" s="7">
        <f t="shared" si="24"/>
        <v>6000</v>
      </c>
      <c r="AA113" s="7">
        <f t="shared" si="24"/>
        <v>7000</v>
      </c>
      <c r="AB113" s="7">
        <f t="shared" si="24"/>
        <v>8000</v>
      </c>
      <c r="AD113" s="21" t="str">
        <f>IFERROR(INDEX($M:$M,MATCH(U113,$S:$S,0)),"&amp;")</f>
        <v>&amp;</v>
      </c>
      <c r="AE113" s="21" t="str">
        <f>IFERROR(INDEX($M:$M,MATCH(V113,$S:$S,0)),"&amp;")</f>
        <v>&amp;</v>
      </c>
      <c r="AF113" s="21" t="str">
        <f>IFERROR(INDEX($M:$M,MATCH(W113,$S:$S,0)),"&amp;")</f>
        <v>&amp;</v>
      </c>
      <c r="AG113" s="21" t="str">
        <f>IFERROR(INDEX($M:$M,MATCH(X113,$S:$S,0)),"&amp;")</f>
        <v>&amp;</v>
      </c>
      <c r="AH113" s="21" t="str">
        <f>IFERROR(INDEX($M:$M,MATCH(Y113,$S:$S,0)),"&amp;")</f>
        <v>&amp;</v>
      </c>
      <c r="AI113" s="21" t="str">
        <f>IFERROR(INDEX($M:$M,MATCH(Z113,$S:$S,0)),"&amp;")</f>
        <v>&amp;</v>
      </c>
      <c r="AJ113" s="21" t="str">
        <f>IFERROR(INDEX($M:$M,MATCH(AA113,$S:$S,0)),"&amp;")</f>
        <v>&amp;</v>
      </c>
      <c r="AK113" s="21" t="str">
        <f>IFERROR(INDEX($M:$M,MATCH(AB113,$S:$S,0)),"&amp;")</f>
        <v>&amp;</v>
      </c>
      <c r="AM113" s="21" t="str">
        <f>IFERROR(INDEX($N:$N,MATCH(U113,$S:$S,0)),"&amp;")</f>
        <v>&amp;</v>
      </c>
      <c r="AN113" s="21" t="str">
        <f>IFERROR(INDEX($N:$N,MATCH(V113,$S:$S,0)),"&amp;")</f>
        <v>&amp;</v>
      </c>
      <c r="AO113" s="21" t="str">
        <f>IFERROR(INDEX($N:$N,MATCH(W113,$S:$S,0)),"&amp;")</f>
        <v>&amp;</v>
      </c>
      <c r="AP113" s="21" t="str">
        <f>IFERROR(INDEX($N:$N,MATCH(X113,$S:$S,0)),"&amp;")</f>
        <v>&amp;</v>
      </c>
      <c r="AQ113" s="21" t="str">
        <f>IFERROR(INDEX($N:$N,MATCH(Y113,$S:$S,0)),"&amp;")</f>
        <v>&amp;</v>
      </c>
      <c r="AR113" s="21" t="str">
        <f>IFERROR(INDEX($N:$N,MATCH(Z113,$S:$S,0)),"&amp;")</f>
        <v>&amp;</v>
      </c>
      <c r="AS113" s="21" t="str">
        <f>IFERROR(INDEX($N:$N,MATCH(AA113,$S:$S,0)),"&amp;")</f>
        <v>&amp;</v>
      </c>
      <c r="AT113" s="21" t="str">
        <f>IFERROR(INDEX($N:$N,MATCH(AB113,$S:$S,0)),"&amp;")</f>
        <v>&amp;</v>
      </c>
      <c r="AV113" s="21" t="str">
        <f>IFERROR(SUBSTITUTE(INDEX($K:$K,MATCH(INDEX($M:$M,MATCH(AM113,$N:$N,0)),$M:$M,0)),$D113,""),"")</f>
        <v/>
      </c>
      <c r="AW113" s="21" t="str">
        <f>IFERROR(SUBSTITUTE(INDEX($K:$K,MATCH(INDEX($M:$M,MATCH(AN113,$N:$N,0)),$M:$M,0)),$D113,""),"")</f>
        <v/>
      </c>
      <c r="AX113" s="21" t="str">
        <f>IFERROR(SUBSTITUTE(INDEX($K:$K,MATCH(INDEX($M:$M,MATCH(AO113,$N:$N,0)),$M:$M,0)),$D113,""),"")</f>
        <v/>
      </c>
      <c r="AY113" s="21" t="str">
        <f>IFERROR(SUBSTITUTE(INDEX($K:$K,MATCH(INDEX($M:$M,MATCH(AP113,$N:$N,0)),$M:$M,0)),$D113,""),"")</f>
        <v/>
      </c>
      <c r="AZ113" s="21" t="str">
        <f>IFERROR(SUBSTITUTE(INDEX($K:$K,MATCH(INDEX($M:$M,MATCH(AQ113,$N:$N,0)),$M:$M,0)),$D113,""),"")</f>
        <v/>
      </c>
      <c r="BA113" s="21" t="str">
        <f>IFERROR(SUBSTITUTE(INDEX($K:$K,MATCH(INDEX($M:$M,MATCH(AR113,$N:$N,0)),$M:$M,0)),$D113,""),"")</f>
        <v/>
      </c>
      <c r="BB113" s="21" t="str">
        <f>IFERROR(SUBSTITUTE(INDEX($K:$K,MATCH(INDEX($M:$M,MATCH(AS113,$N:$N,0)),$M:$M,0)),$D113,""),"")</f>
        <v/>
      </c>
      <c r="BC113" s="21" t="str">
        <f>IFERROR(SUBSTITUTE(INDEX($K:$K,MATCH(INDEX($M:$M,MATCH(AT113,$N:$N,0)),$M:$M,0)),$D113,""),"")</f>
        <v/>
      </c>
      <c r="BE113" s="9" t="str">
        <f t="shared" si="16"/>
        <v/>
      </c>
      <c r="BI113" s="9" t="str">
        <f>IFERROR(
IF(COUNTIF($M:$M,$AD113)&lt;BI$8,
"",
INDEX($J:$J,MATCH($AD113,$M:$M,0)+BI$8-1)),
"")</f>
        <v/>
      </c>
      <c r="BJ113" s="9" t="str">
        <f>IFERROR(
IF(COUNTIF($M:$M,$AD113)&lt;BJ$8,
"",
INDEX($J:$J,MATCH($AD113,$M:$M,0)+BJ$8-1)),
"")</f>
        <v/>
      </c>
      <c r="BK113" s="9" t="str">
        <f>IFERROR(
IF(COUNTIF($M:$M,$AD113)&lt;BK$8,
"",
INDEX($J:$J,MATCH($AD113,$M:$M,0)+BK$8-1)),
"")</f>
        <v/>
      </c>
      <c r="BL113" s="9" t="str">
        <f>IFERROR(
IF(COUNTIF($M:$M,$AD113)&lt;BL$8,
"",
INDEX($J:$J,MATCH($AD113,$M:$M,0)+BL$8-1)),
"")</f>
        <v/>
      </c>
      <c r="BN113" s="21" t="str">
        <f>IFERROR(
IF(COUNTIF($BI113:BM113,INDEX($J:$J,MATCH($AE113,$M:$M,0)+BN$8-1))=0,
IF(COUNTIF($M:$M,$AE113)&lt;BN$8,
"",
INDEX($J:$J,MATCH($AE113,$M:$M,0)+BN$8-1)),
""),
"")</f>
        <v/>
      </c>
      <c r="BO113" s="21" t="str">
        <f>IFERROR(
IF(COUNTIF($BI113:BN113,INDEX($J:$J,MATCH($AE113,$M:$M,0)+BO$8-1))=0,
IF(COUNTIF($M:$M,$AE113)&lt;BO$8,
"",
INDEX($J:$J,MATCH($AE113,$M:$M,0)+BO$8-1)),
""),
"")</f>
        <v/>
      </c>
      <c r="BP113" s="21" t="str">
        <f>IFERROR(
IF(COUNTIF($BI113:BO113,INDEX($J:$J,MATCH($AE113,$M:$M,0)+BP$8-1))=0,
IF(COUNTIF($M:$M,$AE113)&lt;BP$8,
"",
INDEX($J:$J,MATCH($AE113,$M:$M,0)+BP$8-1)),
""),
"")</f>
        <v/>
      </c>
      <c r="BQ113" s="21" t="str">
        <f>IFERROR(
IF(COUNTIF($BI113:BP113,INDEX($J:$J,MATCH($AE113,$M:$M,0)+BQ$8-1))=0,
IF(COUNTIF($M:$M,$AE113)&lt;BQ$8,
"",
INDEX($J:$J,MATCH($AE113,$M:$M,0)+BQ$8-1)),
""),
"")</f>
        <v/>
      </c>
      <c r="BS113" s="21" t="str">
        <f>IFERROR(
IF(COUNTIF($BI113:BR113,INDEX($J:$J,MATCH($AF113,$M:$M,0)+BS$8-1))=0,
IF(COUNTIF($M:$M,$AF113)&lt;BS$8,
"",
INDEX($J:$J,MATCH($AF113,$M:$M,0)+BS$8-1)),
""),
"")</f>
        <v/>
      </c>
      <c r="BT113" s="21" t="str">
        <f>IFERROR(
IF(COUNTIF($BI113:BS113,INDEX($J:$J,MATCH($AF113,$M:$M,0)+BT$8-1))=0,
IF(COUNTIF($M:$M,$AF113)&lt;BT$8,
"",
INDEX($J:$J,MATCH($AF113,$M:$M,0)+BT$8-1)),
""),
"")</f>
        <v/>
      </c>
      <c r="BU113" s="21" t="str">
        <f>IFERROR(
IF(COUNTIF($BI113:BT113,INDEX($J:$J,MATCH($AF113,$M:$M,0)+BU$8-1))=0,
IF(COUNTIF($M:$M,$AF113)&lt;BU$8,
"",
INDEX($J:$J,MATCH($AF113,$M:$M,0)+BU$8-1)),
""),
"")</f>
        <v/>
      </c>
      <c r="BV113" s="21" t="str">
        <f>IFERROR(
IF(COUNTIF($BI113:BU113,INDEX($J:$J,MATCH($AF113,$M:$M,0)+BV$8-1))=0,
IF(COUNTIF($M:$M,$AF113)&lt;BV$8,
"",
INDEX($J:$J,MATCH($AF113,$M:$M,0)+BV$8-1)),
""),
"")</f>
        <v/>
      </c>
      <c r="BX113" s="21" t="str">
        <f>IFERROR(
IF(COUNTIF($BI113:BW113,INDEX($J:$J,MATCH($AG113,$M:$M,0)+BX$8-1))=0,
IF(COUNTIF($M:$M,$AG113)&lt;BX$8,
"",
INDEX($J:$J,MATCH($AG113,$M:$M,0)+BX$8-1)),
""),
"")</f>
        <v/>
      </c>
      <c r="BY113" s="21" t="str">
        <f>IFERROR(
IF(COUNTIF($BI113:BX113,INDEX($J:$J,MATCH($AG113,$M:$M,0)+BY$8-1))=0,
IF(COUNTIF($M:$M,$AG113)&lt;BY$8,
"",
INDEX($J:$J,MATCH($AG113,$M:$M,0)+BY$8-1)),
""),
"")</f>
        <v/>
      </c>
      <c r="BZ113" s="21" t="str">
        <f>IFERROR(
IF(COUNTIF($BI113:BY113,INDEX($J:$J,MATCH($AG113,$M:$M,0)+BZ$8-1))=0,
IF(COUNTIF($M:$M,$AG113)&lt;BZ$8,
"",
INDEX($J:$J,MATCH($AG113,$M:$M,0)+BZ$8-1)),
""),
"")</f>
        <v/>
      </c>
      <c r="CA113" s="21" t="str">
        <f>IFERROR(
IF(COUNTIF($BI113:BZ113,INDEX($J:$J,MATCH($AG113,$M:$M,0)+CA$8-1))=0,
IF(COUNTIF($M:$M,$AG113)&lt;CA$8,
"",
INDEX($J:$J,MATCH($AG113,$M:$M,0)+CA$8-1)),
""),
"")</f>
        <v/>
      </c>
      <c r="CC113" s="21" t="str">
        <f>IFERROR(
IF(COUNTIF($BI113:CB113,INDEX($J:$J,MATCH($AH113,$M:$M,0)+CC$8-1))=0,
IF(COUNTIF($M:$M,$AH113)&lt;CC$8,
"",
INDEX($J:$J,MATCH($AH113,$M:$M,0)+CC$8-1)),
""),
"")</f>
        <v/>
      </c>
      <c r="CD113" s="21" t="str">
        <f>IFERROR(
IF(COUNTIF($BI113:CC113,INDEX($J:$J,MATCH($AH113,$M:$M,0)+CD$8-1))=0,
IF(COUNTIF($M:$M,$AH113)&lt;CD$8,
"",
INDEX($J:$J,MATCH($AH113,$M:$M,0)+CD$8-1)),
""),
"")</f>
        <v/>
      </c>
      <c r="CE113" s="21" t="str">
        <f>IFERROR(
IF(COUNTIF($BI113:CD113,INDEX($J:$J,MATCH($AH113,$M:$M,0)+CE$8-1))=0,
IF(COUNTIF($M:$M,$AH113)&lt;CE$8,
"",
INDEX($J:$J,MATCH($AH113,$M:$M,0)+CE$8-1)),
""),
"")</f>
        <v/>
      </c>
      <c r="CF113" s="21" t="str">
        <f>IFERROR(
IF(COUNTIF($BI113:CE113,INDEX($J:$J,MATCH($AH113,$M:$M,0)+CF$8-1))=0,
IF(COUNTIF($M:$M,$AH113)&lt;CF$8,
"",
INDEX($J:$J,MATCH($AH113,$M:$M,0)+CF$8-1)),
""),
"")</f>
        <v/>
      </c>
      <c r="CH113" s="21" t="str">
        <f>IFERROR(
IF(COUNTIF($BI113:CG113,INDEX($J:$J,MATCH($AI113,$M:$M,0)+CH$8-1))=0,
IF(COUNTIF($M:$M,$AI113)&lt;CH$8,
"",
INDEX($J:$J,MATCH($AI113,$M:$M,0)+CH$8-1)),
""),
"")</f>
        <v/>
      </c>
      <c r="CI113" s="21" t="str">
        <f>IFERROR(
IF(COUNTIF($BI113:CH113,INDEX($J:$J,MATCH($AI113,$M:$M,0)+CI$8-1))=0,
IF(COUNTIF($M:$M,$AI113)&lt;CI$8,
"",
INDEX($J:$J,MATCH($AI113,$M:$M,0)+CI$8-1)),
""),
"")</f>
        <v/>
      </c>
      <c r="CJ113" s="21" t="str">
        <f>IFERROR(
IF(COUNTIF($BI113:CI113,INDEX($J:$J,MATCH($AI113,$M:$M,0)+CJ$8-1))=0,
IF(COUNTIF($M:$M,$AI113)&lt;CJ$8,
"",
INDEX($J:$J,MATCH($AI113,$M:$M,0)+CJ$8-1)),
""),
"")</f>
        <v/>
      </c>
      <c r="CK113" s="21" t="str">
        <f>IFERROR(
IF(COUNTIF($BI113:CJ113,INDEX($J:$J,MATCH($AI113,$M:$M,0)+CK$8-1))=0,
IF(COUNTIF($M:$M,$AI113)&lt;CK$8,
"",
INDEX($J:$J,MATCH($AI113,$M:$M,0)+CK$8-1)),
""),
"")</f>
        <v/>
      </c>
      <c r="CM113" s="21" t="str">
        <f>IFERROR(
IF(COUNTIF($BI113:CL113,INDEX($J:$J,MATCH($AJ113,$M:$M,0)+CM$8-1))=0,
IF(COUNTIF($M:$M,$AJ113)&lt;CM$8,
"",
INDEX($J:$J,MATCH($AJ113,$M:$M,0)+CM$8-1)),
""),
"")</f>
        <v/>
      </c>
      <c r="CN113" s="21" t="str">
        <f>IFERROR(
IF(COUNTIF($BI113:CM113,INDEX($J:$J,MATCH($AJ113,$M:$M,0)+CN$8-1))=0,
IF(COUNTIF($M:$M,$AJ113)&lt;CN$8,
"",
INDEX($J:$J,MATCH($AJ113,$M:$M,0)+CN$8-1)),
""),
"")</f>
        <v/>
      </c>
      <c r="CO113" s="21" t="str">
        <f>IFERROR(
IF(COUNTIF($BI113:CN113,INDEX($J:$J,MATCH($AJ113,$M:$M,0)+CO$8-1))=0,
IF(COUNTIF($M:$M,$AJ113)&lt;CO$8,
"",
INDEX($J:$J,MATCH($AJ113,$M:$M,0)+CO$8-1)),
""),
"")</f>
        <v/>
      </c>
      <c r="CP113" s="21" t="str">
        <f>IFERROR(
IF(COUNTIF($BI113:CO113,INDEX($J:$J,MATCH($AJ113,$M:$M,0)+CP$8-1))=0,
IF(COUNTIF($M:$M,$AJ113)&lt;CP$8,
"",
INDEX($J:$J,MATCH($AJ113,$M:$M,0)+CP$8-1)),
""),
"")</f>
        <v/>
      </c>
      <c r="CR113" s="21" t="str">
        <f>IFERROR(
IF(COUNTIF($BI113:CQ113,INDEX($J:$J,MATCH($AK113,$M:$M,0)+CR$8-1))=0,
IF(COUNTIF($M:$M,$AK113)&lt;CR$8,
"",
INDEX($J:$J,MATCH($AK113,$M:$M,0)+CR$8-1)),
""),
"")</f>
        <v/>
      </c>
      <c r="CS113" s="21" t="str">
        <f>IFERROR(
IF(COUNTIF($BI113:CR113,INDEX($J:$J,MATCH($AK113,$M:$M,0)+CS$8-1))=0,
IF(COUNTIF($M:$M,$AK113)&lt;CS$8,
"",
INDEX($J:$J,MATCH($AK113,$M:$M,0)+CS$8-1)),
""),
"")</f>
        <v/>
      </c>
      <c r="CT113" s="21" t="str">
        <f>IFERROR(
IF(COUNTIF($BI113:CS113,INDEX($J:$J,MATCH($AK113,$M:$M,0)+CT$8-1))=0,
IF(COUNTIF($M:$M,$AK113)&lt;CT$8,
"",
INDEX($J:$J,MATCH($AK113,$M:$M,0)+CT$8-1)),
""),
"")</f>
        <v/>
      </c>
      <c r="CU113" s="21" t="str">
        <f>IFERROR(
IF(COUNTIF($BI113:CT113,INDEX($J:$J,MATCH($AK113,$M:$M,0)+CU$8-1))=0,
IF(COUNTIF($M:$M,$AK113)&lt;CU$8,
"",
INDEX($J:$J,MATCH($AK113,$M:$M,0)+CU$8-1)),
""),
"")</f>
        <v/>
      </c>
    </row>
    <row r="114" spans="8:99">
      <c r="H114" s="7">
        <f>IF(I114="","",COUNTA(I$9:$I114))</f>
        <v>98</v>
      </c>
      <c r="I114" s="6" t="s">
        <v>241</v>
      </c>
      <c r="J114" s="6" t="s">
        <v>237</v>
      </c>
      <c r="K114" s="8" t="str">
        <f>IF(H114="","",阶段合并区域(J114:J126," ",L114:L126,1))</f>
        <v>吴起 信陵君 乐毅 苏秦</v>
      </c>
      <c r="L114" s="8">
        <f>COUNTIF(M$8:$M114,"="&amp;M114)</f>
        <v>1</v>
      </c>
      <c r="M114" s="9" t="str">
        <f t="shared" si="21"/>
        <v>大权在握</v>
      </c>
      <c r="N114" s="9" t="str">
        <f t="shared" si="22"/>
        <v>大权在握1</v>
      </c>
      <c r="O114" s="15">
        <f>INDEX(C:C,MATCH(J114,D:D,0))</f>
        <v>9</v>
      </c>
      <c r="P114" s="9">
        <f>INDEX(E:E,MATCH(J114,D:D,0))</f>
        <v>130</v>
      </c>
      <c r="Q114" s="7">
        <f t="shared" si="10"/>
        <v>9</v>
      </c>
      <c r="R114" s="7">
        <f>COUNTIF(J$8:$J114,"="&amp;J114)</f>
        <v>3</v>
      </c>
      <c r="S114" s="7">
        <f t="shared" si="23"/>
        <v>3009</v>
      </c>
      <c r="U114" s="7">
        <f t="shared" si="24"/>
        <v>1000</v>
      </c>
      <c r="V114" s="7">
        <f t="shared" si="24"/>
        <v>2000</v>
      </c>
      <c r="W114" s="7">
        <f t="shared" si="24"/>
        <v>3000</v>
      </c>
      <c r="X114" s="7">
        <f t="shared" si="24"/>
        <v>4000</v>
      </c>
      <c r="Y114" s="7">
        <f t="shared" si="24"/>
        <v>5000</v>
      </c>
      <c r="Z114" s="7">
        <f t="shared" si="24"/>
        <v>6000</v>
      </c>
      <c r="AA114" s="7">
        <f t="shared" si="24"/>
        <v>7000</v>
      </c>
      <c r="AB114" s="7">
        <f t="shared" si="24"/>
        <v>8000</v>
      </c>
      <c r="AD114" s="21" t="str">
        <f>IFERROR(INDEX($M:$M,MATCH(U114,$S:$S,0)),"&amp;")</f>
        <v>&amp;</v>
      </c>
      <c r="AE114" s="21" t="str">
        <f>IFERROR(INDEX($M:$M,MATCH(V114,$S:$S,0)),"&amp;")</f>
        <v>&amp;</v>
      </c>
      <c r="AF114" s="21" t="str">
        <f>IFERROR(INDEX($M:$M,MATCH(W114,$S:$S,0)),"&amp;")</f>
        <v>&amp;</v>
      </c>
      <c r="AG114" s="21" t="str">
        <f>IFERROR(INDEX($M:$M,MATCH(X114,$S:$S,0)),"&amp;")</f>
        <v>&amp;</v>
      </c>
      <c r="AH114" s="21" t="str">
        <f>IFERROR(INDEX($M:$M,MATCH(Y114,$S:$S,0)),"&amp;")</f>
        <v>&amp;</v>
      </c>
      <c r="AI114" s="21" t="str">
        <f>IFERROR(INDEX($M:$M,MATCH(Z114,$S:$S,0)),"&amp;")</f>
        <v>&amp;</v>
      </c>
      <c r="AJ114" s="21" t="str">
        <f>IFERROR(INDEX($M:$M,MATCH(AA114,$S:$S,0)),"&amp;")</f>
        <v>&amp;</v>
      </c>
      <c r="AK114" s="21" t="str">
        <f>IFERROR(INDEX($M:$M,MATCH(AB114,$S:$S,0)),"&amp;")</f>
        <v>&amp;</v>
      </c>
      <c r="AM114" s="21" t="str">
        <f>IFERROR(INDEX($N:$N,MATCH(U114,$S:$S,0)),"&amp;")</f>
        <v>&amp;</v>
      </c>
      <c r="AN114" s="21" t="str">
        <f>IFERROR(INDEX($N:$N,MATCH(V114,$S:$S,0)),"&amp;")</f>
        <v>&amp;</v>
      </c>
      <c r="AO114" s="21" t="str">
        <f>IFERROR(INDEX($N:$N,MATCH(W114,$S:$S,0)),"&amp;")</f>
        <v>&amp;</v>
      </c>
      <c r="AP114" s="21" t="str">
        <f>IFERROR(INDEX($N:$N,MATCH(X114,$S:$S,0)),"&amp;")</f>
        <v>&amp;</v>
      </c>
      <c r="AQ114" s="21" t="str">
        <f>IFERROR(INDEX($N:$N,MATCH(Y114,$S:$S,0)),"&amp;")</f>
        <v>&amp;</v>
      </c>
      <c r="AR114" s="21" t="str">
        <f>IFERROR(INDEX($N:$N,MATCH(Z114,$S:$S,0)),"&amp;")</f>
        <v>&amp;</v>
      </c>
      <c r="AS114" s="21" t="str">
        <f>IFERROR(INDEX($N:$N,MATCH(AA114,$S:$S,0)),"&amp;")</f>
        <v>&amp;</v>
      </c>
      <c r="AT114" s="21" t="str">
        <f>IFERROR(INDEX($N:$N,MATCH(AB114,$S:$S,0)),"&amp;")</f>
        <v>&amp;</v>
      </c>
      <c r="AV114" s="21" t="str">
        <f>IFERROR(SUBSTITUTE(INDEX($K:$K,MATCH(INDEX($M:$M,MATCH(AM114,$N:$N,0)),$M:$M,0)),$D114,""),"")</f>
        <v/>
      </c>
      <c r="AW114" s="21" t="str">
        <f>IFERROR(SUBSTITUTE(INDEX($K:$K,MATCH(INDEX($M:$M,MATCH(AN114,$N:$N,0)),$M:$M,0)),$D114,""),"")</f>
        <v/>
      </c>
      <c r="AX114" s="21" t="str">
        <f>IFERROR(SUBSTITUTE(INDEX($K:$K,MATCH(INDEX($M:$M,MATCH(AO114,$N:$N,0)),$M:$M,0)),$D114,""),"")</f>
        <v/>
      </c>
      <c r="AY114" s="21" t="str">
        <f>IFERROR(SUBSTITUTE(INDEX($K:$K,MATCH(INDEX($M:$M,MATCH(AP114,$N:$N,0)),$M:$M,0)),$D114,""),"")</f>
        <v/>
      </c>
      <c r="AZ114" s="21" t="str">
        <f>IFERROR(SUBSTITUTE(INDEX($K:$K,MATCH(INDEX($M:$M,MATCH(AQ114,$N:$N,0)),$M:$M,0)),$D114,""),"")</f>
        <v/>
      </c>
      <c r="BA114" s="21" t="str">
        <f>IFERROR(SUBSTITUTE(INDEX($K:$K,MATCH(INDEX($M:$M,MATCH(AR114,$N:$N,0)),$M:$M,0)),$D114,""),"")</f>
        <v/>
      </c>
      <c r="BB114" s="21" t="str">
        <f>IFERROR(SUBSTITUTE(INDEX($K:$K,MATCH(INDEX($M:$M,MATCH(AS114,$N:$N,0)),$M:$M,0)),$D114,""),"")</f>
        <v/>
      </c>
      <c r="BC114" s="21" t="str">
        <f>IFERROR(SUBSTITUTE(INDEX($K:$K,MATCH(INDEX($M:$M,MATCH(AT114,$N:$N,0)),$M:$M,0)),$D114,""),"")</f>
        <v/>
      </c>
      <c r="BE114" s="9" t="str">
        <f t="shared" si="16"/>
        <v/>
      </c>
      <c r="BI114" s="9" t="str">
        <f>IFERROR(
IF(COUNTIF($M:$M,$AD114)&lt;BI$8,
"",
INDEX($J:$J,MATCH($AD114,$M:$M,0)+BI$8-1)),
"")</f>
        <v/>
      </c>
      <c r="BJ114" s="9" t="str">
        <f>IFERROR(
IF(COUNTIF($M:$M,$AD114)&lt;BJ$8,
"",
INDEX($J:$J,MATCH($AD114,$M:$M,0)+BJ$8-1)),
"")</f>
        <v/>
      </c>
      <c r="BK114" s="9" t="str">
        <f>IFERROR(
IF(COUNTIF($M:$M,$AD114)&lt;BK$8,
"",
INDEX($J:$J,MATCH($AD114,$M:$M,0)+BK$8-1)),
"")</f>
        <v/>
      </c>
      <c r="BL114" s="9" t="str">
        <f>IFERROR(
IF(COUNTIF($M:$M,$AD114)&lt;BL$8,
"",
INDEX($J:$J,MATCH($AD114,$M:$M,0)+BL$8-1)),
"")</f>
        <v/>
      </c>
      <c r="BN114" s="21" t="str">
        <f>IFERROR(
IF(COUNTIF($BI114:BM114,INDEX($J:$J,MATCH($AE114,$M:$M,0)+BN$8-1))=0,
IF(COUNTIF($M:$M,$AE114)&lt;BN$8,
"",
INDEX($J:$J,MATCH($AE114,$M:$M,0)+BN$8-1)),
""),
"")</f>
        <v/>
      </c>
      <c r="BO114" s="21" t="str">
        <f>IFERROR(
IF(COUNTIF($BI114:BN114,INDEX($J:$J,MATCH($AE114,$M:$M,0)+BO$8-1))=0,
IF(COUNTIF($M:$M,$AE114)&lt;BO$8,
"",
INDEX($J:$J,MATCH($AE114,$M:$M,0)+BO$8-1)),
""),
"")</f>
        <v/>
      </c>
      <c r="BP114" s="21" t="str">
        <f>IFERROR(
IF(COUNTIF($BI114:BO114,INDEX($J:$J,MATCH($AE114,$M:$M,0)+BP$8-1))=0,
IF(COUNTIF($M:$M,$AE114)&lt;BP$8,
"",
INDEX($J:$J,MATCH($AE114,$M:$M,0)+BP$8-1)),
""),
"")</f>
        <v/>
      </c>
      <c r="BQ114" s="21" t="str">
        <f>IFERROR(
IF(COUNTIF($BI114:BP114,INDEX($J:$J,MATCH($AE114,$M:$M,0)+BQ$8-1))=0,
IF(COUNTIF($M:$M,$AE114)&lt;BQ$8,
"",
INDEX($J:$J,MATCH($AE114,$M:$M,0)+BQ$8-1)),
""),
"")</f>
        <v/>
      </c>
      <c r="BS114" s="21" t="str">
        <f>IFERROR(
IF(COUNTIF($BI114:BR114,INDEX($J:$J,MATCH($AF114,$M:$M,0)+BS$8-1))=0,
IF(COUNTIF($M:$M,$AF114)&lt;BS$8,
"",
INDEX($J:$J,MATCH($AF114,$M:$M,0)+BS$8-1)),
""),
"")</f>
        <v/>
      </c>
      <c r="BT114" s="21" t="str">
        <f>IFERROR(
IF(COUNTIF($BI114:BS114,INDEX($J:$J,MATCH($AF114,$M:$M,0)+BT$8-1))=0,
IF(COUNTIF($M:$M,$AF114)&lt;BT$8,
"",
INDEX($J:$J,MATCH($AF114,$M:$M,0)+BT$8-1)),
""),
"")</f>
        <v/>
      </c>
      <c r="BU114" s="21" t="str">
        <f>IFERROR(
IF(COUNTIF($BI114:BT114,INDEX($J:$J,MATCH($AF114,$M:$M,0)+BU$8-1))=0,
IF(COUNTIF($M:$M,$AF114)&lt;BU$8,
"",
INDEX($J:$J,MATCH($AF114,$M:$M,0)+BU$8-1)),
""),
"")</f>
        <v/>
      </c>
      <c r="BV114" s="21" t="str">
        <f>IFERROR(
IF(COUNTIF($BI114:BU114,INDEX($J:$J,MATCH($AF114,$M:$M,0)+BV$8-1))=0,
IF(COUNTIF($M:$M,$AF114)&lt;BV$8,
"",
INDEX($J:$J,MATCH($AF114,$M:$M,0)+BV$8-1)),
""),
"")</f>
        <v/>
      </c>
      <c r="BX114" s="21" t="str">
        <f>IFERROR(
IF(COUNTIF($BI114:BW114,INDEX($J:$J,MATCH($AG114,$M:$M,0)+BX$8-1))=0,
IF(COUNTIF($M:$M,$AG114)&lt;BX$8,
"",
INDEX($J:$J,MATCH($AG114,$M:$M,0)+BX$8-1)),
""),
"")</f>
        <v/>
      </c>
      <c r="BY114" s="21" t="str">
        <f>IFERROR(
IF(COUNTIF($BI114:BX114,INDEX($J:$J,MATCH($AG114,$M:$M,0)+BY$8-1))=0,
IF(COUNTIF($M:$M,$AG114)&lt;BY$8,
"",
INDEX($J:$J,MATCH($AG114,$M:$M,0)+BY$8-1)),
""),
"")</f>
        <v/>
      </c>
      <c r="BZ114" s="21" t="str">
        <f>IFERROR(
IF(COUNTIF($BI114:BY114,INDEX($J:$J,MATCH($AG114,$M:$M,0)+BZ$8-1))=0,
IF(COUNTIF($M:$M,$AG114)&lt;BZ$8,
"",
INDEX($J:$J,MATCH($AG114,$M:$M,0)+BZ$8-1)),
""),
"")</f>
        <v/>
      </c>
      <c r="CA114" s="21" t="str">
        <f>IFERROR(
IF(COUNTIF($BI114:BZ114,INDEX($J:$J,MATCH($AG114,$M:$M,0)+CA$8-1))=0,
IF(COUNTIF($M:$M,$AG114)&lt;CA$8,
"",
INDEX($J:$J,MATCH($AG114,$M:$M,0)+CA$8-1)),
""),
"")</f>
        <v/>
      </c>
      <c r="CC114" s="21" t="str">
        <f>IFERROR(
IF(COUNTIF($BI114:CB114,INDEX($J:$J,MATCH($AH114,$M:$M,0)+CC$8-1))=0,
IF(COUNTIF($M:$M,$AH114)&lt;CC$8,
"",
INDEX($J:$J,MATCH($AH114,$M:$M,0)+CC$8-1)),
""),
"")</f>
        <v/>
      </c>
      <c r="CD114" s="21" t="str">
        <f>IFERROR(
IF(COUNTIF($BI114:CC114,INDEX($J:$J,MATCH($AH114,$M:$M,0)+CD$8-1))=0,
IF(COUNTIF($M:$M,$AH114)&lt;CD$8,
"",
INDEX($J:$J,MATCH($AH114,$M:$M,0)+CD$8-1)),
""),
"")</f>
        <v/>
      </c>
      <c r="CE114" s="21" t="str">
        <f>IFERROR(
IF(COUNTIF($BI114:CD114,INDEX($J:$J,MATCH($AH114,$M:$M,0)+CE$8-1))=0,
IF(COUNTIF($M:$M,$AH114)&lt;CE$8,
"",
INDEX($J:$J,MATCH($AH114,$M:$M,0)+CE$8-1)),
""),
"")</f>
        <v/>
      </c>
      <c r="CF114" s="21" t="str">
        <f>IFERROR(
IF(COUNTIF($BI114:CE114,INDEX($J:$J,MATCH($AH114,$M:$M,0)+CF$8-1))=0,
IF(COUNTIF($M:$M,$AH114)&lt;CF$8,
"",
INDEX($J:$J,MATCH($AH114,$M:$M,0)+CF$8-1)),
""),
"")</f>
        <v/>
      </c>
      <c r="CH114" s="21" t="str">
        <f>IFERROR(
IF(COUNTIF($BI114:CG114,INDEX($J:$J,MATCH($AI114,$M:$M,0)+CH$8-1))=0,
IF(COUNTIF($M:$M,$AI114)&lt;CH$8,
"",
INDEX($J:$J,MATCH($AI114,$M:$M,0)+CH$8-1)),
""),
"")</f>
        <v/>
      </c>
      <c r="CI114" s="21" t="str">
        <f>IFERROR(
IF(COUNTIF($BI114:CH114,INDEX($J:$J,MATCH($AI114,$M:$M,0)+CI$8-1))=0,
IF(COUNTIF($M:$M,$AI114)&lt;CI$8,
"",
INDEX($J:$J,MATCH($AI114,$M:$M,0)+CI$8-1)),
""),
"")</f>
        <v/>
      </c>
      <c r="CJ114" s="21" t="str">
        <f>IFERROR(
IF(COUNTIF($BI114:CI114,INDEX($J:$J,MATCH($AI114,$M:$M,0)+CJ$8-1))=0,
IF(COUNTIF($M:$M,$AI114)&lt;CJ$8,
"",
INDEX($J:$J,MATCH($AI114,$M:$M,0)+CJ$8-1)),
""),
"")</f>
        <v/>
      </c>
      <c r="CK114" s="21" t="str">
        <f>IFERROR(
IF(COUNTIF($BI114:CJ114,INDEX($J:$J,MATCH($AI114,$M:$M,0)+CK$8-1))=0,
IF(COUNTIF($M:$M,$AI114)&lt;CK$8,
"",
INDEX($J:$J,MATCH($AI114,$M:$M,0)+CK$8-1)),
""),
"")</f>
        <v/>
      </c>
      <c r="CM114" s="21" t="str">
        <f>IFERROR(
IF(COUNTIF($BI114:CL114,INDEX($J:$J,MATCH($AJ114,$M:$M,0)+CM$8-1))=0,
IF(COUNTIF($M:$M,$AJ114)&lt;CM$8,
"",
INDEX($J:$J,MATCH($AJ114,$M:$M,0)+CM$8-1)),
""),
"")</f>
        <v/>
      </c>
      <c r="CN114" s="21" t="str">
        <f>IFERROR(
IF(COUNTIF($BI114:CM114,INDEX($J:$J,MATCH($AJ114,$M:$M,0)+CN$8-1))=0,
IF(COUNTIF($M:$M,$AJ114)&lt;CN$8,
"",
INDEX($J:$J,MATCH($AJ114,$M:$M,0)+CN$8-1)),
""),
"")</f>
        <v/>
      </c>
      <c r="CO114" s="21" t="str">
        <f>IFERROR(
IF(COUNTIF($BI114:CN114,INDEX($J:$J,MATCH($AJ114,$M:$M,0)+CO$8-1))=0,
IF(COUNTIF($M:$M,$AJ114)&lt;CO$8,
"",
INDEX($J:$J,MATCH($AJ114,$M:$M,0)+CO$8-1)),
""),
"")</f>
        <v/>
      </c>
      <c r="CP114" s="21" t="str">
        <f>IFERROR(
IF(COUNTIF($BI114:CO114,INDEX($J:$J,MATCH($AJ114,$M:$M,0)+CP$8-1))=0,
IF(COUNTIF($M:$M,$AJ114)&lt;CP$8,
"",
INDEX($J:$J,MATCH($AJ114,$M:$M,0)+CP$8-1)),
""),
"")</f>
        <v/>
      </c>
      <c r="CR114" s="21" t="str">
        <f>IFERROR(
IF(COUNTIF($BI114:CQ114,INDEX($J:$J,MATCH($AK114,$M:$M,0)+CR$8-1))=0,
IF(COUNTIF($M:$M,$AK114)&lt;CR$8,
"",
INDEX($J:$J,MATCH($AK114,$M:$M,0)+CR$8-1)),
""),
"")</f>
        <v/>
      </c>
      <c r="CS114" s="21" t="str">
        <f>IFERROR(
IF(COUNTIF($BI114:CR114,INDEX($J:$J,MATCH($AK114,$M:$M,0)+CS$8-1))=0,
IF(COUNTIF($M:$M,$AK114)&lt;CS$8,
"",
INDEX($J:$J,MATCH($AK114,$M:$M,0)+CS$8-1)),
""),
"")</f>
        <v/>
      </c>
      <c r="CT114" s="21" t="str">
        <f>IFERROR(
IF(COUNTIF($BI114:CS114,INDEX($J:$J,MATCH($AK114,$M:$M,0)+CT$8-1))=0,
IF(COUNTIF($M:$M,$AK114)&lt;CT$8,
"",
INDEX($J:$J,MATCH($AK114,$M:$M,0)+CT$8-1)),
""),
"")</f>
        <v/>
      </c>
      <c r="CU114" s="21" t="str">
        <f>IFERROR(
IF(COUNTIF($BI114:CT114,INDEX($J:$J,MATCH($AK114,$M:$M,0)+CU$8-1))=0,
IF(COUNTIF($M:$M,$AK114)&lt;CU$8,
"",
INDEX($J:$J,MATCH($AK114,$M:$M,0)+CU$8-1)),
""),
"")</f>
        <v/>
      </c>
    </row>
    <row r="115" spans="8:99">
      <c r="H115" s="7" t="str">
        <f>IF(I115="","",COUNTA(I$9:$I115))</f>
        <v/>
      </c>
      <c r="I115" s="6"/>
      <c r="J115" s="6" t="s">
        <v>242</v>
      </c>
      <c r="K115" s="8" t="str">
        <f>IF(H115="","",阶段合并区域(J115:J127," ",L115:L127,1))</f>
        <v/>
      </c>
      <c r="L115" s="8">
        <f>COUNTIF(M$8:$M115,"="&amp;M115)</f>
        <v>2</v>
      </c>
      <c r="M115" s="9" t="str">
        <f t="shared" si="21"/>
        <v>大权在握</v>
      </c>
      <c r="N115" s="9" t="str">
        <f t="shared" si="22"/>
        <v>大权在握2</v>
      </c>
      <c r="O115" s="15">
        <f>INDEX(C:C,MATCH(J115,D:D,0))</f>
        <v>6</v>
      </c>
      <c r="P115" s="9">
        <f>INDEX(E:E,MATCH(J115,D:D,0))</f>
        <v>120</v>
      </c>
      <c r="Q115" s="7">
        <f t="shared" si="10"/>
        <v>6</v>
      </c>
      <c r="R115" s="7">
        <f>COUNTIF(J$8:$J115,"="&amp;J115)</f>
        <v>4</v>
      </c>
      <c r="S115" s="7">
        <f t="shared" si="23"/>
        <v>4006</v>
      </c>
      <c r="U115" s="7">
        <f t="shared" si="24"/>
        <v>1000</v>
      </c>
      <c r="V115" s="7">
        <f t="shared" si="24"/>
        <v>2000</v>
      </c>
      <c r="W115" s="7">
        <f t="shared" si="24"/>
        <v>3000</v>
      </c>
      <c r="X115" s="7">
        <f t="shared" si="24"/>
        <v>4000</v>
      </c>
      <c r="Y115" s="7">
        <f t="shared" si="24"/>
        <v>5000</v>
      </c>
      <c r="Z115" s="7">
        <f t="shared" si="24"/>
        <v>6000</v>
      </c>
      <c r="AA115" s="7">
        <f t="shared" si="24"/>
        <v>7000</v>
      </c>
      <c r="AB115" s="7">
        <f t="shared" si="24"/>
        <v>8000</v>
      </c>
      <c r="AD115" s="21" t="str">
        <f>IFERROR(INDEX($M:$M,MATCH(U115,$S:$S,0)),"&amp;")</f>
        <v>&amp;</v>
      </c>
      <c r="AE115" s="21" t="str">
        <f>IFERROR(INDEX($M:$M,MATCH(V115,$S:$S,0)),"&amp;")</f>
        <v>&amp;</v>
      </c>
      <c r="AF115" s="21" t="str">
        <f>IFERROR(INDEX($M:$M,MATCH(W115,$S:$S,0)),"&amp;")</f>
        <v>&amp;</v>
      </c>
      <c r="AG115" s="21" t="str">
        <f>IFERROR(INDEX($M:$M,MATCH(X115,$S:$S,0)),"&amp;")</f>
        <v>&amp;</v>
      </c>
      <c r="AH115" s="21" t="str">
        <f>IFERROR(INDEX($M:$M,MATCH(Y115,$S:$S,0)),"&amp;")</f>
        <v>&amp;</v>
      </c>
      <c r="AI115" s="21" t="str">
        <f>IFERROR(INDEX($M:$M,MATCH(Z115,$S:$S,0)),"&amp;")</f>
        <v>&amp;</v>
      </c>
      <c r="AJ115" s="21" t="str">
        <f>IFERROR(INDEX($M:$M,MATCH(AA115,$S:$S,0)),"&amp;")</f>
        <v>&amp;</v>
      </c>
      <c r="AK115" s="21" t="str">
        <f>IFERROR(INDEX($M:$M,MATCH(AB115,$S:$S,0)),"&amp;")</f>
        <v>&amp;</v>
      </c>
      <c r="AM115" s="21" t="str">
        <f>IFERROR(INDEX($N:$N,MATCH(U115,$S:$S,0)),"&amp;")</f>
        <v>&amp;</v>
      </c>
      <c r="AN115" s="21" t="str">
        <f>IFERROR(INDEX($N:$N,MATCH(V115,$S:$S,0)),"&amp;")</f>
        <v>&amp;</v>
      </c>
      <c r="AO115" s="21" t="str">
        <f>IFERROR(INDEX($N:$N,MATCH(W115,$S:$S,0)),"&amp;")</f>
        <v>&amp;</v>
      </c>
      <c r="AP115" s="21" t="str">
        <f>IFERROR(INDEX($N:$N,MATCH(X115,$S:$S,0)),"&amp;")</f>
        <v>&amp;</v>
      </c>
      <c r="AQ115" s="21" t="str">
        <f>IFERROR(INDEX($N:$N,MATCH(Y115,$S:$S,0)),"&amp;")</f>
        <v>&amp;</v>
      </c>
      <c r="AR115" s="21" t="str">
        <f>IFERROR(INDEX($N:$N,MATCH(Z115,$S:$S,0)),"&amp;")</f>
        <v>&amp;</v>
      </c>
      <c r="AS115" s="21" t="str">
        <f>IFERROR(INDEX($N:$N,MATCH(AA115,$S:$S,0)),"&amp;")</f>
        <v>&amp;</v>
      </c>
      <c r="AT115" s="21" t="str">
        <f>IFERROR(INDEX($N:$N,MATCH(AB115,$S:$S,0)),"&amp;")</f>
        <v>&amp;</v>
      </c>
      <c r="AV115" s="21" t="str">
        <f>IFERROR(SUBSTITUTE(INDEX($K:$K,MATCH(INDEX($M:$M,MATCH(AM115,$N:$N,0)),$M:$M,0)),$D115,""),"")</f>
        <v/>
      </c>
      <c r="AW115" s="21" t="str">
        <f>IFERROR(SUBSTITUTE(INDEX($K:$K,MATCH(INDEX($M:$M,MATCH(AN115,$N:$N,0)),$M:$M,0)),$D115,""),"")</f>
        <v/>
      </c>
      <c r="AX115" s="21" t="str">
        <f>IFERROR(SUBSTITUTE(INDEX($K:$K,MATCH(INDEX($M:$M,MATCH(AO115,$N:$N,0)),$M:$M,0)),$D115,""),"")</f>
        <v/>
      </c>
      <c r="AY115" s="21" t="str">
        <f>IFERROR(SUBSTITUTE(INDEX($K:$K,MATCH(INDEX($M:$M,MATCH(AP115,$N:$N,0)),$M:$M,0)),$D115,""),"")</f>
        <v/>
      </c>
      <c r="AZ115" s="21" t="str">
        <f>IFERROR(SUBSTITUTE(INDEX($K:$K,MATCH(INDEX($M:$M,MATCH(AQ115,$N:$N,0)),$M:$M,0)),$D115,""),"")</f>
        <v/>
      </c>
      <c r="BA115" s="21" t="str">
        <f>IFERROR(SUBSTITUTE(INDEX($K:$K,MATCH(INDEX($M:$M,MATCH(AR115,$N:$N,0)),$M:$M,0)),$D115,""),"")</f>
        <v/>
      </c>
      <c r="BB115" s="21" t="str">
        <f>IFERROR(SUBSTITUTE(INDEX($K:$K,MATCH(INDEX($M:$M,MATCH(AS115,$N:$N,0)),$M:$M,0)),$D115,""),"")</f>
        <v/>
      </c>
      <c r="BC115" s="21" t="str">
        <f>IFERROR(SUBSTITUTE(INDEX($K:$K,MATCH(INDEX($M:$M,MATCH(AT115,$N:$N,0)),$M:$M,0)),$D115,""),"")</f>
        <v/>
      </c>
      <c r="BE115" s="9" t="str">
        <f t="shared" si="16"/>
        <v/>
      </c>
      <c r="BI115" s="9" t="str">
        <f>IFERROR(
IF(COUNTIF($M:$M,$AD115)&lt;BI$8,
"",
INDEX($J:$J,MATCH($AD115,$M:$M,0)+BI$8-1)),
"")</f>
        <v/>
      </c>
      <c r="BJ115" s="9" t="str">
        <f>IFERROR(
IF(COUNTIF($M:$M,$AD115)&lt;BJ$8,
"",
INDEX($J:$J,MATCH($AD115,$M:$M,0)+BJ$8-1)),
"")</f>
        <v/>
      </c>
      <c r="BK115" s="9" t="str">
        <f>IFERROR(
IF(COUNTIF($M:$M,$AD115)&lt;BK$8,
"",
INDEX($J:$J,MATCH($AD115,$M:$M,0)+BK$8-1)),
"")</f>
        <v/>
      </c>
      <c r="BL115" s="9" t="str">
        <f>IFERROR(
IF(COUNTIF($M:$M,$AD115)&lt;BL$8,
"",
INDEX($J:$J,MATCH($AD115,$M:$M,0)+BL$8-1)),
"")</f>
        <v/>
      </c>
      <c r="BN115" s="21" t="str">
        <f>IFERROR(
IF(COUNTIF($BI115:BM115,INDEX($J:$J,MATCH($AE115,$M:$M,0)+BN$8-1))=0,
IF(COUNTIF($M:$M,$AE115)&lt;BN$8,
"",
INDEX($J:$J,MATCH($AE115,$M:$M,0)+BN$8-1)),
""),
"")</f>
        <v/>
      </c>
      <c r="BO115" s="21" t="str">
        <f>IFERROR(
IF(COUNTIF($BI115:BN115,INDEX($J:$J,MATCH($AE115,$M:$M,0)+BO$8-1))=0,
IF(COUNTIF($M:$M,$AE115)&lt;BO$8,
"",
INDEX($J:$J,MATCH($AE115,$M:$M,0)+BO$8-1)),
""),
"")</f>
        <v/>
      </c>
      <c r="BP115" s="21" t="str">
        <f>IFERROR(
IF(COUNTIF($BI115:BO115,INDEX($J:$J,MATCH($AE115,$M:$M,0)+BP$8-1))=0,
IF(COUNTIF($M:$M,$AE115)&lt;BP$8,
"",
INDEX($J:$J,MATCH($AE115,$M:$M,0)+BP$8-1)),
""),
"")</f>
        <v/>
      </c>
      <c r="BQ115" s="21" t="str">
        <f>IFERROR(
IF(COUNTIF($BI115:BP115,INDEX($J:$J,MATCH($AE115,$M:$M,0)+BQ$8-1))=0,
IF(COUNTIF($M:$M,$AE115)&lt;BQ$8,
"",
INDEX($J:$J,MATCH($AE115,$M:$M,0)+BQ$8-1)),
""),
"")</f>
        <v/>
      </c>
      <c r="BS115" s="21" t="str">
        <f>IFERROR(
IF(COUNTIF($BI115:BR115,INDEX($J:$J,MATCH($AF115,$M:$M,0)+BS$8-1))=0,
IF(COUNTIF($M:$M,$AF115)&lt;BS$8,
"",
INDEX($J:$J,MATCH($AF115,$M:$M,0)+BS$8-1)),
""),
"")</f>
        <v/>
      </c>
      <c r="BT115" s="21" t="str">
        <f>IFERROR(
IF(COUNTIF($BI115:BS115,INDEX($J:$J,MATCH($AF115,$M:$M,0)+BT$8-1))=0,
IF(COUNTIF($M:$M,$AF115)&lt;BT$8,
"",
INDEX($J:$J,MATCH($AF115,$M:$M,0)+BT$8-1)),
""),
"")</f>
        <v/>
      </c>
      <c r="BU115" s="21" t="str">
        <f>IFERROR(
IF(COUNTIF($BI115:BT115,INDEX($J:$J,MATCH($AF115,$M:$M,0)+BU$8-1))=0,
IF(COUNTIF($M:$M,$AF115)&lt;BU$8,
"",
INDEX($J:$J,MATCH($AF115,$M:$M,0)+BU$8-1)),
""),
"")</f>
        <v/>
      </c>
      <c r="BV115" s="21" t="str">
        <f>IFERROR(
IF(COUNTIF($BI115:BU115,INDEX($J:$J,MATCH($AF115,$M:$M,0)+BV$8-1))=0,
IF(COUNTIF($M:$M,$AF115)&lt;BV$8,
"",
INDEX($J:$J,MATCH($AF115,$M:$M,0)+BV$8-1)),
""),
"")</f>
        <v/>
      </c>
      <c r="BX115" s="21" t="str">
        <f>IFERROR(
IF(COUNTIF($BI115:BW115,INDEX($J:$J,MATCH($AG115,$M:$M,0)+BX$8-1))=0,
IF(COUNTIF($M:$M,$AG115)&lt;BX$8,
"",
INDEX($J:$J,MATCH($AG115,$M:$M,0)+BX$8-1)),
""),
"")</f>
        <v/>
      </c>
      <c r="BY115" s="21" t="str">
        <f>IFERROR(
IF(COUNTIF($BI115:BX115,INDEX($J:$J,MATCH($AG115,$M:$M,0)+BY$8-1))=0,
IF(COUNTIF($M:$M,$AG115)&lt;BY$8,
"",
INDEX($J:$J,MATCH($AG115,$M:$M,0)+BY$8-1)),
""),
"")</f>
        <v/>
      </c>
      <c r="BZ115" s="21" t="str">
        <f>IFERROR(
IF(COUNTIF($BI115:BY115,INDEX($J:$J,MATCH($AG115,$M:$M,0)+BZ$8-1))=0,
IF(COUNTIF($M:$M,$AG115)&lt;BZ$8,
"",
INDEX($J:$J,MATCH($AG115,$M:$M,0)+BZ$8-1)),
""),
"")</f>
        <v/>
      </c>
      <c r="CA115" s="21" t="str">
        <f>IFERROR(
IF(COUNTIF($BI115:BZ115,INDEX($J:$J,MATCH($AG115,$M:$M,0)+CA$8-1))=0,
IF(COUNTIF($M:$M,$AG115)&lt;CA$8,
"",
INDEX($J:$J,MATCH($AG115,$M:$M,0)+CA$8-1)),
""),
"")</f>
        <v/>
      </c>
      <c r="CC115" s="21" t="str">
        <f>IFERROR(
IF(COUNTIF($BI115:CB115,INDEX($J:$J,MATCH($AH115,$M:$M,0)+CC$8-1))=0,
IF(COUNTIF($M:$M,$AH115)&lt;CC$8,
"",
INDEX($J:$J,MATCH($AH115,$M:$M,0)+CC$8-1)),
""),
"")</f>
        <v/>
      </c>
      <c r="CD115" s="21" t="str">
        <f>IFERROR(
IF(COUNTIF($BI115:CC115,INDEX($J:$J,MATCH($AH115,$M:$M,0)+CD$8-1))=0,
IF(COUNTIF($M:$M,$AH115)&lt;CD$8,
"",
INDEX($J:$J,MATCH($AH115,$M:$M,0)+CD$8-1)),
""),
"")</f>
        <v/>
      </c>
      <c r="CE115" s="21" t="str">
        <f>IFERROR(
IF(COUNTIF($BI115:CD115,INDEX($J:$J,MATCH($AH115,$M:$M,0)+CE$8-1))=0,
IF(COUNTIF($M:$M,$AH115)&lt;CE$8,
"",
INDEX($J:$J,MATCH($AH115,$M:$M,0)+CE$8-1)),
""),
"")</f>
        <v/>
      </c>
      <c r="CF115" s="21" t="str">
        <f>IFERROR(
IF(COUNTIF($BI115:CE115,INDEX($J:$J,MATCH($AH115,$M:$M,0)+CF$8-1))=0,
IF(COUNTIF($M:$M,$AH115)&lt;CF$8,
"",
INDEX($J:$J,MATCH($AH115,$M:$M,0)+CF$8-1)),
""),
"")</f>
        <v/>
      </c>
      <c r="CH115" s="21" t="str">
        <f>IFERROR(
IF(COUNTIF($BI115:CG115,INDEX($J:$J,MATCH($AI115,$M:$M,0)+CH$8-1))=0,
IF(COUNTIF($M:$M,$AI115)&lt;CH$8,
"",
INDEX($J:$J,MATCH($AI115,$M:$M,0)+CH$8-1)),
""),
"")</f>
        <v/>
      </c>
      <c r="CI115" s="21" t="str">
        <f>IFERROR(
IF(COUNTIF($BI115:CH115,INDEX($J:$J,MATCH($AI115,$M:$M,0)+CI$8-1))=0,
IF(COUNTIF($M:$M,$AI115)&lt;CI$8,
"",
INDEX($J:$J,MATCH($AI115,$M:$M,0)+CI$8-1)),
""),
"")</f>
        <v/>
      </c>
      <c r="CJ115" s="21" t="str">
        <f>IFERROR(
IF(COUNTIF($BI115:CI115,INDEX($J:$J,MATCH($AI115,$M:$M,0)+CJ$8-1))=0,
IF(COUNTIF($M:$M,$AI115)&lt;CJ$8,
"",
INDEX($J:$J,MATCH($AI115,$M:$M,0)+CJ$8-1)),
""),
"")</f>
        <v/>
      </c>
      <c r="CK115" s="21" t="str">
        <f>IFERROR(
IF(COUNTIF($BI115:CJ115,INDEX($J:$J,MATCH($AI115,$M:$M,0)+CK$8-1))=0,
IF(COUNTIF($M:$M,$AI115)&lt;CK$8,
"",
INDEX($J:$J,MATCH($AI115,$M:$M,0)+CK$8-1)),
""),
"")</f>
        <v/>
      </c>
      <c r="CM115" s="21" t="str">
        <f>IFERROR(
IF(COUNTIF($BI115:CL115,INDEX($J:$J,MATCH($AJ115,$M:$M,0)+CM$8-1))=0,
IF(COUNTIF($M:$M,$AJ115)&lt;CM$8,
"",
INDEX($J:$J,MATCH($AJ115,$M:$M,0)+CM$8-1)),
""),
"")</f>
        <v/>
      </c>
      <c r="CN115" s="21" t="str">
        <f>IFERROR(
IF(COUNTIF($BI115:CM115,INDEX($J:$J,MATCH($AJ115,$M:$M,0)+CN$8-1))=0,
IF(COUNTIF($M:$M,$AJ115)&lt;CN$8,
"",
INDEX($J:$J,MATCH($AJ115,$M:$M,0)+CN$8-1)),
""),
"")</f>
        <v/>
      </c>
      <c r="CO115" s="21" t="str">
        <f>IFERROR(
IF(COUNTIF($BI115:CN115,INDEX($J:$J,MATCH($AJ115,$M:$M,0)+CO$8-1))=0,
IF(COUNTIF($M:$M,$AJ115)&lt;CO$8,
"",
INDEX($J:$J,MATCH($AJ115,$M:$M,0)+CO$8-1)),
""),
"")</f>
        <v/>
      </c>
      <c r="CP115" s="21" t="str">
        <f>IFERROR(
IF(COUNTIF($BI115:CO115,INDEX($J:$J,MATCH($AJ115,$M:$M,0)+CP$8-1))=0,
IF(COUNTIF($M:$M,$AJ115)&lt;CP$8,
"",
INDEX($J:$J,MATCH($AJ115,$M:$M,0)+CP$8-1)),
""),
"")</f>
        <v/>
      </c>
      <c r="CR115" s="21" t="str">
        <f>IFERROR(
IF(COUNTIF($BI115:CQ115,INDEX($J:$J,MATCH($AK115,$M:$M,0)+CR$8-1))=0,
IF(COUNTIF($M:$M,$AK115)&lt;CR$8,
"",
INDEX($J:$J,MATCH($AK115,$M:$M,0)+CR$8-1)),
""),
"")</f>
        <v/>
      </c>
      <c r="CS115" s="21" t="str">
        <f>IFERROR(
IF(COUNTIF($BI115:CR115,INDEX($J:$J,MATCH($AK115,$M:$M,0)+CS$8-1))=0,
IF(COUNTIF($M:$M,$AK115)&lt;CS$8,
"",
INDEX($J:$J,MATCH($AK115,$M:$M,0)+CS$8-1)),
""),
"")</f>
        <v/>
      </c>
      <c r="CT115" s="21" t="str">
        <f>IFERROR(
IF(COUNTIF($BI115:CS115,INDEX($J:$J,MATCH($AK115,$M:$M,0)+CT$8-1))=0,
IF(COUNTIF($M:$M,$AK115)&lt;CT$8,
"",
INDEX($J:$J,MATCH($AK115,$M:$M,0)+CT$8-1)),
""),
"")</f>
        <v/>
      </c>
      <c r="CU115" s="21" t="str">
        <f>IFERROR(
IF(COUNTIF($BI115:CT115,INDEX($J:$J,MATCH($AK115,$M:$M,0)+CU$8-1))=0,
IF(COUNTIF($M:$M,$AK115)&lt;CU$8,
"",
INDEX($J:$J,MATCH($AK115,$M:$M,0)+CU$8-1)),
""),
"")</f>
        <v/>
      </c>
    </row>
    <row r="116" spans="8:99">
      <c r="H116" s="7" t="str">
        <f>IF(I116="","",COUNTA(I$9:$I116))</f>
        <v/>
      </c>
      <c r="I116" s="6"/>
      <c r="J116" s="6" t="s">
        <v>243</v>
      </c>
      <c r="K116" s="8" t="str">
        <f>IF(H116="","",阶段合并区域(J116:J128," ",L116:L128,1))</f>
        <v/>
      </c>
      <c r="L116" s="8">
        <f>COUNTIF(M$8:$M116,"="&amp;M116)</f>
        <v>3</v>
      </c>
      <c r="M116" s="9" t="str">
        <f t="shared" si="21"/>
        <v>大权在握</v>
      </c>
      <c r="N116" s="9" t="str">
        <f t="shared" si="22"/>
        <v>大权在握3</v>
      </c>
      <c r="O116" s="15">
        <f>INDEX(C:C,MATCH(J116,D:D,0))</f>
        <v>55</v>
      </c>
      <c r="P116" s="9">
        <f>INDEX(E:E,MATCH(J116,D:D,0))</f>
        <v>120</v>
      </c>
      <c r="Q116" s="7">
        <f t="shared" si="10"/>
        <v>55</v>
      </c>
      <c r="R116" s="7">
        <f>COUNTIF(J$8:$J116,"="&amp;J116)</f>
        <v>3</v>
      </c>
      <c r="S116" s="7">
        <f t="shared" si="23"/>
        <v>3055</v>
      </c>
      <c r="U116" s="7">
        <f t="shared" si="24"/>
        <v>1000</v>
      </c>
      <c r="V116" s="7">
        <f t="shared" si="24"/>
        <v>2000</v>
      </c>
      <c r="W116" s="7">
        <f t="shared" si="24"/>
        <v>3000</v>
      </c>
      <c r="X116" s="7">
        <f t="shared" si="24"/>
        <v>4000</v>
      </c>
      <c r="Y116" s="7">
        <f t="shared" si="24"/>
        <v>5000</v>
      </c>
      <c r="Z116" s="7">
        <f t="shared" si="24"/>
        <v>6000</v>
      </c>
      <c r="AA116" s="7">
        <f t="shared" si="24"/>
        <v>7000</v>
      </c>
      <c r="AB116" s="7">
        <f t="shared" si="24"/>
        <v>8000</v>
      </c>
      <c r="AD116" s="21" t="str">
        <f>IFERROR(INDEX($M:$M,MATCH(U116,$S:$S,0)),"&amp;")</f>
        <v>&amp;</v>
      </c>
      <c r="AE116" s="21" t="str">
        <f>IFERROR(INDEX($M:$M,MATCH(V116,$S:$S,0)),"&amp;")</f>
        <v>&amp;</v>
      </c>
      <c r="AF116" s="21" t="str">
        <f>IFERROR(INDEX($M:$M,MATCH(W116,$S:$S,0)),"&amp;")</f>
        <v>&amp;</v>
      </c>
      <c r="AG116" s="21" t="str">
        <f>IFERROR(INDEX($M:$M,MATCH(X116,$S:$S,0)),"&amp;")</f>
        <v>&amp;</v>
      </c>
      <c r="AH116" s="21" t="str">
        <f>IFERROR(INDEX($M:$M,MATCH(Y116,$S:$S,0)),"&amp;")</f>
        <v>&amp;</v>
      </c>
      <c r="AI116" s="21" t="str">
        <f>IFERROR(INDEX($M:$M,MATCH(Z116,$S:$S,0)),"&amp;")</f>
        <v>&amp;</v>
      </c>
      <c r="AJ116" s="21" t="str">
        <f>IFERROR(INDEX($M:$M,MATCH(AA116,$S:$S,0)),"&amp;")</f>
        <v>&amp;</v>
      </c>
      <c r="AK116" s="21" t="str">
        <f>IFERROR(INDEX($M:$M,MATCH(AB116,$S:$S,0)),"&amp;")</f>
        <v>&amp;</v>
      </c>
      <c r="AM116" s="21" t="str">
        <f>IFERROR(INDEX($N:$N,MATCH(U116,$S:$S,0)),"&amp;")</f>
        <v>&amp;</v>
      </c>
      <c r="AN116" s="21" t="str">
        <f>IFERROR(INDEX($N:$N,MATCH(V116,$S:$S,0)),"&amp;")</f>
        <v>&amp;</v>
      </c>
      <c r="AO116" s="21" t="str">
        <f>IFERROR(INDEX($N:$N,MATCH(W116,$S:$S,0)),"&amp;")</f>
        <v>&amp;</v>
      </c>
      <c r="AP116" s="21" t="str">
        <f>IFERROR(INDEX($N:$N,MATCH(X116,$S:$S,0)),"&amp;")</f>
        <v>&amp;</v>
      </c>
      <c r="AQ116" s="21" t="str">
        <f>IFERROR(INDEX($N:$N,MATCH(Y116,$S:$S,0)),"&amp;")</f>
        <v>&amp;</v>
      </c>
      <c r="AR116" s="21" t="str">
        <f>IFERROR(INDEX($N:$N,MATCH(Z116,$S:$S,0)),"&amp;")</f>
        <v>&amp;</v>
      </c>
      <c r="AS116" s="21" t="str">
        <f>IFERROR(INDEX($N:$N,MATCH(AA116,$S:$S,0)),"&amp;")</f>
        <v>&amp;</v>
      </c>
      <c r="AT116" s="21" t="str">
        <f>IFERROR(INDEX($N:$N,MATCH(AB116,$S:$S,0)),"&amp;")</f>
        <v>&amp;</v>
      </c>
      <c r="AV116" s="21" t="str">
        <f>IFERROR(SUBSTITUTE(INDEX($K:$K,MATCH(INDEX($M:$M,MATCH(AM116,$N:$N,0)),$M:$M,0)),$D116,""),"")</f>
        <v/>
      </c>
      <c r="AW116" s="21" t="str">
        <f>IFERROR(SUBSTITUTE(INDEX($K:$K,MATCH(INDEX($M:$M,MATCH(AN116,$N:$N,0)),$M:$M,0)),$D116,""),"")</f>
        <v/>
      </c>
      <c r="AX116" s="21" t="str">
        <f>IFERROR(SUBSTITUTE(INDEX($K:$K,MATCH(INDEX($M:$M,MATCH(AO116,$N:$N,0)),$M:$M,0)),$D116,""),"")</f>
        <v/>
      </c>
      <c r="AY116" s="21" t="str">
        <f>IFERROR(SUBSTITUTE(INDEX($K:$K,MATCH(INDEX($M:$M,MATCH(AP116,$N:$N,0)),$M:$M,0)),$D116,""),"")</f>
        <v/>
      </c>
      <c r="AZ116" s="21" t="str">
        <f>IFERROR(SUBSTITUTE(INDEX($K:$K,MATCH(INDEX($M:$M,MATCH(AQ116,$N:$N,0)),$M:$M,0)),$D116,""),"")</f>
        <v/>
      </c>
      <c r="BA116" s="21" t="str">
        <f>IFERROR(SUBSTITUTE(INDEX($K:$K,MATCH(INDEX($M:$M,MATCH(AR116,$N:$N,0)),$M:$M,0)),$D116,""),"")</f>
        <v/>
      </c>
      <c r="BB116" s="21" t="str">
        <f>IFERROR(SUBSTITUTE(INDEX($K:$K,MATCH(INDEX($M:$M,MATCH(AS116,$N:$N,0)),$M:$M,0)),$D116,""),"")</f>
        <v/>
      </c>
      <c r="BC116" s="21" t="str">
        <f>IFERROR(SUBSTITUTE(INDEX($K:$K,MATCH(INDEX($M:$M,MATCH(AT116,$N:$N,0)),$M:$M,0)),$D116,""),"")</f>
        <v/>
      </c>
      <c r="BE116" s="9" t="str">
        <f t="shared" si="16"/>
        <v/>
      </c>
      <c r="BI116" s="9" t="str">
        <f>IFERROR(
IF(COUNTIF($M:$M,$AD116)&lt;BI$8,
"",
INDEX($J:$J,MATCH($AD116,$M:$M,0)+BI$8-1)),
"")</f>
        <v/>
      </c>
      <c r="BJ116" s="9" t="str">
        <f>IFERROR(
IF(COUNTIF($M:$M,$AD116)&lt;BJ$8,
"",
INDEX($J:$J,MATCH($AD116,$M:$M,0)+BJ$8-1)),
"")</f>
        <v/>
      </c>
      <c r="BK116" s="9" t="str">
        <f>IFERROR(
IF(COUNTIF($M:$M,$AD116)&lt;BK$8,
"",
INDEX($J:$J,MATCH($AD116,$M:$M,0)+BK$8-1)),
"")</f>
        <v/>
      </c>
      <c r="BL116" s="9" t="str">
        <f>IFERROR(
IF(COUNTIF($M:$M,$AD116)&lt;BL$8,
"",
INDEX($J:$J,MATCH($AD116,$M:$M,0)+BL$8-1)),
"")</f>
        <v/>
      </c>
      <c r="BN116" s="21" t="str">
        <f>IFERROR(
IF(COUNTIF($BI116:BM116,INDEX($J:$J,MATCH($AE116,$M:$M,0)+BN$8-1))=0,
IF(COUNTIF($M:$M,$AE116)&lt;BN$8,
"",
INDEX($J:$J,MATCH($AE116,$M:$M,0)+BN$8-1)),
""),
"")</f>
        <v/>
      </c>
      <c r="BO116" s="21" t="str">
        <f>IFERROR(
IF(COUNTIF($BI116:BN116,INDEX($J:$J,MATCH($AE116,$M:$M,0)+BO$8-1))=0,
IF(COUNTIF($M:$M,$AE116)&lt;BO$8,
"",
INDEX($J:$J,MATCH($AE116,$M:$M,0)+BO$8-1)),
""),
"")</f>
        <v/>
      </c>
      <c r="BP116" s="21" t="str">
        <f>IFERROR(
IF(COUNTIF($BI116:BO116,INDEX($J:$J,MATCH($AE116,$M:$M,0)+BP$8-1))=0,
IF(COUNTIF($M:$M,$AE116)&lt;BP$8,
"",
INDEX($J:$J,MATCH($AE116,$M:$M,0)+BP$8-1)),
""),
"")</f>
        <v/>
      </c>
      <c r="BQ116" s="21" t="str">
        <f>IFERROR(
IF(COUNTIF($BI116:BP116,INDEX($J:$J,MATCH($AE116,$M:$M,0)+BQ$8-1))=0,
IF(COUNTIF($M:$M,$AE116)&lt;BQ$8,
"",
INDEX($J:$J,MATCH($AE116,$M:$M,0)+BQ$8-1)),
""),
"")</f>
        <v/>
      </c>
      <c r="BS116" s="21" t="str">
        <f>IFERROR(
IF(COUNTIF($BI116:BR116,INDEX($J:$J,MATCH($AF116,$M:$M,0)+BS$8-1))=0,
IF(COUNTIF($M:$M,$AF116)&lt;BS$8,
"",
INDEX($J:$J,MATCH($AF116,$M:$M,0)+BS$8-1)),
""),
"")</f>
        <v/>
      </c>
      <c r="BT116" s="21" t="str">
        <f>IFERROR(
IF(COUNTIF($BI116:BS116,INDEX($J:$J,MATCH($AF116,$M:$M,0)+BT$8-1))=0,
IF(COUNTIF($M:$M,$AF116)&lt;BT$8,
"",
INDEX($J:$J,MATCH($AF116,$M:$M,0)+BT$8-1)),
""),
"")</f>
        <v/>
      </c>
      <c r="BU116" s="21" t="str">
        <f>IFERROR(
IF(COUNTIF($BI116:BT116,INDEX($J:$J,MATCH($AF116,$M:$M,0)+BU$8-1))=0,
IF(COUNTIF($M:$M,$AF116)&lt;BU$8,
"",
INDEX($J:$J,MATCH($AF116,$M:$M,0)+BU$8-1)),
""),
"")</f>
        <v/>
      </c>
      <c r="BV116" s="21" t="str">
        <f>IFERROR(
IF(COUNTIF($BI116:BU116,INDEX($J:$J,MATCH($AF116,$M:$M,0)+BV$8-1))=0,
IF(COUNTIF($M:$M,$AF116)&lt;BV$8,
"",
INDEX($J:$J,MATCH($AF116,$M:$M,0)+BV$8-1)),
""),
"")</f>
        <v/>
      </c>
      <c r="BX116" s="21" t="str">
        <f>IFERROR(
IF(COUNTIF($BI116:BW116,INDEX($J:$J,MATCH($AG116,$M:$M,0)+BX$8-1))=0,
IF(COUNTIF($M:$M,$AG116)&lt;BX$8,
"",
INDEX($J:$J,MATCH($AG116,$M:$M,0)+BX$8-1)),
""),
"")</f>
        <v/>
      </c>
      <c r="BY116" s="21" t="str">
        <f>IFERROR(
IF(COUNTIF($BI116:BX116,INDEX($J:$J,MATCH($AG116,$M:$M,0)+BY$8-1))=0,
IF(COUNTIF($M:$M,$AG116)&lt;BY$8,
"",
INDEX($J:$J,MATCH($AG116,$M:$M,0)+BY$8-1)),
""),
"")</f>
        <v/>
      </c>
      <c r="BZ116" s="21" t="str">
        <f>IFERROR(
IF(COUNTIF($BI116:BY116,INDEX($J:$J,MATCH($AG116,$M:$M,0)+BZ$8-1))=0,
IF(COUNTIF($M:$M,$AG116)&lt;BZ$8,
"",
INDEX($J:$J,MATCH($AG116,$M:$M,0)+BZ$8-1)),
""),
"")</f>
        <v/>
      </c>
      <c r="CA116" s="21" t="str">
        <f>IFERROR(
IF(COUNTIF($BI116:BZ116,INDEX($J:$J,MATCH($AG116,$M:$M,0)+CA$8-1))=0,
IF(COUNTIF($M:$M,$AG116)&lt;CA$8,
"",
INDEX($J:$J,MATCH($AG116,$M:$M,0)+CA$8-1)),
""),
"")</f>
        <v/>
      </c>
      <c r="CC116" s="21" t="str">
        <f>IFERROR(
IF(COUNTIF($BI116:CB116,INDEX($J:$J,MATCH($AH116,$M:$M,0)+CC$8-1))=0,
IF(COUNTIF($M:$M,$AH116)&lt;CC$8,
"",
INDEX($J:$J,MATCH($AH116,$M:$M,0)+CC$8-1)),
""),
"")</f>
        <v/>
      </c>
      <c r="CD116" s="21" t="str">
        <f>IFERROR(
IF(COUNTIF($BI116:CC116,INDEX($J:$J,MATCH($AH116,$M:$M,0)+CD$8-1))=0,
IF(COUNTIF($M:$M,$AH116)&lt;CD$8,
"",
INDEX($J:$J,MATCH($AH116,$M:$M,0)+CD$8-1)),
""),
"")</f>
        <v/>
      </c>
      <c r="CE116" s="21" t="str">
        <f>IFERROR(
IF(COUNTIF($BI116:CD116,INDEX($J:$J,MATCH($AH116,$M:$M,0)+CE$8-1))=0,
IF(COUNTIF($M:$M,$AH116)&lt;CE$8,
"",
INDEX($J:$J,MATCH($AH116,$M:$M,0)+CE$8-1)),
""),
"")</f>
        <v/>
      </c>
      <c r="CF116" s="21" t="str">
        <f>IFERROR(
IF(COUNTIF($BI116:CE116,INDEX($J:$J,MATCH($AH116,$M:$M,0)+CF$8-1))=0,
IF(COUNTIF($M:$M,$AH116)&lt;CF$8,
"",
INDEX($J:$J,MATCH($AH116,$M:$M,0)+CF$8-1)),
""),
"")</f>
        <v/>
      </c>
      <c r="CH116" s="21" t="str">
        <f>IFERROR(
IF(COUNTIF($BI116:CG116,INDEX($J:$J,MATCH($AI116,$M:$M,0)+CH$8-1))=0,
IF(COUNTIF($M:$M,$AI116)&lt;CH$8,
"",
INDEX($J:$J,MATCH($AI116,$M:$M,0)+CH$8-1)),
""),
"")</f>
        <v/>
      </c>
      <c r="CI116" s="21" t="str">
        <f>IFERROR(
IF(COUNTIF($BI116:CH116,INDEX($J:$J,MATCH($AI116,$M:$M,0)+CI$8-1))=0,
IF(COUNTIF($M:$M,$AI116)&lt;CI$8,
"",
INDEX($J:$J,MATCH($AI116,$M:$M,0)+CI$8-1)),
""),
"")</f>
        <v/>
      </c>
      <c r="CJ116" s="21" t="str">
        <f>IFERROR(
IF(COUNTIF($BI116:CI116,INDEX($J:$J,MATCH($AI116,$M:$M,0)+CJ$8-1))=0,
IF(COUNTIF($M:$M,$AI116)&lt;CJ$8,
"",
INDEX($J:$J,MATCH($AI116,$M:$M,0)+CJ$8-1)),
""),
"")</f>
        <v/>
      </c>
      <c r="CK116" s="21" t="str">
        <f>IFERROR(
IF(COUNTIF($BI116:CJ116,INDEX($J:$J,MATCH($AI116,$M:$M,0)+CK$8-1))=0,
IF(COUNTIF($M:$M,$AI116)&lt;CK$8,
"",
INDEX($J:$J,MATCH($AI116,$M:$M,0)+CK$8-1)),
""),
"")</f>
        <v/>
      </c>
      <c r="CM116" s="21" t="str">
        <f>IFERROR(
IF(COUNTIF($BI116:CL116,INDEX($J:$J,MATCH($AJ116,$M:$M,0)+CM$8-1))=0,
IF(COUNTIF($M:$M,$AJ116)&lt;CM$8,
"",
INDEX($J:$J,MATCH($AJ116,$M:$M,0)+CM$8-1)),
""),
"")</f>
        <v/>
      </c>
      <c r="CN116" s="21" t="str">
        <f>IFERROR(
IF(COUNTIF($BI116:CM116,INDEX($J:$J,MATCH($AJ116,$M:$M,0)+CN$8-1))=0,
IF(COUNTIF($M:$M,$AJ116)&lt;CN$8,
"",
INDEX($J:$J,MATCH($AJ116,$M:$M,0)+CN$8-1)),
""),
"")</f>
        <v/>
      </c>
      <c r="CO116" s="21" t="str">
        <f>IFERROR(
IF(COUNTIF($BI116:CN116,INDEX($J:$J,MATCH($AJ116,$M:$M,0)+CO$8-1))=0,
IF(COUNTIF($M:$M,$AJ116)&lt;CO$8,
"",
INDEX($J:$J,MATCH($AJ116,$M:$M,0)+CO$8-1)),
""),
"")</f>
        <v/>
      </c>
      <c r="CP116" s="21" t="str">
        <f>IFERROR(
IF(COUNTIF($BI116:CO116,INDEX($J:$J,MATCH($AJ116,$M:$M,0)+CP$8-1))=0,
IF(COUNTIF($M:$M,$AJ116)&lt;CP$8,
"",
INDEX($J:$J,MATCH($AJ116,$M:$M,0)+CP$8-1)),
""),
"")</f>
        <v/>
      </c>
      <c r="CR116" s="21" t="str">
        <f>IFERROR(
IF(COUNTIF($BI116:CQ116,INDEX($J:$J,MATCH($AK116,$M:$M,0)+CR$8-1))=0,
IF(COUNTIF($M:$M,$AK116)&lt;CR$8,
"",
INDEX($J:$J,MATCH($AK116,$M:$M,0)+CR$8-1)),
""),
"")</f>
        <v/>
      </c>
      <c r="CS116" s="21" t="str">
        <f>IFERROR(
IF(COUNTIF($BI116:CR116,INDEX($J:$J,MATCH($AK116,$M:$M,0)+CS$8-1))=0,
IF(COUNTIF($M:$M,$AK116)&lt;CS$8,
"",
INDEX($J:$J,MATCH($AK116,$M:$M,0)+CS$8-1)),
""),
"")</f>
        <v/>
      </c>
      <c r="CT116" s="21" t="str">
        <f>IFERROR(
IF(COUNTIF($BI116:CS116,INDEX($J:$J,MATCH($AK116,$M:$M,0)+CT$8-1))=0,
IF(COUNTIF($M:$M,$AK116)&lt;CT$8,
"",
INDEX($J:$J,MATCH($AK116,$M:$M,0)+CT$8-1)),
""),
"")</f>
        <v/>
      </c>
      <c r="CU116" s="21" t="str">
        <f>IFERROR(
IF(COUNTIF($BI116:CT116,INDEX($J:$J,MATCH($AK116,$M:$M,0)+CU$8-1))=0,
IF(COUNTIF($M:$M,$AK116)&lt;CU$8,
"",
INDEX($J:$J,MATCH($AK116,$M:$M,0)+CU$8-1)),
""),
"")</f>
        <v/>
      </c>
    </row>
    <row r="117" spans="8:99">
      <c r="H117" s="7" t="str">
        <f>IF(I117="","",COUNTA(I$9:$I117))</f>
        <v/>
      </c>
      <c r="I117" s="6"/>
      <c r="J117" s="6" t="s">
        <v>244</v>
      </c>
      <c r="K117" s="8" t="str">
        <f>IF(H117="","",阶段合并区域(J117:J128," ",L117:L128,1))</f>
        <v/>
      </c>
      <c r="L117" s="8">
        <f>COUNTIF(M$8:$M117,"="&amp;M117)</f>
        <v>4</v>
      </c>
      <c r="M117" s="9" t="str">
        <f t="shared" si="21"/>
        <v>大权在握</v>
      </c>
      <c r="N117" s="9" t="str">
        <f t="shared" si="22"/>
        <v>大权在握4</v>
      </c>
      <c r="O117" s="15">
        <f>INDEX(C:C,MATCH(J117,D:D,0))</f>
        <v>57</v>
      </c>
      <c r="P117" s="9">
        <f>INDEX(E:E,MATCH(J117,D:D,0))</f>
        <v>120</v>
      </c>
      <c r="Q117" s="7">
        <f t="shared" si="10"/>
        <v>57</v>
      </c>
      <c r="R117" s="7">
        <f>COUNTIF(J$8:$J117,"="&amp;J117)</f>
        <v>4</v>
      </c>
      <c r="S117" s="7">
        <f t="shared" si="23"/>
        <v>4057</v>
      </c>
      <c r="U117" s="7">
        <f t="shared" si="24"/>
        <v>1000</v>
      </c>
      <c r="V117" s="7">
        <f t="shared" si="24"/>
        <v>2000</v>
      </c>
      <c r="W117" s="7">
        <f t="shared" si="24"/>
        <v>3000</v>
      </c>
      <c r="X117" s="7">
        <f t="shared" si="24"/>
        <v>4000</v>
      </c>
      <c r="Y117" s="7">
        <f t="shared" si="24"/>
        <v>5000</v>
      </c>
      <c r="Z117" s="7">
        <f t="shared" si="24"/>
        <v>6000</v>
      </c>
      <c r="AA117" s="7">
        <f t="shared" si="24"/>
        <v>7000</v>
      </c>
      <c r="AB117" s="7">
        <f t="shared" si="24"/>
        <v>8000</v>
      </c>
      <c r="AD117" s="21" t="str">
        <f>IFERROR(INDEX($M:$M,MATCH(U117,$S:$S,0)),"&amp;")</f>
        <v>&amp;</v>
      </c>
      <c r="AE117" s="21" t="str">
        <f>IFERROR(INDEX($M:$M,MATCH(V117,$S:$S,0)),"&amp;")</f>
        <v>&amp;</v>
      </c>
      <c r="AF117" s="21" t="str">
        <f>IFERROR(INDEX($M:$M,MATCH(W117,$S:$S,0)),"&amp;")</f>
        <v>&amp;</v>
      </c>
      <c r="AG117" s="21" t="str">
        <f>IFERROR(INDEX($M:$M,MATCH(X117,$S:$S,0)),"&amp;")</f>
        <v>&amp;</v>
      </c>
      <c r="AH117" s="21" t="str">
        <f>IFERROR(INDEX($M:$M,MATCH(Y117,$S:$S,0)),"&amp;")</f>
        <v>&amp;</v>
      </c>
      <c r="AI117" s="21" t="str">
        <f>IFERROR(INDEX($M:$M,MATCH(Z117,$S:$S,0)),"&amp;")</f>
        <v>&amp;</v>
      </c>
      <c r="AJ117" s="21" t="str">
        <f>IFERROR(INDEX($M:$M,MATCH(AA117,$S:$S,0)),"&amp;")</f>
        <v>&amp;</v>
      </c>
      <c r="AK117" s="21" t="str">
        <f>IFERROR(INDEX($M:$M,MATCH(AB117,$S:$S,0)),"&amp;")</f>
        <v>&amp;</v>
      </c>
      <c r="AM117" s="21" t="str">
        <f>IFERROR(INDEX($N:$N,MATCH(U117,$S:$S,0)),"&amp;")</f>
        <v>&amp;</v>
      </c>
      <c r="AN117" s="21" t="str">
        <f>IFERROR(INDEX($N:$N,MATCH(V117,$S:$S,0)),"&amp;")</f>
        <v>&amp;</v>
      </c>
      <c r="AO117" s="21" t="str">
        <f>IFERROR(INDEX($N:$N,MATCH(W117,$S:$S,0)),"&amp;")</f>
        <v>&amp;</v>
      </c>
      <c r="AP117" s="21" t="str">
        <f>IFERROR(INDEX($N:$N,MATCH(X117,$S:$S,0)),"&amp;")</f>
        <v>&amp;</v>
      </c>
      <c r="AQ117" s="21" t="str">
        <f>IFERROR(INDEX($N:$N,MATCH(Y117,$S:$S,0)),"&amp;")</f>
        <v>&amp;</v>
      </c>
      <c r="AR117" s="21" t="str">
        <f>IFERROR(INDEX($N:$N,MATCH(Z117,$S:$S,0)),"&amp;")</f>
        <v>&amp;</v>
      </c>
      <c r="AS117" s="21" t="str">
        <f>IFERROR(INDEX($N:$N,MATCH(AA117,$S:$S,0)),"&amp;")</f>
        <v>&amp;</v>
      </c>
      <c r="AT117" s="21" t="str">
        <f>IFERROR(INDEX($N:$N,MATCH(AB117,$S:$S,0)),"&amp;")</f>
        <v>&amp;</v>
      </c>
      <c r="AV117" s="21" t="str">
        <f>IFERROR(SUBSTITUTE(INDEX($K:$K,MATCH(INDEX($M:$M,MATCH(AM117,$N:$N,0)),$M:$M,0)),$D117,""),"")</f>
        <v/>
      </c>
      <c r="AW117" s="21" t="str">
        <f>IFERROR(SUBSTITUTE(INDEX($K:$K,MATCH(INDEX($M:$M,MATCH(AN117,$N:$N,0)),$M:$M,0)),$D117,""),"")</f>
        <v/>
      </c>
      <c r="AX117" s="21" t="str">
        <f>IFERROR(SUBSTITUTE(INDEX($K:$K,MATCH(INDEX($M:$M,MATCH(AO117,$N:$N,0)),$M:$M,0)),$D117,""),"")</f>
        <v/>
      </c>
      <c r="AY117" s="21" t="str">
        <f>IFERROR(SUBSTITUTE(INDEX($K:$K,MATCH(INDEX($M:$M,MATCH(AP117,$N:$N,0)),$M:$M,0)),$D117,""),"")</f>
        <v/>
      </c>
      <c r="AZ117" s="21" t="str">
        <f>IFERROR(SUBSTITUTE(INDEX($K:$K,MATCH(INDEX($M:$M,MATCH(AQ117,$N:$N,0)),$M:$M,0)),$D117,""),"")</f>
        <v/>
      </c>
      <c r="BA117" s="21" t="str">
        <f>IFERROR(SUBSTITUTE(INDEX($K:$K,MATCH(INDEX($M:$M,MATCH(AR117,$N:$N,0)),$M:$M,0)),$D117,""),"")</f>
        <v/>
      </c>
      <c r="BB117" s="21" t="str">
        <f>IFERROR(SUBSTITUTE(INDEX($K:$K,MATCH(INDEX($M:$M,MATCH(AS117,$N:$N,0)),$M:$M,0)),$D117,""),"")</f>
        <v/>
      </c>
      <c r="BC117" s="21" t="str">
        <f>IFERROR(SUBSTITUTE(INDEX($K:$K,MATCH(INDEX($M:$M,MATCH(AT117,$N:$N,0)),$M:$M,0)),$D117,""),"")</f>
        <v/>
      </c>
      <c r="BE117" s="9" t="str">
        <f t="shared" si="16"/>
        <v/>
      </c>
      <c r="BI117" s="9" t="str">
        <f>IFERROR(
IF(COUNTIF($M:$M,$AD117)&lt;BI$8,
"",
INDEX($J:$J,MATCH($AD117,$M:$M,0)+BI$8-1)),
"")</f>
        <v/>
      </c>
      <c r="BJ117" s="9" t="str">
        <f>IFERROR(
IF(COUNTIF($M:$M,$AD117)&lt;BJ$8,
"",
INDEX($J:$J,MATCH($AD117,$M:$M,0)+BJ$8-1)),
"")</f>
        <v/>
      </c>
      <c r="BK117" s="9" t="str">
        <f>IFERROR(
IF(COUNTIF($M:$M,$AD117)&lt;BK$8,
"",
INDEX($J:$J,MATCH($AD117,$M:$M,0)+BK$8-1)),
"")</f>
        <v/>
      </c>
      <c r="BL117" s="9" t="str">
        <f>IFERROR(
IF(COUNTIF($M:$M,$AD117)&lt;BL$8,
"",
INDEX($J:$J,MATCH($AD117,$M:$M,0)+BL$8-1)),
"")</f>
        <v/>
      </c>
      <c r="BN117" s="21" t="str">
        <f>IFERROR(
IF(COUNTIF($BI117:BM117,INDEX($J:$J,MATCH($AE117,$M:$M,0)+BN$8-1))=0,
IF(COUNTIF($M:$M,$AE117)&lt;BN$8,
"",
INDEX($J:$J,MATCH($AE117,$M:$M,0)+BN$8-1)),
""),
"")</f>
        <v/>
      </c>
      <c r="BO117" s="21" t="str">
        <f>IFERROR(
IF(COUNTIF($BI117:BN117,INDEX($J:$J,MATCH($AE117,$M:$M,0)+BO$8-1))=0,
IF(COUNTIF($M:$M,$AE117)&lt;BO$8,
"",
INDEX($J:$J,MATCH($AE117,$M:$M,0)+BO$8-1)),
""),
"")</f>
        <v/>
      </c>
      <c r="BP117" s="21" t="str">
        <f>IFERROR(
IF(COUNTIF($BI117:BO117,INDEX($J:$J,MATCH($AE117,$M:$M,0)+BP$8-1))=0,
IF(COUNTIF($M:$M,$AE117)&lt;BP$8,
"",
INDEX($J:$J,MATCH($AE117,$M:$M,0)+BP$8-1)),
""),
"")</f>
        <v/>
      </c>
      <c r="BQ117" s="21" t="str">
        <f>IFERROR(
IF(COUNTIF($BI117:BP117,INDEX($J:$J,MATCH($AE117,$M:$M,0)+BQ$8-1))=0,
IF(COUNTIF($M:$M,$AE117)&lt;BQ$8,
"",
INDEX($J:$J,MATCH($AE117,$M:$M,0)+BQ$8-1)),
""),
"")</f>
        <v/>
      </c>
      <c r="BS117" s="21" t="str">
        <f>IFERROR(
IF(COUNTIF($BI117:BR117,INDEX($J:$J,MATCH($AF117,$M:$M,0)+BS$8-1))=0,
IF(COUNTIF($M:$M,$AF117)&lt;BS$8,
"",
INDEX($J:$J,MATCH($AF117,$M:$M,0)+BS$8-1)),
""),
"")</f>
        <v/>
      </c>
      <c r="BT117" s="21" t="str">
        <f>IFERROR(
IF(COUNTIF($BI117:BS117,INDEX($J:$J,MATCH($AF117,$M:$M,0)+BT$8-1))=0,
IF(COUNTIF($M:$M,$AF117)&lt;BT$8,
"",
INDEX($J:$J,MATCH($AF117,$M:$M,0)+BT$8-1)),
""),
"")</f>
        <v/>
      </c>
      <c r="BU117" s="21" t="str">
        <f>IFERROR(
IF(COUNTIF($BI117:BT117,INDEX($J:$J,MATCH($AF117,$M:$M,0)+BU$8-1))=0,
IF(COUNTIF($M:$M,$AF117)&lt;BU$8,
"",
INDEX($J:$J,MATCH($AF117,$M:$M,0)+BU$8-1)),
""),
"")</f>
        <v/>
      </c>
      <c r="BV117" s="21" t="str">
        <f>IFERROR(
IF(COUNTIF($BI117:BU117,INDEX($J:$J,MATCH($AF117,$M:$M,0)+BV$8-1))=0,
IF(COUNTIF($M:$M,$AF117)&lt;BV$8,
"",
INDEX($J:$J,MATCH($AF117,$M:$M,0)+BV$8-1)),
""),
"")</f>
        <v/>
      </c>
      <c r="BX117" s="21" t="str">
        <f>IFERROR(
IF(COUNTIF($BI117:BW117,INDEX($J:$J,MATCH($AG117,$M:$M,0)+BX$8-1))=0,
IF(COUNTIF($M:$M,$AG117)&lt;BX$8,
"",
INDEX($J:$J,MATCH($AG117,$M:$M,0)+BX$8-1)),
""),
"")</f>
        <v/>
      </c>
      <c r="BY117" s="21" t="str">
        <f>IFERROR(
IF(COUNTIF($BI117:BX117,INDEX($J:$J,MATCH($AG117,$M:$M,0)+BY$8-1))=0,
IF(COUNTIF($M:$M,$AG117)&lt;BY$8,
"",
INDEX($J:$J,MATCH($AG117,$M:$M,0)+BY$8-1)),
""),
"")</f>
        <v/>
      </c>
      <c r="BZ117" s="21" t="str">
        <f>IFERROR(
IF(COUNTIF($BI117:BY117,INDEX($J:$J,MATCH($AG117,$M:$M,0)+BZ$8-1))=0,
IF(COUNTIF($M:$M,$AG117)&lt;BZ$8,
"",
INDEX($J:$J,MATCH($AG117,$M:$M,0)+BZ$8-1)),
""),
"")</f>
        <v/>
      </c>
      <c r="CA117" s="21" t="str">
        <f>IFERROR(
IF(COUNTIF($BI117:BZ117,INDEX($J:$J,MATCH($AG117,$M:$M,0)+CA$8-1))=0,
IF(COUNTIF($M:$M,$AG117)&lt;CA$8,
"",
INDEX($J:$J,MATCH($AG117,$M:$M,0)+CA$8-1)),
""),
"")</f>
        <v/>
      </c>
      <c r="CC117" s="21" t="str">
        <f>IFERROR(
IF(COUNTIF($BI117:CB117,INDEX($J:$J,MATCH($AH117,$M:$M,0)+CC$8-1))=0,
IF(COUNTIF($M:$M,$AH117)&lt;CC$8,
"",
INDEX($J:$J,MATCH($AH117,$M:$M,0)+CC$8-1)),
""),
"")</f>
        <v/>
      </c>
      <c r="CD117" s="21" t="str">
        <f>IFERROR(
IF(COUNTIF($BI117:CC117,INDEX($J:$J,MATCH($AH117,$M:$M,0)+CD$8-1))=0,
IF(COUNTIF($M:$M,$AH117)&lt;CD$8,
"",
INDEX($J:$J,MATCH($AH117,$M:$M,0)+CD$8-1)),
""),
"")</f>
        <v/>
      </c>
      <c r="CE117" s="21" t="str">
        <f>IFERROR(
IF(COUNTIF($BI117:CD117,INDEX($J:$J,MATCH($AH117,$M:$M,0)+CE$8-1))=0,
IF(COUNTIF($M:$M,$AH117)&lt;CE$8,
"",
INDEX($J:$J,MATCH($AH117,$M:$M,0)+CE$8-1)),
""),
"")</f>
        <v/>
      </c>
      <c r="CF117" s="21" t="str">
        <f>IFERROR(
IF(COUNTIF($BI117:CE117,INDEX($J:$J,MATCH($AH117,$M:$M,0)+CF$8-1))=0,
IF(COUNTIF($M:$M,$AH117)&lt;CF$8,
"",
INDEX($J:$J,MATCH($AH117,$M:$M,0)+CF$8-1)),
""),
"")</f>
        <v/>
      </c>
      <c r="CH117" s="21" t="str">
        <f>IFERROR(
IF(COUNTIF($BI117:CG117,INDEX($J:$J,MATCH($AI117,$M:$M,0)+CH$8-1))=0,
IF(COUNTIF($M:$M,$AI117)&lt;CH$8,
"",
INDEX($J:$J,MATCH($AI117,$M:$M,0)+CH$8-1)),
""),
"")</f>
        <v/>
      </c>
      <c r="CI117" s="21" t="str">
        <f>IFERROR(
IF(COUNTIF($BI117:CH117,INDEX($J:$J,MATCH($AI117,$M:$M,0)+CI$8-1))=0,
IF(COUNTIF($M:$M,$AI117)&lt;CI$8,
"",
INDEX($J:$J,MATCH($AI117,$M:$M,0)+CI$8-1)),
""),
"")</f>
        <v/>
      </c>
      <c r="CJ117" s="21" t="str">
        <f>IFERROR(
IF(COUNTIF($BI117:CI117,INDEX($J:$J,MATCH($AI117,$M:$M,0)+CJ$8-1))=0,
IF(COUNTIF($M:$M,$AI117)&lt;CJ$8,
"",
INDEX($J:$J,MATCH($AI117,$M:$M,0)+CJ$8-1)),
""),
"")</f>
        <v/>
      </c>
      <c r="CK117" s="21" t="str">
        <f>IFERROR(
IF(COUNTIF($BI117:CJ117,INDEX($J:$J,MATCH($AI117,$M:$M,0)+CK$8-1))=0,
IF(COUNTIF($M:$M,$AI117)&lt;CK$8,
"",
INDEX($J:$J,MATCH($AI117,$M:$M,0)+CK$8-1)),
""),
"")</f>
        <v/>
      </c>
      <c r="CM117" s="21" t="str">
        <f>IFERROR(
IF(COUNTIF($BI117:CL117,INDEX($J:$J,MATCH($AJ117,$M:$M,0)+CM$8-1))=0,
IF(COUNTIF($M:$M,$AJ117)&lt;CM$8,
"",
INDEX($J:$J,MATCH($AJ117,$M:$M,0)+CM$8-1)),
""),
"")</f>
        <v/>
      </c>
      <c r="CN117" s="21" t="str">
        <f>IFERROR(
IF(COUNTIF($BI117:CM117,INDEX($J:$J,MATCH($AJ117,$M:$M,0)+CN$8-1))=0,
IF(COUNTIF($M:$M,$AJ117)&lt;CN$8,
"",
INDEX($J:$J,MATCH($AJ117,$M:$M,0)+CN$8-1)),
""),
"")</f>
        <v/>
      </c>
      <c r="CO117" s="21" t="str">
        <f>IFERROR(
IF(COUNTIF($BI117:CN117,INDEX($J:$J,MATCH($AJ117,$M:$M,0)+CO$8-1))=0,
IF(COUNTIF($M:$M,$AJ117)&lt;CO$8,
"",
INDEX($J:$J,MATCH($AJ117,$M:$M,0)+CO$8-1)),
""),
"")</f>
        <v/>
      </c>
      <c r="CP117" s="21" t="str">
        <f>IFERROR(
IF(COUNTIF($BI117:CO117,INDEX($J:$J,MATCH($AJ117,$M:$M,0)+CP$8-1))=0,
IF(COUNTIF($M:$M,$AJ117)&lt;CP$8,
"",
INDEX($J:$J,MATCH($AJ117,$M:$M,0)+CP$8-1)),
""),
"")</f>
        <v/>
      </c>
      <c r="CR117" s="21" t="str">
        <f>IFERROR(
IF(COUNTIF($BI117:CQ117,INDEX($J:$J,MATCH($AK117,$M:$M,0)+CR$8-1))=0,
IF(COUNTIF($M:$M,$AK117)&lt;CR$8,
"",
INDEX($J:$J,MATCH($AK117,$M:$M,0)+CR$8-1)),
""),
"")</f>
        <v/>
      </c>
      <c r="CS117" s="21" t="str">
        <f>IFERROR(
IF(COUNTIF($BI117:CR117,INDEX($J:$J,MATCH($AK117,$M:$M,0)+CS$8-1))=0,
IF(COUNTIF($M:$M,$AK117)&lt;CS$8,
"",
INDEX($J:$J,MATCH($AK117,$M:$M,0)+CS$8-1)),
""),
"")</f>
        <v/>
      </c>
      <c r="CT117" s="21" t="str">
        <f>IFERROR(
IF(COUNTIF($BI117:CS117,INDEX($J:$J,MATCH($AK117,$M:$M,0)+CT$8-1))=0,
IF(COUNTIF($M:$M,$AK117)&lt;CT$8,
"",
INDEX($J:$J,MATCH($AK117,$M:$M,0)+CT$8-1)),
""),
"")</f>
        <v/>
      </c>
      <c r="CU117" s="21" t="str">
        <f>IFERROR(
IF(COUNTIF($BI117:CT117,INDEX($J:$J,MATCH($AK117,$M:$M,0)+CU$8-1))=0,
IF(COUNTIF($M:$M,$AK117)&lt;CU$8,
"",
INDEX($J:$J,MATCH($AK117,$M:$M,0)+CU$8-1)),
""),
"")</f>
        <v/>
      </c>
    </row>
    <row r="118" spans="8:99">
      <c r="H118" s="7">
        <f>IF(I118="","",COUNTA(I$9:$I118))</f>
        <v>99</v>
      </c>
      <c r="I118" s="6" t="s">
        <v>245</v>
      </c>
      <c r="J118" s="6" t="s">
        <v>248</v>
      </c>
      <c r="K118" s="8" t="str">
        <f>IF(H118="","",阶段合并区域(J118:J128," ",L118:L128,1))</f>
        <v>褒姒 西施 骊姬 褒姒 韩非子 屈原 项燕</v>
      </c>
      <c r="L118" s="8">
        <f>COUNTIF(M$8:$M118,"="&amp;M118)</f>
        <v>1</v>
      </c>
      <c r="M118" s="9" t="str">
        <f t="shared" ref="M118:M124" si="25">IF(H118="",M117,I118)</f>
        <v>红颜薄命</v>
      </c>
      <c r="N118" s="9" t="str">
        <f t="shared" ref="N118:N124" si="26">M118&amp;L118</f>
        <v>红颜薄命1</v>
      </c>
      <c r="O118" s="15">
        <f>INDEX(C:C,MATCH(J118,D:D,0))</f>
        <v>60</v>
      </c>
      <c r="P118" s="9">
        <f>INDEX(E:E,MATCH(J118,D:D,0))</f>
        <v>130</v>
      </c>
      <c r="Q118" s="7">
        <f t="shared" si="10"/>
        <v>60</v>
      </c>
      <c r="R118" s="7">
        <f>COUNTIF(J$8:$J118,"="&amp;J118)</f>
        <v>1</v>
      </c>
      <c r="S118" s="7">
        <f t="shared" ref="S118:S124" si="27">R118*1000+Q118</f>
        <v>1060</v>
      </c>
      <c r="U118" s="7">
        <f t="shared" si="24"/>
        <v>1000</v>
      </c>
      <c r="V118" s="7">
        <f t="shared" si="24"/>
        <v>2000</v>
      </c>
      <c r="W118" s="7">
        <f t="shared" si="24"/>
        <v>3000</v>
      </c>
      <c r="X118" s="7">
        <f t="shared" si="24"/>
        <v>4000</v>
      </c>
      <c r="Y118" s="7">
        <f t="shared" si="24"/>
        <v>5000</v>
      </c>
      <c r="Z118" s="7">
        <f t="shared" si="24"/>
        <v>6000</v>
      </c>
      <c r="AA118" s="7">
        <f t="shared" si="24"/>
        <v>7000</v>
      </c>
      <c r="AB118" s="7">
        <f t="shared" si="24"/>
        <v>8000</v>
      </c>
      <c r="AD118" s="21" t="str">
        <f>IFERROR(INDEX($M:$M,MATCH(U118,$S:$S,0)),"&amp;")</f>
        <v>&amp;</v>
      </c>
      <c r="AE118" s="21" t="str">
        <f>IFERROR(INDEX($M:$M,MATCH(V118,$S:$S,0)),"&amp;")</f>
        <v>&amp;</v>
      </c>
      <c r="AF118" s="21" t="str">
        <f>IFERROR(INDEX($M:$M,MATCH(W118,$S:$S,0)),"&amp;")</f>
        <v>&amp;</v>
      </c>
      <c r="AG118" s="21" t="str">
        <f>IFERROR(INDEX($M:$M,MATCH(X118,$S:$S,0)),"&amp;")</f>
        <v>&amp;</v>
      </c>
      <c r="AH118" s="21" t="str">
        <f>IFERROR(INDEX($M:$M,MATCH(Y118,$S:$S,0)),"&amp;")</f>
        <v>&amp;</v>
      </c>
      <c r="AI118" s="21" t="str">
        <f>IFERROR(INDEX($M:$M,MATCH(Z118,$S:$S,0)),"&amp;")</f>
        <v>&amp;</v>
      </c>
      <c r="AJ118" s="21" t="str">
        <f>IFERROR(INDEX($M:$M,MATCH(AA118,$S:$S,0)),"&amp;")</f>
        <v>&amp;</v>
      </c>
      <c r="AK118" s="21" t="str">
        <f>IFERROR(INDEX($M:$M,MATCH(AB118,$S:$S,0)),"&amp;")</f>
        <v>&amp;</v>
      </c>
      <c r="AM118" s="21" t="str">
        <f>IFERROR(INDEX($N:$N,MATCH(U118,$S:$S,0)),"&amp;")</f>
        <v>&amp;</v>
      </c>
      <c r="AN118" s="21" t="str">
        <f>IFERROR(INDEX($N:$N,MATCH(V118,$S:$S,0)),"&amp;")</f>
        <v>&amp;</v>
      </c>
      <c r="AO118" s="21" t="str">
        <f>IFERROR(INDEX($N:$N,MATCH(W118,$S:$S,0)),"&amp;")</f>
        <v>&amp;</v>
      </c>
      <c r="AP118" s="21" t="str">
        <f>IFERROR(INDEX($N:$N,MATCH(X118,$S:$S,0)),"&amp;")</f>
        <v>&amp;</v>
      </c>
      <c r="AQ118" s="21" t="str">
        <f>IFERROR(INDEX($N:$N,MATCH(Y118,$S:$S,0)),"&amp;")</f>
        <v>&amp;</v>
      </c>
      <c r="AR118" s="21" t="str">
        <f>IFERROR(INDEX($N:$N,MATCH(Z118,$S:$S,0)),"&amp;")</f>
        <v>&amp;</v>
      </c>
      <c r="AS118" s="21" t="str">
        <f>IFERROR(INDEX($N:$N,MATCH(AA118,$S:$S,0)),"&amp;")</f>
        <v>&amp;</v>
      </c>
      <c r="AT118" s="21" t="str">
        <f>IFERROR(INDEX($N:$N,MATCH(AB118,$S:$S,0)),"&amp;")</f>
        <v>&amp;</v>
      </c>
      <c r="AV118" s="21" t="str">
        <f>IFERROR(SUBSTITUTE(INDEX($K:$K,MATCH(INDEX($M:$M,MATCH(AM118,$N:$N,0)),$M:$M,0)),$D118,""),"")</f>
        <v/>
      </c>
      <c r="AW118" s="21" t="str">
        <f>IFERROR(SUBSTITUTE(INDEX($K:$K,MATCH(INDEX($M:$M,MATCH(AN118,$N:$N,0)),$M:$M,0)),$D118,""),"")</f>
        <v/>
      </c>
      <c r="AX118" s="21" t="str">
        <f>IFERROR(SUBSTITUTE(INDEX($K:$K,MATCH(INDEX($M:$M,MATCH(AO118,$N:$N,0)),$M:$M,0)),$D118,""),"")</f>
        <v/>
      </c>
      <c r="AY118" s="21" t="str">
        <f>IFERROR(SUBSTITUTE(INDEX($K:$K,MATCH(INDEX($M:$M,MATCH(AP118,$N:$N,0)),$M:$M,0)),$D118,""),"")</f>
        <v/>
      </c>
      <c r="AZ118" s="21" t="str">
        <f>IFERROR(SUBSTITUTE(INDEX($K:$K,MATCH(INDEX($M:$M,MATCH(AQ118,$N:$N,0)),$M:$M,0)),$D118,""),"")</f>
        <v/>
      </c>
      <c r="BA118" s="21" t="str">
        <f>IFERROR(SUBSTITUTE(INDEX($K:$K,MATCH(INDEX($M:$M,MATCH(AR118,$N:$N,0)),$M:$M,0)),$D118,""),"")</f>
        <v/>
      </c>
      <c r="BB118" s="21" t="str">
        <f>IFERROR(SUBSTITUTE(INDEX($K:$K,MATCH(INDEX($M:$M,MATCH(AS118,$N:$N,0)),$M:$M,0)),$D118,""),"")</f>
        <v/>
      </c>
      <c r="BC118" s="21" t="str">
        <f>IFERROR(SUBSTITUTE(INDEX($K:$K,MATCH(INDEX($M:$M,MATCH(AT118,$N:$N,0)),$M:$M,0)),$D118,""),"")</f>
        <v/>
      </c>
      <c r="BE118" s="9" t="str">
        <f t="shared" si="16"/>
        <v/>
      </c>
      <c r="BI118" s="9" t="str">
        <f>IFERROR(
IF(COUNTIF($M:$M,$AD118)&lt;BI$8,
"",
INDEX($J:$J,MATCH($AD118,$M:$M,0)+BI$8-1)),
"")</f>
        <v/>
      </c>
      <c r="BJ118" s="9" t="str">
        <f>IFERROR(
IF(COUNTIF($M:$M,$AD118)&lt;BJ$8,
"",
INDEX($J:$J,MATCH($AD118,$M:$M,0)+BJ$8-1)),
"")</f>
        <v/>
      </c>
      <c r="BK118" s="9" t="str">
        <f>IFERROR(
IF(COUNTIF($M:$M,$AD118)&lt;BK$8,
"",
INDEX($J:$J,MATCH($AD118,$M:$M,0)+BK$8-1)),
"")</f>
        <v/>
      </c>
      <c r="BL118" s="9" t="str">
        <f>IFERROR(
IF(COUNTIF($M:$M,$AD118)&lt;BL$8,
"",
INDEX($J:$J,MATCH($AD118,$M:$M,0)+BL$8-1)),
"")</f>
        <v/>
      </c>
      <c r="BN118" s="21" t="str">
        <f>IFERROR(
IF(COUNTIF($BI118:BM118,INDEX($J:$J,MATCH($AE118,$M:$M,0)+BN$8-1))=0,
IF(COUNTIF($M:$M,$AE118)&lt;BN$8,
"",
INDEX($J:$J,MATCH($AE118,$M:$M,0)+BN$8-1)),
""),
"")</f>
        <v/>
      </c>
      <c r="BO118" s="21" t="str">
        <f>IFERROR(
IF(COUNTIF($BI118:BN118,INDEX($J:$J,MATCH($AE118,$M:$M,0)+BO$8-1))=0,
IF(COUNTIF($M:$M,$AE118)&lt;BO$8,
"",
INDEX($J:$J,MATCH($AE118,$M:$M,0)+BO$8-1)),
""),
"")</f>
        <v/>
      </c>
      <c r="BP118" s="21" t="str">
        <f>IFERROR(
IF(COUNTIF($BI118:BO118,INDEX($J:$J,MATCH($AE118,$M:$M,0)+BP$8-1))=0,
IF(COUNTIF($M:$M,$AE118)&lt;BP$8,
"",
INDEX($J:$J,MATCH($AE118,$M:$M,0)+BP$8-1)),
""),
"")</f>
        <v/>
      </c>
      <c r="BQ118" s="21" t="str">
        <f>IFERROR(
IF(COUNTIF($BI118:BP118,INDEX($J:$J,MATCH($AE118,$M:$M,0)+BQ$8-1))=0,
IF(COUNTIF($M:$M,$AE118)&lt;BQ$8,
"",
INDEX($J:$J,MATCH($AE118,$M:$M,0)+BQ$8-1)),
""),
"")</f>
        <v/>
      </c>
      <c r="BS118" s="21" t="str">
        <f>IFERROR(
IF(COUNTIF($BI118:BR118,INDEX($J:$J,MATCH($AF118,$M:$M,0)+BS$8-1))=0,
IF(COUNTIF($M:$M,$AF118)&lt;BS$8,
"",
INDEX($J:$J,MATCH($AF118,$M:$M,0)+BS$8-1)),
""),
"")</f>
        <v/>
      </c>
      <c r="BT118" s="21" t="str">
        <f>IFERROR(
IF(COUNTIF($BI118:BS118,INDEX($J:$J,MATCH($AF118,$M:$M,0)+BT$8-1))=0,
IF(COUNTIF($M:$M,$AF118)&lt;BT$8,
"",
INDEX($J:$J,MATCH($AF118,$M:$M,0)+BT$8-1)),
""),
"")</f>
        <v/>
      </c>
      <c r="BU118" s="21" t="str">
        <f>IFERROR(
IF(COUNTIF($BI118:BT118,INDEX($J:$J,MATCH($AF118,$M:$M,0)+BU$8-1))=0,
IF(COUNTIF($M:$M,$AF118)&lt;BU$8,
"",
INDEX($J:$J,MATCH($AF118,$M:$M,0)+BU$8-1)),
""),
"")</f>
        <v/>
      </c>
      <c r="BV118" s="21" t="str">
        <f>IFERROR(
IF(COUNTIF($BI118:BU118,INDEX($J:$J,MATCH($AF118,$M:$M,0)+BV$8-1))=0,
IF(COUNTIF($M:$M,$AF118)&lt;BV$8,
"",
INDEX($J:$J,MATCH($AF118,$M:$M,0)+BV$8-1)),
""),
"")</f>
        <v/>
      </c>
      <c r="BX118" s="21" t="str">
        <f>IFERROR(
IF(COUNTIF($BI118:BW118,INDEX($J:$J,MATCH($AG118,$M:$M,0)+BX$8-1))=0,
IF(COUNTIF($M:$M,$AG118)&lt;BX$8,
"",
INDEX($J:$J,MATCH($AG118,$M:$M,0)+BX$8-1)),
""),
"")</f>
        <v/>
      </c>
      <c r="BY118" s="21" t="str">
        <f>IFERROR(
IF(COUNTIF($BI118:BX118,INDEX($J:$J,MATCH($AG118,$M:$M,0)+BY$8-1))=0,
IF(COUNTIF($M:$M,$AG118)&lt;BY$8,
"",
INDEX($J:$J,MATCH($AG118,$M:$M,0)+BY$8-1)),
""),
"")</f>
        <v/>
      </c>
      <c r="BZ118" s="21" t="str">
        <f>IFERROR(
IF(COUNTIF($BI118:BY118,INDEX($J:$J,MATCH($AG118,$M:$M,0)+BZ$8-1))=0,
IF(COUNTIF($M:$M,$AG118)&lt;BZ$8,
"",
INDEX($J:$J,MATCH($AG118,$M:$M,0)+BZ$8-1)),
""),
"")</f>
        <v/>
      </c>
      <c r="CA118" s="21" t="str">
        <f>IFERROR(
IF(COUNTIF($BI118:BZ118,INDEX($J:$J,MATCH($AG118,$M:$M,0)+CA$8-1))=0,
IF(COUNTIF($M:$M,$AG118)&lt;CA$8,
"",
INDEX($J:$J,MATCH($AG118,$M:$M,0)+CA$8-1)),
""),
"")</f>
        <v/>
      </c>
      <c r="CC118" s="21" t="str">
        <f>IFERROR(
IF(COUNTIF($BI118:CB118,INDEX($J:$J,MATCH($AH118,$M:$M,0)+CC$8-1))=0,
IF(COUNTIF($M:$M,$AH118)&lt;CC$8,
"",
INDEX($J:$J,MATCH($AH118,$M:$M,0)+CC$8-1)),
""),
"")</f>
        <v/>
      </c>
      <c r="CD118" s="21" t="str">
        <f>IFERROR(
IF(COUNTIF($BI118:CC118,INDEX($J:$J,MATCH($AH118,$M:$M,0)+CD$8-1))=0,
IF(COUNTIF($M:$M,$AH118)&lt;CD$8,
"",
INDEX($J:$J,MATCH($AH118,$M:$M,0)+CD$8-1)),
""),
"")</f>
        <v/>
      </c>
      <c r="CE118" s="21" t="str">
        <f>IFERROR(
IF(COUNTIF($BI118:CD118,INDEX($J:$J,MATCH($AH118,$M:$M,0)+CE$8-1))=0,
IF(COUNTIF($M:$M,$AH118)&lt;CE$8,
"",
INDEX($J:$J,MATCH($AH118,$M:$M,0)+CE$8-1)),
""),
"")</f>
        <v/>
      </c>
      <c r="CF118" s="21" t="str">
        <f>IFERROR(
IF(COUNTIF($BI118:CE118,INDEX($J:$J,MATCH($AH118,$M:$M,0)+CF$8-1))=0,
IF(COUNTIF($M:$M,$AH118)&lt;CF$8,
"",
INDEX($J:$J,MATCH($AH118,$M:$M,0)+CF$8-1)),
""),
"")</f>
        <v/>
      </c>
      <c r="CH118" s="21" t="str">
        <f>IFERROR(
IF(COUNTIF($BI118:CG118,INDEX($J:$J,MATCH($AI118,$M:$M,0)+CH$8-1))=0,
IF(COUNTIF($M:$M,$AI118)&lt;CH$8,
"",
INDEX($J:$J,MATCH($AI118,$M:$M,0)+CH$8-1)),
""),
"")</f>
        <v/>
      </c>
      <c r="CI118" s="21" t="str">
        <f>IFERROR(
IF(COUNTIF($BI118:CH118,INDEX($J:$J,MATCH($AI118,$M:$M,0)+CI$8-1))=0,
IF(COUNTIF($M:$M,$AI118)&lt;CI$8,
"",
INDEX($J:$J,MATCH($AI118,$M:$M,0)+CI$8-1)),
""),
"")</f>
        <v/>
      </c>
      <c r="CJ118" s="21" t="str">
        <f>IFERROR(
IF(COUNTIF($BI118:CI118,INDEX($J:$J,MATCH($AI118,$M:$M,0)+CJ$8-1))=0,
IF(COUNTIF($M:$M,$AI118)&lt;CJ$8,
"",
INDEX($J:$J,MATCH($AI118,$M:$M,0)+CJ$8-1)),
""),
"")</f>
        <v/>
      </c>
      <c r="CK118" s="21" t="str">
        <f>IFERROR(
IF(COUNTIF($BI118:CJ118,INDEX($J:$J,MATCH($AI118,$M:$M,0)+CK$8-1))=0,
IF(COUNTIF($M:$M,$AI118)&lt;CK$8,
"",
INDEX($J:$J,MATCH($AI118,$M:$M,0)+CK$8-1)),
""),
"")</f>
        <v/>
      </c>
      <c r="CM118" s="21" t="str">
        <f>IFERROR(
IF(COUNTIF($BI118:CL118,INDEX($J:$J,MATCH($AJ118,$M:$M,0)+CM$8-1))=0,
IF(COUNTIF($M:$M,$AJ118)&lt;CM$8,
"",
INDEX($J:$J,MATCH($AJ118,$M:$M,0)+CM$8-1)),
""),
"")</f>
        <v/>
      </c>
      <c r="CN118" s="21" t="str">
        <f>IFERROR(
IF(COUNTIF($BI118:CM118,INDEX($J:$J,MATCH($AJ118,$M:$M,0)+CN$8-1))=0,
IF(COUNTIF($M:$M,$AJ118)&lt;CN$8,
"",
INDEX($J:$J,MATCH($AJ118,$M:$M,0)+CN$8-1)),
""),
"")</f>
        <v/>
      </c>
      <c r="CO118" s="21" t="str">
        <f>IFERROR(
IF(COUNTIF($BI118:CN118,INDEX($J:$J,MATCH($AJ118,$M:$M,0)+CO$8-1))=0,
IF(COUNTIF($M:$M,$AJ118)&lt;CO$8,
"",
INDEX($J:$J,MATCH($AJ118,$M:$M,0)+CO$8-1)),
""),
"")</f>
        <v/>
      </c>
      <c r="CP118" s="21" t="str">
        <f>IFERROR(
IF(COUNTIF($BI118:CO118,INDEX($J:$J,MATCH($AJ118,$M:$M,0)+CP$8-1))=0,
IF(COUNTIF($M:$M,$AJ118)&lt;CP$8,
"",
INDEX($J:$J,MATCH($AJ118,$M:$M,0)+CP$8-1)),
""),
"")</f>
        <v/>
      </c>
      <c r="CR118" s="21" t="str">
        <f>IFERROR(
IF(COUNTIF($BI118:CQ118,INDEX($J:$J,MATCH($AK118,$M:$M,0)+CR$8-1))=0,
IF(COUNTIF($M:$M,$AK118)&lt;CR$8,
"",
INDEX($J:$J,MATCH($AK118,$M:$M,0)+CR$8-1)),
""),
"")</f>
        <v/>
      </c>
      <c r="CS118" s="21" t="str">
        <f>IFERROR(
IF(COUNTIF($BI118:CR118,INDEX($J:$J,MATCH($AK118,$M:$M,0)+CS$8-1))=0,
IF(COUNTIF($M:$M,$AK118)&lt;CS$8,
"",
INDEX($J:$J,MATCH($AK118,$M:$M,0)+CS$8-1)),
""),
"")</f>
        <v/>
      </c>
      <c r="CT118" s="21" t="str">
        <f>IFERROR(
IF(COUNTIF($BI118:CS118,INDEX($J:$J,MATCH($AK118,$M:$M,0)+CT$8-1))=0,
IF(COUNTIF($M:$M,$AK118)&lt;CT$8,
"",
INDEX($J:$J,MATCH($AK118,$M:$M,0)+CT$8-1)),
""),
"")</f>
        <v/>
      </c>
      <c r="CU118" s="21" t="str">
        <f>IFERROR(
IF(COUNTIF($BI118:CT118,INDEX($J:$J,MATCH($AK118,$M:$M,0)+CU$8-1))=0,
IF(COUNTIF($M:$M,$AK118)&lt;CU$8,
"",
INDEX($J:$J,MATCH($AK118,$M:$M,0)+CU$8-1)),
""),
"")</f>
        <v/>
      </c>
    </row>
    <row r="119" spans="8:99">
      <c r="H119" s="7" t="str">
        <f>IF(I119="","",COUNTA(I$9:$I119))</f>
        <v/>
      </c>
      <c r="I119" s="6"/>
      <c r="J119" s="6" t="s">
        <v>249</v>
      </c>
      <c r="K119" s="8" t="str">
        <f>IF(H119="","",阶段合并区域(J119:J128," ",L119:L128,1))</f>
        <v/>
      </c>
      <c r="L119" s="8">
        <f>COUNTIF(M$8:$M119,"="&amp;M119)</f>
        <v>2</v>
      </c>
      <c r="M119" s="9" t="str">
        <f t="shared" si="25"/>
        <v>红颜薄命</v>
      </c>
      <c r="N119" s="9" t="str">
        <f t="shared" si="26"/>
        <v>红颜薄命2</v>
      </c>
      <c r="O119" s="15">
        <f>INDEX(C:C,MATCH(J119,D:D,0))</f>
        <v>7</v>
      </c>
      <c r="P119" s="9">
        <f>INDEX(E:E,MATCH(J119,D:D,0))</f>
        <v>120</v>
      </c>
      <c r="Q119" s="7">
        <f t="shared" si="10"/>
        <v>7</v>
      </c>
      <c r="R119" s="7">
        <f>COUNTIF(J$8:$J119,"="&amp;J119)</f>
        <v>4</v>
      </c>
      <c r="S119" s="7">
        <f t="shared" si="27"/>
        <v>4007</v>
      </c>
      <c r="U119" s="7">
        <f t="shared" si="24"/>
        <v>1000</v>
      </c>
      <c r="V119" s="7">
        <f t="shared" si="24"/>
        <v>2000</v>
      </c>
      <c r="W119" s="7">
        <f t="shared" si="24"/>
        <v>3000</v>
      </c>
      <c r="X119" s="7">
        <f t="shared" si="24"/>
        <v>4000</v>
      </c>
      <c r="Y119" s="7">
        <f t="shared" si="24"/>
        <v>5000</v>
      </c>
      <c r="Z119" s="7">
        <f t="shared" si="24"/>
        <v>6000</v>
      </c>
      <c r="AA119" s="7">
        <f t="shared" si="24"/>
        <v>7000</v>
      </c>
      <c r="AB119" s="7">
        <f t="shared" si="24"/>
        <v>8000</v>
      </c>
      <c r="AD119" s="21" t="str">
        <f>IFERROR(INDEX($M:$M,MATCH(U119,$S:$S,0)),"&amp;")</f>
        <v>&amp;</v>
      </c>
      <c r="AE119" s="21" t="str">
        <f>IFERROR(INDEX($M:$M,MATCH(V119,$S:$S,0)),"&amp;")</f>
        <v>&amp;</v>
      </c>
      <c r="AF119" s="21" t="str">
        <f>IFERROR(INDEX($M:$M,MATCH(W119,$S:$S,0)),"&amp;")</f>
        <v>&amp;</v>
      </c>
      <c r="AG119" s="21" t="str">
        <f>IFERROR(INDEX($M:$M,MATCH(X119,$S:$S,0)),"&amp;")</f>
        <v>&amp;</v>
      </c>
      <c r="AH119" s="21" t="str">
        <f>IFERROR(INDEX($M:$M,MATCH(Y119,$S:$S,0)),"&amp;")</f>
        <v>&amp;</v>
      </c>
      <c r="AI119" s="21" t="str">
        <f>IFERROR(INDEX($M:$M,MATCH(Z119,$S:$S,0)),"&amp;")</f>
        <v>&amp;</v>
      </c>
      <c r="AJ119" s="21" t="str">
        <f>IFERROR(INDEX($M:$M,MATCH(AA119,$S:$S,0)),"&amp;")</f>
        <v>&amp;</v>
      </c>
      <c r="AK119" s="21" t="str">
        <f>IFERROR(INDEX($M:$M,MATCH(AB119,$S:$S,0)),"&amp;")</f>
        <v>&amp;</v>
      </c>
      <c r="AM119" s="21" t="str">
        <f>IFERROR(INDEX($N:$N,MATCH(U119,$S:$S,0)),"&amp;")</f>
        <v>&amp;</v>
      </c>
      <c r="AN119" s="21" t="str">
        <f>IFERROR(INDEX($N:$N,MATCH(V119,$S:$S,0)),"&amp;")</f>
        <v>&amp;</v>
      </c>
      <c r="AO119" s="21" t="str">
        <f>IFERROR(INDEX($N:$N,MATCH(W119,$S:$S,0)),"&amp;")</f>
        <v>&amp;</v>
      </c>
      <c r="AP119" s="21" t="str">
        <f>IFERROR(INDEX($N:$N,MATCH(X119,$S:$S,0)),"&amp;")</f>
        <v>&amp;</v>
      </c>
      <c r="AQ119" s="21" t="str">
        <f>IFERROR(INDEX($N:$N,MATCH(Y119,$S:$S,0)),"&amp;")</f>
        <v>&amp;</v>
      </c>
      <c r="AR119" s="21" t="str">
        <f>IFERROR(INDEX($N:$N,MATCH(Z119,$S:$S,0)),"&amp;")</f>
        <v>&amp;</v>
      </c>
      <c r="AS119" s="21" t="str">
        <f>IFERROR(INDEX($N:$N,MATCH(AA119,$S:$S,0)),"&amp;")</f>
        <v>&amp;</v>
      </c>
      <c r="AT119" s="21" t="str">
        <f>IFERROR(INDEX($N:$N,MATCH(AB119,$S:$S,0)),"&amp;")</f>
        <v>&amp;</v>
      </c>
      <c r="AV119" s="21" t="str">
        <f>IFERROR(SUBSTITUTE(INDEX($K:$K,MATCH(INDEX($M:$M,MATCH(AM119,$N:$N,0)),$M:$M,0)),$D119,""),"")</f>
        <v/>
      </c>
      <c r="AW119" s="21" t="str">
        <f>IFERROR(SUBSTITUTE(INDEX($K:$K,MATCH(INDEX($M:$M,MATCH(AN119,$N:$N,0)),$M:$M,0)),$D119,""),"")</f>
        <v/>
      </c>
      <c r="AX119" s="21" t="str">
        <f>IFERROR(SUBSTITUTE(INDEX($K:$K,MATCH(INDEX($M:$M,MATCH(AO119,$N:$N,0)),$M:$M,0)),$D119,""),"")</f>
        <v/>
      </c>
      <c r="AY119" s="21" t="str">
        <f>IFERROR(SUBSTITUTE(INDEX($K:$K,MATCH(INDEX($M:$M,MATCH(AP119,$N:$N,0)),$M:$M,0)),$D119,""),"")</f>
        <v/>
      </c>
      <c r="AZ119" s="21" t="str">
        <f>IFERROR(SUBSTITUTE(INDEX($K:$K,MATCH(INDEX($M:$M,MATCH(AQ119,$N:$N,0)),$M:$M,0)),$D119,""),"")</f>
        <v/>
      </c>
      <c r="BA119" s="21" t="str">
        <f>IFERROR(SUBSTITUTE(INDEX($K:$K,MATCH(INDEX($M:$M,MATCH(AR119,$N:$N,0)),$M:$M,0)),$D119,""),"")</f>
        <v/>
      </c>
      <c r="BB119" s="21" t="str">
        <f>IFERROR(SUBSTITUTE(INDEX($K:$K,MATCH(INDEX($M:$M,MATCH(AS119,$N:$N,0)),$M:$M,0)),$D119,""),"")</f>
        <v/>
      </c>
      <c r="BC119" s="21" t="str">
        <f>IFERROR(SUBSTITUTE(INDEX($K:$K,MATCH(INDEX($M:$M,MATCH(AT119,$N:$N,0)),$M:$M,0)),$D119,""),"")</f>
        <v/>
      </c>
      <c r="BE119" s="9" t="str">
        <f t="shared" si="16"/>
        <v/>
      </c>
      <c r="BI119" s="9" t="str">
        <f>IFERROR(
IF(COUNTIF($M:$M,$AD119)&lt;BI$8,
"",
INDEX($J:$J,MATCH($AD119,$M:$M,0)+BI$8-1)),
"")</f>
        <v/>
      </c>
      <c r="BJ119" s="9" t="str">
        <f>IFERROR(
IF(COUNTIF($M:$M,$AD119)&lt;BJ$8,
"",
INDEX($J:$J,MATCH($AD119,$M:$M,0)+BJ$8-1)),
"")</f>
        <v/>
      </c>
      <c r="BK119" s="9" t="str">
        <f>IFERROR(
IF(COUNTIF($M:$M,$AD119)&lt;BK$8,
"",
INDEX($J:$J,MATCH($AD119,$M:$M,0)+BK$8-1)),
"")</f>
        <v/>
      </c>
      <c r="BL119" s="9" t="str">
        <f>IFERROR(
IF(COUNTIF($M:$M,$AD119)&lt;BL$8,
"",
INDEX($J:$J,MATCH($AD119,$M:$M,0)+BL$8-1)),
"")</f>
        <v/>
      </c>
      <c r="BN119" s="21" t="str">
        <f>IFERROR(
IF(COUNTIF($BI119:BM119,INDEX($J:$J,MATCH($AE119,$M:$M,0)+BN$8-1))=0,
IF(COUNTIF($M:$M,$AE119)&lt;BN$8,
"",
INDEX($J:$J,MATCH($AE119,$M:$M,0)+BN$8-1)),
""),
"")</f>
        <v/>
      </c>
      <c r="BO119" s="21" t="str">
        <f>IFERROR(
IF(COUNTIF($BI119:BN119,INDEX($J:$J,MATCH($AE119,$M:$M,0)+BO$8-1))=0,
IF(COUNTIF($M:$M,$AE119)&lt;BO$8,
"",
INDEX($J:$J,MATCH($AE119,$M:$M,0)+BO$8-1)),
""),
"")</f>
        <v/>
      </c>
      <c r="BP119" s="21" t="str">
        <f>IFERROR(
IF(COUNTIF($BI119:BO119,INDEX($J:$J,MATCH($AE119,$M:$M,0)+BP$8-1))=0,
IF(COUNTIF($M:$M,$AE119)&lt;BP$8,
"",
INDEX($J:$J,MATCH($AE119,$M:$M,0)+BP$8-1)),
""),
"")</f>
        <v/>
      </c>
      <c r="BQ119" s="21" t="str">
        <f>IFERROR(
IF(COUNTIF($BI119:BP119,INDEX($J:$J,MATCH($AE119,$M:$M,0)+BQ$8-1))=0,
IF(COUNTIF($M:$M,$AE119)&lt;BQ$8,
"",
INDEX($J:$J,MATCH($AE119,$M:$M,0)+BQ$8-1)),
""),
"")</f>
        <v/>
      </c>
      <c r="BS119" s="21" t="str">
        <f>IFERROR(
IF(COUNTIF($BI119:BR119,INDEX($J:$J,MATCH($AF119,$M:$M,0)+BS$8-1))=0,
IF(COUNTIF($M:$M,$AF119)&lt;BS$8,
"",
INDEX($J:$J,MATCH($AF119,$M:$M,0)+BS$8-1)),
""),
"")</f>
        <v/>
      </c>
      <c r="BT119" s="21" t="str">
        <f>IFERROR(
IF(COUNTIF($BI119:BS119,INDEX($J:$J,MATCH($AF119,$M:$M,0)+BT$8-1))=0,
IF(COUNTIF($M:$M,$AF119)&lt;BT$8,
"",
INDEX($J:$J,MATCH($AF119,$M:$M,0)+BT$8-1)),
""),
"")</f>
        <v/>
      </c>
      <c r="BU119" s="21" t="str">
        <f>IFERROR(
IF(COUNTIF($BI119:BT119,INDEX($J:$J,MATCH($AF119,$M:$M,0)+BU$8-1))=0,
IF(COUNTIF($M:$M,$AF119)&lt;BU$8,
"",
INDEX($J:$J,MATCH($AF119,$M:$M,0)+BU$8-1)),
""),
"")</f>
        <v/>
      </c>
      <c r="BV119" s="21" t="str">
        <f>IFERROR(
IF(COUNTIF($BI119:BU119,INDEX($J:$J,MATCH($AF119,$M:$M,0)+BV$8-1))=0,
IF(COUNTIF($M:$M,$AF119)&lt;BV$8,
"",
INDEX($J:$J,MATCH($AF119,$M:$M,0)+BV$8-1)),
""),
"")</f>
        <v/>
      </c>
      <c r="BX119" s="21" t="str">
        <f>IFERROR(
IF(COUNTIF($BI119:BW119,INDEX($J:$J,MATCH($AG119,$M:$M,0)+BX$8-1))=0,
IF(COUNTIF($M:$M,$AG119)&lt;BX$8,
"",
INDEX($J:$J,MATCH($AG119,$M:$M,0)+BX$8-1)),
""),
"")</f>
        <v/>
      </c>
      <c r="BY119" s="21" t="str">
        <f>IFERROR(
IF(COUNTIF($BI119:BX119,INDEX($J:$J,MATCH($AG119,$M:$M,0)+BY$8-1))=0,
IF(COUNTIF($M:$M,$AG119)&lt;BY$8,
"",
INDEX($J:$J,MATCH($AG119,$M:$M,0)+BY$8-1)),
""),
"")</f>
        <v/>
      </c>
      <c r="BZ119" s="21" t="str">
        <f>IFERROR(
IF(COUNTIF($BI119:BY119,INDEX($J:$J,MATCH($AG119,$M:$M,0)+BZ$8-1))=0,
IF(COUNTIF($M:$M,$AG119)&lt;BZ$8,
"",
INDEX($J:$J,MATCH($AG119,$M:$M,0)+BZ$8-1)),
""),
"")</f>
        <v/>
      </c>
      <c r="CA119" s="21" t="str">
        <f>IFERROR(
IF(COUNTIF($BI119:BZ119,INDEX($J:$J,MATCH($AG119,$M:$M,0)+CA$8-1))=0,
IF(COUNTIF($M:$M,$AG119)&lt;CA$8,
"",
INDEX($J:$J,MATCH($AG119,$M:$M,0)+CA$8-1)),
""),
"")</f>
        <v/>
      </c>
      <c r="CC119" s="21" t="str">
        <f>IFERROR(
IF(COUNTIF($BI119:CB119,INDEX($J:$J,MATCH($AH119,$M:$M,0)+CC$8-1))=0,
IF(COUNTIF($M:$M,$AH119)&lt;CC$8,
"",
INDEX($J:$J,MATCH($AH119,$M:$M,0)+CC$8-1)),
""),
"")</f>
        <v/>
      </c>
      <c r="CD119" s="21" t="str">
        <f>IFERROR(
IF(COUNTIF($BI119:CC119,INDEX($J:$J,MATCH($AH119,$M:$M,0)+CD$8-1))=0,
IF(COUNTIF($M:$M,$AH119)&lt;CD$8,
"",
INDEX($J:$J,MATCH($AH119,$M:$M,0)+CD$8-1)),
""),
"")</f>
        <v/>
      </c>
      <c r="CE119" s="21" t="str">
        <f>IFERROR(
IF(COUNTIF($BI119:CD119,INDEX($J:$J,MATCH($AH119,$M:$M,0)+CE$8-1))=0,
IF(COUNTIF($M:$M,$AH119)&lt;CE$8,
"",
INDEX($J:$J,MATCH($AH119,$M:$M,0)+CE$8-1)),
""),
"")</f>
        <v/>
      </c>
      <c r="CF119" s="21" t="str">
        <f>IFERROR(
IF(COUNTIF($BI119:CE119,INDEX($J:$J,MATCH($AH119,$M:$M,0)+CF$8-1))=0,
IF(COUNTIF($M:$M,$AH119)&lt;CF$8,
"",
INDEX($J:$J,MATCH($AH119,$M:$M,0)+CF$8-1)),
""),
"")</f>
        <v/>
      </c>
      <c r="CH119" s="21" t="str">
        <f>IFERROR(
IF(COUNTIF($BI119:CG119,INDEX($J:$J,MATCH($AI119,$M:$M,0)+CH$8-1))=0,
IF(COUNTIF($M:$M,$AI119)&lt;CH$8,
"",
INDEX($J:$J,MATCH($AI119,$M:$M,0)+CH$8-1)),
""),
"")</f>
        <v/>
      </c>
      <c r="CI119" s="21" t="str">
        <f>IFERROR(
IF(COUNTIF($BI119:CH119,INDEX($J:$J,MATCH($AI119,$M:$M,0)+CI$8-1))=0,
IF(COUNTIF($M:$M,$AI119)&lt;CI$8,
"",
INDEX($J:$J,MATCH($AI119,$M:$M,0)+CI$8-1)),
""),
"")</f>
        <v/>
      </c>
      <c r="CJ119" s="21" t="str">
        <f>IFERROR(
IF(COUNTIF($BI119:CI119,INDEX($J:$J,MATCH($AI119,$M:$M,0)+CJ$8-1))=0,
IF(COUNTIF($M:$M,$AI119)&lt;CJ$8,
"",
INDEX($J:$J,MATCH($AI119,$M:$M,0)+CJ$8-1)),
""),
"")</f>
        <v/>
      </c>
      <c r="CK119" s="21" t="str">
        <f>IFERROR(
IF(COUNTIF($BI119:CJ119,INDEX($J:$J,MATCH($AI119,$M:$M,0)+CK$8-1))=0,
IF(COUNTIF($M:$M,$AI119)&lt;CK$8,
"",
INDEX($J:$J,MATCH($AI119,$M:$M,0)+CK$8-1)),
""),
"")</f>
        <v/>
      </c>
      <c r="CM119" s="21" t="str">
        <f>IFERROR(
IF(COUNTIF($BI119:CL119,INDEX($J:$J,MATCH($AJ119,$M:$M,0)+CM$8-1))=0,
IF(COUNTIF($M:$M,$AJ119)&lt;CM$8,
"",
INDEX($J:$J,MATCH($AJ119,$M:$M,0)+CM$8-1)),
""),
"")</f>
        <v/>
      </c>
      <c r="CN119" s="21" t="str">
        <f>IFERROR(
IF(COUNTIF($BI119:CM119,INDEX($J:$J,MATCH($AJ119,$M:$M,0)+CN$8-1))=0,
IF(COUNTIF($M:$M,$AJ119)&lt;CN$8,
"",
INDEX($J:$J,MATCH($AJ119,$M:$M,0)+CN$8-1)),
""),
"")</f>
        <v/>
      </c>
      <c r="CO119" s="21" t="str">
        <f>IFERROR(
IF(COUNTIF($BI119:CN119,INDEX($J:$J,MATCH($AJ119,$M:$M,0)+CO$8-1))=0,
IF(COUNTIF($M:$M,$AJ119)&lt;CO$8,
"",
INDEX($J:$J,MATCH($AJ119,$M:$M,0)+CO$8-1)),
""),
"")</f>
        <v/>
      </c>
      <c r="CP119" s="21" t="str">
        <f>IFERROR(
IF(COUNTIF($BI119:CO119,INDEX($J:$J,MATCH($AJ119,$M:$M,0)+CP$8-1))=0,
IF(COUNTIF($M:$M,$AJ119)&lt;CP$8,
"",
INDEX($J:$J,MATCH($AJ119,$M:$M,0)+CP$8-1)),
""),
"")</f>
        <v/>
      </c>
      <c r="CR119" s="21" t="str">
        <f>IFERROR(
IF(COUNTIF($BI119:CQ119,INDEX($J:$J,MATCH($AK119,$M:$M,0)+CR$8-1))=0,
IF(COUNTIF($M:$M,$AK119)&lt;CR$8,
"",
INDEX($J:$J,MATCH($AK119,$M:$M,0)+CR$8-1)),
""),
"")</f>
        <v/>
      </c>
      <c r="CS119" s="21" t="str">
        <f>IFERROR(
IF(COUNTIF($BI119:CR119,INDEX($J:$J,MATCH($AK119,$M:$M,0)+CS$8-1))=0,
IF(COUNTIF($M:$M,$AK119)&lt;CS$8,
"",
INDEX($J:$J,MATCH($AK119,$M:$M,0)+CS$8-1)),
""),
"")</f>
        <v/>
      </c>
      <c r="CT119" s="21" t="str">
        <f>IFERROR(
IF(COUNTIF($BI119:CS119,INDEX($J:$J,MATCH($AK119,$M:$M,0)+CT$8-1))=0,
IF(COUNTIF($M:$M,$AK119)&lt;CT$8,
"",
INDEX($J:$J,MATCH($AK119,$M:$M,0)+CT$8-1)),
""),
"")</f>
        <v/>
      </c>
      <c r="CU119" s="21" t="str">
        <f>IFERROR(
IF(COUNTIF($BI119:CT119,INDEX($J:$J,MATCH($AK119,$M:$M,0)+CU$8-1))=0,
IF(COUNTIF($M:$M,$AK119)&lt;CU$8,
"",
INDEX($J:$J,MATCH($AK119,$M:$M,0)+CU$8-1)),
""),
"")</f>
        <v/>
      </c>
    </row>
    <row r="120" spans="8:99">
      <c r="H120" s="7" t="str">
        <f>IF(I120="","",COUNTA(I$9:$I120))</f>
        <v/>
      </c>
      <c r="I120" s="6"/>
      <c r="J120" s="6" t="s">
        <v>250</v>
      </c>
      <c r="K120" s="8" t="str">
        <f>IF(H120="","",阶段合并区域(J120:J128," ",L120:L128,1))</f>
        <v/>
      </c>
      <c r="L120" s="8">
        <f>COUNTIF(M$8:$M120,"="&amp;M120)</f>
        <v>3</v>
      </c>
      <c r="M120" s="9" t="str">
        <f t="shared" si="25"/>
        <v>红颜薄命</v>
      </c>
      <c r="N120" s="9" t="str">
        <f t="shared" si="26"/>
        <v>红颜薄命3</v>
      </c>
      <c r="O120" s="15">
        <f>INDEX(C:C,MATCH(J120,D:D,0))</f>
        <v>1</v>
      </c>
      <c r="P120" s="9">
        <f>INDEX(E:E,MATCH(J120,D:D,0))</f>
        <v>120</v>
      </c>
      <c r="Q120" s="7">
        <f t="shared" si="10"/>
        <v>1</v>
      </c>
      <c r="R120" s="7">
        <f>COUNTIF(J$8:$J120,"="&amp;J120)</f>
        <v>3</v>
      </c>
      <c r="S120" s="7">
        <f t="shared" si="27"/>
        <v>3001</v>
      </c>
      <c r="U120" s="7">
        <f t="shared" si="24"/>
        <v>1000</v>
      </c>
      <c r="V120" s="7">
        <f t="shared" si="24"/>
        <v>2000</v>
      </c>
      <c r="W120" s="7">
        <f t="shared" si="24"/>
        <v>3000</v>
      </c>
      <c r="X120" s="7">
        <f t="shared" si="24"/>
        <v>4000</v>
      </c>
      <c r="Y120" s="7">
        <f t="shared" si="24"/>
        <v>5000</v>
      </c>
      <c r="Z120" s="7">
        <f t="shared" si="24"/>
        <v>6000</v>
      </c>
      <c r="AA120" s="7">
        <f t="shared" si="24"/>
        <v>7000</v>
      </c>
      <c r="AB120" s="7">
        <f t="shared" si="24"/>
        <v>8000</v>
      </c>
      <c r="AD120" s="21" t="str">
        <f>IFERROR(INDEX($M:$M,MATCH(U120,$S:$S,0)),"&amp;")</f>
        <v>&amp;</v>
      </c>
      <c r="AE120" s="21" t="str">
        <f>IFERROR(INDEX($M:$M,MATCH(V120,$S:$S,0)),"&amp;")</f>
        <v>&amp;</v>
      </c>
      <c r="AF120" s="21" t="str">
        <f>IFERROR(INDEX($M:$M,MATCH(W120,$S:$S,0)),"&amp;")</f>
        <v>&amp;</v>
      </c>
      <c r="AG120" s="21" t="str">
        <f>IFERROR(INDEX($M:$M,MATCH(X120,$S:$S,0)),"&amp;")</f>
        <v>&amp;</v>
      </c>
      <c r="AH120" s="21" t="str">
        <f>IFERROR(INDEX($M:$M,MATCH(Y120,$S:$S,0)),"&amp;")</f>
        <v>&amp;</v>
      </c>
      <c r="AI120" s="21" t="str">
        <f>IFERROR(INDEX($M:$M,MATCH(Z120,$S:$S,0)),"&amp;")</f>
        <v>&amp;</v>
      </c>
      <c r="AJ120" s="21" t="str">
        <f>IFERROR(INDEX($M:$M,MATCH(AA120,$S:$S,0)),"&amp;")</f>
        <v>&amp;</v>
      </c>
      <c r="AK120" s="21" t="str">
        <f>IFERROR(INDEX($M:$M,MATCH(AB120,$S:$S,0)),"&amp;")</f>
        <v>&amp;</v>
      </c>
      <c r="AM120" s="21" t="str">
        <f>IFERROR(INDEX($N:$N,MATCH(U120,$S:$S,0)),"&amp;")</f>
        <v>&amp;</v>
      </c>
      <c r="AN120" s="21" t="str">
        <f>IFERROR(INDEX($N:$N,MATCH(V120,$S:$S,0)),"&amp;")</f>
        <v>&amp;</v>
      </c>
      <c r="AO120" s="21" t="str">
        <f>IFERROR(INDEX($N:$N,MATCH(W120,$S:$S,0)),"&amp;")</f>
        <v>&amp;</v>
      </c>
      <c r="AP120" s="21" t="str">
        <f>IFERROR(INDEX($N:$N,MATCH(X120,$S:$S,0)),"&amp;")</f>
        <v>&amp;</v>
      </c>
      <c r="AQ120" s="21" t="str">
        <f>IFERROR(INDEX($N:$N,MATCH(Y120,$S:$S,0)),"&amp;")</f>
        <v>&amp;</v>
      </c>
      <c r="AR120" s="21" t="str">
        <f>IFERROR(INDEX($N:$N,MATCH(Z120,$S:$S,0)),"&amp;")</f>
        <v>&amp;</v>
      </c>
      <c r="AS120" s="21" t="str">
        <f>IFERROR(INDEX($N:$N,MATCH(AA120,$S:$S,0)),"&amp;")</f>
        <v>&amp;</v>
      </c>
      <c r="AT120" s="21" t="str">
        <f>IFERROR(INDEX($N:$N,MATCH(AB120,$S:$S,0)),"&amp;")</f>
        <v>&amp;</v>
      </c>
      <c r="AV120" s="21" t="str">
        <f>IFERROR(SUBSTITUTE(INDEX($K:$K,MATCH(INDEX($M:$M,MATCH(AM120,$N:$N,0)),$M:$M,0)),$D120,""),"")</f>
        <v/>
      </c>
      <c r="AW120" s="21" t="str">
        <f>IFERROR(SUBSTITUTE(INDEX($K:$K,MATCH(INDEX($M:$M,MATCH(AN120,$N:$N,0)),$M:$M,0)),$D120,""),"")</f>
        <v/>
      </c>
      <c r="AX120" s="21" t="str">
        <f>IFERROR(SUBSTITUTE(INDEX($K:$K,MATCH(INDEX($M:$M,MATCH(AO120,$N:$N,0)),$M:$M,0)),$D120,""),"")</f>
        <v/>
      </c>
      <c r="AY120" s="21" t="str">
        <f>IFERROR(SUBSTITUTE(INDEX($K:$K,MATCH(INDEX($M:$M,MATCH(AP120,$N:$N,0)),$M:$M,0)),$D120,""),"")</f>
        <v/>
      </c>
      <c r="AZ120" s="21" t="str">
        <f>IFERROR(SUBSTITUTE(INDEX($K:$K,MATCH(INDEX($M:$M,MATCH(AQ120,$N:$N,0)),$M:$M,0)),$D120,""),"")</f>
        <v/>
      </c>
      <c r="BA120" s="21" t="str">
        <f>IFERROR(SUBSTITUTE(INDEX($K:$K,MATCH(INDEX($M:$M,MATCH(AR120,$N:$N,0)),$M:$M,0)),$D120,""),"")</f>
        <v/>
      </c>
      <c r="BB120" s="21" t="str">
        <f>IFERROR(SUBSTITUTE(INDEX($K:$K,MATCH(INDEX($M:$M,MATCH(AS120,$N:$N,0)),$M:$M,0)),$D120,""),"")</f>
        <v/>
      </c>
      <c r="BC120" s="21" t="str">
        <f>IFERROR(SUBSTITUTE(INDEX($K:$K,MATCH(INDEX($M:$M,MATCH(AT120,$N:$N,0)),$M:$M,0)),$D120,""),"")</f>
        <v/>
      </c>
      <c r="BE120" s="9" t="str">
        <f t="shared" si="16"/>
        <v/>
      </c>
      <c r="BI120" s="9" t="str">
        <f>IFERROR(
IF(COUNTIF($M:$M,$AD120)&lt;BI$8,
"",
INDEX($J:$J,MATCH($AD120,$M:$M,0)+BI$8-1)),
"")</f>
        <v/>
      </c>
      <c r="BJ120" s="9" t="str">
        <f>IFERROR(
IF(COUNTIF($M:$M,$AD120)&lt;BJ$8,
"",
INDEX($J:$J,MATCH($AD120,$M:$M,0)+BJ$8-1)),
"")</f>
        <v/>
      </c>
      <c r="BK120" s="9" t="str">
        <f>IFERROR(
IF(COUNTIF($M:$M,$AD120)&lt;BK$8,
"",
INDEX($J:$J,MATCH($AD120,$M:$M,0)+BK$8-1)),
"")</f>
        <v/>
      </c>
      <c r="BL120" s="9" t="str">
        <f>IFERROR(
IF(COUNTIF($M:$M,$AD120)&lt;BL$8,
"",
INDEX($J:$J,MATCH($AD120,$M:$M,0)+BL$8-1)),
"")</f>
        <v/>
      </c>
      <c r="BN120" s="21" t="str">
        <f>IFERROR(
IF(COUNTIF($BI120:BM120,INDEX($J:$J,MATCH($AE120,$M:$M,0)+BN$8-1))=0,
IF(COUNTIF($M:$M,$AE120)&lt;BN$8,
"",
INDEX($J:$J,MATCH($AE120,$M:$M,0)+BN$8-1)),
""),
"")</f>
        <v/>
      </c>
      <c r="BO120" s="21" t="str">
        <f>IFERROR(
IF(COUNTIF($BI120:BN120,INDEX($J:$J,MATCH($AE120,$M:$M,0)+BO$8-1))=0,
IF(COUNTIF($M:$M,$AE120)&lt;BO$8,
"",
INDEX($J:$J,MATCH($AE120,$M:$M,0)+BO$8-1)),
""),
"")</f>
        <v/>
      </c>
      <c r="BP120" s="21" t="str">
        <f>IFERROR(
IF(COUNTIF($BI120:BO120,INDEX($J:$J,MATCH($AE120,$M:$M,0)+BP$8-1))=0,
IF(COUNTIF($M:$M,$AE120)&lt;BP$8,
"",
INDEX($J:$J,MATCH($AE120,$M:$M,0)+BP$8-1)),
""),
"")</f>
        <v/>
      </c>
      <c r="BQ120" s="21" t="str">
        <f>IFERROR(
IF(COUNTIF($BI120:BP120,INDEX($J:$J,MATCH($AE120,$M:$M,0)+BQ$8-1))=0,
IF(COUNTIF($M:$M,$AE120)&lt;BQ$8,
"",
INDEX($J:$J,MATCH($AE120,$M:$M,0)+BQ$8-1)),
""),
"")</f>
        <v/>
      </c>
      <c r="BS120" s="21" t="str">
        <f>IFERROR(
IF(COUNTIF($BI120:BR120,INDEX($J:$J,MATCH($AF120,$M:$M,0)+BS$8-1))=0,
IF(COUNTIF($M:$M,$AF120)&lt;BS$8,
"",
INDEX($J:$J,MATCH($AF120,$M:$M,0)+BS$8-1)),
""),
"")</f>
        <v/>
      </c>
      <c r="BT120" s="21" t="str">
        <f>IFERROR(
IF(COUNTIF($BI120:BS120,INDEX($J:$J,MATCH($AF120,$M:$M,0)+BT$8-1))=0,
IF(COUNTIF($M:$M,$AF120)&lt;BT$8,
"",
INDEX($J:$J,MATCH($AF120,$M:$M,0)+BT$8-1)),
""),
"")</f>
        <v/>
      </c>
      <c r="BU120" s="21" t="str">
        <f>IFERROR(
IF(COUNTIF($BI120:BT120,INDEX($J:$J,MATCH($AF120,$M:$M,0)+BU$8-1))=0,
IF(COUNTIF($M:$M,$AF120)&lt;BU$8,
"",
INDEX($J:$J,MATCH($AF120,$M:$M,0)+BU$8-1)),
""),
"")</f>
        <v/>
      </c>
      <c r="BV120" s="21" t="str">
        <f>IFERROR(
IF(COUNTIF($BI120:BU120,INDEX($J:$J,MATCH($AF120,$M:$M,0)+BV$8-1))=0,
IF(COUNTIF($M:$M,$AF120)&lt;BV$8,
"",
INDEX($J:$J,MATCH($AF120,$M:$M,0)+BV$8-1)),
""),
"")</f>
        <v/>
      </c>
      <c r="BX120" s="21" t="str">
        <f>IFERROR(
IF(COUNTIF($BI120:BW120,INDEX($J:$J,MATCH($AG120,$M:$M,0)+BX$8-1))=0,
IF(COUNTIF($M:$M,$AG120)&lt;BX$8,
"",
INDEX($J:$J,MATCH($AG120,$M:$M,0)+BX$8-1)),
""),
"")</f>
        <v/>
      </c>
      <c r="BY120" s="21" t="str">
        <f>IFERROR(
IF(COUNTIF($BI120:BX120,INDEX($J:$J,MATCH($AG120,$M:$M,0)+BY$8-1))=0,
IF(COUNTIF($M:$M,$AG120)&lt;BY$8,
"",
INDEX($J:$J,MATCH($AG120,$M:$M,0)+BY$8-1)),
""),
"")</f>
        <v/>
      </c>
      <c r="BZ120" s="21" t="str">
        <f>IFERROR(
IF(COUNTIF($BI120:BY120,INDEX($J:$J,MATCH($AG120,$M:$M,0)+BZ$8-1))=0,
IF(COUNTIF($M:$M,$AG120)&lt;BZ$8,
"",
INDEX($J:$J,MATCH($AG120,$M:$M,0)+BZ$8-1)),
""),
"")</f>
        <v/>
      </c>
      <c r="CA120" s="21" t="str">
        <f>IFERROR(
IF(COUNTIF($BI120:BZ120,INDEX($J:$J,MATCH($AG120,$M:$M,0)+CA$8-1))=0,
IF(COUNTIF($M:$M,$AG120)&lt;CA$8,
"",
INDEX($J:$J,MATCH($AG120,$M:$M,0)+CA$8-1)),
""),
"")</f>
        <v/>
      </c>
      <c r="CC120" s="21" t="str">
        <f>IFERROR(
IF(COUNTIF($BI120:CB120,INDEX($J:$J,MATCH($AH120,$M:$M,0)+CC$8-1))=0,
IF(COUNTIF($M:$M,$AH120)&lt;CC$8,
"",
INDEX($J:$J,MATCH($AH120,$M:$M,0)+CC$8-1)),
""),
"")</f>
        <v/>
      </c>
      <c r="CD120" s="21" t="str">
        <f>IFERROR(
IF(COUNTIF($BI120:CC120,INDEX($J:$J,MATCH($AH120,$M:$M,0)+CD$8-1))=0,
IF(COUNTIF($M:$M,$AH120)&lt;CD$8,
"",
INDEX($J:$J,MATCH($AH120,$M:$M,0)+CD$8-1)),
""),
"")</f>
        <v/>
      </c>
      <c r="CE120" s="21" t="str">
        <f>IFERROR(
IF(COUNTIF($BI120:CD120,INDEX($J:$J,MATCH($AH120,$M:$M,0)+CE$8-1))=0,
IF(COUNTIF($M:$M,$AH120)&lt;CE$8,
"",
INDEX($J:$J,MATCH($AH120,$M:$M,0)+CE$8-1)),
""),
"")</f>
        <v/>
      </c>
      <c r="CF120" s="21" t="str">
        <f>IFERROR(
IF(COUNTIF($BI120:CE120,INDEX($J:$J,MATCH($AH120,$M:$M,0)+CF$8-1))=0,
IF(COUNTIF($M:$M,$AH120)&lt;CF$8,
"",
INDEX($J:$J,MATCH($AH120,$M:$M,0)+CF$8-1)),
""),
"")</f>
        <v/>
      </c>
      <c r="CH120" s="21" t="str">
        <f>IFERROR(
IF(COUNTIF($BI120:CG120,INDEX($J:$J,MATCH($AI120,$M:$M,0)+CH$8-1))=0,
IF(COUNTIF($M:$M,$AI120)&lt;CH$8,
"",
INDEX($J:$J,MATCH($AI120,$M:$M,0)+CH$8-1)),
""),
"")</f>
        <v/>
      </c>
      <c r="CI120" s="21" t="str">
        <f>IFERROR(
IF(COUNTIF($BI120:CH120,INDEX($J:$J,MATCH($AI120,$M:$M,0)+CI$8-1))=0,
IF(COUNTIF($M:$M,$AI120)&lt;CI$8,
"",
INDEX($J:$J,MATCH($AI120,$M:$M,0)+CI$8-1)),
""),
"")</f>
        <v/>
      </c>
      <c r="CJ120" s="21" t="str">
        <f>IFERROR(
IF(COUNTIF($BI120:CI120,INDEX($J:$J,MATCH($AI120,$M:$M,0)+CJ$8-1))=0,
IF(COUNTIF($M:$M,$AI120)&lt;CJ$8,
"",
INDEX($J:$J,MATCH($AI120,$M:$M,0)+CJ$8-1)),
""),
"")</f>
        <v/>
      </c>
      <c r="CK120" s="21" t="str">
        <f>IFERROR(
IF(COUNTIF($BI120:CJ120,INDEX($J:$J,MATCH($AI120,$M:$M,0)+CK$8-1))=0,
IF(COUNTIF($M:$M,$AI120)&lt;CK$8,
"",
INDEX($J:$J,MATCH($AI120,$M:$M,0)+CK$8-1)),
""),
"")</f>
        <v/>
      </c>
      <c r="CM120" s="21" t="str">
        <f>IFERROR(
IF(COUNTIF($BI120:CL120,INDEX($J:$J,MATCH($AJ120,$M:$M,0)+CM$8-1))=0,
IF(COUNTIF($M:$M,$AJ120)&lt;CM$8,
"",
INDEX($J:$J,MATCH($AJ120,$M:$M,0)+CM$8-1)),
""),
"")</f>
        <v/>
      </c>
      <c r="CN120" s="21" t="str">
        <f>IFERROR(
IF(COUNTIF($BI120:CM120,INDEX($J:$J,MATCH($AJ120,$M:$M,0)+CN$8-1))=0,
IF(COUNTIF($M:$M,$AJ120)&lt;CN$8,
"",
INDEX($J:$J,MATCH($AJ120,$M:$M,0)+CN$8-1)),
""),
"")</f>
        <v/>
      </c>
      <c r="CO120" s="21" t="str">
        <f>IFERROR(
IF(COUNTIF($BI120:CN120,INDEX($J:$J,MATCH($AJ120,$M:$M,0)+CO$8-1))=0,
IF(COUNTIF($M:$M,$AJ120)&lt;CO$8,
"",
INDEX($J:$J,MATCH($AJ120,$M:$M,0)+CO$8-1)),
""),
"")</f>
        <v/>
      </c>
      <c r="CP120" s="21" t="str">
        <f>IFERROR(
IF(COUNTIF($BI120:CO120,INDEX($J:$J,MATCH($AJ120,$M:$M,0)+CP$8-1))=0,
IF(COUNTIF($M:$M,$AJ120)&lt;CP$8,
"",
INDEX($J:$J,MATCH($AJ120,$M:$M,0)+CP$8-1)),
""),
"")</f>
        <v/>
      </c>
      <c r="CR120" s="21" t="str">
        <f>IFERROR(
IF(COUNTIF($BI120:CQ120,INDEX($J:$J,MATCH($AK120,$M:$M,0)+CR$8-1))=0,
IF(COUNTIF($M:$M,$AK120)&lt;CR$8,
"",
INDEX($J:$J,MATCH($AK120,$M:$M,0)+CR$8-1)),
""),
"")</f>
        <v/>
      </c>
      <c r="CS120" s="21" t="str">
        <f>IFERROR(
IF(COUNTIF($BI120:CR120,INDEX($J:$J,MATCH($AK120,$M:$M,0)+CS$8-1))=0,
IF(COUNTIF($M:$M,$AK120)&lt;CS$8,
"",
INDEX($J:$J,MATCH($AK120,$M:$M,0)+CS$8-1)),
""),
"")</f>
        <v/>
      </c>
      <c r="CT120" s="21" t="str">
        <f>IFERROR(
IF(COUNTIF($BI120:CS120,INDEX($J:$J,MATCH($AK120,$M:$M,0)+CT$8-1))=0,
IF(COUNTIF($M:$M,$AK120)&lt;CT$8,
"",
INDEX($J:$J,MATCH($AK120,$M:$M,0)+CT$8-1)),
""),
"")</f>
        <v/>
      </c>
      <c r="CU120" s="21" t="str">
        <f>IFERROR(
IF(COUNTIF($BI120:CT120,INDEX($J:$J,MATCH($AK120,$M:$M,0)+CU$8-1))=0,
IF(COUNTIF($M:$M,$AK120)&lt;CU$8,
"",
INDEX($J:$J,MATCH($AK120,$M:$M,0)+CU$8-1)),
""),
"")</f>
        <v/>
      </c>
    </row>
    <row r="121" spans="8:99">
      <c r="H121" s="7">
        <f>IF(I121="","",COUNTA(I$9:$I121))</f>
        <v>100</v>
      </c>
      <c r="I121" s="6" t="s">
        <v>246</v>
      </c>
      <c r="J121" s="6" t="s">
        <v>248</v>
      </c>
      <c r="K121" s="8" t="str">
        <f>IF(H121="","",阶段合并区域(J121:J128," ",L121:L128,1))</f>
        <v>褒姒 韩非子 屈原 项燕 褒姒 勾践 楚庄王 秦武王</v>
      </c>
      <c r="L121" s="8">
        <f>COUNTIF(M$8:$M121,"="&amp;M121)</f>
        <v>4</v>
      </c>
      <c r="M121" s="9" t="str">
        <f t="shared" si="25"/>
        <v>国破家亡</v>
      </c>
      <c r="N121" s="9" t="str">
        <f t="shared" si="26"/>
        <v>国破家亡4</v>
      </c>
      <c r="O121" s="15">
        <f>INDEX(C:C,MATCH(J121,D:D,0))</f>
        <v>60</v>
      </c>
      <c r="P121" s="9">
        <f>INDEX(E:E,MATCH(J121,D:D,0))</f>
        <v>130</v>
      </c>
      <c r="Q121" s="7">
        <f t="shared" si="10"/>
        <v>60</v>
      </c>
      <c r="R121" s="7">
        <f>COUNTIF(J$8:$J121,"="&amp;J121)</f>
        <v>2</v>
      </c>
      <c r="S121" s="7">
        <f t="shared" si="27"/>
        <v>2060</v>
      </c>
      <c r="U121" s="7">
        <f t="shared" si="24"/>
        <v>1000</v>
      </c>
      <c r="V121" s="7">
        <f t="shared" si="24"/>
        <v>2000</v>
      </c>
      <c r="W121" s="7">
        <f t="shared" si="24"/>
        <v>3000</v>
      </c>
      <c r="X121" s="7">
        <f t="shared" si="24"/>
        <v>4000</v>
      </c>
      <c r="Y121" s="7">
        <f t="shared" si="24"/>
        <v>5000</v>
      </c>
      <c r="Z121" s="7">
        <f t="shared" si="24"/>
        <v>6000</v>
      </c>
      <c r="AA121" s="7">
        <f t="shared" si="24"/>
        <v>7000</v>
      </c>
      <c r="AB121" s="7">
        <f t="shared" si="24"/>
        <v>8000</v>
      </c>
      <c r="AD121" s="21" t="str">
        <f>IFERROR(INDEX($M:$M,MATCH(U121,$S:$S,0)),"&amp;")</f>
        <v>&amp;</v>
      </c>
      <c r="AE121" s="21" t="str">
        <f>IFERROR(INDEX($M:$M,MATCH(V121,$S:$S,0)),"&amp;")</f>
        <v>&amp;</v>
      </c>
      <c r="AF121" s="21" t="str">
        <f>IFERROR(INDEX($M:$M,MATCH(W121,$S:$S,0)),"&amp;")</f>
        <v>&amp;</v>
      </c>
      <c r="AG121" s="21" t="str">
        <f>IFERROR(INDEX($M:$M,MATCH(X121,$S:$S,0)),"&amp;")</f>
        <v>&amp;</v>
      </c>
      <c r="AH121" s="21" t="str">
        <f>IFERROR(INDEX($M:$M,MATCH(Y121,$S:$S,0)),"&amp;")</f>
        <v>&amp;</v>
      </c>
      <c r="AI121" s="21" t="str">
        <f>IFERROR(INDEX($M:$M,MATCH(Z121,$S:$S,0)),"&amp;")</f>
        <v>&amp;</v>
      </c>
      <c r="AJ121" s="21" t="str">
        <f>IFERROR(INDEX($M:$M,MATCH(AA121,$S:$S,0)),"&amp;")</f>
        <v>&amp;</v>
      </c>
      <c r="AK121" s="21" t="str">
        <f>IFERROR(INDEX($M:$M,MATCH(AB121,$S:$S,0)),"&amp;")</f>
        <v>&amp;</v>
      </c>
      <c r="AM121" s="21" t="str">
        <f>IFERROR(INDEX($N:$N,MATCH(U121,$S:$S,0)),"&amp;")</f>
        <v>&amp;</v>
      </c>
      <c r="AN121" s="21" t="str">
        <f>IFERROR(INDEX($N:$N,MATCH(V121,$S:$S,0)),"&amp;")</f>
        <v>&amp;</v>
      </c>
      <c r="AO121" s="21" t="str">
        <f>IFERROR(INDEX($N:$N,MATCH(W121,$S:$S,0)),"&amp;")</f>
        <v>&amp;</v>
      </c>
      <c r="AP121" s="21" t="str">
        <f>IFERROR(INDEX($N:$N,MATCH(X121,$S:$S,0)),"&amp;")</f>
        <v>&amp;</v>
      </c>
      <c r="AQ121" s="21" t="str">
        <f>IFERROR(INDEX($N:$N,MATCH(Y121,$S:$S,0)),"&amp;")</f>
        <v>&amp;</v>
      </c>
      <c r="AR121" s="21" t="str">
        <f>IFERROR(INDEX($N:$N,MATCH(Z121,$S:$S,0)),"&amp;")</f>
        <v>&amp;</v>
      </c>
      <c r="AS121" s="21" t="str">
        <f>IFERROR(INDEX($N:$N,MATCH(AA121,$S:$S,0)),"&amp;")</f>
        <v>&amp;</v>
      </c>
      <c r="AT121" s="21" t="str">
        <f>IFERROR(INDEX($N:$N,MATCH(AB121,$S:$S,0)),"&amp;")</f>
        <v>&amp;</v>
      </c>
      <c r="AV121" s="21" t="str">
        <f>IFERROR(SUBSTITUTE(INDEX($K:$K,MATCH(INDEX($M:$M,MATCH(AM121,$N:$N,0)),$M:$M,0)),$D121,""),"")</f>
        <v/>
      </c>
      <c r="AW121" s="21" t="str">
        <f>IFERROR(SUBSTITUTE(INDEX($K:$K,MATCH(INDEX($M:$M,MATCH(AN121,$N:$N,0)),$M:$M,0)),$D121,""),"")</f>
        <v/>
      </c>
      <c r="AX121" s="21" t="str">
        <f>IFERROR(SUBSTITUTE(INDEX($K:$K,MATCH(INDEX($M:$M,MATCH(AO121,$N:$N,0)),$M:$M,0)),$D121,""),"")</f>
        <v/>
      </c>
      <c r="AY121" s="21" t="str">
        <f>IFERROR(SUBSTITUTE(INDEX($K:$K,MATCH(INDEX($M:$M,MATCH(AP121,$N:$N,0)),$M:$M,0)),$D121,""),"")</f>
        <v/>
      </c>
      <c r="AZ121" s="21" t="str">
        <f>IFERROR(SUBSTITUTE(INDEX($K:$K,MATCH(INDEX($M:$M,MATCH(AQ121,$N:$N,0)),$M:$M,0)),$D121,""),"")</f>
        <v/>
      </c>
      <c r="BA121" s="21" t="str">
        <f>IFERROR(SUBSTITUTE(INDEX($K:$K,MATCH(INDEX($M:$M,MATCH(AR121,$N:$N,0)),$M:$M,0)),$D121,""),"")</f>
        <v/>
      </c>
      <c r="BB121" s="21" t="str">
        <f>IFERROR(SUBSTITUTE(INDEX($K:$K,MATCH(INDEX($M:$M,MATCH(AS121,$N:$N,0)),$M:$M,0)),$D121,""),"")</f>
        <v/>
      </c>
      <c r="BC121" s="21" t="str">
        <f>IFERROR(SUBSTITUTE(INDEX($K:$K,MATCH(INDEX($M:$M,MATCH(AT121,$N:$N,0)),$M:$M,0)),$D121,""),"")</f>
        <v/>
      </c>
      <c r="BE121" s="9" t="str">
        <f t="shared" si="16"/>
        <v/>
      </c>
      <c r="BI121" s="9" t="str">
        <f>IFERROR(
IF(COUNTIF($M:$M,$AD121)&lt;BI$8,
"",
INDEX($J:$J,MATCH($AD121,$M:$M,0)+BI$8-1)),
"")</f>
        <v/>
      </c>
      <c r="BJ121" s="9" t="str">
        <f>IFERROR(
IF(COUNTIF($M:$M,$AD121)&lt;BJ$8,
"",
INDEX($J:$J,MATCH($AD121,$M:$M,0)+BJ$8-1)),
"")</f>
        <v/>
      </c>
      <c r="BK121" s="9" t="str">
        <f>IFERROR(
IF(COUNTIF($M:$M,$AD121)&lt;BK$8,
"",
INDEX($J:$J,MATCH($AD121,$M:$M,0)+BK$8-1)),
"")</f>
        <v/>
      </c>
      <c r="BL121" s="9" t="str">
        <f>IFERROR(
IF(COUNTIF($M:$M,$AD121)&lt;BL$8,
"",
INDEX($J:$J,MATCH($AD121,$M:$M,0)+BL$8-1)),
"")</f>
        <v/>
      </c>
      <c r="BN121" s="21" t="str">
        <f>IFERROR(
IF(COUNTIF($BI121:BM121,INDEX($J:$J,MATCH($AE121,$M:$M,0)+BN$8-1))=0,
IF(COUNTIF($M:$M,$AE121)&lt;BN$8,
"",
INDEX($J:$J,MATCH($AE121,$M:$M,0)+BN$8-1)),
""),
"")</f>
        <v/>
      </c>
      <c r="BO121" s="21" t="str">
        <f>IFERROR(
IF(COUNTIF($BI121:BN121,INDEX($J:$J,MATCH($AE121,$M:$M,0)+BO$8-1))=0,
IF(COUNTIF($M:$M,$AE121)&lt;BO$8,
"",
INDEX($J:$J,MATCH($AE121,$M:$M,0)+BO$8-1)),
""),
"")</f>
        <v/>
      </c>
      <c r="BP121" s="21" t="str">
        <f>IFERROR(
IF(COUNTIF($BI121:BO121,INDEX($J:$J,MATCH($AE121,$M:$M,0)+BP$8-1))=0,
IF(COUNTIF($M:$M,$AE121)&lt;BP$8,
"",
INDEX($J:$J,MATCH($AE121,$M:$M,0)+BP$8-1)),
""),
"")</f>
        <v/>
      </c>
      <c r="BQ121" s="21" t="str">
        <f>IFERROR(
IF(COUNTIF($BI121:BP121,INDEX($J:$J,MATCH($AE121,$M:$M,0)+BQ$8-1))=0,
IF(COUNTIF($M:$M,$AE121)&lt;BQ$8,
"",
INDEX($J:$J,MATCH($AE121,$M:$M,0)+BQ$8-1)),
""),
"")</f>
        <v/>
      </c>
      <c r="BS121" s="21" t="str">
        <f>IFERROR(
IF(COUNTIF($BI121:BR121,INDEX($J:$J,MATCH($AF121,$M:$M,0)+BS$8-1))=0,
IF(COUNTIF($M:$M,$AF121)&lt;BS$8,
"",
INDEX($J:$J,MATCH($AF121,$M:$M,0)+BS$8-1)),
""),
"")</f>
        <v/>
      </c>
      <c r="BT121" s="21" t="str">
        <f>IFERROR(
IF(COUNTIF($BI121:BS121,INDEX($J:$J,MATCH($AF121,$M:$M,0)+BT$8-1))=0,
IF(COUNTIF($M:$M,$AF121)&lt;BT$8,
"",
INDEX($J:$J,MATCH($AF121,$M:$M,0)+BT$8-1)),
""),
"")</f>
        <v/>
      </c>
      <c r="BU121" s="21" t="str">
        <f>IFERROR(
IF(COUNTIF($BI121:BT121,INDEX($J:$J,MATCH($AF121,$M:$M,0)+BU$8-1))=0,
IF(COUNTIF($M:$M,$AF121)&lt;BU$8,
"",
INDEX($J:$J,MATCH($AF121,$M:$M,0)+BU$8-1)),
""),
"")</f>
        <v/>
      </c>
      <c r="BV121" s="21" t="str">
        <f>IFERROR(
IF(COUNTIF($BI121:BU121,INDEX($J:$J,MATCH($AF121,$M:$M,0)+BV$8-1))=0,
IF(COUNTIF($M:$M,$AF121)&lt;BV$8,
"",
INDEX($J:$J,MATCH($AF121,$M:$M,0)+BV$8-1)),
""),
"")</f>
        <v/>
      </c>
      <c r="BX121" s="21" t="str">
        <f>IFERROR(
IF(COUNTIF($BI121:BW121,INDEX($J:$J,MATCH($AG121,$M:$M,0)+BX$8-1))=0,
IF(COUNTIF($M:$M,$AG121)&lt;BX$8,
"",
INDEX($J:$J,MATCH($AG121,$M:$M,0)+BX$8-1)),
""),
"")</f>
        <v/>
      </c>
      <c r="BY121" s="21" t="str">
        <f>IFERROR(
IF(COUNTIF($BI121:BX121,INDEX($J:$J,MATCH($AG121,$M:$M,0)+BY$8-1))=0,
IF(COUNTIF($M:$M,$AG121)&lt;BY$8,
"",
INDEX($J:$J,MATCH($AG121,$M:$M,0)+BY$8-1)),
""),
"")</f>
        <v/>
      </c>
      <c r="BZ121" s="21" t="str">
        <f>IFERROR(
IF(COUNTIF($BI121:BY121,INDEX($J:$J,MATCH($AG121,$M:$M,0)+BZ$8-1))=0,
IF(COUNTIF($M:$M,$AG121)&lt;BZ$8,
"",
INDEX($J:$J,MATCH($AG121,$M:$M,0)+BZ$8-1)),
""),
"")</f>
        <v/>
      </c>
      <c r="CA121" s="21" t="str">
        <f>IFERROR(
IF(COUNTIF($BI121:BZ121,INDEX($J:$J,MATCH($AG121,$M:$M,0)+CA$8-1))=0,
IF(COUNTIF($M:$M,$AG121)&lt;CA$8,
"",
INDEX($J:$J,MATCH($AG121,$M:$M,0)+CA$8-1)),
""),
"")</f>
        <v/>
      </c>
      <c r="CC121" s="21" t="str">
        <f>IFERROR(
IF(COUNTIF($BI121:CB121,INDEX($J:$J,MATCH($AH121,$M:$M,0)+CC$8-1))=0,
IF(COUNTIF($M:$M,$AH121)&lt;CC$8,
"",
INDEX($J:$J,MATCH($AH121,$M:$M,0)+CC$8-1)),
""),
"")</f>
        <v/>
      </c>
      <c r="CD121" s="21" t="str">
        <f>IFERROR(
IF(COUNTIF($BI121:CC121,INDEX($J:$J,MATCH($AH121,$M:$M,0)+CD$8-1))=0,
IF(COUNTIF($M:$M,$AH121)&lt;CD$8,
"",
INDEX($J:$J,MATCH($AH121,$M:$M,0)+CD$8-1)),
""),
"")</f>
        <v/>
      </c>
      <c r="CE121" s="21" t="str">
        <f>IFERROR(
IF(COUNTIF($BI121:CD121,INDEX($J:$J,MATCH($AH121,$M:$M,0)+CE$8-1))=0,
IF(COUNTIF($M:$M,$AH121)&lt;CE$8,
"",
INDEX($J:$J,MATCH($AH121,$M:$M,0)+CE$8-1)),
""),
"")</f>
        <v/>
      </c>
      <c r="CF121" s="21" t="str">
        <f>IFERROR(
IF(COUNTIF($BI121:CE121,INDEX($J:$J,MATCH($AH121,$M:$M,0)+CF$8-1))=0,
IF(COUNTIF($M:$M,$AH121)&lt;CF$8,
"",
INDEX($J:$J,MATCH($AH121,$M:$M,0)+CF$8-1)),
""),
"")</f>
        <v/>
      </c>
      <c r="CH121" s="21" t="str">
        <f>IFERROR(
IF(COUNTIF($BI121:CG121,INDEX($J:$J,MATCH($AI121,$M:$M,0)+CH$8-1))=0,
IF(COUNTIF($M:$M,$AI121)&lt;CH$8,
"",
INDEX($J:$J,MATCH($AI121,$M:$M,0)+CH$8-1)),
""),
"")</f>
        <v/>
      </c>
      <c r="CI121" s="21" t="str">
        <f>IFERROR(
IF(COUNTIF($BI121:CH121,INDEX($J:$J,MATCH($AI121,$M:$M,0)+CI$8-1))=0,
IF(COUNTIF($M:$M,$AI121)&lt;CI$8,
"",
INDEX($J:$J,MATCH($AI121,$M:$M,0)+CI$8-1)),
""),
"")</f>
        <v/>
      </c>
      <c r="CJ121" s="21" t="str">
        <f>IFERROR(
IF(COUNTIF($BI121:CI121,INDEX($J:$J,MATCH($AI121,$M:$M,0)+CJ$8-1))=0,
IF(COUNTIF($M:$M,$AI121)&lt;CJ$8,
"",
INDEX($J:$J,MATCH($AI121,$M:$M,0)+CJ$8-1)),
""),
"")</f>
        <v/>
      </c>
      <c r="CK121" s="21" t="str">
        <f>IFERROR(
IF(COUNTIF($BI121:CJ121,INDEX($J:$J,MATCH($AI121,$M:$M,0)+CK$8-1))=0,
IF(COUNTIF($M:$M,$AI121)&lt;CK$8,
"",
INDEX($J:$J,MATCH($AI121,$M:$M,0)+CK$8-1)),
""),
"")</f>
        <v/>
      </c>
      <c r="CM121" s="21" t="str">
        <f>IFERROR(
IF(COUNTIF($BI121:CL121,INDEX($J:$J,MATCH($AJ121,$M:$M,0)+CM$8-1))=0,
IF(COUNTIF($M:$M,$AJ121)&lt;CM$8,
"",
INDEX($J:$J,MATCH($AJ121,$M:$M,0)+CM$8-1)),
""),
"")</f>
        <v/>
      </c>
      <c r="CN121" s="21" t="str">
        <f>IFERROR(
IF(COUNTIF($BI121:CM121,INDEX($J:$J,MATCH($AJ121,$M:$M,0)+CN$8-1))=0,
IF(COUNTIF($M:$M,$AJ121)&lt;CN$8,
"",
INDEX($J:$J,MATCH($AJ121,$M:$M,0)+CN$8-1)),
""),
"")</f>
        <v/>
      </c>
      <c r="CO121" s="21" t="str">
        <f>IFERROR(
IF(COUNTIF($BI121:CN121,INDEX($J:$J,MATCH($AJ121,$M:$M,0)+CO$8-1))=0,
IF(COUNTIF($M:$M,$AJ121)&lt;CO$8,
"",
INDEX($J:$J,MATCH($AJ121,$M:$M,0)+CO$8-1)),
""),
"")</f>
        <v/>
      </c>
      <c r="CP121" s="21" t="str">
        <f>IFERROR(
IF(COUNTIF($BI121:CO121,INDEX($J:$J,MATCH($AJ121,$M:$M,0)+CP$8-1))=0,
IF(COUNTIF($M:$M,$AJ121)&lt;CP$8,
"",
INDEX($J:$J,MATCH($AJ121,$M:$M,0)+CP$8-1)),
""),
"")</f>
        <v/>
      </c>
      <c r="CR121" s="21" t="str">
        <f>IFERROR(
IF(COUNTIF($BI121:CQ121,INDEX($J:$J,MATCH($AK121,$M:$M,0)+CR$8-1))=0,
IF(COUNTIF($M:$M,$AK121)&lt;CR$8,
"",
INDEX($J:$J,MATCH($AK121,$M:$M,0)+CR$8-1)),
""),
"")</f>
        <v/>
      </c>
      <c r="CS121" s="21" t="str">
        <f>IFERROR(
IF(COUNTIF($BI121:CR121,INDEX($J:$J,MATCH($AK121,$M:$M,0)+CS$8-1))=0,
IF(COUNTIF($M:$M,$AK121)&lt;CS$8,
"",
INDEX($J:$J,MATCH($AK121,$M:$M,0)+CS$8-1)),
""),
"")</f>
        <v/>
      </c>
      <c r="CT121" s="21" t="str">
        <f>IFERROR(
IF(COUNTIF($BI121:CS121,INDEX($J:$J,MATCH($AK121,$M:$M,0)+CT$8-1))=0,
IF(COUNTIF($M:$M,$AK121)&lt;CT$8,
"",
INDEX($J:$J,MATCH($AK121,$M:$M,0)+CT$8-1)),
""),
"")</f>
        <v/>
      </c>
      <c r="CU121" s="21" t="str">
        <f>IFERROR(
IF(COUNTIF($BI121:CT121,INDEX($J:$J,MATCH($AK121,$M:$M,0)+CU$8-1))=0,
IF(COUNTIF($M:$M,$AK121)&lt;CU$8,
"",
INDEX($J:$J,MATCH($AK121,$M:$M,0)+CU$8-1)),
""),
"")</f>
        <v/>
      </c>
    </row>
    <row r="122" spans="8:99">
      <c r="H122" s="7" t="str">
        <f>IF(I122="","",COUNTA(I$9:$I122))</f>
        <v/>
      </c>
      <c r="I122" s="6"/>
      <c r="J122" s="6" t="s">
        <v>240</v>
      </c>
      <c r="K122" s="8" t="str">
        <f>IF(H122="","",阶段合并区域(J122:J128," ",L122:L128,1))</f>
        <v/>
      </c>
      <c r="L122" s="8">
        <f>COUNTIF(M$8:$M122,"="&amp;M122)</f>
        <v>5</v>
      </c>
      <c r="M122" s="9" t="str">
        <f t="shared" si="25"/>
        <v>国破家亡</v>
      </c>
      <c r="N122" s="9" t="str">
        <f t="shared" si="26"/>
        <v>国破家亡5</v>
      </c>
      <c r="O122" s="15">
        <f>INDEX(C:C,MATCH(J122,D:D,0))</f>
        <v>52</v>
      </c>
      <c r="P122" s="9">
        <f>INDEX(E:E,MATCH(J122,D:D,0))</f>
        <v>120</v>
      </c>
      <c r="Q122" s="7">
        <f t="shared" si="10"/>
        <v>52</v>
      </c>
      <c r="R122" s="7">
        <f>COUNTIF(J$8:$J122,"="&amp;J122)</f>
        <v>5</v>
      </c>
      <c r="S122" s="7">
        <f t="shared" si="27"/>
        <v>5052</v>
      </c>
      <c r="U122" s="7">
        <f t="shared" si="24"/>
        <v>1000</v>
      </c>
      <c r="V122" s="7">
        <f t="shared" si="24"/>
        <v>2000</v>
      </c>
      <c r="W122" s="7">
        <f t="shared" si="24"/>
        <v>3000</v>
      </c>
      <c r="X122" s="7">
        <f t="shared" si="24"/>
        <v>4000</v>
      </c>
      <c r="Y122" s="7">
        <f t="shared" si="24"/>
        <v>5000</v>
      </c>
      <c r="Z122" s="7">
        <f t="shared" si="24"/>
        <v>6000</v>
      </c>
      <c r="AA122" s="7">
        <f t="shared" si="24"/>
        <v>7000</v>
      </c>
      <c r="AB122" s="7">
        <f t="shared" si="24"/>
        <v>8000</v>
      </c>
      <c r="AD122" s="21" t="str">
        <f>IFERROR(INDEX($M:$M,MATCH(U122,$S:$S,0)),"&amp;")</f>
        <v>&amp;</v>
      </c>
      <c r="AE122" s="21" t="str">
        <f>IFERROR(INDEX($M:$M,MATCH(V122,$S:$S,0)),"&amp;")</f>
        <v>&amp;</v>
      </c>
      <c r="AF122" s="21" t="str">
        <f>IFERROR(INDEX($M:$M,MATCH(W122,$S:$S,0)),"&amp;")</f>
        <v>&amp;</v>
      </c>
      <c r="AG122" s="21" t="str">
        <f>IFERROR(INDEX($M:$M,MATCH(X122,$S:$S,0)),"&amp;")</f>
        <v>&amp;</v>
      </c>
      <c r="AH122" s="21" t="str">
        <f>IFERROR(INDEX($M:$M,MATCH(Y122,$S:$S,0)),"&amp;")</f>
        <v>&amp;</v>
      </c>
      <c r="AI122" s="21" t="str">
        <f>IFERROR(INDEX($M:$M,MATCH(Z122,$S:$S,0)),"&amp;")</f>
        <v>&amp;</v>
      </c>
      <c r="AJ122" s="21" t="str">
        <f>IFERROR(INDEX($M:$M,MATCH(AA122,$S:$S,0)),"&amp;")</f>
        <v>&amp;</v>
      </c>
      <c r="AK122" s="21" t="str">
        <f>IFERROR(INDEX($M:$M,MATCH(AB122,$S:$S,0)),"&amp;")</f>
        <v>&amp;</v>
      </c>
      <c r="AM122" s="21" t="str">
        <f>IFERROR(INDEX($N:$N,MATCH(U122,$S:$S,0)),"&amp;")</f>
        <v>&amp;</v>
      </c>
      <c r="AN122" s="21" t="str">
        <f>IFERROR(INDEX($N:$N,MATCH(V122,$S:$S,0)),"&amp;")</f>
        <v>&amp;</v>
      </c>
      <c r="AO122" s="21" t="str">
        <f>IFERROR(INDEX($N:$N,MATCH(W122,$S:$S,0)),"&amp;")</f>
        <v>&amp;</v>
      </c>
      <c r="AP122" s="21" t="str">
        <f>IFERROR(INDEX($N:$N,MATCH(X122,$S:$S,0)),"&amp;")</f>
        <v>&amp;</v>
      </c>
      <c r="AQ122" s="21" t="str">
        <f>IFERROR(INDEX($N:$N,MATCH(Y122,$S:$S,0)),"&amp;")</f>
        <v>&amp;</v>
      </c>
      <c r="AR122" s="21" t="str">
        <f>IFERROR(INDEX($N:$N,MATCH(Z122,$S:$S,0)),"&amp;")</f>
        <v>&amp;</v>
      </c>
      <c r="AS122" s="21" t="str">
        <f>IFERROR(INDEX($N:$N,MATCH(AA122,$S:$S,0)),"&amp;")</f>
        <v>&amp;</v>
      </c>
      <c r="AT122" s="21" t="str">
        <f>IFERROR(INDEX($N:$N,MATCH(AB122,$S:$S,0)),"&amp;")</f>
        <v>&amp;</v>
      </c>
      <c r="AV122" s="21" t="str">
        <f>IFERROR(SUBSTITUTE(INDEX($K:$K,MATCH(INDEX($M:$M,MATCH(AM122,$N:$N,0)),$M:$M,0)),$D122,""),"")</f>
        <v/>
      </c>
      <c r="AW122" s="21" t="str">
        <f>IFERROR(SUBSTITUTE(INDEX($K:$K,MATCH(INDEX($M:$M,MATCH(AN122,$N:$N,0)),$M:$M,0)),$D122,""),"")</f>
        <v/>
      </c>
      <c r="AX122" s="21" t="str">
        <f>IFERROR(SUBSTITUTE(INDEX($K:$K,MATCH(INDEX($M:$M,MATCH(AO122,$N:$N,0)),$M:$M,0)),$D122,""),"")</f>
        <v/>
      </c>
      <c r="AY122" s="21" t="str">
        <f>IFERROR(SUBSTITUTE(INDEX($K:$K,MATCH(INDEX($M:$M,MATCH(AP122,$N:$N,0)),$M:$M,0)),$D122,""),"")</f>
        <v/>
      </c>
      <c r="AZ122" s="21" t="str">
        <f>IFERROR(SUBSTITUTE(INDEX($K:$K,MATCH(INDEX($M:$M,MATCH(AQ122,$N:$N,0)),$M:$M,0)),$D122,""),"")</f>
        <v/>
      </c>
      <c r="BA122" s="21" t="str">
        <f>IFERROR(SUBSTITUTE(INDEX($K:$K,MATCH(INDEX($M:$M,MATCH(AR122,$N:$N,0)),$M:$M,0)),$D122,""),"")</f>
        <v/>
      </c>
      <c r="BB122" s="21" t="str">
        <f>IFERROR(SUBSTITUTE(INDEX($K:$K,MATCH(INDEX($M:$M,MATCH(AS122,$N:$N,0)),$M:$M,0)),$D122,""),"")</f>
        <v/>
      </c>
      <c r="BC122" s="21" t="str">
        <f>IFERROR(SUBSTITUTE(INDEX($K:$K,MATCH(INDEX($M:$M,MATCH(AT122,$N:$N,0)),$M:$M,0)),$D122,""),"")</f>
        <v/>
      </c>
      <c r="BE122" s="9" t="str">
        <f t="shared" si="16"/>
        <v/>
      </c>
      <c r="BI122" s="9" t="str">
        <f>IFERROR(
IF(COUNTIF($M:$M,$AD122)&lt;BI$8,
"",
INDEX($J:$J,MATCH($AD122,$M:$M,0)+BI$8-1)),
"")</f>
        <v/>
      </c>
      <c r="BJ122" s="9" t="str">
        <f>IFERROR(
IF(COUNTIF($M:$M,$AD122)&lt;BJ$8,
"",
INDEX($J:$J,MATCH($AD122,$M:$M,0)+BJ$8-1)),
"")</f>
        <v/>
      </c>
      <c r="BK122" s="9" t="str">
        <f>IFERROR(
IF(COUNTIF($M:$M,$AD122)&lt;BK$8,
"",
INDEX($J:$J,MATCH($AD122,$M:$M,0)+BK$8-1)),
"")</f>
        <v/>
      </c>
      <c r="BL122" s="9" t="str">
        <f>IFERROR(
IF(COUNTIF($M:$M,$AD122)&lt;BL$8,
"",
INDEX($J:$J,MATCH($AD122,$M:$M,0)+BL$8-1)),
"")</f>
        <v/>
      </c>
      <c r="BN122" s="21" t="str">
        <f>IFERROR(
IF(COUNTIF($BI122:BM122,INDEX($J:$J,MATCH($AE122,$M:$M,0)+BN$8-1))=0,
IF(COUNTIF($M:$M,$AE122)&lt;BN$8,
"",
INDEX($J:$J,MATCH($AE122,$M:$M,0)+BN$8-1)),
""),
"")</f>
        <v/>
      </c>
      <c r="BO122" s="21" t="str">
        <f>IFERROR(
IF(COUNTIF($BI122:BN122,INDEX($J:$J,MATCH($AE122,$M:$M,0)+BO$8-1))=0,
IF(COUNTIF($M:$M,$AE122)&lt;BO$8,
"",
INDEX($J:$J,MATCH($AE122,$M:$M,0)+BO$8-1)),
""),
"")</f>
        <v/>
      </c>
      <c r="BP122" s="21" t="str">
        <f>IFERROR(
IF(COUNTIF($BI122:BO122,INDEX($J:$J,MATCH($AE122,$M:$M,0)+BP$8-1))=0,
IF(COUNTIF($M:$M,$AE122)&lt;BP$8,
"",
INDEX($J:$J,MATCH($AE122,$M:$M,0)+BP$8-1)),
""),
"")</f>
        <v/>
      </c>
      <c r="BQ122" s="21" t="str">
        <f>IFERROR(
IF(COUNTIF($BI122:BP122,INDEX($J:$J,MATCH($AE122,$M:$M,0)+BQ$8-1))=0,
IF(COUNTIF($M:$M,$AE122)&lt;BQ$8,
"",
INDEX($J:$J,MATCH($AE122,$M:$M,0)+BQ$8-1)),
""),
"")</f>
        <v/>
      </c>
      <c r="BS122" s="21" t="str">
        <f>IFERROR(
IF(COUNTIF($BI122:BR122,INDEX($J:$J,MATCH($AF122,$M:$M,0)+BS$8-1))=0,
IF(COUNTIF($M:$M,$AF122)&lt;BS$8,
"",
INDEX($J:$J,MATCH($AF122,$M:$M,0)+BS$8-1)),
""),
"")</f>
        <v/>
      </c>
      <c r="BT122" s="21" t="str">
        <f>IFERROR(
IF(COUNTIF($BI122:BS122,INDEX($J:$J,MATCH($AF122,$M:$M,0)+BT$8-1))=0,
IF(COUNTIF($M:$M,$AF122)&lt;BT$8,
"",
INDEX($J:$J,MATCH($AF122,$M:$M,0)+BT$8-1)),
""),
"")</f>
        <v/>
      </c>
      <c r="BU122" s="21" t="str">
        <f>IFERROR(
IF(COUNTIF($BI122:BT122,INDEX($J:$J,MATCH($AF122,$M:$M,0)+BU$8-1))=0,
IF(COUNTIF($M:$M,$AF122)&lt;BU$8,
"",
INDEX($J:$J,MATCH($AF122,$M:$M,0)+BU$8-1)),
""),
"")</f>
        <v/>
      </c>
      <c r="BV122" s="21" t="str">
        <f>IFERROR(
IF(COUNTIF($BI122:BU122,INDEX($J:$J,MATCH($AF122,$M:$M,0)+BV$8-1))=0,
IF(COUNTIF($M:$M,$AF122)&lt;BV$8,
"",
INDEX($J:$J,MATCH($AF122,$M:$M,0)+BV$8-1)),
""),
"")</f>
        <v/>
      </c>
      <c r="BX122" s="21" t="str">
        <f>IFERROR(
IF(COUNTIF($BI122:BW122,INDEX($J:$J,MATCH($AG122,$M:$M,0)+BX$8-1))=0,
IF(COUNTIF($M:$M,$AG122)&lt;BX$8,
"",
INDEX($J:$J,MATCH($AG122,$M:$M,0)+BX$8-1)),
""),
"")</f>
        <v/>
      </c>
      <c r="BY122" s="21" t="str">
        <f>IFERROR(
IF(COUNTIF($BI122:BX122,INDEX($J:$J,MATCH($AG122,$M:$M,0)+BY$8-1))=0,
IF(COUNTIF($M:$M,$AG122)&lt;BY$8,
"",
INDEX($J:$J,MATCH($AG122,$M:$M,0)+BY$8-1)),
""),
"")</f>
        <v/>
      </c>
      <c r="BZ122" s="21" t="str">
        <f>IFERROR(
IF(COUNTIF($BI122:BY122,INDEX($J:$J,MATCH($AG122,$M:$M,0)+BZ$8-1))=0,
IF(COUNTIF($M:$M,$AG122)&lt;BZ$8,
"",
INDEX($J:$J,MATCH($AG122,$M:$M,0)+BZ$8-1)),
""),
"")</f>
        <v/>
      </c>
      <c r="CA122" s="21" t="str">
        <f>IFERROR(
IF(COUNTIF($BI122:BZ122,INDEX($J:$J,MATCH($AG122,$M:$M,0)+CA$8-1))=0,
IF(COUNTIF($M:$M,$AG122)&lt;CA$8,
"",
INDEX($J:$J,MATCH($AG122,$M:$M,0)+CA$8-1)),
""),
"")</f>
        <v/>
      </c>
      <c r="CC122" s="21" t="str">
        <f>IFERROR(
IF(COUNTIF($BI122:CB122,INDEX($J:$J,MATCH($AH122,$M:$M,0)+CC$8-1))=0,
IF(COUNTIF($M:$M,$AH122)&lt;CC$8,
"",
INDEX($J:$J,MATCH($AH122,$M:$M,0)+CC$8-1)),
""),
"")</f>
        <v/>
      </c>
      <c r="CD122" s="21" t="str">
        <f>IFERROR(
IF(COUNTIF($BI122:CC122,INDEX($J:$J,MATCH($AH122,$M:$M,0)+CD$8-1))=0,
IF(COUNTIF($M:$M,$AH122)&lt;CD$8,
"",
INDEX($J:$J,MATCH($AH122,$M:$M,0)+CD$8-1)),
""),
"")</f>
        <v/>
      </c>
      <c r="CE122" s="21" t="str">
        <f>IFERROR(
IF(COUNTIF($BI122:CD122,INDEX($J:$J,MATCH($AH122,$M:$M,0)+CE$8-1))=0,
IF(COUNTIF($M:$M,$AH122)&lt;CE$8,
"",
INDEX($J:$J,MATCH($AH122,$M:$M,0)+CE$8-1)),
""),
"")</f>
        <v/>
      </c>
      <c r="CF122" s="21" t="str">
        <f>IFERROR(
IF(COUNTIF($BI122:CE122,INDEX($J:$J,MATCH($AH122,$M:$M,0)+CF$8-1))=0,
IF(COUNTIF($M:$M,$AH122)&lt;CF$8,
"",
INDEX($J:$J,MATCH($AH122,$M:$M,0)+CF$8-1)),
""),
"")</f>
        <v/>
      </c>
      <c r="CH122" s="21" t="str">
        <f>IFERROR(
IF(COUNTIF($BI122:CG122,INDEX($J:$J,MATCH($AI122,$M:$M,0)+CH$8-1))=0,
IF(COUNTIF($M:$M,$AI122)&lt;CH$8,
"",
INDEX($J:$J,MATCH($AI122,$M:$M,0)+CH$8-1)),
""),
"")</f>
        <v/>
      </c>
      <c r="CI122" s="21" t="str">
        <f>IFERROR(
IF(COUNTIF($BI122:CH122,INDEX($J:$J,MATCH($AI122,$M:$M,0)+CI$8-1))=0,
IF(COUNTIF($M:$M,$AI122)&lt;CI$8,
"",
INDEX($J:$J,MATCH($AI122,$M:$M,0)+CI$8-1)),
""),
"")</f>
        <v/>
      </c>
      <c r="CJ122" s="21" t="str">
        <f>IFERROR(
IF(COUNTIF($BI122:CI122,INDEX($J:$J,MATCH($AI122,$M:$M,0)+CJ$8-1))=0,
IF(COUNTIF($M:$M,$AI122)&lt;CJ$8,
"",
INDEX($J:$J,MATCH($AI122,$M:$M,0)+CJ$8-1)),
""),
"")</f>
        <v/>
      </c>
      <c r="CK122" s="21" t="str">
        <f>IFERROR(
IF(COUNTIF($BI122:CJ122,INDEX($J:$J,MATCH($AI122,$M:$M,0)+CK$8-1))=0,
IF(COUNTIF($M:$M,$AI122)&lt;CK$8,
"",
INDEX($J:$J,MATCH($AI122,$M:$M,0)+CK$8-1)),
""),
"")</f>
        <v/>
      </c>
      <c r="CM122" s="21" t="str">
        <f>IFERROR(
IF(COUNTIF($BI122:CL122,INDEX($J:$J,MATCH($AJ122,$M:$M,0)+CM$8-1))=0,
IF(COUNTIF($M:$M,$AJ122)&lt;CM$8,
"",
INDEX($J:$J,MATCH($AJ122,$M:$M,0)+CM$8-1)),
""),
"")</f>
        <v/>
      </c>
      <c r="CN122" s="21" t="str">
        <f>IFERROR(
IF(COUNTIF($BI122:CM122,INDEX($J:$J,MATCH($AJ122,$M:$M,0)+CN$8-1))=0,
IF(COUNTIF($M:$M,$AJ122)&lt;CN$8,
"",
INDEX($J:$J,MATCH($AJ122,$M:$M,0)+CN$8-1)),
""),
"")</f>
        <v/>
      </c>
      <c r="CO122" s="21" t="str">
        <f>IFERROR(
IF(COUNTIF($BI122:CN122,INDEX($J:$J,MATCH($AJ122,$M:$M,0)+CO$8-1))=0,
IF(COUNTIF($M:$M,$AJ122)&lt;CO$8,
"",
INDEX($J:$J,MATCH($AJ122,$M:$M,0)+CO$8-1)),
""),
"")</f>
        <v/>
      </c>
      <c r="CP122" s="21" t="str">
        <f>IFERROR(
IF(COUNTIF($BI122:CO122,INDEX($J:$J,MATCH($AJ122,$M:$M,0)+CP$8-1))=0,
IF(COUNTIF($M:$M,$AJ122)&lt;CP$8,
"",
INDEX($J:$J,MATCH($AJ122,$M:$M,0)+CP$8-1)),
""),
"")</f>
        <v/>
      </c>
      <c r="CR122" s="21" t="str">
        <f>IFERROR(
IF(COUNTIF($BI122:CQ122,INDEX($J:$J,MATCH($AK122,$M:$M,0)+CR$8-1))=0,
IF(COUNTIF($M:$M,$AK122)&lt;CR$8,
"",
INDEX($J:$J,MATCH($AK122,$M:$M,0)+CR$8-1)),
""),
"")</f>
        <v/>
      </c>
      <c r="CS122" s="21" t="str">
        <f>IFERROR(
IF(COUNTIF($BI122:CR122,INDEX($J:$J,MATCH($AK122,$M:$M,0)+CS$8-1))=0,
IF(COUNTIF($M:$M,$AK122)&lt;CS$8,
"",
INDEX($J:$J,MATCH($AK122,$M:$M,0)+CS$8-1)),
""),
"")</f>
        <v/>
      </c>
      <c r="CT122" s="21" t="str">
        <f>IFERROR(
IF(COUNTIF($BI122:CS122,INDEX($J:$J,MATCH($AK122,$M:$M,0)+CT$8-1))=0,
IF(COUNTIF($M:$M,$AK122)&lt;CT$8,
"",
INDEX($J:$J,MATCH($AK122,$M:$M,0)+CT$8-1)),
""),
"")</f>
        <v/>
      </c>
      <c r="CU122" s="21" t="str">
        <f>IFERROR(
IF(COUNTIF($BI122:CT122,INDEX($J:$J,MATCH($AK122,$M:$M,0)+CU$8-1))=0,
IF(COUNTIF($M:$M,$AK122)&lt;CU$8,
"",
INDEX($J:$J,MATCH($AK122,$M:$M,0)+CU$8-1)),
""),
"")</f>
        <v/>
      </c>
    </row>
    <row r="123" spans="8:99">
      <c r="H123" s="7" t="str">
        <f>IF(I123="","",COUNTA(I$9:$I123))</f>
        <v/>
      </c>
      <c r="I123" s="6"/>
      <c r="J123" s="6" t="s">
        <v>213</v>
      </c>
      <c r="K123" s="8" t="str">
        <f>IF(H123="","",阶段合并区域(J123:J128," ",L123:L128,1))</f>
        <v/>
      </c>
      <c r="L123" s="8">
        <f>COUNTIF(M$8:$M123,"="&amp;M123)</f>
        <v>6</v>
      </c>
      <c r="M123" s="9" t="str">
        <f t="shared" si="25"/>
        <v>国破家亡</v>
      </c>
      <c r="N123" s="9" t="str">
        <f t="shared" si="26"/>
        <v>国破家亡6</v>
      </c>
      <c r="O123" s="15">
        <f>INDEX(C:C,MATCH(J123,D:D,0))</f>
        <v>40</v>
      </c>
      <c r="P123" s="9">
        <f>INDEX(E:E,MATCH(J123,D:D,0))</f>
        <v>120</v>
      </c>
      <c r="Q123" s="7">
        <f t="shared" si="10"/>
        <v>40</v>
      </c>
      <c r="R123" s="7">
        <f>COUNTIF(J$8:$J123,"="&amp;J123)</f>
        <v>5</v>
      </c>
      <c r="S123" s="7">
        <f t="shared" si="27"/>
        <v>5040</v>
      </c>
      <c r="U123" s="7">
        <f t="shared" si="24"/>
        <v>1000</v>
      </c>
      <c r="V123" s="7">
        <f t="shared" si="24"/>
        <v>2000</v>
      </c>
      <c r="W123" s="7">
        <f t="shared" si="24"/>
        <v>3000</v>
      </c>
      <c r="X123" s="7">
        <f t="shared" si="24"/>
        <v>4000</v>
      </c>
      <c r="Y123" s="7">
        <f t="shared" si="24"/>
        <v>5000</v>
      </c>
      <c r="Z123" s="7">
        <f t="shared" si="24"/>
        <v>6000</v>
      </c>
      <c r="AA123" s="7">
        <f t="shared" si="24"/>
        <v>7000</v>
      </c>
      <c r="AB123" s="7">
        <f t="shared" si="24"/>
        <v>8000</v>
      </c>
      <c r="AD123" s="21" t="str">
        <f>IFERROR(INDEX($M:$M,MATCH(U123,$S:$S,0)),"&amp;")</f>
        <v>&amp;</v>
      </c>
      <c r="AE123" s="21" t="str">
        <f>IFERROR(INDEX($M:$M,MATCH(V123,$S:$S,0)),"&amp;")</f>
        <v>&amp;</v>
      </c>
      <c r="AF123" s="21" t="str">
        <f>IFERROR(INDEX($M:$M,MATCH(W123,$S:$S,0)),"&amp;")</f>
        <v>&amp;</v>
      </c>
      <c r="AG123" s="21" t="str">
        <f>IFERROR(INDEX($M:$M,MATCH(X123,$S:$S,0)),"&amp;")</f>
        <v>&amp;</v>
      </c>
      <c r="AH123" s="21" t="str">
        <f>IFERROR(INDEX($M:$M,MATCH(Y123,$S:$S,0)),"&amp;")</f>
        <v>&amp;</v>
      </c>
      <c r="AI123" s="21" t="str">
        <f>IFERROR(INDEX($M:$M,MATCH(Z123,$S:$S,0)),"&amp;")</f>
        <v>&amp;</v>
      </c>
      <c r="AJ123" s="21" t="str">
        <f>IFERROR(INDEX($M:$M,MATCH(AA123,$S:$S,0)),"&amp;")</f>
        <v>&amp;</v>
      </c>
      <c r="AK123" s="21" t="str">
        <f>IFERROR(INDEX($M:$M,MATCH(AB123,$S:$S,0)),"&amp;")</f>
        <v>&amp;</v>
      </c>
      <c r="AM123" s="21" t="str">
        <f>IFERROR(INDEX($N:$N,MATCH(U123,$S:$S,0)),"&amp;")</f>
        <v>&amp;</v>
      </c>
      <c r="AN123" s="21" t="str">
        <f>IFERROR(INDEX($N:$N,MATCH(V123,$S:$S,0)),"&amp;")</f>
        <v>&amp;</v>
      </c>
      <c r="AO123" s="21" t="str">
        <f>IFERROR(INDEX($N:$N,MATCH(W123,$S:$S,0)),"&amp;")</f>
        <v>&amp;</v>
      </c>
      <c r="AP123" s="21" t="str">
        <f>IFERROR(INDEX($N:$N,MATCH(X123,$S:$S,0)),"&amp;")</f>
        <v>&amp;</v>
      </c>
      <c r="AQ123" s="21" t="str">
        <f>IFERROR(INDEX($N:$N,MATCH(Y123,$S:$S,0)),"&amp;")</f>
        <v>&amp;</v>
      </c>
      <c r="AR123" s="21" t="str">
        <f>IFERROR(INDEX($N:$N,MATCH(Z123,$S:$S,0)),"&amp;")</f>
        <v>&amp;</v>
      </c>
      <c r="AS123" s="21" t="str">
        <f>IFERROR(INDEX($N:$N,MATCH(AA123,$S:$S,0)),"&amp;")</f>
        <v>&amp;</v>
      </c>
      <c r="AT123" s="21" t="str">
        <f>IFERROR(INDEX($N:$N,MATCH(AB123,$S:$S,0)),"&amp;")</f>
        <v>&amp;</v>
      </c>
      <c r="AV123" s="21" t="str">
        <f>IFERROR(SUBSTITUTE(INDEX($K:$K,MATCH(INDEX($M:$M,MATCH(AM123,$N:$N,0)),$M:$M,0)),$D123,""),"")</f>
        <v/>
      </c>
      <c r="AW123" s="21" t="str">
        <f>IFERROR(SUBSTITUTE(INDEX($K:$K,MATCH(INDEX($M:$M,MATCH(AN123,$N:$N,0)),$M:$M,0)),$D123,""),"")</f>
        <v/>
      </c>
      <c r="AX123" s="21" t="str">
        <f>IFERROR(SUBSTITUTE(INDEX($K:$K,MATCH(INDEX($M:$M,MATCH(AO123,$N:$N,0)),$M:$M,0)),$D123,""),"")</f>
        <v/>
      </c>
      <c r="AY123" s="21" t="str">
        <f>IFERROR(SUBSTITUTE(INDEX($K:$K,MATCH(INDEX($M:$M,MATCH(AP123,$N:$N,0)),$M:$M,0)),$D123,""),"")</f>
        <v/>
      </c>
      <c r="AZ123" s="21" t="str">
        <f>IFERROR(SUBSTITUTE(INDEX($K:$K,MATCH(INDEX($M:$M,MATCH(AQ123,$N:$N,0)),$M:$M,0)),$D123,""),"")</f>
        <v/>
      </c>
      <c r="BA123" s="21" t="str">
        <f>IFERROR(SUBSTITUTE(INDEX($K:$K,MATCH(INDEX($M:$M,MATCH(AR123,$N:$N,0)),$M:$M,0)),$D123,""),"")</f>
        <v/>
      </c>
      <c r="BB123" s="21" t="str">
        <f>IFERROR(SUBSTITUTE(INDEX($K:$K,MATCH(INDEX($M:$M,MATCH(AS123,$N:$N,0)),$M:$M,0)),$D123,""),"")</f>
        <v/>
      </c>
      <c r="BC123" s="21" t="str">
        <f>IFERROR(SUBSTITUTE(INDEX($K:$K,MATCH(INDEX($M:$M,MATCH(AT123,$N:$N,0)),$M:$M,0)),$D123,""),"")</f>
        <v/>
      </c>
      <c r="BE123" s="9" t="str">
        <f t="shared" si="16"/>
        <v/>
      </c>
      <c r="BI123" s="9" t="str">
        <f>IFERROR(
IF(COUNTIF($M:$M,$AD123)&lt;BI$8,
"",
INDEX($J:$J,MATCH($AD123,$M:$M,0)+BI$8-1)),
"")</f>
        <v/>
      </c>
      <c r="BJ123" s="9" t="str">
        <f>IFERROR(
IF(COUNTIF($M:$M,$AD123)&lt;BJ$8,
"",
INDEX($J:$J,MATCH($AD123,$M:$M,0)+BJ$8-1)),
"")</f>
        <v/>
      </c>
      <c r="BK123" s="9" t="str">
        <f>IFERROR(
IF(COUNTIF($M:$M,$AD123)&lt;BK$8,
"",
INDEX($J:$J,MATCH($AD123,$M:$M,0)+BK$8-1)),
"")</f>
        <v/>
      </c>
      <c r="BL123" s="9" t="str">
        <f>IFERROR(
IF(COUNTIF($M:$M,$AD123)&lt;BL$8,
"",
INDEX($J:$J,MATCH($AD123,$M:$M,0)+BL$8-1)),
"")</f>
        <v/>
      </c>
      <c r="BN123" s="21" t="str">
        <f>IFERROR(
IF(COUNTIF($BI123:BM123,INDEX($J:$J,MATCH($AE123,$M:$M,0)+BN$8-1))=0,
IF(COUNTIF($M:$M,$AE123)&lt;BN$8,
"",
INDEX($J:$J,MATCH($AE123,$M:$M,0)+BN$8-1)),
""),
"")</f>
        <v/>
      </c>
      <c r="BO123" s="21" t="str">
        <f>IFERROR(
IF(COUNTIF($BI123:BN123,INDEX($J:$J,MATCH($AE123,$M:$M,0)+BO$8-1))=0,
IF(COUNTIF($M:$M,$AE123)&lt;BO$8,
"",
INDEX($J:$J,MATCH($AE123,$M:$M,0)+BO$8-1)),
""),
"")</f>
        <v/>
      </c>
      <c r="BP123" s="21" t="str">
        <f>IFERROR(
IF(COUNTIF($BI123:BO123,INDEX($J:$J,MATCH($AE123,$M:$M,0)+BP$8-1))=0,
IF(COUNTIF($M:$M,$AE123)&lt;BP$8,
"",
INDEX($J:$J,MATCH($AE123,$M:$M,0)+BP$8-1)),
""),
"")</f>
        <v/>
      </c>
      <c r="BQ123" s="21" t="str">
        <f>IFERROR(
IF(COUNTIF($BI123:BP123,INDEX($J:$J,MATCH($AE123,$M:$M,0)+BQ$8-1))=0,
IF(COUNTIF($M:$M,$AE123)&lt;BQ$8,
"",
INDEX($J:$J,MATCH($AE123,$M:$M,0)+BQ$8-1)),
""),
"")</f>
        <v/>
      </c>
      <c r="BS123" s="21" t="str">
        <f>IFERROR(
IF(COUNTIF($BI123:BR123,INDEX($J:$J,MATCH($AF123,$M:$M,0)+BS$8-1))=0,
IF(COUNTIF($M:$M,$AF123)&lt;BS$8,
"",
INDEX($J:$J,MATCH($AF123,$M:$M,0)+BS$8-1)),
""),
"")</f>
        <v/>
      </c>
      <c r="BT123" s="21" t="str">
        <f>IFERROR(
IF(COUNTIF($BI123:BS123,INDEX($J:$J,MATCH($AF123,$M:$M,0)+BT$8-1))=0,
IF(COUNTIF($M:$M,$AF123)&lt;BT$8,
"",
INDEX($J:$J,MATCH($AF123,$M:$M,0)+BT$8-1)),
""),
"")</f>
        <v/>
      </c>
      <c r="BU123" s="21" t="str">
        <f>IFERROR(
IF(COUNTIF($BI123:BT123,INDEX($J:$J,MATCH($AF123,$M:$M,0)+BU$8-1))=0,
IF(COUNTIF($M:$M,$AF123)&lt;BU$8,
"",
INDEX($J:$J,MATCH($AF123,$M:$M,0)+BU$8-1)),
""),
"")</f>
        <v/>
      </c>
      <c r="BV123" s="21" t="str">
        <f>IFERROR(
IF(COUNTIF($BI123:BU123,INDEX($J:$J,MATCH($AF123,$M:$M,0)+BV$8-1))=0,
IF(COUNTIF($M:$M,$AF123)&lt;BV$8,
"",
INDEX($J:$J,MATCH($AF123,$M:$M,0)+BV$8-1)),
""),
"")</f>
        <v/>
      </c>
      <c r="BX123" s="21" t="str">
        <f>IFERROR(
IF(COUNTIF($BI123:BW123,INDEX($J:$J,MATCH($AG123,$M:$M,0)+BX$8-1))=0,
IF(COUNTIF($M:$M,$AG123)&lt;BX$8,
"",
INDEX($J:$J,MATCH($AG123,$M:$M,0)+BX$8-1)),
""),
"")</f>
        <v/>
      </c>
      <c r="BY123" s="21" t="str">
        <f>IFERROR(
IF(COUNTIF($BI123:BX123,INDEX($J:$J,MATCH($AG123,$M:$M,0)+BY$8-1))=0,
IF(COUNTIF($M:$M,$AG123)&lt;BY$8,
"",
INDEX($J:$J,MATCH($AG123,$M:$M,0)+BY$8-1)),
""),
"")</f>
        <v/>
      </c>
      <c r="BZ123" s="21" t="str">
        <f>IFERROR(
IF(COUNTIF($BI123:BY123,INDEX($J:$J,MATCH($AG123,$M:$M,0)+BZ$8-1))=0,
IF(COUNTIF($M:$M,$AG123)&lt;BZ$8,
"",
INDEX($J:$J,MATCH($AG123,$M:$M,0)+BZ$8-1)),
""),
"")</f>
        <v/>
      </c>
      <c r="CA123" s="21" t="str">
        <f>IFERROR(
IF(COUNTIF($BI123:BZ123,INDEX($J:$J,MATCH($AG123,$M:$M,0)+CA$8-1))=0,
IF(COUNTIF($M:$M,$AG123)&lt;CA$8,
"",
INDEX($J:$J,MATCH($AG123,$M:$M,0)+CA$8-1)),
""),
"")</f>
        <v/>
      </c>
      <c r="CC123" s="21" t="str">
        <f>IFERROR(
IF(COUNTIF($BI123:CB123,INDEX($J:$J,MATCH($AH123,$M:$M,0)+CC$8-1))=0,
IF(COUNTIF($M:$M,$AH123)&lt;CC$8,
"",
INDEX($J:$J,MATCH($AH123,$M:$M,0)+CC$8-1)),
""),
"")</f>
        <v/>
      </c>
      <c r="CD123" s="21" t="str">
        <f>IFERROR(
IF(COUNTIF($BI123:CC123,INDEX($J:$J,MATCH($AH123,$M:$M,0)+CD$8-1))=0,
IF(COUNTIF($M:$M,$AH123)&lt;CD$8,
"",
INDEX($J:$J,MATCH($AH123,$M:$M,0)+CD$8-1)),
""),
"")</f>
        <v/>
      </c>
      <c r="CE123" s="21" t="str">
        <f>IFERROR(
IF(COUNTIF($BI123:CD123,INDEX($J:$J,MATCH($AH123,$M:$M,0)+CE$8-1))=0,
IF(COUNTIF($M:$M,$AH123)&lt;CE$8,
"",
INDEX($J:$J,MATCH($AH123,$M:$M,0)+CE$8-1)),
""),
"")</f>
        <v/>
      </c>
      <c r="CF123" s="21" t="str">
        <f>IFERROR(
IF(COUNTIF($BI123:CE123,INDEX($J:$J,MATCH($AH123,$M:$M,0)+CF$8-1))=0,
IF(COUNTIF($M:$M,$AH123)&lt;CF$8,
"",
INDEX($J:$J,MATCH($AH123,$M:$M,0)+CF$8-1)),
""),
"")</f>
        <v/>
      </c>
      <c r="CH123" s="21" t="str">
        <f>IFERROR(
IF(COUNTIF($BI123:CG123,INDEX($J:$J,MATCH($AI123,$M:$M,0)+CH$8-1))=0,
IF(COUNTIF($M:$M,$AI123)&lt;CH$8,
"",
INDEX($J:$J,MATCH($AI123,$M:$M,0)+CH$8-1)),
""),
"")</f>
        <v/>
      </c>
      <c r="CI123" s="21" t="str">
        <f>IFERROR(
IF(COUNTIF($BI123:CH123,INDEX($J:$J,MATCH($AI123,$M:$M,0)+CI$8-1))=0,
IF(COUNTIF($M:$M,$AI123)&lt;CI$8,
"",
INDEX($J:$J,MATCH($AI123,$M:$M,0)+CI$8-1)),
""),
"")</f>
        <v/>
      </c>
      <c r="CJ123" s="21" t="str">
        <f>IFERROR(
IF(COUNTIF($BI123:CI123,INDEX($J:$J,MATCH($AI123,$M:$M,0)+CJ$8-1))=0,
IF(COUNTIF($M:$M,$AI123)&lt;CJ$8,
"",
INDEX($J:$J,MATCH($AI123,$M:$M,0)+CJ$8-1)),
""),
"")</f>
        <v/>
      </c>
      <c r="CK123" s="21" t="str">
        <f>IFERROR(
IF(COUNTIF($BI123:CJ123,INDEX($J:$J,MATCH($AI123,$M:$M,0)+CK$8-1))=0,
IF(COUNTIF($M:$M,$AI123)&lt;CK$8,
"",
INDEX($J:$J,MATCH($AI123,$M:$M,0)+CK$8-1)),
""),
"")</f>
        <v/>
      </c>
      <c r="CM123" s="21" t="str">
        <f>IFERROR(
IF(COUNTIF($BI123:CL123,INDEX($J:$J,MATCH($AJ123,$M:$M,0)+CM$8-1))=0,
IF(COUNTIF($M:$M,$AJ123)&lt;CM$8,
"",
INDEX($J:$J,MATCH($AJ123,$M:$M,0)+CM$8-1)),
""),
"")</f>
        <v/>
      </c>
      <c r="CN123" s="21" t="str">
        <f>IFERROR(
IF(COUNTIF($BI123:CM123,INDEX($J:$J,MATCH($AJ123,$M:$M,0)+CN$8-1))=0,
IF(COUNTIF($M:$M,$AJ123)&lt;CN$8,
"",
INDEX($J:$J,MATCH($AJ123,$M:$M,0)+CN$8-1)),
""),
"")</f>
        <v/>
      </c>
      <c r="CO123" s="21" t="str">
        <f>IFERROR(
IF(COUNTIF($BI123:CN123,INDEX($J:$J,MATCH($AJ123,$M:$M,0)+CO$8-1))=0,
IF(COUNTIF($M:$M,$AJ123)&lt;CO$8,
"",
INDEX($J:$J,MATCH($AJ123,$M:$M,0)+CO$8-1)),
""),
"")</f>
        <v/>
      </c>
      <c r="CP123" s="21" t="str">
        <f>IFERROR(
IF(COUNTIF($BI123:CO123,INDEX($J:$J,MATCH($AJ123,$M:$M,0)+CP$8-1))=0,
IF(COUNTIF($M:$M,$AJ123)&lt;CP$8,
"",
INDEX($J:$J,MATCH($AJ123,$M:$M,0)+CP$8-1)),
""),
"")</f>
        <v/>
      </c>
      <c r="CR123" s="21" t="str">
        <f>IFERROR(
IF(COUNTIF($BI123:CQ123,INDEX($J:$J,MATCH($AK123,$M:$M,0)+CR$8-1))=0,
IF(COUNTIF($M:$M,$AK123)&lt;CR$8,
"",
INDEX($J:$J,MATCH($AK123,$M:$M,0)+CR$8-1)),
""),
"")</f>
        <v/>
      </c>
      <c r="CS123" s="21" t="str">
        <f>IFERROR(
IF(COUNTIF($BI123:CR123,INDEX($J:$J,MATCH($AK123,$M:$M,0)+CS$8-1))=0,
IF(COUNTIF($M:$M,$AK123)&lt;CS$8,
"",
INDEX($J:$J,MATCH($AK123,$M:$M,0)+CS$8-1)),
""),
"")</f>
        <v/>
      </c>
      <c r="CT123" s="21" t="str">
        <f>IFERROR(
IF(COUNTIF($BI123:CS123,INDEX($J:$J,MATCH($AK123,$M:$M,0)+CT$8-1))=0,
IF(COUNTIF($M:$M,$AK123)&lt;CT$8,
"",
INDEX($J:$J,MATCH($AK123,$M:$M,0)+CT$8-1)),
""),
"")</f>
        <v/>
      </c>
      <c r="CU123" s="21" t="str">
        <f>IFERROR(
IF(COUNTIF($BI123:CT123,INDEX($J:$J,MATCH($AK123,$M:$M,0)+CU$8-1))=0,
IF(COUNTIF($M:$M,$AK123)&lt;CU$8,
"",
INDEX($J:$J,MATCH($AK123,$M:$M,0)+CU$8-1)),
""),
"")</f>
        <v/>
      </c>
    </row>
    <row r="124" spans="8:99">
      <c r="H124" s="7" t="str">
        <f>IF(I124="","",COUNTA(I$9:$I124))</f>
        <v/>
      </c>
      <c r="I124" s="6"/>
      <c r="J124" s="6" t="s">
        <v>251</v>
      </c>
      <c r="K124" s="8" t="str">
        <f>IF(H124="","",阶段合并区域(J124:J128," ",L124:L128,1))</f>
        <v/>
      </c>
      <c r="L124" s="8">
        <f>COUNTIF(M$8:$M124,"="&amp;M124)</f>
        <v>7</v>
      </c>
      <c r="M124" s="9" t="str">
        <f t="shared" si="25"/>
        <v>国破家亡</v>
      </c>
      <c r="N124" s="9" t="str">
        <f t="shared" si="26"/>
        <v>国破家亡7</v>
      </c>
      <c r="O124" s="15">
        <f>INDEX(C:C,MATCH(J124,D:D,0))</f>
        <v>41</v>
      </c>
      <c r="P124" s="9">
        <f>INDEX(E:E,MATCH(J124,D:D,0))</f>
        <v>120</v>
      </c>
      <c r="Q124" s="7">
        <f t="shared" si="10"/>
        <v>41</v>
      </c>
      <c r="R124" s="7">
        <f>COUNTIF(J$8:$J124,"="&amp;J124)</f>
        <v>4</v>
      </c>
      <c r="S124" s="7">
        <f t="shared" si="27"/>
        <v>4041</v>
      </c>
      <c r="U124" s="7">
        <f t="shared" si="24"/>
        <v>1000</v>
      </c>
      <c r="V124" s="7">
        <f t="shared" si="24"/>
        <v>2000</v>
      </c>
      <c r="W124" s="7">
        <f t="shared" si="24"/>
        <v>3000</v>
      </c>
      <c r="X124" s="7">
        <f t="shared" si="24"/>
        <v>4000</v>
      </c>
      <c r="Y124" s="7">
        <f t="shared" si="24"/>
        <v>5000</v>
      </c>
      <c r="Z124" s="7">
        <f t="shared" si="24"/>
        <v>6000</v>
      </c>
      <c r="AA124" s="7">
        <f t="shared" si="24"/>
        <v>7000</v>
      </c>
      <c r="AB124" s="7">
        <f t="shared" si="24"/>
        <v>8000</v>
      </c>
      <c r="AD124" s="21" t="str">
        <f>IFERROR(INDEX($M:$M,MATCH(U124,$S:$S,0)),"&amp;")</f>
        <v>&amp;</v>
      </c>
      <c r="AE124" s="21" t="str">
        <f>IFERROR(INDEX($M:$M,MATCH(V124,$S:$S,0)),"&amp;")</f>
        <v>&amp;</v>
      </c>
      <c r="AF124" s="21" t="str">
        <f>IFERROR(INDEX($M:$M,MATCH(W124,$S:$S,0)),"&amp;")</f>
        <v>&amp;</v>
      </c>
      <c r="AG124" s="21" t="str">
        <f>IFERROR(INDEX($M:$M,MATCH(X124,$S:$S,0)),"&amp;")</f>
        <v>&amp;</v>
      </c>
      <c r="AH124" s="21" t="str">
        <f>IFERROR(INDEX($M:$M,MATCH(Y124,$S:$S,0)),"&amp;")</f>
        <v>&amp;</v>
      </c>
      <c r="AI124" s="21" t="str">
        <f>IFERROR(INDEX($M:$M,MATCH(Z124,$S:$S,0)),"&amp;")</f>
        <v>&amp;</v>
      </c>
      <c r="AJ124" s="21" t="str">
        <f>IFERROR(INDEX($M:$M,MATCH(AA124,$S:$S,0)),"&amp;")</f>
        <v>&amp;</v>
      </c>
      <c r="AK124" s="21" t="str">
        <f>IFERROR(INDEX($M:$M,MATCH(AB124,$S:$S,0)),"&amp;")</f>
        <v>&amp;</v>
      </c>
      <c r="AM124" s="21" t="str">
        <f>IFERROR(INDEX($N:$N,MATCH(U124,$S:$S,0)),"&amp;")</f>
        <v>&amp;</v>
      </c>
      <c r="AN124" s="21" t="str">
        <f>IFERROR(INDEX($N:$N,MATCH(V124,$S:$S,0)),"&amp;")</f>
        <v>&amp;</v>
      </c>
      <c r="AO124" s="21" t="str">
        <f>IFERROR(INDEX($N:$N,MATCH(W124,$S:$S,0)),"&amp;")</f>
        <v>&amp;</v>
      </c>
      <c r="AP124" s="21" t="str">
        <f>IFERROR(INDEX($N:$N,MATCH(X124,$S:$S,0)),"&amp;")</f>
        <v>&amp;</v>
      </c>
      <c r="AQ124" s="21" t="str">
        <f>IFERROR(INDEX($N:$N,MATCH(Y124,$S:$S,0)),"&amp;")</f>
        <v>&amp;</v>
      </c>
      <c r="AR124" s="21" t="str">
        <f>IFERROR(INDEX($N:$N,MATCH(Z124,$S:$S,0)),"&amp;")</f>
        <v>&amp;</v>
      </c>
      <c r="AS124" s="21" t="str">
        <f>IFERROR(INDEX($N:$N,MATCH(AA124,$S:$S,0)),"&amp;")</f>
        <v>&amp;</v>
      </c>
      <c r="AT124" s="21" t="str">
        <f>IFERROR(INDEX($N:$N,MATCH(AB124,$S:$S,0)),"&amp;")</f>
        <v>&amp;</v>
      </c>
      <c r="AV124" s="21" t="str">
        <f>IFERROR(SUBSTITUTE(INDEX($K:$K,MATCH(INDEX($M:$M,MATCH(AM124,$N:$N,0)),$M:$M,0)),$D124,""),"")</f>
        <v/>
      </c>
      <c r="AW124" s="21" t="str">
        <f>IFERROR(SUBSTITUTE(INDEX($K:$K,MATCH(INDEX($M:$M,MATCH(AN124,$N:$N,0)),$M:$M,0)),$D124,""),"")</f>
        <v/>
      </c>
      <c r="AX124" s="21" t="str">
        <f>IFERROR(SUBSTITUTE(INDEX($K:$K,MATCH(INDEX($M:$M,MATCH(AO124,$N:$N,0)),$M:$M,0)),$D124,""),"")</f>
        <v/>
      </c>
      <c r="AY124" s="21" t="str">
        <f>IFERROR(SUBSTITUTE(INDEX($K:$K,MATCH(INDEX($M:$M,MATCH(AP124,$N:$N,0)),$M:$M,0)),$D124,""),"")</f>
        <v/>
      </c>
      <c r="AZ124" s="21" t="str">
        <f>IFERROR(SUBSTITUTE(INDEX($K:$K,MATCH(INDEX($M:$M,MATCH(AQ124,$N:$N,0)),$M:$M,0)),$D124,""),"")</f>
        <v/>
      </c>
      <c r="BA124" s="21" t="str">
        <f>IFERROR(SUBSTITUTE(INDEX($K:$K,MATCH(INDEX($M:$M,MATCH(AR124,$N:$N,0)),$M:$M,0)),$D124,""),"")</f>
        <v/>
      </c>
      <c r="BB124" s="21" t="str">
        <f>IFERROR(SUBSTITUTE(INDEX($K:$K,MATCH(INDEX($M:$M,MATCH(AS124,$N:$N,0)),$M:$M,0)),$D124,""),"")</f>
        <v/>
      </c>
      <c r="BC124" s="21" t="str">
        <f>IFERROR(SUBSTITUTE(INDEX($K:$K,MATCH(INDEX($M:$M,MATCH(AT124,$N:$N,0)),$M:$M,0)),$D124,""),"")</f>
        <v/>
      </c>
      <c r="BE124" s="9" t="str">
        <f t="shared" si="16"/>
        <v/>
      </c>
      <c r="BI124" s="9" t="str">
        <f>IFERROR(
IF(COUNTIF($M:$M,$AD124)&lt;BI$8,
"",
INDEX($J:$J,MATCH($AD124,$M:$M,0)+BI$8-1)),
"")</f>
        <v/>
      </c>
      <c r="BJ124" s="9" t="str">
        <f>IFERROR(
IF(COUNTIF($M:$M,$AD124)&lt;BJ$8,
"",
INDEX($J:$J,MATCH($AD124,$M:$M,0)+BJ$8-1)),
"")</f>
        <v/>
      </c>
      <c r="BK124" s="9" t="str">
        <f>IFERROR(
IF(COUNTIF($M:$M,$AD124)&lt;BK$8,
"",
INDEX($J:$J,MATCH($AD124,$M:$M,0)+BK$8-1)),
"")</f>
        <v/>
      </c>
      <c r="BL124" s="9" t="str">
        <f>IFERROR(
IF(COUNTIF($M:$M,$AD124)&lt;BL$8,
"",
INDEX($J:$J,MATCH($AD124,$M:$M,0)+BL$8-1)),
"")</f>
        <v/>
      </c>
      <c r="BN124" s="21" t="str">
        <f>IFERROR(
IF(COUNTIF($BI124:BM124,INDEX($J:$J,MATCH($AE124,$M:$M,0)+BN$8-1))=0,
IF(COUNTIF($M:$M,$AE124)&lt;BN$8,
"",
INDEX($J:$J,MATCH($AE124,$M:$M,0)+BN$8-1)),
""),
"")</f>
        <v/>
      </c>
      <c r="BO124" s="21" t="str">
        <f>IFERROR(
IF(COUNTIF($BI124:BN124,INDEX($J:$J,MATCH($AE124,$M:$M,0)+BO$8-1))=0,
IF(COUNTIF($M:$M,$AE124)&lt;BO$8,
"",
INDEX($J:$J,MATCH($AE124,$M:$M,0)+BO$8-1)),
""),
"")</f>
        <v/>
      </c>
      <c r="BP124" s="21" t="str">
        <f>IFERROR(
IF(COUNTIF($BI124:BO124,INDEX($J:$J,MATCH($AE124,$M:$M,0)+BP$8-1))=0,
IF(COUNTIF($M:$M,$AE124)&lt;BP$8,
"",
INDEX($J:$J,MATCH($AE124,$M:$M,0)+BP$8-1)),
""),
"")</f>
        <v/>
      </c>
      <c r="BQ124" s="21" t="str">
        <f>IFERROR(
IF(COUNTIF($BI124:BP124,INDEX($J:$J,MATCH($AE124,$M:$M,0)+BQ$8-1))=0,
IF(COUNTIF($M:$M,$AE124)&lt;BQ$8,
"",
INDEX($J:$J,MATCH($AE124,$M:$M,0)+BQ$8-1)),
""),
"")</f>
        <v/>
      </c>
      <c r="BS124" s="21" t="str">
        <f>IFERROR(
IF(COUNTIF($BI124:BR124,INDEX($J:$J,MATCH($AF124,$M:$M,0)+BS$8-1))=0,
IF(COUNTIF($M:$M,$AF124)&lt;BS$8,
"",
INDEX($J:$J,MATCH($AF124,$M:$M,0)+BS$8-1)),
""),
"")</f>
        <v/>
      </c>
      <c r="BT124" s="21" t="str">
        <f>IFERROR(
IF(COUNTIF($BI124:BS124,INDEX($J:$J,MATCH($AF124,$M:$M,0)+BT$8-1))=0,
IF(COUNTIF($M:$M,$AF124)&lt;BT$8,
"",
INDEX($J:$J,MATCH($AF124,$M:$M,0)+BT$8-1)),
""),
"")</f>
        <v/>
      </c>
      <c r="BU124" s="21" t="str">
        <f>IFERROR(
IF(COUNTIF($BI124:BT124,INDEX($J:$J,MATCH($AF124,$M:$M,0)+BU$8-1))=0,
IF(COUNTIF($M:$M,$AF124)&lt;BU$8,
"",
INDEX($J:$J,MATCH($AF124,$M:$M,0)+BU$8-1)),
""),
"")</f>
        <v/>
      </c>
      <c r="BV124" s="21" t="str">
        <f>IFERROR(
IF(COUNTIF($BI124:BU124,INDEX($J:$J,MATCH($AF124,$M:$M,0)+BV$8-1))=0,
IF(COUNTIF($M:$M,$AF124)&lt;BV$8,
"",
INDEX($J:$J,MATCH($AF124,$M:$M,0)+BV$8-1)),
""),
"")</f>
        <v/>
      </c>
      <c r="BX124" s="21" t="str">
        <f>IFERROR(
IF(COUNTIF($BI124:BW124,INDEX($J:$J,MATCH($AG124,$M:$M,0)+BX$8-1))=0,
IF(COUNTIF($M:$M,$AG124)&lt;BX$8,
"",
INDEX($J:$J,MATCH($AG124,$M:$M,0)+BX$8-1)),
""),
"")</f>
        <v/>
      </c>
      <c r="BY124" s="21" t="str">
        <f>IFERROR(
IF(COUNTIF($BI124:BX124,INDEX($J:$J,MATCH($AG124,$M:$M,0)+BY$8-1))=0,
IF(COUNTIF($M:$M,$AG124)&lt;BY$8,
"",
INDEX($J:$J,MATCH($AG124,$M:$M,0)+BY$8-1)),
""),
"")</f>
        <v/>
      </c>
      <c r="BZ124" s="21" t="str">
        <f>IFERROR(
IF(COUNTIF($BI124:BY124,INDEX($J:$J,MATCH($AG124,$M:$M,0)+BZ$8-1))=0,
IF(COUNTIF($M:$M,$AG124)&lt;BZ$8,
"",
INDEX($J:$J,MATCH($AG124,$M:$M,0)+BZ$8-1)),
""),
"")</f>
        <v/>
      </c>
      <c r="CA124" s="21" t="str">
        <f>IFERROR(
IF(COUNTIF($BI124:BZ124,INDEX($J:$J,MATCH($AG124,$M:$M,0)+CA$8-1))=0,
IF(COUNTIF($M:$M,$AG124)&lt;CA$8,
"",
INDEX($J:$J,MATCH($AG124,$M:$M,0)+CA$8-1)),
""),
"")</f>
        <v/>
      </c>
      <c r="CC124" s="21" t="str">
        <f>IFERROR(
IF(COUNTIF($BI124:CB124,INDEX($J:$J,MATCH($AH124,$M:$M,0)+CC$8-1))=0,
IF(COUNTIF($M:$M,$AH124)&lt;CC$8,
"",
INDEX($J:$J,MATCH($AH124,$M:$M,0)+CC$8-1)),
""),
"")</f>
        <v/>
      </c>
      <c r="CD124" s="21" t="str">
        <f>IFERROR(
IF(COUNTIF($BI124:CC124,INDEX($J:$J,MATCH($AH124,$M:$M,0)+CD$8-1))=0,
IF(COUNTIF($M:$M,$AH124)&lt;CD$8,
"",
INDEX($J:$J,MATCH($AH124,$M:$M,0)+CD$8-1)),
""),
"")</f>
        <v/>
      </c>
      <c r="CE124" s="21" t="str">
        <f>IFERROR(
IF(COUNTIF($BI124:CD124,INDEX($J:$J,MATCH($AH124,$M:$M,0)+CE$8-1))=0,
IF(COUNTIF($M:$M,$AH124)&lt;CE$8,
"",
INDEX($J:$J,MATCH($AH124,$M:$M,0)+CE$8-1)),
""),
"")</f>
        <v/>
      </c>
      <c r="CF124" s="21" t="str">
        <f>IFERROR(
IF(COUNTIF($BI124:CE124,INDEX($J:$J,MATCH($AH124,$M:$M,0)+CF$8-1))=0,
IF(COUNTIF($M:$M,$AH124)&lt;CF$8,
"",
INDEX($J:$J,MATCH($AH124,$M:$M,0)+CF$8-1)),
""),
"")</f>
        <v/>
      </c>
      <c r="CH124" s="21" t="str">
        <f>IFERROR(
IF(COUNTIF($BI124:CG124,INDEX($J:$J,MATCH($AI124,$M:$M,0)+CH$8-1))=0,
IF(COUNTIF($M:$M,$AI124)&lt;CH$8,
"",
INDEX($J:$J,MATCH($AI124,$M:$M,0)+CH$8-1)),
""),
"")</f>
        <v/>
      </c>
      <c r="CI124" s="21" t="str">
        <f>IFERROR(
IF(COUNTIF($BI124:CH124,INDEX($J:$J,MATCH($AI124,$M:$M,0)+CI$8-1))=0,
IF(COUNTIF($M:$M,$AI124)&lt;CI$8,
"",
INDEX($J:$J,MATCH($AI124,$M:$M,0)+CI$8-1)),
""),
"")</f>
        <v/>
      </c>
      <c r="CJ124" s="21" t="str">
        <f>IFERROR(
IF(COUNTIF($BI124:CI124,INDEX($J:$J,MATCH($AI124,$M:$M,0)+CJ$8-1))=0,
IF(COUNTIF($M:$M,$AI124)&lt;CJ$8,
"",
INDEX($J:$J,MATCH($AI124,$M:$M,0)+CJ$8-1)),
""),
"")</f>
        <v/>
      </c>
      <c r="CK124" s="21" t="str">
        <f>IFERROR(
IF(COUNTIF($BI124:CJ124,INDEX($J:$J,MATCH($AI124,$M:$M,0)+CK$8-1))=0,
IF(COUNTIF($M:$M,$AI124)&lt;CK$8,
"",
INDEX($J:$J,MATCH($AI124,$M:$M,0)+CK$8-1)),
""),
"")</f>
        <v/>
      </c>
      <c r="CM124" s="21" t="str">
        <f>IFERROR(
IF(COUNTIF($BI124:CL124,INDEX($J:$J,MATCH($AJ124,$M:$M,0)+CM$8-1))=0,
IF(COUNTIF($M:$M,$AJ124)&lt;CM$8,
"",
INDEX($J:$J,MATCH($AJ124,$M:$M,0)+CM$8-1)),
""),
"")</f>
        <v/>
      </c>
      <c r="CN124" s="21" t="str">
        <f>IFERROR(
IF(COUNTIF($BI124:CM124,INDEX($J:$J,MATCH($AJ124,$M:$M,0)+CN$8-1))=0,
IF(COUNTIF($M:$M,$AJ124)&lt;CN$8,
"",
INDEX($J:$J,MATCH($AJ124,$M:$M,0)+CN$8-1)),
""),
"")</f>
        <v/>
      </c>
      <c r="CO124" s="21" t="str">
        <f>IFERROR(
IF(COUNTIF($BI124:CN124,INDEX($J:$J,MATCH($AJ124,$M:$M,0)+CO$8-1))=0,
IF(COUNTIF($M:$M,$AJ124)&lt;CO$8,
"",
INDEX($J:$J,MATCH($AJ124,$M:$M,0)+CO$8-1)),
""),
"")</f>
        <v/>
      </c>
      <c r="CP124" s="21" t="str">
        <f>IFERROR(
IF(COUNTIF($BI124:CO124,INDEX($J:$J,MATCH($AJ124,$M:$M,0)+CP$8-1))=0,
IF(COUNTIF($M:$M,$AJ124)&lt;CP$8,
"",
INDEX($J:$J,MATCH($AJ124,$M:$M,0)+CP$8-1)),
""),
"")</f>
        <v/>
      </c>
      <c r="CR124" s="21" t="str">
        <f>IFERROR(
IF(COUNTIF($BI124:CQ124,INDEX($J:$J,MATCH($AK124,$M:$M,0)+CR$8-1))=0,
IF(COUNTIF($M:$M,$AK124)&lt;CR$8,
"",
INDEX($J:$J,MATCH($AK124,$M:$M,0)+CR$8-1)),
""),
"")</f>
        <v/>
      </c>
      <c r="CS124" s="21" t="str">
        <f>IFERROR(
IF(COUNTIF($BI124:CR124,INDEX($J:$J,MATCH($AK124,$M:$M,0)+CS$8-1))=0,
IF(COUNTIF($M:$M,$AK124)&lt;CS$8,
"",
INDEX($J:$J,MATCH($AK124,$M:$M,0)+CS$8-1)),
""),
"")</f>
        <v/>
      </c>
      <c r="CT124" s="21" t="str">
        <f>IFERROR(
IF(COUNTIF($BI124:CS124,INDEX($J:$J,MATCH($AK124,$M:$M,0)+CT$8-1))=0,
IF(COUNTIF($M:$M,$AK124)&lt;CT$8,
"",
INDEX($J:$J,MATCH($AK124,$M:$M,0)+CT$8-1)),
""),
"")</f>
        <v/>
      </c>
      <c r="CU124" s="21" t="str">
        <f>IFERROR(
IF(COUNTIF($BI124:CT124,INDEX($J:$J,MATCH($AK124,$M:$M,0)+CU$8-1))=0,
IF(COUNTIF($M:$M,$AK124)&lt;CU$8,
"",
INDEX($J:$J,MATCH($AK124,$M:$M,0)+CU$8-1)),
""),
"")</f>
        <v/>
      </c>
    </row>
    <row r="125" spans="8:99">
      <c r="H125" s="7">
        <f>IF(I125="","",COUNTA(I$9:$I125))</f>
        <v>101</v>
      </c>
      <c r="I125" s="6" t="s">
        <v>247</v>
      </c>
      <c r="J125" s="6" t="s">
        <v>248</v>
      </c>
      <c r="K125" s="8" t="str">
        <f>IF(H125="","",阶段合并区域(J125:J128," ",L125:L128,1))</f>
        <v>褒姒 勾践 楚庄王 秦武王</v>
      </c>
      <c r="L125" s="8">
        <f>COUNTIF(M$8:$M125,"="&amp;M125)</f>
        <v>1</v>
      </c>
      <c r="M125" s="9" t="str">
        <f t="shared" ref="M125:M132" si="28">IF(H125="",M124,I125)</f>
        <v>英雄美人</v>
      </c>
      <c r="N125" s="9" t="str">
        <f t="shared" ref="N125:N132" si="29">M125&amp;L125</f>
        <v>英雄美人1</v>
      </c>
      <c r="O125" s="15">
        <f>INDEX(C:C,MATCH(J125,D:D,0))</f>
        <v>60</v>
      </c>
      <c r="P125" s="9">
        <f>INDEX(E:E,MATCH(J125,D:D,0))</f>
        <v>130</v>
      </c>
      <c r="Q125" s="7">
        <f t="shared" si="10"/>
        <v>60</v>
      </c>
      <c r="R125" s="7">
        <f>COUNTIF(J$8:$J125,"="&amp;J125)</f>
        <v>3</v>
      </c>
      <c r="S125" s="7">
        <f t="shared" ref="S125:S132" si="30">R125*1000+Q125</f>
        <v>3060</v>
      </c>
      <c r="U125" s="7">
        <f t="shared" si="24"/>
        <v>1000</v>
      </c>
      <c r="V125" s="7">
        <f t="shared" si="24"/>
        <v>2000</v>
      </c>
      <c r="W125" s="7">
        <f t="shared" si="24"/>
        <v>3000</v>
      </c>
      <c r="X125" s="7">
        <f t="shared" si="24"/>
        <v>4000</v>
      </c>
      <c r="Y125" s="7">
        <f t="shared" si="24"/>
        <v>5000</v>
      </c>
      <c r="Z125" s="7">
        <f t="shared" si="24"/>
        <v>6000</v>
      </c>
      <c r="AA125" s="7">
        <f t="shared" si="24"/>
        <v>7000</v>
      </c>
      <c r="AB125" s="7">
        <f t="shared" si="24"/>
        <v>8000</v>
      </c>
      <c r="AD125" s="21" t="str">
        <f>IFERROR(INDEX($M:$M,MATCH(U125,$S:$S,0)),"&amp;")</f>
        <v>&amp;</v>
      </c>
      <c r="AE125" s="21" t="str">
        <f>IFERROR(INDEX($M:$M,MATCH(V125,$S:$S,0)),"&amp;")</f>
        <v>&amp;</v>
      </c>
      <c r="AF125" s="21" t="str">
        <f>IFERROR(INDEX($M:$M,MATCH(W125,$S:$S,0)),"&amp;")</f>
        <v>&amp;</v>
      </c>
      <c r="AG125" s="21" t="str">
        <f>IFERROR(INDEX($M:$M,MATCH(X125,$S:$S,0)),"&amp;")</f>
        <v>&amp;</v>
      </c>
      <c r="AH125" s="21" t="str">
        <f>IFERROR(INDEX($M:$M,MATCH(Y125,$S:$S,0)),"&amp;")</f>
        <v>&amp;</v>
      </c>
      <c r="AI125" s="21" t="str">
        <f>IFERROR(INDEX($M:$M,MATCH(Z125,$S:$S,0)),"&amp;")</f>
        <v>&amp;</v>
      </c>
      <c r="AJ125" s="21" t="str">
        <f>IFERROR(INDEX($M:$M,MATCH(AA125,$S:$S,0)),"&amp;")</f>
        <v>&amp;</v>
      </c>
      <c r="AK125" s="21" t="str">
        <f>IFERROR(INDEX($M:$M,MATCH(AB125,$S:$S,0)),"&amp;")</f>
        <v>&amp;</v>
      </c>
      <c r="AM125" s="21" t="str">
        <f>IFERROR(INDEX($N:$N,MATCH(U125,$S:$S,0)),"&amp;")</f>
        <v>&amp;</v>
      </c>
      <c r="AN125" s="21" t="str">
        <f>IFERROR(INDEX($N:$N,MATCH(V125,$S:$S,0)),"&amp;")</f>
        <v>&amp;</v>
      </c>
      <c r="AO125" s="21" t="str">
        <f>IFERROR(INDEX($N:$N,MATCH(W125,$S:$S,0)),"&amp;")</f>
        <v>&amp;</v>
      </c>
      <c r="AP125" s="21" t="str">
        <f>IFERROR(INDEX($N:$N,MATCH(X125,$S:$S,0)),"&amp;")</f>
        <v>&amp;</v>
      </c>
      <c r="AQ125" s="21" t="str">
        <f>IFERROR(INDEX($N:$N,MATCH(Y125,$S:$S,0)),"&amp;")</f>
        <v>&amp;</v>
      </c>
      <c r="AR125" s="21" t="str">
        <f>IFERROR(INDEX($N:$N,MATCH(Z125,$S:$S,0)),"&amp;")</f>
        <v>&amp;</v>
      </c>
      <c r="AS125" s="21" t="str">
        <f>IFERROR(INDEX($N:$N,MATCH(AA125,$S:$S,0)),"&amp;")</f>
        <v>&amp;</v>
      </c>
      <c r="AT125" s="21" t="str">
        <f>IFERROR(INDEX($N:$N,MATCH(AB125,$S:$S,0)),"&amp;")</f>
        <v>&amp;</v>
      </c>
      <c r="AV125" s="21" t="str">
        <f>IFERROR(SUBSTITUTE(INDEX($K:$K,MATCH(INDEX($M:$M,MATCH(AM125,$N:$N,0)),$M:$M,0)),$D125,""),"")</f>
        <v/>
      </c>
      <c r="AW125" s="21" t="str">
        <f>IFERROR(SUBSTITUTE(INDEX($K:$K,MATCH(INDEX($M:$M,MATCH(AN125,$N:$N,0)),$M:$M,0)),$D125,""),"")</f>
        <v/>
      </c>
      <c r="AX125" s="21" t="str">
        <f>IFERROR(SUBSTITUTE(INDEX($K:$K,MATCH(INDEX($M:$M,MATCH(AO125,$N:$N,0)),$M:$M,0)),$D125,""),"")</f>
        <v/>
      </c>
      <c r="AY125" s="21" t="str">
        <f>IFERROR(SUBSTITUTE(INDEX($K:$K,MATCH(INDEX($M:$M,MATCH(AP125,$N:$N,0)),$M:$M,0)),$D125,""),"")</f>
        <v/>
      </c>
      <c r="AZ125" s="21" t="str">
        <f>IFERROR(SUBSTITUTE(INDEX($K:$K,MATCH(INDEX($M:$M,MATCH(AQ125,$N:$N,0)),$M:$M,0)),$D125,""),"")</f>
        <v/>
      </c>
      <c r="BA125" s="21" t="str">
        <f>IFERROR(SUBSTITUTE(INDEX($K:$K,MATCH(INDEX($M:$M,MATCH(AR125,$N:$N,0)),$M:$M,0)),$D125,""),"")</f>
        <v/>
      </c>
      <c r="BB125" s="21" t="str">
        <f>IFERROR(SUBSTITUTE(INDEX($K:$K,MATCH(INDEX($M:$M,MATCH(AS125,$N:$N,0)),$M:$M,0)),$D125,""),"")</f>
        <v/>
      </c>
      <c r="BC125" s="21" t="str">
        <f>IFERROR(SUBSTITUTE(INDEX($K:$K,MATCH(INDEX($M:$M,MATCH(AT125,$N:$N,0)),$M:$M,0)),$D125,""),"")</f>
        <v/>
      </c>
      <c r="BE125" s="9" t="str">
        <f t="shared" si="16"/>
        <v/>
      </c>
      <c r="BI125" s="9" t="str">
        <f>IFERROR(
IF(COUNTIF($M:$M,$AD125)&lt;BI$8,
"",
INDEX($J:$J,MATCH($AD125,$M:$M,0)+BI$8-1)),
"")</f>
        <v/>
      </c>
      <c r="BJ125" s="9" t="str">
        <f>IFERROR(
IF(COUNTIF($M:$M,$AD125)&lt;BJ$8,
"",
INDEX($J:$J,MATCH($AD125,$M:$M,0)+BJ$8-1)),
"")</f>
        <v/>
      </c>
      <c r="BK125" s="9" t="str">
        <f>IFERROR(
IF(COUNTIF($M:$M,$AD125)&lt;BK$8,
"",
INDEX($J:$J,MATCH($AD125,$M:$M,0)+BK$8-1)),
"")</f>
        <v/>
      </c>
      <c r="BL125" s="9" t="str">
        <f>IFERROR(
IF(COUNTIF($M:$M,$AD125)&lt;BL$8,
"",
INDEX($J:$J,MATCH($AD125,$M:$M,0)+BL$8-1)),
"")</f>
        <v/>
      </c>
      <c r="BN125" s="21" t="str">
        <f>IFERROR(
IF(COUNTIF($BI125:BM125,INDEX($J:$J,MATCH($AE125,$M:$M,0)+BN$8-1))=0,
IF(COUNTIF($M:$M,$AE125)&lt;BN$8,
"",
INDEX($J:$J,MATCH($AE125,$M:$M,0)+BN$8-1)),
""),
"")</f>
        <v/>
      </c>
      <c r="BO125" s="21" t="str">
        <f>IFERROR(
IF(COUNTIF($BI125:BN125,INDEX($J:$J,MATCH($AE125,$M:$M,0)+BO$8-1))=0,
IF(COUNTIF($M:$M,$AE125)&lt;BO$8,
"",
INDEX($J:$J,MATCH($AE125,$M:$M,0)+BO$8-1)),
""),
"")</f>
        <v/>
      </c>
      <c r="BP125" s="21" t="str">
        <f>IFERROR(
IF(COUNTIF($BI125:BO125,INDEX($J:$J,MATCH($AE125,$M:$M,0)+BP$8-1))=0,
IF(COUNTIF($M:$M,$AE125)&lt;BP$8,
"",
INDEX($J:$J,MATCH($AE125,$M:$M,0)+BP$8-1)),
""),
"")</f>
        <v/>
      </c>
      <c r="BQ125" s="21" t="str">
        <f>IFERROR(
IF(COUNTIF($BI125:BP125,INDEX($J:$J,MATCH($AE125,$M:$M,0)+BQ$8-1))=0,
IF(COUNTIF($M:$M,$AE125)&lt;BQ$8,
"",
INDEX($J:$J,MATCH($AE125,$M:$M,0)+BQ$8-1)),
""),
"")</f>
        <v/>
      </c>
      <c r="BS125" s="21" t="str">
        <f>IFERROR(
IF(COUNTIF($BI125:BR125,INDEX($J:$J,MATCH($AF125,$M:$M,0)+BS$8-1))=0,
IF(COUNTIF($M:$M,$AF125)&lt;BS$8,
"",
INDEX($J:$J,MATCH($AF125,$M:$M,0)+BS$8-1)),
""),
"")</f>
        <v/>
      </c>
      <c r="BT125" s="21" t="str">
        <f>IFERROR(
IF(COUNTIF($BI125:BS125,INDEX($J:$J,MATCH($AF125,$M:$M,0)+BT$8-1))=0,
IF(COUNTIF($M:$M,$AF125)&lt;BT$8,
"",
INDEX($J:$J,MATCH($AF125,$M:$M,0)+BT$8-1)),
""),
"")</f>
        <v/>
      </c>
      <c r="BU125" s="21" t="str">
        <f>IFERROR(
IF(COUNTIF($BI125:BT125,INDEX($J:$J,MATCH($AF125,$M:$M,0)+BU$8-1))=0,
IF(COUNTIF($M:$M,$AF125)&lt;BU$8,
"",
INDEX($J:$J,MATCH($AF125,$M:$M,0)+BU$8-1)),
""),
"")</f>
        <v/>
      </c>
      <c r="BV125" s="21" t="str">
        <f>IFERROR(
IF(COUNTIF($BI125:BU125,INDEX($J:$J,MATCH($AF125,$M:$M,0)+BV$8-1))=0,
IF(COUNTIF($M:$M,$AF125)&lt;BV$8,
"",
INDEX($J:$J,MATCH($AF125,$M:$M,0)+BV$8-1)),
""),
"")</f>
        <v/>
      </c>
      <c r="BX125" s="21" t="str">
        <f>IFERROR(
IF(COUNTIF($BI125:BW125,INDEX($J:$J,MATCH($AG125,$M:$M,0)+BX$8-1))=0,
IF(COUNTIF($M:$M,$AG125)&lt;BX$8,
"",
INDEX($J:$J,MATCH($AG125,$M:$M,0)+BX$8-1)),
""),
"")</f>
        <v/>
      </c>
      <c r="BY125" s="21" t="str">
        <f>IFERROR(
IF(COUNTIF($BI125:BX125,INDEX($J:$J,MATCH($AG125,$M:$M,0)+BY$8-1))=0,
IF(COUNTIF($M:$M,$AG125)&lt;BY$8,
"",
INDEX($J:$J,MATCH($AG125,$M:$M,0)+BY$8-1)),
""),
"")</f>
        <v/>
      </c>
      <c r="BZ125" s="21" t="str">
        <f>IFERROR(
IF(COUNTIF($BI125:BY125,INDEX($J:$J,MATCH($AG125,$M:$M,0)+BZ$8-1))=0,
IF(COUNTIF($M:$M,$AG125)&lt;BZ$8,
"",
INDEX($J:$J,MATCH($AG125,$M:$M,0)+BZ$8-1)),
""),
"")</f>
        <v/>
      </c>
      <c r="CA125" s="21" t="str">
        <f>IFERROR(
IF(COUNTIF($BI125:BZ125,INDEX($J:$J,MATCH($AG125,$M:$M,0)+CA$8-1))=0,
IF(COUNTIF($M:$M,$AG125)&lt;CA$8,
"",
INDEX($J:$J,MATCH($AG125,$M:$M,0)+CA$8-1)),
""),
"")</f>
        <v/>
      </c>
      <c r="CC125" s="21" t="str">
        <f>IFERROR(
IF(COUNTIF($BI125:CB125,INDEX($J:$J,MATCH($AH125,$M:$M,0)+CC$8-1))=0,
IF(COUNTIF($M:$M,$AH125)&lt;CC$8,
"",
INDEX($J:$J,MATCH($AH125,$M:$M,0)+CC$8-1)),
""),
"")</f>
        <v/>
      </c>
      <c r="CD125" s="21" t="str">
        <f>IFERROR(
IF(COUNTIF($BI125:CC125,INDEX($J:$J,MATCH($AH125,$M:$M,0)+CD$8-1))=0,
IF(COUNTIF($M:$M,$AH125)&lt;CD$8,
"",
INDEX($J:$J,MATCH($AH125,$M:$M,0)+CD$8-1)),
""),
"")</f>
        <v/>
      </c>
      <c r="CE125" s="21" t="str">
        <f>IFERROR(
IF(COUNTIF($BI125:CD125,INDEX($J:$J,MATCH($AH125,$M:$M,0)+CE$8-1))=0,
IF(COUNTIF($M:$M,$AH125)&lt;CE$8,
"",
INDEX($J:$J,MATCH($AH125,$M:$M,0)+CE$8-1)),
""),
"")</f>
        <v/>
      </c>
      <c r="CF125" s="21" t="str">
        <f>IFERROR(
IF(COUNTIF($BI125:CE125,INDEX($J:$J,MATCH($AH125,$M:$M,0)+CF$8-1))=0,
IF(COUNTIF($M:$M,$AH125)&lt;CF$8,
"",
INDEX($J:$J,MATCH($AH125,$M:$M,0)+CF$8-1)),
""),
"")</f>
        <v/>
      </c>
      <c r="CH125" s="21" t="str">
        <f>IFERROR(
IF(COUNTIF($BI125:CG125,INDEX($J:$J,MATCH($AI125,$M:$M,0)+CH$8-1))=0,
IF(COUNTIF($M:$M,$AI125)&lt;CH$8,
"",
INDEX($J:$J,MATCH($AI125,$M:$M,0)+CH$8-1)),
""),
"")</f>
        <v/>
      </c>
      <c r="CI125" s="21" t="str">
        <f>IFERROR(
IF(COUNTIF($BI125:CH125,INDEX($J:$J,MATCH($AI125,$M:$M,0)+CI$8-1))=0,
IF(COUNTIF($M:$M,$AI125)&lt;CI$8,
"",
INDEX($J:$J,MATCH($AI125,$M:$M,0)+CI$8-1)),
""),
"")</f>
        <v/>
      </c>
      <c r="CJ125" s="21" t="str">
        <f>IFERROR(
IF(COUNTIF($BI125:CI125,INDEX($J:$J,MATCH($AI125,$M:$M,0)+CJ$8-1))=0,
IF(COUNTIF($M:$M,$AI125)&lt;CJ$8,
"",
INDEX($J:$J,MATCH($AI125,$M:$M,0)+CJ$8-1)),
""),
"")</f>
        <v/>
      </c>
      <c r="CK125" s="21" t="str">
        <f>IFERROR(
IF(COUNTIF($BI125:CJ125,INDEX($J:$J,MATCH($AI125,$M:$M,0)+CK$8-1))=0,
IF(COUNTIF($M:$M,$AI125)&lt;CK$8,
"",
INDEX($J:$J,MATCH($AI125,$M:$M,0)+CK$8-1)),
""),
"")</f>
        <v/>
      </c>
      <c r="CM125" s="21" t="str">
        <f>IFERROR(
IF(COUNTIF($BI125:CL125,INDEX($J:$J,MATCH($AJ125,$M:$M,0)+CM$8-1))=0,
IF(COUNTIF($M:$M,$AJ125)&lt;CM$8,
"",
INDEX($J:$J,MATCH($AJ125,$M:$M,0)+CM$8-1)),
""),
"")</f>
        <v/>
      </c>
      <c r="CN125" s="21" t="str">
        <f>IFERROR(
IF(COUNTIF($BI125:CM125,INDEX($J:$J,MATCH($AJ125,$M:$M,0)+CN$8-1))=0,
IF(COUNTIF($M:$M,$AJ125)&lt;CN$8,
"",
INDEX($J:$J,MATCH($AJ125,$M:$M,0)+CN$8-1)),
""),
"")</f>
        <v/>
      </c>
      <c r="CO125" s="21" t="str">
        <f>IFERROR(
IF(COUNTIF($BI125:CN125,INDEX($J:$J,MATCH($AJ125,$M:$M,0)+CO$8-1))=0,
IF(COUNTIF($M:$M,$AJ125)&lt;CO$8,
"",
INDEX($J:$J,MATCH($AJ125,$M:$M,0)+CO$8-1)),
""),
"")</f>
        <v/>
      </c>
      <c r="CP125" s="21" t="str">
        <f>IFERROR(
IF(COUNTIF($BI125:CO125,INDEX($J:$J,MATCH($AJ125,$M:$M,0)+CP$8-1))=0,
IF(COUNTIF($M:$M,$AJ125)&lt;CP$8,
"",
INDEX($J:$J,MATCH($AJ125,$M:$M,0)+CP$8-1)),
""),
"")</f>
        <v/>
      </c>
      <c r="CR125" s="21" t="str">
        <f>IFERROR(
IF(COUNTIF($BI125:CQ125,INDEX($J:$J,MATCH($AK125,$M:$M,0)+CR$8-1))=0,
IF(COUNTIF($M:$M,$AK125)&lt;CR$8,
"",
INDEX($J:$J,MATCH($AK125,$M:$M,0)+CR$8-1)),
""),
"")</f>
        <v/>
      </c>
      <c r="CS125" s="21" t="str">
        <f>IFERROR(
IF(COUNTIF($BI125:CR125,INDEX($J:$J,MATCH($AK125,$M:$M,0)+CS$8-1))=0,
IF(COUNTIF($M:$M,$AK125)&lt;CS$8,
"",
INDEX($J:$J,MATCH($AK125,$M:$M,0)+CS$8-1)),
""),
"")</f>
        <v/>
      </c>
      <c r="CT125" s="21" t="str">
        <f>IFERROR(
IF(COUNTIF($BI125:CS125,INDEX($J:$J,MATCH($AK125,$M:$M,0)+CT$8-1))=0,
IF(COUNTIF($M:$M,$AK125)&lt;CT$8,
"",
INDEX($J:$J,MATCH($AK125,$M:$M,0)+CT$8-1)),
""),
"")</f>
        <v/>
      </c>
      <c r="CU125" s="21" t="str">
        <f>IFERROR(
IF(COUNTIF($BI125:CT125,INDEX($J:$J,MATCH($AK125,$M:$M,0)+CU$8-1))=0,
IF(COUNTIF($M:$M,$AK125)&lt;CU$8,
"",
INDEX($J:$J,MATCH($AK125,$M:$M,0)+CU$8-1)),
""),
"")</f>
        <v/>
      </c>
    </row>
    <row r="126" spans="8:99">
      <c r="H126" s="7" t="str">
        <f>IF(I126="","",COUNTA(I$9:$I126))</f>
        <v/>
      </c>
      <c r="I126" s="6"/>
      <c r="J126" s="6" t="s">
        <v>252</v>
      </c>
      <c r="K126" s="8" t="str">
        <f>IF(H126="","",阶段合并区域(J126:J128," ",L126:L128,1))</f>
        <v/>
      </c>
      <c r="L126" s="8">
        <f>COUNTIF(M$8:$M126,"="&amp;M126)</f>
        <v>2</v>
      </c>
      <c r="M126" s="9" t="str">
        <f t="shared" si="28"/>
        <v>英雄美人</v>
      </c>
      <c r="N126" s="9" t="str">
        <f t="shared" si="29"/>
        <v>英雄美人2</v>
      </c>
      <c r="O126" s="15">
        <f>INDEX(C:C,MATCH(J126,D:D,0))</f>
        <v>64</v>
      </c>
      <c r="P126" s="9">
        <f>INDEX(E:E,MATCH(J126,D:D,0))</f>
        <v>120</v>
      </c>
      <c r="Q126" s="7">
        <f t="shared" si="10"/>
        <v>64</v>
      </c>
      <c r="R126" s="7">
        <f>COUNTIF(J$8:$J126,"="&amp;J126)</f>
        <v>4</v>
      </c>
      <c r="S126" s="7">
        <f t="shared" si="30"/>
        <v>4064</v>
      </c>
      <c r="U126" s="7">
        <f t="shared" si="24"/>
        <v>1000</v>
      </c>
      <c r="V126" s="7">
        <f t="shared" si="24"/>
        <v>2000</v>
      </c>
      <c r="W126" s="7">
        <f t="shared" si="24"/>
        <v>3000</v>
      </c>
      <c r="X126" s="7">
        <f t="shared" si="24"/>
        <v>4000</v>
      </c>
      <c r="Y126" s="7">
        <f t="shared" si="24"/>
        <v>5000</v>
      </c>
      <c r="Z126" s="7">
        <f t="shared" si="24"/>
        <v>6000</v>
      </c>
      <c r="AA126" s="7">
        <f t="shared" si="24"/>
        <v>7000</v>
      </c>
      <c r="AB126" s="7">
        <f t="shared" si="24"/>
        <v>8000</v>
      </c>
      <c r="AD126" s="21" t="str">
        <f>IFERROR(INDEX($M:$M,MATCH(U126,$S:$S,0)),"&amp;")</f>
        <v>&amp;</v>
      </c>
      <c r="AE126" s="21" t="str">
        <f>IFERROR(INDEX($M:$M,MATCH(V126,$S:$S,0)),"&amp;")</f>
        <v>&amp;</v>
      </c>
      <c r="AF126" s="21" t="str">
        <f>IFERROR(INDEX($M:$M,MATCH(W126,$S:$S,0)),"&amp;")</f>
        <v>&amp;</v>
      </c>
      <c r="AG126" s="21" t="str">
        <f>IFERROR(INDEX($M:$M,MATCH(X126,$S:$S,0)),"&amp;")</f>
        <v>&amp;</v>
      </c>
      <c r="AH126" s="21" t="str">
        <f>IFERROR(INDEX($M:$M,MATCH(Y126,$S:$S,0)),"&amp;")</f>
        <v>&amp;</v>
      </c>
      <c r="AI126" s="21" t="str">
        <f>IFERROR(INDEX($M:$M,MATCH(Z126,$S:$S,0)),"&amp;")</f>
        <v>&amp;</v>
      </c>
      <c r="AJ126" s="21" t="str">
        <f>IFERROR(INDEX($M:$M,MATCH(AA126,$S:$S,0)),"&amp;")</f>
        <v>&amp;</v>
      </c>
      <c r="AK126" s="21" t="str">
        <f>IFERROR(INDEX($M:$M,MATCH(AB126,$S:$S,0)),"&amp;")</f>
        <v>&amp;</v>
      </c>
      <c r="AM126" s="21" t="str">
        <f>IFERROR(INDEX($N:$N,MATCH(U126,$S:$S,0)),"&amp;")</f>
        <v>&amp;</v>
      </c>
      <c r="AN126" s="21" t="str">
        <f>IFERROR(INDEX($N:$N,MATCH(V126,$S:$S,0)),"&amp;")</f>
        <v>&amp;</v>
      </c>
      <c r="AO126" s="21" t="str">
        <f>IFERROR(INDEX($N:$N,MATCH(W126,$S:$S,0)),"&amp;")</f>
        <v>&amp;</v>
      </c>
      <c r="AP126" s="21" t="str">
        <f>IFERROR(INDEX($N:$N,MATCH(X126,$S:$S,0)),"&amp;")</f>
        <v>&amp;</v>
      </c>
      <c r="AQ126" s="21" t="str">
        <f>IFERROR(INDEX($N:$N,MATCH(Y126,$S:$S,0)),"&amp;")</f>
        <v>&amp;</v>
      </c>
      <c r="AR126" s="21" t="str">
        <f>IFERROR(INDEX($N:$N,MATCH(Z126,$S:$S,0)),"&amp;")</f>
        <v>&amp;</v>
      </c>
      <c r="AS126" s="21" t="str">
        <f>IFERROR(INDEX($N:$N,MATCH(AA126,$S:$S,0)),"&amp;")</f>
        <v>&amp;</v>
      </c>
      <c r="AT126" s="21" t="str">
        <f>IFERROR(INDEX($N:$N,MATCH(AB126,$S:$S,0)),"&amp;")</f>
        <v>&amp;</v>
      </c>
      <c r="AV126" s="21" t="str">
        <f>IFERROR(SUBSTITUTE(INDEX($K:$K,MATCH(INDEX($M:$M,MATCH(AM126,$N:$N,0)),$M:$M,0)),$D126,""),"")</f>
        <v/>
      </c>
      <c r="AW126" s="21" t="str">
        <f>IFERROR(SUBSTITUTE(INDEX($K:$K,MATCH(INDEX($M:$M,MATCH(AN126,$N:$N,0)),$M:$M,0)),$D126,""),"")</f>
        <v/>
      </c>
      <c r="AX126" s="21" t="str">
        <f>IFERROR(SUBSTITUTE(INDEX($K:$K,MATCH(INDEX($M:$M,MATCH(AO126,$N:$N,0)),$M:$M,0)),$D126,""),"")</f>
        <v/>
      </c>
      <c r="AY126" s="21" t="str">
        <f>IFERROR(SUBSTITUTE(INDEX($K:$K,MATCH(INDEX($M:$M,MATCH(AP126,$N:$N,0)),$M:$M,0)),$D126,""),"")</f>
        <v/>
      </c>
      <c r="AZ126" s="21" t="str">
        <f>IFERROR(SUBSTITUTE(INDEX($K:$K,MATCH(INDEX($M:$M,MATCH(AQ126,$N:$N,0)),$M:$M,0)),$D126,""),"")</f>
        <v/>
      </c>
      <c r="BA126" s="21" t="str">
        <f>IFERROR(SUBSTITUTE(INDEX($K:$K,MATCH(INDEX($M:$M,MATCH(AR126,$N:$N,0)),$M:$M,0)),$D126,""),"")</f>
        <v/>
      </c>
      <c r="BB126" s="21" t="str">
        <f>IFERROR(SUBSTITUTE(INDEX($K:$K,MATCH(INDEX($M:$M,MATCH(AS126,$N:$N,0)),$M:$M,0)),$D126,""),"")</f>
        <v/>
      </c>
      <c r="BC126" s="21" t="str">
        <f>IFERROR(SUBSTITUTE(INDEX($K:$K,MATCH(INDEX($M:$M,MATCH(AT126,$N:$N,0)),$M:$M,0)),$D126,""),"")</f>
        <v/>
      </c>
      <c r="BE126" s="9" t="str">
        <f t="shared" si="16"/>
        <v/>
      </c>
      <c r="BI126" s="9" t="str">
        <f>IFERROR(
IF(COUNTIF($M:$M,$AD126)&lt;BI$8,
"",
INDEX($J:$J,MATCH($AD126,$M:$M,0)+BI$8-1)),
"")</f>
        <v/>
      </c>
      <c r="BJ126" s="9" t="str">
        <f>IFERROR(
IF(COUNTIF($M:$M,$AD126)&lt;BJ$8,
"",
INDEX($J:$J,MATCH($AD126,$M:$M,0)+BJ$8-1)),
"")</f>
        <v/>
      </c>
      <c r="BK126" s="9" t="str">
        <f>IFERROR(
IF(COUNTIF($M:$M,$AD126)&lt;BK$8,
"",
INDEX($J:$J,MATCH($AD126,$M:$M,0)+BK$8-1)),
"")</f>
        <v/>
      </c>
      <c r="BL126" s="9" t="str">
        <f>IFERROR(
IF(COUNTIF($M:$M,$AD126)&lt;BL$8,
"",
INDEX($J:$J,MATCH($AD126,$M:$M,0)+BL$8-1)),
"")</f>
        <v/>
      </c>
      <c r="BN126" s="21" t="str">
        <f>IFERROR(
IF(COUNTIF($BI126:BM126,INDEX($J:$J,MATCH($AE126,$M:$M,0)+BN$8-1))=0,
IF(COUNTIF($M:$M,$AE126)&lt;BN$8,
"",
INDEX($J:$J,MATCH($AE126,$M:$M,0)+BN$8-1)),
""),
"")</f>
        <v/>
      </c>
      <c r="BO126" s="21" t="str">
        <f>IFERROR(
IF(COUNTIF($BI126:BN126,INDEX($J:$J,MATCH($AE126,$M:$M,0)+BO$8-1))=0,
IF(COUNTIF($M:$M,$AE126)&lt;BO$8,
"",
INDEX($J:$J,MATCH($AE126,$M:$M,0)+BO$8-1)),
""),
"")</f>
        <v/>
      </c>
      <c r="BP126" s="21" t="str">
        <f>IFERROR(
IF(COUNTIF($BI126:BO126,INDEX($J:$J,MATCH($AE126,$M:$M,0)+BP$8-1))=0,
IF(COUNTIF($M:$M,$AE126)&lt;BP$8,
"",
INDEX($J:$J,MATCH($AE126,$M:$M,0)+BP$8-1)),
""),
"")</f>
        <v/>
      </c>
      <c r="BQ126" s="21" t="str">
        <f>IFERROR(
IF(COUNTIF($BI126:BP126,INDEX($J:$J,MATCH($AE126,$M:$M,0)+BQ$8-1))=0,
IF(COUNTIF($M:$M,$AE126)&lt;BQ$8,
"",
INDEX($J:$J,MATCH($AE126,$M:$M,0)+BQ$8-1)),
""),
"")</f>
        <v/>
      </c>
      <c r="BS126" s="21" t="str">
        <f>IFERROR(
IF(COUNTIF($BI126:BR126,INDEX($J:$J,MATCH($AF126,$M:$M,0)+BS$8-1))=0,
IF(COUNTIF($M:$M,$AF126)&lt;BS$8,
"",
INDEX($J:$J,MATCH($AF126,$M:$M,0)+BS$8-1)),
""),
"")</f>
        <v/>
      </c>
      <c r="BT126" s="21" t="str">
        <f>IFERROR(
IF(COUNTIF($BI126:BS126,INDEX($J:$J,MATCH($AF126,$M:$M,0)+BT$8-1))=0,
IF(COUNTIF($M:$M,$AF126)&lt;BT$8,
"",
INDEX($J:$J,MATCH($AF126,$M:$M,0)+BT$8-1)),
""),
"")</f>
        <v/>
      </c>
      <c r="BU126" s="21" t="str">
        <f>IFERROR(
IF(COUNTIF($BI126:BT126,INDEX($J:$J,MATCH($AF126,$M:$M,0)+BU$8-1))=0,
IF(COUNTIF($M:$M,$AF126)&lt;BU$8,
"",
INDEX($J:$J,MATCH($AF126,$M:$M,0)+BU$8-1)),
""),
"")</f>
        <v/>
      </c>
      <c r="BV126" s="21" t="str">
        <f>IFERROR(
IF(COUNTIF($BI126:BU126,INDEX($J:$J,MATCH($AF126,$M:$M,0)+BV$8-1))=0,
IF(COUNTIF($M:$M,$AF126)&lt;BV$8,
"",
INDEX($J:$J,MATCH($AF126,$M:$M,0)+BV$8-1)),
""),
"")</f>
        <v/>
      </c>
      <c r="BX126" s="21" t="str">
        <f>IFERROR(
IF(COUNTIF($BI126:BW126,INDEX($J:$J,MATCH($AG126,$M:$M,0)+BX$8-1))=0,
IF(COUNTIF($M:$M,$AG126)&lt;BX$8,
"",
INDEX($J:$J,MATCH($AG126,$M:$M,0)+BX$8-1)),
""),
"")</f>
        <v/>
      </c>
      <c r="BY126" s="21" t="str">
        <f>IFERROR(
IF(COUNTIF($BI126:BX126,INDEX($J:$J,MATCH($AG126,$M:$M,0)+BY$8-1))=0,
IF(COUNTIF($M:$M,$AG126)&lt;BY$8,
"",
INDEX($J:$J,MATCH($AG126,$M:$M,0)+BY$8-1)),
""),
"")</f>
        <v/>
      </c>
      <c r="BZ126" s="21" t="str">
        <f>IFERROR(
IF(COUNTIF($BI126:BY126,INDEX($J:$J,MATCH($AG126,$M:$M,0)+BZ$8-1))=0,
IF(COUNTIF($M:$M,$AG126)&lt;BZ$8,
"",
INDEX($J:$J,MATCH($AG126,$M:$M,0)+BZ$8-1)),
""),
"")</f>
        <v/>
      </c>
      <c r="CA126" s="21" t="str">
        <f>IFERROR(
IF(COUNTIF($BI126:BZ126,INDEX($J:$J,MATCH($AG126,$M:$M,0)+CA$8-1))=0,
IF(COUNTIF($M:$M,$AG126)&lt;CA$8,
"",
INDEX($J:$J,MATCH($AG126,$M:$M,0)+CA$8-1)),
""),
"")</f>
        <v/>
      </c>
      <c r="CC126" s="21" t="str">
        <f>IFERROR(
IF(COUNTIF($BI126:CB126,INDEX($J:$J,MATCH($AH126,$M:$M,0)+CC$8-1))=0,
IF(COUNTIF($M:$M,$AH126)&lt;CC$8,
"",
INDEX($J:$J,MATCH($AH126,$M:$M,0)+CC$8-1)),
""),
"")</f>
        <v/>
      </c>
      <c r="CD126" s="21" t="str">
        <f>IFERROR(
IF(COUNTIF($BI126:CC126,INDEX($J:$J,MATCH($AH126,$M:$M,0)+CD$8-1))=0,
IF(COUNTIF($M:$M,$AH126)&lt;CD$8,
"",
INDEX($J:$J,MATCH($AH126,$M:$M,0)+CD$8-1)),
""),
"")</f>
        <v/>
      </c>
      <c r="CE126" s="21" t="str">
        <f>IFERROR(
IF(COUNTIF($BI126:CD126,INDEX($J:$J,MATCH($AH126,$M:$M,0)+CE$8-1))=0,
IF(COUNTIF($M:$M,$AH126)&lt;CE$8,
"",
INDEX($J:$J,MATCH($AH126,$M:$M,0)+CE$8-1)),
""),
"")</f>
        <v/>
      </c>
      <c r="CF126" s="21" t="str">
        <f>IFERROR(
IF(COUNTIF($BI126:CE126,INDEX($J:$J,MATCH($AH126,$M:$M,0)+CF$8-1))=0,
IF(COUNTIF($M:$M,$AH126)&lt;CF$8,
"",
INDEX($J:$J,MATCH($AH126,$M:$M,0)+CF$8-1)),
""),
"")</f>
        <v/>
      </c>
      <c r="CH126" s="21" t="str">
        <f>IFERROR(
IF(COUNTIF($BI126:CG126,INDEX($J:$J,MATCH($AI126,$M:$M,0)+CH$8-1))=0,
IF(COUNTIF($M:$M,$AI126)&lt;CH$8,
"",
INDEX($J:$J,MATCH($AI126,$M:$M,0)+CH$8-1)),
""),
"")</f>
        <v/>
      </c>
      <c r="CI126" s="21" t="str">
        <f>IFERROR(
IF(COUNTIF($BI126:CH126,INDEX($J:$J,MATCH($AI126,$M:$M,0)+CI$8-1))=0,
IF(COUNTIF($M:$M,$AI126)&lt;CI$8,
"",
INDEX($J:$J,MATCH($AI126,$M:$M,0)+CI$8-1)),
""),
"")</f>
        <v/>
      </c>
      <c r="CJ126" s="21" t="str">
        <f>IFERROR(
IF(COUNTIF($BI126:CI126,INDEX($J:$J,MATCH($AI126,$M:$M,0)+CJ$8-1))=0,
IF(COUNTIF($M:$M,$AI126)&lt;CJ$8,
"",
INDEX($J:$J,MATCH($AI126,$M:$M,0)+CJ$8-1)),
""),
"")</f>
        <v/>
      </c>
      <c r="CK126" s="21" t="str">
        <f>IFERROR(
IF(COUNTIF($BI126:CJ126,INDEX($J:$J,MATCH($AI126,$M:$M,0)+CK$8-1))=0,
IF(COUNTIF($M:$M,$AI126)&lt;CK$8,
"",
INDEX($J:$J,MATCH($AI126,$M:$M,0)+CK$8-1)),
""),
"")</f>
        <v/>
      </c>
      <c r="CM126" s="21" t="str">
        <f>IFERROR(
IF(COUNTIF($BI126:CL126,INDEX($J:$J,MATCH($AJ126,$M:$M,0)+CM$8-1))=0,
IF(COUNTIF($M:$M,$AJ126)&lt;CM$8,
"",
INDEX($J:$J,MATCH($AJ126,$M:$M,0)+CM$8-1)),
""),
"")</f>
        <v/>
      </c>
      <c r="CN126" s="21" t="str">
        <f>IFERROR(
IF(COUNTIF($BI126:CM126,INDEX($J:$J,MATCH($AJ126,$M:$M,0)+CN$8-1))=0,
IF(COUNTIF($M:$M,$AJ126)&lt;CN$8,
"",
INDEX($J:$J,MATCH($AJ126,$M:$M,0)+CN$8-1)),
""),
"")</f>
        <v/>
      </c>
      <c r="CO126" s="21" t="str">
        <f>IFERROR(
IF(COUNTIF($BI126:CN126,INDEX($J:$J,MATCH($AJ126,$M:$M,0)+CO$8-1))=0,
IF(COUNTIF($M:$M,$AJ126)&lt;CO$8,
"",
INDEX($J:$J,MATCH($AJ126,$M:$M,0)+CO$8-1)),
""),
"")</f>
        <v/>
      </c>
      <c r="CP126" s="21" t="str">
        <f>IFERROR(
IF(COUNTIF($BI126:CO126,INDEX($J:$J,MATCH($AJ126,$M:$M,0)+CP$8-1))=0,
IF(COUNTIF($M:$M,$AJ126)&lt;CP$8,
"",
INDEX($J:$J,MATCH($AJ126,$M:$M,0)+CP$8-1)),
""),
"")</f>
        <v/>
      </c>
      <c r="CR126" s="21" t="str">
        <f>IFERROR(
IF(COUNTIF($BI126:CQ126,INDEX($J:$J,MATCH($AK126,$M:$M,0)+CR$8-1))=0,
IF(COUNTIF($M:$M,$AK126)&lt;CR$8,
"",
INDEX($J:$J,MATCH($AK126,$M:$M,0)+CR$8-1)),
""),
"")</f>
        <v/>
      </c>
      <c r="CS126" s="21" t="str">
        <f>IFERROR(
IF(COUNTIF($BI126:CR126,INDEX($J:$J,MATCH($AK126,$M:$M,0)+CS$8-1))=0,
IF(COUNTIF($M:$M,$AK126)&lt;CS$8,
"",
INDEX($J:$J,MATCH($AK126,$M:$M,0)+CS$8-1)),
""),
"")</f>
        <v/>
      </c>
      <c r="CT126" s="21" t="str">
        <f>IFERROR(
IF(COUNTIF($BI126:CS126,INDEX($J:$J,MATCH($AK126,$M:$M,0)+CT$8-1))=0,
IF(COUNTIF($M:$M,$AK126)&lt;CT$8,
"",
INDEX($J:$J,MATCH($AK126,$M:$M,0)+CT$8-1)),
""),
"")</f>
        <v/>
      </c>
      <c r="CU126" s="21" t="str">
        <f>IFERROR(
IF(COUNTIF($BI126:CT126,INDEX($J:$J,MATCH($AK126,$M:$M,0)+CU$8-1))=0,
IF(COUNTIF($M:$M,$AK126)&lt;CU$8,
"",
INDEX($J:$J,MATCH($AK126,$M:$M,0)+CU$8-1)),
""),
"")</f>
        <v/>
      </c>
    </row>
    <row r="127" spans="8:99">
      <c r="H127" s="7" t="str">
        <f>IF(I127="","",COUNTA(I$9:$I127))</f>
        <v/>
      </c>
      <c r="I127" s="6"/>
      <c r="J127" s="6" t="s">
        <v>253</v>
      </c>
      <c r="K127" s="8" t="str">
        <f>IF(H127="","",阶段合并区域(J127:J129," ",L127:L129,1))</f>
        <v/>
      </c>
      <c r="L127" s="8">
        <f>COUNTIF(M$8:$M127,"="&amp;M127)</f>
        <v>3</v>
      </c>
      <c r="M127" s="9" t="str">
        <f t="shared" si="28"/>
        <v>英雄美人</v>
      </c>
      <c r="N127" s="9" t="str">
        <f t="shared" si="29"/>
        <v>英雄美人3</v>
      </c>
      <c r="O127" s="15">
        <f>INDEX(C:C,MATCH(J127,D:D,0))</f>
        <v>15</v>
      </c>
      <c r="P127" s="9">
        <f>INDEX(E:E,MATCH(J127,D:D,0))</f>
        <v>120</v>
      </c>
      <c r="Q127" s="7">
        <f t="shared" si="10"/>
        <v>15</v>
      </c>
      <c r="R127" s="7">
        <f>COUNTIF(J$8:$J127,"="&amp;J127)</f>
        <v>4</v>
      </c>
      <c r="S127" s="7">
        <f t="shared" si="30"/>
        <v>4015</v>
      </c>
      <c r="U127" s="7">
        <f t="shared" si="24"/>
        <v>1000</v>
      </c>
      <c r="V127" s="7">
        <f t="shared" si="24"/>
        <v>2000</v>
      </c>
      <c r="W127" s="7">
        <f t="shared" si="24"/>
        <v>3000</v>
      </c>
      <c r="X127" s="7">
        <f t="shared" si="24"/>
        <v>4000</v>
      </c>
      <c r="Y127" s="7">
        <f t="shared" si="24"/>
        <v>5000</v>
      </c>
      <c r="Z127" s="7">
        <f t="shared" si="24"/>
        <v>6000</v>
      </c>
      <c r="AA127" s="7">
        <f t="shared" si="24"/>
        <v>7000</v>
      </c>
      <c r="AB127" s="7">
        <f t="shared" si="24"/>
        <v>8000</v>
      </c>
      <c r="AD127" s="21" t="str">
        <f>IFERROR(INDEX($M:$M,MATCH(U127,$S:$S,0)),"&amp;")</f>
        <v>&amp;</v>
      </c>
      <c r="AE127" s="21" t="str">
        <f>IFERROR(INDEX($M:$M,MATCH(V127,$S:$S,0)),"&amp;")</f>
        <v>&amp;</v>
      </c>
      <c r="AF127" s="21" t="str">
        <f>IFERROR(INDEX($M:$M,MATCH(W127,$S:$S,0)),"&amp;")</f>
        <v>&amp;</v>
      </c>
      <c r="AG127" s="21" t="str">
        <f>IFERROR(INDEX($M:$M,MATCH(X127,$S:$S,0)),"&amp;")</f>
        <v>&amp;</v>
      </c>
      <c r="AH127" s="21" t="str">
        <f>IFERROR(INDEX($M:$M,MATCH(Y127,$S:$S,0)),"&amp;")</f>
        <v>&amp;</v>
      </c>
      <c r="AI127" s="21" t="str">
        <f>IFERROR(INDEX($M:$M,MATCH(Z127,$S:$S,0)),"&amp;")</f>
        <v>&amp;</v>
      </c>
      <c r="AJ127" s="21" t="str">
        <f>IFERROR(INDEX($M:$M,MATCH(AA127,$S:$S,0)),"&amp;")</f>
        <v>&amp;</v>
      </c>
      <c r="AK127" s="21" t="str">
        <f>IFERROR(INDEX($M:$M,MATCH(AB127,$S:$S,0)),"&amp;")</f>
        <v>&amp;</v>
      </c>
      <c r="AM127" s="21" t="str">
        <f>IFERROR(INDEX($N:$N,MATCH(U127,$S:$S,0)),"&amp;")</f>
        <v>&amp;</v>
      </c>
      <c r="AN127" s="21" t="str">
        <f>IFERROR(INDEX($N:$N,MATCH(V127,$S:$S,0)),"&amp;")</f>
        <v>&amp;</v>
      </c>
      <c r="AO127" s="21" t="str">
        <f>IFERROR(INDEX($N:$N,MATCH(W127,$S:$S,0)),"&amp;")</f>
        <v>&amp;</v>
      </c>
      <c r="AP127" s="21" t="str">
        <f>IFERROR(INDEX($N:$N,MATCH(X127,$S:$S,0)),"&amp;")</f>
        <v>&amp;</v>
      </c>
      <c r="AQ127" s="21" t="str">
        <f>IFERROR(INDEX($N:$N,MATCH(Y127,$S:$S,0)),"&amp;")</f>
        <v>&amp;</v>
      </c>
      <c r="AR127" s="21" t="str">
        <f>IFERROR(INDEX($N:$N,MATCH(Z127,$S:$S,0)),"&amp;")</f>
        <v>&amp;</v>
      </c>
      <c r="AS127" s="21" t="str">
        <f>IFERROR(INDEX($N:$N,MATCH(AA127,$S:$S,0)),"&amp;")</f>
        <v>&amp;</v>
      </c>
      <c r="AT127" s="21" t="str">
        <f>IFERROR(INDEX($N:$N,MATCH(AB127,$S:$S,0)),"&amp;")</f>
        <v>&amp;</v>
      </c>
      <c r="AV127" s="21" t="str">
        <f>IFERROR(SUBSTITUTE(INDEX($K:$K,MATCH(INDEX($M:$M,MATCH(AM127,$N:$N,0)),$M:$M,0)),$D127,""),"")</f>
        <v/>
      </c>
      <c r="AW127" s="21" t="str">
        <f>IFERROR(SUBSTITUTE(INDEX($K:$K,MATCH(INDEX($M:$M,MATCH(AN127,$N:$N,0)),$M:$M,0)),$D127,""),"")</f>
        <v/>
      </c>
      <c r="AX127" s="21" t="str">
        <f>IFERROR(SUBSTITUTE(INDEX($K:$K,MATCH(INDEX($M:$M,MATCH(AO127,$N:$N,0)),$M:$M,0)),$D127,""),"")</f>
        <v/>
      </c>
      <c r="AY127" s="21" t="str">
        <f>IFERROR(SUBSTITUTE(INDEX($K:$K,MATCH(INDEX($M:$M,MATCH(AP127,$N:$N,0)),$M:$M,0)),$D127,""),"")</f>
        <v/>
      </c>
      <c r="AZ127" s="21" t="str">
        <f>IFERROR(SUBSTITUTE(INDEX($K:$K,MATCH(INDEX($M:$M,MATCH(AQ127,$N:$N,0)),$M:$M,0)),$D127,""),"")</f>
        <v/>
      </c>
      <c r="BA127" s="21" t="str">
        <f>IFERROR(SUBSTITUTE(INDEX($K:$K,MATCH(INDEX($M:$M,MATCH(AR127,$N:$N,0)),$M:$M,0)),$D127,""),"")</f>
        <v/>
      </c>
      <c r="BB127" s="21" t="str">
        <f>IFERROR(SUBSTITUTE(INDEX($K:$K,MATCH(INDEX($M:$M,MATCH(AS127,$N:$N,0)),$M:$M,0)),$D127,""),"")</f>
        <v/>
      </c>
      <c r="BC127" s="21" t="str">
        <f>IFERROR(SUBSTITUTE(INDEX($K:$K,MATCH(INDEX($M:$M,MATCH(AT127,$N:$N,0)),$M:$M,0)),$D127,""),"")</f>
        <v/>
      </c>
      <c r="BE127" s="9" t="str">
        <f t="shared" si="16"/>
        <v/>
      </c>
      <c r="BI127" s="9" t="str">
        <f>IFERROR(
IF(COUNTIF($M:$M,$AD127)&lt;BI$8,
"",
INDEX($J:$J,MATCH($AD127,$M:$M,0)+BI$8-1)),
"")</f>
        <v/>
      </c>
      <c r="BJ127" s="9" t="str">
        <f>IFERROR(
IF(COUNTIF($M:$M,$AD127)&lt;BJ$8,
"",
INDEX($J:$J,MATCH($AD127,$M:$M,0)+BJ$8-1)),
"")</f>
        <v/>
      </c>
      <c r="BK127" s="9" t="str">
        <f>IFERROR(
IF(COUNTIF($M:$M,$AD127)&lt;BK$8,
"",
INDEX($J:$J,MATCH($AD127,$M:$M,0)+BK$8-1)),
"")</f>
        <v/>
      </c>
      <c r="BL127" s="9" t="str">
        <f>IFERROR(
IF(COUNTIF($M:$M,$AD127)&lt;BL$8,
"",
INDEX($J:$J,MATCH($AD127,$M:$M,0)+BL$8-1)),
"")</f>
        <v/>
      </c>
      <c r="BN127" s="21" t="str">
        <f>IFERROR(
IF(COUNTIF($BI127:BM127,INDEX($J:$J,MATCH($AE127,$M:$M,0)+BN$8-1))=0,
IF(COUNTIF($M:$M,$AE127)&lt;BN$8,
"",
INDEX($J:$J,MATCH($AE127,$M:$M,0)+BN$8-1)),
""),
"")</f>
        <v/>
      </c>
      <c r="BO127" s="21" t="str">
        <f>IFERROR(
IF(COUNTIF($BI127:BN127,INDEX($J:$J,MATCH($AE127,$M:$M,0)+BO$8-1))=0,
IF(COUNTIF($M:$M,$AE127)&lt;BO$8,
"",
INDEX($J:$J,MATCH($AE127,$M:$M,0)+BO$8-1)),
""),
"")</f>
        <v/>
      </c>
      <c r="BP127" s="21" t="str">
        <f>IFERROR(
IF(COUNTIF($BI127:BO127,INDEX($J:$J,MATCH($AE127,$M:$M,0)+BP$8-1))=0,
IF(COUNTIF($M:$M,$AE127)&lt;BP$8,
"",
INDEX($J:$J,MATCH($AE127,$M:$M,0)+BP$8-1)),
""),
"")</f>
        <v/>
      </c>
      <c r="BQ127" s="21" t="str">
        <f>IFERROR(
IF(COUNTIF($BI127:BP127,INDEX($J:$J,MATCH($AE127,$M:$M,0)+BQ$8-1))=0,
IF(COUNTIF($M:$M,$AE127)&lt;BQ$8,
"",
INDEX($J:$J,MATCH($AE127,$M:$M,0)+BQ$8-1)),
""),
"")</f>
        <v/>
      </c>
      <c r="BS127" s="21" t="str">
        <f>IFERROR(
IF(COUNTIF($BI127:BR127,INDEX($J:$J,MATCH($AF127,$M:$M,0)+BS$8-1))=0,
IF(COUNTIF($M:$M,$AF127)&lt;BS$8,
"",
INDEX($J:$J,MATCH($AF127,$M:$M,0)+BS$8-1)),
""),
"")</f>
        <v/>
      </c>
      <c r="BT127" s="21" t="str">
        <f>IFERROR(
IF(COUNTIF($BI127:BS127,INDEX($J:$J,MATCH($AF127,$M:$M,0)+BT$8-1))=0,
IF(COUNTIF($M:$M,$AF127)&lt;BT$8,
"",
INDEX($J:$J,MATCH($AF127,$M:$M,0)+BT$8-1)),
""),
"")</f>
        <v/>
      </c>
      <c r="BU127" s="21" t="str">
        <f>IFERROR(
IF(COUNTIF($BI127:BT127,INDEX($J:$J,MATCH($AF127,$M:$M,0)+BU$8-1))=0,
IF(COUNTIF($M:$M,$AF127)&lt;BU$8,
"",
INDEX($J:$J,MATCH($AF127,$M:$M,0)+BU$8-1)),
""),
"")</f>
        <v/>
      </c>
      <c r="BV127" s="21" t="str">
        <f>IFERROR(
IF(COUNTIF($BI127:BU127,INDEX($J:$J,MATCH($AF127,$M:$M,0)+BV$8-1))=0,
IF(COUNTIF($M:$M,$AF127)&lt;BV$8,
"",
INDEX($J:$J,MATCH($AF127,$M:$M,0)+BV$8-1)),
""),
"")</f>
        <v/>
      </c>
      <c r="BX127" s="21" t="str">
        <f>IFERROR(
IF(COUNTIF($BI127:BW127,INDEX($J:$J,MATCH($AG127,$M:$M,0)+BX$8-1))=0,
IF(COUNTIF($M:$M,$AG127)&lt;BX$8,
"",
INDEX($J:$J,MATCH($AG127,$M:$M,0)+BX$8-1)),
""),
"")</f>
        <v/>
      </c>
      <c r="BY127" s="21" t="str">
        <f>IFERROR(
IF(COUNTIF($BI127:BX127,INDEX($J:$J,MATCH($AG127,$M:$M,0)+BY$8-1))=0,
IF(COUNTIF($M:$M,$AG127)&lt;BY$8,
"",
INDEX($J:$J,MATCH($AG127,$M:$M,0)+BY$8-1)),
""),
"")</f>
        <v/>
      </c>
      <c r="BZ127" s="21" t="str">
        <f>IFERROR(
IF(COUNTIF($BI127:BY127,INDEX($J:$J,MATCH($AG127,$M:$M,0)+BZ$8-1))=0,
IF(COUNTIF($M:$M,$AG127)&lt;BZ$8,
"",
INDEX($J:$J,MATCH($AG127,$M:$M,0)+BZ$8-1)),
""),
"")</f>
        <v/>
      </c>
      <c r="CA127" s="21" t="str">
        <f>IFERROR(
IF(COUNTIF($BI127:BZ127,INDEX($J:$J,MATCH($AG127,$M:$M,0)+CA$8-1))=0,
IF(COUNTIF($M:$M,$AG127)&lt;CA$8,
"",
INDEX($J:$J,MATCH($AG127,$M:$M,0)+CA$8-1)),
""),
"")</f>
        <v/>
      </c>
      <c r="CC127" s="21" t="str">
        <f>IFERROR(
IF(COUNTIF($BI127:CB127,INDEX($J:$J,MATCH($AH127,$M:$M,0)+CC$8-1))=0,
IF(COUNTIF($M:$M,$AH127)&lt;CC$8,
"",
INDEX($J:$J,MATCH($AH127,$M:$M,0)+CC$8-1)),
""),
"")</f>
        <v/>
      </c>
      <c r="CD127" s="21" t="str">
        <f>IFERROR(
IF(COUNTIF($BI127:CC127,INDEX($J:$J,MATCH($AH127,$M:$M,0)+CD$8-1))=0,
IF(COUNTIF($M:$M,$AH127)&lt;CD$8,
"",
INDEX($J:$J,MATCH($AH127,$M:$M,0)+CD$8-1)),
""),
"")</f>
        <v/>
      </c>
      <c r="CE127" s="21" t="str">
        <f>IFERROR(
IF(COUNTIF($BI127:CD127,INDEX($J:$J,MATCH($AH127,$M:$M,0)+CE$8-1))=0,
IF(COUNTIF($M:$M,$AH127)&lt;CE$8,
"",
INDEX($J:$J,MATCH($AH127,$M:$M,0)+CE$8-1)),
""),
"")</f>
        <v/>
      </c>
      <c r="CF127" s="21" t="str">
        <f>IFERROR(
IF(COUNTIF($BI127:CE127,INDEX($J:$J,MATCH($AH127,$M:$M,0)+CF$8-1))=0,
IF(COUNTIF($M:$M,$AH127)&lt;CF$8,
"",
INDEX($J:$J,MATCH($AH127,$M:$M,0)+CF$8-1)),
""),
"")</f>
        <v/>
      </c>
      <c r="CH127" s="21" t="str">
        <f>IFERROR(
IF(COUNTIF($BI127:CG127,INDEX($J:$J,MATCH($AI127,$M:$M,0)+CH$8-1))=0,
IF(COUNTIF($M:$M,$AI127)&lt;CH$8,
"",
INDEX($J:$J,MATCH($AI127,$M:$M,0)+CH$8-1)),
""),
"")</f>
        <v/>
      </c>
      <c r="CI127" s="21" t="str">
        <f>IFERROR(
IF(COUNTIF($BI127:CH127,INDEX($J:$J,MATCH($AI127,$M:$M,0)+CI$8-1))=0,
IF(COUNTIF($M:$M,$AI127)&lt;CI$8,
"",
INDEX($J:$J,MATCH($AI127,$M:$M,0)+CI$8-1)),
""),
"")</f>
        <v/>
      </c>
      <c r="CJ127" s="21" t="str">
        <f>IFERROR(
IF(COUNTIF($BI127:CI127,INDEX($J:$J,MATCH($AI127,$M:$M,0)+CJ$8-1))=0,
IF(COUNTIF($M:$M,$AI127)&lt;CJ$8,
"",
INDEX($J:$J,MATCH($AI127,$M:$M,0)+CJ$8-1)),
""),
"")</f>
        <v/>
      </c>
      <c r="CK127" s="21" t="str">
        <f>IFERROR(
IF(COUNTIF($BI127:CJ127,INDEX($J:$J,MATCH($AI127,$M:$M,0)+CK$8-1))=0,
IF(COUNTIF($M:$M,$AI127)&lt;CK$8,
"",
INDEX($J:$J,MATCH($AI127,$M:$M,0)+CK$8-1)),
""),
"")</f>
        <v/>
      </c>
      <c r="CM127" s="21" t="str">
        <f>IFERROR(
IF(COUNTIF($BI127:CL127,INDEX($J:$J,MATCH($AJ127,$M:$M,0)+CM$8-1))=0,
IF(COUNTIF($M:$M,$AJ127)&lt;CM$8,
"",
INDEX($J:$J,MATCH($AJ127,$M:$M,0)+CM$8-1)),
""),
"")</f>
        <v/>
      </c>
      <c r="CN127" s="21" t="str">
        <f>IFERROR(
IF(COUNTIF($BI127:CM127,INDEX($J:$J,MATCH($AJ127,$M:$M,0)+CN$8-1))=0,
IF(COUNTIF($M:$M,$AJ127)&lt;CN$8,
"",
INDEX($J:$J,MATCH($AJ127,$M:$M,0)+CN$8-1)),
""),
"")</f>
        <v/>
      </c>
      <c r="CO127" s="21" t="str">
        <f>IFERROR(
IF(COUNTIF($BI127:CN127,INDEX($J:$J,MATCH($AJ127,$M:$M,0)+CO$8-1))=0,
IF(COUNTIF($M:$M,$AJ127)&lt;CO$8,
"",
INDEX($J:$J,MATCH($AJ127,$M:$M,0)+CO$8-1)),
""),
"")</f>
        <v/>
      </c>
      <c r="CP127" s="21" t="str">
        <f>IFERROR(
IF(COUNTIF($BI127:CO127,INDEX($J:$J,MATCH($AJ127,$M:$M,0)+CP$8-1))=0,
IF(COUNTIF($M:$M,$AJ127)&lt;CP$8,
"",
INDEX($J:$J,MATCH($AJ127,$M:$M,0)+CP$8-1)),
""),
"")</f>
        <v/>
      </c>
      <c r="CR127" s="21" t="str">
        <f>IFERROR(
IF(COUNTIF($BI127:CQ127,INDEX($J:$J,MATCH($AK127,$M:$M,0)+CR$8-1))=0,
IF(COUNTIF($M:$M,$AK127)&lt;CR$8,
"",
INDEX($J:$J,MATCH($AK127,$M:$M,0)+CR$8-1)),
""),
"")</f>
        <v/>
      </c>
      <c r="CS127" s="21" t="str">
        <f>IFERROR(
IF(COUNTIF($BI127:CR127,INDEX($J:$J,MATCH($AK127,$M:$M,0)+CS$8-1))=0,
IF(COUNTIF($M:$M,$AK127)&lt;CS$8,
"",
INDEX($J:$J,MATCH($AK127,$M:$M,0)+CS$8-1)),
""),
"")</f>
        <v/>
      </c>
      <c r="CT127" s="21" t="str">
        <f>IFERROR(
IF(COUNTIF($BI127:CS127,INDEX($J:$J,MATCH($AK127,$M:$M,0)+CT$8-1))=0,
IF(COUNTIF($M:$M,$AK127)&lt;CT$8,
"",
INDEX($J:$J,MATCH($AK127,$M:$M,0)+CT$8-1)),
""),
"")</f>
        <v/>
      </c>
      <c r="CU127" s="21" t="str">
        <f>IFERROR(
IF(COUNTIF($BI127:CT127,INDEX($J:$J,MATCH($AK127,$M:$M,0)+CU$8-1))=0,
IF(COUNTIF($M:$M,$AK127)&lt;CU$8,
"",
INDEX($J:$J,MATCH($AK127,$M:$M,0)+CU$8-1)),
""),
"")</f>
        <v/>
      </c>
    </row>
    <row r="128" spans="8:99">
      <c r="H128" s="7" t="str">
        <f>IF(I128="","",COUNTA(I$9:$I128))</f>
        <v/>
      </c>
      <c r="I128" s="6"/>
      <c r="J128" s="6" t="s">
        <v>254</v>
      </c>
      <c r="K128" s="8" t="str">
        <f>IF(H128="","",阶段合并区域(J128:J136," ",L128:L136,1))</f>
        <v/>
      </c>
      <c r="L128" s="8">
        <f>COUNTIF(M$8:$M128,"="&amp;M128)</f>
        <v>4</v>
      </c>
      <c r="M128" s="9" t="str">
        <f t="shared" si="28"/>
        <v>英雄美人</v>
      </c>
      <c r="N128" s="9" t="str">
        <f t="shared" si="29"/>
        <v>英雄美人4</v>
      </c>
      <c r="O128" s="15">
        <f>INDEX(C:C,MATCH(J128,D:D,0))</f>
        <v>20</v>
      </c>
      <c r="P128" s="9">
        <f>INDEX(E:E,MATCH(J128,D:D,0))</f>
        <v>120</v>
      </c>
      <c r="Q128" s="7">
        <f t="shared" si="10"/>
        <v>20</v>
      </c>
      <c r="R128" s="7">
        <f>COUNTIF(J$8:$J128,"="&amp;J128)</f>
        <v>4</v>
      </c>
      <c r="S128" s="7">
        <f t="shared" si="30"/>
        <v>4020</v>
      </c>
      <c r="U128" s="7">
        <f t="shared" si="24"/>
        <v>1000</v>
      </c>
      <c r="V128" s="7">
        <f t="shared" si="24"/>
        <v>2000</v>
      </c>
      <c r="W128" s="7">
        <f t="shared" si="24"/>
        <v>3000</v>
      </c>
      <c r="X128" s="7">
        <f t="shared" si="24"/>
        <v>4000</v>
      </c>
      <c r="Y128" s="7">
        <f t="shared" si="24"/>
        <v>5000</v>
      </c>
      <c r="Z128" s="7">
        <f t="shared" si="24"/>
        <v>6000</v>
      </c>
      <c r="AA128" s="7">
        <f t="shared" si="24"/>
        <v>7000</v>
      </c>
      <c r="AB128" s="7">
        <f t="shared" si="24"/>
        <v>8000</v>
      </c>
      <c r="AD128" s="21" t="str">
        <f>IFERROR(INDEX($M:$M,MATCH(U128,$S:$S,0)),"&amp;")</f>
        <v>&amp;</v>
      </c>
      <c r="AE128" s="21" t="str">
        <f>IFERROR(INDEX($M:$M,MATCH(V128,$S:$S,0)),"&amp;")</f>
        <v>&amp;</v>
      </c>
      <c r="AF128" s="21" t="str">
        <f>IFERROR(INDEX($M:$M,MATCH(W128,$S:$S,0)),"&amp;")</f>
        <v>&amp;</v>
      </c>
      <c r="AG128" s="21" t="str">
        <f>IFERROR(INDEX($M:$M,MATCH(X128,$S:$S,0)),"&amp;")</f>
        <v>&amp;</v>
      </c>
      <c r="AH128" s="21" t="str">
        <f>IFERROR(INDEX($M:$M,MATCH(Y128,$S:$S,0)),"&amp;")</f>
        <v>&amp;</v>
      </c>
      <c r="AI128" s="21" t="str">
        <f>IFERROR(INDEX($M:$M,MATCH(Z128,$S:$S,0)),"&amp;")</f>
        <v>&amp;</v>
      </c>
      <c r="AJ128" s="21" t="str">
        <f>IFERROR(INDEX($M:$M,MATCH(AA128,$S:$S,0)),"&amp;")</f>
        <v>&amp;</v>
      </c>
      <c r="AK128" s="21" t="str">
        <f>IFERROR(INDEX($M:$M,MATCH(AB128,$S:$S,0)),"&amp;")</f>
        <v>&amp;</v>
      </c>
      <c r="AM128" s="21" t="str">
        <f>IFERROR(INDEX($N:$N,MATCH(U128,$S:$S,0)),"&amp;")</f>
        <v>&amp;</v>
      </c>
      <c r="AN128" s="21" t="str">
        <f>IFERROR(INDEX($N:$N,MATCH(V128,$S:$S,0)),"&amp;")</f>
        <v>&amp;</v>
      </c>
      <c r="AO128" s="21" t="str">
        <f>IFERROR(INDEX($N:$N,MATCH(W128,$S:$S,0)),"&amp;")</f>
        <v>&amp;</v>
      </c>
      <c r="AP128" s="21" t="str">
        <f>IFERROR(INDEX($N:$N,MATCH(X128,$S:$S,0)),"&amp;")</f>
        <v>&amp;</v>
      </c>
      <c r="AQ128" s="21" t="str">
        <f>IFERROR(INDEX($N:$N,MATCH(Y128,$S:$S,0)),"&amp;")</f>
        <v>&amp;</v>
      </c>
      <c r="AR128" s="21" t="str">
        <f>IFERROR(INDEX($N:$N,MATCH(Z128,$S:$S,0)),"&amp;")</f>
        <v>&amp;</v>
      </c>
      <c r="AS128" s="21" t="str">
        <f>IFERROR(INDEX($N:$N,MATCH(AA128,$S:$S,0)),"&amp;")</f>
        <v>&amp;</v>
      </c>
      <c r="AT128" s="21" t="str">
        <f>IFERROR(INDEX($N:$N,MATCH(AB128,$S:$S,0)),"&amp;")</f>
        <v>&amp;</v>
      </c>
      <c r="AV128" s="21" t="str">
        <f>IFERROR(SUBSTITUTE(INDEX($K:$K,MATCH(INDEX($M:$M,MATCH(AM128,$N:$N,0)),$M:$M,0)),$D128,""),"")</f>
        <v/>
      </c>
      <c r="AW128" s="21" t="str">
        <f>IFERROR(SUBSTITUTE(INDEX($K:$K,MATCH(INDEX($M:$M,MATCH(AN128,$N:$N,0)),$M:$M,0)),$D128,""),"")</f>
        <v/>
      </c>
      <c r="AX128" s="21" t="str">
        <f>IFERROR(SUBSTITUTE(INDEX($K:$K,MATCH(INDEX($M:$M,MATCH(AO128,$N:$N,0)),$M:$M,0)),$D128,""),"")</f>
        <v/>
      </c>
      <c r="AY128" s="21" t="str">
        <f>IFERROR(SUBSTITUTE(INDEX($K:$K,MATCH(INDEX($M:$M,MATCH(AP128,$N:$N,0)),$M:$M,0)),$D128,""),"")</f>
        <v/>
      </c>
      <c r="AZ128" s="21" t="str">
        <f>IFERROR(SUBSTITUTE(INDEX($K:$K,MATCH(INDEX($M:$M,MATCH(AQ128,$N:$N,0)),$M:$M,0)),$D128,""),"")</f>
        <v/>
      </c>
      <c r="BA128" s="21" t="str">
        <f>IFERROR(SUBSTITUTE(INDEX($K:$K,MATCH(INDEX($M:$M,MATCH(AR128,$N:$N,0)),$M:$M,0)),$D128,""),"")</f>
        <v/>
      </c>
      <c r="BB128" s="21" t="str">
        <f>IFERROR(SUBSTITUTE(INDEX($K:$K,MATCH(INDEX($M:$M,MATCH(AS128,$N:$N,0)),$M:$M,0)),$D128,""),"")</f>
        <v/>
      </c>
      <c r="BC128" s="21" t="str">
        <f>IFERROR(SUBSTITUTE(INDEX($K:$K,MATCH(INDEX($M:$M,MATCH(AT128,$N:$N,0)),$M:$M,0)),$D128,""),"")</f>
        <v/>
      </c>
      <c r="BE128" s="9" t="str">
        <f t="shared" si="16"/>
        <v/>
      </c>
      <c r="BI128" s="9" t="str">
        <f>IFERROR(
IF(COUNTIF($M:$M,$AD128)&lt;BI$8,
"",
INDEX($J:$J,MATCH($AD128,$M:$M,0)+BI$8-1)),
"")</f>
        <v/>
      </c>
      <c r="BJ128" s="9" t="str">
        <f>IFERROR(
IF(COUNTIF($M:$M,$AD128)&lt;BJ$8,
"",
INDEX($J:$J,MATCH($AD128,$M:$M,0)+BJ$8-1)),
"")</f>
        <v/>
      </c>
      <c r="BK128" s="9" t="str">
        <f>IFERROR(
IF(COUNTIF($M:$M,$AD128)&lt;BK$8,
"",
INDEX($J:$J,MATCH($AD128,$M:$M,0)+BK$8-1)),
"")</f>
        <v/>
      </c>
      <c r="BL128" s="9" t="str">
        <f>IFERROR(
IF(COUNTIF($M:$M,$AD128)&lt;BL$8,
"",
INDEX($J:$J,MATCH($AD128,$M:$M,0)+BL$8-1)),
"")</f>
        <v/>
      </c>
      <c r="BN128" s="21" t="str">
        <f>IFERROR(
IF(COUNTIF($BI128:BM128,INDEX($J:$J,MATCH($AE128,$M:$M,0)+BN$8-1))=0,
IF(COUNTIF($M:$M,$AE128)&lt;BN$8,
"",
INDEX($J:$J,MATCH($AE128,$M:$M,0)+BN$8-1)),
""),
"")</f>
        <v/>
      </c>
      <c r="BO128" s="21" t="str">
        <f>IFERROR(
IF(COUNTIF($BI128:BN128,INDEX($J:$J,MATCH($AE128,$M:$M,0)+BO$8-1))=0,
IF(COUNTIF($M:$M,$AE128)&lt;BO$8,
"",
INDEX($J:$J,MATCH($AE128,$M:$M,0)+BO$8-1)),
""),
"")</f>
        <v/>
      </c>
      <c r="BP128" s="21" t="str">
        <f>IFERROR(
IF(COUNTIF($BI128:BO128,INDEX($J:$J,MATCH($AE128,$M:$M,0)+BP$8-1))=0,
IF(COUNTIF($M:$M,$AE128)&lt;BP$8,
"",
INDEX($J:$J,MATCH($AE128,$M:$M,0)+BP$8-1)),
""),
"")</f>
        <v/>
      </c>
      <c r="BQ128" s="21" t="str">
        <f>IFERROR(
IF(COUNTIF($BI128:BP128,INDEX($J:$J,MATCH($AE128,$M:$M,0)+BQ$8-1))=0,
IF(COUNTIF($M:$M,$AE128)&lt;BQ$8,
"",
INDEX($J:$J,MATCH($AE128,$M:$M,0)+BQ$8-1)),
""),
"")</f>
        <v/>
      </c>
      <c r="BS128" s="21" t="str">
        <f>IFERROR(
IF(COUNTIF($BI128:BR128,INDEX($J:$J,MATCH($AF128,$M:$M,0)+BS$8-1))=0,
IF(COUNTIF($M:$M,$AF128)&lt;BS$8,
"",
INDEX($J:$J,MATCH($AF128,$M:$M,0)+BS$8-1)),
""),
"")</f>
        <v/>
      </c>
      <c r="BT128" s="21" t="str">
        <f>IFERROR(
IF(COUNTIF($BI128:BS128,INDEX($J:$J,MATCH($AF128,$M:$M,0)+BT$8-1))=0,
IF(COUNTIF($M:$M,$AF128)&lt;BT$8,
"",
INDEX($J:$J,MATCH($AF128,$M:$M,0)+BT$8-1)),
""),
"")</f>
        <v/>
      </c>
      <c r="BU128" s="21" t="str">
        <f>IFERROR(
IF(COUNTIF($BI128:BT128,INDEX($J:$J,MATCH($AF128,$M:$M,0)+BU$8-1))=0,
IF(COUNTIF($M:$M,$AF128)&lt;BU$8,
"",
INDEX($J:$J,MATCH($AF128,$M:$M,0)+BU$8-1)),
""),
"")</f>
        <v/>
      </c>
      <c r="BV128" s="21" t="str">
        <f>IFERROR(
IF(COUNTIF($BI128:BU128,INDEX($J:$J,MATCH($AF128,$M:$M,0)+BV$8-1))=0,
IF(COUNTIF($M:$M,$AF128)&lt;BV$8,
"",
INDEX($J:$J,MATCH($AF128,$M:$M,0)+BV$8-1)),
""),
"")</f>
        <v/>
      </c>
      <c r="BX128" s="21" t="str">
        <f>IFERROR(
IF(COUNTIF($BI128:BW128,INDEX($J:$J,MATCH($AG128,$M:$M,0)+BX$8-1))=0,
IF(COUNTIF($M:$M,$AG128)&lt;BX$8,
"",
INDEX($J:$J,MATCH($AG128,$M:$M,0)+BX$8-1)),
""),
"")</f>
        <v/>
      </c>
      <c r="BY128" s="21" t="str">
        <f>IFERROR(
IF(COUNTIF($BI128:BX128,INDEX($J:$J,MATCH($AG128,$M:$M,0)+BY$8-1))=0,
IF(COUNTIF($M:$M,$AG128)&lt;BY$8,
"",
INDEX($J:$J,MATCH($AG128,$M:$M,0)+BY$8-1)),
""),
"")</f>
        <v/>
      </c>
      <c r="BZ128" s="21" t="str">
        <f>IFERROR(
IF(COUNTIF($BI128:BY128,INDEX($J:$J,MATCH($AG128,$M:$M,0)+BZ$8-1))=0,
IF(COUNTIF($M:$M,$AG128)&lt;BZ$8,
"",
INDEX($J:$J,MATCH($AG128,$M:$M,0)+BZ$8-1)),
""),
"")</f>
        <v/>
      </c>
      <c r="CA128" s="21" t="str">
        <f>IFERROR(
IF(COUNTIF($BI128:BZ128,INDEX($J:$J,MATCH($AG128,$M:$M,0)+CA$8-1))=0,
IF(COUNTIF($M:$M,$AG128)&lt;CA$8,
"",
INDEX($J:$J,MATCH($AG128,$M:$M,0)+CA$8-1)),
""),
"")</f>
        <v/>
      </c>
      <c r="CC128" s="21" t="str">
        <f>IFERROR(
IF(COUNTIF($BI128:CB128,INDEX($J:$J,MATCH($AH128,$M:$M,0)+CC$8-1))=0,
IF(COUNTIF($M:$M,$AH128)&lt;CC$8,
"",
INDEX($J:$J,MATCH($AH128,$M:$M,0)+CC$8-1)),
""),
"")</f>
        <v/>
      </c>
      <c r="CD128" s="21" t="str">
        <f>IFERROR(
IF(COUNTIF($BI128:CC128,INDEX($J:$J,MATCH($AH128,$M:$M,0)+CD$8-1))=0,
IF(COUNTIF($M:$M,$AH128)&lt;CD$8,
"",
INDEX($J:$J,MATCH($AH128,$M:$M,0)+CD$8-1)),
""),
"")</f>
        <v/>
      </c>
      <c r="CE128" s="21" t="str">
        <f>IFERROR(
IF(COUNTIF($BI128:CD128,INDEX($J:$J,MATCH($AH128,$M:$M,0)+CE$8-1))=0,
IF(COUNTIF($M:$M,$AH128)&lt;CE$8,
"",
INDEX($J:$J,MATCH($AH128,$M:$M,0)+CE$8-1)),
""),
"")</f>
        <v/>
      </c>
      <c r="CF128" s="21" t="str">
        <f>IFERROR(
IF(COUNTIF($BI128:CE128,INDEX($J:$J,MATCH($AH128,$M:$M,0)+CF$8-1))=0,
IF(COUNTIF($M:$M,$AH128)&lt;CF$8,
"",
INDEX($J:$J,MATCH($AH128,$M:$M,0)+CF$8-1)),
""),
"")</f>
        <v/>
      </c>
      <c r="CH128" s="21" t="str">
        <f>IFERROR(
IF(COUNTIF($BI128:CG128,INDEX($J:$J,MATCH($AI128,$M:$M,0)+CH$8-1))=0,
IF(COUNTIF($M:$M,$AI128)&lt;CH$8,
"",
INDEX($J:$J,MATCH($AI128,$M:$M,0)+CH$8-1)),
""),
"")</f>
        <v/>
      </c>
      <c r="CI128" s="21" t="str">
        <f>IFERROR(
IF(COUNTIF($BI128:CH128,INDEX($J:$J,MATCH($AI128,$M:$M,0)+CI$8-1))=0,
IF(COUNTIF($M:$M,$AI128)&lt;CI$8,
"",
INDEX($J:$J,MATCH($AI128,$M:$M,0)+CI$8-1)),
""),
"")</f>
        <v/>
      </c>
      <c r="CJ128" s="21" t="str">
        <f>IFERROR(
IF(COUNTIF($BI128:CI128,INDEX($J:$J,MATCH($AI128,$M:$M,0)+CJ$8-1))=0,
IF(COUNTIF($M:$M,$AI128)&lt;CJ$8,
"",
INDEX($J:$J,MATCH($AI128,$M:$M,0)+CJ$8-1)),
""),
"")</f>
        <v/>
      </c>
      <c r="CK128" s="21" t="str">
        <f>IFERROR(
IF(COUNTIF($BI128:CJ128,INDEX($J:$J,MATCH($AI128,$M:$M,0)+CK$8-1))=0,
IF(COUNTIF($M:$M,$AI128)&lt;CK$8,
"",
INDEX($J:$J,MATCH($AI128,$M:$M,0)+CK$8-1)),
""),
"")</f>
        <v/>
      </c>
      <c r="CM128" s="21" t="str">
        <f>IFERROR(
IF(COUNTIF($BI128:CL128,INDEX($J:$J,MATCH($AJ128,$M:$M,0)+CM$8-1))=0,
IF(COUNTIF($M:$M,$AJ128)&lt;CM$8,
"",
INDEX($J:$J,MATCH($AJ128,$M:$M,0)+CM$8-1)),
""),
"")</f>
        <v/>
      </c>
      <c r="CN128" s="21" t="str">
        <f>IFERROR(
IF(COUNTIF($BI128:CM128,INDEX($J:$J,MATCH($AJ128,$M:$M,0)+CN$8-1))=0,
IF(COUNTIF($M:$M,$AJ128)&lt;CN$8,
"",
INDEX($J:$J,MATCH($AJ128,$M:$M,0)+CN$8-1)),
""),
"")</f>
        <v/>
      </c>
      <c r="CO128" s="21" t="str">
        <f>IFERROR(
IF(COUNTIF($BI128:CN128,INDEX($J:$J,MATCH($AJ128,$M:$M,0)+CO$8-1))=0,
IF(COUNTIF($M:$M,$AJ128)&lt;CO$8,
"",
INDEX($J:$J,MATCH($AJ128,$M:$M,0)+CO$8-1)),
""),
"")</f>
        <v/>
      </c>
      <c r="CP128" s="21" t="str">
        <f>IFERROR(
IF(COUNTIF($BI128:CO128,INDEX($J:$J,MATCH($AJ128,$M:$M,0)+CP$8-1))=0,
IF(COUNTIF($M:$M,$AJ128)&lt;CP$8,
"",
INDEX($J:$J,MATCH($AJ128,$M:$M,0)+CP$8-1)),
""),
"")</f>
        <v/>
      </c>
      <c r="CR128" s="21" t="str">
        <f>IFERROR(
IF(COUNTIF($BI128:CQ128,INDEX($J:$J,MATCH($AK128,$M:$M,0)+CR$8-1))=0,
IF(COUNTIF($M:$M,$AK128)&lt;CR$8,
"",
INDEX($J:$J,MATCH($AK128,$M:$M,0)+CR$8-1)),
""),
"")</f>
        <v/>
      </c>
      <c r="CS128" s="21" t="str">
        <f>IFERROR(
IF(COUNTIF($BI128:CR128,INDEX($J:$J,MATCH($AK128,$M:$M,0)+CS$8-1))=0,
IF(COUNTIF($M:$M,$AK128)&lt;CS$8,
"",
INDEX($J:$J,MATCH($AK128,$M:$M,0)+CS$8-1)),
""),
"")</f>
        <v/>
      </c>
      <c r="CT128" s="21" t="str">
        <f>IFERROR(
IF(COUNTIF($BI128:CS128,INDEX($J:$J,MATCH($AK128,$M:$M,0)+CT$8-1))=0,
IF(COUNTIF($M:$M,$AK128)&lt;CT$8,
"",
INDEX($J:$J,MATCH($AK128,$M:$M,0)+CT$8-1)),
""),
"")</f>
        <v/>
      </c>
      <c r="CU128" s="21" t="str">
        <f>IFERROR(
IF(COUNTIF($BI128:CT128,INDEX($J:$J,MATCH($AK128,$M:$M,0)+CU$8-1))=0,
IF(COUNTIF($M:$M,$AK128)&lt;CU$8,
"",
INDEX($J:$J,MATCH($AK128,$M:$M,0)+CU$8-1)),
""),
"")</f>
        <v/>
      </c>
    </row>
    <row r="129" spans="8:99">
      <c r="H129" s="7">
        <f>IF(I129="","",COUNTA(I$9:$I129))</f>
        <v>102</v>
      </c>
      <c r="I129" s="6" t="s">
        <v>270</v>
      </c>
      <c r="J129" s="6" t="s">
        <v>255</v>
      </c>
      <c r="K129" s="8" t="str">
        <f>IF(H129="","",阶段合并区域(J129:J136," ",L129:L136,1))</f>
        <v>廉颇 田单 樗里疾 乐毅</v>
      </c>
      <c r="L129" s="8">
        <f>COUNTIF(M$8:$M129,"="&amp;M129)</f>
        <v>1</v>
      </c>
      <c r="M129" s="9" t="str">
        <f t="shared" si="28"/>
        <v>兴国安邦</v>
      </c>
      <c r="N129" s="9" t="str">
        <f t="shared" si="29"/>
        <v>兴国安邦1</v>
      </c>
      <c r="O129" s="15">
        <f>INDEX(C:C,MATCH(J129,D:D,0))</f>
        <v>5</v>
      </c>
      <c r="P129" s="9">
        <f>INDEX(E:E,MATCH(J129,D:D,0))</f>
        <v>130</v>
      </c>
      <c r="Q129" s="7">
        <f t="shared" si="10"/>
        <v>5</v>
      </c>
      <c r="R129" s="7">
        <f>COUNTIF(J$8:$J129,"="&amp;J129)</f>
        <v>1</v>
      </c>
      <c r="S129" s="7">
        <f t="shared" si="30"/>
        <v>1005</v>
      </c>
      <c r="U129" s="7">
        <f t="shared" si="24"/>
        <v>1000</v>
      </c>
      <c r="V129" s="7">
        <f t="shared" si="24"/>
        <v>2000</v>
      </c>
      <c r="W129" s="7">
        <f t="shared" si="24"/>
        <v>3000</v>
      </c>
      <c r="X129" s="7">
        <f t="shared" si="24"/>
        <v>4000</v>
      </c>
      <c r="Y129" s="7">
        <f t="shared" si="24"/>
        <v>5000</v>
      </c>
      <c r="Z129" s="7">
        <f t="shared" si="24"/>
        <v>6000</v>
      </c>
      <c r="AA129" s="7">
        <f t="shared" si="24"/>
        <v>7000</v>
      </c>
      <c r="AB129" s="7">
        <f t="shared" si="24"/>
        <v>8000</v>
      </c>
      <c r="AD129" s="21" t="str">
        <f>IFERROR(INDEX($M:$M,MATCH(U129,$S:$S,0)),"&amp;")</f>
        <v>&amp;</v>
      </c>
      <c r="AE129" s="21" t="str">
        <f>IFERROR(INDEX($M:$M,MATCH(V129,$S:$S,0)),"&amp;")</f>
        <v>&amp;</v>
      </c>
      <c r="AF129" s="21" t="str">
        <f>IFERROR(INDEX($M:$M,MATCH(W129,$S:$S,0)),"&amp;")</f>
        <v>&amp;</v>
      </c>
      <c r="AG129" s="21" t="str">
        <f>IFERROR(INDEX($M:$M,MATCH(X129,$S:$S,0)),"&amp;")</f>
        <v>&amp;</v>
      </c>
      <c r="AH129" s="21" t="str">
        <f>IFERROR(INDEX($M:$M,MATCH(Y129,$S:$S,0)),"&amp;")</f>
        <v>&amp;</v>
      </c>
      <c r="AI129" s="21" t="str">
        <f>IFERROR(INDEX($M:$M,MATCH(Z129,$S:$S,0)),"&amp;")</f>
        <v>&amp;</v>
      </c>
      <c r="AJ129" s="21" t="str">
        <f>IFERROR(INDEX($M:$M,MATCH(AA129,$S:$S,0)),"&amp;")</f>
        <v>&amp;</v>
      </c>
      <c r="AK129" s="21" t="str">
        <f>IFERROR(INDEX($M:$M,MATCH(AB129,$S:$S,0)),"&amp;")</f>
        <v>&amp;</v>
      </c>
      <c r="AM129" s="21" t="str">
        <f>IFERROR(INDEX($N:$N,MATCH(U129,$S:$S,0)),"&amp;")</f>
        <v>&amp;</v>
      </c>
      <c r="AN129" s="21" t="str">
        <f>IFERROR(INDEX($N:$N,MATCH(V129,$S:$S,0)),"&amp;")</f>
        <v>&amp;</v>
      </c>
      <c r="AO129" s="21" t="str">
        <f>IFERROR(INDEX($N:$N,MATCH(W129,$S:$S,0)),"&amp;")</f>
        <v>&amp;</v>
      </c>
      <c r="AP129" s="21" t="str">
        <f>IFERROR(INDEX($N:$N,MATCH(X129,$S:$S,0)),"&amp;")</f>
        <v>&amp;</v>
      </c>
      <c r="AQ129" s="21" t="str">
        <f>IFERROR(INDEX($N:$N,MATCH(Y129,$S:$S,0)),"&amp;")</f>
        <v>&amp;</v>
      </c>
      <c r="AR129" s="21" t="str">
        <f>IFERROR(INDEX($N:$N,MATCH(Z129,$S:$S,0)),"&amp;")</f>
        <v>&amp;</v>
      </c>
      <c r="AS129" s="21" t="str">
        <f>IFERROR(INDEX($N:$N,MATCH(AA129,$S:$S,0)),"&amp;")</f>
        <v>&amp;</v>
      </c>
      <c r="AT129" s="21" t="str">
        <f>IFERROR(INDEX($N:$N,MATCH(AB129,$S:$S,0)),"&amp;")</f>
        <v>&amp;</v>
      </c>
      <c r="AV129" s="21" t="str">
        <f>IFERROR(SUBSTITUTE(INDEX($K:$K,MATCH(INDEX($M:$M,MATCH(AM129,$N:$N,0)),$M:$M,0)),$D129,""),"")</f>
        <v/>
      </c>
      <c r="AW129" s="21" t="str">
        <f>IFERROR(SUBSTITUTE(INDEX($K:$K,MATCH(INDEX($M:$M,MATCH(AN129,$N:$N,0)),$M:$M,0)),$D129,""),"")</f>
        <v/>
      </c>
      <c r="AX129" s="21" t="str">
        <f>IFERROR(SUBSTITUTE(INDEX($K:$K,MATCH(INDEX($M:$M,MATCH(AO129,$N:$N,0)),$M:$M,0)),$D129,""),"")</f>
        <v/>
      </c>
      <c r="AY129" s="21" t="str">
        <f>IFERROR(SUBSTITUTE(INDEX($K:$K,MATCH(INDEX($M:$M,MATCH(AP129,$N:$N,0)),$M:$M,0)),$D129,""),"")</f>
        <v/>
      </c>
      <c r="AZ129" s="21" t="str">
        <f>IFERROR(SUBSTITUTE(INDEX($K:$K,MATCH(INDEX($M:$M,MATCH(AQ129,$N:$N,0)),$M:$M,0)),$D129,""),"")</f>
        <v/>
      </c>
      <c r="BA129" s="21" t="str">
        <f>IFERROR(SUBSTITUTE(INDEX($K:$K,MATCH(INDEX($M:$M,MATCH(AR129,$N:$N,0)),$M:$M,0)),$D129,""),"")</f>
        <v/>
      </c>
      <c r="BB129" s="21" t="str">
        <f>IFERROR(SUBSTITUTE(INDEX($K:$K,MATCH(INDEX($M:$M,MATCH(AS129,$N:$N,0)),$M:$M,0)),$D129,""),"")</f>
        <v/>
      </c>
      <c r="BC129" s="21" t="str">
        <f>IFERROR(SUBSTITUTE(INDEX($K:$K,MATCH(INDEX($M:$M,MATCH(AT129,$N:$N,0)),$M:$M,0)),$D129,""),"")</f>
        <v/>
      </c>
      <c r="BE129" s="9" t="str">
        <f t="shared" si="16"/>
        <v/>
      </c>
      <c r="BI129" s="9" t="str">
        <f>IFERROR(
IF(COUNTIF($M:$M,$AD129)&lt;BI$8,
"",
INDEX($J:$J,MATCH($AD129,$M:$M,0)+BI$8-1)),
"")</f>
        <v/>
      </c>
      <c r="BJ129" s="9" t="str">
        <f>IFERROR(
IF(COUNTIF($M:$M,$AD129)&lt;BJ$8,
"",
INDEX($J:$J,MATCH($AD129,$M:$M,0)+BJ$8-1)),
"")</f>
        <v/>
      </c>
      <c r="BK129" s="9" t="str">
        <f>IFERROR(
IF(COUNTIF($M:$M,$AD129)&lt;BK$8,
"",
INDEX($J:$J,MATCH($AD129,$M:$M,0)+BK$8-1)),
"")</f>
        <v/>
      </c>
      <c r="BL129" s="9" t="str">
        <f>IFERROR(
IF(COUNTIF($M:$M,$AD129)&lt;BL$8,
"",
INDEX($J:$J,MATCH($AD129,$M:$M,0)+BL$8-1)),
"")</f>
        <v/>
      </c>
      <c r="BN129" s="21" t="str">
        <f>IFERROR(
IF(COUNTIF($BI129:BM129,INDEX($J:$J,MATCH($AE129,$M:$M,0)+BN$8-1))=0,
IF(COUNTIF($M:$M,$AE129)&lt;BN$8,
"",
INDEX($J:$J,MATCH($AE129,$M:$M,0)+BN$8-1)),
""),
"")</f>
        <v/>
      </c>
      <c r="BO129" s="21" t="str">
        <f>IFERROR(
IF(COUNTIF($BI129:BN129,INDEX($J:$J,MATCH($AE129,$M:$M,0)+BO$8-1))=0,
IF(COUNTIF($M:$M,$AE129)&lt;BO$8,
"",
INDEX($J:$J,MATCH($AE129,$M:$M,0)+BO$8-1)),
""),
"")</f>
        <v/>
      </c>
      <c r="BP129" s="21" t="str">
        <f>IFERROR(
IF(COUNTIF($BI129:BO129,INDEX($J:$J,MATCH($AE129,$M:$M,0)+BP$8-1))=0,
IF(COUNTIF($M:$M,$AE129)&lt;BP$8,
"",
INDEX($J:$J,MATCH($AE129,$M:$M,0)+BP$8-1)),
""),
"")</f>
        <v/>
      </c>
      <c r="BQ129" s="21" t="str">
        <f>IFERROR(
IF(COUNTIF($BI129:BP129,INDEX($J:$J,MATCH($AE129,$M:$M,0)+BQ$8-1))=0,
IF(COUNTIF($M:$M,$AE129)&lt;BQ$8,
"",
INDEX($J:$J,MATCH($AE129,$M:$M,0)+BQ$8-1)),
""),
"")</f>
        <v/>
      </c>
      <c r="BS129" s="21" t="str">
        <f>IFERROR(
IF(COUNTIF($BI129:BR129,INDEX($J:$J,MATCH($AF129,$M:$M,0)+BS$8-1))=0,
IF(COUNTIF($M:$M,$AF129)&lt;BS$8,
"",
INDEX($J:$J,MATCH($AF129,$M:$M,0)+BS$8-1)),
""),
"")</f>
        <v/>
      </c>
      <c r="BT129" s="21" t="str">
        <f>IFERROR(
IF(COUNTIF($BI129:BS129,INDEX($J:$J,MATCH($AF129,$M:$M,0)+BT$8-1))=0,
IF(COUNTIF($M:$M,$AF129)&lt;BT$8,
"",
INDEX($J:$J,MATCH($AF129,$M:$M,0)+BT$8-1)),
""),
"")</f>
        <v/>
      </c>
      <c r="BU129" s="21" t="str">
        <f>IFERROR(
IF(COUNTIF($BI129:BT129,INDEX($J:$J,MATCH($AF129,$M:$M,0)+BU$8-1))=0,
IF(COUNTIF($M:$M,$AF129)&lt;BU$8,
"",
INDEX($J:$J,MATCH($AF129,$M:$M,0)+BU$8-1)),
""),
"")</f>
        <v/>
      </c>
      <c r="BV129" s="21" t="str">
        <f>IFERROR(
IF(COUNTIF($BI129:BU129,INDEX($J:$J,MATCH($AF129,$M:$M,0)+BV$8-1))=0,
IF(COUNTIF($M:$M,$AF129)&lt;BV$8,
"",
INDEX($J:$J,MATCH($AF129,$M:$M,0)+BV$8-1)),
""),
"")</f>
        <v/>
      </c>
      <c r="BX129" s="21" t="str">
        <f>IFERROR(
IF(COUNTIF($BI129:BW129,INDEX($J:$J,MATCH($AG129,$M:$M,0)+BX$8-1))=0,
IF(COUNTIF($M:$M,$AG129)&lt;BX$8,
"",
INDEX($J:$J,MATCH($AG129,$M:$M,0)+BX$8-1)),
""),
"")</f>
        <v/>
      </c>
      <c r="BY129" s="21" t="str">
        <f>IFERROR(
IF(COUNTIF($BI129:BX129,INDEX($J:$J,MATCH($AG129,$M:$M,0)+BY$8-1))=0,
IF(COUNTIF($M:$M,$AG129)&lt;BY$8,
"",
INDEX($J:$J,MATCH($AG129,$M:$M,0)+BY$8-1)),
""),
"")</f>
        <v/>
      </c>
      <c r="BZ129" s="21" t="str">
        <f>IFERROR(
IF(COUNTIF($BI129:BY129,INDEX($J:$J,MATCH($AG129,$M:$M,0)+BZ$8-1))=0,
IF(COUNTIF($M:$M,$AG129)&lt;BZ$8,
"",
INDEX($J:$J,MATCH($AG129,$M:$M,0)+BZ$8-1)),
""),
"")</f>
        <v/>
      </c>
      <c r="CA129" s="21" t="str">
        <f>IFERROR(
IF(COUNTIF($BI129:BZ129,INDEX($J:$J,MATCH($AG129,$M:$M,0)+CA$8-1))=0,
IF(COUNTIF($M:$M,$AG129)&lt;CA$8,
"",
INDEX($J:$J,MATCH($AG129,$M:$M,0)+CA$8-1)),
""),
"")</f>
        <v/>
      </c>
      <c r="CC129" s="21" t="str">
        <f>IFERROR(
IF(COUNTIF($BI129:CB129,INDEX($J:$J,MATCH($AH129,$M:$M,0)+CC$8-1))=0,
IF(COUNTIF($M:$M,$AH129)&lt;CC$8,
"",
INDEX($J:$J,MATCH($AH129,$M:$M,0)+CC$8-1)),
""),
"")</f>
        <v/>
      </c>
      <c r="CD129" s="21" t="str">
        <f>IFERROR(
IF(COUNTIF($BI129:CC129,INDEX($J:$J,MATCH($AH129,$M:$M,0)+CD$8-1))=0,
IF(COUNTIF($M:$M,$AH129)&lt;CD$8,
"",
INDEX($J:$J,MATCH($AH129,$M:$M,0)+CD$8-1)),
""),
"")</f>
        <v/>
      </c>
      <c r="CE129" s="21" t="str">
        <f>IFERROR(
IF(COUNTIF($BI129:CD129,INDEX($J:$J,MATCH($AH129,$M:$M,0)+CE$8-1))=0,
IF(COUNTIF($M:$M,$AH129)&lt;CE$8,
"",
INDEX($J:$J,MATCH($AH129,$M:$M,0)+CE$8-1)),
""),
"")</f>
        <v/>
      </c>
      <c r="CF129" s="21" t="str">
        <f>IFERROR(
IF(COUNTIF($BI129:CE129,INDEX($J:$J,MATCH($AH129,$M:$M,0)+CF$8-1))=0,
IF(COUNTIF($M:$M,$AH129)&lt;CF$8,
"",
INDEX($J:$J,MATCH($AH129,$M:$M,0)+CF$8-1)),
""),
"")</f>
        <v/>
      </c>
      <c r="CH129" s="21" t="str">
        <f>IFERROR(
IF(COUNTIF($BI129:CG129,INDEX($J:$J,MATCH($AI129,$M:$M,0)+CH$8-1))=0,
IF(COUNTIF($M:$M,$AI129)&lt;CH$8,
"",
INDEX($J:$J,MATCH($AI129,$M:$M,0)+CH$8-1)),
""),
"")</f>
        <v/>
      </c>
      <c r="CI129" s="21" t="str">
        <f>IFERROR(
IF(COUNTIF($BI129:CH129,INDEX($J:$J,MATCH($AI129,$M:$M,0)+CI$8-1))=0,
IF(COUNTIF($M:$M,$AI129)&lt;CI$8,
"",
INDEX($J:$J,MATCH($AI129,$M:$M,0)+CI$8-1)),
""),
"")</f>
        <v/>
      </c>
      <c r="CJ129" s="21" t="str">
        <f>IFERROR(
IF(COUNTIF($BI129:CI129,INDEX($J:$J,MATCH($AI129,$M:$M,0)+CJ$8-1))=0,
IF(COUNTIF($M:$M,$AI129)&lt;CJ$8,
"",
INDEX($J:$J,MATCH($AI129,$M:$M,0)+CJ$8-1)),
""),
"")</f>
        <v/>
      </c>
      <c r="CK129" s="21" t="str">
        <f>IFERROR(
IF(COUNTIF($BI129:CJ129,INDEX($J:$J,MATCH($AI129,$M:$M,0)+CK$8-1))=0,
IF(COUNTIF($M:$M,$AI129)&lt;CK$8,
"",
INDEX($J:$J,MATCH($AI129,$M:$M,0)+CK$8-1)),
""),
"")</f>
        <v/>
      </c>
      <c r="CM129" s="21" t="str">
        <f>IFERROR(
IF(COUNTIF($BI129:CL129,INDEX($J:$J,MATCH($AJ129,$M:$M,0)+CM$8-1))=0,
IF(COUNTIF($M:$M,$AJ129)&lt;CM$8,
"",
INDEX($J:$J,MATCH($AJ129,$M:$M,0)+CM$8-1)),
""),
"")</f>
        <v/>
      </c>
      <c r="CN129" s="21" t="str">
        <f>IFERROR(
IF(COUNTIF($BI129:CM129,INDEX($J:$J,MATCH($AJ129,$M:$M,0)+CN$8-1))=0,
IF(COUNTIF($M:$M,$AJ129)&lt;CN$8,
"",
INDEX($J:$J,MATCH($AJ129,$M:$M,0)+CN$8-1)),
""),
"")</f>
        <v/>
      </c>
      <c r="CO129" s="21" t="str">
        <f>IFERROR(
IF(COUNTIF($BI129:CN129,INDEX($J:$J,MATCH($AJ129,$M:$M,0)+CO$8-1))=0,
IF(COUNTIF($M:$M,$AJ129)&lt;CO$8,
"",
INDEX($J:$J,MATCH($AJ129,$M:$M,0)+CO$8-1)),
""),
"")</f>
        <v/>
      </c>
      <c r="CP129" s="21" t="str">
        <f>IFERROR(
IF(COUNTIF($BI129:CO129,INDEX($J:$J,MATCH($AJ129,$M:$M,0)+CP$8-1))=0,
IF(COUNTIF($M:$M,$AJ129)&lt;CP$8,
"",
INDEX($J:$J,MATCH($AJ129,$M:$M,0)+CP$8-1)),
""),
"")</f>
        <v/>
      </c>
      <c r="CR129" s="21" t="str">
        <f>IFERROR(
IF(COUNTIF($BI129:CQ129,INDEX($J:$J,MATCH($AK129,$M:$M,0)+CR$8-1))=0,
IF(COUNTIF($M:$M,$AK129)&lt;CR$8,
"",
INDEX($J:$J,MATCH($AK129,$M:$M,0)+CR$8-1)),
""),
"")</f>
        <v/>
      </c>
      <c r="CS129" s="21" t="str">
        <f>IFERROR(
IF(COUNTIF($BI129:CR129,INDEX($J:$J,MATCH($AK129,$M:$M,0)+CS$8-1))=0,
IF(COUNTIF($M:$M,$AK129)&lt;CS$8,
"",
INDEX($J:$J,MATCH($AK129,$M:$M,0)+CS$8-1)),
""),
"")</f>
        <v/>
      </c>
      <c r="CT129" s="21" t="str">
        <f>IFERROR(
IF(COUNTIF($BI129:CS129,INDEX($J:$J,MATCH($AK129,$M:$M,0)+CT$8-1))=0,
IF(COUNTIF($M:$M,$AK129)&lt;CT$8,
"",
INDEX($J:$J,MATCH($AK129,$M:$M,0)+CT$8-1)),
""),
"")</f>
        <v/>
      </c>
      <c r="CU129" s="21" t="str">
        <f>IFERROR(
IF(COUNTIF($BI129:CT129,INDEX($J:$J,MATCH($AK129,$M:$M,0)+CU$8-1))=0,
IF(COUNTIF($M:$M,$AK129)&lt;CU$8,
"",
INDEX($J:$J,MATCH($AK129,$M:$M,0)+CU$8-1)),
""),
"")</f>
        <v/>
      </c>
    </row>
    <row r="130" spans="8:99">
      <c r="H130" s="7" t="str">
        <f>IF(I130="","",COUNTA(I$9:$I130))</f>
        <v/>
      </c>
      <c r="I130" s="6"/>
      <c r="J130" s="6" t="s">
        <v>267</v>
      </c>
      <c r="K130" s="8" t="str">
        <f>IF(H130="","",阶段合并区域(J130:J136," ",L130:L136,1))</f>
        <v/>
      </c>
      <c r="L130" s="8">
        <f>COUNTIF(M$8:$M130,"="&amp;M130)</f>
        <v>2</v>
      </c>
      <c r="M130" s="9" t="str">
        <f t="shared" si="28"/>
        <v>兴国安邦</v>
      </c>
      <c r="N130" s="9" t="str">
        <f t="shared" si="29"/>
        <v>兴国安邦2</v>
      </c>
      <c r="O130" s="15">
        <f>INDEX(C:C,MATCH(J130,D:D,0))</f>
        <v>16</v>
      </c>
      <c r="P130" s="9">
        <f>INDEX(E:E,MATCH(J130,D:D,0))</f>
        <v>120</v>
      </c>
      <c r="Q130" s="7">
        <f t="shared" si="10"/>
        <v>16</v>
      </c>
      <c r="R130" s="7">
        <f>COUNTIF(J$8:$J130,"="&amp;J130)</f>
        <v>4</v>
      </c>
      <c r="S130" s="7">
        <f t="shared" si="30"/>
        <v>4016</v>
      </c>
      <c r="U130" s="7">
        <f t="shared" si="24"/>
        <v>1000</v>
      </c>
      <c r="V130" s="7">
        <f t="shared" si="24"/>
        <v>2000</v>
      </c>
      <c r="W130" s="7">
        <f t="shared" si="24"/>
        <v>3000</v>
      </c>
      <c r="X130" s="7">
        <f t="shared" si="24"/>
        <v>4000</v>
      </c>
      <c r="Y130" s="7">
        <f t="shared" si="24"/>
        <v>5000</v>
      </c>
      <c r="Z130" s="7">
        <f t="shared" si="24"/>
        <v>6000</v>
      </c>
      <c r="AA130" s="7">
        <f t="shared" si="24"/>
        <v>7000</v>
      </c>
      <c r="AB130" s="7">
        <f t="shared" si="24"/>
        <v>8000</v>
      </c>
      <c r="AD130" s="21" t="str">
        <f>IFERROR(INDEX($M:$M,MATCH(U130,$S:$S,0)),"&amp;")</f>
        <v>&amp;</v>
      </c>
      <c r="AE130" s="21" t="str">
        <f>IFERROR(INDEX($M:$M,MATCH(V130,$S:$S,0)),"&amp;")</f>
        <v>&amp;</v>
      </c>
      <c r="AF130" s="21" t="str">
        <f>IFERROR(INDEX($M:$M,MATCH(W130,$S:$S,0)),"&amp;")</f>
        <v>&amp;</v>
      </c>
      <c r="AG130" s="21" t="str">
        <f>IFERROR(INDEX($M:$M,MATCH(X130,$S:$S,0)),"&amp;")</f>
        <v>&amp;</v>
      </c>
      <c r="AH130" s="21" t="str">
        <f>IFERROR(INDEX($M:$M,MATCH(Y130,$S:$S,0)),"&amp;")</f>
        <v>&amp;</v>
      </c>
      <c r="AI130" s="21" t="str">
        <f>IFERROR(INDEX($M:$M,MATCH(Z130,$S:$S,0)),"&amp;")</f>
        <v>&amp;</v>
      </c>
      <c r="AJ130" s="21" t="str">
        <f>IFERROR(INDEX($M:$M,MATCH(AA130,$S:$S,0)),"&amp;")</f>
        <v>&amp;</v>
      </c>
      <c r="AK130" s="21" t="str">
        <f>IFERROR(INDEX($M:$M,MATCH(AB130,$S:$S,0)),"&amp;")</f>
        <v>&amp;</v>
      </c>
      <c r="AM130" s="21" t="str">
        <f>IFERROR(INDEX($N:$N,MATCH(U130,$S:$S,0)),"&amp;")</f>
        <v>&amp;</v>
      </c>
      <c r="AN130" s="21" t="str">
        <f>IFERROR(INDEX($N:$N,MATCH(V130,$S:$S,0)),"&amp;")</f>
        <v>&amp;</v>
      </c>
      <c r="AO130" s="21" t="str">
        <f>IFERROR(INDEX($N:$N,MATCH(W130,$S:$S,0)),"&amp;")</f>
        <v>&amp;</v>
      </c>
      <c r="AP130" s="21" t="str">
        <f>IFERROR(INDEX($N:$N,MATCH(X130,$S:$S,0)),"&amp;")</f>
        <v>&amp;</v>
      </c>
      <c r="AQ130" s="21" t="str">
        <f>IFERROR(INDEX($N:$N,MATCH(Y130,$S:$S,0)),"&amp;")</f>
        <v>&amp;</v>
      </c>
      <c r="AR130" s="21" t="str">
        <f>IFERROR(INDEX($N:$N,MATCH(Z130,$S:$S,0)),"&amp;")</f>
        <v>&amp;</v>
      </c>
      <c r="AS130" s="21" t="str">
        <f>IFERROR(INDEX($N:$N,MATCH(AA130,$S:$S,0)),"&amp;")</f>
        <v>&amp;</v>
      </c>
      <c r="AT130" s="21" t="str">
        <f>IFERROR(INDEX($N:$N,MATCH(AB130,$S:$S,0)),"&amp;")</f>
        <v>&amp;</v>
      </c>
      <c r="AV130" s="21" t="str">
        <f>IFERROR(SUBSTITUTE(INDEX($K:$K,MATCH(INDEX($M:$M,MATCH(AM130,$N:$N,0)),$M:$M,0)),$D130,""),"")</f>
        <v/>
      </c>
      <c r="AW130" s="21" t="str">
        <f>IFERROR(SUBSTITUTE(INDEX($K:$K,MATCH(INDEX($M:$M,MATCH(AN130,$N:$N,0)),$M:$M,0)),$D130,""),"")</f>
        <v/>
      </c>
      <c r="AX130" s="21" t="str">
        <f>IFERROR(SUBSTITUTE(INDEX($K:$K,MATCH(INDEX($M:$M,MATCH(AO130,$N:$N,0)),$M:$M,0)),$D130,""),"")</f>
        <v/>
      </c>
      <c r="AY130" s="21" t="str">
        <f>IFERROR(SUBSTITUTE(INDEX($K:$K,MATCH(INDEX($M:$M,MATCH(AP130,$N:$N,0)),$M:$M,0)),$D130,""),"")</f>
        <v/>
      </c>
      <c r="AZ130" s="21" t="str">
        <f>IFERROR(SUBSTITUTE(INDEX($K:$K,MATCH(INDEX($M:$M,MATCH(AQ130,$N:$N,0)),$M:$M,0)),$D130,""),"")</f>
        <v/>
      </c>
      <c r="BA130" s="21" t="str">
        <f>IFERROR(SUBSTITUTE(INDEX($K:$K,MATCH(INDEX($M:$M,MATCH(AR130,$N:$N,0)),$M:$M,0)),$D130,""),"")</f>
        <v/>
      </c>
      <c r="BB130" s="21" t="str">
        <f>IFERROR(SUBSTITUTE(INDEX($K:$K,MATCH(INDEX($M:$M,MATCH(AS130,$N:$N,0)),$M:$M,0)),$D130,""),"")</f>
        <v/>
      </c>
      <c r="BC130" s="21" t="str">
        <f>IFERROR(SUBSTITUTE(INDEX($K:$K,MATCH(INDEX($M:$M,MATCH(AT130,$N:$N,0)),$M:$M,0)),$D130,""),"")</f>
        <v/>
      </c>
      <c r="BE130" s="9" t="str">
        <f t="shared" si="16"/>
        <v/>
      </c>
      <c r="BI130" s="9" t="str">
        <f>IFERROR(
IF(COUNTIF($M:$M,$AD130)&lt;BI$8,
"",
INDEX($J:$J,MATCH($AD130,$M:$M,0)+BI$8-1)),
"")</f>
        <v/>
      </c>
      <c r="BJ130" s="9" t="str">
        <f>IFERROR(
IF(COUNTIF($M:$M,$AD130)&lt;BJ$8,
"",
INDEX($J:$J,MATCH($AD130,$M:$M,0)+BJ$8-1)),
"")</f>
        <v/>
      </c>
      <c r="BK130" s="9" t="str">
        <f>IFERROR(
IF(COUNTIF($M:$M,$AD130)&lt;BK$8,
"",
INDEX($J:$J,MATCH($AD130,$M:$M,0)+BK$8-1)),
"")</f>
        <v/>
      </c>
      <c r="BL130" s="9" t="str">
        <f>IFERROR(
IF(COUNTIF($M:$M,$AD130)&lt;BL$8,
"",
INDEX($J:$J,MATCH($AD130,$M:$M,0)+BL$8-1)),
"")</f>
        <v/>
      </c>
      <c r="BN130" s="21" t="str">
        <f>IFERROR(
IF(COUNTIF($BI130:BM130,INDEX($J:$J,MATCH($AE130,$M:$M,0)+BN$8-1))=0,
IF(COUNTIF($M:$M,$AE130)&lt;BN$8,
"",
INDEX($J:$J,MATCH($AE130,$M:$M,0)+BN$8-1)),
""),
"")</f>
        <v/>
      </c>
      <c r="BO130" s="21" t="str">
        <f>IFERROR(
IF(COUNTIF($BI130:BN130,INDEX($J:$J,MATCH($AE130,$M:$M,0)+BO$8-1))=0,
IF(COUNTIF($M:$M,$AE130)&lt;BO$8,
"",
INDEX($J:$J,MATCH($AE130,$M:$M,0)+BO$8-1)),
""),
"")</f>
        <v/>
      </c>
      <c r="BP130" s="21" t="str">
        <f>IFERROR(
IF(COUNTIF($BI130:BO130,INDEX($J:$J,MATCH($AE130,$M:$M,0)+BP$8-1))=0,
IF(COUNTIF($M:$M,$AE130)&lt;BP$8,
"",
INDEX($J:$J,MATCH($AE130,$M:$M,0)+BP$8-1)),
""),
"")</f>
        <v/>
      </c>
      <c r="BQ130" s="21" t="str">
        <f>IFERROR(
IF(COUNTIF($BI130:BP130,INDEX($J:$J,MATCH($AE130,$M:$M,0)+BQ$8-1))=0,
IF(COUNTIF($M:$M,$AE130)&lt;BQ$8,
"",
INDEX($J:$J,MATCH($AE130,$M:$M,0)+BQ$8-1)),
""),
"")</f>
        <v/>
      </c>
      <c r="BS130" s="21" t="str">
        <f>IFERROR(
IF(COUNTIF($BI130:BR130,INDEX($J:$J,MATCH($AF130,$M:$M,0)+BS$8-1))=0,
IF(COUNTIF($M:$M,$AF130)&lt;BS$8,
"",
INDEX($J:$J,MATCH($AF130,$M:$M,0)+BS$8-1)),
""),
"")</f>
        <v/>
      </c>
      <c r="BT130" s="21" t="str">
        <f>IFERROR(
IF(COUNTIF($BI130:BS130,INDEX($J:$J,MATCH($AF130,$M:$M,0)+BT$8-1))=0,
IF(COUNTIF($M:$M,$AF130)&lt;BT$8,
"",
INDEX($J:$J,MATCH($AF130,$M:$M,0)+BT$8-1)),
""),
"")</f>
        <v/>
      </c>
      <c r="BU130" s="21" t="str">
        <f>IFERROR(
IF(COUNTIF($BI130:BT130,INDEX($J:$J,MATCH($AF130,$M:$M,0)+BU$8-1))=0,
IF(COUNTIF($M:$M,$AF130)&lt;BU$8,
"",
INDEX($J:$J,MATCH($AF130,$M:$M,0)+BU$8-1)),
""),
"")</f>
        <v/>
      </c>
      <c r="BV130" s="21" t="str">
        <f>IFERROR(
IF(COUNTIF($BI130:BU130,INDEX($J:$J,MATCH($AF130,$M:$M,0)+BV$8-1))=0,
IF(COUNTIF($M:$M,$AF130)&lt;BV$8,
"",
INDEX($J:$J,MATCH($AF130,$M:$M,0)+BV$8-1)),
""),
"")</f>
        <v/>
      </c>
      <c r="BX130" s="21" t="str">
        <f>IFERROR(
IF(COUNTIF($BI130:BW130,INDEX($J:$J,MATCH($AG130,$M:$M,0)+BX$8-1))=0,
IF(COUNTIF($M:$M,$AG130)&lt;BX$8,
"",
INDEX($J:$J,MATCH($AG130,$M:$M,0)+BX$8-1)),
""),
"")</f>
        <v/>
      </c>
      <c r="BY130" s="21" t="str">
        <f>IFERROR(
IF(COUNTIF($BI130:BX130,INDEX($J:$J,MATCH($AG130,$M:$M,0)+BY$8-1))=0,
IF(COUNTIF($M:$M,$AG130)&lt;BY$8,
"",
INDEX($J:$J,MATCH($AG130,$M:$M,0)+BY$8-1)),
""),
"")</f>
        <v/>
      </c>
      <c r="BZ130" s="21" t="str">
        <f>IFERROR(
IF(COUNTIF($BI130:BY130,INDEX($J:$J,MATCH($AG130,$M:$M,0)+BZ$8-1))=0,
IF(COUNTIF($M:$M,$AG130)&lt;BZ$8,
"",
INDEX($J:$J,MATCH($AG130,$M:$M,0)+BZ$8-1)),
""),
"")</f>
        <v/>
      </c>
      <c r="CA130" s="21" t="str">
        <f>IFERROR(
IF(COUNTIF($BI130:BZ130,INDEX($J:$J,MATCH($AG130,$M:$M,0)+CA$8-1))=0,
IF(COUNTIF($M:$M,$AG130)&lt;CA$8,
"",
INDEX($J:$J,MATCH($AG130,$M:$M,0)+CA$8-1)),
""),
"")</f>
        <v/>
      </c>
      <c r="CC130" s="21" t="str">
        <f>IFERROR(
IF(COUNTIF($BI130:CB130,INDEX($J:$J,MATCH($AH130,$M:$M,0)+CC$8-1))=0,
IF(COUNTIF($M:$M,$AH130)&lt;CC$8,
"",
INDEX($J:$J,MATCH($AH130,$M:$M,0)+CC$8-1)),
""),
"")</f>
        <v/>
      </c>
      <c r="CD130" s="21" t="str">
        <f>IFERROR(
IF(COUNTIF($BI130:CC130,INDEX($J:$J,MATCH($AH130,$M:$M,0)+CD$8-1))=0,
IF(COUNTIF($M:$M,$AH130)&lt;CD$8,
"",
INDEX($J:$J,MATCH($AH130,$M:$M,0)+CD$8-1)),
""),
"")</f>
        <v/>
      </c>
      <c r="CE130" s="21" t="str">
        <f>IFERROR(
IF(COUNTIF($BI130:CD130,INDEX($J:$J,MATCH($AH130,$M:$M,0)+CE$8-1))=0,
IF(COUNTIF($M:$M,$AH130)&lt;CE$8,
"",
INDEX($J:$J,MATCH($AH130,$M:$M,0)+CE$8-1)),
""),
"")</f>
        <v/>
      </c>
      <c r="CF130" s="21" t="str">
        <f>IFERROR(
IF(COUNTIF($BI130:CE130,INDEX($J:$J,MATCH($AH130,$M:$M,0)+CF$8-1))=0,
IF(COUNTIF($M:$M,$AH130)&lt;CF$8,
"",
INDEX($J:$J,MATCH($AH130,$M:$M,0)+CF$8-1)),
""),
"")</f>
        <v/>
      </c>
      <c r="CH130" s="21" t="str">
        <f>IFERROR(
IF(COUNTIF($BI130:CG130,INDEX($J:$J,MATCH($AI130,$M:$M,0)+CH$8-1))=0,
IF(COUNTIF($M:$M,$AI130)&lt;CH$8,
"",
INDEX($J:$J,MATCH($AI130,$M:$M,0)+CH$8-1)),
""),
"")</f>
        <v/>
      </c>
      <c r="CI130" s="21" t="str">
        <f>IFERROR(
IF(COUNTIF($BI130:CH130,INDEX($J:$J,MATCH($AI130,$M:$M,0)+CI$8-1))=0,
IF(COUNTIF($M:$M,$AI130)&lt;CI$8,
"",
INDEX($J:$J,MATCH($AI130,$M:$M,0)+CI$8-1)),
""),
"")</f>
        <v/>
      </c>
      <c r="CJ130" s="21" t="str">
        <f>IFERROR(
IF(COUNTIF($BI130:CI130,INDEX($J:$J,MATCH($AI130,$M:$M,0)+CJ$8-1))=0,
IF(COUNTIF($M:$M,$AI130)&lt;CJ$8,
"",
INDEX($J:$J,MATCH($AI130,$M:$M,0)+CJ$8-1)),
""),
"")</f>
        <v/>
      </c>
      <c r="CK130" s="21" t="str">
        <f>IFERROR(
IF(COUNTIF($BI130:CJ130,INDEX($J:$J,MATCH($AI130,$M:$M,0)+CK$8-1))=0,
IF(COUNTIF($M:$M,$AI130)&lt;CK$8,
"",
INDEX($J:$J,MATCH($AI130,$M:$M,0)+CK$8-1)),
""),
"")</f>
        <v/>
      </c>
      <c r="CM130" s="21" t="str">
        <f>IFERROR(
IF(COUNTIF($BI130:CL130,INDEX($J:$J,MATCH($AJ130,$M:$M,0)+CM$8-1))=0,
IF(COUNTIF($M:$M,$AJ130)&lt;CM$8,
"",
INDEX($J:$J,MATCH($AJ130,$M:$M,0)+CM$8-1)),
""),
"")</f>
        <v/>
      </c>
      <c r="CN130" s="21" t="str">
        <f>IFERROR(
IF(COUNTIF($BI130:CM130,INDEX($J:$J,MATCH($AJ130,$M:$M,0)+CN$8-1))=0,
IF(COUNTIF($M:$M,$AJ130)&lt;CN$8,
"",
INDEX($J:$J,MATCH($AJ130,$M:$M,0)+CN$8-1)),
""),
"")</f>
        <v/>
      </c>
      <c r="CO130" s="21" t="str">
        <f>IFERROR(
IF(COUNTIF($BI130:CN130,INDEX($J:$J,MATCH($AJ130,$M:$M,0)+CO$8-1))=0,
IF(COUNTIF($M:$M,$AJ130)&lt;CO$8,
"",
INDEX($J:$J,MATCH($AJ130,$M:$M,0)+CO$8-1)),
""),
"")</f>
        <v/>
      </c>
      <c r="CP130" s="21" t="str">
        <f>IFERROR(
IF(COUNTIF($BI130:CO130,INDEX($J:$J,MATCH($AJ130,$M:$M,0)+CP$8-1))=0,
IF(COUNTIF($M:$M,$AJ130)&lt;CP$8,
"",
INDEX($J:$J,MATCH($AJ130,$M:$M,0)+CP$8-1)),
""),
"")</f>
        <v/>
      </c>
      <c r="CR130" s="21" t="str">
        <f>IFERROR(
IF(COUNTIF($BI130:CQ130,INDEX($J:$J,MATCH($AK130,$M:$M,0)+CR$8-1))=0,
IF(COUNTIF($M:$M,$AK130)&lt;CR$8,
"",
INDEX($J:$J,MATCH($AK130,$M:$M,0)+CR$8-1)),
""),
"")</f>
        <v/>
      </c>
      <c r="CS130" s="21" t="str">
        <f>IFERROR(
IF(COUNTIF($BI130:CR130,INDEX($J:$J,MATCH($AK130,$M:$M,0)+CS$8-1))=0,
IF(COUNTIF($M:$M,$AK130)&lt;CS$8,
"",
INDEX($J:$J,MATCH($AK130,$M:$M,0)+CS$8-1)),
""),
"")</f>
        <v/>
      </c>
      <c r="CT130" s="21" t="str">
        <f>IFERROR(
IF(COUNTIF($BI130:CS130,INDEX($J:$J,MATCH($AK130,$M:$M,0)+CT$8-1))=0,
IF(COUNTIF($M:$M,$AK130)&lt;CT$8,
"",
INDEX($J:$J,MATCH($AK130,$M:$M,0)+CT$8-1)),
""),
"")</f>
        <v/>
      </c>
      <c r="CU130" s="21" t="str">
        <f>IFERROR(
IF(COUNTIF($BI130:CT130,INDEX($J:$J,MATCH($AK130,$M:$M,0)+CU$8-1))=0,
IF(COUNTIF($M:$M,$AK130)&lt;CU$8,
"",
INDEX($J:$J,MATCH($AK130,$M:$M,0)+CU$8-1)),
""),
"")</f>
        <v/>
      </c>
    </row>
    <row r="131" spans="8:99">
      <c r="H131" s="7" t="str">
        <f>IF(I131="","",COUNTA(I$9:$I131))</f>
        <v/>
      </c>
      <c r="I131" s="6"/>
      <c r="J131" s="6" t="s">
        <v>269</v>
      </c>
      <c r="K131" s="8" t="str">
        <f>IF(H131="","",阶段合并区域(J131:J136," ",L131:L136,1))</f>
        <v/>
      </c>
      <c r="L131" s="8">
        <f>COUNTIF(M$8:$M131,"="&amp;M131)</f>
        <v>3</v>
      </c>
      <c r="M131" s="9" t="str">
        <f t="shared" si="28"/>
        <v>兴国安邦</v>
      </c>
      <c r="N131" s="9" t="str">
        <f t="shared" si="29"/>
        <v>兴国安邦3</v>
      </c>
      <c r="O131" s="15">
        <f>INDEX(C:C,MATCH(J131,D:D,0))</f>
        <v>27</v>
      </c>
      <c r="P131" s="9">
        <f>INDEX(E:E,MATCH(J131,D:D,0))</f>
        <v>120</v>
      </c>
      <c r="Q131" s="7">
        <f t="shared" si="10"/>
        <v>27</v>
      </c>
      <c r="R131" s="7">
        <f>COUNTIF(J$8:$J131,"="&amp;J131)</f>
        <v>4</v>
      </c>
      <c r="S131" s="7">
        <f t="shared" si="30"/>
        <v>4027</v>
      </c>
      <c r="U131" s="7">
        <f t="shared" si="24"/>
        <v>1000</v>
      </c>
      <c r="V131" s="7">
        <f t="shared" si="24"/>
        <v>2000</v>
      </c>
      <c r="W131" s="7">
        <f t="shared" si="24"/>
        <v>3000</v>
      </c>
      <c r="X131" s="7">
        <f t="shared" si="24"/>
        <v>4000</v>
      </c>
      <c r="Y131" s="7">
        <f t="shared" si="24"/>
        <v>5000</v>
      </c>
      <c r="Z131" s="7">
        <f t="shared" si="24"/>
        <v>6000</v>
      </c>
      <c r="AA131" s="7">
        <f t="shared" si="24"/>
        <v>7000</v>
      </c>
      <c r="AB131" s="7">
        <f t="shared" si="24"/>
        <v>8000</v>
      </c>
      <c r="AD131" s="21" t="str">
        <f>IFERROR(INDEX($M:$M,MATCH(U131,$S:$S,0)),"&amp;")</f>
        <v>&amp;</v>
      </c>
      <c r="AE131" s="21" t="str">
        <f>IFERROR(INDEX($M:$M,MATCH(V131,$S:$S,0)),"&amp;")</f>
        <v>&amp;</v>
      </c>
      <c r="AF131" s="21" t="str">
        <f>IFERROR(INDEX($M:$M,MATCH(W131,$S:$S,0)),"&amp;")</f>
        <v>&amp;</v>
      </c>
      <c r="AG131" s="21" t="str">
        <f>IFERROR(INDEX($M:$M,MATCH(X131,$S:$S,0)),"&amp;")</f>
        <v>&amp;</v>
      </c>
      <c r="AH131" s="21" t="str">
        <f>IFERROR(INDEX($M:$M,MATCH(Y131,$S:$S,0)),"&amp;")</f>
        <v>&amp;</v>
      </c>
      <c r="AI131" s="21" t="str">
        <f>IFERROR(INDEX($M:$M,MATCH(Z131,$S:$S,0)),"&amp;")</f>
        <v>&amp;</v>
      </c>
      <c r="AJ131" s="21" t="str">
        <f>IFERROR(INDEX($M:$M,MATCH(AA131,$S:$S,0)),"&amp;")</f>
        <v>&amp;</v>
      </c>
      <c r="AK131" s="21" t="str">
        <f>IFERROR(INDEX($M:$M,MATCH(AB131,$S:$S,0)),"&amp;")</f>
        <v>&amp;</v>
      </c>
      <c r="AM131" s="21" t="str">
        <f>IFERROR(INDEX($N:$N,MATCH(U131,$S:$S,0)),"&amp;")</f>
        <v>&amp;</v>
      </c>
      <c r="AN131" s="21" t="str">
        <f>IFERROR(INDEX($N:$N,MATCH(V131,$S:$S,0)),"&amp;")</f>
        <v>&amp;</v>
      </c>
      <c r="AO131" s="21" t="str">
        <f>IFERROR(INDEX($N:$N,MATCH(W131,$S:$S,0)),"&amp;")</f>
        <v>&amp;</v>
      </c>
      <c r="AP131" s="21" t="str">
        <f>IFERROR(INDEX($N:$N,MATCH(X131,$S:$S,0)),"&amp;")</f>
        <v>&amp;</v>
      </c>
      <c r="AQ131" s="21" t="str">
        <f>IFERROR(INDEX($N:$N,MATCH(Y131,$S:$S,0)),"&amp;")</f>
        <v>&amp;</v>
      </c>
      <c r="AR131" s="21" t="str">
        <f>IFERROR(INDEX($N:$N,MATCH(Z131,$S:$S,0)),"&amp;")</f>
        <v>&amp;</v>
      </c>
      <c r="AS131" s="21" t="str">
        <f>IFERROR(INDEX($N:$N,MATCH(AA131,$S:$S,0)),"&amp;")</f>
        <v>&amp;</v>
      </c>
      <c r="AT131" s="21" t="str">
        <f>IFERROR(INDEX($N:$N,MATCH(AB131,$S:$S,0)),"&amp;")</f>
        <v>&amp;</v>
      </c>
      <c r="AV131" s="21" t="str">
        <f>IFERROR(SUBSTITUTE(INDEX($K:$K,MATCH(INDEX($M:$M,MATCH(AM131,$N:$N,0)),$M:$M,0)),$D131,""),"")</f>
        <v/>
      </c>
      <c r="AW131" s="21" t="str">
        <f>IFERROR(SUBSTITUTE(INDEX($K:$K,MATCH(INDEX($M:$M,MATCH(AN131,$N:$N,0)),$M:$M,0)),$D131,""),"")</f>
        <v/>
      </c>
      <c r="AX131" s="21" t="str">
        <f>IFERROR(SUBSTITUTE(INDEX($K:$K,MATCH(INDEX($M:$M,MATCH(AO131,$N:$N,0)),$M:$M,0)),$D131,""),"")</f>
        <v/>
      </c>
      <c r="AY131" s="21" t="str">
        <f>IFERROR(SUBSTITUTE(INDEX($K:$K,MATCH(INDEX($M:$M,MATCH(AP131,$N:$N,0)),$M:$M,0)),$D131,""),"")</f>
        <v/>
      </c>
      <c r="AZ131" s="21" t="str">
        <f>IFERROR(SUBSTITUTE(INDEX($K:$K,MATCH(INDEX($M:$M,MATCH(AQ131,$N:$N,0)),$M:$M,0)),$D131,""),"")</f>
        <v/>
      </c>
      <c r="BA131" s="21" t="str">
        <f>IFERROR(SUBSTITUTE(INDEX($K:$K,MATCH(INDEX($M:$M,MATCH(AR131,$N:$N,0)),$M:$M,0)),$D131,""),"")</f>
        <v/>
      </c>
      <c r="BB131" s="21" t="str">
        <f>IFERROR(SUBSTITUTE(INDEX($K:$K,MATCH(INDEX($M:$M,MATCH(AS131,$N:$N,0)),$M:$M,0)),$D131,""),"")</f>
        <v/>
      </c>
      <c r="BC131" s="21" t="str">
        <f>IFERROR(SUBSTITUTE(INDEX($K:$K,MATCH(INDEX($M:$M,MATCH(AT131,$N:$N,0)),$M:$M,0)),$D131,""),"")</f>
        <v/>
      </c>
      <c r="BE131" s="9" t="str">
        <f t="shared" si="16"/>
        <v/>
      </c>
      <c r="BI131" s="9" t="str">
        <f>IFERROR(
IF(COUNTIF($M:$M,$AD131)&lt;BI$8,
"",
INDEX($J:$J,MATCH($AD131,$M:$M,0)+BI$8-1)),
"")</f>
        <v/>
      </c>
      <c r="BJ131" s="9" t="str">
        <f>IFERROR(
IF(COUNTIF($M:$M,$AD131)&lt;BJ$8,
"",
INDEX($J:$J,MATCH($AD131,$M:$M,0)+BJ$8-1)),
"")</f>
        <v/>
      </c>
      <c r="BK131" s="9" t="str">
        <f>IFERROR(
IF(COUNTIF($M:$M,$AD131)&lt;BK$8,
"",
INDEX($J:$J,MATCH($AD131,$M:$M,0)+BK$8-1)),
"")</f>
        <v/>
      </c>
      <c r="BL131" s="9" t="str">
        <f>IFERROR(
IF(COUNTIF($M:$M,$AD131)&lt;BL$8,
"",
INDEX($J:$J,MATCH($AD131,$M:$M,0)+BL$8-1)),
"")</f>
        <v/>
      </c>
      <c r="BN131" s="21" t="str">
        <f>IFERROR(
IF(COUNTIF($BI131:BM131,INDEX($J:$J,MATCH($AE131,$M:$M,0)+BN$8-1))=0,
IF(COUNTIF($M:$M,$AE131)&lt;BN$8,
"",
INDEX($J:$J,MATCH($AE131,$M:$M,0)+BN$8-1)),
""),
"")</f>
        <v/>
      </c>
      <c r="BO131" s="21" t="str">
        <f>IFERROR(
IF(COUNTIF($BI131:BN131,INDEX($J:$J,MATCH($AE131,$M:$M,0)+BO$8-1))=0,
IF(COUNTIF($M:$M,$AE131)&lt;BO$8,
"",
INDEX($J:$J,MATCH($AE131,$M:$M,0)+BO$8-1)),
""),
"")</f>
        <v/>
      </c>
      <c r="BP131" s="21" t="str">
        <f>IFERROR(
IF(COUNTIF($BI131:BO131,INDEX($J:$J,MATCH($AE131,$M:$M,0)+BP$8-1))=0,
IF(COUNTIF($M:$M,$AE131)&lt;BP$8,
"",
INDEX($J:$J,MATCH($AE131,$M:$M,0)+BP$8-1)),
""),
"")</f>
        <v/>
      </c>
      <c r="BQ131" s="21" t="str">
        <f>IFERROR(
IF(COUNTIF($BI131:BP131,INDEX($J:$J,MATCH($AE131,$M:$M,0)+BQ$8-1))=0,
IF(COUNTIF($M:$M,$AE131)&lt;BQ$8,
"",
INDEX($J:$J,MATCH($AE131,$M:$M,0)+BQ$8-1)),
""),
"")</f>
        <v/>
      </c>
      <c r="BS131" s="21" t="str">
        <f>IFERROR(
IF(COUNTIF($BI131:BR131,INDEX($J:$J,MATCH($AF131,$M:$M,0)+BS$8-1))=0,
IF(COUNTIF($M:$M,$AF131)&lt;BS$8,
"",
INDEX($J:$J,MATCH($AF131,$M:$M,0)+BS$8-1)),
""),
"")</f>
        <v/>
      </c>
      <c r="BT131" s="21" t="str">
        <f>IFERROR(
IF(COUNTIF($BI131:BS131,INDEX($J:$J,MATCH($AF131,$M:$M,0)+BT$8-1))=0,
IF(COUNTIF($M:$M,$AF131)&lt;BT$8,
"",
INDEX($J:$J,MATCH($AF131,$M:$M,0)+BT$8-1)),
""),
"")</f>
        <v/>
      </c>
      <c r="BU131" s="21" t="str">
        <f>IFERROR(
IF(COUNTIF($BI131:BT131,INDEX($J:$J,MATCH($AF131,$M:$M,0)+BU$8-1))=0,
IF(COUNTIF($M:$M,$AF131)&lt;BU$8,
"",
INDEX($J:$J,MATCH($AF131,$M:$M,0)+BU$8-1)),
""),
"")</f>
        <v/>
      </c>
      <c r="BV131" s="21" t="str">
        <f>IFERROR(
IF(COUNTIF($BI131:BU131,INDEX($J:$J,MATCH($AF131,$M:$M,0)+BV$8-1))=0,
IF(COUNTIF($M:$M,$AF131)&lt;BV$8,
"",
INDEX($J:$J,MATCH($AF131,$M:$M,0)+BV$8-1)),
""),
"")</f>
        <v/>
      </c>
      <c r="BX131" s="21" t="str">
        <f>IFERROR(
IF(COUNTIF($BI131:BW131,INDEX($J:$J,MATCH($AG131,$M:$M,0)+BX$8-1))=0,
IF(COUNTIF($M:$M,$AG131)&lt;BX$8,
"",
INDEX($J:$J,MATCH($AG131,$M:$M,0)+BX$8-1)),
""),
"")</f>
        <v/>
      </c>
      <c r="BY131" s="21" t="str">
        <f>IFERROR(
IF(COUNTIF($BI131:BX131,INDEX($J:$J,MATCH($AG131,$M:$M,0)+BY$8-1))=0,
IF(COUNTIF($M:$M,$AG131)&lt;BY$8,
"",
INDEX($J:$J,MATCH($AG131,$M:$M,0)+BY$8-1)),
""),
"")</f>
        <v/>
      </c>
      <c r="BZ131" s="21" t="str">
        <f>IFERROR(
IF(COUNTIF($BI131:BY131,INDEX($J:$J,MATCH($AG131,$M:$M,0)+BZ$8-1))=0,
IF(COUNTIF($M:$M,$AG131)&lt;BZ$8,
"",
INDEX($J:$J,MATCH($AG131,$M:$M,0)+BZ$8-1)),
""),
"")</f>
        <v/>
      </c>
      <c r="CA131" s="21" t="str">
        <f>IFERROR(
IF(COUNTIF($BI131:BZ131,INDEX($J:$J,MATCH($AG131,$M:$M,0)+CA$8-1))=0,
IF(COUNTIF($M:$M,$AG131)&lt;CA$8,
"",
INDEX($J:$J,MATCH($AG131,$M:$M,0)+CA$8-1)),
""),
"")</f>
        <v/>
      </c>
      <c r="CC131" s="21" t="str">
        <f>IFERROR(
IF(COUNTIF($BI131:CB131,INDEX($J:$J,MATCH($AH131,$M:$M,0)+CC$8-1))=0,
IF(COUNTIF($M:$M,$AH131)&lt;CC$8,
"",
INDEX($J:$J,MATCH($AH131,$M:$M,0)+CC$8-1)),
""),
"")</f>
        <v/>
      </c>
      <c r="CD131" s="21" t="str">
        <f>IFERROR(
IF(COUNTIF($BI131:CC131,INDEX($J:$J,MATCH($AH131,$M:$M,0)+CD$8-1))=0,
IF(COUNTIF($M:$M,$AH131)&lt;CD$8,
"",
INDEX($J:$J,MATCH($AH131,$M:$M,0)+CD$8-1)),
""),
"")</f>
        <v/>
      </c>
      <c r="CE131" s="21" t="str">
        <f>IFERROR(
IF(COUNTIF($BI131:CD131,INDEX($J:$J,MATCH($AH131,$M:$M,0)+CE$8-1))=0,
IF(COUNTIF($M:$M,$AH131)&lt;CE$8,
"",
INDEX($J:$J,MATCH($AH131,$M:$M,0)+CE$8-1)),
""),
"")</f>
        <v/>
      </c>
      <c r="CF131" s="21" t="str">
        <f>IFERROR(
IF(COUNTIF($BI131:CE131,INDEX($J:$J,MATCH($AH131,$M:$M,0)+CF$8-1))=0,
IF(COUNTIF($M:$M,$AH131)&lt;CF$8,
"",
INDEX($J:$J,MATCH($AH131,$M:$M,0)+CF$8-1)),
""),
"")</f>
        <v/>
      </c>
      <c r="CH131" s="21" t="str">
        <f>IFERROR(
IF(COUNTIF($BI131:CG131,INDEX($J:$J,MATCH($AI131,$M:$M,0)+CH$8-1))=0,
IF(COUNTIF($M:$M,$AI131)&lt;CH$8,
"",
INDEX($J:$J,MATCH($AI131,$M:$M,0)+CH$8-1)),
""),
"")</f>
        <v/>
      </c>
      <c r="CI131" s="21" t="str">
        <f>IFERROR(
IF(COUNTIF($BI131:CH131,INDEX($J:$J,MATCH($AI131,$M:$M,0)+CI$8-1))=0,
IF(COUNTIF($M:$M,$AI131)&lt;CI$8,
"",
INDEX($J:$J,MATCH($AI131,$M:$M,0)+CI$8-1)),
""),
"")</f>
        <v/>
      </c>
      <c r="CJ131" s="21" t="str">
        <f>IFERROR(
IF(COUNTIF($BI131:CI131,INDEX($J:$J,MATCH($AI131,$M:$M,0)+CJ$8-1))=0,
IF(COUNTIF($M:$M,$AI131)&lt;CJ$8,
"",
INDEX($J:$J,MATCH($AI131,$M:$M,0)+CJ$8-1)),
""),
"")</f>
        <v/>
      </c>
      <c r="CK131" s="21" t="str">
        <f>IFERROR(
IF(COUNTIF($BI131:CJ131,INDEX($J:$J,MATCH($AI131,$M:$M,0)+CK$8-1))=0,
IF(COUNTIF($M:$M,$AI131)&lt;CK$8,
"",
INDEX($J:$J,MATCH($AI131,$M:$M,0)+CK$8-1)),
""),
"")</f>
        <v/>
      </c>
      <c r="CM131" s="21" t="str">
        <f>IFERROR(
IF(COUNTIF($BI131:CL131,INDEX($J:$J,MATCH($AJ131,$M:$M,0)+CM$8-1))=0,
IF(COUNTIF($M:$M,$AJ131)&lt;CM$8,
"",
INDEX($J:$J,MATCH($AJ131,$M:$M,0)+CM$8-1)),
""),
"")</f>
        <v/>
      </c>
      <c r="CN131" s="21" t="str">
        <f>IFERROR(
IF(COUNTIF($BI131:CM131,INDEX($J:$J,MATCH($AJ131,$M:$M,0)+CN$8-1))=0,
IF(COUNTIF($M:$M,$AJ131)&lt;CN$8,
"",
INDEX($J:$J,MATCH($AJ131,$M:$M,0)+CN$8-1)),
""),
"")</f>
        <v/>
      </c>
      <c r="CO131" s="21" t="str">
        <f>IFERROR(
IF(COUNTIF($BI131:CN131,INDEX($J:$J,MATCH($AJ131,$M:$M,0)+CO$8-1))=0,
IF(COUNTIF($M:$M,$AJ131)&lt;CO$8,
"",
INDEX($J:$J,MATCH($AJ131,$M:$M,0)+CO$8-1)),
""),
"")</f>
        <v/>
      </c>
      <c r="CP131" s="21" t="str">
        <f>IFERROR(
IF(COUNTIF($BI131:CO131,INDEX($J:$J,MATCH($AJ131,$M:$M,0)+CP$8-1))=0,
IF(COUNTIF($M:$M,$AJ131)&lt;CP$8,
"",
INDEX($J:$J,MATCH($AJ131,$M:$M,0)+CP$8-1)),
""),
"")</f>
        <v/>
      </c>
      <c r="CR131" s="21" t="str">
        <f>IFERROR(
IF(COUNTIF($BI131:CQ131,INDEX($J:$J,MATCH($AK131,$M:$M,0)+CR$8-1))=0,
IF(COUNTIF($M:$M,$AK131)&lt;CR$8,
"",
INDEX($J:$J,MATCH($AK131,$M:$M,0)+CR$8-1)),
""),
"")</f>
        <v/>
      </c>
      <c r="CS131" s="21" t="str">
        <f>IFERROR(
IF(COUNTIF($BI131:CR131,INDEX($J:$J,MATCH($AK131,$M:$M,0)+CS$8-1))=0,
IF(COUNTIF($M:$M,$AK131)&lt;CS$8,
"",
INDEX($J:$J,MATCH($AK131,$M:$M,0)+CS$8-1)),
""),
"")</f>
        <v/>
      </c>
      <c r="CT131" s="21" t="str">
        <f>IFERROR(
IF(COUNTIF($BI131:CS131,INDEX($J:$J,MATCH($AK131,$M:$M,0)+CT$8-1))=0,
IF(COUNTIF($M:$M,$AK131)&lt;CT$8,
"",
INDEX($J:$J,MATCH($AK131,$M:$M,0)+CT$8-1)),
""),
"")</f>
        <v/>
      </c>
      <c r="CU131" s="21" t="str">
        <f>IFERROR(
IF(COUNTIF($BI131:CT131,INDEX($J:$J,MATCH($AK131,$M:$M,0)+CU$8-1))=0,
IF(COUNTIF($M:$M,$AK131)&lt;CU$8,
"",
INDEX($J:$J,MATCH($AK131,$M:$M,0)+CU$8-1)),
""),
"")</f>
        <v/>
      </c>
    </row>
    <row r="132" spans="8:99">
      <c r="H132" s="7" t="str">
        <f>IF(I132="","",COUNTA(I$9:$I132))</f>
        <v/>
      </c>
      <c r="I132" s="6"/>
      <c r="J132" s="6" t="s">
        <v>268</v>
      </c>
      <c r="K132" s="8" t="str">
        <f>IF(H132="","",阶段合并区域(J132:J136," ",L132:L136,1))</f>
        <v/>
      </c>
      <c r="L132" s="8">
        <f>COUNTIF(M$8:$M132,"="&amp;M132)</f>
        <v>4</v>
      </c>
      <c r="M132" s="9" t="str">
        <f t="shared" si="28"/>
        <v>兴国安邦</v>
      </c>
      <c r="N132" s="9" t="str">
        <f t="shared" si="29"/>
        <v>兴国安邦4</v>
      </c>
      <c r="O132" s="15">
        <f>INDEX(C:C,MATCH(J132,D:D,0))</f>
        <v>55</v>
      </c>
      <c r="P132" s="9">
        <f>INDEX(E:E,MATCH(J132,D:D,0))</f>
        <v>120</v>
      </c>
      <c r="Q132" s="7">
        <f t="shared" si="10"/>
        <v>55</v>
      </c>
      <c r="R132" s="7">
        <f>COUNTIF(J$8:$J132,"="&amp;J132)</f>
        <v>4</v>
      </c>
      <c r="S132" s="7">
        <f t="shared" si="30"/>
        <v>4055</v>
      </c>
      <c r="U132" s="7">
        <f t="shared" si="24"/>
        <v>1000</v>
      </c>
      <c r="V132" s="7">
        <f t="shared" si="24"/>
        <v>2000</v>
      </c>
      <c r="W132" s="7">
        <f t="shared" si="24"/>
        <v>3000</v>
      </c>
      <c r="X132" s="7">
        <f t="shared" si="24"/>
        <v>4000</v>
      </c>
      <c r="Y132" s="7">
        <f t="shared" si="24"/>
        <v>5000</v>
      </c>
      <c r="Z132" s="7">
        <f t="shared" si="24"/>
        <v>6000</v>
      </c>
      <c r="AA132" s="7">
        <f t="shared" si="24"/>
        <v>7000</v>
      </c>
      <c r="AB132" s="7">
        <f t="shared" si="24"/>
        <v>8000</v>
      </c>
      <c r="AD132" s="21" t="str">
        <f>IFERROR(INDEX($M:$M,MATCH(U132,$S:$S,0)),"&amp;")</f>
        <v>&amp;</v>
      </c>
      <c r="AE132" s="21" t="str">
        <f>IFERROR(INDEX($M:$M,MATCH(V132,$S:$S,0)),"&amp;")</f>
        <v>&amp;</v>
      </c>
      <c r="AF132" s="21" t="str">
        <f>IFERROR(INDEX($M:$M,MATCH(W132,$S:$S,0)),"&amp;")</f>
        <v>&amp;</v>
      </c>
      <c r="AG132" s="21" t="str">
        <f>IFERROR(INDEX($M:$M,MATCH(X132,$S:$S,0)),"&amp;")</f>
        <v>&amp;</v>
      </c>
      <c r="AH132" s="21" t="str">
        <f>IFERROR(INDEX($M:$M,MATCH(Y132,$S:$S,0)),"&amp;")</f>
        <v>&amp;</v>
      </c>
      <c r="AI132" s="21" t="str">
        <f>IFERROR(INDEX($M:$M,MATCH(Z132,$S:$S,0)),"&amp;")</f>
        <v>&amp;</v>
      </c>
      <c r="AJ132" s="21" t="str">
        <f>IFERROR(INDEX($M:$M,MATCH(AA132,$S:$S,0)),"&amp;")</f>
        <v>&amp;</v>
      </c>
      <c r="AK132" s="21" t="str">
        <f>IFERROR(INDEX($M:$M,MATCH(AB132,$S:$S,0)),"&amp;")</f>
        <v>&amp;</v>
      </c>
      <c r="AM132" s="21" t="str">
        <f>IFERROR(INDEX($N:$N,MATCH(U132,$S:$S,0)),"&amp;")</f>
        <v>&amp;</v>
      </c>
      <c r="AN132" s="21" t="str">
        <f>IFERROR(INDEX($N:$N,MATCH(V132,$S:$S,0)),"&amp;")</f>
        <v>&amp;</v>
      </c>
      <c r="AO132" s="21" t="str">
        <f>IFERROR(INDEX($N:$N,MATCH(W132,$S:$S,0)),"&amp;")</f>
        <v>&amp;</v>
      </c>
      <c r="AP132" s="21" t="str">
        <f>IFERROR(INDEX($N:$N,MATCH(X132,$S:$S,0)),"&amp;")</f>
        <v>&amp;</v>
      </c>
      <c r="AQ132" s="21" t="str">
        <f>IFERROR(INDEX($N:$N,MATCH(Y132,$S:$S,0)),"&amp;")</f>
        <v>&amp;</v>
      </c>
      <c r="AR132" s="21" t="str">
        <f>IFERROR(INDEX($N:$N,MATCH(Z132,$S:$S,0)),"&amp;")</f>
        <v>&amp;</v>
      </c>
      <c r="AS132" s="21" t="str">
        <f>IFERROR(INDEX($N:$N,MATCH(AA132,$S:$S,0)),"&amp;")</f>
        <v>&amp;</v>
      </c>
      <c r="AT132" s="21" t="str">
        <f>IFERROR(INDEX($N:$N,MATCH(AB132,$S:$S,0)),"&amp;")</f>
        <v>&amp;</v>
      </c>
      <c r="AV132" s="21" t="str">
        <f>IFERROR(SUBSTITUTE(INDEX($K:$K,MATCH(INDEX($M:$M,MATCH(AM132,$N:$N,0)),$M:$M,0)),$D132,""),"")</f>
        <v/>
      </c>
      <c r="AW132" s="21" t="str">
        <f>IFERROR(SUBSTITUTE(INDEX($K:$K,MATCH(INDEX($M:$M,MATCH(AN132,$N:$N,0)),$M:$M,0)),$D132,""),"")</f>
        <v/>
      </c>
      <c r="AX132" s="21" t="str">
        <f>IFERROR(SUBSTITUTE(INDEX($K:$K,MATCH(INDEX($M:$M,MATCH(AO132,$N:$N,0)),$M:$M,0)),$D132,""),"")</f>
        <v/>
      </c>
      <c r="AY132" s="21" t="str">
        <f>IFERROR(SUBSTITUTE(INDEX($K:$K,MATCH(INDEX($M:$M,MATCH(AP132,$N:$N,0)),$M:$M,0)),$D132,""),"")</f>
        <v/>
      </c>
      <c r="AZ132" s="21" t="str">
        <f>IFERROR(SUBSTITUTE(INDEX($K:$K,MATCH(INDEX($M:$M,MATCH(AQ132,$N:$N,0)),$M:$M,0)),$D132,""),"")</f>
        <v/>
      </c>
      <c r="BA132" s="21" t="str">
        <f>IFERROR(SUBSTITUTE(INDEX($K:$K,MATCH(INDEX($M:$M,MATCH(AR132,$N:$N,0)),$M:$M,0)),$D132,""),"")</f>
        <v/>
      </c>
      <c r="BB132" s="21" t="str">
        <f>IFERROR(SUBSTITUTE(INDEX($K:$K,MATCH(INDEX($M:$M,MATCH(AS132,$N:$N,0)),$M:$M,0)),$D132,""),"")</f>
        <v/>
      </c>
      <c r="BC132" s="21" t="str">
        <f>IFERROR(SUBSTITUTE(INDEX($K:$K,MATCH(INDEX($M:$M,MATCH(AT132,$N:$N,0)),$M:$M,0)),$D132,""),"")</f>
        <v/>
      </c>
      <c r="BE132" s="9" t="str">
        <f t="shared" si="16"/>
        <v/>
      </c>
      <c r="BI132" s="9" t="str">
        <f>IFERROR(
IF(COUNTIF($M:$M,$AD132)&lt;BI$8,
"",
INDEX($J:$J,MATCH($AD132,$M:$M,0)+BI$8-1)),
"")</f>
        <v/>
      </c>
      <c r="BJ132" s="9" t="str">
        <f>IFERROR(
IF(COUNTIF($M:$M,$AD132)&lt;BJ$8,
"",
INDEX($J:$J,MATCH($AD132,$M:$M,0)+BJ$8-1)),
"")</f>
        <v/>
      </c>
      <c r="BK132" s="9" t="str">
        <f>IFERROR(
IF(COUNTIF($M:$M,$AD132)&lt;BK$8,
"",
INDEX($J:$J,MATCH($AD132,$M:$M,0)+BK$8-1)),
"")</f>
        <v/>
      </c>
      <c r="BL132" s="9" t="str">
        <f>IFERROR(
IF(COUNTIF($M:$M,$AD132)&lt;BL$8,
"",
INDEX($J:$J,MATCH($AD132,$M:$M,0)+BL$8-1)),
"")</f>
        <v/>
      </c>
      <c r="BN132" s="21" t="str">
        <f>IFERROR(
IF(COUNTIF($BI132:BM132,INDEX($J:$J,MATCH($AE132,$M:$M,0)+BN$8-1))=0,
IF(COUNTIF($M:$M,$AE132)&lt;BN$8,
"",
INDEX($J:$J,MATCH($AE132,$M:$M,0)+BN$8-1)),
""),
"")</f>
        <v/>
      </c>
      <c r="BO132" s="21" t="str">
        <f>IFERROR(
IF(COUNTIF($BI132:BN132,INDEX($J:$J,MATCH($AE132,$M:$M,0)+BO$8-1))=0,
IF(COUNTIF($M:$M,$AE132)&lt;BO$8,
"",
INDEX($J:$J,MATCH($AE132,$M:$M,0)+BO$8-1)),
""),
"")</f>
        <v/>
      </c>
      <c r="BP132" s="21" t="str">
        <f>IFERROR(
IF(COUNTIF($BI132:BO132,INDEX($J:$J,MATCH($AE132,$M:$M,0)+BP$8-1))=0,
IF(COUNTIF($M:$M,$AE132)&lt;BP$8,
"",
INDEX($J:$J,MATCH($AE132,$M:$M,0)+BP$8-1)),
""),
"")</f>
        <v/>
      </c>
      <c r="BQ132" s="21" t="str">
        <f>IFERROR(
IF(COUNTIF($BI132:BP132,INDEX($J:$J,MATCH($AE132,$M:$M,0)+BQ$8-1))=0,
IF(COUNTIF($M:$M,$AE132)&lt;BQ$8,
"",
INDEX($J:$J,MATCH($AE132,$M:$M,0)+BQ$8-1)),
""),
"")</f>
        <v/>
      </c>
      <c r="BS132" s="21" t="str">
        <f>IFERROR(
IF(COUNTIF($BI132:BR132,INDEX($J:$J,MATCH($AF132,$M:$M,0)+BS$8-1))=0,
IF(COUNTIF($M:$M,$AF132)&lt;BS$8,
"",
INDEX($J:$J,MATCH($AF132,$M:$M,0)+BS$8-1)),
""),
"")</f>
        <v/>
      </c>
      <c r="BT132" s="21" t="str">
        <f>IFERROR(
IF(COUNTIF($BI132:BS132,INDEX($J:$J,MATCH($AF132,$M:$M,0)+BT$8-1))=0,
IF(COUNTIF($M:$M,$AF132)&lt;BT$8,
"",
INDEX($J:$J,MATCH($AF132,$M:$M,0)+BT$8-1)),
""),
"")</f>
        <v/>
      </c>
      <c r="BU132" s="21" t="str">
        <f>IFERROR(
IF(COUNTIF($BI132:BT132,INDEX($J:$J,MATCH($AF132,$M:$M,0)+BU$8-1))=0,
IF(COUNTIF($M:$M,$AF132)&lt;BU$8,
"",
INDEX($J:$J,MATCH($AF132,$M:$M,0)+BU$8-1)),
""),
"")</f>
        <v/>
      </c>
      <c r="BV132" s="21" t="str">
        <f>IFERROR(
IF(COUNTIF($BI132:BU132,INDEX($J:$J,MATCH($AF132,$M:$M,0)+BV$8-1))=0,
IF(COUNTIF($M:$M,$AF132)&lt;BV$8,
"",
INDEX($J:$J,MATCH($AF132,$M:$M,0)+BV$8-1)),
""),
"")</f>
        <v/>
      </c>
      <c r="BX132" s="21" t="str">
        <f>IFERROR(
IF(COUNTIF($BI132:BW132,INDEX($J:$J,MATCH($AG132,$M:$M,0)+BX$8-1))=0,
IF(COUNTIF($M:$M,$AG132)&lt;BX$8,
"",
INDEX($J:$J,MATCH($AG132,$M:$M,0)+BX$8-1)),
""),
"")</f>
        <v/>
      </c>
      <c r="BY132" s="21" t="str">
        <f>IFERROR(
IF(COUNTIF($BI132:BX132,INDEX($J:$J,MATCH($AG132,$M:$M,0)+BY$8-1))=0,
IF(COUNTIF($M:$M,$AG132)&lt;BY$8,
"",
INDEX($J:$J,MATCH($AG132,$M:$M,0)+BY$8-1)),
""),
"")</f>
        <v/>
      </c>
      <c r="BZ132" s="21" t="str">
        <f>IFERROR(
IF(COUNTIF($BI132:BY132,INDEX($J:$J,MATCH($AG132,$M:$M,0)+BZ$8-1))=0,
IF(COUNTIF($M:$M,$AG132)&lt;BZ$8,
"",
INDEX($J:$J,MATCH($AG132,$M:$M,0)+BZ$8-1)),
""),
"")</f>
        <v/>
      </c>
      <c r="CA132" s="21" t="str">
        <f>IFERROR(
IF(COUNTIF($BI132:BZ132,INDEX($J:$J,MATCH($AG132,$M:$M,0)+CA$8-1))=0,
IF(COUNTIF($M:$M,$AG132)&lt;CA$8,
"",
INDEX($J:$J,MATCH($AG132,$M:$M,0)+CA$8-1)),
""),
"")</f>
        <v/>
      </c>
      <c r="CC132" s="21" t="str">
        <f>IFERROR(
IF(COUNTIF($BI132:CB132,INDEX($J:$J,MATCH($AH132,$M:$M,0)+CC$8-1))=0,
IF(COUNTIF($M:$M,$AH132)&lt;CC$8,
"",
INDEX($J:$J,MATCH($AH132,$M:$M,0)+CC$8-1)),
""),
"")</f>
        <v/>
      </c>
      <c r="CD132" s="21" t="str">
        <f>IFERROR(
IF(COUNTIF($BI132:CC132,INDEX($J:$J,MATCH($AH132,$M:$M,0)+CD$8-1))=0,
IF(COUNTIF($M:$M,$AH132)&lt;CD$8,
"",
INDEX($J:$J,MATCH($AH132,$M:$M,0)+CD$8-1)),
""),
"")</f>
        <v/>
      </c>
      <c r="CE132" s="21" t="str">
        <f>IFERROR(
IF(COUNTIF($BI132:CD132,INDEX($J:$J,MATCH($AH132,$M:$M,0)+CE$8-1))=0,
IF(COUNTIF($M:$M,$AH132)&lt;CE$8,
"",
INDEX($J:$J,MATCH($AH132,$M:$M,0)+CE$8-1)),
""),
"")</f>
        <v/>
      </c>
      <c r="CF132" s="21" t="str">
        <f>IFERROR(
IF(COUNTIF($BI132:CE132,INDEX($J:$J,MATCH($AH132,$M:$M,0)+CF$8-1))=0,
IF(COUNTIF($M:$M,$AH132)&lt;CF$8,
"",
INDEX($J:$J,MATCH($AH132,$M:$M,0)+CF$8-1)),
""),
"")</f>
        <v/>
      </c>
      <c r="CH132" s="21" t="str">
        <f>IFERROR(
IF(COUNTIF($BI132:CG132,INDEX($J:$J,MATCH($AI132,$M:$M,0)+CH$8-1))=0,
IF(COUNTIF($M:$M,$AI132)&lt;CH$8,
"",
INDEX($J:$J,MATCH($AI132,$M:$M,0)+CH$8-1)),
""),
"")</f>
        <v/>
      </c>
      <c r="CI132" s="21" t="str">
        <f>IFERROR(
IF(COUNTIF($BI132:CH132,INDEX($J:$J,MATCH($AI132,$M:$M,0)+CI$8-1))=0,
IF(COUNTIF($M:$M,$AI132)&lt;CI$8,
"",
INDEX($J:$J,MATCH($AI132,$M:$M,0)+CI$8-1)),
""),
"")</f>
        <v/>
      </c>
      <c r="CJ132" s="21" t="str">
        <f>IFERROR(
IF(COUNTIF($BI132:CI132,INDEX($J:$J,MATCH($AI132,$M:$M,0)+CJ$8-1))=0,
IF(COUNTIF($M:$M,$AI132)&lt;CJ$8,
"",
INDEX($J:$J,MATCH($AI132,$M:$M,0)+CJ$8-1)),
""),
"")</f>
        <v/>
      </c>
      <c r="CK132" s="21" t="str">
        <f>IFERROR(
IF(COUNTIF($BI132:CJ132,INDEX($J:$J,MATCH($AI132,$M:$M,0)+CK$8-1))=0,
IF(COUNTIF($M:$M,$AI132)&lt;CK$8,
"",
INDEX($J:$J,MATCH($AI132,$M:$M,0)+CK$8-1)),
""),
"")</f>
        <v/>
      </c>
      <c r="CM132" s="21" t="str">
        <f>IFERROR(
IF(COUNTIF($BI132:CL132,INDEX($J:$J,MATCH($AJ132,$M:$M,0)+CM$8-1))=0,
IF(COUNTIF($M:$M,$AJ132)&lt;CM$8,
"",
INDEX($J:$J,MATCH($AJ132,$M:$M,0)+CM$8-1)),
""),
"")</f>
        <v/>
      </c>
      <c r="CN132" s="21" t="str">
        <f>IFERROR(
IF(COUNTIF($BI132:CM132,INDEX($J:$J,MATCH($AJ132,$M:$M,0)+CN$8-1))=0,
IF(COUNTIF($M:$M,$AJ132)&lt;CN$8,
"",
INDEX($J:$J,MATCH($AJ132,$M:$M,0)+CN$8-1)),
""),
"")</f>
        <v/>
      </c>
      <c r="CO132" s="21" t="str">
        <f>IFERROR(
IF(COUNTIF($BI132:CN132,INDEX($J:$J,MATCH($AJ132,$M:$M,0)+CO$8-1))=0,
IF(COUNTIF($M:$M,$AJ132)&lt;CO$8,
"",
INDEX($J:$J,MATCH($AJ132,$M:$M,0)+CO$8-1)),
""),
"")</f>
        <v/>
      </c>
      <c r="CP132" s="21" t="str">
        <f>IFERROR(
IF(COUNTIF($BI132:CO132,INDEX($J:$J,MATCH($AJ132,$M:$M,0)+CP$8-1))=0,
IF(COUNTIF($M:$M,$AJ132)&lt;CP$8,
"",
INDEX($J:$J,MATCH($AJ132,$M:$M,0)+CP$8-1)),
""),
"")</f>
        <v/>
      </c>
      <c r="CR132" s="21" t="str">
        <f>IFERROR(
IF(COUNTIF($BI132:CQ132,INDEX($J:$J,MATCH($AK132,$M:$M,0)+CR$8-1))=0,
IF(COUNTIF($M:$M,$AK132)&lt;CR$8,
"",
INDEX($J:$J,MATCH($AK132,$M:$M,0)+CR$8-1)),
""),
"")</f>
        <v/>
      </c>
      <c r="CS132" s="21" t="str">
        <f>IFERROR(
IF(COUNTIF($BI132:CR132,INDEX($J:$J,MATCH($AK132,$M:$M,0)+CS$8-1))=0,
IF(COUNTIF($M:$M,$AK132)&lt;CS$8,
"",
INDEX($J:$J,MATCH($AK132,$M:$M,0)+CS$8-1)),
""),
"")</f>
        <v/>
      </c>
      <c r="CT132" s="21" t="str">
        <f>IFERROR(
IF(COUNTIF($BI132:CS132,INDEX($J:$J,MATCH($AK132,$M:$M,0)+CT$8-1))=0,
IF(COUNTIF($M:$M,$AK132)&lt;CT$8,
"",
INDEX($J:$J,MATCH($AK132,$M:$M,0)+CT$8-1)),
""),
"")</f>
        <v/>
      </c>
      <c r="CU132" s="21" t="str">
        <f>IFERROR(
IF(COUNTIF($BI132:CT132,INDEX($J:$J,MATCH($AK132,$M:$M,0)+CU$8-1))=0,
IF(COUNTIF($M:$M,$AK132)&lt;CU$8,
"",
INDEX($J:$J,MATCH($AK132,$M:$M,0)+CU$8-1)),
""),
"")</f>
        <v/>
      </c>
    </row>
    <row r="133" spans="8:99">
      <c r="H133" s="7">
        <f>IF(I133="","",COUNTA(I$9:$I133))</f>
        <v>103</v>
      </c>
      <c r="I133" s="6" t="s">
        <v>258</v>
      </c>
      <c r="J133" s="6" t="s">
        <v>255</v>
      </c>
      <c r="K133" s="8" t="str">
        <f>IF(H133="","",阶段合并区域(J133:J136," ",L133:L136,1))</f>
        <v>廉颇 伍子胥 司马错 扁鹊</v>
      </c>
      <c r="L133" s="8">
        <f>COUNTIF(M$8:$M133,"="&amp;M133)</f>
        <v>1</v>
      </c>
      <c r="M133" s="9" t="str">
        <f t="shared" ref="M133:M150" si="31">IF(H133="",M132,I133)</f>
        <v>老当益壮</v>
      </c>
      <c r="N133" s="9" t="str">
        <f t="shared" ref="N133:N150" si="32">M133&amp;L133</f>
        <v>老当益壮1</v>
      </c>
      <c r="O133" s="15">
        <f>INDEX(C:C,MATCH(J133,D:D,0))</f>
        <v>5</v>
      </c>
      <c r="P133" s="9">
        <f>INDEX(E:E,MATCH(J133,D:D,0))</f>
        <v>130</v>
      </c>
      <c r="Q133" s="7">
        <f t="shared" si="10"/>
        <v>5</v>
      </c>
      <c r="R133" s="7">
        <f>COUNTIF(J$8:$J133,"="&amp;J133)</f>
        <v>2</v>
      </c>
      <c r="S133" s="7">
        <f t="shared" ref="S133:S150" si="33">R133*1000+Q133</f>
        <v>2005</v>
      </c>
      <c r="U133" s="7">
        <f t="shared" si="24"/>
        <v>1000</v>
      </c>
      <c r="V133" s="7">
        <f t="shared" si="24"/>
        <v>2000</v>
      </c>
      <c r="W133" s="7">
        <f t="shared" si="24"/>
        <v>3000</v>
      </c>
      <c r="X133" s="7">
        <f t="shared" si="24"/>
        <v>4000</v>
      </c>
      <c r="Y133" s="7">
        <f t="shared" si="24"/>
        <v>5000</v>
      </c>
      <c r="Z133" s="7">
        <f t="shared" si="24"/>
        <v>6000</v>
      </c>
      <c r="AA133" s="7">
        <f t="shared" si="24"/>
        <v>7000</v>
      </c>
      <c r="AB133" s="7">
        <f t="shared" si="24"/>
        <v>8000</v>
      </c>
      <c r="AD133" s="21" t="str">
        <f>IFERROR(INDEX($M:$M,MATCH(U133,$S:$S,0)),"&amp;")</f>
        <v>&amp;</v>
      </c>
      <c r="AE133" s="21" t="str">
        <f>IFERROR(INDEX($M:$M,MATCH(V133,$S:$S,0)),"&amp;")</f>
        <v>&amp;</v>
      </c>
      <c r="AF133" s="21" t="str">
        <f>IFERROR(INDEX($M:$M,MATCH(W133,$S:$S,0)),"&amp;")</f>
        <v>&amp;</v>
      </c>
      <c r="AG133" s="21" t="str">
        <f>IFERROR(INDEX($M:$M,MATCH(X133,$S:$S,0)),"&amp;")</f>
        <v>&amp;</v>
      </c>
      <c r="AH133" s="21" t="str">
        <f>IFERROR(INDEX($M:$M,MATCH(Y133,$S:$S,0)),"&amp;")</f>
        <v>&amp;</v>
      </c>
      <c r="AI133" s="21" t="str">
        <f>IFERROR(INDEX($M:$M,MATCH(Z133,$S:$S,0)),"&amp;")</f>
        <v>&amp;</v>
      </c>
      <c r="AJ133" s="21" t="str">
        <f>IFERROR(INDEX($M:$M,MATCH(AA133,$S:$S,0)),"&amp;")</f>
        <v>&amp;</v>
      </c>
      <c r="AK133" s="21" t="str">
        <f>IFERROR(INDEX($M:$M,MATCH(AB133,$S:$S,0)),"&amp;")</f>
        <v>&amp;</v>
      </c>
      <c r="AM133" s="21" t="str">
        <f>IFERROR(INDEX($N:$N,MATCH(U133,$S:$S,0)),"&amp;")</f>
        <v>&amp;</v>
      </c>
      <c r="AN133" s="21" t="str">
        <f>IFERROR(INDEX($N:$N,MATCH(V133,$S:$S,0)),"&amp;")</f>
        <v>&amp;</v>
      </c>
      <c r="AO133" s="21" t="str">
        <f>IFERROR(INDEX($N:$N,MATCH(W133,$S:$S,0)),"&amp;")</f>
        <v>&amp;</v>
      </c>
      <c r="AP133" s="21" t="str">
        <f>IFERROR(INDEX($N:$N,MATCH(X133,$S:$S,0)),"&amp;")</f>
        <v>&amp;</v>
      </c>
      <c r="AQ133" s="21" t="str">
        <f>IFERROR(INDEX($N:$N,MATCH(Y133,$S:$S,0)),"&amp;")</f>
        <v>&amp;</v>
      </c>
      <c r="AR133" s="21" t="str">
        <f>IFERROR(INDEX($N:$N,MATCH(Z133,$S:$S,0)),"&amp;")</f>
        <v>&amp;</v>
      </c>
      <c r="AS133" s="21" t="str">
        <f>IFERROR(INDEX($N:$N,MATCH(AA133,$S:$S,0)),"&amp;")</f>
        <v>&amp;</v>
      </c>
      <c r="AT133" s="21" t="str">
        <f>IFERROR(INDEX($N:$N,MATCH(AB133,$S:$S,0)),"&amp;")</f>
        <v>&amp;</v>
      </c>
      <c r="AV133" s="21" t="str">
        <f>IFERROR(SUBSTITUTE(INDEX($K:$K,MATCH(INDEX($M:$M,MATCH(AM133,$N:$N,0)),$M:$M,0)),$D133,""),"")</f>
        <v/>
      </c>
      <c r="AW133" s="21" t="str">
        <f>IFERROR(SUBSTITUTE(INDEX($K:$K,MATCH(INDEX($M:$M,MATCH(AN133,$N:$N,0)),$M:$M,0)),$D133,""),"")</f>
        <v/>
      </c>
      <c r="AX133" s="21" t="str">
        <f>IFERROR(SUBSTITUTE(INDEX($K:$K,MATCH(INDEX($M:$M,MATCH(AO133,$N:$N,0)),$M:$M,0)),$D133,""),"")</f>
        <v/>
      </c>
      <c r="AY133" s="21" t="str">
        <f>IFERROR(SUBSTITUTE(INDEX($K:$K,MATCH(INDEX($M:$M,MATCH(AP133,$N:$N,0)),$M:$M,0)),$D133,""),"")</f>
        <v/>
      </c>
      <c r="AZ133" s="21" t="str">
        <f>IFERROR(SUBSTITUTE(INDEX($K:$K,MATCH(INDEX($M:$M,MATCH(AQ133,$N:$N,0)),$M:$M,0)),$D133,""),"")</f>
        <v/>
      </c>
      <c r="BA133" s="21" t="str">
        <f>IFERROR(SUBSTITUTE(INDEX($K:$K,MATCH(INDEX($M:$M,MATCH(AR133,$N:$N,0)),$M:$M,0)),$D133,""),"")</f>
        <v/>
      </c>
      <c r="BB133" s="21" t="str">
        <f>IFERROR(SUBSTITUTE(INDEX($K:$K,MATCH(INDEX($M:$M,MATCH(AS133,$N:$N,0)),$M:$M,0)),$D133,""),"")</f>
        <v/>
      </c>
      <c r="BC133" s="21" t="str">
        <f>IFERROR(SUBSTITUTE(INDEX($K:$K,MATCH(INDEX($M:$M,MATCH(AT133,$N:$N,0)),$M:$M,0)),$D133,""),"")</f>
        <v/>
      </c>
      <c r="BE133" s="9" t="str">
        <f t="shared" si="16"/>
        <v/>
      </c>
      <c r="BI133" s="9" t="str">
        <f>IFERROR(
IF(COUNTIF($M:$M,$AD133)&lt;BI$8,
"",
INDEX($J:$J,MATCH($AD133,$M:$M,0)+BI$8-1)),
"")</f>
        <v/>
      </c>
      <c r="BJ133" s="9" t="str">
        <f>IFERROR(
IF(COUNTIF($M:$M,$AD133)&lt;BJ$8,
"",
INDEX($J:$J,MATCH($AD133,$M:$M,0)+BJ$8-1)),
"")</f>
        <v/>
      </c>
      <c r="BK133" s="9" t="str">
        <f>IFERROR(
IF(COUNTIF($M:$M,$AD133)&lt;BK$8,
"",
INDEX($J:$J,MATCH($AD133,$M:$M,0)+BK$8-1)),
"")</f>
        <v/>
      </c>
      <c r="BL133" s="9" t="str">
        <f>IFERROR(
IF(COUNTIF($M:$M,$AD133)&lt;BL$8,
"",
INDEX($J:$J,MATCH($AD133,$M:$M,0)+BL$8-1)),
"")</f>
        <v/>
      </c>
      <c r="BN133" s="21" t="str">
        <f>IFERROR(
IF(COUNTIF($BI133:BM133,INDEX($J:$J,MATCH($AE133,$M:$M,0)+BN$8-1))=0,
IF(COUNTIF($M:$M,$AE133)&lt;BN$8,
"",
INDEX($J:$J,MATCH($AE133,$M:$M,0)+BN$8-1)),
""),
"")</f>
        <v/>
      </c>
      <c r="BO133" s="21" t="str">
        <f>IFERROR(
IF(COUNTIF($BI133:BN133,INDEX($J:$J,MATCH($AE133,$M:$M,0)+BO$8-1))=0,
IF(COUNTIF($M:$M,$AE133)&lt;BO$8,
"",
INDEX($J:$J,MATCH($AE133,$M:$M,0)+BO$8-1)),
""),
"")</f>
        <v/>
      </c>
      <c r="BP133" s="21" t="str">
        <f>IFERROR(
IF(COUNTIF($BI133:BO133,INDEX($J:$J,MATCH($AE133,$M:$M,0)+BP$8-1))=0,
IF(COUNTIF($M:$M,$AE133)&lt;BP$8,
"",
INDEX($J:$J,MATCH($AE133,$M:$M,0)+BP$8-1)),
""),
"")</f>
        <v/>
      </c>
      <c r="BQ133" s="21" t="str">
        <f>IFERROR(
IF(COUNTIF($BI133:BP133,INDEX($J:$J,MATCH($AE133,$M:$M,0)+BQ$8-1))=0,
IF(COUNTIF($M:$M,$AE133)&lt;BQ$8,
"",
INDEX($J:$J,MATCH($AE133,$M:$M,0)+BQ$8-1)),
""),
"")</f>
        <v/>
      </c>
      <c r="BS133" s="21" t="str">
        <f>IFERROR(
IF(COUNTIF($BI133:BR133,INDEX($J:$J,MATCH($AF133,$M:$M,0)+BS$8-1))=0,
IF(COUNTIF($M:$M,$AF133)&lt;BS$8,
"",
INDEX($J:$J,MATCH($AF133,$M:$M,0)+BS$8-1)),
""),
"")</f>
        <v/>
      </c>
      <c r="BT133" s="21" t="str">
        <f>IFERROR(
IF(COUNTIF($BI133:BS133,INDEX($J:$J,MATCH($AF133,$M:$M,0)+BT$8-1))=0,
IF(COUNTIF($M:$M,$AF133)&lt;BT$8,
"",
INDEX($J:$J,MATCH($AF133,$M:$M,0)+BT$8-1)),
""),
"")</f>
        <v/>
      </c>
      <c r="BU133" s="21" t="str">
        <f>IFERROR(
IF(COUNTIF($BI133:BT133,INDEX($J:$J,MATCH($AF133,$M:$M,0)+BU$8-1))=0,
IF(COUNTIF($M:$M,$AF133)&lt;BU$8,
"",
INDEX($J:$J,MATCH($AF133,$M:$M,0)+BU$8-1)),
""),
"")</f>
        <v/>
      </c>
      <c r="BV133" s="21" t="str">
        <f>IFERROR(
IF(COUNTIF($BI133:BU133,INDEX($J:$J,MATCH($AF133,$M:$M,0)+BV$8-1))=0,
IF(COUNTIF($M:$M,$AF133)&lt;BV$8,
"",
INDEX($J:$J,MATCH($AF133,$M:$M,0)+BV$8-1)),
""),
"")</f>
        <v/>
      </c>
      <c r="BX133" s="21" t="str">
        <f>IFERROR(
IF(COUNTIF($BI133:BW133,INDEX($J:$J,MATCH($AG133,$M:$M,0)+BX$8-1))=0,
IF(COUNTIF($M:$M,$AG133)&lt;BX$8,
"",
INDEX($J:$J,MATCH($AG133,$M:$M,0)+BX$8-1)),
""),
"")</f>
        <v/>
      </c>
      <c r="BY133" s="21" t="str">
        <f>IFERROR(
IF(COUNTIF($BI133:BX133,INDEX($J:$J,MATCH($AG133,$M:$M,0)+BY$8-1))=0,
IF(COUNTIF($M:$M,$AG133)&lt;BY$8,
"",
INDEX($J:$J,MATCH($AG133,$M:$M,0)+BY$8-1)),
""),
"")</f>
        <v/>
      </c>
      <c r="BZ133" s="21" t="str">
        <f>IFERROR(
IF(COUNTIF($BI133:BY133,INDEX($J:$J,MATCH($AG133,$M:$M,0)+BZ$8-1))=0,
IF(COUNTIF($M:$M,$AG133)&lt;BZ$8,
"",
INDEX($J:$J,MATCH($AG133,$M:$M,0)+BZ$8-1)),
""),
"")</f>
        <v/>
      </c>
      <c r="CA133" s="21" t="str">
        <f>IFERROR(
IF(COUNTIF($BI133:BZ133,INDEX($J:$J,MATCH($AG133,$M:$M,0)+CA$8-1))=0,
IF(COUNTIF($M:$M,$AG133)&lt;CA$8,
"",
INDEX($J:$J,MATCH($AG133,$M:$M,0)+CA$8-1)),
""),
"")</f>
        <v/>
      </c>
      <c r="CC133" s="21" t="str">
        <f>IFERROR(
IF(COUNTIF($BI133:CB133,INDEX($J:$J,MATCH($AH133,$M:$M,0)+CC$8-1))=0,
IF(COUNTIF($M:$M,$AH133)&lt;CC$8,
"",
INDEX($J:$J,MATCH($AH133,$M:$M,0)+CC$8-1)),
""),
"")</f>
        <v/>
      </c>
      <c r="CD133" s="21" t="str">
        <f>IFERROR(
IF(COUNTIF($BI133:CC133,INDEX($J:$J,MATCH($AH133,$M:$M,0)+CD$8-1))=0,
IF(COUNTIF($M:$M,$AH133)&lt;CD$8,
"",
INDEX($J:$J,MATCH($AH133,$M:$M,0)+CD$8-1)),
""),
"")</f>
        <v/>
      </c>
      <c r="CE133" s="21" t="str">
        <f>IFERROR(
IF(COUNTIF($BI133:CD133,INDEX($J:$J,MATCH($AH133,$M:$M,0)+CE$8-1))=0,
IF(COUNTIF($M:$M,$AH133)&lt;CE$8,
"",
INDEX($J:$J,MATCH($AH133,$M:$M,0)+CE$8-1)),
""),
"")</f>
        <v/>
      </c>
      <c r="CF133" s="21" t="str">
        <f>IFERROR(
IF(COUNTIF($BI133:CE133,INDEX($J:$J,MATCH($AH133,$M:$M,0)+CF$8-1))=0,
IF(COUNTIF($M:$M,$AH133)&lt;CF$8,
"",
INDEX($J:$J,MATCH($AH133,$M:$M,0)+CF$8-1)),
""),
"")</f>
        <v/>
      </c>
      <c r="CH133" s="21" t="str">
        <f>IFERROR(
IF(COUNTIF($BI133:CG133,INDEX($J:$J,MATCH($AI133,$M:$M,0)+CH$8-1))=0,
IF(COUNTIF($M:$M,$AI133)&lt;CH$8,
"",
INDEX($J:$J,MATCH($AI133,$M:$M,0)+CH$8-1)),
""),
"")</f>
        <v/>
      </c>
      <c r="CI133" s="21" t="str">
        <f>IFERROR(
IF(COUNTIF($BI133:CH133,INDEX($J:$J,MATCH($AI133,$M:$M,0)+CI$8-1))=0,
IF(COUNTIF($M:$M,$AI133)&lt;CI$8,
"",
INDEX($J:$J,MATCH($AI133,$M:$M,0)+CI$8-1)),
""),
"")</f>
        <v/>
      </c>
      <c r="CJ133" s="21" t="str">
        <f>IFERROR(
IF(COUNTIF($BI133:CI133,INDEX($J:$J,MATCH($AI133,$M:$M,0)+CJ$8-1))=0,
IF(COUNTIF($M:$M,$AI133)&lt;CJ$8,
"",
INDEX($J:$J,MATCH($AI133,$M:$M,0)+CJ$8-1)),
""),
"")</f>
        <v/>
      </c>
      <c r="CK133" s="21" t="str">
        <f>IFERROR(
IF(COUNTIF($BI133:CJ133,INDEX($J:$J,MATCH($AI133,$M:$M,0)+CK$8-1))=0,
IF(COUNTIF($M:$M,$AI133)&lt;CK$8,
"",
INDEX($J:$J,MATCH($AI133,$M:$M,0)+CK$8-1)),
""),
"")</f>
        <v/>
      </c>
      <c r="CM133" s="21" t="str">
        <f>IFERROR(
IF(COUNTIF($BI133:CL133,INDEX($J:$J,MATCH($AJ133,$M:$M,0)+CM$8-1))=0,
IF(COUNTIF($M:$M,$AJ133)&lt;CM$8,
"",
INDEX($J:$J,MATCH($AJ133,$M:$M,0)+CM$8-1)),
""),
"")</f>
        <v/>
      </c>
      <c r="CN133" s="21" t="str">
        <f>IFERROR(
IF(COUNTIF($BI133:CM133,INDEX($J:$J,MATCH($AJ133,$M:$M,0)+CN$8-1))=0,
IF(COUNTIF($M:$M,$AJ133)&lt;CN$8,
"",
INDEX($J:$J,MATCH($AJ133,$M:$M,0)+CN$8-1)),
""),
"")</f>
        <v/>
      </c>
      <c r="CO133" s="21" t="str">
        <f>IFERROR(
IF(COUNTIF($BI133:CN133,INDEX($J:$J,MATCH($AJ133,$M:$M,0)+CO$8-1))=0,
IF(COUNTIF($M:$M,$AJ133)&lt;CO$8,
"",
INDEX($J:$J,MATCH($AJ133,$M:$M,0)+CO$8-1)),
""),
"")</f>
        <v/>
      </c>
      <c r="CP133" s="21" t="str">
        <f>IFERROR(
IF(COUNTIF($BI133:CO133,INDEX($J:$J,MATCH($AJ133,$M:$M,0)+CP$8-1))=0,
IF(COUNTIF($M:$M,$AJ133)&lt;CP$8,
"",
INDEX($J:$J,MATCH($AJ133,$M:$M,0)+CP$8-1)),
""),
"")</f>
        <v/>
      </c>
      <c r="CR133" s="21" t="str">
        <f>IFERROR(
IF(COUNTIF($BI133:CQ133,INDEX($J:$J,MATCH($AK133,$M:$M,0)+CR$8-1))=0,
IF(COUNTIF($M:$M,$AK133)&lt;CR$8,
"",
INDEX($J:$J,MATCH($AK133,$M:$M,0)+CR$8-1)),
""),
"")</f>
        <v/>
      </c>
      <c r="CS133" s="21" t="str">
        <f>IFERROR(
IF(COUNTIF($BI133:CR133,INDEX($J:$J,MATCH($AK133,$M:$M,0)+CS$8-1))=0,
IF(COUNTIF($M:$M,$AK133)&lt;CS$8,
"",
INDEX($J:$J,MATCH($AK133,$M:$M,0)+CS$8-1)),
""),
"")</f>
        <v/>
      </c>
      <c r="CT133" s="21" t="str">
        <f>IFERROR(
IF(COUNTIF($BI133:CS133,INDEX($J:$J,MATCH($AK133,$M:$M,0)+CT$8-1))=0,
IF(COUNTIF($M:$M,$AK133)&lt;CT$8,
"",
INDEX($J:$J,MATCH($AK133,$M:$M,0)+CT$8-1)),
""),
"")</f>
        <v/>
      </c>
      <c r="CU133" s="21" t="str">
        <f>IFERROR(
IF(COUNTIF($BI133:CT133,INDEX($J:$J,MATCH($AK133,$M:$M,0)+CU$8-1))=0,
IF(COUNTIF($M:$M,$AK133)&lt;CU$8,
"",
INDEX($J:$J,MATCH($AK133,$M:$M,0)+CU$8-1)),
""),
"")</f>
        <v/>
      </c>
    </row>
    <row r="134" spans="8:99">
      <c r="H134" s="7" t="str">
        <f>IF(I134="","",COUNTA(I$9:$I134))</f>
        <v/>
      </c>
      <c r="I134" s="6"/>
      <c r="J134" s="6" t="s">
        <v>219</v>
      </c>
      <c r="K134" s="8" t="str">
        <f>IF(H134="","",阶段合并区域(J134:J136," ",L134:L136,1))</f>
        <v/>
      </c>
      <c r="L134" s="8">
        <f>COUNTIF(M$8:$M134,"="&amp;M134)</f>
        <v>2</v>
      </c>
      <c r="M134" s="9" t="str">
        <f t="shared" si="31"/>
        <v>老当益壮</v>
      </c>
      <c r="N134" s="9" t="str">
        <f t="shared" si="32"/>
        <v>老当益壮2</v>
      </c>
      <c r="O134" s="15">
        <f>INDEX(C:C,MATCH(J134,D:D,0))</f>
        <v>62</v>
      </c>
      <c r="P134" s="9">
        <f>INDEX(E:E,MATCH(J134,D:D,0))</f>
        <v>120</v>
      </c>
      <c r="Q134" s="7">
        <f t="shared" si="10"/>
        <v>62</v>
      </c>
      <c r="R134" s="7">
        <f>COUNTIF(J$8:$J134,"="&amp;J134)</f>
        <v>4</v>
      </c>
      <c r="S134" s="7">
        <f t="shared" si="33"/>
        <v>4062</v>
      </c>
      <c r="U134" s="7">
        <f t="shared" si="24"/>
        <v>1000</v>
      </c>
      <c r="V134" s="7">
        <f t="shared" si="24"/>
        <v>2000</v>
      </c>
      <c r="W134" s="7">
        <f t="shared" si="24"/>
        <v>3000</v>
      </c>
      <c r="X134" s="7">
        <f t="shared" si="24"/>
        <v>4000</v>
      </c>
      <c r="Y134" s="7">
        <f t="shared" si="24"/>
        <v>5000</v>
      </c>
      <c r="Z134" s="7">
        <f t="shared" si="24"/>
        <v>6000</v>
      </c>
      <c r="AA134" s="7">
        <f t="shared" si="24"/>
        <v>7000</v>
      </c>
      <c r="AB134" s="7">
        <f t="shared" si="24"/>
        <v>8000</v>
      </c>
      <c r="AD134" s="21" t="str">
        <f>IFERROR(INDEX($M:$M,MATCH(U134,$S:$S,0)),"&amp;")</f>
        <v>&amp;</v>
      </c>
      <c r="AE134" s="21" t="str">
        <f>IFERROR(INDEX($M:$M,MATCH(V134,$S:$S,0)),"&amp;")</f>
        <v>&amp;</v>
      </c>
      <c r="AF134" s="21" t="str">
        <f>IFERROR(INDEX($M:$M,MATCH(W134,$S:$S,0)),"&amp;")</f>
        <v>&amp;</v>
      </c>
      <c r="AG134" s="21" t="str">
        <f>IFERROR(INDEX($M:$M,MATCH(X134,$S:$S,0)),"&amp;")</f>
        <v>&amp;</v>
      </c>
      <c r="AH134" s="21" t="str">
        <f>IFERROR(INDEX($M:$M,MATCH(Y134,$S:$S,0)),"&amp;")</f>
        <v>&amp;</v>
      </c>
      <c r="AI134" s="21" t="str">
        <f>IFERROR(INDEX($M:$M,MATCH(Z134,$S:$S,0)),"&amp;")</f>
        <v>&amp;</v>
      </c>
      <c r="AJ134" s="21" t="str">
        <f>IFERROR(INDEX($M:$M,MATCH(AA134,$S:$S,0)),"&amp;")</f>
        <v>&amp;</v>
      </c>
      <c r="AK134" s="21" t="str">
        <f>IFERROR(INDEX($M:$M,MATCH(AB134,$S:$S,0)),"&amp;")</f>
        <v>&amp;</v>
      </c>
      <c r="AM134" s="21" t="str">
        <f>IFERROR(INDEX($N:$N,MATCH(U134,$S:$S,0)),"&amp;")</f>
        <v>&amp;</v>
      </c>
      <c r="AN134" s="21" t="str">
        <f>IFERROR(INDEX($N:$N,MATCH(V134,$S:$S,0)),"&amp;")</f>
        <v>&amp;</v>
      </c>
      <c r="AO134" s="21" t="str">
        <f>IFERROR(INDEX($N:$N,MATCH(W134,$S:$S,0)),"&amp;")</f>
        <v>&amp;</v>
      </c>
      <c r="AP134" s="21" t="str">
        <f>IFERROR(INDEX($N:$N,MATCH(X134,$S:$S,0)),"&amp;")</f>
        <v>&amp;</v>
      </c>
      <c r="AQ134" s="21" t="str">
        <f>IFERROR(INDEX($N:$N,MATCH(Y134,$S:$S,0)),"&amp;")</f>
        <v>&amp;</v>
      </c>
      <c r="AR134" s="21" t="str">
        <f>IFERROR(INDEX($N:$N,MATCH(Z134,$S:$S,0)),"&amp;")</f>
        <v>&amp;</v>
      </c>
      <c r="AS134" s="21" t="str">
        <f>IFERROR(INDEX($N:$N,MATCH(AA134,$S:$S,0)),"&amp;")</f>
        <v>&amp;</v>
      </c>
      <c r="AT134" s="21" t="str">
        <f>IFERROR(INDEX($N:$N,MATCH(AB134,$S:$S,0)),"&amp;")</f>
        <v>&amp;</v>
      </c>
      <c r="AV134" s="21" t="str">
        <f>IFERROR(SUBSTITUTE(INDEX($K:$K,MATCH(INDEX($M:$M,MATCH(AM134,$N:$N,0)),$M:$M,0)),$D134,""),"")</f>
        <v/>
      </c>
      <c r="AW134" s="21" t="str">
        <f>IFERROR(SUBSTITUTE(INDEX($K:$K,MATCH(INDEX($M:$M,MATCH(AN134,$N:$N,0)),$M:$M,0)),$D134,""),"")</f>
        <v/>
      </c>
      <c r="AX134" s="21" t="str">
        <f>IFERROR(SUBSTITUTE(INDEX($K:$K,MATCH(INDEX($M:$M,MATCH(AO134,$N:$N,0)),$M:$M,0)),$D134,""),"")</f>
        <v/>
      </c>
      <c r="AY134" s="21" t="str">
        <f>IFERROR(SUBSTITUTE(INDEX($K:$K,MATCH(INDEX($M:$M,MATCH(AP134,$N:$N,0)),$M:$M,0)),$D134,""),"")</f>
        <v/>
      </c>
      <c r="AZ134" s="21" t="str">
        <f>IFERROR(SUBSTITUTE(INDEX($K:$K,MATCH(INDEX($M:$M,MATCH(AQ134,$N:$N,0)),$M:$M,0)),$D134,""),"")</f>
        <v/>
      </c>
      <c r="BA134" s="21" t="str">
        <f>IFERROR(SUBSTITUTE(INDEX($K:$K,MATCH(INDEX($M:$M,MATCH(AR134,$N:$N,0)),$M:$M,0)),$D134,""),"")</f>
        <v/>
      </c>
      <c r="BB134" s="21" t="str">
        <f>IFERROR(SUBSTITUTE(INDEX($K:$K,MATCH(INDEX($M:$M,MATCH(AS134,$N:$N,0)),$M:$M,0)),$D134,""),"")</f>
        <v/>
      </c>
      <c r="BC134" s="21" t="str">
        <f>IFERROR(SUBSTITUTE(INDEX($K:$K,MATCH(INDEX($M:$M,MATCH(AT134,$N:$N,0)),$M:$M,0)),$D134,""),"")</f>
        <v/>
      </c>
      <c r="BE134" s="9" t="str">
        <f t="shared" si="16"/>
        <v/>
      </c>
      <c r="BI134" s="9" t="str">
        <f>IFERROR(
IF(COUNTIF($M:$M,$AD134)&lt;BI$8,
"",
INDEX($J:$J,MATCH($AD134,$M:$M,0)+BI$8-1)),
"")</f>
        <v/>
      </c>
      <c r="BJ134" s="9" t="str">
        <f>IFERROR(
IF(COUNTIF($M:$M,$AD134)&lt;BJ$8,
"",
INDEX($J:$J,MATCH($AD134,$M:$M,0)+BJ$8-1)),
"")</f>
        <v/>
      </c>
      <c r="BK134" s="9" t="str">
        <f>IFERROR(
IF(COUNTIF($M:$M,$AD134)&lt;BK$8,
"",
INDEX($J:$J,MATCH($AD134,$M:$M,0)+BK$8-1)),
"")</f>
        <v/>
      </c>
      <c r="BL134" s="9" t="str">
        <f>IFERROR(
IF(COUNTIF($M:$M,$AD134)&lt;BL$8,
"",
INDEX($J:$J,MATCH($AD134,$M:$M,0)+BL$8-1)),
"")</f>
        <v/>
      </c>
      <c r="BN134" s="21" t="str">
        <f>IFERROR(
IF(COUNTIF($BI134:BM134,INDEX($J:$J,MATCH($AE134,$M:$M,0)+BN$8-1))=0,
IF(COUNTIF($M:$M,$AE134)&lt;BN$8,
"",
INDEX($J:$J,MATCH($AE134,$M:$M,0)+BN$8-1)),
""),
"")</f>
        <v/>
      </c>
      <c r="BO134" s="21" t="str">
        <f>IFERROR(
IF(COUNTIF($BI134:BN134,INDEX($J:$J,MATCH($AE134,$M:$M,0)+BO$8-1))=0,
IF(COUNTIF($M:$M,$AE134)&lt;BO$8,
"",
INDEX($J:$J,MATCH($AE134,$M:$M,0)+BO$8-1)),
""),
"")</f>
        <v/>
      </c>
      <c r="BP134" s="21" t="str">
        <f>IFERROR(
IF(COUNTIF($BI134:BO134,INDEX($J:$J,MATCH($AE134,$M:$M,0)+BP$8-1))=0,
IF(COUNTIF($M:$M,$AE134)&lt;BP$8,
"",
INDEX($J:$J,MATCH($AE134,$M:$M,0)+BP$8-1)),
""),
"")</f>
        <v/>
      </c>
      <c r="BQ134" s="21" t="str">
        <f>IFERROR(
IF(COUNTIF($BI134:BP134,INDEX($J:$J,MATCH($AE134,$M:$M,0)+BQ$8-1))=0,
IF(COUNTIF($M:$M,$AE134)&lt;BQ$8,
"",
INDEX($J:$J,MATCH($AE134,$M:$M,0)+BQ$8-1)),
""),
"")</f>
        <v/>
      </c>
      <c r="BS134" s="21" t="str">
        <f>IFERROR(
IF(COUNTIF($BI134:BR134,INDEX($J:$J,MATCH($AF134,$M:$M,0)+BS$8-1))=0,
IF(COUNTIF($M:$M,$AF134)&lt;BS$8,
"",
INDEX($J:$J,MATCH($AF134,$M:$M,0)+BS$8-1)),
""),
"")</f>
        <v/>
      </c>
      <c r="BT134" s="21" t="str">
        <f>IFERROR(
IF(COUNTIF($BI134:BS134,INDEX($J:$J,MATCH($AF134,$M:$M,0)+BT$8-1))=0,
IF(COUNTIF($M:$M,$AF134)&lt;BT$8,
"",
INDEX($J:$J,MATCH($AF134,$M:$M,0)+BT$8-1)),
""),
"")</f>
        <v/>
      </c>
      <c r="BU134" s="21" t="str">
        <f>IFERROR(
IF(COUNTIF($BI134:BT134,INDEX($J:$J,MATCH($AF134,$M:$M,0)+BU$8-1))=0,
IF(COUNTIF($M:$M,$AF134)&lt;BU$8,
"",
INDEX($J:$J,MATCH($AF134,$M:$M,0)+BU$8-1)),
""),
"")</f>
        <v/>
      </c>
      <c r="BV134" s="21" t="str">
        <f>IFERROR(
IF(COUNTIF($BI134:BU134,INDEX($J:$J,MATCH($AF134,$M:$M,0)+BV$8-1))=0,
IF(COUNTIF($M:$M,$AF134)&lt;BV$8,
"",
INDEX($J:$J,MATCH($AF134,$M:$M,0)+BV$8-1)),
""),
"")</f>
        <v/>
      </c>
      <c r="BX134" s="21" t="str">
        <f>IFERROR(
IF(COUNTIF($BI134:BW134,INDEX($J:$J,MATCH($AG134,$M:$M,0)+BX$8-1))=0,
IF(COUNTIF($M:$M,$AG134)&lt;BX$8,
"",
INDEX($J:$J,MATCH($AG134,$M:$M,0)+BX$8-1)),
""),
"")</f>
        <v/>
      </c>
      <c r="BY134" s="21" t="str">
        <f>IFERROR(
IF(COUNTIF($BI134:BX134,INDEX($J:$J,MATCH($AG134,$M:$M,0)+BY$8-1))=0,
IF(COUNTIF($M:$M,$AG134)&lt;BY$8,
"",
INDEX($J:$J,MATCH($AG134,$M:$M,0)+BY$8-1)),
""),
"")</f>
        <v/>
      </c>
      <c r="BZ134" s="21" t="str">
        <f>IFERROR(
IF(COUNTIF($BI134:BY134,INDEX($J:$J,MATCH($AG134,$M:$M,0)+BZ$8-1))=0,
IF(COUNTIF($M:$M,$AG134)&lt;BZ$8,
"",
INDEX($J:$J,MATCH($AG134,$M:$M,0)+BZ$8-1)),
""),
"")</f>
        <v/>
      </c>
      <c r="CA134" s="21" t="str">
        <f>IFERROR(
IF(COUNTIF($BI134:BZ134,INDEX($J:$J,MATCH($AG134,$M:$M,0)+CA$8-1))=0,
IF(COUNTIF($M:$M,$AG134)&lt;CA$8,
"",
INDEX($J:$J,MATCH($AG134,$M:$M,0)+CA$8-1)),
""),
"")</f>
        <v/>
      </c>
      <c r="CC134" s="21" t="str">
        <f>IFERROR(
IF(COUNTIF($BI134:CB134,INDEX($J:$J,MATCH($AH134,$M:$M,0)+CC$8-1))=0,
IF(COUNTIF($M:$M,$AH134)&lt;CC$8,
"",
INDEX($J:$J,MATCH($AH134,$M:$M,0)+CC$8-1)),
""),
"")</f>
        <v/>
      </c>
      <c r="CD134" s="21" t="str">
        <f>IFERROR(
IF(COUNTIF($BI134:CC134,INDEX($J:$J,MATCH($AH134,$M:$M,0)+CD$8-1))=0,
IF(COUNTIF($M:$M,$AH134)&lt;CD$8,
"",
INDEX($J:$J,MATCH($AH134,$M:$M,0)+CD$8-1)),
""),
"")</f>
        <v/>
      </c>
      <c r="CE134" s="21" t="str">
        <f>IFERROR(
IF(COUNTIF($BI134:CD134,INDEX($J:$J,MATCH($AH134,$M:$M,0)+CE$8-1))=0,
IF(COUNTIF($M:$M,$AH134)&lt;CE$8,
"",
INDEX($J:$J,MATCH($AH134,$M:$M,0)+CE$8-1)),
""),
"")</f>
        <v/>
      </c>
      <c r="CF134" s="21" t="str">
        <f>IFERROR(
IF(COUNTIF($BI134:CE134,INDEX($J:$J,MATCH($AH134,$M:$M,0)+CF$8-1))=0,
IF(COUNTIF($M:$M,$AH134)&lt;CF$8,
"",
INDEX($J:$J,MATCH($AH134,$M:$M,0)+CF$8-1)),
""),
"")</f>
        <v/>
      </c>
      <c r="CH134" s="21" t="str">
        <f>IFERROR(
IF(COUNTIF($BI134:CG134,INDEX($J:$J,MATCH($AI134,$M:$M,0)+CH$8-1))=0,
IF(COUNTIF($M:$M,$AI134)&lt;CH$8,
"",
INDEX($J:$J,MATCH($AI134,$M:$M,0)+CH$8-1)),
""),
"")</f>
        <v/>
      </c>
      <c r="CI134" s="21" t="str">
        <f>IFERROR(
IF(COUNTIF($BI134:CH134,INDEX($J:$J,MATCH($AI134,$M:$M,0)+CI$8-1))=0,
IF(COUNTIF($M:$M,$AI134)&lt;CI$8,
"",
INDEX($J:$J,MATCH($AI134,$M:$M,0)+CI$8-1)),
""),
"")</f>
        <v/>
      </c>
      <c r="CJ134" s="21" t="str">
        <f>IFERROR(
IF(COUNTIF($BI134:CI134,INDEX($J:$J,MATCH($AI134,$M:$M,0)+CJ$8-1))=0,
IF(COUNTIF($M:$M,$AI134)&lt;CJ$8,
"",
INDEX($J:$J,MATCH($AI134,$M:$M,0)+CJ$8-1)),
""),
"")</f>
        <v/>
      </c>
      <c r="CK134" s="21" t="str">
        <f>IFERROR(
IF(COUNTIF($BI134:CJ134,INDEX($J:$J,MATCH($AI134,$M:$M,0)+CK$8-1))=0,
IF(COUNTIF($M:$M,$AI134)&lt;CK$8,
"",
INDEX($J:$J,MATCH($AI134,$M:$M,0)+CK$8-1)),
""),
"")</f>
        <v/>
      </c>
      <c r="CM134" s="21" t="str">
        <f>IFERROR(
IF(COUNTIF($BI134:CL134,INDEX($J:$J,MATCH($AJ134,$M:$M,0)+CM$8-1))=0,
IF(COUNTIF($M:$M,$AJ134)&lt;CM$8,
"",
INDEX($J:$J,MATCH($AJ134,$M:$M,0)+CM$8-1)),
""),
"")</f>
        <v/>
      </c>
      <c r="CN134" s="21" t="str">
        <f>IFERROR(
IF(COUNTIF($BI134:CM134,INDEX($J:$J,MATCH($AJ134,$M:$M,0)+CN$8-1))=0,
IF(COUNTIF($M:$M,$AJ134)&lt;CN$8,
"",
INDEX($J:$J,MATCH($AJ134,$M:$M,0)+CN$8-1)),
""),
"")</f>
        <v/>
      </c>
      <c r="CO134" s="21" t="str">
        <f>IFERROR(
IF(COUNTIF($BI134:CN134,INDEX($J:$J,MATCH($AJ134,$M:$M,0)+CO$8-1))=0,
IF(COUNTIF($M:$M,$AJ134)&lt;CO$8,
"",
INDEX($J:$J,MATCH($AJ134,$M:$M,0)+CO$8-1)),
""),
"")</f>
        <v/>
      </c>
      <c r="CP134" s="21" t="str">
        <f>IFERROR(
IF(COUNTIF($BI134:CO134,INDEX($J:$J,MATCH($AJ134,$M:$M,0)+CP$8-1))=0,
IF(COUNTIF($M:$M,$AJ134)&lt;CP$8,
"",
INDEX($J:$J,MATCH($AJ134,$M:$M,0)+CP$8-1)),
""),
"")</f>
        <v/>
      </c>
      <c r="CR134" s="21" t="str">
        <f>IFERROR(
IF(COUNTIF($BI134:CQ134,INDEX($J:$J,MATCH($AK134,$M:$M,0)+CR$8-1))=0,
IF(COUNTIF($M:$M,$AK134)&lt;CR$8,
"",
INDEX($J:$J,MATCH($AK134,$M:$M,0)+CR$8-1)),
""),
"")</f>
        <v/>
      </c>
      <c r="CS134" s="21" t="str">
        <f>IFERROR(
IF(COUNTIF($BI134:CR134,INDEX($J:$J,MATCH($AK134,$M:$M,0)+CS$8-1))=0,
IF(COUNTIF($M:$M,$AK134)&lt;CS$8,
"",
INDEX($J:$J,MATCH($AK134,$M:$M,0)+CS$8-1)),
""),
"")</f>
        <v/>
      </c>
      <c r="CT134" s="21" t="str">
        <f>IFERROR(
IF(COUNTIF($BI134:CS134,INDEX($J:$J,MATCH($AK134,$M:$M,0)+CT$8-1))=0,
IF(COUNTIF($M:$M,$AK134)&lt;CT$8,
"",
INDEX($J:$J,MATCH($AK134,$M:$M,0)+CT$8-1)),
""),
"")</f>
        <v/>
      </c>
      <c r="CU134" s="21" t="str">
        <f>IFERROR(
IF(COUNTIF($BI134:CT134,INDEX($J:$J,MATCH($AK134,$M:$M,0)+CU$8-1))=0,
IF(COUNTIF($M:$M,$AK134)&lt;CU$8,
"",
INDEX($J:$J,MATCH($AK134,$M:$M,0)+CU$8-1)),
""),
"")</f>
        <v/>
      </c>
    </row>
    <row r="135" spans="8:99">
      <c r="H135" s="7" t="str">
        <f>IF(I135="","",COUNTA(I$9:$I135))</f>
        <v/>
      </c>
      <c r="I135" s="6"/>
      <c r="J135" s="6" t="s">
        <v>260</v>
      </c>
      <c r="K135" s="8" t="str">
        <f>IF(H135="","",阶段合并区域(J135:J137," ",L135:L137,1))</f>
        <v/>
      </c>
      <c r="L135" s="8">
        <f>COUNTIF(M$8:$M135,"="&amp;M135)</f>
        <v>3</v>
      </c>
      <c r="M135" s="9" t="str">
        <f t="shared" si="31"/>
        <v>老当益壮</v>
      </c>
      <c r="N135" s="9" t="str">
        <f t="shared" si="32"/>
        <v>老当益壮3</v>
      </c>
      <c r="O135" s="15">
        <f>INDEX(C:C,MATCH(J135,D:D,0))</f>
        <v>17</v>
      </c>
      <c r="P135" s="9">
        <f>INDEX(E:E,MATCH(J135,D:D,0))</f>
        <v>120</v>
      </c>
      <c r="Q135" s="7">
        <f t="shared" si="10"/>
        <v>17</v>
      </c>
      <c r="R135" s="7">
        <f>COUNTIF(J$8:$J135,"="&amp;J135)</f>
        <v>4</v>
      </c>
      <c r="S135" s="7">
        <f t="shared" si="33"/>
        <v>4017</v>
      </c>
      <c r="U135" s="7">
        <f t="shared" si="24"/>
        <v>1000</v>
      </c>
      <c r="V135" s="7">
        <f t="shared" si="24"/>
        <v>2000</v>
      </c>
      <c r="W135" s="7">
        <f t="shared" si="24"/>
        <v>3000</v>
      </c>
      <c r="X135" s="7">
        <f t="shared" si="24"/>
        <v>4000</v>
      </c>
      <c r="Y135" s="7">
        <f t="shared" si="24"/>
        <v>5000</v>
      </c>
      <c r="Z135" s="7">
        <f t="shared" si="24"/>
        <v>6000</v>
      </c>
      <c r="AA135" s="7">
        <f t="shared" si="24"/>
        <v>7000</v>
      </c>
      <c r="AB135" s="7">
        <f t="shared" si="24"/>
        <v>8000</v>
      </c>
      <c r="AD135" s="21" t="str">
        <f>IFERROR(INDEX($M:$M,MATCH(U135,$S:$S,0)),"&amp;")</f>
        <v>&amp;</v>
      </c>
      <c r="AE135" s="21" t="str">
        <f>IFERROR(INDEX($M:$M,MATCH(V135,$S:$S,0)),"&amp;")</f>
        <v>&amp;</v>
      </c>
      <c r="AF135" s="21" t="str">
        <f>IFERROR(INDEX($M:$M,MATCH(W135,$S:$S,0)),"&amp;")</f>
        <v>&amp;</v>
      </c>
      <c r="AG135" s="21" t="str">
        <f>IFERROR(INDEX($M:$M,MATCH(X135,$S:$S,0)),"&amp;")</f>
        <v>&amp;</v>
      </c>
      <c r="AH135" s="21" t="str">
        <f>IFERROR(INDEX($M:$M,MATCH(Y135,$S:$S,0)),"&amp;")</f>
        <v>&amp;</v>
      </c>
      <c r="AI135" s="21" t="str">
        <f>IFERROR(INDEX($M:$M,MATCH(Z135,$S:$S,0)),"&amp;")</f>
        <v>&amp;</v>
      </c>
      <c r="AJ135" s="21" t="str">
        <f>IFERROR(INDEX($M:$M,MATCH(AA135,$S:$S,0)),"&amp;")</f>
        <v>&amp;</v>
      </c>
      <c r="AK135" s="21" t="str">
        <f>IFERROR(INDEX($M:$M,MATCH(AB135,$S:$S,0)),"&amp;")</f>
        <v>&amp;</v>
      </c>
      <c r="AM135" s="21" t="str">
        <f>IFERROR(INDEX($N:$N,MATCH(U135,$S:$S,0)),"&amp;")</f>
        <v>&amp;</v>
      </c>
      <c r="AN135" s="21" t="str">
        <f>IFERROR(INDEX($N:$N,MATCH(V135,$S:$S,0)),"&amp;")</f>
        <v>&amp;</v>
      </c>
      <c r="AO135" s="21" t="str">
        <f>IFERROR(INDEX($N:$N,MATCH(W135,$S:$S,0)),"&amp;")</f>
        <v>&amp;</v>
      </c>
      <c r="AP135" s="21" t="str">
        <f>IFERROR(INDEX($N:$N,MATCH(X135,$S:$S,0)),"&amp;")</f>
        <v>&amp;</v>
      </c>
      <c r="AQ135" s="21" t="str">
        <f>IFERROR(INDEX($N:$N,MATCH(Y135,$S:$S,0)),"&amp;")</f>
        <v>&amp;</v>
      </c>
      <c r="AR135" s="21" t="str">
        <f>IFERROR(INDEX($N:$N,MATCH(Z135,$S:$S,0)),"&amp;")</f>
        <v>&amp;</v>
      </c>
      <c r="AS135" s="21" t="str">
        <f>IFERROR(INDEX($N:$N,MATCH(AA135,$S:$S,0)),"&amp;")</f>
        <v>&amp;</v>
      </c>
      <c r="AT135" s="21" t="str">
        <f>IFERROR(INDEX($N:$N,MATCH(AB135,$S:$S,0)),"&amp;")</f>
        <v>&amp;</v>
      </c>
      <c r="AV135" s="21" t="str">
        <f>IFERROR(SUBSTITUTE(INDEX($K:$K,MATCH(INDEX($M:$M,MATCH(AM135,$N:$N,0)),$M:$M,0)),$D135,""),"")</f>
        <v/>
      </c>
      <c r="AW135" s="21" t="str">
        <f>IFERROR(SUBSTITUTE(INDEX($K:$K,MATCH(INDEX($M:$M,MATCH(AN135,$N:$N,0)),$M:$M,0)),$D135,""),"")</f>
        <v/>
      </c>
      <c r="AX135" s="21" t="str">
        <f>IFERROR(SUBSTITUTE(INDEX($K:$K,MATCH(INDEX($M:$M,MATCH(AO135,$N:$N,0)),$M:$M,0)),$D135,""),"")</f>
        <v/>
      </c>
      <c r="AY135" s="21" t="str">
        <f>IFERROR(SUBSTITUTE(INDEX($K:$K,MATCH(INDEX($M:$M,MATCH(AP135,$N:$N,0)),$M:$M,0)),$D135,""),"")</f>
        <v/>
      </c>
      <c r="AZ135" s="21" t="str">
        <f>IFERROR(SUBSTITUTE(INDEX($K:$K,MATCH(INDEX($M:$M,MATCH(AQ135,$N:$N,0)),$M:$M,0)),$D135,""),"")</f>
        <v/>
      </c>
      <c r="BA135" s="21" t="str">
        <f>IFERROR(SUBSTITUTE(INDEX($K:$K,MATCH(INDEX($M:$M,MATCH(AR135,$N:$N,0)),$M:$M,0)),$D135,""),"")</f>
        <v/>
      </c>
      <c r="BB135" s="21" t="str">
        <f>IFERROR(SUBSTITUTE(INDEX($K:$K,MATCH(INDEX($M:$M,MATCH(AS135,$N:$N,0)),$M:$M,0)),$D135,""),"")</f>
        <v/>
      </c>
      <c r="BC135" s="21" t="str">
        <f>IFERROR(SUBSTITUTE(INDEX($K:$K,MATCH(INDEX($M:$M,MATCH(AT135,$N:$N,0)),$M:$M,0)),$D135,""),"")</f>
        <v/>
      </c>
      <c r="BE135" s="9" t="str">
        <f t="shared" si="16"/>
        <v/>
      </c>
      <c r="BI135" s="9" t="str">
        <f>IFERROR(
IF(COUNTIF($M:$M,$AD135)&lt;BI$8,
"",
INDEX($J:$J,MATCH($AD135,$M:$M,0)+BI$8-1)),
"")</f>
        <v/>
      </c>
      <c r="BJ135" s="9" t="str">
        <f>IFERROR(
IF(COUNTIF($M:$M,$AD135)&lt;BJ$8,
"",
INDEX($J:$J,MATCH($AD135,$M:$M,0)+BJ$8-1)),
"")</f>
        <v/>
      </c>
      <c r="BK135" s="9" t="str">
        <f>IFERROR(
IF(COUNTIF($M:$M,$AD135)&lt;BK$8,
"",
INDEX($J:$J,MATCH($AD135,$M:$M,0)+BK$8-1)),
"")</f>
        <v/>
      </c>
      <c r="BL135" s="9" t="str">
        <f>IFERROR(
IF(COUNTIF($M:$M,$AD135)&lt;BL$8,
"",
INDEX($J:$J,MATCH($AD135,$M:$M,0)+BL$8-1)),
"")</f>
        <v/>
      </c>
      <c r="BN135" s="21" t="str">
        <f>IFERROR(
IF(COUNTIF($BI135:BM135,INDEX($J:$J,MATCH($AE135,$M:$M,0)+BN$8-1))=0,
IF(COUNTIF($M:$M,$AE135)&lt;BN$8,
"",
INDEX($J:$J,MATCH($AE135,$M:$M,0)+BN$8-1)),
""),
"")</f>
        <v/>
      </c>
      <c r="BO135" s="21" t="str">
        <f>IFERROR(
IF(COUNTIF($BI135:BN135,INDEX($J:$J,MATCH($AE135,$M:$M,0)+BO$8-1))=0,
IF(COUNTIF($M:$M,$AE135)&lt;BO$8,
"",
INDEX($J:$J,MATCH($AE135,$M:$M,0)+BO$8-1)),
""),
"")</f>
        <v/>
      </c>
      <c r="BP135" s="21" t="str">
        <f>IFERROR(
IF(COUNTIF($BI135:BO135,INDEX($J:$J,MATCH($AE135,$M:$M,0)+BP$8-1))=0,
IF(COUNTIF($M:$M,$AE135)&lt;BP$8,
"",
INDEX($J:$J,MATCH($AE135,$M:$M,0)+BP$8-1)),
""),
"")</f>
        <v/>
      </c>
      <c r="BQ135" s="21" t="str">
        <f>IFERROR(
IF(COUNTIF($BI135:BP135,INDEX($J:$J,MATCH($AE135,$M:$M,0)+BQ$8-1))=0,
IF(COUNTIF($M:$M,$AE135)&lt;BQ$8,
"",
INDEX($J:$J,MATCH($AE135,$M:$M,0)+BQ$8-1)),
""),
"")</f>
        <v/>
      </c>
      <c r="BS135" s="21" t="str">
        <f>IFERROR(
IF(COUNTIF($BI135:BR135,INDEX($J:$J,MATCH($AF135,$M:$M,0)+BS$8-1))=0,
IF(COUNTIF($M:$M,$AF135)&lt;BS$8,
"",
INDEX($J:$J,MATCH($AF135,$M:$M,0)+BS$8-1)),
""),
"")</f>
        <v/>
      </c>
      <c r="BT135" s="21" t="str">
        <f>IFERROR(
IF(COUNTIF($BI135:BS135,INDEX($J:$J,MATCH($AF135,$M:$M,0)+BT$8-1))=0,
IF(COUNTIF($M:$M,$AF135)&lt;BT$8,
"",
INDEX($J:$J,MATCH($AF135,$M:$M,0)+BT$8-1)),
""),
"")</f>
        <v/>
      </c>
      <c r="BU135" s="21" t="str">
        <f>IFERROR(
IF(COUNTIF($BI135:BT135,INDEX($J:$J,MATCH($AF135,$M:$M,0)+BU$8-1))=0,
IF(COUNTIF($M:$M,$AF135)&lt;BU$8,
"",
INDEX($J:$J,MATCH($AF135,$M:$M,0)+BU$8-1)),
""),
"")</f>
        <v/>
      </c>
      <c r="BV135" s="21" t="str">
        <f>IFERROR(
IF(COUNTIF($BI135:BU135,INDEX($J:$J,MATCH($AF135,$M:$M,0)+BV$8-1))=0,
IF(COUNTIF($M:$M,$AF135)&lt;BV$8,
"",
INDEX($J:$J,MATCH($AF135,$M:$M,0)+BV$8-1)),
""),
"")</f>
        <v/>
      </c>
      <c r="BX135" s="21" t="str">
        <f>IFERROR(
IF(COUNTIF($BI135:BW135,INDEX($J:$J,MATCH($AG135,$M:$M,0)+BX$8-1))=0,
IF(COUNTIF($M:$M,$AG135)&lt;BX$8,
"",
INDEX($J:$J,MATCH($AG135,$M:$M,0)+BX$8-1)),
""),
"")</f>
        <v/>
      </c>
      <c r="BY135" s="21" t="str">
        <f>IFERROR(
IF(COUNTIF($BI135:BX135,INDEX($J:$J,MATCH($AG135,$M:$M,0)+BY$8-1))=0,
IF(COUNTIF($M:$M,$AG135)&lt;BY$8,
"",
INDEX($J:$J,MATCH($AG135,$M:$M,0)+BY$8-1)),
""),
"")</f>
        <v/>
      </c>
      <c r="BZ135" s="21" t="str">
        <f>IFERROR(
IF(COUNTIF($BI135:BY135,INDEX($J:$J,MATCH($AG135,$M:$M,0)+BZ$8-1))=0,
IF(COUNTIF($M:$M,$AG135)&lt;BZ$8,
"",
INDEX($J:$J,MATCH($AG135,$M:$M,0)+BZ$8-1)),
""),
"")</f>
        <v/>
      </c>
      <c r="CA135" s="21" t="str">
        <f>IFERROR(
IF(COUNTIF($BI135:BZ135,INDEX($J:$J,MATCH($AG135,$M:$M,0)+CA$8-1))=0,
IF(COUNTIF($M:$M,$AG135)&lt;CA$8,
"",
INDEX($J:$J,MATCH($AG135,$M:$M,0)+CA$8-1)),
""),
"")</f>
        <v/>
      </c>
      <c r="CC135" s="21" t="str">
        <f>IFERROR(
IF(COUNTIF($BI135:CB135,INDEX($J:$J,MATCH($AH135,$M:$M,0)+CC$8-1))=0,
IF(COUNTIF($M:$M,$AH135)&lt;CC$8,
"",
INDEX($J:$J,MATCH($AH135,$M:$M,0)+CC$8-1)),
""),
"")</f>
        <v/>
      </c>
      <c r="CD135" s="21" t="str">
        <f>IFERROR(
IF(COUNTIF($BI135:CC135,INDEX($J:$J,MATCH($AH135,$M:$M,0)+CD$8-1))=0,
IF(COUNTIF($M:$M,$AH135)&lt;CD$8,
"",
INDEX($J:$J,MATCH($AH135,$M:$M,0)+CD$8-1)),
""),
"")</f>
        <v/>
      </c>
      <c r="CE135" s="21" t="str">
        <f>IFERROR(
IF(COUNTIF($BI135:CD135,INDEX($J:$J,MATCH($AH135,$M:$M,0)+CE$8-1))=0,
IF(COUNTIF($M:$M,$AH135)&lt;CE$8,
"",
INDEX($J:$J,MATCH($AH135,$M:$M,0)+CE$8-1)),
""),
"")</f>
        <v/>
      </c>
      <c r="CF135" s="21" t="str">
        <f>IFERROR(
IF(COUNTIF($BI135:CE135,INDEX($J:$J,MATCH($AH135,$M:$M,0)+CF$8-1))=0,
IF(COUNTIF($M:$M,$AH135)&lt;CF$8,
"",
INDEX($J:$J,MATCH($AH135,$M:$M,0)+CF$8-1)),
""),
"")</f>
        <v/>
      </c>
      <c r="CH135" s="21" t="str">
        <f>IFERROR(
IF(COUNTIF($BI135:CG135,INDEX($J:$J,MATCH($AI135,$M:$M,0)+CH$8-1))=0,
IF(COUNTIF($M:$M,$AI135)&lt;CH$8,
"",
INDEX($J:$J,MATCH($AI135,$M:$M,0)+CH$8-1)),
""),
"")</f>
        <v/>
      </c>
      <c r="CI135" s="21" t="str">
        <f>IFERROR(
IF(COUNTIF($BI135:CH135,INDEX($J:$J,MATCH($AI135,$M:$M,0)+CI$8-1))=0,
IF(COUNTIF($M:$M,$AI135)&lt;CI$8,
"",
INDEX($J:$J,MATCH($AI135,$M:$M,0)+CI$8-1)),
""),
"")</f>
        <v/>
      </c>
      <c r="CJ135" s="21" t="str">
        <f>IFERROR(
IF(COUNTIF($BI135:CI135,INDEX($J:$J,MATCH($AI135,$M:$M,0)+CJ$8-1))=0,
IF(COUNTIF($M:$M,$AI135)&lt;CJ$8,
"",
INDEX($J:$J,MATCH($AI135,$M:$M,0)+CJ$8-1)),
""),
"")</f>
        <v/>
      </c>
      <c r="CK135" s="21" t="str">
        <f>IFERROR(
IF(COUNTIF($BI135:CJ135,INDEX($J:$J,MATCH($AI135,$M:$M,0)+CK$8-1))=0,
IF(COUNTIF($M:$M,$AI135)&lt;CK$8,
"",
INDEX($J:$J,MATCH($AI135,$M:$M,0)+CK$8-1)),
""),
"")</f>
        <v/>
      </c>
      <c r="CM135" s="21" t="str">
        <f>IFERROR(
IF(COUNTIF($BI135:CL135,INDEX($J:$J,MATCH($AJ135,$M:$M,0)+CM$8-1))=0,
IF(COUNTIF($M:$M,$AJ135)&lt;CM$8,
"",
INDEX($J:$J,MATCH($AJ135,$M:$M,0)+CM$8-1)),
""),
"")</f>
        <v/>
      </c>
      <c r="CN135" s="21" t="str">
        <f>IFERROR(
IF(COUNTIF($BI135:CM135,INDEX($J:$J,MATCH($AJ135,$M:$M,0)+CN$8-1))=0,
IF(COUNTIF($M:$M,$AJ135)&lt;CN$8,
"",
INDEX($J:$J,MATCH($AJ135,$M:$M,0)+CN$8-1)),
""),
"")</f>
        <v/>
      </c>
      <c r="CO135" s="21" t="str">
        <f>IFERROR(
IF(COUNTIF($BI135:CN135,INDEX($J:$J,MATCH($AJ135,$M:$M,0)+CO$8-1))=0,
IF(COUNTIF($M:$M,$AJ135)&lt;CO$8,
"",
INDEX($J:$J,MATCH($AJ135,$M:$M,0)+CO$8-1)),
""),
"")</f>
        <v/>
      </c>
      <c r="CP135" s="21" t="str">
        <f>IFERROR(
IF(COUNTIF($BI135:CO135,INDEX($J:$J,MATCH($AJ135,$M:$M,0)+CP$8-1))=0,
IF(COUNTIF($M:$M,$AJ135)&lt;CP$8,
"",
INDEX($J:$J,MATCH($AJ135,$M:$M,0)+CP$8-1)),
""),
"")</f>
        <v/>
      </c>
      <c r="CR135" s="21" t="str">
        <f>IFERROR(
IF(COUNTIF($BI135:CQ135,INDEX($J:$J,MATCH($AK135,$M:$M,0)+CR$8-1))=0,
IF(COUNTIF($M:$M,$AK135)&lt;CR$8,
"",
INDEX($J:$J,MATCH($AK135,$M:$M,0)+CR$8-1)),
""),
"")</f>
        <v/>
      </c>
      <c r="CS135" s="21" t="str">
        <f>IFERROR(
IF(COUNTIF($BI135:CR135,INDEX($J:$J,MATCH($AK135,$M:$M,0)+CS$8-1))=0,
IF(COUNTIF($M:$M,$AK135)&lt;CS$8,
"",
INDEX($J:$J,MATCH($AK135,$M:$M,0)+CS$8-1)),
""),
"")</f>
        <v/>
      </c>
      <c r="CT135" s="21" t="str">
        <f>IFERROR(
IF(COUNTIF($BI135:CS135,INDEX($J:$J,MATCH($AK135,$M:$M,0)+CT$8-1))=0,
IF(COUNTIF($M:$M,$AK135)&lt;CT$8,
"",
INDEX($J:$J,MATCH($AK135,$M:$M,0)+CT$8-1)),
""),
"")</f>
        <v/>
      </c>
      <c r="CU135" s="21" t="str">
        <f>IFERROR(
IF(COUNTIF($BI135:CT135,INDEX($J:$J,MATCH($AK135,$M:$M,0)+CU$8-1))=0,
IF(COUNTIF($M:$M,$AK135)&lt;CU$8,
"",
INDEX($J:$J,MATCH($AK135,$M:$M,0)+CU$8-1)),
""),
"")</f>
        <v/>
      </c>
    </row>
    <row r="136" spans="8:99">
      <c r="H136" s="7" t="str">
        <f>IF(I136="","",COUNTA(I$9:$I136))</f>
        <v/>
      </c>
      <c r="I136" s="6"/>
      <c r="J136" s="6" t="s">
        <v>220</v>
      </c>
      <c r="K136" s="8" t="str">
        <f>IF(H136="","",阶段合并区域(J136:J144," ",L136:L144,1))</f>
        <v/>
      </c>
      <c r="L136" s="8">
        <f>COUNTIF(M$8:$M136,"="&amp;M136)</f>
        <v>4</v>
      </c>
      <c r="M136" s="9" t="str">
        <f t="shared" si="31"/>
        <v>老当益壮</v>
      </c>
      <c r="N136" s="9" t="str">
        <f t="shared" si="32"/>
        <v>老当益壮4</v>
      </c>
      <c r="O136" s="15">
        <f>INDEX(C:C,MATCH(J136,D:D,0))</f>
        <v>32</v>
      </c>
      <c r="P136" s="9">
        <f>INDEX(E:E,MATCH(J136,D:D,0))</f>
        <v>120</v>
      </c>
      <c r="Q136" s="7">
        <f t="shared" si="10"/>
        <v>32</v>
      </c>
      <c r="R136" s="7">
        <f>COUNTIF(J$8:$J136,"="&amp;J136)</f>
        <v>3</v>
      </c>
      <c r="S136" s="7">
        <f t="shared" si="33"/>
        <v>3032</v>
      </c>
      <c r="U136" s="7">
        <f t="shared" si="24"/>
        <v>1000</v>
      </c>
      <c r="V136" s="7">
        <f t="shared" si="24"/>
        <v>2000</v>
      </c>
      <c r="W136" s="7">
        <f t="shared" si="24"/>
        <v>3000</v>
      </c>
      <c r="X136" s="7">
        <f t="shared" si="24"/>
        <v>4000</v>
      </c>
      <c r="Y136" s="7">
        <f t="shared" si="24"/>
        <v>5000</v>
      </c>
      <c r="Z136" s="7">
        <f t="shared" si="24"/>
        <v>6000</v>
      </c>
      <c r="AA136" s="7">
        <f t="shared" si="24"/>
        <v>7000</v>
      </c>
      <c r="AB136" s="7">
        <f t="shared" si="24"/>
        <v>8000</v>
      </c>
      <c r="AD136" s="21" t="str">
        <f>IFERROR(INDEX($M:$M,MATCH(U136,$S:$S,0)),"&amp;")</f>
        <v>&amp;</v>
      </c>
      <c r="AE136" s="21" t="str">
        <f>IFERROR(INDEX($M:$M,MATCH(V136,$S:$S,0)),"&amp;")</f>
        <v>&amp;</v>
      </c>
      <c r="AF136" s="21" t="str">
        <f>IFERROR(INDEX($M:$M,MATCH(W136,$S:$S,0)),"&amp;")</f>
        <v>&amp;</v>
      </c>
      <c r="AG136" s="21" t="str">
        <f>IFERROR(INDEX($M:$M,MATCH(X136,$S:$S,0)),"&amp;")</f>
        <v>&amp;</v>
      </c>
      <c r="AH136" s="21" t="str">
        <f>IFERROR(INDEX($M:$M,MATCH(Y136,$S:$S,0)),"&amp;")</f>
        <v>&amp;</v>
      </c>
      <c r="AI136" s="21" t="str">
        <f>IFERROR(INDEX($M:$M,MATCH(Z136,$S:$S,0)),"&amp;")</f>
        <v>&amp;</v>
      </c>
      <c r="AJ136" s="21" t="str">
        <f>IFERROR(INDEX($M:$M,MATCH(AA136,$S:$S,0)),"&amp;")</f>
        <v>&amp;</v>
      </c>
      <c r="AK136" s="21" t="str">
        <f>IFERROR(INDEX($M:$M,MATCH(AB136,$S:$S,0)),"&amp;")</f>
        <v>&amp;</v>
      </c>
      <c r="AM136" s="21" t="str">
        <f>IFERROR(INDEX($N:$N,MATCH(U136,$S:$S,0)),"&amp;")</f>
        <v>&amp;</v>
      </c>
      <c r="AN136" s="21" t="str">
        <f>IFERROR(INDEX($N:$N,MATCH(V136,$S:$S,0)),"&amp;")</f>
        <v>&amp;</v>
      </c>
      <c r="AO136" s="21" t="str">
        <f>IFERROR(INDEX($N:$N,MATCH(W136,$S:$S,0)),"&amp;")</f>
        <v>&amp;</v>
      </c>
      <c r="AP136" s="21" t="str">
        <f>IFERROR(INDEX($N:$N,MATCH(X136,$S:$S,0)),"&amp;")</f>
        <v>&amp;</v>
      </c>
      <c r="AQ136" s="21" t="str">
        <f>IFERROR(INDEX($N:$N,MATCH(Y136,$S:$S,0)),"&amp;")</f>
        <v>&amp;</v>
      </c>
      <c r="AR136" s="21" t="str">
        <f>IFERROR(INDEX($N:$N,MATCH(Z136,$S:$S,0)),"&amp;")</f>
        <v>&amp;</v>
      </c>
      <c r="AS136" s="21" t="str">
        <f>IFERROR(INDEX($N:$N,MATCH(AA136,$S:$S,0)),"&amp;")</f>
        <v>&amp;</v>
      </c>
      <c r="AT136" s="21" t="str">
        <f>IFERROR(INDEX($N:$N,MATCH(AB136,$S:$S,0)),"&amp;")</f>
        <v>&amp;</v>
      </c>
      <c r="AV136" s="21" t="str">
        <f>IFERROR(SUBSTITUTE(INDEX($K:$K,MATCH(INDEX($M:$M,MATCH(AM136,$N:$N,0)),$M:$M,0)),$D136,""),"")</f>
        <v/>
      </c>
      <c r="AW136" s="21" t="str">
        <f>IFERROR(SUBSTITUTE(INDEX($K:$K,MATCH(INDEX($M:$M,MATCH(AN136,$N:$N,0)),$M:$M,0)),$D136,""),"")</f>
        <v/>
      </c>
      <c r="AX136" s="21" t="str">
        <f>IFERROR(SUBSTITUTE(INDEX($K:$K,MATCH(INDEX($M:$M,MATCH(AO136,$N:$N,0)),$M:$M,0)),$D136,""),"")</f>
        <v/>
      </c>
      <c r="AY136" s="21" t="str">
        <f>IFERROR(SUBSTITUTE(INDEX($K:$K,MATCH(INDEX($M:$M,MATCH(AP136,$N:$N,0)),$M:$M,0)),$D136,""),"")</f>
        <v/>
      </c>
      <c r="AZ136" s="21" t="str">
        <f>IFERROR(SUBSTITUTE(INDEX($K:$K,MATCH(INDEX($M:$M,MATCH(AQ136,$N:$N,0)),$M:$M,0)),$D136,""),"")</f>
        <v/>
      </c>
      <c r="BA136" s="21" t="str">
        <f>IFERROR(SUBSTITUTE(INDEX($K:$K,MATCH(INDEX($M:$M,MATCH(AR136,$N:$N,0)),$M:$M,0)),$D136,""),"")</f>
        <v/>
      </c>
      <c r="BB136" s="21" t="str">
        <f>IFERROR(SUBSTITUTE(INDEX($K:$K,MATCH(INDEX($M:$M,MATCH(AS136,$N:$N,0)),$M:$M,0)),$D136,""),"")</f>
        <v/>
      </c>
      <c r="BC136" s="21" t="str">
        <f>IFERROR(SUBSTITUTE(INDEX($K:$K,MATCH(INDEX($M:$M,MATCH(AT136,$N:$N,0)),$M:$M,0)),$D136,""),"")</f>
        <v/>
      </c>
      <c r="BE136" s="9" t="str">
        <f t="shared" si="16"/>
        <v/>
      </c>
      <c r="BI136" s="9" t="str">
        <f>IFERROR(
IF(COUNTIF($M:$M,$AD136)&lt;BI$8,
"",
INDEX($J:$J,MATCH($AD136,$M:$M,0)+BI$8-1)),
"")</f>
        <v/>
      </c>
      <c r="BJ136" s="9" t="str">
        <f>IFERROR(
IF(COUNTIF($M:$M,$AD136)&lt;BJ$8,
"",
INDEX($J:$J,MATCH($AD136,$M:$M,0)+BJ$8-1)),
"")</f>
        <v/>
      </c>
      <c r="BK136" s="9" t="str">
        <f>IFERROR(
IF(COUNTIF($M:$M,$AD136)&lt;BK$8,
"",
INDEX($J:$J,MATCH($AD136,$M:$M,0)+BK$8-1)),
"")</f>
        <v/>
      </c>
      <c r="BL136" s="9" t="str">
        <f>IFERROR(
IF(COUNTIF($M:$M,$AD136)&lt;BL$8,
"",
INDEX($J:$J,MATCH($AD136,$M:$M,0)+BL$8-1)),
"")</f>
        <v/>
      </c>
      <c r="BN136" s="21" t="str">
        <f>IFERROR(
IF(COUNTIF($BI136:BM136,INDEX($J:$J,MATCH($AE136,$M:$M,0)+BN$8-1))=0,
IF(COUNTIF($M:$M,$AE136)&lt;BN$8,
"",
INDEX($J:$J,MATCH($AE136,$M:$M,0)+BN$8-1)),
""),
"")</f>
        <v/>
      </c>
      <c r="BO136" s="21" t="str">
        <f>IFERROR(
IF(COUNTIF($BI136:BN136,INDEX($J:$J,MATCH($AE136,$M:$M,0)+BO$8-1))=0,
IF(COUNTIF($M:$M,$AE136)&lt;BO$8,
"",
INDEX($J:$J,MATCH($AE136,$M:$M,0)+BO$8-1)),
""),
"")</f>
        <v/>
      </c>
      <c r="BP136" s="21" t="str">
        <f>IFERROR(
IF(COUNTIF($BI136:BO136,INDEX($J:$J,MATCH($AE136,$M:$M,0)+BP$8-1))=0,
IF(COUNTIF($M:$M,$AE136)&lt;BP$8,
"",
INDEX($J:$J,MATCH($AE136,$M:$M,0)+BP$8-1)),
""),
"")</f>
        <v/>
      </c>
      <c r="BQ136" s="21" t="str">
        <f>IFERROR(
IF(COUNTIF($BI136:BP136,INDEX($J:$J,MATCH($AE136,$M:$M,0)+BQ$8-1))=0,
IF(COUNTIF($M:$M,$AE136)&lt;BQ$8,
"",
INDEX($J:$J,MATCH($AE136,$M:$M,0)+BQ$8-1)),
""),
"")</f>
        <v/>
      </c>
      <c r="BS136" s="21" t="str">
        <f>IFERROR(
IF(COUNTIF($BI136:BR136,INDEX($J:$J,MATCH($AF136,$M:$M,0)+BS$8-1))=0,
IF(COUNTIF($M:$M,$AF136)&lt;BS$8,
"",
INDEX($J:$J,MATCH($AF136,$M:$M,0)+BS$8-1)),
""),
"")</f>
        <v/>
      </c>
      <c r="BT136" s="21" t="str">
        <f>IFERROR(
IF(COUNTIF($BI136:BS136,INDEX($J:$J,MATCH($AF136,$M:$M,0)+BT$8-1))=0,
IF(COUNTIF($M:$M,$AF136)&lt;BT$8,
"",
INDEX($J:$J,MATCH($AF136,$M:$M,0)+BT$8-1)),
""),
"")</f>
        <v/>
      </c>
      <c r="BU136" s="21" t="str">
        <f>IFERROR(
IF(COUNTIF($BI136:BT136,INDEX($J:$J,MATCH($AF136,$M:$M,0)+BU$8-1))=0,
IF(COUNTIF($M:$M,$AF136)&lt;BU$8,
"",
INDEX($J:$J,MATCH($AF136,$M:$M,0)+BU$8-1)),
""),
"")</f>
        <v/>
      </c>
      <c r="BV136" s="21" t="str">
        <f>IFERROR(
IF(COUNTIF($BI136:BU136,INDEX($J:$J,MATCH($AF136,$M:$M,0)+BV$8-1))=0,
IF(COUNTIF($M:$M,$AF136)&lt;BV$8,
"",
INDEX($J:$J,MATCH($AF136,$M:$M,0)+BV$8-1)),
""),
"")</f>
        <v/>
      </c>
      <c r="BX136" s="21" t="str">
        <f>IFERROR(
IF(COUNTIF($BI136:BW136,INDEX($J:$J,MATCH($AG136,$M:$M,0)+BX$8-1))=0,
IF(COUNTIF($M:$M,$AG136)&lt;BX$8,
"",
INDEX($J:$J,MATCH($AG136,$M:$M,0)+BX$8-1)),
""),
"")</f>
        <v/>
      </c>
      <c r="BY136" s="21" t="str">
        <f>IFERROR(
IF(COUNTIF($BI136:BX136,INDEX($J:$J,MATCH($AG136,$M:$M,0)+BY$8-1))=0,
IF(COUNTIF($M:$M,$AG136)&lt;BY$8,
"",
INDEX($J:$J,MATCH($AG136,$M:$M,0)+BY$8-1)),
""),
"")</f>
        <v/>
      </c>
      <c r="BZ136" s="21" t="str">
        <f>IFERROR(
IF(COUNTIF($BI136:BY136,INDEX($J:$J,MATCH($AG136,$M:$M,0)+BZ$8-1))=0,
IF(COUNTIF($M:$M,$AG136)&lt;BZ$8,
"",
INDEX($J:$J,MATCH($AG136,$M:$M,0)+BZ$8-1)),
""),
"")</f>
        <v/>
      </c>
      <c r="CA136" s="21" t="str">
        <f>IFERROR(
IF(COUNTIF($BI136:BZ136,INDEX($J:$J,MATCH($AG136,$M:$M,0)+CA$8-1))=0,
IF(COUNTIF($M:$M,$AG136)&lt;CA$8,
"",
INDEX($J:$J,MATCH($AG136,$M:$M,0)+CA$8-1)),
""),
"")</f>
        <v/>
      </c>
      <c r="CC136" s="21" t="str">
        <f>IFERROR(
IF(COUNTIF($BI136:CB136,INDEX($J:$J,MATCH($AH136,$M:$M,0)+CC$8-1))=0,
IF(COUNTIF($M:$M,$AH136)&lt;CC$8,
"",
INDEX($J:$J,MATCH($AH136,$M:$M,0)+CC$8-1)),
""),
"")</f>
        <v/>
      </c>
      <c r="CD136" s="21" t="str">
        <f>IFERROR(
IF(COUNTIF($BI136:CC136,INDEX($J:$J,MATCH($AH136,$M:$M,0)+CD$8-1))=0,
IF(COUNTIF($M:$M,$AH136)&lt;CD$8,
"",
INDEX($J:$J,MATCH($AH136,$M:$M,0)+CD$8-1)),
""),
"")</f>
        <v/>
      </c>
      <c r="CE136" s="21" t="str">
        <f>IFERROR(
IF(COUNTIF($BI136:CD136,INDEX($J:$J,MATCH($AH136,$M:$M,0)+CE$8-1))=0,
IF(COUNTIF($M:$M,$AH136)&lt;CE$8,
"",
INDEX($J:$J,MATCH($AH136,$M:$M,0)+CE$8-1)),
""),
"")</f>
        <v/>
      </c>
      <c r="CF136" s="21" t="str">
        <f>IFERROR(
IF(COUNTIF($BI136:CE136,INDEX($J:$J,MATCH($AH136,$M:$M,0)+CF$8-1))=0,
IF(COUNTIF($M:$M,$AH136)&lt;CF$8,
"",
INDEX($J:$J,MATCH($AH136,$M:$M,0)+CF$8-1)),
""),
"")</f>
        <v/>
      </c>
      <c r="CH136" s="21" t="str">
        <f>IFERROR(
IF(COUNTIF($BI136:CG136,INDEX($J:$J,MATCH($AI136,$M:$M,0)+CH$8-1))=0,
IF(COUNTIF($M:$M,$AI136)&lt;CH$8,
"",
INDEX($J:$J,MATCH($AI136,$M:$M,0)+CH$8-1)),
""),
"")</f>
        <v/>
      </c>
      <c r="CI136" s="21" t="str">
        <f>IFERROR(
IF(COUNTIF($BI136:CH136,INDEX($J:$J,MATCH($AI136,$M:$M,0)+CI$8-1))=0,
IF(COUNTIF($M:$M,$AI136)&lt;CI$8,
"",
INDEX($J:$J,MATCH($AI136,$M:$M,0)+CI$8-1)),
""),
"")</f>
        <v/>
      </c>
      <c r="CJ136" s="21" t="str">
        <f>IFERROR(
IF(COUNTIF($BI136:CI136,INDEX($J:$J,MATCH($AI136,$M:$M,0)+CJ$8-1))=0,
IF(COUNTIF($M:$M,$AI136)&lt;CJ$8,
"",
INDEX($J:$J,MATCH($AI136,$M:$M,0)+CJ$8-1)),
""),
"")</f>
        <v/>
      </c>
      <c r="CK136" s="21" t="str">
        <f>IFERROR(
IF(COUNTIF($BI136:CJ136,INDEX($J:$J,MATCH($AI136,$M:$M,0)+CK$8-1))=0,
IF(COUNTIF($M:$M,$AI136)&lt;CK$8,
"",
INDEX($J:$J,MATCH($AI136,$M:$M,0)+CK$8-1)),
""),
"")</f>
        <v/>
      </c>
      <c r="CM136" s="21" t="str">
        <f>IFERROR(
IF(COUNTIF($BI136:CL136,INDEX($J:$J,MATCH($AJ136,$M:$M,0)+CM$8-1))=0,
IF(COUNTIF($M:$M,$AJ136)&lt;CM$8,
"",
INDEX($J:$J,MATCH($AJ136,$M:$M,0)+CM$8-1)),
""),
"")</f>
        <v/>
      </c>
      <c r="CN136" s="21" t="str">
        <f>IFERROR(
IF(COUNTIF($BI136:CM136,INDEX($J:$J,MATCH($AJ136,$M:$M,0)+CN$8-1))=0,
IF(COUNTIF($M:$M,$AJ136)&lt;CN$8,
"",
INDEX($J:$J,MATCH($AJ136,$M:$M,0)+CN$8-1)),
""),
"")</f>
        <v/>
      </c>
      <c r="CO136" s="21" t="str">
        <f>IFERROR(
IF(COUNTIF($BI136:CN136,INDEX($J:$J,MATCH($AJ136,$M:$M,0)+CO$8-1))=0,
IF(COUNTIF($M:$M,$AJ136)&lt;CO$8,
"",
INDEX($J:$J,MATCH($AJ136,$M:$M,0)+CO$8-1)),
""),
"")</f>
        <v/>
      </c>
      <c r="CP136" s="21" t="str">
        <f>IFERROR(
IF(COUNTIF($BI136:CO136,INDEX($J:$J,MATCH($AJ136,$M:$M,0)+CP$8-1))=0,
IF(COUNTIF($M:$M,$AJ136)&lt;CP$8,
"",
INDEX($J:$J,MATCH($AJ136,$M:$M,0)+CP$8-1)),
""),
"")</f>
        <v/>
      </c>
      <c r="CR136" s="21" t="str">
        <f>IFERROR(
IF(COUNTIF($BI136:CQ136,INDEX($J:$J,MATCH($AK136,$M:$M,0)+CR$8-1))=0,
IF(COUNTIF($M:$M,$AK136)&lt;CR$8,
"",
INDEX($J:$J,MATCH($AK136,$M:$M,0)+CR$8-1)),
""),
"")</f>
        <v/>
      </c>
      <c r="CS136" s="21" t="str">
        <f>IFERROR(
IF(COUNTIF($BI136:CR136,INDEX($J:$J,MATCH($AK136,$M:$M,0)+CS$8-1))=0,
IF(COUNTIF($M:$M,$AK136)&lt;CS$8,
"",
INDEX($J:$J,MATCH($AK136,$M:$M,0)+CS$8-1)),
""),
"")</f>
        <v/>
      </c>
      <c r="CT136" s="21" t="str">
        <f>IFERROR(
IF(COUNTIF($BI136:CS136,INDEX($J:$J,MATCH($AK136,$M:$M,0)+CT$8-1))=0,
IF(COUNTIF($M:$M,$AK136)&lt;CT$8,
"",
INDEX($J:$J,MATCH($AK136,$M:$M,0)+CT$8-1)),
""),
"")</f>
        <v/>
      </c>
      <c r="CU136" s="21" t="str">
        <f>IFERROR(
IF(COUNTIF($BI136:CT136,INDEX($J:$J,MATCH($AK136,$M:$M,0)+CU$8-1))=0,
IF(COUNTIF($M:$M,$AK136)&lt;CU$8,
"",
INDEX($J:$J,MATCH($AK136,$M:$M,0)+CU$8-1)),
""),
"")</f>
        <v/>
      </c>
    </row>
    <row r="137" spans="8:99">
      <c r="H137" s="7">
        <f>IF(I137="","",COUNTA(I$9:$I137))</f>
        <v>104</v>
      </c>
      <c r="I137" s="6" t="s">
        <v>259</v>
      </c>
      <c r="J137" s="6" t="s">
        <v>255</v>
      </c>
      <c r="K137" s="8" t="str">
        <f>IF(H137="","",阶段合并区域(J137:J144," ",L137:L144,1))</f>
        <v>廉颇 樗里疾 乐毅 司马穰苴</v>
      </c>
      <c r="L137" s="8">
        <f>COUNTIF(M$8:$M137,"="&amp;M137)</f>
        <v>1</v>
      </c>
      <c r="M137" s="9" t="str">
        <f t="shared" si="31"/>
        <v>国之柱石</v>
      </c>
      <c r="N137" s="9" t="str">
        <f t="shared" si="32"/>
        <v>国之柱石1</v>
      </c>
      <c r="O137" s="15">
        <f>INDEX(C:C,MATCH(J137,D:D,0))</f>
        <v>5</v>
      </c>
      <c r="P137" s="9">
        <f>INDEX(E:E,MATCH(J137,D:D,0))</f>
        <v>130</v>
      </c>
      <c r="Q137" s="7">
        <f t="shared" ref="Q137:Q200" si="34">INDEX($C$9:$C$190,MATCH(J137,$D$9:$D$190,0))</f>
        <v>5</v>
      </c>
      <c r="R137" s="7">
        <f>COUNTIF(J$8:$J137,"="&amp;J137)</f>
        <v>3</v>
      </c>
      <c r="S137" s="7">
        <f t="shared" si="33"/>
        <v>3005</v>
      </c>
      <c r="U137" s="7">
        <f t="shared" si="24"/>
        <v>1000</v>
      </c>
      <c r="V137" s="7">
        <f t="shared" si="24"/>
        <v>2000</v>
      </c>
      <c r="W137" s="7">
        <f t="shared" si="24"/>
        <v>3000</v>
      </c>
      <c r="X137" s="7">
        <f t="shared" si="24"/>
        <v>4000</v>
      </c>
      <c r="Y137" s="7">
        <f t="shared" si="24"/>
        <v>5000</v>
      </c>
      <c r="Z137" s="7">
        <f t="shared" si="24"/>
        <v>6000</v>
      </c>
      <c r="AA137" s="7">
        <f t="shared" si="24"/>
        <v>7000</v>
      </c>
      <c r="AB137" s="7">
        <f t="shared" si="24"/>
        <v>8000</v>
      </c>
      <c r="AD137" s="21" t="str">
        <f>IFERROR(INDEX($M:$M,MATCH(U137,$S:$S,0)),"&amp;")</f>
        <v>&amp;</v>
      </c>
      <c r="AE137" s="21" t="str">
        <f>IFERROR(INDEX($M:$M,MATCH(V137,$S:$S,0)),"&amp;")</f>
        <v>&amp;</v>
      </c>
      <c r="AF137" s="21" t="str">
        <f>IFERROR(INDEX($M:$M,MATCH(W137,$S:$S,0)),"&amp;")</f>
        <v>&amp;</v>
      </c>
      <c r="AG137" s="21" t="str">
        <f>IFERROR(INDEX($M:$M,MATCH(X137,$S:$S,0)),"&amp;")</f>
        <v>&amp;</v>
      </c>
      <c r="AH137" s="21" t="str">
        <f>IFERROR(INDEX($M:$M,MATCH(Y137,$S:$S,0)),"&amp;")</f>
        <v>&amp;</v>
      </c>
      <c r="AI137" s="21" t="str">
        <f>IFERROR(INDEX($M:$M,MATCH(Z137,$S:$S,0)),"&amp;")</f>
        <v>&amp;</v>
      </c>
      <c r="AJ137" s="21" t="str">
        <f>IFERROR(INDEX($M:$M,MATCH(AA137,$S:$S,0)),"&amp;")</f>
        <v>&amp;</v>
      </c>
      <c r="AK137" s="21" t="str">
        <f>IFERROR(INDEX($M:$M,MATCH(AB137,$S:$S,0)),"&amp;")</f>
        <v>&amp;</v>
      </c>
      <c r="AM137" s="21" t="str">
        <f>IFERROR(INDEX($N:$N,MATCH(U137,$S:$S,0)),"&amp;")</f>
        <v>&amp;</v>
      </c>
      <c r="AN137" s="21" t="str">
        <f>IFERROR(INDEX($N:$N,MATCH(V137,$S:$S,0)),"&amp;")</f>
        <v>&amp;</v>
      </c>
      <c r="AO137" s="21" t="str">
        <f>IFERROR(INDEX($N:$N,MATCH(W137,$S:$S,0)),"&amp;")</f>
        <v>&amp;</v>
      </c>
      <c r="AP137" s="21" t="str">
        <f>IFERROR(INDEX($N:$N,MATCH(X137,$S:$S,0)),"&amp;")</f>
        <v>&amp;</v>
      </c>
      <c r="AQ137" s="21" t="str">
        <f>IFERROR(INDEX($N:$N,MATCH(Y137,$S:$S,0)),"&amp;")</f>
        <v>&amp;</v>
      </c>
      <c r="AR137" s="21" t="str">
        <f>IFERROR(INDEX($N:$N,MATCH(Z137,$S:$S,0)),"&amp;")</f>
        <v>&amp;</v>
      </c>
      <c r="AS137" s="21" t="str">
        <f>IFERROR(INDEX($N:$N,MATCH(AA137,$S:$S,0)),"&amp;")</f>
        <v>&amp;</v>
      </c>
      <c r="AT137" s="21" t="str">
        <f>IFERROR(INDEX($N:$N,MATCH(AB137,$S:$S,0)),"&amp;")</f>
        <v>&amp;</v>
      </c>
      <c r="AV137" s="21" t="str">
        <f>IFERROR(SUBSTITUTE(INDEX($K:$K,MATCH(INDEX($M:$M,MATCH(AM137,$N:$N,0)),$M:$M,0)),$D137,""),"")</f>
        <v/>
      </c>
      <c r="AW137" s="21" t="str">
        <f>IFERROR(SUBSTITUTE(INDEX($K:$K,MATCH(INDEX($M:$M,MATCH(AN137,$N:$N,0)),$M:$M,0)),$D137,""),"")</f>
        <v/>
      </c>
      <c r="AX137" s="21" t="str">
        <f>IFERROR(SUBSTITUTE(INDEX($K:$K,MATCH(INDEX($M:$M,MATCH(AO137,$N:$N,0)),$M:$M,0)),$D137,""),"")</f>
        <v/>
      </c>
      <c r="AY137" s="21" t="str">
        <f>IFERROR(SUBSTITUTE(INDEX($K:$K,MATCH(INDEX($M:$M,MATCH(AP137,$N:$N,0)),$M:$M,0)),$D137,""),"")</f>
        <v/>
      </c>
      <c r="AZ137" s="21" t="str">
        <f>IFERROR(SUBSTITUTE(INDEX($K:$K,MATCH(INDEX($M:$M,MATCH(AQ137,$N:$N,0)),$M:$M,0)),$D137,""),"")</f>
        <v/>
      </c>
      <c r="BA137" s="21" t="str">
        <f>IFERROR(SUBSTITUTE(INDEX($K:$K,MATCH(INDEX($M:$M,MATCH(AR137,$N:$N,0)),$M:$M,0)),$D137,""),"")</f>
        <v/>
      </c>
      <c r="BB137" s="21" t="str">
        <f>IFERROR(SUBSTITUTE(INDEX($K:$K,MATCH(INDEX($M:$M,MATCH(AS137,$N:$N,0)),$M:$M,0)),$D137,""),"")</f>
        <v/>
      </c>
      <c r="BC137" s="21" t="str">
        <f>IFERROR(SUBSTITUTE(INDEX($K:$K,MATCH(INDEX($M:$M,MATCH(AT137,$N:$N,0)),$M:$M,0)),$D137,""),"")</f>
        <v/>
      </c>
      <c r="BE137" s="9" t="str">
        <f t="shared" si="16"/>
        <v/>
      </c>
      <c r="BI137" s="9" t="str">
        <f>IFERROR(
IF(COUNTIF($M:$M,$AD137)&lt;BI$8,
"",
INDEX($J:$J,MATCH($AD137,$M:$M,0)+BI$8-1)),
"")</f>
        <v/>
      </c>
      <c r="BJ137" s="9" t="str">
        <f>IFERROR(
IF(COUNTIF($M:$M,$AD137)&lt;BJ$8,
"",
INDEX($J:$J,MATCH($AD137,$M:$M,0)+BJ$8-1)),
"")</f>
        <v/>
      </c>
      <c r="BK137" s="9" t="str">
        <f>IFERROR(
IF(COUNTIF($M:$M,$AD137)&lt;BK$8,
"",
INDEX($J:$J,MATCH($AD137,$M:$M,0)+BK$8-1)),
"")</f>
        <v/>
      </c>
      <c r="BL137" s="9" t="str">
        <f>IFERROR(
IF(COUNTIF($M:$M,$AD137)&lt;BL$8,
"",
INDEX($J:$J,MATCH($AD137,$M:$M,0)+BL$8-1)),
"")</f>
        <v/>
      </c>
      <c r="BN137" s="21" t="str">
        <f>IFERROR(
IF(COUNTIF($BI137:BM137,INDEX($J:$J,MATCH($AE137,$M:$M,0)+BN$8-1))=0,
IF(COUNTIF($M:$M,$AE137)&lt;BN$8,
"",
INDEX($J:$J,MATCH($AE137,$M:$M,0)+BN$8-1)),
""),
"")</f>
        <v/>
      </c>
      <c r="BO137" s="21" t="str">
        <f>IFERROR(
IF(COUNTIF($BI137:BN137,INDEX($J:$J,MATCH($AE137,$M:$M,0)+BO$8-1))=0,
IF(COUNTIF($M:$M,$AE137)&lt;BO$8,
"",
INDEX($J:$J,MATCH($AE137,$M:$M,0)+BO$8-1)),
""),
"")</f>
        <v/>
      </c>
      <c r="BP137" s="21" t="str">
        <f>IFERROR(
IF(COUNTIF($BI137:BO137,INDEX($J:$J,MATCH($AE137,$M:$M,0)+BP$8-1))=0,
IF(COUNTIF($M:$M,$AE137)&lt;BP$8,
"",
INDEX($J:$J,MATCH($AE137,$M:$M,0)+BP$8-1)),
""),
"")</f>
        <v/>
      </c>
      <c r="BQ137" s="21" t="str">
        <f>IFERROR(
IF(COUNTIF($BI137:BP137,INDEX($J:$J,MATCH($AE137,$M:$M,0)+BQ$8-1))=0,
IF(COUNTIF($M:$M,$AE137)&lt;BQ$8,
"",
INDEX($J:$J,MATCH($AE137,$M:$M,0)+BQ$8-1)),
""),
"")</f>
        <v/>
      </c>
      <c r="BS137" s="21" t="str">
        <f>IFERROR(
IF(COUNTIF($BI137:BR137,INDEX($J:$J,MATCH($AF137,$M:$M,0)+BS$8-1))=0,
IF(COUNTIF($M:$M,$AF137)&lt;BS$8,
"",
INDEX($J:$J,MATCH($AF137,$M:$M,0)+BS$8-1)),
""),
"")</f>
        <v/>
      </c>
      <c r="BT137" s="21" t="str">
        <f>IFERROR(
IF(COUNTIF($BI137:BS137,INDEX($J:$J,MATCH($AF137,$M:$M,0)+BT$8-1))=0,
IF(COUNTIF($M:$M,$AF137)&lt;BT$8,
"",
INDEX($J:$J,MATCH($AF137,$M:$M,0)+BT$8-1)),
""),
"")</f>
        <v/>
      </c>
      <c r="BU137" s="21" t="str">
        <f>IFERROR(
IF(COUNTIF($BI137:BT137,INDEX($J:$J,MATCH($AF137,$M:$M,0)+BU$8-1))=0,
IF(COUNTIF($M:$M,$AF137)&lt;BU$8,
"",
INDEX($J:$J,MATCH($AF137,$M:$M,0)+BU$8-1)),
""),
"")</f>
        <v/>
      </c>
      <c r="BV137" s="21" t="str">
        <f>IFERROR(
IF(COUNTIF($BI137:BU137,INDEX($J:$J,MATCH($AF137,$M:$M,0)+BV$8-1))=0,
IF(COUNTIF($M:$M,$AF137)&lt;BV$8,
"",
INDEX($J:$J,MATCH($AF137,$M:$M,0)+BV$8-1)),
""),
"")</f>
        <v/>
      </c>
      <c r="BX137" s="21" t="str">
        <f>IFERROR(
IF(COUNTIF($BI137:BW137,INDEX($J:$J,MATCH($AG137,$M:$M,0)+BX$8-1))=0,
IF(COUNTIF($M:$M,$AG137)&lt;BX$8,
"",
INDEX($J:$J,MATCH($AG137,$M:$M,0)+BX$8-1)),
""),
"")</f>
        <v/>
      </c>
      <c r="BY137" s="21" t="str">
        <f>IFERROR(
IF(COUNTIF($BI137:BX137,INDEX($J:$J,MATCH($AG137,$M:$M,0)+BY$8-1))=0,
IF(COUNTIF($M:$M,$AG137)&lt;BY$8,
"",
INDEX($J:$J,MATCH($AG137,$M:$M,0)+BY$8-1)),
""),
"")</f>
        <v/>
      </c>
      <c r="BZ137" s="21" t="str">
        <f>IFERROR(
IF(COUNTIF($BI137:BY137,INDEX($J:$J,MATCH($AG137,$M:$M,0)+BZ$8-1))=0,
IF(COUNTIF($M:$M,$AG137)&lt;BZ$8,
"",
INDEX($J:$J,MATCH($AG137,$M:$M,0)+BZ$8-1)),
""),
"")</f>
        <v/>
      </c>
      <c r="CA137" s="21" t="str">
        <f>IFERROR(
IF(COUNTIF($BI137:BZ137,INDEX($J:$J,MATCH($AG137,$M:$M,0)+CA$8-1))=0,
IF(COUNTIF($M:$M,$AG137)&lt;CA$8,
"",
INDEX($J:$J,MATCH($AG137,$M:$M,0)+CA$8-1)),
""),
"")</f>
        <v/>
      </c>
      <c r="CC137" s="21" t="str">
        <f>IFERROR(
IF(COUNTIF($BI137:CB137,INDEX($J:$J,MATCH($AH137,$M:$M,0)+CC$8-1))=0,
IF(COUNTIF($M:$M,$AH137)&lt;CC$8,
"",
INDEX($J:$J,MATCH($AH137,$M:$M,0)+CC$8-1)),
""),
"")</f>
        <v/>
      </c>
      <c r="CD137" s="21" t="str">
        <f>IFERROR(
IF(COUNTIF($BI137:CC137,INDEX($J:$J,MATCH($AH137,$M:$M,0)+CD$8-1))=0,
IF(COUNTIF($M:$M,$AH137)&lt;CD$8,
"",
INDEX($J:$J,MATCH($AH137,$M:$M,0)+CD$8-1)),
""),
"")</f>
        <v/>
      </c>
      <c r="CE137" s="21" t="str">
        <f>IFERROR(
IF(COUNTIF($BI137:CD137,INDEX($J:$J,MATCH($AH137,$M:$M,0)+CE$8-1))=0,
IF(COUNTIF($M:$M,$AH137)&lt;CE$8,
"",
INDEX($J:$J,MATCH($AH137,$M:$M,0)+CE$8-1)),
""),
"")</f>
        <v/>
      </c>
      <c r="CF137" s="21" t="str">
        <f>IFERROR(
IF(COUNTIF($BI137:CE137,INDEX($J:$J,MATCH($AH137,$M:$M,0)+CF$8-1))=0,
IF(COUNTIF($M:$M,$AH137)&lt;CF$8,
"",
INDEX($J:$J,MATCH($AH137,$M:$M,0)+CF$8-1)),
""),
"")</f>
        <v/>
      </c>
      <c r="CH137" s="21" t="str">
        <f>IFERROR(
IF(COUNTIF($BI137:CG137,INDEX($J:$J,MATCH($AI137,$M:$M,0)+CH$8-1))=0,
IF(COUNTIF($M:$M,$AI137)&lt;CH$8,
"",
INDEX($J:$J,MATCH($AI137,$M:$M,0)+CH$8-1)),
""),
"")</f>
        <v/>
      </c>
      <c r="CI137" s="21" t="str">
        <f>IFERROR(
IF(COUNTIF($BI137:CH137,INDEX($J:$J,MATCH($AI137,$M:$M,0)+CI$8-1))=0,
IF(COUNTIF($M:$M,$AI137)&lt;CI$8,
"",
INDEX($J:$J,MATCH($AI137,$M:$M,0)+CI$8-1)),
""),
"")</f>
        <v/>
      </c>
      <c r="CJ137" s="21" t="str">
        <f>IFERROR(
IF(COUNTIF($BI137:CI137,INDEX($J:$J,MATCH($AI137,$M:$M,0)+CJ$8-1))=0,
IF(COUNTIF($M:$M,$AI137)&lt;CJ$8,
"",
INDEX($J:$J,MATCH($AI137,$M:$M,0)+CJ$8-1)),
""),
"")</f>
        <v/>
      </c>
      <c r="CK137" s="21" t="str">
        <f>IFERROR(
IF(COUNTIF($BI137:CJ137,INDEX($J:$J,MATCH($AI137,$M:$M,0)+CK$8-1))=0,
IF(COUNTIF($M:$M,$AI137)&lt;CK$8,
"",
INDEX($J:$J,MATCH($AI137,$M:$M,0)+CK$8-1)),
""),
"")</f>
        <v/>
      </c>
      <c r="CM137" s="21" t="str">
        <f>IFERROR(
IF(COUNTIF($BI137:CL137,INDEX($J:$J,MATCH($AJ137,$M:$M,0)+CM$8-1))=0,
IF(COUNTIF($M:$M,$AJ137)&lt;CM$8,
"",
INDEX($J:$J,MATCH($AJ137,$M:$M,0)+CM$8-1)),
""),
"")</f>
        <v/>
      </c>
      <c r="CN137" s="21" t="str">
        <f>IFERROR(
IF(COUNTIF($BI137:CM137,INDEX($J:$J,MATCH($AJ137,$M:$M,0)+CN$8-1))=0,
IF(COUNTIF($M:$M,$AJ137)&lt;CN$8,
"",
INDEX($J:$J,MATCH($AJ137,$M:$M,0)+CN$8-1)),
""),
"")</f>
        <v/>
      </c>
      <c r="CO137" s="21" t="str">
        <f>IFERROR(
IF(COUNTIF($BI137:CN137,INDEX($J:$J,MATCH($AJ137,$M:$M,0)+CO$8-1))=0,
IF(COUNTIF($M:$M,$AJ137)&lt;CO$8,
"",
INDEX($J:$J,MATCH($AJ137,$M:$M,0)+CO$8-1)),
""),
"")</f>
        <v/>
      </c>
      <c r="CP137" s="21" t="str">
        <f>IFERROR(
IF(COUNTIF($BI137:CO137,INDEX($J:$J,MATCH($AJ137,$M:$M,0)+CP$8-1))=0,
IF(COUNTIF($M:$M,$AJ137)&lt;CP$8,
"",
INDEX($J:$J,MATCH($AJ137,$M:$M,0)+CP$8-1)),
""),
"")</f>
        <v/>
      </c>
      <c r="CR137" s="21" t="str">
        <f>IFERROR(
IF(COUNTIF($BI137:CQ137,INDEX($J:$J,MATCH($AK137,$M:$M,0)+CR$8-1))=0,
IF(COUNTIF($M:$M,$AK137)&lt;CR$8,
"",
INDEX($J:$J,MATCH($AK137,$M:$M,0)+CR$8-1)),
""),
"")</f>
        <v/>
      </c>
      <c r="CS137" s="21" t="str">
        <f>IFERROR(
IF(COUNTIF($BI137:CR137,INDEX($J:$J,MATCH($AK137,$M:$M,0)+CS$8-1))=0,
IF(COUNTIF($M:$M,$AK137)&lt;CS$8,
"",
INDEX($J:$J,MATCH($AK137,$M:$M,0)+CS$8-1)),
""),
"")</f>
        <v/>
      </c>
      <c r="CT137" s="21" t="str">
        <f>IFERROR(
IF(COUNTIF($BI137:CS137,INDEX($J:$J,MATCH($AK137,$M:$M,0)+CT$8-1))=0,
IF(COUNTIF($M:$M,$AK137)&lt;CT$8,
"",
INDEX($J:$J,MATCH($AK137,$M:$M,0)+CT$8-1)),
""),
"")</f>
        <v/>
      </c>
      <c r="CU137" s="21" t="str">
        <f>IFERROR(
IF(COUNTIF($BI137:CT137,INDEX($J:$J,MATCH($AK137,$M:$M,0)+CU$8-1))=0,
IF(COUNTIF($M:$M,$AK137)&lt;CU$8,
"",
INDEX($J:$J,MATCH($AK137,$M:$M,0)+CU$8-1)),
""),
"")</f>
        <v/>
      </c>
    </row>
    <row r="138" spans="8:99">
      <c r="H138" s="7" t="str">
        <f>IF(I138="","",COUNTA(I$9:$I138))</f>
        <v/>
      </c>
      <c r="I138" s="6"/>
      <c r="J138" s="6" t="s">
        <v>261</v>
      </c>
      <c r="K138" s="8" t="str">
        <f>IF(H138="","",阶段合并区域(J138:J144," ",L138:L144,1))</f>
        <v/>
      </c>
      <c r="L138" s="8">
        <f>COUNTIF(M$8:$M138,"="&amp;M138)</f>
        <v>2</v>
      </c>
      <c r="M138" s="9" t="str">
        <f t="shared" si="31"/>
        <v>国之柱石</v>
      </c>
      <c r="N138" s="9" t="str">
        <f t="shared" si="32"/>
        <v>国之柱石2</v>
      </c>
      <c r="O138" s="15">
        <f>INDEX(C:C,MATCH(J138,D:D,0))</f>
        <v>27</v>
      </c>
      <c r="P138" s="9">
        <f>INDEX(E:E,MATCH(J138,D:D,0))</f>
        <v>120</v>
      </c>
      <c r="Q138" s="7">
        <f t="shared" si="34"/>
        <v>27</v>
      </c>
      <c r="R138" s="7">
        <f>COUNTIF(J$8:$J138,"="&amp;J138)</f>
        <v>5</v>
      </c>
      <c r="S138" s="7">
        <f t="shared" si="33"/>
        <v>5027</v>
      </c>
      <c r="U138" s="7">
        <f t="shared" si="24"/>
        <v>1000</v>
      </c>
      <c r="V138" s="7">
        <f t="shared" si="24"/>
        <v>2000</v>
      </c>
      <c r="W138" s="7">
        <f t="shared" si="24"/>
        <v>3000</v>
      </c>
      <c r="X138" s="7">
        <f t="shared" si="24"/>
        <v>4000</v>
      </c>
      <c r="Y138" s="7">
        <f t="shared" si="24"/>
        <v>5000</v>
      </c>
      <c r="Z138" s="7">
        <f t="shared" si="24"/>
        <v>6000</v>
      </c>
      <c r="AA138" s="7">
        <f t="shared" si="24"/>
        <v>7000</v>
      </c>
      <c r="AB138" s="7">
        <f t="shared" si="24"/>
        <v>8000</v>
      </c>
      <c r="AD138" s="21" t="str">
        <f>IFERROR(INDEX($M:$M,MATCH(U138,$S:$S,0)),"&amp;")</f>
        <v>&amp;</v>
      </c>
      <c r="AE138" s="21" t="str">
        <f>IFERROR(INDEX($M:$M,MATCH(V138,$S:$S,0)),"&amp;")</f>
        <v>&amp;</v>
      </c>
      <c r="AF138" s="21" t="str">
        <f>IFERROR(INDEX($M:$M,MATCH(W138,$S:$S,0)),"&amp;")</f>
        <v>&amp;</v>
      </c>
      <c r="AG138" s="21" t="str">
        <f>IFERROR(INDEX($M:$M,MATCH(X138,$S:$S,0)),"&amp;")</f>
        <v>&amp;</v>
      </c>
      <c r="AH138" s="21" t="str">
        <f>IFERROR(INDEX($M:$M,MATCH(Y138,$S:$S,0)),"&amp;")</f>
        <v>&amp;</v>
      </c>
      <c r="AI138" s="21" t="str">
        <f>IFERROR(INDEX($M:$M,MATCH(Z138,$S:$S,0)),"&amp;")</f>
        <v>&amp;</v>
      </c>
      <c r="AJ138" s="21" t="str">
        <f>IFERROR(INDEX($M:$M,MATCH(AA138,$S:$S,0)),"&amp;")</f>
        <v>&amp;</v>
      </c>
      <c r="AK138" s="21" t="str">
        <f>IFERROR(INDEX($M:$M,MATCH(AB138,$S:$S,0)),"&amp;")</f>
        <v>&amp;</v>
      </c>
      <c r="AM138" s="21" t="str">
        <f>IFERROR(INDEX($N:$N,MATCH(U138,$S:$S,0)),"&amp;")</f>
        <v>&amp;</v>
      </c>
      <c r="AN138" s="21" t="str">
        <f>IFERROR(INDEX($N:$N,MATCH(V138,$S:$S,0)),"&amp;")</f>
        <v>&amp;</v>
      </c>
      <c r="AO138" s="21" t="str">
        <f>IFERROR(INDEX($N:$N,MATCH(W138,$S:$S,0)),"&amp;")</f>
        <v>&amp;</v>
      </c>
      <c r="AP138" s="21" t="str">
        <f>IFERROR(INDEX($N:$N,MATCH(X138,$S:$S,0)),"&amp;")</f>
        <v>&amp;</v>
      </c>
      <c r="AQ138" s="21" t="str">
        <f>IFERROR(INDEX($N:$N,MATCH(Y138,$S:$S,0)),"&amp;")</f>
        <v>&amp;</v>
      </c>
      <c r="AR138" s="21" t="str">
        <f>IFERROR(INDEX($N:$N,MATCH(Z138,$S:$S,0)),"&amp;")</f>
        <v>&amp;</v>
      </c>
      <c r="AS138" s="21" t="str">
        <f>IFERROR(INDEX($N:$N,MATCH(AA138,$S:$S,0)),"&amp;")</f>
        <v>&amp;</v>
      </c>
      <c r="AT138" s="21" t="str">
        <f>IFERROR(INDEX($N:$N,MATCH(AB138,$S:$S,0)),"&amp;")</f>
        <v>&amp;</v>
      </c>
      <c r="AV138" s="21" t="str">
        <f>IFERROR(SUBSTITUTE(INDEX($K:$K,MATCH(INDEX($M:$M,MATCH(AM138,$N:$N,0)),$M:$M,0)),$D138,""),"")</f>
        <v/>
      </c>
      <c r="AW138" s="21" t="str">
        <f>IFERROR(SUBSTITUTE(INDEX($K:$K,MATCH(INDEX($M:$M,MATCH(AN138,$N:$N,0)),$M:$M,0)),$D138,""),"")</f>
        <v/>
      </c>
      <c r="AX138" s="21" t="str">
        <f>IFERROR(SUBSTITUTE(INDEX($K:$K,MATCH(INDEX($M:$M,MATCH(AO138,$N:$N,0)),$M:$M,0)),$D138,""),"")</f>
        <v/>
      </c>
      <c r="AY138" s="21" t="str">
        <f>IFERROR(SUBSTITUTE(INDEX($K:$K,MATCH(INDEX($M:$M,MATCH(AP138,$N:$N,0)),$M:$M,0)),$D138,""),"")</f>
        <v/>
      </c>
      <c r="AZ138" s="21" t="str">
        <f>IFERROR(SUBSTITUTE(INDEX($K:$K,MATCH(INDEX($M:$M,MATCH(AQ138,$N:$N,0)),$M:$M,0)),$D138,""),"")</f>
        <v/>
      </c>
      <c r="BA138" s="21" t="str">
        <f>IFERROR(SUBSTITUTE(INDEX($K:$K,MATCH(INDEX($M:$M,MATCH(AR138,$N:$N,0)),$M:$M,0)),$D138,""),"")</f>
        <v/>
      </c>
      <c r="BB138" s="21" t="str">
        <f>IFERROR(SUBSTITUTE(INDEX($K:$K,MATCH(INDEX($M:$M,MATCH(AS138,$N:$N,0)),$M:$M,0)),$D138,""),"")</f>
        <v/>
      </c>
      <c r="BC138" s="21" t="str">
        <f>IFERROR(SUBSTITUTE(INDEX($K:$K,MATCH(INDEX($M:$M,MATCH(AT138,$N:$N,0)),$M:$M,0)),$D138,""),"")</f>
        <v/>
      </c>
      <c r="BE138" s="9" t="str">
        <f t="shared" ref="BE138:BE174" si="35">合并区域(BI138:CU138,",")</f>
        <v/>
      </c>
      <c r="BI138" s="9" t="str">
        <f>IFERROR(
IF(COUNTIF($M:$M,$AD138)&lt;BI$8,
"",
INDEX($J:$J,MATCH($AD138,$M:$M,0)+BI$8-1)),
"")</f>
        <v/>
      </c>
      <c r="BJ138" s="9" t="str">
        <f>IFERROR(
IF(COUNTIF($M:$M,$AD138)&lt;BJ$8,
"",
INDEX($J:$J,MATCH($AD138,$M:$M,0)+BJ$8-1)),
"")</f>
        <v/>
      </c>
      <c r="BK138" s="9" t="str">
        <f>IFERROR(
IF(COUNTIF($M:$M,$AD138)&lt;BK$8,
"",
INDEX($J:$J,MATCH($AD138,$M:$M,0)+BK$8-1)),
"")</f>
        <v/>
      </c>
      <c r="BL138" s="9" t="str">
        <f>IFERROR(
IF(COUNTIF($M:$M,$AD138)&lt;BL$8,
"",
INDEX($J:$J,MATCH($AD138,$M:$M,0)+BL$8-1)),
"")</f>
        <v/>
      </c>
      <c r="BN138" s="21" t="str">
        <f>IFERROR(
IF(COUNTIF($BI138:BM138,INDEX($J:$J,MATCH($AE138,$M:$M,0)+BN$8-1))=0,
IF(COUNTIF($M:$M,$AE138)&lt;BN$8,
"",
INDEX($J:$J,MATCH($AE138,$M:$M,0)+BN$8-1)),
""),
"")</f>
        <v/>
      </c>
      <c r="BO138" s="21" t="str">
        <f>IFERROR(
IF(COUNTIF($BI138:BN138,INDEX($J:$J,MATCH($AE138,$M:$M,0)+BO$8-1))=0,
IF(COUNTIF($M:$M,$AE138)&lt;BO$8,
"",
INDEX($J:$J,MATCH($AE138,$M:$M,0)+BO$8-1)),
""),
"")</f>
        <v/>
      </c>
      <c r="BP138" s="21" t="str">
        <f>IFERROR(
IF(COUNTIF($BI138:BO138,INDEX($J:$J,MATCH($AE138,$M:$M,0)+BP$8-1))=0,
IF(COUNTIF($M:$M,$AE138)&lt;BP$8,
"",
INDEX($J:$J,MATCH($AE138,$M:$M,0)+BP$8-1)),
""),
"")</f>
        <v/>
      </c>
      <c r="BQ138" s="21" t="str">
        <f>IFERROR(
IF(COUNTIF($BI138:BP138,INDEX($J:$J,MATCH($AE138,$M:$M,0)+BQ$8-1))=0,
IF(COUNTIF($M:$M,$AE138)&lt;BQ$8,
"",
INDEX($J:$J,MATCH($AE138,$M:$M,0)+BQ$8-1)),
""),
"")</f>
        <v/>
      </c>
      <c r="BS138" s="21" t="str">
        <f>IFERROR(
IF(COUNTIF($BI138:BR138,INDEX($J:$J,MATCH($AF138,$M:$M,0)+BS$8-1))=0,
IF(COUNTIF($M:$M,$AF138)&lt;BS$8,
"",
INDEX($J:$J,MATCH($AF138,$M:$M,0)+BS$8-1)),
""),
"")</f>
        <v/>
      </c>
      <c r="BT138" s="21" t="str">
        <f>IFERROR(
IF(COUNTIF($BI138:BS138,INDEX($J:$J,MATCH($AF138,$M:$M,0)+BT$8-1))=0,
IF(COUNTIF($M:$M,$AF138)&lt;BT$8,
"",
INDEX($J:$J,MATCH($AF138,$M:$M,0)+BT$8-1)),
""),
"")</f>
        <v/>
      </c>
      <c r="BU138" s="21" t="str">
        <f>IFERROR(
IF(COUNTIF($BI138:BT138,INDEX($J:$J,MATCH($AF138,$M:$M,0)+BU$8-1))=0,
IF(COUNTIF($M:$M,$AF138)&lt;BU$8,
"",
INDEX($J:$J,MATCH($AF138,$M:$M,0)+BU$8-1)),
""),
"")</f>
        <v/>
      </c>
      <c r="BV138" s="21" t="str">
        <f>IFERROR(
IF(COUNTIF($BI138:BU138,INDEX($J:$J,MATCH($AF138,$M:$M,0)+BV$8-1))=0,
IF(COUNTIF($M:$M,$AF138)&lt;BV$8,
"",
INDEX($J:$J,MATCH($AF138,$M:$M,0)+BV$8-1)),
""),
"")</f>
        <v/>
      </c>
      <c r="BX138" s="21" t="str">
        <f>IFERROR(
IF(COUNTIF($BI138:BW138,INDEX($J:$J,MATCH($AG138,$M:$M,0)+BX$8-1))=0,
IF(COUNTIF($M:$M,$AG138)&lt;BX$8,
"",
INDEX($J:$J,MATCH($AG138,$M:$M,0)+BX$8-1)),
""),
"")</f>
        <v/>
      </c>
      <c r="BY138" s="21" t="str">
        <f>IFERROR(
IF(COUNTIF($BI138:BX138,INDEX($J:$J,MATCH($AG138,$M:$M,0)+BY$8-1))=0,
IF(COUNTIF($M:$M,$AG138)&lt;BY$8,
"",
INDEX($J:$J,MATCH($AG138,$M:$M,0)+BY$8-1)),
""),
"")</f>
        <v/>
      </c>
      <c r="BZ138" s="21" t="str">
        <f>IFERROR(
IF(COUNTIF($BI138:BY138,INDEX($J:$J,MATCH($AG138,$M:$M,0)+BZ$8-1))=0,
IF(COUNTIF($M:$M,$AG138)&lt;BZ$8,
"",
INDEX($J:$J,MATCH($AG138,$M:$M,0)+BZ$8-1)),
""),
"")</f>
        <v/>
      </c>
      <c r="CA138" s="21" t="str">
        <f>IFERROR(
IF(COUNTIF($BI138:BZ138,INDEX($J:$J,MATCH($AG138,$M:$M,0)+CA$8-1))=0,
IF(COUNTIF($M:$M,$AG138)&lt;CA$8,
"",
INDEX($J:$J,MATCH($AG138,$M:$M,0)+CA$8-1)),
""),
"")</f>
        <v/>
      </c>
      <c r="CC138" s="21" t="str">
        <f>IFERROR(
IF(COUNTIF($BI138:CB138,INDEX($J:$J,MATCH($AH138,$M:$M,0)+CC$8-1))=0,
IF(COUNTIF($M:$M,$AH138)&lt;CC$8,
"",
INDEX($J:$J,MATCH($AH138,$M:$M,0)+CC$8-1)),
""),
"")</f>
        <v/>
      </c>
      <c r="CD138" s="21" t="str">
        <f>IFERROR(
IF(COUNTIF($BI138:CC138,INDEX($J:$J,MATCH($AH138,$M:$M,0)+CD$8-1))=0,
IF(COUNTIF($M:$M,$AH138)&lt;CD$8,
"",
INDEX($J:$J,MATCH($AH138,$M:$M,0)+CD$8-1)),
""),
"")</f>
        <v/>
      </c>
      <c r="CE138" s="21" t="str">
        <f>IFERROR(
IF(COUNTIF($BI138:CD138,INDEX($J:$J,MATCH($AH138,$M:$M,0)+CE$8-1))=0,
IF(COUNTIF($M:$M,$AH138)&lt;CE$8,
"",
INDEX($J:$J,MATCH($AH138,$M:$M,0)+CE$8-1)),
""),
"")</f>
        <v/>
      </c>
      <c r="CF138" s="21" t="str">
        <f>IFERROR(
IF(COUNTIF($BI138:CE138,INDEX($J:$J,MATCH($AH138,$M:$M,0)+CF$8-1))=0,
IF(COUNTIF($M:$M,$AH138)&lt;CF$8,
"",
INDEX($J:$J,MATCH($AH138,$M:$M,0)+CF$8-1)),
""),
"")</f>
        <v/>
      </c>
      <c r="CH138" s="21" t="str">
        <f>IFERROR(
IF(COUNTIF($BI138:CG138,INDEX($J:$J,MATCH($AI138,$M:$M,0)+CH$8-1))=0,
IF(COUNTIF($M:$M,$AI138)&lt;CH$8,
"",
INDEX($J:$J,MATCH($AI138,$M:$M,0)+CH$8-1)),
""),
"")</f>
        <v/>
      </c>
      <c r="CI138" s="21" t="str">
        <f>IFERROR(
IF(COUNTIF($BI138:CH138,INDEX($J:$J,MATCH($AI138,$M:$M,0)+CI$8-1))=0,
IF(COUNTIF($M:$M,$AI138)&lt;CI$8,
"",
INDEX($J:$J,MATCH($AI138,$M:$M,0)+CI$8-1)),
""),
"")</f>
        <v/>
      </c>
      <c r="CJ138" s="21" t="str">
        <f>IFERROR(
IF(COUNTIF($BI138:CI138,INDEX($J:$J,MATCH($AI138,$M:$M,0)+CJ$8-1))=0,
IF(COUNTIF($M:$M,$AI138)&lt;CJ$8,
"",
INDEX($J:$J,MATCH($AI138,$M:$M,0)+CJ$8-1)),
""),
"")</f>
        <v/>
      </c>
      <c r="CK138" s="21" t="str">
        <f>IFERROR(
IF(COUNTIF($BI138:CJ138,INDEX($J:$J,MATCH($AI138,$M:$M,0)+CK$8-1))=0,
IF(COUNTIF($M:$M,$AI138)&lt;CK$8,
"",
INDEX($J:$J,MATCH($AI138,$M:$M,0)+CK$8-1)),
""),
"")</f>
        <v/>
      </c>
      <c r="CM138" s="21" t="str">
        <f>IFERROR(
IF(COUNTIF($BI138:CL138,INDEX($J:$J,MATCH($AJ138,$M:$M,0)+CM$8-1))=0,
IF(COUNTIF($M:$M,$AJ138)&lt;CM$8,
"",
INDEX($J:$J,MATCH($AJ138,$M:$M,0)+CM$8-1)),
""),
"")</f>
        <v/>
      </c>
      <c r="CN138" s="21" t="str">
        <f>IFERROR(
IF(COUNTIF($BI138:CM138,INDEX($J:$J,MATCH($AJ138,$M:$M,0)+CN$8-1))=0,
IF(COUNTIF($M:$M,$AJ138)&lt;CN$8,
"",
INDEX($J:$J,MATCH($AJ138,$M:$M,0)+CN$8-1)),
""),
"")</f>
        <v/>
      </c>
      <c r="CO138" s="21" t="str">
        <f>IFERROR(
IF(COUNTIF($BI138:CN138,INDEX($J:$J,MATCH($AJ138,$M:$M,0)+CO$8-1))=0,
IF(COUNTIF($M:$M,$AJ138)&lt;CO$8,
"",
INDEX($J:$J,MATCH($AJ138,$M:$M,0)+CO$8-1)),
""),
"")</f>
        <v/>
      </c>
      <c r="CP138" s="21" t="str">
        <f>IFERROR(
IF(COUNTIF($BI138:CO138,INDEX($J:$J,MATCH($AJ138,$M:$M,0)+CP$8-1))=0,
IF(COUNTIF($M:$M,$AJ138)&lt;CP$8,
"",
INDEX($J:$J,MATCH($AJ138,$M:$M,0)+CP$8-1)),
""),
"")</f>
        <v/>
      </c>
      <c r="CR138" s="21" t="str">
        <f>IFERROR(
IF(COUNTIF($BI138:CQ138,INDEX($J:$J,MATCH($AK138,$M:$M,0)+CR$8-1))=0,
IF(COUNTIF($M:$M,$AK138)&lt;CR$8,
"",
INDEX($J:$J,MATCH($AK138,$M:$M,0)+CR$8-1)),
""),
"")</f>
        <v/>
      </c>
      <c r="CS138" s="21" t="str">
        <f>IFERROR(
IF(COUNTIF($BI138:CR138,INDEX($J:$J,MATCH($AK138,$M:$M,0)+CS$8-1))=0,
IF(COUNTIF($M:$M,$AK138)&lt;CS$8,
"",
INDEX($J:$J,MATCH($AK138,$M:$M,0)+CS$8-1)),
""),
"")</f>
        <v/>
      </c>
      <c r="CT138" s="21" t="str">
        <f>IFERROR(
IF(COUNTIF($BI138:CS138,INDEX($J:$J,MATCH($AK138,$M:$M,0)+CT$8-1))=0,
IF(COUNTIF($M:$M,$AK138)&lt;CT$8,
"",
INDEX($J:$J,MATCH($AK138,$M:$M,0)+CT$8-1)),
""),
"")</f>
        <v/>
      </c>
      <c r="CU138" s="21" t="str">
        <f>IFERROR(
IF(COUNTIF($BI138:CT138,INDEX($J:$J,MATCH($AK138,$M:$M,0)+CU$8-1))=0,
IF(COUNTIF($M:$M,$AK138)&lt;CU$8,
"",
INDEX($J:$J,MATCH($AK138,$M:$M,0)+CU$8-1)),
""),
"")</f>
        <v/>
      </c>
    </row>
    <row r="139" spans="8:99">
      <c r="H139" s="7" t="str">
        <f>IF(I139="","",COUNTA(I$9:$I139))</f>
        <v/>
      </c>
      <c r="I139" s="6"/>
      <c r="J139" s="6" t="s">
        <v>243</v>
      </c>
      <c r="K139" s="8" t="str">
        <f>IF(H139="","",阶段合并区域(J139:J144," ",L139:L144,1))</f>
        <v/>
      </c>
      <c r="L139" s="8">
        <f>COUNTIF(M$8:$M139,"="&amp;M139)</f>
        <v>3</v>
      </c>
      <c r="M139" s="9" t="str">
        <f t="shared" si="31"/>
        <v>国之柱石</v>
      </c>
      <c r="N139" s="9" t="str">
        <f t="shared" si="32"/>
        <v>国之柱石3</v>
      </c>
      <c r="O139" s="15">
        <f>INDEX(C:C,MATCH(J139,D:D,0))</f>
        <v>55</v>
      </c>
      <c r="P139" s="9">
        <f>INDEX(E:E,MATCH(J139,D:D,0))</f>
        <v>120</v>
      </c>
      <c r="Q139" s="7">
        <f t="shared" si="34"/>
        <v>55</v>
      </c>
      <c r="R139" s="7">
        <f>COUNTIF(J$8:$J139,"="&amp;J139)</f>
        <v>5</v>
      </c>
      <c r="S139" s="7">
        <f t="shared" si="33"/>
        <v>5055</v>
      </c>
      <c r="U139" s="7">
        <f t="shared" si="24"/>
        <v>1000</v>
      </c>
      <c r="V139" s="7">
        <f t="shared" si="24"/>
        <v>2000</v>
      </c>
      <c r="W139" s="7">
        <f t="shared" si="24"/>
        <v>3000</v>
      </c>
      <c r="X139" s="7">
        <f t="shared" si="24"/>
        <v>4000</v>
      </c>
      <c r="Y139" s="7">
        <f t="shared" si="24"/>
        <v>5000</v>
      </c>
      <c r="Z139" s="7">
        <f t="shared" si="24"/>
        <v>6000</v>
      </c>
      <c r="AA139" s="7">
        <f t="shared" si="24"/>
        <v>7000</v>
      </c>
      <c r="AB139" s="7">
        <f t="shared" si="24"/>
        <v>8000</v>
      </c>
      <c r="AD139" s="21" t="str">
        <f>IFERROR(INDEX($M:$M,MATCH(U139,$S:$S,0)),"&amp;")</f>
        <v>&amp;</v>
      </c>
      <c r="AE139" s="21" t="str">
        <f>IFERROR(INDEX($M:$M,MATCH(V139,$S:$S,0)),"&amp;")</f>
        <v>&amp;</v>
      </c>
      <c r="AF139" s="21" t="str">
        <f>IFERROR(INDEX($M:$M,MATCH(W139,$S:$S,0)),"&amp;")</f>
        <v>&amp;</v>
      </c>
      <c r="AG139" s="21" t="str">
        <f>IFERROR(INDEX($M:$M,MATCH(X139,$S:$S,0)),"&amp;")</f>
        <v>&amp;</v>
      </c>
      <c r="AH139" s="21" t="str">
        <f>IFERROR(INDEX($M:$M,MATCH(Y139,$S:$S,0)),"&amp;")</f>
        <v>&amp;</v>
      </c>
      <c r="AI139" s="21" t="str">
        <f>IFERROR(INDEX($M:$M,MATCH(Z139,$S:$S,0)),"&amp;")</f>
        <v>&amp;</v>
      </c>
      <c r="AJ139" s="21" t="str">
        <f>IFERROR(INDEX($M:$M,MATCH(AA139,$S:$S,0)),"&amp;")</f>
        <v>&amp;</v>
      </c>
      <c r="AK139" s="21" t="str">
        <f>IFERROR(INDEX($M:$M,MATCH(AB139,$S:$S,0)),"&amp;")</f>
        <v>&amp;</v>
      </c>
      <c r="AM139" s="21" t="str">
        <f>IFERROR(INDEX($N:$N,MATCH(U139,$S:$S,0)),"&amp;")</f>
        <v>&amp;</v>
      </c>
      <c r="AN139" s="21" t="str">
        <f>IFERROR(INDEX($N:$N,MATCH(V139,$S:$S,0)),"&amp;")</f>
        <v>&amp;</v>
      </c>
      <c r="AO139" s="21" t="str">
        <f>IFERROR(INDEX($N:$N,MATCH(W139,$S:$S,0)),"&amp;")</f>
        <v>&amp;</v>
      </c>
      <c r="AP139" s="21" t="str">
        <f>IFERROR(INDEX($N:$N,MATCH(X139,$S:$S,0)),"&amp;")</f>
        <v>&amp;</v>
      </c>
      <c r="AQ139" s="21" t="str">
        <f>IFERROR(INDEX($N:$N,MATCH(Y139,$S:$S,0)),"&amp;")</f>
        <v>&amp;</v>
      </c>
      <c r="AR139" s="21" t="str">
        <f>IFERROR(INDEX($N:$N,MATCH(Z139,$S:$S,0)),"&amp;")</f>
        <v>&amp;</v>
      </c>
      <c r="AS139" s="21" t="str">
        <f>IFERROR(INDEX($N:$N,MATCH(AA139,$S:$S,0)),"&amp;")</f>
        <v>&amp;</v>
      </c>
      <c r="AT139" s="21" t="str">
        <f>IFERROR(INDEX($N:$N,MATCH(AB139,$S:$S,0)),"&amp;")</f>
        <v>&amp;</v>
      </c>
      <c r="AV139" s="21" t="str">
        <f>IFERROR(SUBSTITUTE(INDEX($K:$K,MATCH(INDEX($M:$M,MATCH(AM139,$N:$N,0)),$M:$M,0)),$D139,""),"")</f>
        <v/>
      </c>
      <c r="AW139" s="21" t="str">
        <f>IFERROR(SUBSTITUTE(INDEX($K:$K,MATCH(INDEX($M:$M,MATCH(AN139,$N:$N,0)),$M:$M,0)),$D139,""),"")</f>
        <v/>
      </c>
      <c r="AX139" s="21" t="str">
        <f>IFERROR(SUBSTITUTE(INDEX($K:$K,MATCH(INDEX($M:$M,MATCH(AO139,$N:$N,0)),$M:$M,0)),$D139,""),"")</f>
        <v/>
      </c>
      <c r="AY139" s="21" t="str">
        <f>IFERROR(SUBSTITUTE(INDEX($K:$K,MATCH(INDEX($M:$M,MATCH(AP139,$N:$N,0)),$M:$M,0)),$D139,""),"")</f>
        <v/>
      </c>
      <c r="AZ139" s="21" t="str">
        <f>IFERROR(SUBSTITUTE(INDEX($K:$K,MATCH(INDEX($M:$M,MATCH(AQ139,$N:$N,0)),$M:$M,0)),$D139,""),"")</f>
        <v/>
      </c>
      <c r="BA139" s="21" t="str">
        <f>IFERROR(SUBSTITUTE(INDEX($K:$K,MATCH(INDEX($M:$M,MATCH(AR139,$N:$N,0)),$M:$M,0)),$D139,""),"")</f>
        <v/>
      </c>
      <c r="BB139" s="21" t="str">
        <f>IFERROR(SUBSTITUTE(INDEX($K:$K,MATCH(INDEX($M:$M,MATCH(AS139,$N:$N,0)),$M:$M,0)),$D139,""),"")</f>
        <v/>
      </c>
      <c r="BC139" s="21" t="str">
        <f>IFERROR(SUBSTITUTE(INDEX($K:$K,MATCH(INDEX($M:$M,MATCH(AT139,$N:$N,0)),$M:$M,0)),$D139,""),"")</f>
        <v/>
      </c>
      <c r="BE139" s="9" t="str">
        <f t="shared" si="35"/>
        <v/>
      </c>
      <c r="BI139" s="9" t="str">
        <f>IFERROR(
IF(COUNTIF($M:$M,$AD139)&lt;BI$8,
"",
INDEX($J:$J,MATCH($AD139,$M:$M,0)+BI$8-1)),
"")</f>
        <v/>
      </c>
      <c r="BJ139" s="9" t="str">
        <f>IFERROR(
IF(COUNTIF($M:$M,$AD139)&lt;BJ$8,
"",
INDEX($J:$J,MATCH($AD139,$M:$M,0)+BJ$8-1)),
"")</f>
        <v/>
      </c>
      <c r="BK139" s="9" t="str">
        <f>IFERROR(
IF(COUNTIF($M:$M,$AD139)&lt;BK$8,
"",
INDEX($J:$J,MATCH($AD139,$M:$M,0)+BK$8-1)),
"")</f>
        <v/>
      </c>
      <c r="BL139" s="9" t="str">
        <f>IFERROR(
IF(COUNTIF($M:$M,$AD139)&lt;BL$8,
"",
INDEX($J:$J,MATCH($AD139,$M:$M,0)+BL$8-1)),
"")</f>
        <v/>
      </c>
      <c r="BN139" s="21" t="str">
        <f>IFERROR(
IF(COUNTIF($BI139:BM139,INDEX($J:$J,MATCH($AE139,$M:$M,0)+BN$8-1))=0,
IF(COUNTIF($M:$M,$AE139)&lt;BN$8,
"",
INDEX($J:$J,MATCH($AE139,$M:$M,0)+BN$8-1)),
""),
"")</f>
        <v/>
      </c>
      <c r="BO139" s="21" t="str">
        <f>IFERROR(
IF(COUNTIF($BI139:BN139,INDEX($J:$J,MATCH($AE139,$M:$M,0)+BO$8-1))=0,
IF(COUNTIF($M:$M,$AE139)&lt;BO$8,
"",
INDEX($J:$J,MATCH($AE139,$M:$M,0)+BO$8-1)),
""),
"")</f>
        <v/>
      </c>
      <c r="BP139" s="21" t="str">
        <f>IFERROR(
IF(COUNTIF($BI139:BO139,INDEX($J:$J,MATCH($AE139,$M:$M,0)+BP$8-1))=0,
IF(COUNTIF($M:$M,$AE139)&lt;BP$8,
"",
INDEX($J:$J,MATCH($AE139,$M:$M,0)+BP$8-1)),
""),
"")</f>
        <v/>
      </c>
      <c r="BQ139" s="21" t="str">
        <f>IFERROR(
IF(COUNTIF($BI139:BP139,INDEX($J:$J,MATCH($AE139,$M:$M,0)+BQ$8-1))=0,
IF(COUNTIF($M:$M,$AE139)&lt;BQ$8,
"",
INDEX($J:$J,MATCH($AE139,$M:$M,0)+BQ$8-1)),
""),
"")</f>
        <v/>
      </c>
      <c r="BS139" s="21" t="str">
        <f>IFERROR(
IF(COUNTIF($BI139:BR139,INDEX($J:$J,MATCH($AF139,$M:$M,0)+BS$8-1))=0,
IF(COUNTIF($M:$M,$AF139)&lt;BS$8,
"",
INDEX($J:$J,MATCH($AF139,$M:$M,0)+BS$8-1)),
""),
"")</f>
        <v/>
      </c>
      <c r="BT139" s="21" t="str">
        <f>IFERROR(
IF(COUNTIF($BI139:BS139,INDEX($J:$J,MATCH($AF139,$M:$M,0)+BT$8-1))=0,
IF(COUNTIF($M:$M,$AF139)&lt;BT$8,
"",
INDEX($J:$J,MATCH($AF139,$M:$M,0)+BT$8-1)),
""),
"")</f>
        <v/>
      </c>
      <c r="BU139" s="21" t="str">
        <f>IFERROR(
IF(COUNTIF($BI139:BT139,INDEX($J:$J,MATCH($AF139,$M:$M,0)+BU$8-1))=0,
IF(COUNTIF($M:$M,$AF139)&lt;BU$8,
"",
INDEX($J:$J,MATCH($AF139,$M:$M,0)+BU$8-1)),
""),
"")</f>
        <v/>
      </c>
      <c r="BV139" s="21" t="str">
        <f>IFERROR(
IF(COUNTIF($BI139:BU139,INDEX($J:$J,MATCH($AF139,$M:$M,0)+BV$8-1))=0,
IF(COUNTIF($M:$M,$AF139)&lt;BV$8,
"",
INDEX($J:$J,MATCH($AF139,$M:$M,0)+BV$8-1)),
""),
"")</f>
        <v/>
      </c>
      <c r="BX139" s="21" t="str">
        <f>IFERROR(
IF(COUNTIF($BI139:BW139,INDEX($J:$J,MATCH($AG139,$M:$M,0)+BX$8-1))=0,
IF(COUNTIF($M:$M,$AG139)&lt;BX$8,
"",
INDEX($J:$J,MATCH($AG139,$M:$M,0)+BX$8-1)),
""),
"")</f>
        <v/>
      </c>
      <c r="BY139" s="21" t="str">
        <f>IFERROR(
IF(COUNTIF($BI139:BX139,INDEX($J:$J,MATCH($AG139,$M:$M,0)+BY$8-1))=0,
IF(COUNTIF($M:$M,$AG139)&lt;BY$8,
"",
INDEX($J:$J,MATCH($AG139,$M:$M,0)+BY$8-1)),
""),
"")</f>
        <v/>
      </c>
      <c r="BZ139" s="21" t="str">
        <f>IFERROR(
IF(COUNTIF($BI139:BY139,INDEX($J:$J,MATCH($AG139,$M:$M,0)+BZ$8-1))=0,
IF(COUNTIF($M:$M,$AG139)&lt;BZ$8,
"",
INDEX($J:$J,MATCH($AG139,$M:$M,0)+BZ$8-1)),
""),
"")</f>
        <v/>
      </c>
      <c r="CA139" s="21" t="str">
        <f>IFERROR(
IF(COUNTIF($BI139:BZ139,INDEX($J:$J,MATCH($AG139,$M:$M,0)+CA$8-1))=0,
IF(COUNTIF($M:$M,$AG139)&lt;CA$8,
"",
INDEX($J:$J,MATCH($AG139,$M:$M,0)+CA$8-1)),
""),
"")</f>
        <v/>
      </c>
      <c r="CC139" s="21" t="str">
        <f>IFERROR(
IF(COUNTIF($BI139:CB139,INDEX($J:$J,MATCH($AH139,$M:$M,0)+CC$8-1))=0,
IF(COUNTIF($M:$M,$AH139)&lt;CC$8,
"",
INDEX($J:$J,MATCH($AH139,$M:$M,0)+CC$8-1)),
""),
"")</f>
        <v/>
      </c>
      <c r="CD139" s="21" t="str">
        <f>IFERROR(
IF(COUNTIF($BI139:CC139,INDEX($J:$J,MATCH($AH139,$M:$M,0)+CD$8-1))=0,
IF(COUNTIF($M:$M,$AH139)&lt;CD$8,
"",
INDEX($J:$J,MATCH($AH139,$M:$M,0)+CD$8-1)),
""),
"")</f>
        <v/>
      </c>
      <c r="CE139" s="21" t="str">
        <f>IFERROR(
IF(COUNTIF($BI139:CD139,INDEX($J:$J,MATCH($AH139,$M:$M,0)+CE$8-1))=0,
IF(COUNTIF($M:$M,$AH139)&lt;CE$8,
"",
INDEX($J:$J,MATCH($AH139,$M:$M,0)+CE$8-1)),
""),
"")</f>
        <v/>
      </c>
      <c r="CF139" s="21" t="str">
        <f>IFERROR(
IF(COUNTIF($BI139:CE139,INDEX($J:$J,MATCH($AH139,$M:$M,0)+CF$8-1))=0,
IF(COUNTIF($M:$M,$AH139)&lt;CF$8,
"",
INDEX($J:$J,MATCH($AH139,$M:$M,0)+CF$8-1)),
""),
"")</f>
        <v/>
      </c>
      <c r="CH139" s="21" t="str">
        <f>IFERROR(
IF(COUNTIF($BI139:CG139,INDEX($J:$J,MATCH($AI139,$M:$M,0)+CH$8-1))=0,
IF(COUNTIF($M:$M,$AI139)&lt;CH$8,
"",
INDEX($J:$J,MATCH($AI139,$M:$M,0)+CH$8-1)),
""),
"")</f>
        <v/>
      </c>
      <c r="CI139" s="21" t="str">
        <f>IFERROR(
IF(COUNTIF($BI139:CH139,INDEX($J:$J,MATCH($AI139,$M:$M,0)+CI$8-1))=0,
IF(COUNTIF($M:$M,$AI139)&lt;CI$8,
"",
INDEX($J:$J,MATCH($AI139,$M:$M,0)+CI$8-1)),
""),
"")</f>
        <v/>
      </c>
      <c r="CJ139" s="21" t="str">
        <f>IFERROR(
IF(COUNTIF($BI139:CI139,INDEX($J:$J,MATCH($AI139,$M:$M,0)+CJ$8-1))=0,
IF(COUNTIF($M:$M,$AI139)&lt;CJ$8,
"",
INDEX($J:$J,MATCH($AI139,$M:$M,0)+CJ$8-1)),
""),
"")</f>
        <v/>
      </c>
      <c r="CK139" s="21" t="str">
        <f>IFERROR(
IF(COUNTIF($BI139:CJ139,INDEX($J:$J,MATCH($AI139,$M:$M,0)+CK$8-1))=0,
IF(COUNTIF($M:$M,$AI139)&lt;CK$8,
"",
INDEX($J:$J,MATCH($AI139,$M:$M,0)+CK$8-1)),
""),
"")</f>
        <v/>
      </c>
      <c r="CM139" s="21" t="str">
        <f>IFERROR(
IF(COUNTIF($BI139:CL139,INDEX($J:$J,MATCH($AJ139,$M:$M,0)+CM$8-1))=0,
IF(COUNTIF($M:$M,$AJ139)&lt;CM$8,
"",
INDEX($J:$J,MATCH($AJ139,$M:$M,0)+CM$8-1)),
""),
"")</f>
        <v/>
      </c>
      <c r="CN139" s="21" t="str">
        <f>IFERROR(
IF(COUNTIF($BI139:CM139,INDEX($J:$J,MATCH($AJ139,$M:$M,0)+CN$8-1))=0,
IF(COUNTIF($M:$M,$AJ139)&lt;CN$8,
"",
INDEX($J:$J,MATCH($AJ139,$M:$M,0)+CN$8-1)),
""),
"")</f>
        <v/>
      </c>
      <c r="CO139" s="21" t="str">
        <f>IFERROR(
IF(COUNTIF($BI139:CN139,INDEX($J:$J,MATCH($AJ139,$M:$M,0)+CO$8-1))=0,
IF(COUNTIF($M:$M,$AJ139)&lt;CO$8,
"",
INDEX($J:$J,MATCH($AJ139,$M:$M,0)+CO$8-1)),
""),
"")</f>
        <v/>
      </c>
      <c r="CP139" s="21" t="str">
        <f>IFERROR(
IF(COUNTIF($BI139:CO139,INDEX($J:$J,MATCH($AJ139,$M:$M,0)+CP$8-1))=0,
IF(COUNTIF($M:$M,$AJ139)&lt;CP$8,
"",
INDEX($J:$J,MATCH($AJ139,$M:$M,0)+CP$8-1)),
""),
"")</f>
        <v/>
      </c>
      <c r="CR139" s="21" t="str">
        <f>IFERROR(
IF(COUNTIF($BI139:CQ139,INDEX($J:$J,MATCH($AK139,$M:$M,0)+CR$8-1))=0,
IF(COUNTIF($M:$M,$AK139)&lt;CR$8,
"",
INDEX($J:$J,MATCH($AK139,$M:$M,0)+CR$8-1)),
""),
"")</f>
        <v/>
      </c>
      <c r="CS139" s="21" t="str">
        <f>IFERROR(
IF(COUNTIF($BI139:CR139,INDEX($J:$J,MATCH($AK139,$M:$M,0)+CS$8-1))=0,
IF(COUNTIF($M:$M,$AK139)&lt;CS$8,
"",
INDEX($J:$J,MATCH($AK139,$M:$M,0)+CS$8-1)),
""),
"")</f>
        <v/>
      </c>
      <c r="CT139" s="21" t="str">
        <f>IFERROR(
IF(COUNTIF($BI139:CS139,INDEX($J:$J,MATCH($AK139,$M:$M,0)+CT$8-1))=0,
IF(COUNTIF($M:$M,$AK139)&lt;CT$8,
"",
INDEX($J:$J,MATCH($AK139,$M:$M,0)+CT$8-1)),
""),
"")</f>
        <v/>
      </c>
      <c r="CU139" s="21" t="str">
        <f>IFERROR(
IF(COUNTIF($BI139:CT139,INDEX($J:$J,MATCH($AK139,$M:$M,0)+CU$8-1))=0,
IF(COUNTIF($M:$M,$AK139)&lt;CU$8,
"",
INDEX($J:$J,MATCH($AK139,$M:$M,0)+CU$8-1)),
""),
"")</f>
        <v/>
      </c>
    </row>
    <row r="140" spans="8:99">
      <c r="H140" s="7" t="str">
        <f>IF(I140="","",COUNTA(I$9:$I140))</f>
        <v/>
      </c>
      <c r="I140" s="6"/>
      <c r="J140" s="6" t="s">
        <v>233</v>
      </c>
      <c r="K140" s="8" t="str">
        <f>IF(H140="","",阶段合并区域(J140:J144," ",L140:L144,1))</f>
        <v/>
      </c>
      <c r="L140" s="8">
        <f>COUNTIF(M$8:$M140,"="&amp;M140)</f>
        <v>4</v>
      </c>
      <c r="M140" s="9" t="str">
        <f t="shared" si="31"/>
        <v>国之柱石</v>
      </c>
      <c r="N140" s="9" t="str">
        <f t="shared" si="32"/>
        <v>国之柱石4</v>
      </c>
      <c r="O140" s="15">
        <f>INDEX(C:C,MATCH(J140,D:D,0))</f>
        <v>34</v>
      </c>
      <c r="P140" s="9">
        <f>INDEX(E:E,MATCH(J140,D:D,0))</f>
        <v>120</v>
      </c>
      <c r="Q140" s="7">
        <f t="shared" si="34"/>
        <v>34</v>
      </c>
      <c r="R140" s="7">
        <f>COUNTIF(J$8:$J140,"="&amp;J140)</f>
        <v>5</v>
      </c>
      <c r="S140" s="7">
        <f t="shared" si="33"/>
        <v>5034</v>
      </c>
      <c r="U140" s="7">
        <f t="shared" si="24"/>
        <v>1000</v>
      </c>
      <c r="V140" s="7">
        <f t="shared" si="24"/>
        <v>2000</v>
      </c>
      <c r="W140" s="7">
        <f t="shared" si="24"/>
        <v>3000</v>
      </c>
      <c r="X140" s="7">
        <f t="shared" si="24"/>
        <v>4000</v>
      </c>
      <c r="Y140" s="7">
        <f t="shared" si="24"/>
        <v>5000</v>
      </c>
      <c r="Z140" s="7">
        <f t="shared" si="24"/>
        <v>6000</v>
      </c>
      <c r="AA140" s="7">
        <f t="shared" si="24"/>
        <v>7000</v>
      </c>
      <c r="AB140" s="7">
        <f t="shared" si="24"/>
        <v>8000</v>
      </c>
      <c r="AD140" s="21" t="str">
        <f>IFERROR(INDEX($M:$M,MATCH(U140,$S:$S,0)),"&amp;")</f>
        <v>&amp;</v>
      </c>
      <c r="AE140" s="21" t="str">
        <f>IFERROR(INDEX($M:$M,MATCH(V140,$S:$S,0)),"&amp;")</f>
        <v>&amp;</v>
      </c>
      <c r="AF140" s="21" t="str">
        <f>IFERROR(INDEX($M:$M,MATCH(W140,$S:$S,0)),"&amp;")</f>
        <v>&amp;</v>
      </c>
      <c r="AG140" s="21" t="str">
        <f>IFERROR(INDEX($M:$M,MATCH(X140,$S:$S,0)),"&amp;")</f>
        <v>&amp;</v>
      </c>
      <c r="AH140" s="21" t="str">
        <f>IFERROR(INDEX($M:$M,MATCH(Y140,$S:$S,0)),"&amp;")</f>
        <v>&amp;</v>
      </c>
      <c r="AI140" s="21" t="str">
        <f>IFERROR(INDEX($M:$M,MATCH(Z140,$S:$S,0)),"&amp;")</f>
        <v>&amp;</v>
      </c>
      <c r="AJ140" s="21" t="str">
        <f>IFERROR(INDEX($M:$M,MATCH(AA140,$S:$S,0)),"&amp;")</f>
        <v>&amp;</v>
      </c>
      <c r="AK140" s="21" t="str">
        <f>IFERROR(INDEX($M:$M,MATCH(AB140,$S:$S,0)),"&amp;")</f>
        <v>&amp;</v>
      </c>
      <c r="AM140" s="21" t="str">
        <f>IFERROR(INDEX($N:$N,MATCH(U140,$S:$S,0)),"&amp;")</f>
        <v>&amp;</v>
      </c>
      <c r="AN140" s="21" t="str">
        <f>IFERROR(INDEX($N:$N,MATCH(V140,$S:$S,0)),"&amp;")</f>
        <v>&amp;</v>
      </c>
      <c r="AO140" s="21" t="str">
        <f>IFERROR(INDEX($N:$N,MATCH(W140,$S:$S,0)),"&amp;")</f>
        <v>&amp;</v>
      </c>
      <c r="AP140" s="21" t="str">
        <f>IFERROR(INDEX($N:$N,MATCH(X140,$S:$S,0)),"&amp;")</f>
        <v>&amp;</v>
      </c>
      <c r="AQ140" s="21" t="str">
        <f>IFERROR(INDEX($N:$N,MATCH(Y140,$S:$S,0)),"&amp;")</f>
        <v>&amp;</v>
      </c>
      <c r="AR140" s="21" t="str">
        <f>IFERROR(INDEX($N:$N,MATCH(Z140,$S:$S,0)),"&amp;")</f>
        <v>&amp;</v>
      </c>
      <c r="AS140" s="21" t="str">
        <f>IFERROR(INDEX($N:$N,MATCH(AA140,$S:$S,0)),"&amp;")</f>
        <v>&amp;</v>
      </c>
      <c r="AT140" s="21" t="str">
        <f>IFERROR(INDEX($N:$N,MATCH(AB140,$S:$S,0)),"&amp;")</f>
        <v>&amp;</v>
      </c>
      <c r="AV140" s="21" t="str">
        <f>IFERROR(SUBSTITUTE(INDEX($K:$K,MATCH(INDEX($M:$M,MATCH(AM140,$N:$N,0)),$M:$M,0)),$D140,""),"")</f>
        <v/>
      </c>
      <c r="AW140" s="21" t="str">
        <f>IFERROR(SUBSTITUTE(INDEX($K:$K,MATCH(INDEX($M:$M,MATCH(AN140,$N:$N,0)),$M:$M,0)),$D140,""),"")</f>
        <v/>
      </c>
      <c r="AX140" s="21" t="str">
        <f>IFERROR(SUBSTITUTE(INDEX($K:$K,MATCH(INDEX($M:$M,MATCH(AO140,$N:$N,0)),$M:$M,0)),$D140,""),"")</f>
        <v/>
      </c>
      <c r="AY140" s="21" t="str">
        <f>IFERROR(SUBSTITUTE(INDEX($K:$K,MATCH(INDEX($M:$M,MATCH(AP140,$N:$N,0)),$M:$M,0)),$D140,""),"")</f>
        <v/>
      </c>
      <c r="AZ140" s="21" t="str">
        <f>IFERROR(SUBSTITUTE(INDEX($K:$K,MATCH(INDEX($M:$M,MATCH(AQ140,$N:$N,0)),$M:$M,0)),$D140,""),"")</f>
        <v/>
      </c>
      <c r="BA140" s="21" t="str">
        <f>IFERROR(SUBSTITUTE(INDEX($K:$K,MATCH(INDEX($M:$M,MATCH(AR140,$N:$N,0)),$M:$M,0)),$D140,""),"")</f>
        <v/>
      </c>
      <c r="BB140" s="21" t="str">
        <f>IFERROR(SUBSTITUTE(INDEX($K:$K,MATCH(INDEX($M:$M,MATCH(AS140,$N:$N,0)),$M:$M,0)),$D140,""),"")</f>
        <v/>
      </c>
      <c r="BC140" s="21" t="str">
        <f>IFERROR(SUBSTITUTE(INDEX($K:$K,MATCH(INDEX($M:$M,MATCH(AT140,$N:$N,0)),$M:$M,0)),$D140,""),"")</f>
        <v/>
      </c>
      <c r="BE140" s="9" t="str">
        <f t="shared" si="35"/>
        <v/>
      </c>
      <c r="BI140" s="9" t="str">
        <f>IFERROR(
IF(COUNTIF($M:$M,$AD140)&lt;BI$8,
"",
INDEX($J:$J,MATCH($AD140,$M:$M,0)+BI$8-1)),
"")</f>
        <v/>
      </c>
      <c r="BJ140" s="9" t="str">
        <f>IFERROR(
IF(COUNTIF($M:$M,$AD140)&lt;BJ$8,
"",
INDEX($J:$J,MATCH($AD140,$M:$M,0)+BJ$8-1)),
"")</f>
        <v/>
      </c>
      <c r="BK140" s="9" t="str">
        <f>IFERROR(
IF(COUNTIF($M:$M,$AD140)&lt;BK$8,
"",
INDEX($J:$J,MATCH($AD140,$M:$M,0)+BK$8-1)),
"")</f>
        <v/>
      </c>
      <c r="BL140" s="9" t="str">
        <f>IFERROR(
IF(COUNTIF($M:$M,$AD140)&lt;BL$8,
"",
INDEX($J:$J,MATCH($AD140,$M:$M,0)+BL$8-1)),
"")</f>
        <v/>
      </c>
      <c r="BN140" s="21" t="str">
        <f>IFERROR(
IF(COUNTIF($BI140:BM140,INDEX($J:$J,MATCH($AE140,$M:$M,0)+BN$8-1))=0,
IF(COUNTIF($M:$M,$AE140)&lt;BN$8,
"",
INDEX($J:$J,MATCH($AE140,$M:$M,0)+BN$8-1)),
""),
"")</f>
        <v/>
      </c>
      <c r="BO140" s="21" t="str">
        <f>IFERROR(
IF(COUNTIF($BI140:BN140,INDEX($J:$J,MATCH($AE140,$M:$M,0)+BO$8-1))=0,
IF(COUNTIF($M:$M,$AE140)&lt;BO$8,
"",
INDEX($J:$J,MATCH($AE140,$M:$M,0)+BO$8-1)),
""),
"")</f>
        <v/>
      </c>
      <c r="BP140" s="21" t="str">
        <f>IFERROR(
IF(COUNTIF($BI140:BO140,INDEX($J:$J,MATCH($AE140,$M:$M,0)+BP$8-1))=0,
IF(COUNTIF($M:$M,$AE140)&lt;BP$8,
"",
INDEX($J:$J,MATCH($AE140,$M:$M,0)+BP$8-1)),
""),
"")</f>
        <v/>
      </c>
      <c r="BQ140" s="21" t="str">
        <f>IFERROR(
IF(COUNTIF($BI140:BP140,INDEX($J:$J,MATCH($AE140,$M:$M,0)+BQ$8-1))=0,
IF(COUNTIF($M:$M,$AE140)&lt;BQ$8,
"",
INDEX($J:$J,MATCH($AE140,$M:$M,0)+BQ$8-1)),
""),
"")</f>
        <v/>
      </c>
      <c r="BS140" s="21" t="str">
        <f>IFERROR(
IF(COUNTIF($BI140:BR140,INDEX($J:$J,MATCH($AF140,$M:$M,0)+BS$8-1))=0,
IF(COUNTIF($M:$M,$AF140)&lt;BS$8,
"",
INDEX($J:$J,MATCH($AF140,$M:$M,0)+BS$8-1)),
""),
"")</f>
        <v/>
      </c>
      <c r="BT140" s="21" t="str">
        <f>IFERROR(
IF(COUNTIF($BI140:BS140,INDEX($J:$J,MATCH($AF140,$M:$M,0)+BT$8-1))=0,
IF(COUNTIF($M:$M,$AF140)&lt;BT$8,
"",
INDEX($J:$J,MATCH($AF140,$M:$M,0)+BT$8-1)),
""),
"")</f>
        <v/>
      </c>
      <c r="BU140" s="21" t="str">
        <f>IFERROR(
IF(COUNTIF($BI140:BT140,INDEX($J:$J,MATCH($AF140,$M:$M,0)+BU$8-1))=0,
IF(COUNTIF($M:$M,$AF140)&lt;BU$8,
"",
INDEX($J:$J,MATCH($AF140,$M:$M,0)+BU$8-1)),
""),
"")</f>
        <v/>
      </c>
      <c r="BV140" s="21" t="str">
        <f>IFERROR(
IF(COUNTIF($BI140:BU140,INDEX($J:$J,MATCH($AF140,$M:$M,0)+BV$8-1))=0,
IF(COUNTIF($M:$M,$AF140)&lt;BV$8,
"",
INDEX($J:$J,MATCH($AF140,$M:$M,0)+BV$8-1)),
""),
"")</f>
        <v/>
      </c>
      <c r="BX140" s="21" t="str">
        <f>IFERROR(
IF(COUNTIF($BI140:BW140,INDEX($J:$J,MATCH($AG140,$M:$M,0)+BX$8-1))=0,
IF(COUNTIF($M:$M,$AG140)&lt;BX$8,
"",
INDEX($J:$J,MATCH($AG140,$M:$M,0)+BX$8-1)),
""),
"")</f>
        <v/>
      </c>
      <c r="BY140" s="21" t="str">
        <f>IFERROR(
IF(COUNTIF($BI140:BX140,INDEX($J:$J,MATCH($AG140,$M:$M,0)+BY$8-1))=0,
IF(COUNTIF($M:$M,$AG140)&lt;BY$8,
"",
INDEX($J:$J,MATCH($AG140,$M:$M,0)+BY$8-1)),
""),
"")</f>
        <v/>
      </c>
      <c r="BZ140" s="21" t="str">
        <f>IFERROR(
IF(COUNTIF($BI140:BY140,INDEX($J:$J,MATCH($AG140,$M:$M,0)+BZ$8-1))=0,
IF(COUNTIF($M:$M,$AG140)&lt;BZ$8,
"",
INDEX($J:$J,MATCH($AG140,$M:$M,0)+BZ$8-1)),
""),
"")</f>
        <v/>
      </c>
      <c r="CA140" s="21" t="str">
        <f>IFERROR(
IF(COUNTIF($BI140:BZ140,INDEX($J:$J,MATCH($AG140,$M:$M,0)+CA$8-1))=0,
IF(COUNTIF($M:$M,$AG140)&lt;CA$8,
"",
INDEX($J:$J,MATCH($AG140,$M:$M,0)+CA$8-1)),
""),
"")</f>
        <v/>
      </c>
      <c r="CC140" s="21" t="str">
        <f>IFERROR(
IF(COUNTIF($BI140:CB140,INDEX($J:$J,MATCH($AH140,$M:$M,0)+CC$8-1))=0,
IF(COUNTIF($M:$M,$AH140)&lt;CC$8,
"",
INDEX($J:$J,MATCH($AH140,$M:$M,0)+CC$8-1)),
""),
"")</f>
        <v/>
      </c>
      <c r="CD140" s="21" t="str">
        <f>IFERROR(
IF(COUNTIF($BI140:CC140,INDEX($J:$J,MATCH($AH140,$M:$M,0)+CD$8-1))=0,
IF(COUNTIF($M:$M,$AH140)&lt;CD$8,
"",
INDEX($J:$J,MATCH($AH140,$M:$M,0)+CD$8-1)),
""),
"")</f>
        <v/>
      </c>
      <c r="CE140" s="21" t="str">
        <f>IFERROR(
IF(COUNTIF($BI140:CD140,INDEX($J:$J,MATCH($AH140,$M:$M,0)+CE$8-1))=0,
IF(COUNTIF($M:$M,$AH140)&lt;CE$8,
"",
INDEX($J:$J,MATCH($AH140,$M:$M,0)+CE$8-1)),
""),
"")</f>
        <v/>
      </c>
      <c r="CF140" s="21" t="str">
        <f>IFERROR(
IF(COUNTIF($BI140:CE140,INDEX($J:$J,MATCH($AH140,$M:$M,0)+CF$8-1))=0,
IF(COUNTIF($M:$M,$AH140)&lt;CF$8,
"",
INDEX($J:$J,MATCH($AH140,$M:$M,0)+CF$8-1)),
""),
"")</f>
        <v/>
      </c>
      <c r="CH140" s="21" t="str">
        <f>IFERROR(
IF(COUNTIF($BI140:CG140,INDEX($J:$J,MATCH($AI140,$M:$M,0)+CH$8-1))=0,
IF(COUNTIF($M:$M,$AI140)&lt;CH$8,
"",
INDEX($J:$J,MATCH($AI140,$M:$M,0)+CH$8-1)),
""),
"")</f>
        <v/>
      </c>
      <c r="CI140" s="21" t="str">
        <f>IFERROR(
IF(COUNTIF($BI140:CH140,INDEX($J:$J,MATCH($AI140,$M:$M,0)+CI$8-1))=0,
IF(COUNTIF($M:$M,$AI140)&lt;CI$8,
"",
INDEX($J:$J,MATCH($AI140,$M:$M,0)+CI$8-1)),
""),
"")</f>
        <v/>
      </c>
      <c r="CJ140" s="21" t="str">
        <f>IFERROR(
IF(COUNTIF($BI140:CI140,INDEX($J:$J,MATCH($AI140,$M:$M,0)+CJ$8-1))=0,
IF(COUNTIF($M:$M,$AI140)&lt;CJ$8,
"",
INDEX($J:$J,MATCH($AI140,$M:$M,0)+CJ$8-1)),
""),
"")</f>
        <v/>
      </c>
      <c r="CK140" s="21" t="str">
        <f>IFERROR(
IF(COUNTIF($BI140:CJ140,INDEX($J:$J,MATCH($AI140,$M:$M,0)+CK$8-1))=0,
IF(COUNTIF($M:$M,$AI140)&lt;CK$8,
"",
INDEX($J:$J,MATCH($AI140,$M:$M,0)+CK$8-1)),
""),
"")</f>
        <v/>
      </c>
      <c r="CM140" s="21" t="str">
        <f>IFERROR(
IF(COUNTIF($BI140:CL140,INDEX($J:$J,MATCH($AJ140,$M:$M,0)+CM$8-1))=0,
IF(COUNTIF($M:$M,$AJ140)&lt;CM$8,
"",
INDEX($J:$J,MATCH($AJ140,$M:$M,0)+CM$8-1)),
""),
"")</f>
        <v/>
      </c>
      <c r="CN140" s="21" t="str">
        <f>IFERROR(
IF(COUNTIF($BI140:CM140,INDEX($J:$J,MATCH($AJ140,$M:$M,0)+CN$8-1))=0,
IF(COUNTIF($M:$M,$AJ140)&lt;CN$8,
"",
INDEX($J:$J,MATCH($AJ140,$M:$M,0)+CN$8-1)),
""),
"")</f>
        <v/>
      </c>
      <c r="CO140" s="21" t="str">
        <f>IFERROR(
IF(COUNTIF($BI140:CN140,INDEX($J:$J,MATCH($AJ140,$M:$M,0)+CO$8-1))=0,
IF(COUNTIF($M:$M,$AJ140)&lt;CO$8,
"",
INDEX($J:$J,MATCH($AJ140,$M:$M,0)+CO$8-1)),
""),
"")</f>
        <v/>
      </c>
      <c r="CP140" s="21" t="str">
        <f>IFERROR(
IF(COUNTIF($BI140:CO140,INDEX($J:$J,MATCH($AJ140,$M:$M,0)+CP$8-1))=0,
IF(COUNTIF($M:$M,$AJ140)&lt;CP$8,
"",
INDEX($J:$J,MATCH($AJ140,$M:$M,0)+CP$8-1)),
""),
"")</f>
        <v/>
      </c>
      <c r="CR140" s="21" t="str">
        <f>IFERROR(
IF(COUNTIF($BI140:CQ140,INDEX($J:$J,MATCH($AK140,$M:$M,0)+CR$8-1))=0,
IF(COUNTIF($M:$M,$AK140)&lt;CR$8,
"",
INDEX($J:$J,MATCH($AK140,$M:$M,0)+CR$8-1)),
""),
"")</f>
        <v/>
      </c>
      <c r="CS140" s="21" t="str">
        <f>IFERROR(
IF(COUNTIF($BI140:CR140,INDEX($J:$J,MATCH($AK140,$M:$M,0)+CS$8-1))=0,
IF(COUNTIF($M:$M,$AK140)&lt;CS$8,
"",
INDEX($J:$J,MATCH($AK140,$M:$M,0)+CS$8-1)),
""),
"")</f>
        <v/>
      </c>
      <c r="CT140" s="21" t="str">
        <f>IFERROR(
IF(COUNTIF($BI140:CS140,INDEX($J:$J,MATCH($AK140,$M:$M,0)+CT$8-1))=0,
IF(COUNTIF($M:$M,$AK140)&lt;CT$8,
"",
INDEX($J:$J,MATCH($AK140,$M:$M,0)+CT$8-1)),
""),
"")</f>
        <v/>
      </c>
      <c r="CU140" s="21" t="str">
        <f>IFERROR(
IF(COUNTIF($BI140:CT140,INDEX($J:$J,MATCH($AK140,$M:$M,0)+CU$8-1))=0,
IF(COUNTIF($M:$M,$AK140)&lt;CU$8,
"",
INDEX($J:$J,MATCH($AK140,$M:$M,0)+CU$8-1)),
""),
"")</f>
        <v/>
      </c>
    </row>
    <row r="141" spans="8:99">
      <c r="H141" s="7">
        <f>IF(I141="","",COUNTA(I$9:$I141))</f>
        <v>105</v>
      </c>
      <c r="I141" s="6" t="s">
        <v>262</v>
      </c>
      <c r="J141" s="6" t="s">
        <v>265</v>
      </c>
      <c r="K141" s="8" t="str">
        <f>IF(H141="","",阶段合并区域(J141:J144," ",L141:L144,1))</f>
        <v>墨子 扁鹊 伯乐 欧冶子</v>
      </c>
      <c r="L141" s="8">
        <f>COUNTIF(M$8:$M141,"="&amp;M141)</f>
        <v>1</v>
      </c>
      <c r="M141" s="9" t="str">
        <f t="shared" si="31"/>
        <v>出类拔萃</v>
      </c>
      <c r="N141" s="9" t="str">
        <f t="shared" si="32"/>
        <v>出类拔萃1</v>
      </c>
      <c r="O141" s="15">
        <f>INDEX(C:C,MATCH(J141,D:D,0))</f>
        <v>59</v>
      </c>
      <c r="P141" s="9">
        <f>INDEX(E:E,MATCH(J141,D:D,0))</f>
        <v>130</v>
      </c>
      <c r="Q141" s="7">
        <f t="shared" si="34"/>
        <v>59</v>
      </c>
      <c r="R141" s="7">
        <f>COUNTIF(J$8:$J141,"="&amp;J141)</f>
        <v>1</v>
      </c>
      <c r="S141" s="7">
        <f t="shared" si="33"/>
        <v>1059</v>
      </c>
      <c r="U141" s="7">
        <f t="shared" si="24"/>
        <v>1000</v>
      </c>
      <c r="V141" s="7">
        <f t="shared" si="24"/>
        <v>2000</v>
      </c>
      <c r="W141" s="7">
        <f t="shared" si="24"/>
        <v>3000</v>
      </c>
      <c r="X141" s="7">
        <f t="shared" si="24"/>
        <v>4000</v>
      </c>
      <c r="Y141" s="7">
        <f t="shared" si="24"/>
        <v>5000</v>
      </c>
      <c r="Z141" s="7">
        <f t="shared" si="24"/>
        <v>6000</v>
      </c>
      <c r="AA141" s="7">
        <f t="shared" si="24"/>
        <v>7000</v>
      </c>
      <c r="AB141" s="7">
        <f t="shared" si="24"/>
        <v>8000</v>
      </c>
      <c r="AD141" s="21" t="str">
        <f>IFERROR(INDEX($M:$M,MATCH(U141,$S:$S,0)),"&amp;")</f>
        <v>&amp;</v>
      </c>
      <c r="AE141" s="21" t="str">
        <f>IFERROR(INDEX($M:$M,MATCH(V141,$S:$S,0)),"&amp;")</f>
        <v>&amp;</v>
      </c>
      <c r="AF141" s="21" t="str">
        <f>IFERROR(INDEX($M:$M,MATCH(W141,$S:$S,0)),"&amp;")</f>
        <v>&amp;</v>
      </c>
      <c r="AG141" s="21" t="str">
        <f>IFERROR(INDEX($M:$M,MATCH(X141,$S:$S,0)),"&amp;")</f>
        <v>&amp;</v>
      </c>
      <c r="AH141" s="21" t="str">
        <f>IFERROR(INDEX($M:$M,MATCH(Y141,$S:$S,0)),"&amp;")</f>
        <v>&amp;</v>
      </c>
      <c r="AI141" s="21" t="str">
        <f>IFERROR(INDEX($M:$M,MATCH(Z141,$S:$S,0)),"&amp;")</f>
        <v>&amp;</v>
      </c>
      <c r="AJ141" s="21" t="str">
        <f>IFERROR(INDEX($M:$M,MATCH(AA141,$S:$S,0)),"&amp;")</f>
        <v>&amp;</v>
      </c>
      <c r="AK141" s="21" t="str">
        <f>IFERROR(INDEX($M:$M,MATCH(AB141,$S:$S,0)),"&amp;")</f>
        <v>&amp;</v>
      </c>
      <c r="AM141" s="21" t="str">
        <f>IFERROR(INDEX($N:$N,MATCH(U141,$S:$S,0)),"&amp;")</f>
        <v>&amp;</v>
      </c>
      <c r="AN141" s="21" t="str">
        <f>IFERROR(INDEX($N:$N,MATCH(V141,$S:$S,0)),"&amp;")</f>
        <v>&amp;</v>
      </c>
      <c r="AO141" s="21" t="str">
        <f>IFERROR(INDEX($N:$N,MATCH(W141,$S:$S,0)),"&amp;")</f>
        <v>&amp;</v>
      </c>
      <c r="AP141" s="21" t="str">
        <f>IFERROR(INDEX($N:$N,MATCH(X141,$S:$S,0)),"&amp;")</f>
        <v>&amp;</v>
      </c>
      <c r="AQ141" s="21" t="str">
        <f>IFERROR(INDEX($N:$N,MATCH(Y141,$S:$S,0)),"&amp;")</f>
        <v>&amp;</v>
      </c>
      <c r="AR141" s="21" t="str">
        <f>IFERROR(INDEX($N:$N,MATCH(Z141,$S:$S,0)),"&amp;")</f>
        <v>&amp;</v>
      </c>
      <c r="AS141" s="21" t="str">
        <f>IFERROR(INDEX($N:$N,MATCH(AA141,$S:$S,0)),"&amp;")</f>
        <v>&amp;</v>
      </c>
      <c r="AT141" s="21" t="str">
        <f>IFERROR(INDEX($N:$N,MATCH(AB141,$S:$S,0)),"&amp;")</f>
        <v>&amp;</v>
      </c>
      <c r="AV141" s="21" t="str">
        <f>IFERROR(SUBSTITUTE(INDEX($K:$K,MATCH(INDEX($M:$M,MATCH(AM141,$N:$N,0)),$M:$M,0)),$D141,""),"")</f>
        <v/>
      </c>
      <c r="AW141" s="21" t="str">
        <f>IFERROR(SUBSTITUTE(INDEX($K:$K,MATCH(INDEX($M:$M,MATCH(AN141,$N:$N,0)),$M:$M,0)),$D141,""),"")</f>
        <v/>
      </c>
      <c r="AX141" s="21" t="str">
        <f>IFERROR(SUBSTITUTE(INDEX($K:$K,MATCH(INDEX($M:$M,MATCH(AO141,$N:$N,0)),$M:$M,0)),$D141,""),"")</f>
        <v/>
      </c>
      <c r="AY141" s="21" t="str">
        <f>IFERROR(SUBSTITUTE(INDEX($K:$K,MATCH(INDEX($M:$M,MATCH(AP141,$N:$N,0)),$M:$M,0)),$D141,""),"")</f>
        <v/>
      </c>
      <c r="AZ141" s="21" t="str">
        <f>IFERROR(SUBSTITUTE(INDEX($K:$K,MATCH(INDEX($M:$M,MATCH(AQ141,$N:$N,0)),$M:$M,0)),$D141,""),"")</f>
        <v/>
      </c>
      <c r="BA141" s="21" t="str">
        <f>IFERROR(SUBSTITUTE(INDEX($K:$K,MATCH(INDEX($M:$M,MATCH(AR141,$N:$N,0)),$M:$M,0)),$D141,""),"")</f>
        <v/>
      </c>
      <c r="BB141" s="21" t="str">
        <f>IFERROR(SUBSTITUTE(INDEX($K:$K,MATCH(INDEX($M:$M,MATCH(AS141,$N:$N,0)),$M:$M,0)),$D141,""),"")</f>
        <v/>
      </c>
      <c r="BC141" s="21" t="str">
        <f>IFERROR(SUBSTITUTE(INDEX($K:$K,MATCH(INDEX($M:$M,MATCH(AT141,$N:$N,0)),$M:$M,0)),$D141,""),"")</f>
        <v/>
      </c>
      <c r="BE141" s="9" t="str">
        <f t="shared" si="35"/>
        <v/>
      </c>
      <c r="BI141" s="9" t="str">
        <f>IFERROR(
IF(COUNTIF($M:$M,$AD141)&lt;BI$8,
"",
INDEX($J:$J,MATCH($AD141,$M:$M,0)+BI$8-1)),
"")</f>
        <v/>
      </c>
      <c r="BJ141" s="9" t="str">
        <f>IFERROR(
IF(COUNTIF($M:$M,$AD141)&lt;BJ$8,
"",
INDEX($J:$J,MATCH($AD141,$M:$M,0)+BJ$8-1)),
"")</f>
        <v/>
      </c>
      <c r="BK141" s="9" t="str">
        <f>IFERROR(
IF(COUNTIF($M:$M,$AD141)&lt;BK$8,
"",
INDEX($J:$J,MATCH($AD141,$M:$M,0)+BK$8-1)),
"")</f>
        <v/>
      </c>
      <c r="BL141" s="9" t="str">
        <f>IFERROR(
IF(COUNTIF($M:$M,$AD141)&lt;BL$8,
"",
INDEX($J:$J,MATCH($AD141,$M:$M,0)+BL$8-1)),
"")</f>
        <v/>
      </c>
      <c r="BN141" s="21" t="str">
        <f>IFERROR(
IF(COUNTIF($BI141:BM141,INDEX($J:$J,MATCH($AE141,$M:$M,0)+BN$8-1))=0,
IF(COUNTIF($M:$M,$AE141)&lt;BN$8,
"",
INDEX($J:$J,MATCH($AE141,$M:$M,0)+BN$8-1)),
""),
"")</f>
        <v/>
      </c>
      <c r="BO141" s="21" t="str">
        <f>IFERROR(
IF(COUNTIF($BI141:BN141,INDEX($J:$J,MATCH($AE141,$M:$M,0)+BO$8-1))=0,
IF(COUNTIF($M:$M,$AE141)&lt;BO$8,
"",
INDEX($J:$J,MATCH($AE141,$M:$M,0)+BO$8-1)),
""),
"")</f>
        <v/>
      </c>
      <c r="BP141" s="21" t="str">
        <f>IFERROR(
IF(COUNTIF($BI141:BO141,INDEX($J:$J,MATCH($AE141,$M:$M,0)+BP$8-1))=0,
IF(COUNTIF($M:$M,$AE141)&lt;BP$8,
"",
INDEX($J:$J,MATCH($AE141,$M:$M,0)+BP$8-1)),
""),
"")</f>
        <v/>
      </c>
      <c r="BQ141" s="21" t="str">
        <f>IFERROR(
IF(COUNTIF($BI141:BP141,INDEX($J:$J,MATCH($AE141,$M:$M,0)+BQ$8-1))=0,
IF(COUNTIF($M:$M,$AE141)&lt;BQ$8,
"",
INDEX($J:$J,MATCH($AE141,$M:$M,0)+BQ$8-1)),
""),
"")</f>
        <v/>
      </c>
      <c r="BS141" s="21" t="str">
        <f>IFERROR(
IF(COUNTIF($BI141:BR141,INDEX($J:$J,MATCH($AF141,$M:$M,0)+BS$8-1))=0,
IF(COUNTIF($M:$M,$AF141)&lt;BS$8,
"",
INDEX($J:$J,MATCH($AF141,$M:$M,0)+BS$8-1)),
""),
"")</f>
        <v/>
      </c>
      <c r="BT141" s="21" t="str">
        <f>IFERROR(
IF(COUNTIF($BI141:BS141,INDEX($J:$J,MATCH($AF141,$M:$M,0)+BT$8-1))=0,
IF(COUNTIF($M:$M,$AF141)&lt;BT$8,
"",
INDEX($J:$J,MATCH($AF141,$M:$M,0)+BT$8-1)),
""),
"")</f>
        <v/>
      </c>
      <c r="BU141" s="21" t="str">
        <f>IFERROR(
IF(COUNTIF($BI141:BT141,INDEX($J:$J,MATCH($AF141,$M:$M,0)+BU$8-1))=0,
IF(COUNTIF($M:$M,$AF141)&lt;BU$8,
"",
INDEX($J:$J,MATCH($AF141,$M:$M,0)+BU$8-1)),
""),
"")</f>
        <v/>
      </c>
      <c r="BV141" s="21" t="str">
        <f>IFERROR(
IF(COUNTIF($BI141:BU141,INDEX($J:$J,MATCH($AF141,$M:$M,0)+BV$8-1))=0,
IF(COUNTIF($M:$M,$AF141)&lt;BV$8,
"",
INDEX($J:$J,MATCH($AF141,$M:$M,0)+BV$8-1)),
""),
"")</f>
        <v/>
      </c>
      <c r="BX141" s="21" t="str">
        <f>IFERROR(
IF(COUNTIF($BI141:BW141,INDEX($J:$J,MATCH($AG141,$M:$M,0)+BX$8-1))=0,
IF(COUNTIF($M:$M,$AG141)&lt;BX$8,
"",
INDEX($J:$J,MATCH($AG141,$M:$M,0)+BX$8-1)),
""),
"")</f>
        <v/>
      </c>
      <c r="BY141" s="21" t="str">
        <f>IFERROR(
IF(COUNTIF($BI141:BX141,INDEX($J:$J,MATCH($AG141,$M:$M,0)+BY$8-1))=0,
IF(COUNTIF($M:$M,$AG141)&lt;BY$8,
"",
INDEX($J:$J,MATCH($AG141,$M:$M,0)+BY$8-1)),
""),
"")</f>
        <v/>
      </c>
      <c r="BZ141" s="21" t="str">
        <f>IFERROR(
IF(COUNTIF($BI141:BY141,INDEX($J:$J,MATCH($AG141,$M:$M,0)+BZ$8-1))=0,
IF(COUNTIF($M:$M,$AG141)&lt;BZ$8,
"",
INDEX($J:$J,MATCH($AG141,$M:$M,0)+BZ$8-1)),
""),
"")</f>
        <v/>
      </c>
      <c r="CA141" s="21" t="str">
        <f>IFERROR(
IF(COUNTIF($BI141:BZ141,INDEX($J:$J,MATCH($AG141,$M:$M,0)+CA$8-1))=0,
IF(COUNTIF($M:$M,$AG141)&lt;CA$8,
"",
INDEX($J:$J,MATCH($AG141,$M:$M,0)+CA$8-1)),
""),
"")</f>
        <v/>
      </c>
      <c r="CC141" s="21" t="str">
        <f>IFERROR(
IF(COUNTIF($BI141:CB141,INDEX($J:$J,MATCH($AH141,$M:$M,0)+CC$8-1))=0,
IF(COUNTIF($M:$M,$AH141)&lt;CC$8,
"",
INDEX($J:$J,MATCH($AH141,$M:$M,0)+CC$8-1)),
""),
"")</f>
        <v/>
      </c>
      <c r="CD141" s="21" t="str">
        <f>IFERROR(
IF(COUNTIF($BI141:CC141,INDEX($J:$J,MATCH($AH141,$M:$M,0)+CD$8-1))=0,
IF(COUNTIF($M:$M,$AH141)&lt;CD$8,
"",
INDEX($J:$J,MATCH($AH141,$M:$M,0)+CD$8-1)),
""),
"")</f>
        <v/>
      </c>
      <c r="CE141" s="21" t="str">
        <f>IFERROR(
IF(COUNTIF($BI141:CD141,INDEX($J:$J,MATCH($AH141,$M:$M,0)+CE$8-1))=0,
IF(COUNTIF($M:$M,$AH141)&lt;CE$8,
"",
INDEX($J:$J,MATCH($AH141,$M:$M,0)+CE$8-1)),
""),
"")</f>
        <v/>
      </c>
      <c r="CF141" s="21" t="str">
        <f>IFERROR(
IF(COUNTIF($BI141:CE141,INDEX($J:$J,MATCH($AH141,$M:$M,0)+CF$8-1))=0,
IF(COUNTIF($M:$M,$AH141)&lt;CF$8,
"",
INDEX($J:$J,MATCH($AH141,$M:$M,0)+CF$8-1)),
""),
"")</f>
        <v/>
      </c>
      <c r="CH141" s="21" t="str">
        <f>IFERROR(
IF(COUNTIF($BI141:CG141,INDEX($J:$J,MATCH($AI141,$M:$M,0)+CH$8-1))=0,
IF(COUNTIF($M:$M,$AI141)&lt;CH$8,
"",
INDEX($J:$J,MATCH($AI141,$M:$M,0)+CH$8-1)),
""),
"")</f>
        <v/>
      </c>
      <c r="CI141" s="21" t="str">
        <f>IFERROR(
IF(COUNTIF($BI141:CH141,INDEX($J:$J,MATCH($AI141,$M:$M,0)+CI$8-1))=0,
IF(COUNTIF($M:$M,$AI141)&lt;CI$8,
"",
INDEX($J:$J,MATCH($AI141,$M:$M,0)+CI$8-1)),
""),
"")</f>
        <v/>
      </c>
      <c r="CJ141" s="21" t="str">
        <f>IFERROR(
IF(COUNTIF($BI141:CI141,INDEX($J:$J,MATCH($AI141,$M:$M,0)+CJ$8-1))=0,
IF(COUNTIF($M:$M,$AI141)&lt;CJ$8,
"",
INDEX($J:$J,MATCH($AI141,$M:$M,0)+CJ$8-1)),
""),
"")</f>
        <v/>
      </c>
      <c r="CK141" s="21" t="str">
        <f>IFERROR(
IF(COUNTIF($BI141:CJ141,INDEX($J:$J,MATCH($AI141,$M:$M,0)+CK$8-1))=0,
IF(COUNTIF($M:$M,$AI141)&lt;CK$8,
"",
INDEX($J:$J,MATCH($AI141,$M:$M,0)+CK$8-1)),
""),
"")</f>
        <v/>
      </c>
      <c r="CM141" s="21" t="str">
        <f>IFERROR(
IF(COUNTIF($BI141:CL141,INDEX($J:$J,MATCH($AJ141,$M:$M,0)+CM$8-1))=0,
IF(COUNTIF($M:$M,$AJ141)&lt;CM$8,
"",
INDEX($J:$J,MATCH($AJ141,$M:$M,0)+CM$8-1)),
""),
"")</f>
        <v/>
      </c>
      <c r="CN141" s="21" t="str">
        <f>IFERROR(
IF(COUNTIF($BI141:CM141,INDEX($J:$J,MATCH($AJ141,$M:$M,0)+CN$8-1))=0,
IF(COUNTIF($M:$M,$AJ141)&lt;CN$8,
"",
INDEX($J:$J,MATCH($AJ141,$M:$M,0)+CN$8-1)),
""),
"")</f>
        <v/>
      </c>
      <c r="CO141" s="21" t="str">
        <f>IFERROR(
IF(COUNTIF($BI141:CN141,INDEX($J:$J,MATCH($AJ141,$M:$M,0)+CO$8-1))=0,
IF(COUNTIF($M:$M,$AJ141)&lt;CO$8,
"",
INDEX($J:$J,MATCH($AJ141,$M:$M,0)+CO$8-1)),
""),
"")</f>
        <v/>
      </c>
      <c r="CP141" s="21" t="str">
        <f>IFERROR(
IF(COUNTIF($BI141:CO141,INDEX($J:$J,MATCH($AJ141,$M:$M,0)+CP$8-1))=0,
IF(COUNTIF($M:$M,$AJ141)&lt;CP$8,
"",
INDEX($J:$J,MATCH($AJ141,$M:$M,0)+CP$8-1)),
""),
"")</f>
        <v/>
      </c>
      <c r="CR141" s="21" t="str">
        <f>IFERROR(
IF(COUNTIF($BI141:CQ141,INDEX($J:$J,MATCH($AK141,$M:$M,0)+CR$8-1))=0,
IF(COUNTIF($M:$M,$AK141)&lt;CR$8,
"",
INDEX($J:$J,MATCH($AK141,$M:$M,0)+CR$8-1)),
""),
"")</f>
        <v/>
      </c>
      <c r="CS141" s="21" t="str">
        <f>IFERROR(
IF(COUNTIF($BI141:CR141,INDEX($J:$J,MATCH($AK141,$M:$M,0)+CS$8-1))=0,
IF(COUNTIF($M:$M,$AK141)&lt;CS$8,
"",
INDEX($J:$J,MATCH($AK141,$M:$M,0)+CS$8-1)),
""),
"")</f>
        <v/>
      </c>
      <c r="CT141" s="21" t="str">
        <f>IFERROR(
IF(COUNTIF($BI141:CS141,INDEX($J:$J,MATCH($AK141,$M:$M,0)+CT$8-1))=0,
IF(COUNTIF($M:$M,$AK141)&lt;CT$8,
"",
INDEX($J:$J,MATCH($AK141,$M:$M,0)+CT$8-1)),
""),
"")</f>
        <v/>
      </c>
      <c r="CU141" s="21" t="str">
        <f>IFERROR(
IF(COUNTIF($BI141:CT141,INDEX($J:$J,MATCH($AK141,$M:$M,0)+CU$8-1))=0,
IF(COUNTIF($M:$M,$AK141)&lt;CU$8,
"",
INDEX($J:$J,MATCH($AK141,$M:$M,0)+CU$8-1)),
""),
"")</f>
        <v/>
      </c>
    </row>
    <row r="142" spans="8:99">
      <c r="H142" s="7" t="str">
        <f>IF(I142="","",COUNTA(I$9:$I142))</f>
        <v/>
      </c>
      <c r="I142" s="6"/>
      <c r="J142" s="6" t="s">
        <v>220</v>
      </c>
      <c r="K142" s="8" t="str">
        <f>IF(H142="","",阶段合并区域(J142:J144," ",L142:L144,1))</f>
        <v/>
      </c>
      <c r="L142" s="8">
        <f>COUNTIF(M$8:$M142,"="&amp;M142)</f>
        <v>2</v>
      </c>
      <c r="M142" s="9" t="str">
        <f t="shared" si="31"/>
        <v>出类拔萃</v>
      </c>
      <c r="N142" s="9" t="str">
        <f t="shared" si="32"/>
        <v>出类拔萃2</v>
      </c>
      <c r="O142" s="15">
        <f>INDEX(C:C,MATCH(J142,D:D,0))</f>
        <v>32</v>
      </c>
      <c r="P142" s="9">
        <f>INDEX(E:E,MATCH(J142,D:D,0))</f>
        <v>120</v>
      </c>
      <c r="Q142" s="7">
        <f t="shared" si="34"/>
        <v>32</v>
      </c>
      <c r="R142" s="7">
        <f>COUNTIF(J$8:$J142,"="&amp;J142)</f>
        <v>4</v>
      </c>
      <c r="S142" s="7">
        <f t="shared" si="33"/>
        <v>4032</v>
      </c>
      <c r="U142" s="7">
        <f t="shared" si="24"/>
        <v>1000</v>
      </c>
      <c r="V142" s="7">
        <f t="shared" si="24"/>
        <v>2000</v>
      </c>
      <c r="W142" s="7">
        <f t="shared" si="24"/>
        <v>3000</v>
      </c>
      <c r="X142" s="7">
        <f t="shared" si="24"/>
        <v>4000</v>
      </c>
      <c r="Y142" s="7">
        <f t="shared" si="24"/>
        <v>5000</v>
      </c>
      <c r="Z142" s="7">
        <f t="shared" si="24"/>
        <v>6000</v>
      </c>
      <c r="AA142" s="7">
        <f t="shared" si="24"/>
        <v>7000</v>
      </c>
      <c r="AB142" s="7">
        <f t="shared" si="24"/>
        <v>8000</v>
      </c>
      <c r="AD142" s="21" t="str">
        <f>IFERROR(INDEX($M:$M,MATCH(U142,$S:$S,0)),"&amp;")</f>
        <v>&amp;</v>
      </c>
      <c r="AE142" s="21" t="str">
        <f>IFERROR(INDEX($M:$M,MATCH(V142,$S:$S,0)),"&amp;")</f>
        <v>&amp;</v>
      </c>
      <c r="AF142" s="21" t="str">
        <f>IFERROR(INDEX($M:$M,MATCH(W142,$S:$S,0)),"&amp;")</f>
        <v>&amp;</v>
      </c>
      <c r="AG142" s="21" t="str">
        <f>IFERROR(INDEX($M:$M,MATCH(X142,$S:$S,0)),"&amp;")</f>
        <v>&amp;</v>
      </c>
      <c r="AH142" s="21" t="str">
        <f>IFERROR(INDEX($M:$M,MATCH(Y142,$S:$S,0)),"&amp;")</f>
        <v>&amp;</v>
      </c>
      <c r="AI142" s="21" t="str">
        <f>IFERROR(INDEX($M:$M,MATCH(Z142,$S:$S,0)),"&amp;")</f>
        <v>&amp;</v>
      </c>
      <c r="AJ142" s="21" t="str">
        <f>IFERROR(INDEX($M:$M,MATCH(AA142,$S:$S,0)),"&amp;")</f>
        <v>&amp;</v>
      </c>
      <c r="AK142" s="21" t="str">
        <f>IFERROR(INDEX($M:$M,MATCH(AB142,$S:$S,0)),"&amp;")</f>
        <v>&amp;</v>
      </c>
      <c r="AM142" s="21" t="str">
        <f>IFERROR(INDEX($N:$N,MATCH(U142,$S:$S,0)),"&amp;")</f>
        <v>&amp;</v>
      </c>
      <c r="AN142" s="21" t="str">
        <f>IFERROR(INDEX($N:$N,MATCH(V142,$S:$S,0)),"&amp;")</f>
        <v>&amp;</v>
      </c>
      <c r="AO142" s="21" t="str">
        <f>IFERROR(INDEX($N:$N,MATCH(W142,$S:$S,0)),"&amp;")</f>
        <v>&amp;</v>
      </c>
      <c r="AP142" s="21" t="str">
        <f>IFERROR(INDEX($N:$N,MATCH(X142,$S:$S,0)),"&amp;")</f>
        <v>&amp;</v>
      </c>
      <c r="AQ142" s="21" t="str">
        <f>IFERROR(INDEX($N:$N,MATCH(Y142,$S:$S,0)),"&amp;")</f>
        <v>&amp;</v>
      </c>
      <c r="AR142" s="21" t="str">
        <f>IFERROR(INDEX($N:$N,MATCH(Z142,$S:$S,0)),"&amp;")</f>
        <v>&amp;</v>
      </c>
      <c r="AS142" s="21" t="str">
        <f>IFERROR(INDEX($N:$N,MATCH(AA142,$S:$S,0)),"&amp;")</f>
        <v>&amp;</v>
      </c>
      <c r="AT142" s="21" t="str">
        <f>IFERROR(INDEX($N:$N,MATCH(AB142,$S:$S,0)),"&amp;")</f>
        <v>&amp;</v>
      </c>
      <c r="AV142" s="21" t="str">
        <f>IFERROR(SUBSTITUTE(INDEX($K:$K,MATCH(INDEX($M:$M,MATCH(AM142,$N:$N,0)),$M:$M,0)),$D142,""),"")</f>
        <v/>
      </c>
      <c r="AW142" s="21" t="str">
        <f>IFERROR(SUBSTITUTE(INDEX($K:$K,MATCH(INDEX($M:$M,MATCH(AN142,$N:$N,0)),$M:$M,0)),$D142,""),"")</f>
        <v/>
      </c>
      <c r="AX142" s="21" t="str">
        <f>IFERROR(SUBSTITUTE(INDEX($K:$K,MATCH(INDEX($M:$M,MATCH(AO142,$N:$N,0)),$M:$M,0)),$D142,""),"")</f>
        <v/>
      </c>
      <c r="AY142" s="21" t="str">
        <f>IFERROR(SUBSTITUTE(INDEX($K:$K,MATCH(INDEX($M:$M,MATCH(AP142,$N:$N,0)),$M:$M,0)),$D142,""),"")</f>
        <v/>
      </c>
      <c r="AZ142" s="21" t="str">
        <f>IFERROR(SUBSTITUTE(INDEX($K:$K,MATCH(INDEX($M:$M,MATCH(AQ142,$N:$N,0)),$M:$M,0)),$D142,""),"")</f>
        <v/>
      </c>
      <c r="BA142" s="21" t="str">
        <f>IFERROR(SUBSTITUTE(INDEX($K:$K,MATCH(INDEX($M:$M,MATCH(AR142,$N:$N,0)),$M:$M,0)),$D142,""),"")</f>
        <v/>
      </c>
      <c r="BB142" s="21" t="str">
        <f>IFERROR(SUBSTITUTE(INDEX($K:$K,MATCH(INDEX($M:$M,MATCH(AS142,$N:$N,0)),$M:$M,0)),$D142,""),"")</f>
        <v/>
      </c>
      <c r="BC142" s="21" t="str">
        <f>IFERROR(SUBSTITUTE(INDEX($K:$K,MATCH(INDEX($M:$M,MATCH(AT142,$N:$N,0)),$M:$M,0)),$D142,""),"")</f>
        <v/>
      </c>
      <c r="BE142" s="9" t="str">
        <f t="shared" si="35"/>
        <v/>
      </c>
      <c r="BI142" s="9" t="str">
        <f>IFERROR(
IF(COUNTIF($M:$M,$AD142)&lt;BI$8,
"",
INDEX($J:$J,MATCH($AD142,$M:$M,0)+BI$8-1)),
"")</f>
        <v/>
      </c>
      <c r="BJ142" s="9" t="str">
        <f>IFERROR(
IF(COUNTIF($M:$M,$AD142)&lt;BJ$8,
"",
INDEX($J:$J,MATCH($AD142,$M:$M,0)+BJ$8-1)),
"")</f>
        <v/>
      </c>
      <c r="BK142" s="9" t="str">
        <f>IFERROR(
IF(COUNTIF($M:$M,$AD142)&lt;BK$8,
"",
INDEX($J:$J,MATCH($AD142,$M:$M,0)+BK$8-1)),
"")</f>
        <v/>
      </c>
      <c r="BL142" s="9" t="str">
        <f>IFERROR(
IF(COUNTIF($M:$M,$AD142)&lt;BL$8,
"",
INDEX($J:$J,MATCH($AD142,$M:$M,0)+BL$8-1)),
"")</f>
        <v/>
      </c>
      <c r="BN142" s="21" t="str">
        <f>IFERROR(
IF(COUNTIF($BI142:BM142,INDEX($J:$J,MATCH($AE142,$M:$M,0)+BN$8-1))=0,
IF(COUNTIF($M:$M,$AE142)&lt;BN$8,
"",
INDEX($J:$J,MATCH($AE142,$M:$M,0)+BN$8-1)),
""),
"")</f>
        <v/>
      </c>
      <c r="BO142" s="21" t="str">
        <f>IFERROR(
IF(COUNTIF($BI142:BN142,INDEX($J:$J,MATCH($AE142,$M:$M,0)+BO$8-1))=0,
IF(COUNTIF($M:$M,$AE142)&lt;BO$8,
"",
INDEX($J:$J,MATCH($AE142,$M:$M,0)+BO$8-1)),
""),
"")</f>
        <v/>
      </c>
      <c r="BP142" s="21" t="str">
        <f>IFERROR(
IF(COUNTIF($BI142:BO142,INDEX($J:$J,MATCH($AE142,$M:$M,0)+BP$8-1))=0,
IF(COUNTIF($M:$M,$AE142)&lt;BP$8,
"",
INDEX($J:$J,MATCH($AE142,$M:$M,0)+BP$8-1)),
""),
"")</f>
        <v/>
      </c>
      <c r="BQ142" s="21" t="str">
        <f>IFERROR(
IF(COUNTIF($BI142:BP142,INDEX($J:$J,MATCH($AE142,$M:$M,0)+BQ$8-1))=0,
IF(COUNTIF($M:$M,$AE142)&lt;BQ$8,
"",
INDEX($J:$J,MATCH($AE142,$M:$M,0)+BQ$8-1)),
""),
"")</f>
        <v/>
      </c>
      <c r="BS142" s="21" t="str">
        <f>IFERROR(
IF(COUNTIF($BI142:BR142,INDEX($J:$J,MATCH($AF142,$M:$M,0)+BS$8-1))=0,
IF(COUNTIF($M:$M,$AF142)&lt;BS$8,
"",
INDEX($J:$J,MATCH($AF142,$M:$M,0)+BS$8-1)),
""),
"")</f>
        <v/>
      </c>
      <c r="BT142" s="21" t="str">
        <f>IFERROR(
IF(COUNTIF($BI142:BS142,INDEX($J:$J,MATCH($AF142,$M:$M,0)+BT$8-1))=0,
IF(COUNTIF($M:$M,$AF142)&lt;BT$8,
"",
INDEX($J:$J,MATCH($AF142,$M:$M,0)+BT$8-1)),
""),
"")</f>
        <v/>
      </c>
      <c r="BU142" s="21" t="str">
        <f>IFERROR(
IF(COUNTIF($BI142:BT142,INDEX($J:$J,MATCH($AF142,$M:$M,0)+BU$8-1))=0,
IF(COUNTIF($M:$M,$AF142)&lt;BU$8,
"",
INDEX($J:$J,MATCH($AF142,$M:$M,0)+BU$8-1)),
""),
"")</f>
        <v/>
      </c>
      <c r="BV142" s="21" t="str">
        <f>IFERROR(
IF(COUNTIF($BI142:BU142,INDEX($J:$J,MATCH($AF142,$M:$M,0)+BV$8-1))=0,
IF(COUNTIF($M:$M,$AF142)&lt;BV$8,
"",
INDEX($J:$J,MATCH($AF142,$M:$M,0)+BV$8-1)),
""),
"")</f>
        <v/>
      </c>
      <c r="BX142" s="21" t="str">
        <f>IFERROR(
IF(COUNTIF($BI142:BW142,INDEX($J:$J,MATCH($AG142,$M:$M,0)+BX$8-1))=0,
IF(COUNTIF($M:$M,$AG142)&lt;BX$8,
"",
INDEX($J:$J,MATCH($AG142,$M:$M,0)+BX$8-1)),
""),
"")</f>
        <v/>
      </c>
      <c r="BY142" s="21" t="str">
        <f>IFERROR(
IF(COUNTIF($BI142:BX142,INDEX($J:$J,MATCH($AG142,$M:$M,0)+BY$8-1))=0,
IF(COUNTIF($M:$M,$AG142)&lt;BY$8,
"",
INDEX($J:$J,MATCH($AG142,$M:$M,0)+BY$8-1)),
""),
"")</f>
        <v/>
      </c>
      <c r="BZ142" s="21" t="str">
        <f>IFERROR(
IF(COUNTIF($BI142:BY142,INDEX($J:$J,MATCH($AG142,$M:$M,0)+BZ$8-1))=0,
IF(COUNTIF($M:$M,$AG142)&lt;BZ$8,
"",
INDEX($J:$J,MATCH($AG142,$M:$M,0)+BZ$8-1)),
""),
"")</f>
        <v/>
      </c>
      <c r="CA142" s="21" t="str">
        <f>IFERROR(
IF(COUNTIF($BI142:BZ142,INDEX($J:$J,MATCH($AG142,$M:$M,0)+CA$8-1))=0,
IF(COUNTIF($M:$M,$AG142)&lt;CA$8,
"",
INDEX($J:$J,MATCH($AG142,$M:$M,0)+CA$8-1)),
""),
"")</f>
        <v/>
      </c>
      <c r="CC142" s="21" t="str">
        <f>IFERROR(
IF(COUNTIF($BI142:CB142,INDEX($J:$J,MATCH($AH142,$M:$M,0)+CC$8-1))=0,
IF(COUNTIF($M:$M,$AH142)&lt;CC$8,
"",
INDEX($J:$J,MATCH($AH142,$M:$M,0)+CC$8-1)),
""),
"")</f>
        <v/>
      </c>
      <c r="CD142" s="21" t="str">
        <f>IFERROR(
IF(COUNTIF($BI142:CC142,INDEX($J:$J,MATCH($AH142,$M:$M,0)+CD$8-1))=0,
IF(COUNTIF($M:$M,$AH142)&lt;CD$8,
"",
INDEX($J:$J,MATCH($AH142,$M:$M,0)+CD$8-1)),
""),
"")</f>
        <v/>
      </c>
      <c r="CE142" s="21" t="str">
        <f>IFERROR(
IF(COUNTIF($BI142:CD142,INDEX($J:$J,MATCH($AH142,$M:$M,0)+CE$8-1))=0,
IF(COUNTIF($M:$M,$AH142)&lt;CE$8,
"",
INDEX($J:$J,MATCH($AH142,$M:$M,0)+CE$8-1)),
""),
"")</f>
        <v/>
      </c>
      <c r="CF142" s="21" t="str">
        <f>IFERROR(
IF(COUNTIF($BI142:CE142,INDEX($J:$J,MATCH($AH142,$M:$M,0)+CF$8-1))=0,
IF(COUNTIF($M:$M,$AH142)&lt;CF$8,
"",
INDEX($J:$J,MATCH($AH142,$M:$M,0)+CF$8-1)),
""),
"")</f>
        <v/>
      </c>
      <c r="CH142" s="21" t="str">
        <f>IFERROR(
IF(COUNTIF($BI142:CG142,INDEX($J:$J,MATCH($AI142,$M:$M,0)+CH$8-1))=0,
IF(COUNTIF($M:$M,$AI142)&lt;CH$8,
"",
INDEX($J:$J,MATCH($AI142,$M:$M,0)+CH$8-1)),
""),
"")</f>
        <v/>
      </c>
      <c r="CI142" s="21" t="str">
        <f>IFERROR(
IF(COUNTIF($BI142:CH142,INDEX($J:$J,MATCH($AI142,$M:$M,0)+CI$8-1))=0,
IF(COUNTIF($M:$M,$AI142)&lt;CI$8,
"",
INDEX($J:$J,MATCH($AI142,$M:$M,0)+CI$8-1)),
""),
"")</f>
        <v/>
      </c>
      <c r="CJ142" s="21" t="str">
        <f>IFERROR(
IF(COUNTIF($BI142:CI142,INDEX($J:$J,MATCH($AI142,$M:$M,0)+CJ$8-1))=0,
IF(COUNTIF($M:$M,$AI142)&lt;CJ$8,
"",
INDEX($J:$J,MATCH($AI142,$M:$M,0)+CJ$8-1)),
""),
"")</f>
        <v/>
      </c>
      <c r="CK142" s="21" t="str">
        <f>IFERROR(
IF(COUNTIF($BI142:CJ142,INDEX($J:$J,MATCH($AI142,$M:$M,0)+CK$8-1))=0,
IF(COUNTIF($M:$M,$AI142)&lt;CK$8,
"",
INDEX($J:$J,MATCH($AI142,$M:$M,0)+CK$8-1)),
""),
"")</f>
        <v/>
      </c>
      <c r="CM142" s="21" t="str">
        <f>IFERROR(
IF(COUNTIF($BI142:CL142,INDEX($J:$J,MATCH($AJ142,$M:$M,0)+CM$8-1))=0,
IF(COUNTIF($M:$M,$AJ142)&lt;CM$8,
"",
INDEX($J:$J,MATCH($AJ142,$M:$M,0)+CM$8-1)),
""),
"")</f>
        <v/>
      </c>
      <c r="CN142" s="21" t="str">
        <f>IFERROR(
IF(COUNTIF($BI142:CM142,INDEX($J:$J,MATCH($AJ142,$M:$M,0)+CN$8-1))=0,
IF(COUNTIF($M:$M,$AJ142)&lt;CN$8,
"",
INDEX($J:$J,MATCH($AJ142,$M:$M,0)+CN$8-1)),
""),
"")</f>
        <v/>
      </c>
      <c r="CO142" s="21" t="str">
        <f>IFERROR(
IF(COUNTIF($BI142:CN142,INDEX($J:$J,MATCH($AJ142,$M:$M,0)+CO$8-1))=0,
IF(COUNTIF($M:$M,$AJ142)&lt;CO$8,
"",
INDEX($J:$J,MATCH($AJ142,$M:$M,0)+CO$8-1)),
""),
"")</f>
        <v/>
      </c>
      <c r="CP142" s="21" t="str">
        <f>IFERROR(
IF(COUNTIF($BI142:CO142,INDEX($J:$J,MATCH($AJ142,$M:$M,0)+CP$8-1))=0,
IF(COUNTIF($M:$M,$AJ142)&lt;CP$8,
"",
INDEX($J:$J,MATCH($AJ142,$M:$M,0)+CP$8-1)),
""),
"")</f>
        <v/>
      </c>
      <c r="CR142" s="21" t="str">
        <f>IFERROR(
IF(COUNTIF($BI142:CQ142,INDEX($J:$J,MATCH($AK142,$M:$M,0)+CR$8-1))=0,
IF(COUNTIF($M:$M,$AK142)&lt;CR$8,
"",
INDEX($J:$J,MATCH($AK142,$M:$M,0)+CR$8-1)),
""),
"")</f>
        <v/>
      </c>
      <c r="CS142" s="21" t="str">
        <f>IFERROR(
IF(COUNTIF($BI142:CR142,INDEX($J:$J,MATCH($AK142,$M:$M,0)+CS$8-1))=0,
IF(COUNTIF($M:$M,$AK142)&lt;CS$8,
"",
INDEX($J:$J,MATCH($AK142,$M:$M,0)+CS$8-1)),
""),
"")</f>
        <v/>
      </c>
      <c r="CT142" s="21" t="str">
        <f>IFERROR(
IF(COUNTIF($BI142:CS142,INDEX($J:$J,MATCH($AK142,$M:$M,0)+CT$8-1))=0,
IF(COUNTIF($M:$M,$AK142)&lt;CT$8,
"",
INDEX($J:$J,MATCH($AK142,$M:$M,0)+CT$8-1)),
""),
"")</f>
        <v/>
      </c>
      <c r="CU142" s="21" t="str">
        <f>IFERROR(
IF(COUNTIF($BI142:CT142,INDEX($J:$J,MATCH($AK142,$M:$M,0)+CU$8-1))=0,
IF(COUNTIF($M:$M,$AK142)&lt;CU$8,
"",
INDEX($J:$J,MATCH($AK142,$M:$M,0)+CU$8-1)),
""),
"")</f>
        <v/>
      </c>
    </row>
    <row r="143" spans="8:99">
      <c r="H143" s="7" t="str">
        <f>IF(I143="","",COUNTA(I$9:$I143))</f>
        <v/>
      </c>
      <c r="I143" s="6"/>
      <c r="J143" s="6" t="s">
        <v>266</v>
      </c>
      <c r="K143" s="8" t="str">
        <f>IF(H143="","",阶段合并区域(J143:J145," ",L143:L145,1))</f>
        <v/>
      </c>
      <c r="L143" s="8">
        <f>COUNTIF(M$8:$M143,"="&amp;M143)</f>
        <v>3</v>
      </c>
      <c r="M143" s="9" t="str">
        <f t="shared" si="31"/>
        <v>出类拔萃</v>
      </c>
      <c r="N143" s="9" t="str">
        <f t="shared" si="32"/>
        <v>出类拔萃3</v>
      </c>
      <c r="O143" s="15">
        <f>INDEX(C:C,MATCH(J143,D:D,0))</f>
        <v>28</v>
      </c>
      <c r="P143" s="9">
        <f>INDEX(E:E,MATCH(J143,D:D,0))</f>
        <v>120</v>
      </c>
      <c r="Q143" s="7">
        <f t="shared" si="34"/>
        <v>28</v>
      </c>
      <c r="R143" s="7">
        <f>COUNTIF(J$8:$J143,"="&amp;J143)</f>
        <v>3</v>
      </c>
      <c r="S143" s="7">
        <f t="shared" si="33"/>
        <v>3028</v>
      </c>
      <c r="U143" s="7">
        <f t="shared" si="24"/>
        <v>1000</v>
      </c>
      <c r="V143" s="7">
        <f t="shared" si="24"/>
        <v>2000</v>
      </c>
      <c r="W143" s="7">
        <f t="shared" si="24"/>
        <v>3000</v>
      </c>
      <c r="X143" s="7">
        <f t="shared" si="24"/>
        <v>4000</v>
      </c>
      <c r="Y143" s="7">
        <f t="shared" si="24"/>
        <v>5000</v>
      </c>
      <c r="Z143" s="7">
        <f t="shared" si="24"/>
        <v>6000</v>
      </c>
      <c r="AA143" s="7">
        <f t="shared" si="24"/>
        <v>7000</v>
      </c>
      <c r="AB143" s="7">
        <f t="shared" si="24"/>
        <v>8000</v>
      </c>
      <c r="AD143" s="21" t="str">
        <f>IFERROR(INDEX($M:$M,MATCH(U143,$S:$S,0)),"&amp;")</f>
        <v>&amp;</v>
      </c>
      <c r="AE143" s="21" t="str">
        <f>IFERROR(INDEX($M:$M,MATCH(V143,$S:$S,0)),"&amp;")</f>
        <v>&amp;</v>
      </c>
      <c r="AF143" s="21" t="str">
        <f>IFERROR(INDEX($M:$M,MATCH(W143,$S:$S,0)),"&amp;")</f>
        <v>&amp;</v>
      </c>
      <c r="AG143" s="21" t="str">
        <f>IFERROR(INDEX($M:$M,MATCH(X143,$S:$S,0)),"&amp;")</f>
        <v>&amp;</v>
      </c>
      <c r="AH143" s="21" t="str">
        <f>IFERROR(INDEX($M:$M,MATCH(Y143,$S:$S,0)),"&amp;")</f>
        <v>&amp;</v>
      </c>
      <c r="AI143" s="21" t="str">
        <f>IFERROR(INDEX($M:$M,MATCH(Z143,$S:$S,0)),"&amp;")</f>
        <v>&amp;</v>
      </c>
      <c r="AJ143" s="21" t="str">
        <f>IFERROR(INDEX($M:$M,MATCH(AA143,$S:$S,0)),"&amp;")</f>
        <v>&amp;</v>
      </c>
      <c r="AK143" s="21" t="str">
        <f>IFERROR(INDEX($M:$M,MATCH(AB143,$S:$S,0)),"&amp;")</f>
        <v>&amp;</v>
      </c>
      <c r="AM143" s="21" t="str">
        <f>IFERROR(INDEX($N:$N,MATCH(U143,$S:$S,0)),"&amp;")</f>
        <v>&amp;</v>
      </c>
      <c r="AN143" s="21" t="str">
        <f>IFERROR(INDEX($N:$N,MATCH(V143,$S:$S,0)),"&amp;")</f>
        <v>&amp;</v>
      </c>
      <c r="AO143" s="21" t="str">
        <f>IFERROR(INDEX($N:$N,MATCH(W143,$S:$S,0)),"&amp;")</f>
        <v>&amp;</v>
      </c>
      <c r="AP143" s="21" t="str">
        <f>IFERROR(INDEX($N:$N,MATCH(X143,$S:$S,0)),"&amp;")</f>
        <v>&amp;</v>
      </c>
      <c r="AQ143" s="21" t="str">
        <f>IFERROR(INDEX($N:$N,MATCH(Y143,$S:$S,0)),"&amp;")</f>
        <v>&amp;</v>
      </c>
      <c r="AR143" s="21" t="str">
        <f>IFERROR(INDEX($N:$N,MATCH(Z143,$S:$S,0)),"&amp;")</f>
        <v>&amp;</v>
      </c>
      <c r="AS143" s="21" t="str">
        <f>IFERROR(INDEX($N:$N,MATCH(AA143,$S:$S,0)),"&amp;")</f>
        <v>&amp;</v>
      </c>
      <c r="AT143" s="21" t="str">
        <f>IFERROR(INDEX($N:$N,MATCH(AB143,$S:$S,0)),"&amp;")</f>
        <v>&amp;</v>
      </c>
      <c r="AV143" s="21" t="str">
        <f>IFERROR(SUBSTITUTE(INDEX($K:$K,MATCH(INDEX($M:$M,MATCH(AM143,$N:$N,0)),$M:$M,0)),$D143,""),"")</f>
        <v/>
      </c>
      <c r="AW143" s="21" t="str">
        <f>IFERROR(SUBSTITUTE(INDEX($K:$K,MATCH(INDEX($M:$M,MATCH(AN143,$N:$N,0)),$M:$M,0)),$D143,""),"")</f>
        <v/>
      </c>
      <c r="AX143" s="21" t="str">
        <f>IFERROR(SUBSTITUTE(INDEX($K:$K,MATCH(INDEX($M:$M,MATCH(AO143,$N:$N,0)),$M:$M,0)),$D143,""),"")</f>
        <v/>
      </c>
      <c r="AY143" s="21" t="str">
        <f>IFERROR(SUBSTITUTE(INDEX($K:$K,MATCH(INDEX($M:$M,MATCH(AP143,$N:$N,0)),$M:$M,0)),$D143,""),"")</f>
        <v/>
      </c>
      <c r="AZ143" s="21" t="str">
        <f>IFERROR(SUBSTITUTE(INDEX($K:$K,MATCH(INDEX($M:$M,MATCH(AQ143,$N:$N,0)),$M:$M,0)),$D143,""),"")</f>
        <v/>
      </c>
      <c r="BA143" s="21" t="str">
        <f>IFERROR(SUBSTITUTE(INDEX($K:$K,MATCH(INDEX($M:$M,MATCH(AR143,$N:$N,0)),$M:$M,0)),$D143,""),"")</f>
        <v/>
      </c>
      <c r="BB143" s="21" t="str">
        <f>IFERROR(SUBSTITUTE(INDEX($K:$K,MATCH(INDEX($M:$M,MATCH(AS143,$N:$N,0)),$M:$M,0)),$D143,""),"")</f>
        <v/>
      </c>
      <c r="BC143" s="21" t="str">
        <f>IFERROR(SUBSTITUTE(INDEX($K:$K,MATCH(INDEX($M:$M,MATCH(AT143,$N:$N,0)),$M:$M,0)),$D143,""),"")</f>
        <v/>
      </c>
      <c r="BE143" s="9" t="str">
        <f t="shared" si="35"/>
        <v/>
      </c>
      <c r="BI143" s="9" t="str">
        <f>IFERROR(
IF(COUNTIF($M:$M,$AD143)&lt;BI$8,
"",
INDEX($J:$J,MATCH($AD143,$M:$M,0)+BI$8-1)),
"")</f>
        <v/>
      </c>
      <c r="BJ143" s="9" t="str">
        <f>IFERROR(
IF(COUNTIF($M:$M,$AD143)&lt;BJ$8,
"",
INDEX($J:$J,MATCH($AD143,$M:$M,0)+BJ$8-1)),
"")</f>
        <v/>
      </c>
      <c r="BK143" s="9" t="str">
        <f>IFERROR(
IF(COUNTIF($M:$M,$AD143)&lt;BK$8,
"",
INDEX($J:$J,MATCH($AD143,$M:$M,0)+BK$8-1)),
"")</f>
        <v/>
      </c>
      <c r="BL143" s="9" t="str">
        <f>IFERROR(
IF(COUNTIF($M:$M,$AD143)&lt;BL$8,
"",
INDEX($J:$J,MATCH($AD143,$M:$M,0)+BL$8-1)),
"")</f>
        <v/>
      </c>
      <c r="BN143" s="21" t="str">
        <f>IFERROR(
IF(COUNTIF($BI143:BM143,INDEX($J:$J,MATCH($AE143,$M:$M,0)+BN$8-1))=0,
IF(COUNTIF($M:$M,$AE143)&lt;BN$8,
"",
INDEX($J:$J,MATCH($AE143,$M:$M,0)+BN$8-1)),
""),
"")</f>
        <v/>
      </c>
      <c r="BO143" s="21" t="str">
        <f>IFERROR(
IF(COUNTIF($BI143:BN143,INDEX($J:$J,MATCH($AE143,$M:$M,0)+BO$8-1))=0,
IF(COUNTIF($M:$M,$AE143)&lt;BO$8,
"",
INDEX($J:$J,MATCH($AE143,$M:$M,0)+BO$8-1)),
""),
"")</f>
        <v/>
      </c>
      <c r="BP143" s="21" t="str">
        <f>IFERROR(
IF(COUNTIF($BI143:BO143,INDEX($J:$J,MATCH($AE143,$M:$M,0)+BP$8-1))=0,
IF(COUNTIF($M:$M,$AE143)&lt;BP$8,
"",
INDEX($J:$J,MATCH($AE143,$M:$M,0)+BP$8-1)),
""),
"")</f>
        <v/>
      </c>
      <c r="BQ143" s="21" t="str">
        <f>IFERROR(
IF(COUNTIF($BI143:BP143,INDEX($J:$J,MATCH($AE143,$M:$M,0)+BQ$8-1))=0,
IF(COUNTIF($M:$M,$AE143)&lt;BQ$8,
"",
INDEX($J:$J,MATCH($AE143,$M:$M,0)+BQ$8-1)),
""),
"")</f>
        <v/>
      </c>
      <c r="BS143" s="21" t="str">
        <f>IFERROR(
IF(COUNTIF($BI143:BR143,INDEX($J:$J,MATCH($AF143,$M:$M,0)+BS$8-1))=0,
IF(COUNTIF($M:$M,$AF143)&lt;BS$8,
"",
INDEX($J:$J,MATCH($AF143,$M:$M,0)+BS$8-1)),
""),
"")</f>
        <v/>
      </c>
      <c r="BT143" s="21" t="str">
        <f>IFERROR(
IF(COUNTIF($BI143:BS143,INDEX($J:$J,MATCH($AF143,$M:$M,0)+BT$8-1))=0,
IF(COUNTIF($M:$M,$AF143)&lt;BT$8,
"",
INDEX($J:$J,MATCH($AF143,$M:$M,0)+BT$8-1)),
""),
"")</f>
        <v/>
      </c>
      <c r="BU143" s="21" t="str">
        <f>IFERROR(
IF(COUNTIF($BI143:BT143,INDEX($J:$J,MATCH($AF143,$M:$M,0)+BU$8-1))=0,
IF(COUNTIF($M:$M,$AF143)&lt;BU$8,
"",
INDEX($J:$J,MATCH($AF143,$M:$M,0)+BU$8-1)),
""),
"")</f>
        <v/>
      </c>
      <c r="BV143" s="21" t="str">
        <f>IFERROR(
IF(COUNTIF($BI143:BU143,INDEX($J:$J,MATCH($AF143,$M:$M,0)+BV$8-1))=0,
IF(COUNTIF($M:$M,$AF143)&lt;BV$8,
"",
INDEX($J:$J,MATCH($AF143,$M:$M,0)+BV$8-1)),
""),
"")</f>
        <v/>
      </c>
      <c r="BX143" s="21" t="str">
        <f>IFERROR(
IF(COUNTIF($BI143:BW143,INDEX($J:$J,MATCH($AG143,$M:$M,0)+BX$8-1))=0,
IF(COUNTIF($M:$M,$AG143)&lt;BX$8,
"",
INDEX($J:$J,MATCH($AG143,$M:$M,0)+BX$8-1)),
""),
"")</f>
        <v/>
      </c>
      <c r="BY143" s="21" t="str">
        <f>IFERROR(
IF(COUNTIF($BI143:BX143,INDEX($J:$J,MATCH($AG143,$M:$M,0)+BY$8-1))=0,
IF(COUNTIF($M:$M,$AG143)&lt;BY$8,
"",
INDEX($J:$J,MATCH($AG143,$M:$M,0)+BY$8-1)),
""),
"")</f>
        <v/>
      </c>
      <c r="BZ143" s="21" t="str">
        <f>IFERROR(
IF(COUNTIF($BI143:BY143,INDEX($J:$J,MATCH($AG143,$M:$M,0)+BZ$8-1))=0,
IF(COUNTIF($M:$M,$AG143)&lt;BZ$8,
"",
INDEX($J:$J,MATCH($AG143,$M:$M,0)+BZ$8-1)),
""),
"")</f>
        <v/>
      </c>
      <c r="CA143" s="21" t="str">
        <f>IFERROR(
IF(COUNTIF($BI143:BZ143,INDEX($J:$J,MATCH($AG143,$M:$M,0)+CA$8-1))=0,
IF(COUNTIF($M:$M,$AG143)&lt;CA$8,
"",
INDEX($J:$J,MATCH($AG143,$M:$M,0)+CA$8-1)),
""),
"")</f>
        <v/>
      </c>
      <c r="CC143" s="21" t="str">
        <f>IFERROR(
IF(COUNTIF($BI143:CB143,INDEX($J:$J,MATCH($AH143,$M:$M,0)+CC$8-1))=0,
IF(COUNTIF($M:$M,$AH143)&lt;CC$8,
"",
INDEX($J:$J,MATCH($AH143,$M:$M,0)+CC$8-1)),
""),
"")</f>
        <v/>
      </c>
      <c r="CD143" s="21" t="str">
        <f>IFERROR(
IF(COUNTIF($BI143:CC143,INDEX($J:$J,MATCH($AH143,$M:$M,0)+CD$8-1))=0,
IF(COUNTIF($M:$M,$AH143)&lt;CD$8,
"",
INDEX($J:$J,MATCH($AH143,$M:$M,0)+CD$8-1)),
""),
"")</f>
        <v/>
      </c>
      <c r="CE143" s="21" t="str">
        <f>IFERROR(
IF(COUNTIF($BI143:CD143,INDEX($J:$J,MATCH($AH143,$M:$M,0)+CE$8-1))=0,
IF(COUNTIF($M:$M,$AH143)&lt;CE$8,
"",
INDEX($J:$J,MATCH($AH143,$M:$M,0)+CE$8-1)),
""),
"")</f>
        <v/>
      </c>
      <c r="CF143" s="21" t="str">
        <f>IFERROR(
IF(COUNTIF($BI143:CE143,INDEX($J:$J,MATCH($AH143,$M:$M,0)+CF$8-1))=0,
IF(COUNTIF($M:$M,$AH143)&lt;CF$8,
"",
INDEX($J:$J,MATCH($AH143,$M:$M,0)+CF$8-1)),
""),
"")</f>
        <v/>
      </c>
      <c r="CH143" s="21" t="str">
        <f>IFERROR(
IF(COUNTIF($BI143:CG143,INDEX($J:$J,MATCH($AI143,$M:$M,0)+CH$8-1))=0,
IF(COUNTIF($M:$M,$AI143)&lt;CH$8,
"",
INDEX($J:$J,MATCH($AI143,$M:$M,0)+CH$8-1)),
""),
"")</f>
        <v/>
      </c>
      <c r="CI143" s="21" t="str">
        <f>IFERROR(
IF(COUNTIF($BI143:CH143,INDEX($J:$J,MATCH($AI143,$M:$M,0)+CI$8-1))=0,
IF(COUNTIF($M:$M,$AI143)&lt;CI$8,
"",
INDEX($J:$J,MATCH($AI143,$M:$M,0)+CI$8-1)),
""),
"")</f>
        <v/>
      </c>
      <c r="CJ143" s="21" t="str">
        <f>IFERROR(
IF(COUNTIF($BI143:CI143,INDEX($J:$J,MATCH($AI143,$M:$M,0)+CJ$8-1))=0,
IF(COUNTIF($M:$M,$AI143)&lt;CJ$8,
"",
INDEX($J:$J,MATCH($AI143,$M:$M,0)+CJ$8-1)),
""),
"")</f>
        <v/>
      </c>
      <c r="CK143" s="21" t="str">
        <f>IFERROR(
IF(COUNTIF($BI143:CJ143,INDEX($J:$J,MATCH($AI143,$M:$M,0)+CK$8-1))=0,
IF(COUNTIF($M:$M,$AI143)&lt;CK$8,
"",
INDEX($J:$J,MATCH($AI143,$M:$M,0)+CK$8-1)),
""),
"")</f>
        <v/>
      </c>
      <c r="CM143" s="21" t="str">
        <f>IFERROR(
IF(COUNTIF($BI143:CL143,INDEX($J:$J,MATCH($AJ143,$M:$M,0)+CM$8-1))=0,
IF(COUNTIF($M:$M,$AJ143)&lt;CM$8,
"",
INDEX($J:$J,MATCH($AJ143,$M:$M,0)+CM$8-1)),
""),
"")</f>
        <v/>
      </c>
      <c r="CN143" s="21" t="str">
        <f>IFERROR(
IF(COUNTIF($BI143:CM143,INDEX($J:$J,MATCH($AJ143,$M:$M,0)+CN$8-1))=0,
IF(COUNTIF($M:$M,$AJ143)&lt;CN$8,
"",
INDEX($J:$J,MATCH($AJ143,$M:$M,0)+CN$8-1)),
""),
"")</f>
        <v/>
      </c>
      <c r="CO143" s="21" t="str">
        <f>IFERROR(
IF(COUNTIF($BI143:CN143,INDEX($J:$J,MATCH($AJ143,$M:$M,0)+CO$8-1))=0,
IF(COUNTIF($M:$M,$AJ143)&lt;CO$8,
"",
INDEX($J:$J,MATCH($AJ143,$M:$M,0)+CO$8-1)),
""),
"")</f>
        <v/>
      </c>
      <c r="CP143" s="21" t="str">
        <f>IFERROR(
IF(COUNTIF($BI143:CO143,INDEX($J:$J,MATCH($AJ143,$M:$M,0)+CP$8-1))=0,
IF(COUNTIF($M:$M,$AJ143)&lt;CP$8,
"",
INDEX($J:$J,MATCH($AJ143,$M:$M,0)+CP$8-1)),
""),
"")</f>
        <v/>
      </c>
      <c r="CR143" s="21" t="str">
        <f>IFERROR(
IF(COUNTIF($BI143:CQ143,INDEX($J:$J,MATCH($AK143,$M:$M,0)+CR$8-1))=0,
IF(COUNTIF($M:$M,$AK143)&lt;CR$8,
"",
INDEX($J:$J,MATCH($AK143,$M:$M,0)+CR$8-1)),
""),
"")</f>
        <v/>
      </c>
      <c r="CS143" s="21" t="str">
        <f>IFERROR(
IF(COUNTIF($BI143:CR143,INDEX($J:$J,MATCH($AK143,$M:$M,0)+CS$8-1))=0,
IF(COUNTIF($M:$M,$AK143)&lt;CS$8,
"",
INDEX($J:$J,MATCH($AK143,$M:$M,0)+CS$8-1)),
""),
"")</f>
        <v/>
      </c>
      <c r="CT143" s="21" t="str">
        <f>IFERROR(
IF(COUNTIF($BI143:CS143,INDEX($J:$J,MATCH($AK143,$M:$M,0)+CT$8-1))=0,
IF(COUNTIF($M:$M,$AK143)&lt;CT$8,
"",
INDEX($J:$J,MATCH($AK143,$M:$M,0)+CT$8-1)),
""),
"")</f>
        <v/>
      </c>
      <c r="CU143" s="21" t="str">
        <f>IFERROR(
IF(COUNTIF($BI143:CT143,INDEX($J:$J,MATCH($AK143,$M:$M,0)+CU$8-1))=0,
IF(COUNTIF($M:$M,$AK143)&lt;CU$8,
"",
INDEX($J:$J,MATCH($AK143,$M:$M,0)+CU$8-1)),
""),
"")</f>
        <v/>
      </c>
    </row>
    <row r="144" spans="8:99">
      <c r="H144" s="7" t="str">
        <f>IF(I144="","",COUNTA(I$9:$I144))</f>
        <v/>
      </c>
      <c r="I144" s="6"/>
      <c r="J144" s="6" t="s">
        <v>224</v>
      </c>
      <c r="K144" s="8" t="str">
        <f>IF(H144="","",阶段合并区域(J144:J152," ",L144:L152,1))</f>
        <v/>
      </c>
      <c r="L144" s="8">
        <f>COUNTIF(M$8:$M144,"="&amp;M144)</f>
        <v>4</v>
      </c>
      <c r="M144" s="9" t="str">
        <f t="shared" si="31"/>
        <v>出类拔萃</v>
      </c>
      <c r="N144" s="9" t="str">
        <f t="shared" si="32"/>
        <v>出类拔萃4</v>
      </c>
      <c r="O144" s="15">
        <f>INDEX(C:C,MATCH(J144,D:D,0))</f>
        <v>63</v>
      </c>
      <c r="P144" s="9">
        <f>INDEX(E:E,MATCH(J144,D:D,0))</f>
        <v>120</v>
      </c>
      <c r="Q144" s="7">
        <f t="shared" si="34"/>
        <v>63</v>
      </c>
      <c r="R144" s="7">
        <f>COUNTIF(J$8:$J144,"="&amp;J144)</f>
        <v>4</v>
      </c>
      <c r="S144" s="7">
        <f t="shared" si="33"/>
        <v>4063</v>
      </c>
      <c r="U144" s="7">
        <f t="shared" si="24"/>
        <v>1000</v>
      </c>
      <c r="V144" s="7">
        <f t="shared" si="24"/>
        <v>2000</v>
      </c>
      <c r="W144" s="7">
        <f t="shared" si="24"/>
        <v>3000</v>
      </c>
      <c r="X144" s="7">
        <f t="shared" si="24"/>
        <v>4000</v>
      </c>
      <c r="Y144" s="7">
        <f t="shared" si="24"/>
        <v>5000</v>
      </c>
      <c r="Z144" s="7">
        <f t="shared" si="24"/>
        <v>6000</v>
      </c>
      <c r="AA144" s="7">
        <f t="shared" si="24"/>
        <v>7000</v>
      </c>
      <c r="AB144" s="7">
        <f t="shared" ref="U144:AB174" si="36">AB$8*1000+$C144</f>
        <v>8000</v>
      </c>
      <c r="AD144" s="21" t="str">
        <f>IFERROR(INDEX($M:$M,MATCH(U144,$S:$S,0)),"&amp;")</f>
        <v>&amp;</v>
      </c>
      <c r="AE144" s="21" t="str">
        <f>IFERROR(INDEX($M:$M,MATCH(V144,$S:$S,0)),"&amp;")</f>
        <v>&amp;</v>
      </c>
      <c r="AF144" s="21" t="str">
        <f>IFERROR(INDEX($M:$M,MATCH(W144,$S:$S,0)),"&amp;")</f>
        <v>&amp;</v>
      </c>
      <c r="AG144" s="21" t="str">
        <f>IFERROR(INDEX($M:$M,MATCH(X144,$S:$S,0)),"&amp;")</f>
        <v>&amp;</v>
      </c>
      <c r="AH144" s="21" t="str">
        <f>IFERROR(INDEX($M:$M,MATCH(Y144,$S:$S,0)),"&amp;")</f>
        <v>&amp;</v>
      </c>
      <c r="AI144" s="21" t="str">
        <f>IFERROR(INDEX($M:$M,MATCH(Z144,$S:$S,0)),"&amp;")</f>
        <v>&amp;</v>
      </c>
      <c r="AJ144" s="21" t="str">
        <f>IFERROR(INDEX($M:$M,MATCH(AA144,$S:$S,0)),"&amp;")</f>
        <v>&amp;</v>
      </c>
      <c r="AK144" s="21" t="str">
        <f>IFERROR(INDEX($M:$M,MATCH(AB144,$S:$S,0)),"&amp;")</f>
        <v>&amp;</v>
      </c>
      <c r="AM144" s="21" t="str">
        <f>IFERROR(INDEX($N:$N,MATCH(U144,$S:$S,0)),"&amp;")</f>
        <v>&amp;</v>
      </c>
      <c r="AN144" s="21" t="str">
        <f>IFERROR(INDEX($N:$N,MATCH(V144,$S:$S,0)),"&amp;")</f>
        <v>&amp;</v>
      </c>
      <c r="AO144" s="21" t="str">
        <f>IFERROR(INDEX($N:$N,MATCH(W144,$S:$S,0)),"&amp;")</f>
        <v>&amp;</v>
      </c>
      <c r="AP144" s="21" t="str">
        <f>IFERROR(INDEX($N:$N,MATCH(X144,$S:$S,0)),"&amp;")</f>
        <v>&amp;</v>
      </c>
      <c r="AQ144" s="21" t="str">
        <f>IFERROR(INDEX($N:$N,MATCH(Y144,$S:$S,0)),"&amp;")</f>
        <v>&amp;</v>
      </c>
      <c r="AR144" s="21" t="str">
        <f>IFERROR(INDEX($N:$N,MATCH(Z144,$S:$S,0)),"&amp;")</f>
        <v>&amp;</v>
      </c>
      <c r="AS144" s="21" t="str">
        <f>IFERROR(INDEX($N:$N,MATCH(AA144,$S:$S,0)),"&amp;")</f>
        <v>&amp;</v>
      </c>
      <c r="AT144" s="21" t="str">
        <f>IFERROR(INDEX($N:$N,MATCH(AB144,$S:$S,0)),"&amp;")</f>
        <v>&amp;</v>
      </c>
      <c r="AV144" s="21" t="str">
        <f>IFERROR(SUBSTITUTE(INDEX($K:$K,MATCH(INDEX($M:$M,MATCH(AM144,$N:$N,0)),$M:$M,0)),$D144,""),"")</f>
        <v/>
      </c>
      <c r="AW144" s="21" t="str">
        <f>IFERROR(SUBSTITUTE(INDEX($K:$K,MATCH(INDEX($M:$M,MATCH(AN144,$N:$N,0)),$M:$M,0)),$D144,""),"")</f>
        <v/>
      </c>
      <c r="AX144" s="21" t="str">
        <f>IFERROR(SUBSTITUTE(INDEX($K:$K,MATCH(INDEX($M:$M,MATCH(AO144,$N:$N,0)),$M:$M,0)),$D144,""),"")</f>
        <v/>
      </c>
      <c r="AY144" s="21" t="str">
        <f>IFERROR(SUBSTITUTE(INDEX($K:$K,MATCH(INDEX($M:$M,MATCH(AP144,$N:$N,0)),$M:$M,0)),$D144,""),"")</f>
        <v/>
      </c>
      <c r="AZ144" s="21" t="str">
        <f>IFERROR(SUBSTITUTE(INDEX($K:$K,MATCH(INDEX($M:$M,MATCH(AQ144,$N:$N,0)),$M:$M,0)),$D144,""),"")</f>
        <v/>
      </c>
      <c r="BA144" s="21" t="str">
        <f>IFERROR(SUBSTITUTE(INDEX($K:$K,MATCH(INDEX($M:$M,MATCH(AR144,$N:$N,0)),$M:$M,0)),$D144,""),"")</f>
        <v/>
      </c>
      <c r="BB144" s="21" t="str">
        <f>IFERROR(SUBSTITUTE(INDEX($K:$K,MATCH(INDEX($M:$M,MATCH(AS144,$N:$N,0)),$M:$M,0)),$D144,""),"")</f>
        <v/>
      </c>
      <c r="BC144" s="21" t="str">
        <f>IFERROR(SUBSTITUTE(INDEX($K:$K,MATCH(INDEX($M:$M,MATCH(AT144,$N:$N,0)),$M:$M,0)),$D144,""),"")</f>
        <v/>
      </c>
      <c r="BE144" s="9" t="str">
        <f t="shared" si="35"/>
        <v/>
      </c>
      <c r="BI144" s="9" t="str">
        <f>IFERROR(
IF(COUNTIF($M:$M,$AD144)&lt;BI$8,
"",
INDEX($J:$J,MATCH($AD144,$M:$M,0)+BI$8-1)),
"")</f>
        <v/>
      </c>
      <c r="BJ144" s="9" t="str">
        <f>IFERROR(
IF(COUNTIF($M:$M,$AD144)&lt;BJ$8,
"",
INDEX($J:$J,MATCH($AD144,$M:$M,0)+BJ$8-1)),
"")</f>
        <v/>
      </c>
      <c r="BK144" s="9" t="str">
        <f>IFERROR(
IF(COUNTIF($M:$M,$AD144)&lt;BK$8,
"",
INDEX($J:$J,MATCH($AD144,$M:$M,0)+BK$8-1)),
"")</f>
        <v/>
      </c>
      <c r="BL144" s="9" t="str">
        <f>IFERROR(
IF(COUNTIF($M:$M,$AD144)&lt;BL$8,
"",
INDEX($J:$J,MATCH($AD144,$M:$M,0)+BL$8-1)),
"")</f>
        <v/>
      </c>
      <c r="BN144" s="21" t="str">
        <f>IFERROR(
IF(COUNTIF($BI144:BM144,INDEX($J:$J,MATCH($AE144,$M:$M,0)+BN$8-1))=0,
IF(COUNTIF($M:$M,$AE144)&lt;BN$8,
"",
INDEX($J:$J,MATCH($AE144,$M:$M,0)+BN$8-1)),
""),
"")</f>
        <v/>
      </c>
      <c r="BO144" s="21" t="str">
        <f>IFERROR(
IF(COUNTIF($BI144:BN144,INDEX($J:$J,MATCH($AE144,$M:$M,0)+BO$8-1))=0,
IF(COUNTIF($M:$M,$AE144)&lt;BO$8,
"",
INDEX($J:$J,MATCH($AE144,$M:$M,0)+BO$8-1)),
""),
"")</f>
        <v/>
      </c>
      <c r="BP144" s="21" t="str">
        <f>IFERROR(
IF(COUNTIF($BI144:BO144,INDEX($J:$J,MATCH($AE144,$M:$M,0)+BP$8-1))=0,
IF(COUNTIF($M:$M,$AE144)&lt;BP$8,
"",
INDEX($J:$J,MATCH($AE144,$M:$M,0)+BP$8-1)),
""),
"")</f>
        <v/>
      </c>
      <c r="BQ144" s="21" t="str">
        <f>IFERROR(
IF(COUNTIF($BI144:BP144,INDEX($J:$J,MATCH($AE144,$M:$M,0)+BQ$8-1))=0,
IF(COUNTIF($M:$M,$AE144)&lt;BQ$8,
"",
INDEX($J:$J,MATCH($AE144,$M:$M,0)+BQ$8-1)),
""),
"")</f>
        <v/>
      </c>
      <c r="BS144" s="21" t="str">
        <f>IFERROR(
IF(COUNTIF($BI144:BR144,INDEX($J:$J,MATCH($AF144,$M:$M,0)+BS$8-1))=0,
IF(COUNTIF($M:$M,$AF144)&lt;BS$8,
"",
INDEX($J:$J,MATCH($AF144,$M:$M,0)+BS$8-1)),
""),
"")</f>
        <v/>
      </c>
      <c r="BT144" s="21" t="str">
        <f>IFERROR(
IF(COUNTIF($BI144:BS144,INDEX($J:$J,MATCH($AF144,$M:$M,0)+BT$8-1))=0,
IF(COUNTIF($M:$M,$AF144)&lt;BT$8,
"",
INDEX($J:$J,MATCH($AF144,$M:$M,0)+BT$8-1)),
""),
"")</f>
        <v/>
      </c>
      <c r="BU144" s="21" t="str">
        <f>IFERROR(
IF(COUNTIF($BI144:BT144,INDEX($J:$J,MATCH($AF144,$M:$M,0)+BU$8-1))=0,
IF(COUNTIF($M:$M,$AF144)&lt;BU$8,
"",
INDEX($J:$J,MATCH($AF144,$M:$M,0)+BU$8-1)),
""),
"")</f>
        <v/>
      </c>
      <c r="BV144" s="21" t="str">
        <f>IFERROR(
IF(COUNTIF($BI144:BU144,INDEX($J:$J,MATCH($AF144,$M:$M,0)+BV$8-1))=0,
IF(COUNTIF($M:$M,$AF144)&lt;BV$8,
"",
INDEX($J:$J,MATCH($AF144,$M:$M,0)+BV$8-1)),
""),
"")</f>
        <v/>
      </c>
      <c r="BX144" s="21" t="str">
        <f>IFERROR(
IF(COUNTIF($BI144:BW144,INDEX($J:$J,MATCH($AG144,$M:$M,0)+BX$8-1))=0,
IF(COUNTIF($M:$M,$AG144)&lt;BX$8,
"",
INDEX($J:$J,MATCH($AG144,$M:$M,0)+BX$8-1)),
""),
"")</f>
        <v/>
      </c>
      <c r="BY144" s="21" t="str">
        <f>IFERROR(
IF(COUNTIF($BI144:BX144,INDEX($J:$J,MATCH($AG144,$M:$M,0)+BY$8-1))=0,
IF(COUNTIF($M:$M,$AG144)&lt;BY$8,
"",
INDEX($J:$J,MATCH($AG144,$M:$M,0)+BY$8-1)),
""),
"")</f>
        <v/>
      </c>
      <c r="BZ144" s="21" t="str">
        <f>IFERROR(
IF(COUNTIF($BI144:BY144,INDEX($J:$J,MATCH($AG144,$M:$M,0)+BZ$8-1))=0,
IF(COUNTIF($M:$M,$AG144)&lt;BZ$8,
"",
INDEX($J:$J,MATCH($AG144,$M:$M,0)+BZ$8-1)),
""),
"")</f>
        <v/>
      </c>
      <c r="CA144" s="21" t="str">
        <f>IFERROR(
IF(COUNTIF($BI144:BZ144,INDEX($J:$J,MATCH($AG144,$M:$M,0)+CA$8-1))=0,
IF(COUNTIF($M:$M,$AG144)&lt;CA$8,
"",
INDEX($J:$J,MATCH($AG144,$M:$M,0)+CA$8-1)),
""),
"")</f>
        <v/>
      </c>
      <c r="CC144" s="21" t="str">
        <f>IFERROR(
IF(COUNTIF($BI144:CB144,INDEX($J:$J,MATCH($AH144,$M:$M,0)+CC$8-1))=0,
IF(COUNTIF($M:$M,$AH144)&lt;CC$8,
"",
INDEX($J:$J,MATCH($AH144,$M:$M,0)+CC$8-1)),
""),
"")</f>
        <v/>
      </c>
      <c r="CD144" s="21" t="str">
        <f>IFERROR(
IF(COUNTIF($BI144:CC144,INDEX($J:$J,MATCH($AH144,$M:$M,0)+CD$8-1))=0,
IF(COUNTIF($M:$M,$AH144)&lt;CD$8,
"",
INDEX($J:$J,MATCH($AH144,$M:$M,0)+CD$8-1)),
""),
"")</f>
        <v/>
      </c>
      <c r="CE144" s="21" t="str">
        <f>IFERROR(
IF(COUNTIF($BI144:CD144,INDEX($J:$J,MATCH($AH144,$M:$M,0)+CE$8-1))=0,
IF(COUNTIF($M:$M,$AH144)&lt;CE$8,
"",
INDEX($J:$J,MATCH($AH144,$M:$M,0)+CE$8-1)),
""),
"")</f>
        <v/>
      </c>
      <c r="CF144" s="21" t="str">
        <f>IFERROR(
IF(COUNTIF($BI144:CE144,INDEX($J:$J,MATCH($AH144,$M:$M,0)+CF$8-1))=0,
IF(COUNTIF($M:$M,$AH144)&lt;CF$8,
"",
INDEX($J:$J,MATCH($AH144,$M:$M,0)+CF$8-1)),
""),
"")</f>
        <v/>
      </c>
      <c r="CH144" s="21" t="str">
        <f>IFERROR(
IF(COUNTIF($BI144:CG144,INDEX($J:$J,MATCH($AI144,$M:$M,0)+CH$8-1))=0,
IF(COUNTIF($M:$M,$AI144)&lt;CH$8,
"",
INDEX($J:$J,MATCH($AI144,$M:$M,0)+CH$8-1)),
""),
"")</f>
        <v/>
      </c>
      <c r="CI144" s="21" t="str">
        <f>IFERROR(
IF(COUNTIF($BI144:CH144,INDEX($J:$J,MATCH($AI144,$M:$M,0)+CI$8-1))=0,
IF(COUNTIF($M:$M,$AI144)&lt;CI$8,
"",
INDEX($J:$J,MATCH($AI144,$M:$M,0)+CI$8-1)),
""),
"")</f>
        <v/>
      </c>
      <c r="CJ144" s="21" t="str">
        <f>IFERROR(
IF(COUNTIF($BI144:CI144,INDEX($J:$J,MATCH($AI144,$M:$M,0)+CJ$8-1))=0,
IF(COUNTIF($M:$M,$AI144)&lt;CJ$8,
"",
INDEX($J:$J,MATCH($AI144,$M:$M,0)+CJ$8-1)),
""),
"")</f>
        <v/>
      </c>
      <c r="CK144" s="21" t="str">
        <f>IFERROR(
IF(COUNTIF($BI144:CJ144,INDEX($J:$J,MATCH($AI144,$M:$M,0)+CK$8-1))=0,
IF(COUNTIF($M:$M,$AI144)&lt;CK$8,
"",
INDEX($J:$J,MATCH($AI144,$M:$M,0)+CK$8-1)),
""),
"")</f>
        <v/>
      </c>
      <c r="CM144" s="21" t="str">
        <f>IFERROR(
IF(COUNTIF($BI144:CL144,INDEX($J:$J,MATCH($AJ144,$M:$M,0)+CM$8-1))=0,
IF(COUNTIF($M:$M,$AJ144)&lt;CM$8,
"",
INDEX($J:$J,MATCH($AJ144,$M:$M,0)+CM$8-1)),
""),
"")</f>
        <v/>
      </c>
      <c r="CN144" s="21" t="str">
        <f>IFERROR(
IF(COUNTIF($BI144:CM144,INDEX($J:$J,MATCH($AJ144,$M:$M,0)+CN$8-1))=0,
IF(COUNTIF($M:$M,$AJ144)&lt;CN$8,
"",
INDEX($J:$J,MATCH($AJ144,$M:$M,0)+CN$8-1)),
""),
"")</f>
        <v/>
      </c>
      <c r="CO144" s="21" t="str">
        <f>IFERROR(
IF(COUNTIF($BI144:CN144,INDEX($J:$J,MATCH($AJ144,$M:$M,0)+CO$8-1))=0,
IF(COUNTIF($M:$M,$AJ144)&lt;CO$8,
"",
INDEX($J:$J,MATCH($AJ144,$M:$M,0)+CO$8-1)),
""),
"")</f>
        <v/>
      </c>
      <c r="CP144" s="21" t="str">
        <f>IFERROR(
IF(COUNTIF($BI144:CO144,INDEX($J:$J,MATCH($AJ144,$M:$M,0)+CP$8-1))=0,
IF(COUNTIF($M:$M,$AJ144)&lt;CP$8,
"",
INDEX($J:$J,MATCH($AJ144,$M:$M,0)+CP$8-1)),
""),
"")</f>
        <v/>
      </c>
      <c r="CR144" s="21" t="str">
        <f>IFERROR(
IF(COUNTIF($BI144:CQ144,INDEX($J:$J,MATCH($AK144,$M:$M,0)+CR$8-1))=0,
IF(COUNTIF($M:$M,$AK144)&lt;CR$8,
"",
INDEX($J:$J,MATCH($AK144,$M:$M,0)+CR$8-1)),
""),
"")</f>
        <v/>
      </c>
      <c r="CS144" s="21" t="str">
        <f>IFERROR(
IF(COUNTIF($BI144:CR144,INDEX($J:$J,MATCH($AK144,$M:$M,0)+CS$8-1))=0,
IF(COUNTIF($M:$M,$AK144)&lt;CS$8,
"",
INDEX($J:$J,MATCH($AK144,$M:$M,0)+CS$8-1)),
""),
"")</f>
        <v/>
      </c>
      <c r="CT144" s="21" t="str">
        <f>IFERROR(
IF(COUNTIF($BI144:CS144,INDEX($J:$J,MATCH($AK144,$M:$M,0)+CT$8-1))=0,
IF(COUNTIF($M:$M,$AK144)&lt;CT$8,
"",
INDEX($J:$J,MATCH($AK144,$M:$M,0)+CT$8-1)),
""),
"")</f>
        <v/>
      </c>
      <c r="CU144" s="21" t="str">
        <f>IFERROR(
IF(COUNTIF($BI144:CT144,INDEX($J:$J,MATCH($AK144,$M:$M,0)+CU$8-1))=0,
IF(COUNTIF($M:$M,$AK144)&lt;CU$8,
"",
INDEX($J:$J,MATCH($AK144,$M:$M,0)+CU$8-1)),
""),
"")</f>
        <v/>
      </c>
    </row>
    <row r="145" spans="8:99">
      <c r="H145" s="7">
        <f>IF(I145="","",COUNTA(I$9:$I145))</f>
        <v>106</v>
      </c>
      <c r="I145" s="6" t="s">
        <v>263</v>
      </c>
      <c r="J145" s="6" t="s">
        <v>265</v>
      </c>
      <c r="K145" s="8" t="str">
        <f>IF(H145="","",阶段合并区域(J145:J152," ",L145:L152,1))</f>
        <v>墨子 屈原 孙膑 韩非子</v>
      </c>
      <c r="L145" s="8">
        <f>COUNTIF(M$8:$M145,"="&amp;M145)</f>
        <v>1</v>
      </c>
      <c r="M145" s="9" t="str">
        <f t="shared" si="31"/>
        <v>为国为民</v>
      </c>
      <c r="N145" s="9" t="str">
        <f t="shared" si="32"/>
        <v>为国为民1</v>
      </c>
      <c r="O145" s="15">
        <f>INDEX(C:C,MATCH(J145,D:D,0))</f>
        <v>59</v>
      </c>
      <c r="P145" s="9">
        <f>INDEX(E:E,MATCH(J145,D:D,0))</f>
        <v>130</v>
      </c>
      <c r="Q145" s="7">
        <f t="shared" si="34"/>
        <v>59</v>
      </c>
      <c r="R145" s="7">
        <f>COUNTIF(J$8:$J145,"="&amp;J145)</f>
        <v>2</v>
      </c>
      <c r="S145" s="7">
        <f t="shared" si="33"/>
        <v>2059</v>
      </c>
      <c r="U145" s="7">
        <f t="shared" si="36"/>
        <v>1000</v>
      </c>
      <c r="V145" s="7">
        <f t="shared" si="36"/>
        <v>2000</v>
      </c>
      <c r="W145" s="7">
        <f t="shared" si="36"/>
        <v>3000</v>
      </c>
      <c r="X145" s="7">
        <f t="shared" si="36"/>
        <v>4000</v>
      </c>
      <c r="Y145" s="7">
        <f t="shared" si="36"/>
        <v>5000</v>
      </c>
      <c r="Z145" s="7">
        <f t="shared" si="36"/>
        <v>6000</v>
      </c>
      <c r="AA145" s="7">
        <f t="shared" si="36"/>
        <v>7000</v>
      </c>
      <c r="AB145" s="7">
        <f t="shared" si="36"/>
        <v>8000</v>
      </c>
      <c r="AD145" s="21" t="str">
        <f>IFERROR(INDEX($M:$M,MATCH(U145,$S:$S,0)),"&amp;")</f>
        <v>&amp;</v>
      </c>
      <c r="AE145" s="21" t="str">
        <f>IFERROR(INDEX($M:$M,MATCH(V145,$S:$S,0)),"&amp;")</f>
        <v>&amp;</v>
      </c>
      <c r="AF145" s="21" t="str">
        <f>IFERROR(INDEX($M:$M,MATCH(W145,$S:$S,0)),"&amp;")</f>
        <v>&amp;</v>
      </c>
      <c r="AG145" s="21" t="str">
        <f>IFERROR(INDEX($M:$M,MATCH(X145,$S:$S,0)),"&amp;")</f>
        <v>&amp;</v>
      </c>
      <c r="AH145" s="21" t="str">
        <f>IFERROR(INDEX($M:$M,MATCH(Y145,$S:$S,0)),"&amp;")</f>
        <v>&amp;</v>
      </c>
      <c r="AI145" s="21" t="str">
        <f>IFERROR(INDEX($M:$M,MATCH(Z145,$S:$S,0)),"&amp;")</f>
        <v>&amp;</v>
      </c>
      <c r="AJ145" s="21" t="str">
        <f>IFERROR(INDEX($M:$M,MATCH(AA145,$S:$S,0)),"&amp;")</f>
        <v>&amp;</v>
      </c>
      <c r="AK145" s="21" t="str">
        <f>IFERROR(INDEX($M:$M,MATCH(AB145,$S:$S,0)),"&amp;")</f>
        <v>&amp;</v>
      </c>
      <c r="AM145" s="21" t="str">
        <f>IFERROR(INDEX($N:$N,MATCH(U145,$S:$S,0)),"&amp;")</f>
        <v>&amp;</v>
      </c>
      <c r="AN145" s="21" t="str">
        <f>IFERROR(INDEX($N:$N,MATCH(V145,$S:$S,0)),"&amp;")</f>
        <v>&amp;</v>
      </c>
      <c r="AO145" s="21" t="str">
        <f>IFERROR(INDEX($N:$N,MATCH(W145,$S:$S,0)),"&amp;")</f>
        <v>&amp;</v>
      </c>
      <c r="AP145" s="21" t="str">
        <f>IFERROR(INDEX($N:$N,MATCH(X145,$S:$S,0)),"&amp;")</f>
        <v>&amp;</v>
      </c>
      <c r="AQ145" s="21" t="str">
        <f>IFERROR(INDEX($N:$N,MATCH(Y145,$S:$S,0)),"&amp;")</f>
        <v>&amp;</v>
      </c>
      <c r="AR145" s="21" t="str">
        <f>IFERROR(INDEX($N:$N,MATCH(Z145,$S:$S,0)),"&amp;")</f>
        <v>&amp;</v>
      </c>
      <c r="AS145" s="21" t="str">
        <f>IFERROR(INDEX($N:$N,MATCH(AA145,$S:$S,0)),"&amp;")</f>
        <v>&amp;</v>
      </c>
      <c r="AT145" s="21" t="str">
        <f>IFERROR(INDEX($N:$N,MATCH(AB145,$S:$S,0)),"&amp;")</f>
        <v>&amp;</v>
      </c>
      <c r="AV145" s="21" t="str">
        <f>IFERROR(SUBSTITUTE(INDEX($K:$K,MATCH(INDEX($M:$M,MATCH(AM145,$N:$N,0)),$M:$M,0)),$D145,""),"")</f>
        <v/>
      </c>
      <c r="AW145" s="21" t="str">
        <f>IFERROR(SUBSTITUTE(INDEX($K:$K,MATCH(INDEX($M:$M,MATCH(AN145,$N:$N,0)),$M:$M,0)),$D145,""),"")</f>
        <v/>
      </c>
      <c r="AX145" s="21" t="str">
        <f>IFERROR(SUBSTITUTE(INDEX($K:$K,MATCH(INDEX($M:$M,MATCH(AO145,$N:$N,0)),$M:$M,0)),$D145,""),"")</f>
        <v/>
      </c>
      <c r="AY145" s="21" t="str">
        <f>IFERROR(SUBSTITUTE(INDEX($K:$K,MATCH(INDEX($M:$M,MATCH(AP145,$N:$N,0)),$M:$M,0)),$D145,""),"")</f>
        <v/>
      </c>
      <c r="AZ145" s="21" t="str">
        <f>IFERROR(SUBSTITUTE(INDEX($K:$K,MATCH(INDEX($M:$M,MATCH(AQ145,$N:$N,0)),$M:$M,0)),$D145,""),"")</f>
        <v/>
      </c>
      <c r="BA145" s="21" t="str">
        <f>IFERROR(SUBSTITUTE(INDEX($K:$K,MATCH(INDEX($M:$M,MATCH(AR145,$N:$N,0)),$M:$M,0)),$D145,""),"")</f>
        <v/>
      </c>
      <c r="BB145" s="21" t="str">
        <f>IFERROR(SUBSTITUTE(INDEX($K:$K,MATCH(INDEX($M:$M,MATCH(AS145,$N:$N,0)),$M:$M,0)),$D145,""),"")</f>
        <v/>
      </c>
      <c r="BC145" s="21" t="str">
        <f>IFERROR(SUBSTITUTE(INDEX($K:$K,MATCH(INDEX($M:$M,MATCH(AT145,$N:$N,0)),$M:$M,0)),$D145,""),"")</f>
        <v/>
      </c>
      <c r="BE145" s="9" t="str">
        <f t="shared" si="35"/>
        <v/>
      </c>
      <c r="BI145" s="9" t="str">
        <f>IFERROR(
IF(COUNTIF($M:$M,$AD145)&lt;BI$8,
"",
INDEX($J:$J,MATCH($AD145,$M:$M,0)+BI$8-1)),
"")</f>
        <v/>
      </c>
      <c r="BJ145" s="9" t="str">
        <f>IFERROR(
IF(COUNTIF($M:$M,$AD145)&lt;BJ$8,
"",
INDEX($J:$J,MATCH($AD145,$M:$M,0)+BJ$8-1)),
"")</f>
        <v/>
      </c>
      <c r="BK145" s="9" t="str">
        <f>IFERROR(
IF(COUNTIF($M:$M,$AD145)&lt;BK$8,
"",
INDEX($J:$J,MATCH($AD145,$M:$M,0)+BK$8-1)),
"")</f>
        <v/>
      </c>
      <c r="BL145" s="9" t="str">
        <f>IFERROR(
IF(COUNTIF($M:$M,$AD145)&lt;BL$8,
"",
INDEX($J:$J,MATCH($AD145,$M:$M,0)+BL$8-1)),
"")</f>
        <v/>
      </c>
      <c r="BN145" s="21" t="str">
        <f>IFERROR(
IF(COUNTIF($BI145:BM145,INDEX($J:$J,MATCH($AE145,$M:$M,0)+BN$8-1))=0,
IF(COUNTIF($M:$M,$AE145)&lt;BN$8,
"",
INDEX($J:$J,MATCH($AE145,$M:$M,0)+BN$8-1)),
""),
"")</f>
        <v/>
      </c>
      <c r="BO145" s="21" t="str">
        <f>IFERROR(
IF(COUNTIF($BI145:BN145,INDEX($J:$J,MATCH($AE145,$M:$M,0)+BO$8-1))=0,
IF(COUNTIF($M:$M,$AE145)&lt;BO$8,
"",
INDEX($J:$J,MATCH($AE145,$M:$M,0)+BO$8-1)),
""),
"")</f>
        <v/>
      </c>
      <c r="BP145" s="21" t="str">
        <f>IFERROR(
IF(COUNTIF($BI145:BO145,INDEX($J:$J,MATCH($AE145,$M:$M,0)+BP$8-1))=0,
IF(COUNTIF($M:$M,$AE145)&lt;BP$8,
"",
INDEX($J:$J,MATCH($AE145,$M:$M,0)+BP$8-1)),
""),
"")</f>
        <v/>
      </c>
      <c r="BQ145" s="21" t="str">
        <f>IFERROR(
IF(COUNTIF($BI145:BP145,INDEX($J:$J,MATCH($AE145,$M:$M,0)+BQ$8-1))=0,
IF(COUNTIF($M:$M,$AE145)&lt;BQ$8,
"",
INDEX($J:$J,MATCH($AE145,$M:$M,0)+BQ$8-1)),
""),
"")</f>
        <v/>
      </c>
      <c r="BS145" s="21" t="str">
        <f>IFERROR(
IF(COUNTIF($BI145:BR145,INDEX($J:$J,MATCH($AF145,$M:$M,0)+BS$8-1))=0,
IF(COUNTIF($M:$M,$AF145)&lt;BS$8,
"",
INDEX($J:$J,MATCH($AF145,$M:$M,0)+BS$8-1)),
""),
"")</f>
        <v/>
      </c>
      <c r="BT145" s="21" t="str">
        <f>IFERROR(
IF(COUNTIF($BI145:BS145,INDEX($J:$J,MATCH($AF145,$M:$M,0)+BT$8-1))=0,
IF(COUNTIF($M:$M,$AF145)&lt;BT$8,
"",
INDEX($J:$J,MATCH($AF145,$M:$M,0)+BT$8-1)),
""),
"")</f>
        <v/>
      </c>
      <c r="BU145" s="21" t="str">
        <f>IFERROR(
IF(COUNTIF($BI145:BT145,INDEX($J:$J,MATCH($AF145,$M:$M,0)+BU$8-1))=0,
IF(COUNTIF($M:$M,$AF145)&lt;BU$8,
"",
INDEX($J:$J,MATCH($AF145,$M:$M,0)+BU$8-1)),
""),
"")</f>
        <v/>
      </c>
      <c r="BV145" s="21" t="str">
        <f>IFERROR(
IF(COUNTIF($BI145:BU145,INDEX($J:$J,MATCH($AF145,$M:$M,0)+BV$8-1))=0,
IF(COUNTIF($M:$M,$AF145)&lt;BV$8,
"",
INDEX($J:$J,MATCH($AF145,$M:$M,0)+BV$8-1)),
""),
"")</f>
        <v/>
      </c>
      <c r="BX145" s="21" t="str">
        <f>IFERROR(
IF(COUNTIF($BI145:BW145,INDEX($J:$J,MATCH($AG145,$M:$M,0)+BX$8-1))=0,
IF(COUNTIF($M:$M,$AG145)&lt;BX$8,
"",
INDEX($J:$J,MATCH($AG145,$M:$M,0)+BX$8-1)),
""),
"")</f>
        <v/>
      </c>
      <c r="BY145" s="21" t="str">
        <f>IFERROR(
IF(COUNTIF($BI145:BX145,INDEX($J:$J,MATCH($AG145,$M:$M,0)+BY$8-1))=0,
IF(COUNTIF($M:$M,$AG145)&lt;BY$8,
"",
INDEX($J:$J,MATCH($AG145,$M:$M,0)+BY$8-1)),
""),
"")</f>
        <v/>
      </c>
      <c r="BZ145" s="21" t="str">
        <f>IFERROR(
IF(COUNTIF($BI145:BY145,INDEX($J:$J,MATCH($AG145,$M:$M,0)+BZ$8-1))=0,
IF(COUNTIF($M:$M,$AG145)&lt;BZ$8,
"",
INDEX($J:$J,MATCH($AG145,$M:$M,0)+BZ$8-1)),
""),
"")</f>
        <v/>
      </c>
      <c r="CA145" s="21" t="str">
        <f>IFERROR(
IF(COUNTIF($BI145:BZ145,INDEX($J:$J,MATCH($AG145,$M:$M,0)+CA$8-1))=0,
IF(COUNTIF($M:$M,$AG145)&lt;CA$8,
"",
INDEX($J:$J,MATCH($AG145,$M:$M,0)+CA$8-1)),
""),
"")</f>
        <v/>
      </c>
      <c r="CC145" s="21" t="str">
        <f>IFERROR(
IF(COUNTIF($BI145:CB145,INDEX($J:$J,MATCH($AH145,$M:$M,0)+CC$8-1))=0,
IF(COUNTIF($M:$M,$AH145)&lt;CC$8,
"",
INDEX($J:$J,MATCH($AH145,$M:$M,0)+CC$8-1)),
""),
"")</f>
        <v/>
      </c>
      <c r="CD145" s="21" t="str">
        <f>IFERROR(
IF(COUNTIF($BI145:CC145,INDEX($J:$J,MATCH($AH145,$M:$M,0)+CD$8-1))=0,
IF(COUNTIF($M:$M,$AH145)&lt;CD$8,
"",
INDEX($J:$J,MATCH($AH145,$M:$M,0)+CD$8-1)),
""),
"")</f>
        <v/>
      </c>
      <c r="CE145" s="21" t="str">
        <f>IFERROR(
IF(COUNTIF($BI145:CD145,INDEX($J:$J,MATCH($AH145,$M:$M,0)+CE$8-1))=0,
IF(COUNTIF($M:$M,$AH145)&lt;CE$8,
"",
INDEX($J:$J,MATCH($AH145,$M:$M,0)+CE$8-1)),
""),
"")</f>
        <v/>
      </c>
      <c r="CF145" s="21" t="str">
        <f>IFERROR(
IF(COUNTIF($BI145:CE145,INDEX($J:$J,MATCH($AH145,$M:$M,0)+CF$8-1))=0,
IF(COUNTIF($M:$M,$AH145)&lt;CF$8,
"",
INDEX($J:$J,MATCH($AH145,$M:$M,0)+CF$8-1)),
""),
"")</f>
        <v/>
      </c>
      <c r="CH145" s="21" t="str">
        <f>IFERROR(
IF(COUNTIF($BI145:CG145,INDEX($J:$J,MATCH($AI145,$M:$M,0)+CH$8-1))=0,
IF(COUNTIF($M:$M,$AI145)&lt;CH$8,
"",
INDEX($J:$J,MATCH($AI145,$M:$M,0)+CH$8-1)),
""),
"")</f>
        <v/>
      </c>
      <c r="CI145" s="21" t="str">
        <f>IFERROR(
IF(COUNTIF($BI145:CH145,INDEX($J:$J,MATCH($AI145,$M:$M,0)+CI$8-1))=0,
IF(COUNTIF($M:$M,$AI145)&lt;CI$8,
"",
INDEX($J:$J,MATCH($AI145,$M:$M,0)+CI$8-1)),
""),
"")</f>
        <v/>
      </c>
      <c r="CJ145" s="21" t="str">
        <f>IFERROR(
IF(COUNTIF($BI145:CI145,INDEX($J:$J,MATCH($AI145,$M:$M,0)+CJ$8-1))=0,
IF(COUNTIF($M:$M,$AI145)&lt;CJ$8,
"",
INDEX($J:$J,MATCH($AI145,$M:$M,0)+CJ$8-1)),
""),
"")</f>
        <v/>
      </c>
      <c r="CK145" s="21" t="str">
        <f>IFERROR(
IF(COUNTIF($BI145:CJ145,INDEX($J:$J,MATCH($AI145,$M:$M,0)+CK$8-1))=0,
IF(COUNTIF($M:$M,$AI145)&lt;CK$8,
"",
INDEX($J:$J,MATCH($AI145,$M:$M,0)+CK$8-1)),
""),
"")</f>
        <v/>
      </c>
      <c r="CM145" s="21" t="str">
        <f>IFERROR(
IF(COUNTIF($BI145:CL145,INDEX($J:$J,MATCH($AJ145,$M:$M,0)+CM$8-1))=0,
IF(COUNTIF($M:$M,$AJ145)&lt;CM$8,
"",
INDEX($J:$J,MATCH($AJ145,$M:$M,0)+CM$8-1)),
""),
"")</f>
        <v/>
      </c>
      <c r="CN145" s="21" t="str">
        <f>IFERROR(
IF(COUNTIF($BI145:CM145,INDEX($J:$J,MATCH($AJ145,$M:$M,0)+CN$8-1))=0,
IF(COUNTIF($M:$M,$AJ145)&lt;CN$8,
"",
INDEX($J:$J,MATCH($AJ145,$M:$M,0)+CN$8-1)),
""),
"")</f>
        <v/>
      </c>
      <c r="CO145" s="21" t="str">
        <f>IFERROR(
IF(COUNTIF($BI145:CN145,INDEX($J:$J,MATCH($AJ145,$M:$M,0)+CO$8-1))=0,
IF(COUNTIF($M:$M,$AJ145)&lt;CO$8,
"",
INDEX($J:$J,MATCH($AJ145,$M:$M,0)+CO$8-1)),
""),
"")</f>
        <v/>
      </c>
      <c r="CP145" s="21" t="str">
        <f>IFERROR(
IF(COUNTIF($BI145:CO145,INDEX($J:$J,MATCH($AJ145,$M:$M,0)+CP$8-1))=0,
IF(COUNTIF($M:$M,$AJ145)&lt;CP$8,
"",
INDEX($J:$J,MATCH($AJ145,$M:$M,0)+CP$8-1)),
""),
"")</f>
        <v/>
      </c>
      <c r="CR145" s="21" t="str">
        <f>IFERROR(
IF(COUNTIF($BI145:CQ145,INDEX($J:$J,MATCH($AK145,$M:$M,0)+CR$8-1))=0,
IF(COUNTIF($M:$M,$AK145)&lt;CR$8,
"",
INDEX($J:$J,MATCH($AK145,$M:$M,0)+CR$8-1)),
""),
"")</f>
        <v/>
      </c>
      <c r="CS145" s="21" t="str">
        <f>IFERROR(
IF(COUNTIF($BI145:CR145,INDEX($J:$J,MATCH($AK145,$M:$M,0)+CS$8-1))=0,
IF(COUNTIF($M:$M,$AK145)&lt;CS$8,
"",
INDEX($J:$J,MATCH($AK145,$M:$M,0)+CS$8-1)),
""),
"")</f>
        <v/>
      </c>
      <c r="CT145" s="21" t="str">
        <f>IFERROR(
IF(COUNTIF($BI145:CS145,INDEX($J:$J,MATCH($AK145,$M:$M,0)+CT$8-1))=0,
IF(COUNTIF($M:$M,$AK145)&lt;CT$8,
"",
INDEX($J:$J,MATCH($AK145,$M:$M,0)+CT$8-1)),
""),
"")</f>
        <v/>
      </c>
      <c r="CU145" s="21" t="str">
        <f>IFERROR(
IF(COUNTIF($BI145:CT145,INDEX($J:$J,MATCH($AK145,$M:$M,0)+CU$8-1))=0,
IF(COUNTIF($M:$M,$AK145)&lt;CU$8,
"",
INDEX($J:$J,MATCH($AK145,$M:$M,0)+CU$8-1)),
""),
"")</f>
        <v/>
      </c>
    </row>
    <row r="146" spans="8:99">
      <c r="H146" s="7" t="str">
        <f>IF(I146="","",COUNTA(I$9:$I146))</f>
        <v/>
      </c>
      <c r="I146" s="6"/>
      <c r="J146" s="6" t="s">
        <v>213</v>
      </c>
      <c r="K146" s="8" t="str">
        <f>IF(H146="","",阶段合并区域(J146:J152," ",L146:L152,1))</f>
        <v/>
      </c>
      <c r="L146" s="8">
        <f>COUNTIF(M$8:$M146,"="&amp;M146)</f>
        <v>2</v>
      </c>
      <c r="M146" s="9" t="str">
        <f t="shared" si="31"/>
        <v>为国为民</v>
      </c>
      <c r="N146" s="9" t="str">
        <f t="shared" si="32"/>
        <v>为国为民2</v>
      </c>
      <c r="O146" s="15">
        <f>INDEX(C:C,MATCH(J146,D:D,0))</f>
        <v>40</v>
      </c>
      <c r="P146" s="9">
        <f>INDEX(E:E,MATCH(J146,D:D,0))</f>
        <v>120</v>
      </c>
      <c r="Q146" s="7">
        <f t="shared" si="34"/>
        <v>40</v>
      </c>
      <c r="R146" s="7">
        <f>COUNTIF(J$8:$J146,"="&amp;J146)</f>
        <v>6</v>
      </c>
      <c r="S146" s="7">
        <f t="shared" si="33"/>
        <v>6040</v>
      </c>
      <c r="U146" s="7">
        <f t="shared" si="36"/>
        <v>1000</v>
      </c>
      <c r="V146" s="7">
        <f t="shared" si="36"/>
        <v>2000</v>
      </c>
      <c r="W146" s="7">
        <f t="shared" si="36"/>
        <v>3000</v>
      </c>
      <c r="X146" s="7">
        <f t="shared" si="36"/>
        <v>4000</v>
      </c>
      <c r="Y146" s="7">
        <f t="shared" si="36"/>
        <v>5000</v>
      </c>
      <c r="Z146" s="7">
        <f t="shared" si="36"/>
        <v>6000</v>
      </c>
      <c r="AA146" s="7">
        <f t="shared" si="36"/>
        <v>7000</v>
      </c>
      <c r="AB146" s="7">
        <f t="shared" si="36"/>
        <v>8000</v>
      </c>
      <c r="AD146" s="21" t="str">
        <f>IFERROR(INDEX($M:$M,MATCH(U146,$S:$S,0)),"&amp;")</f>
        <v>&amp;</v>
      </c>
      <c r="AE146" s="21" t="str">
        <f>IFERROR(INDEX($M:$M,MATCH(V146,$S:$S,0)),"&amp;")</f>
        <v>&amp;</v>
      </c>
      <c r="AF146" s="21" t="str">
        <f>IFERROR(INDEX($M:$M,MATCH(W146,$S:$S,0)),"&amp;")</f>
        <v>&amp;</v>
      </c>
      <c r="AG146" s="21" t="str">
        <f>IFERROR(INDEX($M:$M,MATCH(X146,$S:$S,0)),"&amp;")</f>
        <v>&amp;</v>
      </c>
      <c r="AH146" s="21" t="str">
        <f>IFERROR(INDEX($M:$M,MATCH(Y146,$S:$S,0)),"&amp;")</f>
        <v>&amp;</v>
      </c>
      <c r="AI146" s="21" t="str">
        <f>IFERROR(INDEX($M:$M,MATCH(Z146,$S:$S,0)),"&amp;")</f>
        <v>&amp;</v>
      </c>
      <c r="AJ146" s="21" t="str">
        <f>IFERROR(INDEX($M:$M,MATCH(AA146,$S:$S,0)),"&amp;")</f>
        <v>&amp;</v>
      </c>
      <c r="AK146" s="21" t="str">
        <f>IFERROR(INDEX($M:$M,MATCH(AB146,$S:$S,0)),"&amp;")</f>
        <v>&amp;</v>
      </c>
      <c r="AM146" s="21" t="str">
        <f>IFERROR(INDEX($N:$N,MATCH(U146,$S:$S,0)),"&amp;")</f>
        <v>&amp;</v>
      </c>
      <c r="AN146" s="21" t="str">
        <f>IFERROR(INDEX($N:$N,MATCH(V146,$S:$S,0)),"&amp;")</f>
        <v>&amp;</v>
      </c>
      <c r="AO146" s="21" t="str">
        <f>IFERROR(INDEX($N:$N,MATCH(W146,$S:$S,0)),"&amp;")</f>
        <v>&amp;</v>
      </c>
      <c r="AP146" s="21" t="str">
        <f>IFERROR(INDEX($N:$N,MATCH(X146,$S:$S,0)),"&amp;")</f>
        <v>&amp;</v>
      </c>
      <c r="AQ146" s="21" t="str">
        <f>IFERROR(INDEX($N:$N,MATCH(Y146,$S:$S,0)),"&amp;")</f>
        <v>&amp;</v>
      </c>
      <c r="AR146" s="21" t="str">
        <f>IFERROR(INDEX($N:$N,MATCH(Z146,$S:$S,0)),"&amp;")</f>
        <v>&amp;</v>
      </c>
      <c r="AS146" s="21" t="str">
        <f>IFERROR(INDEX($N:$N,MATCH(AA146,$S:$S,0)),"&amp;")</f>
        <v>&amp;</v>
      </c>
      <c r="AT146" s="21" t="str">
        <f>IFERROR(INDEX($N:$N,MATCH(AB146,$S:$S,0)),"&amp;")</f>
        <v>&amp;</v>
      </c>
      <c r="AV146" s="21" t="str">
        <f>IFERROR(SUBSTITUTE(INDEX($K:$K,MATCH(INDEX($M:$M,MATCH(AM146,$N:$N,0)),$M:$M,0)),$D146,""),"")</f>
        <v/>
      </c>
      <c r="AW146" s="21" t="str">
        <f>IFERROR(SUBSTITUTE(INDEX($K:$K,MATCH(INDEX($M:$M,MATCH(AN146,$N:$N,0)),$M:$M,0)),$D146,""),"")</f>
        <v/>
      </c>
      <c r="AX146" s="21" t="str">
        <f>IFERROR(SUBSTITUTE(INDEX($K:$K,MATCH(INDEX($M:$M,MATCH(AO146,$N:$N,0)),$M:$M,0)),$D146,""),"")</f>
        <v/>
      </c>
      <c r="AY146" s="21" t="str">
        <f>IFERROR(SUBSTITUTE(INDEX($K:$K,MATCH(INDEX($M:$M,MATCH(AP146,$N:$N,0)),$M:$M,0)),$D146,""),"")</f>
        <v/>
      </c>
      <c r="AZ146" s="21" t="str">
        <f>IFERROR(SUBSTITUTE(INDEX($K:$K,MATCH(INDEX($M:$M,MATCH(AQ146,$N:$N,0)),$M:$M,0)),$D146,""),"")</f>
        <v/>
      </c>
      <c r="BA146" s="21" t="str">
        <f>IFERROR(SUBSTITUTE(INDEX($K:$K,MATCH(INDEX($M:$M,MATCH(AR146,$N:$N,0)),$M:$M,0)),$D146,""),"")</f>
        <v/>
      </c>
      <c r="BB146" s="21" t="str">
        <f>IFERROR(SUBSTITUTE(INDEX($K:$K,MATCH(INDEX($M:$M,MATCH(AS146,$N:$N,0)),$M:$M,0)),$D146,""),"")</f>
        <v/>
      </c>
      <c r="BC146" s="21" t="str">
        <f>IFERROR(SUBSTITUTE(INDEX($K:$K,MATCH(INDEX($M:$M,MATCH(AT146,$N:$N,0)),$M:$M,0)),$D146,""),"")</f>
        <v/>
      </c>
      <c r="BE146" s="9" t="str">
        <f t="shared" si="35"/>
        <v/>
      </c>
      <c r="BI146" s="9" t="str">
        <f>IFERROR(
IF(COUNTIF($M:$M,$AD146)&lt;BI$8,
"",
INDEX($J:$J,MATCH($AD146,$M:$M,0)+BI$8-1)),
"")</f>
        <v/>
      </c>
      <c r="BJ146" s="9" t="str">
        <f>IFERROR(
IF(COUNTIF($M:$M,$AD146)&lt;BJ$8,
"",
INDEX($J:$J,MATCH($AD146,$M:$M,0)+BJ$8-1)),
"")</f>
        <v/>
      </c>
      <c r="BK146" s="9" t="str">
        <f>IFERROR(
IF(COUNTIF($M:$M,$AD146)&lt;BK$8,
"",
INDEX($J:$J,MATCH($AD146,$M:$M,0)+BK$8-1)),
"")</f>
        <v/>
      </c>
      <c r="BL146" s="9" t="str">
        <f>IFERROR(
IF(COUNTIF($M:$M,$AD146)&lt;BL$8,
"",
INDEX($J:$J,MATCH($AD146,$M:$M,0)+BL$8-1)),
"")</f>
        <v/>
      </c>
      <c r="BN146" s="21" t="str">
        <f>IFERROR(
IF(COUNTIF($BI146:BM146,INDEX($J:$J,MATCH($AE146,$M:$M,0)+BN$8-1))=0,
IF(COUNTIF($M:$M,$AE146)&lt;BN$8,
"",
INDEX($J:$J,MATCH($AE146,$M:$M,0)+BN$8-1)),
""),
"")</f>
        <v/>
      </c>
      <c r="BO146" s="21" t="str">
        <f>IFERROR(
IF(COUNTIF($BI146:BN146,INDEX($J:$J,MATCH($AE146,$M:$M,0)+BO$8-1))=0,
IF(COUNTIF($M:$M,$AE146)&lt;BO$8,
"",
INDEX($J:$J,MATCH($AE146,$M:$M,0)+BO$8-1)),
""),
"")</f>
        <v/>
      </c>
      <c r="BP146" s="21" t="str">
        <f>IFERROR(
IF(COUNTIF($BI146:BO146,INDEX($J:$J,MATCH($AE146,$M:$M,0)+BP$8-1))=0,
IF(COUNTIF($M:$M,$AE146)&lt;BP$8,
"",
INDEX($J:$J,MATCH($AE146,$M:$M,0)+BP$8-1)),
""),
"")</f>
        <v/>
      </c>
      <c r="BQ146" s="21" t="str">
        <f>IFERROR(
IF(COUNTIF($BI146:BP146,INDEX($J:$J,MATCH($AE146,$M:$M,0)+BQ$8-1))=0,
IF(COUNTIF($M:$M,$AE146)&lt;BQ$8,
"",
INDEX($J:$J,MATCH($AE146,$M:$M,0)+BQ$8-1)),
""),
"")</f>
        <v/>
      </c>
      <c r="BS146" s="21" t="str">
        <f>IFERROR(
IF(COUNTIF($BI146:BR146,INDEX($J:$J,MATCH($AF146,$M:$M,0)+BS$8-1))=0,
IF(COUNTIF($M:$M,$AF146)&lt;BS$8,
"",
INDEX($J:$J,MATCH($AF146,$M:$M,0)+BS$8-1)),
""),
"")</f>
        <v/>
      </c>
      <c r="BT146" s="21" t="str">
        <f>IFERROR(
IF(COUNTIF($BI146:BS146,INDEX($J:$J,MATCH($AF146,$M:$M,0)+BT$8-1))=0,
IF(COUNTIF($M:$M,$AF146)&lt;BT$8,
"",
INDEX($J:$J,MATCH($AF146,$M:$M,0)+BT$8-1)),
""),
"")</f>
        <v/>
      </c>
      <c r="BU146" s="21" t="str">
        <f>IFERROR(
IF(COUNTIF($BI146:BT146,INDEX($J:$J,MATCH($AF146,$M:$M,0)+BU$8-1))=0,
IF(COUNTIF($M:$M,$AF146)&lt;BU$8,
"",
INDEX($J:$J,MATCH($AF146,$M:$M,0)+BU$8-1)),
""),
"")</f>
        <v/>
      </c>
      <c r="BV146" s="21" t="str">
        <f>IFERROR(
IF(COUNTIF($BI146:BU146,INDEX($J:$J,MATCH($AF146,$M:$M,0)+BV$8-1))=0,
IF(COUNTIF($M:$M,$AF146)&lt;BV$8,
"",
INDEX($J:$J,MATCH($AF146,$M:$M,0)+BV$8-1)),
""),
"")</f>
        <v/>
      </c>
      <c r="BX146" s="21" t="str">
        <f>IFERROR(
IF(COUNTIF($BI146:BW146,INDEX($J:$J,MATCH($AG146,$M:$M,0)+BX$8-1))=0,
IF(COUNTIF($M:$M,$AG146)&lt;BX$8,
"",
INDEX($J:$J,MATCH($AG146,$M:$M,0)+BX$8-1)),
""),
"")</f>
        <v/>
      </c>
      <c r="BY146" s="21" t="str">
        <f>IFERROR(
IF(COUNTIF($BI146:BX146,INDEX($J:$J,MATCH($AG146,$M:$M,0)+BY$8-1))=0,
IF(COUNTIF($M:$M,$AG146)&lt;BY$8,
"",
INDEX($J:$J,MATCH($AG146,$M:$M,0)+BY$8-1)),
""),
"")</f>
        <v/>
      </c>
      <c r="BZ146" s="21" t="str">
        <f>IFERROR(
IF(COUNTIF($BI146:BY146,INDEX($J:$J,MATCH($AG146,$M:$M,0)+BZ$8-1))=0,
IF(COUNTIF($M:$M,$AG146)&lt;BZ$8,
"",
INDEX($J:$J,MATCH($AG146,$M:$M,0)+BZ$8-1)),
""),
"")</f>
        <v/>
      </c>
      <c r="CA146" s="21" t="str">
        <f>IFERROR(
IF(COUNTIF($BI146:BZ146,INDEX($J:$J,MATCH($AG146,$M:$M,0)+CA$8-1))=0,
IF(COUNTIF($M:$M,$AG146)&lt;CA$8,
"",
INDEX($J:$J,MATCH($AG146,$M:$M,0)+CA$8-1)),
""),
"")</f>
        <v/>
      </c>
      <c r="CC146" s="21" t="str">
        <f>IFERROR(
IF(COUNTIF($BI146:CB146,INDEX($J:$J,MATCH($AH146,$M:$M,0)+CC$8-1))=0,
IF(COUNTIF($M:$M,$AH146)&lt;CC$8,
"",
INDEX($J:$J,MATCH($AH146,$M:$M,0)+CC$8-1)),
""),
"")</f>
        <v/>
      </c>
      <c r="CD146" s="21" t="str">
        <f>IFERROR(
IF(COUNTIF($BI146:CC146,INDEX($J:$J,MATCH($AH146,$M:$M,0)+CD$8-1))=0,
IF(COUNTIF($M:$M,$AH146)&lt;CD$8,
"",
INDEX($J:$J,MATCH($AH146,$M:$M,0)+CD$8-1)),
""),
"")</f>
        <v/>
      </c>
      <c r="CE146" s="21" t="str">
        <f>IFERROR(
IF(COUNTIF($BI146:CD146,INDEX($J:$J,MATCH($AH146,$M:$M,0)+CE$8-1))=0,
IF(COUNTIF($M:$M,$AH146)&lt;CE$8,
"",
INDEX($J:$J,MATCH($AH146,$M:$M,0)+CE$8-1)),
""),
"")</f>
        <v/>
      </c>
      <c r="CF146" s="21" t="str">
        <f>IFERROR(
IF(COUNTIF($BI146:CE146,INDEX($J:$J,MATCH($AH146,$M:$M,0)+CF$8-1))=0,
IF(COUNTIF($M:$M,$AH146)&lt;CF$8,
"",
INDEX($J:$J,MATCH($AH146,$M:$M,0)+CF$8-1)),
""),
"")</f>
        <v/>
      </c>
      <c r="CH146" s="21" t="str">
        <f>IFERROR(
IF(COUNTIF($BI146:CG146,INDEX($J:$J,MATCH($AI146,$M:$M,0)+CH$8-1))=0,
IF(COUNTIF($M:$M,$AI146)&lt;CH$8,
"",
INDEX($J:$J,MATCH($AI146,$M:$M,0)+CH$8-1)),
""),
"")</f>
        <v/>
      </c>
      <c r="CI146" s="21" t="str">
        <f>IFERROR(
IF(COUNTIF($BI146:CH146,INDEX($J:$J,MATCH($AI146,$M:$M,0)+CI$8-1))=0,
IF(COUNTIF($M:$M,$AI146)&lt;CI$8,
"",
INDEX($J:$J,MATCH($AI146,$M:$M,0)+CI$8-1)),
""),
"")</f>
        <v/>
      </c>
      <c r="CJ146" s="21" t="str">
        <f>IFERROR(
IF(COUNTIF($BI146:CI146,INDEX($J:$J,MATCH($AI146,$M:$M,0)+CJ$8-1))=0,
IF(COUNTIF($M:$M,$AI146)&lt;CJ$8,
"",
INDEX($J:$J,MATCH($AI146,$M:$M,0)+CJ$8-1)),
""),
"")</f>
        <v/>
      </c>
      <c r="CK146" s="21" t="str">
        <f>IFERROR(
IF(COUNTIF($BI146:CJ146,INDEX($J:$J,MATCH($AI146,$M:$M,0)+CK$8-1))=0,
IF(COUNTIF($M:$M,$AI146)&lt;CK$8,
"",
INDEX($J:$J,MATCH($AI146,$M:$M,0)+CK$8-1)),
""),
"")</f>
        <v/>
      </c>
      <c r="CM146" s="21" t="str">
        <f>IFERROR(
IF(COUNTIF($BI146:CL146,INDEX($J:$J,MATCH($AJ146,$M:$M,0)+CM$8-1))=0,
IF(COUNTIF($M:$M,$AJ146)&lt;CM$8,
"",
INDEX($J:$J,MATCH($AJ146,$M:$M,0)+CM$8-1)),
""),
"")</f>
        <v/>
      </c>
      <c r="CN146" s="21" t="str">
        <f>IFERROR(
IF(COUNTIF($BI146:CM146,INDEX($J:$J,MATCH($AJ146,$M:$M,0)+CN$8-1))=0,
IF(COUNTIF($M:$M,$AJ146)&lt;CN$8,
"",
INDEX($J:$J,MATCH($AJ146,$M:$M,0)+CN$8-1)),
""),
"")</f>
        <v/>
      </c>
      <c r="CO146" s="21" t="str">
        <f>IFERROR(
IF(COUNTIF($BI146:CN146,INDEX($J:$J,MATCH($AJ146,$M:$M,0)+CO$8-1))=0,
IF(COUNTIF($M:$M,$AJ146)&lt;CO$8,
"",
INDEX($J:$J,MATCH($AJ146,$M:$M,0)+CO$8-1)),
""),
"")</f>
        <v/>
      </c>
      <c r="CP146" s="21" t="str">
        <f>IFERROR(
IF(COUNTIF($BI146:CO146,INDEX($J:$J,MATCH($AJ146,$M:$M,0)+CP$8-1))=0,
IF(COUNTIF($M:$M,$AJ146)&lt;CP$8,
"",
INDEX($J:$J,MATCH($AJ146,$M:$M,0)+CP$8-1)),
""),
"")</f>
        <v/>
      </c>
      <c r="CR146" s="21" t="str">
        <f>IFERROR(
IF(COUNTIF($BI146:CQ146,INDEX($J:$J,MATCH($AK146,$M:$M,0)+CR$8-1))=0,
IF(COUNTIF($M:$M,$AK146)&lt;CR$8,
"",
INDEX($J:$J,MATCH($AK146,$M:$M,0)+CR$8-1)),
""),
"")</f>
        <v/>
      </c>
      <c r="CS146" s="21" t="str">
        <f>IFERROR(
IF(COUNTIF($BI146:CR146,INDEX($J:$J,MATCH($AK146,$M:$M,0)+CS$8-1))=0,
IF(COUNTIF($M:$M,$AK146)&lt;CS$8,
"",
INDEX($J:$J,MATCH($AK146,$M:$M,0)+CS$8-1)),
""),
"")</f>
        <v/>
      </c>
      <c r="CT146" s="21" t="str">
        <f>IFERROR(
IF(COUNTIF($BI146:CS146,INDEX($J:$J,MATCH($AK146,$M:$M,0)+CT$8-1))=0,
IF(COUNTIF($M:$M,$AK146)&lt;CT$8,
"",
INDEX($J:$J,MATCH($AK146,$M:$M,0)+CT$8-1)),
""),
"")</f>
        <v/>
      </c>
      <c r="CU146" s="21" t="str">
        <f>IFERROR(
IF(COUNTIF($BI146:CT146,INDEX($J:$J,MATCH($AK146,$M:$M,0)+CU$8-1))=0,
IF(COUNTIF($M:$M,$AK146)&lt;CU$8,
"",
INDEX($J:$J,MATCH($AK146,$M:$M,0)+CU$8-1)),
""),
"")</f>
        <v/>
      </c>
    </row>
    <row r="147" spans="8:99">
      <c r="H147" s="7" t="str">
        <f>IF(I147="","",COUNTA(I$9:$I147))</f>
        <v/>
      </c>
      <c r="I147" s="6"/>
      <c r="J147" s="6" t="s">
        <v>218</v>
      </c>
      <c r="K147" s="8" t="str">
        <f>IF(H147="","",阶段合并区域(J147:J152," ",L147:L152,1))</f>
        <v/>
      </c>
      <c r="L147" s="8">
        <f>COUNTIF(M$8:$M147,"="&amp;M147)</f>
        <v>3</v>
      </c>
      <c r="M147" s="9" t="str">
        <f t="shared" si="31"/>
        <v>为国为民</v>
      </c>
      <c r="N147" s="9" t="str">
        <f t="shared" si="32"/>
        <v>为国为民3</v>
      </c>
      <c r="O147" s="15">
        <f>INDEX(C:C,MATCH(J147,D:D,0))</f>
        <v>36</v>
      </c>
      <c r="P147" s="9">
        <f>INDEX(E:E,MATCH(J147,D:D,0))</f>
        <v>120</v>
      </c>
      <c r="Q147" s="7">
        <f t="shared" si="34"/>
        <v>36</v>
      </c>
      <c r="R147" s="7">
        <f>COUNTIF(J$8:$J147,"="&amp;J147)</f>
        <v>5</v>
      </c>
      <c r="S147" s="7">
        <f t="shared" si="33"/>
        <v>5036</v>
      </c>
      <c r="U147" s="7">
        <f t="shared" si="36"/>
        <v>1000</v>
      </c>
      <c r="V147" s="7">
        <f t="shared" si="36"/>
        <v>2000</v>
      </c>
      <c r="W147" s="7">
        <f t="shared" si="36"/>
        <v>3000</v>
      </c>
      <c r="X147" s="7">
        <f t="shared" si="36"/>
        <v>4000</v>
      </c>
      <c r="Y147" s="7">
        <f t="shared" si="36"/>
        <v>5000</v>
      </c>
      <c r="Z147" s="7">
        <f t="shared" si="36"/>
        <v>6000</v>
      </c>
      <c r="AA147" s="7">
        <f t="shared" si="36"/>
        <v>7000</v>
      </c>
      <c r="AB147" s="7">
        <f t="shared" si="36"/>
        <v>8000</v>
      </c>
      <c r="AD147" s="21" t="str">
        <f>IFERROR(INDEX($M:$M,MATCH(U147,$S:$S,0)),"&amp;")</f>
        <v>&amp;</v>
      </c>
      <c r="AE147" s="21" t="str">
        <f>IFERROR(INDEX($M:$M,MATCH(V147,$S:$S,0)),"&amp;")</f>
        <v>&amp;</v>
      </c>
      <c r="AF147" s="21" t="str">
        <f>IFERROR(INDEX($M:$M,MATCH(W147,$S:$S,0)),"&amp;")</f>
        <v>&amp;</v>
      </c>
      <c r="AG147" s="21" t="str">
        <f>IFERROR(INDEX($M:$M,MATCH(X147,$S:$S,0)),"&amp;")</f>
        <v>&amp;</v>
      </c>
      <c r="AH147" s="21" t="str">
        <f>IFERROR(INDEX($M:$M,MATCH(Y147,$S:$S,0)),"&amp;")</f>
        <v>&amp;</v>
      </c>
      <c r="AI147" s="21" t="str">
        <f>IFERROR(INDEX($M:$M,MATCH(Z147,$S:$S,0)),"&amp;")</f>
        <v>&amp;</v>
      </c>
      <c r="AJ147" s="21" t="str">
        <f>IFERROR(INDEX($M:$M,MATCH(AA147,$S:$S,0)),"&amp;")</f>
        <v>&amp;</v>
      </c>
      <c r="AK147" s="21" t="str">
        <f>IFERROR(INDEX($M:$M,MATCH(AB147,$S:$S,0)),"&amp;")</f>
        <v>&amp;</v>
      </c>
      <c r="AM147" s="21" t="str">
        <f>IFERROR(INDEX($N:$N,MATCH(U147,$S:$S,0)),"&amp;")</f>
        <v>&amp;</v>
      </c>
      <c r="AN147" s="21" t="str">
        <f>IFERROR(INDEX($N:$N,MATCH(V147,$S:$S,0)),"&amp;")</f>
        <v>&amp;</v>
      </c>
      <c r="AO147" s="21" t="str">
        <f>IFERROR(INDEX($N:$N,MATCH(W147,$S:$S,0)),"&amp;")</f>
        <v>&amp;</v>
      </c>
      <c r="AP147" s="21" t="str">
        <f>IFERROR(INDEX($N:$N,MATCH(X147,$S:$S,0)),"&amp;")</f>
        <v>&amp;</v>
      </c>
      <c r="AQ147" s="21" t="str">
        <f>IFERROR(INDEX($N:$N,MATCH(Y147,$S:$S,0)),"&amp;")</f>
        <v>&amp;</v>
      </c>
      <c r="AR147" s="21" t="str">
        <f>IFERROR(INDEX($N:$N,MATCH(Z147,$S:$S,0)),"&amp;")</f>
        <v>&amp;</v>
      </c>
      <c r="AS147" s="21" t="str">
        <f>IFERROR(INDEX($N:$N,MATCH(AA147,$S:$S,0)),"&amp;")</f>
        <v>&amp;</v>
      </c>
      <c r="AT147" s="21" t="str">
        <f>IFERROR(INDEX($N:$N,MATCH(AB147,$S:$S,0)),"&amp;")</f>
        <v>&amp;</v>
      </c>
      <c r="AV147" s="21" t="str">
        <f>IFERROR(SUBSTITUTE(INDEX($K:$K,MATCH(INDEX($M:$M,MATCH(AM147,$N:$N,0)),$M:$M,0)),$D147,""),"")</f>
        <v/>
      </c>
      <c r="AW147" s="21" t="str">
        <f>IFERROR(SUBSTITUTE(INDEX($K:$K,MATCH(INDEX($M:$M,MATCH(AN147,$N:$N,0)),$M:$M,0)),$D147,""),"")</f>
        <v/>
      </c>
      <c r="AX147" s="21" t="str">
        <f>IFERROR(SUBSTITUTE(INDEX($K:$K,MATCH(INDEX($M:$M,MATCH(AO147,$N:$N,0)),$M:$M,0)),$D147,""),"")</f>
        <v/>
      </c>
      <c r="AY147" s="21" t="str">
        <f>IFERROR(SUBSTITUTE(INDEX($K:$K,MATCH(INDEX($M:$M,MATCH(AP147,$N:$N,0)),$M:$M,0)),$D147,""),"")</f>
        <v/>
      </c>
      <c r="AZ147" s="21" t="str">
        <f>IFERROR(SUBSTITUTE(INDEX($K:$K,MATCH(INDEX($M:$M,MATCH(AQ147,$N:$N,0)),$M:$M,0)),$D147,""),"")</f>
        <v/>
      </c>
      <c r="BA147" s="21" t="str">
        <f>IFERROR(SUBSTITUTE(INDEX($K:$K,MATCH(INDEX($M:$M,MATCH(AR147,$N:$N,0)),$M:$M,0)),$D147,""),"")</f>
        <v/>
      </c>
      <c r="BB147" s="21" t="str">
        <f>IFERROR(SUBSTITUTE(INDEX($K:$K,MATCH(INDEX($M:$M,MATCH(AS147,$N:$N,0)),$M:$M,0)),$D147,""),"")</f>
        <v/>
      </c>
      <c r="BC147" s="21" t="str">
        <f>IFERROR(SUBSTITUTE(INDEX($K:$K,MATCH(INDEX($M:$M,MATCH(AT147,$N:$N,0)),$M:$M,0)),$D147,""),"")</f>
        <v/>
      </c>
      <c r="BE147" s="9" t="str">
        <f t="shared" si="35"/>
        <v/>
      </c>
      <c r="BI147" s="9" t="str">
        <f>IFERROR(
IF(COUNTIF($M:$M,$AD147)&lt;BI$8,
"",
INDEX($J:$J,MATCH($AD147,$M:$M,0)+BI$8-1)),
"")</f>
        <v/>
      </c>
      <c r="BJ147" s="9" t="str">
        <f>IFERROR(
IF(COUNTIF($M:$M,$AD147)&lt;BJ$8,
"",
INDEX($J:$J,MATCH($AD147,$M:$M,0)+BJ$8-1)),
"")</f>
        <v/>
      </c>
      <c r="BK147" s="9" t="str">
        <f>IFERROR(
IF(COUNTIF($M:$M,$AD147)&lt;BK$8,
"",
INDEX($J:$J,MATCH($AD147,$M:$M,0)+BK$8-1)),
"")</f>
        <v/>
      </c>
      <c r="BL147" s="9" t="str">
        <f>IFERROR(
IF(COUNTIF($M:$M,$AD147)&lt;BL$8,
"",
INDEX($J:$J,MATCH($AD147,$M:$M,0)+BL$8-1)),
"")</f>
        <v/>
      </c>
      <c r="BN147" s="21" t="str">
        <f>IFERROR(
IF(COUNTIF($BI147:BM147,INDEX($J:$J,MATCH($AE147,$M:$M,0)+BN$8-1))=0,
IF(COUNTIF($M:$M,$AE147)&lt;BN$8,
"",
INDEX($J:$J,MATCH($AE147,$M:$M,0)+BN$8-1)),
""),
"")</f>
        <v/>
      </c>
      <c r="BO147" s="21" t="str">
        <f>IFERROR(
IF(COUNTIF($BI147:BN147,INDEX($J:$J,MATCH($AE147,$M:$M,0)+BO$8-1))=0,
IF(COUNTIF($M:$M,$AE147)&lt;BO$8,
"",
INDEX($J:$J,MATCH($AE147,$M:$M,0)+BO$8-1)),
""),
"")</f>
        <v/>
      </c>
      <c r="BP147" s="21" t="str">
        <f>IFERROR(
IF(COUNTIF($BI147:BO147,INDEX($J:$J,MATCH($AE147,$M:$M,0)+BP$8-1))=0,
IF(COUNTIF($M:$M,$AE147)&lt;BP$8,
"",
INDEX($J:$J,MATCH($AE147,$M:$M,0)+BP$8-1)),
""),
"")</f>
        <v/>
      </c>
      <c r="BQ147" s="21" t="str">
        <f>IFERROR(
IF(COUNTIF($BI147:BP147,INDEX($J:$J,MATCH($AE147,$M:$M,0)+BQ$8-1))=0,
IF(COUNTIF($M:$M,$AE147)&lt;BQ$8,
"",
INDEX($J:$J,MATCH($AE147,$M:$M,0)+BQ$8-1)),
""),
"")</f>
        <v/>
      </c>
      <c r="BS147" s="21" t="str">
        <f>IFERROR(
IF(COUNTIF($BI147:BR147,INDEX($J:$J,MATCH($AF147,$M:$M,0)+BS$8-1))=0,
IF(COUNTIF($M:$M,$AF147)&lt;BS$8,
"",
INDEX($J:$J,MATCH($AF147,$M:$M,0)+BS$8-1)),
""),
"")</f>
        <v/>
      </c>
      <c r="BT147" s="21" t="str">
        <f>IFERROR(
IF(COUNTIF($BI147:BS147,INDEX($J:$J,MATCH($AF147,$M:$M,0)+BT$8-1))=0,
IF(COUNTIF($M:$M,$AF147)&lt;BT$8,
"",
INDEX($J:$J,MATCH($AF147,$M:$M,0)+BT$8-1)),
""),
"")</f>
        <v/>
      </c>
      <c r="BU147" s="21" t="str">
        <f>IFERROR(
IF(COUNTIF($BI147:BT147,INDEX($J:$J,MATCH($AF147,$M:$M,0)+BU$8-1))=0,
IF(COUNTIF($M:$M,$AF147)&lt;BU$8,
"",
INDEX($J:$J,MATCH($AF147,$M:$M,0)+BU$8-1)),
""),
"")</f>
        <v/>
      </c>
      <c r="BV147" s="21" t="str">
        <f>IFERROR(
IF(COUNTIF($BI147:BU147,INDEX($J:$J,MATCH($AF147,$M:$M,0)+BV$8-1))=0,
IF(COUNTIF($M:$M,$AF147)&lt;BV$8,
"",
INDEX($J:$J,MATCH($AF147,$M:$M,0)+BV$8-1)),
""),
"")</f>
        <v/>
      </c>
      <c r="BX147" s="21" t="str">
        <f>IFERROR(
IF(COUNTIF($BI147:BW147,INDEX($J:$J,MATCH($AG147,$M:$M,0)+BX$8-1))=0,
IF(COUNTIF($M:$M,$AG147)&lt;BX$8,
"",
INDEX($J:$J,MATCH($AG147,$M:$M,0)+BX$8-1)),
""),
"")</f>
        <v/>
      </c>
      <c r="BY147" s="21" t="str">
        <f>IFERROR(
IF(COUNTIF($BI147:BX147,INDEX($J:$J,MATCH($AG147,$M:$M,0)+BY$8-1))=0,
IF(COUNTIF($M:$M,$AG147)&lt;BY$8,
"",
INDEX($J:$J,MATCH($AG147,$M:$M,0)+BY$8-1)),
""),
"")</f>
        <v/>
      </c>
      <c r="BZ147" s="21" t="str">
        <f>IFERROR(
IF(COUNTIF($BI147:BY147,INDEX($J:$J,MATCH($AG147,$M:$M,0)+BZ$8-1))=0,
IF(COUNTIF($M:$M,$AG147)&lt;BZ$8,
"",
INDEX($J:$J,MATCH($AG147,$M:$M,0)+BZ$8-1)),
""),
"")</f>
        <v/>
      </c>
      <c r="CA147" s="21" t="str">
        <f>IFERROR(
IF(COUNTIF($BI147:BZ147,INDEX($J:$J,MATCH($AG147,$M:$M,0)+CA$8-1))=0,
IF(COUNTIF($M:$M,$AG147)&lt;CA$8,
"",
INDEX($J:$J,MATCH($AG147,$M:$M,0)+CA$8-1)),
""),
"")</f>
        <v/>
      </c>
      <c r="CC147" s="21" t="str">
        <f>IFERROR(
IF(COUNTIF($BI147:CB147,INDEX($J:$J,MATCH($AH147,$M:$M,0)+CC$8-1))=0,
IF(COUNTIF($M:$M,$AH147)&lt;CC$8,
"",
INDEX($J:$J,MATCH($AH147,$M:$M,0)+CC$8-1)),
""),
"")</f>
        <v/>
      </c>
      <c r="CD147" s="21" t="str">
        <f>IFERROR(
IF(COUNTIF($BI147:CC147,INDEX($J:$J,MATCH($AH147,$M:$M,0)+CD$8-1))=0,
IF(COUNTIF($M:$M,$AH147)&lt;CD$8,
"",
INDEX($J:$J,MATCH($AH147,$M:$M,0)+CD$8-1)),
""),
"")</f>
        <v/>
      </c>
      <c r="CE147" s="21" t="str">
        <f>IFERROR(
IF(COUNTIF($BI147:CD147,INDEX($J:$J,MATCH($AH147,$M:$M,0)+CE$8-1))=0,
IF(COUNTIF($M:$M,$AH147)&lt;CE$8,
"",
INDEX($J:$J,MATCH($AH147,$M:$M,0)+CE$8-1)),
""),
"")</f>
        <v/>
      </c>
      <c r="CF147" s="21" t="str">
        <f>IFERROR(
IF(COUNTIF($BI147:CE147,INDEX($J:$J,MATCH($AH147,$M:$M,0)+CF$8-1))=0,
IF(COUNTIF($M:$M,$AH147)&lt;CF$8,
"",
INDEX($J:$J,MATCH($AH147,$M:$M,0)+CF$8-1)),
""),
"")</f>
        <v/>
      </c>
      <c r="CH147" s="21" t="str">
        <f>IFERROR(
IF(COUNTIF($BI147:CG147,INDEX($J:$J,MATCH($AI147,$M:$M,0)+CH$8-1))=0,
IF(COUNTIF($M:$M,$AI147)&lt;CH$8,
"",
INDEX($J:$J,MATCH($AI147,$M:$M,0)+CH$8-1)),
""),
"")</f>
        <v/>
      </c>
      <c r="CI147" s="21" t="str">
        <f>IFERROR(
IF(COUNTIF($BI147:CH147,INDEX($J:$J,MATCH($AI147,$M:$M,0)+CI$8-1))=0,
IF(COUNTIF($M:$M,$AI147)&lt;CI$8,
"",
INDEX($J:$J,MATCH($AI147,$M:$M,0)+CI$8-1)),
""),
"")</f>
        <v/>
      </c>
      <c r="CJ147" s="21" t="str">
        <f>IFERROR(
IF(COUNTIF($BI147:CI147,INDEX($J:$J,MATCH($AI147,$M:$M,0)+CJ$8-1))=0,
IF(COUNTIF($M:$M,$AI147)&lt;CJ$8,
"",
INDEX($J:$J,MATCH($AI147,$M:$M,0)+CJ$8-1)),
""),
"")</f>
        <v/>
      </c>
      <c r="CK147" s="21" t="str">
        <f>IFERROR(
IF(COUNTIF($BI147:CJ147,INDEX($J:$J,MATCH($AI147,$M:$M,0)+CK$8-1))=0,
IF(COUNTIF($M:$M,$AI147)&lt;CK$8,
"",
INDEX($J:$J,MATCH($AI147,$M:$M,0)+CK$8-1)),
""),
"")</f>
        <v/>
      </c>
      <c r="CM147" s="21" t="str">
        <f>IFERROR(
IF(COUNTIF($BI147:CL147,INDEX($J:$J,MATCH($AJ147,$M:$M,0)+CM$8-1))=0,
IF(COUNTIF($M:$M,$AJ147)&lt;CM$8,
"",
INDEX($J:$J,MATCH($AJ147,$M:$M,0)+CM$8-1)),
""),
"")</f>
        <v/>
      </c>
      <c r="CN147" s="21" t="str">
        <f>IFERROR(
IF(COUNTIF($BI147:CM147,INDEX($J:$J,MATCH($AJ147,$M:$M,0)+CN$8-1))=0,
IF(COUNTIF($M:$M,$AJ147)&lt;CN$8,
"",
INDEX($J:$J,MATCH($AJ147,$M:$M,0)+CN$8-1)),
""),
"")</f>
        <v/>
      </c>
      <c r="CO147" s="21" t="str">
        <f>IFERROR(
IF(COUNTIF($BI147:CN147,INDEX($J:$J,MATCH($AJ147,$M:$M,0)+CO$8-1))=0,
IF(COUNTIF($M:$M,$AJ147)&lt;CO$8,
"",
INDEX($J:$J,MATCH($AJ147,$M:$M,0)+CO$8-1)),
""),
"")</f>
        <v/>
      </c>
      <c r="CP147" s="21" t="str">
        <f>IFERROR(
IF(COUNTIF($BI147:CO147,INDEX($J:$J,MATCH($AJ147,$M:$M,0)+CP$8-1))=0,
IF(COUNTIF($M:$M,$AJ147)&lt;CP$8,
"",
INDEX($J:$J,MATCH($AJ147,$M:$M,0)+CP$8-1)),
""),
"")</f>
        <v/>
      </c>
      <c r="CR147" s="21" t="str">
        <f>IFERROR(
IF(COUNTIF($BI147:CQ147,INDEX($J:$J,MATCH($AK147,$M:$M,0)+CR$8-1))=0,
IF(COUNTIF($M:$M,$AK147)&lt;CR$8,
"",
INDEX($J:$J,MATCH($AK147,$M:$M,0)+CR$8-1)),
""),
"")</f>
        <v/>
      </c>
      <c r="CS147" s="21" t="str">
        <f>IFERROR(
IF(COUNTIF($BI147:CR147,INDEX($J:$J,MATCH($AK147,$M:$M,0)+CS$8-1))=0,
IF(COUNTIF($M:$M,$AK147)&lt;CS$8,
"",
INDEX($J:$J,MATCH($AK147,$M:$M,0)+CS$8-1)),
""),
"")</f>
        <v/>
      </c>
      <c r="CT147" s="21" t="str">
        <f>IFERROR(
IF(COUNTIF($BI147:CS147,INDEX($J:$J,MATCH($AK147,$M:$M,0)+CT$8-1))=0,
IF(COUNTIF($M:$M,$AK147)&lt;CT$8,
"",
INDEX($J:$J,MATCH($AK147,$M:$M,0)+CT$8-1)),
""),
"")</f>
        <v/>
      </c>
      <c r="CU147" s="21" t="str">
        <f>IFERROR(
IF(COUNTIF($BI147:CT147,INDEX($J:$J,MATCH($AK147,$M:$M,0)+CU$8-1))=0,
IF(COUNTIF($M:$M,$AK147)&lt;CU$8,
"",
INDEX($J:$J,MATCH($AK147,$M:$M,0)+CU$8-1)),
""),
"")</f>
        <v/>
      </c>
    </row>
    <row r="148" spans="8:99">
      <c r="H148" s="7" t="str">
        <f>IF(I148="","",COUNTA(I$9:$I148))</f>
        <v/>
      </c>
      <c r="I148" s="6"/>
      <c r="J148" s="6" t="s">
        <v>240</v>
      </c>
      <c r="K148" s="8" t="str">
        <f>IF(H148="","",阶段合并区域(J148:J152," ",L148:L152,1))</f>
        <v/>
      </c>
      <c r="L148" s="8">
        <f>COUNTIF(M$8:$M148,"="&amp;M148)</f>
        <v>4</v>
      </c>
      <c r="M148" s="9" t="str">
        <f t="shared" si="31"/>
        <v>为国为民</v>
      </c>
      <c r="N148" s="9" t="str">
        <f t="shared" si="32"/>
        <v>为国为民4</v>
      </c>
      <c r="O148" s="15">
        <f>INDEX(C:C,MATCH(J148,D:D,0))</f>
        <v>52</v>
      </c>
      <c r="P148" s="9">
        <f>INDEX(E:E,MATCH(J148,D:D,0))</f>
        <v>120</v>
      </c>
      <c r="Q148" s="7">
        <f t="shared" si="34"/>
        <v>52</v>
      </c>
      <c r="R148" s="7">
        <f>COUNTIF(J$8:$J148,"="&amp;J148)</f>
        <v>6</v>
      </c>
      <c r="S148" s="7">
        <f t="shared" si="33"/>
        <v>6052</v>
      </c>
      <c r="U148" s="7">
        <f t="shared" si="36"/>
        <v>1000</v>
      </c>
      <c r="V148" s="7">
        <f t="shared" si="36"/>
        <v>2000</v>
      </c>
      <c r="W148" s="7">
        <f t="shared" si="36"/>
        <v>3000</v>
      </c>
      <c r="X148" s="7">
        <f t="shared" si="36"/>
        <v>4000</v>
      </c>
      <c r="Y148" s="7">
        <f t="shared" si="36"/>
        <v>5000</v>
      </c>
      <c r="Z148" s="7">
        <f t="shared" si="36"/>
        <v>6000</v>
      </c>
      <c r="AA148" s="7">
        <f t="shared" si="36"/>
        <v>7000</v>
      </c>
      <c r="AB148" s="7">
        <f t="shared" si="36"/>
        <v>8000</v>
      </c>
      <c r="AD148" s="21" t="str">
        <f>IFERROR(INDEX($M:$M,MATCH(U148,$S:$S,0)),"&amp;")</f>
        <v>&amp;</v>
      </c>
      <c r="AE148" s="21" t="str">
        <f>IFERROR(INDEX($M:$M,MATCH(V148,$S:$S,0)),"&amp;")</f>
        <v>&amp;</v>
      </c>
      <c r="AF148" s="21" t="str">
        <f>IFERROR(INDEX($M:$M,MATCH(W148,$S:$S,0)),"&amp;")</f>
        <v>&amp;</v>
      </c>
      <c r="AG148" s="21" t="str">
        <f>IFERROR(INDEX($M:$M,MATCH(X148,$S:$S,0)),"&amp;")</f>
        <v>&amp;</v>
      </c>
      <c r="AH148" s="21" t="str">
        <f>IFERROR(INDEX($M:$M,MATCH(Y148,$S:$S,0)),"&amp;")</f>
        <v>&amp;</v>
      </c>
      <c r="AI148" s="21" t="str">
        <f>IFERROR(INDEX($M:$M,MATCH(Z148,$S:$S,0)),"&amp;")</f>
        <v>&amp;</v>
      </c>
      <c r="AJ148" s="21" t="str">
        <f>IFERROR(INDEX($M:$M,MATCH(AA148,$S:$S,0)),"&amp;")</f>
        <v>&amp;</v>
      </c>
      <c r="AK148" s="21" t="str">
        <f>IFERROR(INDEX($M:$M,MATCH(AB148,$S:$S,0)),"&amp;")</f>
        <v>&amp;</v>
      </c>
      <c r="AM148" s="21" t="str">
        <f>IFERROR(INDEX($N:$N,MATCH(U148,$S:$S,0)),"&amp;")</f>
        <v>&amp;</v>
      </c>
      <c r="AN148" s="21" t="str">
        <f>IFERROR(INDEX($N:$N,MATCH(V148,$S:$S,0)),"&amp;")</f>
        <v>&amp;</v>
      </c>
      <c r="AO148" s="21" t="str">
        <f>IFERROR(INDEX($N:$N,MATCH(W148,$S:$S,0)),"&amp;")</f>
        <v>&amp;</v>
      </c>
      <c r="AP148" s="21" t="str">
        <f>IFERROR(INDEX($N:$N,MATCH(X148,$S:$S,0)),"&amp;")</f>
        <v>&amp;</v>
      </c>
      <c r="AQ148" s="21" t="str">
        <f>IFERROR(INDEX($N:$N,MATCH(Y148,$S:$S,0)),"&amp;")</f>
        <v>&amp;</v>
      </c>
      <c r="AR148" s="21" t="str">
        <f>IFERROR(INDEX($N:$N,MATCH(Z148,$S:$S,0)),"&amp;")</f>
        <v>&amp;</v>
      </c>
      <c r="AS148" s="21" t="str">
        <f>IFERROR(INDEX($N:$N,MATCH(AA148,$S:$S,0)),"&amp;")</f>
        <v>&amp;</v>
      </c>
      <c r="AT148" s="21" t="str">
        <f>IFERROR(INDEX($N:$N,MATCH(AB148,$S:$S,0)),"&amp;")</f>
        <v>&amp;</v>
      </c>
      <c r="AV148" s="21" t="str">
        <f>IFERROR(SUBSTITUTE(INDEX($K:$K,MATCH(INDEX($M:$M,MATCH(AM148,$N:$N,0)),$M:$M,0)),$D148,""),"")</f>
        <v/>
      </c>
      <c r="AW148" s="21" t="str">
        <f>IFERROR(SUBSTITUTE(INDEX($K:$K,MATCH(INDEX($M:$M,MATCH(AN148,$N:$N,0)),$M:$M,0)),$D148,""),"")</f>
        <v/>
      </c>
      <c r="AX148" s="21" t="str">
        <f>IFERROR(SUBSTITUTE(INDEX($K:$K,MATCH(INDEX($M:$M,MATCH(AO148,$N:$N,0)),$M:$M,0)),$D148,""),"")</f>
        <v/>
      </c>
      <c r="AY148" s="21" t="str">
        <f>IFERROR(SUBSTITUTE(INDEX($K:$K,MATCH(INDEX($M:$M,MATCH(AP148,$N:$N,0)),$M:$M,0)),$D148,""),"")</f>
        <v/>
      </c>
      <c r="AZ148" s="21" t="str">
        <f>IFERROR(SUBSTITUTE(INDEX($K:$K,MATCH(INDEX($M:$M,MATCH(AQ148,$N:$N,0)),$M:$M,0)),$D148,""),"")</f>
        <v/>
      </c>
      <c r="BA148" s="21" t="str">
        <f>IFERROR(SUBSTITUTE(INDEX($K:$K,MATCH(INDEX($M:$M,MATCH(AR148,$N:$N,0)),$M:$M,0)),$D148,""),"")</f>
        <v/>
      </c>
      <c r="BB148" s="21" t="str">
        <f>IFERROR(SUBSTITUTE(INDEX($K:$K,MATCH(INDEX($M:$M,MATCH(AS148,$N:$N,0)),$M:$M,0)),$D148,""),"")</f>
        <v/>
      </c>
      <c r="BC148" s="21" t="str">
        <f>IFERROR(SUBSTITUTE(INDEX($K:$K,MATCH(INDEX($M:$M,MATCH(AT148,$N:$N,0)),$M:$M,0)),$D148,""),"")</f>
        <v/>
      </c>
      <c r="BE148" s="9" t="str">
        <f t="shared" si="35"/>
        <v/>
      </c>
      <c r="BI148" s="9" t="str">
        <f>IFERROR(
IF(COUNTIF($M:$M,$AD148)&lt;BI$8,
"",
INDEX($J:$J,MATCH($AD148,$M:$M,0)+BI$8-1)),
"")</f>
        <v/>
      </c>
      <c r="BJ148" s="9" t="str">
        <f>IFERROR(
IF(COUNTIF($M:$M,$AD148)&lt;BJ$8,
"",
INDEX($J:$J,MATCH($AD148,$M:$M,0)+BJ$8-1)),
"")</f>
        <v/>
      </c>
      <c r="BK148" s="9" t="str">
        <f>IFERROR(
IF(COUNTIF($M:$M,$AD148)&lt;BK$8,
"",
INDEX($J:$J,MATCH($AD148,$M:$M,0)+BK$8-1)),
"")</f>
        <v/>
      </c>
      <c r="BL148" s="9" t="str">
        <f>IFERROR(
IF(COUNTIF($M:$M,$AD148)&lt;BL$8,
"",
INDEX($J:$J,MATCH($AD148,$M:$M,0)+BL$8-1)),
"")</f>
        <v/>
      </c>
      <c r="BN148" s="21" t="str">
        <f>IFERROR(
IF(COUNTIF($BI148:BM148,INDEX($J:$J,MATCH($AE148,$M:$M,0)+BN$8-1))=0,
IF(COUNTIF($M:$M,$AE148)&lt;BN$8,
"",
INDEX($J:$J,MATCH($AE148,$M:$M,0)+BN$8-1)),
""),
"")</f>
        <v/>
      </c>
      <c r="BO148" s="21" t="str">
        <f>IFERROR(
IF(COUNTIF($BI148:BN148,INDEX($J:$J,MATCH($AE148,$M:$M,0)+BO$8-1))=0,
IF(COUNTIF($M:$M,$AE148)&lt;BO$8,
"",
INDEX($J:$J,MATCH($AE148,$M:$M,0)+BO$8-1)),
""),
"")</f>
        <v/>
      </c>
      <c r="BP148" s="21" t="str">
        <f>IFERROR(
IF(COUNTIF($BI148:BO148,INDEX($J:$J,MATCH($AE148,$M:$M,0)+BP$8-1))=0,
IF(COUNTIF($M:$M,$AE148)&lt;BP$8,
"",
INDEX($J:$J,MATCH($AE148,$M:$M,0)+BP$8-1)),
""),
"")</f>
        <v/>
      </c>
      <c r="BQ148" s="21" t="str">
        <f>IFERROR(
IF(COUNTIF($BI148:BP148,INDEX($J:$J,MATCH($AE148,$M:$M,0)+BQ$8-1))=0,
IF(COUNTIF($M:$M,$AE148)&lt;BQ$8,
"",
INDEX($J:$J,MATCH($AE148,$M:$M,0)+BQ$8-1)),
""),
"")</f>
        <v/>
      </c>
      <c r="BS148" s="21" t="str">
        <f>IFERROR(
IF(COUNTIF($BI148:BR148,INDEX($J:$J,MATCH($AF148,$M:$M,0)+BS$8-1))=0,
IF(COUNTIF($M:$M,$AF148)&lt;BS$8,
"",
INDEX($J:$J,MATCH($AF148,$M:$M,0)+BS$8-1)),
""),
"")</f>
        <v/>
      </c>
      <c r="BT148" s="21" t="str">
        <f>IFERROR(
IF(COUNTIF($BI148:BS148,INDEX($J:$J,MATCH($AF148,$M:$M,0)+BT$8-1))=0,
IF(COUNTIF($M:$M,$AF148)&lt;BT$8,
"",
INDEX($J:$J,MATCH($AF148,$M:$M,0)+BT$8-1)),
""),
"")</f>
        <v/>
      </c>
      <c r="BU148" s="21" t="str">
        <f>IFERROR(
IF(COUNTIF($BI148:BT148,INDEX($J:$J,MATCH($AF148,$M:$M,0)+BU$8-1))=0,
IF(COUNTIF($M:$M,$AF148)&lt;BU$8,
"",
INDEX($J:$J,MATCH($AF148,$M:$M,0)+BU$8-1)),
""),
"")</f>
        <v/>
      </c>
      <c r="BV148" s="21" t="str">
        <f>IFERROR(
IF(COUNTIF($BI148:BU148,INDEX($J:$J,MATCH($AF148,$M:$M,0)+BV$8-1))=0,
IF(COUNTIF($M:$M,$AF148)&lt;BV$8,
"",
INDEX($J:$J,MATCH($AF148,$M:$M,0)+BV$8-1)),
""),
"")</f>
        <v/>
      </c>
      <c r="BX148" s="21" t="str">
        <f>IFERROR(
IF(COUNTIF($BI148:BW148,INDEX($J:$J,MATCH($AG148,$M:$M,0)+BX$8-1))=0,
IF(COUNTIF($M:$M,$AG148)&lt;BX$8,
"",
INDEX($J:$J,MATCH($AG148,$M:$M,0)+BX$8-1)),
""),
"")</f>
        <v/>
      </c>
      <c r="BY148" s="21" t="str">
        <f>IFERROR(
IF(COUNTIF($BI148:BX148,INDEX($J:$J,MATCH($AG148,$M:$M,0)+BY$8-1))=0,
IF(COUNTIF($M:$M,$AG148)&lt;BY$8,
"",
INDEX($J:$J,MATCH($AG148,$M:$M,0)+BY$8-1)),
""),
"")</f>
        <v/>
      </c>
      <c r="BZ148" s="21" t="str">
        <f>IFERROR(
IF(COUNTIF($BI148:BY148,INDEX($J:$J,MATCH($AG148,$M:$M,0)+BZ$8-1))=0,
IF(COUNTIF($M:$M,$AG148)&lt;BZ$8,
"",
INDEX($J:$J,MATCH($AG148,$M:$M,0)+BZ$8-1)),
""),
"")</f>
        <v/>
      </c>
      <c r="CA148" s="21" t="str">
        <f>IFERROR(
IF(COUNTIF($BI148:BZ148,INDEX($J:$J,MATCH($AG148,$M:$M,0)+CA$8-1))=0,
IF(COUNTIF($M:$M,$AG148)&lt;CA$8,
"",
INDEX($J:$J,MATCH($AG148,$M:$M,0)+CA$8-1)),
""),
"")</f>
        <v/>
      </c>
      <c r="CC148" s="21" t="str">
        <f>IFERROR(
IF(COUNTIF($BI148:CB148,INDEX($J:$J,MATCH($AH148,$M:$M,0)+CC$8-1))=0,
IF(COUNTIF($M:$M,$AH148)&lt;CC$8,
"",
INDEX($J:$J,MATCH($AH148,$M:$M,0)+CC$8-1)),
""),
"")</f>
        <v/>
      </c>
      <c r="CD148" s="21" t="str">
        <f>IFERROR(
IF(COUNTIF($BI148:CC148,INDEX($J:$J,MATCH($AH148,$M:$M,0)+CD$8-1))=0,
IF(COUNTIF($M:$M,$AH148)&lt;CD$8,
"",
INDEX($J:$J,MATCH($AH148,$M:$M,0)+CD$8-1)),
""),
"")</f>
        <v/>
      </c>
      <c r="CE148" s="21" t="str">
        <f>IFERROR(
IF(COUNTIF($BI148:CD148,INDEX($J:$J,MATCH($AH148,$M:$M,0)+CE$8-1))=0,
IF(COUNTIF($M:$M,$AH148)&lt;CE$8,
"",
INDEX($J:$J,MATCH($AH148,$M:$M,0)+CE$8-1)),
""),
"")</f>
        <v/>
      </c>
      <c r="CF148" s="21" t="str">
        <f>IFERROR(
IF(COUNTIF($BI148:CE148,INDEX($J:$J,MATCH($AH148,$M:$M,0)+CF$8-1))=0,
IF(COUNTIF($M:$M,$AH148)&lt;CF$8,
"",
INDEX($J:$J,MATCH($AH148,$M:$M,0)+CF$8-1)),
""),
"")</f>
        <v/>
      </c>
      <c r="CH148" s="21" t="str">
        <f>IFERROR(
IF(COUNTIF($BI148:CG148,INDEX($J:$J,MATCH($AI148,$M:$M,0)+CH$8-1))=0,
IF(COUNTIF($M:$M,$AI148)&lt;CH$8,
"",
INDEX($J:$J,MATCH($AI148,$M:$M,0)+CH$8-1)),
""),
"")</f>
        <v/>
      </c>
      <c r="CI148" s="21" t="str">
        <f>IFERROR(
IF(COUNTIF($BI148:CH148,INDEX($J:$J,MATCH($AI148,$M:$M,0)+CI$8-1))=0,
IF(COUNTIF($M:$M,$AI148)&lt;CI$8,
"",
INDEX($J:$J,MATCH($AI148,$M:$M,0)+CI$8-1)),
""),
"")</f>
        <v/>
      </c>
      <c r="CJ148" s="21" t="str">
        <f>IFERROR(
IF(COUNTIF($BI148:CI148,INDEX($J:$J,MATCH($AI148,$M:$M,0)+CJ$8-1))=0,
IF(COUNTIF($M:$M,$AI148)&lt;CJ$8,
"",
INDEX($J:$J,MATCH($AI148,$M:$M,0)+CJ$8-1)),
""),
"")</f>
        <v/>
      </c>
      <c r="CK148" s="21" t="str">
        <f>IFERROR(
IF(COUNTIF($BI148:CJ148,INDEX($J:$J,MATCH($AI148,$M:$M,0)+CK$8-1))=0,
IF(COUNTIF($M:$M,$AI148)&lt;CK$8,
"",
INDEX($J:$J,MATCH($AI148,$M:$M,0)+CK$8-1)),
""),
"")</f>
        <v/>
      </c>
      <c r="CM148" s="21" t="str">
        <f>IFERROR(
IF(COUNTIF($BI148:CL148,INDEX($J:$J,MATCH($AJ148,$M:$M,0)+CM$8-1))=0,
IF(COUNTIF($M:$M,$AJ148)&lt;CM$8,
"",
INDEX($J:$J,MATCH($AJ148,$M:$M,0)+CM$8-1)),
""),
"")</f>
        <v/>
      </c>
      <c r="CN148" s="21" t="str">
        <f>IFERROR(
IF(COUNTIF($BI148:CM148,INDEX($J:$J,MATCH($AJ148,$M:$M,0)+CN$8-1))=0,
IF(COUNTIF($M:$M,$AJ148)&lt;CN$8,
"",
INDEX($J:$J,MATCH($AJ148,$M:$M,0)+CN$8-1)),
""),
"")</f>
        <v/>
      </c>
      <c r="CO148" s="21" t="str">
        <f>IFERROR(
IF(COUNTIF($BI148:CN148,INDEX($J:$J,MATCH($AJ148,$M:$M,0)+CO$8-1))=0,
IF(COUNTIF($M:$M,$AJ148)&lt;CO$8,
"",
INDEX($J:$J,MATCH($AJ148,$M:$M,0)+CO$8-1)),
""),
"")</f>
        <v/>
      </c>
      <c r="CP148" s="21" t="str">
        <f>IFERROR(
IF(COUNTIF($BI148:CO148,INDEX($J:$J,MATCH($AJ148,$M:$M,0)+CP$8-1))=0,
IF(COUNTIF($M:$M,$AJ148)&lt;CP$8,
"",
INDEX($J:$J,MATCH($AJ148,$M:$M,0)+CP$8-1)),
""),
"")</f>
        <v/>
      </c>
      <c r="CR148" s="21" t="str">
        <f>IFERROR(
IF(COUNTIF($BI148:CQ148,INDEX($J:$J,MATCH($AK148,$M:$M,0)+CR$8-1))=0,
IF(COUNTIF($M:$M,$AK148)&lt;CR$8,
"",
INDEX($J:$J,MATCH($AK148,$M:$M,0)+CR$8-1)),
""),
"")</f>
        <v/>
      </c>
      <c r="CS148" s="21" t="str">
        <f>IFERROR(
IF(COUNTIF($BI148:CR148,INDEX($J:$J,MATCH($AK148,$M:$M,0)+CS$8-1))=0,
IF(COUNTIF($M:$M,$AK148)&lt;CS$8,
"",
INDEX($J:$J,MATCH($AK148,$M:$M,0)+CS$8-1)),
""),
"")</f>
        <v/>
      </c>
      <c r="CT148" s="21" t="str">
        <f>IFERROR(
IF(COUNTIF($BI148:CS148,INDEX($J:$J,MATCH($AK148,$M:$M,0)+CT$8-1))=0,
IF(COUNTIF($M:$M,$AK148)&lt;CT$8,
"",
INDEX($J:$J,MATCH($AK148,$M:$M,0)+CT$8-1)),
""),
"")</f>
        <v/>
      </c>
      <c r="CU148" s="21" t="str">
        <f>IFERROR(
IF(COUNTIF($BI148:CT148,INDEX($J:$J,MATCH($AK148,$M:$M,0)+CU$8-1))=0,
IF(COUNTIF($M:$M,$AK148)&lt;CU$8,
"",
INDEX($J:$J,MATCH($AK148,$M:$M,0)+CU$8-1)),
""),
"")</f>
        <v/>
      </c>
    </row>
    <row r="149" spans="8:99">
      <c r="H149" s="7">
        <f>IF(I149="","",COUNTA(I$9:$I149))</f>
        <v>107</v>
      </c>
      <c r="I149" s="6" t="s">
        <v>264</v>
      </c>
      <c r="J149" s="6" t="s">
        <v>265</v>
      </c>
      <c r="K149" s="8" t="str">
        <f>IF(H149="","",阶段合并区域(J149:J152," ",L149:L152,1))</f>
        <v>墨子 司马穰苴 田单 乐毅</v>
      </c>
      <c r="L149" s="8">
        <f>COUNTIF(M$8:$M149,"="&amp;M149)</f>
        <v>1</v>
      </c>
      <c r="M149" s="9" t="str">
        <f t="shared" si="31"/>
        <v>攻守相济</v>
      </c>
      <c r="N149" s="9" t="str">
        <f t="shared" si="32"/>
        <v>攻守相济1</v>
      </c>
      <c r="O149" s="15">
        <f>INDEX(C:C,MATCH(J149,D:D,0))</f>
        <v>59</v>
      </c>
      <c r="P149" s="9">
        <f>INDEX(E:E,MATCH(J149,D:D,0))</f>
        <v>130</v>
      </c>
      <c r="Q149" s="7">
        <f t="shared" si="34"/>
        <v>59</v>
      </c>
      <c r="R149" s="7">
        <f>COUNTIF(J$8:$J149,"="&amp;J149)</f>
        <v>3</v>
      </c>
      <c r="S149" s="7">
        <f t="shared" si="33"/>
        <v>3059</v>
      </c>
      <c r="U149" s="7">
        <f t="shared" si="36"/>
        <v>1000</v>
      </c>
      <c r="V149" s="7">
        <f t="shared" si="36"/>
        <v>2000</v>
      </c>
      <c r="W149" s="7">
        <f t="shared" si="36"/>
        <v>3000</v>
      </c>
      <c r="X149" s="7">
        <f t="shared" si="36"/>
        <v>4000</v>
      </c>
      <c r="Y149" s="7">
        <f t="shared" si="36"/>
        <v>5000</v>
      </c>
      <c r="Z149" s="7">
        <f t="shared" si="36"/>
        <v>6000</v>
      </c>
      <c r="AA149" s="7">
        <f t="shared" si="36"/>
        <v>7000</v>
      </c>
      <c r="AB149" s="7">
        <f t="shared" si="36"/>
        <v>8000</v>
      </c>
      <c r="AD149" s="21" t="str">
        <f>IFERROR(INDEX($M:$M,MATCH(U149,$S:$S,0)),"&amp;")</f>
        <v>&amp;</v>
      </c>
      <c r="AE149" s="21" t="str">
        <f>IFERROR(INDEX($M:$M,MATCH(V149,$S:$S,0)),"&amp;")</f>
        <v>&amp;</v>
      </c>
      <c r="AF149" s="21" t="str">
        <f>IFERROR(INDEX($M:$M,MATCH(W149,$S:$S,0)),"&amp;")</f>
        <v>&amp;</v>
      </c>
      <c r="AG149" s="21" t="str">
        <f>IFERROR(INDEX($M:$M,MATCH(X149,$S:$S,0)),"&amp;")</f>
        <v>&amp;</v>
      </c>
      <c r="AH149" s="21" t="str">
        <f>IFERROR(INDEX($M:$M,MATCH(Y149,$S:$S,0)),"&amp;")</f>
        <v>&amp;</v>
      </c>
      <c r="AI149" s="21" t="str">
        <f>IFERROR(INDEX($M:$M,MATCH(Z149,$S:$S,0)),"&amp;")</f>
        <v>&amp;</v>
      </c>
      <c r="AJ149" s="21" t="str">
        <f>IFERROR(INDEX($M:$M,MATCH(AA149,$S:$S,0)),"&amp;")</f>
        <v>&amp;</v>
      </c>
      <c r="AK149" s="21" t="str">
        <f>IFERROR(INDEX($M:$M,MATCH(AB149,$S:$S,0)),"&amp;")</f>
        <v>&amp;</v>
      </c>
      <c r="AM149" s="21" t="str">
        <f>IFERROR(INDEX($N:$N,MATCH(U149,$S:$S,0)),"&amp;")</f>
        <v>&amp;</v>
      </c>
      <c r="AN149" s="21" t="str">
        <f>IFERROR(INDEX($N:$N,MATCH(V149,$S:$S,0)),"&amp;")</f>
        <v>&amp;</v>
      </c>
      <c r="AO149" s="21" t="str">
        <f>IFERROR(INDEX($N:$N,MATCH(W149,$S:$S,0)),"&amp;")</f>
        <v>&amp;</v>
      </c>
      <c r="AP149" s="21" t="str">
        <f>IFERROR(INDEX($N:$N,MATCH(X149,$S:$S,0)),"&amp;")</f>
        <v>&amp;</v>
      </c>
      <c r="AQ149" s="21" t="str">
        <f>IFERROR(INDEX($N:$N,MATCH(Y149,$S:$S,0)),"&amp;")</f>
        <v>&amp;</v>
      </c>
      <c r="AR149" s="21" t="str">
        <f>IFERROR(INDEX($N:$N,MATCH(Z149,$S:$S,0)),"&amp;")</f>
        <v>&amp;</v>
      </c>
      <c r="AS149" s="21" t="str">
        <f>IFERROR(INDEX($N:$N,MATCH(AA149,$S:$S,0)),"&amp;")</f>
        <v>&amp;</v>
      </c>
      <c r="AT149" s="21" t="str">
        <f>IFERROR(INDEX($N:$N,MATCH(AB149,$S:$S,0)),"&amp;")</f>
        <v>&amp;</v>
      </c>
      <c r="AV149" s="21" t="str">
        <f>IFERROR(SUBSTITUTE(INDEX($K:$K,MATCH(INDEX($M:$M,MATCH(AM149,$N:$N,0)),$M:$M,0)),$D149,""),"")</f>
        <v/>
      </c>
      <c r="AW149" s="21" t="str">
        <f>IFERROR(SUBSTITUTE(INDEX($K:$K,MATCH(INDEX($M:$M,MATCH(AN149,$N:$N,0)),$M:$M,0)),$D149,""),"")</f>
        <v/>
      </c>
      <c r="AX149" s="21" t="str">
        <f>IFERROR(SUBSTITUTE(INDEX($K:$K,MATCH(INDEX($M:$M,MATCH(AO149,$N:$N,0)),$M:$M,0)),$D149,""),"")</f>
        <v/>
      </c>
      <c r="AY149" s="21" t="str">
        <f>IFERROR(SUBSTITUTE(INDEX($K:$K,MATCH(INDEX($M:$M,MATCH(AP149,$N:$N,0)),$M:$M,0)),$D149,""),"")</f>
        <v/>
      </c>
      <c r="AZ149" s="21" t="str">
        <f>IFERROR(SUBSTITUTE(INDEX($K:$K,MATCH(INDEX($M:$M,MATCH(AQ149,$N:$N,0)),$M:$M,0)),$D149,""),"")</f>
        <v/>
      </c>
      <c r="BA149" s="21" t="str">
        <f>IFERROR(SUBSTITUTE(INDEX($K:$K,MATCH(INDEX($M:$M,MATCH(AR149,$N:$N,0)),$M:$M,0)),$D149,""),"")</f>
        <v/>
      </c>
      <c r="BB149" s="21" t="str">
        <f>IFERROR(SUBSTITUTE(INDEX($K:$K,MATCH(INDEX($M:$M,MATCH(AS149,$N:$N,0)),$M:$M,0)),$D149,""),"")</f>
        <v/>
      </c>
      <c r="BC149" s="21" t="str">
        <f>IFERROR(SUBSTITUTE(INDEX($K:$K,MATCH(INDEX($M:$M,MATCH(AT149,$N:$N,0)),$M:$M,0)),$D149,""),"")</f>
        <v/>
      </c>
      <c r="BE149" s="9" t="str">
        <f t="shared" si="35"/>
        <v/>
      </c>
      <c r="BI149" s="9" t="str">
        <f>IFERROR(
IF(COUNTIF($M:$M,$AD149)&lt;BI$8,
"",
INDEX($J:$J,MATCH($AD149,$M:$M,0)+BI$8-1)),
"")</f>
        <v/>
      </c>
      <c r="BJ149" s="9" t="str">
        <f>IFERROR(
IF(COUNTIF($M:$M,$AD149)&lt;BJ$8,
"",
INDEX($J:$J,MATCH($AD149,$M:$M,0)+BJ$8-1)),
"")</f>
        <v/>
      </c>
      <c r="BK149" s="9" t="str">
        <f>IFERROR(
IF(COUNTIF($M:$M,$AD149)&lt;BK$8,
"",
INDEX($J:$J,MATCH($AD149,$M:$M,0)+BK$8-1)),
"")</f>
        <v/>
      </c>
      <c r="BL149" s="9" t="str">
        <f>IFERROR(
IF(COUNTIF($M:$M,$AD149)&lt;BL$8,
"",
INDEX($J:$J,MATCH($AD149,$M:$M,0)+BL$8-1)),
"")</f>
        <v/>
      </c>
      <c r="BN149" s="21" t="str">
        <f>IFERROR(
IF(COUNTIF($BI149:BM149,INDEX($J:$J,MATCH($AE149,$M:$M,0)+BN$8-1))=0,
IF(COUNTIF($M:$M,$AE149)&lt;BN$8,
"",
INDEX($J:$J,MATCH($AE149,$M:$M,0)+BN$8-1)),
""),
"")</f>
        <v/>
      </c>
      <c r="BO149" s="21" t="str">
        <f>IFERROR(
IF(COUNTIF($BI149:BN149,INDEX($J:$J,MATCH($AE149,$M:$M,0)+BO$8-1))=0,
IF(COUNTIF($M:$M,$AE149)&lt;BO$8,
"",
INDEX($J:$J,MATCH($AE149,$M:$M,0)+BO$8-1)),
""),
"")</f>
        <v/>
      </c>
      <c r="BP149" s="21" t="str">
        <f>IFERROR(
IF(COUNTIF($BI149:BO149,INDEX($J:$J,MATCH($AE149,$M:$M,0)+BP$8-1))=0,
IF(COUNTIF($M:$M,$AE149)&lt;BP$8,
"",
INDEX($J:$J,MATCH($AE149,$M:$M,0)+BP$8-1)),
""),
"")</f>
        <v/>
      </c>
      <c r="BQ149" s="21" t="str">
        <f>IFERROR(
IF(COUNTIF($BI149:BP149,INDEX($J:$J,MATCH($AE149,$M:$M,0)+BQ$8-1))=0,
IF(COUNTIF($M:$M,$AE149)&lt;BQ$8,
"",
INDEX($J:$J,MATCH($AE149,$M:$M,0)+BQ$8-1)),
""),
"")</f>
        <v/>
      </c>
      <c r="BS149" s="21" t="str">
        <f>IFERROR(
IF(COUNTIF($BI149:BR149,INDEX($J:$J,MATCH($AF149,$M:$M,0)+BS$8-1))=0,
IF(COUNTIF($M:$M,$AF149)&lt;BS$8,
"",
INDEX($J:$J,MATCH($AF149,$M:$M,0)+BS$8-1)),
""),
"")</f>
        <v/>
      </c>
      <c r="BT149" s="21" t="str">
        <f>IFERROR(
IF(COUNTIF($BI149:BS149,INDEX($J:$J,MATCH($AF149,$M:$M,0)+BT$8-1))=0,
IF(COUNTIF($M:$M,$AF149)&lt;BT$8,
"",
INDEX($J:$J,MATCH($AF149,$M:$M,0)+BT$8-1)),
""),
"")</f>
        <v/>
      </c>
      <c r="BU149" s="21" t="str">
        <f>IFERROR(
IF(COUNTIF($BI149:BT149,INDEX($J:$J,MATCH($AF149,$M:$M,0)+BU$8-1))=0,
IF(COUNTIF($M:$M,$AF149)&lt;BU$8,
"",
INDEX($J:$J,MATCH($AF149,$M:$M,0)+BU$8-1)),
""),
"")</f>
        <v/>
      </c>
      <c r="BV149" s="21" t="str">
        <f>IFERROR(
IF(COUNTIF($BI149:BU149,INDEX($J:$J,MATCH($AF149,$M:$M,0)+BV$8-1))=0,
IF(COUNTIF($M:$M,$AF149)&lt;BV$8,
"",
INDEX($J:$J,MATCH($AF149,$M:$M,0)+BV$8-1)),
""),
"")</f>
        <v/>
      </c>
      <c r="BX149" s="21" t="str">
        <f>IFERROR(
IF(COUNTIF($BI149:BW149,INDEX($J:$J,MATCH($AG149,$M:$M,0)+BX$8-1))=0,
IF(COUNTIF($M:$M,$AG149)&lt;BX$8,
"",
INDEX($J:$J,MATCH($AG149,$M:$M,0)+BX$8-1)),
""),
"")</f>
        <v/>
      </c>
      <c r="BY149" s="21" t="str">
        <f>IFERROR(
IF(COUNTIF($BI149:BX149,INDEX($J:$J,MATCH($AG149,$M:$M,0)+BY$8-1))=0,
IF(COUNTIF($M:$M,$AG149)&lt;BY$8,
"",
INDEX($J:$J,MATCH($AG149,$M:$M,0)+BY$8-1)),
""),
"")</f>
        <v/>
      </c>
      <c r="BZ149" s="21" t="str">
        <f>IFERROR(
IF(COUNTIF($BI149:BY149,INDEX($J:$J,MATCH($AG149,$M:$M,0)+BZ$8-1))=0,
IF(COUNTIF($M:$M,$AG149)&lt;BZ$8,
"",
INDEX($J:$J,MATCH($AG149,$M:$M,0)+BZ$8-1)),
""),
"")</f>
        <v/>
      </c>
      <c r="CA149" s="21" t="str">
        <f>IFERROR(
IF(COUNTIF($BI149:BZ149,INDEX($J:$J,MATCH($AG149,$M:$M,0)+CA$8-1))=0,
IF(COUNTIF($M:$M,$AG149)&lt;CA$8,
"",
INDEX($J:$J,MATCH($AG149,$M:$M,0)+CA$8-1)),
""),
"")</f>
        <v/>
      </c>
      <c r="CC149" s="21" t="str">
        <f>IFERROR(
IF(COUNTIF($BI149:CB149,INDEX($J:$J,MATCH($AH149,$M:$M,0)+CC$8-1))=0,
IF(COUNTIF($M:$M,$AH149)&lt;CC$8,
"",
INDEX($J:$J,MATCH($AH149,$M:$M,0)+CC$8-1)),
""),
"")</f>
        <v/>
      </c>
      <c r="CD149" s="21" t="str">
        <f>IFERROR(
IF(COUNTIF($BI149:CC149,INDEX($J:$J,MATCH($AH149,$M:$M,0)+CD$8-1))=0,
IF(COUNTIF($M:$M,$AH149)&lt;CD$8,
"",
INDEX($J:$J,MATCH($AH149,$M:$M,0)+CD$8-1)),
""),
"")</f>
        <v/>
      </c>
      <c r="CE149" s="21" t="str">
        <f>IFERROR(
IF(COUNTIF($BI149:CD149,INDEX($J:$J,MATCH($AH149,$M:$M,0)+CE$8-1))=0,
IF(COUNTIF($M:$M,$AH149)&lt;CE$8,
"",
INDEX($J:$J,MATCH($AH149,$M:$M,0)+CE$8-1)),
""),
"")</f>
        <v/>
      </c>
      <c r="CF149" s="21" t="str">
        <f>IFERROR(
IF(COUNTIF($BI149:CE149,INDEX($J:$J,MATCH($AH149,$M:$M,0)+CF$8-1))=0,
IF(COUNTIF($M:$M,$AH149)&lt;CF$8,
"",
INDEX($J:$J,MATCH($AH149,$M:$M,0)+CF$8-1)),
""),
"")</f>
        <v/>
      </c>
      <c r="CH149" s="21" t="str">
        <f>IFERROR(
IF(COUNTIF($BI149:CG149,INDEX($J:$J,MATCH($AI149,$M:$M,0)+CH$8-1))=0,
IF(COUNTIF($M:$M,$AI149)&lt;CH$8,
"",
INDEX($J:$J,MATCH($AI149,$M:$M,0)+CH$8-1)),
""),
"")</f>
        <v/>
      </c>
      <c r="CI149" s="21" t="str">
        <f>IFERROR(
IF(COUNTIF($BI149:CH149,INDEX($J:$J,MATCH($AI149,$M:$M,0)+CI$8-1))=0,
IF(COUNTIF($M:$M,$AI149)&lt;CI$8,
"",
INDEX($J:$J,MATCH($AI149,$M:$M,0)+CI$8-1)),
""),
"")</f>
        <v/>
      </c>
      <c r="CJ149" s="21" t="str">
        <f>IFERROR(
IF(COUNTIF($BI149:CI149,INDEX($J:$J,MATCH($AI149,$M:$M,0)+CJ$8-1))=0,
IF(COUNTIF($M:$M,$AI149)&lt;CJ$8,
"",
INDEX($J:$J,MATCH($AI149,$M:$M,0)+CJ$8-1)),
""),
"")</f>
        <v/>
      </c>
      <c r="CK149" s="21" t="str">
        <f>IFERROR(
IF(COUNTIF($BI149:CJ149,INDEX($J:$J,MATCH($AI149,$M:$M,0)+CK$8-1))=0,
IF(COUNTIF($M:$M,$AI149)&lt;CK$8,
"",
INDEX($J:$J,MATCH($AI149,$M:$M,0)+CK$8-1)),
""),
"")</f>
        <v/>
      </c>
      <c r="CM149" s="21" t="str">
        <f>IFERROR(
IF(COUNTIF($BI149:CL149,INDEX($J:$J,MATCH($AJ149,$M:$M,0)+CM$8-1))=0,
IF(COUNTIF($M:$M,$AJ149)&lt;CM$8,
"",
INDEX($J:$J,MATCH($AJ149,$M:$M,0)+CM$8-1)),
""),
"")</f>
        <v/>
      </c>
      <c r="CN149" s="21" t="str">
        <f>IFERROR(
IF(COUNTIF($BI149:CM149,INDEX($J:$J,MATCH($AJ149,$M:$M,0)+CN$8-1))=0,
IF(COUNTIF($M:$M,$AJ149)&lt;CN$8,
"",
INDEX($J:$J,MATCH($AJ149,$M:$M,0)+CN$8-1)),
""),
"")</f>
        <v/>
      </c>
      <c r="CO149" s="21" t="str">
        <f>IFERROR(
IF(COUNTIF($BI149:CN149,INDEX($J:$J,MATCH($AJ149,$M:$M,0)+CO$8-1))=0,
IF(COUNTIF($M:$M,$AJ149)&lt;CO$8,
"",
INDEX($J:$J,MATCH($AJ149,$M:$M,0)+CO$8-1)),
""),
"")</f>
        <v/>
      </c>
      <c r="CP149" s="21" t="str">
        <f>IFERROR(
IF(COUNTIF($BI149:CO149,INDEX($J:$J,MATCH($AJ149,$M:$M,0)+CP$8-1))=0,
IF(COUNTIF($M:$M,$AJ149)&lt;CP$8,
"",
INDEX($J:$J,MATCH($AJ149,$M:$M,0)+CP$8-1)),
""),
"")</f>
        <v/>
      </c>
      <c r="CR149" s="21" t="str">
        <f>IFERROR(
IF(COUNTIF($BI149:CQ149,INDEX($J:$J,MATCH($AK149,$M:$M,0)+CR$8-1))=0,
IF(COUNTIF($M:$M,$AK149)&lt;CR$8,
"",
INDEX($J:$J,MATCH($AK149,$M:$M,0)+CR$8-1)),
""),
"")</f>
        <v/>
      </c>
      <c r="CS149" s="21" t="str">
        <f>IFERROR(
IF(COUNTIF($BI149:CR149,INDEX($J:$J,MATCH($AK149,$M:$M,0)+CS$8-1))=0,
IF(COUNTIF($M:$M,$AK149)&lt;CS$8,
"",
INDEX($J:$J,MATCH($AK149,$M:$M,0)+CS$8-1)),
""),
"")</f>
        <v/>
      </c>
      <c r="CT149" s="21" t="str">
        <f>IFERROR(
IF(COUNTIF($BI149:CS149,INDEX($J:$J,MATCH($AK149,$M:$M,0)+CT$8-1))=0,
IF(COUNTIF($M:$M,$AK149)&lt;CT$8,
"",
INDEX($J:$J,MATCH($AK149,$M:$M,0)+CT$8-1)),
""),
"")</f>
        <v/>
      </c>
      <c r="CU149" s="21" t="str">
        <f>IFERROR(
IF(COUNTIF($BI149:CT149,INDEX($J:$J,MATCH($AK149,$M:$M,0)+CU$8-1))=0,
IF(COUNTIF($M:$M,$AK149)&lt;CU$8,
"",
INDEX($J:$J,MATCH($AK149,$M:$M,0)+CU$8-1)),
""),
"")</f>
        <v/>
      </c>
    </row>
    <row r="150" spans="8:99">
      <c r="H150" s="7" t="str">
        <f>IF(I150="","",COUNTA(I$9:$I150))</f>
        <v/>
      </c>
      <c r="I150" s="6"/>
      <c r="J150" s="6" t="s">
        <v>233</v>
      </c>
      <c r="K150" s="8" t="str">
        <f>IF(H150="","",阶段合并区域(J150:J152," ",L150:L152,1))</f>
        <v/>
      </c>
      <c r="L150" s="8">
        <f>COUNTIF(M$8:$M150,"="&amp;M150)</f>
        <v>2</v>
      </c>
      <c r="M150" s="9" t="str">
        <f t="shared" si="31"/>
        <v>攻守相济</v>
      </c>
      <c r="N150" s="9" t="str">
        <f t="shared" si="32"/>
        <v>攻守相济2</v>
      </c>
      <c r="O150" s="15">
        <f>INDEX(C:C,MATCH(J150,D:D,0))</f>
        <v>34</v>
      </c>
      <c r="P150" s="9">
        <f>INDEX(E:E,MATCH(J150,D:D,0))</f>
        <v>120</v>
      </c>
      <c r="Q150" s="7">
        <f t="shared" si="34"/>
        <v>34</v>
      </c>
      <c r="R150" s="7">
        <f>COUNTIF(J$8:$J150,"="&amp;J150)</f>
        <v>6</v>
      </c>
      <c r="S150" s="7">
        <f t="shared" si="33"/>
        <v>6034</v>
      </c>
      <c r="U150" s="7">
        <f t="shared" si="36"/>
        <v>1000</v>
      </c>
      <c r="V150" s="7">
        <f t="shared" si="36"/>
        <v>2000</v>
      </c>
      <c r="W150" s="7">
        <f t="shared" si="36"/>
        <v>3000</v>
      </c>
      <c r="X150" s="7">
        <f t="shared" si="36"/>
        <v>4000</v>
      </c>
      <c r="Y150" s="7">
        <f t="shared" si="36"/>
        <v>5000</v>
      </c>
      <c r="Z150" s="7">
        <f t="shared" si="36"/>
        <v>6000</v>
      </c>
      <c r="AA150" s="7">
        <f t="shared" si="36"/>
        <v>7000</v>
      </c>
      <c r="AB150" s="7">
        <f t="shared" si="36"/>
        <v>8000</v>
      </c>
      <c r="AD150" s="21" t="str">
        <f>IFERROR(INDEX($M:$M,MATCH(U150,$S:$S,0)),"&amp;")</f>
        <v>&amp;</v>
      </c>
      <c r="AE150" s="21" t="str">
        <f>IFERROR(INDEX($M:$M,MATCH(V150,$S:$S,0)),"&amp;")</f>
        <v>&amp;</v>
      </c>
      <c r="AF150" s="21" t="str">
        <f>IFERROR(INDEX($M:$M,MATCH(W150,$S:$S,0)),"&amp;")</f>
        <v>&amp;</v>
      </c>
      <c r="AG150" s="21" t="str">
        <f>IFERROR(INDEX($M:$M,MATCH(X150,$S:$S,0)),"&amp;")</f>
        <v>&amp;</v>
      </c>
      <c r="AH150" s="21" t="str">
        <f>IFERROR(INDEX($M:$M,MATCH(Y150,$S:$S,0)),"&amp;")</f>
        <v>&amp;</v>
      </c>
      <c r="AI150" s="21" t="str">
        <f>IFERROR(INDEX($M:$M,MATCH(Z150,$S:$S,0)),"&amp;")</f>
        <v>&amp;</v>
      </c>
      <c r="AJ150" s="21" t="str">
        <f>IFERROR(INDEX($M:$M,MATCH(AA150,$S:$S,0)),"&amp;")</f>
        <v>&amp;</v>
      </c>
      <c r="AK150" s="21" t="str">
        <f>IFERROR(INDEX($M:$M,MATCH(AB150,$S:$S,0)),"&amp;")</f>
        <v>&amp;</v>
      </c>
      <c r="AM150" s="21" t="str">
        <f>IFERROR(INDEX($N:$N,MATCH(U150,$S:$S,0)),"&amp;")</f>
        <v>&amp;</v>
      </c>
      <c r="AN150" s="21" t="str">
        <f>IFERROR(INDEX($N:$N,MATCH(V150,$S:$S,0)),"&amp;")</f>
        <v>&amp;</v>
      </c>
      <c r="AO150" s="21" t="str">
        <f>IFERROR(INDEX($N:$N,MATCH(W150,$S:$S,0)),"&amp;")</f>
        <v>&amp;</v>
      </c>
      <c r="AP150" s="21" t="str">
        <f>IFERROR(INDEX($N:$N,MATCH(X150,$S:$S,0)),"&amp;")</f>
        <v>&amp;</v>
      </c>
      <c r="AQ150" s="21" t="str">
        <f>IFERROR(INDEX($N:$N,MATCH(Y150,$S:$S,0)),"&amp;")</f>
        <v>&amp;</v>
      </c>
      <c r="AR150" s="21" t="str">
        <f>IFERROR(INDEX($N:$N,MATCH(Z150,$S:$S,0)),"&amp;")</f>
        <v>&amp;</v>
      </c>
      <c r="AS150" s="21" t="str">
        <f>IFERROR(INDEX($N:$N,MATCH(AA150,$S:$S,0)),"&amp;")</f>
        <v>&amp;</v>
      </c>
      <c r="AT150" s="21" t="str">
        <f>IFERROR(INDEX($N:$N,MATCH(AB150,$S:$S,0)),"&amp;")</f>
        <v>&amp;</v>
      </c>
      <c r="AV150" s="21" t="str">
        <f>IFERROR(SUBSTITUTE(INDEX($K:$K,MATCH(INDEX($M:$M,MATCH(AM150,$N:$N,0)),$M:$M,0)),$D150,""),"")</f>
        <v/>
      </c>
      <c r="AW150" s="21" t="str">
        <f>IFERROR(SUBSTITUTE(INDEX($K:$K,MATCH(INDEX($M:$M,MATCH(AN150,$N:$N,0)),$M:$M,0)),$D150,""),"")</f>
        <v/>
      </c>
      <c r="AX150" s="21" t="str">
        <f>IFERROR(SUBSTITUTE(INDEX($K:$K,MATCH(INDEX($M:$M,MATCH(AO150,$N:$N,0)),$M:$M,0)),$D150,""),"")</f>
        <v/>
      </c>
      <c r="AY150" s="21" t="str">
        <f>IFERROR(SUBSTITUTE(INDEX($K:$K,MATCH(INDEX($M:$M,MATCH(AP150,$N:$N,0)),$M:$M,0)),$D150,""),"")</f>
        <v/>
      </c>
      <c r="AZ150" s="21" t="str">
        <f>IFERROR(SUBSTITUTE(INDEX($K:$K,MATCH(INDEX($M:$M,MATCH(AQ150,$N:$N,0)),$M:$M,0)),$D150,""),"")</f>
        <v/>
      </c>
      <c r="BA150" s="21" t="str">
        <f>IFERROR(SUBSTITUTE(INDEX($K:$K,MATCH(INDEX($M:$M,MATCH(AR150,$N:$N,0)),$M:$M,0)),$D150,""),"")</f>
        <v/>
      </c>
      <c r="BB150" s="21" t="str">
        <f>IFERROR(SUBSTITUTE(INDEX($K:$K,MATCH(INDEX($M:$M,MATCH(AS150,$N:$N,0)),$M:$M,0)),$D150,""),"")</f>
        <v/>
      </c>
      <c r="BC150" s="21" t="str">
        <f>IFERROR(SUBSTITUTE(INDEX($K:$K,MATCH(INDEX($M:$M,MATCH(AT150,$N:$N,0)),$M:$M,0)),$D150,""),"")</f>
        <v/>
      </c>
      <c r="BE150" s="9" t="str">
        <f t="shared" si="35"/>
        <v/>
      </c>
      <c r="BI150" s="9" t="str">
        <f>IFERROR(
IF(COUNTIF($M:$M,$AD150)&lt;BI$8,
"",
INDEX($J:$J,MATCH($AD150,$M:$M,0)+BI$8-1)),
"")</f>
        <v/>
      </c>
      <c r="BJ150" s="9" t="str">
        <f>IFERROR(
IF(COUNTIF($M:$M,$AD150)&lt;BJ$8,
"",
INDEX($J:$J,MATCH($AD150,$M:$M,0)+BJ$8-1)),
"")</f>
        <v/>
      </c>
      <c r="BK150" s="9" t="str">
        <f>IFERROR(
IF(COUNTIF($M:$M,$AD150)&lt;BK$8,
"",
INDEX($J:$J,MATCH($AD150,$M:$M,0)+BK$8-1)),
"")</f>
        <v/>
      </c>
      <c r="BL150" s="9" t="str">
        <f>IFERROR(
IF(COUNTIF($M:$M,$AD150)&lt;BL$8,
"",
INDEX($J:$J,MATCH($AD150,$M:$M,0)+BL$8-1)),
"")</f>
        <v/>
      </c>
      <c r="BN150" s="21" t="str">
        <f>IFERROR(
IF(COUNTIF($BI150:BM150,INDEX($J:$J,MATCH($AE150,$M:$M,0)+BN$8-1))=0,
IF(COUNTIF($M:$M,$AE150)&lt;BN$8,
"",
INDEX($J:$J,MATCH($AE150,$M:$M,0)+BN$8-1)),
""),
"")</f>
        <v/>
      </c>
      <c r="BO150" s="21" t="str">
        <f>IFERROR(
IF(COUNTIF($BI150:BN150,INDEX($J:$J,MATCH($AE150,$M:$M,0)+BO$8-1))=0,
IF(COUNTIF($M:$M,$AE150)&lt;BO$8,
"",
INDEX($J:$J,MATCH($AE150,$M:$M,0)+BO$8-1)),
""),
"")</f>
        <v/>
      </c>
      <c r="BP150" s="21" t="str">
        <f>IFERROR(
IF(COUNTIF($BI150:BO150,INDEX($J:$J,MATCH($AE150,$M:$M,0)+BP$8-1))=0,
IF(COUNTIF($M:$M,$AE150)&lt;BP$8,
"",
INDEX($J:$J,MATCH($AE150,$M:$M,0)+BP$8-1)),
""),
"")</f>
        <v/>
      </c>
      <c r="BQ150" s="21" t="str">
        <f>IFERROR(
IF(COUNTIF($BI150:BP150,INDEX($J:$J,MATCH($AE150,$M:$M,0)+BQ$8-1))=0,
IF(COUNTIF($M:$M,$AE150)&lt;BQ$8,
"",
INDEX($J:$J,MATCH($AE150,$M:$M,0)+BQ$8-1)),
""),
"")</f>
        <v/>
      </c>
      <c r="BS150" s="21" t="str">
        <f>IFERROR(
IF(COUNTIF($BI150:BR150,INDEX($J:$J,MATCH($AF150,$M:$M,0)+BS$8-1))=0,
IF(COUNTIF($M:$M,$AF150)&lt;BS$8,
"",
INDEX($J:$J,MATCH($AF150,$M:$M,0)+BS$8-1)),
""),
"")</f>
        <v/>
      </c>
      <c r="BT150" s="21" t="str">
        <f>IFERROR(
IF(COUNTIF($BI150:BS150,INDEX($J:$J,MATCH($AF150,$M:$M,0)+BT$8-1))=0,
IF(COUNTIF($M:$M,$AF150)&lt;BT$8,
"",
INDEX($J:$J,MATCH($AF150,$M:$M,0)+BT$8-1)),
""),
"")</f>
        <v/>
      </c>
      <c r="BU150" s="21" t="str">
        <f>IFERROR(
IF(COUNTIF($BI150:BT150,INDEX($J:$J,MATCH($AF150,$M:$M,0)+BU$8-1))=0,
IF(COUNTIF($M:$M,$AF150)&lt;BU$8,
"",
INDEX($J:$J,MATCH($AF150,$M:$M,0)+BU$8-1)),
""),
"")</f>
        <v/>
      </c>
      <c r="BV150" s="21" t="str">
        <f>IFERROR(
IF(COUNTIF($BI150:BU150,INDEX($J:$J,MATCH($AF150,$M:$M,0)+BV$8-1))=0,
IF(COUNTIF($M:$M,$AF150)&lt;BV$8,
"",
INDEX($J:$J,MATCH($AF150,$M:$M,0)+BV$8-1)),
""),
"")</f>
        <v/>
      </c>
      <c r="BX150" s="21" t="str">
        <f>IFERROR(
IF(COUNTIF($BI150:BW150,INDEX($J:$J,MATCH($AG150,$M:$M,0)+BX$8-1))=0,
IF(COUNTIF($M:$M,$AG150)&lt;BX$8,
"",
INDEX($J:$J,MATCH($AG150,$M:$M,0)+BX$8-1)),
""),
"")</f>
        <v/>
      </c>
      <c r="BY150" s="21" t="str">
        <f>IFERROR(
IF(COUNTIF($BI150:BX150,INDEX($J:$J,MATCH($AG150,$M:$M,0)+BY$8-1))=0,
IF(COUNTIF($M:$M,$AG150)&lt;BY$8,
"",
INDEX($J:$J,MATCH($AG150,$M:$M,0)+BY$8-1)),
""),
"")</f>
        <v/>
      </c>
      <c r="BZ150" s="21" t="str">
        <f>IFERROR(
IF(COUNTIF($BI150:BY150,INDEX($J:$J,MATCH($AG150,$M:$M,0)+BZ$8-1))=0,
IF(COUNTIF($M:$M,$AG150)&lt;BZ$8,
"",
INDEX($J:$J,MATCH($AG150,$M:$M,0)+BZ$8-1)),
""),
"")</f>
        <v/>
      </c>
      <c r="CA150" s="21" t="str">
        <f>IFERROR(
IF(COUNTIF($BI150:BZ150,INDEX($J:$J,MATCH($AG150,$M:$M,0)+CA$8-1))=0,
IF(COUNTIF($M:$M,$AG150)&lt;CA$8,
"",
INDEX($J:$J,MATCH($AG150,$M:$M,0)+CA$8-1)),
""),
"")</f>
        <v/>
      </c>
      <c r="CC150" s="21" t="str">
        <f>IFERROR(
IF(COUNTIF($BI150:CB150,INDEX($J:$J,MATCH($AH150,$M:$M,0)+CC$8-1))=0,
IF(COUNTIF($M:$M,$AH150)&lt;CC$8,
"",
INDEX($J:$J,MATCH($AH150,$M:$M,0)+CC$8-1)),
""),
"")</f>
        <v/>
      </c>
      <c r="CD150" s="21" t="str">
        <f>IFERROR(
IF(COUNTIF($BI150:CC150,INDEX($J:$J,MATCH($AH150,$M:$M,0)+CD$8-1))=0,
IF(COUNTIF($M:$M,$AH150)&lt;CD$8,
"",
INDEX($J:$J,MATCH($AH150,$M:$M,0)+CD$8-1)),
""),
"")</f>
        <v/>
      </c>
      <c r="CE150" s="21" t="str">
        <f>IFERROR(
IF(COUNTIF($BI150:CD150,INDEX($J:$J,MATCH($AH150,$M:$M,0)+CE$8-1))=0,
IF(COUNTIF($M:$M,$AH150)&lt;CE$8,
"",
INDEX($J:$J,MATCH($AH150,$M:$M,0)+CE$8-1)),
""),
"")</f>
        <v/>
      </c>
      <c r="CF150" s="21" t="str">
        <f>IFERROR(
IF(COUNTIF($BI150:CE150,INDEX($J:$J,MATCH($AH150,$M:$M,0)+CF$8-1))=0,
IF(COUNTIF($M:$M,$AH150)&lt;CF$8,
"",
INDEX($J:$J,MATCH($AH150,$M:$M,0)+CF$8-1)),
""),
"")</f>
        <v/>
      </c>
      <c r="CH150" s="21" t="str">
        <f>IFERROR(
IF(COUNTIF($BI150:CG150,INDEX($J:$J,MATCH($AI150,$M:$M,0)+CH$8-1))=0,
IF(COUNTIF($M:$M,$AI150)&lt;CH$8,
"",
INDEX($J:$J,MATCH($AI150,$M:$M,0)+CH$8-1)),
""),
"")</f>
        <v/>
      </c>
      <c r="CI150" s="21" t="str">
        <f>IFERROR(
IF(COUNTIF($BI150:CH150,INDEX($J:$J,MATCH($AI150,$M:$M,0)+CI$8-1))=0,
IF(COUNTIF($M:$M,$AI150)&lt;CI$8,
"",
INDEX($J:$J,MATCH($AI150,$M:$M,0)+CI$8-1)),
""),
"")</f>
        <v/>
      </c>
      <c r="CJ150" s="21" t="str">
        <f>IFERROR(
IF(COUNTIF($BI150:CI150,INDEX($J:$J,MATCH($AI150,$M:$M,0)+CJ$8-1))=0,
IF(COUNTIF($M:$M,$AI150)&lt;CJ$8,
"",
INDEX($J:$J,MATCH($AI150,$M:$M,0)+CJ$8-1)),
""),
"")</f>
        <v/>
      </c>
      <c r="CK150" s="21" t="str">
        <f>IFERROR(
IF(COUNTIF($BI150:CJ150,INDEX($J:$J,MATCH($AI150,$M:$M,0)+CK$8-1))=0,
IF(COUNTIF($M:$M,$AI150)&lt;CK$8,
"",
INDEX($J:$J,MATCH($AI150,$M:$M,0)+CK$8-1)),
""),
"")</f>
        <v/>
      </c>
      <c r="CM150" s="21" t="str">
        <f>IFERROR(
IF(COUNTIF($BI150:CL150,INDEX($J:$J,MATCH($AJ150,$M:$M,0)+CM$8-1))=0,
IF(COUNTIF($M:$M,$AJ150)&lt;CM$8,
"",
INDEX($J:$J,MATCH($AJ150,$M:$M,0)+CM$8-1)),
""),
"")</f>
        <v/>
      </c>
      <c r="CN150" s="21" t="str">
        <f>IFERROR(
IF(COUNTIF($BI150:CM150,INDEX($J:$J,MATCH($AJ150,$M:$M,0)+CN$8-1))=0,
IF(COUNTIF($M:$M,$AJ150)&lt;CN$8,
"",
INDEX($J:$J,MATCH($AJ150,$M:$M,0)+CN$8-1)),
""),
"")</f>
        <v/>
      </c>
      <c r="CO150" s="21" t="str">
        <f>IFERROR(
IF(COUNTIF($BI150:CN150,INDEX($J:$J,MATCH($AJ150,$M:$M,0)+CO$8-1))=0,
IF(COUNTIF($M:$M,$AJ150)&lt;CO$8,
"",
INDEX($J:$J,MATCH($AJ150,$M:$M,0)+CO$8-1)),
""),
"")</f>
        <v/>
      </c>
      <c r="CP150" s="21" t="str">
        <f>IFERROR(
IF(COUNTIF($BI150:CO150,INDEX($J:$J,MATCH($AJ150,$M:$M,0)+CP$8-1))=0,
IF(COUNTIF($M:$M,$AJ150)&lt;CP$8,
"",
INDEX($J:$J,MATCH($AJ150,$M:$M,0)+CP$8-1)),
""),
"")</f>
        <v/>
      </c>
      <c r="CR150" s="21" t="str">
        <f>IFERROR(
IF(COUNTIF($BI150:CQ150,INDEX($J:$J,MATCH($AK150,$M:$M,0)+CR$8-1))=0,
IF(COUNTIF($M:$M,$AK150)&lt;CR$8,
"",
INDEX($J:$J,MATCH($AK150,$M:$M,0)+CR$8-1)),
""),
"")</f>
        <v/>
      </c>
      <c r="CS150" s="21" t="str">
        <f>IFERROR(
IF(COUNTIF($BI150:CR150,INDEX($J:$J,MATCH($AK150,$M:$M,0)+CS$8-1))=0,
IF(COUNTIF($M:$M,$AK150)&lt;CS$8,
"",
INDEX($J:$J,MATCH($AK150,$M:$M,0)+CS$8-1)),
""),
"")</f>
        <v/>
      </c>
      <c r="CT150" s="21" t="str">
        <f>IFERROR(
IF(COUNTIF($BI150:CS150,INDEX($J:$J,MATCH($AK150,$M:$M,0)+CT$8-1))=0,
IF(COUNTIF($M:$M,$AK150)&lt;CT$8,
"",
INDEX($J:$J,MATCH($AK150,$M:$M,0)+CT$8-1)),
""),
"")</f>
        <v/>
      </c>
      <c r="CU150" s="21" t="str">
        <f>IFERROR(
IF(COUNTIF($BI150:CT150,INDEX($J:$J,MATCH($AK150,$M:$M,0)+CU$8-1))=0,
IF(COUNTIF($M:$M,$AK150)&lt;CU$8,
"",
INDEX($J:$J,MATCH($AK150,$M:$M,0)+CU$8-1)),
""),
"")</f>
        <v/>
      </c>
    </row>
    <row r="151" spans="8:99">
      <c r="H151" s="7" t="str">
        <f>IF(I151="","",COUNTA(I$9:$I151))</f>
        <v/>
      </c>
      <c r="I151" s="6"/>
      <c r="J151" s="6" t="s">
        <v>257</v>
      </c>
      <c r="K151" s="8" t="str">
        <f>IF(H151="","",阶段合并区域(J151:J155," ",L151:L155,1))</f>
        <v/>
      </c>
      <c r="L151" s="8">
        <f>COUNTIF(M$8:$M151,"="&amp;M151)</f>
        <v>3</v>
      </c>
      <c r="M151" s="9" t="str">
        <f t="shared" ref="M151:M188" si="37">IF(H151="",M150,I151)</f>
        <v>攻守相济</v>
      </c>
      <c r="N151" s="9" t="str">
        <f t="shared" ref="N151:N188" si="38">M151&amp;L151</f>
        <v>攻守相济3</v>
      </c>
      <c r="O151" s="15">
        <f>INDEX(C:C,MATCH(J151,D:D,0))</f>
        <v>16</v>
      </c>
      <c r="P151" s="9">
        <f>INDEX(E:E,MATCH(J151,D:D,0))</f>
        <v>120</v>
      </c>
      <c r="Q151" s="7">
        <f t="shared" si="34"/>
        <v>16</v>
      </c>
      <c r="R151" s="7">
        <f>COUNTIF(J$8:$J151,"="&amp;J151)</f>
        <v>5</v>
      </c>
      <c r="S151" s="7">
        <f t="shared" ref="S151:S188" si="39">R151*1000+Q151</f>
        <v>5016</v>
      </c>
      <c r="U151" s="7">
        <f t="shared" si="36"/>
        <v>1000</v>
      </c>
      <c r="V151" s="7">
        <f t="shared" si="36"/>
        <v>2000</v>
      </c>
      <c r="W151" s="7">
        <f t="shared" si="36"/>
        <v>3000</v>
      </c>
      <c r="X151" s="7">
        <f t="shared" si="36"/>
        <v>4000</v>
      </c>
      <c r="Y151" s="7">
        <f t="shared" si="36"/>
        <v>5000</v>
      </c>
      <c r="Z151" s="7">
        <f t="shared" si="36"/>
        <v>6000</v>
      </c>
      <c r="AA151" s="7">
        <f t="shared" si="36"/>
        <v>7000</v>
      </c>
      <c r="AB151" s="7">
        <f t="shared" si="36"/>
        <v>8000</v>
      </c>
      <c r="AD151" s="21" t="str">
        <f>IFERROR(INDEX($M:$M,MATCH(U151,$S:$S,0)),"&amp;")</f>
        <v>&amp;</v>
      </c>
      <c r="AE151" s="21" t="str">
        <f>IFERROR(INDEX($M:$M,MATCH(V151,$S:$S,0)),"&amp;")</f>
        <v>&amp;</v>
      </c>
      <c r="AF151" s="21" t="str">
        <f>IFERROR(INDEX($M:$M,MATCH(W151,$S:$S,0)),"&amp;")</f>
        <v>&amp;</v>
      </c>
      <c r="AG151" s="21" t="str">
        <f>IFERROR(INDEX($M:$M,MATCH(X151,$S:$S,0)),"&amp;")</f>
        <v>&amp;</v>
      </c>
      <c r="AH151" s="21" t="str">
        <f>IFERROR(INDEX($M:$M,MATCH(Y151,$S:$S,0)),"&amp;")</f>
        <v>&amp;</v>
      </c>
      <c r="AI151" s="21" t="str">
        <f>IFERROR(INDEX($M:$M,MATCH(Z151,$S:$S,0)),"&amp;")</f>
        <v>&amp;</v>
      </c>
      <c r="AJ151" s="21" t="str">
        <f>IFERROR(INDEX($M:$M,MATCH(AA151,$S:$S,0)),"&amp;")</f>
        <v>&amp;</v>
      </c>
      <c r="AK151" s="21" t="str">
        <f>IFERROR(INDEX($M:$M,MATCH(AB151,$S:$S,0)),"&amp;")</f>
        <v>&amp;</v>
      </c>
      <c r="AM151" s="21" t="str">
        <f>IFERROR(INDEX($N:$N,MATCH(U151,$S:$S,0)),"&amp;")</f>
        <v>&amp;</v>
      </c>
      <c r="AN151" s="21" t="str">
        <f>IFERROR(INDEX($N:$N,MATCH(V151,$S:$S,0)),"&amp;")</f>
        <v>&amp;</v>
      </c>
      <c r="AO151" s="21" t="str">
        <f>IFERROR(INDEX($N:$N,MATCH(W151,$S:$S,0)),"&amp;")</f>
        <v>&amp;</v>
      </c>
      <c r="AP151" s="21" t="str">
        <f>IFERROR(INDEX($N:$N,MATCH(X151,$S:$S,0)),"&amp;")</f>
        <v>&amp;</v>
      </c>
      <c r="AQ151" s="21" t="str">
        <f>IFERROR(INDEX($N:$N,MATCH(Y151,$S:$S,0)),"&amp;")</f>
        <v>&amp;</v>
      </c>
      <c r="AR151" s="21" t="str">
        <f>IFERROR(INDEX($N:$N,MATCH(Z151,$S:$S,0)),"&amp;")</f>
        <v>&amp;</v>
      </c>
      <c r="AS151" s="21" t="str">
        <f>IFERROR(INDEX($N:$N,MATCH(AA151,$S:$S,0)),"&amp;")</f>
        <v>&amp;</v>
      </c>
      <c r="AT151" s="21" t="str">
        <f>IFERROR(INDEX($N:$N,MATCH(AB151,$S:$S,0)),"&amp;")</f>
        <v>&amp;</v>
      </c>
      <c r="AV151" s="21" t="str">
        <f>IFERROR(SUBSTITUTE(INDEX($K:$K,MATCH(INDEX($M:$M,MATCH(AM151,$N:$N,0)),$M:$M,0)),$D151,""),"")</f>
        <v/>
      </c>
      <c r="AW151" s="21" t="str">
        <f>IFERROR(SUBSTITUTE(INDEX($K:$K,MATCH(INDEX($M:$M,MATCH(AN151,$N:$N,0)),$M:$M,0)),$D151,""),"")</f>
        <v/>
      </c>
      <c r="AX151" s="21" t="str">
        <f>IFERROR(SUBSTITUTE(INDEX($K:$K,MATCH(INDEX($M:$M,MATCH(AO151,$N:$N,0)),$M:$M,0)),$D151,""),"")</f>
        <v/>
      </c>
      <c r="AY151" s="21" t="str">
        <f>IFERROR(SUBSTITUTE(INDEX($K:$K,MATCH(INDEX($M:$M,MATCH(AP151,$N:$N,0)),$M:$M,0)),$D151,""),"")</f>
        <v/>
      </c>
      <c r="AZ151" s="21" t="str">
        <f>IFERROR(SUBSTITUTE(INDEX($K:$K,MATCH(INDEX($M:$M,MATCH(AQ151,$N:$N,0)),$M:$M,0)),$D151,""),"")</f>
        <v/>
      </c>
      <c r="BA151" s="21" t="str">
        <f>IFERROR(SUBSTITUTE(INDEX($K:$K,MATCH(INDEX($M:$M,MATCH(AR151,$N:$N,0)),$M:$M,0)),$D151,""),"")</f>
        <v/>
      </c>
      <c r="BB151" s="21" t="str">
        <f>IFERROR(SUBSTITUTE(INDEX($K:$K,MATCH(INDEX($M:$M,MATCH(AS151,$N:$N,0)),$M:$M,0)),$D151,""),"")</f>
        <v/>
      </c>
      <c r="BC151" s="21" t="str">
        <f>IFERROR(SUBSTITUTE(INDEX($K:$K,MATCH(INDEX($M:$M,MATCH(AT151,$N:$N,0)),$M:$M,0)),$D151,""),"")</f>
        <v/>
      </c>
      <c r="BE151" s="9" t="str">
        <f t="shared" si="35"/>
        <v/>
      </c>
      <c r="BI151" s="9" t="str">
        <f>IFERROR(
IF(COUNTIF($M:$M,$AD151)&lt;BI$8,
"",
INDEX($J:$J,MATCH($AD151,$M:$M,0)+BI$8-1)),
"")</f>
        <v/>
      </c>
      <c r="BJ151" s="9" t="str">
        <f>IFERROR(
IF(COUNTIF($M:$M,$AD151)&lt;BJ$8,
"",
INDEX($J:$J,MATCH($AD151,$M:$M,0)+BJ$8-1)),
"")</f>
        <v/>
      </c>
      <c r="BK151" s="9" t="str">
        <f>IFERROR(
IF(COUNTIF($M:$M,$AD151)&lt;BK$8,
"",
INDEX($J:$J,MATCH($AD151,$M:$M,0)+BK$8-1)),
"")</f>
        <v/>
      </c>
      <c r="BL151" s="9" t="str">
        <f>IFERROR(
IF(COUNTIF($M:$M,$AD151)&lt;BL$8,
"",
INDEX($J:$J,MATCH($AD151,$M:$M,0)+BL$8-1)),
"")</f>
        <v/>
      </c>
      <c r="BN151" s="21" t="str">
        <f>IFERROR(
IF(COUNTIF($BI151:BM151,INDEX($J:$J,MATCH($AE151,$M:$M,0)+BN$8-1))=0,
IF(COUNTIF($M:$M,$AE151)&lt;BN$8,
"",
INDEX($J:$J,MATCH($AE151,$M:$M,0)+BN$8-1)),
""),
"")</f>
        <v/>
      </c>
      <c r="BO151" s="21" t="str">
        <f>IFERROR(
IF(COUNTIF($BI151:BN151,INDEX($J:$J,MATCH($AE151,$M:$M,0)+BO$8-1))=0,
IF(COUNTIF($M:$M,$AE151)&lt;BO$8,
"",
INDEX($J:$J,MATCH($AE151,$M:$M,0)+BO$8-1)),
""),
"")</f>
        <v/>
      </c>
      <c r="BP151" s="21" t="str">
        <f>IFERROR(
IF(COUNTIF($BI151:BO151,INDEX($J:$J,MATCH($AE151,$M:$M,0)+BP$8-1))=0,
IF(COUNTIF($M:$M,$AE151)&lt;BP$8,
"",
INDEX($J:$J,MATCH($AE151,$M:$M,0)+BP$8-1)),
""),
"")</f>
        <v/>
      </c>
      <c r="BQ151" s="21" t="str">
        <f>IFERROR(
IF(COUNTIF($BI151:BP151,INDEX($J:$J,MATCH($AE151,$M:$M,0)+BQ$8-1))=0,
IF(COUNTIF($M:$M,$AE151)&lt;BQ$8,
"",
INDEX($J:$J,MATCH($AE151,$M:$M,0)+BQ$8-1)),
""),
"")</f>
        <v/>
      </c>
      <c r="BS151" s="21" t="str">
        <f>IFERROR(
IF(COUNTIF($BI151:BR151,INDEX($J:$J,MATCH($AF151,$M:$M,0)+BS$8-1))=0,
IF(COUNTIF($M:$M,$AF151)&lt;BS$8,
"",
INDEX($J:$J,MATCH($AF151,$M:$M,0)+BS$8-1)),
""),
"")</f>
        <v/>
      </c>
      <c r="BT151" s="21" t="str">
        <f>IFERROR(
IF(COUNTIF($BI151:BS151,INDEX($J:$J,MATCH($AF151,$M:$M,0)+BT$8-1))=0,
IF(COUNTIF($M:$M,$AF151)&lt;BT$8,
"",
INDEX($J:$J,MATCH($AF151,$M:$M,0)+BT$8-1)),
""),
"")</f>
        <v/>
      </c>
      <c r="BU151" s="21" t="str">
        <f>IFERROR(
IF(COUNTIF($BI151:BT151,INDEX($J:$J,MATCH($AF151,$M:$M,0)+BU$8-1))=0,
IF(COUNTIF($M:$M,$AF151)&lt;BU$8,
"",
INDEX($J:$J,MATCH($AF151,$M:$M,0)+BU$8-1)),
""),
"")</f>
        <v/>
      </c>
      <c r="BV151" s="21" t="str">
        <f>IFERROR(
IF(COUNTIF($BI151:BU151,INDEX($J:$J,MATCH($AF151,$M:$M,0)+BV$8-1))=0,
IF(COUNTIF($M:$M,$AF151)&lt;BV$8,
"",
INDEX($J:$J,MATCH($AF151,$M:$M,0)+BV$8-1)),
""),
"")</f>
        <v/>
      </c>
      <c r="BX151" s="21" t="str">
        <f>IFERROR(
IF(COUNTIF($BI151:BW151,INDEX($J:$J,MATCH($AG151,$M:$M,0)+BX$8-1))=0,
IF(COUNTIF($M:$M,$AG151)&lt;BX$8,
"",
INDEX($J:$J,MATCH($AG151,$M:$M,0)+BX$8-1)),
""),
"")</f>
        <v/>
      </c>
      <c r="BY151" s="21" t="str">
        <f>IFERROR(
IF(COUNTIF($BI151:BX151,INDEX($J:$J,MATCH($AG151,$M:$M,0)+BY$8-1))=0,
IF(COUNTIF($M:$M,$AG151)&lt;BY$8,
"",
INDEX($J:$J,MATCH($AG151,$M:$M,0)+BY$8-1)),
""),
"")</f>
        <v/>
      </c>
      <c r="BZ151" s="21" t="str">
        <f>IFERROR(
IF(COUNTIF($BI151:BY151,INDEX($J:$J,MATCH($AG151,$M:$M,0)+BZ$8-1))=0,
IF(COUNTIF($M:$M,$AG151)&lt;BZ$8,
"",
INDEX($J:$J,MATCH($AG151,$M:$M,0)+BZ$8-1)),
""),
"")</f>
        <v/>
      </c>
      <c r="CA151" s="21" t="str">
        <f>IFERROR(
IF(COUNTIF($BI151:BZ151,INDEX($J:$J,MATCH($AG151,$M:$M,0)+CA$8-1))=0,
IF(COUNTIF($M:$M,$AG151)&lt;CA$8,
"",
INDEX($J:$J,MATCH($AG151,$M:$M,0)+CA$8-1)),
""),
"")</f>
        <v/>
      </c>
      <c r="CC151" s="21" t="str">
        <f>IFERROR(
IF(COUNTIF($BI151:CB151,INDEX($J:$J,MATCH($AH151,$M:$M,0)+CC$8-1))=0,
IF(COUNTIF($M:$M,$AH151)&lt;CC$8,
"",
INDEX($J:$J,MATCH($AH151,$M:$M,0)+CC$8-1)),
""),
"")</f>
        <v/>
      </c>
      <c r="CD151" s="21" t="str">
        <f>IFERROR(
IF(COUNTIF($BI151:CC151,INDEX($J:$J,MATCH($AH151,$M:$M,0)+CD$8-1))=0,
IF(COUNTIF($M:$M,$AH151)&lt;CD$8,
"",
INDEX($J:$J,MATCH($AH151,$M:$M,0)+CD$8-1)),
""),
"")</f>
        <v/>
      </c>
      <c r="CE151" s="21" t="str">
        <f>IFERROR(
IF(COUNTIF($BI151:CD151,INDEX($J:$J,MATCH($AH151,$M:$M,0)+CE$8-1))=0,
IF(COUNTIF($M:$M,$AH151)&lt;CE$8,
"",
INDEX($J:$J,MATCH($AH151,$M:$M,0)+CE$8-1)),
""),
"")</f>
        <v/>
      </c>
      <c r="CF151" s="21" t="str">
        <f>IFERROR(
IF(COUNTIF($BI151:CE151,INDEX($J:$J,MATCH($AH151,$M:$M,0)+CF$8-1))=0,
IF(COUNTIF($M:$M,$AH151)&lt;CF$8,
"",
INDEX($J:$J,MATCH($AH151,$M:$M,0)+CF$8-1)),
""),
"")</f>
        <v/>
      </c>
      <c r="CH151" s="21" t="str">
        <f>IFERROR(
IF(COUNTIF($BI151:CG151,INDEX($J:$J,MATCH($AI151,$M:$M,0)+CH$8-1))=0,
IF(COUNTIF($M:$M,$AI151)&lt;CH$8,
"",
INDEX($J:$J,MATCH($AI151,$M:$M,0)+CH$8-1)),
""),
"")</f>
        <v/>
      </c>
      <c r="CI151" s="21" t="str">
        <f>IFERROR(
IF(COUNTIF($BI151:CH151,INDEX($J:$J,MATCH($AI151,$M:$M,0)+CI$8-1))=0,
IF(COUNTIF($M:$M,$AI151)&lt;CI$8,
"",
INDEX($J:$J,MATCH($AI151,$M:$M,0)+CI$8-1)),
""),
"")</f>
        <v/>
      </c>
      <c r="CJ151" s="21" t="str">
        <f>IFERROR(
IF(COUNTIF($BI151:CI151,INDEX($J:$J,MATCH($AI151,$M:$M,0)+CJ$8-1))=0,
IF(COUNTIF($M:$M,$AI151)&lt;CJ$8,
"",
INDEX($J:$J,MATCH($AI151,$M:$M,0)+CJ$8-1)),
""),
"")</f>
        <v/>
      </c>
      <c r="CK151" s="21" t="str">
        <f>IFERROR(
IF(COUNTIF($BI151:CJ151,INDEX($J:$J,MATCH($AI151,$M:$M,0)+CK$8-1))=0,
IF(COUNTIF($M:$M,$AI151)&lt;CK$8,
"",
INDEX($J:$J,MATCH($AI151,$M:$M,0)+CK$8-1)),
""),
"")</f>
        <v/>
      </c>
      <c r="CM151" s="21" t="str">
        <f>IFERROR(
IF(COUNTIF($BI151:CL151,INDEX($J:$J,MATCH($AJ151,$M:$M,0)+CM$8-1))=0,
IF(COUNTIF($M:$M,$AJ151)&lt;CM$8,
"",
INDEX($J:$J,MATCH($AJ151,$M:$M,0)+CM$8-1)),
""),
"")</f>
        <v/>
      </c>
      <c r="CN151" s="21" t="str">
        <f>IFERROR(
IF(COUNTIF($BI151:CM151,INDEX($J:$J,MATCH($AJ151,$M:$M,0)+CN$8-1))=0,
IF(COUNTIF($M:$M,$AJ151)&lt;CN$8,
"",
INDEX($J:$J,MATCH($AJ151,$M:$M,0)+CN$8-1)),
""),
"")</f>
        <v/>
      </c>
      <c r="CO151" s="21" t="str">
        <f>IFERROR(
IF(COUNTIF($BI151:CN151,INDEX($J:$J,MATCH($AJ151,$M:$M,0)+CO$8-1))=0,
IF(COUNTIF($M:$M,$AJ151)&lt;CO$8,
"",
INDEX($J:$J,MATCH($AJ151,$M:$M,0)+CO$8-1)),
""),
"")</f>
        <v/>
      </c>
      <c r="CP151" s="21" t="str">
        <f>IFERROR(
IF(COUNTIF($BI151:CO151,INDEX($J:$J,MATCH($AJ151,$M:$M,0)+CP$8-1))=0,
IF(COUNTIF($M:$M,$AJ151)&lt;CP$8,
"",
INDEX($J:$J,MATCH($AJ151,$M:$M,0)+CP$8-1)),
""),
"")</f>
        <v/>
      </c>
      <c r="CR151" s="21" t="str">
        <f>IFERROR(
IF(COUNTIF($BI151:CQ151,INDEX($J:$J,MATCH($AK151,$M:$M,0)+CR$8-1))=0,
IF(COUNTIF($M:$M,$AK151)&lt;CR$8,
"",
INDEX($J:$J,MATCH($AK151,$M:$M,0)+CR$8-1)),
""),
"")</f>
        <v/>
      </c>
      <c r="CS151" s="21" t="str">
        <f>IFERROR(
IF(COUNTIF($BI151:CR151,INDEX($J:$J,MATCH($AK151,$M:$M,0)+CS$8-1))=0,
IF(COUNTIF($M:$M,$AK151)&lt;CS$8,
"",
INDEX($J:$J,MATCH($AK151,$M:$M,0)+CS$8-1)),
""),
"")</f>
        <v/>
      </c>
      <c r="CT151" s="21" t="str">
        <f>IFERROR(
IF(COUNTIF($BI151:CS151,INDEX($J:$J,MATCH($AK151,$M:$M,0)+CT$8-1))=0,
IF(COUNTIF($M:$M,$AK151)&lt;CT$8,
"",
INDEX($J:$J,MATCH($AK151,$M:$M,0)+CT$8-1)),
""),
"")</f>
        <v/>
      </c>
      <c r="CU151" s="21" t="str">
        <f>IFERROR(
IF(COUNTIF($BI151:CT151,INDEX($J:$J,MATCH($AK151,$M:$M,0)+CU$8-1))=0,
IF(COUNTIF($M:$M,$AK151)&lt;CU$8,
"",
INDEX($J:$J,MATCH($AK151,$M:$M,0)+CU$8-1)),
""),
"")</f>
        <v/>
      </c>
    </row>
    <row r="152" spans="8:99">
      <c r="H152" s="7" t="str">
        <f>IF(I152="","",COUNTA(I$9:$I152))</f>
        <v/>
      </c>
      <c r="I152" s="6"/>
      <c r="J152" s="6" t="s">
        <v>243</v>
      </c>
      <c r="K152" s="8" t="str">
        <f>IF(H152="","",阶段合并区域(J152:J155," ",L152:L155,1))</f>
        <v/>
      </c>
      <c r="L152" s="8">
        <f>COUNTIF(M$8:$M152,"="&amp;M152)</f>
        <v>4</v>
      </c>
      <c r="M152" s="9" t="str">
        <f t="shared" si="37"/>
        <v>攻守相济</v>
      </c>
      <c r="N152" s="9" t="str">
        <f t="shared" si="38"/>
        <v>攻守相济4</v>
      </c>
      <c r="O152" s="15">
        <f>INDEX(C:C,MATCH(J152,D:D,0))</f>
        <v>55</v>
      </c>
      <c r="P152" s="9">
        <f>INDEX(E:E,MATCH(J152,D:D,0))</f>
        <v>120</v>
      </c>
      <c r="Q152" s="7">
        <f t="shared" si="34"/>
        <v>55</v>
      </c>
      <c r="R152" s="7">
        <f>COUNTIF(J$8:$J152,"="&amp;J152)</f>
        <v>6</v>
      </c>
      <c r="S152" s="7">
        <f t="shared" si="39"/>
        <v>6055</v>
      </c>
      <c r="U152" s="7">
        <f t="shared" si="36"/>
        <v>1000</v>
      </c>
      <c r="V152" s="7">
        <f t="shared" si="36"/>
        <v>2000</v>
      </c>
      <c r="W152" s="7">
        <f t="shared" si="36"/>
        <v>3000</v>
      </c>
      <c r="X152" s="7">
        <f t="shared" si="36"/>
        <v>4000</v>
      </c>
      <c r="Y152" s="7">
        <f t="shared" si="36"/>
        <v>5000</v>
      </c>
      <c r="Z152" s="7">
        <f t="shared" si="36"/>
        <v>6000</v>
      </c>
      <c r="AA152" s="7">
        <f t="shared" si="36"/>
        <v>7000</v>
      </c>
      <c r="AB152" s="7">
        <f t="shared" si="36"/>
        <v>8000</v>
      </c>
      <c r="AD152" s="21" t="str">
        <f>IFERROR(INDEX($M:$M,MATCH(U152,$S:$S,0)),"&amp;")</f>
        <v>&amp;</v>
      </c>
      <c r="AE152" s="21" t="str">
        <f>IFERROR(INDEX($M:$M,MATCH(V152,$S:$S,0)),"&amp;")</f>
        <v>&amp;</v>
      </c>
      <c r="AF152" s="21" t="str">
        <f>IFERROR(INDEX($M:$M,MATCH(W152,$S:$S,0)),"&amp;")</f>
        <v>&amp;</v>
      </c>
      <c r="AG152" s="21" t="str">
        <f>IFERROR(INDEX($M:$M,MATCH(X152,$S:$S,0)),"&amp;")</f>
        <v>&amp;</v>
      </c>
      <c r="AH152" s="21" t="str">
        <f>IFERROR(INDEX($M:$M,MATCH(Y152,$S:$S,0)),"&amp;")</f>
        <v>&amp;</v>
      </c>
      <c r="AI152" s="21" t="str">
        <f>IFERROR(INDEX($M:$M,MATCH(Z152,$S:$S,0)),"&amp;")</f>
        <v>&amp;</v>
      </c>
      <c r="AJ152" s="21" t="str">
        <f>IFERROR(INDEX($M:$M,MATCH(AA152,$S:$S,0)),"&amp;")</f>
        <v>&amp;</v>
      </c>
      <c r="AK152" s="21" t="str">
        <f>IFERROR(INDEX($M:$M,MATCH(AB152,$S:$S,0)),"&amp;")</f>
        <v>&amp;</v>
      </c>
      <c r="AM152" s="21" t="str">
        <f>IFERROR(INDEX($N:$N,MATCH(U152,$S:$S,0)),"&amp;")</f>
        <v>&amp;</v>
      </c>
      <c r="AN152" s="21" t="str">
        <f>IFERROR(INDEX($N:$N,MATCH(V152,$S:$S,0)),"&amp;")</f>
        <v>&amp;</v>
      </c>
      <c r="AO152" s="21" t="str">
        <f>IFERROR(INDEX($N:$N,MATCH(W152,$S:$S,0)),"&amp;")</f>
        <v>&amp;</v>
      </c>
      <c r="AP152" s="21" t="str">
        <f>IFERROR(INDEX($N:$N,MATCH(X152,$S:$S,0)),"&amp;")</f>
        <v>&amp;</v>
      </c>
      <c r="AQ152" s="21" t="str">
        <f>IFERROR(INDEX($N:$N,MATCH(Y152,$S:$S,0)),"&amp;")</f>
        <v>&amp;</v>
      </c>
      <c r="AR152" s="21" t="str">
        <f>IFERROR(INDEX($N:$N,MATCH(Z152,$S:$S,0)),"&amp;")</f>
        <v>&amp;</v>
      </c>
      <c r="AS152" s="21" t="str">
        <f>IFERROR(INDEX($N:$N,MATCH(AA152,$S:$S,0)),"&amp;")</f>
        <v>&amp;</v>
      </c>
      <c r="AT152" s="21" t="str">
        <f>IFERROR(INDEX($N:$N,MATCH(AB152,$S:$S,0)),"&amp;")</f>
        <v>&amp;</v>
      </c>
      <c r="AV152" s="21" t="str">
        <f>IFERROR(SUBSTITUTE(INDEX($K:$K,MATCH(INDEX($M:$M,MATCH(AM152,$N:$N,0)),$M:$M,0)),$D152,""),"")</f>
        <v/>
      </c>
      <c r="AW152" s="21" t="str">
        <f>IFERROR(SUBSTITUTE(INDEX($K:$K,MATCH(INDEX($M:$M,MATCH(AN152,$N:$N,0)),$M:$M,0)),$D152,""),"")</f>
        <v/>
      </c>
      <c r="AX152" s="21" t="str">
        <f>IFERROR(SUBSTITUTE(INDEX($K:$K,MATCH(INDEX($M:$M,MATCH(AO152,$N:$N,0)),$M:$M,0)),$D152,""),"")</f>
        <v/>
      </c>
      <c r="AY152" s="21" t="str">
        <f>IFERROR(SUBSTITUTE(INDEX($K:$K,MATCH(INDEX($M:$M,MATCH(AP152,$N:$N,0)),$M:$M,0)),$D152,""),"")</f>
        <v/>
      </c>
      <c r="AZ152" s="21" t="str">
        <f>IFERROR(SUBSTITUTE(INDEX($K:$K,MATCH(INDEX($M:$M,MATCH(AQ152,$N:$N,0)),$M:$M,0)),$D152,""),"")</f>
        <v/>
      </c>
      <c r="BA152" s="21" t="str">
        <f>IFERROR(SUBSTITUTE(INDEX($K:$K,MATCH(INDEX($M:$M,MATCH(AR152,$N:$N,0)),$M:$M,0)),$D152,""),"")</f>
        <v/>
      </c>
      <c r="BB152" s="21" t="str">
        <f>IFERROR(SUBSTITUTE(INDEX($K:$K,MATCH(INDEX($M:$M,MATCH(AS152,$N:$N,0)),$M:$M,0)),$D152,""),"")</f>
        <v/>
      </c>
      <c r="BC152" s="21" t="str">
        <f>IFERROR(SUBSTITUTE(INDEX($K:$K,MATCH(INDEX($M:$M,MATCH(AT152,$N:$N,0)),$M:$M,0)),$D152,""),"")</f>
        <v/>
      </c>
      <c r="BE152" s="9" t="str">
        <f t="shared" si="35"/>
        <v/>
      </c>
      <c r="BI152" s="9" t="str">
        <f>IFERROR(
IF(COUNTIF($M:$M,$AD152)&lt;BI$8,
"",
INDEX($J:$J,MATCH($AD152,$M:$M,0)+BI$8-1)),
"")</f>
        <v/>
      </c>
      <c r="BJ152" s="9" t="str">
        <f>IFERROR(
IF(COUNTIF($M:$M,$AD152)&lt;BJ$8,
"",
INDEX($J:$J,MATCH($AD152,$M:$M,0)+BJ$8-1)),
"")</f>
        <v/>
      </c>
      <c r="BK152" s="9" t="str">
        <f>IFERROR(
IF(COUNTIF($M:$M,$AD152)&lt;BK$8,
"",
INDEX($J:$J,MATCH($AD152,$M:$M,0)+BK$8-1)),
"")</f>
        <v/>
      </c>
      <c r="BL152" s="9" t="str">
        <f>IFERROR(
IF(COUNTIF($M:$M,$AD152)&lt;BL$8,
"",
INDEX($J:$J,MATCH($AD152,$M:$M,0)+BL$8-1)),
"")</f>
        <v/>
      </c>
      <c r="BN152" s="21" t="str">
        <f>IFERROR(
IF(COUNTIF($BI152:BM152,INDEX($J:$J,MATCH($AE152,$M:$M,0)+BN$8-1))=0,
IF(COUNTIF($M:$M,$AE152)&lt;BN$8,
"",
INDEX($J:$J,MATCH($AE152,$M:$M,0)+BN$8-1)),
""),
"")</f>
        <v/>
      </c>
      <c r="BO152" s="21" t="str">
        <f>IFERROR(
IF(COUNTIF($BI152:BN152,INDEX($J:$J,MATCH($AE152,$M:$M,0)+BO$8-1))=0,
IF(COUNTIF($M:$M,$AE152)&lt;BO$8,
"",
INDEX($J:$J,MATCH($AE152,$M:$M,0)+BO$8-1)),
""),
"")</f>
        <v/>
      </c>
      <c r="BP152" s="21" t="str">
        <f>IFERROR(
IF(COUNTIF($BI152:BO152,INDEX($J:$J,MATCH($AE152,$M:$M,0)+BP$8-1))=0,
IF(COUNTIF($M:$M,$AE152)&lt;BP$8,
"",
INDEX($J:$J,MATCH($AE152,$M:$M,0)+BP$8-1)),
""),
"")</f>
        <v/>
      </c>
      <c r="BQ152" s="21" t="str">
        <f>IFERROR(
IF(COUNTIF($BI152:BP152,INDEX($J:$J,MATCH($AE152,$M:$M,0)+BQ$8-1))=0,
IF(COUNTIF($M:$M,$AE152)&lt;BQ$8,
"",
INDEX($J:$J,MATCH($AE152,$M:$M,0)+BQ$8-1)),
""),
"")</f>
        <v/>
      </c>
      <c r="BS152" s="21" t="str">
        <f>IFERROR(
IF(COUNTIF($BI152:BR152,INDEX($J:$J,MATCH($AF152,$M:$M,0)+BS$8-1))=0,
IF(COUNTIF($M:$M,$AF152)&lt;BS$8,
"",
INDEX($J:$J,MATCH($AF152,$M:$M,0)+BS$8-1)),
""),
"")</f>
        <v/>
      </c>
      <c r="BT152" s="21" t="str">
        <f>IFERROR(
IF(COUNTIF($BI152:BS152,INDEX($J:$J,MATCH($AF152,$M:$M,0)+BT$8-1))=0,
IF(COUNTIF($M:$M,$AF152)&lt;BT$8,
"",
INDEX($J:$J,MATCH($AF152,$M:$M,0)+BT$8-1)),
""),
"")</f>
        <v/>
      </c>
      <c r="BU152" s="21" t="str">
        <f>IFERROR(
IF(COUNTIF($BI152:BT152,INDEX($J:$J,MATCH($AF152,$M:$M,0)+BU$8-1))=0,
IF(COUNTIF($M:$M,$AF152)&lt;BU$8,
"",
INDEX($J:$J,MATCH($AF152,$M:$M,0)+BU$8-1)),
""),
"")</f>
        <v/>
      </c>
      <c r="BV152" s="21" t="str">
        <f>IFERROR(
IF(COUNTIF($BI152:BU152,INDEX($J:$J,MATCH($AF152,$M:$M,0)+BV$8-1))=0,
IF(COUNTIF($M:$M,$AF152)&lt;BV$8,
"",
INDEX($J:$J,MATCH($AF152,$M:$M,0)+BV$8-1)),
""),
"")</f>
        <v/>
      </c>
      <c r="BX152" s="21" t="str">
        <f>IFERROR(
IF(COUNTIF($BI152:BW152,INDEX($J:$J,MATCH($AG152,$M:$M,0)+BX$8-1))=0,
IF(COUNTIF($M:$M,$AG152)&lt;BX$8,
"",
INDEX($J:$J,MATCH($AG152,$M:$M,0)+BX$8-1)),
""),
"")</f>
        <v/>
      </c>
      <c r="BY152" s="21" t="str">
        <f>IFERROR(
IF(COUNTIF($BI152:BX152,INDEX($J:$J,MATCH($AG152,$M:$M,0)+BY$8-1))=0,
IF(COUNTIF($M:$M,$AG152)&lt;BY$8,
"",
INDEX($J:$J,MATCH($AG152,$M:$M,0)+BY$8-1)),
""),
"")</f>
        <v/>
      </c>
      <c r="BZ152" s="21" t="str">
        <f>IFERROR(
IF(COUNTIF($BI152:BY152,INDEX($J:$J,MATCH($AG152,$M:$M,0)+BZ$8-1))=0,
IF(COUNTIF($M:$M,$AG152)&lt;BZ$8,
"",
INDEX($J:$J,MATCH($AG152,$M:$M,0)+BZ$8-1)),
""),
"")</f>
        <v/>
      </c>
      <c r="CA152" s="21" t="str">
        <f>IFERROR(
IF(COUNTIF($BI152:BZ152,INDEX($J:$J,MATCH($AG152,$M:$M,0)+CA$8-1))=0,
IF(COUNTIF($M:$M,$AG152)&lt;CA$8,
"",
INDEX($J:$J,MATCH($AG152,$M:$M,0)+CA$8-1)),
""),
"")</f>
        <v/>
      </c>
      <c r="CC152" s="21" t="str">
        <f>IFERROR(
IF(COUNTIF($BI152:CB152,INDEX($J:$J,MATCH($AH152,$M:$M,0)+CC$8-1))=0,
IF(COUNTIF($M:$M,$AH152)&lt;CC$8,
"",
INDEX($J:$J,MATCH($AH152,$M:$M,0)+CC$8-1)),
""),
"")</f>
        <v/>
      </c>
      <c r="CD152" s="21" t="str">
        <f>IFERROR(
IF(COUNTIF($BI152:CC152,INDEX($J:$J,MATCH($AH152,$M:$M,0)+CD$8-1))=0,
IF(COUNTIF($M:$M,$AH152)&lt;CD$8,
"",
INDEX($J:$J,MATCH($AH152,$M:$M,0)+CD$8-1)),
""),
"")</f>
        <v/>
      </c>
      <c r="CE152" s="21" t="str">
        <f>IFERROR(
IF(COUNTIF($BI152:CD152,INDEX($J:$J,MATCH($AH152,$M:$M,0)+CE$8-1))=0,
IF(COUNTIF($M:$M,$AH152)&lt;CE$8,
"",
INDEX($J:$J,MATCH($AH152,$M:$M,0)+CE$8-1)),
""),
"")</f>
        <v/>
      </c>
      <c r="CF152" s="21" t="str">
        <f>IFERROR(
IF(COUNTIF($BI152:CE152,INDEX($J:$J,MATCH($AH152,$M:$M,0)+CF$8-1))=0,
IF(COUNTIF($M:$M,$AH152)&lt;CF$8,
"",
INDEX($J:$J,MATCH($AH152,$M:$M,0)+CF$8-1)),
""),
"")</f>
        <v/>
      </c>
      <c r="CH152" s="21" t="str">
        <f>IFERROR(
IF(COUNTIF($BI152:CG152,INDEX($J:$J,MATCH($AI152,$M:$M,0)+CH$8-1))=0,
IF(COUNTIF($M:$M,$AI152)&lt;CH$8,
"",
INDEX($J:$J,MATCH($AI152,$M:$M,0)+CH$8-1)),
""),
"")</f>
        <v/>
      </c>
      <c r="CI152" s="21" t="str">
        <f>IFERROR(
IF(COUNTIF($BI152:CH152,INDEX($J:$J,MATCH($AI152,$M:$M,0)+CI$8-1))=0,
IF(COUNTIF($M:$M,$AI152)&lt;CI$8,
"",
INDEX($J:$J,MATCH($AI152,$M:$M,0)+CI$8-1)),
""),
"")</f>
        <v/>
      </c>
      <c r="CJ152" s="21" t="str">
        <f>IFERROR(
IF(COUNTIF($BI152:CI152,INDEX($J:$J,MATCH($AI152,$M:$M,0)+CJ$8-1))=0,
IF(COUNTIF($M:$M,$AI152)&lt;CJ$8,
"",
INDEX($J:$J,MATCH($AI152,$M:$M,0)+CJ$8-1)),
""),
"")</f>
        <v/>
      </c>
      <c r="CK152" s="21" t="str">
        <f>IFERROR(
IF(COUNTIF($BI152:CJ152,INDEX($J:$J,MATCH($AI152,$M:$M,0)+CK$8-1))=0,
IF(COUNTIF($M:$M,$AI152)&lt;CK$8,
"",
INDEX($J:$J,MATCH($AI152,$M:$M,0)+CK$8-1)),
""),
"")</f>
        <v/>
      </c>
      <c r="CM152" s="21" t="str">
        <f>IFERROR(
IF(COUNTIF($BI152:CL152,INDEX($J:$J,MATCH($AJ152,$M:$M,0)+CM$8-1))=0,
IF(COUNTIF($M:$M,$AJ152)&lt;CM$8,
"",
INDEX($J:$J,MATCH($AJ152,$M:$M,0)+CM$8-1)),
""),
"")</f>
        <v/>
      </c>
      <c r="CN152" s="21" t="str">
        <f>IFERROR(
IF(COUNTIF($BI152:CM152,INDEX($J:$J,MATCH($AJ152,$M:$M,0)+CN$8-1))=0,
IF(COUNTIF($M:$M,$AJ152)&lt;CN$8,
"",
INDEX($J:$J,MATCH($AJ152,$M:$M,0)+CN$8-1)),
""),
"")</f>
        <v/>
      </c>
      <c r="CO152" s="21" t="str">
        <f>IFERROR(
IF(COUNTIF($BI152:CN152,INDEX($J:$J,MATCH($AJ152,$M:$M,0)+CO$8-1))=0,
IF(COUNTIF($M:$M,$AJ152)&lt;CO$8,
"",
INDEX($J:$J,MATCH($AJ152,$M:$M,0)+CO$8-1)),
""),
"")</f>
        <v/>
      </c>
      <c r="CP152" s="21" t="str">
        <f>IFERROR(
IF(COUNTIF($BI152:CO152,INDEX($J:$J,MATCH($AJ152,$M:$M,0)+CP$8-1))=0,
IF(COUNTIF($M:$M,$AJ152)&lt;CP$8,
"",
INDEX($J:$J,MATCH($AJ152,$M:$M,0)+CP$8-1)),
""),
"")</f>
        <v/>
      </c>
      <c r="CR152" s="21" t="str">
        <f>IFERROR(
IF(COUNTIF($BI152:CQ152,INDEX($J:$J,MATCH($AK152,$M:$M,0)+CR$8-1))=0,
IF(COUNTIF($M:$M,$AK152)&lt;CR$8,
"",
INDEX($J:$J,MATCH($AK152,$M:$M,0)+CR$8-1)),
""),
"")</f>
        <v/>
      </c>
      <c r="CS152" s="21" t="str">
        <f>IFERROR(
IF(COUNTIF($BI152:CR152,INDEX($J:$J,MATCH($AK152,$M:$M,0)+CS$8-1))=0,
IF(COUNTIF($M:$M,$AK152)&lt;CS$8,
"",
INDEX($J:$J,MATCH($AK152,$M:$M,0)+CS$8-1)),
""),
"")</f>
        <v/>
      </c>
      <c r="CT152" s="21" t="str">
        <f>IFERROR(
IF(COUNTIF($BI152:CS152,INDEX($J:$J,MATCH($AK152,$M:$M,0)+CT$8-1))=0,
IF(COUNTIF($M:$M,$AK152)&lt;CT$8,
"",
INDEX($J:$J,MATCH($AK152,$M:$M,0)+CT$8-1)),
""),
"")</f>
        <v/>
      </c>
      <c r="CU152" s="21" t="str">
        <f>IFERROR(
IF(COUNTIF($BI152:CT152,INDEX($J:$J,MATCH($AK152,$M:$M,0)+CU$8-1))=0,
IF(COUNTIF($M:$M,$AK152)&lt;CU$8,
"",
INDEX($J:$J,MATCH($AK152,$M:$M,0)+CU$8-1)),
""),
"")</f>
        <v/>
      </c>
    </row>
    <row r="153" spans="8:99">
      <c r="H153" s="7">
        <f>IF(I153="","",COUNTA(I$9:$I153))</f>
        <v>108</v>
      </c>
      <c r="I153" s="6" t="s">
        <v>272</v>
      </c>
      <c r="J153" s="6" t="s">
        <v>278</v>
      </c>
      <c r="K153" s="8" t="str">
        <f>IF(H153="","",阶段合并区域(J153:J155," ",L153:L155,1))</f>
        <v>典藏吕不韦 吕不韦 韩非子</v>
      </c>
      <c r="L153" s="8">
        <f>COUNTIF(M$8:$M153,"="&amp;M153)</f>
        <v>1</v>
      </c>
      <c r="M153" s="9" t="str">
        <f t="shared" si="37"/>
        <v>权力之路</v>
      </c>
      <c r="N153" s="9" t="str">
        <f t="shared" si="38"/>
        <v>权力之路1</v>
      </c>
      <c r="O153" s="15">
        <f>INDEX(C:C,MATCH(J153,D:D,0))</f>
        <v>72</v>
      </c>
      <c r="P153" s="9">
        <f>INDEX(E:E,MATCH(J153,D:D,0))</f>
        <v>130</v>
      </c>
      <c r="Q153" s="7">
        <f t="shared" si="34"/>
        <v>72</v>
      </c>
      <c r="R153" s="7">
        <f>COUNTIF(J$8:$J153,"="&amp;J153)</f>
        <v>1</v>
      </c>
      <c r="S153" s="7">
        <f t="shared" si="39"/>
        <v>1072</v>
      </c>
      <c r="U153" s="7">
        <f t="shared" si="36"/>
        <v>1000</v>
      </c>
      <c r="V153" s="7">
        <f t="shared" si="36"/>
        <v>2000</v>
      </c>
      <c r="W153" s="7">
        <f t="shared" si="36"/>
        <v>3000</v>
      </c>
      <c r="X153" s="7">
        <f t="shared" si="36"/>
        <v>4000</v>
      </c>
      <c r="Y153" s="7">
        <f t="shared" si="36"/>
        <v>5000</v>
      </c>
      <c r="Z153" s="7">
        <f t="shared" si="36"/>
        <v>6000</v>
      </c>
      <c r="AA153" s="7">
        <f t="shared" si="36"/>
        <v>7000</v>
      </c>
      <c r="AB153" s="7">
        <f t="shared" si="36"/>
        <v>8000</v>
      </c>
      <c r="AD153" s="21" t="str">
        <f>IFERROR(INDEX($M:$M,MATCH(U153,$S:$S,0)),"&amp;")</f>
        <v>&amp;</v>
      </c>
      <c r="AE153" s="21" t="str">
        <f>IFERROR(INDEX($M:$M,MATCH(V153,$S:$S,0)),"&amp;")</f>
        <v>&amp;</v>
      </c>
      <c r="AF153" s="21" t="str">
        <f>IFERROR(INDEX($M:$M,MATCH(W153,$S:$S,0)),"&amp;")</f>
        <v>&amp;</v>
      </c>
      <c r="AG153" s="21" t="str">
        <f>IFERROR(INDEX($M:$M,MATCH(X153,$S:$S,0)),"&amp;")</f>
        <v>&amp;</v>
      </c>
      <c r="AH153" s="21" t="str">
        <f>IFERROR(INDEX($M:$M,MATCH(Y153,$S:$S,0)),"&amp;")</f>
        <v>&amp;</v>
      </c>
      <c r="AI153" s="21" t="str">
        <f>IFERROR(INDEX($M:$M,MATCH(Z153,$S:$S,0)),"&amp;")</f>
        <v>&amp;</v>
      </c>
      <c r="AJ153" s="21" t="str">
        <f>IFERROR(INDEX($M:$M,MATCH(AA153,$S:$S,0)),"&amp;")</f>
        <v>&amp;</v>
      </c>
      <c r="AK153" s="21" t="str">
        <f>IFERROR(INDEX($M:$M,MATCH(AB153,$S:$S,0)),"&amp;")</f>
        <v>&amp;</v>
      </c>
      <c r="AM153" s="21" t="str">
        <f>IFERROR(INDEX($N:$N,MATCH(U153,$S:$S,0)),"&amp;")</f>
        <v>&amp;</v>
      </c>
      <c r="AN153" s="21" t="str">
        <f>IFERROR(INDEX($N:$N,MATCH(V153,$S:$S,0)),"&amp;")</f>
        <v>&amp;</v>
      </c>
      <c r="AO153" s="21" t="str">
        <f>IFERROR(INDEX($N:$N,MATCH(W153,$S:$S,0)),"&amp;")</f>
        <v>&amp;</v>
      </c>
      <c r="AP153" s="21" t="str">
        <f>IFERROR(INDEX($N:$N,MATCH(X153,$S:$S,0)),"&amp;")</f>
        <v>&amp;</v>
      </c>
      <c r="AQ153" s="21" t="str">
        <f>IFERROR(INDEX($N:$N,MATCH(Y153,$S:$S,0)),"&amp;")</f>
        <v>&amp;</v>
      </c>
      <c r="AR153" s="21" t="str">
        <f>IFERROR(INDEX($N:$N,MATCH(Z153,$S:$S,0)),"&amp;")</f>
        <v>&amp;</v>
      </c>
      <c r="AS153" s="21" t="str">
        <f>IFERROR(INDEX($N:$N,MATCH(AA153,$S:$S,0)),"&amp;")</f>
        <v>&amp;</v>
      </c>
      <c r="AT153" s="21" t="str">
        <f>IFERROR(INDEX($N:$N,MATCH(AB153,$S:$S,0)),"&amp;")</f>
        <v>&amp;</v>
      </c>
      <c r="AV153" s="21" t="str">
        <f>IFERROR(SUBSTITUTE(INDEX($K:$K,MATCH(INDEX($M:$M,MATCH(AM153,$N:$N,0)),$M:$M,0)),$D153,""),"")</f>
        <v/>
      </c>
      <c r="AW153" s="21" t="str">
        <f>IFERROR(SUBSTITUTE(INDEX($K:$K,MATCH(INDEX($M:$M,MATCH(AN153,$N:$N,0)),$M:$M,0)),$D153,""),"")</f>
        <v/>
      </c>
      <c r="AX153" s="21" t="str">
        <f>IFERROR(SUBSTITUTE(INDEX($K:$K,MATCH(INDEX($M:$M,MATCH(AO153,$N:$N,0)),$M:$M,0)),$D153,""),"")</f>
        <v/>
      </c>
      <c r="AY153" s="21" t="str">
        <f>IFERROR(SUBSTITUTE(INDEX($K:$K,MATCH(INDEX($M:$M,MATCH(AP153,$N:$N,0)),$M:$M,0)),$D153,""),"")</f>
        <v/>
      </c>
      <c r="AZ153" s="21" t="str">
        <f>IFERROR(SUBSTITUTE(INDEX($K:$K,MATCH(INDEX($M:$M,MATCH(AQ153,$N:$N,0)),$M:$M,0)),$D153,""),"")</f>
        <v/>
      </c>
      <c r="BA153" s="21" t="str">
        <f>IFERROR(SUBSTITUTE(INDEX($K:$K,MATCH(INDEX($M:$M,MATCH(AR153,$N:$N,0)),$M:$M,0)),$D153,""),"")</f>
        <v/>
      </c>
      <c r="BB153" s="21" t="str">
        <f>IFERROR(SUBSTITUTE(INDEX($K:$K,MATCH(INDEX($M:$M,MATCH(AS153,$N:$N,0)),$M:$M,0)),$D153,""),"")</f>
        <v/>
      </c>
      <c r="BC153" s="21" t="str">
        <f>IFERROR(SUBSTITUTE(INDEX($K:$K,MATCH(INDEX($M:$M,MATCH(AT153,$N:$N,0)),$M:$M,0)),$D153,""),"")</f>
        <v/>
      </c>
      <c r="BE153" s="9" t="str">
        <f t="shared" si="35"/>
        <v/>
      </c>
      <c r="BI153" s="9" t="str">
        <f>IFERROR(
IF(COUNTIF($M:$M,$AD153)&lt;BI$8,
"",
INDEX($J:$J,MATCH($AD153,$M:$M,0)+BI$8-1)),
"")</f>
        <v/>
      </c>
      <c r="BJ153" s="9" t="str">
        <f>IFERROR(
IF(COUNTIF($M:$M,$AD153)&lt;BJ$8,
"",
INDEX($J:$J,MATCH($AD153,$M:$M,0)+BJ$8-1)),
"")</f>
        <v/>
      </c>
      <c r="BK153" s="9" t="str">
        <f>IFERROR(
IF(COUNTIF($M:$M,$AD153)&lt;BK$8,
"",
INDEX($J:$J,MATCH($AD153,$M:$M,0)+BK$8-1)),
"")</f>
        <v/>
      </c>
      <c r="BL153" s="9" t="str">
        <f>IFERROR(
IF(COUNTIF($M:$M,$AD153)&lt;BL$8,
"",
INDEX($J:$J,MATCH($AD153,$M:$M,0)+BL$8-1)),
"")</f>
        <v/>
      </c>
      <c r="BN153" s="21" t="str">
        <f>IFERROR(
IF(COUNTIF($BI153:BM153,INDEX($J:$J,MATCH($AE153,$M:$M,0)+BN$8-1))=0,
IF(COUNTIF($M:$M,$AE153)&lt;BN$8,
"",
INDEX($J:$J,MATCH($AE153,$M:$M,0)+BN$8-1)),
""),
"")</f>
        <v/>
      </c>
      <c r="BO153" s="21" t="str">
        <f>IFERROR(
IF(COUNTIF($BI153:BN153,INDEX($J:$J,MATCH($AE153,$M:$M,0)+BO$8-1))=0,
IF(COUNTIF($M:$M,$AE153)&lt;BO$8,
"",
INDEX($J:$J,MATCH($AE153,$M:$M,0)+BO$8-1)),
""),
"")</f>
        <v/>
      </c>
      <c r="BP153" s="21" t="str">
        <f>IFERROR(
IF(COUNTIF($BI153:BO153,INDEX($J:$J,MATCH($AE153,$M:$M,0)+BP$8-1))=0,
IF(COUNTIF($M:$M,$AE153)&lt;BP$8,
"",
INDEX($J:$J,MATCH($AE153,$M:$M,0)+BP$8-1)),
""),
"")</f>
        <v/>
      </c>
      <c r="BQ153" s="21" t="str">
        <f>IFERROR(
IF(COUNTIF($BI153:BP153,INDEX($J:$J,MATCH($AE153,$M:$M,0)+BQ$8-1))=0,
IF(COUNTIF($M:$M,$AE153)&lt;BQ$8,
"",
INDEX($J:$J,MATCH($AE153,$M:$M,0)+BQ$8-1)),
""),
"")</f>
        <v/>
      </c>
      <c r="BS153" s="21" t="str">
        <f>IFERROR(
IF(COUNTIF($BI153:BR153,INDEX($J:$J,MATCH($AF153,$M:$M,0)+BS$8-1))=0,
IF(COUNTIF($M:$M,$AF153)&lt;BS$8,
"",
INDEX($J:$J,MATCH($AF153,$M:$M,0)+BS$8-1)),
""),
"")</f>
        <v/>
      </c>
      <c r="BT153" s="21" t="str">
        <f>IFERROR(
IF(COUNTIF($BI153:BS153,INDEX($J:$J,MATCH($AF153,$M:$M,0)+BT$8-1))=0,
IF(COUNTIF($M:$M,$AF153)&lt;BT$8,
"",
INDEX($J:$J,MATCH($AF153,$M:$M,0)+BT$8-1)),
""),
"")</f>
        <v/>
      </c>
      <c r="BU153" s="21" t="str">
        <f>IFERROR(
IF(COUNTIF($BI153:BT153,INDEX($J:$J,MATCH($AF153,$M:$M,0)+BU$8-1))=0,
IF(COUNTIF($M:$M,$AF153)&lt;BU$8,
"",
INDEX($J:$J,MATCH($AF153,$M:$M,0)+BU$8-1)),
""),
"")</f>
        <v/>
      </c>
      <c r="BV153" s="21" t="str">
        <f>IFERROR(
IF(COUNTIF($BI153:BU153,INDEX($J:$J,MATCH($AF153,$M:$M,0)+BV$8-1))=0,
IF(COUNTIF($M:$M,$AF153)&lt;BV$8,
"",
INDEX($J:$J,MATCH($AF153,$M:$M,0)+BV$8-1)),
""),
"")</f>
        <v/>
      </c>
      <c r="BX153" s="21" t="str">
        <f>IFERROR(
IF(COUNTIF($BI153:BW153,INDEX($J:$J,MATCH($AG153,$M:$M,0)+BX$8-1))=0,
IF(COUNTIF($M:$M,$AG153)&lt;BX$8,
"",
INDEX($J:$J,MATCH($AG153,$M:$M,0)+BX$8-1)),
""),
"")</f>
        <v/>
      </c>
      <c r="BY153" s="21" t="str">
        <f>IFERROR(
IF(COUNTIF($BI153:BX153,INDEX($J:$J,MATCH($AG153,$M:$M,0)+BY$8-1))=0,
IF(COUNTIF($M:$M,$AG153)&lt;BY$8,
"",
INDEX($J:$J,MATCH($AG153,$M:$M,0)+BY$8-1)),
""),
"")</f>
        <v/>
      </c>
      <c r="BZ153" s="21" t="str">
        <f>IFERROR(
IF(COUNTIF($BI153:BY153,INDEX($J:$J,MATCH($AG153,$M:$M,0)+BZ$8-1))=0,
IF(COUNTIF($M:$M,$AG153)&lt;BZ$8,
"",
INDEX($J:$J,MATCH($AG153,$M:$M,0)+BZ$8-1)),
""),
"")</f>
        <v/>
      </c>
      <c r="CA153" s="21" t="str">
        <f>IFERROR(
IF(COUNTIF($BI153:BZ153,INDEX($J:$J,MATCH($AG153,$M:$M,0)+CA$8-1))=0,
IF(COUNTIF($M:$M,$AG153)&lt;CA$8,
"",
INDEX($J:$J,MATCH($AG153,$M:$M,0)+CA$8-1)),
""),
"")</f>
        <v/>
      </c>
      <c r="CC153" s="21" t="str">
        <f>IFERROR(
IF(COUNTIF($BI153:CB153,INDEX($J:$J,MATCH($AH153,$M:$M,0)+CC$8-1))=0,
IF(COUNTIF($M:$M,$AH153)&lt;CC$8,
"",
INDEX($J:$J,MATCH($AH153,$M:$M,0)+CC$8-1)),
""),
"")</f>
        <v/>
      </c>
      <c r="CD153" s="21" t="str">
        <f>IFERROR(
IF(COUNTIF($BI153:CC153,INDEX($J:$J,MATCH($AH153,$M:$M,0)+CD$8-1))=0,
IF(COUNTIF($M:$M,$AH153)&lt;CD$8,
"",
INDEX($J:$J,MATCH($AH153,$M:$M,0)+CD$8-1)),
""),
"")</f>
        <v/>
      </c>
      <c r="CE153" s="21" t="str">
        <f>IFERROR(
IF(COUNTIF($BI153:CD153,INDEX($J:$J,MATCH($AH153,$M:$M,0)+CE$8-1))=0,
IF(COUNTIF($M:$M,$AH153)&lt;CE$8,
"",
INDEX($J:$J,MATCH($AH153,$M:$M,0)+CE$8-1)),
""),
"")</f>
        <v/>
      </c>
      <c r="CF153" s="21" t="str">
        <f>IFERROR(
IF(COUNTIF($BI153:CE153,INDEX($J:$J,MATCH($AH153,$M:$M,0)+CF$8-1))=0,
IF(COUNTIF($M:$M,$AH153)&lt;CF$8,
"",
INDEX($J:$J,MATCH($AH153,$M:$M,0)+CF$8-1)),
""),
"")</f>
        <v/>
      </c>
      <c r="CH153" s="21" t="str">
        <f>IFERROR(
IF(COUNTIF($BI153:CG153,INDEX($J:$J,MATCH($AI153,$M:$M,0)+CH$8-1))=0,
IF(COUNTIF($M:$M,$AI153)&lt;CH$8,
"",
INDEX($J:$J,MATCH($AI153,$M:$M,0)+CH$8-1)),
""),
"")</f>
        <v/>
      </c>
      <c r="CI153" s="21" t="str">
        <f>IFERROR(
IF(COUNTIF($BI153:CH153,INDEX($J:$J,MATCH($AI153,$M:$M,0)+CI$8-1))=0,
IF(COUNTIF($M:$M,$AI153)&lt;CI$8,
"",
INDEX($J:$J,MATCH($AI153,$M:$M,0)+CI$8-1)),
""),
"")</f>
        <v/>
      </c>
      <c r="CJ153" s="21" t="str">
        <f>IFERROR(
IF(COUNTIF($BI153:CI153,INDEX($J:$J,MATCH($AI153,$M:$M,0)+CJ$8-1))=0,
IF(COUNTIF($M:$M,$AI153)&lt;CJ$8,
"",
INDEX($J:$J,MATCH($AI153,$M:$M,0)+CJ$8-1)),
""),
"")</f>
        <v/>
      </c>
      <c r="CK153" s="21" t="str">
        <f>IFERROR(
IF(COUNTIF($BI153:CJ153,INDEX($J:$J,MATCH($AI153,$M:$M,0)+CK$8-1))=0,
IF(COUNTIF($M:$M,$AI153)&lt;CK$8,
"",
INDEX($J:$J,MATCH($AI153,$M:$M,0)+CK$8-1)),
""),
"")</f>
        <v/>
      </c>
      <c r="CM153" s="21" t="str">
        <f>IFERROR(
IF(COUNTIF($BI153:CL153,INDEX($J:$J,MATCH($AJ153,$M:$M,0)+CM$8-1))=0,
IF(COUNTIF($M:$M,$AJ153)&lt;CM$8,
"",
INDEX($J:$J,MATCH($AJ153,$M:$M,0)+CM$8-1)),
""),
"")</f>
        <v/>
      </c>
      <c r="CN153" s="21" t="str">
        <f>IFERROR(
IF(COUNTIF($BI153:CM153,INDEX($J:$J,MATCH($AJ153,$M:$M,0)+CN$8-1))=0,
IF(COUNTIF($M:$M,$AJ153)&lt;CN$8,
"",
INDEX($J:$J,MATCH($AJ153,$M:$M,0)+CN$8-1)),
""),
"")</f>
        <v/>
      </c>
      <c r="CO153" s="21" t="str">
        <f>IFERROR(
IF(COUNTIF($BI153:CN153,INDEX($J:$J,MATCH($AJ153,$M:$M,0)+CO$8-1))=0,
IF(COUNTIF($M:$M,$AJ153)&lt;CO$8,
"",
INDEX($J:$J,MATCH($AJ153,$M:$M,0)+CO$8-1)),
""),
"")</f>
        <v/>
      </c>
      <c r="CP153" s="21" t="str">
        <f>IFERROR(
IF(COUNTIF($BI153:CO153,INDEX($J:$J,MATCH($AJ153,$M:$M,0)+CP$8-1))=0,
IF(COUNTIF($M:$M,$AJ153)&lt;CP$8,
"",
INDEX($J:$J,MATCH($AJ153,$M:$M,0)+CP$8-1)),
""),
"")</f>
        <v/>
      </c>
      <c r="CR153" s="21" t="str">
        <f>IFERROR(
IF(COUNTIF($BI153:CQ153,INDEX($J:$J,MATCH($AK153,$M:$M,0)+CR$8-1))=0,
IF(COUNTIF($M:$M,$AK153)&lt;CR$8,
"",
INDEX($J:$J,MATCH($AK153,$M:$M,0)+CR$8-1)),
""),
"")</f>
        <v/>
      </c>
      <c r="CS153" s="21" t="str">
        <f>IFERROR(
IF(COUNTIF($BI153:CR153,INDEX($J:$J,MATCH($AK153,$M:$M,0)+CS$8-1))=0,
IF(COUNTIF($M:$M,$AK153)&lt;CS$8,
"",
INDEX($J:$J,MATCH($AK153,$M:$M,0)+CS$8-1)),
""),
"")</f>
        <v/>
      </c>
      <c r="CT153" s="21" t="str">
        <f>IFERROR(
IF(COUNTIF($BI153:CS153,INDEX($J:$J,MATCH($AK153,$M:$M,0)+CT$8-1))=0,
IF(COUNTIF($M:$M,$AK153)&lt;CT$8,
"",
INDEX($J:$J,MATCH($AK153,$M:$M,0)+CT$8-1)),
""),
"")</f>
        <v/>
      </c>
      <c r="CU153" s="21" t="str">
        <f>IFERROR(
IF(COUNTIF($BI153:CT153,INDEX($J:$J,MATCH($AK153,$M:$M,0)+CU$8-1))=0,
IF(COUNTIF($M:$M,$AK153)&lt;CU$8,
"",
INDEX($J:$J,MATCH($AK153,$M:$M,0)+CU$8-1)),
""),
"")</f>
        <v/>
      </c>
    </row>
    <row r="154" spans="8:99">
      <c r="H154" s="7" t="str">
        <f>IF(I154="","",COUNTA(I$9:$I154))</f>
        <v/>
      </c>
      <c r="I154" s="6"/>
      <c r="J154" s="6" t="s">
        <v>215</v>
      </c>
      <c r="K154" s="8" t="str">
        <f>IF(H154="","",阶段合并区域(J154:J158," ",L154:L158,1))</f>
        <v/>
      </c>
      <c r="L154" s="8">
        <f>COUNTIF(M$8:$M154,"="&amp;M154)</f>
        <v>2</v>
      </c>
      <c r="M154" s="9" t="str">
        <f t="shared" si="37"/>
        <v>权力之路</v>
      </c>
      <c r="N154" s="9" t="str">
        <f t="shared" si="38"/>
        <v>权力之路2</v>
      </c>
      <c r="O154" s="15">
        <f>INDEX(C:C,MATCH(J154,D:D,0))</f>
        <v>18</v>
      </c>
      <c r="P154" s="9">
        <f>INDEX(E:E,MATCH(J154,D:D,0))</f>
        <v>120</v>
      </c>
      <c r="Q154" s="7">
        <f t="shared" si="34"/>
        <v>18</v>
      </c>
      <c r="R154" s="7">
        <f>COUNTIF(J$8:$J154,"="&amp;J154)</f>
        <v>5</v>
      </c>
      <c r="S154" s="7">
        <f t="shared" si="39"/>
        <v>5018</v>
      </c>
      <c r="U154" s="7">
        <f t="shared" si="36"/>
        <v>1000</v>
      </c>
      <c r="V154" s="7">
        <f t="shared" si="36"/>
        <v>2000</v>
      </c>
      <c r="W154" s="7">
        <f t="shared" si="36"/>
        <v>3000</v>
      </c>
      <c r="X154" s="7">
        <f t="shared" si="36"/>
        <v>4000</v>
      </c>
      <c r="Y154" s="7">
        <f t="shared" si="36"/>
        <v>5000</v>
      </c>
      <c r="Z154" s="7">
        <f t="shared" si="36"/>
        <v>6000</v>
      </c>
      <c r="AA154" s="7">
        <f t="shared" si="36"/>
        <v>7000</v>
      </c>
      <c r="AB154" s="7">
        <f t="shared" si="36"/>
        <v>8000</v>
      </c>
      <c r="AD154" s="21" t="str">
        <f>IFERROR(INDEX($M:$M,MATCH(U154,$S:$S,0)),"&amp;")</f>
        <v>&amp;</v>
      </c>
      <c r="AE154" s="21" t="str">
        <f>IFERROR(INDEX($M:$M,MATCH(V154,$S:$S,0)),"&amp;")</f>
        <v>&amp;</v>
      </c>
      <c r="AF154" s="21" t="str">
        <f>IFERROR(INDEX($M:$M,MATCH(W154,$S:$S,0)),"&amp;")</f>
        <v>&amp;</v>
      </c>
      <c r="AG154" s="21" t="str">
        <f>IFERROR(INDEX($M:$M,MATCH(X154,$S:$S,0)),"&amp;")</f>
        <v>&amp;</v>
      </c>
      <c r="AH154" s="21" t="str">
        <f>IFERROR(INDEX($M:$M,MATCH(Y154,$S:$S,0)),"&amp;")</f>
        <v>&amp;</v>
      </c>
      <c r="AI154" s="21" t="str">
        <f>IFERROR(INDEX($M:$M,MATCH(Z154,$S:$S,0)),"&amp;")</f>
        <v>&amp;</v>
      </c>
      <c r="AJ154" s="21" t="str">
        <f>IFERROR(INDEX($M:$M,MATCH(AA154,$S:$S,0)),"&amp;")</f>
        <v>&amp;</v>
      </c>
      <c r="AK154" s="21" t="str">
        <f>IFERROR(INDEX($M:$M,MATCH(AB154,$S:$S,0)),"&amp;")</f>
        <v>&amp;</v>
      </c>
      <c r="AM154" s="21" t="str">
        <f>IFERROR(INDEX($N:$N,MATCH(U154,$S:$S,0)),"&amp;")</f>
        <v>&amp;</v>
      </c>
      <c r="AN154" s="21" t="str">
        <f>IFERROR(INDEX($N:$N,MATCH(V154,$S:$S,0)),"&amp;")</f>
        <v>&amp;</v>
      </c>
      <c r="AO154" s="21" t="str">
        <f>IFERROR(INDEX($N:$N,MATCH(W154,$S:$S,0)),"&amp;")</f>
        <v>&amp;</v>
      </c>
      <c r="AP154" s="21" t="str">
        <f>IFERROR(INDEX($N:$N,MATCH(X154,$S:$S,0)),"&amp;")</f>
        <v>&amp;</v>
      </c>
      <c r="AQ154" s="21" t="str">
        <f>IFERROR(INDEX($N:$N,MATCH(Y154,$S:$S,0)),"&amp;")</f>
        <v>&amp;</v>
      </c>
      <c r="AR154" s="21" t="str">
        <f>IFERROR(INDEX($N:$N,MATCH(Z154,$S:$S,0)),"&amp;")</f>
        <v>&amp;</v>
      </c>
      <c r="AS154" s="21" t="str">
        <f>IFERROR(INDEX($N:$N,MATCH(AA154,$S:$S,0)),"&amp;")</f>
        <v>&amp;</v>
      </c>
      <c r="AT154" s="21" t="str">
        <f>IFERROR(INDEX($N:$N,MATCH(AB154,$S:$S,0)),"&amp;")</f>
        <v>&amp;</v>
      </c>
      <c r="AV154" s="21" t="str">
        <f>IFERROR(SUBSTITUTE(INDEX($K:$K,MATCH(INDEX($M:$M,MATCH(AM154,$N:$N,0)),$M:$M,0)),$D154,""),"")</f>
        <v/>
      </c>
      <c r="AW154" s="21" t="str">
        <f>IFERROR(SUBSTITUTE(INDEX($K:$K,MATCH(INDEX($M:$M,MATCH(AN154,$N:$N,0)),$M:$M,0)),$D154,""),"")</f>
        <v/>
      </c>
      <c r="AX154" s="21" t="str">
        <f>IFERROR(SUBSTITUTE(INDEX($K:$K,MATCH(INDEX($M:$M,MATCH(AO154,$N:$N,0)),$M:$M,0)),$D154,""),"")</f>
        <v/>
      </c>
      <c r="AY154" s="21" t="str">
        <f>IFERROR(SUBSTITUTE(INDEX($K:$K,MATCH(INDEX($M:$M,MATCH(AP154,$N:$N,0)),$M:$M,0)),$D154,""),"")</f>
        <v/>
      </c>
      <c r="AZ154" s="21" t="str">
        <f>IFERROR(SUBSTITUTE(INDEX($K:$K,MATCH(INDEX($M:$M,MATCH(AQ154,$N:$N,0)),$M:$M,0)),$D154,""),"")</f>
        <v/>
      </c>
      <c r="BA154" s="21" t="str">
        <f>IFERROR(SUBSTITUTE(INDEX($K:$K,MATCH(INDEX($M:$M,MATCH(AR154,$N:$N,0)),$M:$M,0)),$D154,""),"")</f>
        <v/>
      </c>
      <c r="BB154" s="21" t="str">
        <f>IFERROR(SUBSTITUTE(INDEX($K:$K,MATCH(INDEX($M:$M,MATCH(AS154,$N:$N,0)),$M:$M,0)),$D154,""),"")</f>
        <v/>
      </c>
      <c r="BC154" s="21" t="str">
        <f>IFERROR(SUBSTITUTE(INDEX($K:$K,MATCH(INDEX($M:$M,MATCH(AT154,$N:$N,0)),$M:$M,0)),$D154,""),"")</f>
        <v/>
      </c>
      <c r="BE154" s="9" t="str">
        <f t="shared" si="35"/>
        <v/>
      </c>
      <c r="BI154" s="9" t="str">
        <f>IFERROR(
IF(COUNTIF($M:$M,$AD154)&lt;BI$8,
"",
INDEX($J:$J,MATCH($AD154,$M:$M,0)+BI$8-1)),
"")</f>
        <v/>
      </c>
      <c r="BJ154" s="9" t="str">
        <f>IFERROR(
IF(COUNTIF($M:$M,$AD154)&lt;BJ$8,
"",
INDEX($J:$J,MATCH($AD154,$M:$M,0)+BJ$8-1)),
"")</f>
        <v/>
      </c>
      <c r="BK154" s="9" t="str">
        <f>IFERROR(
IF(COUNTIF($M:$M,$AD154)&lt;BK$8,
"",
INDEX($J:$J,MATCH($AD154,$M:$M,0)+BK$8-1)),
"")</f>
        <v/>
      </c>
      <c r="BL154" s="9" t="str">
        <f>IFERROR(
IF(COUNTIF($M:$M,$AD154)&lt;BL$8,
"",
INDEX($J:$J,MATCH($AD154,$M:$M,0)+BL$8-1)),
"")</f>
        <v/>
      </c>
      <c r="BN154" s="21" t="str">
        <f>IFERROR(
IF(COUNTIF($BI154:BM154,INDEX($J:$J,MATCH($AE154,$M:$M,0)+BN$8-1))=0,
IF(COUNTIF($M:$M,$AE154)&lt;BN$8,
"",
INDEX($J:$J,MATCH($AE154,$M:$M,0)+BN$8-1)),
""),
"")</f>
        <v/>
      </c>
      <c r="BO154" s="21" t="str">
        <f>IFERROR(
IF(COUNTIF($BI154:BN154,INDEX($J:$J,MATCH($AE154,$M:$M,0)+BO$8-1))=0,
IF(COUNTIF($M:$M,$AE154)&lt;BO$8,
"",
INDEX($J:$J,MATCH($AE154,$M:$M,0)+BO$8-1)),
""),
"")</f>
        <v/>
      </c>
      <c r="BP154" s="21" t="str">
        <f>IFERROR(
IF(COUNTIF($BI154:BO154,INDEX($J:$J,MATCH($AE154,$M:$M,0)+BP$8-1))=0,
IF(COUNTIF($M:$M,$AE154)&lt;BP$8,
"",
INDEX($J:$J,MATCH($AE154,$M:$M,0)+BP$8-1)),
""),
"")</f>
        <v/>
      </c>
      <c r="BQ154" s="21" t="str">
        <f>IFERROR(
IF(COUNTIF($BI154:BP154,INDEX($J:$J,MATCH($AE154,$M:$M,0)+BQ$8-1))=0,
IF(COUNTIF($M:$M,$AE154)&lt;BQ$8,
"",
INDEX($J:$J,MATCH($AE154,$M:$M,0)+BQ$8-1)),
""),
"")</f>
        <v/>
      </c>
      <c r="BS154" s="21" t="str">
        <f>IFERROR(
IF(COUNTIF($BI154:BR154,INDEX($J:$J,MATCH($AF154,$M:$M,0)+BS$8-1))=0,
IF(COUNTIF($M:$M,$AF154)&lt;BS$8,
"",
INDEX($J:$J,MATCH($AF154,$M:$M,0)+BS$8-1)),
""),
"")</f>
        <v/>
      </c>
      <c r="BT154" s="21" t="str">
        <f>IFERROR(
IF(COUNTIF($BI154:BS154,INDEX($J:$J,MATCH($AF154,$M:$M,0)+BT$8-1))=0,
IF(COUNTIF($M:$M,$AF154)&lt;BT$8,
"",
INDEX($J:$J,MATCH($AF154,$M:$M,0)+BT$8-1)),
""),
"")</f>
        <v/>
      </c>
      <c r="BU154" s="21" t="str">
        <f>IFERROR(
IF(COUNTIF($BI154:BT154,INDEX($J:$J,MATCH($AF154,$M:$M,0)+BU$8-1))=0,
IF(COUNTIF($M:$M,$AF154)&lt;BU$8,
"",
INDEX($J:$J,MATCH($AF154,$M:$M,0)+BU$8-1)),
""),
"")</f>
        <v/>
      </c>
      <c r="BV154" s="21" t="str">
        <f>IFERROR(
IF(COUNTIF($BI154:BU154,INDEX($J:$J,MATCH($AF154,$M:$M,0)+BV$8-1))=0,
IF(COUNTIF($M:$M,$AF154)&lt;BV$8,
"",
INDEX($J:$J,MATCH($AF154,$M:$M,0)+BV$8-1)),
""),
"")</f>
        <v/>
      </c>
      <c r="BX154" s="21" t="str">
        <f>IFERROR(
IF(COUNTIF($BI154:BW154,INDEX($J:$J,MATCH($AG154,$M:$M,0)+BX$8-1))=0,
IF(COUNTIF($M:$M,$AG154)&lt;BX$8,
"",
INDEX($J:$J,MATCH($AG154,$M:$M,0)+BX$8-1)),
""),
"")</f>
        <v/>
      </c>
      <c r="BY154" s="21" t="str">
        <f>IFERROR(
IF(COUNTIF($BI154:BX154,INDEX($J:$J,MATCH($AG154,$M:$M,0)+BY$8-1))=0,
IF(COUNTIF($M:$M,$AG154)&lt;BY$8,
"",
INDEX($J:$J,MATCH($AG154,$M:$M,0)+BY$8-1)),
""),
"")</f>
        <v/>
      </c>
      <c r="BZ154" s="21" t="str">
        <f>IFERROR(
IF(COUNTIF($BI154:BY154,INDEX($J:$J,MATCH($AG154,$M:$M,0)+BZ$8-1))=0,
IF(COUNTIF($M:$M,$AG154)&lt;BZ$8,
"",
INDEX($J:$J,MATCH($AG154,$M:$M,0)+BZ$8-1)),
""),
"")</f>
        <v/>
      </c>
      <c r="CA154" s="21" t="str">
        <f>IFERROR(
IF(COUNTIF($BI154:BZ154,INDEX($J:$J,MATCH($AG154,$M:$M,0)+CA$8-1))=0,
IF(COUNTIF($M:$M,$AG154)&lt;CA$8,
"",
INDEX($J:$J,MATCH($AG154,$M:$M,0)+CA$8-1)),
""),
"")</f>
        <v/>
      </c>
      <c r="CC154" s="21" t="str">
        <f>IFERROR(
IF(COUNTIF($BI154:CB154,INDEX($J:$J,MATCH($AH154,$M:$M,0)+CC$8-1))=0,
IF(COUNTIF($M:$M,$AH154)&lt;CC$8,
"",
INDEX($J:$J,MATCH($AH154,$M:$M,0)+CC$8-1)),
""),
"")</f>
        <v/>
      </c>
      <c r="CD154" s="21" t="str">
        <f>IFERROR(
IF(COUNTIF($BI154:CC154,INDEX($J:$J,MATCH($AH154,$M:$M,0)+CD$8-1))=0,
IF(COUNTIF($M:$M,$AH154)&lt;CD$8,
"",
INDEX($J:$J,MATCH($AH154,$M:$M,0)+CD$8-1)),
""),
"")</f>
        <v/>
      </c>
      <c r="CE154" s="21" t="str">
        <f>IFERROR(
IF(COUNTIF($BI154:CD154,INDEX($J:$J,MATCH($AH154,$M:$M,0)+CE$8-1))=0,
IF(COUNTIF($M:$M,$AH154)&lt;CE$8,
"",
INDEX($J:$J,MATCH($AH154,$M:$M,0)+CE$8-1)),
""),
"")</f>
        <v/>
      </c>
      <c r="CF154" s="21" t="str">
        <f>IFERROR(
IF(COUNTIF($BI154:CE154,INDEX($J:$J,MATCH($AH154,$M:$M,0)+CF$8-1))=0,
IF(COUNTIF($M:$M,$AH154)&lt;CF$8,
"",
INDEX($J:$J,MATCH($AH154,$M:$M,0)+CF$8-1)),
""),
"")</f>
        <v/>
      </c>
      <c r="CH154" s="21" t="str">
        <f>IFERROR(
IF(COUNTIF($BI154:CG154,INDEX($J:$J,MATCH($AI154,$M:$M,0)+CH$8-1))=0,
IF(COUNTIF($M:$M,$AI154)&lt;CH$8,
"",
INDEX($J:$J,MATCH($AI154,$M:$M,0)+CH$8-1)),
""),
"")</f>
        <v/>
      </c>
      <c r="CI154" s="21" t="str">
        <f>IFERROR(
IF(COUNTIF($BI154:CH154,INDEX($J:$J,MATCH($AI154,$M:$M,0)+CI$8-1))=0,
IF(COUNTIF($M:$M,$AI154)&lt;CI$8,
"",
INDEX($J:$J,MATCH($AI154,$M:$M,0)+CI$8-1)),
""),
"")</f>
        <v/>
      </c>
      <c r="CJ154" s="21" t="str">
        <f>IFERROR(
IF(COUNTIF($BI154:CI154,INDEX($J:$J,MATCH($AI154,$M:$M,0)+CJ$8-1))=0,
IF(COUNTIF($M:$M,$AI154)&lt;CJ$8,
"",
INDEX($J:$J,MATCH($AI154,$M:$M,0)+CJ$8-1)),
""),
"")</f>
        <v/>
      </c>
      <c r="CK154" s="21" t="str">
        <f>IFERROR(
IF(COUNTIF($BI154:CJ154,INDEX($J:$J,MATCH($AI154,$M:$M,0)+CK$8-1))=0,
IF(COUNTIF($M:$M,$AI154)&lt;CK$8,
"",
INDEX($J:$J,MATCH($AI154,$M:$M,0)+CK$8-1)),
""),
"")</f>
        <v/>
      </c>
      <c r="CM154" s="21" t="str">
        <f>IFERROR(
IF(COUNTIF($BI154:CL154,INDEX($J:$J,MATCH($AJ154,$M:$M,0)+CM$8-1))=0,
IF(COUNTIF($M:$M,$AJ154)&lt;CM$8,
"",
INDEX($J:$J,MATCH($AJ154,$M:$M,0)+CM$8-1)),
""),
"")</f>
        <v/>
      </c>
      <c r="CN154" s="21" t="str">
        <f>IFERROR(
IF(COUNTIF($BI154:CM154,INDEX($J:$J,MATCH($AJ154,$M:$M,0)+CN$8-1))=0,
IF(COUNTIF($M:$M,$AJ154)&lt;CN$8,
"",
INDEX($J:$J,MATCH($AJ154,$M:$M,0)+CN$8-1)),
""),
"")</f>
        <v/>
      </c>
      <c r="CO154" s="21" t="str">
        <f>IFERROR(
IF(COUNTIF($BI154:CN154,INDEX($J:$J,MATCH($AJ154,$M:$M,0)+CO$8-1))=0,
IF(COUNTIF($M:$M,$AJ154)&lt;CO$8,
"",
INDEX($J:$J,MATCH($AJ154,$M:$M,0)+CO$8-1)),
""),
"")</f>
        <v/>
      </c>
      <c r="CP154" s="21" t="str">
        <f>IFERROR(
IF(COUNTIF($BI154:CO154,INDEX($J:$J,MATCH($AJ154,$M:$M,0)+CP$8-1))=0,
IF(COUNTIF($M:$M,$AJ154)&lt;CP$8,
"",
INDEX($J:$J,MATCH($AJ154,$M:$M,0)+CP$8-1)),
""),
"")</f>
        <v/>
      </c>
      <c r="CR154" s="21" t="str">
        <f>IFERROR(
IF(COUNTIF($BI154:CQ154,INDEX($J:$J,MATCH($AK154,$M:$M,0)+CR$8-1))=0,
IF(COUNTIF($M:$M,$AK154)&lt;CR$8,
"",
INDEX($J:$J,MATCH($AK154,$M:$M,0)+CR$8-1)),
""),
"")</f>
        <v/>
      </c>
      <c r="CS154" s="21" t="str">
        <f>IFERROR(
IF(COUNTIF($BI154:CR154,INDEX($J:$J,MATCH($AK154,$M:$M,0)+CS$8-1))=0,
IF(COUNTIF($M:$M,$AK154)&lt;CS$8,
"",
INDEX($J:$J,MATCH($AK154,$M:$M,0)+CS$8-1)),
""),
"")</f>
        <v/>
      </c>
      <c r="CT154" s="21" t="str">
        <f>IFERROR(
IF(COUNTIF($BI154:CS154,INDEX($J:$J,MATCH($AK154,$M:$M,0)+CT$8-1))=0,
IF(COUNTIF($M:$M,$AK154)&lt;CT$8,
"",
INDEX($J:$J,MATCH($AK154,$M:$M,0)+CT$8-1)),
""),
"")</f>
        <v/>
      </c>
      <c r="CU154" s="21" t="str">
        <f>IFERROR(
IF(COUNTIF($BI154:CT154,INDEX($J:$J,MATCH($AK154,$M:$M,0)+CU$8-1))=0,
IF(COUNTIF($M:$M,$AK154)&lt;CU$8,
"",
INDEX($J:$J,MATCH($AK154,$M:$M,0)+CU$8-1)),
""),
"")</f>
        <v/>
      </c>
    </row>
    <row r="155" spans="8:99">
      <c r="H155" s="7" t="str">
        <f>IF(I155="","",COUNTA(I$9:$I155))</f>
        <v/>
      </c>
      <c r="I155" s="6"/>
      <c r="J155" s="6" t="s">
        <v>275</v>
      </c>
      <c r="K155" s="8" t="str">
        <f>IF(H155="","",阶段合并区域(J155:J158," ",L155:L158,1))</f>
        <v/>
      </c>
      <c r="L155" s="8">
        <f>COUNTIF(M$8:$M155,"="&amp;M155)</f>
        <v>3</v>
      </c>
      <c r="M155" s="9" t="str">
        <f t="shared" si="37"/>
        <v>权力之路</v>
      </c>
      <c r="N155" s="9" t="str">
        <f t="shared" si="38"/>
        <v>权力之路3</v>
      </c>
      <c r="O155" s="15">
        <f>INDEX(C:C,MATCH(J155,D:D,0))</f>
        <v>52</v>
      </c>
      <c r="P155" s="9">
        <f>INDEX(E:E,MATCH(J155,D:D,0))</f>
        <v>120</v>
      </c>
      <c r="Q155" s="7">
        <f t="shared" si="34"/>
        <v>52</v>
      </c>
      <c r="R155" s="7">
        <f>COUNTIF(J$8:$J155,"="&amp;J155)</f>
        <v>7</v>
      </c>
      <c r="S155" s="7">
        <f t="shared" si="39"/>
        <v>7052</v>
      </c>
      <c r="U155" s="7">
        <f t="shared" si="36"/>
        <v>1000</v>
      </c>
      <c r="V155" s="7">
        <f t="shared" si="36"/>
        <v>2000</v>
      </c>
      <c r="W155" s="7">
        <f t="shared" si="36"/>
        <v>3000</v>
      </c>
      <c r="X155" s="7">
        <f t="shared" si="36"/>
        <v>4000</v>
      </c>
      <c r="Y155" s="7">
        <f t="shared" si="36"/>
        <v>5000</v>
      </c>
      <c r="Z155" s="7">
        <f t="shared" si="36"/>
        <v>6000</v>
      </c>
      <c r="AA155" s="7">
        <f t="shared" si="36"/>
        <v>7000</v>
      </c>
      <c r="AB155" s="7">
        <f t="shared" si="36"/>
        <v>8000</v>
      </c>
      <c r="AD155" s="21" t="str">
        <f>IFERROR(INDEX($M:$M,MATCH(U155,$S:$S,0)),"&amp;")</f>
        <v>&amp;</v>
      </c>
      <c r="AE155" s="21" t="str">
        <f>IFERROR(INDEX($M:$M,MATCH(V155,$S:$S,0)),"&amp;")</f>
        <v>&amp;</v>
      </c>
      <c r="AF155" s="21" t="str">
        <f>IFERROR(INDEX($M:$M,MATCH(W155,$S:$S,0)),"&amp;")</f>
        <v>&amp;</v>
      </c>
      <c r="AG155" s="21" t="str">
        <f>IFERROR(INDEX($M:$M,MATCH(X155,$S:$S,0)),"&amp;")</f>
        <v>&amp;</v>
      </c>
      <c r="AH155" s="21" t="str">
        <f>IFERROR(INDEX($M:$M,MATCH(Y155,$S:$S,0)),"&amp;")</f>
        <v>&amp;</v>
      </c>
      <c r="AI155" s="21" t="str">
        <f>IFERROR(INDEX($M:$M,MATCH(Z155,$S:$S,0)),"&amp;")</f>
        <v>&amp;</v>
      </c>
      <c r="AJ155" s="21" t="str">
        <f>IFERROR(INDEX($M:$M,MATCH(AA155,$S:$S,0)),"&amp;")</f>
        <v>&amp;</v>
      </c>
      <c r="AK155" s="21" t="str">
        <f>IFERROR(INDEX($M:$M,MATCH(AB155,$S:$S,0)),"&amp;")</f>
        <v>&amp;</v>
      </c>
      <c r="AM155" s="21" t="str">
        <f>IFERROR(INDEX($N:$N,MATCH(U155,$S:$S,0)),"&amp;")</f>
        <v>&amp;</v>
      </c>
      <c r="AN155" s="21" t="str">
        <f>IFERROR(INDEX($N:$N,MATCH(V155,$S:$S,0)),"&amp;")</f>
        <v>&amp;</v>
      </c>
      <c r="AO155" s="21" t="str">
        <f>IFERROR(INDEX($N:$N,MATCH(W155,$S:$S,0)),"&amp;")</f>
        <v>&amp;</v>
      </c>
      <c r="AP155" s="21" t="str">
        <f>IFERROR(INDEX($N:$N,MATCH(X155,$S:$S,0)),"&amp;")</f>
        <v>&amp;</v>
      </c>
      <c r="AQ155" s="21" t="str">
        <f>IFERROR(INDEX($N:$N,MATCH(Y155,$S:$S,0)),"&amp;")</f>
        <v>&amp;</v>
      </c>
      <c r="AR155" s="21" t="str">
        <f>IFERROR(INDEX($N:$N,MATCH(Z155,$S:$S,0)),"&amp;")</f>
        <v>&amp;</v>
      </c>
      <c r="AS155" s="21" t="str">
        <f>IFERROR(INDEX($N:$N,MATCH(AA155,$S:$S,0)),"&amp;")</f>
        <v>&amp;</v>
      </c>
      <c r="AT155" s="21" t="str">
        <f>IFERROR(INDEX($N:$N,MATCH(AB155,$S:$S,0)),"&amp;")</f>
        <v>&amp;</v>
      </c>
      <c r="AV155" s="21" t="str">
        <f>IFERROR(SUBSTITUTE(INDEX($K:$K,MATCH(INDEX($M:$M,MATCH(AM155,$N:$N,0)),$M:$M,0)),$D155,""),"")</f>
        <v/>
      </c>
      <c r="AW155" s="21" t="str">
        <f>IFERROR(SUBSTITUTE(INDEX($K:$K,MATCH(INDEX($M:$M,MATCH(AN155,$N:$N,0)),$M:$M,0)),$D155,""),"")</f>
        <v/>
      </c>
      <c r="AX155" s="21" t="str">
        <f>IFERROR(SUBSTITUTE(INDEX($K:$K,MATCH(INDEX($M:$M,MATCH(AO155,$N:$N,0)),$M:$M,0)),$D155,""),"")</f>
        <v/>
      </c>
      <c r="AY155" s="21" t="str">
        <f>IFERROR(SUBSTITUTE(INDEX($K:$K,MATCH(INDEX($M:$M,MATCH(AP155,$N:$N,0)),$M:$M,0)),$D155,""),"")</f>
        <v/>
      </c>
      <c r="AZ155" s="21" t="str">
        <f>IFERROR(SUBSTITUTE(INDEX($K:$K,MATCH(INDEX($M:$M,MATCH(AQ155,$N:$N,0)),$M:$M,0)),$D155,""),"")</f>
        <v/>
      </c>
      <c r="BA155" s="21" t="str">
        <f>IFERROR(SUBSTITUTE(INDEX($K:$K,MATCH(INDEX($M:$M,MATCH(AR155,$N:$N,0)),$M:$M,0)),$D155,""),"")</f>
        <v/>
      </c>
      <c r="BB155" s="21" t="str">
        <f>IFERROR(SUBSTITUTE(INDEX($K:$K,MATCH(INDEX($M:$M,MATCH(AS155,$N:$N,0)),$M:$M,0)),$D155,""),"")</f>
        <v/>
      </c>
      <c r="BC155" s="21" t="str">
        <f>IFERROR(SUBSTITUTE(INDEX($K:$K,MATCH(INDEX($M:$M,MATCH(AT155,$N:$N,0)),$M:$M,0)),$D155,""),"")</f>
        <v/>
      </c>
      <c r="BE155" s="9" t="str">
        <f t="shared" si="35"/>
        <v/>
      </c>
      <c r="BI155" s="9" t="str">
        <f>IFERROR(
IF(COUNTIF($M:$M,$AD155)&lt;BI$8,
"",
INDEX($J:$J,MATCH($AD155,$M:$M,0)+BI$8-1)),
"")</f>
        <v/>
      </c>
      <c r="BJ155" s="9" t="str">
        <f>IFERROR(
IF(COUNTIF($M:$M,$AD155)&lt;BJ$8,
"",
INDEX($J:$J,MATCH($AD155,$M:$M,0)+BJ$8-1)),
"")</f>
        <v/>
      </c>
      <c r="BK155" s="9" t="str">
        <f>IFERROR(
IF(COUNTIF($M:$M,$AD155)&lt;BK$8,
"",
INDEX($J:$J,MATCH($AD155,$M:$M,0)+BK$8-1)),
"")</f>
        <v/>
      </c>
      <c r="BL155" s="9" t="str">
        <f>IFERROR(
IF(COUNTIF($M:$M,$AD155)&lt;BL$8,
"",
INDEX($J:$J,MATCH($AD155,$M:$M,0)+BL$8-1)),
"")</f>
        <v/>
      </c>
      <c r="BN155" s="21" t="str">
        <f>IFERROR(
IF(COUNTIF($BI155:BM155,INDEX($J:$J,MATCH($AE155,$M:$M,0)+BN$8-1))=0,
IF(COUNTIF($M:$M,$AE155)&lt;BN$8,
"",
INDEX($J:$J,MATCH($AE155,$M:$M,0)+BN$8-1)),
""),
"")</f>
        <v/>
      </c>
      <c r="BO155" s="21" t="str">
        <f>IFERROR(
IF(COUNTIF($BI155:BN155,INDEX($J:$J,MATCH($AE155,$M:$M,0)+BO$8-1))=0,
IF(COUNTIF($M:$M,$AE155)&lt;BO$8,
"",
INDEX($J:$J,MATCH($AE155,$M:$M,0)+BO$8-1)),
""),
"")</f>
        <v/>
      </c>
      <c r="BP155" s="21" t="str">
        <f>IFERROR(
IF(COUNTIF($BI155:BO155,INDEX($J:$J,MATCH($AE155,$M:$M,0)+BP$8-1))=0,
IF(COUNTIF($M:$M,$AE155)&lt;BP$8,
"",
INDEX($J:$J,MATCH($AE155,$M:$M,0)+BP$8-1)),
""),
"")</f>
        <v/>
      </c>
      <c r="BQ155" s="21" t="str">
        <f>IFERROR(
IF(COUNTIF($BI155:BP155,INDEX($J:$J,MATCH($AE155,$M:$M,0)+BQ$8-1))=0,
IF(COUNTIF($M:$M,$AE155)&lt;BQ$8,
"",
INDEX($J:$J,MATCH($AE155,$M:$M,0)+BQ$8-1)),
""),
"")</f>
        <v/>
      </c>
      <c r="BS155" s="21" t="str">
        <f>IFERROR(
IF(COUNTIF($BI155:BR155,INDEX($J:$J,MATCH($AF155,$M:$M,0)+BS$8-1))=0,
IF(COUNTIF($M:$M,$AF155)&lt;BS$8,
"",
INDEX($J:$J,MATCH($AF155,$M:$M,0)+BS$8-1)),
""),
"")</f>
        <v/>
      </c>
      <c r="BT155" s="21" t="str">
        <f>IFERROR(
IF(COUNTIF($BI155:BS155,INDEX($J:$J,MATCH($AF155,$M:$M,0)+BT$8-1))=0,
IF(COUNTIF($M:$M,$AF155)&lt;BT$8,
"",
INDEX($J:$J,MATCH($AF155,$M:$M,0)+BT$8-1)),
""),
"")</f>
        <v/>
      </c>
      <c r="BU155" s="21" t="str">
        <f>IFERROR(
IF(COUNTIF($BI155:BT155,INDEX($J:$J,MATCH($AF155,$M:$M,0)+BU$8-1))=0,
IF(COUNTIF($M:$M,$AF155)&lt;BU$8,
"",
INDEX($J:$J,MATCH($AF155,$M:$M,0)+BU$8-1)),
""),
"")</f>
        <v/>
      </c>
      <c r="BV155" s="21" t="str">
        <f>IFERROR(
IF(COUNTIF($BI155:BU155,INDEX($J:$J,MATCH($AF155,$M:$M,0)+BV$8-1))=0,
IF(COUNTIF($M:$M,$AF155)&lt;BV$8,
"",
INDEX($J:$J,MATCH($AF155,$M:$M,0)+BV$8-1)),
""),
"")</f>
        <v/>
      </c>
      <c r="BX155" s="21" t="str">
        <f>IFERROR(
IF(COUNTIF($BI155:BW155,INDEX($J:$J,MATCH($AG155,$M:$M,0)+BX$8-1))=0,
IF(COUNTIF($M:$M,$AG155)&lt;BX$8,
"",
INDEX($J:$J,MATCH($AG155,$M:$M,0)+BX$8-1)),
""),
"")</f>
        <v/>
      </c>
      <c r="BY155" s="21" t="str">
        <f>IFERROR(
IF(COUNTIF($BI155:BX155,INDEX($J:$J,MATCH($AG155,$M:$M,0)+BY$8-1))=0,
IF(COUNTIF($M:$M,$AG155)&lt;BY$8,
"",
INDEX($J:$J,MATCH($AG155,$M:$M,0)+BY$8-1)),
""),
"")</f>
        <v/>
      </c>
      <c r="BZ155" s="21" t="str">
        <f>IFERROR(
IF(COUNTIF($BI155:BY155,INDEX($J:$J,MATCH($AG155,$M:$M,0)+BZ$8-1))=0,
IF(COUNTIF($M:$M,$AG155)&lt;BZ$8,
"",
INDEX($J:$J,MATCH($AG155,$M:$M,0)+BZ$8-1)),
""),
"")</f>
        <v/>
      </c>
      <c r="CA155" s="21" t="str">
        <f>IFERROR(
IF(COUNTIF($BI155:BZ155,INDEX($J:$J,MATCH($AG155,$M:$M,0)+CA$8-1))=0,
IF(COUNTIF($M:$M,$AG155)&lt;CA$8,
"",
INDEX($J:$J,MATCH($AG155,$M:$M,0)+CA$8-1)),
""),
"")</f>
        <v/>
      </c>
      <c r="CC155" s="21" t="str">
        <f>IFERROR(
IF(COUNTIF($BI155:CB155,INDEX($J:$J,MATCH($AH155,$M:$M,0)+CC$8-1))=0,
IF(COUNTIF($M:$M,$AH155)&lt;CC$8,
"",
INDEX($J:$J,MATCH($AH155,$M:$M,0)+CC$8-1)),
""),
"")</f>
        <v/>
      </c>
      <c r="CD155" s="21" t="str">
        <f>IFERROR(
IF(COUNTIF($BI155:CC155,INDEX($J:$J,MATCH($AH155,$M:$M,0)+CD$8-1))=0,
IF(COUNTIF($M:$M,$AH155)&lt;CD$8,
"",
INDEX($J:$J,MATCH($AH155,$M:$M,0)+CD$8-1)),
""),
"")</f>
        <v/>
      </c>
      <c r="CE155" s="21" t="str">
        <f>IFERROR(
IF(COUNTIF($BI155:CD155,INDEX($J:$J,MATCH($AH155,$M:$M,0)+CE$8-1))=0,
IF(COUNTIF($M:$M,$AH155)&lt;CE$8,
"",
INDEX($J:$J,MATCH($AH155,$M:$M,0)+CE$8-1)),
""),
"")</f>
        <v/>
      </c>
      <c r="CF155" s="21" t="str">
        <f>IFERROR(
IF(COUNTIF($BI155:CE155,INDEX($J:$J,MATCH($AH155,$M:$M,0)+CF$8-1))=0,
IF(COUNTIF($M:$M,$AH155)&lt;CF$8,
"",
INDEX($J:$J,MATCH($AH155,$M:$M,0)+CF$8-1)),
""),
"")</f>
        <v/>
      </c>
      <c r="CH155" s="21" t="str">
        <f>IFERROR(
IF(COUNTIF($BI155:CG155,INDEX($J:$J,MATCH($AI155,$M:$M,0)+CH$8-1))=0,
IF(COUNTIF($M:$M,$AI155)&lt;CH$8,
"",
INDEX($J:$J,MATCH($AI155,$M:$M,0)+CH$8-1)),
""),
"")</f>
        <v/>
      </c>
      <c r="CI155" s="21" t="str">
        <f>IFERROR(
IF(COUNTIF($BI155:CH155,INDEX($J:$J,MATCH($AI155,$M:$M,0)+CI$8-1))=0,
IF(COUNTIF($M:$M,$AI155)&lt;CI$8,
"",
INDEX($J:$J,MATCH($AI155,$M:$M,0)+CI$8-1)),
""),
"")</f>
        <v/>
      </c>
      <c r="CJ155" s="21" t="str">
        <f>IFERROR(
IF(COUNTIF($BI155:CI155,INDEX($J:$J,MATCH($AI155,$M:$M,0)+CJ$8-1))=0,
IF(COUNTIF($M:$M,$AI155)&lt;CJ$8,
"",
INDEX($J:$J,MATCH($AI155,$M:$M,0)+CJ$8-1)),
""),
"")</f>
        <v/>
      </c>
      <c r="CK155" s="21" t="str">
        <f>IFERROR(
IF(COUNTIF($BI155:CJ155,INDEX($J:$J,MATCH($AI155,$M:$M,0)+CK$8-1))=0,
IF(COUNTIF($M:$M,$AI155)&lt;CK$8,
"",
INDEX($J:$J,MATCH($AI155,$M:$M,0)+CK$8-1)),
""),
"")</f>
        <v/>
      </c>
      <c r="CM155" s="21" t="str">
        <f>IFERROR(
IF(COUNTIF($BI155:CL155,INDEX($J:$J,MATCH($AJ155,$M:$M,0)+CM$8-1))=0,
IF(COUNTIF($M:$M,$AJ155)&lt;CM$8,
"",
INDEX($J:$J,MATCH($AJ155,$M:$M,0)+CM$8-1)),
""),
"")</f>
        <v/>
      </c>
      <c r="CN155" s="21" t="str">
        <f>IFERROR(
IF(COUNTIF($BI155:CM155,INDEX($J:$J,MATCH($AJ155,$M:$M,0)+CN$8-1))=0,
IF(COUNTIF($M:$M,$AJ155)&lt;CN$8,
"",
INDEX($J:$J,MATCH($AJ155,$M:$M,0)+CN$8-1)),
""),
"")</f>
        <v/>
      </c>
      <c r="CO155" s="21" t="str">
        <f>IFERROR(
IF(COUNTIF($BI155:CN155,INDEX($J:$J,MATCH($AJ155,$M:$M,0)+CO$8-1))=0,
IF(COUNTIF($M:$M,$AJ155)&lt;CO$8,
"",
INDEX($J:$J,MATCH($AJ155,$M:$M,0)+CO$8-1)),
""),
"")</f>
        <v/>
      </c>
      <c r="CP155" s="21" t="str">
        <f>IFERROR(
IF(COUNTIF($BI155:CO155,INDEX($J:$J,MATCH($AJ155,$M:$M,0)+CP$8-1))=0,
IF(COUNTIF($M:$M,$AJ155)&lt;CP$8,
"",
INDEX($J:$J,MATCH($AJ155,$M:$M,0)+CP$8-1)),
""),
"")</f>
        <v/>
      </c>
      <c r="CR155" s="21" t="str">
        <f>IFERROR(
IF(COUNTIF($BI155:CQ155,INDEX($J:$J,MATCH($AK155,$M:$M,0)+CR$8-1))=0,
IF(COUNTIF($M:$M,$AK155)&lt;CR$8,
"",
INDEX($J:$J,MATCH($AK155,$M:$M,0)+CR$8-1)),
""),
"")</f>
        <v/>
      </c>
      <c r="CS155" s="21" t="str">
        <f>IFERROR(
IF(COUNTIF($BI155:CR155,INDEX($J:$J,MATCH($AK155,$M:$M,0)+CS$8-1))=0,
IF(COUNTIF($M:$M,$AK155)&lt;CS$8,
"",
INDEX($J:$J,MATCH($AK155,$M:$M,0)+CS$8-1)),
""),
"")</f>
        <v/>
      </c>
      <c r="CT155" s="21" t="str">
        <f>IFERROR(
IF(COUNTIF($BI155:CS155,INDEX($J:$J,MATCH($AK155,$M:$M,0)+CT$8-1))=0,
IF(COUNTIF($M:$M,$AK155)&lt;CT$8,
"",
INDEX($J:$J,MATCH($AK155,$M:$M,0)+CT$8-1)),
""),
"")</f>
        <v/>
      </c>
      <c r="CU155" s="21" t="str">
        <f>IFERROR(
IF(COUNTIF($BI155:CT155,INDEX($J:$J,MATCH($AK155,$M:$M,0)+CU$8-1))=0,
IF(COUNTIF($M:$M,$AK155)&lt;CU$8,
"",
INDEX($J:$J,MATCH($AK155,$M:$M,0)+CU$8-1)),
""),
"")</f>
        <v/>
      </c>
    </row>
    <row r="156" spans="8:99">
      <c r="H156" s="7" t="str">
        <f>IF(I156="","",COUNTA(I$9:$I156))</f>
        <v/>
      </c>
      <c r="I156" s="6"/>
      <c r="J156" s="6" t="s">
        <v>276</v>
      </c>
      <c r="K156" s="8" t="str">
        <f>IF(H156="","",阶段合并区域(J156:J158," ",L156:L158,1))</f>
        <v/>
      </c>
      <c r="L156" s="8">
        <f>COUNTIF(M$8:$M156,"="&amp;M156)</f>
        <v>4</v>
      </c>
      <c r="M156" s="9" t="str">
        <f t="shared" si="37"/>
        <v>权力之路</v>
      </c>
      <c r="N156" s="9" t="str">
        <f t="shared" si="38"/>
        <v>权力之路4</v>
      </c>
      <c r="O156" s="15">
        <f>INDEX(C:C,MATCH(J156,D:D,0))</f>
        <v>36</v>
      </c>
      <c r="P156" s="9">
        <f>INDEX(E:E,MATCH(J156,D:D,0))</f>
        <v>120</v>
      </c>
      <c r="Q156" s="7">
        <f t="shared" si="34"/>
        <v>36</v>
      </c>
      <c r="R156" s="7">
        <f>COUNTIF(J$8:$J156,"="&amp;J156)</f>
        <v>6</v>
      </c>
      <c r="S156" s="7">
        <f t="shared" si="39"/>
        <v>6036</v>
      </c>
      <c r="U156" s="7">
        <f t="shared" si="36"/>
        <v>1000</v>
      </c>
      <c r="V156" s="7">
        <f t="shared" si="36"/>
        <v>2000</v>
      </c>
      <c r="W156" s="7">
        <f t="shared" si="36"/>
        <v>3000</v>
      </c>
      <c r="X156" s="7">
        <f t="shared" si="36"/>
        <v>4000</v>
      </c>
      <c r="Y156" s="7">
        <f t="shared" si="36"/>
        <v>5000</v>
      </c>
      <c r="Z156" s="7">
        <f t="shared" si="36"/>
        <v>6000</v>
      </c>
      <c r="AA156" s="7">
        <f t="shared" si="36"/>
        <v>7000</v>
      </c>
      <c r="AB156" s="7">
        <f t="shared" si="36"/>
        <v>8000</v>
      </c>
      <c r="AD156" s="21" t="str">
        <f>IFERROR(INDEX($M:$M,MATCH(U156,$S:$S,0)),"&amp;")</f>
        <v>&amp;</v>
      </c>
      <c r="AE156" s="21" t="str">
        <f>IFERROR(INDEX($M:$M,MATCH(V156,$S:$S,0)),"&amp;")</f>
        <v>&amp;</v>
      </c>
      <c r="AF156" s="21" t="str">
        <f>IFERROR(INDEX($M:$M,MATCH(W156,$S:$S,0)),"&amp;")</f>
        <v>&amp;</v>
      </c>
      <c r="AG156" s="21" t="str">
        <f>IFERROR(INDEX($M:$M,MATCH(X156,$S:$S,0)),"&amp;")</f>
        <v>&amp;</v>
      </c>
      <c r="AH156" s="21" t="str">
        <f>IFERROR(INDEX($M:$M,MATCH(Y156,$S:$S,0)),"&amp;")</f>
        <v>&amp;</v>
      </c>
      <c r="AI156" s="21" t="str">
        <f>IFERROR(INDEX($M:$M,MATCH(Z156,$S:$S,0)),"&amp;")</f>
        <v>&amp;</v>
      </c>
      <c r="AJ156" s="21" t="str">
        <f>IFERROR(INDEX($M:$M,MATCH(AA156,$S:$S,0)),"&amp;")</f>
        <v>&amp;</v>
      </c>
      <c r="AK156" s="21" t="str">
        <f>IFERROR(INDEX($M:$M,MATCH(AB156,$S:$S,0)),"&amp;")</f>
        <v>&amp;</v>
      </c>
      <c r="AM156" s="21" t="str">
        <f>IFERROR(INDEX($N:$N,MATCH(U156,$S:$S,0)),"&amp;")</f>
        <v>&amp;</v>
      </c>
      <c r="AN156" s="21" t="str">
        <f>IFERROR(INDEX($N:$N,MATCH(V156,$S:$S,0)),"&amp;")</f>
        <v>&amp;</v>
      </c>
      <c r="AO156" s="21" t="str">
        <f>IFERROR(INDEX($N:$N,MATCH(W156,$S:$S,0)),"&amp;")</f>
        <v>&amp;</v>
      </c>
      <c r="AP156" s="21" t="str">
        <f>IFERROR(INDEX($N:$N,MATCH(X156,$S:$S,0)),"&amp;")</f>
        <v>&amp;</v>
      </c>
      <c r="AQ156" s="21" t="str">
        <f>IFERROR(INDEX($N:$N,MATCH(Y156,$S:$S,0)),"&amp;")</f>
        <v>&amp;</v>
      </c>
      <c r="AR156" s="21" t="str">
        <f>IFERROR(INDEX($N:$N,MATCH(Z156,$S:$S,0)),"&amp;")</f>
        <v>&amp;</v>
      </c>
      <c r="AS156" s="21" t="str">
        <f>IFERROR(INDEX($N:$N,MATCH(AA156,$S:$S,0)),"&amp;")</f>
        <v>&amp;</v>
      </c>
      <c r="AT156" s="21" t="str">
        <f>IFERROR(INDEX($N:$N,MATCH(AB156,$S:$S,0)),"&amp;")</f>
        <v>&amp;</v>
      </c>
      <c r="AV156" s="21" t="str">
        <f>IFERROR(SUBSTITUTE(INDEX($K:$K,MATCH(INDEX($M:$M,MATCH(AM156,$N:$N,0)),$M:$M,0)),$D156,""),"")</f>
        <v/>
      </c>
      <c r="AW156" s="21" t="str">
        <f>IFERROR(SUBSTITUTE(INDEX($K:$K,MATCH(INDEX($M:$M,MATCH(AN156,$N:$N,0)),$M:$M,0)),$D156,""),"")</f>
        <v/>
      </c>
      <c r="AX156" s="21" t="str">
        <f>IFERROR(SUBSTITUTE(INDEX($K:$K,MATCH(INDEX($M:$M,MATCH(AO156,$N:$N,0)),$M:$M,0)),$D156,""),"")</f>
        <v/>
      </c>
      <c r="AY156" s="21" t="str">
        <f>IFERROR(SUBSTITUTE(INDEX($K:$K,MATCH(INDEX($M:$M,MATCH(AP156,$N:$N,0)),$M:$M,0)),$D156,""),"")</f>
        <v/>
      </c>
      <c r="AZ156" s="21" t="str">
        <f>IFERROR(SUBSTITUTE(INDEX($K:$K,MATCH(INDEX($M:$M,MATCH(AQ156,$N:$N,0)),$M:$M,0)),$D156,""),"")</f>
        <v/>
      </c>
      <c r="BA156" s="21" t="str">
        <f>IFERROR(SUBSTITUTE(INDEX($K:$K,MATCH(INDEX($M:$M,MATCH(AR156,$N:$N,0)),$M:$M,0)),$D156,""),"")</f>
        <v/>
      </c>
      <c r="BB156" s="21" t="str">
        <f>IFERROR(SUBSTITUTE(INDEX($K:$K,MATCH(INDEX($M:$M,MATCH(AS156,$N:$N,0)),$M:$M,0)),$D156,""),"")</f>
        <v/>
      </c>
      <c r="BC156" s="21" t="str">
        <f>IFERROR(SUBSTITUTE(INDEX($K:$K,MATCH(INDEX($M:$M,MATCH(AT156,$N:$N,0)),$M:$M,0)),$D156,""),"")</f>
        <v/>
      </c>
      <c r="BE156" s="9" t="str">
        <f t="shared" si="35"/>
        <v/>
      </c>
      <c r="BI156" s="9" t="str">
        <f>IFERROR(
IF(COUNTIF($M:$M,$AD156)&lt;BI$8,
"",
INDEX($J:$J,MATCH($AD156,$M:$M,0)+BI$8-1)),
"")</f>
        <v/>
      </c>
      <c r="BJ156" s="9" t="str">
        <f>IFERROR(
IF(COUNTIF($M:$M,$AD156)&lt;BJ$8,
"",
INDEX($J:$J,MATCH($AD156,$M:$M,0)+BJ$8-1)),
"")</f>
        <v/>
      </c>
      <c r="BK156" s="9" t="str">
        <f>IFERROR(
IF(COUNTIF($M:$M,$AD156)&lt;BK$8,
"",
INDEX($J:$J,MATCH($AD156,$M:$M,0)+BK$8-1)),
"")</f>
        <v/>
      </c>
      <c r="BL156" s="9" t="str">
        <f>IFERROR(
IF(COUNTIF($M:$M,$AD156)&lt;BL$8,
"",
INDEX($J:$J,MATCH($AD156,$M:$M,0)+BL$8-1)),
"")</f>
        <v/>
      </c>
      <c r="BN156" s="21" t="str">
        <f>IFERROR(
IF(COUNTIF($BI156:BM156,INDEX($J:$J,MATCH($AE156,$M:$M,0)+BN$8-1))=0,
IF(COUNTIF($M:$M,$AE156)&lt;BN$8,
"",
INDEX($J:$J,MATCH($AE156,$M:$M,0)+BN$8-1)),
""),
"")</f>
        <v/>
      </c>
      <c r="BO156" s="21" t="str">
        <f>IFERROR(
IF(COUNTIF($BI156:BN156,INDEX($J:$J,MATCH($AE156,$M:$M,0)+BO$8-1))=0,
IF(COUNTIF($M:$M,$AE156)&lt;BO$8,
"",
INDEX($J:$J,MATCH($AE156,$M:$M,0)+BO$8-1)),
""),
"")</f>
        <v/>
      </c>
      <c r="BP156" s="21" t="str">
        <f>IFERROR(
IF(COUNTIF($BI156:BO156,INDEX($J:$J,MATCH($AE156,$M:$M,0)+BP$8-1))=0,
IF(COUNTIF($M:$M,$AE156)&lt;BP$8,
"",
INDEX($J:$J,MATCH($AE156,$M:$M,0)+BP$8-1)),
""),
"")</f>
        <v/>
      </c>
      <c r="BQ156" s="21" t="str">
        <f>IFERROR(
IF(COUNTIF($BI156:BP156,INDEX($J:$J,MATCH($AE156,$M:$M,0)+BQ$8-1))=0,
IF(COUNTIF($M:$M,$AE156)&lt;BQ$8,
"",
INDEX($J:$J,MATCH($AE156,$M:$M,0)+BQ$8-1)),
""),
"")</f>
        <v/>
      </c>
      <c r="BS156" s="21" t="str">
        <f>IFERROR(
IF(COUNTIF($BI156:BR156,INDEX($J:$J,MATCH($AF156,$M:$M,0)+BS$8-1))=0,
IF(COUNTIF($M:$M,$AF156)&lt;BS$8,
"",
INDEX($J:$J,MATCH($AF156,$M:$M,0)+BS$8-1)),
""),
"")</f>
        <v/>
      </c>
      <c r="BT156" s="21" t="str">
        <f>IFERROR(
IF(COUNTIF($BI156:BS156,INDEX($J:$J,MATCH($AF156,$M:$M,0)+BT$8-1))=0,
IF(COUNTIF($M:$M,$AF156)&lt;BT$8,
"",
INDEX($J:$J,MATCH($AF156,$M:$M,0)+BT$8-1)),
""),
"")</f>
        <v/>
      </c>
      <c r="BU156" s="21" t="str">
        <f>IFERROR(
IF(COUNTIF($BI156:BT156,INDEX($J:$J,MATCH($AF156,$M:$M,0)+BU$8-1))=0,
IF(COUNTIF($M:$M,$AF156)&lt;BU$8,
"",
INDEX($J:$J,MATCH($AF156,$M:$M,0)+BU$8-1)),
""),
"")</f>
        <v/>
      </c>
      <c r="BV156" s="21" t="str">
        <f>IFERROR(
IF(COUNTIF($BI156:BU156,INDEX($J:$J,MATCH($AF156,$M:$M,0)+BV$8-1))=0,
IF(COUNTIF($M:$M,$AF156)&lt;BV$8,
"",
INDEX($J:$J,MATCH($AF156,$M:$M,0)+BV$8-1)),
""),
"")</f>
        <v/>
      </c>
      <c r="BX156" s="21" t="str">
        <f>IFERROR(
IF(COUNTIF($BI156:BW156,INDEX($J:$J,MATCH($AG156,$M:$M,0)+BX$8-1))=0,
IF(COUNTIF($M:$M,$AG156)&lt;BX$8,
"",
INDEX($J:$J,MATCH($AG156,$M:$M,0)+BX$8-1)),
""),
"")</f>
        <v/>
      </c>
      <c r="BY156" s="21" t="str">
        <f>IFERROR(
IF(COUNTIF($BI156:BX156,INDEX($J:$J,MATCH($AG156,$M:$M,0)+BY$8-1))=0,
IF(COUNTIF($M:$M,$AG156)&lt;BY$8,
"",
INDEX($J:$J,MATCH($AG156,$M:$M,0)+BY$8-1)),
""),
"")</f>
        <v/>
      </c>
      <c r="BZ156" s="21" t="str">
        <f>IFERROR(
IF(COUNTIF($BI156:BY156,INDEX($J:$J,MATCH($AG156,$M:$M,0)+BZ$8-1))=0,
IF(COUNTIF($M:$M,$AG156)&lt;BZ$8,
"",
INDEX($J:$J,MATCH($AG156,$M:$M,0)+BZ$8-1)),
""),
"")</f>
        <v/>
      </c>
      <c r="CA156" s="21" t="str">
        <f>IFERROR(
IF(COUNTIF($BI156:BZ156,INDEX($J:$J,MATCH($AG156,$M:$M,0)+CA$8-1))=0,
IF(COUNTIF($M:$M,$AG156)&lt;CA$8,
"",
INDEX($J:$J,MATCH($AG156,$M:$M,0)+CA$8-1)),
""),
"")</f>
        <v/>
      </c>
      <c r="CC156" s="21" t="str">
        <f>IFERROR(
IF(COUNTIF($BI156:CB156,INDEX($J:$J,MATCH($AH156,$M:$M,0)+CC$8-1))=0,
IF(COUNTIF($M:$M,$AH156)&lt;CC$8,
"",
INDEX($J:$J,MATCH($AH156,$M:$M,0)+CC$8-1)),
""),
"")</f>
        <v/>
      </c>
      <c r="CD156" s="21" t="str">
        <f>IFERROR(
IF(COUNTIF($BI156:CC156,INDEX($J:$J,MATCH($AH156,$M:$M,0)+CD$8-1))=0,
IF(COUNTIF($M:$M,$AH156)&lt;CD$8,
"",
INDEX($J:$J,MATCH($AH156,$M:$M,0)+CD$8-1)),
""),
"")</f>
        <v/>
      </c>
      <c r="CE156" s="21" t="str">
        <f>IFERROR(
IF(COUNTIF($BI156:CD156,INDEX($J:$J,MATCH($AH156,$M:$M,0)+CE$8-1))=0,
IF(COUNTIF($M:$M,$AH156)&lt;CE$8,
"",
INDEX($J:$J,MATCH($AH156,$M:$M,0)+CE$8-1)),
""),
"")</f>
        <v/>
      </c>
      <c r="CF156" s="21" t="str">
        <f>IFERROR(
IF(COUNTIF($BI156:CE156,INDEX($J:$J,MATCH($AH156,$M:$M,0)+CF$8-1))=0,
IF(COUNTIF($M:$M,$AH156)&lt;CF$8,
"",
INDEX($J:$J,MATCH($AH156,$M:$M,0)+CF$8-1)),
""),
"")</f>
        <v/>
      </c>
      <c r="CH156" s="21" t="str">
        <f>IFERROR(
IF(COUNTIF($BI156:CG156,INDEX($J:$J,MATCH($AI156,$M:$M,0)+CH$8-1))=0,
IF(COUNTIF($M:$M,$AI156)&lt;CH$8,
"",
INDEX($J:$J,MATCH($AI156,$M:$M,0)+CH$8-1)),
""),
"")</f>
        <v/>
      </c>
      <c r="CI156" s="21" t="str">
        <f>IFERROR(
IF(COUNTIF($BI156:CH156,INDEX($J:$J,MATCH($AI156,$M:$M,0)+CI$8-1))=0,
IF(COUNTIF($M:$M,$AI156)&lt;CI$8,
"",
INDEX($J:$J,MATCH($AI156,$M:$M,0)+CI$8-1)),
""),
"")</f>
        <v/>
      </c>
      <c r="CJ156" s="21" t="str">
        <f>IFERROR(
IF(COUNTIF($BI156:CI156,INDEX($J:$J,MATCH($AI156,$M:$M,0)+CJ$8-1))=0,
IF(COUNTIF($M:$M,$AI156)&lt;CJ$8,
"",
INDEX($J:$J,MATCH($AI156,$M:$M,0)+CJ$8-1)),
""),
"")</f>
        <v/>
      </c>
      <c r="CK156" s="21" t="str">
        <f>IFERROR(
IF(COUNTIF($BI156:CJ156,INDEX($J:$J,MATCH($AI156,$M:$M,0)+CK$8-1))=0,
IF(COUNTIF($M:$M,$AI156)&lt;CK$8,
"",
INDEX($J:$J,MATCH($AI156,$M:$M,0)+CK$8-1)),
""),
"")</f>
        <v/>
      </c>
      <c r="CM156" s="21" t="str">
        <f>IFERROR(
IF(COUNTIF($BI156:CL156,INDEX($J:$J,MATCH($AJ156,$M:$M,0)+CM$8-1))=0,
IF(COUNTIF($M:$M,$AJ156)&lt;CM$8,
"",
INDEX($J:$J,MATCH($AJ156,$M:$M,0)+CM$8-1)),
""),
"")</f>
        <v/>
      </c>
      <c r="CN156" s="21" t="str">
        <f>IFERROR(
IF(COUNTIF($BI156:CM156,INDEX($J:$J,MATCH($AJ156,$M:$M,0)+CN$8-1))=0,
IF(COUNTIF($M:$M,$AJ156)&lt;CN$8,
"",
INDEX($J:$J,MATCH($AJ156,$M:$M,0)+CN$8-1)),
""),
"")</f>
        <v/>
      </c>
      <c r="CO156" s="21" t="str">
        <f>IFERROR(
IF(COUNTIF($BI156:CN156,INDEX($J:$J,MATCH($AJ156,$M:$M,0)+CO$8-1))=0,
IF(COUNTIF($M:$M,$AJ156)&lt;CO$8,
"",
INDEX($J:$J,MATCH($AJ156,$M:$M,0)+CO$8-1)),
""),
"")</f>
        <v/>
      </c>
      <c r="CP156" s="21" t="str">
        <f>IFERROR(
IF(COUNTIF($BI156:CO156,INDEX($J:$J,MATCH($AJ156,$M:$M,0)+CP$8-1))=0,
IF(COUNTIF($M:$M,$AJ156)&lt;CP$8,
"",
INDEX($J:$J,MATCH($AJ156,$M:$M,0)+CP$8-1)),
""),
"")</f>
        <v/>
      </c>
      <c r="CR156" s="21" t="str">
        <f>IFERROR(
IF(COUNTIF($BI156:CQ156,INDEX($J:$J,MATCH($AK156,$M:$M,0)+CR$8-1))=0,
IF(COUNTIF($M:$M,$AK156)&lt;CR$8,
"",
INDEX($J:$J,MATCH($AK156,$M:$M,0)+CR$8-1)),
""),
"")</f>
        <v/>
      </c>
      <c r="CS156" s="21" t="str">
        <f>IFERROR(
IF(COUNTIF($BI156:CR156,INDEX($J:$J,MATCH($AK156,$M:$M,0)+CS$8-1))=0,
IF(COUNTIF($M:$M,$AK156)&lt;CS$8,
"",
INDEX($J:$J,MATCH($AK156,$M:$M,0)+CS$8-1)),
""),
"")</f>
        <v/>
      </c>
      <c r="CT156" s="21" t="str">
        <f>IFERROR(
IF(COUNTIF($BI156:CS156,INDEX($J:$J,MATCH($AK156,$M:$M,0)+CT$8-1))=0,
IF(COUNTIF($M:$M,$AK156)&lt;CT$8,
"",
INDEX($J:$J,MATCH($AK156,$M:$M,0)+CT$8-1)),
""),
"")</f>
        <v/>
      </c>
      <c r="CU156" s="21" t="str">
        <f>IFERROR(
IF(COUNTIF($BI156:CT156,INDEX($J:$J,MATCH($AK156,$M:$M,0)+CU$8-1))=0,
IF(COUNTIF($M:$M,$AK156)&lt;CU$8,
"",
INDEX($J:$J,MATCH($AK156,$M:$M,0)+CU$8-1)),
""),
"")</f>
        <v/>
      </c>
    </row>
    <row r="157" spans="8:99">
      <c r="H157" s="7">
        <f>IF(I157="","",COUNTA(I$9:$I157))</f>
        <v>109</v>
      </c>
      <c r="I157" s="6" t="s">
        <v>273</v>
      </c>
      <c r="J157" s="6" t="s">
        <v>278</v>
      </c>
      <c r="K157" s="8" t="str">
        <f>IF(H157="","",阶段合并区域(J157:J161," ",L157:L161,1))</f>
        <v>典藏吕不韦 屈原 田单 项燕</v>
      </c>
      <c r="L157" s="8">
        <f>COUNTIF(M$8:$M157,"="&amp;M157)</f>
        <v>1</v>
      </c>
      <c r="M157" s="9" t="str">
        <f t="shared" si="37"/>
        <v>功高震主</v>
      </c>
      <c r="N157" s="9" t="str">
        <f t="shared" si="38"/>
        <v>功高震主1</v>
      </c>
      <c r="O157" s="15">
        <f>INDEX(C:C,MATCH(J157,D:D,0))</f>
        <v>72</v>
      </c>
      <c r="P157" s="9">
        <f>INDEX(E:E,MATCH(J157,D:D,0))</f>
        <v>130</v>
      </c>
      <c r="Q157" s="7">
        <f t="shared" si="34"/>
        <v>72</v>
      </c>
      <c r="R157" s="7">
        <f>COUNTIF(J$8:$J157,"="&amp;J157)</f>
        <v>2</v>
      </c>
      <c r="S157" s="7">
        <f t="shared" si="39"/>
        <v>2072</v>
      </c>
      <c r="U157" s="7">
        <f t="shared" si="36"/>
        <v>1000</v>
      </c>
      <c r="V157" s="7">
        <f t="shared" si="36"/>
        <v>2000</v>
      </c>
      <c r="W157" s="7">
        <f t="shared" si="36"/>
        <v>3000</v>
      </c>
      <c r="X157" s="7">
        <f t="shared" si="36"/>
        <v>4000</v>
      </c>
      <c r="Y157" s="7">
        <f t="shared" si="36"/>
        <v>5000</v>
      </c>
      <c r="Z157" s="7">
        <f t="shared" si="36"/>
        <v>6000</v>
      </c>
      <c r="AA157" s="7">
        <f t="shared" si="36"/>
        <v>7000</v>
      </c>
      <c r="AB157" s="7">
        <f t="shared" si="36"/>
        <v>8000</v>
      </c>
      <c r="AD157" s="21" t="str">
        <f>IFERROR(INDEX($M:$M,MATCH(U157,$S:$S,0)),"&amp;")</f>
        <v>&amp;</v>
      </c>
      <c r="AE157" s="21" t="str">
        <f>IFERROR(INDEX($M:$M,MATCH(V157,$S:$S,0)),"&amp;")</f>
        <v>&amp;</v>
      </c>
      <c r="AF157" s="21" t="str">
        <f>IFERROR(INDEX($M:$M,MATCH(W157,$S:$S,0)),"&amp;")</f>
        <v>&amp;</v>
      </c>
      <c r="AG157" s="21" t="str">
        <f>IFERROR(INDEX($M:$M,MATCH(X157,$S:$S,0)),"&amp;")</f>
        <v>&amp;</v>
      </c>
      <c r="AH157" s="21" t="str">
        <f>IFERROR(INDEX($M:$M,MATCH(Y157,$S:$S,0)),"&amp;")</f>
        <v>&amp;</v>
      </c>
      <c r="AI157" s="21" t="str">
        <f>IFERROR(INDEX($M:$M,MATCH(Z157,$S:$S,0)),"&amp;")</f>
        <v>&amp;</v>
      </c>
      <c r="AJ157" s="21" t="str">
        <f>IFERROR(INDEX($M:$M,MATCH(AA157,$S:$S,0)),"&amp;")</f>
        <v>&amp;</v>
      </c>
      <c r="AK157" s="21" t="str">
        <f>IFERROR(INDEX($M:$M,MATCH(AB157,$S:$S,0)),"&amp;")</f>
        <v>&amp;</v>
      </c>
      <c r="AM157" s="21" t="str">
        <f>IFERROR(INDEX($N:$N,MATCH(U157,$S:$S,0)),"&amp;")</f>
        <v>&amp;</v>
      </c>
      <c r="AN157" s="21" t="str">
        <f>IFERROR(INDEX($N:$N,MATCH(V157,$S:$S,0)),"&amp;")</f>
        <v>&amp;</v>
      </c>
      <c r="AO157" s="21" t="str">
        <f>IFERROR(INDEX($N:$N,MATCH(W157,$S:$S,0)),"&amp;")</f>
        <v>&amp;</v>
      </c>
      <c r="AP157" s="21" t="str">
        <f>IFERROR(INDEX($N:$N,MATCH(X157,$S:$S,0)),"&amp;")</f>
        <v>&amp;</v>
      </c>
      <c r="AQ157" s="21" t="str">
        <f>IFERROR(INDEX($N:$N,MATCH(Y157,$S:$S,0)),"&amp;")</f>
        <v>&amp;</v>
      </c>
      <c r="AR157" s="21" t="str">
        <f>IFERROR(INDEX($N:$N,MATCH(Z157,$S:$S,0)),"&amp;")</f>
        <v>&amp;</v>
      </c>
      <c r="AS157" s="21" t="str">
        <f>IFERROR(INDEX($N:$N,MATCH(AA157,$S:$S,0)),"&amp;")</f>
        <v>&amp;</v>
      </c>
      <c r="AT157" s="21" t="str">
        <f>IFERROR(INDEX($N:$N,MATCH(AB157,$S:$S,0)),"&amp;")</f>
        <v>&amp;</v>
      </c>
      <c r="AV157" s="21" t="str">
        <f>IFERROR(SUBSTITUTE(INDEX($K:$K,MATCH(INDEX($M:$M,MATCH(AM157,$N:$N,0)),$M:$M,0)),$D157,""),"")</f>
        <v/>
      </c>
      <c r="AW157" s="21" t="str">
        <f>IFERROR(SUBSTITUTE(INDEX($K:$K,MATCH(INDEX($M:$M,MATCH(AN157,$N:$N,0)),$M:$M,0)),$D157,""),"")</f>
        <v/>
      </c>
      <c r="AX157" s="21" t="str">
        <f>IFERROR(SUBSTITUTE(INDEX($K:$K,MATCH(INDEX($M:$M,MATCH(AO157,$N:$N,0)),$M:$M,0)),$D157,""),"")</f>
        <v/>
      </c>
      <c r="AY157" s="21" t="str">
        <f>IFERROR(SUBSTITUTE(INDEX($K:$K,MATCH(INDEX($M:$M,MATCH(AP157,$N:$N,0)),$M:$M,0)),$D157,""),"")</f>
        <v/>
      </c>
      <c r="AZ157" s="21" t="str">
        <f>IFERROR(SUBSTITUTE(INDEX($K:$K,MATCH(INDEX($M:$M,MATCH(AQ157,$N:$N,0)),$M:$M,0)),$D157,""),"")</f>
        <v/>
      </c>
      <c r="BA157" s="21" t="str">
        <f>IFERROR(SUBSTITUTE(INDEX($K:$K,MATCH(INDEX($M:$M,MATCH(AR157,$N:$N,0)),$M:$M,0)),$D157,""),"")</f>
        <v/>
      </c>
      <c r="BB157" s="21" t="str">
        <f>IFERROR(SUBSTITUTE(INDEX($K:$K,MATCH(INDEX($M:$M,MATCH(AS157,$N:$N,0)),$M:$M,0)),$D157,""),"")</f>
        <v/>
      </c>
      <c r="BC157" s="21" t="str">
        <f>IFERROR(SUBSTITUTE(INDEX($K:$K,MATCH(INDEX($M:$M,MATCH(AT157,$N:$N,0)),$M:$M,0)),$D157,""),"")</f>
        <v/>
      </c>
      <c r="BE157" s="9" t="str">
        <f t="shared" si="35"/>
        <v/>
      </c>
      <c r="BI157" s="9" t="str">
        <f>IFERROR(
IF(COUNTIF($M:$M,$AD157)&lt;BI$8,
"",
INDEX($J:$J,MATCH($AD157,$M:$M,0)+BI$8-1)),
"")</f>
        <v/>
      </c>
      <c r="BJ157" s="9" t="str">
        <f>IFERROR(
IF(COUNTIF($M:$M,$AD157)&lt;BJ$8,
"",
INDEX($J:$J,MATCH($AD157,$M:$M,0)+BJ$8-1)),
"")</f>
        <v/>
      </c>
      <c r="BK157" s="9" t="str">
        <f>IFERROR(
IF(COUNTIF($M:$M,$AD157)&lt;BK$8,
"",
INDEX($J:$J,MATCH($AD157,$M:$M,0)+BK$8-1)),
"")</f>
        <v/>
      </c>
      <c r="BL157" s="9" t="str">
        <f>IFERROR(
IF(COUNTIF($M:$M,$AD157)&lt;BL$8,
"",
INDEX($J:$J,MATCH($AD157,$M:$M,0)+BL$8-1)),
"")</f>
        <v/>
      </c>
      <c r="BN157" s="21" t="str">
        <f>IFERROR(
IF(COUNTIF($BI157:BM157,INDEX($J:$J,MATCH($AE157,$M:$M,0)+BN$8-1))=0,
IF(COUNTIF($M:$M,$AE157)&lt;BN$8,
"",
INDEX($J:$J,MATCH($AE157,$M:$M,0)+BN$8-1)),
""),
"")</f>
        <v/>
      </c>
      <c r="BO157" s="21" t="str">
        <f>IFERROR(
IF(COUNTIF($BI157:BN157,INDEX($J:$J,MATCH($AE157,$M:$M,0)+BO$8-1))=0,
IF(COUNTIF($M:$M,$AE157)&lt;BO$8,
"",
INDEX($J:$J,MATCH($AE157,$M:$M,0)+BO$8-1)),
""),
"")</f>
        <v/>
      </c>
      <c r="BP157" s="21" t="str">
        <f>IFERROR(
IF(COUNTIF($BI157:BO157,INDEX($J:$J,MATCH($AE157,$M:$M,0)+BP$8-1))=0,
IF(COUNTIF($M:$M,$AE157)&lt;BP$8,
"",
INDEX($J:$J,MATCH($AE157,$M:$M,0)+BP$8-1)),
""),
"")</f>
        <v/>
      </c>
      <c r="BQ157" s="21" t="str">
        <f>IFERROR(
IF(COUNTIF($BI157:BP157,INDEX($J:$J,MATCH($AE157,$M:$M,0)+BQ$8-1))=0,
IF(COUNTIF($M:$M,$AE157)&lt;BQ$8,
"",
INDEX($J:$J,MATCH($AE157,$M:$M,0)+BQ$8-1)),
""),
"")</f>
        <v/>
      </c>
      <c r="BS157" s="21" t="str">
        <f>IFERROR(
IF(COUNTIF($BI157:BR157,INDEX($J:$J,MATCH($AF157,$M:$M,0)+BS$8-1))=0,
IF(COUNTIF($M:$M,$AF157)&lt;BS$8,
"",
INDEX($J:$J,MATCH($AF157,$M:$M,0)+BS$8-1)),
""),
"")</f>
        <v/>
      </c>
      <c r="BT157" s="21" t="str">
        <f>IFERROR(
IF(COUNTIF($BI157:BS157,INDEX($J:$J,MATCH($AF157,$M:$M,0)+BT$8-1))=0,
IF(COUNTIF($M:$M,$AF157)&lt;BT$8,
"",
INDEX($J:$J,MATCH($AF157,$M:$M,0)+BT$8-1)),
""),
"")</f>
        <v/>
      </c>
      <c r="BU157" s="21" t="str">
        <f>IFERROR(
IF(COUNTIF($BI157:BT157,INDEX($J:$J,MATCH($AF157,$M:$M,0)+BU$8-1))=0,
IF(COUNTIF($M:$M,$AF157)&lt;BU$8,
"",
INDEX($J:$J,MATCH($AF157,$M:$M,0)+BU$8-1)),
""),
"")</f>
        <v/>
      </c>
      <c r="BV157" s="21" t="str">
        <f>IFERROR(
IF(COUNTIF($BI157:BU157,INDEX($J:$J,MATCH($AF157,$M:$M,0)+BV$8-1))=0,
IF(COUNTIF($M:$M,$AF157)&lt;BV$8,
"",
INDEX($J:$J,MATCH($AF157,$M:$M,0)+BV$8-1)),
""),
"")</f>
        <v/>
      </c>
      <c r="BX157" s="21" t="str">
        <f>IFERROR(
IF(COUNTIF($BI157:BW157,INDEX($J:$J,MATCH($AG157,$M:$M,0)+BX$8-1))=0,
IF(COUNTIF($M:$M,$AG157)&lt;BX$8,
"",
INDEX($J:$J,MATCH($AG157,$M:$M,0)+BX$8-1)),
""),
"")</f>
        <v/>
      </c>
      <c r="BY157" s="21" t="str">
        <f>IFERROR(
IF(COUNTIF($BI157:BX157,INDEX($J:$J,MATCH($AG157,$M:$M,0)+BY$8-1))=0,
IF(COUNTIF($M:$M,$AG157)&lt;BY$8,
"",
INDEX($J:$J,MATCH($AG157,$M:$M,0)+BY$8-1)),
""),
"")</f>
        <v/>
      </c>
      <c r="BZ157" s="21" t="str">
        <f>IFERROR(
IF(COUNTIF($BI157:BY157,INDEX($J:$J,MATCH($AG157,$M:$M,0)+BZ$8-1))=0,
IF(COUNTIF($M:$M,$AG157)&lt;BZ$8,
"",
INDEX($J:$J,MATCH($AG157,$M:$M,0)+BZ$8-1)),
""),
"")</f>
        <v/>
      </c>
      <c r="CA157" s="21" t="str">
        <f>IFERROR(
IF(COUNTIF($BI157:BZ157,INDEX($J:$J,MATCH($AG157,$M:$M,0)+CA$8-1))=0,
IF(COUNTIF($M:$M,$AG157)&lt;CA$8,
"",
INDEX($J:$J,MATCH($AG157,$M:$M,0)+CA$8-1)),
""),
"")</f>
        <v/>
      </c>
      <c r="CC157" s="21" t="str">
        <f>IFERROR(
IF(COUNTIF($BI157:CB157,INDEX($J:$J,MATCH($AH157,$M:$M,0)+CC$8-1))=0,
IF(COUNTIF($M:$M,$AH157)&lt;CC$8,
"",
INDEX($J:$J,MATCH($AH157,$M:$M,0)+CC$8-1)),
""),
"")</f>
        <v/>
      </c>
      <c r="CD157" s="21" t="str">
        <f>IFERROR(
IF(COUNTIF($BI157:CC157,INDEX($J:$J,MATCH($AH157,$M:$M,0)+CD$8-1))=0,
IF(COUNTIF($M:$M,$AH157)&lt;CD$8,
"",
INDEX($J:$J,MATCH($AH157,$M:$M,0)+CD$8-1)),
""),
"")</f>
        <v/>
      </c>
      <c r="CE157" s="21" t="str">
        <f>IFERROR(
IF(COUNTIF($BI157:CD157,INDEX($J:$J,MATCH($AH157,$M:$M,0)+CE$8-1))=0,
IF(COUNTIF($M:$M,$AH157)&lt;CE$8,
"",
INDEX($J:$J,MATCH($AH157,$M:$M,0)+CE$8-1)),
""),
"")</f>
        <v/>
      </c>
      <c r="CF157" s="21" t="str">
        <f>IFERROR(
IF(COUNTIF($BI157:CE157,INDEX($J:$J,MATCH($AH157,$M:$M,0)+CF$8-1))=0,
IF(COUNTIF($M:$M,$AH157)&lt;CF$8,
"",
INDEX($J:$J,MATCH($AH157,$M:$M,0)+CF$8-1)),
""),
"")</f>
        <v/>
      </c>
      <c r="CH157" s="21" t="str">
        <f>IFERROR(
IF(COUNTIF($BI157:CG157,INDEX($J:$J,MATCH($AI157,$M:$M,0)+CH$8-1))=0,
IF(COUNTIF($M:$M,$AI157)&lt;CH$8,
"",
INDEX($J:$J,MATCH($AI157,$M:$M,0)+CH$8-1)),
""),
"")</f>
        <v/>
      </c>
      <c r="CI157" s="21" t="str">
        <f>IFERROR(
IF(COUNTIF($BI157:CH157,INDEX($J:$J,MATCH($AI157,$M:$M,0)+CI$8-1))=0,
IF(COUNTIF($M:$M,$AI157)&lt;CI$8,
"",
INDEX($J:$J,MATCH($AI157,$M:$M,0)+CI$8-1)),
""),
"")</f>
        <v/>
      </c>
      <c r="CJ157" s="21" t="str">
        <f>IFERROR(
IF(COUNTIF($BI157:CI157,INDEX($J:$J,MATCH($AI157,$M:$M,0)+CJ$8-1))=0,
IF(COUNTIF($M:$M,$AI157)&lt;CJ$8,
"",
INDEX($J:$J,MATCH($AI157,$M:$M,0)+CJ$8-1)),
""),
"")</f>
        <v/>
      </c>
      <c r="CK157" s="21" t="str">
        <f>IFERROR(
IF(COUNTIF($BI157:CJ157,INDEX($J:$J,MATCH($AI157,$M:$M,0)+CK$8-1))=0,
IF(COUNTIF($M:$M,$AI157)&lt;CK$8,
"",
INDEX($J:$J,MATCH($AI157,$M:$M,0)+CK$8-1)),
""),
"")</f>
        <v/>
      </c>
      <c r="CM157" s="21" t="str">
        <f>IFERROR(
IF(COUNTIF($BI157:CL157,INDEX($J:$J,MATCH($AJ157,$M:$M,0)+CM$8-1))=0,
IF(COUNTIF($M:$M,$AJ157)&lt;CM$8,
"",
INDEX($J:$J,MATCH($AJ157,$M:$M,0)+CM$8-1)),
""),
"")</f>
        <v/>
      </c>
      <c r="CN157" s="21" t="str">
        <f>IFERROR(
IF(COUNTIF($BI157:CM157,INDEX($J:$J,MATCH($AJ157,$M:$M,0)+CN$8-1))=0,
IF(COUNTIF($M:$M,$AJ157)&lt;CN$8,
"",
INDEX($J:$J,MATCH($AJ157,$M:$M,0)+CN$8-1)),
""),
"")</f>
        <v/>
      </c>
      <c r="CO157" s="21" t="str">
        <f>IFERROR(
IF(COUNTIF($BI157:CN157,INDEX($J:$J,MATCH($AJ157,$M:$M,0)+CO$8-1))=0,
IF(COUNTIF($M:$M,$AJ157)&lt;CO$8,
"",
INDEX($J:$J,MATCH($AJ157,$M:$M,0)+CO$8-1)),
""),
"")</f>
        <v/>
      </c>
      <c r="CP157" s="21" t="str">
        <f>IFERROR(
IF(COUNTIF($BI157:CO157,INDEX($J:$J,MATCH($AJ157,$M:$M,0)+CP$8-1))=0,
IF(COUNTIF($M:$M,$AJ157)&lt;CP$8,
"",
INDEX($J:$J,MATCH($AJ157,$M:$M,0)+CP$8-1)),
""),
"")</f>
        <v/>
      </c>
      <c r="CR157" s="21" t="str">
        <f>IFERROR(
IF(COUNTIF($BI157:CQ157,INDEX($J:$J,MATCH($AK157,$M:$M,0)+CR$8-1))=0,
IF(COUNTIF($M:$M,$AK157)&lt;CR$8,
"",
INDEX($J:$J,MATCH($AK157,$M:$M,0)+CR$8-1)),
""),
"")</f>
        <v/>
      </c>
      <c r="CS157" s="21" t="str">
        <f>IFERROR(
IF(COUNTIF($BI157:CR157,INDEX($J:$J,MATCH($AK157,$M:$M,0)+CS$8-1))=0,
IF(COUNTIF($M:$M,$AK157)&lt;CS$8,
"",
INDEX($J:$J,MATCH($AK157,$M:$M,0)+CS$8-1)),
""),
"")</f>
        <v/>
      </c>
      <c r="CT157" s="21" t="str">
        <f>IFERROR(
IF(COUNTIF($BI157:CS157,INDEX($J:$J,MATCH($AK157,$M:$M,0)+CT$8-1))=0,
IF(COUNTIF($M:$M,$AK157)&lt;CT$8,
"",
INDEX($J:$J,MATCH($AK157,$M:$M,0)+CT$8-1)),
""),
"")</f>
        <v/>
      </c>
      <c r="CU157" s="21" t="str">
        <f>IFERROR(
IF(COUNTIF($BI157:CT157,INDEX($J:$J,MATCH($AK157,$M:$M,0)+CU$8-1))=0,
IF(COUNTIF($M:$M,$AK157)&lt;CU$8,
"",
INDEX($J:$J,MATCH($AK157,$M:$M,0)+CU$8-1)),
""),
"")</f>
        <v/>
      </c>
    </row>
    <row r="158" spans="8:99">
      <c r="H158" s="7" t="str">
        <f>IF(I158="","",COUNTA(I$9:$I158))</f>
        <v/>
      </c>
      <c r="I158" s="6"/>
      <c r="J158" s="6" t="s">
        <v>290</v>
      </c>
      <c r="K158" s="8" t="str">
        <f>IF(H158="","",阶段合并区域(J158:J161," ",L158:L161,1))</f>
        <v/>
      </c>
      <c r="L158" s="8">
        <f>COUNTIF(M$8:$M158,"="&amp;M158)</f>
        <v>2</v>
      </c>
      <c r="M158" s="9" t="str">
        <f t="shared" si="37"/>
        <v>功高震主</v>
      </c>
      <c r="N158" s="9" t="str">
        <f t="shared" si="38"/>
        <v>功高震主2</v>
      </c>
      <c r="O158" s="15">
        <f>INDEX(C:C,MATCH(J158,D:D,0))</f>
        <v>40</v>
      </c>
      <c r="P158" s="9">
        <f>INDEX(E:E,MATCH(J158,D:D,0))</f>
        <v>120</v>
      </c>
      <c r="Q158" s="7">
        <f t="shared" si="34"/>
        <v>40</v>
      </c>
      <c r="R158" s="7">
        <f>COUNTIF(J$8:$J158,"="&amp;J158)</f>
        <v>7</v>
      </c>
      <c r="S158" s="7">
        <f t="shared" si="39"/>
        <v>7040</v>
      </c>
      <c r="U158" s="7">
        <f t="shared" si="36"/>
        <v>1000</v>
      </c>
      <c r="V158" s="7">
        <f t="shared" si="36"/>
        <v>2000</v>
      </c>
      <c r="W158" s="7">
        <f t="shared" si="36"/>
        <v>3000</v>
      </c>
      <c r="X158" s="7">
        <f t="shared" si="36"/>
        <v>4000</v>
      </c>
      <c r="Y158" s="7">
        <f t="shared" si="36"/>
        <v>5000</v>
      </c>
      <c r="Z158" s="7">
        <f t="shared" si="36"/>
        <v>6000</v>
      </c>
      <c r="AA158" s="7">
        <f t="shared" si="36"/>
        <v>7000</v>
      </c>
      <c r="AB158" s="7">
        <f t="shared" si="36"/>
        <v>8000</v>
      </c>
      <c r="AD158" s="21" t="str">
        <f>IFERROR(INDEX($M:$M,MATCH(U158,$S:$S,0)),"&amp;")</f>
        <v>&amp;</v>
      </c>
      <c r="AE158" s="21" t="str">
        <f>IFERROR(INDEX($M:$M,MATCH(V158,$S:$S,0)),"&amp;")</f>
        <v>&amp;</v>
      </c>
      <c r="AF158" s="21" t="str">
        <f>IFERROR(INDEX($M:$M,MATCH(W158,$S:$S,0)),"&amp;")</f>
        <v>&amp;</v>
      </c>
      <c r="AG158" s="21" t="str">
        <f>IFERROR(INDEX($M:$M,MATCH(X158,$S:$S,0)),"&amp;")</f>
        <v>&amp;</v>
      </c>
      <c r="AH158" s="21" t="str">
        <f>IFERROR(INDEX($M:$M,MATCH(Y158,$S:$S,0)),"&amp;")</f>
        <v>&amp;</v>
      </c>
      <c r="AI158" s="21" t="str">
        <f>IFERROR(INDEX($M:$M,MATCH(Z158,$S:$S,0)),"&amp;")</f>
        <v>&amp;</v>
      </c>
      <c r="AJ158" s="21" t="str">
        <f>IFERROR(INDEX($M:$M,MATCH(AA158,$S:$S,0)),"&amp;")</f>
        <v>&amp;</v>
      </c>
      <c r="AK158" s="21" t="str">
        <f>IFERROR(INDEX($M:$M,MATCH(AB158,$S:$S,0)),"&amp;")</f>
        <v>&amp;</v>
      </c>
      <c r="AM158" s="21" t="str">
        <f>IFERROR(INDEX($N:$N,MATCH(U158,$S:$S,0)),"&amp;")</f>
        <v>&amp;</v>
      </c>
      <c r="AN158" s="21" t="str">
        <f>IFERROR(INDEX($N:$N,MATCH(V158,$S:$S,0)),"&amp;")</f>
        <v>&amp;</v>
      </c>
      <c r="AO158" s="21" t="str">
        <f>IFERROR(INDEX($N:$N,MATCH(W158,$S:$S,0)),"&amp;")</f>
        <v>&amp;</v>
      </c>
      <c r="AP158" s="21" t="str">
        <f>IFERROR(INDEX($N:$N,MATCH(X158,$S:$S,0)),"&amp;")</f>
        <v>&amp;</v>
      </c>
      <c r="AQ158" s="21" t="str">
        <f>IFERROR(INDEX($N:$N,MATCH(Y158,$S:$S,0)),"&amp;")</f>
        <v>&amp;</v>
      </c>
      <c r="AR158" s="21" t="str">
        <f>IFERROR(INDEX($N:$N,MATCH(Z158,$S:$S,0)),"&amp;")</f>
        <v>&amp;</v>
      </c>
      <c r="AS158" s="21" t="str">
        <f>IFERROR(INDEX($N:$N,MATCH(AA158,$S:$S,0)),"&amp;")</f>
        <v>&amp;</v>
      </c>
      <c r="AT158" s="21" t="str">
        <f>IFERROR(INDEX($N:$N,MATCH(AB158,$S:$S,0)),"&amp;")</f>
        <v>&amp;</v>
      </c>
      <c r="AV158" s="21" t="str">
        <f>IFERROR(SUBSTITUTE(INDEX($K:$K,MATCH(INDEX($M:$M,MATCH(AM158,$N:$N,0)),$M:$M,0)),$D158,""),"")</f>
        <v/>
      </c>
      <c r="AW158" s="21" t="str">
        <f>IFERROR(SUBSTITUTE(INDEX($K:$K,MATCH(INDEX($M:$M,MATCH(AN158,$N:$N,0)),$M:$M,0)),$D158,""),"")</f>
        <v/>
      </c>
      <c r="AX158" s="21" t="str">
        <f>IFERROR(SUBSTITUTE(INDEX($K:$K,MATCH(INDEX($M:$M,MATCH(AO158,$N:$N,0)),$M:$M,0)),$D158,""),"")</f>
        <v/>
      </c>
      <c r="AY158" s="21" t="str">
        <f>IFERROR(SUBSTITUTE(INDEX($K:$K,MATCH(INDEX($M:$M,MATCH(AP158,$N:$N,0)),$M:$M,0)),$D158,""),"")</f>
        <v/>
      </c>
      <c r="AZ158" s="21" t="str">
        <f>IFERROR(SUBSTITUTE(INDEX($K:$K,MATCH(INDEX($M:$M,MATCH(AQ158,$N:$N,0)),$M:$M,0)),$D158,""),"")</f>
        <v/>
      </c>
      <c r="BA158" s="21" t="str">
        <f>IFERROR(SUBSTITUTE(INDEX($K:$K,MATCH(INDEX($M:$M,MATCH(AR158,$N:$N,0)),$M:$M,0)),$D158,""),"")</f>
        <v/>
      </c>
      <c r="BB158" s="21" t="str">
        <f>IFERROR(SUBSTITUTE(INDEX($K:$K,MATCH(INDEX($M:$M,MATCH(AS158,$N:$N,0)),$M:$M,0)),$D158,""),"")</f>
        <v/>
      </c>
      <c r="BC158" s="21" t="str">
        <f>IFERROR(SUBSTITUTE(INDEX($K:$K,MATCH(INDEX($M:$M,MATCH(AT158,$N:$N,0)),$M:$M,0)),$D158,""),"")</f>
        <v/>
      </c>
      <c r="BE158" s="9" t="str">
        <f t="shared" si="35"/>
        <v/>
      </c>
      <c r="BI158" s="9" t="str">
        <f>IFERROR(
IF(COUNTIF($M:$M,$AD158)&lt;BI$8,
"",
INDEX($J:$J,MATCH($AD158,$M:$M,0)+BI$8-1)),
"")</f>
        <v/>
      </c>
      <c r="BJ158" s="9" t="str">
        <f>IFERROR(
IF(COUNTIF($M:$M,$AD158)&lt;BJ$8,
"",
INDEX($J:$J,MATCH($AD158,$M:$M,0)+BJ$8-1)),
"")</f>
        <v/>
      </c>
      <c r="BK158" s="9" t="str">
        <f>IFERROR(
IF(COUNTIF($M:$M,$AD158)&lt;BK$8,
"",
INDEX($J:$J,MATCH($AD158,$M:$M,0)+BK$8-1)),
"")</f>
        <v/>
      </c>
      <c r="BL158" s="9" t="str">
        <f>IFERROR(
IF(COUNTIF($M:$M,$AD158)&lt;BL$8,
"",
INDEX($J:$J,MATCH($AD158,$M:$M,0)+BL$8-1)),
"")</f>
        <v/>
      </c>
      <c r="BN158" s="21" t="str">
        <f>IFERROR(
IF(COUNTIF($BI158:BM158,INDEX($J:$J,MATCH($AE158,$M:$M,0)+BN$8-1))=0,
IF(COUNTIF($M:$M,$AE158)&lt;BN$8,
"",
INDEX($J:$J,MATCH($AE158,$M:$M,0)+BN$8-1)),
""),
"")</f>
        <v/>
      </c>
      <c r="BO158" s="21" t="str">
        <f>IFERROR(
IF(COUNTIF($BI158:BN158,INDEX($J:$J,MATCH($AE158,$M:$M,0)+BO$8-1))=0,
IF(COUNTIF($M:$M,$AE158)&lt;BO$8,
"",
INDEX($J:$J,MATCH($AE158,$M:$M,0)+BO$8-1)),
""),
"")</f>
        <v/>
      </c>
      <c r="BP158" s="21" t="str">
        <f>IFERROR(
IF(COUNTIF($BI158:BO158,INDEX($J:$J,MATCH($AE158,$M:$M,0)+BP$8-1))=0,
IF(COUNTIF($M:$M,$AE158)&lt;BP$8,
"",
INDEX($J:$J,MATCH($AE158,$M:$M,0)+BP$8-1)),
""),
"")</f>
        <v/>
      </c>
      <c r="BQ158" s="21" t="str">
        <f>IFERROR(
IF(COUNTIF($BI158:BP158,INDEX($J:$J,MATCH($AE158,$M:$M,0)+BQ$8-1))=0,
IF(COUNTIF($M:$M,$AE158)&lt;BQ$8,
"",
INDEX($J:$J,MATCH($AE158,$M:$M,0)+BQ$8-1)),
""),
"")</f>
        <v/>
      </c>
      <c r="BS158" s="21" t="str">
        <f>IFERROR(
IF(COUNTIF($BI158:BR158,INDEX($J:$J,MATCH($AF158,$M:$M,0)+BS$8-1))=0,
IF(COUNTIF($M:$M,$AF158)&lt;BS$8,
"",
INDEX($J:$J,MATCH($AF158,$M:$M,0)+BS$8-1)),
""),
"")</f>
        <v/>
      </c>
      <c r="BT158" s="21" t="str">
        <f>IFERROR(
IF(COUNTIF($BI158:BS158,INDEX($J:$J,MATCH($AF158,$M:$M,0)+BT$8-1))=0,
IF(COUNTIF($M:$M,$AF158)&lt;BT$8,
"",
INDEX($J:$J,MATCH($AF158,$M:$M,0)+BT$8-1)),
""),
"")</f>
        <v/>
      </c>
      <c r="BU158" s="21" t="str">
        <f>IFERROR(
IF(COUNTIF($BI158:BT158,INDEX($J:$J,MATCH($AF158,$M:$M,0)+BU$8-1))=0,
IF(COUNTIF($M:$M,$AF158)&lt;BU$8,
"",
INDEX($J:$J,MATCH($AF158,$M:$M,0)+BU$8-1)),
""),
"")</f>
        <v/>
      </c>
      <c r="BV158" s="21" t="str">
        <f>IFERROR(
IF(COUNTIF($BI158:BU158,INDEX($J:$J,MATCH($AF158,$M:$M,0)+BV$8-1))=0,
IF(COUNTIF($M:$M,$AF158)&lt;BV$8,
"",
INDEX($J:$J,MATCH($AF158,$M:$M,0)+BV$8-1)),
""),
"")</f>
        <v/>
      </c>
      <c r="BX158" s="21" t="str">
        <f>IFERROR(
IF(COUNTIF($BI158:BW158,INDEX($J:$J,MATCH($AG158,$M:$M,0)+BX$8-1))=0,
IF(COUNTIF($M:$M,$AG158)&lt;BX$8,
"",
INDEX($J:$J,MATCH($AG158,$M:$M,0)+BX$8-1)),
""),
"")</f>
        <v/>
      </c>
      <c r="BY158" s="21" t="str">
        <f>IFERROR(
IF(COUNTIF($BI158:BX158,INDEX($J:$J,MATCH($AG158,$M:$M,0)+BY$8-1))=0,
IF(COUNTIF($M:$M,$AG158)&lt;BY$8,
"",
INDEX($J:$J,MATCH($AG158,$M:$M,0)+BY$8-1)),
""),
"")</f>
        <v/>
      </c>
      <c r="BZ158" s="21" t="str">
        <f>IFERROR(
IF(COUNTIF($BI158:BY158,INDEX($J:$J,MATCH($AG158,$M:$M,0)+BZ$8-1))=0,
IF(COUNTIF($M:$M,$AG158)&lt;BZ$8,
"",
INDEX($J:$J,MATCH($AG158,$M:$M,0)+BZ$8-1)),
""),
"")</f>
        <v/>
      </c>
      <c r="CA158" s="21" t="str">
        <f>IFERROR(
IF(COUNTIF($BI158:BZ158,INDEX($J:$J,MATCH($AG158,$M:$M,0)+CA$8-1))=0,
IF(COUNTIF($M:$M,$AG158)&lt;CA$8,
"",
INDEX($J:$J,MATCH($AG158,$M:$M,0)+CA$8-1)),
""),
"")</f>
        <v/>
      </c>
      <c r="CC158" s="21" t="str">
        <f>IFERROR(
IF(COUNTIF($BI158:CB158,INDEX($J:$J,MATCH($AH158,$M:$M,0)+CC$8-1))=0,
IF(COUNTIF($M:$M,$AH158)&lt;CC$8,
"",
INDEX($J:$J,MATCH($AH158,$M:$M,0)+CC$8-1)),
""),
"")</f>
        <v/>
      </c>
      <c r="CD158" s="21" t="str">
        <f>IFERROR(
IF(COUNTIF($BI158:CC158,INDEX($J:$J,MATCH($AH158,$M:$M,0)+CD$8-1))=0,
IF(COUNTIF($M:$M,$AH158)&lt;CD$8,
"",
INDEX($J:$J,MATCH($AH158,$M:$M,0)+CD$8-1)),
""),
"")</f>
        <v/>
      </c>
      <c r="CE158" s="21" t="str">
        <f>IFERROR(
IF(COUNTIF($BI158:CD158,INDEX($J:$J,MATCH($AH158,$M:$M,0)+CE$8-1))=0,
IF(COUNTIF($M:$M,$AH158)&lt;CE$8,
"",
INDEX($J:$J,MATCH($AH158,$M:$M,0)+CE$8-1)),
""),
"")</f>
        <v/>
      </c>
      <c r="CF158" s="21" t="str">
        <f>IFERROR(
IF(COUNTIF($BI158:CE158,INDEX($J:$J,MATCH($AH158,$M:$M,0)+CF$8-1))=0,
IF(COUNTIF($M:$M,$AH158)&lt;CF$8,
"",
INDEX($J:$J,MATCH($AH158,$M:$M,0)+CF$8-1)),
""),
"")</f>
        <v/>
      </c>
      <c r="CH158" s="21" t="str">
        <f>IFERROR(
IF(COUNTIF($BI158:CG158,INDEX($J:$J,MATCH($AI158,$M:$M,0)+CH$8-1))=0,
IF(COUNTIF($M:$M,$AI158)&lt;CH$8,
"",
INDEX($J:$J,MATCH($AI158,$M:$M,0)+CH$8-1)),
""),
"")</f>
        <v/>
      </c>
      <c r="CI158" s="21" t="str">
        <f>IFERROR(
IF(COUNTIF($BI158:CH158,INDEX($J:$J,MATCH($AI158,$M:$M,0)+CI$8-1))=0,
IF(COUNTIF($M:$M,$AI158)&lt;CI$8,
"",
INDEX($J:$J,MATCH($AI158,$M:$M,0)+CI$8-1)),
""),
"")</f>
        <v/>
      </c>
      <c r="CJ158" s="21" t="str">
        <f>IFERROR(
IF(COUNTIF($BI158:CI158,INDEX($J:$J,MATCH($AI158,$M:$M,0)+CJ$8-1))=0,
IF(COUNTIF($M:$M,$AI158)&lt;CJ$8,
"",
INDEX($J:$J,MATCH($AI158,$M:$M,0)+CJ$8-1)),
""),
"")</f>
        <v/>
      </c>
      <c r="CK158" s="21" t="str">
        <f>IFERROR(
IF(COUNTIF($BI158:CJ158,INDEX($J:$J,MATCH($AI158,$M:$M,0)+CK$8-1))=0,
IF(COUNTIF($M:$M,$AI158)&lt;CK$8,
"",
INDEX($J:$J,MATCH($AI158,$M:$M,0)+CK$8-1)),
""),
"")</f>
        <v/>
      </c>
      <c r="CM158" s="21" t="str">
        <f>IFERROR(
IF(COUNTIF($BI158:CL158,INDEX($J:$J,MATCH($AJ158,$M:$M,0)+CM$8-1))=0,
IF(COUNTIF($M:$M,$AJ158)&lt;CM$8,
"",
INDEX($J:$J,MATCH($AJ158,$M:$M,0)+CM$8-1)),
""),
"")</f>
        <v/>
      </c>
      <c r="CN158" s="21" t="str">
        <f>IFERROR(
IF(COUNTIF($BI158:CM158,INDEX($J:$J,MATCH($AJ158,$M:$M,0)+CN$8-1))=0,
IF(COUNTIF($M:$M,$AJ158)&lt;CN$8,
"",
INDEX($J:$J,MATCH($AJ158,$M:$M,0)+CN$8-1)),
""),
"")</f>
        <v/>
      </c>
      <c r="CO158" s="21" t="str">
        <f>IFERROR(
IF(COUNTIF($BI158:CN158,INDEX($J:$J,MATCH($AJ158,$M:$M,0)+CO$8-1))=0,
IF(COUNTIF($M:$M,$AJ158)&lt;CO$8,
"",
INDEX($J:$J,MATCH($AJ158,$M:$M,0)+CO$8-1)),
""),
"")</f>
        <v/>
      </c>
      <c r="CP158" s="21" t="str">
        <f>IFERROR(
IF(COUNTIF($BI158:CO158,INDEX($J:$J,MATCH($AJ158,$M:$M,0)+CP$8-1))=0,
IF(COUNTIF($M:$M,$AJ158)&lt;CP$8,
"",
INDEX($J:$J,MATCH($AJ158,$M:$M,0)+CP$8-1)),
""),
"")</f>
        <v/>
      </c>
      <c r="CR158" s="21" t="str">
        <f>IFERROR(
IF(COUNTIF($BI158:CQ158,INDEX($J:$J,MATCH($AK158,$M:$M,0)+CR$8-1))=0,
IF(COUNTIF($M:$M,$AK158)&lt;CR$8,
"",
INDEX($J:$J,MATCH($AK158,$M:$M,0)+CR$8-1)),
""),
"")</f>
        <v/>
      </c>
      <c r="CS158" s="21" t="str">
        <f>IFERROR(
IF(COUNTIF($BI158:CR158,INDEX($J:$J,MATCH($AK158,$M:$M,0)+CS$8-1))=0,
IF(COUNTIF($M:$M,$AK158)&lt;CS$8,
"",
INDEX($J:$J,MATCH($AK158,$M:$M,0)+CS$8-1)),
""),
"")</f>
        <v/>
      </c>
      <c r="CT158" s="21" t="str">
        <f>IFERROR(
IF(COUNTIF($BI158:CS158,INDEX($J:$J,MATCH($AK158,$M:$M,0)+CT$8-1))=0,
IF(COUNTIF($M:$M,$AK158)&lt;CT$8,
"",
INDEX($J:$J,MATCH($AK158,$M:$M,0)+CT$8-1)),
""),
"")</f>
        <v/>
      </c>
      <c r="CU158" s="21" t="str">
        <f>IFERROR(
IF(COUNTIF($BI158:CT158,INDEX($J:$J,MATCH($AK158,$M:$M,0)+CU$8-1))=0,
IF(COUNTIF($M:$M,$AK158)&lt;CU$8,
"",
INDEX($J:$J,MATCH($AK158,$M:$M,0)+CU$8-1)),
""),
"")</f>
        <v/>
      </c>
    </row>
    <row r="159" spans="8:99">
      <c r="H159" s="7" t="str">
        <f>IF(I159="","",COUNTA(I$9:$I159))</f>
        <v/>
      </c>
      <c r="I159" s="6"/>
      <c r="J159" s="6" t="s">
        <v>257</v>
      </c>
      <c r="K159" s="8" t="str">
        <f>IF(H159="","",阶段合并区域(J159:J161," ",L159:L161,1))</f>
        <v/>
      </c>
      <c r="L159" s="8">
        <f>COUNTIF(M$8:$M159,"="&amp;M159)</f>
        <v>3</v>
      </c>
      <c r="M159" s="9" t="str">
        <f t="shared" si="37"/>
        <v>功高震主</v>
      </c>
      <c r="N159" s="9" t="str">
        <f t="shared" si="38"/>
        <v>功高震主3</v>
      </c>
      <c r="O159" s="15">
        <f>INDEX(C:C,MATCH(J159,D:D,0))</f>
        <v>16</v>
      </c>
      <c r="P159" s="9">
        <f>INDEX(E:E,MATCH(J159,D:D,0))</f>
        <v>120</v>
      </c>
      <c r="Q159" s="7">
        <f t="shared" si="34"/>
        <v>16</v>
      </c>
      <c r="R159" s="7">
        <f>COUNTIF(J$8:$J159,"="&amp;J159)</f>
        <v>6</v>
      </c>
      <c r="S159" s="7">
        <f t="shared" si="39"/>
        <v>6016</v>
      </c>
      <c r="U159" s="7">
        <f t="shared" si="36"/>
        <v>1000</v>
      </c>
      <c r="V159" s="7">
        <f t="shared" si="36"/>
        <v>2000</v>
      </c>
      <c r="W159" s="7">
        <f t="shared" si="36"/>
        <v>3000</v>
      </c>
      <c r="X159" s="7">
        <f t="shared" si="36"/>
        <v>4000</v>
      </c>
      <c r="Y159" s="7">
        <f t="shared" si="36"/>
        <v>5000</v>
      </c>
      <c r="Z159" s="7">
        <f t="shared" si="36"/>
        <v>6000</v>
      </c>
      <c r="AA159" s="7">
        <f t="shared" si="36"/>
        <v>7000</v>
      </c>
      <c r="AB159" s="7">
        <f t="shared" si="36"/>
        <v>8000</v>
      </c>
      <c r="AD159" s="21" t="str">
        <f>IFERROR(INDEX($M:$M,MATCH(U159,$S:$S,0)),"&amp;")</f>
        <v>&amp;</v>
      </c>
      <c r="AE159" s="21" t="str">
        <f>IFERROR(INDEX($M:$M,MATCH(V159,$S:$S,0)),"&amp;")</f>
        <v>&amp;</v>
      </c>
      <c r="AF159" s="21" t="str">
        <f>IFERROR(INDEX($M:$M,MATCH(W159,$S:$S,0)),"&amp;")</f>
        <v>&amp;</v>
      </c>
      <c r="AG159" s="21" t="str">
        <f>IFERROR(INDEX($M:$M,MATCH(X159,$S:$S,0)),"&amp;")</f>
        <v>&amp;</v>
      </c>
      <c r="AH159" s="21" t="str">
        <f>IFERROR(INDEX($M:$M,MATCH(Y159,$S:$S,0)),"&amp;")</f>
        <v>&amp;</v>
      </c>
      <c r="AI159" s="21" t="str">
        <f>IFERROR(INDEX($M:$M,MATCH(Z159,$S:$S,0)),"&amp;")</f>
        <v>&amp;</v>
      </c>
      <c r="AJ159" s="21" t="str">
        <f>IFERROR(INDEX($M:$M,MATCH(AA159,$S:$S,0)),"&amp;")</f>
        <v>&amp;</v>
      </c>
      <c r="AK159" s="21" t="str">
        <f>IFERROR(INDEX($M:$M,MATCH(AB159,$S:$S,0)),"&amp;")</f>
        <v>&amp;</v>
      </c>
      <c r="AM159" s="21" t="str">
        <f>IFERROR(INDEX($N:$N,MATCH(U159,$S:$S,0)),"&amp;")</f>
        <v>&amp;</v>
      </c>
      <c r="AN159" s="21" t="str">
        <f>IFERROR(INDEX($N:$N,MATCH(V159,$S:$S,0)),"&amp;")</f>
        <v>&amp;</v>
      </c>
      <c r="AO159" s="21" t="str">
        <f>IFERROR(INDEX($N:$N,MATCH(W159,$S:$S,0)),"&amp;")</f>
        <v>&amp;</v>
      </c>
      <c r="AP159" s="21" t="str">
        <f>IFERROR(INDEX($N:$N,MATCH(X159,$S:$S,0)),"&amp;")</f>
        <v>&amp;</v>
      </c>
      <c r="AQ159" s="21" t="str">
        <f>IFERROR(INDEX($N:$N,MATCH(Y159,$S:$S,0)),"&amp;")</f>
        <v>&amp;</v>
      </c>
      <c r="AR159" s="21" t="str">
        <f>IFERROR(INDEX($N:$N,MATCH(Z159,$S:$S,0)),"&amp;")</f>
        <v>&amp;</v>
      </c>
      <c r="AS159" s="21" t="str">
        <f>IFERROR(INDEX($N:$N,MATCH(AA159,$S:$S,0)),"&amp;")</f>
        <v>&amp;</v>
      </c>
      <c r="AT159" s="21" t="str">
        <f>IFERROR(INDEX($N:$N,MATCH(AB159,$S:$S,0)),"&amp;")</f>
        <v>&amp;</v>
      </c>
      <c r="AV159" s="21" t="str">
        <f>IFERROR(SUBSTITUTE(INDEX($K:$K,MATCH(INDEX($M:$M,MATCH(AM159,$N:$N,0)),$M:$M,0)),$D159,""),"")</f>
        <v/>
      </c>
      <c r="AW159" s="21" t="str">
        <f>IFERROR(SUBSTITUTE(INDEX($K:$K,MATCH(INDEX($M:$M,MATCH(AN159,$N:$N,0)),$M:$M,0)),$D159,""),"")</f>
        <v/>
      </c>
      <c r="AX159" s="21" t="str">
        <f>IFERROR(SUBSTITUTE(INDEX($K:$K,MATCH(INDEX($M:$M,MATCH(AO159,$N:$N,0)),$M:$M,0)),$D159,""),"")</f>
        <v/>
      </c>
      <c r="AY159" s="21" t="str">
        <f>IFERROR(SUBSTITUTE(INDEX($K:$K,MATCH(INDEX($M:$M,MATCH(AP159,$N:$N,0)),$M:$M,0)),$D159,""),"")</f>
        <v/>
      </c>
      <c r="AZ159" s="21" t="str">
        <f>IFERROR(SUBSTITUTE(INDEX($K:$K,MATCH(INDEX($M:$M,MATCH(AQ159,$N:$N,0)),$M:$M,0)),$D159,""),"")</f>
        <v/>
      </c>
      <c r="BA159" s="21" t="str">
        <f>IFERROR(SUBSTITUTE(INDEX($K:$K,MATCH(INDEX($M:$M,MATCH(AR159,$N:$N,0)),$M:$M,0)),$D159,""),"")</f>
        <v/>
      </c>
      <c r="BB159" s="21" t="str">
        <f>IFERROR(SUBSTITUTE(INDEX($K:$K,MATCH(INDEX($M:$M,MATCH(AS159,$N:$N,0)),$M:$M,0)),$D159,""),"")</f>
        <v/>
      </c>
      <c r="BC159" s="21" t="str">
        <f>IFERROR(SUBSTITUTE(INDEX($K:$K,MATCH(INDEX($M:$M,MATCH(AT159,$N:$N,0)),$M:$M,0)),$D159,""),"")</f>
        <v/>
      </c>
      <c r="BE159" s="9" t="str">
        <f t="shared" si="35"/>
        <v/>
      </c>
      <c r="BI159" s="9" t="str">
        <f>IFERROR(
IF(COUNTIF($M:$M,$AD159)&lt;BI$8,
"",
INDEX($J:$J,MATCH($AD159,$M:$M,0)+BI$8-1)),
"")</f>
        <v/>
      </c>
      <c r="BJ159" s="9" t="str">
        <f>IFERROR(
IF(COUNTIF($M:$M,$AD159)&lt;BJ$8,
"",
INDEX($J:$J,MATCH($AD159,$M:$M,0)+BJ$8-1)),
"")</f>
        <v/>
      </c>
      <c r="BK159" s="9" t="str">
        <f>IFERROR(
IF(COUNTIF($M:$M,$AD159)&lt;BK$8,
"",
INDEX($J:$J,MATCH($AD159,$M:$M,0)+BK$8-1)),
"")</f>
        <v/>
      </c>
      <c r="BL159" s="9" t="str">
        <f>IFERROR(
IF(COUNTIF($M:$M,$AD159)&lt;BL$8,
"",
INDEX($J:$J,MATCH($AD159,$M:$M,0)+BL$8-1)),
"")</f>
        <v/>
      </c>
      <c r="BN159" s="21" t="str">
        <f>IFERROR(
IF(COUNTIF($BI159:BM159,INDEX($J:$J,MATCH($AE159,$M:$M,0)+BN$8-1))=0,
IF(COUNTIF($M:$M,$AE159)&lt;BN$8,
"",
INDEX($J:$J,MATCH($AE159,$M:$M,0)+BN$8-1)),
""),
"")</f>
        <v/>
      </c>
      <c r="BO159" s="21" t="str">
        <f>IFERROR(
IF(COUNTIF($BI159:BN159,INDEX($J:$J,MATCH($AE159,$M:$M,0)+BO$8-1))=0,
IF(COUNTIF($M:$M,$AE159)&lt;BO$8,
"",
INDEX($J:$J,MATCH($AE159,$M:$M,0)+BO$8-1)),
""),
"")</f>
        <v/>
      </c>
      <c r="BP159" s="21" t="str">
        <f>IFERROR(
IF(COUNTIF($BI159:BO159,INDEX($J:$J,MATCH($AE159,$M:$M,0)+BP$8-1))=0,
IF(COUNTIF($M:$M,$AE159)&lt;BP$8,
"",
INDEX($J:$J,MATCH($AE159,$M:$M,0)+BP$8-1)),
""),
"")</f>
        <v/>
      </c>
      <c r="BQ159" s="21" t="str">
        <f>IFERROR(
IF(COUNTIF($BI159:BP159,INDEX($J:$J,MATCH($AE159,$M:$M,0)+BQ$8-1))=0,
IF(COUNTIF($M:$M,$AE159)&lt;BQ$8,
"",
INDEX($J:$J,MATCH($AE159,$M:$M,0)+BQ$8-1)),
""),
"")</f>
        <v/>
      </c>
      <c r="BS159" s="21" t="str">
        <f>IFERROR(
IF(COUNTIF($BI159:BR159,INDEX($J:$J,MATCH($AF159,$M:$M,0)+BS$8-1))=0,
IF(COUNTIF($M:$M,$AF159)&lt;BS$8,
"",
INDEX($J:$J,MATCH($AF159,$M:$M,0)+BS$8-1)),
""),
"")</f>
        <v/>
      </c>
      <c r="BT159" s="21" t="str">
        <f>IFERROR(
IF(COUNTIF($BI159:BS159,INDEX($J:$J,MATCH($AF159,$M:$M,0)+BT$8-1))=0,
IF(COUNTIF($M:$M,$AF159)&lt;BT$8,
"",
INDEX($J:$J,MATCH($AF159,$M:$M,0)+BT$8-1)),
""),
"")</f>
        <v/>
      </c>
      <c r="BU159" s="21" t="str">
        <f>IFERROR(
IF(COUNTIF($BI159:BT159,INDEX($J:$J,MATCH($AF159,$M:$M,0)+BU$8-1))=0,
IF(COUNTIF($M:$M,$AF159)&lt;BU$8,
"",
INDEX($J:$J,MATCH($AF159,$M:$M,0)+BU$8-1)),
""),
"")</f>
        <v/>
      </c>
      <c r="BV159" s="21" t="str">
        <f>IFERROR(
IF(COUNTIF($BI159:BU159,INDEX($J:$J,MATCH($AF159,$M:$M,0)+BV$8-1))=0,
IF(COUNTIF($M:$M,$AF159)&lt;BV$8,
"",
INDEX($J:$J,MATCH($AF159,$M:$M,0)+BV$8-1)),
""),
"")</f>
        <v/>
      </c>
      <c r="BX159" s="21" t="str">
        <f>IFERROR(
IF(COUNTIF($BI159:BW159,INDEX($J:$J,MATCH($AG159,$M:$M,0)+BX$8-1))=0,
IF(COUNTIF($M:$M,$AG159)&lt;BX$8,
"",
INDEX($J:$J,MATCH($AG159,$M:$M,0)+BX$8-1)),
""),
"")</f>
        <v/>
      </c>
      <c r="BY159" s="21" t="str">
        <f>IFERROR(
IF(COUNTIF($BI159:BX159,INDEX($J:$J,MATCH($AG159,$M:$M,0)+BY$8-1))=0,
IF(COUNTIF($M:$M,$AG159)&lt;BY$8,
"",
INDEX($J:$J,MATCH($AG159,$M:$M,0)+BY$8-1)),
""),
"")</f>
        <v/>
      </c>
      <c r="BZ159" s="21" t="str">
        <f>IFERROR(
IF(COUNTIF($BI159:BY159,INDEX($J:$J,MATCH($AG159,$M:$M,0)+BZ$8-1))=0,
IF(COUNTIF($M:$M,$AG159)&lt;BZ$8,
"",
INDEX($J:$J,MATCH($AG159,$M:$M,0)+BZ$8-1)),
""),
"")</f>
        <v/>
      </c>
      <c r="CA159" s="21" t="str">
        <f>IFERROR(
IF(COUNTIF($BI159:BZ159,INDEX($J:$J,MATCH($AG159,$M:$M,0)+CA$8-1))=0,
IF(COUNTIF($M:$M,$AG159)&lt;CA$8,
"",
INDEX($J:$J,MATCH($AG159,$M:$M,0)+CA$8-1)),
""),
"")</f>
        <v/>
      </c>
      <c r="CC159" s="21" t="str">
        <f>IFERROR(
IF(COUNTIF($BI159:CB159,INDEX($J:$J,MATCH($AH159,$M:$M,0)+CC$8-1))=0,
IF(COUNTIF($M:$M,$AH159)&lt;CC$8,
"",
INDEX($J:$J,MATCH($AH159,$M:$M,0)+CC$8-1)),
""),
"")</f>
        <v/>
      </c>
      <c r="CD159" s="21" t="str">
        <f>IFERROR(
IF(COUNTIF($BI159:CC159,INDEX($J:$J,MATCH($AH159,$M:$M,0)+CD$8-1))=0,
IF(COUNTIF($M:$M,$AH159)&lt;CD$8,
"",
INDEX($J:$J,MATCH($AH159,$M:$M,0)+CD$8-1)),
""),
"")</f>
        <v/>
      </c>
      <c r="CE159" s="21" t="str">
        <f>IFERROR(
IF(COUNTIF($BI159:CD159,INDEX($J:$J,MATCH($AH159,$M:$M,0)+CE$8-1))=0,
IF(COUNTIF($M:$M,$AH159)&lt;CE$8,
"",
INDEX($J:$J,MATCH($AH159,$M:$M,0)+CE$8-1)),
""),
"")</f>
        <v/>
      </c>
      <c r="CF159" s="21" t="str">
        <f>IFERROR(
IF(COUNTIF($BI159:CE159,INDEX($J:$J,MATCH($AH159,$M:$M,0)+CF$8-1))=0,
IF(COUNTIF($M:$M,$AH159)&lt;CF$8,
"",
INDEX($J:$J,MATCH($AH159,$M:$M,0)+CF$8-1)),
""),
"")</f>
        <v/>
      </c>
      <c r="CH159" s="21" t="str">
        <f>IFERROR(
IF(COUNTIF($BI159:CG159,INDEX($J:$J,MATCH($AI159,$M:$M,0)+CH$8-1))=0,
IF(COUNTIF($M:$M,$AI159)&lt;CH$8,
"",
INDEX($J:$J,MATCH($AI159,$M:$M,0)+CH$8-1)),
""),
"")</f>
        <v/>
      </c>
      <c r="CI159" s="21" t="str">
        <f>IFERROR(
IF(COUNTIF($BI159:CH159,INDEX($J:$J,MATCH($AI159,$M:$M,0)+CI$8-1))=0,
IF(COUNTIF($M:$M,$AI159)&lt;CI$8,
"",
INDEX($J:$J,MATCH($AI159,$M:$M,0)+CI$8-1)),
""),
"")</f>
        <v/>
      </c>
      <c r="CJ159" s="21" t="str">
        <f>IFERROR(
IF(COUNTIF($BI159:CI159,INDEX($J:$J,MATCH($AI159,$M:$M,0)+CJ$8-1))=0,
IF(COUNTIF($M:$M,$AI159)&lt;CJ$8,
"",
INDEX($J:$J,MATCH($AI159,$M:$M,0)+CJ$8-1)),
""),
"")</f>
        <v/>
      </c>
      <c r="CK159" s="21" t="str">
        <f>IFERROR(
IF(COUNTIF($BI159:CJ159,INDEX($J:$J,MATCH($AI159,$M:$M,0)+CK$8-1))=0,
IF(COUNTIF($M:$M,$AI159)&lt;CK$8,
"",
INDEX($J:$J,MATCH($AI159,$M:$M,0)+CK$8-1)),
""),
"")</f>
        <v/>
      </c>
      <c r="CM159" s="21" t="str">
        <f>IFERROR(
IF(COUNTIF($BI159:CL159,INDEX($J:$J,MATCH($AJ159,$M:$M,0)+CM$8-1))=0,
IF(COUNTIF($M:$M,$AJ159)&lt;CM$8,
"",
INDEX($J:$J,MATCH($AJ159,$M:$M,0)+CM$8-1)),
""),
"")</f>
        <v/>
      </c>
      <c r="CN159" s="21" t="str">
        <f>IFERROR(
IF(COUNTIF($BI159:CM159,INDEX($J:$J,MATCH($AJ159,$M:$M,0)+CN$8-1))=0,
IF(COUNTIF($M:$M,$AJ159)&lt;CN$8,
"",
INDEX($J:$J,MATCH($AJ159,$M:$M,0)+CN$8-1)),
""),
"")</f>
        <v/>
      </c>
      <c r="CO159" s="21" t="str">
        <f>IFERROR(
IF(COUNTIF($BI159:CN159,INDEX($J:$J,MATCH($AJ159,$M:$M,0)+CO$8-1))=0,
IF(COUNTIF($M:$M,$AJ159)&lt;CO$8,
"",
INDEX($J:$J,MATCH($AJ159,$M:$M,0)+CO$8-1)),
""),
"")</f>
        <v/>
      </c>
      <c r="CP159" s="21" t="str">
        <f>IFERROR(
IF(COUNTIF($BI159:CO159,INDEX($J:$J,MATCH($AJ159,$M:$M,0)+CP$8-1))=0,
IF(COUNTIF($M:$M,$AJ159)&lt;CP$8,
"",
INDEX($J:$J,MATCH($AJ159,$M:$M,0)+CP$8-1)),
""),
"")</f>
        <v/>
      </c>
      <c r="CR159" s="21" t="str">
        <f>IFERROR(
IF(COUNTIF($BI159:CQ159,INDEX($J:$J,MATCH($AK159,$M:$M,0)+CR$8-1))=0,
IF(COUNTIF($M:$M,$AK159)&lt;CR$8,
"",
INDEX($J:$J,MATCH($AK159,$M:$M,0)+CR$8-1)),
""),
"")</f>
        <v/>
      </c>
      <c r="CS159" s="21" t="str">
        <f>IFERROR(
IF(COUNTIF($BI159:CR159,INDEX($J:$J,MATCH($AK159,$M:$M,0)+CS$8-1))=0,
IF(COUNTIF($M:$M,$AK159)&lt;CS$8,
"",
INDEX($J:$J,MATCH($AK159,$M:$M,0)+CS$8-1)),
""),
"")</f>
        <v/>
      </c>
      <c r="CT159" s="21" t="str">
        <f>IFERROR(
IF(COUNTIF($BI159:CS159,INDEX($J:$J,MATCH($AK159,$M:$M,0)+CT$8-1))=0,
IF(COUNTIF($M:$M,$AK159)&lt;CT$8,
"",
INDEX($J:$J,MATCH($AK159,$M:$M,0)+CT$8-1)),
""),
"")</f>
        <v/>
      </c>
      <c r="CU159" s="21" t="str">
        <f>IFERROR(
IF(COUNTIF($BI159:CT159,INDEX($J:$J,MATCH($AK159,$M:$M,0)+CU$8-1))=0,
IF(COUNTIF($M:$M,$AK159)&lt;CU$8,
"",
INDEX($J:$J,MATCH($AK159,$M:$M,0)+CU$8-1)),
""),
"")</f>
        <v/>
      </c>
    </row>
    <row r="160" spans="8:99">
      <c r="H160" s="7" t="str">
        <f>IF(I160="","",COUNTA(I$9:$I160))</f>
        <v/>
      </c>
      <c r="I160" s="6"/>
      <c r="J160" s="6" t="s">
        <v>289</v>
      </c>
      <c r="K160" s="8" t="str">
        <f>IF(H160="","",阶段合并区域(J160:J164," ",L160:L164,1))</f>
        <v/>
      </c>
      <c r="L160" s="8">
        <f>COUNTIF(M$8:$M160,"="&amp;M160)</f>
        <v>4</v>
      </c>
      <c r="M160" s="9" t="str">
        <f t="shared" si="37"/>
        <v>功高震主</v>
      </c>
      <c r="N160" s="9" t="str">
        <f t="shared" si="38"/>
        <v>功高震主4</v>
      </c>
      <c r="O160" s="15">
        <f>INDEX(C:C,MATCH(J160,D:D,0))</f>
        <v>41</v>
      </c>
      <c r="P160" s="9">
        <f>INDEX(E:E,MATCH(J160,D:D,0))</f>
        <v>120</v>
      </c>
      <c r="Q160" s="7">
        <f t="shared" si="34"/>
        <v>41</v>
      </c>
      <c r="R160" s="7">
        <f>COUNTIF(J$8:$J160,"="&amp;J160)</f>
        <v>5</v>
      </c>
      <c r="S160" s="7">
        <f t="shared" si="39"/>
        <v>5041</v>
      </c>
      <c r="U160" s="7">
        <f t="shared" si="36"/>
        <v>1000</v>
      </c>
      <c r="V160" s="7">
        <f t="shared" si="36"/>
        <v>2000</v>
      </c>
      <c r="W160" s="7">
        <f t="shared" si="36"/>
        <v>3000</v>
      </c>
      <c r="X160" s="7">
        <f t="shared" si="36"/>
        <v>4000</v>
      </c>
      <c r="Y160" s="7">
        <f t="shared" si="36"/>
        <v>5000</v>
      </c>
      <c r="Z160" s="7">
        <f t="shared" si="36"/>
        <v>6000</v>
      </c>
      <c r="AA160" s="7">
        <f t="shared" si="36"/>
        <v>7000</v>
      </c>
      <c r="AB160" s="7">
        <f t="shared" si="36"/>
        <v>8000</v>
      </c>
      <c r="AD160" s="21" t="str">
        <f>IFERROR(INDEX($M:$M,MATCH(U160,$S:$S,0)),"&amp;")</f>
        <v>&amp;</v>
      </c>
      <c r="AE160" s="21" t="str">
        <f>IFERROR(INDEX($M:$M,MATCH(V160,$S:$S,0)),"&amp;")</f>
        <v>&amp;</v>
      </c>
      <c r="AF160" s="21" t="str">
        <f>IFERROR(INDEX($M:$M,MATCH(W160,$S:$S,0)),"&amp;")</f>
        <v>&amp;</v>
      </c>
      <c r="AG160" s="21" t="str">
        <f>IFERROR(INDEX($M:$M,MATCH(X160,$S:$S,0)),"&amp;")</f>
        <v>&amp;</v>
      </c>
      <c r="AH160" s="21" t="str">
        <f>IFERROR(INDEX($M:$M,MATCH(Y160,$S:$S,0)),"&amp;")</f>
        <v>&amp;</v>
      </c>
      <c r="AI160" s="21" t="str">
        <f>IFERROR(INDEX($M:$M,MATCH(Z160,$S:$S,0)),"&amp;")</f>
        <v>&amp;</v>
      </c>
      <c r="AJ160" s="21" t="str">
        <f>IFERROR(INDEX($M:$M,MATCH(AA160,$S:$S,0)),"&amp;")</f>
        <v>&amp;</v>
      </c>
      <c r="AK160" s="21" t="str">
        <f>IFERROR(INDEX($M:$M,MATCH(AB160,$S:$S,0)),"&amp;")</f>
        <v>&amp;</v>
      </c>
      <c r="AM160" s="21" t="str">
        <f>IFERROR(INDEX($N:$N,MATCH(U160,$S:$S,0)),"&amp;")</f>
        <v>&amp;</v>
      </c>
      <c r="AN160" s="21" t="str">
        <f>IFERROR(INDEX($N:$N,MATCH(V160,$S:$S,0)),"&amp;")</f>
        <v>&amp;</v>
      </c>
      <c r="AO160" s="21" t="str">
        <f>IFERROR(INDEX($N:$N,MATCH(W160,$S:$S,0)),"&amp;")</f>
        <v>&amp;</v>
      </c>
      <c r="AP160" s="21" t="str">
        <f>IFERROR(INDEX($N:$N,MATCH(X160,$S:$S,0)),"&amp;")</f>
        <v>&amp;</v>
      </c>
      <c r="AQ160" s="21" t="str">
        <f>IFERROR(INDEX($N:$N,MATCH(Y160,$S:$S,0)),"&amp;")</f>
        <v>&amp;</v>
      </c>
      <c r="AR160" s="21" t="str">
        <f>IFERROR(INDEX($N:$N,MATCH(Z160,$S:$S,0)),"&amp;")</f>
        <v>&amp;</v>
      </c>
      <c r="AS160" s="21" t="str">
        <f>IFERROR(INDEX($N:$N,MATCH(AA160,$S:$S,0)),"&amp;")</f>
        <v>&amp;</v>
      </c>
      <c r="AT160" s="21" t="str">
        <f>IFERROR(INDEX($N:$N,MATCH(AB160,$S:$S,0)),"&amp;")</f>
        <v>&amp;</v>
      </c>
      <c r="AV160" s="21" t="str">
        <f>IFERROR(SUBSTITUTE(INDEX($K:$K,MATCH(INDEX($M:$M,MATCH(AM160,$N:$N,0)),$M:$M,0)),$D160,""),"")</f>
        <v/>
      </c>
      <c r="AW160" s="21" t="str">
        <f>IFERROR(SUBSTITUTE(INDEX($K:$K,MATCH(INDEX($M:$M,MATCH(AN160,$N:$N,0)),$M:$M,0)),$D160,""),"")</f>
        <v/>
      </c>
      <c r="AX160" s="21" t="str">
        <f>IFERROR(SUBSTITUTE(INDEX($K:$K,MATCH(INDEX($M:$M,MATCH(AO160,$N:$N,0)),$M:$M,0)),$D160,""),"")</f>
        <v/>
      </c>
      <c r="AY160" s="21" t="str">
        <f>IFERROR(SUBSTITUTE(INDEX($K:$K,MATCH(INDEX($M:$M,MATCH(AP160,$N:$N,0)),$M:$M,0)),$D160,""),"")</f>
        <v/>
      </c>
      <c r="AZ160" s="21" t="str">
        <f>IFERROR(SUBSTITUTE(INDEX($K:$K,MATCH(INDEX($M:$M,MATCH(AQ160,$N:$N,0)),$M:$M,0)),$D160,""),"")</f>
        <v/>
      </c>
      <c r="BA160" s="21" t="str">
        <f>IFERROR(SUBSTITUTE(INDEX($K:$K,MATCH(INDEX($M:$M,MATCH(AR160,$N:$N,0)),$M:$M,0)),$D160,""),"")</f>
        <v/>
      </c>
      <c r="BB160" s="21" t="str">
        <f>IFERROR(SUBSTITUTE(INDEX($K:$K,MATCH(INDEX($M:$M,MATCH(AS160,$N:$N,0)),$M:$M,0)),$D160,""),"")</f>
        <v/>
      </c>
      <c r="BC160" s="21" t="str">
        <f>IFERROR(SUBSTITUTE(INDEX($K:$K,MATCH(INDEX($M:$M,MATCH(AT160,$N:$N,0)),$M:$M,0)),$D160,""),"")</f>
        <v/>
      </c>
      <c r="BE160" s="9" t="str">
        <f t="shared" si="35"/>
        <v/>
      </c>
      <c r="BI160" s="9" t="str">
        <f>IFERROR(
IF(COUNTIF($M:$M,$AD160)&lt;BI$8,
"",
INDEX($J:$J,MATCH($AD160,$M:$M,0)+BI$8-1)),
"")</f>
        <v/>
      </c>
      <c r="BJ160" s="9" t="str">
        <f>IFERROR(
IF(COUNTIF($M:$M,$AD160)&lt;BJ$8,
"",
INDEX($J:$J,MATCH($AD160,$M:$M,0)+BJ$8-1)),
"")</f>
        <v/>
      </c>
      <c r="BK160" s="9" t="str">
        <f>IFERROR(
IF(COUNTIF($M:$M,$AD160)&lt;BK$8,
"",
INDEX($J:$J,MATCH($AD160,$M:$M,0)+BK$8-1)),
"")</f>
        <v/>
      </c>
      <c r="BL160" s="9" t="str">
        <f>IFERROR(
IF(COUNTIF($M:$M,$AD160)&lt;BL$8,
"",
INDEX($J:$J,MATCH($AD160,$M:$M,0)+BL$8-1)),
"")</f>
        <v/>
      </c>
      <c r="BN160" s="21" t="str">
        <f>IFERROR(
IF(COUNTIF($BI160:BM160,INDEX($J:$J,MATCH($AE160,$M:$M,0)+BN$8-1))=0,
IF(COUNTIF($M:$M,$AE160)&lt;BN$8,
"",
INDEX($J:$J,MATCH($AE160,$M:$M,0)+BN$8-1)),
""),
"")</f>
        <v/>
      </c>
      <c r="BO160" s="21" t="str">
        <f>IFERROR(
IF(COUNTIF($BI160:BN160,INDEX($J:$J,MATCH($AE160,$M:$M,0)+BO$8-1))=0,
IF(COUNTIF($M:$M,$AE160)&lt;BO$8,
"",
INDEX($J:$J,MATCH($AE160,$M:$M,0)+BO$8-1)),
""),
"")</f>
        <v/>
      </c>
      <c r="BP160" s="21" t="str">
        <f>IFERROR(
IF(COUNTIF($BI160:BO160,INDEX($J:$J,MATCH($AE160,$M:$M,0)+BP$8-1))=0,
IF(COUNTIF($M:$M,$AE160)&lt;BP$8,
"",
INDEX($J:$J,MATCH($AE160,$M:$M,0)+BP$8-1)),
""),
"")</f>
        <v/>
      </c>
      <c r="BQ160" s="21" t="str">
        <f>IFERROR(
IF(COUNTIF($BI160:BP160,INDEX($J:$J,MATCH($AE160,$M:$M,0)+BQ$8-1))=0,
IF(COUNTIF($M:$M,$AE160)&lt;BQ$8,
"",
INDEX($J:$J,MATCH($AE160,$M:$M,0)+BQ$8-1)),
""),
"")</f>
        <v/>
      </c>
      <c r="BS160" s="21" t="str">
        <f>IFERROR(
IF(COUNTIF($BI160:BR160,INDEX($J:$J,MATCH($AF160,$M:$M,0)+BS$8-1))=0,
IF(COUNTIF($M:$M,$AF160)&lt;BS$8,
"",
INDEX($J:$J,MATCH($AF160,$M:$M,0)+BS$8-1)),
""),
"")</f>
        <v/>
      </c>
      <c r="BT160" s="21" t="str">
        <f>IFERROR(
IF(COUNTIF($BI160:BS160,INDEX($J:$J,MATCH($AF160,$M:$M,0)+BT$8-1))=0,
IF(COUNTIF($M:$M,$AF160)&lt;BT$8,
"",
INDEX($J:$J,MATCH($AF160,$M:$M,0)+BT$8-1)),
""),
"")</f>
        <v/>
      </c>
      <c r="BU160" s="21" t="str">
        <f>IFERROR(
IF(COUNTIF($BI160:BT160,INDEX($J:$J,MATCH($AF160,$M:$M,0)+BU$8-1))=0,
IF(COUNTIF($M:$M,$AF160)&lt;BU$8,
"",
INDEX($J:$J,MATCH($AF160,$M:$M,0)+BU$8-1)),
""),
"")</f>
        <v/>
      </c>
      <c r="BV160" s="21" t="str">
        <f>IFERROR(
IF(COUNTIF($BI160:BU160,INDEX($J:$J,MATCH($AF160,$M:$M,0)+BV$8-1))=0,
IF(COUNTIF($M:$M,$AF160)&lt;BV$8,
"",
INDEX($J:$J,MATCH($AF160,$M:$M,0)+BV$8-1)),
""),
"")</f>
        <v/>
      </c>
      <c r="BX160" s="21" t="str">
        <f>IFERROR(
IF(COUNTIF($BI160:BW160,INDEX($J:$J,MATCH($AG160,$M:$M,0)+BX$8-1))=0,
IF(COUNTIF($M:$M,$AG160)&lt;BX$8,
"",
INDEX($J:$J,MATCH($AG160,$M:$M,0)+BX$8-1)),
""),
"")</f>
        <v/>
      </c>
      <c r="BY160" s="21" t="str">
        <f>IFERROR(
IF(COUNTIF($BI160:BX160,INDEX($J:$J,MATCH($AG160,$M:$M,0)+BY$8-1))=0,
IF(COUNTIF($M:$M,$AG160)&lt;BY$8,
"",
INDEX($J:$J,MATCH($AG160,$M:$M,0)+BY$8-1)),
""),
"")</f>
        <v/>
      </c>
      <c r="BZ160" s="21" t="str">
        <f>IFERROR(
IF(COUNTIF($BI160:BY160,INDEX($J:$J,MATCH($AG160,$M:$M,0)+BZ$8-1))=0,
IF(COUNTIF($M:$M,$AG160)&lt;BZ$8,
"",
INDEX($J:$J,MATCH($AG160,$M:$M,0)+BZ$8-1)),
""),
"")</f>
        <v/>
      </c>
      <c r="CA160" s="21" t="str">
        <f>IFERROR(
IF(COUNTIF($BI160:BZ160,INDEX($J:$J,MATCH($AG160,$M:$M,0)+CA$8-1))=0,
IF(COUNTIF($M:$M,$AG160)&lt;CA$8,
"",
INDEX($J:$J,MATCH($AG160,$M:$M,0)+CA$8-1)),
""),
"")</f>
        <v/>
      </c>
      <c r="CC160" s="21" t="str">
        <f>IFERROR(
IF(COUNTIF($BI160:CB160,INDEX($J:$J,MATCH($AH160,$M:$M,0)+CC$8-1))=0,
IF(COUNTIF($M:$M,$AH160)&lt;CC$8,
"",
INDEX($J:$J,MATCH($AH160,$M:$M,0)+CC$8-1)),
""),
"")</f>
        <v/>
      </c>
      <c r="CD160" s="21" t="str">
        <f>IFERROR(
IF(COUNTIF($BI160:CC160,INDEX($J:$J,MATCH($AH160,$M:$M,0)+CD$8-1))=0,
IF(COUNTIF($M:$M,$AH160)&lt;CD$8,
"",
INDEX($J:$J,MATCH($AH160,$M:$M,0)+CD$8-1)),
""),
"")</f>
        <v/>
      </c>
      <c r="CE160" s="21" t="str">
        <f>IFERROR(
IF(COUNTIF($BI160:CD160,INDEX($J:$J,MATCH($AH160,$M:$M,0)+CE$8-1))=0,
IF(COUNTIF($M:$M,$AH160)&lt;CE$8,
"",
INDEX($J:$J,MATCH($AH160,$M:$M,0)+CE$8-1)),
""),
"")</f>
        <v/>
      </c>
      <c r="CF160" s="21" t="str">
        <f>IFERROR(
IF(COUNTIF($BI160:CE160,INDEX($J:$J,MATCH($AH160,$M:$M,0)+CF$8-1))=0,
IF(COUNTIF($M:$M,$AH160)&lt;CF$8,
"",
INDEX($J:$J,MATCH($AH160,$M:$M,0)+CF$8-1)),
""),
"")</f>
        <v/>
      </c>
      <c r="CH160" s="21" t="str">
        <f>IFERROR(
IF(COUNTIF($BI160:CG160,INDEX($J:$J,MATCH($AI160,$M:$M,0)+CH$8-1))=0,
IF(COUNTIF($M:$M,$AI160)&lt;CH$8,
"",
INDEX($J:$J,MATCH($AI160,$M:$M,0)+CH$8-1)),
""),
"")</f>
        <v/>
      </c>
      <c r="CI160" s="21" t="str">
        <f>IFERROR(
IF(COUNTIF($BI160:CH160,INDEX($J:$J,MATCH($AI160,$M:$M,0)+CI$8-1))=0,
IF(COUNTIF($M:$M,$AI160)&lt;CI$8,
"",
INDEX($J:$J,MATCH($AI160,$M:$M,0)+CI$8-1)),
""),
"")</f>
        <v/>
      </c>
      <c r="CJ160" s="21" t="str">
        <f>IFERROR(
IF(COUNTIF($BI160:CI160,INDEX($J:$J,MATCH($AI160,$M:$M,0)+CJ$8-1))=0,
IF(COUNTIF($M:$M,$AI160)&lt;CJ$8,
"",
INDEX($J:$J,MATCH($AI160,$M:$M,0)+CJ$8-1)),
""),
"")</f>
        <v/>
      </c>
      <c r="CK160" s="21" t="str">
        <f>IFERROR(
IF(COUNTIF($BI160:CJ160,INDEX($J:$J,MATCH($AI160,$M:$M,0)+CK$8-1))=0,
IF(COUNTIF($M:$M,$AI160)&lt;CK$8,
"",
INDEX($J:$J,MATCH($AI160,$M:$M,0)+CK$8-1)),
""),
"")</f>
        <v/>
      </c>
      <c r="CM160" s="21" t="str">
        <f>IFERROR(
IF(COUNTIF($BI160:CL160,INDEX($J:$J,MATCH($AJ160,$M:$M,0)+CM$8-1))=0,
IF(COUNTIF($M:$M,$AJ160)&lt;CM$8,
"",
INDEX($J:$J,MATCH($AJ160,$M:$M,0)+CM$8-1)),
""),
"")</f>
        <v/>
      </c>
      <c r="CN160" s="21" t="str">
        <f>IFERROR(
IF(COUNTIF($BI160:CM160,INDEX($J:$J,MATCH($AJ160,$M:$M,0)+CN$8-1))=0,
IF(COUNTIF($M:$M,$AJ160)&lt;CN$8,
"",
INDEX($J:$J,MATCH($AJ160,$M:$M,0)+CN$8-1)),
""),
"")</f>
        <v/>
      </c>
      <c r="CO160" s="21" t="str">
        <f>IFERROR(
IF(COUNTIF($BI160:CN160,INDEX($J:$J,MATCH($AJ160,$M:$M,0)+CO$8-1))=0,
IF(COUNTIF($M:$M,$AJ160)&lt;CO$8,
"",
INDEX($J:$J,MATCH($AJ160,$M:$M,0)+CO$8-1)),
""),
"")</f>
        <v/>
      </c>
      <c r="CP160" s="21" t="str">
        <f>IFERROR(
IF(COUNTIF($BI160:CO160,INDEX($J:$J,MATCH($AJ160,$M:$M,0)+CP$8-1))=0,
IF(COUNTIF($M:$M,$AJ160)&lt;CP$8,
"",
INDEX($J:$J,MATCH($AJ160,$M:$M,0)+CP$8-1)),
""),
"")</f>
        <v/>
      </c>
      <c r="CR160" s="21" t="str">
        <f>IFERROR(
IF(COUNTIF($BI160:CQ160,INDEX($J:$J,MATCH($AK160,$M:$M,0)+CR$8-1))=0,
IF(COUNTIF($M:$M,$AK160)&lt;CR$8,
"",
INDEX($J:$J,MATCH($AK160,$M:$M,0)+CR$8-1)),
""),
"")</f>
        <v/>
      </c>
      <c r="CS160" s="21" t="str">
        <f>IFERROR(
IF(COUNTIF($BI160:CR160,INDEX($J:$J,MATCH($AK160,$M:$M,0)+CS$8-1))=0,
IF(COUNTIF($M:$M,$AK160)&lt;CS$8,
"",
INDEX($J:$J,MATCH($AK160,$M:$M,0)+CS$8-1)),
""),
"")</f>
        <v/>
      </c>
      <c r="CT160" s="21" t="str">
        <f>IFERROR(
IF(COUNTIF($BI160:CS160,INDEX($J:$J,MATCH($AK160,$M:$M,0)+CT$8-1))=0,
IF(COUNTIF($M:$M,$AK160)&lt;CT$8,
"",
INDEX($J:$J,MATCH($AK160,$M:$M,0)+CT$8-1)),
""),
"")</f>
        <v/>
      </c>
      <c r="CU160" s="21" t="str">
        <f>IFERROR(
IF(COUNTIF($BI160:CT160,INDEX($J:$J,MATCH($AK160,$M:$M,0)+CU$8-1))=0,
IF(COUNTIF($M:$M,$AK160)&lt;CU$8,
"",
INDEX($J:$J,MATCH($AK160,$M:$M,0)+CU$8-1)),
""),
"")</f>
        <v/>
      </c>
    </row>
    <row r="161" spans="8:99">
      <c r="H161" s="7">
        <f>IF(I161="","",COUNTA(I$9:$I161))</f>
        <v>110</v>
      </c>
      <c r="I161" s="6" t="s">
        <v>274</v>
      </c>
      <c r="J161" s="6" t="s">
        <v>278</v>
      </c>
      <c r="K161" s="8" t="str">
        <f>IF(H161="","",阶段合并区域(J161:J164," ",L161:L164,1))</f>
        <v>典藏吕不韦 信陵君 苏秦 申不害</v>
      </c>
      <c r="L161" s="8">
        <f>COUNTIF(M$8:$M161,"="&amp;M161)</f>
        <v>1</v>
      </c>
      <c r="M161" s="9" t="str">
        <f t="shared" si="37"/>
        <v>一人之下</v>
      </c>
      <c r="N161" s="9" t="str">
        <f t="shared" si="38"/>
        <v>一人之下1</v>
      </c>
      <c r="O161" s="15">
        <f>INDEX(C:C,MATCH(J161,D:D,0))</f>
        <v>72</v>
      </c>
      <c r="P161" s="9">
        <f>INDEX(E:E,MATCH(J161,D:D,0))</f>
        <v>130</v>
      </c>
      <c r="Q161" s="7">
        <f t="shared" si="34"/>
        <v>72</v>
      </c>
      <c r="R161" s="7">
        <f>COUNTIF(J$8:$J161,"="&amp;J161)</f>
        <v>3</v>
      </c>
      <c r="S161" s="7">
        <f t="shared" si="39"/>
        <v>3072</v>
      </c>
      <c r="U161" s="7">
        <f t="shared" si="36"/>
        <v>1000</v>
      </c>
      <c r="V161" s="7">
        <f t="shared" si="36"/>
        <v>2000</v>
      </c>
      <c r="W161" s="7">
        <f t="shared" si="36"/>
        <v>3000</v>
      </c>
      <c r="X161" s="7">
        <f t="shared" si="36"/>
        <v>4000</v>
      </c>
      <c r="Y161" s="7">
        <f t="shared" si="36"/>
        <v>5000</v>
      </c>
      <c r="Z161" s="7">
        <f t="shared" si="36"/>
        <v>6000</v>
      </c>
      <c r="AA161" s="7">
        <f t="shared" si="36"/>
        <v>7000</v>
      </c>
      <c r="AB161" s="7">
        <f t="shared" si="36"/>
        <v>8000</v>
      </c>
      <c r="AD161" s="21" t="str">
        <f>IFERROR(INDEX($M:$M,MATCH(U161,$S:$S,0)),"&amp;")</f>
        <v>&amp;</v>
      </c>
      <c r="AE161" s="21" t="str">
        <f>IFERROR(INDEX($M:$M,MATCH(V161,$S:$S,0)),"&amp;")</f>
        <v>&amp;</v>
      </c>
      <c r="AF161" s="21" t="str">
        <f>IFERROR(INDEX($M:$M,MATCH(W161,$S:$S,0)),"&amp;")</f>
        <v>&amp;</v>
      </c>
      <c r="AG161" s="21" t="str">
        <f>IFERROR(INDEX($M:$M,MATCH(X161,$S:$S,0)),"&amp;")</f>
        <v>&amp;</v>
      </c>
      <c r="AH161" s="21" t="str">
        <f>IFERROR(INDEX($M:$M,MATCH(Y161,$S:$S,0)),"&amp;")</f>
        <v>&amp;</v>
      </c>
      <c r="AI161" s="21" t="str">
        <f>IFERROR(INDEX($M:$M,MATCH(Z161,$S:$S,0)),"&amp;")</f>
        <v>&amp;</v>
      </c>
      <c r="AJ161" s="21" t="str">
        <f>IFERROR(INDEX($M:$M,MATCH(AA161,$S:$S,0)),"&amp;")</f>
        <v>&amp;</v>
      </c>
      <c r="AK161" s="21" t="str">
        <f>IFERROR(INDEX($M:$M,MATCH(AB161,$S:$S,0)),"&amp;")</f>
        <v>&amp;</v>
      </c>
      <c r="AM161" s="21" t="str">
        <f>IFERROR(INDEX($N:$N,MATCH(U161,$S:$S,0)),"&amp;")</f>
        <v>&amp;</v>
      </c>
      <c r="AN161" s="21" t="str">
        <f>IFERROR(INDEX($N:$N,MATCH(V161,$S:$S,0)),"&amp;")</f>
        <v>&amp;</v>
      </c>
      <c r="AO161" s="21" t="str">
        <f>IFERROR(INDEX($N:$N,MATCH(W161,$S:$S,0)),"&amp;")</f>
        <v>&amp;</v>
      </c>
      <c r="AP161" s="21" t="str">
        <f>IFERROR(INDEX($N:$N,MATCH(X161,$S:$S,0)),"&amp;")</f>
        <v>&amp;</v>
      </c>
      <c r="AQ161" s="21" t="str">
        <f>IFERROR(INDEX($N:$N,MATCH(Y161,$S:$S,0)),"&amp;")</f>
        <v>&amp;</v>
      </c>
      <c r="AR161" s="21" t="str">
        <f>IFERROR(INDEX($N:$N,MATCH(Z161,$S:$S,0)),"&amp;")</f>
        <v>&amp;</v>
      </c>
      <c r="AS161" s="21" t="str">
        <f>IFERROR(INDEX($N:$N,MATCH(AA161,$S:$S,0)),"&amp;")</f>
        <v>&amp;</v>
      </c>
      <c r="AT161" s="21" t="str">
        <f>IFERROR(INDEX($N:$N,MATCH(AB161,$S:$S,0)),"&amp;")</f>
        <v>&amp;</v>
      </c>
      <c r="AV161" s="21" t="str">
        <f>IFERROR(SUBSTITUTE(INDEX($K:$K,MATCH(INDEX($M:$M,MATCH(AM161,$N:$N,0)),$M:$M,0)),$D161,""),"")</f>
        <v/>
      </c>
      <c r="AW161" s="21" t="str">
        <f>IFERROR(SUBSTITUTE(INDEX($K:$K,MATCH(INDEX($M:$M,MATCH(AN161,$N:$N,0)),$M:$M,0)),$D161,""),"")</f>
        <v/>
      </c>
      <c r="AX161" s="21" t="str">
        <f>IFERROR(SUBSTITUTE(INDEX($K:$K,MATCH(INDEX($M:$M,MATCH(AO161,$N:$N,0)),$M:$M,0)),$D161,""),"")</f>
        <v/>
      </c>
      <c r="AY161" s="21" t="str">
        <f>IFERROR(SUBSTITUTE(INDEX($K:$K,MATCH(INDEX($M:$M,MATCH(AP161,$N:$N,0)),$M:$M,0)),$D161,""),"")</f>
        <v/>
      </c>
      <c r="AZ161" s="21" t="str">
        <f>IFERROR(SUBSTITUTE(INDEX($K:$K,MATCH(INDEX($M:$M,MATCH(AQ161,$N:$N,0)),$M:$M,0)),$D161,""),"")</f>
        <v/>
      </c>
      <c r="BA161" s="21" t="str">
        <f>IFERROR(SUBSTITUTE(INDEX($K:$K,MATCH(INDEX($M:$M,MATCH(AR161,$N:$N,0)),$M:$M,0)),$D161,""),"")</f>
        <v/>
      </c>
      <c r="BB161" s="21" t="str">
        <f>IFERROR(SUBSTITUTE(INDEX($K:$K,MATCH(INDEX($M:$M,MATCH(AS161,$N:$N,0)),$M:$M,0)),$D161,""),"")</f>
        <v/>
      </c>
      <c r="BC161" s="21" t="str">
        <f>IFERROR(SUBSTITUTE(INDEX($K:$K,MATCH(INDEX($M:$M,MATCH(AT161,$N:$N,0)),$M:$M,0)),$D161,""),"")</f>
        <v/>
      </c>
      <c r="BE161" s="9" t="str">
        <f t="shared" si="35"/>
        <v/>
      </c>
      <c r="BI161" s="9" t="str">
        <f>IFERROR(
IF(COUNTIF($M:$M,$AD161)&lt;BI$8,
"",
INDEX($J:$J,MATCH($AD161,$M:$M,0)+BI$8-1)),
"")</f>
        <v/>
      </c>
      <c r="BJ161" s="9" t="str">
        <f>IFERROR(
IF(COUNTIF($M:$M,$AD161)&lt;BJ$8,
"",
INDEX($J:$J,MATCH($AD161,$M:$M,0)+BJ$8-1)),
"")</f>
        <v/>
      </c>
      <c r="BK161" s="9" t="str">
        <f>IFERROR(
IF(COUNTIF($M:$M,$AD161)&lt;BK$8,
"",
INDEX($J:$J,MATCH($AD161,$M:$M,0)+BK$8-1)),
"")</f>
        <v/>
      </c>
      <c r="BL161" s="9" t="str">
        <f>IFERROR(
IF(COUNTIF($M:$M,$AD161)&lt;BL$8,
"",
INDEX($J:$J,MATCH($AD161,$M:$M,0)+BL$8-1)),
"")</f>
        <v/>
      </c>
      <c r="BN161" s="21" t="str">
        <f>IFERROR(
IF(COUNTIF($BI161:BM161,INDEX($J:$J,MATCH($AE161,$M:$M,0)+BN$8-1))=0,
IF(COUNTIF($M:$M,$AE161)&lt;BN$8,
"",
INDEX($J:$J,MATCH($AE161,$M:$M,0)+BN$8-1)),
""),
"")</f>
        <v/>
      </c>
      <c r="BO161" s="21" t="str">
        <f>IFERROR(
IF(COUNTIF($BI161:BN161,INDEX($J:$J,MATCH($AE161,$M:$M,0)+BO$8-1))=0,
IF(COUNTIF($M:$M,$AE161)&lt;BO$8,
"",
INDEX($J:$J,MATCH($AE161,$M:$M,0)+BO$8-1)),
""),
"")</f>
        <v/>
      </c>
      <c r="BP161" s="21" t="str">
        <f>IFERROR(
IF(COUNTIF($BI161:BO161,INDEX($J:$J,MATCH($AE161,$M:$M,0)+BP$8-1))=0,
IF(COUNTIF($M:$M,$AE161)&lt;BP$8,
"",
INDEX($J:$J,MATCH($AE161,$M:$M,0)+BP$8-1)),
""),
"")</f>
        <v/>
      </c>
      <c r="BQ161" s="21" t="str">
        <f>IFERROR(
IF(COUNTIF($BI161:BP161,INDEX($J:$J,MATCH($AE161,$M:$M,0)+BQ$8-1))=0,
IF(COUNTIF($M:$M,$AE161)&lt;BQ$8,
"",
INDEX($J:$J,MATCH($AE161,$M:$M,0)+BQ$8-1)),
""),
"")</f>
        <v/>
      </c>
      <c r="BS161" s="21" t="str">
        <f>IFERROR(
IF(COUNTIF($BI161:BR161,INDEX($J:$J,MATCH($AF161,$M:$M,0)+BS$8-1))=0,
IF(COUNTIF($M:$M,$AF161)&lt;BS$8,
"",
INDEX($J:$J,MATCH($AF161,$M:$M,0)+BS$8-1)),
""),
"")</f>
        <v/>
      </c>
      <c r="BT161" s="21" t="str">
        <f>IFERROR(
IF(COUNTIF($BI161:BS161,INDEX($J:$J,MATCH($AF161,$M:$M,0)+BT$8-1))=0,
IF(COUNTIF($M:$M,$AF161)&lt;BT$8,
"",
INDEX($J:$J,MATCH($AF161,$M:$M,0)+BT$8-1)),
""),
"")</f>
        <v/>
      </c>
      <c r="BU161" s="21" t="str">
        <f>IFERROR(
IF(COUNTIF($BI161:BT161,INDEX($J:$J,MATCH($AF161,$M:$M,0)+BU$8-1))=0,
IF(COUNTIF($M:$M,$AF161)&lt;BU$8,
"",
INDEX($J:$J,MATCH($AF161,$M:$M,0)+BU$8-1)),
""),
"")</f>
        <v/>
      </c>
      <c r="BV161" s="21" t="str">
        <f>IFERROR(
IF(COUNTIF($BI161:BU161,INDEX($J:$J,MATCH($AF161,$M:$M,0)+BV$8-1))=0,
IF(COUNTIF($M:$M,$AF161)&lt;BV$8,
"",
INDEX($J:$J,MATCH($AF161,$M:$M,0)+BV$8-1)),
""),
"")</f>
        <v/>
      </c>
      <c r="BX161" s="21" t="str">
        <f>IFERROR(
IF(COUNTIF($BI161:BW161,INDEX($J:$J,MATCH($AG161,$M:$M,0)+BX$8-1))=0,
IF(COUNTIF($M:$M,$AG161)&lt;BX$8,
"",
INDEX($J:$J,MATCH($AG161,$M:$M,0)+BX$8-1)),
""),
"")</f>
        <v/>
      </c>
      <c r="BY161" s="21" t="str">
        <f>IFERROR(
IF(COUNTIF($BI161:BX161,INDEX($J:$J,MATCH($AG161,$M:$M,0)+BY$8-1))=0,
IF(COUNTIF($M:$M,$AG161)&lt;BY$8,
"",
INDEX($J:$J,MATCH($AG161,$M:$M,0)+BY$8-1)),
""),
"")</f>
        <v/>
      </c>
      <c r="BZ161" s="21" t="str">
        <f>IFERROR(
IF(COUNTIF($BI161:BY161,INDEX($J:$J,MATCH($AG161,$M:$M,0)+BZ$8-1))=0,
IF(COUNTIF($M:$M,$AG161)&lt;BZ$8,
"",
INDEX($J:$J,MATCH($AG161,$M:$M,0)+BZ$8-1)),
""),
"")</f>
        <v/>
      </c>
      <c r="CA161" s="21" t="str">
        <f>IFERROR(
IF(COUNTIF($BI161:BZ161,INDEX($J:$J,MATCH($AG161,$M:$M,0)+CA$8-1))=0,
IF(COUNTIF($M:$M,$AG161)&lt;CA$8,
"",
INDEX($J:$J,MATCH($AG161,$M:$M,0)+CA$8-1)),
""),
"")</f>
        <v/>
      </c>
      <c r="CC161" s="21" t="str">
        <f>IFERROR(
IF(COUNTIF($BI161:CB161,INDEX($J:$J,MATCH($AH161,$M:$M,0)+CC$8-1))=0,
IF(COUNTIF($M:$M,$AH161)&lt;CC$8,
"",
INDEX($J:$J,MATCH($AH161,$M:$M,0)+CC$8-1)),
""),
"")</f>
        <v/>
      </c>
      <c r="CD161" s="21" t="str">
        <f>IFERROR(
IF(COUNTIF($BI161:CC161,INDEX($J:$J,MATCH($AH161,$M:$M,0)+CD$8-1))=0,
IF(COUNTIF($M:$M,$AH161)&lt;CD$8,
"",
INDEX($J:$J,MATCH($AH161,$M:$M,0)+CD$8-1)),
""),
"")</f>
        <v/>
      </c>
      <c r="CE161" s="21" t="str">
        <f>IFERROR(
IF(COUNTIF($BI161:CD161,INDEX($J:$J,MATCH($AH161,$M:$M,0)+CE$8-1))=0,
IF(COUNTIF($M:$M,$AH161)&lt;CE$8,
"",
INDEX($J:$J,MATCH($AH161,$M:$M,0)+CE$8-1)),
""),
"")</f>
        <v/>
      </c>
      <c r="CF161" s="21" t="str">
        <f>IFERROR(
IF(COUNTIF($BI161:CE161,INDEX($J:$J,MATCH($AH161,$M:$M,0)+CF$8-1))=0,
IF(COUNTIF($M:$M,$AH161)&lt;CF$8,
"",
INDEX($J:$J,MATCH($AH161,$M:$M,0)+CF$8-1)),
""),
"")</f>
        <v/>
      </c>
      <c r="CH161" s="21" t="str">
        <f>IFERROR(
IF(COUNTIF($BI161:CG161,INDEX($J:$J,MATCH($AI161,$M:$M,0)+CH$8-1))=0,
IF(COUNTIF($M:$M,$AI161)&lt;CH$8,
"",
INDEX($J:$J,MATCH($AI161,$M:$M,0)+CH$8-1)),
""),
"")</f>
        <v/>
      </c>
      <c r="CI161" s="21" t="str">
        <f>IFERROR(
IF(COUNTIF($BI161:CH161,INDEX($J:$J,MATCH($AI161,$M:$M,0)+CI$8-1))=0,
IF(COUNTIF($M:$M,$AI161)&lt;CI$8,
"",
INDEX($J:$J,MATCH($AI161,$M:$M,0)+CI$8-1)),
""),
"")</f>
        <v/>
      </c>
      <c r="CJ161" s="21" t="str">
        <f>IFERROR(
IF(COUNTIF($BI161:CI161,INDEX($J:$J,MATCH($AI161,$M:$M,0)+CJ$8-1))=0,
IF(COUNTIF($M:$M,$AI161)&lt;CJ$8,
"",
INDEX($J:$J,MATCH($AI161,$M:$M,0)+CJ$8-1)),
""),
"")</f>
        <v/>
      </c>
      <c r="CK161" s="21" t="str">
        <f>IFERROR(
IF(COUNTIF($BI161:CJ161,INDEX($J:$J,MATCH($AI161,$M:$M,0)+CK$8-1))=0,
IF(COUNTIF($M:$M,$AI161)&lt;CK$8,
"",
INDEX($J:$J,MATCH($AI161,$M:$M,0)+CK$8-1)),
""),
"")</f>
        <v/>
      </c>
      <c r="CM161" s="21" t="str">
        <f>IFERROR(
IF(COUNTIF($BI161:CL161,INDEX($J:$J,MATCH($AJ161,$M:$M,0)+CM$8-1))=0,
IF(COUNTIF($M:$M,$AJ161)&lt;CM$8,
"",
INDEX($J:$J,MATCH($AJ161,$M:$M,0)+CM$8-1)),
""),
"")</f>
        <v/>
      </c>
      <c r="CN161" s="21" t="str">
        <f>IFERROR(
IF(COUNTIF($BI161:CM161,INDEX($J:$J,MATCH($AJ161,$M:$M,0)+CN$8-1))=0,
IF(COUNTIF($M:$M,$AJ161)&lt;CN$8,
"",
INDEX($J:$J,MATCH($AJ161,$M:$M,0)+CN$8-1)),
""),
"")</f>
        <v/>
      </c>
      <c r="CO161" s="21" t="str">
        <f>IFERROR(
IF(COUNTIF($BI161:CN161,INDEX($J:$J,MATCH($AJ161,$M:$M,0)+CO$8-1))=0,
IF(COUNTIF($M:$M,$AJ161)&lt;CO$8,
"",
INDEX($J:$J,MATCH($AJ161,$M:$M,0)+CO$8-1)),
""),
"")</f>
        <v/>
      </c>
      <c r="CP161" s="21" t="str">
        <f>IFERROR(
IF(COUNTIF($BI161:CO161,INDEX($J:$J,MATCH($AJ161,$M:$M,0)+CP$8-1))=0,
IF(COUNTIF($M:$M,$AJ161)&lt;CP$8,
"",
INDEX($J:$J,MATCH($AJ161,$M:$M,0)+CP$8-1)),
""),
"")</f>
        <v/>
      </c>
      <c r="CR161" s="21" t="str">
        <f>IFERROR(
IF(COUNTIF($BI161:CQ161,INDEX($J:$J,MATCH($AK161,$M:$M,0)+CR$8-1))=0,
IF(COUNTIF($M:$M,$AK161)&lt;CR$8,
"",
INDEX($J:$J,MATCH($AK161,$M:$M,0)+CR$8-1)),
""),
"")</f>
        <v/>
      </c>
      <c r="CS161" s="21" t="str">
        <f>IFERROR(
IF(COUNTIF($BI161:CR161,INDEX($J:$J,MATCH($AK161,$M:$M,0)+CS$8-1))=0,
IF(COUNTIF($M:$M,$AK161)&lt;CS$8,
"",
INDEX($J:$J,MATCH($AK161,$M:$M,0)+CS$8-1)),
""),
"")</f>
        <v/>
      </c>
      <c r="CT161" s="21" t="str">
        <f>IFERROR(
IF(COUNTIF($BI161:CS161,INDEX($J:$J,MATCH($AK161,$M:$M,0)+CT$8-1))=0,
IF(COUNTIF($M:$M,$AK161)&lt;CT$8,
"",
INDEX($J:$J,MATCH($AK161,$M:$M,0)+CT$8-1)),
""),
"")</f>
        <v/>
      </c>
      <c r="CU161" s="21" t="str">
        <f>IFERROR(
IF(COUNTIF($BI161:CT161,INDEX($J:$J,MATCH($AK161,$M:$M,0)+CU$8-1))=0,
IF(COUNTIF($M:$M,$AK161)&lt;CU$8,
"",
INDEX($J:$J,MATCH($AK161,$M:$M,0)+CU$8-1)),
""),
"")</f>
        <v/>
      </c>
    </row>
    <row r="162" spans="8:99">
      <c r="H162" s="7" t="str">
        <f>IF(I162="","",COUNTA(I$9:$I162))</f>
        <v/>
      </c>
      <c r="I162" s="6"/>
      <c r="J162" s="6" t="s">
        <v>277</v>
      </c>
      <c r="K162" s="8" t="str">
        <f>IF(H162="","",阶段合并区域(J162:J164," ",L162:L164,1))</f>
        <v/>
      </c>
      <c r="L162" s="8">
        <f>COUNTIF(M$8:$M162,"="&amp;M162)</f>
        <v>2</v>
      </c>
      <c r="M162" s="9" t="str">
        <f t="shared" si="37"/>
        <v>一人之下</v>
      </c>
      <c r="N162" s="9" t="str">
        <f t="shared" si="38"/>
        <v>一人之下2</v>
      </c>
      <c r="O162" s="15">
        <f>INDEX(C:C,MATCH(J162,D:D,0))</f>
        <v>6</v>
      </c>
      <c r="P162" s="9">
        <f>INDEX(E:E,MATCH(J162,D:D,0))</f>
        <v>120</v>
      </c>
      <c r="Q162" s="7">
        <f t="shared" si="34"/>
        <v>6</v>
      </c>
      <c r="R162" s="7">
        <f>COUNTIF(J$8:$J162,"="&amp;J162)</f>
        <v>5</v>
      </c>
      <c r="S162" s="7">
        <f t="shared" si="39"/>
        <v>5006</v>
      </c>
      <c r="U162" s="7">
        <f t="shared" si="36"/>
        <v>1000</v>
      </c>
      <c r="V162" s="7">
        <f t="shared" si="36"/>
        <v>2000</v>
      </c>
      <c r="W162" s="7">
        <f t="shared" si="36"/>
        <v>3000</v>
      </c>
      <c r="X162" s="7">
        <f t="shared" si="36"/>
        <v>4000</v>
      </c>
      <c r="Y162" s="7">
        <f t="shared" si="36"/>
        <v>5000</v>
      </c>
      <c r="Z162" s="7">
        <f t="shared" si="36"/>
        <v>6000</v>
      </c>
      <c r="AA162" s="7">
        <f t="shared" si="36"/>
        <v>7000</v>
      </c>
      <c r="AB162" s="7">
        <f t="shared" si="36"/>
        <v>8000</v>
      </c>
      <c r="AD162" s="21" t="str">
        <f>IFERROR(INDEX($M:$M,MATCH(U162,$S:$S,0)),"&amp;")</f>
        <v>&amp;</v>
      </c>
      <c r="AE162" s="21" t="str">
        <f>IFERROR(INDEX($M:$M,MATCH(V162,$S:$S,0)),"&amp;")</f>
        <v>&amp;</v>
      </c>
      <c r="AF162" s="21" t="str">
        <f>IFERROR(INDEX($M:$M,MATCH(W162,$S:$S,0)),"&amp;")</f>
        <v>&amp;</v>
      </c>
      <c r="AG162" s="21" t="str">
        <f>IFERROR(INDEX($M:$M,MATCH(X162,$S:$S,0)),"&amp;")</f>
        <v>&amp;</v>
      </c>
      <c r="AH162" s="21" t="str">
        <f>IFERROR(INDEX($M:$M,MATCH(Y162,$S:$S,0)),"&amp;")</f>
        <v>&amp;</v>
      </c>
      <c r="AI162" s="21" t="str">
        <f>IFERROR(INDEX($M:$M,MATCH(Z162,$S:$S,0)),"&amp;")</f>
        <v>&amp;</v>
      </c>
      <c r="AJ162" s="21" t="str">
        <f>IFERROR(INDEX($M:$M,MATCH(AA162,$S:$S,0)),"&amp;")</f>
        <v>&amp;</v>
      </c>
      <c r="AK162" s="21" t="str">
        <f>IFERROR(INDEX($M:$M,MATCH(AB162,$S:$S,0)),"&amp;")</f>
        <v>&amp;</v>
      </c>
      <c r="AM162" s="21" t="str">
        <f>IFERROR(INDEX($N:$N,MATCH(U162,$S:$S,0)),"&amp;")</f>
        <v>&amp;</v>
      </c>
      <c r="AN162" s="21" t="str">
        <f>IFERROR(INDEX($N:$N,MATCH(V162,$S:$S,0)),"&amp;")</f>
        <v>&amp;</v>
      </c>
      <c r="AO162" s="21" t="str">
        <f>IFERROR(INDEX($N:$N,MATCH(W162,$S:$S,0)),"&amp;")</f>
        <v>&amp;</v>
      </c>
      <c r="AP162" s="21" t="str">
        <f>IFERROR(INDEX($N:$N,MATCH(X162,$S:$S,0)),"&amp;")</f>
        <v>&amp;</v>
      </c>
      <c r="AQ162" s="21" t="str">
        <f>IFERROR(INDEX($N:$N,MATCH(Y162,$S:$S,0)),"&amp;")</f>
        <v>&amp;</v>
      </c>
      <c r="AR162" s="21" t="str">
        <f>IFERROR(INDEX($N:$N,MATCH(Z162,$S:$S,0)),"&amp;")</f>
        <v>&amp;</v>
      </c>
      <c r="AS162" s="21" t="str">
        <f>IFERROR(INDEX($N:$N,MATCH(AA162,$S:$S,0)),"&amp;")</f>
        <v>&amp;</v>
      </c>
      <c r="AT162" s="21" t="str">
        <f>IFERROR(INDEX($N:$N,MATCH(AB162,$S:$S,0)),"&amp;")</f>
        <v>&amp;</v>
      </c>
      <c r="AV162" s="21" t="str">
        <f>IFERROR(SUBSTITUTE(INDEX($K:$K,MATCH(INDEX($M:$M,MATCH(AM162,$N:$N,0)),$M:$M,0)),$D162,""),"")</f>
        <v/>
      </c>
      <c r="AW162" s="21" t="str">
        <f>IFERROR(SUBSTITUTE(INDEX($K:$K,MATCH(INDEX($M:$M,MATCH(AN162,$N:$N,0)),$M:$M,0)),$D162,""),"")</f>
        <v/>
      </c>
      <c r="AX162" s="21" t="str">
        <f>IFERROR(SUBSTITUTE(INDEX($K:$K,MATCH(INDEX($M:$M,MATCH(AO162,$N:$N,0)),$M:$M,0)),$D162,""),"")</f>
        <v/>
      </c>
      <c r="AY162" s="21" t="str">
        <f>IFERROR(SUBSTITUTE(INDEX($K:$K,MATCH(INDEX($M:$M,MATCH(AP162,$N:$N,0)),$M:$M,0)),$D162,""),"")</f>
        <v/>
      </c>
      <c r="AZ162" s="21" t="str">
        <f>IFERROR(SUBSTITUTE(INDEX($K:$K,MATCH(INDEX($M:$M,MATCH(AQ162,$N:$N,0)),$M:$M,0)),$D162,""),"")</f>
        <v/>
      </c>
      <c r="BA162" s="21" t="str">
        <f>IFERROR(SUBSTITUTE(INDEX($K:$K,MATCH(INDEX($M:$M,MATCH(AR162,$N:$N,0)),$M:$M,0)),$D162,""),"")</f>
        <v/>
      </c>
      <c r="BB162" s="21" t="str">
        <f>IFERROR(SUBSTITUTE(INDEX($K:$K,MATCH(INDEX($M:$M,MATCH(AS162,$N:$N,0)),$M:$M,0)),$D162,""),"")</f>
        <v/>
      </c>
      <c r="BC162" s="21" t="str">
        <f>IFERROR(SUBSTITUTE(INDEX($K:$K,MATCH(INDEX($M:$M,MATCH(AT162,$N:$N,0)),$M:$M,0)),$D162,""),"")</f>
        <v/>
      </c>
      <c r="BE162" s="9" t="str">
        <f t="shared" si="35"/>
        <v/>
      </c>
      <c r="BI162" s="9" t="str">
        <f>IFERROR(
IF(COUNTIF($M:$M,$AD162)&lt;BI$8,
"",
INDEX($J:$J,MATCH($AD162,$M:$M,0)+BI$8-1)),
"")</f>
        <v/>
      </c>
      <c r="BJ162" s="9" t="str">
        <f>IFERROR(
IF(COUNTIF($M:$M,$AD162)&lt;BJ$8,
"",
INDEX($J:$J,MATCH($AD162,$M:$M,0)+BJ$8-1)),
"")</f>
        <v/>
      </c>
      <c r="BK162" s="9" t="str">
        <f>IFERROR(
IF(COUNTIF($M:$M,$AD162)&lt;BK$8,
"",
INDEX($J:$J,MATCH($AD162,$M:$M,0)+BK$8-1)),
"")</f>
        <v/>
      </c>
      <c r="BL162" s="9" t="str">
        <f>IFERROR(
IF(COUNTIF($M:$M,$AD162)&lt;BL$8,
"",
INDEX($J:$J,MATCH($AD162,$M:$M,0)+BL$8-1)),
"")</f>
        <v/>
      </c>
      <c r="BN162" s="21" t="str">
        <f>IFERROR(
IF(COUNTIF($BI162:BM162,INDEX($J:$J,MATCH($AE162,$M:$M,0)+BN$8-1))=0,
IF(COUNTIF($M:$M,$AE162)&lt;BN$8,
"",
INDEX($J:$J,MATCH($AE162,$M:$M,0)+BN$8-1)),
""),
"")</f>
        <v/>
      </c>
      <c r="BO162" s="21" t="str">
        <f>IFERROR(
IF(COUNTIF($BI162:BN162,INDEX($J:$J,MATCH($AE162,$M:$M,0)+BO$8-1))=0,
IF(COUNTIF($M:$M,$AE162)&lt;BO$8,
"",
INDEX($J:$J,MATCH($AE162,$M:$M,0)+BO$8-1)),
""),
"")</f>
        <v/>
      </c>
      <c r="BP162" s="21" t="str">
        <f>IFERROR(
IF(COUNTIF($BI162:BO162,INDEX($J:$J,MATCH($AE162,$M:$M,0)+BP$8-1))=0,
IF(COUNTIF($M:$M,$AE162)&lt;BP$8,
"",
INDEX($J:$J,MATCH($AE162,$M:$M,0)+BP$8-1)),
""),
"")</f>
        <v/>
      </c>
      <c r="BQ162" s="21" t="str">
        <f>IFERROR(
IF(COUNTIF($BI162:BP162,INDEX($J:$J,MATCH($AE162,$M:$M,0)+BQ$8-1))=0,
IF(COUNTIF($M:$M,$AE162)&lt;BQ$8,
"",
INDEX($J:$J,MATCH($AE162,$M:$M,0)+BQ$8-1)),
""),
"")</f>
        <v/>
      </c>
      <c r="BS162" s="21" t="str">
        <f>IFERROR(
IF(COUNTIF($BI162:BR162,INDEX($J:$J,MATCH($AF162,$M:$M,0)+BS$8-1))=0,
IF(COUNTIF($M:$M,$AF162)&lt;BS$8,
"",
INDEX($J:$J,MATCH($AF162,$M:$M,0)+BS$8-1)),
""),
"")</f>
        <v/>
      </c>
      <c r="BT162" s="21" t="str">
        <f>IFERROR(
IF(COUNTIF($BI162:BS162,INDEX($J:$J,MATCH($AF162,$M:$M,0)+BT$8-1))=0,
IF(COUNTIF($M:$M,$AF162)&lt;BT$8,
"",
INDEX($J:$J,MATCH($AF162,$M:$M,0)+BT$8-1)),
""),
"")</f>
        <v/>
      </c>
      <c r="BU162" s="21" t="str">
        <f>IFERROR(
IF(COUNTIF($BI162:BT162,INDEX($J:$J,MATCH($AF162,$M:$M,0)+BU$8-1))=0,
IF(COUNTIF($M:$M,$AF162)&lt;BU$8,
"",
INDEX($J:$J,MATCH($AF162,$M:$M,0)+BU$8-1)),
""),
"")</f>
        <v/>
      </c>
      <c r="BV162" s="21" t="str">
        <f>IFERROR(
IF(COUNTIF($BI162:BU162,INDEX($J:$J,MATCH($AF162,$M:$M,0)+BV$8-1))=0,
IF(COUNTIF($M:$M,$AF162)&lt;BV$8,
"",
INDEX($J:$J,MATCH($AF162,$M:$M,0)+BV$8-1)),
""),
"")</f>
        <v/>
      </c>
      <c r="BX162" s="21" t="str">
        <f>IFERROR(
IF(COUNTIF($BI162:BW162,INDEX($J:$J,MATCH($AG162,$M:$M,0)+BX$8-1))=0,
IF(COUNTIF($M:$M,$AG162)&lt;BX$8,
"",
INDEX($J:$J,MATCH($AG162,$M:$M,0)+BX$8-1)),
""),
"")</f>
        <v/>
      </c>
      <c r="BY162" s="21" t="str">
        <f>IFERROR(
IF(COUNTIF($BI162:BX162,INDEX($J:$J,MATCH($AG162,$M:$M,0)+BY$8-1))=0,
IF(COUNTIF($M:$M,$AG162)&lt;BY$8,
"",
INDEX($J:$J,MATCH($AG162,$M:$M,0)+BY$8-1)),
""),
"")</f>
        <v/>
      </c>
      <c r="BZ162" s="21" t="str">
        <f>IFERROR(
IF(COUNTIF($BI162:BY162,INDEX($J:$J,MATCH($AG162,$M:$M,0)+BZ$8-1))=0,
IF(COUNTIF($M:$M,$AG162)&lt;BZ$8,
"",
INDEX($J:$J,MATCH($AG162,$M:$M,0)+BZ$8-1)),
""),
"")</f>
        <v/>
      </c>
      <c r="CA162" s="21" t="str">
        <f>IFERROR(
IF(COUNTIF($BI162:BZ162,INDEX($J:$J,MATCH($AG162,$M:$M,0)+CA$8-1))=0,
IF(COUNTIF($M:$M,$AG162)&lt;CA$8,
"",
INDEX($J:$J,MATCH($AG162,$M:$M,0)+CA$8-1)),
""),
"")</f>
        <v/>
      </c>
      <c r="CC162" s="21" t="str">
        <f>IFERROR(
IF(COUNTIF($BI162:CB162,INDEX($J:$J,MATCH($AH162,$M:$M,0)+CC$8-1))=0,
IF(COUNTIF($M:$M,$AH162)&lt;CC$8,
"",
INDEX($J:$J,MATCH($AH162,$M:$M,0)+CC$8-1)),
""),
"")</f>
        <v/>
      </c>
      <c r="CD162" s="21" t="str">
        <f>IFERROR(
IF(COUNTIF($BI162:CC162,INDEX($J:$J,MATCH($AH162,$M:$M,0)+CD$8-1))=0,
IF(COUNTIF($M:$M,$AH162)&lt;CD$8,
"",
INDEX($J:$J,MATCH($AH162,$M:$M,0)+CD$8-1)),
""),
"")</f>
        <v/>
      </c>
      <c r="CE162" s="21" t="str">
        <f>IFERROR(
IF(COUNTIF($BI162:CD162,INDEX($J:$J,MATCH($AH162,$M:$M,0)+CE$8-1))=0,
IF(COUNTIF($M:$M,$AH162)&lt;CE$8,
"",
INDEX($J:$J,MATCH($AH162,$M:$M,0)+CE$8-1)),
""),
"")</f>
        <v/>
      </c>
      <c r="CF162" s="21" t="str">
        <f>IFERROR(
IF(COUNTIF($BI162:CE162,INDEX($J:$J,MATCH($AH162,$M:$M,0)+CF$8-1))=0,
IF(COUNTIF($M:$M,$AH162)&lt;CF$8,
"",
INDEX($J:$J,MATCH($AH162,$M:$M,0)+CF$8-1)),
""),
"")</f>
        <v/>
      </c>
      <c r="CH162" s="21" t="str">
        <f>IFERROR(
IF(COUNTIF($BI162:CG162,INDEX($J:$J,MATCH($AI162,$M:$M,0)+CH$8-1))=0,
IF(COUNTIF($M:$M,$AI162)&lt;CH$8,
"",
INDEX($J:$J,MATCH($AI162,$M:$M,0)+CH$8-1)),
""),
"")</f>
        <v/>
      </c>
      <c r="CI162" s="21" t="str">
        <f>IFERROR(
IF(COUNTIF($BI162:CH162,INDEX($J:$J,MATCH($AI162,$M:$M,0)+CI$8-1))=0,
IF(COUNTIF($M:$M,$AI162)&lt;CI$8,
"",
INDEX($J:$J,MATCH($AI162,$M:$M,0)+CI$8-1)),
""),
"")</f>
        <v/>
      </c>
      <c r="CJ162" s="21" t="str">
        <f>IFERROR(
IF(COUNTIF($BI162:CI162,INDEX($J:$J,MATCH($AI162,$M:$M,0)+CJ$8-1))=0,
IF(COUNTIF($M:$M,$AI162)&lt;CJ$8,
"",
INDEX($J:$J,MATCH($AI162,$M:$M,0)+CJ$8-1)),
""),
"")</f>
        <v/>
      </c>
      <c r="CK162" s="21" t="str">
        <f>IFERROR(
IF(COUNTIF($BI162:CJ162,INDEX($J:$J,MATCH($AI162,$M:$M,0)+CK$8-1))=0,
IF(COUNTIF($M:$M,$AI162)&lt;CK$8,
"",
INDEX($J:$J,MATCH($AI162,$M:$M,0)+CK$8-1)),
""),
"")</f>
        <v/>
      </c>
      <c r="CM162" s="21" t="str">
        <f>IFERROR(
IF(COUNTIF($BI162:CL162,INDEX($J:$J,MATCH($AJ162,$M:$M,0)+CM$8-1))=0,
IF(COUNTIF($M:$M,$AJ162)&lt;CM$8,
"",
INDEX($J:$J,MATCH($AJ162,$M:$M,0)+CM$8-1)),
""),
"")</f>
        <v/>
      </c>
      <c r="CN162" s="21" t="str">
        <f>IFERROR(
IF(COUNTIF($BI162:CM162,INDEX($J:$J,MATCH($AJ162,$M:$M,0)+CN$8-1))=0,
IF(COUNTIF($M:$M,$AJ162)&lt;CN$8,
"",
INDEX($J:$J,MATCH($AJ162,$M:$M,0)+CN$8-1)),
""),
"")</f>
        <v/>
      </c>
      <c r="CO162" s="21" t="str">
        <f>IFERROR(
IF(COUNTIF($BI162:CN162,INDEX($J:$J,MATCH($AJ162,$M:$M,0)+CO$8-1))=0,
IF(COUNTIF($M:$M,$AJ162)&lt;CO$8,
"",
INDEX($J:$J,MATCH($AJ162,$M:$M,0)+CO$8-1)),
""),
"")</f>
        <v/>
      </c>
      <c r="CP162" s="21" t="str">
        <f>IFERROR(
IF(COUNTIF($BI162:CO162,INDEX($J:$J,MATCH($AJ162,$M:$M,0)+CP$8-1))=0,
IF(COUNTIF($M:$M,$AJ162)&lt;CP$8,
"",
INDEX($J:$J,MATCH($AJ162,$M:$M,0)+CP$8-1)),
""),
"")</f>
        <v/>
      </c>
      <c r="CR162" s="21" t="str">
        <f>IFERROR(
IF(COUNTIF($BI162:CQ162,INDEX($J:$J,MATCH($AK162,$M:$M,0)+CR$8-1))=0,
IF(COUNTIF($M:$M,$AK162)&lt;CR$8,
"",
INDEX($J:$J,MATCH($AK162,$M:$M,0)+CR$8-1)),
""),
"")</f>
        <v/>
      </c>
      <c r="CS162" s="21" t="str">
        <f>IFERROR(
IF(COUNTIF($BI162:CR162,INDEX($J:$J,MATCH($AK162,$M:$M,0)+CS$8-1))=0,
IF(COUNTIF($M:$M,$AK162)&lt;CS$8,
"",
INDEX($J:$J,MATCH($AK162,$M:$M,0)+CS$8-1)),
""),
"")</f>
        <v/>
      </c>
      <c r="CT162" s="21" t="str">
        <f>IFERROR(
IF(COUNTIF($BI162:CS162,INDEX($J:$J,MATCH($AK162,$M:$M,0)+CT$8-1))=0,
IF(COUNTIF($M:$M,$AK162)&lt;CT$8,
"",
INDEX($J:$J,MATCH($AK162,$M:$M,0)+CT$8-1)),
""),
"")</f>
        <v/>
      </c>
      <c r="CU162" s="21" t="str">
        <f>IFERROR(
IF(COUNTIF($BI162:CT162,INDEX($J:$J,MATCH($AK162,$M:$M,0)+CU$8-1))=0,
IF(COUNTIF($M:$M,$AK162)&lt;CU$8,
"",
INDEX($J:$J,MATCH($AK162,$M:$M,0)+CU$8-1)),
""),
"")</f>
        <v/>
      </c>
    </row>
    <row r="163" spans="8:99">
      <c r="H163" s="7" t="str">
        <f>IF(I163="","",COUNTA(I$9:$I163))</f>
        <v/>
      </c>
      <c r="I163" s="6"/>
      <c r="J163" s="6" t="s">
        <v>230</v>
      </c>
      <c r="K163" s="8" t="str">
        <f>IF(H163="","",阶段合并区域(J163:J167," ",L163:L167,1))</f>
        <v/>
      </c>
      <c r="L163" s="8">
        <f>COUNTIF(M$8:$M163,"="&amp;M163)</f>
        <v>3</v>
      </c>
      <c r="M163" s="9" t="str">
        <f t="shared" si="37"/>
        <v>一人之下</v>
      </c>
      <c r="N163" s="9" t="str">
        <f t="shared" si="38"/>
        <v>一人之下3</v>
      </c>
      <c r="O163" s="15">
        <f>INDEX(C:C,MATCH(J163,D:D,0))</f>
        <v>57</v>
      </c>
      <c r="P163" s="9">
        <f>INDEX(E:E,MATCH(J163,D:D,0))</f>
        <v>120</v>
      </c>
      <c r="Q163" s="7">
        <f t="shared" si="34"/>
        <v>57</v>
      </c>
      <c r="R163" s="7">
        <f>COUNTIF(J$8:$J163,"="&amp;J163)</f>
        <v>5</v>
      </c>
      <c r="S163" s="7">
        <f t="shared" si="39"/>
        <v>5057</v>
      </c>
      <c r="U163" s="7">
        <f t="shared" si="36"/>
        <v>1000</v>
      </c>
      <c r="V163" s="7">
        <f t="shared" si="36"/>
        <v>2000</v>
      </c>
      <c r="W163" s="7">
        <f t="shared" si="36"/>
        <v>3000</v>
      </c>
      <c r="X163" s="7">
        <f t="shared" si="36"/>
        <v>4000</v>
      </c>
      <c r="Y163" s="7">
        <f t="shared" si="36"/>
        <v>5000</v>
      </c>
      <c r="Z163" s="7">
        <f t="shared" si="36"/>
        <v>6000</v>
      </c>
      <c r="AA163" s="7">
        <f t="shared" si="36"/>
        <v>7000</v>
      </c>
      <c r="AB163" s="7">
        <f t="shared" si="36"/>
        <v>8000</v>
      </c>
      <c r="AD163" s="21" t="str">
        <f>IFERROR(INDEX($M:$M,MATCH(U163,$S:$S,0)),"&amp;")</f>
        <v>&amp;</v>
      </c>
      <c r="AE163" s="21" t="str">
        <f>IFERROR(INDEX($M:$M,MATCH(V163,$S:$S,0)),"&amp;")</f>
        <v>&amp;</v>
      </c>
      <c r="AF163" s="21" t="str">
        <f>IFERROR(INDEX($M:$M,MATCH(W163,$S:$S,0)),"&amp;")</f>
        <v>&amp;</v>
      </c>
      <c r="AG163" s="21" t="str">
        <f>IFERROR(INDEX($M:$M,MATCH(X163,$S:$S,0)),"&amp;")</f>
        <v>&amp;</v>
      </c>
      <c r="AH163" s="21" t="str">
        <f>IFERROR(INDEX($M:$M,MATCH(Y163,$S:$S,0)),"&amp;")</f>
        <v>&amp;</v>
      </c>
      <c r="AI163" s="21" t="str">
        <f>IFERROR(INDEX($M:$M,MATCH(Z163,$S:$S,0)),"&amp;")</f>
        <v>&amp;</v>
      </c>
      <c r="AJ163" s="21" t="str">
        <f>IFERROR(INDEX($M:$M,MATCH(AA163,$S:$S,0)),"&amp;")</f>
        <v>&amp;</v>
      </c>
      <c r="AK163" s="21" t="str">
        <f>IFERROR(INDEX($M:$M,MATCH(AB163,$S:$S,0)),"&amp;")</f>
        <v>&amp;</v>
      </c>
      <c r="AM163" s="21" t="str">
        <f>IFERROR(INDEX($N:$N,MATCH(U163,$S:$S,0)),"&amp;")</f>
        <v>&amp;</v>
      </c>
      <c r="AN163" s="21" t="str">
        <f>IFERROR(INDEX($N:$N,MATCH(V163,$S:$S,0)),"&amp;")</f>
        <v>&amp;</v>
      </c>
      <c r="AO163" s="21" t="str">
        <f>IFERROR(INDEX($N:$N,MATCH(W163,$S:$S,0)),"&amp;")</f>
        <v>&amp;</v>
      </c>
      <c r="AP163" s="21" t="str">
        <f>IFERROR(INDEX($N:$N,MATCH(X163,$S:$S,0)),"&amp;")</f>
        <v>&amp;</v>
      </c>
      <c r="AQ163" s="21" t="str">
        <f>IFERROR(INDEX($N:$N,MATCH(Y163,$S:$S,0)),"&amp;")</f>
        <v>&amp;</v>
      </c>
      <c r="AR163" s="21" t="str">
        <f>IFERROR(INDEX($N:$N,MATCH(Z163,$S:$S,0)),"&amp;")</f>
        <v>&amp;</v>
      </c>
      <c r="AS163" s="21" t="str">
        <f>IFERROR(INDEX($N:$N,MATCH(AA163,$S:$S,0)),"&amp;")</f>
        <v>&amp;</v>
      </c>
      <c r="AT163" s="21" t="str">
        <f>IFERROR(INDEX($N:$N,MATCH(AB163,$S:$S,0)),"&amp;")</f>
        <v>&amp;</v>
      </c>
      <c r="AV163" s="21" t="str">
        <f>IFERROR(SUBSTITUTE(INDEX($K:$K,MATCH(INDEX($M:$M,MATCH(AM163,$N:$N,0)),$M:$M,0)),$D163,""),"")</f>
        <v/>
      </c>
      <c r="AW163" s="21" t="str">
        <f>IFERROR(SUBSTITUTE(INDEX($K:$K,MATCH(INDEX($M:$M,MATCH(AN163,$N:$N,0)),$M:$M,0)),$D163,""),"")</f>
        <v/>
      </c>
      <c r="AX163" s="21" t="str">
        <f>IFERROR(SUBSTITUTE(INDEX($K:$K,MATCH(INDEX($M:$M,MATCH(AO163,$N:$N,0)),$M:$M,0)),$D163,""),"")</f>
        <v/>
      </c>
      <c r="AY163" s="21" t="str">
        <f>IFERROR(SUBSTITUTE(INDEX($K:$K,MATCH(INDEX($M:$M,MATCH(AP163,$N:$N,0)),$M:$M,0)),$D163,""),"")</f>
        <v/>
      </c>
      <c r="AZ163" s="21" t="str">
        <f>IFERROR(SUBSTITUTE(INDEX($K:$K,MATCH(INDEX($M:$M,MATCH(AQ163,$N:$N,0)),$M:$M,0)),$D163,""),"")</f>
        <v/>
      </c>
      <c r="BA163" s="21" t="str">
        <f>IFERROR(SUBSTITUTE(INDEX($K:$K,MATCH(INDEX($M:$M,MATCH(AR163,$N:$N,0)),$M:$M,0)),$D163,""),"")</f>
        <v/>
      </c>
      <c r="BB163" s="21" t="str">
        <f>IFERROR(SUBSTITUTE(INDEX($K:$K,MATCH(INDEX($M:$M,MATCH(AS163,$N:$N,0)),$M:$M,0)),$D163,""),"")</f>
        <v/>
      </c>
      <c r="BC163" s="21" t="str">
        <f>IFERROR(SUBSTITUTE(INDEX($K:$K,MATCH(INDEX($M:$M,MATCH(AT163,$N:$N,0)),$M:$M,0)),$D163,""),"")</f>
        <v/>
      </c>
      <c r="BE163" s="9" t="str">
        <f t="shared" si="35"/>
        <v/>
      </c>
      <c r="BI163" s="9" t="str">
        <f>IFERROR(
IF(COUNTIF($M:$M,$AD163)&lt;BI$8,
"",
INDEX($J:$J,MATCH($AD163,$M:$M,0)+BI$8-1)),
"")</f>
        <v/>
      </c>
      <c r="BJ163" s="9" t="str">
        <f>IFERROR(
IF(COUNTIF($M:$M,$AD163)&lt;BJ$8,
"",
INDEX($J:$J,MATCH($AD163,$M:$M,0)+BJ$8-1)),
"")</f>
        <v/>
      </c>
      <c r="BK163" s="9" t="str">
        <f>IFERROR(
IF(COUNTIF($M:$M,$AD163)&lt;BK$8,
"",
INDEX($J:$J,MATCH($AD163,$M:$M,0)+BK$8-1)),
"")</f>
        <v/>
      </c>
      <c r="BL163" s="9" t="str">
        <f>IFERROR(
IF(COUNTIF($M:$M,$AD163)&lt;BL$8,
"",
INDEX($J:$J,MATCH($AD163,$M:$M,0)+BL$8-1)),
"")</f>
        <v/>
      </c>
      <c r="BN163" s="21" t="str">
        <f>IFERROR(
IF(COUNTIF($BI163:BM163,INDEX($J:$J,MATCH($AE163,$M:$M,0)+BN$8-1))=0,
IF(COUNTIF($M:$M,$AE163)&lt;BN$8,
"",
INDEX($J:$J,MATCH($AE163,$M:$M,0)+BN$8-1)),
""),
"")</f>
        <v/>
      </c>
      <c r="BO163" s="21" t="str">
        <f>IFERROR(
IF(COUNTIF($BI163:BN163,INDEX($J:$J,MATCH($AE163,$M:$M,0)+BO$8-1))=0,
IF(COUNTIF($M:$M,$AE163)&lt;BO$8,
"",
INDEX($J:$J,MATCH($AE163,$M:$M,0)+BO$8-1)),
""),
"")</f>
        <v/>
      </c>
      <c r="BP163" s="21" t="str">
        <f>IFERROR(
IF(COUNTIF($BI163:BO163,INDEX($J:$J,MATCH($AE163,$M:$M,0)+BP$8-1))=0,
IF(COUNTIF($M:$M,$AE163)&lt;BP$8,
"",
INDEX($J:$J,MATCH($AE163,$M:$M,0)+BP$8-1)),
""),
"")</f>
        <v/>
      </c>
      <c r="BQ163" s="21" t="str">
        <f>IFERROR(
IF(COUNTIF($BI163:BP163,INDEX($J:$J,MATCH($AE163,$M:$M,0)+BQ$8-1))=0,
IF(COUNTIF($M:$M,$AE163)&lt;BQ$8,
"",
INDEX($J:$J,MATCH($AE163,$M:$M,0)+BQ$8-1)),
""),
"")</f>
        <v/>
      </c>
      <c r="BS163" s="21" t="str">
        <f>IFERROR(
IF(COUNTIF($BI163:BR163,INDEX($J:$J,MATCH($AF163,$M:$M,0)+BS$8-1))=0,
IF(COUNTIF($M:$M,$AF163)&lt;BS$8,
"",
INDEX($J:$J,MATCH($AF163,$M:$M,0)+BS$8-1)),
""),
"")</f>
        <v/>
      </c>
      <c r="BT163" s="21" t="str">
        <f>IFERROR(
IF(COUNTIF($BI163:BS163,INDEX($J:$J,MATCH($AF163,$M:$M,0)+BT$8-1))=0,
IF(COUNTIF($M:$M,$AF163)&lt;BT$8,
"",
INDEX($J:$J,MATCH($AF163,$M:$M,0)+BT$8-1)),
""),
"")</f>
        <v/>
      </c>
      <c r="BU163" s="21" t="str">
        <f>IFERROR(
IF(COUNTIF($BI163:BT163,INDEX($J:$J,MATCH($AF163,$M:$M,0)+BU$8-1))=0,
IF(COUNTIF($M:$M,$AF163)&lt;BU$8,
"",
INDEX($J:$J,MATCH($AF163,$M:$M,0)+BU$8-1)),
""),
"")</f>
        <v/>
      </c>
      <c r="BV163" s="21" t="str">
        <f>IFERROR(
IF(COUNTIF($BI163:BU163,INDEX($J:$J,MATCH($AF163,$M:$M,0)+BV$8-1))=0,
IF(COUNTIF($M:$M,$AF163)&lt;BV$8,
"",
INDEX($J:$J,MATCH($AF163,$M:$M,0)+BV$8-1)),
""),
"")</f>
        <v/>
      </c>
      <c r="BX163" s="21" t="str">
        <f>IFERROR(
IF(COUNTIF($BI163:BW163,INDEX($J:$J,MATCH($AG163,$M:$M,0)+BX$8-1))=0,
IF(COUNTIF($M:$M,$AG163)&lt;BX$8,
"",
INDEX($J:$J,MATCH($AG163,$M:$M,0)+BX$8-1)),
""),
"")</f>
        <v/>
      </c>
      <c r="BY163" s="21" t="str">
        <f>IFERROR(
IF(COUNTIF($BI163:BX163,INDEX($J:$J,MATCH($AG163,$M:$M,0)+BY$8-1))=0,
IF(COUNTIF($M:$M,$AG163)&lt;BY$8,
"",
INDEX($J:$J,MATCH($AG163,$M:$M,0)+BY$8-1)),
""),
"")</f>
        <v/>
      </c>
      <c r="BZ163" s="21" t="str">
        <f>IFERROR(
IF(COUNTIF($BI163:BY163,INDEX($J:$J,MATCH($AG163,$M:$M,0)+BZ$8-1))=0,
IF(COUNTIF($M:$M,$AG163)&lt;BZ$8,
"",
INDEX($J:$J,MATCH($AG163,$M:$M,0)+BZ$8-1)),
""),
"")</f>
        <v/>
      </c>
      <c r="CA163" s="21" t="str">
        <f>IFERROR(
IF(COUNTIF($BI163:BZ163,INDEX($J:$J,MATCH($AG163,$M:$M,0)+CA$8-1))=0,
IF(COUNTIF($M:$M,$AG163)&lt;CA$8,
"",
INDEX($J:$J,MATCH($AG163,$M:$M,0)+CA$8-1)),
""),
"")</f>
        <v/>
      </c>
      <c r="CC163" s="21" t="str">
        <f>IFERROR(
IF(COUNTIF($BI163:CB163,INDEX($J:$J,MATCH($AH163,$M:$M,0)+CC$8-1))=0,
IF(COUNTIF($M:$M,$AH163)&lt;CC$8,
"",
INDEX($J:$J,MATCH($AH163,$M:$M,0)+CC$8-1)),
""),
"")</f>
        <v/>
      </c>
      <c r="CD163" s="21" t="str">
        <f>IFERROR(
IF(COUNTIF($BI163:CC163,INDEX($J:$J,MATCH($AH163,$M:$M,0)+CD$8-1))=0,
IF(COUNTIF($M:$M,$AH163)&lt;CD$8,
"",
INDEX($J:$J,MATCH($AH163,$M:$M,0)+CD$8-1)),
""),
"")</f>
        <v/>
      </c>
      <c r="CE163" s="21" t="str">
        <f>IFERROR(
IF(COUNTIF($BI163:CD163,INDEX($J:$J,MATCH($AH163,$M:$M,0)+CE$8-1))=0,
IF(COUNTIF($M:$M,$AH163)&lt;CE$8,
"",
INDEX($J:$J,MATCH($AH163,$M:$M,0)+CE$8-1)),
""),
"")</f>
        <v/>
      </c>
      <c r="CF163" s="21" t="str">
        <f>IFERROR(
IF(COUNTIF($BI163:CE163,INDEX($J:$J,MATCH($AH163,$M:$M,0)+CF$8-1))=0,
IF(COUNTIF($M:$M,$AH163)&lt;CF$8,
"",
INDEX($J:$J,MATCH($AH163,$M:$M,0)+CF$8-1)),
""),
"")</f>
        <v/>
      </c>
      <c r="CH163" s="21" t="str">
        <f>IFERROR(
IF(COUNTIF($BI163:CG163,INDEX($J:$J,MATCH($AI163,$M:$M,0)+CH$8-1))=0,
IF(COUNTIF($M:$M,$AI163)&lt;CH$8,
"",
INDEX($J:$J,MATCH($AI163,$M:$M,0)+CH$8-1)),
""),
"")</f>
        <v/>
      </c>
      <c r="CI163" s="21" t="str">
        <f>IFERROR(
IF(COUNTIF($BI163:CH163,INDEX($J:$J,MATCH($AI163,$M:$M,0)+CI$8-1))=0,
IF(COUNTIF($M:$M,$AI163)&lt;CI$8,
"",
INDEX($J:$J,MATCH($AI163,$M:$M,0)+CI$8-1)),
""),
"")</f>
        <v/>
      </c>
      <c r="CJ163" s="21" t="str">
        <f>IFERROR(
IF(COUNTIF($BI163:CI163,INDEX($J:$J,MATCH($AI163,$M:$M,0)+CJ$8-1))=0,
IF(COUNTIF($M:$M,$AI163)&lt;CJ$8,
"",
INDEX($J:$J,MATCH($AI163,$M:$M,0)+CJ$8-1)),
""),
"")</f>
        <v/>
      </c>
      <c r="CK163" s="21" t="str">
        <f>IFERROR(
IF(COUNTIF($BI163:CJ163,INDEX($J:$J,MATCH($AI163,$M:$M,0)+CK$8-1))=0,
IF(COUNTIF($M:$M,$AI163)&lt;CK$8,
"",
INDEX($J:$J,MATCH($AI163,$M:$M,0)+CK$8-1)),
""),
"")</f>
        <v/>
      </c>
      <c r="CM163" s="21" t="str">
        <f>IFERROR(
IF(COUNTIF($BI163:CL163,INDEX($J:$J,MATCH($AJ163,$M:$M,0)+CM$8-1))=0,
IF(COUNTIF($M:$M,$AJ163)&lt;CM$8,
"",
INDEX($J:$J,MATCH($AJ163,$M:$M,0)+CM$8-1)),
""),
"")</f>
        <v/>
      </c>
      <c r="CN163" s="21" t="str">
        <f>IFERROR(
IF(COUNTIF($BI163:CM163,INDEX($J:$J,MATCH($AJ163,$M:$M,0)+CN$8-1))=0,
IF(COUNTIF($M:$M,$AJ163)&lt;CN$8,
"",
INDEX($J:$J,MATCH($AJ163,$M:$M,0)+CN$8-1)),
""),
"")</f>
        <v/>
      </c>
      <c r="CO163" s="21" t="str">
        <f>IFERROR(
IF(COUNTIF($BI163:CN163,INDEX($J:$J,MATCH($AJ163,$M:$M,0)+CO$8-1))=0,
IF(COUNTIF($M:$M,$AJ163)&lt;CO$8,
"",
INDEX($J:$J,MATCH($AJ163,$M:$M,0)+CO$8-1)),
""),
"")</f>
        <v/>
      </c>
      <c r="CP163" s="21" t="str">
        <f>IFERROR(
IF(COUNTIF($BI163:CO163,INDEX($J:$J,MATCH($AJ163,$M:$M,0)+CP$8-1))=0,
IF(COUNTIF($M:$M,$AJ163)&lt;CP$8,
"",
INDEX($J:$J,MATCH($AJ163,$M:$M,0)+CP$8-1)),
""),
"")</f>
        <v/>
      </c>
      <c r="CR163" s="21" t="str">
        <f>IFERROR(
IF(COUNTIF($BI163:CQ163,INDEX($J:$J,MATCH($AK163,$M:$M,0)+CR$8-1))=0,
IF(COUNTIF($M:$M,$AK163)&lt;CR$8,
"",
INDEX($J:$J,MATCH($AK163,$M:$M,0)+CR$8-1)),
""),
"")</f>
        <v/>
      </c>
      <c r="CS163" s="21" t="str">
        <f>IFERROR(
IF(COUNTIF($BI163:CR163,INDEX($J:$J,MATCH($AK163,$M:$M,0)+CS$8-1))=0,
IF(COUNTIF($M:$M,$AK163)&lt;CS$8,
"",
INDEX($J:$J,MATCH($AK163,$M:$M,0)+CS$8-1)),
""),
"")</f>
        <v/>
      </c>
      <c r="CT163" s="21" t="str">
        <f>IFERROR(
IF(COUNTIF($BI163:CS163,INDEX($J:$J,MATCH($AK163,$M:$M,0)+CT$8-1))=0,
IF(COUNTIF($M:$M,$AK163)&lt;CT$8,
"",
INDEX($J:$J,MATCH($AK163,$M:$M,0)+CT$8-1)),
""),
"")</f>
        <v/>
      </c>
      <c r="CU163" s="21" t="str">
        <f>IFERROR(
IF(COUNTIF($BI163:CT163,INDEX($J:$J,MATCH($AK163,$M:$M,0)+CU$8-1))=0,
IF(COUNTIF($M:$M,$AK163)&lt;CU$8,
"",
INDEX($J:$J,MATCH($AK163,$M:$M,0)+CU$8-1)),
""),
"")</f>
        <v/>
      </c>
    </row>
    <row r="164" spans="8:99">
      <c r="H164" s="7" t="str">
        <f>IF(I164="","",COUNTA(I$9:$I164))</f>
        <v/>
      </c>
      <c r="I164" s="6"/>
      <c r="J164" s="6" t="s">
        <v>239</v>
      </c>
      <c r="K164" s="8" t="str">
        <f>IF(H164="","",阶段合并区域(J164:J167," ",L164:L167,1))</f>
        <v/>
      </c>
      <c r="L164" s="8">
        <f>COUNTIF(M$8:$M164,"="&amp;M164)</f>
        <v>4</v>
      </c>
      <c r="M164" s="9" t="str">
        <f t="shared" si="37"/>
        <v>一人之下</v>
      </c>
      <c r="N164" s="9" t="str">
        <f t="shared" si="38"/>
        <v>一人之下4</v>
      </c>
      <c r="O164" s="15">
        <f>INDEX(C:C,MATCH(J164,D:D,0))</f>
        <v>54</v>
      </c>
      <c r="P164" s="9">
        <f>INDEX(E:E,MATCH(J164,D:D,0))</f>
        <v>120</v>
      </c>
      <c r="Q164" s="7">
        <f t="shared" si="34"/>
        <v>54</v>
      </c>
      <c r="R164" s="7">
        <f>COUNTIF(J$8:$J164,"="&amp;J164)</f>
        <v>5</v>
      </c>
      <c r="S164" s="7">
        <f t="shared" si="39"/>
        <v>5054</v>
      </c>
      <c r="U164" s="7">
        <f t="shared" si="36"/>
        <v>1000</v>
      </c>
      <c r="V164" s="7">
        <f t="shared" si="36"/>
        <v>2000</v>
      </c>
      <c r="W164" s="7">
        <f t="shared" si="36"/>
        <v>3000</v>
      </c>
      <c r="X164" s="7">
        <f t="shared" si="36"/>
        <v>4000</v>
      </c>
      <c r="Y164" s="7">
        <f t="shared" si="36"/>
        <v>5000</v>
      </c>
      <c r="Z164" s="7">
        <f t="shared" si="36"/>
        <v>6000</v>
      </c>
      <c r="AA164" s="7">
        <f t="shared" si="36"/>
        <v>7000</v>
      </c>
      <c r="AB164" s="7">
        <f t="shared" si="36"/>
        <v>8000</v>
      </c>
      <c r="AD164" s="21" t="str">
        <f>IFERROR(INDEX($M:$M,MATCH(U164,$S:$S,0)),"&amp;")</f>
        <v>&amp;</v>
      </c>
      <c r="AE164" s="21" t="str">
        <f>IFERROR(INDEX($M:$M,MATCH(V164,$S:$S,0)),"&amp;")</f>
        <v>&amp;</v>
      </c>
      <c r="AF164" s="21" t="str">
        <f>IFERROR(INDEX($M:$M,MATCH(W164,$S:$S,0)),"&amp;")</f>
        <v>&amp;</v>
      </c>
      <c r="AG164" s="21" t="str">
        <f>IFERROR(INDEX($M:$M,MATCH(X164,$S:$S,0)),"&amp;")</f>
        <v>&amp;</v>
      </c>
      <c r="AH164" s="21" t="str">
        <f>IFERROR(INDEX($M:$M,MATCH(Y164,$S:$S,0)),"&amp;")</f>
        <v>&amp;</v>
      </c>
      <c r="AI164" s="21" t="str">
        <f>IFERROR(INDEX($M:$M,MATCH(Z164,$S:$S,0)),"&amp;")</f>
        <v>&amp;</v>
      </c>
      <c r="AJ164" s="21" t="str">
        <f>IFERROR(INDEX($M:$M,MATCH(AA164,$S:$S,0)),"&amp;")</f>
        <v>&amp;</v>
      </c>
      <c r="AK164" s="21" t="str">
        <f>IFERROR(INDEX($M:$M,MATCH(AB164,$S:$S,0)),"&amp;")</f>
        <v>&amp;</v>
      </c>
      <c r="AM164" s="21" t="str">
        <f>IFERROR(INDEX($N:$N,MATCH(U164,$S:$S,0)),"&amp;")</f>
        <v>&amp;</v>
      </c>
      <c r="AN164" s="21" t="str">
        <f>IFERROR(INDEX($N:$N,MATCH(V164,$S:$S,0)),"&amp;")</f>
        <v>&amp;</v>
      </c>
      <c r="AO164" s="21" t="str">
        <f>IFERROR(INDEX($N:$N,MATCH(W164,$S:$S,0)),"&amp;")</f>
        <v>&amp;</v>
      </c>
      <c r="AP164" s="21" t="str">
        <f>IFERROR(INDEX($N:$N,MATCH(X164,$S:$S,0)),"&amp;")</f>
        <v>&amp;</v>
      </c>
      <c r="AQ164" s="21" t="str">
        <f>IFERROR(INDEX($N:$N,MATCH(Y164,$S:$S,0)),"&amp;")</f>
        <v>&amp;</v>
      </c>
      <c r="AR164" s="21" t="str">
        <f>IFERROR(INDEX($N:$N,MATCH(Z164,$S:$S,0)),"&amp;")</f>
        <v>&amp;</v>
      </c>
      <c r="AS164" s="21" t="str">
        <f>IFERROR(INDEX($N:$N,MATCH(AA164,$S:$S,0)),"&amp;")</f>
        <v>&amp;</v>
      </c>
      <c r="AT164" s="21" t="str">
        <f>IFERROR(INDEX($N:$N,MATCH(AB164,$S:$S,0)),"&amp;")</f>
        <v>&amp;</v>
      </c>
      <c r="AV164" s="21" t="str">
        <f>IFERROR(SUBSTITUTE(INDEX($K:$K,MATCH(INDEX($M:$M,MATCH(AM164,$N:$N,0)),$M:$M,0)),$D164,""),"")</f>
        <v/>
      </c>
      <c r="AW164" s="21" t="str">
        <f>IFERROR(SUBSTITUTE(INDEX($K:$K,MATCH(INDEX($M:$M,MATCH(AN164,$N:$N,0)),$M:$M,0)),$D164,""),"")</f>
        <v/>
      </c>
      <c r="AX164" s="21" t="str">
        <f>IFERROR(SUBSTITUTE(INDEX($K:$K,MATCH(INDEX($M:$M,MATCH(AO164,$N:$N,0)),$M:$M,0)),$D164,""),"")</f>
        <v/>
      </c>
      <c r="AY164" s="21" t="str">
        <f>IFERROR(SUBSTITUTE(INDEX($K:$K,MATCH(INDEX($M:$M,MATCH(AP164,$N:$N,0)),$M:$M,0)),$D164,""),"")</f>
        <v/>
      </c>
      <c r="AZ164" s="21" t="str">
        <f>IFERROR(SUBSTITUTE(INDEX($K:$K,MATCH(INDEX($M:$M,MATCH(AQ164,$N:$N,0)),$M:$M,0)),$D164,""),"")</f>
        <v/>
      </c>
      <c r="BA164" s="21" t="str">
        <f>IFERROR(SUBSTITUTE(INDEX($K:$K,MATCH(INDEX($M:$M,MATCH(AR164,$N:$N,0)),$M:$M,0)),$D164,""),"")</f>
        <v/>
      </c>
      <c r="BB164" s="21" t="str">
        <f>IFERROR(SUBSTITUTE(INDEX($K:$K,MATCH(INDEX($M:$M,MATCH(AS164,$N:$N,0)),$M:$M,0)),$D164,""),"")</f>
        <v/>
      </c>
      <c r="BC164" s="21" t="str">
        <f>IFERROR(SUBSTITUTE(INDEX($K:$K,MATCH(INDEX($M:$M,MATCH(AT164,$N:$N,0)),$M:$M,0)),$D164,""),"")</f>
        <v/>
      </c>
      <c r="BE164" s="9" t="str">
        <f t="shared" si="35"/>
        <v/>
      </c>
      <c r="BI164" s="9" t="str">
        <f>IFERROR(
IF(COUNTIF($M:$M,$AD164)&lt;BI$8,
"",
INDEX($J:$J,MATCH($AD164,$M:$M,0)+BI$8-1)),
"")</f>
        <v/>
      </c>
      <c r="BJ164" s="9" t="str">
        <f>IFERROR(
IF(COUNTIF($M:$M,$AD164)&lt;BJ$8,
"",
INDEX($J:$J,MATCH($AD164,$M:$M,0)+BJ$8-1)),
"")</f>
        <v/>
      </c>
      <c r="BK164" s="9" t="str">
        <f>IFERROR(
IF(COUNTIF($M:$M,$AD164)&lt;BK$8,
"",
INDEX($J:$J,MATCH($AD164,$M:$M,0)+BK$8-1)),
"")</f>
        <v/>
      </c>
      <c r="BL164" s="9" t="str">
        <f>IFERROR(
IF(COUNTIF($M:$M,$AD164)&lt;BL$8,
"",
INDEX($J:$J,MATCH($AD164,$M:$M,0)+BL$8-1)),
"")</f>
        <v/>
      </c>
      <c r="BN164" s="21" t="str">
        <f>IFERROR(
IF(COUNTIF($BI164:BM164,INDEX($J:$J,MATCH($AE164,$M:$M,0)+BN$8-1))=0,
IF(COUNTIF($M:$M,$AE164)&lt;BN$8,
"",
INDEX($J:$J,MATCH($AE164,$M:$M,0)+BN$8-1)),
""),
"")</f>
        <v/>
      </c>
      <c r="BO164" s="21" t="str">
        <f>IFERROR(
IF(COUNTIF($BI164:BN164,INDEX($J:$J,MATCH($AE164,$M:$M,0)+BO$8-1))=0,
IF(COUNTIF($M:$M,$AE164)&lt;BO$8,
"",
INDEX($J:$J,MATCH($AE164,$M:$M,0)+BO$8-1)),
""),
"")</f>
        <v/>
      </c>
      <c r="BP164" s="21" t="str">
        <f>IFERROR(
IF(COUNTIF($BI164:BO164,INDEX($J:$J,MATCH($AE164,$M:$M,0)+BP$8-1))=0,
IF(COUNTIF($M:$M,$AE164)&lt;BP$8,
"",
INDEX($J:$J,MATCH($AE164,$M:$M,0)+BP$8-1)),
""),
"")</f>
        <v/>
      </c>
      <c r="BQ164" s="21" t="str">
        <f>IFERROR(
IF(COUNTIF($BI164:BP164,INDEX($J:$J,MATCH($AE164,$M:$M,0)+BQ$8-1))=0,
IF(COUNTIF($M:$M,$AE164)&lt;BQ$8,
"",
INDEX($J:$J,MATCH($AE164,$M:$M,0)+BQ$8-1)),
""),
"")</f>
        <v/>
      </c>
      <c r="BS164" s="21" t="str">
        <f>IFERROR(
IF(COUNTIF($BI164:BR164,INDEX($J:$J,MATCH($AF164,$M:$M,0)+BS$8-1))=0,
IF(COUNTIF($M:$M,$AF164)&lt;BS$8,
"",
INDEX($J:$J,MATCH($AF164,$M:$M,0)+BS$8-1)),
""),
"")</f>
        <v/>
      </c>
      <c r="BT164" s="21" t="str">
        <f>IFERROR(
IF(COUNTIF($BI164:BS164,INDEX($J:$J,MATCH($AF164,$M:$M,0)+BT$8-1))=0,
IF(COUNTIF($M:$M,$AF164)&lt;BT$8,
"",
INDEX($J:$J,MATCH($AF164,$M:$M,0)+BT$8-1)),
""),
"")</f>
        <v/>
      </c>
      <c r="BU164" s="21" t="str">
        <f>IFERROR(
IF(COUNTIF($BI164:BT164,INDEX($J:$J,MATCH($AF164,$M:$M,0)+BU$8-1))=0,
IF(COUNTIF($M:$M,$AF164)&lt;BU$8,
"",
INDEX($J:$J,MATCH($AF164,$M:$M,0)+BU$8-1)),
""),
"")</f>
        <v/>
      </c>
      <c r="BV164" s="21" t="str">
        <f>IFERROR(
IF(COUNTIF($BI164:BU164,INDEX($J:$J,MATCH($AF164,$M:$M,0)+BV$8-1))=0,
IF(COUNTIF($M:$M,$AF164)&lt;BV$8,
"",
INDEX($J:$J,MATCH($AF164,$M:$M,0)+BV$8-1)),
""),
"")</f>
        <v/>
      </c>
      <c r="BX164" s="21" t="str">
        <f>IFERROR(
IF(COUNTIF($BI164:BW164,INDEX($J:$J,MATCH($AG164,$M:$M,0)+BX$8-1))=0,
IF(COUNTIF($M:$M,$AG164)&lt;BX$8,
"",
INDEX($J:$J,MATCH($AG164,$M:$M,0)+BX$8-1)),
""),
"")</f>
        <v/>
      </c>
      <c r="BY164" s="21" t="str">
        <f>IFERROR(
IF(COUNTIF($BI164:BX164,INDEX($J:$J,MATCH($AG164,$M:$M,0)+BY$8-1))=0,
IF(COUNTIF($M:$M,$AG164)&lt;BY$8,
"",
INDEX($J:$J,MATCH($AG164,$M:$M,0)+BY$8-1)),
""),
"")</f>
        <v/>
      </c>
      <c r="BZ164" s="21" t="str">
        <f>IFERROR(
IF(COUNTIF($BI164:BY164,INDEX($J:$J,MATCH($AG164,$M:$M,0)+BZ$8-1))=0,
IF(COUNTIF($M:$M,$AG164)&lt;BZ$8,
"",
INDEX($J:$J,MATCH($AG164,$M:$M,0)+BZ$8-1)),
""),
"")</f>
        <v/>
      </c>
      <c r="CA164" s="21" t="str">
        <f>IFERROR(
IF(COUNTIF($BI164:BZ164,INDEX($J:$J,MATCH($AG164,$M:$M,0)+CA$8-1))=0,
IF(COUNTIF($M:$M,$AG164)&lt;CA$8,
"",
INDEX($J:$J,MATCH($AG164,$M:$M,0)+CA$8-1)),
""),
"")</f>
        <v/>
      </c>
      <c r="CC164" s="21" t="str">
        <f>IFERROR(
IF(COUNTIF($BI164:CB164,INDEX($J:$J,MATCH($AH164,$M:$M,0)+CC$8-1))=0,
IF(COUNTIF($M:$M,$AH164)&lt;CC$8,
"",
INDEX($J:$J,MATCH($AH164,$M:$M,0)+CC$8-1)),
""),
"")</f>
        <v/>
      </c>
      <c r="CD164" s="21" t="str">
        <f>IFERROR(
IF(COUNTIF($BI164:CC164,INDEX($J:$J,MATCH($AH164,$M:$M,0)+CD$8-1))=0,
IF(COUNTIF($M:$M,$AH164)&lt;CD$8,
"",
INDEX($J:$J,MATCH($AH164,$M:$M,0)+CD$8-1)),
""),
"")</f>
        <v/>
      </c>
      <c r="CE164" s="21" t="str">
        <f>IFERROR(
IF(COUNTIF($BI164:CD164,INDEX($J:$J,MATCH($AH164,$M:$M,0)+CE$8-1))=0,
IF(COUNTIF($M:$M,$AH164)&lt;CE$8,
"",
INDEX($J:$J,MATCH($AH164,$M:$M,0)+CE$8-1)),
""),
"")</f>
        <v/>
      </c>
      <c r="CF164" s="21" t="str">
        <f>IFERROR(
IF(COUNTIF($BI164:CE164,INDEX($J:$J,MATCH($AH164,$M:$M,0)+CF$8-1))=0,
IF(COUNTIF($M:$M,$AH164)&lt;CF$8,
"",
INDEX($J:$J,MATCH($AH164,$M:$M,0)+CF$8-1)),
""),
"")</f>
        <v/>
      </c>
      <c r="CH164" s="21" t="str">
        <f>IFERROR(
IF(COUNTIF($BI164:CG164,INDEX($J:$J,MATCH($AI164,$M:$M,0)+CH$8-1))=0,
IF(COUNTIF($M:$M,$AI164)&lt;CH$8,
"",
INDEX($J:$J,MATCH($AI164,$M:$M,0)+CH$8-1)),
""),
"")</f>
        <v/>
      </c>
      <c r="CI164" s="21" t="str">
        <f>IFERROR(
IF(COUNTIF($BI164:CH164,INDEX($J:$J,MATCH($AI164,$M:$M,0)+CI$8-1))=0,
IF(COUNTIF($M:$M,$AI164)&lt;CI$8,
"",
INDEX($J:$J,MATCH($AI164,$M:$M,0)+CI$8-1)),
""),
"")</f>
        <v/>
      </c>
      <c r="CJ164" s="21" t="str">
        <f>IFERROR(
IF(COUNTIF($BI164:CI164,INDEX($J:$J,MATCH($AI164,$M:$M,0)+CJ$8-1))=0,
IF(COUNTIF($M:$M,$AI164)&lt;CJ$8,
"",
INDEX($J:$J,MATCH($AI164,$M:$M,0)+CJ$8-1)),
""),
"")</f>
        <v/>
      </c>
      <c r="CK164" s="21" t="str">
        <f>IFERROR(
IF(COUNTIF($BI164:CJ164,INDEX($J:$J,MATCH($AI164,$M:$M,0)+CK$8-1))=0,
IF(COUNTIF($M:$M,$AI164)&lt;CK$8,
"",
INDEX($J:$J,MATCH($AI164,$M:$M,0)+CK$8-1)),
""),
"")</f>
        <v/>
      </c>
      <c r="CM164" s="21" t="str">
        <f>IFERROR(
IF(COUNTIF($BI164:CL164,INDEX($J:$J,MATCH($AJ164,$M:$M,0)+CM$8-1))=0,
IF(COUNTIF($M:$M,$AJ164)&lt;CM$8,
"",
INDEX($J:$J,MATCH($AJ164,$M:$M,0)+CM$8-1)),
""),
"")</f>
        <v/>
      </c>
      <c r="CN164" s="21" t="str">
        <f>IFERROR(
IF(COUNTIF($BI164:CM164,INDEX($J:$J,MATCH($AJ164,$M:$M,0)+CN$8-1))=0,
IF(COUNTIF($M:$M,$AJ164)&lt;CN$8,
"",
INDEX($J:$J,MATCH($AJ164,$M:$M,0)+CN$8-1)),
""),
"")</f>
        <v/>
      </c>
      <c r="CO164" s="21" t="str">
        <f>IFERROR(
IF(COUNTIF($BI164:CN164,INDEX($J:$J,MATCH($AJ164,$M:$M,0)+CO$8-1))=0,
IF(COUNTIF($M:$M,$AJ164)&lt;CO$8,
"",
INDEX($J:$J,MATCH($AJ164,$M:$M,0)+CO$8-1)),
""),
"")</f>
        <v/>
      </c>
      <c r="CP164" s="21" t="str">
        <f>IFERROR(
IF(COUNTIF($BI164:CO164,INDEX($J:$J,MATCH($AJ164,$M:$M,0)+CP$8-1))=0,
IF(COUNTIF($M:$M,$AJ164)&lt;CP$8,
"",
INDEX($J:$J,MATCH($AJ164,$M:$M,0)+CP$8-1)),
""),
"")</f>
        <v/>
      </c>
      <c r="CR164" s="21" t="str">
        <f>IFERROR(
IF(COUNTIF($BI164:CQ164,INDEX($J:$J,MATCH($AK164,$M:$M,0)+CR$8-1))=0,
IF(COUNTIF($M:$M,$AK164)&lt;CR$8,
"",
INDEX($J:$J,MATCH($AK164,$M:$M,0)+CR$8-1)),
""),
"")</f>
        <v/>
      </c>
      <c r="CS164" s="21" t="str">
        <f>IFERROR(
IF(COUNTIF($BI164:CR164,INDEX($J:$J,MATCH($AK164,$M:$M,0)+CS$8-1))=0,
IF(COUNTIF($M:$M,$AK164)&lt;CS$8,
"",
INDEX($J:$J,MATCH($AK164,$M:$M,0)+CS$8-1)),
""),
"")</f>
        <v/>
      </c>
      <c r="CT164" s="21" t="str">
        <f>IFERROR(
IF(COUNTIF($BI164:CS164,INDEX($J:$J,MATCH($AK164,$M:$M,0)+CT$8-1))=0,
IF(COUNTIF($M:$M,$AK164)&lt;CT$8,
"",
INDEX($J:$J,MATCH($AK164,$M:$M,0)+CT$8-1)),
""),
"")</f>
        <v/>
      </c>
      <c r="CU164" s="21" t="str">
        <f>IFERROR(
IF(COUNTIF($BI164:CT164,INDEX($J:$J,MATCH($AK164,$M:$M,0)+CU$8-1))=0,
IF(COUNTIF($M:$M,$AK164)&lt;CU$8,
"",
INDEX($J:$J,MATCH($AK164,$M:$M,0)+CU$8-1)),
""),
"")</f>
        <v/>
      </c>
    </row>
    <row r="165" spans="8:99">
      <c r="H165" s="7">
        <f>IF(I165="","",COUNTA(I$9:$I165))</f>
        <v>111</v>
      </c>
      <c r="I165" s="6" t="s">
        <v>294</v>
      </c>
      <c r="J165" s="6" t="s">
        <v>256</v>
      </c>
      <c r="K165" s="8" t="str">
        <f>IF(H165="","",阶段合并区域(J165:J167," ",L165:L167,1))</f>
        <v>蔺相如 韩非子 赵括</v>
      </c>
      <c r="L165" s="8">
        <f>COUNTIF(M$8:$M165,"="&amp;M165)</f>
        <v>1</v>
      </c>
      <c r="M165" s="9" t="str">
        <f t="shared" si="37"/>
        <v>雄辩之才</v>
      </c>
      <c r="N165" s="9" t="str">
        <f t="shared" si="38"/>
        <v>雄辩之才1</v>
      </c>
      <c r="O165" s="15">
        <f>INDEX(C:C,MATCH(J165,D:D,0))</f>
        <v>47</v>
      </c>
      <c r="P165" s="9">
        <f>INDEX(E:E,MATCH(J165,D:D,0))</f>
        <v>130</v>
      </c>
      <c r="Q165" s="7">
        <f t="shared" si="34"/>
        <v>47</v>
      </c>
      <c r="R165" s="7">
        <f>COUNTIF(J$8:$J165,"="&amp;J165)</f>
        <v>1</v>
      </c>
      <c r="S165" s="7">
        <f t="shared" si="39"/>
        <v>1047</v>
      </c>
      <c r="U165" s="7">
        <f t="shared" si="36"/>
        <v>1000</v>
      </c>
      <c r="V165" s="7">
        <f t="shared" si="36"/>
        <v>2000</v>
      </c>
      <c r="W165" s="7">
        <f t="shared" si="36"/>
        <v>3000</v>
      </c>
      <c r="X165" s="7">
        <f t="shared" si="36"/>
        <v>4000</v>
      </c>
      <c r="Y165" s="7">
        <f t="shared" si="36"/>
        <v>5000</v>
      </c>
      <c r="Z165" s="7">
        <f t="shared" si="36"/>
        <v>6000</v>
      </c>
      <c r="AA165" s="7">
        <f t="shared" si="36"/>
        <v>7000</v>
      </c>
      <c r="AB165" s="7">
        <f t="shared" si="36"/>
        <v>8000</v>
      </c>
      <c r="AD165" s="21" t="str">
        <f>IFERROR(INDEX($M:$M,MATCH(U165,$S:$S,0)),"&amp;")</f>
        <v>&amp;</v>
      </c>
      <c r="AE165" s="21" t="str">
        <f>IFERROR(INDEX($M:$M,MATCH(V165,$S:$S,0)),"&amp;")</f>
        <v>&amp;</v>
      </c>
      <c r="AF165" s="21" t="str">
        <f>IFERROR(INDEX($M:$M,MATCH(W165,$S:$S,0)),"&amp;")</f>
        <v>&amp;</v>
      </c>
      <c r="AG165" s="21" t="str">
        <f>IFERROR(INDEX($M:$M,MATCH(X165,$S:$S,0)),"&amp;")</f>
        <v>&amp;</v>
      </c>
      <c r="AH165" s="21" t="str">
        <f>IFERROR(INDEX($M:$M,MATCH(Y165,$S:$S,0)),"&amp;")</f>
        <v>&amp;</v>
      </c>
      <c r="AI165" s="21" t="str">
        <f>IFERROR(INDEX($M:$M,MATCH(Z165,$S:$S,0)),"&amp;")</f>
        <v>&amp;</v>
      </c>
      <c r="AJ165" s="21" t="str">
        <f>IFERROR(INDEX($M:$M,MATCH(AA165,$S:$S,0)),"&amp;")</f>
        <v>&amp;</v>
      </c>
      <c r="AK165" s="21" t="str">
        <f>IFERROR(INDEX($M:$M,MATCH(AB165,$S:$S,0)),"&amp;")</f>
        <v>&amp;</v>
      </c>
      <c r="AM165" s="21" t="str">
        <f>IFERROR(INDEX($N:$N,MATCH(U165,$S:$S,0)),"&amp;")</f>
        <v>&amp;</v>
      </c>
      <c r="AN165" s="21" t="str">
        <f>IFERROR(INDEX($N:$N,MATCH(V165,$S:$S,0)),"&amp;")</f>
        <v>&amp;</v>
      </c>
      <c r="AO165" s="21" t="str">
        <f>IFERROR(INDEX($N:$N,MATCH(W165,$S:$S,0)),"&amp;")</f>
        <v>&amp;</v>
      </c>
      <c r="AP165" s="21" t="str">
        <f>IFERROR(INDEX($N:$N,MATCH(X165,$S:$S,0)),"&amp;")</f>
        <v>&amp;</v>
      </c>
      <c r="AQ165" s="21" t="str">
        <f>IFERROR(INDEX($N:$N,MATCH(Y165,$S:$S,0)),"&amp;")</f>
        <v>&amp;</v>
      </c>
      <c r="AR165" s="21" t="str">
        <f>IFERROR(INDEX($N:$N,MATCH(Z165,$S:$S,0)),"&amp;")</f>
        <v>&amp;</v>
      </c>
      <c r="AS165" s="21" t="str">
        <f>IFERROR(INDEX($N:$N,MATCH(AA165,$S:$S,0)),"&amp;")</f>
        <v>&amp;</v>
      </c>
      <c r="AT165" s="21" t="str">
        <f>IFERROR(INDEX($N:$N,MATCH(AB165,$S:$S,0)),"&amp;")</f>
        <v>&amp;</v>
      </c>
      <c r="AV165" s="21" t="str">
        <f>IFERROR(SUBSTITUTE(INDEX($K:$K,MATCH(INDEX($M:$M,MATCH(AM165,$N:$N,0)),$M:$M,0)),$D165,""),"")</f>
        <v/>
      </c>
      <c r="AW165" s="21" t="str">
        <f>IFERROR(SUBSTITUTE(INDEX($K:$K,MATCH(INDEX($M:$M,MATCH(AN165,$N:$N,0)),$M:$M,0)),$D165,""),"")</f>
        <v/>
      </c>
      <c r="AX165" s="21" t="str">
        <f>IFERROR(SUBSTITUTE(INDEX($K:$K,MATCH(INDEX($M:$M,MATCH(AO165,$N:$N,0)),$M:$M,0)),$D165,""),"")</f>
        <v/>
      </c>
      <c r="AY165" s="21" t="str">
        <f>IFERROR(SUBSTITUTE(INDEX($K:$K,MATCH(INDEX($M:$M,MATCH(AP165,$N:$N,0)),$M:$M,0)),$D165,""),"")</f>
        <v/>
      </c>
      <c r="AZ165" s="21" t="str">
        <f>IFERROR(SUBSTITUTE(INDEX($K:$K,MATCH(INDEX($M:$M,MATCH(AQ165,$N:$N,0)),$M:$M,0)),$D165,""),"")</f>
        <v/>
      </c>
      <c r="BA165" s="21" t="str">
        <f>IFERROR(SUBSTITUTE(INDEX($K:$K,MATCH(INDEX($M:$M,MATCH(AR165,$N:$N,0)),$M:$M,0)),$D165,""),"")</f>
        <v/>
      </c>
      <c r="BB165" s="21" t="str">
        <f>IFERROR(SUBSTITUTE(INDEX($K:$K,MATCH(INDEX($M:$M,MATCH(AS165,$N:$N,0)),$M:$M,0)),$D165,""),"")</f>
        <v/>
      </c>
      <c r="BC165" s="21" t="str">
        <f>IFERROR(SUBSTITUTE(INDEX($K:$K,MATCH(INDEX($M:$M,MATCH(AT165,$N:$N,0)),$M:$M,0)),$D165,""),"")</f>
        <v/>
      </c>
      <c r="BE165" s="9" t="str">
        <f t="shared" si="35"/>
        <v/>
      </c>
      <c r="BI165" s="9" t="str">
        <f>IFERROR(
IF(COUNTIF($M:$M,$AD165)&lt;BI$8,
"",
INDEX($J:$J,MATCH($AD165,$M:$M,0)+BI$8-1)),
"")</f>
        <v/>
      </c>
      <c r="BJ165" s="9" t="str">
        <f>IFERROR(
IF(COUNTIF($M:$M,$AD165)&lt;BJ$8,
"",
INDEX($J:$J,MATCH($AD165,$M:$M,0)+BJ$8-1)),
"")</f>
        <v/>
      </c>
      <c r="BK165" s="9" t="str">
        <f>IFERROR(
IF(COUNTIF($M:$M,$AD165)&lt;BK$8,
"",
INDEX($J:$J,MATCH($AD165,$M:$M,0)+BK$8-1)),
"")</f>
        <v/>
      </c>
      <c r="BL165" s="9" t="str">
        <f>IFERROR(
IF(COUNTIF($M:$M,$AD165)&lt;BL$8,
"",
INDEX($J:$J,MATCH($AD165,$M:$M,0)+BL$8-1)),
"")</f>
        <v/>
      </c>
      <c r="BN165" s="21" t="str">
        <f>IFERROR(
IF(COUNTIF($BI165:BM165,INDEX($J:$J,MATCH($AE165,$M:$M,0)+BN$8-1))=0,
IF(COUNTIF($M:$M,$AE165)&lt;BN$8,
"",
INDEX($J:$J,MATCH($AE165,$M:$M,0)+BN$8-1)),
""),
"")</f>
        <v/>
      </c>
      <c r="BO165" s="21" t="str">
        <f>IFERROR(
IF(COUNTIF($BI165:BN165,INDEX($J:$J,MATCH($AE165,$M:$M,0)+BO$8-1))=0,
IF(COUNTIF($M:$M,$AE165)&lt;BO$8,
"",
INDEX($J:$J,MATCH($AE165,$M:$M,0)+BO$8-1)),
""),
"")</f>
        <v/>
      </c>
      <c r="BP165" s="21" t="str">
        <f>IFERROR(
IF(COUNTIF($BI165:BO165,INDEX($J:$J,MATCH($AE165,$M:$M,0)+BP$8-1))=0,
IF(COUNTIF($M:$M,$AE165)&lt;BP$8,
"",
INDEX($J:$J,MATCH($AE165,$M:$M,0)+BP$8-1)),
""),
"")</f>
        <v/>
      </c>
      <c r="BQ165" s="21" t="str">
        <f>IFERROR(
IF(COUNTIF($BI165:BP165,INDEX($J:$J,MATCH($AE165,$M:$M,0)+BQ$8-1))=0,
IF(COUNTIF($M:$M,$AE165)&lt;BQ$8,
"",
INDEX($J:$J,MATCH($AE165,$M:$M,0)+BQ$8-1)),
""),
"")</f>
        <v/>
      </c>
      <c r="BS165" s="21" t="str">
        <f>IFERROR(
IF(COUNTIF($BI165:BR165,INDEX($J:$J,MATCH($AF165,$M:$M,0)+BS$8-1))=0,
IF(COUNTIF($M:$M,$AF165)&lt;BS$8,
"",
INDEX($J:$J,MATCH($AF165,$M:$M,0)+BS$8-1)),
""),
"")</f>
        <v/>
      </c>
      <c r="BT165" s="21" t="str">
        <f>IFERROR(
IF(COUNTIF($BI165:BS165,INDEX($J:$J,MATCH($AF165,$M:$M,0)+BT$8-1))=0,
IF(COUNTIF($M:$M,$AF165)&lt;BT$8,
"",
INDEX($J:$J,MATCH($AF165,$M:$M,0)+BT$8-1)),
""),
"")</f>
        <v/>
      </c>
      <c r="BU165" s="21" t="str">
        <f>IFERROR(
IF(COUNTIF($BI165:BT165,INDEX($J:$J,MATCH($AF165,$M:$M,0)+BU$8-1))=0,
IF(COUNTIF($M:$M,$AF165)&lt;BU$8,
"",
INDEX($J:$J,MATCH($AF165,$M:$M,0)+BU$8-1)),
""),
"")</f>
        <v/>
      </c>
      <c r="BV165" s="21" t="str">
        <f>IFERROR(
IF(COUNTIF($BI165:BU165,INDEX($J:$J,MATCH($AF165,$M:$M,0)+BV$8-1))=0,
IF(COUNTIF($M:$M,$AF165)&lt;BV$8,
"",
INDEX($J:$J,MATCH($AF165,$M:$M,0)+BV$8-1)),
""),
"")</f>
        <v/>
      </c>
      <c r="BX165" s="21" t="str">
        <f>IFERROR(
IF(COUNTIF($BI165:BW165,INDEX($J:$J,MATCH($AG165,$M:$M,0)+BX$8-1))=0,
IF(COUNTIF($M:$M,$AG165)&lt;BX$8,
"",
INDEX($J:$J,MATCH($AG165,$M:$M,0)+BX$8-1)),
""),
"")</f>
        <v/>
      </c>
      <c r="BY165" s="21" t="str">
        <f>IFERROR(
IF(COUNTIF($BI165:BX165,INDEX($J:$J,MATCH($AG165,$M:$M,0)+BY$8-1))=0,
IF(COUNTIF($M:$M,$AG165)&lt;BY$8,
"",
INDEX($J:$J,MATCH($AG165,$M:$M,0)+BY$8-1)),
""),
"")</f>
        <v/>
      </c>
      <c r="BZ165" s="21" t="str">
        <f>IFERROR(
IF(COUNTIF($BI165:BY165,INDEX($J:$J,MATCH($AG165,$M:$M,0)+BZ$8-1))=0,
IF(COUNTIF($M:$M,$AG165)&lt;BZ$8,
"",
INDEX($J:$J,MATCH($AG165,$M:$M,0)+BZ$8-1)),
""),
"")</f>
        <v/>
      </c>
      <c r="CA165" s="21" t="str">
        <f>IFERROR(
IF(COUNTIF($BI165:BZ165,INDEX($J:$J,MATCH($AG165,$M:$M,0)+CA$8-1))=0,
IF(COUNTIF($M:$M,$AG165)&lt;CA$8,
"",
INDEX($J:$J,MATCH($AG165,$M:$M,0)+CA$8-1)),
""),
"")</f>
        <v/>
      </c>
      <c r="CC165" s="21" t="str">
        <f>IFERROR(
IF(COUNTIF($BI165:CB165,INDEX($J:$J,MATCH($AH165,$M:$M,0)+CC$8-1))=0,
IF(COUNTIF($M:$M,$AH165)&lt;CC$8,
"",
INDEX($J:$J,MATCH($AH165,$M:$M,0)+CC$8-1)),
""),
"")</f>
        <v/>
      </c>
      <c r="CD165" s="21" t="str">
        <f>IFERROR(
IF(COUNTIF($BI165:CC165,INDEX($J:$J,MATCH($AH165,$M:$M,0)+CD$8-1))=0,
IF(COUNTIF($M:$M,$AH165)&lt;CD$8,
"",
INDEX($J:$J,MATCH($AH165,$M:$M,0)+CD$8-1)),
""),
"")</f>
        <v/>
      </c>
      <c r="CE165" s="21" t="str">
        <f>IFERROR(
IF(COUNTIF($BI165:CD165,INDEX($J:$J,MATCH($AH165,$M:$M,0)+CE$8-1))=0,
IF(COUNTIF($M:$M,$AH165)&lt;CE$8,
"",
INDEX($J:$J,MATCH($AH165,$M:$M,0)+CE$8-1)),
""),
"")</f>
        <v/>
      </c>
      <c r="CF165" s="21" t="str">
        <f>IFERROR(
IF(COUNTIF($BI165:CE165,INDEX($J:$J,MATCH($AH165,$M:$M,0)+CF$8-1))=0,
IF(COUNTIF($M:$M,$AH165)&lt;CF$8,
"",
INDEX($J:$J,MATCH($AH165,$M:$M,0)+CF$8-1)),
""),
"")</f>
        <v/>
      </c>
      <c r="CH165" s="21" t="str">
        <f>IFERROR(
IF(COUNTIF($BI165:CG165,INDEX($J:$J,MATCH($AI165,$M:$M,0)+CH$8-1))=0,
IF(COUNTIF($M:$M,$AI165)&lt;CH$8,
"",
INDEX($J:$J,MATCH($AI165,$M:$M,0)+CH$8-1)),
""),
"")</f>
        <v/>
      </c>
      <c r="CI165" s="21" t="str">
        <f>IFERROR(
IF(COUNTIF($BI165:CH165,INDEX($J:$J,MATCH($AI165,$M:$M,0)+CI$8-1))=0,
IF(COUNTIF($M:$M,$AI165)&lt;CI$8,
"",
INDEX($J:$J,MATCH($AI165,$M:$M,0)+CI$8-1)),
""),
"")</f>
        <v/>
      </c>
      <c r="CJ165" s="21" t="str">
        <f>IFERROR(
IF(COUNTIF($BI165:CI165,INDEX($J:$J,MATCH($AI165,$M:$M,0)+CJ$8-1))=0,
IF(COUNTIF($M:$M,$AI165)&lt;CJ$8,
"",
INDEX($J:$J,MATCH($AI165,$M:$M,0)+CJ$8-1)),
""),
"")</f>
        <v/>
      </c>
      <c r="CK165" s="21" t="str">
        <f>IFERROR(
IF(COUNTIF($BI165:CJ165,INDEX($J:$J,MATCH($AI165,$M:$M,0)+CK$8-1))=0,
IF(COUNTIF($M:$M,$AI165)&lt;CK$8,
"",
INDEX($J:$J,MATCH($AI165,$M:$M,0)+CK$8-1)),
""),
"")</f>
        <v/>
      </c>
      <c r="CM165" s="21" t="str">
        <f>IFERROR(
IF(COUNTIF($BI165:CL165,INDEX($J:$J,MATCH($AJ165,$M:$M,0)+CM$8-1))=0,
IF(COUNTIF($M:$M,$AJ165)&lt;CM$8,
"",
INDEX($J:$J,MATCH($AJ165,$M:$M,0)+CM$8-1)),
""),
"")</f>
        <v/>
      </c>
      <c r="CN165" s="21" t="str">
        <f>IFERROR(
IF(COUNTIF($BI165:CM165,INDEX($J:$J,MATCH($AJ165,$M:$M,0)+CN$8-1))=0,
IF(COUNTIF($M:$M,$AJ165)&lt;CN$8,
"",
INDEX($J:$J,MATCH($AJ165,$M:$M,0)+CN$8-1)),
""),
"")</f>
        <v/>
      </c>
      <c r="CO165" s="21" t="str">
        <f>IFERROR(
IF(COUNTIF($BI165:CN165,INDEX($J:$J,MATCH($AJ165,$M:$M,0)+CO$8-1))=0,
IF(COUNTIF($M:$M,$AJ165)&lt;CO$8,
"",
INDEX($J:$J,MATCH($AJ165,$M:$M,0)+CO$8-1)),
""),
"")</f>
        <v/>
      </c>
      <c r="CP165" s="21" t="str">
        <f>IFERROR(
IF(COUNTIF($BI165:CO165,INDEX($J:$J,MATCH($AJ165,$M:$M,0)+CP$8-1))=0,
IF(COUNTIF($M:$M,$AJ165)&lt;CP$8,
"",
INDEX($J:$J,MATCH($AJ165,$M:$M,0)+CP$8-1)),
""),
"")</f>
        <v/>
      </c>
      <c r="CR165" s="21" t="str">
        <f>IFERROR(
IF(COUNTIF($BI165:CQ165,INDEX($J:$J,MATCH($AK165,$M:$M,0)+CR$8-1))=0,
IF(COUNTIF($M:$M,$AK165)&lt;CR$8,
"",
INDEX($J:$J,MATCH($AK165,$M:$M,0)+CR$8-1)),
""),
"")</f>
        <v/>
      </c>
      <c r="CS165" s="21" t="str">
        <f>IFERROR(
IF(COUNTIF($BI165:CR165,INDEX($J:$J,MATCH($AK165,$M:$M,0)+CS$8-1))=0,
IF(COUNTIF($M:$M,$AK165)&lt;CS$8,
"",
INDEX($J:$J,MATCH($AK165,$M:$M,0)+CS$8-1)),
""),
"")</f>
        <v/>
      </c>
      <c r="CT165" s="21" t="str">
        <f>IFERROR(
IF(COUNTIF($BI165:CS165,INDEX($J:$J,MATCH($AK165,$M:$M,0)+CT$8-1))=0,
IF(COUNTIF($M:$M,$AK165)&lt;CT$8,
"",
INDEX($J:$J,MATCH($AK165,$M:$M,0)+CT$8-1)),
""),
"")</f>
        <v/>
      </c>
      <c r="CU165" s="21" t="str">
        <f>IFERROR(
IF(COUNTIF($BI165:CT165,INDEX($J:$J,MATCH($AK165,$M:$M,0)+CU$8-1))=0,
IF(COUNTIF($M:$M,$AK165)&lt;CU$8,
"",
INDEX($J:$J,MATCH($AK165,$M:$M,0)+CU$8-1)),
""),
"")</f>
        <v/>
      </c>
    </row>
    <row r="166" spans="8:99">
      <c r="H166" s="7" t="str">
        <f>IF(I166="","",COUNTA(I$9:$I166))</f>
        <v/>
      </c>
      <c r="I166" s="6"/>
      <c r="J166" s="6" t="s">
        <v>291</v>
      </c>
      <c r="K166" s="8" t="str">
        <f>IF(H166="","",阶段合并区域(J166:J170," ",L166:L170,1))</f>
        <v/>
      </c>
      <c r="L166" s="8">
        <f>COUNTIF(M$8:$M166,"="&amp;M166)</f>
        <v>2</v>
      </c>
      <c r="M166" s="9" t="str">
        <f t="shared" si="37"/>
        <v>雄辩之才</v>
      </c>
      <c r="N166" s="9" t="str">
        <f t="shared" si="38"/>
        <v>雄辩之才2</v>
      </c>
      <c r="O166" s="15">
        <f>INDEX(C:C,MATCH(J166,D:D,0))</f>
        <v>52</v>
      </c>
      <c r="P166" s="9">
        <f>INDEX(E:E,MATCH(J166,D:D,0))</f>
        <v>120</v>
      </c>
      <c r="Q166" s="7">
        <f t="shared" si="34"/>
        <v>52</v>
      </c>
      <c r="R166" s="7">
        <f>COUNTIF(J$8:$J166,"="&amp;J166)</f>
        <v>8</v>
      </c>
      <c r="S166" s="7">
        <f t="shared" si="39"/>
        <v>8052</v>
      </c>
      <c r="U166" s="7">
        <f t="shared" si="36"/>
        <v>1000</v>
      </c>
      <c r="V166" s="7">
        <f t="shared" si="36"/>
        <v>2000</v>
      </c>
      <c r="W166" s="7">
        <f t="shared" si="36"/>
        <v>3000</v>
      </c>
      <c r="X166" s="7">
        <f t="shared" si="36"/>
        <v>4000</v>
      </c>
      <c r="Y166" s="7">
        <f t="shared" si="36"/>
        <v>5000</v>
      </c>
      <c r="Z166" s="7">
        <f t="shared" si="36"/>
        <v>6000</v>
      </c>
      <c r="AA166" s="7">
        <f t="shared" si="36"/>
        <v>7000</v>
      </c>
      <c r="AB166" s="7">
        <f t="shared" si="36"/>
        <v>8000</v>
      </c>
      <c r="AD166" s="21" t="str">
        <f>IFERROR(INDEX($M:$M,MATCH(U166,$S:$S,0)),"&amp;")</f>
        <v>&amp;</v>
      </c>
      <c r="AE166" s="21" t="str">
        <f>IFERROR(INDEX($M:$M,MATCH(V166,$S:$S,0)),"&amp;")</f>
        <v>&amp;</v>
      </c>
      <c r="AF166" s="21" t="str">
        <f>IFERROR(INDEX($M:$M,MATCH(W166,$S:$S,0)),"&amp;")</f>
        <v>&amp;</v>
      </c>
      <c r="AG166" s="21" t="str">
        <f>IFERROR(INDEX($M:$M,MATCH(X166,$S:$S,0)),"&amp;")</f>
        <v>&amp;</v>
      </c>
      <c r="AH166" s="21" t="str">
        <f>IFERROR(INDEX($M:$M,MATCH(Y166,$S:$S,0)),"&amp;")</f>
        <v>&amp;</v>
      </c>
      <c r="AI166" s="21" t="str">
        <f>IFERROR(INDEX($M:$M,MATCH(Z166,$S:$S,0)),"&amp;")</f>
        <v>&amp;</v>
      </c>
      <c r="AJ166" s="21" t="str">
        <f>IFERROR(INDEX($M:$M,MATCH(AA166,$S:$S,0)),"&amp;")</f>
        <v>&amp;</v>
      </c>
      <c r="AK166" s="21" t="str">
        <f>IFERROR(INDEX($M:$M,MATCH(AB166,$S:$S,0)),"&amp;")</f>
        <v>&amp;</v>
      </c>
      <c r="AM166" s="21" t="str">
        <f>IFERROR(INDEX($N:$N,MATCH(U166,$S:$S,0)),"&amp;")</f>
        <v>&amp;</v>
      </c>
      <c r="AN166" s="21" t="str">
        <f>IFERROR(INDEX($N:$N,MATCH(V166,$S:$S,0)),"&amp;")</f>
        <v>&amp;</v>
      </c>
      <c r="AO166" s="21" t="str">
        <f>IFERROR(INDEX($N:$N,MATCH(W166,$S:$S,0)),"&amp;")</f>
        <v>&amp;</v>
      </c>
      <c r="AP166" s="21" t="str">
        <f>IFERROR(INDEX($N:$N,MATCH(X166,$S:$S,0)),"&amp;")</f>
        <v>&amp;</v>
      </c>
      <c r="AQ166" s="21" t="str">
        <f>IFERROR(INDEX($N:$N,MATCH(Y166,$S:$S,0)),"&amp;")</f>
        <v>&amp;</v>
      </c>
      <c r="AR166" s="21" t="str">
        <f>IFERROR(INDEX($N:$N,MATCH(Z166,$S:$S,0)),"&amp;")</f>
        <v>&amp;</v>
      </c>
      <c r="AS166" s="21" t="str">
        <f>IFERROR(INDEX($N:$N,MATCH(AA166,$S:$S,0)),"&amp;")</f>
        <v>&amp;</v>
      </c>
      <c r="AT166" s="21" t="str">
        <f>IFERROR(INDEX($N:$N,MATCH(AB166,$S:$S,0)),"&amp;")</f>
        <v>&amp;</v>
      </c>
      <c r="AV166" s="21" t="str">
        <f>IFERROR(SUBSTITUTE(INDEX($K:$K,MATCH(INDEX($M:$M,MATCH(AM166,$N:$N,0)),$M:$M,0)),$D166,""),"")</f>
        <v/>
      </c>
      <c r="AW166" s="21" t="str">
        <f>IFERROR(SUBSTITUTE(INDEX($K:$K,MATCH(INDEX($M:$M,MATCH(AN166,$N:$N,0)),$M:$M,0)),$D166,""),"")</f>
        <v/>
      </c>
      <c r="AX166" s="21" t="str">
        <f>IFERROR(SUBSTITUTE(INDEX($K:$K,MATCH(INDEX($M:$M,MATCH(AO166,$N:$N,0)),$M:$M,0)),$D166,""),"")</f>
        <v/>
      </c>
      <c r="AY166" s="21" t="str">
        <f>IFERROR(SUBSTITUTE(INDEX($K:$K,MATCH(INDEX($M:$M,MATCH(AP166,$N:$N,0)),$M:$M,0)),$D166,""),"")</f>
        <v/>
      </c>
      <c r="AZ166" s="21" t="str">
        <f>IFERROR(SUBSTITUTE(INDEX($K:$K,MATCH(INDEX($M:$M,MATCH(AQ166,$N:$N,0)),$M:$M,0)),$D166,""),"")</f>
        <v/>
      </c>
      <c r="BA166" s="21" t="str">
        <f>IFERROR(SUBSTITUTE(INDEX($K:$K,MATCH(INDEX($M:$M,MATCH(AR166,$N:$N,0)),$M:$M,0)),$D166,""),"")</f>
        <v/>
      </c>
      <c r="BB166" s="21" t="str">
        <f>IFERROR(SUBSTITUTE(INDEX($K:$K,MATCH(INDEX($M:$M,MATCH(AS166,$N:$N,0)),$M:$M,0)),$D166,""),"")</f>
        <v/>
      </c>
      <c r="BC166" s="21" t="str">
        <f>IFERROR(SUBSTITUTE(INDEX($K:$K,MATCH(INDEX($M:$M,MATCH(AT166,$N:$N,0)),$M:$M,0)),$D166,""),"")</f>
        <v/>
      </c>
      <c r="BE166" s="9" t="str">
        <f t="shared" si="35"/>
        <v/>
      </c>
      <c r="BI166" s="9" t="str">
        <f>IFERROR(
IF(COUNTIF($M:$M,$AD166)&lt;BI$8,
"",
INDEX($J:$J,MATCH($AD166,$M:$M,0)+BI$8-1)),
"")</f>
        <v/>
      </c>
      <c r="BJ166" s="9" t="str">
        <f>IFERROR(
IF(COUNTIF($M:$M,$AD166)&lt;BJ$8,
"",
INDEX($J:$J,MATCH($AD166,$M:$M,0)+BJ$8-1)),
"")</f>
        <v/>
      </c>
      <c r="BK166" s="9" t="str">
        <f>IFERROR(
IF(COUNTIF($M:$M,$AD166)&lt;BK$8,
"",
INDEX($J:$J,MATCH($AD166,$M:$M,0)+BK$8-1)),
"")</f>
        <v/>
      </c>
      <c r="BL166" s="9" t="str">
        <f>IFERROR(
IF(COUNTIF($M:$M,$AD166)&lt;BL$8,
"",
INDEX($J:$J,MATCH($AD166,$M:$M,0)+BL$8-1)),
"")</f>
        <v/>
      </c>
      <c r="BN166" s="21" t="str">
        <f>IFERROR(
IF(COUNTIF($BI166:BM166,INDEX($J:$J,MATCH($AE166,$M:$M,0)+BN$8-1))=0,
IF(COUNTIF($M:$M,$AE166)&lt;BN$8,
"",
INDEX($J:$J,MATCH($AE166,$M:$M,0)+BN$8-1)),
""),
"")</f>
        <v/>
      </c>
      <c r="BO166" s="21" t="str">
        <f>IFERROR(
IF(COUNTIF($BI166:BN166,INDEX($J:$J,MATCH($AE166,$M:$M,0)+BO$8-1))=0,
IF(COUNTIF($M:$M,$AE166)&lt;BO$8,
"",
INDEX($J:$J,MATCH($AE166,$M:$M,0)+BO$8-1)),
""),
"")</f>
        <v/>
      </c>
      <c r="BP166" s="21" t="str">
        <f>IFERROR(
IF(COUNTIF($BI166:BO166,INDEX($J:$J,MATCH($AE166,$M:$M,0)+BP$8-1))=0,
IF(COUNTIF($M:$M,$AE166)&lt;BP$8,
"",
INDEX($J:$J,MATCH($AE166,$M:$M,0)+BP$8-1)),
""),
"")</f>
        <v/>
      </c>
      <c r="BQ166" s="21" t="str">
        <f>IFERROR(
IF(COUNTIF($BI166:BP166,INDEX($J:$J,MATCH($AE166,$M:$M,0)+BQ$8-1))=0,
IF(COUNTIF($M:$M,$AE166)&lt;BQ$8,
"",
INDEX($J:$J,MATCH($AE166,$M:$M,0)+BQ$8-1)),
""),
"")</f>
        <v/>
      </c>
      <c r="BS166" s="21" t="str">
        <f>IFERROR(
IF(COUNTIF($BI166:BR166,INDEX($J:$J,MATCH($AF166,$M:$M,0)+BS$8-1))=0,
IF(COUNTIF($M:$M,$AF166)&lt;BS$8,
"",
INDEX($J:$J,MATCH($AF166,$M:$M,0)+BS$8-1)),
""),
"")</f>
        <v/>
      </c>
      <c r="BT166" s="21" t="str">
        <f>IFERROR(
IF(COUNTIF($BI166:BS166,INDEX($J:$J,MATCH($AF166,$M:$M,0)+BT$8-1))=0,
IF(COUNTIF($M:$M,$AF166)&lt;BT$8,
"",
INDEX($J:$J,MATCH($AF166,$M:$M,0)+BT$8-1)),
""),
"")</f>
        <v/>
      </c>
      <c r="BU166" s="21" t="str">
        <f>IFERROR(
IF(COUNTIF($BI166:BT166,INDEX($J:$J,MATCH($AF166,$M:$M,0)+BU$8-1))=0,
IF(COUNTIF($M:$M,$AF166)&lt;BU$8,
"",
INDEX($J:$J,MATCH($AF166,$M:$M,0)+BU$8-1)),
""),
"")</f>
        <v/>
      </c>
      <c r="BV166" s="21" t="str">
        <f>IFERROR(
IF(COUNTIF($BI166:BU166,INDEX($J:$J,MATCH($AF166,$M:$M,0)+BV$8-1))=0,
IF(COUNTIF($M:$M,$AF166)&lt;BV$8,
"",
INDEX($J:$J,MATCH($AF166,$M:$M,0)+BV$8-1)),
""),
"")</f>
        <v/>
      </c>
      <c r="BX166" s="21" t="str">
        <f>IFERROR(
IF(COUNTIF($BI166:BW166,INDEX($J:$J,MATCH($AG166,$M:$M,0)+BX$8-1))=0,
IF(COUNTIF($M:$M,$AG166)&lt;BX$8,
"",
INDEX($J:$J,MATCH($AG166,$M:$M,0)+BX$8-1)),
""),
"")</f>
        <v/>
      </c>
      <c r="BY166" s="21" t="str">
        <f>IFERROR(
IF(COUNTIF($BI166:BX166,INDEX($J:$J,MATCH($AG166,$M:$M,0)+BY$8-1))=0,
IF(COUNTIF($M:$M,$AG166)&lt;BY$8,
"",
INDEX($J:$J,MATCH($AG166,$M:$M,0)+BY$8-1)),
""),
"")</f>
        <v/>
      </c>
      <c r="BZ166" s="21" t="str">
        <f>IFERROR(
IF(COUNTIF($BI166:BY166,INDEX($J:$J,MATCH($AG166,$M:$M,0)+BZ$8-1))=0,
IF(COUNTIF($M:$M,$AG166)&lt;BZ$8,
"",
INDEX($J:$J,MATCH($AG166,$M:$M,0)+BZ$8-1)),
""),
"")</f>
        <v/>
      </c>
      <c r="CA166" s="21" t="str">
        <f>IFERROR(
IF(COUNTIF($BI166:BZ166,INDEX($J:$J,MATCH($AG166,$M:$M,0)+CA$8-1))=0,
IF(COUNTIF($M:$M,$AG166)&lt;CA$8,
"",
INDEX($J:$J,MATCH($AG166,$M:$M,0)+CA$8-1)),
""),
"")</f>
        <v/>
      </c>
      <c r="CC166" s="21" t="str">
        <f>IFERROR(
IF(COUNTIF($BI166:CB166,INDEX($J:$J,MATCH($AH166,$M:$M,0)+CC$8-1))=0,
IF(COUNTIF($M:$M,$AH166)&lt;CC$8,
"",
INDEX($J:$J,MATCH($AH166,$M:$M,0)+CC$8-1)),
""),
"")</f>
        <v/>
      </c>
      <c r="CD166" s="21" t="str">
        <f>IFERROR(
IF(COUNTIF($BI166:CC166,INDEX($J:$J,MATCH($AH166,$M:$M,0)+CD$8-1))=0,
IF(COUNTIF($M:$M,$AH166)&lt;CD$8,
"",
INDEX($J:$J,MATCH($AH166,$M:$M,0)+CD$8-1)),
""),
"")</f>
        <v/>
      </c>
      <c r="CE166" s="21" t="str">
        <f>IFERROR(
IF(COUNTIF($BI166:CD166,INDEX($J:$J,MATCH($AH166,$M:$M,0)+CE$8-1))=0,
IF(COUNTIF($M:$M,$AH166)&lt;CE$8,
"",
INDEX($J:$J,MATCH($AH166,$M:$M,0)+CE$8-1)),
""),
"")</f>
        <v/>
      </c>
      <c r="CF166" s="21" t="str">
        <f>IFERROR(
IF(COUNTIF($BI166:CE166,INDEX($J:$J,MATCH($AH166,$M:$M,0)+CF$8-1))=0,
IF(COUNTIF($M:$M,$AH166)&lt;CF$8,
"",
INDEX($J:$J,MATCH($AH166,$M:$M,0)+CF$8-1)),
""),
"")</f>
        <v/>
      </c>
      <c r="CH166" s="21" t="str">
        <f>IFERROR(
IF(COUNTIF($BI166:CG166,INDEX($J:$J,MATCH($AI166,$M:$M,0)+CH$8-1))=0,
IF(COUNTIF($M:$M,$AI166)&lt;CH$8,
"",
INDEX($J:$J,MATCH($AI166,$M:$M,0)+CH$8-1)),
""),
"")</f>
        <v/>
      </c>
      <c r="CI166" s="21" t="str">
        <f>IFERROR(
IF(COUNTIF($BI166:CH166,INDEX($J:$J,MATCH($AI166,$M:$M,0)+CI$8-1))=0,
IF(COUNTIF($M:$M,$AI166)&lt;CI$8,
"",
INDEX($J:$J,MATCH($AI166,$M:$M,0)+CI$8-1)),
""),
"")</f>
        <v/>
      </c>
      <c r="CJ166" s="21" t="str">
        <f>IFERROR(
IF(COUNTIF($BI166:CI166,INDEX($J:$J,MATCH($AI166,$M:$M,0)+CJ$8-1))=0,
IF(COUNTIF($M:$M,$AI166)&lt;CJ$8,
"",
INDEX($J:$J,MATCH($AI166,$M:$M,0)+CJ$8-1)),
""),
"")</f>
        <v/>
      </c>
      <c r="CK166" s="21" t="str">
        <f>IFERROR(
IF(COUNTIF($BI166:CJ166,INDEX($J:$J,MATCH($AI166,$M:$M,0)+CK$8-1))=0,
IF(COUNTIF($M:$M,$AI166)&lt;CK$8,
"",
INDEX($J:$J,MATCH($AI166,$M:$M,0)+CK$8-1)),
""),
"")</f>
        <v/>
      </c>
      <c r="CM166" s="21" t="str">
        <f>IFERROR(
IF(COUNTIF($BI166:CL166,INDEX($J:$J,MATCH($AJ166,$M:$M,0)+CM$8-1))=0,
IF(COUNTIF($M:$M,$AJ166)&lt;CM$8,
"",
INDEX($J:$J,MATCH($AJ166,$M:$M,0)+CM$8-1)),
""),
"")</f>
        <v/>
      </c>
      <c r="CN166" s="21" t="str">
        <f>IFERROR(
IF(COUNTIF($BI166:CM166,INDEX($J:$J,MATCH($AJ166,$M:$M,0)+CN$8-1))=0,
IF(COUNTIF($M:$M,$AJ166)&lt;CN$8,
"",
INDEX($J:$J,MATCH($AJ166,$M:$M,0)+CN$8-1)),
""),
"")</f>
        <v/>
      </c>
      <c r="CO166" s="21" t="str">
        <f>IFERROR(
IF(COUNTIF($BI166:CN166,INDEX($J:$J,MATCH($AJ166,$M:$M,0)+CO$8-1))=0,
IF(COUNTIF($M:$M,$AJ166)&lt;CO$8,
"",
INDEX($J:$J,MATCH($AJ166,$M:$M,0)+CO$8-1)),
""),
"")</f>
        <v/>
      </c>
      <c r="CP166" s="21" t="str">
        <f>IFERROR(
IF(COUNTIF($BI166:CO166,INDEX($J:$J,MATCH($AJ166,$M:$M,0)+CP$8-1))=0,
IF(COUNTIF($M:$M,$AJ166)&lt;CP$8,
"",
INDEX($J:$J,MATCH($AJ166,$M:$M,0)+CP$8-1)),
""),
"")</f>
        <v/>
      </c>
      <c r="CR166" s="21" t="str">
        <f>IFERROR(
IF(COUNTIF($BI166:CQ166,INDEX($J:$J,MATCH($AK166,$M:$M,0)+CR$8-1))=0,
IF(COUNTIF($M:$M,$AK166)&lt;CR$8,
"",
INDEX($J:$J,MATCH($AK166,$M:$M,0)+CR$8-1)),
""),
"")</f>
        <v/>
      </c>
      <c r="CS166" s="21" t="str">
        <f>IFERROR(
IF(COUNTIF($BI166:CR166,INDEX($J:$J,MATCH($AK166,$M:$M,0)+CS$8-1))=0,
IF(COUNTIF($M:$M,$AK166)&lt;CS$8,
"",
INDEX($J:$J,MATCH($AK166,$M:$M,0)+CS$8-1)),
""),
"")</f>
        <v/>
      </c>
      <c r="CT166" s="21" t="str">
        <f>IFERROR(
IF(COUNTIF($BI166:CS166,INDEX($J:$J,MATCH($AK166,$M:$M,0)+CT$8-1))=0,
IF(COUNTIF($M:$M,$AK166)&lt;CT$8,
"",
INDEX($J:$J,MATCH($AK166,$M:$M,0)+CT$8-1)),
""),
"")</f>
        <v/>
      </c>
      <c r="CU166" s="21" t="str">
        <f>IFERROR(
IF(COUNTIF($BI166:CT166,INDEX($J:$J,MATCH($AK166,$M:$M,0)+CU$8-1))=0,
IF(COUNTIF($M:$M,$AK166)&lt;CU$8,
"",
INDEX($J:$J,MATCH($AK166,$M:$M,0)+CU$8-1)),
""),
"")</f>
        <v/>
      </c>
    </row>
    <row r="167" spans="8:99">
      <c r="H167" s="7" t="str">
        <f>IF(I167="","",COUNTA(I$9:$I167))</f>
        <v/>
      </c>
      <c r="I167" s="6"/>
      <c r="J167" s="6" t="s">
        <v>292</v>
      </c>
      <c r="K167" s="8" t="str">
        <f>IF(H167="","",阶段合并区域(J167:J170," ",L167:L170,1))</f>
        <v/>
      </c>
      <c r="L167" s="8">
        <f>COUNTIF(M$8:$M167,"="&amp;M167)</f>
        <v>3</v>
      </c>
      <c r="M167" s="9" t="str">
        <f t="shared" si="37"/>
        <v>雄辩之才</v>
      </c>
      <c r="N167" s="9" t="str">
        <f t="shared" si="38"/>
        <v>雄辩之才3</v>
      </c>
      <c r="O167" s="15">
        <f>INDEX(C:C,MATCH(J167,D:D,0))</f>
        <v>71</v>
      </c>
      <c r="P167" s="9">
        <f>INDEX(E:E,MATCH(J167,D:D,0))</f>
        <v>120</v>
      </c>
      <c r="Q167" s="7">
        <f t="shared" si="34"/>
        <v>71</v>
      </c>
      <c r="R167" s="7">
        <f>COUNTIF(J$8:$J167,"="&amp;J167)</f>
        <v>3</v>
      </c>
      <c r="S167" s="7">
        <f t="shared" si="39"/>
        <v>3071</v>
      </c>
      <c r="U167" s="7">
        <f t="shared" si="36"/>
        <v>1000</v>
      </c>
      <c r="V167" s="7">
        <f t="shared" si="36"/>
        <v>2000</v>
      </c>
      <c r="W167" s="7">
        <f t="shared" si="36"/>
        <v>3000</v>
      </c>
      <c r="X167" s="7">
        <f t="shared" si="36"/>
        <v>4000</v>
      </c>
      <c r="Y167" s="7">
        <f t="shared" si="36"/>
        <v>5000</v>
      </c>
      <c r="Z167" s="7">
        <f t="shared" si="36"/>
        <v>6000</v>
      </c>
      <c r="AA167" s="7">
        <f t="shared" si="36"/>
        <v>7000</v>
      </c>
      <c r="AB167" s="7">
        <f t="shared" si="36"/>
        <v>8000</v>
      </c>
      <c r="AD167" s="21" t="str">
        <f>IFERROR(INDEX($M:$M,MATCH(U167,$S:$S,0)),"&amp;")</f>
        <v>&amp;</v>
      </c>
      <c r="AE167" s="21" t="str">
        <f>IFERROR(INDEX($M:$M,MATCH(V167,$S:$S,0)),"&amp;")</f>
        <v>&amp;</v>
      </c>
      <c r="AF167" s="21" t="str">
        <f>IFERROR(INDEX($M:$M,MATCH(W167,$S:$S,0)),"&amp;")</f>
        <v>&amp;</v>
      </c>
      <c r="AG167" s="21" t="str">
        <f>IFERROR(INDEX($M:$M,MATCH(X167,$S:$S,0)),"&amp;")</f>
        <v>&amp;</v>
      </c>
      <c r="AH167" s="21" t="str">
        <f>IFERROR(INDEX($M:$M,MATCH(Y167,$S:$S,0)),"&amp;")</f>
        <v>&amp;</v>
      </c>
      <c r="AI167" s="21" t="str">
        <f>IFERROR(INDEX($M:$M,MATCH(Z167,$S:$S,0)),"&amp;")</f>
        <v>&amp;</v>
      </c>
      <c r="AJ167" s="21" t="str">
        <f>IFERROR(INDEX($M:$M,MATCH(AA167,$S:$S,0)),"&amp;")</f>
        <v>&amp;</v>
      </c>
      <c r="AK167" s="21" t="str">
        <f>IFERROR(INDEX($M:$M,MATCH(AB167,$S:$S,0)),"&amp;")</f>
        <v>&amp;</v>
      </c>
      <c r="AM167" s="21" t="str">
        <f>IFERROR(INDEX($N:$N,MATCH(U167,$S:$S,0)),"&amp;")</f>
        <v>&amp;</v>
      </c>
      <c r="AN167" s="21" t="str">
        <f>IFERROR(INDEX($N:$N,MATCH(V167,$S:$S,0)),"&amp;")</f>
        <v>&amp;</v>
      </c>
      <c r="AO167" s="21" t="str">
        <f>IFERROR(INDEX($N:$N,MATCH(W167,$S:$S,0)),"&amp;")</f>
        <v>&amp;</v>
      </c>
      <c r="AP167" s="21" t="str">
        <f>IFERROR(INDEX($N:$N,MATCH(X167,$S:$S,0)),"&amp;")</f>
        <v>&amp;</v>
      </c>
      <c r="AQ167" s="21" t="str">
        <f>IFERROR(INDEX($N:$N,MATCH(Y167,$S:$S,0)),"&amp;")</f>
        <v>&amp;</v>
      </c>
      <c r="AR167" s="21" t="str">
        <f>IFERROR(INDEX($N:$N,MATCH(Z167,$S:$S,0)),"&amp;")</f>
        <v>&amp;</v>
      </c>
      <c r="AS167" s="21" t="str">
        <f>IFERROR(INDEX($N:$N,MATCH(AA167,$S:$S,0)),"&amp;")</f>
        <v>&amp;</v>
      </c>
      <c r="AT167" s="21" t="str">
        <f>IFERROR(INDEX($N:$N,MATCH(AB167,$S:$S,0)),"&amp;")</f>
        <v>&amp;</v>
      </c>
      <c r="AV167" s="21" t="str">
        <f>IFERROR(SUBSTITUTE(INDEX($K:$K,MATCH(INDEX($M:$M,MATCH(AM167,$N:$N,0)),$M:$M,0)),$D167,""),"")</f>
        <v/>
      </c>
      <c r="AW167" s="21" t="str">
        <f>IFERROR(SUBSTITUTE(INDEX($K:$K,MATCH(INDEX($M:$M,MATCH(AN167,$N:$N,0)),$M:$M,0)),$D167,""),"")</f>
        <v/>
      </c>
      <c r="AX167" s="21" t="str">
        <f>IFERROR(SUBSTITUTE(INDEX($K:$K,MATCH(INDEX($M:$M,MATCH(AO167,$N:$N,0)),$M:$M,0)),$D167,""),"")</f>
        <v/>
      </c>
      <c r="AY167" s="21" t="str">
        <f>IFERROR(SUBSTITUTE(INDEX($K:$K,MATCH(INDEX($M:$M,MATCH(AP167,$N:$N,0)),$M:$M,0)),$D167,""),"")</f>
        <v/>
      </c>
      <c r="AZ167" s="21" t="str">
        <f>IFERROR(SUBSTITUTE(INDEX($K:$K,MATCH(INDEX($M:$M,MATCH(AQ167,$N:$N,0)),$M:$M,0)),$D167,""),"")</f>
        <v/>
      </c>
      <c r="BA167" s="21" t="str">
        <f>IFERROR(SUBSTITUTE(INDEX($K:$K,MATCH(INDEX($M:$M,MATCH(AR167,$N:$N,0)),$M:$M,0)),$D167,""),"")</f>
        <v/>
      </c>
      <c r="BB167" s="21" t="str">
        <f>IFERROR(SUBSTITUTE(INDEX($K:$K,MATCH(INDEX($M:$M,MATCH(AS167,$N:$N,0)),$M:$M,0)),$D167,""),"")</f>
        <v/>
      </c>
      <c r="BC167" s="21" t="str">
        <f>IFERROR(SUBSTITUTE(INDEX($K:$K,MATCH(INDEX($M:$M,MATCH(AT167,$N:$N,0)),$M:$M,0)),$D167,""),"")</f>
        <v/>
      </c>
      <c r="BE167" s="9" t="str">
        <f t="shared" si="35"/>
        <v/>
      </c>
      <c r="BI167" s="9" t="str">
        <f>IFERROR(
IF(COUNTIF($M:$M,$AD167)&lt;BI$8,
"",
INDEX($J:$J,MATCH($AD167,$M:$M,0)+BI$8-1)),
"")</f>
        <v/>
      </c>
      <c r="BJ167" s="9" t="str">
        <f>IFERROR(
IF(COUNTIF($M:$M,$AD167)&lt;BJ$8,
"",
INDEX($J:$J,MATCH($AD167,$M:$M,0)+BJ$8-1)),
"")</f>
        <v/>
      </c>
      <c r="BK167" s="9" t="str">
        <f>IFERROR(
IF(COUNTIF($M:$M,$AD167)&lt;BK$8,
"",
INDEX($J:$J,MATCH($AD167,$M:$M,0)+BK$8-1)),
"")</f>
        <v/>
      </c>
      <c r="BL167" s="9" t="str">
        <f>IFERROR(
IF(COUNTIF($M:$M,$AD167)&lt;BL$8,
"",
INDEX($J:$J,MATCH($AD167,$M:$M,0)+BL$8-1)),
"")</f>
        <v/>
      </c>
      <c r="BN167" s="21" t="str">
        <f>IFERROR(
IF(COUNTIF($BI167:BM167,INDEX($J:$J,MATCH($AE167,$M:$M,0)+BN$8-1))=0,
IF(COUNTIF($M:$M,$AE167)&lt;BN$8,
"",
INDEX($J:$J,MATCH($AE167,$M:$M,0)+BN$8-1)),
""),
"")</f>
        <v/>
      </c>
      <c r="BO167" s="21" t="str">
        <f>IFERROR(
IF(COUNTIF($BI167:BN167,INDEX($J:$J,MATCH($AE167,$M:$M,0)+BO$8-1))=0,
IF(COUNTIF($M:$M,$AE167)&lt;BO$8,
"",
INDEX($J:$J,MATCH($AE167,$M:$M,0)+BO$8-1)),
""),
"")</f>
        <v/>
      </c>
      <c r="BP167" s="21" t="str">
        <f>IFERROR(
IF(COUNTIF($BI167:BO167,INDEX($J:$J,MATCH($AE167,$M:$M,0)+BP$8-1))=0,
IF(COUNTIF($M:$M,$AE167)&lt;BP$8,
"",
INDEX($J:$J,MATCH($AE167,$M:$M,0)+BP$8-1)),
""),
"")</f>
        <v/>
      </c>
      <c r="BQ167" s="21" t="str">
        <f>IFERROR(
IF(COUNTIF($BI167:BP167,INDEX($J:$J,MATCH($AE167,$M:$M,0)+BQ$8-1))=0,
IF(COUNTIF($M:$M,$AE167)&lt;BQ$8,
"",
INDEX($J:$J,MATCH($AE167,$M:$M,0)+BQ$8-1)),
""),
"")</f>
        <v/>
      </c>
      <c r="BS167" s="21" t="str">
        <f>IFERROR(
IF(COUNTIF($BI167:BR167,INDEX($J:$J,MATCH($AF167,$M:$M,0)+BS$8-1))=0,
IF(COUNTIF($M:$M,$AF167)&lt;BS$8,
"",
INDEX($J:$J,MATCH($AF167,$M:$M,0)+BS$8-1)),
""),
"")</f>
        <v/>
      </c>
      <c r="BT167" s="21" t="str">
        <f>IFERROR(
IF(COUNTIF($BI167:BS167,INDEX($J:$J,MATCH($AF167,$M:$M,0)+BT$8-1))=0,
IF(COUNTIF($M:$M,$AF167)&lt;BT$8,
"",
INDEX($J:$J,MATCH($AF167,$M:$M,0)+BT$8-1)),
""),
"")</f>
        <v/>
      </c>
      <c r="BU167" s="21" t="str">
        <f>IFERROR(
IF(COUNTIF($BI167:BT167,INDEX($J:$J,MATCH($AF167,$M:$M,0)+BU$8-1))=0,
IF(COUNTIF($M:$M,$AF167)&lt;BU$8,
"",
INDEX($J:$J,MATCH($AF167,$M:$M,0)+BU$8-1)),
""),
"")</f>
        <v/>
      </c>
      <c r="BV167" s="21" t="str">
        <f>IFERROR(
IF(COUNTIF($BI167:BU167,INDEX($J:$J,MATCH($AF167,$M:$M,0)+BV$8-1))=0,
IF(COUNTIF($M:$M,$AF167)&lt;BV$8,
"",
INDEX($J:$J,MATCH($AF167,$M:$M,0)+BV$8-1)),
""),
"")</f>
        <v/>
      </c>
      <c r="BX167" s="21" t="str">
        <f>IFERROR(
IF(COUNTIF($BI167:BW167,INDEX($J:$J,MATCH($AG167,$M:$M,0)+BX$8-1))=0,
IF(COUNTIF($M:$M,$AG167)&lt;BX$8,
"",
INDEX($J:$J,MATCH($AG167,$M:$M,0)+BX$8-1)),
""),
"")</f>
        <v/>
      </c>
      <c r="BY167" s="21" t="str">
        <f>IFERROR(
IF(COUNTIF($BI167:BX167,INDEX($J:$J,MATCH($AG167,$M:$M,0)+BY$8-1))=0,
IF(COUNTIF($M:$M,$AG167)&lt;BY$8,
"",
INDEX($J:$J,MATCH($AG167,$M:$M,0)+BY$8-1)),
""),
"")</f>
        <v/>
      </c>
      <c r="BZ167" s="21" t="str">
        <f>IFERROR(
IF(COUNTIF($BI167:BY167,INDEX($J:$J,MATCH($AG167,$M:$M,0)+BZ$8-1))=0,
IF(COUNTIF($M:$M,$AG167)&lt;BZ$8,
"",
INDEX($J:$J,MATCH($AG167,$M:$M,0)+BZ$8-1)),
""),
"")</f>
        <v/>
      </c>
      <c r="CA167" s="21" t="str">
        <f>IFERROR(
IF(COUNTIF($BI167:BZ167,INDEX($J:$J,MATCH($AG167,$M:$M,0)+CA$8-1))=0,
IF(COUNTIF($M:$M,$AG167)&lt;CA$8,
"",
INDEX($J:$J,MATCH($AG167,$M:$M,0)+CA$8-1)),
""),
"")</f>
        <v/>
      </c>
      <c r="CC167" s="21" t="str">
        <f>IFERROR(
IF(COUNTIF($BI167:CB167,INDEX($J:$J,MATCH($AH167,$M:$M,0)+CC$8-1))=0,
IF(COUNTIF($M:$M,$AH167)&lt;CC$8,
"",
INDEX($J:$J,MATCH($AH167,$M:$M,0)+CC$8-1)),
""),
"")</f>
        <v/>
      </c>
      <c r="CD167" s="21" t="str">
        <f>IFERROR(
IF(COUNTIF($BI167:CC167,INDEX($J:$J,MATCH($AH167,$M:$M,0)+CD$8-1))=0,
IF(COUNTIF($M:$M,$AH167)&lt;CD$8,
"",
INDEX($J:$J,MATCH($AH167,$M:$M,0)+CD$8-1)),
""),
"")</f>
        <v/>
      </c>
      <c r="CE167" s="21" t="str">
        <f>IFERROR(
IF(COUNTIF($BI167:CD167,INDEX($J:$J,MATCH($AH167,$M:$M,0)+CE$8-1))=0,
IF(COUNTIF($M:$M,$AH167)&lt;CE$8,
"",
INDEX($J:$J,MATCH($AH167,$M:$M,0)+CE$8-1)),
""),
"")</f>
        <v/>
      </c>
      <c r="CF167" s="21" t="str">
        <f>IFERROR(
IF(COUNTIF($BI167:CE167,INDEX($J:$J,MATCH($AH167,$M:$M,0)+CF$8-1))=0,
IF(COUNTIF($M:$M,$AH167)&lt;CF$8,
"",
INDEX($J:$J,MATCH($AH167,$M:$M,0)+CF$8-1)),
""),
"")</f>
        <v/>
      </c>
      <c r="CH167" s="21" t="str">
        <f>IFERROR(
IF(COUNTIF($BI167:CG167,INDEX($J:$J,MATCH($AI167,$M:$M,0)+CH$8-1))=0,
IF(COUNTIF($M:$M,$AI167)&lt;CH$8,
"",
INDEX($J:$J,MATCH($AI167,$M:$M,0)+CH$8-1)),
""),
"")</f>
        <v/>
      </c>
      <c r="CI167" s="21" t="str">
        <f>IFERROR(
IF(COUNTIF($BI167:CH167,INDEX($J:$J,MATCH($AI167,$M:$M,0)+CI$8-1))=0,
IF(COUNTIF($M:$M,$AI167)&lt;CI$8,
"",
INDEX($J:$J,MATCH($AI167,$M:$M,0)+CI$8-1)),
""),
"")</f>
        <v/>
      </c>
      <c r="CJ167" s="21" t="str">
        <f>IFERROR(
IF(COUNTIF($BI167:CI167,INDEX($J:$J,MATCH($AI167,$M:$M,0)+CJ$8-1))=0,
IF(COUNTIF($M:$M,$AI167)&lt;CJ$8,
"",
INDEX($J:$J,MATCH($AI167,$M:$M,0)+CJ$8-1)),
""),
"")</f>
        <v/>
      </c>
      <c r="CK167" s="21" t="str">
        <f>IFERROR(
IF(COUNTIF($BI167:CJ167,INDEX($J:$J,MATCH($AI167,$M:$M,0)+CK$8-1))=0,
IF(COUNTIF($M:$M,$AI167)&lt;CK$8,
"",
INDEX($J:$J,MATCH($AI167,$M:$M,0)+CK$8-1)),
""),
"")</f>
        <v/>
      </c>
      <c r="CM167" s="21" t="str">
        <f>IFERROR(
IF(COUNTIF($BI167:CL167,INDEX($J:$J,MATCH($AJ167,$M:$M,0)+CM$8-1))=0,
IF(COUNTIF($M:$M,$AJ167)&lt;CM$8,
"",
INDEX($J:$J,MATCH($AJ167,$M:$M,0)+CM$8-1)),
""),
"")</f>
        <v/>
      </c>
      <c r="CN167" s="21" t="str">
        <f>IFERROR(
IF(COUNTIF($BI167:CM167,INDEX($J:$J,MATCH($AJ167,$M:$M,0)+CN$8-1))=0,
IF(COUNTIF($M:$M,$AJ167)&lt;CN$8,
"",
INDEX($J:$J,MATCH($AJ167,$M:$M,0)+CN$8-1)),
""),
"")</f>
        <v/>
      </c>
      <c r="CO167" s="21" t="str">
        <f>IFERROR(
IF(COUNTIF($BI167:CN167,INDEX($J:$J,MATCH($AJ167,$M:$M,0)+CO$8-1))=0,
IF(COUNTIF($M:$M,$AJ167)&lt;CO$8,
"",
INDEX($J:$J,MATCH($AJ167,$M:$M,0)+CO$8-1)),
""),
"")</f>
        <v/>
      </c>
      <c r="CP167" s="21" t="str">
        <f>IFERROR(
IF(COUNTIF($BI167:CO167,INDEX($J:$J,MATCH($AJ167,$M:$M,0)+CP$8-1))=0,
IF(COUNTIF($M:$M,$AJ167)&lt;CP$8,
"",
INDEX($J:$J,MATCH($AJ167,$M:$M,0)+CP$8-1)),
""),
"")</f>
        <v/>
      </c>
      <c r="CR167" s="21" t="str">
        <f>IFERROR(
IF(COUNTIF($BI167:CQ167,INDEX($J:$J,MATCH($AK167,$M:$M,0)+CR$8-1))=0,
IF(COUNTIF($M:$M,$AK167)&lt;CR$8,
"",
INDEX($J:$J,MATCH($AK167,$M:$M,0)+CR$8-1)),
""),
"")</f>
        <v/>
      </c>
      <c r="CS167" s="21" t="str">
        <f>IFERROR(
IF(COUNTIF($BI167:CR167,INDEX($J:$J,MATCH($AK167,$M:$M,0)+CS$8-1))=0,
IF(COUNTIF($M:$M,$AK167)&lt;CS$8,
"",
INDEX($J:$J,MATCH($AK167,$M:$M,0)+CS$8-1)),
""),
"")</f>
        <v/>
      </c>
      <c r="CT167" s="21" t="str">
        <f>IFERROR(
IF(COUNTIF($BI167:CS167,INDEX($J:$J,MATCH($AK167,$M:$M,0)+CT$8-1))=0,
IF(COUNTIF($M:$M,$AK167)&lt;CT$8,
"",
INDEX($J:$J,MATCH($AK167,$M:$M,0)+CT$8-1)),
""),
"")</f>
        <v/>
      </c>
      <c r="CU167" s="21" t="str">
        <f>IFERROR(
IF(COUNTIF($BI167:CT167,INDEX($J:$J,MATCH($AK167,$M:$M,0)+CU$8-1))=0,
IF(COUNTIF($M:$M,$AK167)&lt;CU$8,
"",
INDEX($J:$J,MATCH($AK167,$M:$M,0)+CU$8-1)),
""),
"")</f>
        <v/>
      </c>
    </row>
    <row r="168" spans="8:99">
      <c r="H168" s="7" t="str">
        <f>IF(I168="","",COUNTA(I$9:$I168))</f>
        <v/>
      </c>
      <c r="I168" s="6"/>
      <c r="J168" s="6" t="s">
        <v>213</v>
      </c>
      <c r="K168" s="8" t="str">
        <f>IF(H168="","",阶段合并区域(J168:J170," ",L168:L170,1))</f>
        <v/>
      </c>
      <c r="L168" s="8">
        <f>COUNTIF(M$8:$M168,"="&amp;M168)</f>
        <v>4</v>
      </c>
      <c r="M168" s="9" t="str">
        <f t="shared" si="37"/>
        <v>雄辩之才</v>
      </c>
      <c r="N168" s="9" t="str">
        <f t="shared" si="38"/>
        <v>雄辩之才4</v>
      </c>
      <c r="O168" s="15">
        <f>INDEX(C:C,MATCH(J168,D:D,0))</f>
        <v>40</v>
      </c>
      <c r="P168" s="9">
        <f>INDEX(E:E,MATCH(J168,D:D,0))</f>
        <v>120</v>
      </c>
      <c r="Q168" s="7">
        <f t="shared" si="34"/>
        <v>40</v>
      </c>
      <c r="R168" s="7">
        <f>COUNTIF(J$8:$J168,"="&amp;J168)</f>
        <v>8</v>
      </c>
      <c r="S168" s="7">
        <f t="shared" si="39"/>
        <v>8040</v>
      </c>
      <c r="U168" s="7">
        <f t="shared" si="36"/>
        <v>1000</v>
      </c>
      <c r="V168" s="7">
        <f t="shared" si="36"/>
        <v>2000</v>
      </c>
      <c r="W168" s="7">
        <f t="shared" si="36"/>
        <v>3000</v>
      </c>
      <c r="X168" s="7">
        <f t="shared" si="36"/>
        <v>4000</v>
      </c>
      <c r="Y168" s="7">
        <f t="shared" si="36"/>
        <v>5000</v>
      </c>
      <c r="Z168" s="7">
        <f t="shared" si="36"/>
        <v>6000</v>
      </c>
      <c r="AA168" s="7">
        <f t="shared" si="36"/>
        <v>7000</v>
      </c>
      <c r="AB168" s="7">
        <f t="shared" si="36"/>
        <v>8000</v>
      </c>
      <c r="AD168" s="21" t="str">
        <f>IFERROR(INDEX($M:$M,MATCH(U168,$S:$S,0)),"&amp;")</f>
        <v>&amp;</v>
      </c>
      <c r="AE168" s="21" t="str">
        <f>IFERROR(INDEX($M:$M,MATCH(V168,$S:$S,0)),"&amp;")</f>
        <v>&amp;</v>
      </c>
      <c r="AF168" s="21" t="str">
        <f>IFERROR(INDEX($M:$M,MATCH(W168,$S:$S,0)),"&amp;")</f>
        <v>&amp;</v>
      </c>
      <c r="AG168" s="21" t="str">
        <f>IFERROR(INDEX($M:$M,MATCH(X168,$S:$S,0)),"&amp;")</f>
        <v>&amp;</v>
      </c>
      <c r="AH168" s="21" t="str">
        <f>IFERROR(INDEX($M:$M,MATCH(Y168,$S:$S,0)),"&amp;")</f>
        <v>&amp;</v>
      </c>
      <c r="AI168" s="21" t="str">
        <f>IFERROR(INDEX($M:$M,MATCH(Z168,$S:$S,0)),"&amp;")</f>
        <v>&amp;</v>
      </c>
      <c r="AJ168" s="21" t="str">
        <f>IFERROR(INDEX($M:$M,MATCH(AA168,$S:$S,0)),"&amp;")</f>
        <v>&amp;</v>
      </c>
      <c r="AK168" s="21" t="str">
        <f>IFERROR(INDEX($M:$M,MATCH(AB168,$S:$S,0)),"&amp;")</f>
        <v>&amp;</v>
      </c>
      <c r="AM168" s="21" t="str">
        <f>IFERROR(INDEX($N:$N,MATCH(U168,$S:$S,0)),"&amp;")</f>
        <v>&amp;</v>
      </c>
      <c r="AN168" s="21" t="str">
        <f>IFERROR(INDEX($N:$N,MATCH(V168,$S:$S,0)),"&amp;")</f>
        <v>&amp;</v>
      </c>
      <c r="AO168" s="21" t="str">
        <f>IFERROR(INDEX($N:$N,MATCH(W168,$S:$S,0)),"&amp;")</f>
        <v>&amp;</v>
      </c>
      <c r="AP168" s="21" t="str">
        <f>IFERROR(INDEX($N:$N,MATCH(X168,$S:$S,0)),"&amp;")</f>
        <v>&amp;</v>
      </c>
      <c r="AQ168" s="21" t="str">
        <f>IFERROR(INDEX($N:$N,MATCH(Y168,$S:$S,0)),"&amp;")</f>
        <v>&amp;</v>
      </c>
      <c r="AR168" s="21" t="str">
        <f>IFERROR(INDEX($N:$N,MATCH(Z168,$S:$S,0)),"&amp;")</f>
        <v>&amp;</v>
      </c>
      <c r="AS168" s="21" t="str">
        <f>IFERROR(INDEX($N:$N,MATCH(AA168,$S:$S,0)),"&amp;")</f>
        <v>&amp;</v>
      </c>
      <c r="AT168" s="21" t="str">
        <f>IFERROR(INDEX($N:$N,MATCH(AB168,$S:$S,0)),"&amp;")</f>
        <v>&amp;</v>
      </c>
      <c r="AV168" s="21" t="str">
        <f>IFERROR(SUBSTITUTE(INDEX($K:$K,MATCH(INDEX($M:$M,MATCH(AM168,$N:$N,0)),$M:$M,0)),$D168,""),"")</f>
        <v/>
      </c>
      <c r="AW168" s="21" t="str">
        <f>IFERROR(SUBSTITUTE(INDEX($K:$K,MATCH(INDEX($M:$M,MATCH(AN168,$N:$N,0)),$M:$M,0)),$D168,""),"")</f>
        <v/>
      </c>
      <c r="AX168" s="21" t="str">
        <f>IFERROR(SUBSTITUTE(INDEX($K:$K,MATCH(INDEX($M:$M,MATCH(AO168,$N:$N,0)),$M:$M,0)),$D168,""),"")</f>
        <v/>
      </c>
      <c r="AY168" s="21" t="str">
        <f>IFERROR(SUBSTITUTE(INDEX($K:$K,MATCH(INDEX($M:$M,MATCH(AP168,$N:$N,0)),$M:$M,0)),$D168,""),"")</f>
        <v/>
      </c>
      <c r="AZ168" s="21" t="str">
        <f>IFERROR(SUBSTITUTE(INDEX($K:$K,MATCH(INDEX($M:$M,MATCH(AQ168,$N:$N,0)),$M:$M,0)),$D168,""),"")</f>
        <v/>
      </c>
      <c r="BA168" s="21" t="str">
        <f>IFERROR(SUBSTITUTE(INDEX($K:$K,MATCH(INDEX($M:$M,MATCH(AR168,$N:$N,0)),$M:$M,0)),$D168,""),"")</f>
        <v/>
      </c>
      <c r="BB168" s="21" t="str">
        <f>IFERROR(SUBSTITUTE(INDEX($K:$K,MATCH(INDEX($M:$M,MATCH(AS168,$N:$N,0)),$M:$M,0)),$D168,""),"")</f>
        <v/>
      </c>
      <c r="BC168" s="21" t="str">
        <f>IFERROR(SUBSTITUTE(INDEX($K:$K,MATCH(INDEX($M:$M,MATCH(AT168,$N:$N,0)),$M:$M,0)),$D168,""),"")</f>
        <v/>
      </c>
      <c r="BE168" s="9" t="str">
        <f t="shared" si="35"/>
        <v/>
      </c>
      <c r="BI168" s="9" t="str">
        <f>IFERROR(
IF(COUNTIF($M:$M,$AD168)&lt;BI$8,
"",
INDEX($J:$J,MATCH($AD168,$M:$M,0)+BI$8-1)),
"")</f>
        <v/>
      </c>
      <c r="BJ168" s="9" t="str">
        <f>IFERROR(
IF(COUNTIF($M:$M,$AD168)&lt;BJ$8,
"",
INDEX($J:$J,MATCH($AD168,$M:$M,0)+BJ$8-1)),
"")</f>
        <v/>
      </c>
      <c r="BK168" s="9" t="str">
        <f>IFERROR(
IF(COUNTIF($M:$M,$AD168)&lt;BK$8,
"",
INDEX($J:$J,MATCH($AD168,$M:$M,0)+BK$8-1)),
"")</f>
        <v/>
      </c>
      <c r="BL168" s="9" t="str">
        <f>IFERROR(
IF(COUNTIF($M:$M,$AD168)&lt;BL$8,
"",
INDEX($J:$J,MATCH($AD168,$M:$M,0)+BL$8-1)),
"")</f>
        <v/>
      </c>
      <c r="BN168" s="21" t="str">
        <f>IFERROR(
IF(COUNTIF($BI168:BM168,INDEX($J:$J,MATCH($AE168,$M:$M,0)+BN$8-1))=0,
IF(COUNTIF($M:$M,$AE168)&lt;BN$8,
"",
INDEX($J:$J,MATCH($AE168,$M:$M,0)+BN$8-1)),
""),
"")</f>
        <v/>
      </c>
      <c r="BO168" s="21" t="str">
        <f>IFERROR(
IF(COUNTIF($BI168:BN168,INDEX($J:$J,MATCH($AE168,$M:$M,0)+BO$8-1))=0,
IF(COUNTIF($M:$M,$AE168)&lt;BO$8,
"",
INDEX($J:$J,MATCH($AE168,$M:$M,0)+BO$8-1)),
""),
"")</f>
        <v/>
      </c>
      <c r="BP168" s="21" t="str">
        <f>IFERROR(
IF(COUNTIF($BI168:BO168,INDEX($J:$J,MATCH($AE168,$M:$M,0)+BP$8-1))=0,
IF(COUNTIF($M:$M,$AE168)&lt;BP$8,
"",
INDEX($J:$J,MATCH($AE168,$M:$M,0)+BP$8-1)),
""),
"")</f>
        <v/>
      </c>
      <c r="BQ168" s="21" t="str">
        <f>IFERROR(
IF(COUNTIF($BI168:BP168,INDEX($J:$J,MATCH($AE168,$M:$M,0)+BQ$8-1))=0,
IF(COUNTIF($M:$M,$AE168)&lt;BQ$8,
"",
INDEX($J:$J,MATCH($AE168,$M:$M,0)+BQ$8-1)),
""),
"")</f>
        <v/>
      </c>
      <c r="BS168" s="21" t="str">
        <f>IFERROR(
IF(COUNTIF($BI168:BR168,INDEX($J:$J,MATCH($AF168,$M:$M,0)+BS$8-1))=0,
IF(COUNTIF($M:$M,$AF168)&lt;BS$8,
"",
INDEX($J:$J,MATCH($AF168,$M:$M,0)+BS$8-1)),
""),
"")</f>
        <v/>
      </c>
      <c r="BT168" s="21" t="str">
        <f>IFERROR(
IF(COUNTIF($BI168:BS168,INDEX($J:$J,MATCH($AF168,$M:$M,0)+BT$8-1))=0,
IF(COUNTIF($M:$M,$AF168)&lt;BT$8,
"",
INDEX($J:$J,MATCH($AF168,$M:$M,0)+BT$8-1)),
""),
"")</f>
        <v/>
      </c>
      <c r="BU168" s="21" t="str">
        <f>IFERROR(
IF(COUNTIF($BI168:BT168,INDEX($J:$J,MATCH($AF168,$M:$M,0)+BU$8-1))=0,
IF(COUNTIF($M:$M,$AF168)&lt;BU$8,
"",
INDEX($J:$J,MATCH($AF168,$M:$M,0)+BU$8-1)),
""),
"")</f>
        <v/>
      </c>
      <c r="BV168" s="21" t="str">
        <f>IFERROR(
IF(COUNTIF($BI168:BU168,INDEX($J:$J,MATCH($AF168,$M:$M,0)+BV$8-1))=0,
IF(COUNTIF($M:$M,$AF168)&lt;BV$8,
"",
INDEX($J:$J,MATCH($AF168,$M:$M,0)+BV$8-1)),
""),
"")</f>
        <v/>
      </c>
      <c r="BX168" s="21" t="str">
        <f>IFERROR(
IF(COUNTIF($BI168:BW168,INDEX($J:$J,MATCH($AG168,$M:$M,0)+BX$8-1))=0,
IF(COUNTIF($M:$M,$AG168)&lt;BX$8,
"",
INDEX($J:$J,MATCH($AG168,$M:$M,0)+BX$8-1)),
""),
"")</f>
        <v/>
      </c>
      <c r="BY168" s="21" t="str">
        <f>IFERROR(
IF(COUNTIF($BI168:BX168,INDEX($J:$J,MATCH($AG168,$M:$M,0)+BY$8-1))=0,
IF(COUNTIF($M:$M,$AG168)&lt;BY$8,
"",
INDEX($J:$J,MATCH($AG168,$M:$M,0)+BY$8-1)),
""),
"")</f>
        <v/>
      </c>
      <c r="BZ168" s="21" t="str">
        <f>IFERROR(
IF(COUNTIF($BI168:BY168,INDEX($J:$J,MATCH($AG168,$M:$M,0)+BZ$8-1))=0,
IF(COUNTIF($M:$M,$AG168)&lt;BZ$8,
"",
INDEX($J:$J,MATCH($AG168,$M:$M,0)+BZ$8-1)),
""),
"")</f>
        <v/>
      </c>
      <c r="CA168" s="21" t="str">
        <f>IFERROR(
IF(COUNTIF($BI168:BZ168,INDEX($J:$J,MATCH($AG168,$M:$M,0)+CA$8-1))=0,
IF(COUNTIF($M:$M,$AG168)&lt;CA$8,
"",
INDEX($J:$J,MATCH($AG168,$M:$M,0)+CA$8-1)),
""),
"")</f>
        <v/>
      </c>
      <c r="CC168" s="21" t="str">
        <f>IFERROR(
IF(COUNTIF($BI168:CB168,INDEX($J:$J,MATCH($AH168,$M:$M,0)+CC$8-1))=0,
IF(COUNTIF($M:$M,$AH168)&lt;CC$8,
"",
INDEX($J:$J,MATCH($AH168,$M:$M,0)+CC$8-1)),
""),
"")</f>
        <v/>
      </c>
      <c r="CD168" s="21" t="str">
        <f>IFERROR(
IF(COUNTIF($BI168:CC168,INDEX($J:$J,MATCH($AH168,$M:$M,0)+CD$8-1))=0,
IF(COUNTIF($M:$M,$AH168)&lt;CD$8,
"",
INDEX($J:$J,MATCH($AH168,$M:$M,0)+CD$8-1)),
""),
"")</f>
        <v/>
      </c>
      <c r="CE168" s="21" t="str">
        <f>IFERROR(
IF(COUNTIF($BI168:CD168,INDEX($J:$J,MATCH($AH168,$M:$M,0)+CE$8-1))=0,
IF(COUNTIF($M:$M,$AH168)&lt;CE$8,
"",
INDEX($J:$J,MATCH($AH168,$M:$M,0)+CE$8-1)),
""),
"")</f>
        <v/>
      </c>
      <c r="CF168" s="21" t="str">
        <f>IFERROR(
IF(COUNTIF($BI168:CE168,INDEX($J:$J,MATCH($AH168,$M:$M,0)+CF$8-1))=0,
IF(COUNTIF($M:$M,$AH168)&lt;CF$8,
"",
INDEX($J:$J,MATCH($AH168,$M:$M,0)+CF$8-1)),
""),
"")</f>
        <v/>
      </c>
      <c r="CH168" s="21" t="str">
        <f>IFERROR(
IF(COUNTIF($BI168:CG168,INDEX($J:$J,MATCH($AI168,$M:$M,0)+CH$8-1))=0,
IF(COUNTIF($M:$M,$AI168)&lt;CH$8,
"",
INDEX($J:$J,MATCH($AI168,$M:$M,0)+CH$8-1)),
""),
"")</f>
        <v/>
      </c>
      <c r="CI168" s="21" t="str">
        <f>IFERROR(
IF(COUNTIF($BI168:CH168,INDEX($J:$J,MATCH($AI168,$M:$M,0)+CI$8-1))=0,
IF(COUNTIF($M:$M,$AI168)&lt;CI$8,
"",
INDEX($J:$J,MATCH($AI168,$M:$M,0)+CI$8-1)),
""),
"")</f>
        <v/>
      </c>
      <c r="CJ168" s="21" t="str">
        <f>IFERROR(
IF(COUNTIF($BI168:CI168,INDEX($J:$J,MATCH($AI168,$M:$M,0)+CJ$8-1))=0,
IF(COUNTIF($M:$M,$AI168)&lt;CJ$8,
"",
INDEX($J:$J,MATCH($AI168,$M:$M,0)+CJ$8-1)),
""),
"")</f>
        <v/>
      </c>
      <c r="CK168" s="21" t="str">
        <f>IFERROR(
IF(COUNTIF($BI168:CJ168,INDEX($J:$J,MATCH($AI168,$M:$M,0)+CK$8-1))=0,
IF(COUNTIF($M:$M,$AI168)&lt;CK$8,
"",
INDEX($J:$J,MATCH($AI168,$M:$M,0)+CK$8-1)),
""),
"")</f>
        <v/>
      </c>
      <c r="CM168" s="21" t="str">
        <f>IFERROR(
IF(COUNTIF($BI168:CL168,INDEX($J:$J,MATCH($AJ168,$M:$M,0)+CM$8-1))=0,
IF(COUNTIF($M:$M,$AJ168)&lt;CM$8,
"",
INDEX($J:$J,MATCH($AJ168,$M:$M,0)+CM$8-1)),
""),
"")</f>
        <v/>
      </c>
      <c r="CN168" s="21" t="str">
        <f>IFERROR(
IF(COUNTIF($BI168:CM168,INDEX($J:$J,MATCH($AJ168,$M:$M,0)+CN$8-1))=0,
IF(COUNTIF($M:$M,$AJ168)&lt;CN$8,
"",
INDEX($J:$J,MATCH($AJ168,$M:$M,0)+CN$8-1)),
""),
"")</f>
        <v/>
      </c>
      <c r="CO168" s="21" t="str">
        <f>IFERROR(
IF(COUNTIF($BI168:CN168,INDEX($J:$J,MATCH($AJ168,$M:$M,0)+CO$8-1))=0,
IF(COUNTIF($M:$M,$AJ168)&lt;CO$8,
"",
INDEX($J:$J,MATCH($AJ168,$M:$M,0)+CO$8-1)),
""),
"")</f>
        <v/>
      </c>
      <c r="CP168" s="21" t="str">
        <f>IFERROR(
IF(COUNTIF($BI168:CO168,INDEX($J:$J,MATCH($AJ168,$M:$M,0)+CP$8-1))=0,
IF(COUNTIF($M:$M,$AJ168)&lt;CP$8,
"",
INDEX($J:$J,MATCH($AJ168,$M:$M,0)+CP$8-1)),
""),
"")</f>
        <v/>
      </c>
      <c r="CR168" s="21" t="str">
        <f>IFERROR(
IF(COUNTIF($BI168:CQ168,INDEX($J:$J,MATCH($AK168,$M:$M,0)+CR$8-1))=0,
IF(COUNTIF($M:$M,$AK168)&lt;CR$8,
"",
INDEX($J:$J,MATCH($AK168,$M:$M,0)+CR$8-1)),
""),
"")</f>
        <v/>
      </c>
      <c r="CS168" s="21" t="str">
        <f>IFERROR(
IF(COUNTIF($BI168:CR168,INDEX($J:$J,MATCH($AK168,$M:$M,0)+CS$8-1))=0,
IF(COUNTIF($M:$M,$AK168)&lt;CS$8,
"",
INDEX($J:$J,MATCH($AK168,$M:$M,0)+CS$8-1)),
""),
"")</f>
        <v/>
      </c>
      <c r="CT168" s="21" t="str">
        <f>IFERROR(
IF(COUNTIF($BI168:CS168,INDEX($J:$J,MATCH($AK168,$M:$M,0)+CT$8-1))=0,
IF(COUNTIF($M:$M,$AK168)&lt;CT$8,
"",
INDEX($J:$J,MATCH($AK168,$M:$M,0)+CT$8-1)),
""),
"")</f>
        <v/>
      </c>
      <c r="CU168" s="21" t="str">
        <f>IFERROR(
IF(COUNTIF($BI168:CT168,INDEX($J:$J,MATCH($AK168,$M:$M,0)+CU$8-1))=0,
IF(COUNTIF($M:$M,$AK168)&lt;CU$8,
"",
INDEX($J:$J,MATCH($AK168,$M:$M,0)+CU$8-1)),
""),
"")</f>
        <v/>
      </c>
    </row>
    <row r="169" spans="8:99">
      <c r="H169" s="7">
        <f>IF(I169="","",COUNTA(I$9:$I169))</f>
        <v>112</v>
      </c>
      <c r="I169" s="6" t="s">
        <v>280</v>
      </c>
      <c r="J169" s="6" t="s">
        <v>256</v>
      </c>
      <c r="K169" s="8" t="str">
        <f>IF(H169="","",阶段合并区域(J169:J173," ",L169:L173,1))</f>
        <v>蔺相如 吕不韦 信陵君 项燕</v>
      </c>
      <c r="L169" s="8">
        <f>COUNTIF(M$8:$M169,"="&amp;M169)</f>
        <v>1</v>
      </c>
      <c r="M169" s="9" t="str">
        <f t="shared" si="37"/>
        <v>国之栋梁</v>
      </c>
      <c r="N169" s="9" t="str">
        <f t="shared" si="38"/>
        <v>国之栋梁1</v>
      </c>
      <c r="O169" s="15">
        <f>INDEX(C:C,MATCH(J169,D:D,0))</f>
        <v>47</v>
      </c>
      <c r="P169" s="9">
        <f>INDEX(E:E,MATCH(J169,D:D,0))</f>
        <v>130</v>
      </c>
      <c r="Q169" s="7">
        <f t="shared" si="34"/>
        <v>47</v>
      </c>
      <c r="R169" s="7">
        <f>COUNTIF(J$8:$J169,"="&amp;J169)</f>
        <v>2</v>
      </c>
      <c r="S169" s="7">
        <f t="shared" si="39"/>
        <v>2047</v>
      </c>
      <c r="U169" s="7">
        <f t="shared" si="36"/>
        <v>1000</v>
      </c>
      <c r="V169" s="7">
        <f t="shared" si="36"/>
        <v>2000</v>
      </c>
      <c r="W169" s="7">
        <f t="shared" si="36"/>
        <v>3000</v>
      </c>
      <c r="X169" s="7">
        <f t="shared" si="36"/>
        <v>4000</v>
      </c>
      <c r="Y169" s="7">
        <f t="shared" si="36"/>
        <v>5000</v>
      </c>
      <c r="Z169" s="7">
        <f t="shared" si="36"/>
        <v>6000</v>
      </c>
      <c r="AA169" s="7">
        <f t="shared" si="36"/>
        <v>7000</v>
      </c>
      <c r="AB169" s="7">
        <f t="shared" si="36"/>
        <v>8000</v>
      </c>
      <c r="AD169" s="21" t="str">
        <f>IFERROR(INDEX($M:$M,MATCH(U169,$S:$S,0)),"&amp;")</f>
        <v>&amp;</v>
      </c>
      <c r="AE169" s="21" t="str">
        <f>IFERROR(INDEX($M:$M,MATCH(V169,$S:$S,0)),"&amp;")</f>
        <v>&amp;</v>
      </c>
      <c r="AF169" s="21" t="str">
        <f>IFERROR(INDEX($M:$M,MATCH(W169,$S:$S,0)),"&amp;")</f>
        <v>&amp;</v>
      </c>
      <c r="AG169" s="21" t="str">
        <f>IFERROR(INDEX($M:$M,MATCH(X169,$S:$S,0)),"&amp;")</f>
        <v>&amp;</v>
      </c>
      <c r="AH169" s="21" t="str">
        <f>IFERROR(INDEX($M:$M,MATCH(Y169,$S:$S,0)),"&amp;")</f>
        <v>&amp;</v>
      </c>
      <c r="AI169" s="21" t="str">
        <f>IFERROR(INDEX($M:$M,MATCH(Z169,$S:$S,0)),"&amp;")</f>
        <v>&amp;</v>
      </c>
      <c r="AJ169" s="21" t="str">
        <f>IFERROR(INDEX($M:$M,MATCH(AA169,$S:$S,0)),"&amp;")</f>
        <v>&amp;</v>
      </c>
      <c r="AK169" s="21" t="str">
        <f>IFERROR(INDEX($M:$M,MATCH(AB169,$S:$S,0)),"&amp;")</f>
        <v>&amp;</v>
      </c>
      <c r="AM169" s="21" t="str">
        <f>IFERROR(INDEX($N:$N,MATCH(U169,$S:$S,0)),"&amp;")</f>
        <v>&amp;</v>
      </c>
      <c r="AN169" s="21" t="str">
        <f>IFERROR(INDEX($N:$N,MATCH(V169,$S:$S,0)),"&amp;")</f>
        <v>&amp;</v>
      </c>
      <c r="AO169" s="21" t="str">
        <f>IFERROR(INDEX($N:$N,MATCH(W169,$S:$S,0)),"&amp;")</f>
        <v>&amp;</v>
      </c>
      <c r="AP169" s="21" t="str">
        <f>IFERROR(INDEX($N:$N,MATCH(X169,$S:$S,0)),"&amp;")</f>
        <v>&amp;</v>
      </c>
      <c r="AQ169" s="21" t="str">
        <f>IFERROR(INDEX($N:$N,MATCH(Y169,$S:$S,0)),"&amp;")</f>
        <v>&amp;</v>
      </c>
      <c r="AR169" s="21" t="str">
        <f>IFERROR(INDEX($N:$N,MATCH(Z169,$S:$S,0)),"&amp;")</f>
        <v>&amp;</v>
      </c>
      <c r="AS169" s="21" t="str">
        <f>IFERROR(INDEX($N:$N,MATCH(AA169,$S:$S,0)),"&amp;")</f>
        <v>&amp;</v>
      </c>
      <c r="AT169" s="21" t="str">
        <f>IFERROR(INDEX($N:$N,MATCH(AB169,$S:$S,0)),"&amp;")</f>
        <v>&amp;</v>
      </c>
      <c r="AV169" s="21" t="str">
        <f>IFERROR(SUBSTITUTE(INDEX($K:$K,MATCH(INDEX($M:$M,MATCH(AM169,$N:$N,0)),$M:$M,0)),$D169,""),"")</f>
        <v/>
      </c>
      <c r="AW169" s="21" t="str">
        <f>IFERROR(SUBSTITUTE(INDEX($K:$K,MATCH(INDEX($M:$M,MATCH(AN169,$N:$N,0)),$M:$M,0)),$D169,""),"")</f>
        <v/>
      </c>
      <c r="AX169" s="21" t="str">
        <f>IFERROR(SUBSTITUTE(INDEX($K:$K,MATCH(INDEX($M:$M,MATCH(AO169,$N:$N,0)),$M:$M,0)),$D169,""),"")</f>
        <v/>
      </c>
      <c r="AY169" s="21" t="str">
        <f>IFERROR(SUBSTITUTE(INDEX($K:$K,MATCH(INDEX($M:$M,MATCH(AP169,$N:$N,0)),$M:$M,0)),$D169,""),"")</f>
        <v/>
      </c>
      <c r="AZ169" s="21" t="str">
        <f>IFERROR(SUBSTITUTE(INDEX($K:$K,MATCH(INDEX($M:$M,MATCH(AQ169,$N:$N,0)),$M:$M,0)),$D169,""),"")</f>
        <v/>
      </c>
      <c r="BA169" s="21" t="str">
        <f>IFERROR(SUBSTITUTE(INDEX($K:$K,MATCH(INDEX($M:$M,MATCH(AR169,$N:$N,0)),$M:$M,0)),$D169,""),"")</f>
        <v/>
      </c>
      <c r="BB169" s="21" t="str">
        <f>IFERROR(SUBSTITUTE(INDEX($K:$K,MATCH(INDEX($M:$M,MATCH(AS169,$N:$N,0)),$M:$M,0)),$D169,""),"")</f>
        <v/>
      </c>
      <c r="BC169" s="21" t="str">
        <f>IFERROR(SUBSTITUTE(INDEX($K:$K,MATCH(INDEX($M:$M,MATCH(AT169,$N:$N,0)),$M:$M,0)),$D169,""),"")</f>
        <v/>
      </c>
      <c r="BE169" s="9" t="str">
        <f t="shared" si="35"/>
        <v/>
      </c>
      <c r="BI169" s="9" t="str">
        <f>IFERROR(
IF(COUNTIF($M:$M,$AD169)&lt;BI$8,
"",
INDEX($J:$J,MATCH($AD169,$M:$M,0)+BI$8-1)),
"")</f>
        <v/>
      </c>
      <c r="BJ169" s="9" t="str">
        <f>IFERROR(
IF(COUNTIF($M:$M,$AD169)&lt;BJ$8,
"",
INDEX($J:$J,MATCH($AD169,$M:$M,0)+BJ$8-1)),
"")</f>
        <v/>
      </c>
      <c r="BK169" s="9" t="str">
        <f>IFERROR(
IF(COUNTIF($M:$M,$AD169)&lt;BK$8,
"",
INDEX($J:$J,MATCH($AD169,$M:$M,0)+BK$8-1)),
"")</f>
        <v/>
      </c>
      <c r="BL169" s="9" t="str">
        <f>IFERROR(
IF(COUNTIF($M:$M,$AD169)&lt;BL$8,
"",
INDEX($J:$J,MATCH($AD169,$M:$M,0)+BL$8-1)),
"")</f>
        <v/>
      </c>
      <c r="BN169" s="21" t="str">
        <f>IFERROR(
IF(COUNTIF($BI169:BM169,INDEX($J:$J,MATCH($AE169,$M:$M,0)+BN$8-1))=0,
IF(COUNTIF($M:$M,$AE169)&lt;BN$8,
"",
INDEX($J:$J,MATCH($AE169,$M:$M,0)+BN$8-1)),
""),
"")</f>
        <v/>
      </c>
      <c r="BO169" s="21" t="str">
        <f>IFERROR(
IF(COUNTIF($BI169:BN169,INDEX($J:$J,MATCH($AE169,$M:$M,0)+BO$8-1))=0,
IF(COUNTIF($M:$M,$AE169)&lt;BO$8,
"",
INDEX($J:$J,MATCH($AE169,$M:$M,0)+BO$8-1)),
""),
"")</f>
        <v/>
      </c>
      <c r="BP169" s="21" t="str">
        <f>IFERROR(
IF(COUNTIF($BI169:BO169,INDEX($J:$J,MATCH($AE169,$M:$M,0)+BP$8-1))=0,
IF(COUNTIF($M:$M,$AE169)&lt;BP$8,
"",
INDEX($J:$J,MATCH($AE169,$M:$M,0)+BP$8-1)),
""),
"")</f>
        <v/>
      </c>
      <c r="BQ169" s="21" t="str">
        <f>IFERROR(
IF(COUNTIF($BI169:BP169,INDEX($J:$J,MATCH($AE169,$M:$M,0)+BQ$8-1))=0,
IF(COUNTIF($M:$M,$AE169)&lt;BQ$8,
"",
INDEX($J:$J,MATCH($AE169,$M:$M,0)+BQ$8-1)),
""),
"")</f>
        <v/>
      </c>
      <c r="BS169" s="21" t="str">
        <f>IFERROR(
IF(COUNTIF($BI169:BR169,INDEX($J:$J,MATCH($AF169,$M:$M,0)+BS$8-1))=0,
IF(COUNTIF($M:$M,$AF169)&lt;BS$8,
"",
INDEX($J:$J,MATCH($AF169,$M:$M,0)+BS$8-1)),
""),
"")</f>
        <v/>
      </c>
      <c r="BT169" s="21" t="str">
        <f>IFERROR(
IF(COUNTIF($BI169:BS169,INDEX($J:$J,MATCH($AF169,$M:$M,0)+BT$8-1))=0,
IF(COUNTIF($M:$M,$AF169)&lt;BT$8,
"",
INDEX($J:$J,MATCH($AF169,$M:$M,0)+BT$8-1)),
""),
"")</f>
        <v/>
      </c>
      <c r="BU169" s="21" t="str">
        <f>IFERROR(
IF(COUNTIF($BI169:BT169,INDEX($J:$J,MATCH($AF169,$M:$M,0)+BU$8-1))=0,
IF(COUNTIF($M:$M,$AF169)&lt;BU$8,
"",
INDEX($J:$J,MATCH($AF169,$M:$M,0)+BU$8-1)),
""),
"")</f>
        <v/>
      </c>
      <c r="BV169" s="21" t="str">
        <f>IFERROR(
IF(COUNTIF($BI169:BU169,INDEX($J:$J,MATCH($AF169,$M:$M,0)+BV$8-1))=0,
IF(COUNTIF($M:$M,$AF169)&lt;BV$8,
"",
INDEX($J:$J,MATCH($AF169,$M:$M,0)+BV$8-1)),
""),
"")</f>
        <v/>
      </c>
      <c r="BX169" s="21" t="str">
        <f>IFERROR(
IF(COUNTIF($BI169:BW169,INDEX($J:$J,MATCH($AG169,$M:$M,0)+BX$8-1))=0,
IF(COUNTIF($M:$M,$AG169)&lt;BX$8,
"",
INDEX($J:$J,MATCH($AG169,$M:$M,0)+BX$8-1)),
""),
"")</f>
        <v/>
      </c>
      <c r="BY169" s="21" t="str">
        <f>IFERROR(
IF(COUNTIF($BI169:BX169,INDEX($J:$J,MATCH($AG169,$M:$M,0)+BY$8-1))=0,
IF(COUNTIF($M:$M,$AG169)&lt;BY$8,
"",
INDEX($J:$J,MATCH($AG169,$M:$M,0)+BY$8-1)),
""),
"")</f>
        <v/>
      </c>
      <c r="BZ169" s="21" t="str">
        <f>IFERROR(
IF(COUNTIF($BI169:BY169,INDEX($J:$J,MATCH($AG169,$M:$M,0)+BZ$8-1))=0,
IF(COUNTIF($M:$M,$AG169)&lt;BZ$8,
"",
INDEX($J:$J,MATCH($AG169,$M:$M,0)+BZ$8-1)),
""),
"")</f>
        <v/>
      </c>
      <c r="CA169" s="21" t="str">
        <f>IFERROR(
IF(COUNTIF($BI169:BZ169,INDEX($J:$J,MATCH($AG169,$M:$M,0)+CA$8-1))=0,
IF(COUNTIF($M:$M,$AG169)&lt;CA$8,
"",
INDEX($J:$J,MATCH($AG169,$M:$M,0)+CA$8-1)),
""),
"")</f>
        <v/>
      </c>
      <c r="CC169" s="21" t="str">
        <f>IFERROR(
IF(COUNTIF($BI169:CB169,INDEX($J:$J,MATCH($AH169,$M:$M,0)+CC$8-1))=0,
IF(COUNTIF($M:$M,$AH169)&lt;CC$8,
"",
INDEX($J:$J,MATCH($AH169,$M:$M,0)+CC$8-1)),
""),
"")</f>
        <v/>
      </c>
      <c r="CD169" s="21" t="str">
        <f>IFERROR(
IF(COUNTIF($BI169:CC169,INDEX($J:$J,MATCH($AH169,$M:$M,0)+CD$8-1))=0,
IF(COUNTIF($M:$M,$AH169)&lt;CD$8,
"",
INDEX($J:$J,MATCH($AH169,$M:$M,0)+CD$8-1)),
""),
"")</f>
        <v/>
      </c>
      <c r="CE169" s="21" t="str">
        <f>IFERROR(
IF(COUNTIF($BI169:CD169,INDEX($J:$J,MATCH($AH169,$M:$M,0)+CE$8-1))=0,
IF(COUNTIF($M:$M,$AH169)&lt;CE$8,
"",
INDEX($J:$J,MATCH($AH169,$M:$M,0)+CE$8-1)),
""),
"")</f>
        <v/>
      </c>
      <c r="CF169" s="21" t="str">
        <f>IFERROR(
IF(COUNTIF($BI169:CE169,INDEX($J:$J,MATCH($AH169,$M:$M,0)+CF$8-1))=0,
IF(COUNTIF($M:$M,$AH169)&lt;CF$8,
"",
INDEX($J:$J,MATCH($AH169,$M:$M,0)+CF$8-1)),
""),
"")</f>
        <v/>
      </c>
      <c r="CH169" s="21" t="str">
        <f>IFERROR(
IF(COUNTIF($BI169:CG169,INDEX($J:$J,MATCH($AI169,$M:$M,0)+CH$8-1))=0,
IF(COUNTIF($M:$M,$AI169)&lt;CH$8,
"",
INDEX($J:$J,MATCH($AI169,$M:$M,0)+CH$8-1)),
""),
"")</f>
        <v/>
      </c>
      <c r="CI169" s="21" t="str">
        <f>IFERROR(
IF(COUNTIF($BI169:CH169,INDEX($J:$J,MATCH($AI169,$M:$M,0)+CI$8-1))=0,
IF(COUNTIF($M:$M,$AI169)&lt;CI$8,
"",
INDEX($J:$J,MATCH($AI169,$M:$M,0)+CI$8-1)),
""),
"")</f>
        <v/>
      </c>
      <c r="CJ169" s="21" t="str">
        <f>IFERROR(
IF(COUNTIF($BI169:CI169,INDEX($J:$J,MATCH($AI169,$M:$M,0)+CJ$8-1))=0,
IF(COUNTIF($M:$M,$AI169)&lt;CJ$8,
"",
INDEX($J:$J,MATCH($AI169,$M:$M,0)+CJ$8-1)),
""),
"")</f>
        <v/>
      </c>
      <c r="CK169" s="21" t="str">
        <f>IFERROR(
IF(COUNTIF($BI169:CJ169,INDEX($J:$J,MATCH($AI169,$M:$M,0)+CK$8-1))=0,
IF(COUNTIF($M:$M,$AI169)&lt;CK$8,
"",
INDEX($J:$J,MATCH($AI169,$M:$M,0)+CK$8-1)),
""),
"")</f>
        <v/>
      </c>
      <c r="CM169" s="21" t="str">
        <f>IFERROR(
IF(COUNTIF($BI169:CL169,INDEX($J:$J,MATCH($AJ169,$M:$M,0)+CM$8-1))=0,
IF(COUNTIF($M:$M,$AJ169)&lt;CM$8,
"",
INDEX($J:$J,MATCH($AJ169,$M:$M,0)+CM$8-1)),
""),
"")</f>
        <v/>
      </c>
      <c r="CN169" s="21" t="str">
        <f>IFERROR(
IF(COUNTIF($BI169:CM169,INDEX($J:$J,MATCH($AJ169,$M:$M,0)+CN$8-1))=0,
IF(COUNTIF($M:$M,$AJ169)&lt;CN$8,
"",
INDEX($J:$J,MATCH($AJ169,$M:$M,0)+CN$8-1)),
""),
"")</f>
        <v/>
      </c>
      <c r="CO169" s="21" t="str">
        <f>IFERROR(
IF(COUNTIF($BI169:CN169,INDEX($J:$J,MATCH($AJ169,$M:$M,0)+CO$8-1))=0,
IF(COUNTIF($M:$M,$AJ169)&lt;CO$8,
"",
INDEX($J:$J,MATCH($AJ169,$M:$M,0)+CO$8-1)),
""),
"")</f>
        <v/>
      </c>
      <c r="CP169" s="21" t="str">
        <f>IFERROR(
IF(COUNTIF($BI169:CO169,INDEX($J:$J,MATCH($AJ169,$M:$M,0)+CP$8-1))=0,
IF(COUNTIF($M:$M,$AJ169)&lt;CP$8,
"",
INDEX($J:$J,MATCH($AJ169,$M:$M,0)+CP$8-1)),
""),
"")</f>
        <v/>
      </c>
      <c r="CR169" s="21" t="str">
        <f>IFERROR(
IF(COUNTIF($BI169:CQ169,INDEX($J:$J,MATCH($AK169,$M:$M,0)+CR$8-1))=0,
IF(COUNTIF($M:$M,$AK169)&lt;CR$8,
"",
INDEX($J:$J,MATCH($AK169,$M:$M,0)+CR$8-1)),
""),
"")</f>
        <v/>
      </c>
      <c r="CS169" s="21" t="str">
        <f>IFERROR(
IF(COUNTIF($BI169:CR169,INDEX($J:$J,MATCH($AK169,$M:$M,0)+CS$8-1))=0,
IF(COUNTIF($M:$M,$AK169)&lt;CS$8,
"",
INDEX($J:$J,MATCH($AK169,$M:$M,0)+CS$8-1)),
""),
"")</f>
        <v/>
      </c>
      <c r="CT169" s="21" t="str">
        <f>IFERROR(
IF(COUNTIF($BI169:CS169,INDEX($J:$J,MATCH($AK169,$M:$M,0)+CT$8-1))=0,
IF(COUNTIF($M:$M,$AK169)&lt;CT$8,
"",
INDEX($J:$J,MATCH($AK169,$M:$M,0)+CT$8-1)),
""),
"")</f>
        <v/>
      </c>
      <c r="CU169" s="21" t="str">
        <f>IFERROR(
IF(COUNTIF($BI169:CT169,INDEX($J:$J,MATCH($AK169,$M:$M,0)+CU$8-1))=0,
IF(COUNTIF($M:$M,$AK169)&lt;CU$8,
"",
INDEX($J:$J,MATCH($AK169,$M:$M,0)+CU$8-1)),
""),
"")</f>
        <v/>
      </c>
    </row>
    <row r="170" spans="8:99">
      <c r="H170" s="7" t="str">
        <f>IF(I170="","",COUNTA(I$9:$I170))</f>
        <v/>
      </c>
      <c r="I170" s="6"/>
      <c r="J170" s="6" t="s">
        <v>293</v>
      </c>
      <c r="K170" s="8" t="str">
        <f>IF(H170="","",阶段合并区域(J170:J173," ",L170:L173,1))</f>
        <v/>
      </c>
      <c r="L170" s="8">
        <f>COUNTIF(M$8:$M170,"="&amp;M170)</f>
        <v>2</v>
      </c>
      <c r="M170" s="9" t="str">
        <f t="shared" si="37"/>
        <v>国之栋梁</v>
      </c>
      <c r="N170" s="9" t="str">
        <f t="shared" si="38"/>
        <v>国之栋梁2</v>
      </c>
      <c r="O170" s="15">
        <f>INDEX(C:C,MATCH(J170,D:D,0))</f>
        <v>18</v>
      </c>
      <c r="P170" s="9">
        <f>INDEX(E:E,MATCH(J170,D:D,0))</f>
        <v>120</v>
      </c>
      <c r="Q170" s="7">
        <f t="shared" si="34"/>
        <v>18</v>
      </c>
      <c r="R170" s="7">
        <f>COUNTIF(J$8:$J170,"="&amp;J170)</f>
        <v>6</v>
      </c>
      <c r="S170" s="7">
        <f t="shared" si="39"/>
        <v>6018</v>
      </c>
      <c r="U170" s="7">
        <f t="shared" si="36"/>
        <v>1000</v>
      </c>
      <c r="V170" s="7">
        <f t="shared" si="36"/>
        <v>2000</v>
      </c>
      <c r="W170" s="7">
        <f t="shared" si="36"/>
        <v>3000</v>
      </c>
      <c r="X170" s="7">
        <f t="shared" si="36"/>
        <v>4000</v>
      </c>
      <c r="Y170" s="7">
        <f t="shared" si="36"/>
        <v>5000</v>
      </c>
      <c r="Z170" s="7">
        <f t="shared" si="36"/>
        <v>6000</v>
      </c>
      <c r="AA170" s="7">
        <f t="shared" si="36"/>
        <v>7000</v>
      </c>
      <c r="AB170" s="7">
        <f t="shared" si="36"/>
        <v>8000</v>
      </c>
      <c r="AD170" s="21" t="str">
        <f>IFERROR(INDEX($M:$M,MATCH(U170,$S:$S,0)),"&amp;")</f>
        <v>&amp;</v>
      </c>
      <c r="AE170" s="21" t="str">
        <f>IFERROR(INDEX($M:$M,MATCH(V170,$S:$S,0)),"&amp;")</f>
        <v>&amp;</v>
      </c>
      <c r="AF170" s="21" t="str">
        <f>IFERROR(INDEX($M:$M,MATCH(W170,$S:$S,0)),"&amp;")</f>
        <v>&amp;</v>
      </c>
      <c r="AG170" s="21" t="str">
        <f>IFERROR(INDEX($M:$M,MATCH(X170,$S:$S,0)),"&amp;")</f>
        <v>&amp;</v>
      </c>
      <c r="AH170" s="21" t="str">
        <f>IFERROR(INDEX($M:$M,MATCH(Y170,$S:$S,0)),"&amp;")</f>
        <v>&amp;</v>
      </c>
      <c r="AI170" s="21" t="str">
        <f>IFERROR(INDEX($M:$M,MATCH(Z170,$S:$S,0)),"&amp;")</f>
        <v>&amp;</v>
      </c>
      <c r="AJ170" s="21" t="str">
        <f>IFERROR(INDEX($M:$M,MATCH(AA170,$S:$S,0)),"&amp;")</f>
        <v>&amp;</v>
      </c>
      <c r="AK170" s="21" t="str">
        <f>IFERROR(INDEX($M:$M,MATCH(AB170,$S:$S,0)),"&amp;")</f>
        <v>&amp;</v>
      </c>
      <c r="AM170" s="21" t="str">
        <f>IFERROR(INDEX($N:$N,MATCH(U170,$S:$S,0)),"&amp;")</f>
        <v>&amp;</v>
      </c>
      <c r="AN170" s="21" t="str">
        <f>IFERROR(INDEX($N:$N,MATCH(V170,$S:$S,0)),"&amp;")</f>
        <v>&amp;</v>
      </c>
      <c r="AO170" s="21" t="str">
        <f>IFERROR(INDEX($N:$N,MATCH(W170,$S:$S,0)),"&amp;")</f>
        <v>&amp;</v>
      </c>
      <c r="AP170" s="21" t="str">
        <f>IFERROR(INDEX($N:$N,MATCH(X170,$S:$S,0)),"&amp;")</f>
        <v>&amp;</v>
      </c>
      <c r="AQ170" s="21" t="str">
        <f>IFERROR(INDEX($N:$N,MATCH(Y170,$S:$S,0)),"&amp;")</f>
        <v>&amp;</v>
      </c>
      <c r="AR170" s="21" t="str">
        <f>IFERROR(INDEX($N:$N,MATCH(Z170,$S:$S,0)),"&amp;")</f>
        <v>&amp;</v>
      </c>
      <c r="AS170" s="21" t="str">
        <f>IFERROR(INDEX($N:$N,MATCH(AA170,$S:$S,0)),"&amp;")</f>
        <v>&amp;</v>
      </c>
      <c r="AT170" s="21" t="str">
        <f>IFERROR(INDEX($N:$N,MATCH(AB170,$S:$S,0)),"&amp;")</f>
        <v>&amp;</v>
      </c>
      <c r="AV170" s="21" t="str">
        <f>IFERROR(SUBSTITUTE(INDEX($K:$K,MATCH(INDEX($M:$M,MATCH(AM170,$N:$N,0)),$M:$M,0)),$D170,""),"")</f>
        <v/>
      </c>
      <c r="AW170" s="21" t="str">
        <f>IFERROR(SUBSTITUTE(INDEX($K:$K,MATCH(INDEX($M:$M,MATCH(AN170,$N:$N,0)),$M:$M,0)),$D170,""),"")</f>
        <v/>
      </c>
      <c r="AX170" s="21" t="str">
        <f>IFERROR(SUBSTITUTE(INDEX($K:$K,MATCH(INDEX($M:$M,MATCH(AO170,$N:$N,0)),$M:$M,0)),$D170,""),"")</f>
        <v/>
      </c>
      <c r="AY170" s="21" t="str">
        <f>IFERROR(SUBSTITUTE(INDEX($K:$K,MATCH(INDEX($M:$M,MATCH(AP170,$N:$N,0)),$M:$M,0)),$D170,""),"")</f>
        <v/>
      </c>
      <c r="AZ170" s="21" t="str">
        <f>IFERROR(SUBSTITUTE(INDEX($K:$K,MATCH(INDEX($M:$M,MATCH(AQ170,$N:$N,0)),$M:$M,0)),$D170,""),"")</f>
        <v/>
      </c>
      <c r="BA170" s="21" t="str">
        <f>IFERROR(SUBSTITUTE(INDEX($K:$K,MATCH(INDEX($M:$M,MATCH(AR170,$N:$N,0)),$M:$M,0)),$D170,""),"")</f>
        <v/>
      </c>
      <c r="BB170" s="21" t="str">
        <f>IFERROR(SUBSTITUTE(INDEX($K:$K,MATCH(INDEX($M:$M,MATCH(AS170,$N:$N,0)),$M:$M,0)),$D170,""),"")</f>
        <v/>
      </c>
      <c r="BC170" s="21" t="str">
        <f>IFERROR(SUBSTITUTE(INDEX($K:$K,MATCH(INDEX($M:$M,MATCH(AT170,$N:$N,0)),$M:$M,0)),$D170,""),"")</f>
        <v/>
      </c>
      <c r="BE170" s="9" t="str">
        <f t="shared" si="35"/>
        <v/>
      </c>
      <c r="BI170" s="9" t="str">
        <f>IFERROR(
IF(COUNTIF($M:$M,$AD170)&lt;BI$8,
"",
INDEX($J:$J,MATCH($AD170,$M:$M,0)+BI$8-1)),
"")</f>
        <v/>
      </c>
      <c r="BJ170" s="9" t="str">
        <f>IFERROR(
IF(COUNTIF($M:$M,$AD170)&lt;BJ$8,
"",
INDEX($J:$J,MATCH($AD170,$M:$M,0)+BJ$8-1)),
"")</f>
        <v/>
      </c>
      <c r="BK170" s="9" t="str">
        <f>IFERROR(
IF(COUNTIF($M:$M,$AD170)&lt;BK$8,
"",
INDEX($J:$J,MATCH($AD170,$M:$M,0)+BK$8-1)),
"")</f>
        <v/>
      </c>
      <c r="BL170" s="9" t="str">
        <f>IFERROR(
IF(COUNTIF($M:$M,$AD170)&lt;BL$8,
"",
INDEX($J:$J,MATCH($AD170,$M:$M,0)+BL$8-1)),
"")</f>
        <v/>
      </c>
      <c r="BN170" s="21" t="str">
        <f>IFERROR(
IF(COUNTIF($BI170:BM170,INDEX($J:$J,MATCH($AE170,$M:$M,0)+BN$8-1))=0,
IF(COUNTIF($M:$M,$AE170)&lt;BN$8,
"",
INDEX($J:$J,MATCH($AE170,$M:$M,0)+BN$8-1)),
""),
"")</f>
        <v/>
      </c>
      <c r="BO170" s="21" t="str">
        <f>IFERROR(
IF(COUNTIF($BI170:BN170,INDEX($J:$J,MATCH($AE170,$M:$M,0)+BO$8-1))=0,
IF(COUNTIF($M:$M,$AE170)&lt;BO$8,
"",
INDEX($J:$J,MATCH($AE170,$M:$M,0)+BO$8-1)),
""),
"")</f>
        <v/>
      </c>
      <c r="BP170" s="21" t="str">
        <f>IFERROR(
IF(COUNTIF($BI170:BO170,INDEX($J:$J,MATCH($AE170,$M:$M,0)+BP$8-1))=0,
IF(COUNTIF($M:$M,$AE170)&lt;BP$8,
"",
INDEX($J:$J,MATCH($AE170,$M:$M,0)+BP$8-1)),
""),
"")</f>
        <v/>
      </c>
      <c r="BQ170" s="21" t="str">
        <f>IFERROR(
IF(COUNTIF($BI170:BP170,INDEX($J:$J,MATCH($AE170,$M:$M,0)+BQ$8-1))=0,
IF(COUNTIF($M:$M,$AE170)&lt;BQ$8,
"",
INDEX($J:$J,MATCH($AE170,$M:$M,0)+BQ$8-1)),
""),
"")</f>
        <v/>
      </c>
      <c r="BS170" s="21" t="str">
        <f>IFERROR(
IF(COUNTIF($BI170:BR170,INDEX($J:$J,MATCH($AF170,$M:$M,0)+BS$8-1))=0,
IF(COUNTIF($M:$M,$AF170)&lt;BS$8,
"",
INDEX($J:$J,MATCH($AF170,$M:$M,0)+BS$8-1)),
""),
"")</f>
        <v/>
      </c>
      <c r="BT170" s="21" t="str">
        <f>IFERROR(
IF(COUNTIF($BI170:BS170,INDEX($J:$J,MATCH($AF170,$M:$M,0)+BT$8-1))=0,
IF(COUNTIF($M:$M,$AF170)&lt;BT$8,
"",
INDEX($J:$J,MATCH($AF170,$M:$M,0)+BT$8-1)),
""),
"")</f>
        <v/>
      </c>
      <c r="BU170" s="21" t="str">
        <f>IFERROR(
IF(COUNTIF($BI170:BT170,INDEX($J:$J,MATCH($AF170,$M:$M,0)+BU$8-1))=0,
IF(COUNTIF($M:$M,$AF170)&lt;BU$8,
"",
INDEX($J:$J,MATCH($AF170,$M:$M,0)+BU$8-1)),
""),
"")</f>
        <v/>
      </c>
      <c r="BV170" s="21" t="str">
        <f>IFERROR(
IF(COUNTIF($BI170:BU170,INDEX($J:$J,MATCH($AF170,$M:$M,0)+BV$8-1))=0,
IF(COUNTIF($M:$M,$AF170)&lt;BV$8,
"",
INDEX($J:$J,MATCH($AF170,$M:$M,0)+BV$8-1)),
""),
"")</f>
        <v/>
      </c>
      <c r="BX170" s="21" t="str">
        <f>IFERROR(
IF(COUNTIF($BI170:BW170,INDEX($J:$J,MATCH($AG170,$M:$M,0)+BX$8-1))=0,
IF(COUNTIF($M:$M,$AG170)&lt;BX$8,
"",
INDEX($J:$J,MATCH($AG170,$M:$M,0)+BX$8-1)),
""),
"")</f>
        <v/>
      </c>
      <c r="BY170" s="21" t="str">
        <f>IFERROR(
IF(COUNTIF($BI170:BX170,INDEX($J:$J,MATCH($AG170,$M:$M,0)+BY$8-1))=0,
IF(COUNTIF($M:$M,$AG170)&lt;BY$8,
"",
INDEX($J:$J,MATCH($AG170,$M:$M,0)+BY$8-1)),
""),
"")</f>
        <v/>
      </c>
      <c r="BZ170" s="21" t="str">
        <f>IFERROR(
IF(COUNTIF($BI170:BY170,INDEX($J:$J,MATCH($AG170,$M:$M,0)+BZ$8-1))=0,
IF(COUNTIF($M:$M,$AG170)&lt;BZ$8,
"",
INDEX($J:$J,MATCH($AG170,$M:$M,0)+BZ$8-1)),
""),
"")</f>
        <v/>
      </c>
      <c r="CA170" s="21" t="str">
        <f>IFERROR(
IF(COUNTIF($BI170:BZ170,INDEX($J:$J,MATCH($AG170,$M:$M,0)+CA$8-1))=0,
IF(COUNTIF($M:$M,$AG170)&lt;CA$8,
"",
INDEX($J:$J,MATCH($AG170,$M:$M,0)+CA$8-1)),
""),
"")</f>
        <v/>
      </c>
      <c r="CC170" s="21" t="str">
        <f>IFERROR(
IF(COUNTIF($BI170:CB170,INDEX($J:$J,MATCH($AH170,$M:$M,0)+CC$8-1))=0,
IF(COUNTIF($M:$M,$AH170)&lt;CC$8,
"",
INDEX($J:$J,MATCH($AH170,$M:$M,0)+CC$8-1)),
""),
"")</f>
        <v/>
      </c>
      <c r="CD170" s="21" t="str">
        <f>IFERROR(
IF(COUNTIF($BI170:CC170,INDEX($J:$J,MATCH($AH170,$M:$M,0)+CD$8-1))=0,
IF(COUNTIF($M:$M,$AH170)&lt;CD$8,
"",
INDEX($J:$J,MATCH($AH170,$M:$M,0)+CD$8-1)),
""),
"")</f>
        <v/>
      </c>
      <c r="CE170" s="21" t="str">
        <f>IFERROR(
IF(COUNTIF($BI170:CD170,INDEX($J:$J,MATCH($AH170,$M:$M,0)+CE$8-1))=0,
IF(COUNTIF($M:$M,$AH170)&lt;CE$8,
"",
INDEX($J:$J,MATCH($AH170,$M:$M,0)+CE$8-1)),
""),
"")</f>
        <v/>
      </c>
      <c r="CF170" s="21" t="str">
        <f>IFERROR(
IF(COUNTIF($BI170:CE170,INDEX($J:$J,MATCH($AH170,$M:$M,0)+CF$8-1))=0,
IF(COUNTIF($M:$M,$AH170)&lt;CF$8,
"",
INDEX($J:$J,MATCH($AH170,$M:$M,0)+CF$8-1)),
""),
"")</f>
        <v/>
      </c>
      <c r="CH170" s="21" t="str">
        <f>IFERROR(
IF(COUNTIF($BI170:CG170,INDEX($J:$J,MATCH($AI170,$M:$M,0)+CH$8-1))=0,
IF(COUNTIF($M:$M,$AI170)&lt;CH$8,
"",
INDEX($J:$J,MATCH($AI170,$M:$M,0)+CH$8-1)),
""),
"")</f>
        <v/>
      </c>
      <c r="CI170" s="21" t="str">
        <f>IFERROR(
IF(COUNTIF($BI170:CH170,INDEX($J:$J,MATCH($AI170,$M:$M,0)+CI$8-1))=0,
IF(COUNTIF($M:$M,$AI170)&lt;CI$8,
"",
INDEX($J:$J,MATCH($AI170,$M:$M,0)+CI$8-1)),
""),
"")</f>
        <v/>
      </c>
      <c r="CJ170" s="21" t="str">
        <f>IFERROR(
IF(COUNTIF($BI170:CI170,INDEX($J:$J,MATCH($AI170,$M:$M,0)+CJ$8-1))=0,
IF(COUNTIF($M:$M,$AI170)&lt;CJ$8,
"",
INDEX($J:$J,MATCH($AI170,$M:$M,0)+CJ$8-1)),
""),
"")</f>
        <v/>
      </c>
      <c r="CK170" s="21" t="str">
        <f>IFERROR(
IF(COUNTIF($BI170:CJ170,INDEX($J:$J,MATCH($AI170,$M:$M,0)+CK$8-1))=0,
IF(COUNTIF($M:$M,$AI170)&lt;CK$8,
"",
INDEX($J:$J,MATCH($AI170,$M:$M,0)+CK$8-1)),
""),
"")</f>
        <v/>
      </c>
      <c r="CM170" s="21" t="str">
        <f>IFERROR(
IF(COUNTIF($BI170:CL170,INDEX($J:$J,MATCH($AJ170,$M:$M,0)+CM$8-1))=0,
IF(COUNTIF($M:$M,$AJ170)&lt;CM$8,
"",
INDEX($J:$J,MATCH($AJ170,$M:$M,0)+CM$8-1)),
""),
"")</f>
        <v/>
      </c>
      <c r="CN170" s="21" t="str">
        <f>IFERROR(
IF(COUNTIF($BI170:CM170,INDEX($J:$J,MATCH($AJ170,$M:$M,0)+CN$8-1))=0,
IF(COUNTIF($M:$M,$AJ170)&lt;CN$8,
"",
INDEX($J:$J,MATCH($AJ170,$M:$M,0)+CN$8-1)),
""),
"")</f>
        <v/>
      </c>
      <c r="CO170" s="21" t="str">
        <f>IFERROR(
IF(COUNTIF($BI170:CN170,INDEX($J:$J,MATCH($AJ170,$M:$M,0)+CO$8-1))=0,
IF(COUNTIF($M:$M,$AJ170)&lt;CO$8,
"",
INDEX($J:$J,MATCH($AJ170,$M:$M,0)+CO$8-1)),
""),
"")</f>
        <v/>
      </c>
      <c r="CP170" s="21" t="str">
        <f>IFERROR(
IF(COUNTIF($BI170:CO170,INDEX($J:$J,MATCH($AJ170,$M:$M,0)+CP$8-1))=0,
IF(COUNTIF($M:$M,$AJ170)&lt;CP$8,
"",
INDEX($J:$J,MATCH($AJ170,$M:$M,0)+CP$8-1)),
""),
"")</f>
        <v/>
      </c>
      <c r="CR170" s="21" t="str">
        <f>IFERROR(
IF(COUNTIF($BI170:CQ170,INDEX($J:$J,MATCH($AK170,$M:$M,0)+CR$8-1))=0,
IF(COUNTIF($M:$M,$AK170)&lt;CR$8,
"",
INDEX($J:$J,MATCH($AK170,$M:$M,0)+CR$8-1)),
""),
"")</f>
        <v/>
      </c>
      <c r="CS170" s="21" t="str">
        <f>IFERROR(
IF(COUNTIF($BI170:CR170,INDEX($J:$J,MATCH($AK170,$M:$M,0)+CS$8-1))=0,
IF(COUNTIF($M:$M,$AK170)&lt;CS$8,
"",
INDEX($J:$J,MATCH($AK170,$M:$M,0)+CS$8-1)),
""),
"")</f>
        <v/>
      </c>
      <c r="CT170" s="21" t="str">
        <f>IFERROR(
IF(COUNTIF($BI170:CS170,INDEX($J:$J,MATCH($AK170,$M:$M,0)+CT$8-1))=0,
IF(COUNTIF($M:$M,$AK170)&lt;CT$8,
"",
INDEX($J:$J,MATCH($AK170,$M:$M,0)+CT$8-1)),
""),
"")</f>
        <v/>
      </c>
      <c r="CU170" s="21" t="str">
        <f>IFERROR(
IF(COUNTIF($BI170:CT170,INDEX($J:$J,MATCH($AK170,$M:$M,0)+CU$8-1))=0,
IF(COUNTIF($M:$M,$AK170)&lt;CU$8,
"",
INDEX($J:$J,MATCH($AK170,$M:$M,0)+CU$8-1)),
""),
"")</f>
        <v/>
      </c>
    </row>
    <row r="171" spans="8:99">
      <c r="H171" s="7" t="str">
        <f>IF(I171="","",COUNTA(I$9:$I171))</f>
        <v/>
      </c>
      <c r="I171" s="6"/>
      <c r="J171" s="6" t="s">
        <v>242</v>
      </c>
      <c r="K171" s="8" t="str">
        <f>IF(H171="","",阶段合并区域(J171:J173," ",L171:L173,1))</f>
        <v/>
      </c>
      <c r="L171" s="8">
        <f>COUNTIF(M$8:$M171,"="&amp;M171)</f>
        <v>3</v>
      </c>
      <c r="M171" s="9" t="str">
        <f t="shared" si="37"/>
        <v>国之栋梁</v>
      </c>
      <c r="N171" s="9" t="str">
        <f t="shared" si="38"/>
        <v>国之栋梁3</v>
      </c>
      <c r="O171" s="15">
        <f>INDEX(C:C,MATCH(J171,D:D,0))</f>
        <v>6</v>
      </c>
      <c r="P171" s="9">
        <f>INDEX(E:E,MATCH(J171,D:D,0))</f>
        <v>120</v>
      </c>
      <c r="Q171" s="7">
        <f t="shared" si="34"/>
        <v>6</v>
      </c>
      <c r="R171" s="7">
        <f>COUNTIF(J$8:$J171,"="&amp;J171)</f>
        <v>6</v>
      </c>
      <c r="S171" s="7">
        <f t="shared" si="39"/>
        <v>6006</v>
      </c>
      <c r="U171" s="7">
        <f t="shared" si="36"/>
        <v>1000</v>
      </c>
      <c r="V171" s="7">
        <f t="shared" si="36"/>
        <v>2000</v>
      </c>
      <c r="W171" s="7">
        <f t="shared" si="36"/>
        <v>3000</v>
      </c>
      <c r="X171" s="7">
        <f t="shared" si="36"/>
        <v>4000</v>
      </c>
      <c r="Y171" s="7">
        <f t="shared" si="36"/>
        <v>5000</v>
      </c>
      <c r="Z171" s="7">
        <f t="shared" si="36"/>
        <v>6000</v>
      </c>
      <c r="AA171" s="7">
        <f t="shared" si="36"/>
        <v>7000</v>
      </c>
      <c r="AB171" s="7">
        <f t="shared" si="36"/>
        <v>8000</v>
      </c>
      <c r="AD171" s="21" t="str">
        <f>IFERROR(INDEX($M:$M,MATCH(U171,$S:$S,0)),"&amp;")</f>
        <v>&amp;</v>
      </c>
      <c r="AE171" s="21" t="str">
        <f>IFERROR(INDEX($M:$M,MATCH(V171,$S:$S,0)),"&amp;")</f>
        <v>&amp;</v>
      </c>
      <c r="AF171" s="21" t="str">
        <f>IFERROR(INDEX($M:$M,MATCH(W171,$S:$S,0)),"&amp;")</f>
        <v>&amp;</v>
      </c>
      <c r="AG171" s="21" t="str">
        <f>IFERROR(INDEX($M:$M,MATCH(X171,$S:$S,0)),"&amp;")</f>
        <v>&amp;</v>
      </c>
      <c r="AH171" s="21" t="str">
        <f>IFERROR(INDEX($M:$M,MATCH(Y171,$S:$S,0)),"&amp;")</f>
        <v>&amp;</v>
      </c>
      <c r="AI171" s="21" t="str">
        <f>IFERROR(INDEX($M:$M,MATCH(Z171,$S:$S,0)),"&amp;")</f>
        <v>&amp;</v>
      </c>
      <c r="AJ171" s="21" t="str">
        <f>IFERROR(INDEX($M:$M,MATCH(AA171,$S:$S,0)),"&amp;")</f>
        <v>&amp;</v>
      </c>
      <c r="AK171" s="21" t="str">
        <f>IFERROR(INDEX($M:$M,MATCH(AB171,$S:$S,0)),"&amp;")</f>
        <v>&amp;</v>
      </c>
      <c r="AM171" s="21" t="str">
        <f>IFERROR(INDEX($N:$N,MATCH(U171,$S:$S,0)),"&amp;")</f>
        <v>&amp;</v>
      </c>
      <c r="AN171" s="21" t="str">
        <f>IFERROR(INDEX($N:$N,MATCH(V171,$S:$S,0)),"&amp;")</f>
        <v>&amp;</v>
      </c>
      <c r="AO171" s="21" t="str">
        <f>IFERROR(INDEX($N:$N,MATCH(W171,$S:$S,0)),"&amp;")</f>
        <v>&amp;</v>
      </c>
      <c r="AP171" s="21" t="str">
        <f>IFERROR(INDEX($N:$N,MATCH(X171,$S:$S,0)),"&amp;")</f>
        <v>&amp;</v>
      </c>
      <c r="AQ171" s="21" t="str">
        <f>IFERROR(INDEX($N:$N,MATCH(Y171,$S:$S,0)),"&amp;")</f>
        <v>&amp;</v>
      </c>
      <c r="AR171" s="21" t="str">
        <f>IFERROR(INDEX($N:$N,MATCH(Z171,$S:$S,0)),"&amp;")</f>
        <v>&amp;</v>
      </c>
      <c r="AS171" s="21" t="str">
        <f>IFERROR(INDEX($N:$N,MATCH(AA171,$S:$S,0)),"&amp;")</f>
        <v>&amp;</v>
      </c>
      <c r="AT171" s="21" t="str">
        <f>IFERROR(INDEX($N:$N,MATCH(AB171,$S:$S,0)),"&amp;")</f>
        <v>&amp;</v>
      </c>
      <c r="AV171" s="21" t="str">
        <f>IFERROR(SUBSTITUTE(INDEX($K:$K,MATCH(INDEX($M:$M,MATCH(AM171,$N:$N,0)),$M:$M,0)),$D171,""),"")</f>
        <v/>
      </c>
      <c r="AW171" s="21" t="str">
        <f>IFERROR(SUBSTITUTE(INDEX($K:$K,MATCH(INDEX($M:$M,MATCH(AN171,$N:$N,0)),$M:$M,0)),$D171,""),"")</f>
        <v/>
      </c>
      <c r="AX171" s="21" t="str">
        <f>IFERROR(SUBSTITUTE(INDEX($K:$K,MATCH(INDEX($M:$M,MATCH(AO171,$N:$N,0)),$M:$M,0)),$D171,""),"")</f>
        <v/>
      </c>
      <c r="AY171" s="21" t="str">
        <f>IFERROR(SUBSTITUTE(INDEX($K:$K,MATCH(INDEX($M:$M,MATCH(AP171,$N:$N,0)),$M:$M,0)),$D171,""),"")</f>
        <v/>
      </c>
      <c r="AZ171" s="21" t="str">
        <f>IFERROR(SUBSTITUTE(INDEX($K:$K,MATCH(INDEX($M:$M,MATCH(AQ171,$N:$N,0)),$M:$M,0)),$D171,""),"")</f>
        <v/>
      </c>
      <c r="BA171" s="21" t="str">
        <f>IFERROR(SUBSTITUTE(INDEX($K:$K,MATCH(INDEX($M:$M,MATCH(AR171,$N:$N,0)),$M:$M,0)),$D171,""),"")</f>
        <v/>
      </c>
      <c r="BB171" s="21" t="str">
        <f>IFERROR(SUBSTITUTE(INDEX($K:$K,MATCH(INDEX($M:$M,MATCH(AS171,$N:$N,0)),$M:$M,0)),$D171,""),"")</f>
        <v/>
      </c>
      <c r="BC171" s="21" t="str">
        <f>IFERROR(SUBSTITUTE(INDEX($K:$K,MATCH(INDEX($M:$M,MATCH(AT171,$N:$N,0)),$M:$M,0)),$D171,""),"")</f>
        <v/>
      </c>
      <c r="BE171" s="9" t="str">
        <f t="shared" si="35"/>
        <v/>
      </c>
      <c r="BI171" s="9" t="str">
        <f>IFERROR(
IF(COUNTIF($M:$M,$AD171)&lt;BI$8,
"",
INDEX($J:$J,MATCH($AD171,$M:$M,0)+BI$8-1)),
"")</f>
        <v/>
      </c>
      <c r="BJ171" s="9" t="str">
        <f>IFERROR(
IF(COUNTIF($M:$M,$AD171)&lt;BJ$8,
"",
INDEX($J:$J,MATCH($AD171,$M:$M,0)+BJ$8-1)),
"")</f>
        <v/>
      </c>
      <c r="BK171" s="9" t="str">
        <f>IFERROR(
IF(COUNTIF($M:$M,$AD171)&lt;BK$8,
"",
INDEX($J:$J,MATCH($AD171,$M:$M,0)+BK$8-1)),
"")</f>
        <v/>
      </c>
      <c r="BL171" s="9" t="str">
        <f>IFERROR(
IF(COUNTIF($M:$M,$AD171)&lt;BL$8,
"",
INDEX($J:$J,MATCH($AD171,$M:$M,0)+BL$8-1)),
"")</f>
        <v/>
      </c>
      <c r="BN171" s="21" t="str">
        <f>IFERROR(
IF(COUNTIF($BI171:BM171,INDEX($J:$J,MATCH($AE171,$M:$M,0)+BN$8-1))=0,
IF(COUNTIF($M:$M,$AE171)&lt;BN$8,
"",
INDEX($J:$J,MATCH($AE171,$M:$M,0)+BN$8-1)),
""),
"")</f>
        <v/>
      </c>
      <c r="BO171" s="21" t="str">
        <f>IFERROR(
IF(COUNTIF($BI171:BN171,INDEX($J:$J,MATCH($AE171,$M:$M,0)+BO$8-1))=0,
IF(COUNTIF($M:$M,$AE171)&lt;BO$8,
"",
INDEX($J:$J,MATCH($AE171,$M:$M,0)+BO$8-1)),
""),
"")</f>
        <v/>
      </c>
      <c r="BP171" s="21" t="str">
        <f>IFERROR(
IF(COUNTIF($BI171:BO171,INDEX($J:$J,MATCH($AE171,$M:$M,0)+BP$8-1))=0,
IF(COUNTIF($M:$M,$AE171)&lt;BP$8,
"",
INDEX($J:$J,MATCH($AE171,$M:$M,0)+BP$8-1)),
""),
"")</f>
        <v/>
      </c>
      <c r="BQ171" s="21" t="str">
        <f>IFERROR(
IF(COUNTIF($BI171:BP171,INDEX($J:$J,MATCH($AE171,$M:$M,0)+BQ$8-1))=0,
IF(COUNTIF($M:$M,$AE171)&lt;BQ$8,
"",
INDEX($J:$J,MATCH($AE171,$M:$M,0)+BQ$8-1)),
""),
"")</f>
        <v/>
      </c>
      <c r="BS171" s="21" t="str">
        <f>IFERROR(
IF(COUNTIF($BI171:BR171,INDEX($J:$J,MATCH($AF171,$M:$M,0)+BS$8-1))=0,
IF(COUNTIF($M:$M,$AF171)&lt;BS$8,
"",
INDEX($J:$J,MATCH($AF171,$M:$M,0)+BS$8-1)),
""),
"")</f>
        <v/>
      </c>
      <c r="BT171" s="21" t="str">
        <f>IFERROR(
IF(COUNTIF($BI171:BS171,INDEX($J:$J,MATCH($AF171,$M:$M,0)+BT$8-1))=0,
IF(COUNTIF($M:$M,$AF171)&lt;BT$8,
"",
INDEX($J:$J,MATCH($AF171,$M:$M,0)+BT$8-1)),
""),
"")</f>
        <v/>
      </c>
      <c r="BU171" s="21" t="str">
        <f>IFERROR(
IF(COUNTIF($BI171:BT171,INDEX($J:$J,MATCH($AF171,$M:$M,0)+BU$8-1))=0,
IF(COUNTIF($M:$M,$AF171)&lt;BU$8,
"",
INDEX($J:$J,MATCH($AF171,$M:$M,0)+BU$8-1)),
""),
"")</f>
        <v/>
      </c>
      <c r="BV171" s="21" t="str">
        <f>IFERROR(
IF(COUNTIF($BI171:BU171,INDEX($J:$J,MATCH($AF171,$M:$M,0)+BV$8-1))=0,
IF(COUNTIF($M:$M,$AF171)&lt;BV$8,
"",
INDEX($J:$J,MATCH($AF171,$M:$M,0)+BV$8-1)),
""),
"")</f>
        <v/>
      </c>
      <c r="BX171" s="21" t="str">
        <f>IFERROR(
IF(COUNTIF($BI171:BW171,INDEX($J:$J,MATCH($AG171,$M:$M,0)+BX$8-1))=0,
IF(COUNTIF($M:$M,$AG171)&lt;BX$8,
"",
INDEX($J:$J,MATCH($AG171,$M:$M,0)+BX$8-1)),
""),
"")</f>
        <v/>
      </c>
      <c r="BY171" s="21" t="str">
        <f>IFERROR(
IF(COUNTIF($BI171:BX171,INDEX($J:$J,MATCH($AG171,$M:$M,0)+BY$8-1))=0,
IF(COUNTIF($M:$M,$AG171)&lt;BY$8,
"",
INDEX($J:$J,MATCH($AG171,$M:$M,0)+BY$8-1)),
""),
"")</f>
        <v/>
      </c>
      <c r="BZ171" s="21" t="str">
        <f>IFERROR(
IF(COUNTIF($BI171:BY171,INDEX($J:$J,MATCH($AG171,$M:$M,0)+BZ$8-1))=0,
IF(COUNTIF($M:$M,$AG171)&lt;BZ$8,
"",
INDEX($J:$J,MATCH($AG171,$M:$M,0)+BZ$8-1)),
""),
"")</f>
        <v/>
      </c>
      <c r="CA171" s="21" t="str">
        <f>IFERROR(
IF(COUNTIF($BI171:BZ171,INDEX($J:$J,MATCH($AG171,$M:$M,0)+CA$8-1))=0,
IF(COUNTIF($M:$M,$AG171)&lt;CA$8,
"",
INDEX($J:$J,MATCH($AG171,$M:$M,0)+CA$8-1)),
""),
"")</f>
        <v/>
      </c>
      <c r="CC171" s="21" t="str">
        <f>IFERROR(
IF(COUNTIF($BI171:CB171,INDEX($J:$J,MATCH($AH171,$M:$M,0)+CC$8-1))=0,
IF(COUNTIF($M:$M,$AH171)&lt;CC$8,
"",
INDEX($J:$J,MATCH($AH171,$M:$M,0)+CC$8-1)),
""),
"")</f>
        <v/>
      </c>
      <c r="CD171" s="21" t="str">
        <f>IFERROR(
IF(COUNTIF($BI171:CC171,INDEX($J:$J,MATCH($AH171,$M:$M,0)+CD$8-1))=0,
IF(COUNTIF($M:$M,$AH171)&lt;CD$8,
"",
INDEX($J:$J,MATCH($AH171,$M:$M,0)+CD$8-1)),
""),
"")</f>
        <v/>
      </c>
      <c r="CE171" s="21" t="str">
        <f>IFERROR(
IF(COUNTIF($BI171:CD171,INDEX($J:$J,MATCH($AH171,$M:$M,0)+CE$8-1))=0,
IF(COUNTIF($M:$M,$AH171)&lt;CE$8,
"",
INDEX($J:$J,MATCH($AH171,$M:$M,0)+CE$8-1)),
""),
"")</f>
        <v/>
      </c>
      <c r="CF171" s="21" t="str">
        <f>IFERROR(
IF(COUNTIF($BI171:CE171,INDEX($J:$J,MATCH($AH171,$M:$M,0)+CF$8-1))=0,
IF(COUNTIF($M:$M,$AH171)&lt;CF$8,
"",
INDEX($J:$J,MATCH($AH171,$M:$M,0)+CF$8-1)),
""),
"")</f>
        <v/>
      </c>
      <c r="CH171" s="21" t="str">
        <f>IFERROR(
IF(COUNTIF($BI171:CG171,INDEX($J:$J,MATCH($AI171,$M:$M,0)+CH$8-1))=0,
IF(COUNTIF($M:$M,$AI171)&lt;CH$8,
"",
INDEX($J:$J,MATCH($AI171,$M:$M,0)+CH$8-1)),
""),
"")</f>
        <v/>
      </c>
      <c r="CI171" s="21" t="str">
        <f>IFERROR(
IF(COUNTIF($BI171:CH171,INDEX($J:$J,MATCH($AI171,$M:$M,0)+CI$8-1))=0,
IF(COUNTIF($M:$M,$AI171)&lt;CI$8,
"",
INDEX($J:$J,MATCH($AI171,$M:$M,0)+CI$8-1)),
""),
"")</f>
        <v/>
      </c>
      <c r="CJ171" s="21" t="str">
        <f>IFERROR(
IF(COUNTIF($BI171:CI171,INDEX($J:$J,MATCH($AI171,$M:$M,0)+CJ$8-1))=0,
IF(COUNTIF($M:$M,$AI171)&lt;CJ$8,
"",
INDEX($J:$J,MATCH($AI171,$M:$M,0)+CJ$8-1)),
""),
"")</f>
        <v/>
      </c>
      <c r="CK171" s="21" t="str">
        <f>IFERROR(
IF(COUNTIF($BI171:CJ171,INDEX($J:$J,MATCH($AI171,$M:$M,0)+CK$8-1))=0,
IF(COUNTIF($M:$M,$AI171)&lt;CK$8,
"",
INDEX($J:$J,MATCH($AI171,$M:$M,0)+CK$8-1)),
""),
"")</f>
        <v/>
      </c>
      <c r="CM171" s="21" t="str">
        <f>IFERROR(
IF(COUNTIF($BI171:CL171,INDEX($J:$J,MATCH($AJ171,$M:$M,0)+CM$8-1))=0,
IF(COUNTIF($M:$M,$AJ171)&lt;CM$8,
"",
INDEX($J:$J,MATCH($AJ171,$M:$M,0)+CM$8-1)),
""),
"")</f>
        <v/>
      </c>
      <c r="CN171" s="21" t="str">
        <f>IFERROR(
IF(COUNTIF($BI171:CM171,INDEX($J:$J,MATCH($AJ171,$M:$M,0)+CN$8-1))=0,
IF(COUNTIF($M:$M,$AJ171)&lt;CN$8,
"",
INDEX($J:$J,MATCH($AJ171,$M:$M,0)+CN$8-1)),
""),
"")</f>
        <v/>
      </c>
      <c r="CO171" s="21" t="str">
        <f>IFERROR(
IF(COUNTIF($BI171:CN171,INDEX($J:$J,MATCH($AJ171,$M:$M,0)+CO$8-1))=0,
IF(COUNTIF($M:$M,$AJ171)&lt;CO$8,
"",
INDEX($J:$J,MATCH($AJ171,$M:$M,0)+CO$8-1)),
""),
"")</f>
        <v/>
      </c>
      <c r="CP171" s="21" t="str">
        <f>IFERROR(
IF(COUNTIF($BI171:CO171,INDEX($J:$J,MATCH($AJ171,$M:$M,0)+CP$8-1))=0,
IF(COUNTIF($M:$M,$AJ171)&lt;CP$8,
"",
INDEX($J:$J,MATCH($AJ171,$M:$M,0)+CP$8-1)),
""),
"")</f>
        <v/>
      </c>
      <c r="CR171" s="21" t="str">
        <f>IFERROR(
IF(COUNTIF($BI171:CQ171,INDEX($J:$J,MATCH($AK171,$M:$M,0)+CR$8-1))=0,
IF(COUNTIF($M:$M,$AK171)&lt;CR$8,
"",
INDEX($J:$J,MATCH($AK171,$M:$M,0)+CR$8-1)),
""),
"")</f>
        <v/>
      </c>
      <c r="CS171" s="21" t="str">
        <f>IFERROR(
IF(COUNTIF($BI171:CR171,INDEX($J:$J,MATCH($AK171,$M:$M,0)+CS$8-1))=0,
IF(COUNTIF($M:$M,$AK171)&lt;CS$8,
"",
INDEX($J:$J,MATCH($AK171,$M:$M,0)+CS$8-1)),
""),
"")</f>
        <v/>
      </c>
      <c r="CT171" s="21" t="str">
        <f>IFERROR(
IF(COUNTIF($BI171:CS171,INDEX($J:$J,MATCH($AK171,$M:$M,0)+CT$8-1))=0,
IF(COUNTIF($M:$M,$AK171)&lt;CT$8,
"",
INDEX($J:$J,MATCH($AK171,$M:$M,0)+CT$8-1)),
""),
"")</f>
        <v/>
      </c>
      <c r="CU171" s="21" t="str">
        <f>IFERROR(
IF(COUNTIF($BI171:CT171,INDEX($J:$J,MATCH($AK171,$M:$M,0)+CU$8-1))=0,
IF(COUNTIF($M:$M,$AK171)&lt;CU$8,
"",
INDEX($J:$J,MATCH($AK171,$M:$M,0)+CU$8-1)),
""),
"")</f>
        <v/>
      </c>
    </row>
    <row r="172" spans="8:99">
      <c r="H172" s="7" t="str">
        <f>IF(I172="","",COUNTA(I$9:$I172))</f>
        <v/>
      </c>
      <c r="I172" s="6"/>
      <c r="J172" s="6" t="s">
        <v>251</v>
      </c>
      <c r="K172" s="8" t="str">
        <f>IF(H172="","",阶段合并区域(J172:J176," ",L172:L176,1))</f>
        <v/>
      </c>
      <c r="L172" s="8">
        <f>COUNTIF(M$8:$M172,"="&amp;M172)</f>
        <v>4</v>
      </c>
      <c r="M172" s="9" t="str">
        <f t="shared" si="37"/>
        <v>国之栋梁</v>
      </c>
      <c r="N172" s="9" t="str">
        <f t="shared" si="38"/>
        <v>国之栋梁4</v>
      </c>
      <c r="O172" s="15">
        <f>INDEX(C:C,MATCH(J172,D:D,0))</f>
        <v>41</v>
      </c>
      <c r="P172" s="9">
        <f>INDEX(E:E,MATCH(J172,D:D,0))</f>
        <v>120</v>
      </c>
      <c r="Q172" s="7">
        <f t="shared" si="34"/>
        <v>41</v>
      </c>
      <c r="R172" s="7">
        <f>COUNTIF(J$8:$J172,"="&amp;J172)</f>
        <v>6</v>
      </c>
      <c r="S172" s="7">
        <f t="shared" si="39"/>
        <v>6041</v>
      </c>
      <c r="U172" s="7">
        <f t="shared" si="36"/>
        <v>1000</v>
      </c>
      <c r="V172" s="7">
        <f t="shared" si="36"/>
        <v>2000</v>
      </c>
      <c r="W172" s="7">
        <f t="shared" si="36"/>
        <v>3000</v>
      </c>
      <c r="X172" s="7">
        <f t="shared" si="36"/>
        <v>4000</v>
      </c>
      <c r="Y172" s="7">
        <f t="shared" si="36"/>
        <v>5000</v>
      </c>
      <c r="Z172" s="7">
        <f t="shared" si="36"/>
        <v>6000</v>
      </c>
      <c r="AA172" s="7">
        <f t="shared" si="36"/>
        <v>7000</v>
      </c>
      <c r="AB172" s="7">
        <f t="shared" si="36"/>
        <v>8000</v>
      </c>
      <c r="AD172" s="21" t="str">
        <f>IFERROR(INDEX($M:$M,MATCH(U172,$S:$S,0)),"&amp;")</f>
        <v>&amp;</v>
      </c>
      <c r="AE172" s="21" t="str">
        <f>IFERROR(INDEX($M:$M,MATCH(V172,$S:$S,0)),"&amp;")</f>
        <v>&amp;</v>
      </c>
      <c r="AF172" s="21" t="str">
        <f>IFERROR(INDEX($M:$M,MATCH(W172,$S:$S,0)),"&amp;")</f>
        <v>&amp;</v>
      </c>
      <c r="AG172" s="21" t="str">
        <f>IFERROR(INDEX($M:$M,MATCH(X172,$S:$S,0)),"&amp;")</f>
        <v>&amp;</v>
      </c>
      <c r="AH172" s="21" t="str">
        <f>IFERROR(INDEX($M:$M,MATCH(Y172,$S:$S,0)),"&amp;")</f>
        <v>&amp;</v>
      </c>
      <c r="AI172" s="21" t="str">
        <f>IFERROR(INDEX($M:$M,MATCH(Z172,$S:$S,0)),"&amp;")</f>
        <v>&amp;</v>
      </c>
      <c r="AJ172" s="21" t="str">
        <f>IFERROR(INDEX($M:$M,MATCH(AA172,$S:$S,0)),"&amp;")</f>
        <v>&amp;</v>
      </c>
      <c r="AK172" s="21" t="str">
        <f>IFERROR(INDEX($M:$M,MATCH(AB172,$S:$S,0)),"&amp;")</f>
        <v>&amp;</v>
      </c>
      <c r="AM172" s="21" t="str">
        <f>IFERROR(INDEX($N:$N,MATCH(U172,$S:$S,0)),"&amp;")</f>
        <v>&amp;</v>
      </c>
      <c r="AN172" s="21" t="str">
        <f>IFERROR(INDEX($N:$N,MATCH(V172,$S:$S,0)),"&amp;")</f>
        <v>&amp;</v>
      </c>
      <c r="AO172" s="21" t="str">
        <f>IFERROR(INDEX($N:$N,MATCH(W172,$S:$S,0)),"&amp;")</f>
        <v>&amp;</v>
      </c>
      <c r="AP172" s="21" t="str">
        <f>IFERROR(INDEX($N:$N,MATCH(X172,$S:$S,0)),"&amp;")</f>
        <v>&amp;</v>
      </c>
      <c r="AQ172" s="21" t="str">
        <f>IFERROR(INDEX($N:$N,MATCH(Y172,$S:$S,0)),"&amp;")</f>
        <v>&amp;</v>
      </c>
      <c r="AR172" s="21" t="str">
        <f>IFERROR(INDEX($N:$N,MATCH(Z172,$S:$S,0)),"&amp;")</f>
        <v>&amp;</v>
      </c>
      <c r="AS172" s="21" t="str">
        <f>IFERROR(INDEX($N:$N,MATCH(AA172,$S:$S,0)),"&amp;")</f>
        <v>&amp;</v>
      </c>
      <c r="AT172" s="21" t="str">
        <f>IFERROR(INDEX($N:$N,MATCH(AB172,$S:$S,0)),"&amp;")</f>
        <v>&amp;</v>
      </c>
      <c r="AV172" s="21" t="str">
        <f>IFERROR(SUBSTITUTE(INDEX($K:$K,MATCH(INDEX($M:$M,MATCH(AM172,$N:$N,0)),$M:$M,0)),$D172,""),"")</f>
        <v/>
      </c>
      <c r="AW172" s="21" t="str">
        <f>IFERROR(SUBSTITUTE(INDEX($K:$K,MATCH(INDEX($M:$M,MATCH(AN172,$N:$N,0)),$M:$M,0)),$D172,""),"")</f>
        <v/>
      </c>
      <c r="AX172" s="21" t="str">
        <f>IFERROR(SUBSTITUTE(INDEX($K:$K,MATCH(INDEX($M:$M,MATCH(AO172,$N:$N,0)),$M:$M,0)),$D172,""),"")</f>
        <v/>
      </c>
      <c r="AY172" s="21" t="str">
        <f>IFERROR(SUBSTITUTE(INDEX($K:$K,MATCH(INDEX($M:$M,MATCH(AP172,$N:$N,0)),$M:$M,0)),$D172,""),"")</f>
        <v/>
      </c>
      <c r="AZ172" s="21" t="str">
        <f>IFERROR(SUBSTITUTE(INDEX($K:$K,MATCH(INDEX($M:$M,MATCH(AQ172,$N:$N,0)),$M:$M,0)),$D172,""),"")</f>
        <v/>
      </c>
      <c r="BA172" s="21" t="str">
        <f>IFERROR(SUBSTITUTE(INDEX($K:$K,MATCH(INDEX($M:$M,MATCH(AR172,$N:$N,0)),$M:$M,0)),$D172,""),"")</f>
        <v/>
      </c>
      <c r="BB172" s="21" t="str">
        <f>IFERROR(SUBSTITUTE(INDEX($K:$K,MATCH(INDEX($M:$M,MATCH(AS172,$N:$N,0)),$M:$M,0)),$D172,""),"")</f>
        <v/>
      </c>
      <c r="BC172" s="21" t="str">
        <f>IFERROR(SUBSTITUTE(INDEX($K:$K,MATCH(INDEX($M:$M,MATCH(AT172,$N:$N,0)),$M:$M,0)),$D172,""),"")</f>
        <v/>
      </c>
      <c r="BE172" s="9" t="str">
        <f t="shared" si="35"/>
        <v/>
      </c>
      <c r="BI172" s="9" t="str">
        <f>IFERROR(
IF(COUNTIF($M:$M,$AD172)&lt;BI$8,
"",
INDEX($J:$J,MATCH($AD172,$M:$M,0)+BI$8-1)),
"")</f>
        <v/>
      </c>
      <c r="BJ172" s="9" t="str">
        <f>IFERROR(
IF(COUNTIF($M:$M,$AD172)&lt;BJ$8,
"",
INDEX($J:$J,MATCH($AD172,$M:$M,0)+BJ$8-1)),
"")</f>
        <v/>
      </c>
      <c r="BK172" s="9" t="str">
        <f>IFERROR(
IF(COUNTIF($M:$M,$AD172)&lt;BK$8,
"",
INDEX($J:$J,MATCH($AD172,$M:$M,0)+BK$8-1)),
"")</f>
        <v/>
      </c>
      <c r="BL172" s="9" t="str">
        <f>IFERROR(
IF(COUNTIF($M:$M,$AD172)&lt;BL$8,
"",
INDEX($J:$J,MATCH($AD172,$M:$M,0)+BL$8-1)),
"")</f>
        <v/>
      </c>
      <c r="BN172" s="21" t="str">
        <f>IFERROR(
IF(COUNTIF($BI172:BM172,INDEX($J:$J,MATCH($AE172,$M:$M,0)+BN$8-1))=0,
IF(COUNTIF($M:$M,$AE172)&lt;BN$8,
"",
INDEX($J:$J,MATCH($AE172,$M:$M,0)+BN$8-1)),
""),
"")</f>
        <v/>
      </c>
      <c r="BO172" s="21" t="str">
        <f>IFERROR(
IF(COUNTIF($BI172:BN172,INDEX($J:$J,MATCH($AE172,$M:$M,0)+BO$8-1))=0,
IF(COUNTIF($M:$M,$AE172)&lt;BO$8,
"",
INDEX($J:$J,MATCH($AE172,$M:$M,0)+BO$8-1)),
""),
"")</f>
        <v/>
      </c>
      <c r="BP172" s="21" t="str">
        <f>IFERROR(
IF(COUNTIF($BI172:BO172,INDEX($J:$J,MATCH($AE172,$M:$M,0)+BP$8-1))=0,
IF(COUNTIF($M:$M,$AE172)&lt;BP$8,
"",
INDEX($J:$J,MATCH($AE172,$M:$M,0)+BP$8-1)),
""),
"")</f>
        <v/>
      </c>
      <c r="BQ172" s="21" t="str">
        <f>IFERROR(
IF(COUNTIF($BI172:BP172,INDEX($J:$J,MATCH($AE172,$M:$M,0)+BQ$8-1))=0,
IF(COUNTIF($M:$M,$AE172)&lt;BQ$8,
"",
INDEX($J:$J,MATCH($AE172,$M:$M,0)+BQ$8-1)),
""),
"")</f>
        <v/>
      </c>
      <c r="BS172" s="21" t="str">
        <f>IFERROR(
IF(COUNTIF($BI172:BR172,INDEX($J:$J,MATCH($AF172,$M:$M,0)+BS$8-1))=0,
IF(COUNTIF($M:$M,$AF172)&lt;BS$8,
"",
INDEX($J:$J,MATCH($AF172,$M:$M,0)+BS$8-1)),
""),
"")</f>
        <v/>
      </c>
      <c r="BT172" s="21" t="str">
        <f>IFERROR(
IF(COUNTIF($BI172:BS172,INDEX($J:$J,MATCH($AF172,$M:$M,0)+BT$8-1))=0,
IF(COUNTIF($M:$M,$AF172)&lt;BT$8,
"",
INDEX($J:$J,MATCH($AF172,$M:$M,0)+BT$8-1)),
""),
"")</f>
        <v/>
      </c>
      <c r="BU172" s="21" t="str">
        <f>IFERROR(
IF(COUNTIF($BI172:BT172,INDEX($J:$J,MATCH($AF172,$M:$M,0)+BU$8-1))=0,
IF(COUNTIF($M:$M,$AF172)&lt;BU$8,
"",
INDEX($J:$J,MATCH($AF172,$M:$M,0)+BU$8-1)),
""),
"")</f>
        <v/>
      </c>
      <c r="BV172" s="21" t="str">
        <f>IFERROR(
IF(COUNTIF($BI172:BU172,INDEX($J:$J,MATCH($AF172,$M:$M,0)+BV$8-1))=0,
IF(COUNTIF($M:$M,$AF172)&lt;BV$8,
"",
INDEX($J:$J,MATCH($AF172,$M:$M,0)+BV$8-1)),
""),
"")</f>
        <v/>
      </c>
      <c r="BX172" s="21" t="str">
        <f>IFERROR(
IF(COUNTIF($BI172:BW172,INDEX($J:$J,MATCH($AG172,$M:$M,0)+BX$8-1))=0,
IF(COUNTIF($M:$M,$AG172)&lt;BX$8,
"",
INDEX($J:$J,MATCH($AG172,$M:$M,0)+BX$8-1)),
""),
"")</f>
        <v/>
      </c>
      <c r="BY172" s="21" t="str">
        <f>IFERROR(
IF(COUNTIF($BI172:BX172,INDEX($J:$J,MATCH($AG172,$M:$M,0)+BY$8-1))=0,
IF(COUNTIF($M:$M,$AG172)&lt;BY$8,
"",
INDEX($J:$J,MATCH($AG172,$M:$M,0)+BY$8-1)),
""),
"")</f>
        <v/>
      </c>
      <c r="BZ172" s="21" t="str">
        <f>IFERROR(
IF(COUNTIF($BI172:BY172,INDEX($J:$J,MATCH($AG172,$M:$M,0)+BZ$8-1))=0,
IF(COUNTIF($M:$M,$AG172)&lt;BZ$8,
"",
INDEX($J:$J,MATCH($AG172,$M:$M,0)+BZ$8-1)),
""),
"")</f>
        <v/>
      </c>
      <c r="CA172" s="21" t="str">
        <f>IFERROR(
IF(COUNTIF($BI172:BZ172,INDEX($J:$J,MATCH($AG172,$M:$M,0)+CA$8-1))=0,
IF(COUNTIF($M:$M,$AG172)&lt;CA$8,
"",
INDEX($J:$J,MATCH($AG172,$M:$M,0)+CA$8-1)),
""),
"")</f>
        <v/>
      </c>
      <c r="CC172" s="21" t="str">
        <f>IFERROR(
IF(COUNTIF($BI172:CB172,INDEX($J:$J,MATCH($AH172,$M:$M,0)+CC$8-1))=0,
IF(COUNTIF($M:$M,$AH172)&lt;CC$8,
"",
INDEX($J:$J,MATCH($AH172,$M:$M,0)+CC$8-1)),
""),
"")</f>
        <v/>
      </c>
      <c r="CD172" s="21" t="str">
        <f>IFERROR(
IF(COUNTIF($BI172:CC172,INDEX($J:$J,MATCH($AH172,$M:$M,0)+CD$8-1))=0,
IF(COUNTIF($M:$M,$AH172)&lt;CD$8,
"",
INDEX($J:$J,MATCH($AH172,$M:$M,0)+CD$8-1)),
""),
"")</f>
        <v/>
      </c>
      <c r="CE172" s="21" t="str">
        <f>IFERROR(
IF(COUNTIF($BI172:CD172,INDEX($J:$J,MATCH($AH172,$M:$M,0)+CE$8-1))=0,
IF(COUNTIF($M:$M,$AH172)&lt;CE$8,
"",
INDEX($J:$J,MATCH($AH172,$M:$M,0)+CE$8-1)),
""),
"")</f>
        <v/>
      </c>
      <c r="CF172" s="21" t="str">
        <f>IFERROR(
IF(COUNTIF($BI172:CE172,INDEX($J:$J,MATCH($AH172,$M:$M,0)+CF$8-1))=0,
IF(COUNTIF($M:$M,$AH172)&lt;CF$8,
"",
INDEX($J:$J,MATCH($AH172,$M:$M,0)+CF$8-1)),
""),
"")</f>
        <v/>
      </c>
      <c r="CH172" s="21" t="str">
        <f>IFERROR(
IF(COUNTIF($BI172:CG172,INDEX($J:$J,MATCH($AI172,$M:$M,0)+CH$8-1))=0,
IF(COUNTIF($M:$M,$AI172)&lt;CH$8,
"",
INDEX($J:$J,MATCH($AI172,$M:$M,0)+CH$8-1)),
""),
"")</f>
        <v/>
      </c>
      <c r="CI172" s="21" t="str">
        <f>IFERROR(
IF(COUNTIF($BI172:CH172,INDEX($J:$J,MATCH($AI172,$M:$M,0)+CI$8-1))=0,
IF(COUNTIF($M:$M,$AI172)&lt;CI$8,
"",
INDEX($J:$J,MATCH($AI172,$M:$M,0)+CI$8-1)),
""),
"")</f>
        <v/>
      </c>
      <c r="CJ172" s="21" t="str">
        <f>IFERROR(
IF(COUNTIF($BI172:CI172,INDEX($J:$J,MATCH($AI172,$M:$M,0)+CJ$8-1))=0,
IF(COUNTIF($M:$M,$AI172)&lt;CJ$8,
"",
INDEX($J:$J,MATCH($AI172,$M:$M,0)+CJ$8-1)),
""),
"")</f>
        <v/>
      </c>
      <c r="CK172" s="21" t="str">
        <f>IFERROR(
IF(COUNTIF($BI172:CJ172,INDEX($J:$J,MATCH($AI172,$M:$M,0)+CK$8-1))=0,
IF(COUNTIF($M:$M,$AI172)&lt;CK$8,
"",
INDEX($J:$J,MATCH($AI172,$M:$M,0)+CK$8-1)),
""),
"")</f>
        <v/>
      </c>
      <c r="CM172" s="21" t="str">
        <f>IFERROR(
IF(COUNTIF($BI172:CL172,INDEX($J:$J,MATCH($AJ172,$M:$M,0)+CM$8-1))=0,
IF(COUNTIF($M:$M,$AJ172)&lt;CM$8,
"",
INDEX($J:$J,MATCH($AJ172,$M:$M,0)+CM$8-1)),
""),
"")</f>
        <v/>
      </c>
      <c r="CN172" s="21" t="str">
        <f>IFERROR(
IF(COUNTIF($BI172:CM172,INDEX($J:$J,MATCH($AJ172,$M:$M,0)+CN$8-1))=0,
IF(COUNTIF($M:$M,$AJ172)&lt;CN$8,
"",
INDEX($J:$J,MATCH($AJ172,$M:$M,0)+CN$8-1)),
""),
"")</f>
        <v/>
      </c>
      <c r="CO172" s="21" t="str">
        <f>IFERROR(
IF(COUNTIF($BI172:CN172,INDEX($J:$J,MATCH($AJ172,$M:$M,0)+CO$8-1))=0,
IF(COUNTIF($M:$M,$AJ172)&lt;CO$8,
"",
INDEX($J:$J,MATCH($AJ172,$M:$M,0)+CO$8-1)),
""),
"")</f>
        <v/>
      </c>
      <c r="CP172" s="21" t="str">
        <f>IFERROR(
IF(COUNTIF($BI172:CO172,INDEX($J:$J,MATCH($AJ172,$M:$M,0)+CP$8-1))=0,
IF(COUNTIF($M:$M,$AJ172)&lt;CP$8,
"",
INDEX($J:$J,MATCH($AJ172,$M:$M,0)+CP$8-1)),
""),
"")</f>
        <v/>
      </c>
      <c r="CR172" s="21" t="str">
        <f>IFERROR(
IF(COUNTIF($BI172:CQ172,INDEX($J:$J,MATCH($AK172,$M:$M,0)+CR$8-1))=0,
IF(COUNTIF($M:$M,$AK172)&lt;CR$8,
"",
INDEX($J:$J,MATCH($AK172,$M:$M,0)+CR$8-1)),
""),
"")</f>
        <v/>
      </c>
      <c r="CS172" s="21" t="str">
        <f>IFERROR(
IF(COUNTIF($BI172:CR172,INDEX($J:$J,MATCH($AK172,$M:$M,0)+CS$8-1))=0,
IF(COUNTIF($M:$M,$AK172)&lt;CS$8,
"",
INDEX($J:$J,MATCH($AK172,$M:$M,0)+CS$8-1)),
""),
"")</f>
        <v/>
      </c>
      <c r="CT172" s="21" t="str">
        <f>IFERROR(
IF(COUNTIF($BI172:CS172,INDEX($J:$J,MATCH($AK172,$M:$M,0)+CT$8-1))=0,
IF(COUNTIF($M:$M,$AK172)&lt;CT$8,
"",
INDEX($J:$J,MATCH($AK172,$M:$M,0)+CT$8-1)),
""),
"")</f>
        <v/>
      </c>
      <c r="CU172" s="21" t="str">
        <f>IFERROR(
IF(COUNTIF($BI172:CT172,INDEX($J:$J,MATCH($AK172,$M:$M,0)+CU$8-1))=0,
IF(COUNTIF($M:$M,$AK172)&lt;CU$8,
"",
INDEX($J:$J,MATCH($AK172,$M:$M,0)+CU$8-1)),
""),
"")</f>
        <v/>
      </c>
    </row>
    <row r="173" spans="8:99">
      <c r="H173" s="7">
        <f>IF(I173="","",COUNTA(I$9:$I173))</f>
        <v>113</v>
      </c>
      <c r="I173" s="6" t="s">
        <v>279</v>
      </c>
      <c r="J173" s="6" t="s">
        <v>256</v>
      </c>
      <c r="K173" s="8" t="str">
        <f>IF(H173="","",阶段合并区域(J173:J176," ",L173:L176,1))</f>
        <v>蔺相如 苏秦 伯乐 西施</v>
      </c>
      <c r="L173" s="8">
        <f>COUNTIF(M$8:$M173,"="&amp;M173)</f>
        <v>1</v>
      </c>
      <c r="M173" s="9" t="str">
        <f t="shared" si="37"/>
        <v>辅佐奇才</v>
      </c>
      <c r="N173" s="9" t="str">
        <f t="shared" si="38"/>
        <v>辅佐奇才1</v>
      </c>
      <c r="O173" s="15">
        <f>INDEX(C:C,MATCH(J173,D:D,0))</f>
        <v>47</v>
      </c>
      <c r="P173" s="9">
        <f>INDEX(E:E,MATCH(J173,D:D,0))</f>
        <v>130</v>
      </c>
      <c r="Q173" s="7">
        <f t="shared" si="34"/>
        <v>47</v>
      </c>
      <c r="R173" s="7">
        <f>COUNTIF(J$8:$J173,"="&amp;J173)</f>
        <v>3</v>
      </c>
      <c r="S173" s="7">
        <f t="shared" si="39"/>
        <v>3047</v>
      </c>
      <c r="U173" s="7">
        <f t="shared" si="36"/>
        <v>1000</v>
      </c>
      <c r="V173" s="7">
        <f t="shared" si="36"/>
        <v>2000</v>
      </c>
      <c r="W173" s="7">
        <f t="shared" si="36"/>
        <v>3000</v>
      </c>
      <c r="X173" s="7">
        <f t="shared" si="36"/>
        <v>4000</v>
      </c>
      <c r="Y173" s="7">
        <f t="shared" si="36"/>
        <v>5000</v>
      </c>
      <c r="Z173" s="7">
        <f t="shared" si="36"/>
        <v>6000</v>
      </c>
      <c r="AA173" s="7">
        <f t="shared" si="36"/>
        <v>7000</v>
      </c>
      <c r="AB173" s="7">
        <f t="shared" si="36"/>
        <v>8000</v>
      </c>
      <c r="AD173" s="21" t="str">
        <f>IFERROR(INDEX($M:$M,MATCH(U173,$S:$S,0)),"&amp;")</f>
        <v>&amp;</v>
      </c>
      <c r="AE173" s="21" t="str">
        <f>IFERROR(INDEX($M:$M,MATCH(V173,$S:$S,0)),"&amp;")</f>
        <v>&amp;</v>
      </c>
      <c r="AF173" s="21" t="str">
        <f>IFERROR(INDEX($M:$M,MATCH(W173,$S:$S,0)),"&amp;")</f>
        <v>&amp;</v>
      </c>
      <c r="AG173" s="21" t="str">
        <f>IFERROR(INDEX($M:$M,MATCH(X173,$S:$S,0)),"&amp;")</f>
        <v>&amp;</v>
      </c>
      <c r="AH173" s="21" t="str">
        <f>IFERROR(INDEX($M:$M,MATCH(Y173,$S:$S,0)),"&amp;")</f>
        <v>&amp;</v>
      </c>
      <c r="AI173" s="21" t="str">
        <f>IFERROR(INDEX($M:$M,MATCH(Z173,$S:$S,0)),"&amp;")</f>
        <v>&amp;</v>
      </c>
      <c r="AJ173" s="21" t="str">
        <f>IFERROR(INDEX($M:$M,MATCH(AA173,$S:$S,0)),"&amp;")</f>
        <v>&amp;</v>
      </c>
      <c r="AK173" s="21" t="str">
        <f>IFERROR(INDEX($M:$M,MATCH(AB173,$S:$S,0)),"&amp;")</f>
        <v>&amp;</v>
      </c>
      <c r="AM173" s="21" t="str">
        <f>IFERROR(INDEX($N:$N,MATCH(U173,$S:$S,0)),"&amp;")</f>
        <v>&amp;</v>
      </c>
      <c r="AN173" s="21" t="str">
        <f>IFERROR(INDEX($N:$N,MATCH(V173,$S:$S,0)),"&amp;")</f>
        <v>&amp;</v>
      </c>
      <c r="AO173" s="21" t="str">
        <f>IFERROR(INDEX($N:$N,MATCH(W173,$S:$S,0)),"&amp;")</f>
        <v>&amp;</v>
      </c>
      <c r="AP173" s="21" t="str">
        <f>IFERROR(INDEX($N:$N,MATCH(X173,$S:$S,0)),"&amp;")</f>
        <v>&amp;</v>
      </c>
      <c r="AQ173" s="21" t="str">
        <f>IFERROR(INDEX($N:$N,MATCH(Y173,$S:$S,0)),"&amp;")</f>
        <v>&amp;</v>
      </c>
      <c r="AR173" s="21" t="str">
        <f>IFERROR(INDEX($N:$N,MATCH(Z173,$S:$S,0)),"&amp;")</f>
        <v>&amp;</v>
      </c>
      <c r="AS173" s="21" t="str">
        <f>IFERROR(INDEX($N:$N,MATCH(AA173,$S:$S,0)),"&amp;")</f>
        <v>&amp;</v>
      </c>
      <c r="AT173" s="21" t="str">
        <f>IFERROR(INDEX($N:$N,MATCH(AB173,$S:$S,0)),"&amp;")</f>
        <v>&amp;</v>
      </c>
      <c r="AV173" s="21" t="str">
        <f>IFERROR(SUBSTITUTE(INDEX($K:$K,MATCH(INDEX($M:$M,MATCH(AM173,$N:$N,0)),$M:$M,0)),$D173,""),"")</f>
        <v/>
      </c>
      <c r="AW173" s="21" t="str">
        <f>IFERROR(SUBSTITUTE(INDEX($K:$K,MATCH(INDEX($M:$M,MATCH(AN173,$N:$N,0)),$M:$M,0)),$D173,""),"")</f>
        <v/>
      </c>
      <c r="AX173" s="21" t="str">
        <f>IFERROR(SUBSTITUTE(INDEX($K:$K,MATCH(INDEX($M:$M,MATCH(AO173,$N:$N,0)),$M:$M,0)),$D173,""),"")</f>
        <v/>
      </c>
      <c r="AY173" s="21" t="str">
        <f>IFERROR(SUBSTITUTE(INDEX($K:$K,MATCH(INDEX($M:$M,MATCH(AP173,$N:$N,0)),$M:$M,0)),$D173,""),"")</f>
        <v/>
      </c>
      <c r="AZ173" s="21" t="str">
        <f>IFERROR(SUBSTITUTE(INDEX($K:$K,MATCH(INDEX($M:$M,MATCH(AQ173,$N:$N,0)),$M:$M,0)),$D173,""),"")</f>
        <v/>
      </c>
      <c r="BA173" s="21" t="str">
        <f>IFERROR(SUBSTITUTE(INDEX($K:$K,MATCH(INDEX($M:$M,MATCH(AR173,$N:$N,0)),$M:$M,0)),$D173,""),"")</f>
        <v/>
      </c>
      <c r="BB173" s="21" t="str">
        <f>IFERROR(SUBSTITUTE(INDEX($K:$K,MATCH(INDEX($M:$M,MATCH(AS173,$N:$N,0)),$M:$M,0)),$D173,""),"")</f>
        <v/>
      </c>
      <c r="BC173" s="21" t="str">
        <f>IFERROR(SUBSTITUTE(INDEX($K:$K,MATCH(INDEX($M:$M,MATCH(AT173,$N:$N,0)),$M:$M,0)),$D173,""),"")</f>
        <v/>
      </c>
      <c r="BE173" s="9" t="str">
        <f t="shared" si="35"/>
        <v/>
      </c>
      <c r="BI173" s="9" t="str">
        <f>IFERROR(
IF(COUNTIF($M:$M,$AD173)&lt;BI$8,
"",
INDEX($J:$J,MATCH($AD173,$M:$M,0)+BI$8-1)),
"")</f>
        <v/>
      </c>
      <c r="BJ173" s="9" t="str">
        <f>IFERROR(
IF(COUNTIF($M:$M,$AD173)&lt;BJ$8,
"",
INDEX($J:$J,MATCH($AD173,$M:$M,0)+BJ$8-1)),
"")</f>
        <v/>
      </c>
      <c r="BK173" s="9" t="str">
        <f>IFERROR(
IF(COUNTIF($M:$M,$AD173)&lt;BK$8,
"",
INDEX($J:$J,MATCH($AD173,$M:$M,0)+BK$8-1)),
"")</f>
        <v/>
      </c>
      <c r="BL173" s="9" t="str">
        <f>IFERROR(
IF(COUNTIF($M:$M,$AD173)&lt;BL$8,
"",
INDEX($J:$J,MATCH($AD173,$M:$M,0)+BL$8-1)),
"")</f>
        <v/>
      </c>
      <c r="BN173" s="21" t="str">
        <f>IFERROR(
IF(COUNTIF($BI173:BM173,INDEX($J:$J,MATCH($AE173,$M:$M,0)+BN$8-1))=0,
IF(COUNTIF($M:$M,$AE173)&lt;BN$8,
"",
INDEX($J:$J,MATCH($AE173,$M:$M,0)+BN$8-1)),
""),
"")</f>
        <v/>
      </c>
      <c r="BO173" s="21" t="str">
        <f>IFERROR(
IF(COUNTIF($BI173:BN173,INDEX($J:$J,MATCH($AE173,$M:$M,0)+BO$8-1))=0,
IF(COUNTIF($M:$M,$AE173)&lt;BO$8,
"",
INDEX($J:$J,MATCH($AE173,$M:$M,0)+BO$8-1)),
""),
"")</f>
        <v/>
      </c>
      <c r="BP173" s="21" t="str">
        <f>IFERROR(
IF(COUNTIF($BI173:BO173,INDEX($J:$J,MATCH($AE173,$M:$M,0)+BP$8-1))=0,
IF(COUNTIF($M:$M,$AE173)&lt;BP$8,
"",
INDEX($J:$J,MATCH($AE173,$M:$M,0)+BP$8-1)),
""),
"")</f>
        <v/>
      </c>
      <c r="BQ173" s="21" t="str">
        <f>IFERROR(
IF(COUNTIF($BI173:BP173,INDEX($J:$J,MATCH($AE173,$M:$M,0)+BQ$8-1))=0,
IF(COUNTIF($M:$M,$AE173)&lt;BQ$8,
"",
INDEX($J:$J,MATCH($AE173,$M:$M,0)+BQ$8-1)),
""),
"")</f>
        <v/>
      </c>
      <c r="BS173" s="21" t="str">
        <f>IFERROR(
IF(COUNTIF($BI173:BR173,INDEX($J:$J,MATCH($AF173,$M:$M,0)+BS$8-1))=0,
IF(COUNTIF($M:$M,$AF173)&lt;BS$8,
"",
INDEX($J:$J,MATCH($AF173,$M:$M,0)+BS$8-1)),
""),
"")</f>
        <v/>
      </c>
      <c r="BT173" s="21" t="str">
        <f>IFERROR(
IF(COUNTIF($BI173:BS173,INDEX($J:$J,MATCH($AF173,$M:$M,0)+BT$8-1))=0,
IF(COUNTIF($M:$M,$AF173)&lt;BT$8,
"",
INDEX($J:$J,MATCH($AF173,$M:$M,0)+BT$8-1)),
""),
"")</f>
        <v/>
      </c>
      <c r="BU173" s="21" t="str">
        <f>IFERROR(
IF(COUNTIF($BI173:BT173,INDEX($J:$J,MATCH($AF173,$M:$M,0)+BU$8-1))=0,
IF(COUNTIF($M:$M,$AF173)&lt;BU$8,
"",
INDEX($J:$J,MATCH($AF173,$M:$M,0)+BU$8-1)),
""),
"")</f>
        <v/>
      </c>
      <c r="BV173" s="21" t="str">
        <f>IFERROR(
IF(COUNTIF($BI173:BU173,INDEX($J:$J,MATCH($AF173,$M:$M,0)+BV$8-1))=0,
IF(COUNTIF($M:$M,$AF173)&lt;BV$8,
"",
INDEX($J:$J,MATCH($AF173,$M:$M,0)+BV$8-1)),
""),
"")</f>
        <v/>
      </c>
      <c r="BX173" s="21" t="str">
        <f>IFERROR(
IF(COUNTIF($BI173:BW173,INDEX($J:$J,MATCH($AG173,$M:$M,0)+BX$8-1))=0,
IF(COUNTIF($M:$M,$AG173)&lt;BX$8,
"",
INDEX($J:$J,MATCH($AG173,$M:$M,0)+BX$8-1)),
""),
"")</f>
        <v/>
      </c>
      <c r="BY173" s="21" t="str">
        <f>IFERROR(
IF(COUNTIF($BI173:BX173,INDEX($J:$J,MATCH($AG173,$M:$M,0)+BY$8-1))=0,
IF(COUNTIF($M:$M,$AG173)&lt;BY$8,
"",
INDEX($J:$J,MATCH($AG173,$M:$M,0)+BY$8-1)),
""),
"")</f>
        <v/>
      </c>
      <c r="BZ173" s="21" t="str">
        <f>IFERROR(
IF(COUNTIF($BI173:BY173,INDEX($J:$J,MATCH($AG173,$M:$M,0)+BZ$8-1))=0,
IF(COUNTIF($M:$M,$AG173)&lt;BZ$8,
"",
INDEX($J:$J,MATCH($AG173,$M:$M,0)+BZ$8-1)),
""),
"")</f>
        <v/>
      </c>
      <c r="CA173" s="21" t="str">
        <f>IFERROR(
IF(COUNTIF($BI173:BZ173,INDEX($J:$J,MATCH($AG173,$M:$M,0)+CA$8-1))=0,
IF(COUNTIF($M:$M,$AG173)&lt;CA$8,
"",
INDEX($J:$J,MATCH($AG173,$M:$M,0)+CA$8-1)),
""),
"")</f>
        <v/>
      </c>
      <c r="CC173" s="21" t="str">
        <f>IFERROR(
IF(COUNTIF($BI173:CB173,INDEX($J:$J,MATCH($AH173,$M:$M,0)+CC$8-1))=0,
IF(COUNTIF($M:$M,$AH173)&lt;CC$8,
"",
INDEX($J:$J,MATCH($AH173,$M:$M,0)+CC$8-1)),
""),
"")</f>
        <v/>
      </c>
      <c r="CD173" s="21" t="str">
        <f>IFERROR(
IF(COUNTIF($BI173:CC173,INDEX($J:$J,MATCH($AH173,$M:$M,0)+CD$8-1))=0,
IF(COUNTIF($M:$M,$AH173)&lt;CD$8,
"",
INDEX($J:$J,MATCH($AH173,$M:$M,0)+CD$8-1)),
""),
"")</f>
        <v/>
      </c>
      <c r="CE173" s="21" t="str">
        <f>IFERROR(
IF(COUNTIF($BI173:CD173,INDEX($J:$J,MATCH($AH173,$M:$M,0)+CE$8-1))=0,
IF(COUNTIF($M:$M,$AH173)&lt;CE$8,
"",
INDEX($J:$J,MATCH($AH173,$M:$M,0)+CE$8-1)),
""),
"")</f>
        <v/>
      </c>
      <c r="CF173" s="21" t="str">
        <f>IFERROR(
IF(COUNTIF($BI173:CE173,INDEX($J:$J,MATCH($AH173,$M:$M,0)+CF$8-1))=0,
IF(COUNTIF($M:$M,$AH173)&lt;CF$8,
"",
INDEX($J:$J,MATCH($AH173,$M:$M,0)+CF$8-1)),
""),
"")</f>
        <v/>
      </c>
      <c r="CH173" s="21" t="str">
        <f>IFERROR(
IF(COUNTIF($BI173:CG173,INDEX($J:$J,MATCH($AI173,$M:$M,0)+CH$8-1))=0,
IF(COUNTIF($M:$M,$AI173)&lt;CH$8,
"",
INDEX($J:$J,MATCH($AI173,$M:$M,0)+CH$8-1)),
""),
"")</f>
        <v/>
      </c>
      <c r="CI173" s="21" t="str">
        <f>IFERROR(
IF(COUNTIF($BI173:CH173,INDEX($J:$J,MATCH($AI173,$M:$M,0)+CI$8-1))=0,
IF(COUNTIF($M:$M,$AI173)&lt;CI$8,
"",
INDEX($J:$J,MATCH($AI173,$M:$M,0)+CI$8-1)),
""),
"")</f>
        <v/>
      </c>
      <c r="CJ173" s="21" t="str">
        <f>IFERROR(
IF(COUNTIF($BI173:CI173,INDEX($J:$J,MATCH($AI173,$M:$M,0)+CJ$8-1))=0,
IF(COUNTIF($M:$M,$AI173)&lt;CJ$8,
"",
INDEX($J:$J,MATCH($AI173,$M:$M,0)+CJ$8-1)),
""),
"")</f>
        <v/>
      </c>
      <c r="CK173" s="21" t="str">
        <f>IFERROR(
IF(COUNTIF($BI173:CJ173,INDEX($J:$J,MATCH($AI173,$M:$M,0)+CK$8-1))=0,
IF(COUNTIF($M:$M,$AI173)&lt;CK$8,
"",
INDEX($J:$J,MATCH($AI173,$M:$M,0)+CK$8-1)),
""),
"")</f>
        <v/>
      </c>
      <c r="CM173" s="21" t="str">
        <f>IFERROR(
IF(COUNTIF($BI173:CL173,INDEX($J:$J,MATCH($AJ173,$M:$M,0)+CM$8-1))=0,
IF(COUNTIF($M:$M,$AJ173)&lt;CM$8,
"",
INDEX($J:$J,MATCH($AJ173,$M:$M,0)+CM$8-1)),
""),
"")</f>
        <v/>
      </c>
      <c r="CN173" s="21" t="str">
        <f>IFERROR(
IF(COUNTIF($BI173:CM173,INDEX($J:$J,MATCH($AJ173,$M:$M,0)+CN$8-1))=0,
IF(COUNTIF($M:$M,$AJ173)&lt;CN$8,
"",
INDEX($J:$J,MATCH($AJ173,$M:$M,0)+CN$8-1)),
""),
"")</f>
        <v/>
      </c>
      <c r="CO173" s="21" t="str">
        <f>IFERROR(
IF(COUNTIF($BI173:CN173,INDEX($J:$J,MATCH($AJ173,$M:$M,0)+CO$8-1))=0,
IF(COUNTIF($M:$M,$AJ173)&lt;CO$8,
"",
INDEX($J:$J,MATCH($AJ173,$M:$M,0)+CO$8-1)),
""),
"")</f>
        <v/>
      </c>
      <c r="CP173" s="21" t="str">
        <f>IFERROR(
IF(COUNTIF($BI173:CO173,INDEX($J:$J,MATCH($AJ173,$M:$M,0)+CP$8-1))=0,
IF(COUNTIF($M:$M,$AJ173)&lt;CP$8,
"",
INDEX($J:$J,MATCH($AJ173,$M:$M,0)+CP$8-1)),
""),
"")</f>
        <v/>
      </c>
      <c r="CR173" s="21" t="str">
        <f>IFERROR(
IF(COUNTIF($BI173:CQ173,INDEX($J:$J,MATCH($AK173,$M:$M,0)+CR$8-1))=0,
IF(COUNTIF($M:$M,$AK173)&lt;CR$8,
"",
INDEX($J:$J,MATCH($AK173,$M:$M,0)+CR$8-1)),
""),
"")</f>
        <v/>
      </c>
      <c r="CS173" s="21" t="str">
        <f>IFERROR(
IF(COUNTIF($BI173:CR173,INDEX($J:$J,MATCH($AK173,$M:$M,0)+CS$8-1))=0,
IF(COUNTIF($M:$M,$AK173)&lt;CS$8,
"",
INDEX($J:$J,MATCH($AK173,$M:$M,0)+CS$8-1)),
""),
"")</f>
        <v/>
      </c>
      <c r="CT173" s="21" t="str">
        <f>IFERROR(
IF(COUNTIF($BI173:CS173,INDEX($J:$J,MATCH($AK173,$M:$M,0)+CT$8-1))=0,
IF(COUNTIF($M:$M,$AK173)&lt;CT$8,
"",
INDEX($J:$J,MATCH($AK173,$M:$M,0)+CT$8-1)),
""),
"")</f>
        <v/>
      </c>
      <c r="CU173" s="21" t="str">
        <f>IFERROR(
IF(COUNTIF($BI173:CT173,INDEX($J:$J,MATCH($AK173,$M:$M,0)+CU$8-1))=0,
IF(COUNTIF($M:$M,$AK173)&lt;CU$8,
"",
INDEX($J:$J,MATCH($AK173,$M:$M,0)+CU$8-1)),
""),
"")</f>
        <v/>
      </c>
    </row>
    <row r="174" spans="8:99">
      <c r="H174" s="7" t="str">
        <f>IF(I174="","",COUNTA(I$9:$I174))</f>
        <v/>
      </c>
      <c r="I174" s="6"/>
      <c r="J174" s="6" t="s">
        <v>230</v>
      </c>
      <c r="K174" s="8" t="str">
        <f>IF(H174="","",阶段合并区域(J174:J176," ",L174:L176,1))</f>
        <v/>
      </c>
      <c r="L174" s="8">
        <f>COUNTIF(M$8:$M174,"="&amp;M174)</f>
        <v>2</v>
      </c>
      <c r="M174" s="9" t="str">
        <f t="shared" si="37"/>
        <v>辅佐奇才</v>
      </c>
      <c r="N174" s="9" t="str">
        <f t="shared" si="38"/>
        <v>辅佐奇才2</v>
      </c>
      <c r="O174" s="15">
        <f>INDEX(C:C,MATCH(J174,D:D,0))</f>
        <v>57</v>
      </c>
      <c r="P174" s="9">
        <f>INDEX(E:E,MATCH(J174,D:D,0))</f>
        <v>120</v>
      </c>
      <c r="Q174" s="7">
        <f t="shared" si="34"/>
        <v>57</v>
      </c>
      <c r="R174" s="7">
        <f>COUNTIF(J$8:$J174,"="&amp;J174)</f>
        <v>6</v>
      </c>
      <c r="S174" s="7">
        <f t="shared" si="39"/>
        <v>6057</v>
      </c>
      <c r="U174" s="7">
        <f t="shared" si="36"/>
        <v>1000</v>
      </c>
      <c r="V174" s="7">
        <f t="shared" si="36"/>
        <v>2000</v>
      </c>
      <c r="W174" s="7">
        <f t="shared" si="36"/>
        <v>3000</v>
      </c>
      <c r="X174" s="7">
        <f t="shared" si="36"/>
        <v>4000</v>
      </c>
      <c r="Y174" s="7">
        <f t="shared" si="36"/>
        <v>5000</v>
      </c>
      <c r="Z174" s="7">
        <f t="shared" si="36"/>
        <v>6000</v>
      </c>
      <c r="AA174" s="7">
        <f t="shared" si="36"/>
        <v>7000</v>
      </c>
      <c r="AB174" s="7">
        <f t="shared" si="36"/>
        <v>8000</v>
      </c>
      <c r="AD174" s="21" t="str">
        <f>IFERROR(INDEX($M:$M,MATCH(U174,$S:$S,0)),"&amp;")</f>
        <v>&amp;</v>
      </c>
      <c r="AE174" s="21" t="str">
        <f>IFERROR(INDEX($M:$M,MATCH(V174,$S:$S,0)),"&amp;")</f>
        <v>&amp;</v>
      </c>
      <c r="AF174" s="21" t="str">
        <f>IFERROR(INDEX($M:$M,MATCH(W174,$S:$S,0)),"&amp;")</f>
        <v>&amp;</v>
      </c>
      <c r="AG174" s="21" t="str">
        <f>IFERROR(INDEX($M:$M,MATCH(X174,$S:$S,0)),"&amp;")</f>
        <v>&amp;</v>
      </c>
      <c r="AH174" s="21" t="str">
        <f>IFERROR(INDEX($M:$M,MATCH(Y174,$S:$S,0)),"&amp;")</f>
        <v>&amp;</v>
      </c>
      <c r="AI174" s="21" t="str">
        <f>IFERROR(INDEX($M:$M,MATCH(Z174,$S:$S,0)),"&amp;")</f>
        <v>&amp;</v>
      </c>
      <c r="AJ174" s="21" t="str">
        <f>IFERROR(INDEX($M:$M,MATCH(AA174,$S:$S,0)),"&amp;")</f>
        <v>&amp;</v>
      </c>
      <c r="AK174" s="21" t="str">
        <f>IFERROR(INDEX($M:$M,MATCH(AB174,$S:$S,0)),"&amp;")</f>
        <v>&amp;</v>
      </c>
      <c r="AM174" s="21" t="str">
        <f>IFERROR(INDEX($N:$N,MATCH(U174,$S:$S,0)),"&amp;")</f>
        <v>&amp;</v>
      </c>
      <c r="AN174" s="21" t="str">
        <f>IFERROR(INDEX($N:$N,MATCH(V174,$S:$S,0)),"&amp;")</f>
        <v>&amp;</v>
      </c>
      <c r="AO174" s="21" t="str">
        <f>IFERROR(INDEX($N:$N,MATCH(W174,$S:$S,0)),"&amp;")</f>
        <v>&amp;</v>
      </c>
      <c r="AP174" s="21" t="str">
        <f>IFERROR(INDEX($N:$N,MATCH(X174,$S:$S,0)),"&amp;")</f>
        <v>&amp;</v>
      </c>
      <c r="AQ174" s="21" t="str">
        <f>IFERROR(INDEX($N:$N,MATCH(Y174,$S:$S,0)),"&amp;")</f>
        <v>&amp;</v>
      </c>
      <c r="AR174" s="21" t="str">
        <f>IFERROR(INDEX($N:$N,MATCH(Z174,$S:$S,0)),"&amp;")</f>
        <v>&amp;</v>
      </c>
      <c r="AS174" s="21" t="str">
        <f>IFERROR(INDEX($N:$N,MATCH(AA174,$S:$S,0)),"&amp;")</f>
        <v>&amp;</v>
      </c>
      <c r="AT174" s="21" t="str">
        <f>IFERROR(INDEX($N:$N,MATCH(AB174,$S:$S,0)),"&amp;")</f>
        <v>&amp;</v>
      </c>
      <c r="AV174" s="21" t="str">
        <f>IFERROR(SUBSTITUTE(INDEX($K:$K,MATCH(INDEX($M:$M,MATCH(AM174,$N:$N,0)),$M:$M,0)),$D174,""),"")</f>
        <v/>
      </c>
      <c r="AW174" s="21" t="str">
        <f>IFERROR(SUBSTITUTE(INDEX($K:$K,MATCH(INDEX($M:$M,MATCH(AN174,$N:$N,0)),$M:$M,0)),$D174,""),"")</f>
        <v/>
      </c>
      <c r="AX174" s="21" t="str">
        <f>IFERROR(SUBSTITUTE(INDEX($K:$K,MATCH(INDEX($M:$M,MATCH(AO174,$N:$N,0)),$M:$M,0)),$D174,""),"")</f>
        <v/>
      </c>
      <c r="AY174" s="21" t="str">
        <f>IFERROR(SUBSTITUTE(INDEX($K:$K,MATCH(INDEX($M:$M,MATCH(AP174,$N:$N,0)),$M:$M,0)),$D174,""),"")</f>
        <v/>
      </c>
      <c r="AZ174" s="21" t="str">
        <f>IFERROR(SUBSTITUTE(INDEX($K:$K,MATCH(INDEX($M:$M,MATCH(AQ174,$N:$N,0)),$M:$M,0)),$D174,""),"")</f>
        <v/>
      </c>
      <c r="BA174" s="21" t="str">
        <f>IFERROR(SUBSTITUTE(INDEX($K:$K,MATCH(INDEX($M:$M,MATCH(AR174,$N:$N,0)),$M:$M,0)),$D174,""),"")</f>
        <v/>
      </c>
      <c r="BB174" s="21" t="str">
        <f>IFERROR(SUBSTITUTE(INDEX($K:$K,MATCH(INDEX($M:$M,MATCH(AS174,$N:$N,0)),$M:$M,0)),$D174,""),"")</f>
        <v/>
      </c>
      <c r="BC174" s="21" t="str">
        <f>IFERROR(SUBSTITUTE(INDEX($K:$K,MATCH(INDEX($M:$M,MATCH(AT174,$N:$N,0)),$M:$M,0)),$D174,""),"")</f>
        <v/>
      </c>
      <c r="BE174" s="9" t="str">
        <f t="shared" si="35"/>
        <v/>
      </c>
      <c r="BI174" s="9" t="str">
        <f>IFERROR(
IF(COUNTIF($M:$M,$AD174)&lt;BI$8,
"",
INDEX($J:$J,MATCH($AD174,$M:$M,0)+BI$8-1)),
"")</f>
        <v/>
      </c>
      <c r="BJ174" s="9" t="str">
        <f>IFERROR(
IF(COUNTIF($M:$M,$AD174)&lt;BJ$8,
"",
INDEX($J:$J,MATCH($AD174,$M:$M,0)+BJ$8-1)),
"")</f>
        <v/>
      </c>
      <c r="BK174" s="9" t="str">
        <f>IFERROR(
IF(COUNTIF($M:$M,$AD174)&lt;BK$8,
"",
INDEX($J:$J,MATCH($AD174,$M:$M,0)+BK$8-1)),
"")</f>
        <v/>
      </c>
      <c r="BL174" s="9" t="str">
        <f>IFERROR(
IF(COUNTIF($M:$M,$AD174)&lt;BL$8,
"",
INDEX($J:$J,MATCH($AD174,$M:$M,0)+BL$8-1)),
"")</f>
        <v/>
      </c>
      <c r="BN174" s="21" t="str">
        <f>IFERROR(
IF(COUNTIF($BI174:BM174,INDEX($J:$J,MATCH($AE174,$M:$M,0)+BN$8-1))=0,
IF(COUNTIF($M:$M,$AE174)&lt;BN$8,
"",
INDEX($J:$J,MATCH($AE174,$M:$M,0)+BN$8-1)),
""),
"")</f>
        <v/>
      </c>
      <c r="BO174" s="21" t="str">
        <f>IFERROR(
IF(COUNTIF($BI174:BN174,INDEX($J:$J,MATCH($AE174,$M:$M,0)+BO$8-1))=0,
IF(COUNTIF($M:$M,$AE174)&lt;BO$8,
"",
INDEX($J:$J,MATCH($AE174,$M:$M,0)+BO$8-1)),
""),
"")</f>
        <v/>
      </c>
      <c r="BP174" s="21" t="str">
        <f>IFERROR(
IF(COUNTIF($BI174:BO174,INDEX($J:$J,MATCH($AE174,$M:$M,0)+BP$8-1))=0,
IF(COUNTIF($M:$M,$AE174)&lt;BP$8,
"",
INDEX($J:$J,MATCH($AE174,$M:$M,0)+BP$8-1)),
""),
"")</f>
        <v/>
      </c>
      <c r="BQ174" s="21" t="str">
        <f>IFERROR(
IF(COUNTIF($BI174:BP174,INDEX($J:$J,MATCH($AE174,$M:$M,0)+BQ$8-1))=0,
IF(COUNTIF($M:$M,$AE174)&lt;BQ$8,
"",
INDEX($J:$J,MATCH($AE174,$M:$M,0)+BQ$8-1)),
""),
"")</f>
        <v/>
      </c>
      <c r="BS174" s="21" t="str">
        <f>IFERROR(
IF(COUNTIF($BI174:BR174,INDEX($J:$J,MATCH($AF174,$M:$M,0)+BS$8-1))=0,
IF(COUNTIF($M:$M,$AF174)&lt;BS$8,
"",
INDEX($J:$J,MATCH($AF174,$M:$M,0)+BS$8-1)),
""),
"")</f>
        <v/>
      </c>
      <c r="BT174" s="21" t="str">
        <f>IFERROR(
IF(COUNTIF($BI174:BS174,INDEX($J:$J,MATCH($AF174,$M:$M,0)+BT$8-1))=0,
IF(COUNTIF($M:$M,$AF174)&lt;BT$8,
"",
INDEX($J:$J,MATCH($AF174,$M:$M,0)+BT$8-1)),
""),
"")</f>
        <v/>
      </c>
      <c r="BU174" s="21" t="str">
        <f>IFERROR(
IF(COUNTIF($BI174:BT174,INDEX($J:$J,MATCH($AF174,$M:$M,0)+BU$8-1))=0,
IF(COUNTIF($M:$M,$AF174)&lt;BU$8,
"",
INDEX($J:$J,MATCH($AF174,$M:$M,0)+BU$8-1)),
""),
"")</f>
        <v/>
      </c>
      <c r="BV174" s="21" t="str">
        <f>IFERROR(
IF(COUNTIF($BI174:BU174,INDEX($J:$J,MATCH($AF174,$M:$M,0)+BV$8-1))=0,
IF(COUNTIF($M:$M,$AF174)&lt;BV$8,
"",
INDEX($J:$J,MATCH($AF174,$M:$M,0)+BV$8-1)),
""),
"")</f>
        <v/>
      </c>
      <c r="BX174" s="21" t="str">
        <f>IFERROR(
IF(COUNTIF($BI174:BW174,INDEX($J:$J,MATCH($AG174,$M:$M,0)+BX$8-1))=0,
IF(COUNTIF($M:$M,$AG174)&lt;BX$8,
"",
INDEX($J:$J,MATCH($AG174,$M:$M,0)+BX$8-1)),
""),
"")</f>
        <v/>
      </c>
      <c r="BY174" s="21" t="str">
        <f>IFERROR(
IF(COUNTIF($BI174:BX174,INDEX($J:$J,MATCH($AG174,$M:$M,0)+BY$8-1))=0,
IF(COUNTIF($M:$M,$AG174)&lt;BY$8,
"",
INDEX($J:$J,MATCH($AG174,$M:$M,0)+BY$8-1)),
""),
"")</f>
        <v/>
      </c>
      <c r="BZ174" s="21" t="str">
        <f>IFERROR(
IF(COUNTIF($BI174:BY174,INDEX($J:$J,MATCH($AG174,$M:$M,0)+BZ$8-1))=0,
IF(COUNTIF($M:$M,$AG174)&lt;BZ$8,
"",
INDEX($J:$J,MATCH($AG174,$M:$M,0)+BZ$8-1)),
""),
"")</f>
        <v/>
      </c>
      <c r="CA174" s="21" t="str">
        <f>IFERROR(
IF(COUNTIF($BI174:BZ174,INDEX($J:$J,MATCH($AG174,$M:$M,0)+CA$8-1))=0,
IF(COUNTIF($M:$M,$AG174)&lt;CA$8,
"",
INDEX($J:$J,MATCH($AG174,$M:$M,0)+CA$8-1)),
""),
"")</f>
        <v/>
      </c>
      <c r="CC174" s="21" t="str">
        <f>IFERROR(
IF(COUNTIF($BI174:CB174,INDEX($J:$J,MATCH($AH174,$M:$M,0)+CC$8-1))=0,
IF(COUNTIF($M:$M,$AH174)&lt;CC$8,
"",
INDEX($J:$J,MATCH($AH174,$M:$M,0)+CC$8-1)),
""),
"")</f>
        <v/>
      </c>
      <c r="CD174" s="21" t="str">
        <f>IFERROR(
IF(COUNTIF($BI174:CC174,INDEX($J:$J,MATCH($AH174,$M:$M,0)+CD$8-1))=0,
IF(COUNTIF($M:$M,$AH174)&lt;CD$8,
"",
INDEX($J:$J,MATCH($AH174,$M:$M,0)+CD$8-1)),
""),
"")</f>
        <v/>
      </c>
      <c r="CE174" s="21" t="str">
        <f>IFERROR(
IF(COUNTIF($BI174:CD174,INDEX($J:$J,MATCH($AH174,$M:$M,0)+CE$8-1))=0,
IF(COUNTIF($M:$M,$AH174)&lt;CE$8,
"",
INDEX($J:$J,MATCH($AH174,$M:$M,0)+CE$8-1)),
""),
"")</f>
        <v/>
      </c>
      <c r="CF174" s="21" t="str">
        <f>IFERROR(
IF(COUNTIF($BI174:CE174,INDEX($J:$J,MATCH($AH174,$M:$M,0)+CF$8-1))=0,
IF(COUNTIF($M:$M,$AH174)&lt;CF$8,
"",
INDEX($J:$J,MATCH($AH174,$M:$M,0)+CF$8-1)),
""),
"")</f>
        <v/>
      </c>
      <c r="CH174" s="21" t="str">
        <f>IFERROR(
IF(COUNTIF($BI174:CG174,INDEX($J:$J,MATCH($AI174,$M:$M,0)+CH$8-1))=0,
IF(COUNTIF($M:$M,$AI174)&lt;CH$8,
"",
INDEX($J:$J,MATCH($AI174,$M:$M,0)+CH$8-1)),
""),
"")</f>
        <v/>
      </c>
      <c r="CI174" s="21" t="str">
        <f>IFERROR(
IF(COUNTIF($BI174:CH174,INDEX($J:$J,MATCH($AI174,$M:$M,0)+CI$8-1))=0,
IF(COUNTIF($M:$M,$AI174)&lt;CI$8,
"",
INDEX($J:$J,MATCH($AI174,$M:$M,0)+CI$8-1)),
""),
"")</f>
        <v/>
      </c>
      <c r="CJ174" s="21" t="str">
        <f>IFERROR(
IF(COUNTIF($BI174:CI174,INDEX($J:$J,MATCH($AI174,$M:$M,0)+CJ$8-1))=0,
IF(COUNTIF($M:$M,$AI174)&lt;CJ$8,
"",
INDEX($J:$J,MATCH($AI174,$M:$M,0)+CJ$8-1)),
""),
"")</f>
        <v/>
      </c>
      <c r="CK174" s="21" t="str">
        <f>IFERROR(
IF(COUNTIF($BI174:CJ174,INDEX($J:$J,MATCH($AI174,$M:$M,0)+CK$8-1))=0,
IF(COUNTIF($M:$M,$AI174)&lt;CK$8,
"",
INDEX($J:$J,MATCH($AI174,$M:$M,0)+CK$8-1)),
""),
"")</f>
        <v/>
      </c>
      <c r="CM174" s="21" t="str">
        <f>IFERROR(
IF(COUNTIF($BI174:CL174,INDEX($J:$J,MATCH($AJ174,$M:$M,0)+CM$8-1))=0,
IF(COUNTIF($M:$M,$AJ174)&lt;CM$8,
"",
INDEX($J:$J,MATCH($AJ174,$M:$M,0)+CM$8-1)),
""),
"")</f>
        <v/>
      </c>
      <c r="CN174" s="21" t="str">
        <f>IFERROR(
IF(COUNTIF($BI174:CM174,INDEX($J:$J,MATCH($AJ174,$M:$M,0)+CN$8-1))=0,
IF(COUNTIF($M:$M,$AJ174)&lt;CN$8,
"",
INDEX($J:$J,MATCH($AJ174,$M:$M,0)+CN$8-1)),
""),
"")</f>
        <v/>
      </c>
      <c r="CO174" s="21" t="str">
        <f>IFERROR(
IF(COUNTIF($BI174:CN174,INDEX($J:$J,MATCH($AJ174,$M:$M,0)+CO$8-1))=0,
IF(COUNTIF($M:$M,$AJ174)&lt;CO$8,
"",
INDEX($J:$J,MATCH($AJ174,$M:$M,0)+CO$8-1)),
""),
"")</f>
        <v/>
      </c>
      <c r="CP174" s="21" t="str">
        <f>IFERROR(
IF(COUNTIF($BI174:CO174,INDEX($J:$J,MATCH($AJ174,$M:$M,0)+CP$8-1))=0,
IF(COUNTIF($M:$M,$AJ174)&lt;CP$8,
"",
INDEX($J:$J,MATCH($AJ174,$M:$M,0)+CP$8-1)),
""),
"")</f>
        <v/>
      </c>
      <c r="CR174" s="21" t="str">
        <f>IFERROR(
IF(COUNTIF($BI174:CQ174,INDEX($J:$J,MATCH($AK174,$M:$M,0)+CR$8-1))=0,
IF(COUNTIF($M:$M,$AK174)&lt;CR$8,
"",
INDEX($J:$J,MATCH($AK174,$M:$M,0)+CR$8-1)),
""),
"")</f>
        <v/>
      </c>
      <c r="CS174" s="21" t="str">
        <f>IFERROR(
IF(COUNTIF($BI174:CR174,INDEX($J:$J,MATCH($AK174,$M:$M,0)+CS$8-1))=0,
IF(COUNTIF($M:$M,$AK174)&lt;CS$8,
"",
INDEX($J:$J,MATCH($AK174,$M:$M,0)+CS$8-1)),
""),
"")</f>
        <v/>
      </c>
      <c r="CT174" s="21" t="str">
        <f>IFERROR(
IF(COUNTIF($BI174:CS174,INDEX($J:$J,MATCH($AK174,$M:$M,0)+CT$8-1))=0,
IF(COUNTIF($M:$M,$AK174)&lt;CT$8,
"",
INDEX($J:$J,MATCH($AK174,$M:$M,0)+CT$8-1)),
""),
"")</f>
        <v/>
      </c>
      <c r="CU174" s="21" t="str">
        <f>IFERROR(
IF(COUNTIF($BI174:CT174,INDEX($J:$J,MATCH($AK174,$M:$M,0)+CU$8-1))=0,
IF(COUNTIF($M:$M,$AK174)&lt;CU$8,
"",
INDEX($J:$J,MATCH($AK174,$M:$M,0)+CU$8-1)),
""),
"")</f>
        <v/>
      </c>
    </row>
    <row r="175" spans="8:99">
      <c r="H175" s="7" t="str">
        <f>IF(I175="","",COUNTA(I$9:$I175))</f>
        <v/>
      </c>
      <c r="I175" s="6"/>
      <c r="J175" s="6" t="s">
        <v>266</v>
      </c>
      <c r="K175" s="8" t="str">
        <f>IF(H175="","",阶段合并区域(J175:J179," ",L175:L179,1))</f>
        <v/>
      </c>
      <c r="L175" s="8">
        <f>COUNTIF(M$8:$M175,"="&amp;M175)</f>
        <v>3</v>
      </c>
      <c r="M175" s="9" t="str">
        <f t="shared" si="37"/>
        <v>辅佐奇才</v>
      </c>
      <c r="N175" s="9" t="str">
        <f t="shared" si="38"/>
        <v>辅佐奇才3</v>
      </c>
      <c r="O175" s="15">
        <f>INDEX(C:C,MATCH(J175,D:D,0))</f>
        <v>28</v>
      </c>
      <c r="P175" s="9">
        <f>INDEX(E:E,MATCH(J175,D:D,0))</f>
        <v>120</v>
      </c>
      <c r="Q175" s="7">
        <f t="shared" si="34"/>
        <v>28</v>
      </c>
      <c r="R175" s="7">
        <f>COUNTIF(J$8:$J175,"="&amp;J175)</f>
        <v>4</v>
      </c>
      <c r="S175" s="7">
        <f t="shared" si="39"/>
        <v>4028</v>
      </c>
    </row>
    <row r="176" spans="8:99">
      <c r="H176" s="7" t="str">
        <f>IF(I176="","",COUNTA(I$9:$I176))</f>
        <v/>
      </c>
      <c r="I176" s="6"/>
      <c r="J176" s="6" t="s">
        <v>249</v>
      </c>
      <c r="K176" s="8" t="str">
        <f>IF(H176="","",阶段合并区域(J176:J179," ",L176:L179,1))</f>
        <v/>
      </c>
      <c r="L176" s="8">
        <f>COUNTIF(M$8:$M176,"="&amp;M176)</f>
        <v>4</v>
      </c>
      <c r="M176" s="9" t="str">
        <f t="shared" si="37"/>
        <v>辅佐奇才</v>
      </c>
      <c r="N176" s="9" t="str">
        <f t="shared" si="38"/>
        <v>辅佐奇才4</v>
      </c>
      <c r="O176" s="15">
        <f>INDEX(C:C,MATCH(J176,D:D,0))</f>
        <v>7</v>
      </c>
      <c r="P176" s="9">
        <f>INDEX(E:E,MATCH(J176,D:D,0))</f>
        <v>120</v>
      </c>
      <c r="Q176" s="7">
        <f t="shared" si="34"/>
        <v>7</v>
      </c>
      <c r="R176" s="7">
        <f>COUNTIF(J$8:$J176,"="&amp;J176)</f>
        <v>5</v>
      </c>
      <c r="S176" s="7">
        <f t="shared" si="39"/>
        <v>5007</v>
      </c>
    </row>
    <row r="177" spans="6:19">
      <c r="H177" s="7">
        <f>IF(I177="","",COUNTA(I$9:$I177))</f>
        <v>114</v>
      </c>
      <c r="I177" s="6" t="s">
        <v>281</v>
      </c>
      <c r="J177" s="6" t="s">
        <v>282</v>
      </c>
      <c r="K177" s="8" t="str">
        <f>IF(H177="","",阶段合并区域(J177:J179," ",L177:L179,1))</f>
        <v>晋文公 韩非子 伍子胥</v>
      </c>
      <c r="L177" s="8">
        <f>COUNTIF(M$8:$M177,"="&amp;M177)</f>
        <v>1</v>
      </c>
      <c r="M177" s="9" t="str">
        <f t="shared" si="37"/>
        <v>退避三舍</v>
      </c>
      <c r="N177" s="9" t="str">
        <f t="shared" si="38"/>
        <v>退避三舍1</v>
      </c>
      <c r="O177" s="15">
        <f>INDEX(C:C,MATCH(J177,D:D,0))</f>
        <v>65</v>
      </c>
      <c r="P177" s="9">
        <f>INDEX(E:E,MATCH(J177,D:D,0))</f>
        <v>130</v>
      </c>
      <c r="Q177" s="7">
        <f t="shared" si="34"/>
        <v>65</v>
      </c>
      <c r="R177" s="7">
        <f>COUNTIF(J$8:$J177,"="&amp;J177)</f>
        <v>1</v>
      </c>
      <c r="S177" s="7">
        <f t="shared" si="39"/>
        <v>1065</v>
      </c>
    </row>
    <row r="178" spans="6:19">
      <c r="H178" s="7" t="str">
        <f>IF(I178="","",COUNTA(I$9:$I178))</f>
        <v/>
      </c>
      <c r="I178" s="6"/>
      <c r="J178" s="6" t="s">
        <v>240</v>
      </c>
      <c r="K178" s="8" t="str">
        <f>IF(H178="","",阶段合并区域(J178:J182," ",L178:L182,1))</f>
        <v/>
      </c>
      <c r="L178" s="8">
        <f>COUNTIF(M$8:$M178,"="&amp;M178)</f>
        <v>2</v>
      </c>
      <c r="M178" s="9" t="str">
        <f t="shared" si="37"/>
        <v>退避三舍</v>
      </c>
      <c r="N178" s="9" t="str">
        <f t="shared" si="38"/>
        <v>退避三舍2</v>
      </c>
      <c r="O178" s="15">
        <f>INDEX(C:C,MATCH(J178,D:D,0))</f>
        <v>52</v>
      </c>
      <c r="P178" s="9">
        <f>INDEX(E:E,MATCH(J178,D:D,0))</f>
        <v>120</v>
      </c>
      <c r="Q178" s="7">
        <f t="shared" si="34"/>
        <v>52</v>
      </c>
      <c r="R178" s="7">
        <f>COUNTIF(J$8:$J178,"="&amp;J178)</f>
        <v>9</v>
      </c>
      <c r="S178" s="7">
        <f t="shared" si="39"/>
        <v>9052</v>
      </c>
    </row>
    <row r="179" spans="6:19">
      <c r="H179" s="7" t="str">
        <f>IF(I179="","",COUNTA(I$9:$I179))</f>
        <v/>
      </c>
      <c r="I179" s="6"/>
      <c r="J179" s="6" t="s">
        <v>285</v>
      </c>
      <c r="K179" s="8" t="str">
        <f>IF(H179="","",阶段合并区域(J179:J182," ",L179:L182,1))</f>
        <v/>
      </c>
      <c r="L179" s="8">
        <f>COUNTIF(M$8:$M179,"="&amp;M179)</f>
        <v>3</v>
      </c>
      <c r="M179" s="9" t="str">
        <f t="shared" si="37"/>
        <v>退避三舍</v>
      </c>
      <c r="N179" s="9" t="str">
        <f t="shared" si="38"/>
        <v>退避三舍3</v>
      </c>
      <c r="O179" s="15">
        <f>INDEX(C:C,MATCH(J179,D:D,0))</f>
        <v>62</v>
      </c>
      <c r="P179" s="9">
        <f>INDEX(E:E,MATCH(J179,D:D,0))</f>
        <v>120</v>
      </c>
      <c r="Q179" s="7">
        <f t="shared" si="34"/>
        <v>62</v>
      </c>
      <c r="R179" s="7">
        <f>COUNTIF(J$8:$J179,"="&amp;J179)</f>
        <v>5</v>
      </c>
      <c r="S179" s="7">
        <f t="shared" si="39"/>
        <v>5062</v>
      </c>
    </row>
    <row r="180" spans="6:19">
      <c r="H180" s="7" t="str">
        <f>IF(I180="","",COUNTA(I$9:$I180))</f>
        <v/>
      </c>
      <c r="I180" s="6"/>
      <c r="J180" s="6" t="s">
        <v>286</v>
      </c>
      <c r="K180" s="8" t="str">
        <f>IF(H180="","",阶段合并区域(J180:J182," ",L180:L182,1))</f>
        <v/>
      </c>
      <c r="L180" s="8">
        <f>COUNTIF(M$8:$M180,"="&amp;M180)</f>
        <v>4</v>
      </c>
      <c r="M180" s="9" t="str">
        <f t="shared" si="37"/>
        <v>退避三舍</v>
      </c>
      <c r="N180" s="9" t="str">
        <f t="shared" si="38"/>
        <v>退避三舍4</v>
      </c>
      <c r="O180" s="15">
        <f>INDEX(C:C,MATCH(J180,D:D,0))</f>
        <v>41</v>
      </c>
      <c r="P180" s="9">
        <f>INDEX(E:E,MATCH(J180,D:D,0))</f>
        <v>120</v>
      </c>
      <c r="Q180" s="7">
        <f t="shared" si="34"/>
        <v>41</v>
      </c>
      <c r="R180" s="7">
        <f>COUNTIF(J$8:$J180,"="&amp;J180)</f>
        <v>7</v>
      </c>
      <c r="S180" s="7">
        <f t="shared" si="39"/>
        <v>7041</v>
      </c>
    </row>
    <row r="181" spans="6:19">
      <c r="H181" s="7">
        <f>IF(I181="","",COUNTA(I$9:$I181))</f>
        <v>115</v>
      </c>
      <c r="I181" s="6" t="s">
        <v>283</v>
      </c>
      <c r="J181" s="6" t="s">
        <v>282</v>
      </c>
      <c r="K181" s="8" t="str">
        <f>IF(H181="","",阶段合并区域(J181:J185," ",L181:L185,1))</f>
        <v>晋文公 楚庄王 勾践 秦武王</v>
      </c>
      <c r="L181" s="8">
        <f>COUNTIF(M$8:$M181,"="&amp;M181)</f>
        <v>1</v>
      </c>
      <c r="M181" s="9" t="str">
        <f t="shared" si="37"/>
        <v>春秋霸主</v>
      </c>
      <c r="N181" s="9" t="str">
        <f t="shared" si="38"/>
        <v>春秋霸主1</v>
      </c>
      <c r="O181" s="15">
        <f>INDEX(C:C,MATCH(J181,D:D,0))</f>
        <v>65</v>
      </c>
      <c r="P181" s="9">
        <f>INDEX(E:E,MATCH(J181,D:D,0))</f>
        <v>130</v>
      </c>
      <c r="Q181" s="7">
        <f t="shared" si="34"/>
        <v>65</v>
      </c>
      <c r="R181" s="7">
        <f>COUNTIF(J$8:$J181,"="&amp;J181)</f>
        <v>2</v>
      </c>
      <c r="S181" s="7">
        <f t="shared" si="39"/>
        <v>2065</v>
      </c>
    </row>
    <row r="182" spans="6:19">
      <c r="H182" s="7" t="str">
        <f>IF(I182="","",COUNTA(I$9:$I182))</f>
        <v/>
      </c>
      <c r="I182" s="6"/>
      <c r="J182" s="6" t="s">
        <v>284</v>
      </c>
      <c r="K182" s="8" t="str">
        <f>IF(H182="","",阶段合并区域(J182:J185," ",L182:L185,1))</f>
        <v/>
      </c>
      <c r="L182" s="8">
        <f>COUNTIF(M$8:$M182,"="&amp;M182)</f>
        <v>2</v>
      </c>
      <c r="M182" s="9" t="str">
        <f t="shared" si="37"/>
        <v>春秋霸主</v>
      </c>
      <c r="N182" s="9" t="str">
        <f t="shared" si="38"/>
        <v>春秋霸主2</v>
      </c>
      <c r="O182" s="15">
        <f>INDEX(C:C,MATCH(J182,D:D,0))</f>
        <v>15</v>
      </c>
      <c r="P182" s="9">
        <f>INDEX(E:E,MATCH(J182,D:D,0))</f>
        <v>120</v>
      </c>
      <c r="Q182" s="7">
        <f t="shared" si="34"/>
        <v>15</v>
      </c>
      <c r="R182" s="7">
        <f>COUNTIF(J$8:$J182,"="&amp;J182)</f>
        <v>5</v>
      </c>
      <c r="S182" s="7">
        <f t="shared" si="39"/>
        <v>5015</v>
      </c>
    </row>
    <row r="183" spans="6:19">
      <c r="H183" s="7" t="str">
        <f>IF(I183="","",COUNTA(I$9:$I183))</f>
        <v/>
      </c>
      <c r="I183" s="6"/>
      <c r="J183" s="6" t="s">
        <v>252</v>
      </c>
      <c r="K183" s="8" t="str">
        <f>IF(H183="","",阶段合并区域(J183:J185," ",L183:L185,1))</f>
        <v/>
      </c>
      <c r="L183" s="8">
        <f>COUNTIF(M$8:$M183,"="&amp;M183)</f>
        <v>3</v>
      </c>
      <c r="M183" s="9" t="str">
        <f t="shared" si="37"/>
        <v>春秋霸主</v>
      </c>
      <c r="N183" s="9" t="str">
        <f t="shared" si="38"/>
        <v>春秋霸主3</v>
      </c>
      <c r="O183" s="15">
        <f>INDEX(C:C,MATCH(J183,D:D,0))</f>
        <v>64</v>
      </c>
      <c r="P183" s="9">
        <f>INDEX(E:E,MATCH(J183,D:D,0))</f>
        <v>120</v>
      </c>
      <c r="Q183" s="7">
        <f t="shared" si="34"/>
        <v>64</v>
      </c>
      <c r="R183" s="7">
        <f>COUNTIF(J$8:$J183,"="&amp;J183)</f>
        <v>5</v>
      </c>
      <c r="S183" s="7">
        <f t="shared" si="39"/>
        <v>5064</v>
      </c>
    </row>
    <row r="184" spans="6:19">
      <c r="H184" s="7" t="str">
        <f>IF(I184="","",COUNTA(I$9:$I184))</f>
        <v/>
      </c>
      <c r="I184" s="6"/>
      <c r="J184" s="6" t="s">
        <v>254</v>
      </c>
      <c r="K184" s="8" t="str">
        <f>IF(H184="","",阶段合并区域(J184:J188," ",L184:L188,1))</f>
        <v/>
      </c>
      <c r="L184" s="8">
        <f>COUNTIF(M$8:$M184,"="&amp;M184)</f>
        <v>4</v>
      </c>
      <c r="M184" s="9" t="str">
        <f t="shared" si="37"/>
        <v>春秋霸主</v>
      </c>
      <c r="N184" s="9" t="str">
        <f t="shared" si="38"/>
        <v>春秋霸主4</v>
      </c>
      <c r="O184" s="15">
        <f>INDEX(C:C,MATCH(J184,D:D,0))</f>
        <v>20</v>
      </c>
      <c r="P184" s="9">
        <f>INDEX(E:E,MATCH(J184,D:D,0))</f>
        <v>120</v>
      </c>
      <c r="Q184" s="7">
        <f t="shared" si="34"/>
        <v>20</v>
      </c>
      <c r="R184" s="7">
        <f>COUNTIF(J$8:$J184,"="&amp;J184)</f>
        <v>5</v>
      </c>
      <c r="S184" s="7">
        <f t="shared" si="39"/>
        <v>5020</v>
      </c>
    </row>
    <row r="185" spans="6:19">
      <c r="H185" s="7">
        <f>IF(I185="","",COUNTA(I$9:$I185))</f>
        <v>116</v>
      </c>
      <c r="I185" s="6" t="s">
        <v>295</v>
      </c>
      <c r="J185" s="6" t="s">
        <v>282</v>
      </c>
      <c r="K185" s="8" t="str">
        <f>IF(H185="","",阶段合并区域(J185:J188," ",L185:L188,1))</f>
        <v>晋文公 吕不韦 义渠骇 孙膑</v>
      </c>
      <c r="L185" s="8">
        <f>COUNTIF(M$8:$M185,"="&amp;M185)</f>
        <v>1</v>
      </c>
      <c r="M185" s="9" t="str">
        <f t="shared" si="37"/>
        <v>野心勃勃</v>
      </c>
      <c r="N185" s="9" t="str">
        <f t="shared" si="38"/>
        <v>野心勃勃1</v>
      </c>
      <c r="O185" s="15">
        <f>INDEX(C:C,MATCH(J185,D:D,0))</f>
        <v>65</v>
      </c>
      <c r="P185" s="9">
        <f>INDEX(E:E,MATCH(J185,D:D,0))</f>
        <v>130</v>
      </c>
      <c r="Q185" s="7">
        <f t="shared" si="34"/>
        <v>65</v>
      </c>
      <c r="R185" s="7">
        <f>COUNTIF(J$8:$J185,"="&amp;J185)</f>
        <v>3</v>
      </c>
      <c r="S185" s="7">
        <f t="shared" si="39"/>
        <v>3065</v>
      </c>
    </row>
    <row r="186" spans="6:19">
      <c r="H186" s="7" t="str">
        <f>IF(I186="","",COUNTA(I$9:$I186))</f>
        <v/>
      </c>
      <c r="I186" s="6"/>
      <c r="J186" s="6" t="s">
        <v>215</v>
      </c>
      <c r="K186" s="8" t="str">
        <f>IF(H186="","",阶段合并区域(J186:J188," ",L186:L188,1))</f>
        <v/>
      </c>
      <c r="L186" s="8">
        <f>COUNTIF(M$8:$M186,"="&amp;M186)</f>
        <v>2</v>
      </c>
      <c r="M186" s="9" t="str">
        <f t="shared" si="37"/>
        <v>野心勃勃</v>
      </c>
      <c r="N186" s="9" t="str">
        <f t="shared" si="38"/>
        <v>野心勃勃2</v>
      </c>
      <c r="O186" s="15">
        <f>INDEX(C:C,MATCH(J186,D:D,0))</f>
        <v>18</v>
      </c>
      <c r="P186" s="9">
        <f>INDEX(E:E,MATCH(J186,D:D,0))</f>
        <v>120</v>
      </c>
      <c r="Q186" s="7">
        <f t="shared" si="34"/>
        <v>18</v>
      </c>
      <c r="R186" s="7">
        <f>COUNTIF(J$8:$J186,"="&amp;J186)</f>
        <v>7</v>
      </c>
      <c r="S186" s="7">
        <f t="shared" si="39"/>
        <v>7018</v>
      </c>
    </row>
    <row r="187" spans="6:19">
      <c r="H187" s="7" t="str">
        <f>IF(I187="","",COUNTA(I$9:$I187))</f>
        <v/>
      </c>
      <c r="I187" s="6"/>
      <c r="J187" s="6" t="s">
        <v>287</v>
      </c>
      <c r="K187" s="8" t="str">
        <f>IF(H187="","",阶段合并区域(J187:J191," ",L187:L191,1))</f>
        <v/>
      </c>
      <c r="L187" s="8">
        <f>COUNTIF(M$8:$M187,"="&amp;M187)</f>
        <v>3</v>
      </c>
      <c r="M187" s="9" t="str">
        <f t="shared" si="37"/>
        <v>野心勃勃</v>
      </c>
      <c r="N187" s="9" t="str">
        <f t="shared" si="38"/>
        <v>野心勃勃3</v>
      </c>
      <c r="O187" s="15">
        <f>INDEX(C:C,MATCH(J187,D:D,0))</f>
        <v>3</v>
      </c>
      <c r="P187" s="9">
        <f>INDEX(E:E,MATCH(J187,D:D,0))</f>
        <v>120</v>
      </c>
      <c r="Q187" s="7">
        <f t="shared" si="34"/>
        <v>3</v>
      </c>
      <c r="R187" s="7">
        <f>COUNTIF(J$8:$J187,"="&amp;J187)</f>
        <v>4</v>
      </c>
      <c r="S187" s="7">
        <f t="shared" si="39"/>
        <v>4003</v>
      </c>
    </row>
    <row r="188" spans="6:19">
      <c r="H188" s="7" t="str">
        <f>IF(I188="","",COUNTA(I$9:$I188))</f>
        <v/>
      </c>
      <c r="I188" s="6"/>
      <c r="J188" s="6" t="s">
        <v>288</v>
      </c>
      <c r="K188" s="8" t="str">
        <f>IF(H188="","",阶段合并区域(J188:J191," ",L188:L191,1))</f>
        <v/>
      </c>
      <c r="L188" s="8">
        <f>COUNTIF(M$8:$M188,"="&amp;M188)</f>
        <v>4</v>
      </c>
      <c r="M188" s="9" t="str">
        <f t="shared" si="37"/>
        <v>野心勃勃</v>
      </c>
      <c r="N188" s="9" t="str">
        <f t="shared" si="38"/>
        <v>野心勃勃4</v>
      </c>
      <c r="O188" s="15">
        <f>INDEX(C:C,MATCH(J188,D:D,0))</f>
        <v>36</v>
      </c>
      <c r="P188" s="9">
        <f>INDEX(E:E,MATCH(J188,D:D,0))</f>
        <v>120</v>
      </c>
      <c r="Q188" s="7">
        <f t="shared" si="34"/>
        <v>36</v>
      </c>
      <c r="R188" s="7">
        <f>COUNTIF(J$8:$J188,"="&amp;J188)</f>
        <v>7</v>
      </c>
      <c r="S188" s="7">
        <f t="shared" si="39"/>
        <v>7036</v>
      </c>
    </row>
    <row r="189" spans="6:19">
      <c r="H189" s="7">
        <f>IF(I189="","",COUNTA(I$9:$I189))</f>
        <v>117</v>
      </c>
      <c r="I189" s="6" t="s">
        <v>296</v>
      </c>
      <c r="J189" s="6" t="s">
        <v>339</v>
      </c>
      <c r="K189" s="8" t="str">
        <f>IF(H189="","",阶段合并区域(J189:J192," ",L189:L192,1))</f>
        <v>嬴政 吕不韦 司马错 樗里疾</v>
      </c>
      <c r="L189" s="8">
        <f>COUNTIF(M$8:$M189,"="&amp;M189)</f>
        <v>1</v>
      </c>
      <c r="M189" s="9" t="str">
        <f t="shared" ref="M189:M192" si="40">IF(H189="",M188,I189)</f>
        <v>大秦帝国</v>
      </c>
      <c r="N189" s="9" t="str">
        <f t="shared" ref="N189:N192" si="41">M189&amp;L189</f>
        <v>大秦帝国1</v>
      </c>
      <c r="O189" s="15">
        <f>INDEX(C:C,MATCH(J189,D:D,0))</f>
        <v>73</v>
      </c>
      <c r="P189" s="9">
        <f>INDEX(E:E,MATCH(J189,D:D,0))</f>
        <v>130</v>
      </c>
      <c r="Q189" s="7">
        <f t="shared" si="34"/>
        <v>73</v>
      </c>
      <c r="R189" s="7">
        <f>COUNTIF(J$8:$J189,"="&amp;J189)</f>
        <v>1</v>
      </c>
      <c r="S189" s="7">
        <f t="shared" ref="S189:S192" si="42">R189*1000+Q189</f>
        <v>1073</v>
      </c>
    </row>
    <row r="190" spans="6:19">
      <c r="H190" s="7" t="str">
        <f>IF(I190="","",COUNTA(I$9:$I190))</f>
        <v/>
      </c>
      <c r="I190" s="6"/>
      <c r="J190" s="6" t="s">
        <v>215</v>
      </c>
      <c r="K190" s="8" t="str">
        <f>IF(H190="","",阶段合并区域(J190:J192," ",L190:L192,1))</f>
        <v/>
      </c>
      <c r="L190" s="8">
        <f>COUNTIF(M$8:$M190,"="&amp;M190)</f>
        <v>2</v>
      </c>
      <c r="M190" s="9" t="str">
        <f t="shared" si="40"/>
        <v>大秦帝国</v>
      </c>
      <c r="N190" s="9" t="str">
        <f t="shared" si="41"/>
        <v>大秦帝国2</v>
      </c>
      <c r="O190" s="15">
        <f>INDEX(C:C,MATCH(J190,D:D,0))</f>
        <v>18</v>
      </c>
      <c r="P190" s="9">
        <f>INDEX(E:E,MATCH(J190,D:D,0))</f>
        <v>120</v>
      </c>
      <c r="Q190" s="7">
        <f t="shared" si="34"/>
        <v>18</v>
      </c>
      <c r="R190" s="7">
        <f>COUNTIF(J$8:$J190,"="&amp;J190)</f>
        <v>8</v>
      </c>
      <c r="S190" s="7">
        <f t="shared" si="42"/>
        <v>8018</v>
      </c>
    </row>
    <row r="191" spans="6:19">
      <c r="F191" s="2" t="s">
        <v>188</v>
      </c>
      <c r="H191" s="7" t="str">
        <f>IF(I191="","",COUNTA(I$9:$I191))</f>
        <v/>
      </c>
      <c r="I191" s="6"/>
      <c r="J191" s="6" t="s">
        <v>297</v>
      </c>
      <c r="K191" s="8" t="str">
        <f>IF(H191="","",阶段合并区域(J191:J195," ",L191:L195,1))</f>
        <v/>
      </c>
      <c r="L191" s="8">
        <f>COUNTIF(M$8:$M191,"="&amp;M191)</f>
        <v>3</v>
      </c>
      <c r="M191" s="9" t="str">
        <f t="shared" si="40"/>
        <v>大秦帝国</v>
      </c>
      <c r="N191" s="9" t="str">
        <f t="shared" si="41"/>
        <v>大秦帝国3</v>
      </c>
      <c r="O191" s="15">
        <f>INDEX(C:C,MATCH(J191,D:D,0))</f>
        <v>17</v>
      </c>
      <c r="P191" s="9">
        <f>INDEX(E:E,MATCH(J191,D:D,0))</f>
        <v>120</v>
      </c>
      <c r="Q191" s="7">
        <f t="shared" si="34"/>
        <v>17</v>
      </c>
      <c r="R191" s="7">
        <f>COUNTIF(J$8:$J191,"="&amp;J191)</f>
        <v>5</v>
      </c>
      <c r="S191" s="7">
        <f t="shared" si="42"/>
        <v>5017</v>
      </c>
    </row>
    <row r="192" spans="6:19">
      <c r="H192" s="7" t="str">
        <f>IF(I192="","",COUNTA(I$9:$I192))</f>
        <v/>
      </c>
      <c r="I192" s="6"/>
      <c r="J192" s="6" t="s">
        <v>298</v>
      </c>
      <c r="K192" s="8" t="str">
        <f>IF(H192="","",阶段合并区域(J192:J195," ",L192:L195,1))</f>
        <v/>
      </c>
      <c r="L192" s="8">
        <f>COUNTIF(M$8:$M192,"="&amp;M192)</f>
        <v>4</v>
      </c>
      <c r="M192" s="9" t="str">
        <f t="shared" si="40"/>
        <v>大秦帝国</v>
      </c>
      <c r="N192" s="9" t="str">
        <f t="shared" si="41"/>
        <v>大秦帝国4</v>
      </c>
      <c r="O192" s="15">
        <f>INDEX(C:C,MATCH(J192,D:D,0))</f>
        <v>27</v>
      </c>
      <c r="P192" s="9">
        <f>INDEX(E:E,MATCH(J192,D:D,0))</f>
        <v>120</v>
      </c>
      <c r="Q192" s="7">
        <f t="shared" si="34"/>
        <v>27</v>
      </c>
      <c r="R192" s="7">
        <f>COUNTIF(J$8:$J192,"="&amp;J192)</f>
        <v>6</v>
      </c>
      <c r="S192" s="7">
        <f t="shared" si="42"/>
        <v>6027</v>
      </c>
    </row>
    <row r="193" spans="6:19">
      <c r="F193" s="2" t="s">
        <v>188</v>
      </c>
      <c r="H193" s="7">
        <f>IF(I193="","",COUNTA(I$9:$I193))</f>
        <v>118</v>
      </c>
      <c r="I193" s="6" t="s">
        <v>299</v>
      </c>
      <c r="J193" s="6" t="s">
        <v>339</v>
      </c>
      <c r="K193" s="8" t="str">
        <f>IF(H193="","",阶段合并区域(J193:J196," ",L193:L196,1))</f>
        <v>嬴政 信陵君 屈原 苏秦</v>
      </c>
      <c r="L193" s="8">
        <f>COUNTIF(M$8:$M193,"="&amp;M193)</f>
        <v>1</v>
      </c>
      <c r="M193" s="9" t="str">
        <f t="shared" ref="M193:M196" si="43">IF(H193="",M192,I193)</f>
        <v>年少有为</v>
      </c>
      <c r="N193" s="9" t="str">
        <f t="shared" ref="N193:N196" si="44">M193&amp;L193</f>
        <v>年少有为1</v>
      </c>
      <c r="O193" s="15">
        <f>INDEX(C:C,MATCH(J193,D:D,0))</f>
        <v>73</v>
      </c>
      <c r="P193" s="9">
        <f>INDEX(E:E,MATCH(J193,D:D,0))</f>
        <v>130</v>
      </c>
      <c r="Q193" s="7">
        <f t="shared" si="34"/>
        <v>73</v>
      </c>
      <c r="R193" s="7">
        <f>COUNTIF(J$8:$J193,"="&amp;J193)</f>
        <v>2</v>
      </c>
      <c r="S193" s="7">
        <f t="shared" ref="S193:S196" si="45">R193*1000+Q193</f>
        <v>2073</v>
      </c>
    </row>
    <row r="194" spans="6:19">
      <c r="F194" s="2" t="s">
        <v>188</v>
      </c>
      <c r="H194" s="7" t="str">
        <f>IF(I194="","",COUNTA(I$9:$I194))</f>
        <v/>
      </c>
      <c r="I194" s="6"/>
      <c r="J194" s="6" t="s">
        <v>300</v>
      </c>
      <c r="K194" s="8" t="str">
        <f>IF(H194="","",阶段合并区域(J194:J196," ",L194:L196,1))</f>
        <v/>
      </c>
      <c r="L194" s="8">
        <f>COUNTIF(M$8:$M194,"="&amp;M194)</f>
        <v>2</v>
      </c>
      <c r="M194" s="9" t="str">
        <f t="shared" si="43"/>
        <v>年少有为</v>
      </c>
      <c r="N194" s="9" t="str">
        <f t="shared" si="44"/>
        <v>年少有为2</v>
      </c>
      <c r="O194" s="15">
        <f>INDEX(C:C,MATCH(J194,D:D,0))</f>
        <v>6</v>
      </c>
      <c r="P194" s="9">
        <f>INDEX(E:E,MATCH(J194,D:D,0))</f>
        <v>120</v>
      </c>
      <c r="Q194" s="7">
        <f t="shared" si="34"/>
        <v>6</v>
      </c>
      <c r="R194" s="7">
        <f>COUNTIF(J$8:$J194,"="&amp;J194)</f>
        <v>7</v>
      </c>
      <c r="S194" s="7">
        <f t="shared" si="45"/>
        <v>7006</v>
      </c>
    </row>
    <row r="195" spans="6:19">
      <c r="H195" s="7" t="str">
        <f>IF(I195="","",COUNTA(I$9:$I195))</f>
        <v/>
      </c>
      <c r="I195" s="6"/>
      <c r="J195" s="6" t="s">
        <v>238</v>
      </c>
      <c r="K195" s="8" t="str">
        <f>IF(H195="","",阶段合并区域(J195:J199," ",L195:L199,1))</f>
        <v/>
      </c>
      <c r="L195" s="8">
        <f>COUNTIF(M$8:$M195,"="&amp;M195)</f>
        <v>3</v>
      </c>
      <c r="M195" s="9" t="str">
        <f t="shared" si="43"/>
        <v>年少有为</v>
      </c>
      <c r="N195" s="9" t="str">
        <f t="shared" si="44"/>
        <v>年少有为3</v>
      </c>
      <c r="O195" s="15">
        <f>INDEX(C:C,MATCH(J195,D:D,0))</f>
        <v>40</v>
      </c>
      <c r="P195" s="9">
        <f>INDEX(E:E,MATCH(J195,D:D,0))</f>
        <v>120</v>
      </c>
      <c r="Q195" s="7">
        <f t="shared" si="34"/>
        <v>40</v>
      </c>
      <c r="R195" s="7">
        <f>COUNTIF(J$8:$J195,"="&amp;J195)</f>
        <v>9</v>
      </c>
      <c r="S195" s="7">
        <f t="shared" si="45"/>
        <v>9040</v>
      </c>
    </row>
    <row r="196" spans="6:19">
      <c r="F196" s="2" t="s">
        <v>188</v>
      </c>
      <c r="H196" s="7" t="str">
        <f>IF(I196="","",COUNTA(I$9:$I196))</f>
        <v/>
      </c>
      <c r="I196" s="6"/>
      <c r="J196" s="6" t="s">
        <v>301</v>
      </c>
      <c r="K196" s="8" t="str">
        <f>IF(H196="","",阶段合并区域(J196:J199," ",L196:L199,1))</f>
        <v/>
      </c>
      <c r="L196" s="8">
        <f>COUNTIF(M$8:$M196,"="&amp;M196)</f>
        <v>4</v>
      </c>
      <c r="M196" s="9" t="str">
        <f t="shared" si="43"/>
        <v>年少有为</v>
      </c>
      <c r="N196" s="9" t="str">
        <f t="shared" si="44"/>
        <v>年少有为4</v>
      </c>
      <c r="O196" s="15">
        <f>INDEX(C:C,MATCH(J196,D:D,0))</f>
        <v>57</v>
      </c>
      <c r="P196" s="9">
        <f>INDEX(E:E,MATCH(J196,D:D,0))</f>
        <v>120</v>
      </c>
      <c r="Q196" s="7">
        <f t="shared" si="34"/>
        <v>57</v>
      </c>
      <c r="R196" s="7">
        <f>COUNTIF(J$8:$J196,"="&amp;J196)</f>
        <v>7</v>
      </c>
      <c r="S196" s="7">
        <f t="shared" si="45"/>
        <v>7057</v>
      </c>
    </row>
    <row r="197" spans="6:19">
      <c r="F197" s="2" t="s">
        <v>188</v>
      </c>
      <c r="H197" s="7">
        <f>IF(I197="","",COUNTA(I$9:$I197))</f>
        <v>119</v>
      </c>
      <c r="I197" s="6" t="s">
        <v>302</v>
      </c>
      <c r="J197" s="6" t="s">
        <v>339</v>
      </c>
      <c r="K197" s="8" t="str">
        <f>IF(H197="","",阶段合并区域(J197:J200," ",L197:L200,1))</f>
        <v>嬴政 秦武王 义渠骇 荆轲</v>
      </c>
      <c r="L197" s="8">
        <f>COUNTIF(M$8:$M197,"="&amp;M197)</f>
        <v>1</v>
      </c>
      <c r="M197" s="9" t="str">
        <f t="shared" ref="M197:M200" si="46">IF(H197="",M196,I197)</f>
        <v>恩怨情仇</v>
      </c>
      <c r="N197" s="9" t="str">
        <f t="shared" ref="N197:N200" si="47">M197&amp;L197</f>
        <v>恩怨情仇1</v>
      </c>
      <c r="O197" s="15">
        <f>INDEX(C:C,MATCH(J197,D:D,0))</f>
        <v>73</v>
      </c>
      <c r="P197" s="9">
        <f>INDEX(E:E,MATCH(J197,D:D,0))</f>
        <v>130</v>
      </c>
      <c r="Q197" s="7">
        <f t="shared" si="34"/>
        <v>73</v>
      </c>
      <c r="R197" s="7">
        <f>COUNTIF(J$8:$J197,"="&amp;J197)</f>
        <v>3</v>
      </c>
      <c r="S197" s="7">
        <f t="shared" ref="S197:S200" si="48">R197*1000+Q197</f>
        <v>3073</v>
      </c>
    </row>
    <row r="198" spans="6:19">
      <c r="H198" s="7" t="str">
        <f>IF(I198="","",COUNTA(I$9:$I198))</f>
        <v/>
      </c>
      <c r="I198" s="6"/>
      <c r="J198" s="6" t="s">
        <v>303</v>
      </c>
      <c r="K198" s="8" t="str">
        <f>IF(H198="","",阶段合并区域(J198:J200," ",L198:L200,1))</f>
        <v/>
      </c>
      <c r="L198" s="8">
        <f>COUNTIF(M$8:$M198,"="&amp;M198)</f>
        <v>2</v>
      </c>
      <c r="M198" s="9" t="str">
        <f t="shared" si="46"/>
        <v>恩怨情仇</v>
      </c>
      <c r="N198" s="9" t="str">
        <f t="shared" si="47"/>
        <v>恩怨情仇2</v>
      </c>
      <c r="O198" s="15">
        <f>INDEX(C:C,MATCH(J198,D:D,0))</f>
        <v>20</v>
      </c>
      <c r="P198" s="9">
        <f>INDEX(E:E,MATCH(J198,D:D,0))</f>
        <v>120</v>
      </c>
      <c r="Q198" s="7">
        <f t="shared" si="34"/>
        <v>20</v>
      </c>
      <c r="R198" s="7">
        <f>COUNTIF(J$8:$J198,"="&amp;J198)</f>
        <v>6</v>
      </c>
      <c r="S198" s="7">
        <f t="shared" si="48"/>
        <v>6020</v>
      </c>
    </row>
    <row r="199" spans="6:19">
      <c r="H199" s="7" t="str">
        <f>IF(I199="","",COUNTA(I$9:$I199))</f>
        <v/>
      </c>
      <c r="I199" s="6"/>
      <c r="J199" s="6" t="s">
        <v>287</v>
      </c>
      <c r="K199" s="8" t="str">
        <f>IF(H199="","",阶段合并区域(J199:J203," ",L199:L203,1))</f>
        <v/>
      </c>
      <c r="L199" s="8">
        <f>COUNTIF(M$8:$M199,"="&amp;M199)</f>
        <v>3</v>
      </c>
      <c r="M199" s="9" t="str">
        <f t="shared" si="46"/>
        <v>恩怨情仇</v>
      </c>
      <c r="N199" s="9" t="str">
        <f t="shared" si="47"/>
        <v>恩怨情仇3</v>
      </c>
      <c r="O199" s="15">
        <f>INDEX(C:C,MATCH(J199,D:D,0))</f>
        <v>3</v>
      </c>
      <c r="P199" s="9">
        <f>INDEX(E:E,MATCH(J199,D:D,0))</f>
        <v>120</v>
      </c>
      <c r="Q199" s="7">
        <f t="shared" si="34"/>
        <v>3</v>
      </c>
      <c r="R199" s="7">
        <f>COUNTIF(J$8:$J199,"="&amp;J199)</f>
        <v>5</v>
      </c>
      <c r="S199" s="7">
        <f t="shared" si="48"/>
        <v>5003</v>
      </c>
    </row>
    <row r="200" spans="6:19">
      <c r="H200" s="7" t="str">
        <f>IF(I200="","",COUNTA(I$9:$I200))</f>
        <v/>
      </c>
      <c r="I200" s="6"/>
      <c r="J200" s="6" t="s">
        <v>304</v>
      </c>
      <c r="K200" s="8" t="str">
        <f>IF(H200="","",阶段合并区域(J200:J203," ",L200:L203,1))</f>
        <v/>
      </c>
      <c r="L200" s="8">
        <f>COUNTIF(M$8:$M200,"="&amp;M200)</f>
        <v>4</v>
      </c>
      <c r="M200" s="9" t="str">
        <f t="shared" si="46"/>
        <v>恩怨情仇</v>
      </c>
      <c r="N200" s="9" t="str">
        <f t="shared" si="47"/>
        <v>恩怨情仇4</v>
      </c>
      <c r="O200" s="15">
        <f>INDEX(C:C,MATCH(J200,D:D,0))</f>
        <v>56</v>
      </c>
      <c r="P200" s="9">
        <f>INDEX(E:E,MATCH(J200,D:D,0))</f>
        <v>120</v>
      </c>
      <c r="Q200" s="7">
        <f t="shared" si="34"/>
        <v>56</v>
      </c>
      <c r="R200" s="7">
        <f>COUNTIF(J$8:$J200,"="&amp;J200)</f>
        <v>4</v>
      </c>
      <c r="S200" s="7">
        <f t="shared" si="48"/>
        <v>4056</v>
      </c>
    </row>
    <row r="201" spans="6:19">
      <c r="H201" s="7">
        <f>IF(I201="","",COUNTA(I$9:$I201))</f>
        <v>120</v>
      </c>
      <c r="I201" s="3" t="s">
        <v>305</v>
      </c>
      <c r="J201" s="6" t="s">
        <v>316</v>
      </c>
      <c r="K201" s="8" t="str">
        <f>IF(H201="","",阶段合并区域(J201:J204," ",L201:L204,1))</f>
        <v>赵奢 赵括</v>
      </c>
      <c r="L201" s="8">
        <f>COUNTIF(M$8:$M201,"="&amp;M201)</f>
        <v>1</v>
      </c>
      <c r="M201" s="9" t="str">
        <f t="shared" ref="M201:M230" si="49">IF(H201="",M200,I201)</f>
        <v>知子之明</v>
      </c>
      <c r="N201" s="9" t="str">
        <f t="shared" ref="N201:N230" si="50">M201&amp;L201</f>
        <v>知子之明1</v>
      </c>
      <c r="O201" s="15">
        <f>INDEX(C:C,MATCH(J201,D:D,0))</f>
        <v>48</v>
      </c>
      <c r="P201" s="9">
        <f>INDEX(E:E,MATCH(J201,D:D,0))</f>
        <v>120</v>
      </c>
      <c r="Q201" s="7">
        <f t="shared" ref="Q201:Q264" si="51">INDEX($C$9:$C$190,MATCH(J201,$D$9:$D$190,0))</f>
        <v>48</v>
      </c>
      <c r="R201" s="7">
        <f>COUNTIF(J$8:$J201,"="&amp;J201)</f>
        <v>1</v>
      </c>
      <c r="S201" s="7">
        <f t="shared" ref="S201:S230" si="52">R201*1000+Q201</f>
        <v>1048</v>
      </c>
    </row>
    <row r="202" spans="6:19">
      <c r="H202" s="7" t="str">
        <f>IF(I202="","",COUNTA(I$9:$I202))</f>
        <v/>
      </c>
      <c r="I202" s="3"/>
      <c r="J202" s="6" t="s">
        <v>222</v>
      </c>
      <c r="K202" s="8" t="str">
        <f>IF(H202="","",阶段合并区域(J202:J205," ",L202:L205,1))</f>
        <v/>
      </c>
      <c r="L202" s="8">
        <f>COUNTIF(M$8:$M202,"="&amp;M202)</f>
        <v>2</v>
      </c>
      <c r="M202" s="9" t="str">
        <f t="shared" si="49"/>
        <v>知子之明</v>
      </c>
      <c r="N202" s="9" t="str">
        <f t="shared" si="50"/>
        <v>知子之明2</v>
      </c>
      <c r="O202" s="15">
        <f>INDEX(C:C,MATCH(J202,D:D,0))</f>
        <v>71</v>
      </c>
      <c r="P202" s="9">
        <f>INDEX(E:E,MATCH(J202,D:D,0))</f>
        <v>120</v>
      </c>
      <c r="Q202" s="7">
        <f t="shared" si="51"/>
        <v>71</v>
      </c>
      <c r="R202" s="7">
        <f>COUNTIF(J$8:$J202,"="&amp;J202)</f>
        <v>4</v>
      </c>
      <c r="S202" s="7">
        <f t="shared" si="52"/>
        <v>4071</v>
      </c>
    </row>
    <row r="203" spans="6:19">
      <c r="H203" s="7">
        <f>IF(I203="","",COUNTA(I$9:$I203))</f>
        <v>121</v>
      </c>
      <c r="I203" s="3" t="s">
        <v>306</v>
      </c>
      <c r="J203" s="6" t="s">
        <v>316</v>
      </c>
      <c r="K203" s="8" t="str">
        <f>IF(H203="","",阶段合并区域(J203:J206," ",L203:L206,1))</f>
        <v>赵奢 吕不韦</v>
      </c>
      <c r="L203" s="8">
        <f>COUNTIF(M$8:$M203,"="&amp;M203)</f>
        <v>1</v>
      </c>
      <c r="M203" s="9" t="str">
        <f t="shared" si="49"/>
        <v>秉公执法</v>
      </c>
      <c r="N203" s="9" t="str">
        <f t="shared" si="50"/>
        <v>秉公执法1</v>
      </c>
      <c r="O203" s="15">
        <f>INDEX(C:C,MATCH(J203,D:D,0))</f>
        <v>48</v>
      </c>
      <c r="P203" s="9">
        <f>INDEX(E:E,MATCH(J203,D:D,0))</f>
        <v>120</v>
      </c>
      <c r="Q203" s="7">
        <f t="shared" si="51"/>
        <v>48</v>
      </c>
      <c r="R203" s="7">
        <f>COUNTIF(J$8:$J203,"="&amp;J203)</f>
        <v>2</v>
      </c>
      <c r="S203" s="7">
        <f t="shared" si="52"/>
        <v>2048</v>
      </c>
    </row>
    <row r="204" spans="6:19">
      <c r="H204" s="7" t="str">
        <f>IF(I204="","",COUNTA(I$9:$I204))</f>
        <v/>
      </c>
      <c r="I204" s="3"/>
      <c r="J204" s="6" t="s">
        <v>317</v>
      </c>
      <c r="K204" s="8" t="str">
        <f>IF(H204="","",阶段合并区域(J204:J207," ",L204:L207,1))</f>
        <v/>
      </c>
      <c r="L204" s="8">
        <f>COUNTIF(M$8:$M204,"="&amp;M204)</f>
        <v>2</v>
      </c>
      <c r="M204" s="9" t="str">
        <f t="shared" si="49"/>
        <v>秉公执法</v>
      </c>
      <c r="N204" s="9" t="str">
        <f t="shared" si="50"/>
        <v>秉公执法2</v>
      </c>
      <c r="O204" s="15">
        <f>INDEX(C:C,MATCH(J204,D:D,0))</f>
        <v>18</v>
      </c>
      <c r="P204" s="9">
        <f>INDEX(E:E,MATCH(J204,D:D,0))</f>
        <v>120</v>
      </c>
      <c r="Q204" s="7">
        <f t="shared" si="51"/>
        <v>18</v>
      </c>
      <c r="R204" s="7">
        <f>COUNTIF(J$8:$J204,"="&amp;J204)</f>
        <v>9</v>
      </c>
      <c r="S204" s="7">
        <f t="shared" si="52"/>
        <v>9018</v>
      </c>
    </row>
    <row r="205" spans="6:19">
      <c r="H205" s="7">
        <f>IF(I205="","",COUNTA(I$9:$I205))</f>
        <v>122</v>
      </c>
      <c r="I205" s="3" t="s">
        <v>307</v>
      </c>
      <c r="J205" s="6" t="s">
        <v>318</v>
      </c>
      <c r="K205" s="8" t="str">
        <f>IF(H205="","",阶段合并区域(J205:J208," ",L205:L208,1))</f>
        <v>赵奢 孙膑 田单</v>
      </c>
      <c r="L205" s="8">
        <f>COUNTIF(M$8:$M205,"="&amp;M205)</f>
        <v>1</v>
      </c>
      <c r="M205" s="9" t="str">
        <f t="shared" si="49"/>
        <v>古之名将</v>
      </c>
      <c r="N205" s="9" t="str">
        <f t="shared" si="50"/>
        <v>古之名将1</v>
      </c>
      <c r="O205" s="15">
        <f>INDEX(C:C,MATCH(J205,D:D,0))</f>
        <v>48</v>
      </c>
      <c r="P205" s="9">
        <f>INDEX(E:E,MATCH(J205,D:D,0))</f>
        <v>120</v>
      </c>
      <c r="Q205" s="7">
        <f t="shared" si="51"/>
        <v>48</v>
      </c>
      <c r="R205" s="7">
        <f>COUNTIF(J$8:$J205,"="&amp;J205)</f>
        <v>3</v>
      </c>
      <c r="S205" s="7">
        <f t="shared" si="52"/>
        <v>3048</v>
      </c>
    </row>
    <row r="206" spans="6:19">
      <c r="H206" s="7" t="str">
        <f>IF(I206="","",COUNTA(I$9:$I206))</f>
        <v/>
      </c>
      <c r="I206" s="3"/>
      <c r="J206" s="6" t="s">
        <v>319</v>
      </c>
      <c r="K206" s="8" t="str">
        <f>IF(H206="","",阶段合并区域(J206:J209," ",L206:L209,1))</f>
        <v/>
      </c>
      <c r="L206" s="8">
        <f>COUNTIF(M$8:$M206,"="&amp;M206)</f>
        <v>2</v>
      </c>
      <c r="M206" s="9" t="str">
        <f t="shared" si="49"/>
        <v>古之名将</v>
      </c>
      <c r="N206" s="9" t="str">
        <f t="shared" si="50"/>
        <v>古之名将2</v>
      </c>
      <c r="O206" s="15">
        <f>INDEX(C:C,MATCH(J206,D:D,0))</f>
        <v>36</v>
      </c>
      <c r="P206" s="9">
        <f>INDEX(E:E,MATCH(J206,D:D,0))</f>
        <v>120</v>
      </c>
      <c r="Q206" s="7">
        <f t="shared" si="51"/>
        <v>36</v>
      </c>
      <c r="R206" s="7">
        <f>COUNTIF(J$8:$J206,"="&amp;J206)</f>
        <v>8</v>
      </c>
      <c r="S206" s="7">
        <f t="shared" si="52"/>
        <v>8036</v>
      </c>
    </row>
    <row r="207" spans="6:19">
      <c r="H207" s="7" t="str">
        <f>IF(I207="","",COUNTA(I$9:$I207))</f>
        <v/>
      </c>
      <c r="I207" s="3"/>
      <c r="J207" s="6" t="s">
        <v>320</v>
      </c>
      <c r="K207" s="8" t="str">
        <f>IF(H207="","",阶段合并区域(J207:J210," ",L207:L210,1))</f>
        <v/>
      </c>
      <c r="L207" s="8">
        <f>COUNTIF(M$8:$M207,"="&amp;M207)</f>
        <v>3</v>
      </c>
      <c r="M207" s="9" t="str">
        <f t="shared" si="49"/>
        <v>古之名将</v>
      </c>
      <c r="N207" s="9" t="str">
        <f t="shared" si="50"/>
        <v>古之名将3</v>
      </c>
      <c r="O207" s="15">
        <f>INDEX(C:C,MATCH(J207,D:D,0))</f>
        <v>16</v>
      </c>
      <c r="P207" s="9">
        <f>INDEX(E:E,MATCH(J207,D:D,0))</f>
        <v>120</v>
      </c>
      <c r="Q207" s="7">
        <f t="shared" si="51"/>
        <v>16</v>
      </c>
      <c r="R207" s="7">
        <f>COUNTIF(J$8:$J207,"="&amp;J207)</f>
        <v>7</v>
      </c>
      <c r="S207" s="7">
        <f t="shared" si="52"/>
        <v>7016</v>
      </c>
    </row>
    <row r="208" spans="6:19">
      <c r="H208" s="7">
        <f>IF(I208="","",COUNTA(I$9:$I208))</f>
        <v>123</v>
      </c>
      <c r="I208" s="3" t="s">
        <v>308</v>
      </c>
      <c r="J208" s="6" t="s">
        <v>321</v>
      </c>
      <c r="K208" s="8" t="str">
        <f>IF(H208="","",阶段合并区域(J208:J211," ",L208:L211,1))</f>
        <v>孟尝君 苏秦</v>
      </c>
      <c r="L208" s="8">
        <f>COUNTIF(M$8:$M208,"="&amp;M208)</f>
        <v>1</v>
      </c>
      <c r="M208" s="9" t="str">
        <f t="shared" si="49"/>
        <v>合纵攻秦</v>
      </c>
      <c r="N208" s="9" t="str">
        <f t="shared" si="50"/>
        <v>合纵攻秦1</v>
      </c>
      <c r="O208" s="15">
        <f>INDEX(C:C,MATCH(J208,D:D,0))</f>
        <v>30</v>
      </c>
      <c r="P208" s="9">
        <f>INDEX(E:E,MATCH(J208,D:D,0))</f>
        <v>120</v>
      </c>
      <c r="Q208" s="7">
        <f t="shared" si="51"/>
        <v>30</v>
      </c>
      <c r="R208" s="7">
        <f>COUNTIF(J$8:$J208,"="&amp;J208)</f>
        <v>1</v>
      </c>
      <c r="S208" s="7">
        <f t="shared" si="52"/>
        <v>1030</v>
      </c>
    </row>
    <row r="209" spans="8:19">
      <c r="H209" s="7" t="str">
        <f>IF(I209="","",COUNTA(I$9:$I209))</f>
        <v/>
      </c>
      <c r="I209" s="3"/>
      <c r="J209" s="6" t="s">
        <v>322</v>
      </c>
      <c r="K209" s="8" t="str">
        <f>IF(H209="","",阶段合并区域(J209:J212," ",L209:L212,1))</f>
        <v/>
      </c>
      <c r="L209" s="8">
        <f>COUNTIF(M$8:$M209,"="&amp;M209)</f>
        <v>2</v>
      </c>
      <c r="M209" s="9" t="str">
        <f t="shared" si="49"/>
        <v>合纵攻秦</v>
      </c>
      <c r="N209" s="9" t="str">
        <f t="shared" si="50"/>
        <v>合纵攻秦2</v>
      </c>
      <c r="O209" s="15">
        <f>INDEX(C:C,MATCH(J209,D:D,0))</f>
        <v>57</v>
      </c>
      <c r="P209" s="9">
        <f>INDEX(E:E,MATCH(J209,D:D,0))</f>
        <v>120</v>
      </c>
      <c r="Q209" s="7">
        <f t="shared" si="51"/>
        <v>57</v>
      </c>
      <c r="R209" s="7">
        <f>COUNTIF(J$8:$J209,"="&amp;J209)</f>
        <v>8</v>
      </c>
      <c r="S209" s="7">
        <f t="shared" si="52"/>
        <v>8057</v>
      </c>
    </row>
    <row r="210" spans="8:19">
      <c r="H210" s="7">
        <f>IF(I210="","",COUNTA(I$9:$I210))</f>
        <v>124</v>
      </c>
      <c r="I210" s="3" t="s">
        <v>309</v>
      </c>
      <c r="J210" s="6" t="s">
        <v>323</v>
      </c>
      <c r="K210" s="8" t="str">
        <f>IF(H210="","",阶段合并区域(J210:J213," ",L210:L213,1))</f>
        <v>孟尝君 伍子胥</v>
      </c>
      <c r="L210" s="8">
        <f>COUNTIF(M$8:$M210,"="&amp;M210)</f>
        <v>1</v>
      </c>
      <c r="M210" s="9" t="str">
        <f t="shared" si="49"/>
        <v>位居相国</v>
      </c>
      <c r="N210" s="9" t="str">
        <f t="shared" si="50"/>
        <v>位居相国1</v>
      </c>
      <c r="O210" s="15">
        <f>INDEX(C:C,MATCH(J210,D:D,0))</f>
        <v>30</v>
      </c>
      <c r="P210" s="9">
        <f>INDEX(E:E,MATCH(J210,D:D,0))</f>
        <v>120</v>
      </c>
      <c r="Q210" s="7">
        <f t="shared" si="51"/>
        <v>30</v>
      </c>
      <c r="R210" s="7">
        <f>COUNTIF(J$8:$J210,"="&amp;J210)</f>
        <v>2</v>
      </c>
      <c r="S210" s="7">
        <f t="shared" si="52"/>
        <v>2030</v>
      </c>
    </row>
    <row r="211" spans="8:19">
      <c r="H211" s="7" t="str">
        <f>IF(I211="","",COUNTA(I$9:$I211))</f>
        <v/>
      </c>
      <c r="I211" s="3"/>
      <c r="J211" s="6" t="s">
        <v>324</v>
      </c>
      <c r="K211" s="8" t="str">
        <f>IF(H211="","",阶段合并区域(J211:J214," ",L211:L214,1))</f>
        <v/>
      </c>
      <c r="L211" s="8">
        <f>COUNTIF(M$8:$M211,"="&amp;M211)</f>
        <v>2</v>
      </c>
      <c r="M211" s="9" t="str">
        <f t="shared" si="49"/>
        <v>位居相国</v>
      </c>
      <c r="N211" s="9" t="str">
        <f t="shared" si="50"/>
        <v>位居相国2</v>
      </c>
      <c r="O211" s="15">
        <f>INDEX(C:C,MATCH(J211,D:D,0))</f>
        <v>62</v>
      </c>
      <c r="P211" s="9">
        <f>INDEX(E:E,MATCH(J211,D:D,0))</f>
        <v>120</v>
      </c>
      <c r="Q211" s="7">
        <f t="shared" si="51"/>
        <v>62</v>
      </c>
      <c r="R211" s="7">
        <f>COUNTIF(J$8:$J211,"="&amp;J211)</f>
        <v>6</v>
      </c>
      <c r="S211" s="7">
        <f t="shared" si="52"/>
        <v>6062</v>
      </c>
    </row>
    <row r="212" spans="8:19">
      <c r="H212" s="7">
        <f>IF(I212="","",COUNTA(I$9:$I212))</f>
        <v>125</v>
      </c>
      <c r="I212" s="3" t="s">
        <v>310</v>
      </c>
      <c r="J212" s="6" t="s">
        <v>321</v>
      </c>
      <c r="K212" s="8" t="str">
        <f>IF(H212="","",阶段合并区域(J212:J215," ",L212:L215,1))</f>
        <v>孟尝君 信陵君 伯乐</v>
      </c>
      <c r="L212" s="8">
        <f>COUNTIF(M$8:$M212,"="&amp;M212)</f>
        <v>1</v>
      </c>
      <c r="M212" s="9" t="str">
        <f t="shared" si="49"/>
        <v>好客养士</v>
      </c>
      <c r="N212" s="9" t="str">
        <f t="shared" si="50"/>
        <v>好客养士1</v>
      </c>
      <c r="O212" s="15">
        <f>INDEX(C:C,MATCH(J212,D:D,0))</f>
        <v>30</v>
      </c>
      <c r="P212" s="9">
        <f>INDEX(E:E,MATCH(J212,D:D,0))</f>
        <v>120</v>
      </c>
      <c r="Q212" s="7">
        <f t="shared" si="51"/>
        <v>30</v>
      </c>
      <c r="R212" s="7">
        <f>COUNTIF(J$8:$J212,"="&amp;J212)</f>
        <v>3</v>
      </c>
      <c r="S212" s="7">
        <f t="shared" si="52"/>
        <v>3030</v>
      </c>
    </row>
    <row r="213" spans="8:19">
      <c r="H213" s="7" t="str">
        <f>IF(I213="","",COUNTA(I$9:$I213))</f>
        <v/>
      </c>
      <c r="I213" s="3"/>
      <c r="J213" s="6" t="s">
        <v>325</v>
      </c>
      <c r="K213" s="8" t="str">
        <f>IF(H213="","",阶段合并区域(J213:J216," ",L213:L216,1))</f>
        <v/>
      </c>
      <c r="L213" s="8">
        <f>COUNTIF(M$8:$M213,"="&amp;M213)</f>
        <v>2</v>
      </c>
      <c r="M213" s="9" t="str">
        <f t="shared" si="49"/>
        <v>好客养士</v>
      </c>
      <c r="N213" s="9" t="str">
        <f t="shared" si="50"/>
        <v>好客养士2</v>
      </c>
      <c r="O213" s="15">
        <f>INDEX(C:C,MATCH(J213,D:D,0))</f>
        <v>6</v>
      </c>
      <c r="P213" s="9">
        <f>INDEX(E:E,MATCH(J213,D:D,0))</f>
        <v>120</v>
      </c>
      <c r="Q213" s="7">
        <f t="shared" si="51"/>
        <v>6</v>
      </c>
      <c r="R213" s="7">
        <f>COUNTIF(J$8:$J213,"="&amp;J213)</f>
        <v>8</v>
      </c>
      <c r="S213" s="7">
        <f t="shared" si="52"/>
        <v>8006</v>
      </c>
    </row>
    <row r="214" spans="8:19">
      <c r="H214" s="7" t="str">
        <f>IF(I214="","",COUNTA(I$9:$I214))</f>
        <v/>
      </c>
      <c r="I214" s="3"/>
      <c r="J214" s="6" t="s">
        <v>266</v>
      </c>
      <c r="K214" s="8" t="str">
        <f>IF(H214="","",阶段合并区域(J214:J217," ",L214:L217,1))</f>
        <v/>
      </c>
      <c r="L214" s="8">
        <f>COUNTIF(M$8:$M214,"="&amp;M214)</f>
        <v>3</v>
      </c>
      <c r="M214" s="9" t="str">
        <f t="shared" si="49"/>
        <v>好客养士</v>
      </c>
      <c r="N214" s="9" t="str">
        <f t="shared" si="50"/>
        <v>好客养士3</v>
      </c>
      <c r="O214" s="15">
        <f>INDEX(C:C,MATCH(J214,D:D,0))</f>
        <v>28</v>
      </c>
      <c r="P214" s="9">
        <f>INDEX(E:E,MATCH(J214,D:D,0))</f>
        <v>120</v>
      </c>
      <c r="Q214" s="7">
        <f t="shared" si="51"/>
        <v>28</v>
      </c>
      <c r="R214" s="7">
        <f>COUNTIF(J$8:$J214,"="&amp;J214)</f>
        <v>5</v>
      </c>
      <c r="S214" s="7">
        <f t="shared" si="52"/>
        <v>5028</v>
      </c>
    </row>
    <row r="215" spans="8:19">
      <c r="H215" s="7">
        <f>IF(I215="","",COUNTA(I$9:$I215))</f>
        <v>126</v>
      </c>
      <c r="I215" s="3" t="s">
        <v>362</v>
      </c>
      <c r="J215" s="6" t="s">
        <v>326</v>
      </c>
      <c r="K215" s="8" t="str">
        <f>IF(H215="","",阶段合并区域(J215:J218," ",L215:L218,1))</f>
        <v>鲁班 扁鹊</v>
      </c>
      <c r="L215" s="8">
        <f>COUNTIF(M$8:$M215,"="&amp;M215)</f>
        <v>1</v>
      </c>
      <c r="M215" s="9" t="str">
        <f t="shared" si="49"/>
        <v>出类拔粹</v>
      </c>
      <c r="N215" s="9" t="str">
        <f t="shared" si="50"/>
        <v>出类拔粹1</v>
      </c>
      <c r="O215" s="15">
        <f>INDEX(C:C,MATCH(J215,D:D,0))</f>
        <v>61</v>
      </c>
      <c r="P215" s="9">
        <f>INDEX(E:E,MATCH(J215,D:D,0))</f>
        <v>120</v>
      </c>
      <c r="Q215" s="7">
        <f t="shared" si="51"/>
        <v>61</v>
      </c>
      <c r="R215" s="7">
        <f>COUNTIF(J$8:$J215,"="&amp;J215)</f>
        <v>1</v>
      </c>
      <c r="S215" s="7">
        <f t="shared" si="52"/>
        <v>1061</v>
      </c>
    </row>
    <row r="216" spans="8:19">
      <c r="H216" s="7" t="str">
        <f>IF(I216="","",COUNTA(I$9:$I216))</f>
        <v/>
      </c>
      <c r="I216" s="3"/>
      <c r="J216" s="6" t="s">
        <v>327</v>
      </c>
      <c r="K216" s="8" t="str">
        <f>IF(H216="","",阶段合并区域(J216:J219," ",L216:L219,1))</f>
        <v/>
      </c>
      <c r="L216" s="8">
        <f>COUNTIF(M$8:$M216,"="&amp;M216)</f>
        <v>2</v>
      </c>
      <c r="M216" s="9" t="str">
        <f t="shared" si="49"/>
        <v>出类拔粹</v>
      </c>
      <c r="N216" s="9" t="str">
        <f t="shared" si="50"/>
        <v>出类拔粹2</v>
      </c>
      <c r="O216" s="15">
        <f>INDEX(C:C,MATCH(J216,D:D,0))</f>
        <v>32</v>
      </c>
      <c r="P216" s="9">
        <f>INDEX(E:E,MATCH(J216,D:D,0))</f>
        <v>120</v>
      </c>
      <c r="Q216" s="7">
        <f t="shared" si="51"/>
        <v>32</v>
      </c>
      <c r="R216" s="7">
        <f>COUNTIF(J$8:$J216,"="&amp;J216)</f>
        <v>5</v>
      </c>
      <c r="S216" s="7">
        <f t="shared" si="52"/>
        <v>5032</v>
      </c>
    </row>
    <row r="217" spans="8:19">
      <c r="H217" s="7">
        <f>IF(I217="","",COUNTA(I$9:$I217))</f>
        <v>127</v>
      </c>
      <c r="I217" s="3" t="s">
        <v>311</v>
      </c>
      <c r="J217" s="6" t="s">
        <v>326</v>
      </c>
      <c r="K217" s="8" t="str">
        <f>IF(H217="","",阶段合并区域(J217:J220," ",L217:L220,1))</f>
        <v>鲁班 伯乐</v>
      </c>
      <c r="L217" s="8">
        <f>COUNTIF(M$8:$M217,"="&amp;M217)</f>
        <v>1</v>
      </c>
      <c r="M217" s="9" t="str">
        <f t="shared" si="49"/>
        <v>著作留世</v>
      </c>
      <c r="N217" s="9" t="str">
        <f t="shared" si="50"/>
        <v>著作留世1</v>
      </c>
      <c r="O217" s="15">
        <f>INDEX(C:C,MATCH(J217,D:D,0))</f>
        <v>61</v>
      </c>
      <c r="P217" s="9">
        <f>INDEX(E:E,MATCH(J217,D:D,0))</f>
        <v>120</v>
      </c>
      <c r="Q217" s="7">
        <f t="shared" si="51"/>
        <v>61</v>
      </c>
      <c r="R217" s="7">
        <f>COUNTIF(J$8:$J217,"="&amp;J217)</f>
        <v>2</v>
      </c>
      <c r="S217" s="7">
        <f t="shared" si="52"/>
        <v>2061</v>
      </c>
    </row>
    <row r="218" spans="8:19">
      <c r="H218" s="7" t="str">
        <f>IF(I218="","",COUNTA(I$9:$I218))</f>
        <v/>
      </c>
      <c r="I218" s="3"/>
      <c r="J218" s="6" t="s">
        <v>328</v>
      </c>
      <c r="K218" s="8" t="str">
        <f>IF(H218="","",阶段合并区域(J218:J221," ",L218:L221,1))</f>
        <v/>
      </c>
      <c r="L218" s="8">
        <f>COUNTIF(M$8:$M218,"="&amp;M218)</f>
        <v>2</v>
      </c>
      <c r="M218" s="9" t="str">
        <f t="shared" si="49"/>
        <v>著作留世</v>
      </c>
      <c r="N218" s="9" t="str">
        <f t="shared" si="50"/>
        <v>著作留世2</v>
      </c>
      <c r="O218" s="15">
        <f>INDEX(C:C,MATCH(J218,D:D,0))</f>
        <v>28</v>
      </c>
      <c r="P218" s="9">
        <f>INDEX(E:E,MATCH(J218,D:D,0))</f>
        <v>120</v>
      </c>
      <c r="Q218" s="7">
        <f t="shared" si="51"/>
        <v>28</v>
      </c>
      <c r="R218" s="7">
        <f>COUNTIF(J$8:$J218,"="&amp;J218)</f>
        <v>6</v>
      </c>
      <c r="S218" s="7">
        <f t="shared" si="52"/>
        <v>6028</v>
      </c>
    </row>
    <row r="219" spans="8:19">
      <c r="H219" s="7">
        <f>IF(I219="","",COUNTA(I$9:$I219))</f>
        <v>128</v>
      </c>
      <c r="I219" s="3" t="s">
        <v>312</v>
      </c>
      <c r="J219" s="6" t="s">
        <v>329</v>
      </c>
      <c r="K219" s="8" t="str">
        <f>IF(H219="","",阶段合并区域(J219:J222," ",L219:L222,1))</f>
        <v>鲁班 孙膑 田单</v>
      </c>
      <c r="L219" s="8">
        <f>COUNTIF(M$8:$M219,"="&amp;M219)</f>
        <v>1</v>
      </c>
      <c r="M219" s="9" t="str">
        <f t="shared" si="49"/>
        <v>七窍玲珑</v>
      </c>
      <c r="N219" s="9" t="str">
        <f t="shared" si="50"/>
        <v>七窍玲珑1</v>
      </c>
      <c r="O219" s="15">
        <f>INDEX(C:C,MATCH(J219,D:D,0))</f>
        <v>61</v>
      </c>
      <c r="P219" s="9">
        <f>INDEX(E:E,MATCH(J219,D:D,0))</f>
        <v>120</v>
      </c>
      <c r="Q219" s="7">
        <f t="shared" si="51"/>
        <v>61</v>
      </c>
      <c r="R219" s="7">
        <f>COUNTIF(J$8:$J219,"="&amp;J219)</f>
        <v>3</v>
      </c>
      <c r="S219" s="7">
        <f t="shared" si="52"/>
        <v>3061</v>
      </c>
    </row>
    <row r="220" spans="8:19">
      <c r="H220" s="7" t="str">
        <f>IF(I220="","",COUNTA(I$9:$I220))</f>
        <v/>
      </c>
      <c r="I220" s="3"/>
      <c r="J220" s="6" t="s">
        <v>330</v>
      </c>
      <c r="K220" s="8" t="str">
        <f>IF(H220="","",阶段合并区域(J220:J223," ",L220:L223,1))</f>
        <v/>
      </c>
      <c r="L220" s="8">
        <f>COUNTIF(M$8:$M220,"="&amp;M220)</f>
        <v>2</v>
      </c>
      <c r="M220" s="9" t="str">
        <f t="shared" si="49"/>
        <v>七窍玲珑</v>
      </c>
      <c r="N220" s="9" t="str">
        <f t="shared" si="50"/>
        <v>七窍玲珑2</v>
      </c>
      <c r="O220" s="15">
        <f>INDEX(C:C,MATCH(J220,D:D,0))</f>
        <v>36</v>
      </c>
      <c r="P220" s="9">
        <f>INDEX(E:E,MATCH(J220,D:D,0))</f>
        <v>120</v>
      </c>
      <c r="Q220" s="7">
        <f t="shared" si="51"/>
        <v>36</v>
      </c>
      <c r="R220" s="7">
        <f>COUNTIF(J$8:$J220,"="&amp;J220)</f>
        <v>9</v>
      </c>
      <c r="S220" s="7">
        <f t="shared" si="52"/>
        <v>9036</v>
      </c>
    </row>
    <row r="221" spans="8:19">
      <c r="H221" s="7" t="str">
        <f>IF(I221="","",COUNTA(I$9:$I221))</f>
        <v/>
      </c>
      <c r="I221" s="3"/>
      <c r="J221" s="6" t="s">
        <v>320</v>
      </c>
      <c r="K221" s="8" t="str">
        <f>IF(H221="","",阶段合并区域(J221:J224," ",L221:L224,1))</f>
        <v/>
      </c>
      <c r="L221" s="8">
        <f>COUNTIF(M$8:$M221,"="&amp;M221)</f>
        <v>3</v>
      </c>
      <c r="M221" s="9" t="str">
        <f t="shared" si="49"/>
        <v>七窍玲珑</v>
      </c>
      <c r="N221" s="9" t="str">
        <f t="shared" si="50"/>
        <v>七窍玲珑3</v>
      </c>
      <c r="O221" s="15">
        <f>INDEX(C:C,MATCH(J221,D:D,0))</f>
        <v>16</v>
      </c>
      <c r="P221" s="9">
        <f>INDEX(E:E,MATCH(J221,D:D,0))</f>
        <v>120</v>
      </c>
      <c r="Q221" s="7">
        <f t="shared" si="51"/>
        <v>16</v>
      </c>
      <c r="R221" s="7">
        <f>COUNTIF(J$8:$J221,"="&amp;J221)</f>
        <v>8</v>
      </c>
      <c r="S221" s="7">
        <f t="shared" si="52"/>
        <v>8016</v>
      </c>
    </row>
    <row r="222" spans="8:19">
      <c r="H222" s="7">
        <f>IF(I222="","",COUNTA(I$9:$I222))</f>
        <v>129</v>
      </c>
      <c r="I222" s="3" t="s">
        <v>313</v>
      </c>
      <c r="J222" s="6" t="s">
        <v>388</v>
      </c>
      <c r="K222" s="8" t="str">
        <f>IF(H222="","",阶段合并区域(J222:J225," ",L222:L225,1))</f>
        <v>吕雉 吕不韦 申不害</v>
      </c>
      <c r="L222" s="8">
        <f>COUNTIF(M$8:$M222,"="&amp;M222)</f>
        <v>1</v>
      </c>
      <c r="M222" s="9" t="str">
        <f t="shared" si="49"/>
        <v>位高权重</v>
      </c>
      <c r="N222" s="9" t="str">
        <f t="shared" si="50"/>
        <v>位高权重1</v>
      </c>
      <c r="O222" s="15">
        <f>INDEX(C:C,MATCH(J222,D:D,0))</f>
        <v>12</v>
      </c>
      <c r="P222" s="9">
        <f>INDEX(E:E,MATCH(J222,D:D,0))</f>
        <v>130</v>
      </c>
      <c r="Q222" s="7">
        <f t="shared" si="51"/>
        <v>12</v>
      </c>
      <c r="R222" s="7">
        <f>COUNTIF(J$8:$J222,"="&amp;J222)</f>
        <v>1</v>
      </c>
      <c r="S222" s="7">
        <f t="shared" si="52"/>
        <v>1012</v>
      </c>
    </row>
    <row r="223" spans="8:19">
      <c r="H223" s="7" t="str">
        <f>IF(I223="","",COUNTA(I$9:$I223))</f>
        <v/>
      </c>
      <c r="I223" s="3"/>
      <c r="J223" s="6" t="s">
        <v>317</v>
      </c>
      <c r="K223" s="8" t="str">
        <f>IF(H223="","",阶段合并区域(J223:J226," ",L223:L226,1))</f>
        <v/>
      </c>
      <c r="L223" s="8">
        <f>COUNTIF(M$8:$M223,"="&amp;M223)</f>
        <v>2</v>
      </c>
      <c r="M223" s="9" t="str">
        <f t="shared" si="49"/>
        <v>位高权重</v>
      </c>
      <c r="N223" s="9" t="str">
        <f t="shared" si="50"/>
        <v>位高权重2</v>
      </c>
      <c r="O223" s="15">
        <f>INDEX(C:C,MATCH(J223,D:D,0))</f>
        <v>18</v>
      </c>
      <c r="P223" s="9">
        <f>INDEX(E:E,MATCH(J223,D:D,0))</f>
        <v>120</v>
      </c>
      <c r="Q223" s="7">
        <f t="shared" si="51"/>
        <v>18</v>
      </c>
      <c r="R223" s="7">
        <f>COUNTIF(J$8:$J223,"="&amp;J223)</f>
        <v>10</v>
      </c>
      <c r="S223" s="7">
        <f t="shared" si="52"/>
        <v>10018</v>
      </c>
    </row>
    <row r="224" spans="8:19">
      <c r="H224" s="7" t="str">
        <f>IF(I224="","",COUNTA(I$9:$I224))</f>
        <v/>
      </c>
      <c r="I224" s="3"/>
      <c r="J224" s="6" t="s">
        <v>239</v>
      </c>
      <c r="K224" s="8" t="str">
        <f>IF(H224="","",阶段合并区域(J224:J227," ",L224:L227,1))</f>
        <v/>
      </c>
      <c r="L224" s="8">
        <f>COUNTIF(M$8:$M224,"="&amp;M224)</f>
        <v>3</v>
      </c>
      <c r="M224" s="9" t="str">
        <f t="shared" si="49"/>
        <v>位高权重</v>
      </c>
      <c r="N224" s="9" t="str">
        <f t="shared" si="50"/>
        <v>位高权重3</v>
      </c>
      <c r="O224" s="15">
        <f>INDEX(C:C,MATCH(J224,D:D,0))</f>
        <v>54</v>
      </c>
      <c r="P224" s="9">
        <f>INDEX(E:E,MATCH(J224,D:D,0))</f>
        <v>120</v>
      </c>
      <c r="Q224" s="7">
        <f t="shared" si="51"/>
        <v>54</v>
      </c>
      <c r="R224" s="7">
        <f>COUNTIF(J$8:$J224,"="&amp;J224)</f>
        <v>6</v>
      </c>
      <c r="S224" s="7">
        <f t="shared" si="52"/>
        <v>6054</v>
      </c>
    </row>
    <row r="225" spans="8:19">
      <c r="H225" s="7">
        <f>IF(I225="","",COUNTA(I$9:$I225))</f>
        <v>130</v>
      </c>
      <c r="I225" s="3" t="s">
        <v>314</v>
      </c>
      <c r="J225" s="6" t="s">
        <v>388</v>
      </c>
      <c r="K225" s="8" t="str">
        <f>IF(H225="","",阶段合并区域(J225:J228," ",L225:L228,1))</f>
        <v>吕雉 樗里疾 秦武王</v>
      </c>
      <c r="L225" s="8">
        <f>COUNTIF(M$8:$M225,"="&amp;M225)</f>
        <v>1</v>
      </c>
      <c r="M225" s="9" t="str">
        <f t="shared" si="49"/>
        <v>大秦宗亲</v>
      </c>
      <c r="N225" s="9" t="str">
        <f t="shared" si="50"/>
        <v>大秦宗亲1</v>
      </c>
      <c r="O225" s="15">
        <f>INDEX(C:C,MATCH(J225,D:D,0))</f>
        <v>12</v>
      </c>
      <c r="P225" s="9">
        <f>INDEX(E:E,MATCH(J225,D:D,0))</f>
        <v>130</v>
      </c>
      <c r="Q225" s="7">
        <f t="shared" si="51"/>
        <v>12</v>
      </c>
      <c r="R225" s="7">
        <f>COUNTIF(J$8:$J225,"="&amp;J225)</f>
        <v>2</v>
      </c>
      <c r="S225" s="7">
        <f t="shared" si="52"/>
        <v>2012</v>
      </c>
    </row>
    <row r="226" spans="8:19">
      <c r="H226" s="7" t="str">
        <f>IF(I226="","",COUNTA(I$9:$I226))</f>
        <v/>
      </c>
      <c r="I226" s="3"/>
      <c r="J226" s="6" t="s">
        <v>331</v>
      </c>
      <c r="K226" s="8" t="str">
        <f>IF(H226="","",阶段合并区域(J226:J229," ",L226:L229,1))</f>
        <v/>
      </c>
      <c r="L226" s="8">
        <f>COUNTIF(M$8:$M226,"="&amp;M226)</f>
        <v>2</v>
      </c>
      <c r="M226" s="9" t="str">
        <f t="shared" si="49"/>
        <v>大秦宗亲</v>
      </c>
      <c r="N226" s="9" t="str">
        <f t="shared" si="50"/>
        <v>大秦宗亲2</v>
      </c>
      <c r="O226" s="15">
        <f>INDEX(C:C,MATCH(J226,D:D,0))</f>
        <v>27</v>
      </c>
      <c r="P226" s="9">
        <f>INDEX(E:E,MATCH(J226,D:D,0))</f>
        <v>120</v>
      </c>
      <c r="Q226" s="7">
        <f t="shared" si="51"/>
        <v>27</v>
      </c>
      <c r="R226" s="7">
        <f>COUNTIF(J$8:$J226,"="&amp;J226)</f>
        <v>7</v>
      </c>
      <c r="S226" s="7">
        <f t="shared" si="52"/>
        <v>7027</v>
      </c>
    </row>
    <row r="227" spans="8:19">
      <c r="H227" s="7" t="str">
        <f>IF(I227="","",COUNTA(I$9:$I227))</f>
        <v/>
      </c>
      <c r="I227" s="3"/>
      <c r="J227" s="6" t="s">
        <v>332</v>
      </c>
      <c r="K227" s="8" t="str">
        <f>IF(H227="","",阶段合并区域(J227:J230," ",L227:L230,1))</f>
        <v/>
      </c>
      <c r="L227" s="8">
        <f>COUNTIF(M$8:$M227,"="&amp;M227)</f>
        <v>3</v>
      </c>
      <c r="M227" s="9" t="str">
        <f t="shared" si="49"/>
        <v>大秦宗亲</v>
      </c>
      <c r="N227" s="9" t="str">
        <f t="shared" si="50"/>
        <v>大秦宗亲3</v>
      </c>
      <c r="O227" s="15">
        <f>INDEX(C:C,MATCH(J227,D:D,0))</f>
        <v>20</v>
      </c>
      <c r="P227" s="9">
        <f>INDEX(E:E,MATCH(J227,D:D,0))</f>
        <v>120</v>
      </c>
      <c r="Q227" s="7">
        <f t="shared" si="51"/>
        <v>20</v>
      </c>
      <c r="R227" s="7">
        <f>COUNTIF(J$8:$J227,"="&amp;J227)</f>
        <v>7</v>
      </c>
      <c r="S227" s="7">
        <f t="shared" si="52"/>
        <v>7020</v>
      </c>
    </row>
    <row r="228" spans="8:19">
      <c r="H228" s="7">
        <f>IF(I228="","",COUNTA(I$9:$I228))</f>
        <v>131</v>
      </c>
      <c r="I228" s="3" t="s">
        <v>315</v>
      </c>
      <c r="J228" s="6" t="s">
        <v>388</v>
      </c>
      <c r="K228" s="8" t="str">
        <f>IF(H228="","",阶段合并区域(J228:J231," ",L228:L231,1))</f>
        <v>吕雉 西施 骊姬</v>
      </c>
      <c r="L228" s="8">
        <f>COUNTIF(M$8:$M228,"="&amp;M228)</f>
        <v>1</v>
      </c>
      <c r="M228" s="9" t="str">
        <f t="shared" si="49"/>
        <v>国色天资</v>
      </c>
      <c r="N228" s="9" t="str">
        <f t="shared" si="50"/>
        <v>国色天资1</v>
      </c>
      <c r="O228" s="15">
        <f>INDEX(C:C,MATCH(J228,D:D,0))</f>
        <v>12</v>
      </c>
      <c r="P228" s="9">
        <f>INDEX(E:E,MATCH(J228,D:D,0))</f>
        <v>130</v>
      </c>
      <c r="Q228" s="7">
        <f t="shared" si="51"/>
        <v>12</v>
      </c>
      <c r="R228" s="7">
        <f>COUNTIF(J$8:$J228,"="&amp;J228)</f>
        <v>3</v>
      </c>
      <c r="S228" s="7">
        <f t="shared" si="52"/>
        <v>3012</v>
      </c>
    </row>
    <row r="229" spans="8:19">
      <c r="H229" s="7" t="str">
        <f>IF(I229="","",COUNTA(I$9:$I229))</f>
        <v/>
      </c>
      <c r="I229" s="3"/>
      <c r="J229" s="6" t="s">
        <v>333</v>
      </c>
      <c r="K229" s="8" t="str">
        <f>IF(H229="","",阶段合并区域(J229:J232," ",L229:L232,1))</f>
        <v/>
      </c>
      <c r="L229" s="8">
        <f>COUNTIF(M$8:$M229,"="&amp;M229)</f>
        <v>2</v>
      </c>
      <c r="M229" s="9" t="str">
        <f t="shared" si="49"/>
        <v>国色天资</v>
      </c>
      <c r="N229" s="9" t="str">
        <f t="shared" si="50"/>
        <v>国色天资2</v>
      </c>
      <c r="O229" s="15">
        <f>INDEX(C:C,MATCH(J229,D:D,0))</f>
        <v>7</v>
      </c>
      <c r="P229" s="9">
        <f>INDEX(E:E,MATCH(J229,D:D,0))</f>
        <v>120</v>
      </c>
      <c r="Q229" s="7">
        <f t="shared" si="51"/>
        <v>7</v>
      </c>
      <c r="R229" s="7">
        <f>COUNTIF(J$8:$J229,"="&amp;J229)</f>
        <v>6</v>
      </c>
      <c r="S229" s="7">
        <f t="shared" si="52"/>
        <v>6007</v>
      </c>
    </row>
    <row r="230" spans="8:19">
      <c r="H230" s="7" t="str">
        <f>IF(I230="","",COUNTA(I$9:$I230))</f>
        <v/>
      </c>
      <c r="I230" s="3"/>
      <c r="J230" s="6" t="s">
        <v>334</v>
      </c>
      <c r="K230" s="8" t="str">
        <f>IF(H230="","",阶段合并区域(J230:J233," ",L230:L233,1))</f>
        <v/>
      </c>
      <c r="L230" s="8">
        <f>COUNTIF(M$8:$M230,"="&amp;M230)</f>
        <v>3</v>
      </c>
      <c r="M230" s="9" t="str">
        <f t="shared" si="49"/>
        <v>国色天资</v>
      </c>
      <c r="N230" s="9" t="str">
        <f t="shared" si="50"/>
        <v>国色天资3</v>
      </c>
      <c r="O230" s="15">
        <f>INDEX(C:C,MATCH(J230,D:D,0))</f>
        <v>1</v>
      </c>
      <c r="P230" s="9">
        <f>INDEX(E:E,MATCH(J230,D:D,0))</f>
        <v>120</v>
      </c>
      <c r="Q230" s="7">
        <f t="shared" si="51"/>
        <v>1</v>
      </c>
      <c r="R230" s="7">
        <f>COUNTIF(J$8:$J230,"="&amp;J230)</f>
        <v>4</v>
      </c>
      <c r="S230" s="7">
        <f t="shared" si="52"/>
        <v>4001</v>
      </c>
    </row>
    <row r="231" spans="8:19">
      <c r="H231" s="7">
        <f>IF(I231="","",COUNTA(I$9:$I231))</f>
        <v>132</v>
      </c>
      <c r="I231" s="3" t="s">
        <v>336</v>
      </c>
      <c r="J231" s="6" t="s">
        <v>335</v>
      </c>
      <c r="K231" s="8" t="str">
        <f>IF(H231="","",阶段合并区域(J231:J234," ",L231:L234,1))</f>
        <v>蒙恬 伍子胥 韩非子 司马穰苴</v>
      </c>
      <c r="L231" s="8">
        <f>COUNTIF(M$8:$M231,"="&amp;M231)</f>
        <v>1</v>
      </c>
      <c r="M231" s="9" t="str">
        <f t="shared" ref="M231:M242" si="53">IF(H231="",M230,I231)</f>
        <v>衔冤而死</v>
      </c>
      <c r="N231" s="9" t="str">
        <f t="shared" ref="N231:N242" si="54">M231&amp;L231</f>
        <v>衔冤而死1</v>
      </c>
      <c r="O231" s="15">
        <f>INDEX(C:C,MATCH(J231,D:D,0))</f>
        <v>74</v>
      </c>
      <c r="P231" s="9">
        <f>INDEX(E:E,MATCH(J231,D:D,0))</f>
        <v>130</v>
      </c>
      <c r="Q231" s="7">
        <f t="shared" si="51"/>
        <v>74</v>
      </c>
      <c r="R231" s="7">
        <f>COUNTIF(J$8:$J231,"="&amp;J231)</f>
        <v>1</v>
      </c>
      <c r="S231" s="7">
        <f t="shared" ref="S231:S242" si="55">R231*1000+Q231</f>
        <v>1074</v>
      </c>
    </row>
    <row r="232" spans="8:19">
      <c r="H232" s="7" t="str">
        <f>IF(I232="","",COUNTA(I$9:$I232))</f>
        <v/>
      </c>
      <c r="I232" s="3"/>
      <c r="J232" s="6" t="s">
        <v>219</v>
      </c>
      <c r="K232" s="8" t="str">
        <f>IF(H232="","",阶段合并区域(J232:J235," ",L232:L235,1))</f>
        <v/>
      </c>
      <c r="L232" s="8">
        <f>COUNTIF(M$8:$M232,"="&amp;M232)</f>
        <v>2</v>
      </c>
      <c r="M232" s="9" t="str">
        <f t="shared" si="53"/>
        <v>衔冤而死</v>
      </c>
      <c r="N232" s="9" t="str">
        <f t="shared" si="54"/>
        <v>衔冤而死2</v>
      </c>
      <c r="O232" s="15">
        <f>INDEX(C:C,MATCH(J232,D:D,0))</f>
        <v>62</v>
      </c>
      <c r="P232" s="9">
        <f>INDEX(E:E,MATCH(J232,D:D,0))</f>
        <v>120</v>
      </c>
      <c r="Q232" s="7">
        <f t="shared" si="51"/>
        <v>62</v>
      </c>
      <c r="R232" s="7">
        <f>COUNTIF(J$8:$J232,"="&amp;J232)</f>
        <v>7</v>
      </c>
      <c r="S232" s="7">
        <f t="shared" si="55"/>
        <v>7062</v>
      </c>
    </row>
    <row r="233" spans="8:19">
      <c r="H233" s="7" t="str">
        <f>IF(I233="","",COUNTA(I$9:$I233))</f>
        <v/>
      </c>
      <c r="I233" s="3"/>
      <c r="J233" s="6" t="s">
        <v>240</v>
      </c>
      <c r="K233" s="8" t="str">
        <f>IF(H233="","",阶段合并区域(J233:J236," ",L233:L236,1))</f>
        <v/>
      </c>
      <c r="L233" s="8">
        <f>COUNTIF(M$8:$M233,"="&amp;M233)</f>
        <v>3</v>
      </c>
      <c r="M233" s="9" t="str">
        <f t="shared" si="53"/>
        <v>衔冤而死</v>
      </c>
      <c r="N233" s="9" t="str">
        <f t="shared" si="54"/>
        <v>衔冤而死3</v>
      </c>
      <c r="O233" s="15">
        <f>INDEX(C:C,MATCH(J233,D:D,0))</f>
        <v>52</v>
      </c>
      <c r="P233" s="9">
        <f>INDEX(E:E,MATCH(J233,D:D,0))</f>
        <v>120</v>
      </c>
      <c r="Q233" s="7">
        <f t="shared" si="51"/>
        <v>52</v>
      </c>
      <c r="R233" s="7">
        <f>COUNTIF(J$8:$J233,"="&amp;J233)</f>
        <v>10</v>
      </c>
      <c r="S233" s="7">
        <f t="shared" si="55"/>
        <v>10052</v>
      </c>
    </row>
    <row r="234" spans="8:19">
      <c r="H234" s="7" t="str">
        <f>IF(I234="","",COUNTA(I$9:$I234))</f>
        <v/>
      </c>
      <c r="I234" s="3"/>
      <c r="J234" s="6" t="s">
        <v>233</v>
      </c>
      <c r="K234" s="8" t="str">
        <f>IF(H234="","",阶段合并区域(J234:J237," ",L234:L237,1))</f>
        <v/>
      </c>
      <c r="L234" s="8">
        <f>COUNTIF(M$8:$M234,"="&amp;M234)</f>
        <v>4</v>
      </c>
      <c r="M234" s="9" t="str">
        <f t="shared" si="53"/>
        <v>衔冤而死</v>
      </c>
      <c r="N234" s="9" t="str">
        <f t="shared" si="54"/>
        <v>衔冤而死4</v>
      </c>
      <c r="O234" s="15">
        <f>INDEX(C:C,MATCH(J234,D:D,0))</f>
        <v>34</v>
      </c>
      <c r="P234" s="9">
        <f>INDEX(E:E,MATCH(J234,D:D,0))</f>
        <v>120</v>
      </c>
      <c r="Q234" s="7">
        <f t="shared" si="51"/>
        <v>34</v>
      </c>
      <c r="R234" s="7">
        <f>COUNTIF(J$8:$J234,"="&amp;J234)</f>
        <v>7</v>
      </c>
      <c r="S234" s="7">
        <f t="shared" si="55"/>
        <v>7034</v>
      </c>
    </row>
    <row r="235" spans="8:19">
      <c r="H235" s="7">
        <f>IF(I235="","",COUNTA(I$9:$I235))</f>
        <v>133</v>
      </c>
      <c r="I235" s="3" t="s">
        <v>337</v>
      </c>
      <c r="J235" s="6" t="s">
        <v>335</v>
      </c>
      <c r="K235" s="8" t="str">
        <f>IF(H235="","",阶段合并区域(J235:J238," ",L235:L238,1))</f>
        <v>蒙恬 屈原 信陵君 司马错</v>
      </c>
      <c r="L235" s="8">
        <f>COUNTIF(M$8:$M235,"="&amp;M235)</f>
        <v>1</v>
      </c>
      <c r="M235" s="9" t="str">
        <f t="shared" si="53"/>
        <v>一心为国</v>
      </c>
      <c r="N235" s="9" t="str">
        <f t="shared" si="54"/>
        <v>一心为国1</v>
      </c>
      <c r="O235" s="15">
        <f>INDEX(C:C,MATCH(J235,D:D,0))</f>
        <v>74</v>
      </c>
      <c r="P235" s="9">
        <f>INDEX(E:E,MATCH(J235,D:D,0))</f>
        <v>130</v>
      </c>
      <c r="Q235" s="7">
        <f t="shared" si="51"/>
        <v>74</v>
      </c>
      <c r="R235" s="7">
        <f>COUNTIF(J$8:$J235,"="&amp;J235)</f>
        <v>2</v>
      </c>
      <c r="S235" s="7">
        <f t="shared" si="55"/>
        <v>2074</v>
      </c>
    </row>
    <row r="236" spans="8:19">
      <c r="H236" s="7" t="str">
        <f>IF(I236="","",COUNTA(I$9:$I236))</f>
        <v/>
      </c>
      <c r="I236" s="3"/>
      <c r="J236" s="6" t="s">
        <v>213</v>
      </c>
      <c r="K236" s="8" t="str">
        <f>IF(H236="","",阶段合并区域(J236:J239," ",L236:L239,1))</f>
        <v/>
      </c>
      <c r="L236" s="8">
        <f>COUNTIF(M$8:$M236,"="&amp;M236)</f>
        <v>2</v>
      </c>
      <c r="M236" s="9" t="str">
        <f t="shared" si="53"/>
        <v>一心为国</v>
      </c>
      <c r="N236" s="9" t="str">
        <f t="shared" si="54"/>
        <v>一心为国2</v>
      </c>
      <c r="O236" s="15">
        <f>INDEX(C:C,MATCH(J236,D:D,0))</f>
        <v>40</v>
      </c>
      <c r="P236" s="9">
        <f>INDEX(E:E,MATCH(J236,D:D,0))</f>
        <v>120</v>
      </c>
      <c r="Q236" s="7">
        <f t="shared" si="51"/>
        <v>40</v>
      </c>
      <c r="R236" s="7">
        <f>COUNTIF(J$8:$J236,"="&amp;J236)</f>
        <v>10</v>
      </c>
      <c r="S236" s="7">
        <f t="shared" si="55"/>
        <v>10040</v>
      </c>
    </row>
    <row r="237" spans="8:19">
      <c r="H237" s="7" t="str">
        <f>IF(I237="","",COUNTA(I$9:$I237))</f>
        <v/>
      </c>
      <c r="I237" s="3"/>
      <c r="J237" s="6" t="s">
        <v>242</v>
      </c>
      <c r="K237" s="8" t="str">
        <f>IF(H237="","",阶段合并区域(J237:J240," ",L237:L240,1))</f>
        <v/>
      </c>
      <c r="L237" s="8">
        <f>COUNTIF(M$8:$M237,"="&amp;M237)</f>
        <v>3</v>
      </c>
      <c r="M237" s="9" t="str">
        <f t="shared" si="53"/>
        <v>一心为国</v>
      </c>
      <c r="N237" s="9" t="str">
        <f t="shared" si="54"/>
        <v>一心为国3</v>
      </c>
      <c r="O237" s="15">
        <f>INDEX(C:C,MATCH(J237,D:D,0))</f>
        <v>6</v>
      </c>
      <c r="P237" s="9">
        <f>INDEX(E:E,MATCH(J237,D:D,0))</f>
        <v>120</v>
      </c>
      <c r="Q237" s="7">
        <f t="shared" si="51"/>
        <v>6</v>
      </c>
      <c r="R237" s="7">
        <f>COUNTIF(J$8:$J237,"="&amp;J237)</f>
        <v>9</v>
      </c>
      <c r="S237" s="7">
        <f t="shared" si="55"/>
        <v>9006</v>
      </c>
    </row>
    <row r="238" spans="8:19">
      <c r="H238" s="7" t="str">
        <f>IF(I238="","",COUNTA(I$9:$I238))</f>
        <v/>
      </c>
      <c r="I238" s="3"/>
      <c r="J238" s="6" t="s">
        <v>260</v>
      </c>
      <c r="K238" s="8" t="str">
        <f>IF(H238="","",阶段合并区域(J238:J241," ",L238:L241,1))</f>
        <v/>
      </c>
      <c r="L238" s="8">
        <f>COUNTIF(M$8:$M238,"="&amp;M238)</f>
        <v>4</v>
      </c>
      <c r="M238" s="9" t="str">
        <f t="shared" si="53"/>
        <v>一心为国</v>
      </c>
      <c r="N238" s="9" t="str">
        <f t="shared" si="54"/>
        <v>一心为国4</v>
      </c>
      <c r="O238" s="15">
        <f>INDEX(C:C,MATCH(J238,D:D,0))</f>
        <v>17</v>
      </c>
      <c r="P238" s="9">
        <f>INDEX(E:E,MATCH(J238,D:D,0))</f>
        <v>120</v>
      </c>
      <c r="Q238" s="7">
        <f t="shared" si="51"/>
        <v>17</v>
      </c>
      <c r="R238" s="7">
        <f>COUNTIF(J$8:$J238,"="&amp;J238)</f>
        <v>6</v>
      </c>
      <c r="S238" s="7">
        <f t="shared" si="55"/>
        <v>6017</v>
      </c>
    </row>
    <row r="239" spans="8:19">
      <c r="H239" s="7">
        <f>IF(I239="","",COUNTA(I$9:$I239))</f>
        <v>134</v>
      </c>
      <c r="I239" s="3" t="s">
        <v>338</v>
      </c>
      <c r="J239" s="6" t="s">
        <v>335</v>
      </c>
      <c r="K239" s="8" t="str">
        <f>IF(H239="","",阶段合并区域(J239:J242," ",L239:L242,1))</f>
        <v>蒙恬 项燕 孙膑 乐毅</v>
      </c>
      <c r="L239" s="8">
        <f>COUNTIF(M$8:$M239,"="&amp;M239)</f>
        <v>1</v>
      </c>
      <c r="M239" s="9" t="str">
        <f t="shared" si="53"/>
        <v>国之重将</v>
      </c>
      <c r="N239" s="9" t="str">
        <f t="shared" si="54"/>
        <v>国之重将1</v>
      </c>
      <c r="O239" s="15">
        <f>INDEX(C:C,MATCH(J239,D:D,0))</f>
        <v>74</v>
      </c>
      <c r="P239" s="9">
        <f>INDEX(E:E,MATCH(J239,D:D,0))</f>
        <v>130</v>
      </c>
      <c r="Q239" s="7">
        <f t="shared" si="51"/>
        <v>74</v>
      </c>
      <c r="R239" s="7">
        <f>COUNTIF(J$8:$J239,"="&amp;J239)</f>
        <v>3</v>
      </c>
      <c r="S239" s="7">
        <f t="shared" si="55"/>
        <v>3074</v>
      </c>
    </row>
    <row r="240" spans="8:19">
      <c r="H240" s="7" t="str">
        <f>IF(I240="","",COUNTA(I$9:$I240))</f>
        <v/>
      </c>
      <c r="I240" s="3"/>
      <c r="J240" s="6" t="s">
        <v>251</v>
      </c>
      <c r="K240" s="8" t="str">
        <f>IF(H240="","",阶段合并区域(J240:J243," ",L240:L243,1))</f>
        <v/>
      </c>
      <c r="L240" s="8">
        <f>COUNTIF(M$8:$M240,"="&amp;M240)</f>
        <v>2</v>
      </c>
      <c r="M240" s="9" t="str">
        <f t="shared" si="53"/>
        <v>国之重将</v>
      </c>
      <c r="N240" s="9" t="str">
        <f t="shared" si="54"/>
        <v>国之重将2</v>
      </c>
      <c r="O240" s="15">
        <f>INDEX(C:C,MATCH(J240,D:D,0))</f>
        <v>41</v>
      </c>
      <c r="P240" s="9">
        <f>INDEX(E:E,MATCH(J240,D:D,0))</f>
        <v>120</v>
      </c>
      <c r="Q240" s="7">
        <f t="shared" si="51"/>
        <v>41</v>
      </c>
      <c r="R240" s="7">
        <f>COUNTIF(J$8:$J240,"="&amp;J240)</f>
        <v>8</v>
      </c>
      <c r="S240" s="7">
        <f t="shared" si="55"/>
        <v>8041</v>
      </c>
    </row>
    <row r="241" spans="8:23">
      <c r="H241" s="7" t="str">
        <f>IF(I241="","",COUNTA(I$9:$I241))</f>
        <v/>
      </c>
      <c r="I241" s="3"/>
      <c r="J241" s="6" t="s">
        <v>218</v>
      </c>
      <c r="K241" s="8" t="str">
        <f>IF(H241="","",阶段合并区域(J241:J244," ",L241:L244,1))</f>
        <v/>
      </c>
      <c r="L241" s="8">
        <f>COUNTIF(M$8:$M241,"="&amp;M241)</f>
        <v>3</v>
      </c>
      <c r="M241" s="9" t="str">
        <f t="shared" si="53"/>
        <v>国之重将</v>
      </c>
      <c r="N241" s="9" t="str">
        <f t="shared" si="54"/>
        <v>国之重将3</v>
      </c>
      <c r="O241" s="15">
        <f>INDEX(C:C,MATCH(J241,D:D,0))</f>
        <v>36</v>
      </c>
      <c r="P241" s="9">
        <f>INDEX(E:E,MATCH(J241,D:D,0))</f>
        <v>120</v>
      </c>
      <c r="Q241" s="7">
        <f t="shared" si="51"/>
        <v>36</v>
      </c>
      <c r="R241" s="7">
        <f>COUNTIF(J$8:$J241,"="&amp;J241)</f>
        <v>10</v>
      </c>
      <c r="S241" s="7">
        <f t="shared" si="55"/>
        <v>10036</v>
      </c>
    </row>
    <row r="242" spans="8:23">
      <c r="H242" s="7" t="str">
        <f>IF(I242="","",COUNTA(I$9:$I242))</f>
        <v/>
      </c>
      <c r="I242" s="3"/>
      <c r="J242" s="6" t="s">
        <v>243</v>
      </c>
      <c r="K242" s="8" t="str">
        <f>IF(H242="","",阶段合并区域(J242:J245," ",L242:L245,1))</f>
        <v/>
      </c>
      <c r="L242" s="8">
        <f>COUNTIF(M$8:$M242,"="&amp;M242)</f>
        <v>4</v>
      </c>
      <c r="M242" s="9" t="str">
        <f t="shared" si="53"/>
        <v>国之重将</v>
      </c>
      <c r="N242" s="9" t="str">
        <f t="shared" si="54"/>
        <v>国之重将4</v>
      </c>
      <c r="O242" s="15">
        <f>INDEX(C:C,MATCH(J242,D:D,0))</f>
        <v>55</v>
      </c>
      <c r="P242" s="9">
        <f>INDEX(E:E,MATCH(J242,D:D,0))</f>
        <v>120</v>
      </c>
      <c r="Q242" s="7">
        <f t="shared" si="51"/>
        <v>55</v>
      </c>
      <c r="R242" s="7">
        <f>COUNTIF(J$8:$J242,"="&amp;J242)</f>
        <v>7</v>
      </c>
      <c r="S242" s="7">
        <f t="shared" si="55"/>
        <v>7055</v>
      </c>
    </row>
    <row r="243" spans="8:23">
      <c r="H243" s="7">
        <f>IF(I243="","",COUNTA(I$9:$I243))</f>
        <v>135</v>
      </c>
      <c r="I243" s="3" t="s">
        <v>340</v>
      </c>
      <c r="J243" s="6" t="s">
        <v>341</v>
      </c>
      <c r="K243" s="8" t="str">
        <f>IF(H243="","",阶段合并区域(J243:J246," ",L243:L246,1))</f>
        <v>弄玉 西施 扁鹊</v>
      </c>
      <c r="L243" s="8">
        <f>COUNTIF(M$8:$M243,"="&amp;M243)</f>
        <v>1</v>
      </c>
      <c r="M243" s="9" t="str">
        <f t="shared" ref="M243:M249" si="56">IF(H243="",M242,I243)</f>
        <v>缓急相济</v>
      </c>
      <c r="N243" s="9" t="str">
        <f t="shared" ref="N243:N249" si="57">M243&amp;L243</f>
        <v>缓急相济1</v>
      </c>
      <c r="O243" s="15">
        <f>INDEX(C:C,MATCH(J243,D:D,0))</f>
        <v>75</v>
      </c>
      <c r="P243" s="9">
        <f>INDEX(E:E,MATCH(J243,D:D,0))</f>
        <v>130</v>
      </c>
      <c r="Q243" s="7">
        <f t="shared" si="51"/>
        <v>75</v>
      </c>
      <c r="R243" s="7">
        <f>COUNTIF(J$8:$J243,"="&amp;J243)</f>
        <v>1</v>
      </c>
      <c r="S243" s="7">
        <f t="shared" ref="S243:S246" si="58">R243*1000+Q243</f>
        <v>1075</v>
      </c>
    </row>
    <row r="244" spans="8:23">
      <c r="H244" s="7" t="str">
        <f>IF(I244="","",COUNTA(I$9:$I244))</f>
        <v/>
      </c>
      <c r="I244" s="3"/>
      <c r="J244" s="6" t="s">
        <v>249</v>
      </c>
      <c r="K244" s="8" t="str">
        <f>IF(H244="","",阶段合并区域(J244:J247," ",L244:L247,1))</f>
        <v/>
      </c>
      <c r="L244" s="8">
        <f>COUNTIF(M$8:$M244,"="&amp;M244)</f>
        <v>2</v>
      </c>
      <c r="M244" s="9" t="str">
        <f t="shared" si="56"/>
        <v>缓急相济</v>
      </c>
      <c r="N244" s="9" t="str">
        <f t="shared" si="57"/>
        <v>缓急相济2</v>
      </c>
      <c r="O244" s="15">
        <f>INDEX(C:C,MATCH(J244,D:D,0))</f>
        <v>7</v>
      </c>
      <c r="P244" s="9">
        <f>INDEX(E:E,MATCH(J244,D:D,0))</f>
        <v>120</v>
      </c>
      <c r="Q244" s="7">
        <f t="shared" si="51"/>
        <v>7</v>
      </c>
      <c r="R244" s="7">
        <f>COUNTIF(J$8:$J244,"="&amp;J244)</f>
        <v>7</v>
      </c>
      <c r="S244" s="7">
        <f t="shared" si="58"/>
        <v>7007</v>
      </c>
    </row>
    <row r="245" spans="8:23">
      <c r="H245" s="7" t="str">
        <f>IF(I245="","",COUNTA(I$9:$I245))</f>
        <v/>
      </c>
      <c r="I245" s="3"/>
      <c r="J245" s="6" t="s">
        <v>220</v>
      </c>
      <c r="K245" s="8" t="str">
        <f>IF(H245="","",阶段合并区域(J245:J248," ",L245:L248,1))</f>
        <v/>
      </c>
      <c r="L245" s="8">
        <f>COUNTIF(M$8:$M245,"="&amp;M245)</f>
        <v>3</v>
      </c>
      <c r="M245" s="9" t="str">
        <f t="shared" si="56"/>
        <v>缓急相济</v>
      </c>
      <c r="N245" s="9" t="str">
        <f t="shared" si="57"/>
        <v>缓急相济3</v>
      </c>
      <c r="O245" s="15">
        <f>INDEX(C:C,MATCH(J245,D:D,0))</f>
        <v>32</v>
      </c>
      <c r="P245" s="9">
        <f>INDEX(E:E,MATCH(J245,D:D,0))</f>
        <v>120</v>
      </c>
      <c r="Q245" s="7">
        <f t="shared" si="51"/>
        <v>32</v>
      </c>
      <c r="R245" s="7">
        <f>COUNTIF(J$8:$J245,"="&amp;J245)</f>
        <v>6</v>
      </c>
      <c r="S245" s="7">
        <f t="shared" si="58"/>
        <v>6032</v>
      </c>
    </row>
    <row r="246" spans="8:23">
      <c r="H246" s="7">
        <f>IF(I246="","",COUNTA(I$9:$I246))</f>
        <v>136</v>
      </c>
      <c r="I246" s="3" t="s">
        <v>342</v>
      </c>
      <c r="J246" s="6" t="s">
        <v>341</v>
      </c>
      <c r="K246" s="8" t="str">
        <f>IF(H246="","",阶段合并区域(J246:J249," ",L246:L249,1))</f>
        <v>弄玉 秦武王</v>
      </c>
      <c r="L246" s="8">
        <f>COUNTIF(M$8:$M246,"="&amp;M246)</f>
        <v>1</v>
      </c>
      <c r="M246" s="9" t="str">
        <f t="shared" si="56"/>
        <v>一脉相传</v>
      </c>
      <c r="N246" s="9" t="str">
        <f t="shared" si="57"/>
        <v>一脉相传1</v>
      </c>
      <c r="O246" s="15">
        <f>INDEX(C:C,MATCH(J246,D:D,0))</f>
        <v>75</v>
      </c>
      <c r="P246" s="9">
        <f>INDEX(E:E,MATCH(J246,D:D,0))</f>
        <v>130</v>
      </c>
      <c r="Q246" s="7">
        <f t="shared" si="51"/>
        <v>75</v>
      </c>
      <c r="R246" s="7">
        <f>COUNTIF(J$8:$J246,"="&amp;J246)</f>
        <v>2</v>
      </c>
      <c r="S246" s="7">
        <f t="shared" si="58"/>
        <v>2075</v>
      </c>
    </row>
    <row r="247" spans="8:23">
      <c r="H247" s="7" t="str">
        <f>IF(I247="","",COUNTA(I$9:$I247))</f>
        <v/>
      </c>
      <c r="I247" s="3"/>
      <c r="J247" s="6" t="s">
        <v>254</v>
      </c>
      <c r="K247" s="8" t="str">
        <f>IF(H247="","",阶段合并区域(J247:J250," ",L247:L250,1))</f>
        <v/>
      </c>
      <c r="L247" s="8">
        <f>COUNTIF(M$8:$M247,"="&amp;M247)</f>
        <v>2</v>
      </c>
      <c r="M247" s="9" t="str">
        <f t="shared" si="56"/>
        <v>一脉相传</v>
      </c>
      <c r="N247" s="9" t="str">
        <f t="shared" si="57"/>
        <v>一脉相传2</v>
      </c>
      <c r="O247" s="15">
        <f>INDEX(C:C,MATCH(J247,D:D,0))</f>
        <v>20</v>
      </c>
      <c r="P247" s="9">
        <f>INDEX(E:E,MATCH(J247,D:D,0))</f>
        <v>120</v>
      </c>
      <c r="Q247" s="7">
        <f t="shared" si="51"/>
        <v>20</v>
      </c>
      <c r="R247" s="7">
        <f>COUNTIF(J$8:$J247,"="&amp;J247)</f>
        <v>8</v>
      </c>
      <c r="S247" s="7">
        <f t="shared" ref="S247:S249" si="59">R247*1000+Q247</f>
        <v>8020</v>
      </c>
    </row>
    <row r="248" spans="8:23">
      <c r="H248" s="7">
        <f>IF(I248="","",COUNTA(I$9:$I248))</f>
        <v>137</v>
      </c>
      <c r="I248" s="3" t="s">
        <v>343</v>
      </c>
      <c r="J248" s="6" t="s">
        <v>341</v>
      </c>
      <c r="K248" s="8" t="str">
        <f>IF(H248="","",阶段合并区域(J248:J251," ",L248:L251,1))</f>
        <v>弄玉 骊姬</v>
      </c>
      <c r="L248" s="8">
        <f>COUNTIF(M$8:$M248,"="&amp;M248)</f>
        <v>1</v>
      </c>
      <c r="M248" s="9" t="str">
        <f t="shared" si="56"/>
        <v>金枝玉叶</v>
      </c>
      <c r="N248" s="9" t="str">
        <f t="shared" si="57"/>
        <v>金枝玉叶1</v>
      </c>
      <c r="O248" s="15">
        <f>INDEX(C:C,MATCH(J248,D:D,0))</f>
        <v>75</v>
      </c>
      <c r="P248" s="9">
        <f>INDEX(E:E,MATCH(J248,D:D,0))</f>
        <v>130</v>
      </c>
      <c r="Q248" s="7">
        <f t="shared" si="51"/>
        <v>75</v>
      </c>
      <c r="R248" s="7">
        <f>COUNTIF(J$8:$J248,"="&amp;J248)</f>
        <v>3</v>
      </c>
      <c r="S248" s="7">
        <f t="shared" si="59"/>
        <v>3075</v>
      </c>
    </row>
    <row r="249" spans="8:23">
      <c r="H249" s="7" t="str">
        <f>IF(I249="","",COUNTA(I$9:$I249))</f>
        <v/>
      </c>
      <c r="I249" s="3"/>
      <c r="J249" s="6" t="s">
        <v>250</v>
      </c>
      <c r="K249" s="8" t="str">
        <f>IF(H249="","",阶段合并区域(J249:J252," ",L249:L252,1))</f>
        <v/>
      </c>
      <c r="L249" s="8">
        <f>COUNTIF(M$8:$M249,"="&amp;M249)</f>
        <v>2</v>
      </c>
      <c r="M249" s="9" t="str">
        <f t="shared" si="56"/>
        <v>金枝玉叶</v>
      </c>
      <c r="N249" s="9" t="str">
        <f t="shared" si="57"/>
        <v>金枝玉叶2</v>
      </c>
      <c r="O249" s="15">
        <f>INDEX(C:C,MATCH(J249,D:D,0))</f>
        <v>1</v>
      </c>
      <c r="P249" s="9">
        <f>INDEX(E:E,MATCH(J249,D:D,0))</f>
        <v>120</v>
      </c>
      <c r="Q249" s="7">
        <f t="shared" si="51"/>
        <v>1</v>
      </c>
      <c r="R249" s="7">
        <f>COUNTIF(J$8:$J249,"="&amp;J249)</f>
        <v>5</v>
      </c>
      <c r="S249" s="7">
        <f t="shared" si="59"/>
        <v>5001</v>
      </c>
    </row>
    <row r="250" spans="8:23">
      <c r="H250" s="7">
        <f>IF(I250="","",COUNTA(I$9:$I250))</f>
        <v>138</v>
      </c>
      <c r="I250" s="3" t="s">
        <v>345</v>
      </c>
      <c r="J250" s="6" t="s">
        <v>344</v>
      </c>
      <c r="K250" s="8" t="str">
        <f>IF(H250="","",阶段合并区域(J250:J253," ",L250:L253,1))</f>
        <v>越女 勾践</v>
      </c>
      <c r="L250" s="8">
        <f>COUNTIF(M$8:$M250,"="&amp;M250)</f>
        <v>1</v>
      </c>
      <c r="M250" s="9" t="str">
        <f t="shared" ref="M250:M256" si="60">IF(H250="",M249,I250)</f>
        <v>助越灭吴</v>
      </c>
      <c r="N250" s="9" t="str">
        <f t="shared" ref="N250:N256" si="61">M250&amp;L250</f>
        <v>助越灭吴1</v>
      </c>
      <c r="O250" s="15">
        <f>INDEX(C:C,MATCH(J250,D:D,0))</f>
        <v>76</v>
      </c>
      <c r="P250" s="9">
        <f>INDEX(E:E,MATCH(J250,D:D,0))</f>
        <v>130</v>
      </c>
      <c r="Q250" s="7">
        <f t="shared" si="51"/>
        <v>76</v>
      </c>
      <c r="R250" s="7">
        <f>COUNTIF(J$8:$J250,"="&amp;J250)</f>
        <v>1</v>
      </c>
      <c r="S250" s="7">
        <f t="shared" ref="S250:S258" si="62">R250*1000+Q250</f>
        <v>1076</v>
      </c>
      <c r="U250" s="2"/>
      <c r="V250" s="2"/>
      <c r="W250" s="2"/>
    </row>
    <row r="251" spans="8:23">
      <c r="H251" s="7" t="str">
        <f>IF(I251="","",COUNTA(I$9:$I251))</f>
        <v/>
      </c>
      <c r="I251" s="3"/>
      <c r="J251" s="6" t="s">
        <v>252</v>
      </c>
      <c r="K251" s="8" t="str">
        <f>IF(H251="","",阶段合并区域(J251:J254," ",L251:L254,1))</f>
        <v/>
      </c>
      <c r="L251" s="8">
        <f>COUNTIF(M$8:$M251,"="&amp;M251)</f>
        <v>2</v>
      </c>
      <c r="M251" s="9" t="str">
        <f t="shared" si="60"/>
        <v>助越灭吴</v>
      </c>
      <c r="N251" s="9" t="str">
        <f t="shared" si="61"/>
        <v>助越灭吴2</v>
      </c>
      <c r="O251" s="15">
        <f>INDEX(C:C,MATCH(J251,D:D,0))</f>
        <v>64</v>
      </c>
      <c r="P251" s="9">
        <f>INDEX(E:E,MATCH(J251,D:D,0))</f>
        <v>120</v>
      </c>
      <c r="Q251" s="7">
        <f t="shared" si="51"/>
        <v>64</v>
      </c>
      <c r="R251" s="7">
        <f>COUNTIF(J$8:$J251,"="&amp;J251)</f>
        <v>6</v>
      </c>
      <c r="S251" s="7">
        <f t="shared" si="62"/>
        <v>6064</v>
      </c>
      <c r="U251" s="2"/>
      <c r="V251" s="2"/>
      <c r="W251" s="2"/>
    </row>
    <row r="252" spans="8:23">
      <c r="H252" s="7">
        <f>IF(I252="","",COUNTA(I$9:$I252))</f>
        <v>139</v>
      </c>
      <c r="I252" s="3" t="s">
        <v>346</v>
      </c>
      <c r="J252" s="6" t="s">
        <v>344</v>
      </c>
      <c r="K252" s="8" t="str">
        <f>IF(H252="","",阶段合并区域(J252:J255," ",L252:L255,1))</f>
        <v>越女 骊姬 荆轲</v>
      </c>
      <c r="L252" s="8">
        <f>COUNTIF(M$8:$M252,"="&amp;M252)</f>
        <v>1</v>
      </c>
      <c r="M252" s="9" t="str">
        <f t="shared" si="60"/>
        <v>见血封喉</v>
      </c>
      <c r="N252" s="9" t="str">
        <f t="shared" si="61"/>
        <v>见血封喉1</v>
      </c>
      <c r="O252" s="15">
        <f>INDEX(C:C,MATCH(J252,D:D,0))</f>
        <v>76</v>
      </c>
      <c r="P252" s="9">
        <f>INDEX(E:E,MATCH(J252,D:D,0))</f>
        <v>130</v>
      </c>
      <c r="Q252" s="7">
        <f t="shared" si="51"/>
        <v>76</v>
      </c>
      <c r="R252" s="7">
        <f>COUNTIF(J$8:$J252,"="&amp;J252)</f>
        <v>2</v>
      </c>
      <c r="S252" s="7">
        <f t="shared" si="62"/>
        <v>2076</v>
      </c>
      <c r="U252" s="2"/>
      <c r="V252" s="2"/>
      <c r="W252" s="2"/>
    </row>
    <row r="253" spans="8:23">
      <c r="H253" s="7" t="str">
        <f>IF(I253="","",COUNTA(I$9:$I253))</f>
        <v/>
      </c>
      <c r="I253" s="3"/>
      <c r="J253" s="6" t="s">
        <v>250</v>
      </c>
      <c r="K253" s="8" t="str">
        <f>IF(H253="","",阶段合并区域(J253:J256," ",L253:L256,1))</f>
        <v/>
      </c>
      <c r="L253" s="8">
        <f>COUNTIF(M$8:$M253,"="&amp;M253)</f>
        <v>2</v>
      </c>
      <c r="M253" s="9" t="str">
        <f t="shared" si="60"/>
        <v>见血封喉</v>
      </c>
      <c r="N253" s="9" t="str">
        <f t="shared" si="61"/>
        <v>见血封喉2</v>
      </c>
      <c r="O253" s="15">
        <f>INDEX(C:C,MATCH(J253,D:D,0))</f>
        <v>1</v>
      </c>
      <c r="P253" s="9">
        <f>INDEX(E:E,MATCH(J253,D:D,0))</f>
        <v>120</v>
      </c>
      <c r="Q253" s="7">
        <f t="shared" si="51"/>
        <v>1</v>
      </c>
      <c r="R253" s="7">
        <f>COUNTIF(J$8:$J253,"="&amp;J253)</f>
        <v>6</v>
      </c>
      <c r="S253" s="7">
        <f t="shared" si="62"/>
        <v>6001</v>
      </c>
      <c r="U253" s="2"/>
      <c r="V253" s="2"/>
      <c r="W253" s="2"/>
    </row>
    <row r="254" spans="8:23">
      <c r="H254" s="7" t="str">
        <f>IF(I254="","",COUNTA(I$9:$I254))</f>
        <v/>
      </c>
      <c r="I254" s="3"/>
      <c r="J254" s="6" t="s">
        <v>304</v>
      </c>
      <c r="K254" s="8" t="str">
        <f>IF(H254="","",阶段合并区域(J254:J257," ",L254:L257,1))</f>
        <v/>
      </c>
      <c r="L254" s="8">
        <f>COUNTIF(M$8:$M254,"="&amp;M254)</f>
        <v>3</v>
      </c>
      <c r="M254" s="9" t="str">
        <f t="shared" si="60"/>
        <v>见血封喉</v>
      </c>
      <c r="N254" s="9" t="str">
        <f t="shared" si="61"/>
        <v>见血封喉3</v>
      </c>
      <c r="O254" s="15">
        <f>INDEX(C:C,MATCH(J254,D:D,0))</f>
        <v>56</v>
      </c>
      <c r="P254" s="9">
        <f>INDEX(E:E,MATCH(J254,D:D,0))</f>
        <v>120</v>
      </c>
      <c r="Q254" s="7">
        <f t="shared" si="51"/>
        <v>56</v>
      </c>
      <c r="R254" s="7">
        <f>COUNTIF(J$8:$J254,"="&amp;J254)</f>
        <v>5</v>
      </c>
      <c r="S254" s="7">
        <f t="shared" si="62"/>
        <v>5056</v>
      </c>
      <c r="U254" s="2"/>
      <c r="V254" s="2"/>
      <c r="W254" s="2"/>
    </row>
    <row r="255" spans="8:23">
      <c r="H255" s="7">
        <f>IF(I255="","",COUNTA(I$9:$I255))</f>
        <v>140</v>
      </c>
      <c r="I255" s="3" t="s">
        <v>347</v>
      </c>
      <c r="J255" s="6" t="s">
        <v>344</v>
      </c>
      <c r="K255" s="8" t="str">
        <f>IF(H255="","",阶段合并区域(J255:J258," ",L255:L258,1))</f>
        <v>越女 欧冶子 司马错 晋文公</v>
      </c>
      <c r="L255" s="8">
        <f>COUNTIF(M$8:$M255,"="&amp;M255)</f>
        <v>1</v>
      </c>
      <c r="M255" s="9" t="str">
        <f t="shared" si="60"/>
        <v>剑风凌厉</v>
      </c>
      <c r="N255" s="9" t="str">
        <f t="shared" si="61"/>
        <v>剑风凌厉1</v>
      </c>
      <c r="O255" s="15">
        <f>INDEX(C:C,MATCH(J255,D:D,0))</f>
        <v>76</v>
      </c>
      <c r="P255" s="9">
        <f>INDEX(E:E,MATCH(J255,D:D,0))</f>
        <v>130</v>
      </c>
      <c r="Q255" s="7">
        <f t="shared" si="51"/>
        <v>76</v>
      </c>
      <c r="R255" s="7">
        <f>COUNTIF(J$8:$J255,"="&amp;J255)</f>
        <v>3</v>
      </c>
      <c r="S255" s="7">
        <f t="shared" si="62"/>
        <v>3076</v>
      </c>
      <c r="U255" s="2"/>
      <c r="V255" s="2"/>
      <c r="W255" s="2"/>
    </row>
    <row r="256" spans="8:23">
      <c r="H256" s="7" t="str">
        <f>IF(I256="","",COUNTA(I$9:$I256))</f>
        <v/>
      </c>
      <c r="I256" s="3"/>
      <c r="J256" s="6" t="s">
        <v>224</v>
      </c>
      <c r="K256" s="8" t="str">
        <f>IF(H256="","",阶段合并区域(J256:J259," ",L256:L259,1))</f>
        <v/>
      </c>
      <c r="L256" s="8">
        <f>COUNTIF(M$8:$M256,"="&amp;M256)</f>
        <v>2</v>
      </c>
      <c r="M256" s="9" t="str">
        <f t="shared" si="60"/>
        <v>剑风凌厉</v>
      </c>
      <c r="N256" s="9" t="str">
        <f t="shared" si="61"/>
        <v>剑风凌厉2</v>
      </c>
      <c r="O256" s="15">
        <f>INDEX(C:C,MATCH(J256,D:D,0))</f>
        <v>63</v>
      </c>
      <c r="P256" s="9">
        <f>INDEX(E:E,MATCH(J256,D:D,0))</f>
        <v>120</v>
      </c>
      <c r="Q256" s="7">
        <f t="shared" si="51"/>
        <v>63</v>
      </c>
      <c r="R256" s="7">
        <f>COUNTIF(J$8:$J256,"="&amp;J256)</f>
        <v>5</v>
      </c>
      <c r="S256" s="7">
        <f t="shared" si="62"/>
        <v>5063</v>
      </c>
      <c r="U256" s="2"/>
    </row>
    <row r="257" spans="8:24">
      <c r="H257" s="7" t="str">
        <f>IF(I257="","",COUNTA(I$9:$I257))</f>
        <v/>
      </c>
      <c r="I257" s="3"/>
      <c r="J257" s="6" t="s">
        <v>260</v>
      </c>
      <c r="K257" s="8" t="str">
        <f>IF(H257="","",阶段合并区域(J257:J260," ",L257:L260,1))</f>
        <v/>
      </c>
      <c r="L257" s="8">
        <f>COUNTIF(M$8:$M257,"="&amp;M257)</f>
        <v>3</v>
      </c>
      <c r="M257" s="9" t="str">
        <f t="shared" ref="M257:M265" si="63">IF(H257="",M256,I257)</f>
        <v>剑风凌厉</v>
      </c>
      <c r="N257" s="9" t="str">
        <f t="shared" ref="N257:N265" si="64">M257&amp;L257</f>
        <v>剑风凌厉3</v>
      </c>
      <c r="O257" s="15">
        <f>INDEX(C:C,MATCH(J257,D:D,0))</f>
        <v>17</v>
      </c>
      <c r="P257" s="9">
        <f>INDEX(E:E,MATCH(J257,D:D,0))</f>
        <v>120</v>
      </c>
      <c r="Q257" s="7">
        <f t="shared" si="51"/>
        <v>17</v>
      </c>
      <c r="R257" s="7">
        <f>COUNTIF(J$8:$J257,"="&amp;J257)</f>
        <v>7</v>
      </c>
      <c r="S257" s="7">
        <f t="shared" si="62"/>
        <v>7017</v>
      </c>
      <c r="U257" s="2"/>
    </row>
    <row r="258" spans="8:24">
      <c r="H258" s="7" t="str">
        <f>IF(I258="","",COUNTA(I$9:$I258))</f>
        <v/>
      </c>
      <c r="I258" s="3"/>
      <c r="J258" s="6" t="s">
        <v>282</v>
      </c>
      <c r="K258" s="8" t="str">
        <f>IF(H258="","",阶段合并区域(J258:J261," ",L258:L261,1))</f>
        <v/>
      </c>
      <c r="L258" s="8">
        <f>COUNTIF(M$8:$M258,"="&amp;M258)</f>
        <v>4</v>
      </c>
      <c r="M258" s="9" t="str">
        <f t="shared" si="63"/>
        <v>剑风凌厉</v>
      </c>
      <c r="N258" s="9" t="str">
        <f t="shared" si="64"/>
        <v>剑风凌厉4</v>
      </c>
      <c r="O258" s="15">
        <f>INDEX(C:C,MATCH(J258,D:D,0))</f>
        <v>65</v>
      </c>
      <c r="P258" s="9">
        <f>INDEX(E:E,MATCH(J258,D:D,0))</f>
        <v>130</v>
      </c>
      <c r="Q258" s="7">
        <f t="shared" si="51"/>
        <v>65</v>
      </c>
      <c r="R258" s="7">
        <f>COUNTIF(J$8:$J258,"="&amp;J258)</f>
        <v>4</v>
      </c>
      <c r="S258" s="7">
        <f t="shared" si="62"/>
        <v>4065</v>
      </c>
      <c r="U258" s="2"/>
    </row>
    <row r="259" spans="8:24">
      <c r="H259" s="7">
        <f>IF(I259="","",COUNTA(I$9:$I259))</f>
        <v>141</v>
      </c>
      <c r="I259" s="3" t="s">
        <v>348</v>
      </c>
      <c r="J259" s="6" t="s">
        <v>349</v>
      </c>
      <c r="K259" s="8" t="str">
        <f>IF(H259="","",阶段合并区域(J259:J262," ",L259:L262,1))</f>
        <v>范雎 赵括 廉颇</v>
      </c>
      <c r="L259" s="8">
        <f>COUNTIF(M$8:$M259,"="&amp;M259)</f>
        <v>1</v>
      </c>
      <c r="M259" s="9" t="str">
        <f t="shared" si="63"/>
        <v>反间计</v>
      </c>
      <c r="N259" s="9" t="str">
        <f t="shared" si="64"/>
        <v>反间计1</v>
      </c>
      <c r="O259" s="15">
        <f>INDEX(C:C,MATCH(J259,D:D,0))</f>
        <v>24</v>
      </c>
      <c r="P259" s="9">
        <f>INDEX(E:E,MATCH(J259,D:D,0))</f>
        <v>120</v>
      </c>
      <c r="Q259" s="7">
        <f t="shared" si="51"/>
        <v>24</v>
      </c>
      <c r="R259" s="7">
        <f>COUNTIF(J$8:$J259,"="&amp;J259)</f>
        <v>1</v>
      </c>
      <c r="S259" s="7">
        <f t="shared" ref="S259:S269" si="65">R259*1000+Q259</f>
        <v>1024</v>
      </c>
      <c r="U259" s="2"/>
    </row>
    <row r="260" spans="8:24">
      <c r="H260" s="7" t="str">
        <f>IF(I260="","",COUNTA(I$9:$I260))</f>
        <v/>
      </c>
      <c r="I260" s="3"/>
      <c r="J260" s="6" t="s">
        <v>222</v>
      </c>
      <c r="K260" s="8" t="str">
        <f>IF(H260="","",阶段合并区域(J260:J263," ",L260:L263,1))</f>
        <v/>
      </c>
      <c r="L260" s="8">
        <f>COUNTIF(M$8:$M260,"="&amp;M260)</f>
        <v>2</v>
      </c>
      <c r="M260" s="9" t="str">
        <f t="shared" si="63"/>
        <v>反间计</v>
      </c>
      <c r="N260" s="9" t="str">
        <f t="shared" si="64"/>
        <v>反间计2</v>
      </c>
      <c r="O260" s="15">
        <f>INDEX(C:C,MATCH(J260,D:D,0))</f>
        <v>71</v>
      </c>
      <c r="P260" s="9">
        <f>INDEX(E:E,MATCH(J260,D:D,0))</f>
        <v>120</v>
      </c>
      <c r="Q260" s="7">
        <f t="shared" si="51"/>
        <v>71</v>
      </c>
      <c r="R260" s="7">
        <f>COUNTIF(J$8:$J260,"="&amp;J260)</f>
        <v>5</v>
      </c>
      <c r="S260" s="7">
        <f t="shared" si="65"/>
        <v>5071</v>
      </c>
      <c r="U260" s="2"/>
    </row>
    <row r="261" spans="8:24">
      <c r="H261" s="7" t="str">
        <f>IF(I261="","",COUNTA(I$9:$I261))</f>
        <v/>
      </c>
      <c r="I261" s="3"/>
      <c r="J261" s="6" t="s">
        <v>255</v>
      </c>
      <c r="K261" s="8" t="str">
        <f>IF(H261="","",阶段合并区域(J261:J264," ",L261:L264,1))</f>
        <v/>
      </c>
      <c r="L261" s="8">
        <f>COUNTIF(M$8:$M261,"="&amp;M261)</f>
        <v>3</v>
      </c>
      <c r="M261" s="9" t="str">
        <f t="shared" si="63"/>
        <v>反间计</v>
      </c>
      <c r="N261" s="9" t="str">
        <f t="shared" si="64"/>
        <v>反间计3</v>
      </c>
      <c r="O261" s="15">
        <f>INDEX(C:C,MATCH(J261,D:D,0))</f>
        <v>5</v>
      </c>
      <c r="P261" s="9">
        <f>INDEX(E:E,MATCH(J261,D:D,0))</f>
        <v>130</v>
      </c>
      <c r="Q261" s="7">
        <f t="shared" si="51"/>
        <v>5</v>
      </c>
      <c r="R261" s="7">
        <f>COUNTIF(J$8:$J261,"="&amp;J261)</f>
        <v>4</v>
      </c>
      <c r="S261" s="7">
        <f t="shared" si="65"/>
        <v>4005</v>
      </c>
    </row>
    <row r="262" spans="8:24">
      <c r="H262" s="7">
        <f>IF(I262="","",COUNTA(I$9:$I262))</f>
        <v>142</v>
      </c>
      <c r="I262" s="3" t="s">
        <v>350</v>
      </c>
      <c r="J262" s="6" t="s">
        <v>349</v>
      </c>
      <c r="K262" s="8" t="str">
        <f>IF(H262="","",阶段合并区域(J262:J265," ",L262:L265,1))</f>
        <v>范雎 吕不韦 苏秦 蔺相如</v>
      </c>
      <c r="L262" s="8">
        <f>COUNTIF(M$8:$M262,"="&amp;M262)</f>
        <v>1</v>
      </c>
      <c r="M262" s="9" t="str">
        <f t="shared" si="63"/>
        <v>相印</v>
      </c>
      <c r="N262" s="9" t="str">
        <f t="shared" si="64"/>
        <v>相印1</v>
      </c>
      <c r="O262" s="15">
        <f>INDEX(C:C,MATCH(J262,D:D,0))</f>
        <v>24</v>
      </c>
      <c r="P262" s="9">
        <f>INDEX(E:E,MATCH(J262,D:D,0))</f>
        <v>120</v>
      </c>
      <c r="Q262" s="7">
        <f t="shared" si="51"/>
        <v>24</v>
      </c>
      <c r="R262" s="7">
        <f>COUNTIF(J$8:$J262,"="&amp;J262)</f>
        <v>2</v>
      </c>
      <c r="S262" s="7">
        <f t="shared" si="65"/>
        <v>2024</v>
      </c>
    </row>
    <row r="263" spans="8:24">
      <c r="H263" s="7" t="str">
        <f>IF(I263="","",COUNTA(I$9:$I263))</f>
        <v/>
      </c>
      <c r="I263" s="3"/>
      <c r="J263" s="6" t="s">
        <v>215</v>
      </c>
      <c r="K263" s="8" t="str">
        <f>IF(H263="","",阶段合并区域(J263:J266," ",L263:L266,1))</f>
        <v/>
      </c>
      <c r="L263" s="8">
        <f>COUNTIF(M$8:$M263,"="&amp;M263)</f>
        <v>2</v>
      </c>
      <c r="M263" s="9" t="str">
        <f t="shared" si="63"/>
        <v>相印</v>
      </c>
      <c r="N263" s="9" t="str">
        <f t="shared" si="64"/>
        <v>相印2</v>
      </c>
      <c r="O263" s="15">
        <f>INDEX(C:C,MATCH(J263,D:D,0))</f>
        <v>18</v>
      </c>
      <c r="P263" s="9">
        <f>INDEX(E:E,MATCH(J263,D:D,0))</f>
        <v>120</v>
      </c>
      <c r="Q263" s="7">
        <f t="shared" si="51"/>
        <v>18</v>
      </c>
      <c r="R263" s="7">
        <f>COUNTIF(J$8:$J263,"="&amp;J263)</f>
        <v>11</v>
      </c>
      <c r="S263" s="7">
        <f t="shared" si="65"/>
        <v>11018</v>
      </c>
    </row>
    <row r="264" spans="8:24">
      <c r="H264" s="7" t="str">
        <f>IF(I264="","",COUNTA(I$9:$I264))</f>
        <v/>
      </c>
      <c r="I264" s="3"/>
      <c r="J264" s="6" t="s">
        <v>230</v>
      </c>
      <c r="K264" s="8" t="str">
        <f>IF(H264="","",阶段合并区域(J264:J267," ",L264:L267,1))</f>
        <v/>
      </c>
      <c r="L264" s="8">
        <f>COUNTIF(M$8:$M264,"="&amp;M264)</f>
        <v>3</v>
      </c>
      <c r="M264" s="9" t="str">
        <f t="shared" si="63"/>
        <v>相印</v>
      </c>
      <c r="N264" s="9" t="str">
        <f t="shared" si="64"/>
        <v>相印3</v>
      </c>
      <c r="O264" s="15">
        <f>INDEX(C:C,MATCH(J264,D:D,0))</f>
        <v>57</v>
      </c>
      <c r="P264" s="9">
        <f>INDEX(E:E,MATCH(J264,D:D,0))</f>
        <v>120</v>
      </c>
      <c r="Q264" s="7">
        <f t="shared" si="51"/>
        <v>57</v>
      </c>
      <c r="R264" s="7">
        <f>COUNTIF(J$8:$J264,"="&amp;J264)</f>
        <v>9</v>
      </c>
      <c r="S264" s="7">
        <f t="shared" si="65"/>
        <v>9057</v>
      </c>
    </row>
    <row r="265" spans="8:24">
      <c r="H265" s="7" t="str">
        <f>IF(I265="","",COUNTA(I$9:$I265))</f>
        <v/>
      </c>
      <c r="I265" s="3"/>
      <c r="J265" s="6" t="s">
        <v>256</v>
      </c>
      <c r="K265" s="8" t="str">
        <f>IF(H265="","",阶段合并区域(J265:J268," ",L265:L268,1))</f>
        <v/>
      </c>
      <c r="L265" s="8">
        <f>COUNTIF(M$8:$M265,"="&amp;M265)</f>
        <v>4</v>
      </c>
      <c r="M265" s="9" t="str">
        <f t="shared" si="63"/>
        <v>相印</v>
      </c>
      <c r="N265" s="9" t="str">
        <f t="shared" si="64"/>
        <v>相印4</v>
      </c>
      <c r="O265" s="15">
        <f>INDEX(C:C,MATCH(J265,D:D,0))</f>
        <v>47</v>
      </c>
      <c r="P265" s="9">
        <f>INDEX(E:E,MATCH(J265,D:D,0))</f>
        <v>130</v>
      </c>
      <c r="Q265" s="7">
        <f t="shared" ref="Q265:Q328" si="66">INDEX($C$9:$C$190,MATCH(J265,$D$9:$D$190,0))</f>
        <v>47</v>
      </c>
      <c r="R265" s="7">
        <f>COUNTIF(J$8:$J265,"="&amp;J265)</f>
        <v>4</v>
      </c>
      <c r="S265" s="7">
        <f t="shared" si="65"/>
        <v>4047</v>
      </c>
    </row>
    <row r="266" spans="8:24">
      <c r="H266" s="7">
        <f>IF(I266="","",COUNTA(I$9:$I266))</f>
        <v>143</v>
      </c>
      <c r="I266" s="3" t="s">
        <v>351</v>
      </c>
      <c r="J266" s="6" t="s">
        <v>349</v>
      </c>
      <c r="K266" s="8" t="str">
        <f>IF(H266="","",阶段合并区域(J266:J269," ",L266:L269,1))</f>
        <v>范雎 申不害 田单 孙膑</v>
      </c>
      <c r="L266" s="8">
        <f>COUNTIF(M$8:$M266,"="&amp;M266)</f>
        <v>1</v>
      </c>
      <c r="M266" s="9" t="str">
        <f t="shared" ref="M266:M273" si="67">IF(H266="",M265,I266)</f>
        <v>有损无益</v>
      </c>
      <c r="N266" s="9" t="str">
        <f t="shared" ref="N266:N273" si="68">M266&amp;L266</f>
        <v>有损无益1</v>
      </c>
      <c r="O266" s="15">
        <f>INDEX(C:C,MATCH(J266,D:D,0))</f>
        <v>24</v>
      </c>
      <c r="P266" s="9">
        <f>INDEX(E:E,MATCH(J266,D:D,0))</f>
        <v>120</v>
      </c>
      <c r="Q266" s="7">
        <f t="shared" si="66"/>
        <v>24</v>
      </c>
      <c r="R266" s="7">
        <f>COUNTIF(J$8:$J266,"="&amp;J266)</f>
        <v>3</v>
      </c>
      <c r="S266" s="7">
        <f t="shared" si="65"/>
        <v>3024</v>
      </c>
    </row>
    <row r="267" spans="8:24">
      <c r="H267" s="7" t="str">
        <f>IF(I267="","",COUNTA(I$9:$I267))</f>
        <v/>
      </c>
      <c r="I267" s="3"/>
      <c r="J267" s="6" t="s">
        <v>239</v>
      </c>
      <c r="K267" s="8" t="str">
        <f>IF(H267="","",阶段合并区域(J267:J270," ",L267:L270,1))</f>
        <v/>
      </c>
      <c r="L267" s="8">
        <f>COUNTIF(M$8:$M267,"="&amp;M267)</f>
        <v>2</v>
      </c>
      <c r="M267" s="9" t="str">
        <f t="shared" si="67"/>
        <v>有损无益</v>
      </c>
      <c r="N267" s="9" t="str">
        <f t="shared" si="68"/>
        <v>有损无益2</v>
      </c>
      <c r="O267" s="15">
        <f>INDEX(C:C,MATCH(J267,D:D,0))</f>
        <v>54</v>
      </c>
      <c r="P267" s="9">
        <f>INDEX(E:E,MATCH(J267,D:D,0))</f>
        <v>120</v>
      </c>
      <c r="Q267" s="7">
        <f t="shared" si="66"/>
        <v>54</v>
      </c>
      <c r="R267" s="7">
        <f>COUNTIF(J$8:$J267,"="&amp;J267)</f>
        <v>7</v>
      </c>
      <c r="S267" s="7">
        <f t="shared" si="65"/>
        <v>7054</v>
      </c>
    </row>
    <row r="268" spans="8:24">
      <c r="H268" s="7" t="str">
        <f>IF(I268="","",COUNTA(I$9:$I268))</f>
        <v/>
      </c>
      <c r="I268" s="3"/>
      <c r="J268" s="6" t="s">
        <v>257</v>
      </c>
      <c r="K268" s="8" t="str">
        <f>IF(H268="","",阶段合并区域(J268:J271," ",L268:L271,1))</f>
        <v/>
      </c>
      <c r="L268" s="8">
        <f>COUNTIF(M$8:$M268,"="&amp;M268)</f>
        <v>3</v>
      </c>
      <c r="M268" s="9" t="str">
        <f t="shared" si="67"/>
        <v>有损无益</v>
      </c>
      <c r="N268" s="9" t="str">
        <f t="shared" si="68"/>
        <v>有损无益3</v>
      </c>
      <c r="O268" s="15">
        <f>INDEX(C:C,MATCH(J268,D:D,0))</f>
        <v>16</v>
      </c>
      <c r="P268" s="9">
        <f>INDEX(E:E,MATCH(J268,D:D,0))</f>
        <v>120</v>
      </c>
      <c r="Q268" s="7">
        <f t="shared" si="66"/>
        <v>16</v>
      </c>
      <c r="R268" s="7">
        <f>COUNTIF(J$8:$J268,"="&amp;J268)</f>
        <v>9</v>
      </c>
      <c r="S268" s="7">
        <f t="shared" si="65"/>
        <v>9016</v>
      </c>
    </row>
    <row r="269" spans="8:24">
      <c r="H269" s="7" t="str">
        <f>IF(I269="","",COUNTA(I$9:$I269))</f>
        <v/>
      </c>
      <c r="I269" s="3"/>
      <c r="J269" s="6" t="s">
        <v>218</v>
      </c>
      <c r="K269" s="8" t="str">
        <f>IF(H269="","",阶段合并区域(J269:J272," ",L269:L272,1))</f>
        <v/>
      </c>
      <c r="L269" s="8">
        <f>COUNTIF(M$8:$M269,"="&amp;M269)</f>
        <v>4</v>
      </c>
      <c r="M269" s="9" t="str">
        <f t="shared" si="67"/>
        <v>有损无益</v>
      </c>
      <c r="N269" s="9" t="str">
        <f t="shared" si="68"/>
        <v>有损无益4</v>
      </c>
      <c r="O269" s="15">
        <f>INDEX(C:C,MATCH(J269,D:D,0))</f>
        <v>36</v>
      </c>
      <c r="P269" s="9">
        <f>INDEX(E:E,MATCH(J269,D:D,0))</f>
        <v>120</v>
      </c>
      <c r="Q269" s="7">
        <f t="shared" si="66"/>
        <v>36</v>
      </c>
      <c r="R269" s="7">
        <f>COUNTIF(J$8:$J269,"="&amp;J269)</f>
        <v>11</v>
      </c>
      <c r="S269" s="7">
        <f t="shared" si="65"/>
        <v>11036</v>
      </c>
    </row>
    <row r="270" spans="8:24">
      <c r="H270" s="7">
        <f>IF(I270="","",COUNTA(I$9:$I270))</f>
        <v>144</v>
      </c>
      <c r="I270" s="3" t="s">
        <v>352</v>
      </c>
      <c r="J270" s="6" t="s">
        <v>353</v>
      </c>
      <c r="K270" s="8" t="str">
        <f>IF(H270="","",阶段合并区域(J270:J273," ",L270:L273,1))</f>
        <v>邹衍 吴起 信陵君</v>
      </c>
      <c r="L270" s="8">
        <f>COUNTIF(M$8:$M270,"="&amp;M270)</f>
        <v>1</v>
      </c>
      <c r="M270" s="9" t="str">
        <f t="shared" si="67"/>
        <v>掌控雷电</v>
      </c>
      <c r="N270" s="9" t="str">
        <f t="shared" si="68"/>
        <v>掌控雷电1</v>
      </c>
      <c r="O270" s="15">
        <f>INDEX(C:C,MATCH(J270,D:D,0))</f>
        <v>31</v>
      </c>
      <c r="P270" s="9">
        <f>INDEX(E:E,MATCH(J270,D:D,0))</f>
        <v>130</v>
      </c>
      <c r="Q270" s="7">
        <f t="shared" si="66"/>
        <v>31</v>
      </c>
      <c r="R270" s="7">
        <f>COUNTIF(J$8:$J270,"="&amp;J270)</f>
        <v>1</v>
      </c>
      <c r="S270" s="7">
        <f t="shared" ref="S270:S276" si="69">R270*1000+Q270</f>
        <v>1031</v>
      </c>
      <c r="U270" s="2"/>
      <c r="V270" s="2"/>
      <c r="W270" s="2"/>
      <c r="X270" s="2"/>
    </row>
    <row r="271" spans="8:24">
      <c r="H271" s="7" t="str">
        <f>IF(I271="","",COUNTA(I$9:$I271))</f>
        <v/>
      </c>
      <c r="I271" s="3"/>
      <c r="J271" s="6" t="s">
        <v>232</v>
      </c>
      <c r="K271" s="8" t="str">
        <f>IF(H271="","",阶段合并区域(J271:J274," ",L271:L274,1))</f>
        <v/>
      </c>
      <c r="L271" s="8">
        <f>COUNTIF(M$8:$M271,"="&amp;M271)</f>
        <v>2</v>
      </c>
      <c r="M271" s="9" t="str">
        <f t="shared" si="67"/>
        <v>掌控雷电</v>
      </c>
      <c r="N271" s="9" t="str">
        <f t="shared" si="68"/>
        <v>掌控雷电2</v>
      </c>
      <c r="O271" s="15">
        <f>INDEX(C:C,MATCH(J271,D:D,0))</f>
        <v>9</v>
      </c>
      <c r="P271" s="9">
        <f>INDEX(E:E,MATCH(J271,D:D,0))</f>
        <v>130</v>
      </c>
      <c r="Q271" s="7">
        <f t="shared" si="66"/>
        <v>9</v>
      </c>
      <c r="R271" s="7">
        <f>COUNTIF(J$8:$J271,"="&amp;J271)</f>
        <v>4</v>
      </c>
      <c r="S271" s="7">
        <f t="shared" si="69"/>
        <v>4009</v>
      </c>
      <c r="U271" s="2"/>
      <c r="V271" s="2"/>
      <c r="W271" s="2"/>
      <c r="X271" s="2"/>
    </row>
    <row r="272" spans="8:24">
      <c r="H272" s="7" t="str">
        <f>IF(I272="","",COUNTA(I$9:$I272))</f>
        <v/>
      </c>
      <c r="I272" s="3"/>
      <c r="J272" s="6" t="s">
        <v>242</v>
      </c>
      <c r="K272" s="8" t="str">
        <f>IF(H272="","",阶段合并区域(J272:J275," ",L272:L275,1))</f>
        <v/>
      </c>
      <c r="L272" s="8">
        <f>COUNTIF(M$8:$M272,"="&amp;M272)</f>
        <v>3</v>
      </c>
      <c r="M272" s="9" t="str">
        <f t="shared" si="67"/>
        <v>掌控雷电</v>
      </c>
      <c r="N272" s="9" t="str">
        <f t="shared" si="68"/>
        <v>掌控雷电3</v>
      </c>
      <c r="O272" s="15">
        <f>INDEX(C:C,MATCH(J272,D:D,0))</f>
        <v>6</v>
      </c>
      <c r="P272" s="9">
        <f>INDEX(E:E,MATCH(J272,D:D,0))</f>
        <v>120</v>
      </c>
      <c r="Q272" s="7">
        <f t="shared" si="66"/>
        <v>6</v>
      </c>
      <c r="R272" s="7">
        <f>COUNTIF(J$8:$J272,"="&amp;J272)</f>
        <v>10</v>
      </c>
      <c r="S272" s="7">
        <f t="shared" si="69"/>
        <v>10006</v>
      </c>
      <c r="U272" s="2"/>
      <c r="V272" s="2"/>
      <c r="W272" s="2"/>
      <c r="X272" s="2"/>
    </row>
    <row r="273" spans="8:24">
      <c r="H273" s="7">
        <f>IF(I273="","",COUNTA(I$9:$I273))</f>
        <v>145</v>
      </c>
      <c r="I273" s="3" t="s">
        <v>354</v>
      </c>
      <c r="J273" s="6" t="s">
        <v>353</v>
      </c>
      <c r="K273" s="8" t="str">
        <f>IF(H273="","",阶段合并区域(J273:J276," ",L273:L276,1))</f>
        <v>邹衍 扁鹊</v>
      </c>
      <c r="L273" s="8">
        <f>COUNTIF(M$8:$M273,"="&amp;M273)</f>
        <v>1</v>
      </c>
      <c r="M273" s="9" t="str">
        <f t="shared" si="67"/>
        <v>白发红颜</v>
      </c>
      <c r="N273" s="9" t="str">
        <f t="shared" si="68"/>
        <v>白发红颜1</v>
      </c>
      <c r="O273" s="15">
        <f>INDEX(C:C,MATCH(J273,D:D,0))</f>
        <v>31</v>
      </c>
      <c r="P273" s="9">
        <f>INDEX(E:E,MATCH(J273,D:D,0))</f>
        <v>130</v>
      </c>
      <c r="Q273" s="7">
        <f t="shared" si="66"/>
        <v>31</v>
      </c>
      <c r="R273" s="7">
        <f>COUNTIF(J$8:$J273,"="&amp;J273)</f>
        <v>2</v>
      </c>
      <c r="S273" s="7">
        <f t="shared" si="69"/>
        <v>2031</v>
      </c>
      <c r="U273" s="2"/>
      <c r="V273" s="2"/>
      <c r="W273" s="2"/>
      <c r="X273" s="2"/>
    </row>
    <row r="274" spans="8:24">
      <c r="H274" s="7" t="str">
        <f>IF(I274="","",COUNTA(I$9:$I274))</f>
        <v/>
      </c>
      <c r="I274" s="3"/>
      <c r="J274" s="6" t="s">
        <v>220</v>
      </c>
      <c r="K274" s="8" t="str">
        <f>IF(H274="","",阶段合并区域(J274:J277," ",L274:L277,1))</f>
        <v/>
      </c>
      <c r="L274" s="8">
        <f>COUNTIF(M$8:$M274,"="&amp;M274)</f>
        <v>2</v>
      </c>
      <c r="M274" s="9" t="str">
        <f t="shared" ref="M274:M280" si="70">IF(H274="",M273,I274)</f>
        <v>白发红颜</v>
      </c>
      <c r="N274" s="9" t="str">
        <f t="shared" ref="N274:N280" si="71">M274&amp;L274</f>
        <v>白发红颜2</v>
      </c>
      <c r="O274" s="15">
        <f>INDEX(C:C,MATCH(J274,D:D,0))</f>
        <v>32</v>
      </c>
      <c r="P274" s="9">
        <f>INDEX(E:E,MATCH(J274,D:D,0))</f>
        <v>120</v>
      </c>
      <c r="Q274" s="7">
        <f t="shared" si="66"/>
        <v>32</v>
      </c>
      <c r="R274" s="7">
        <f>COUNTIF(J$8:$J274,"="&amp;J274)</f>
        <v>7</v>
      </c>
      <c r="S274" s="7">
        <f t="shared" si="69"/>
        <v>7032</v>
      </c>
      <c r="U274" s="2"/>
      <c r="V274" s="2"/>
      <c r="W274" s="2"/>
      <c r="X274" s="2"/>
    </row>
    <row r="275" spans="8:24">
      <c r="H275" s="7">
        <f>IF(I275="","",COUNTA(I$9:$I275))</f>
        <v>146</v>
      </c>
      <c r="I275" s="3" t="s">
        <v>355</v>
      </c>
      <c r="J275" s="6" t="s">
        <v>353</v>
      </c>
      <c r="K275" s="8" t="str">
        <f>IF(H275="","",阶段合并区域(J275:J278," ",L275:L278,1))</f>
        <v>邹衍 屈原</v>
      </c>
      <c r="L275" s="8">
        <f>COUNTIF(M$8:$M275,"="&amp;M275)</f>
        <v>1</v>
      </c>
      <c r="M275" s="9" t="str">
        <f t="shared" si="70"/>
        <v>呼风唤雨</v>
      </c>
      <c r="N275" s="9" t="str">
        <f t="shared" si="71"/>
        <v>呼风唤雨1</v>
      </c>
      <c r="O275" s="15">
        <f>INDEX(C:C,MATCH(J275,D:D,0))</f>
        <v>31</v>
      </c>
      <c r="P275" s="9">
        <f>INDEX(E:E,MATCH(J275,D:D,0))</f>
        <v>130</v>
      </c>
      <c r="Q275" s="7">
        <f t="shared" si="66"/>
        <v>31</v>
      </c>
      <c r="R275" s="7">
        <f>COUNTIF(J$8:$J275,"="&amp;J275)</f>
        <v>3</v>
      </c>
      <c r="S275" s="7">
        <f t="shared" si="69"/>
        <v>3031</v>
      </c>
      <c r="U275" s="2"/>
      <c r="V275" s="2"/>
      <c r="W275" s="2"/>
      <c r="X275" s="2"/>
    </row>
    <row r="276" spans="8:24">
      <c r="H276" s="7" t="str">
        <f>IF(I276="","",COUNTA(I$9:$I276))</f>
        <v/>
      </c>
      <c r="I276" s="3"/>
      <c r="J276" s="6" t="s">
        <v>213</v>
      </c>
      <c r="K276" s="8" t="str">
        <f>IF(H276="","",阶段合并区域(J276:J279," ",L276:L279,1))</f>
        <v/>
      </c>
      <c r="L276" s="8">
        <f>COUNTIF(M$8:$M276,"="&amp;M276)</f>
        <v>2</v>
      </c>
      <c r="M276" s="9" t="str">
        <f t="shared" si="70"/>
        <v>呼风唤雨</v>
      </c>
      <c r="N276" s="9" t="str">
        <f t="shared" si="71"/>
        <v>呼风唤雨2</v>
      </c>
      <c r="O276" s="15">
        <f>INDEX(C:C,MATCH(J276,D:D,0))</f>
        <v>40</v>
      </c>
      <c r="P276" s="9">
        <f>INDEX(E:E,MATCH(J276,D:D,0))</f>
        <v>120</v>
      </c>
      <c r="Q276" s="7">
        <f t="shared" si="66"/>
        <v>40</v>
      </c>
      <c r="R276" s="7">
        <f>COUNTIF(J$8:$J276,"="&amp;J276)</f>
        <v>11</v>
      </c>
      <c r="S276" s="7">
        <f t="shared" si="69"/>
        <v>11040</v>
      </c>
    </row>
    <row r="277" spans="8:24">
      <c r="H277" s="7">
        <f>IF(I277="","",COUNTA(I$9:$I277))</f>
        <v>147</v>
      </c>
      <c r="I277" s="3" t="s">
        <v>356</v>
      </c>
      <c r="J277" s="6" t="s">
        <v>357</v>
      </c>
      <c r="K277" s="8" t="str">
        <f>IF(H277="","",阶段合并区域(J277:J280," ",L277:L280,1))</f>
        <v>白起 秦武王 廉颇</v>
      </c>
      <c r="L277" s="8">
        <f>COUNTIF(M$8:$M277,"="&amp;M277)</f>
        <v>1</v>
      </c>
      <c r="M277" s="9" t="str">
        <f t="shared" si="70"/>
        <v>冲锋陷阵</v>
      </c>
      <c r="N277" s="9" t="str">
        <f t="shared" si="71"/>
        <v>冲锋陷阵1</v>
      </c>
      <c r="O277" s="15">
        <f>INDEX(C:C,MATCH(J277,D:D,0))</f>
        <v>4</v>
      </c>
      <c r="P277" s="9">
        <f>INDEX(E:E,MATCH(J277,D:D,0))</f>
        <v>140</v>
      </c>
      <c r="Q277" s="7">
        <f t="shared" si="66"/>
        <v>4</v>
      </c>
      <c r="R277" s="7">
        <f>COUNTIF(J$8:$J277,"="&amp;J277)</f>
        <v>1</v>
      </c>
      <c r="S277" s="7">
        <f t="shared" ref="S277:S285" si="72">R277*1000+Q277</f>
        <v>1004</v>
      </c>
      <c r="U277" s="2"/>
      <c r="V277" s="2"/>
    </row>
    <row r="278" spans="8:24">
      <c r="H278" s="7" t="str">
        <f>IF(I278="","",COUNTA(I$9:$I278))</f>
        <v/>
      </c>
      <c r="I278" s="3"/>
      <c r="J278" s="6" t="s">
        <v>254</v>
      </c>
      <c r="K278" s="8" t="str">
        <f>IF(H278="","",阶段合并区域(J278:J281," ",L278:L281,1))</f>
        <v/>
      </c>
      <c r="L278" s="8">
        <f>COUNTIF(M$8:$M278,"="&amp;M278)</f>
        <v>2</v>
      </c>
      <c r="M278" s="9" t="str">
        <f t="shared" si="70"/>
        <v>冲锋陷阵</v>
      </c>
      <c r="N278" s="9" t="str">
        <f t="shared" si="71"/>
        <v>冲锋陷阵2</v>
      </c>
      <c r="O278" s="15">
        <f>INDEX(C:C,MATCH(J278,D:D,0))</f>
        <v>20</v>
      </c>
      <c r="P278" s="9">
        <f>INDEX(E:E,MATCH(J278,D:D,0))</f>
        <v>120</v>
      </c>
      <c r="Q278" s="7">
        <f t="shared" si="66"/>
        <v>20</v>
      </c>
      <c r="R278" s="7">
        <f>COUNTIF(J$8:$J278,"="&amp;J278)</f>
        <v>9</v>
      </c>
      <c r="S278" s="7">
        <f t="shared" si="72"/>
        <v>9020</v>
      </c>
      <c r="U278" s="2"/>
      <c r="V278" s="2"/>
    </row>
    <row r="279" spans="8:24">
      <c r="H279" s="7" t="str">
        <f>IF(I279="","",COUNTA(I$9:$I279))</f>
        <v/>
      </c>
      <c r="I279" s="3"/>
      <c r="J279" s="6" t="s">
        <v>255</v>
      </c>
      <c r="K279" s="8" t="str">
        <f>IF(H279="","",阶段合并区域(J279:J282," ",L279:L282,1))</f>
        <v/>
      </c>
      <c r="L279" s="8">
        <f>COUNTIF(M$8:$M279,"="&amp;M279)</f>
        <v>3</v>
      </c>
      <c r="M279" s="9" t="str">
        <f t="shared" si="70"/>
        <v>冲锋陷阵</v>
      </c>
      <c r="N279" s="9" t="str">
        <f t="shared" si="71"/>
        <v>冲锋陷阵3</v>
      </c>
      <c r="O279" s="15">
        <f>INDEX(C:C,MATCH(J279,D:D,0))</f>
        <v>5</v>
      </c>
      <c r="P279" s="9">
        <f>INDEX(E:E,MATCH(J279,D:D,0))</f>
        <v>130</v>
      </c>
      <c r="Q279" s="7">
        <f t="shared" si="66"/>
        <v>5</v>
      </c>
      <c r="R279" s="7">
        <f>COUNTIF(J$8:$J279,"="&amp;J279)</f>
        <v>5</v>
      </c>
      <c r="S279" s="7">
        <f t="shared" si="72"/>
        <v>5005</v>
      </c>
      <c r="U279" s="2"/>
      <c r="V279" s="2"/>
    </row>
    <row r="280" spans="8:24">
      <c r="H280" s="7">
        <f>IF(I280="","",COUNTA(I$9:$I280))</f>
        <v>148</v>
      </c>
      <c r="I280" s="3" t="s">
        <v>358</v>
      </c>
      <c r="J280" s="6" t="s">
        <v>357</v>
      </c>
      <c r="K280" s="8" t="str">
        <f>IF(H280="","",阶段合并区域(J280:J283," ",L280:L283,1))</f>
        <v>白起 吴起 田单 乐毅</v>
      </c>
      <c r="L280" s="8">
        <f>COUNTIF(M$8:$M280,"="&amp;M280)</f>
        <v>1</v>
      </c>
      <c r="M280" s="9" t="str">
        <f t="shared" si="70"/>
        <v>身经百战</v>
      </c>
      <c r="N280" s="9" t="str">
        <f t="shared" si="71"/>
        <v>身经百战1</v>
      </c>
      <c r="O280" s="15">
        <f>INDEX(C:C,MATCH(J280,D:D,0))</f>
        <v>4</v>
      </c>
      <c r="P280" s="9">
        <f>INDEX(E:E,MATCH(J280,D:D,0))</f>
        <v>140</v>
      </c>
      <c r="Q280" s="7">
        <f t="shared" si="66"/>
        <v>4</v>
      </c>
      <c r="R280" s="7">
        <f>COUNTIF(J$8:$J280,"="&amp;J280)</f>
        <v>2</v>
      </c>
      <c r="S280" s="7">
        <f t="shared" si="72"/>
        <v>2004</v>
      </c>
      <c r="U280" s="2"/>
      <c r="V280" s="2"/>
    </row>
    <row r="281" spans="8:24">
      <c r="H281" s="7" t="str">
        <f>IF(I281="","",COUNTA(I$9:$I281))</f>
        <v/>
      </c>
      <c r="I281" s="3"/>
      <c r="J281" s="6" t="s">
        <v>232</v>
      </c>
      <c r="K281" s="8" t="str">
        <f>IF(H281="","",阶段合并区域(J281:J284," ",L281:L284,1))</f>
        <v/>
      </c>
      <c r="L281" s="8">
        <f>COUNTIF(M$8:$M281,"="&amp;M281)</f>
        <v>2</v>
      </c>
      <c r="M281" s="9" t="str">
        <f t="shared" ref="M281:M285" si="73">IF(H281="",M280,I281)</f>
        <v>身经百战</v>
      </c>
      <c r="N281" s="9" t="str">
        <f t="shared" ref="N281:N285" si="74">M281&amp;L281</f>
        <v>身经百战2</v>
      </c>
      <c r="O281" s="15">
        <f>INDEX(C:C,MATCH(J281,D:D,0))</f>
        <v>9</v>
      </c>
      <c r="P281" s="9">
        <f>INDEX(E:E,MATCH(J281,D:D,0))</f>
        <v>130</v>
      </c>
      <c r="Q281" s="7">
        <f t="shared" si="66"/>
        <v>9</v>
      </c>
      <c r="R281" s="7">
        <f>COUNTIF(J$8:$J281,"="&amp;J281)</f>
        <v>5</v>
      </c>
      <c r="S281" s="7">
        <f t="shared" si="72"/>
        <v>5009</v>
      </c>
      <c r="U281" s="2"/>
      <c r="V281" s="2"/>
    </row>
    <row r="282" spans="8:24">
      <c r="H282" s="7" t="str">
        <f>IF(I282="","",COUNTA(I$9:$I282))</f>
        <v/>
      </c>
      <c r="I282" s="3"/>
      <c r="J282" s="6" t="s">
        <v>257</v>
      </c>
      <c r="K282" s="8" t="str">
        <f>IF(H282="","",阶段合并区域(J282:J285," ",L282:L285,1))</f>
        <v/>
      </c>
      <c r="L282" s="8">
        <f>COUNTIF(M$8:$M282,"="&amp;M282)</f>
        <v>3</v>
      </c>
      <c r="M282" s="9" t="str">
        <f t="shared" si="73"/>
        <v>身经百战</v>
      </c>
      <c r="N282" s="9" t="str">
        <f t="shared" si="74"/>
        <v>身经百战3</v>
      </c>
      <c r="O282" s="15">
        <f>INDEX(C:C,MATCH(J282,D:D,0))</f>
        <v>16</v>
      </c>
      <c r="P282" s="9">
        <f>INDEX(E:E,MATCH(J282,D:D,0))</f>
        <v>120</v>
      </c>
      <c r="Q282" s="7">
        <f t="shared" si="66"/>
        <v>16</v>
      </c>
      <c r="R282" s="7">
        <f>COUNTIF(J$8:$J282,"="&amp;J282)</f>
        <v>10</v>
      </c>
      <c r="S282" s="7">
        <f t="shared" si="72"/>
        <v>10016</v>
      </c>
    </row>
    <row r="283" spans="8:24">
      <c r="H283" s="7" t="str">
        <f>IF(I283="","",COUNTA(I$9:$I283))</f>
        <v/>
      </c>
      <c r="I283" s="3"/>
      <c r="J283" s="6" t="s">
        <v>243</v>
      </c>
      <c r="K283" s="8" t="str">
        <f>IF(H283="","",阶段合并区域(J283:J286," ",L283:L286,1))</f>
        <v/>
      </c>
      <c r="L283" s="8">
        <f>COUNTIF(M$8:$M283,"="&amp;M283)</f>
        <v>4</v>
      </c>
      <c r="M283" s="9" t="str">
        <f t="shared" si="73"/>
        <v>身经百战</v>
      </c>
      <c r="N283" s="9" t="str">
        <f t="shared" si="74"/>
        <v>身经百战4</v>
      </c>
      <c r="O283" s="15">
        <f>INDEX(C:C,MATCH(J283,D:D,0))</f>
        <v>55</v>
      </c>
      <c r="P283" s="9">
        <f>INDEX(E:E,MATCH(J283,D:D,0))</f>
        <v>120</v>
      </c>
      <c r="Q283" s="7">
        <f t="shared" si="66"/>
        <v>55</v>
      </c>
      <c r="R283" s="7">
        <f>COUNTIF(J$8:$J283,"="&amp;J283)</f>
        <v>8</v>
      </c>
      <c r="S283" s="7">
        <f t="shared" si="72"/>
        <v>8055</v>
      </c>
    </row>
    <row r="284" spans="8:24">
      <c r="H284" s="7">
        <f>IF(I284="","",COUNTA(I$9:$I284))</f>
        <v>149</v>
      </c>
      <c r="I284" s="3" t="s">
        <v>247</v>
      </c>
      <c r="J284" s="6" t="s">
        <v>357</v>
      </c>
      <c r="K284" s="8" t="str">
        <f>IF(H284="","",阶段合并区域(J284:J287," ",L284:L287,1))</f>
        <v>白起 弄玉 褒姒 越女</v>
      </c>
      <c r="L284" s="8">
        <f>COUNTIF(M$8:$M284,"="&amp;M284)</f>
        <v>5</v>
      </c>
      <c r="M284" s="9" t="str">
        <f t="shared" si="73"/>
        <v>英雄美人</v>
      </c>
      <c r="N284" s="9" t="str">
        <f t="shared" si="74"/>
        <v>英雄美人5</v>
      </c>
      <c r="O284" s="15">
        <f>INDEX(C:C,MATCH(J284,D:D,0))</f>
        <v>4</v>
      </c>
      <c r="P284" s="9">
        <f>INDEX(E:E,MATCH(J284,D:D,0))</f>
        <v>140</v>
      </c>
      <c r="Q284" s="7">
        <f t="shared" si="66"/>
        <v>4</v>
      </c>
      <c r="R284" s="7">
        <f>COUNTIF(J$8:$J284,"="&amp;J284)</f>
        <v>3</v>
      </c>
      <c r="S284" s="7">
        <f t="shared" si="72"/>
        <v>3004</v>
      </c>
    </row>
    <row r="285" spans="8:24">
      <c r="H285" s="7" t="str">
        <f>IF(I285="","",COUNTA(I$9:$I285))</f>
        <v/>
      </c>
      <c r="I285" s="3"/>
      <c r="J285" s="6" t="s">
        <v>341</v>
      </c>
      <c r="K285" s="8" t="str">
        <f>IF(H285="","",阶段合并区域(J285:J288," ",L285:L288,1))</f>
        <v/>
      </c>
      <c r="L285" s="8">
        <f>COUNTIF(M$8:$M285,"="&amp;M285)</f>
        <v>6</v>
      </c>
      <c r="M285" s="9" t="str">
        <f t="shared" si="73"/>
        <v>英雄美人</v>
      </c>
      <c r="N285" s="9" t="str">
        <f t="shared" si="74"/>
        <v>英雄美人6</v>
      </c>
      <c r="O285" s="15">
        <f>INDEX(C:C,MATCH(J285,D:D,0))</f>
        <v>75</v>
      </c>
      <c r="P285" s="9">
        <f>INDEX(E:E,MATCH(J285,D:D,0))</f>
        <v>130</v>
      </c>
      <c r="Q285" s="7">
        <f t="shared" si="66"/>
        <v>75</v>
      </c>
      <c r="R285" s="7">
        <f>COUNTIF(J$8:$J285,"="&amp;J285)</f>
        <v>4</v>
      </c>
      <c r="S285" s="7">
        <f t="shared" si="72"/>
        <v>4075</v>
      </c>
    </row>
    <row r="286" spans="8:24">
      <c r="H286" s="7" t="str">
        <f>IF(I286="","",COUNTA(I$9:$I286))</f>
        <v/>
      </c>
      <c r="I286" s="3"/>
      <c r="J286" s="6" t="s">
        <v>248</v>
      </c>
      <c r="K286" s="8" t="str">
        <f>IF(H286="","",阶段合并区域(J286:J289," ",L286:L289,1))</f>
        <v/>
      </c>
      <c r="L286" s="8">
        <f>COUNTIF(M$8:$M286,"="&amp;M286)</f>
        <v>7</v>
      </c>
      <c r="M286" s="9" t="str">
        <f t="shared" ref="M286:M293" si="75">IF(H286="",M285,I286)</f>
        <v>英雄美人</v>
      </c>
      <c r="N286" s="9" t="str">
        <f t="shared" ref="N286:N293" si="76">M286&amp;L286</f>
        <v>英雄美人7</v>
      </c>
      <c r="O286" s="15">
        <f>INDEX(C:C,MATCH(J286,D:D,0))</f>
        <v>60</v>
      </c>
      <c r="P286" s="9">
        <f>INDEX(E:E,MATCH(J286,D:D,0))</f>
        <v>130</v>
      </c>
      <c r="Q286" s="7">
        <f t="shared" si="66"/>
        <v>60</v>
      </c>
      <c r="R286" s="7">
        <f>COUNTIF(J$8:$J286,"="&amp;J286)</f>
        <v>4</v>
      </c>
      <c r="S286" s="7">
        <f t="shared" ref="S286:S293" si="77">R286*1000+Q286</f>
        <v>4060</v>
      </c>
      <c r="U286" s="2"/>
    </row>
    <row r="287" spans="8:24">
      <c r="H287" s="7" t="str">
        <f>IF(I287="","",COUNTA(I$9:$I287))</f>
        <v/>
      </c>
      <c r="I287" s="3"/>
      <c r="J287" s="6" t="s">
        <v>344</v>
      </c>
      <c r="K287" s="8" t="str">
        <f>IF(H287="","",阶段合并区域(J287:J290," ",L287:L290,1))</f>
        <v/>
      </c>
      <c r="L287" s="8">
        <f>COUNTIF(M$8:$M287,"="&amp;M287)</f>
        <v>8</v>
      </c>
      <c r="M287" s="9" t="str">
        <f t="shared" si="75"/>
        <v>英雄美人</v>
      </c>
      <c r="N287" s="9" t="str">
        <f t="shared" si="76"/>
        <v>英雄美人8</v>
      </c>
      <c r="O287" s="15">
        <f>INDEX(C:C,MATCH(J287,D:D,0))</f>
        <v>76</v>
      </c>
      <c r="P287" s="9">
        <f>INDEX(E:E,MATCH(J287,D:D,0))</f>
        <v>130</v>
      </c>
      <c r="Q287" s="7">
        <f t="shared" si="66"/>
        <v>76</v>
      </c>
      <c r="R287" s="7">
        <f>COUNTIF(J$8:$J287,"="&amp;J287)</f>
        <v>4</v>
      </c>
      <c r="S287" s="7">
        <f t="shared" si="77"/>
        <v>4076</v>
      </c>
      <c r="U287" s="2"/>
    </row>
    <row r="288" spans="8:24">
      <c r="H288" s="7">
        <f>IF(I288="","",COUNTA(I$9:$I288))</f>
        <v>150</v>
      </c>
      <c r="I288" s="3" t="s">
        <v>283</v>
      </c>
      <c r="J288" s="6" t="s">
        <v>359</v>
      </c>
      <c r="K288" s="8" t="str">
        <f>IF(H288="","",阶段合并区域(J288:J291," ",L288:L291,1))</f>
        <v>齐桓公 楚庄王 晋文公 齐桓公</v>
      </c>
      <c r="L288" s="8">
        <f>COUNTIF(M$8:$M288,"="&amp;M288)</f>
        <v>5</v>
      </c>
      <c r="M288" s="9" t="str">
        <f t="shared" si="75"/>
        <v>春秋霸主</v>
      </c>
      <c r="N288" s="9" t="str">
        <f t="shared" si="76"/>
        <v>春秋霸主5</v>
      </c>
      <c r="O288" s="15">
        <f>INDEX(C:C,MATCH(J288,D:D,0))</f>
        <v>38</v>
      </c>
      <c r="P288" s="9">
        <f>INDEX(E:E,MATCH(J288,D:D,0))</f>
        <v>130</v>
      </c>
      <c r="Q288" s="7">
        <f t="shared" si="66"/>
        <v>38</v>
      </c>
      <c r="R288" s="7">
        <f>COUNTIF(J$8:$J288,"="&amp;J288)</f>
        <v>1</v>
      </c>
      <c r="S288" s="7">
        <f t="shared" si="77"/>
        <v>1038</v>
      </c>
    </row>
    <row r="289" spans="8:23">
      <c r="H289" s="7" t="str">
        <f>IF(I289="","",COUNTA(I$9:$I289))</f>
        <v/>
      </c>
      <c r="I289" s="3"/>
      <c r="J289" s="6" t="s">
        <v>253</v>
      </c>
      <c r="K289" s="8" t="str">
        <f>IF(H289="","",阶段合并区域(J289:J292," ",L289:L292,1))</f>
        <v/>
      </c>
      <c r="L289" s="8">
        <f>COUNTIF(M$8:$M289,"="&amp;M289)</f>
        <v>6</v>
      </c>
      <c r="M289" s="9" t="str">
        <f t="shared" si="75"/>
        <v>春秋霸主</v>
      </c>
      <c r="N289" s="9" t="str">
        <f t="shared" si="76"/>
        <v>春秋霸主6</v>
      </c>
      <c r="O289" s="15">
        <f>INDEX(C:C,MATCH(J289,D:D,0))</f>
        <v>15</v>
      </c>
      <c r="P289" s="9">
        <f>INDEX(E:E,MATCH(J289,D:D,0))</f>
        <v>120</v>
      </c>
      <c r="Q289" s="7">
        <f t="shared" si="66"/>
        <v>15</v>
      </c>
      <c r="R289" s="7">
        <f>COUNTIF(J$8:$J289,"="&amp;J289)</f>
        <v>6</v>
      </c>
      <c r="S289" s="7">
        <f t="shared" si="77"/>
        <v>6015</v>
      </c>
    </row>
    <row r="290" spans="8:23">
      <c r="H290" s="7" t="str">
        <f>IF(I290="","",COUNTA(I$9:$I290))</f>
        <v/>
      </c>
      <c r="I290" s="3"/>
      <c r="J290" s="6" t="s">
        <v>282</v>
      </c>
      <c r="K290" s="8" t="str">
        <f>IF(H290="","",阶段合并区域(J290:J293," ",L290:L293,1))</f>
        <v/>
      </c>
      <c r="L290" s="8">
        <f>COUNTIF(M$8:$M290,"="&amp;M290)</f>
        <v>7</v>
      </c>
      <c r="M290" s="9" t="str">
        <f t="shared" si="75"/>
        <v>春秋霸主</v>
      </c>
      <c r="N290" s="9" t="str">
        <f t="shared" si="76"/>
        <v>春秋霸主7</v>
      </c>
      <c r="O290" s="15">
        <f>INDEX(C:C,MATCH(J290,D:D,0))</f>
        <v>65</v>
      </c>
      <c r="P290" s="9">
        <f>INDEX(E:E,MATCH(J290,D:D,0))</f>
        <v>130</v>
      </c>
      <c r="Q290" s="7">
        <f t="shared" si="66"/>
        <v>65</v>
      </c>
      <c r="R290" s="7">
        <f>COUNTIF(J$8:$J290,"="&amp;J290)</f>
        <v>5</v>
      </c>
      <c r="S290" s="7">
        <f t="shared" si="77"/>
        <v>5065</v>
      </c>
    </row>
    <row r="291" spans="8:23">
      <c r="H291" s="7">
        <f>IF(I291="","",COUNTA(I$9:$I291))</f>
        <v>151</v>
      </c>
      <c r="I291" s="3" t="s">
        <v>360</v>
      </c>
      <c r="J291" s="6" t="s">
        <v>359</v>
      </c>
      <c r="K291" s="8" t="str">
        <f>IF(H291="","",阶段合并区域(J291:J294," ",L291:L294,1))</f>
        <v>齐桓公 田单 孙膑 司马穰苴</v>
      </c>
      <c r="L291" s="8">
        <f>COUNTIF(M$8:$M291,"="&amp;M291)</f>
        <v>1</v>
      </c>
      <c r="M291" s="9" t="str">
        <f t="shared" si="75"/>
        <v>荣辱与共</v>
      </c>
      <c r="N291" s="9" t="str">
        <f t="shared" si="76"/>
        <v>荣辱与共1</v>
      </c>
      <c r="O291" s="15">
        <f>INDEX(C:C,MATCH(J291,D:D,0))</f>
        <v>38</v>
      </c>
      <c r="P291" s="9">
        <f>INDEX(E:E,MATCH(J291,D:D,0))</f>
        <v>130</v>
      </c>
      <c r="Q291" s="7">
        <f t="shared" si="66"/>
        <v>38</v>
      </c>
      <c r="R291" s="7">
        <f>COUNTIF(J$8:$J291,"="&amp;J291)</f>
        <v>2</v>
      </c>
      <c r="S291" s="7">
        <f t="shared" si="77"/>
        <v>2038</v>
      </c>
    </row>
    <row r="292" spans="8:23">
      <c r="H292" s="7" t="str">
        <f>IF(I292="","",COUNTA(I$9:$I292))</f>
        <v/>
      </c>
      <c r="I292" s="3"/>
      <c r="J292" s="6" t="s">
        <v>257</v>
      </c>
      <c r="K292" s="8" t="str">
        <f>IF(H292="","",阶段合并区域(J292:J295," ",L292:L295,1))</f>
        <v/>
      </c>
      <c r="L292" s="8">
        <f>COUNTIF(M$8:$M292,"="&amp;M292)</f>
        <v>2</v>
      </c>
      <c r="M292" s="9" t="str">
        <f t="shared" si="75"/>
        <v>荣辱与共</v>
      </c>
      <c r="N292" s="9" t="str">
        <f t="shared" si="76"/>
        <v>荣辱与共2</v>
      </c>
      <c r="O292" s="15">
        <f>INDEX(C:C,MATCH(J292,D:D,0))</f>
        <v>16</v>
      </c>
      <c r="P292" s="9">
        <f>INDEX(E:E,MATCH(J292,D:D,0))</f>
        <v>120</v>
      </c>
      <c r="Q292" s="7">
        <f t="shared" si="66"/>
        <v>16</v>
      </c>
      <c r="R292" s="7">
        <f>COUNTIF(J$8:$J292,"="&amp;J292)</f>
        <v>11</v>
      </c>
      <c r="S292" s="7">
        <f t="shared" si="77"/>
        <v>11016</v>
      </c>
    </row>
    <row r="293" spans="8:23">
      <c r="H293" s="7" t="str">
        <f>IF(I293="","",COUNTA(I$9:$I293))</f>
        <v/>
      </c>
      <c r="I293" s="3"/>
      <c r="J293" s="6" t="s">
        <v>218</v>
      </c>
      <c r="K293" s="8" t="str">
        <f>IF(H293="","",阶段合并区域(J293:J296," ",L293:L296,1))</f>
        <v/>
      </c>
      <c r="L293" s="8">
        <f>COUNTIF(M$8:$M293,"="&amp;M293)</f>
        <v>3</v>
      </c>
      <c r="M293" s="9" t="str">
        <f t="shared" si="75"/>
        <v>荣辱与共</v>
      </c>
      <c r="N293" s="9" t="str">
        <f t="shared" si="76"/>
        <v>荣辱与共3</v>
      </c>
      <c r="O293" s="15">
        <f>INDEX(C:C,MATCH(J293,D:D,0))</f>
        <v>36</v>
      </c>
      <c r="P293" s="9">
        <f>INDEX(E:E,MATCH(J293,D:D,0))</f>
        <v>120</v>
      </c>
      <c r="Q293" s="7">
        <f t="shared" si="66"/>
        <v>36</v>
      </c>
      <c r="R293" s="7">
        <f>COUNTIF(J$8:$J293,"="&amp;J293)</f>
        <v>12</v>
      </c>
      <c r="S293" s="7">
        <f t="shared" si="77"/>
        <v>12036</v>
      </c>
    </row>
    <row r="294" spans="8:23">
      <c r="H294" s="7" t="str">
        <f>IF(I294="","",COUNTA(I$9:$I294))</f>
        <v/>
      </c>
      <c r="I294" s="3"/>
      <c r="J294" s="6" t="s">
        <v>233</v>
      </c>
      <c r="K294" s="8" t="str">
        <f>IF(H294="","",阶段合并区域(J294:J297," ",L294:L297,1))</f>
        <v/>
      </c>
      <c r="L294" s="8">
        <f>COUNTIF(M$8:$M294,"="&amp;M294)</f>
        <v>4</v>
      </c>
      <c r="M294" s="9" t="str">
        <f t="shared" ref="M294:M297" si="78">IF(H294="",M293,I294)</f>
        <v>荣辱与共</v>
      </c>
      <c r="N294" s="9" t="str">
        <f t="shared" ref="N294:N297" si="79">M294&amp;L294</f>
        <v>荣辱与共4</v>
      </c>
      <c r="O294" s="15">
        <f>INDEX(C:C,MATCH(J294,D:D,0))</f>
        <v>34</v>
      </c>
      <c r="P294" s="9">
        <f>INDEX(E:E,MATCH(J294,D:D,0))</f>
        <v>120</v>
      </c>
      <c r="Q294" s="7">
        <f t="shared" si="66"/>
        <v>34</v>
      </c>
      <c r="R294" s="7">
        <f>COUNTIF(J$8:$J294,"="&amp;J294)</f>
        <v>8</v>
      </c>
      <c r="S294" s="7">
        <f t="shared" ref="S294:S297" si="80">R294*1000+Q294</f>
        <v>8034</v>
      </c>
    </row>
    <row r="295" spans="8:23">
      <c r="H295" s="7">
        <f>IF(I295="","",COUNTA(I$9:$I295))</f>
        <v>152</v>
      </c>
      <c r="I295" s="3" t="s">
        <v>361</v>
      </c>
      <c r="J295" s="6" t="s">
        <v>359</v>
      </c>
      <c r="K295" s="8" t="str">
        <f>IF(H295="","",阶段合并区域(J295:J298," ",L295:L298,1))</f>
        <v>齐桓公 吴起 勾践</v>
      </c>
      <c r="L295" s="8">
        <f>COUNTIF(M$8:$M295,"="&amp;M295)</f>
        <v>1</v>
      </c>
      <c r="M295" s="9" t="str">
        <f t="shared" si="78"/>
        <v>能文能武</v>
      </c>
      <c r="N295" s="9" t="str">
        <f t="shared" si="79"/>
        <v>能文能武1</v>
      </c>
      <c r="O295" s="15">
        <f>INDEX(C:C,MATCH(J295,D:D,0))</f>
        <v>38</v>
      </c>
      <c r="P295" s="9">
        <f>INDEX(E:E,MATCH(J295,D:D,0))</f>
        <v>130</v>
      </c>
      <c r="Q295" s="7">
        <f t="shared" si="66"/>
        <v>38</v>
      </c>
      <c r="R295" s="7">
        <f>COUNTIF(J$8:$J295,"="&amp;J295)</f>
        <v>3</v>
      </c>
      <c r="S295" s="7">
        <f t="shared" si="80"/>
        <v>3038</v>
      </c>
    </row>
    <row r="296" spans="8:23">
      <c r="H296" s="7" t="str">
        <f>IF(I296="","",COUNTA(I$9:$I296))</f>
        <v/>
      </c>
      <c r="I296" s="3"/>
      <c r="J296" s="6" t="s">
        <v>232</v>
      </c>
      <c r="K296" s="8" t="str">
        <f>IF(H296="","",阶段合并区域(J296:J299," ",L296:L299,1))</f>
        <v/>
      </c>
      <c r="L296" s="8">
        <f>COUNTIF(M$8:$M296,"="&amp;M296)</f>
        <v>2</v>
      </c>
      <c r="M296" s="9" t="str">
        <f t="shared" si="78"/>
        <v>能文能武</v>
      </c>
      <c r="N296" s="9" t="str">
        <f t="shared" si="79"/>
        <v>能文能武2</v>
      </c>
      <c r="O296" s="15">
        <f>INDEX(C:C,MATCH(J296,D:D,0))</f>
        <v>9</v>
      </c>
      <c r="P296" s="9">
        <f>INDEX(E:E,MATCH(J296,D:D,0))</f>
        <v>130</v>
      </c>
      <c r="Q296" s="7">
        <f t="shared" si="66"/>
        <v>9</v>
      </c>
      <c r="R296" s="7">
        <f>COUNTIF(J$8:$J296,"="&amp;J296)</f>
        <v>6</v>
      </c>
      <c r="S296" s="7">
        <f t="shared" si="80"/>
        <v>6009</v>
      </c>
    </row>
    <row r="297" spans="8:23">
      <c r="H297" s="7" t="str">
        <f>IF(I297="","",COUNTA(I$9:$I297))</f>
        <v/>
      </c>
      <c r="I297" s="3"/>
      <c r="J297" s="6" t="s">
        <v>252</v>
      </c>
      <c r="K297" s="8" t="str">
        <f>IF(H297="","",阶段合并区域(J297:J300," ",L297:L300,1))</f>
        <v/>
      </c>
      <c r="L297" s="8">
        <f>COUNTIF(M$8:$M297,"="&amp;M297)</f>
        <v>3</v>
      </c>
      <c r="M297" s="9" t="str">
        <f t="shared" si="78"/>
        <v>能文能武</v>
      </c>
      <c r="N297" s="9" t="str">
        <f t="shared" si="79"/>
        <v>能文能武3</v>
      </c>
      <c r="O297" s="15">
        <f>INDEX(C:C,MATCH(J297,D:D,0))</f>
        <v>64</v>
      </c>
      <c r="P297" s="9">
        <f>INDEX(E:E,MATCH(J297,D:D,0))</f>
        <v>120</v>
      </c>
      <c r="Q297" s="7">
        <f t="shared" si="66"/>
        <v>64</v>
      </c>
      <c r="R297" s="7">
        <f>COUNTIF(J$8:$J297,"="&amp;J297)</f>
        <v>7</v>
      </c>
      <c r="S297" s="7">
        <f t="shared" si="80"/>
        <v>7064</v>
      </c>
    </row>
    <row r="298" spans="8:23">
      <c r="H298" s="7">
        <f>IF(I298="","",COUNTA(I$9:$I298))</f>
        <v>153</v>
      </c>
      <c r="I298" s="3" t="s">
        <v>363</v>
      </c>
      <c r="J298" s="6" t="s">
        <v>364</v>
      </c>
      <c r="K298" s="8" t="str">
        <f>IF(H298="","",阶段合并区域(J298:J301," ",L298:L301,1))</f>
        <v>吕不韦 范雎 李斯</v>
      </c>
      <c r="L298" s="8">
        <f>COUNTIF(M$8:$M298,"="&amp;M298)</f>
        <v>1</v>
      </c>
      <c r="M298" s="9" t="str">
        <f t="shared" ref="M298:M300" si="81">IF(H298="",M297,I298)</f>
        <v>秦相</v>
      </c>
      <c r="N298" s="9" t="str">
        <f t="shared" ref="N298:N300" si="82">M298&amp;L298</f>
        <v>秦相1</v>
      </c>
      <c r="O298" s="15">
        <f>INDEX(C:C,MATCH(J298,D:D,0))</f>
        <v>18</v>
      </c>
      <c r="P298" s="9">
        <f>INDEX(E:E,MATCH(J298,D:D,0))</f>
        <v>120</v>
      </c>
      <c r="Q298" s="7">
        <f t="shared" si="66"/>
        <v>18</v>
      </c>
      <c r="R298" s="7">
        <f>COUNTIF(J$8:$J298,"="&amp;J298)</f>
        <v>12</v>
      </c>
      <c r="S298" s="7">
        <f t="shared" ref="S298:S300" si="83">R298*1000+Q298</f>
        <v>12018</v>
      </c>
      <c r="U298" s="2"/>
      <c r="V298" s="2"/>
      <c r="W298" s="2"/>
    </row>
    <row r="299" spans="8:23">
      <c r="H299" s="7" t="str">
        <f>IF(I299="","",COUNTA(I$9:$I299))</f>
        <v/>
      </c>
      <c r="I299" s="3"/>
      <c r="J299" s="6" t="s">
        <v>349</v>
      </c>
      <c r="K299" s="8" t="str">
        <f>IF(H299="","",阶段合并区域(J299:J302," ",L299:L302,1))</f>
        <v/>
      </c>
      <c r="L299" s="8">
        <f>COUNTIF(M$8:$M299,"="&amp;M299)</f>
        <v>2</v>
      </c>
      <c r="M299" s="9" t="str">
        <f t="shared" si="81"/>
        <v>秦相</v>
      </c>
      <c r="N299" s="9" t="str">
        <f t="shared" si="82"/>
        <v>秦相2</v>
      </c>
      <c r="O299" s="15">
        <f>INDEX(C:C,MATCH(J299,D:D,0))</f>
        <v>24</v>
      </c>
      <c r="P299" s="9">
        <f>INDEX(E:E,MATCH(J299,D:D,0))</f>
        <v>120</v>
      </c>
      <c r="Q299" s="7">
        <f t="shared" si="66"/>
        <v>24</v>
      </c>
      <c r="R299" s="7">
        <f>COUNTIF(J$8:$J299,"="&amp;J299)</f>
        <v>4</v>
      </c>
      <c r="S299" s="7">
        <f t="shared" si="83"/>
        <v>4024</v>
      </c>
      <c r="U299" s="2"/>
      <c r="V299" s="2"/>
      <c r="W299" s="2"/>
    </row>
    <row r="300" spans="8:23">
      <c r="H300" s="7" t="str">
        <f>IF(I300="","",COUNTA(I$9:$I300))</f>
        <v/>
      </c>
      <c r="I300" s="3"/>
      <c r="J300" s="6" t="s">
        <v>365</v>
      </c>
      <c r="K300" s="8" t="str">
        <f>IF(H300="","",阶段合并区域(J300:J303," ",L300:L303,1))</f>
        <v/>
      </c>
      <c r="L300" s="8">
        <f>COUNTIF(M$8:$M300,"="&amp;M300)</f>
        <v>3</v>
      </c>
      <c r="M300" s="9" t="str">
        <f t="shared" si="81"/>
        <v>秦相</v>
      </c>
      <c r="N300" s="9" t="str">
        <f t="shared" si="82"/>
        <v>秦相3</v>
      </c>
      <c r="O300" s="15">
        <f>INDEX(C:C,MATCH(J300,D:D,0))</f>
        <v>26</v>
      </c>
      <c r="P300" s="9">
        <f>INDEX(E:E,MATCH(J300,D:D,0))</f>
        <v>120</v>
      </c>
      <c r="Q300" s="7">
        <f t="shared" si="66"/>
        <v>26</v>
      </c>
      <c r="R300" s="7">
        <f>COUNTIF(J$8:$J300,"="&amp;J300)</f>
        <v>1</v>
      </c>
      <c r="S300" s="7">
        <f t="shared" si="83"/>
        <v>1026</v>
      </c>
      <c r="U300" s="2"/>
      <c r="V300" s="2"/>
      <c r="W300" s="2"/>
    </row>
    <row r="301" spans="8:23">
      <c r="H301" s="7">
        <f>IF(I301="","",COUNTA(I$9:$I301))</f>
        <v>154</v>
      </c>
      <c r="I301" s="3" t="s">
        <v>366</v>
      </c>
      <c r="J301" s="6" t="s">
        <v>364</v>
      </c>
      <c r="K301" s="8" t="str">
        <f>IF(H301="","",阶段合并区域(J301:J304," ",L301:L304,1))</f>
        <v>吕不韦 范雎 李斯</v>
      </c>
      <c r="L301" s="8">
        <f>COUNTIF(M$8:$M301,"="&amp;M301)</f>
        <v>1</v>
      </c>
      <c r="M301" s="9" t="str">
        <f t="shared" ref="M301:M307" si="84">IF(H301="",M300,I301)</f>
        <v>未能善终</v>
      </c>
      <c r="N301" s="9" t="str">
        <f t="shared" ref="N301:N308" si="85">M301&amp;L301</f>
        <v>未能善终1</v>
      </c>
      <c r="O301" s="15">
        <f>INDEX(C:C,MATCH(J301,D:D,0))</f>
        <v>18</v>
      </c>
      <c r="P301" s="9">
        <f>INDEX(E:E,MATCH(J301,D:D,0))</f>
        <v>120</v>
      </c>
      <c r="Q301" s="7">
        <f t="shared" si="66"/>
        <v>18</v>
      </c>
      <c r="R301" s="7">
        <f>COUNTIF(J$8:$J301,"="&amp;J301)</f>
        <v>13</v>
      </c>
      <c r="S301" s="7">
        <f t="shared" ref="S301:S308" si="86">R301*1000+Q301</f>
        <v>13018</v>
      </c>
      <c r="U301" s="2"/>
      <c r="V301" s="2"/>
      <c r="W301" s="2"/>
    </row>
    <row r="302" spans="8:23">
      <c r="H302" s="7" t="str">
        <f>IF(I302="","",COUNTA(I$9:$I302))</f>
        <v/>
      </c>
      <c r="I302" s="3"/>
      <c r="J302" s="6" t="s">
        <v>349</v>
      </c>
      <c r="K302" s="8" t="str">
        <f>IF(H302="","",阶段合并区域(J302:J305," ",L302:L305,1))</f>
        <v/>
      </c>
      <c r="L302" s="8">
        <f>COUNTIF(M$8:$M302,"="&amp;M302)</f>
        <v>2</v>
      </c>
      <c r="M302" s="9" t="str">
        <f t="shared" si="84"/>
        <v>未能善终</v>
      </c>
      <c r="N302" s="9" t="str">
        <f t="shared" si="85"/>
        <v>未能善终2</v>
      </c>
      <c r="O302" s="15">
        <f>INDEX(C:C,MATCH(J302,D:D,0))</f>
        <v>24</v>
      </c>
      <c r="P302" s="9">
        <f>INDEX(E:E,MATCH(J302,D:D,0))</f>
        <v>120</v>
      </c>
      <c r="Q302" s="7">
        <f t="shared" si="66"/>
        <v>24</v>
      </c>
      <c r="R302" s="7">
        <f>COUNTIF(J$8:$J302,"="&amp;J302)</f>
        <v>5</v>
      </c>
      <c r="S302" s="7">
        <f t="shared" si="86"/>
        <v>5024</v>
      </c>
      <c r="U302" s="2"/>
      <c r="V302" s="2"/>
      <c r="W302" s="2"/>
    </row>
    <row r="303" spans="8:23">
      <c r="H303" s="7" t="str">
        <f>IF(I303="","",COUNTA(I$9:$I303))</f>
        <v/>
      </c>
      <c r="I303" s="3"/>
      <c r="J303" s="6" t="s">
        <v>365</v>
      </c>
      <c r="K303" s="8" t="str">
        <f>IF(H303="","",阶段合并区域(J303:J306," ",L303:L306,1))</f>
        <v/>
      </c>
      <c r="L303" s="8">
        <f>COUNTIF(M$8:$M303,"="&amp;M303)</f>
        <v>3</v>
      </c>
      <c r="M303" s="9" t="str">
        <f t="shared" si="84"/>
        <v>未能善终</v>
      </c>
      <c r="N303" s="9" t="str">
        <f t="shared" si="85"/>
        <v>未能善终3</v>
      </c>
      <c r="O303" s="15">
        <f>INDEX(C:C,MATCH(J303,D:D,0))</f>
        <v>26</v>
      </c>
      <c r="P303" s="9">
        <f>INDEX(E:E,MATCH(J303,D:D,0))</f>
        <v>120</v>
      </c>
      <c r="Q303" s="7">
        <f t="shared" si="66"/>
        <v>26</v>
      </c>
      <c r="R303" s="7">
        <f>COUNTIF(J$8:$J303,"="&amp;J303)</f>
        <v>2</v>
      </c>
      <c r="S303" s="7">
        <f t="shared" si="86"/>
        <v>2026</v>
      </c>
    </row>
    <row r="304" spans="8:23">
      <c r="H304" s="7">
        <f>IF(I304="","",COUNTA(I$9:$I304))</f>
        <v>155</v>
      </c>
      <c r="I304" s="3" t="s">
        <v>367</v>
      </c>
      <c r="J304" s="6" t="s">
        <v>368</v>
      </c>
      <c r="K304" s="8" t="str">
        <f>IF(H304="","",阶段合并区域(J304:J307," ",L304:L307,1))</f>
        <v>韩非子 李斯</v>
      </c>
      <c r="L304" s="8">
        <f>COUNTIF(M$8:$M304,"="&amp;M304)</f>
        <v>1</v>
      </c>
      <c r="M304" s="9" t="str">
        <f t="shared" si="84"/>
        <v>师出同门</v>
      </c>
      <c r="N304" s="9" t="str">
        <f t="shared" si="85"/>
        <v>师出同门1</v>
      </c>
      <c r="O304" s="15">
        <f>INDEX(C:C,MATCH(J304,D:D,0))</f>
        <v>52</v>
      </c>
      <c r="P304" s="9">
        <f>INDEX(E:E,MATCH(J304,D:D,0))</f>
        <v>120</v>
      </c>
      <c r="Q304" s="7">
        <f t="shared" si="66"/>
        <v>52</v>
      </c>
      <c r="R304" s="7">
        <f>COUNTIF(J$8:$J304,"="&amp;J304)</f>
        <v>11</v>
      </c>
      <c r="S304" s="7">
        <f t="shared" si="86"/>
        <v>11052</v>
      </c>
      <c r="U304" s="2"/>
      <c r="V304" s="2"/>
    </row>
    <row r="305" spans="8:23">
      <c r="H305" s="7" t="str">
        <f>IF(I305="","",COUNTA(I$9:$I305))</f>
        <v/>
      </c>
      <c r="I305" s="3"/>
      <c r="J305" s="6" t="s">
        <v>365</v>
      </c>
      <c r="K305" s="8" t="str">
        <f>IF(H305="","",阶段合并区域(J305:J308," ",L305:L308,1))</f>
        <v/>
      </c>
      <c r="L305" s="8">
        <f>COUNTIF(M$8:$M305,"="&amp;M305)</f>
        <v>2</v>
      </c>
      <c r="M305" s="9" t="str">
        <f t="shared" si="84"/>
        <v>师出同门</v>
      </c>
      <c r="N305" s="9" t="str">
        <f t="shared" si="85"/>
        <v>师出同门2</v>
      </c>
      <c r="O305" s="15">
        <f>INDEX(C:C,MATCH(J305,D:D,0))</f>
        <v>26</v>
      </c>
      <c r="P305" s="9">
        <f>INDEX(E:E,MATCH(J305,D:D,0))</f>
        <v>120</v>
      </c>
      <c r="Q305" s="7">
        <f t="shared" si="66"/>
        <v>26</v>
      </c>
      <c r="R305" s="7">
        <f>COUNTIF(J$8:$J305,"="&amp;J305)</f>
        <v>3</v>
      </c>
      <c r="S305" s="7">
        <f t="shared" si="86"/>
        <v>3026</v>
      </c>
      <c r="U305" s="2"/>
      <c r="V305" s="2"/>
    </row>
    <row r="306" spans="8:23">
      <c r="H306" s="7">
        <f>IF(I306="","",COUNTA(I$9:$I306))</f>
        <v>156</v>
      </c>
      <c r="I306" s="3" t="s">
        <v>369</v>
      </c>
      <c r="J306" s="6" t="s">
        <v>370</v>
      </c>
      <c r="K306" s="8" t="str">
        <f>IF(H306="","",阶段合并区域(J306:J309," ",L306:L309,1))</f>
        <v>范增 苏秦</v>
      </c>
      <c r="L306" s="8">
        <f>COUNTIF(M$8:$M306,"="&amp;M306)</f>
        <v>1</v>
      </c>
      <c r="M306" s="9" t="str">
        <f t="shared" si="84"/>
        <v>志在灭秦</v>
      </c>
      <c r="N306" s="9" t="str">
        <f t="shared" si="85"/>
        <v>志在灭秦1</v>
      </c>
      <c r="O306" s="15">
        <f>INDEX(C:C,MATCH(J306,D:D,0))</f>
        <v>22</v>
      </c>
      <c r="P306" s="9">
        <f>INDEX(E:E,MATCH(J306,D:D,0))</f>
        <v>120</v>
      </c>
      <c r="Q306" s="7">
        <f t="shared" si="66"/>
        <v>22</v>
      </c>
      <c r="R306" s="7">
        <f>COUNTIF(J$8:$J306,"="&amp;J306)</f>
        <v>1</v>
      </c>
      <c r="S306" s="7">
        <f t="shared" si="86"/>
        <v>1022</v>
      </c>
      <c r="U306" s="2"/>
      <c r="V306" s="2"/>
      <c r="W306" s="2"/>
    </row>
    <row r="307" spans="8:23">
      <c r="H307" s="7" t="str">
        <f>IF(I307="","",COUNTA(I$9:$I307))</f>
        <v/>
      </c>
      <c r="I307" s="3"/>
      <c r="J307" s="6" t="s">
        <v>230</v>
      </c>
      <c r="K307" s="8" t="str">
        <f>IF(H307="","",阶段合并区域(J307:J310," ",L307:L310,1))</f>
        <v/>
      </c>
      <c r="L307" s="8">
        <f>COUNTIF(M$8:$M307,"="&amp;M307)</f>
        <v>2</v>
      </c>
      <c r="M307" s="9" t="str">
        <f t="shared" si="84"/>
        <v>志在灭秦</v>
      </c>
      <c r="N307" s="9" t="str">
        <f t="shared" si="85"/>
        <v>志在灭秦2</v>
      </c>
      <c r="O307" s="15">
        <f>INDEX(C:C,MATCH(J307,D:D,0))</f>
        <v>57</v>
      </c>
      <c r="P307" s="9">
        <f>INDEX(E:E,MATCH(J307,D:D,0))</f>
        <v>120</v>
      </c>
      <c r="Q307" s="7">
        <f t="shared" si="66"/>
        <v>57</v>
      </c>
      <c r="R307" s="7">
        <f>COUNTIF(J$8:$J307,"="&amp;J307)</f>
        <v>10</v>
      </c>
      <c r="S307" s="7">
        <f t="shared" si="86"/>
        <v>10057</v>
      </c>
      <c r="U307" s="2"/>
      <c r="V307" s="2"/>
      <c r="W307" s="2"/>
    </row>
    <row r="308" spans="8:23">
      <c r="H308" s="7">
        <f>IF(I308="","",COUNTA(I$9:$I308))</f>
        <v>157</v>
      </c>
      <c r="I308" s="3" t="s">
        <v>371</v>
      </c>
      <c r="J308" s="6" t="s">
        <v>370</v>
      </c>
      <c r="K308" s="8" t="str">
        <f>IF(H308="","",阶段合并区域(J308:J311," ",L308:L311,1))</f>
        <v>范增 伍子胥</v>
      </c>
      <c r="L308" s="8">
        <f>COUNTIF(M$8:$M308,"="&amp;M308)</f>
        <v>1</v>
      </c>
      <c r="M308" s="9" t="str">
        <f>IF(H308="",M307,I308)</f>
        <v>暮年壮志</v>
      </c>
      <c r="N308" s="9" t="str">
        <f t="shared" si="85"/>
        <v>暮年壮志1</v>
      </c>
      <c r="O308" s="15">
        <f>INDEX(C:C,MATCH(J308,D:D,0))</f>
        <v>22</v>
      </c>
      <c r="P308" s="9">
        <f>INDEX(E:E,MATCH(J308,D:D,0))</f>
        <v>120</v>
      </c>
      <c r="Q308" s="7">
        <f t="shared" si="66"/>
        <v>22</v>
      </c>
      <c r="R308" s="7">
        <f>COUNTIF(J$8:$J308,"="&amp;J308)</f>
        <v>2</v>
      </c>
      <c r="S308" s="7">
        <f t="shared" si="86"/>
        <v>2022</v>
      </c>
      <c r="U308" s="2"/>
      <c r="V308" s="2"/>
      <c r="W308" s="2"/>
    </row>
    <row r="309" spans="8:23">
      <c r="H309" s="7" t="str">
        <f>IF(I309="","",COUNTA(I$9:$I309))</f>
        <v/>
      </c>
      <c r="I309" s="3"/>
      <c r="J309" s="6" t="s">
        <v>219</v>
      </c>
      <c r="K309" s="8" t="str">
        <f>IF(H309="","",阶段合并区域(J309:J312," ",L309:L312,1))</f>
        <v/>
      </c>
      <c r="L309" s="8">
        <f>COUNTIF(M$8:$M309,"="&amp;M309)</f>
        <v>2</v>
      </c>
      <c r="M309" s="9" t="str">
        <f t="shared" ref="M309:M312" si="87">IF(H309="",M308,I309)</f>
        <v>暮年壮志</v>
      </c>
      <c r="N309" s="9" t="str">
        <f t="shared" ref="N309:N312" si="88">M309&amp;L309</f>
        <v>暮年壮志2</v>
      </c>
      <c r="O309" s="15">
        <f>INDEX(C:C,MATCH(J309,D:D,0))</f>
        <v>62</v>
      </c>
      <c r="P309" s="9">
        <f>INDEX(E:E,MATCH(J309,D:D,0))</f>
        <v>120</v>
      </c>
      <c r="Q309" s="7">
        <f t="shared" si="66"/>
        <v>62</v>
      </c>
      <c r="R309" s="7">
        <f>COUNTIF(J$8:$J309,"="&amp;J309)</f>
        <v>8</v>
      </c>
      <c r="S309" s="7">
        <f t="shared" ref="S309:S312" si="89">R309*1000+Q309</f>
        <v>8062</v>
      </c>
      <c r="U309" s="2"/>
      <c r="V309" s="2"/>
      <c r="W309" s="2"/>
    </row>
    <row r="310" spans="8:23">
      <c r="H310" s="7">
        <f>IF(I310="","",COUNTA(I$9:$I310))</f>
        <v>158</v>
      </c>
      <c r="I310" s="3" t="s">
        <v>384</v>
      </c>
      <c r="J310" s="6" t="s">
        <v>385</v>
      </c>
      <c r="K310" s="8" t="str">
        <f>IF(H310="","",阶段合并区域(J310:J313," ",L310:L313,1))</f>
        <v>范增 李斯 韩非子</v>
      </c>
      <c r="L310" s="8">
        <f>COUNTIF(M$8:$M310,"="&amp;M310)</f>
        <v>1</v>
      </c>
      <c r="M310" s="9" t="str">
        <f t="shared" si="87"/>
        <v>王佐之才</v>
      </c>
      <c r="N310" s="9" t="str">
        <f t="shared" si="88"/>
        <v>王佐之才1</v>
      </c>
      <c r="O310" s="15">
        <f>INDEX(C:C,MATCH(J310,D:D,0))</f>
        <v>22</v>
      </c>
      <c r="P310" s="9">
        <f>INDEX(E:E,MATCH(J310,D:D,0))</f>
        <v>120</v>
      </c>
      <c r="Q310" s="7">
        <f t="shared" si="66"/>
        <v>22</v>
      </c>
      <c r="R310" s="7">
        <f>COUNTIF(J$8:$J310,"="&amp;J310)</f>
        <v>3</v>
      </c>
      <c r="S310" s="7">
        <f t="shared" si="89"/>
        <v>3022</v>
      </c>
    </row>
    <row r="311" spans="8:23">
      <c r="H311" s="7" t="str">
        <f>IF(I311="","",COUNTA(I$9:$I311))</f>
        <v/>
      </c>
      <c r="I311" s="3"/>
      <c r="J311" s="6" t="s">
        <v>386</v>
      </c>
      <c r="K311" s="8" t="str">
        <f>IF(H311="","",阶段合并区域(J311:J314," ",L311:L314,1))</f>
        <v/>
      </c>
      <c r="L311" s="8">
        <f>COUNTIF(M$8:$M311,"="&amp;M311)</f>
        <v>2</v>
      </c>
      <c r="M311" s="9" t="str">
        <f t="shared" si="87"/>
        <v>王佐之才</v>
      </c>
      <c r="N311" s="9" t="str">
        <f t="shared" si="88"/>
        <v>王佐之才2</v>
      </c>
      <c r="O311" s="15">
        <f>INDEX(C:C,MATCH(J311,D:D,0))</f>
        <v>26</v>
      </c>
      <c r="P311" s="9">
        <f>INDEX(E:E,MATCH(J311,D:D,0))</f>
        <v>120</v>
      </c>
      <c r="Q311" s="7">
        <f t="shared" si="66"/>
        <v>26</v>
      </c>
      <c r="R311" s="7">
        <f>COUNTIF(J$8:$J311,"="&amp;J311)</f>
        <v>4</v>
      </c>
      <c r="S311" s="7">
        <f t="shared" si="89"/>
        <v>4026</v>
      </c>
    </row>
    <row r="312" spans="8:23">
      <c r="H312" s="7" t="str">
        <f>IF(I312="","",COUNTA(I$9:$I312))</f>
        <v/>
      </c>
      <c r="I312" s="3"/>
      <c r="J312" s="6" t="s">
        <v>387</v>
      </c>
      <c r="K312" s="8" t="str">
        <f>IF(H312="","",阶段合并区域(J312:J315," ",L312:L315,1))</f>
        <v/>
      </c>
      <c r="L312" s="8">
        <f>COUNTIF(M$8:$M312,"="&amp;M312)</f>
        <v>3</v>
      </c>
      <c r="M312" s="9" t="str">
        <f t="shared" si="87"/>
        <v>王佐之才</v>
      </c>
      <c r="N312" s="9" t="str">
        <f t="shared" si="88"/>
        <v>王佐之才3</v>
      </c>
      <c r="O312" s="15">
        <f>INDEX(C:C,MATCH(J312,D:D,0))</f>
        <v>52</v>
      </c>
      <c r="P312" s="9">
        <f>INDEX(E:E,MATCH(J312,D:D,0))</f>
        <v>120</v>
      </c>
      <c r="Q312" s="7">
        <f t="shared" si="66"/>
        <v>52</v>
      </c>
      <c r="R312" s="7">
        <f>COUNTIF(J$8:$J312,"="&amp;J312)</f>
        <v>12</v>
      </c>
      <c r="S312" s="7">
        <f t="shared" si="89"/>
        <v>12052</v>
      </c>
    </row>
    <row r="313" spans="8:23">
      <c r="H313" s="7">
        <f>IF(I313="","",COUNTA(I$9:$I313))</f>
        <v>159</v>
      </c>
      <c r="I313" s="3" t="s">
        <v>372</v>
      </c>
      <c r="J313" s="6" t="s">
        <v>373</v>
      </c>
      <c r="K313" s="8" t="str">
        <f>IF(H313="","",阶段合并区域(J313:J316," ",L313:L316,1))</f>
        <v>虞姬 弄玉</v>
      </c>
      <c r="L313" s="8">
        <f>COUNTIF(M$8:$M313,"="&amp;M313)</f>
        <v>1</v>
      </c>
      <c r="M313" s="9" t="str">
        <f t="shared" ref="M313:M351" si="90">IF(H313="",M312,I313)</f>
        <v>精通音律</v>
      </c>
      <c r="N313" s="9" t="str">
        <f t="shared" ref="N313:N351" si="91">M313&amp;L313</f>
        <v>精通音律1</v>
      </c>
      <c r="O313" s="15">
        <f>INDEX(C:C,MATCH(J313,D:D,0))</f>
        <v>77</v>
      </c>
      <c r="P313" s="9">
        <f>INDEX(E:E,MATCH(J313,D:D,0))</f>
        <v>130</v>
      </c>
      <c r="Q313" s="7">
        <f t="shared" si="66"/>
        <v>77</v>
      </c>
      <c r="R313" s="7">
        <f>COUNTIF(J$8:$J313,"="&amp;J313)</f>
        <v>1</v>
      </c>
      <c r="S313" s="7">
        <f t="shared" ref="S313:S319" si="92">R313*1000+Q313</f>
        <v>1077</v>
      </c>
    </row>
    <row r="314" spans="8:23">
      <c r="H314" s="7" t="str">
        <f>IF(I314="","",COUNTA(I$9:$I314))</f>
        <v/>
      </c>
      <c r="I314" s="3"/>
      <c r="J314" s="6" t="s">
        <v>374</v>
      </c>
      <c r="K314" s="8" t="str">
        <f>IF(H314="","",阶段合并区域(J314:J317," ",L314:L317,1))</f>
        <v/>
      </c>
      <c r="L314" s="8">
        <f>COUNTIF(M$8:$M314,"="&amp;M314)</f>
        <v>2</v>
      </c>
      <c r="M314" s="9" t="str">
        <f t="shared" si="90"/>
        <v>精通音律</v>
      </c>
      <c r="N314" s="9" t="str">
        <f t="shared" si="91"/>
        <v>精通音律2</v>
      </c>
      <c r="O314" s="15">
        <f>INDEX(C:C,MATCH(J314,D:D,0))</f>
        <v>75</v>
      </c>
      <c r="P314" s="9">
        <f>INDEX(E:E,MATCH(J314,D:D,0))</f>
        <v>130</v>
      </c>
      <c r="Q314" s="7">
        <f t="shared" si="66"/>
        <v>75</v>
      </c>
      <c r="R314" s="7">
        <f>COUNTIF(J$8:$J314,"="&amp;J314)</f>
        <v>5</v>
      </c>
      <c r="S314" s="7">
        <f t="shared" si="92"/>
        <v>5075</v>
      </c>
    </row>
    <row r="315" spans="8:23">
      <c r="H315" s="7">
        <f>IF(I315="","",COUNTA(I$9:$I315))</f>
        <v>160</v>
      </c>
      <c r="I315" s="3" t="s">
        <v>376</v>
      </c>
      <c r="J315" s="6" t="s">
        <v>373</v>
      </c>
      <c r="K315" s="8" t="str">
        <f>IF(H315="","",阶段合并区域(J315:J318," ",L315:L318,1))</f>
        <v>虞姬 西施</v>
      </c>
      <c r="L315" s="8">
        <f>COUNTIF(M$8:$M315,"="&amp;M315)</f>
        <v>1</v>
      </c>
      <c r="M315" s="9" t="str">
        <f t="shared" si="90"/>
        <v>楚楚动人</v>
      </c>
      <c r="N315" s="9" t="str">
        <f t="shared" si="91"/>
        <v>楚楚动人1</v>
      </c>
      <c r="O315" s="15">
        <f>INDEX(C:C,MATCH(J315,D:D,0))</f>
        <v>77</v>
      </c>
      <c r="P315" s="9">
        <f>INDEX(E:E,MATCH(J315,D:D,0))</f>
        <v>130</v>
      </c>
      <c r="Q315" s="7">
        <f t="shared" si="66"/>
        <v>77</v>
      </c>
      <c r="R315" s="7">
        <f>COUNTIF(J$8:$J315,"="&amp;J315)</f>
        <v>2</v>
      </c>
      <c r="S315" s="7">
        <f t="shared" si="92"/>
        <v>2077</v>
      </c>
    </row>
    <row r="316" spans="8:23">
      <c r="H316" s="7" t="str">
        <f>IF(I316="","",COUNTA(I$9:$I316))</f>
        <v/>
      </c>
      <c r="I316" s="3"/>
      <c r="J316" s="6" t="s">
        <v>249</v>
      </c>
      <c r="K316" s="8" t="str">
        <f>IF(H316="","",阶段合并区域(J316:J319," ",L316:L319,1))</f>
        <v/>
      </c>
      <c r="L316" s="8">
        <f>COUNTIF(M$8:$M316,"="&amp;M316)</f>
        <v>2</v>
      </c>
      <c r="M316" s="9" t="str">
        <f t="shared" si="90"/>
        <v>楚楚动人</v>
      </c>
      <c r="N316" s="9" t="str">
        <f t="shared" si="91"/>
        <v>楚楚动人2</v>
      </c>
      <c r="O316" s="15">
        <f>INDEX(C:C,MATCH(J316,D:D,0))</f>
        <v>7</v>
      </c>
      <c r="P316" s="9">
        <f>INDEX(E:E,MATCH(J316,D:D,0))</f>
        <v>120</v>
      </c>
      <c r="Q316" s="7">
        <f t="shared" si="66"/>
        <v>7</v>
      </c>
      <c r="R316" s="7">
        <f>COUNTIF(J$8:$J316,"="&amp;J316)</f>
        <v>8</v>
      </c>
      <c r="S316" s="7">
        <f t="shared" si="92"/>
        <v>8007</v>
      </c>
    </row>
    <row r="317" spans="8:23">
      <c r="H317" s="7">
        <f>IF(I317="","",COUNTA(I$9:$I317))</f>
        <v>161</v>
      </c>
      <c r="I317" s="3" t="s">
        <v>397</v>
      </c>
      <c r="J317" s="6" t="s">
        <v>373</v>
      </c>
      <c r="K317" s="8" t="str">
        <f>IF(H317="","",阶段合并区域(J317:J320," ",L317:L320,1))</f>
        <v>虞姬 信陵君 孟尝君 赵括</v>
      </c>
      <c r="L317" s="8">
        <f>COUNTIF(M$8:$M317,"="&amp;M317)</f>
        <v>1</v>
      </c>
      <c r="M317" s="9" t="str">
        <f t="shared" si="90"/>
        <v>才貌双全</v>
      </c>
      <c r="N317" s="9" t="str">
        <f t="shared" si="91"/>
        <v>才貌双全1</v>
      </c>
      <c r="O317" s="15">
        <f>INDEX(C:C,MATCH(J317,D:D,0))</f>
        <v>77</v>
      </c>
      <c r="P317" s="9">
        <f>INDEX(E:E,MATCH(J317,D:D,0))</f>
        <v>130</v>
      </c>
      <c r="Q317" s="7">
        <f t="shared" si="66"/>
        <v>77</v>
      </c>
      <c r="R317" s="7">
        <f>COUNTIF(J$8:$J317,"="&amp;J317)</f>
        <v>3</v>
      </c>
      <c r="S317" s="7">
        <f t="shared" si="92"/>
        <v>3077</v>
      </c>
    </row>
    <row r="318" spans="8:23">
      <c r="H318" s="7" t="str">
        <f>IF(I318="","",COUNTA(I$9:$I318))</f>
        <v/>
      </c>
      <c r="I318" s="3"/>
      <c r="J318" s="6" t="s">
        <v>377</v>
      </c>
      <c r="K318" s="8" t="str">
        <f>IF(H318="","",阶段合并区域(J318:J321," ",L318:L321,1))</f>
        <v/>
      </c>
      <c r="L318" s="8">
        <f>COUNTIF(M$8:$M318,"="&amp;M318)</f>
        <v>2</v>
      </c>
      <c r="M318" s="9" t="str">
        <f t="shared" si="90"/>
        <v>才貌双全</v>
      </c>
      <c r="N318" s="9" t="str">
        <f t="shared" si="91"/>
        <v>才貌双全2</v>
      </c>
      <c r="O318" s="15">
        <f>INDEX(C:C,MATCH(J318,D:D,0))</f>
        <v>6</v>
      </c>
      <c r="P318" s="9">
        <f>INDEX(E:E,MATCH(J318,D:D,0))</f>
        <v>120</v>
      </c>
      <c r="Q318" s="7">
        <f t="shared" si="66"/>
        <v>6</v>
      </c>
      <c r="R318" s="7">
        <f>COUNTIF(J$8:$J318,"="&amp;J318)</f>
        <v>11</v>
      </c>
      <c r="S318" s="7">
        <f t="shared" si="92"/>
        <v>11006</v>
      </c>
    </row>
    <row r="319" spans="8:23">
      <c r="H319" s="7" t="str">
        <f>IF(I319="","",COUNTA(I$9:$I319))</f>
        <v/>
      </c>
      <c r="I319" s="3"/>
      <c r="J319" s="6" t="s">
        <v>378</v>
      </c>
      <c r="K319" s="8" t="str">
        <f>IF(H319="","",阶段合并区域(J319:J322," ",L319:L322,1))</f>
        <v/>
      </c>
      <c r="L319" s="8">
        <f>COUNTIF(M$8:$M319,"="&amp;M319)</f>
        <v>3</v>
      </c>
      <c r="M319" s="9" t="str">
        <f t="shared" si="90"/>
        <v>才貌双全</v>
      </c>
      <c r="N319" s="9" t="str">
        <f t="shared" si="91"/>
        <v>才貌双全3</v>
      </c>
      <c r="O319" s="15">
        <f>INDEX(C:C,MATCH(J319,D:D,0))</f>
        <v>30</v>
      </c>
      <c r="P319" s="9">
        <f>INDEX(E:E,MATCH(J319,D:D,0))</f>
        <v>120</v>
      </c>
      <c r="Q319" s="7">
        <f t="shared" si="66"/>
        <v>30</v>
      </c>
      <c r="R319" s="7">
        <f>COUNTIF(J$8:$J319,"="&amp;J319)</f>
        <v>4</v>
      </c>
      <c r="S319" s="7">
        <f t="shared" si="92"/>
        <v>4030</v>
      </c>
    </row>
    <row r="320" spans="8:23">
      <c r="H320" s="7" t="str">
        <f>IF(I320="","",COUNTA(I$9:$I320))</f>
        <v/>
      </c>
      <c r="I320" s="3"/>
      <c r="J320" s="6" t="s">
        <v>222</v>
      </c>
      <c r="K320" s="8" t="str">
        <f>IF(H320="","",阶段合并区域(J320:J323," ",L320:L323,1))</f>
        <v/>
      </c>
      <c r="L320" s="8">
        <f>COUNTIF(M$8:$M320,"="&amp;M320)</f>
        <v>4</v>
      </c>
      <c r="M320" s="9" t="str">
        <f t="shared" si="90"/>
        <v>才貌双全</v>
      </c>
      <c r="N320" s="9" t="str">
        <f t="shared" si="91"/>
        <v>才貌双全4</v>
      </c>
      <c r="O320" s="15">
        <f>INDEX(C:C,MATCH(J320,D:D,0))</f>
        <v>71</v>
      </c>
      <c r="P320" s="9">
        <f>INDEX(E:E,MATCH(J320,D:D,0))</f>
        <v>120</v>
      </c>
      <c r="Q320" s="7">
        <f t="shared" si="66"/>
        <v>71</v>
      </c>
      <c r="R320" s="7">
        <f>COUNTIF(J$8:$J320,"="&amp;J320)</f>
        <v>6</v>
      </c>
      <c r="S320" s="7">
        <f t="shared" ref="S320:S351" si="93">R320*1000+Q320</f>
        <v>6071</v>
      </c>
    </row>
    <row r="321" spans="8:19">
      <c r="H321" s="7">
        <f>IF(I321="","",COUNTA(I$9:$I321))</f>
        <v>162</v>
      </c>
      <c r="I321" s="3" t="s">
        <v>379</v>
      </c>
      <c r="J321" s="6" t="s">
        <v>380</v>
      </c>
      <c r="K321" s="8" t="str">
        <f>IF(H321="","",阶段合并区域(J321:J324," ",L321:L324,1))</f>
        <v>项羽 秦武王 廉颇</v>
      </c>
      <c r="L321" s="8">
        <f>COUNTIF(M$8:$M321,"="&amp;M321)</f>
        <v>1</v>
      </c>
      <c r="M321" s="9" t="str">
        <f t="shared" si="90"/>
        <v>勇武过人</v>
      </c>
      <c r="N321" s="9" t="str">
        <f t="shared" si="91"/>
        <v>勇武过人1</v>
      </c>
      <c r="O321" s="15">
        <f>INDEX(C:C,MATCH(J321,D:D,0))</f>
        <v>78</v>
      </c>
      <c r="P321" s="9">
        <f>INDEX(E:E,MATCH(J321,D:D,0))</f>
        <v>140</v>
      </c>
      <c r="Q321" s="7">
        <f t="shared" si="66"/>
        <v>78</v>
      </c>
      <c r="R321" s="7">
        <f>COUNTIF(J$8:$J321,"="&amp;J321)</f>
        <v>1</v>
      </c>
      <c r="S321" s="7">
        <f t="shared" si="93"/>
        <v>1078</v>
      </c>
    </row>
    <row r="322" spans="8:19">
      <c r="H322" s="7" t="str">
        <f>IF(I322="","",COUNTA(I$9:$I322))</f>
        <v/>
      </c>
      <c r="I322" s="3"/>
      <c r="J322" s="6" t="s">
        <v>254</v>
      </c>
      <c r="K322" s="8" t="str">
        <f>IF(H322="","",阶段合并区域(J322:J325," ",L322:L325,1))</f>
        <v/>
      </c>
      <c r="L322" s="8">
        <f>COUNTIF(M$8:$M322,"="&amp;M322)</f>
        <v>2</v>
      </c>
      <c r="M322" s="9" t="str">
        <f t="shared" si="90"/>
        <v>勇武过人</v>
      </c>
      <c r="N322" s="9" t="str">
        <f t="shared" si="91"/>
        <v>勇武过人2</v>
      </c>
      <c r="O322" s="15">
        <f>INDEX(C:C,MATCH(J322,D:D,0))</f>
        <v>20</v>
      </c>
      <c r="P322" s="9">
        <f>INDEX(E:E,MATCH(J322,D:D,0))</f>
        <v>120</v>
      </c>
      <c r="Q322" s="7">
        <f t="shared" si="66"/>
        <v>20</v>
      </c>
      <c r="R322" s="7">
        <f>COUNTIF(J$8:$J322,"="&amp;J322)</f>
        <v>10</v>
      </c>
      <c r="S322" s="7">
        <f t="shared" si="93"/>
        <v>10020</v>
      </c>
    </row>
    <row r="323" spans="8:19">
      <c r="H323" s="7" t="str">
        <f>IF(I323="","",COUNTA(I$9:$I323))</f>
        <v/>
      </c>
      <c r="I323" s="3"/>
      <c r="J323" s="6" t="s">
        <v>255</v>
      </c>
      <c r="K323" s="8" t="str">
        <f>IF(H323="","",阶段合并区域(J323:J326," ",L323:L326,1))</f>
        <v/>
      </c>
      <c r="L323" s="8">
        <f>COUNTIF(M$8:$M323,"="&amp;M323)</f>
        <v>3</v>
      </c>
      <c r="M323" s="9" t="str">
        <f t="shared" si="90"/>
        <v>勇武过人</v>
      </c>
      <c r="N323" s="9" t="str">
        <f t="shared" si="91"/>
        <v>勇武过人3</v>
      </c>
      <c r="O323" s="15">
        <f>INDEX(C:C,MATCH(J323,D:D,0))</f>
        <v>5</v>
      </c>
      <c r="P323" s="9">
        <f>INDEX(E:E,MATCH(J323,D:D,0))</f>
        <v>130</v>
      </c>
      <c r="Q323" s="7">
        <f t="shared" si="66"/>
        <v>5</v>
      </c>
      <c r="R323" s="7">
        <f>COUNTIF(J$8:$J323,"="&amp;J323)</f>
        <v>6</v>
      </c>
      <c r="S323" s="7">
        <f t="shared" si="93"/>
        <v>6005</v>
      </c>
    </row>
    <row r="324" spans="8:19">
      <c r="H324" s="7">
        <f>IF(I324="","",COUNTA(I$9:$I324))</f>
        <v>163</v>
      </c>
      <c r="I324" s="3" t="s">
        <v>381</v>
      </c>
      <c r="J324" s="6" t="s">
        <v>380</v>
      </c>
      <c r="K324" s="8" t="str">
        <f>IF(H324="","",阶段合并区域(J324:J327," ",L324:L327,1))</f>
        <v>项羽 虞姬</v>
      </c>
      <c r="L324" s="8">
        <f>COUNTIF(M$8:$M324,"="&amp;M324)</f>
        <v>1</v>
      </c>
      <c r="M324" s="9" t="str">
        <f t="shared" si="90"/>
        <v>霸王别姬</v>
      </c>
      <c r="N324" s="9" t="str">
        <f t="shared" si="91"/>
        <v>霸王别姬1</v>
      </c>
      <c r="O324" s="15">
        <f>INDEX(C:C,MATCH(J324,D:D,0))</f>
        <v>78</v>
      </c>
      <c r="P324" s="9">
        <f>INDEX(E:E,MATCH(J324,D:D,0))</f>
        <v>140</v>
      </c>
      <c r="Q324" s="7">
        <f t="shared" si="66"/>
        <v>78</v>
      </c>
      <c r="R324" s="7">
        <f>COUNTIF(J$8:$J324,"="&amp;J324)</f>
        <v>2</v>
      </c>
      <c r="S324" s="7">
        <f t="shared" si="93"/>
        <v>2078</v>
      </c>
    </row>
    <row r="325" spans="8:19">
      <c r="H325" s="7" t="str">
        <f>IF(I325="","",COUNTA(I$9:$I325))</f>
        <v/>
      </c>
      <c r="I325" s="3"/>
      <c r="J325" s="6" t="s">
        <v>373</v>
      </c>
      <c r="K325" s="8" t="str">
        <f>IF(H325="","",阶段合并区域(J325:J328," ",L325:L328,1))</f>
        <v/>
      </c>
      <c r="L325" s="8">
        <f>COUNTIF(M$8:$M325,"="&amp;M325)</f>
        <v>2</v>
      </c>
      <c r="M325" s="9" t="str">
        <f t="shared" si="90"/>
        <v>霸王别姬</v>
      </c>
      <c r="N325" s="9" t="str">
        <f t="shared" si="91"/>
        <v>霸王别姬2</v>
      </c>
      <c r="O325" s="15">
        <f>INDEX(C:C,MATCH(J325,D:D,0))</f>
        <v>77</v>
      </c>
      <c r="P325" s="9">
        <f>INDEX(E:E,MATCH(J325,D:D,0))</f>
        <v>130</v>
      </c>
      <c r="Q325" s="7">
        <f t="shared" si="66"/>
        <v>77</v>
      </c>
      <c r="R325" s="7">
        <f>COUNTIF(J$8:$J325,"="&amp;J325)</f>
        <v>4</v>
      </c>
      <c r="S325" s="7">
        <f t="shared" si="93"/>
        <v>4077</v>
      </c>
    </row>
    <row r="326" spans="8:19">
      <c r="H326" s="7">
        <f>IF(I326="","",COUNTA(I$9:$I326))</f>
        <v>164</v>
      </c>
      <c r="I326" s="3" t="s">
        <v>382</v>
      </c>
      <c r="J326" s="6" t="s">
        <v>380</v>
      </c>
      <c r="K326" s="8" t="str">
        <f>IF(H326="","",阶段合并区域(J326:J329," ",L326:L329,1))</f>
        <v>项羽 楚庄王 屈原</v>
      </c>
      <c r="L326" s="8">
        <f>COUNTIF(M$8:$M326,"="&amp;M326)</f>
        <v>1</v>
      </c>
      <c r="M326" s="9" t="str">
        <f t="shared" si="90"/>
        <v>楚国翘楚</v>
      </c>
      <c r="N326" s="9" t="str">
        <f t="shared" si="91"/>
        <v>楚国翘楚1</v>
      </c>
      <c r="O326" s="15">
        <f>INDEX(C:C,MATCH(J326,D:D,0))</f>
        <v>78</v>
      </c>
      <c r="P326" s="9">
        <f>INDEX(E:E,MATCH(J326,D:D,0))</f>
        <v>140</v>
      </c>
      <c r="Q326" s="7">
        <f t="shared" si="66"/>
        <v>78</v>
      </c>
      <c r="R326" s="7">
        <f>COUNTIF(J$8:$J326,"="&amp;J326)</f>
        <v>3</v>
      </c>
      <c r="S326" s="7">
        <f t="shared" si="93"/>
        <v>3078</v>
      </c>
    </row>
    <row r="327" spans="8:19">
      <c r="H327" s="7" t="str">
        <f>IF(I327="","",COUNTA(I$9:$I327))</f>
        <v/>
      </c>
      <c r="I327" s="3"/>
      <c r="J327" s="6" t="s">
        <v>383</v>
      </c>
      <c r="K327" s="8" t="str">
        <f>IF(H327="","",阶段合并区域(J327:J330," ",L327:L330,1))</f>
        <v/>
      </c>
      <c r="L327" s="8">
        <f>COUNTIF(M$8:$M327,"="&amp;M327)</f>
        <v>2</v>
      </c>
      <c r="M327" s="9" t="str">
        <f t="shared" si="90"/>
        <v>楚国翘楚</v>
      </c>
      <c r="N327" s="9" t="str">
        <f t="shared" si="91"/>
        <v>楚国翘楚2</v>
      </c>
      <c r="O327" s="15">
        <f>INDEX(C:C,MATCH(J327,D:D,0))</f>
        <v>15</v>
      </c>
      <c r="P327" s="9">
        <f>INDEX(E:E,MATCH(J327,D:D,0))</f>
        <v>120</v>
      </c>
      <c r="Q327" s="7">
        <f t="shared" si="66"/>
        <v>15</v>
      </c>
      <c r="R327" s="7">
        <f>COUNTIF(J$8:$J327,"="&amp;J327)</f>
        <v>7</v>
      </c>
      <c r="S327" s="7">
        <f t="shared" si="93"/>
        <v>7015</v>
      </c>
    </row>
    <row r="328" spans="8:19">
      <c r="H328" s="7" t="str">
        <f>IF(I328="","",COUNTA(I$9:$I328))</f>
        <v/>
      </c>
      <c r="I328" s="3"/>
      <c r="J328" s="6" t="s">
        <v>392</v>
      </c>
      <c r="K328" s="8" t="str">
        <f>IF(H328="","",阶段合并区域(J328:J331," ",L328:L331,1))</f>
        <v/>
      </c>
      <c r="L328" s="8">
        <f>COUNTIF(M$8:$M328,"="&amp;M328)</f>
        <v>3</v>
      </c>
      <c r="M328" s="9" t="str">
        <f t="shared" si="90"/>
        <v>楚国翘楚</v>
      </c>
      <c r="N328" s="9" t="str">
        <f t="shared" si="91"/>
        <v>楚国翘楚3</v>
      </c>
      <c r="O328" s="15">
        <f>INDEX(C:C,MATCH(J328,D:D,0))</f>
        <v>40</v>
      </c>
      <c r="P328" s="9">
        <f>INDEX(E:E,MATCH(J328,D:D,0))</f>
        <v>120</v>
      </c>
      <c r="Q328" s="7">
        <f t="shared" si="66"/>
        <v>40</v>
      </c>
      <c r="R328" s="7">
        <f>COUNTIF(J$8:$J328,"="&amp;J328)</f>
        <v>12</v>
      </c>
      <c r="S328" s="7">
        <f t="shared" si="93"/>
        <v>12040</v>
      </c>
    </row>
    <row r="329" spans="8:19">
      <c r="H329" s="7">
        <f>IF(I329="","",COUNTA(I$9:$I329))</f>
        <v>165</v>
      </c>
      <c r="I329" s="3" t="s">
        <v>389</v>
      </c>
      <c r="J329" s="6" t="s">
        <v>393</v>
      </c>
      <c r="K329" s="8" t="str">
        <f>IF(H329="","",阶段合并区域(J329:J332," ",L329:L332,1))</f>
        <v>吕雉 庞涓</v>
      </c>
      <c r="L329" s="8">
        <f>COUNTIF(M$8:$M329,"="&amp;M329)</f>
        <v>1</v>
      </c>
      <c r="M329" s="9" t="str">
        <f t="shared" si="90"/>
        <v>心狠手辣</v>
      </c>
      <c r="N329" s="9" t="str">
        <f t="shared" si="91"/>
        <v>心狠手辣1</v>
      </c>
      <c r="O329" s="15">
        <f>INDEX(C:C,MATCH(J329,D:D,0))</f>
        <v>12</v>
      </c>
      <c r="P329" s="9">
        <f>INDEX(E:E,MATCH(J329,D:D,0))</f>
        <v>130</v>
      </c>
      <c r="Q329" s="7">
        <f t="shared" ref="Q329:Q392" si="94">INDEX($C$9:$C$190,MATCH(J329,$D$9:$D$190,0))</f>
        <v>12</v>
      </c>
      <c r="R329" s="7">
        <f>COUNTIF(J$8:$J329,"="&amp;J329)</f>
        <v>4</v>
      </c>
      <c r="S329" s="7">
        <f t="shared" si="93"/>
        <v>4012</v>
      </c>
    </row>
    <row r="330" spans="8:19">
      <c r="H330" s="7" t="str">
        <f>IF(I330="","",COUNTA(I$9:$I330))</f>
        <v/>
      </c>
      <c r="I330" s="3"/>
      <c r="J330" s="6" t="s">
        <v>394</v>
      </c>
      <c r="K330" s="8" t="str">
        <f>IF(H330="","",阶段合并区域(J330:J333," ",L330:L333,1))</f>
        <v/>
      </c>
      <c r="L330" s="8">
        <f>COUNTIF(M$8:$M330,"="&amp;M330)</f>
        <v>2</v>
      </c>
      <c r="M330" s="9" t="str">
        <f t="shared" si="90"/>
        <v>心狠手辣</v>
      </c>
      <c r="N330" s="9" t="str">
        <f t="shared" si="91"/>
        <v>心狠手辣2</v>
      </c>
      <c r="O330" s="15">
        <f>INDEX(C:C,MATCH(J330,D:D,0))</f>
        <v>49</v>
      </c>
      <c r="P330" s="9">
        <f>INDEX(E:E,MATCH(J330,D:D,0))</f>
        <v>110</v>
      </c>
      <c r="Q330" s="7">
        <f t="shared" si="94"/>
        <v>49</v>
      </c>
      <c r="R330" s="7">
        <f>COUNTIF(J$8:$J330,"="&amp;J330)</f>
        <v>3</v>
      </c>
      <c r="S330" s="7">
        <f t="shared" si="93"/>
        <v>3049</v>
      </c>
    </row>
    <row r="331" spans="8:19">
      <c r="H331" s="7">
        <f>IF(I331="","",COUNTA(I$9:$I331))</f>
        <v>166</v>
      </c>
      <c r="I331" s="3" t="s">
        <v>390</v>
      </c>
      <c r="J331" s="6" t="s">
        <v>393</v>
      </c>
      <c r="K331" s="8" t="str">
        <f>IF(H331="","",阶段合并区域(J331:J334," ",L331:L334,1))</f>
        <v>吕雉 吕不韦 信陵君 申不害</v>
      </c>
      <c r="L331" s="8">
        <f>COUNTIF(M$8:$M331,"="&amp;M331)</f>
        <v>1</v>
      </c>
      <c r="M331" s="9" t="str">
        <f t="shared" si="90"/>
        <v>权倾一时</v>
      </c>
      <c r="N331" s="9" t="str">
        <f t="shared" si="91"/>
        <v>权倾一时1</v>
      </c>
      <c r="O331" s="15">
        <f>INDEX(C:C,MATCH(J331,D:D,0))</f>
        <v>12</v>
      </c>
      <c r="P331" s="9">
        <f>INDEX(E:E,MATCH(J331,D:D,0))</f>
        <v>130</v>
      </c>
      <c r="Q331" s="7">
        <f t="shared" si="94"/>
        <v>12</v>
      </c>
      <c r="R331" s="7">
        <f>COUNTIF(J$8:$J331,"="&amp;J331)</f>
        <v>5</v>
      </c>
      <c r="S331" s="7">
        <f t="shared" si="93"/>
        <v>5012</v>
      </c>
    </row>
    <row r="332" spans="8:19">
      <c r="H332" s="7" t="str">
        <f>IF(I332="","",COUNTA(I$9:$I332))</f>
        <v/>
      </c>
      <c r="I332" s="3"/>
      <c r="J332" s="6" t="s">
        <v>215</v>
      </c>
      <c r="K332" s="8" t="str">
        <f>IF(H332="","",阶段合并区域(J332:J335," ",L332:L335,1))</f>
        <v/>
      </c>
      <c r="L332" s="8">
        <f>COUNTIF(M$8:$M332,"="&amp;M332)</f>
        <v>2</v>
      </c>
      <c r="M332" s="9" t="str">
        <f t="shared" si="90"/>
        <v>权倾一时</v>
      </c>
      <c r="N332" s="9" t="str">
        <f t="shared" si="91"/>
        <v>权倾一时2</v>
      </c>
      <c r="O332" s="15">
        <f>INDEX(C:C,MATCH(J332,D:D,0))</f>
        <v>18</v>
      </c>
      <c r="P332" s="9">
        <f>INDEX(E:E,MATCH(J332,D:D,0))</f>
        <v>120</v>
      </c>
      <c r="Q332" s="7">
        <f t="shared" si="94"/>
        <v>18</v>
      </c>
      <c r="R332" s="7">
        <f>COUNTIF(J$8:$J332,"="&amp;J332)</f>
        <v>14</v>
      </c>
      <c r="S332" s="7">
        <f t="shared" si="93"/>
        <v>14018</v>
      </c>
    </row>
    <row r="333" spans="8:19">
      <c r="H333" s="7" t="str">
        <f>IF(I333="","",COUNTA(I$9:$I333))</f>
        <v/>
      </c>
      <c r="I333" s="3"/>
      <c r="J333" s="6" t="s">
        <v>395</v>
      </c>
      <c r="K333" s="8" t="str">
        <f>IF(H333="","",阶段合并区域(J333:J336," ",L333:L336,1))</f>
        <v/>
      </c>
      <c r="L333" s="8"/>
      <c r="M333" s="9" t="str">
        <f t="shared" si="90"/>
        <v>权倾一时</v>
      </c>
      <c r="N333" s="9" t="str">
        <f t="shared" si="91"/>
        <v>权倾一时</v>
      </c>
      <c r="O333" s="15">
        <f>INDEX(C:C,MATCH(J333,D:D,0))</f>
        <v>6</v>
      </c>
      <c r="P333" s="9">
        <f>INDEX(E:E,MATCH(J333,D:D,0))</f>
        <v>120</v>
      </c>
      <c r="Q333" s="7">
        <f t="shared" si="94"/>
        <v>6</v>
      </c>
      <c r="R333" s="7">
        <f>COUNTIF(J$8:$J333,"="&amp;J333)</f>
        <v>12</v>
      </c>
      <c r="S333" s="7">
        <f t="shared" si="93"/>
        <v>12006</v>
      </c>
    </row>
    <row r="334" spans="8:19">
      <c r="H334" s="7" t="str">
        <f>IF(I334="","",COUNTA(I$9:$I334))</f>
        <v/>
      </c>
      <c r="I334" s="3"/>
      <c r="J334" s="6" t="s">
        <v>396</v>
      </c>
      <c r="K334" s="8" t="str">
        <f>IF(H334="","",阶段合并区域(J334:J337," ",L334:L337,1))</f>
        <v/>
      </c>
      <c r="L334" s="8"/>
      <c r="M334" s="9" t="str">
        <f t="shared" si="90"/>
        <v>权倾一时</v>
      </c>
      <c r="N334" s="9" t="str">
        <f t="shared" si="91"/>
        <v>权倾一时</v>
      </c>
      <c r="O334" s="15">
        <f>INDEX(C:C,MATCH(J334,D:D,0))</f>
        <v>54</v>
      </c>
      <c r="P334" s="9">
        <f>INDEX(E:E,MATCH(J334,D:D,0))</f>
        <v>120</v>
      </c>
      <c r="Q334" s="7">
        <f t="shared" si="94"/>
        <v>54</v>
      </c>
      <c r="R334" s="7">
        <f>COUNTIF(J$8:$J334,"="&amp;J334)</f>
        <v>8</v>
      </c>
      <c r="S334" s="7">
        <f t="shared" si="93"/>
        <v>8054</v>
      </c>
    </row>
    <row r="335" spans="8:19">
      <c r="H335" s="7">
        <f>IF(I335="","",COUNTA(I$9:$I335))</f>
        <v>167</v>
      </c>
      <c r="I335" s="3" t="s">
        <v>391</v>
      </c>
      <c r="J335" s="6" t="s">
        <v>393</v>
      </c>
      <c r="K335" s="8" t="str">
        <f>IF(H335="","",阶段合并区域(J335:J338," ",L335:L338,1))</f>
        <v>吕雉 李斯 嬴政</v>
      </c>
      <c r="L335" s="8">
        <f>COUNTIF(M$8:$M335,"="&amp;M335)</f>
        <v>1</v>
      </c>
      <c r="M335" s="9" t="str">
        <f t="shared" si="90"/>
        <v>执掌天下</v>
      </c>
      <c r="N335" s="9" t="str">
        <f t="shared" si="91"/>
        <v>执掌天下1</v>
      </c>
      <c r="O335" s="15">
        <f>INDEX(C:C,MATCH(J335,D:D,0))</f>
        <v>12</v>
      </c>
      <c r="P335" s="9">
        <f>INDEX(E:E,MATCH(J335,D:D,0))</f>
        <v>130</v>
      </c>
      <c r="Q335" s="7">
        <f t="shared" si="94"/>
        <v>12</v>
      </c>
      <c r="R335" s="7">
        <f>COUNTIF(J$8:$J335,"="&amp;J335)</f>
        <v>6</v>
      </c>
      <c r="S335" s="7">
        <f t="shared" si="93"/>
        <v>6012</v>
      </c>
    </row>
    <row r="336" spans="8:19">
      <c r="H336" s="7" t="str">
        <f>IF(I336="","",COUNTA(I$9:$I336))</f>
        <v/>
      </c>
      <c r="I336" s="3"/>
      <c r="J336" s="6" t="s">
        <v>386</v>
      </c>
      <c r="K336" s="8" t="str">
        <f>IF(H336="","",阶段合并区域(J336:J339," ",L336:L339,1))</f>
        <v/>
      </c>
      <c r="L336" s="8">
        <f>COUNTIF(M$8:$M336,"="&amp;M336)</f>
        <v>2</v>
      </c>
      <c r="M336" s="9" t="str">
        <f t="shared" si="90"/>
        <v>执掌天下</v>
      </c>
      <c r="N336" s="9" t="str">
        <f t="shared" si="91"/>
        <v>执掌天下2</v>
      </c>
      <c r="O336" s="15">
        <f>INDEX(C:C,MATCH(J336,D:D,0))</f>
        <v>26</v>
      </c>
      <c r="P336" s="9">
        <f>INDEX(E:E,MATCH(J336,D:D,0))</f>
        <v>120</v>
      </c>
      <c r="Q336" s="7">
        <f t="shared" si="94"/>
        <v>26</v>
      </c>
      <c r="R336" s="7">
        <f>COUNTIF(J$8:$J336,"="&amp;J336)</f>
        <v>5</v>
      </c>
      <c r="S336" s="7">
        <f t="shared" si="93"/>
        <v>5026</v>
      </c>
    </row>
    <row r="337" spans="8:19">
      <c r="H337" s="7" t="str">
        <f>IF(I337="","",COUNTA(I$9:$I337))</f>
        <v/>
      </c>
      <c r="I337" s="3"/>
      <c r="J337" s="6" t="s">
        <v>339</v>
      </c>
      <c r="K337" s="8" t="str">
        <f>IF(H337="","",阶段合并区域(J337:J340," ",L337:L340,1))</f>
        <v/>
      </c>
      <c r="L337" s="8">
        <f>COUNTIF(M$8:$M337,"="&amp;M337)</f>
        <v>3</v>
      </c>
      <c r="M337" s="9" t="str">
        <f t="shared" si="90"/>
        <v>执掌天下</v>
      </c>
      <c r="N337" s="9" t="str">
        <f t="shared" si="91"/>
        <v>执掌天下3</v>
      </c>
      <c r="O337" s="15">
        <f>INDEX(C:C,MATCH(J337,D:D,0))</f>
        <v>73</v>
      </c>
      <c r="P337" s="9">
        <f>INDEX(E:E,MATCH(J337,D:D,0))</f>
        <v>130</v>
      </c>
      <c r="Q337" s="7">
        <f t="shared" si="94"/>
        <v>73</v>
      </c>
      <c r="R337" s="7">
        <f>COUNTIF(J$8:$J337,"="&amp;J337)</f>
        <v>4</v>
      </c>
      <c r="S337" s="7">
        <f t="shared" si="93"/>
        <v>4073</v>
      </c>
    </row>
    <row r="338" spans="8:19">
      <c r="H338" s="7">
        <f>IF(I338="","",COUNTA(I$9:$I338))</f>
        <v>168</v>
      </c>
      <c r="I338" s="3" t="s">
        <v>406</v>
      </c>
      <c r="J338" s="6" t="s">
        <v>407</v>
      </c>
      <c r="K338" s="8" t="str">
        <f>IF(H338="","",阶段合并区域(J338:J341," ",L338:L341,1))</f>
        <v>刘邦 嬴政</v>
      </c>
      <c r="L338" s="8">
        <f>COUNTIF(M$8:$M338,"="&amp;M338)</f>
        <v>1</v>
      </c>
      <c r="M338" s="9" t="str">
        <f t="shared" si="90"/>
        <v>一统天下</v>
      </c>
      <c r="N338" s="9" t="str">
        <f t="shared" si="91"/>
        <v>一统天下1</v>
      </c>
      <c r="O338" s="15">
        <f>INDEX(C:C,MATCH(J338,D:D,0))</f>
        <v>79</v>
      </c>
      <c r="P338" s="9">
        <f>INDEX(E:E,MATCH(J338,D:D,0))</f>
        <v>130</v>
      </c>
      <c r="Q338" s="7">
        <f t="shared" si="94"/>
        <v>79</v>
      </c>
      <c r="R338" s="7">
        <f>COUNTIF(J$8:$J338,"="&amp;J338)</f>
        <v>1</v>
      </c>
      <c r="S338" s="7">
        <f t="shared" si="93"/>
        <v>1079</v>
      </c>
    </row>
    <row r="339" spans="8:19">
      <c r="H339" s="7" t="str">
        <f>IF(I339="","",COUNTA(I$9:$I339))</f>
        <v/>
      </c>
      <c r="I339" s="3"/>
      <c r="J339" s="6" t="s">
        <v>408</v>
      </c>
      <c r="K339" s="8" t="str">
        <f>IF(H339="","",阶段合并区域(J339:J342," ",L339:L342,1))</f>
        <v/>
      </c>
      <c r="L339" s="8">
        <f>COUNTIF(M$8:$M339,"="&amp;M339)</f>
        <v>2</v>
      </c>
      <c r="M339" s="9" t="str">
        <f t="shared" si="90"/>
        <v>一统天下</v>
      </c>
      <c r="N339" s="9" t="str">
        <f t="shared" si="91"/>
        <v>一统天下2</v>
      </c>
      <c r="O339" s="15">
        <f>INDEX(C:C,MATCH(J339,D:D,0))</f>
        <v>73</v>
      </c>
      <c r="P339" s="9">
        <f>INDEX(E:E,MATCH(J339,D:D,0))</f>
        <v>130</v>
      </c>
      <c r="Q339" s="7">
        <f t="shared" si="94"/>
        <v>73</v>
      </c>
      <c r="R339" s="7">
        <f>COUNTIF(J$8:$J339,"="&amp;J339)</f>
        <v>5</v>
      </c>
      <c r="S339" s="7">
        <f t="shared" si="93"/>
        <v>5073</v>
      </c>
    </row>
    <row r="340" spans="8:19">
      <c r="H340" s="7">
        <f>IF(I340="","",COUNTA(I$9:$I340))</f>
        <v>169</v>
      </c>
      <c r="I340" s="3" t="s">
        <v>409</v>
      </c>
      <c r="J340" s="6" t="s">
        <v>407</v>
      </c>
      <c r="K340" s="8" t="str">
        <f>IF(H340="","",阶段合并区域(J340:J343," ",L340:L343,1))</f>
        <v>刘邦 韩信 彭越</v>
      </c>
      <c r="L340" s="8">
        <f>COUNTIF(M$8:$M340,"="&amp;M340)</f>
        <v>1</v>
      </c>
      <c r="M340" s="9" t="str">
        <f t="shared" si="90"/>
        <v>知人善用</v>
      </c>
      <c r="N340" s="9" t="str">
        <f t="shared" si="91"/>
        <v>知人善用1</v>
      </c>
      <c r="O340" s="15">
        <f>INDEX(C:C,MATCH(J340,D:D,0))</f>
        <v>79</v>
      </c>
      <c r="P340" s="9">
        <f>INDEX(E:E,MATCH(J340,D:D,0))</f>
        <v>130</v>
      </c>
      <c r="Q340" s="7">
        <f t="shared" si="94"/>
        <v>79</v>
      </c>
      <c r="R340" s="7">
        <f>COUNTIF(J$8:$J340,"="&amp;J340)</f>
        <v>2</v>
      </c>
      <c r="S340" s="7">
        <f t="shared" si="93"/>
        <v>2079</v>
      </c>
    </row>
    <row r="341" spans="8:19">
      <c r="H341" s="7" t="str">
        <f>IF(I341="","",COUNTA(I$9:$I341))</f>
        <v/>
      </c>
      <c r="I341" s="3"/>
      <c r="J341" s="6" t="s">
        <v>402</v>
      </c>
      <c r="K341" s="8" t="str">
        <f>IF(H341="","",阶段合并区域(J341:J344," ",L341:L344,1))</f>
        <v/>
      </c>
      <c r="L341" s="8">
        <f>COUNTIF(M$8:$M341,"="&amp;M341)</f>
        <v>2</v>
      </c>
      <c r="M341" s="9" t="str">
        <f t="shared" si="90"/>
        <v>知人善用</v>
      </c>
      <c r="N341" s="9" t="str">
        <f t="shared" si="91"/>
        <v>知人善用2</v>
      </c>
      <c r="O341" s="15">
        <f>INDEX(C:C,MATCH(J341,D:D,0))</f>
        <v>80</v>
      </c>
      <c r="P341" s="9">
        <f>INDEX(E:E,MATCH(J341,D:D,0))</f>
        <v>130</v>
      </c>
      <c r="Q341" s="7">
        <f t="shared" si="94"/>
        <v>80</v>
      </c>
      <c r="R341" s="7">
        <f>COUNTIF(J$8:$J341,"="&amp;J341)</f>
        <v>1</v>
      </c>
      <c r="S341" s="7">
        <f t="shared" si="93"/>
        <v>1080</v>
      </c>
    </row>
    <row r="342" spans="8:19">
      <c r="H342" s="7" t="str">
        <f>IF(I342="","",COUNTA(I$9:$I342))</f>
        <v/>
      </c>
      <c r="I342" s="3"/>
      <c r="J342" s="6" t="s">
        <v>410</v>
      </c>
      <c r="K342" s="8" t="str">
        <f>IF(H342="","",阶段合并区域(J342:J345," ",L342:L345,1))</f>
        <v/>
      </c>
      <c r="L342" s="8">
        <f>COUNTIF(M$8:$M342,"="&amp;M342)</f>
        <v>3</v>
      </c>
      <c r="M342" s="9" t="str">
        <f t="shared" si="90"/>
        <v>知人善用</v>
      </c>
      <c r="N342" s="9" t="str">
        <f t="shared" si="91"/>
        <v>知人善用3</v>
      </c>
      <c r="O342" s="15">
        <f>INDEX(C:C,MATCH(J342,D:D,0))</f>
        <v>81</v>
      </c>
      <c r="P342" s="9">
        <f>INDEX(E:E,MATCH(J342,D:D,0))</f>
        <v>120</v>
      </c>
      <c r="Q342" s="7">
        <f t="shared" si="94"/>
        <v>81</v>
      </c>
      <c r="R342" s="7">
        <f>COUNTIF(J$8:$J342,"="&amp;J342)</f>
        <v>1</v>
      </c>
      <c r="S342" s="7">
        <f t="shared" si="93"/>
        <v>1081</v>
      </c>
    </row>
    <row r="343" spans="8:19">
      <c r="H343" s="7">
        <f>IF(I343="","",COUNTA(I$9:$I343))</f>
        <v>170</v>
      </c>
      <c r="I343" s="3" t="s">
        <v>411</v>
      </c>
      <c r="J343" s="6" t="s">
        <v>407</v>
      </c>
      <c r="K343" s="8" t="str">
        <f>IF(H343="","",阶段合并区域(J343:J346," ",L343:L346,1))</f>
        <v>刘邦 吕雉</v>
      </c>
      <c r="L343" s="8">
        <f>COUNTIF(M$8:$M343,"="&amp;M343)</f>
        <v>1</v>
      </c>
      <c r="M343" s="9" t="str">
        <f t="shared" si="90"/>
        <v>任人唯亲</v>
      </c>
      <c r="N343" s="9" t="str">
        <f t="shared" si="91"/>
        <v>任人唯亲1</v>
      </c>
      <c r="O343" s="15">
        <f>INDEX(C:C,MATCH(J343,D:D,0))</f>
        <v>79</v>
      </c>
      <c r="P343" s="9">
        <f>INDEX(E:E,MATCH(J343,D:D,0))</f>
        <v>130</v>
      </c>
      <c r="Q343" s="7">
        <f t="shared" si="94"/>
        <v>79</v>
      </c>
      <c r="R343" s="7">
        <f>COUNTIF(J$8:$J343,"="&amp;J343)</f>
        <v>3</v>
      </c>
      <c r="S343" s="7">
        <f t="shared" si="93"/>
        <v>3079</v>
      </c>
    </row>
    <row r="344" spans="8:19">
      <c r="H344" s="7" t="str">
        <f>IF(I344="","",COUNTA(I$9:$I344))</f>
        <v/>
      </c>
      <c r="I344" s="3"/>
      <c r="J344" s="6" t="s">
        <v>412</v>
      </c>
      <c r="K344" s="8" t="str">
        <f>IF(H344="","",阶段合并区域(J344:J347," ",L344:L347,1))</f>
        <v/>
      </c>
      <c r="L344" s="8">
        <f>COUNTIF(M$8:$M344,"="&amp;M344)</f>
        <v>2</v>
      </c>
      <c r="M344" s="9" t="str">
        <f t="shared" si="90"/>
        <v>任人唯亲</v>
      </c>
      <c r="N344" s="9" t="str">
        <f t="shared" si="91"/>
        <v>任人唯亲2</v>
      </c>
      <c r="O344" s="15">
        <f>INDEX(C:C,MATCH(J344,D:D,0))</f>
        <v>12</v>
      </c>
      <c r="P344" s="9">
        <f>INDEX(E:E,MATCH(J344,D:D,0))</f>
        <v>130</v>
      </c>
      <c r="Q344" s="7">
        <f t="shared" si="94"/>
        <v>12</v>
      </c>
      <c r="R344" s="7">
        <f>COUNTIF(J$8:$J344,"="&amp;J344)</f>
        <v>7</v>
      </c>
      <c r="S344" s="7">
        <f t="shared" si="93"/>
        <v>7012</v>
      </c>
    </row>
    <row r="345" spans="8:19">
      <c r="H345" s="7">
        <f>IF(I345="","",COUNTA(I$9:$I345))</f>
        <v>171</v>
      </c>
      <c r="I345" s="3" t="s">
        <v>399</v>
      </c>
      <c r="J345" s="6" t="s">
        <v>402</v>
      </c>
      <c r="K345" s="8" t="str">
        <f>IF(H345="","",阶段合并区域(J345:J348," ",L345:L348,1))</f>
        <v>韩信 吴起 司马穰苴</v>
      </c>
      <c r="L345" s="8">
        <f>COUNTIF(M$8:$M345,"="&amp;M345)</f>
        <v>1</v>
      </c>
      <c r="M345" s="9" t="str">
        <f t="shared" si="90"/>
        <v>名奉武庙</v>
      </c>
      <c r="N345" s="9" t="str">
        <f t="shared" si="91"/>
        <v>名奉武庙1</v>
      </c>
      <c r="O345" s="15">
        <f>INDEX(C:C,MATCH(J345,D:D,0))</f>
        <v>80</v>
      </c>
      <c r="P345" s="9">
        <f>INDEX(E:E,MATCH(J345,D:D,0))</f>
        <v>130</v>
      </c>
      <c r="Q345" s="7">
        <f t="shared" si="94"/>
        <v>80</v>
      </c>
      <c r="R345" s="7">
        <f>COUNTIF(J$8:$J345,"="&amp;J345)</f>
        <v>2</v>
      </c>
      <c r="S345" s="7">
        <f t="shared" si="93"/>
        <v>2080</v>
      </c>
    </row>
    <row r="346" spans="8:19">
      <c r="H346" s="7" t="str">
        <f>IF(I346="","",COUNTA(I$9:$I346))</f>
        <v/>
      </c>
      <c r="I346" s="3"/>
      <c r="J346" s="6" t="s">
        <v>232</v>
      </c>
      <c r="K346" s="8" t="str">
        <f>IF(H346="","",阶段合并区域(J346:J349," ",L346:L349,1))</f>
        <v/>
      </c>
      <c r="L346" s="8">
        <f>COUNTIF(M$8:$M346,"="&amp;M346)</f>
        <v>2</v>
      </c>
      <c r="M346" s="9" t="str">
        <f t="shared" si="90"/>
        <v>名奉武庙</v>
      </c>
      <c r="N346" s="9" t="str">
        <f t="shared" si="91"/>
        <v>名奉武庙2</v>
      </c>
      <c r="O346" s="15">
        <f>INDEX(C:C,MATCH(J346,D:D,0))</f>
        <v>9</v>
      </c>
      <c r="P346" s="9">
        <f>INDEX(E:E,MATCH(J346,D:D,0))</f>
        <v>130</v>
      </c>
      <c r="Q346" s="7">
        <f t="shared" si="94"/>
        <v>9</v>
      </c>
      <c r="R346" s="7">
        <f>COUNTIF(J$8:$J346,"="&amp;J346)</f>
        <v>7</v>
      </c>
      <c r="S346" s="7">
        <f t="shared" si="93"/>
        <v>7009</v>
      </c>
    </row>
    <row r="347" spans="8:19">
      <c r="H347" s="7" t="str">
        <f>IF(I347="","",COUNTA(I$9:$I347))</f>
        <v/>
      </c>
      <c r="I347" s="3"/>
      <c r="J347" s="6" t="s">
        <v>233</v>
      </c>
      <c r="K347" s="8" t="str">
        <f>IF(H347="","",阶段合并区域(J347:J350," ",L347:L350,1))</f>
        <v/>
      </c>
      <c r="L347" s="8">
        <f>COUNTIF(M$8:$M347,"="&amp;M347)</f>
        <v>3</v>
      </c>
      <c r="M347" s="9" t="str">
        <f t="shared" si="90"/>
        <v>名奉武庙</v>
      </c>
      <c r="N347" s="9" t="str">
        <f t="shared" si="91"/>
        <v>名奉武庙3</v>
      </c>
      <c r="O347" s="15">
        <f>INDEX(C:C,MATCH(J347,D:D,0))</f>
        <v>34</v>
      </c>
      <c r="P347" s="9">
        <f>INDEX(E:E,MATCH(J347,D:D,0))</f>
        <v>120</v>
      </c>
      <c r="Q347" s="7">
        <f t="shared" si="94"/>
        <v>34</v>
      </c>
      <c r="R347" s="7">
        <f>COUNTIF(J$8:$J347,"="&amp;J347)</f>
        <v>9</v>
      </c>
      <c r="S347" s="7">
        <f t="shared" si="93"/>
        <v>9034</v>
      </c>
    </row>
    <row r="348" spans="8:19">
      <c r="H348" s="7">
        <f>IF(I348="","",COUNTA(I$9:$I348))</f>
        <v>172</v>
      </c>
      <c r="I348" s="3" t="s">
        <v>400</v>
      </c>
      <c r="J348" s="6" t="s">
        <v>402</v>
      </c>
      <c r="K348" s="8" t="str">
        <f>IF(H348="","",阶段合并区域(J348:J351," ",L348:L351,1))</f>
        <v>韩信 嬴政</v>
      </c>
      <c r="L348" s="8">
        <f>COUNTIF(M$8:$M348,"="&amp;M348)</f>
        <v>1</v>
      </c>
      <c r="M348" s="9" t="str">
        <f t="shared" si="90"/>
        <v>平步天下</v>
      </c>
      <c r="N348" s="9" t="str">
        <f t="shared" si="91"/>
        <v>平步天下1</v>
      </c>
      <c r="O348" s="15">
        <f>INDEX(C:C,MATCH(J348,D:D,0))</f>
        <v>80</v>
      </c>
      <c r="P348" s="9">
        <f>INDEX(E:E,MATCH(J348,D:D,0))</f>
        <v>130</v>
      </c>
      <c r="Q348" s="7">
        <f t="shared" si="94"/>
        <v>80</v>
      </c>
      <c r="R348" s="7">
        <f>COUNTIF(J$8:$J348,"="&amp;J348)</f>
        <v>3</v>
      </c>
      <c r="S348" s="7">
        <f t="shared" si="93"/>
        <v>3080</v>
      </c>
    </row>
    <row r="349" spans="8:19">
      <c r="H349" s="7" t="str">
        <f>IF(I349="","",COUNTA(I$9:$I349))</f>
        <v/>
      </c>
      <c r="I349" s="3"/>
      <c r="J349" s="6" t="s">
        <v>403</v>
      </c>
      <c r="K349" s="8" t="str">
        <f>IF(H349="","",阶段合并区域(J349:J352," ",L349:L352,1))</f>
        <v/>
      </c>
      <c r="L349" s="8">
        <f>COUNTIF(M$8:$M349,"="&amp;M349)</f>
        <v>2</v>
      </c>
      <c r="M349" s="9" t="str">
        <f t="shared" si="90"/>
        <v>平步天下</v>
      </c>
      <c r="N349" s="9" t="str">
        <f t="shared" si="91"/>
        <v>平步天下2</v>
      </c>
      <c r="O349" s="15">
        <f>INDEX(C:C,MATCH(J349,D:D,0))</f>
        <v>73</v>
      </c>
      <c r="P349" s="9">
        <f>INDEX(E:E,MATCH(J349,D:D,0))</f>
        <v>130</v>
      </c>
      <c r="Q349" s="7">
        <f t="shared" si="94"/>
        <v>73</v>
      </c>
      <c r="R349" s="7">
        <f>COUNTIF(J$8:$J349,"="&amp;J349)</f>
        <v>6</v>
      </c>
      <c r="S349" s="7">
        <f t="shared" si="93"/>
        <v>6073</v>
      </c>
    </row>
    <row r="350" spans="8:19">
      <c r="H350" s="7">
        <f>IF(I350="","",COUNTA(I$9:$I350))</f>
        <v>173</v>
      </c>
      <c r="I350" s="3" t="s">
        <v>401</v>
      </c>
      <c r="J350" s="6" t="s">
        <v>402</v>
      </c>
      <c r="K350" s="8" t="str">
        <f>IF(H350="","",阶段合并区域(J350:J353," ",L350:L353,1))</f>
        <v>韩信 刘邦</v>
      </c>
      <c r="L350" s="8">
        <f>COUNTIF(M$8:$M350,"="&amp;M350)</f>
        <v>1</v>
      </c>
      <c r="M350" s="9" t="str">
        <f t="shared" si="90"/>
        <v>国士无双</v>
      </c>
      <c r="N350" s="9" t="str">
        <f t="shared" si="91"/>
        <v>国士无双1</v>
      </c>
      <c r="O350" s="15">
        <f>INDEX(C:C,MATCH(J350,D:D,0))</f>
        <v>80</v>
      </c>
      <c r="P350" s="9">
        <f>INDEX(E:E,MATCH(J350,D:D,0))</f>
        <v>130</v>
      </c>
      <c r="Q350" s="7">
        <f t="shared" si="94"/>
        <v>80</v>
      </c>
      <c r="R350" s="7">
        <f>COUNTIF(J$8:$J350,"="&amp;J350)</f>
        <v>4</v>
      </c>
      <c r="S350" s="7">
        <f t="shared" si="93"/>
        <v>4080</v>
      </c>
    </row>
    <row r="351" spans="8:19">
      <c r="H351" s="7" t="str">
        <f>IF(I351="","",COUNTA(I$9:$I351))</f>
        <v/>
      </c>
      <c r="I351" s="3"/>
      <c r="J351" s="6" t="s">
        <v>404</v>
      </c>
      <c r="K351" s="8" t="str">
        <f>IF(H351="","",阶段合并区域(J351:J354," ",L351:L354,1))</f>
        <v/>
      </c>
      <c r="L351" s="8">
        <f>COUNTIF(M$8:$M351,"="&amp;M351)</f>
        <v>2</v>
      </c>
      <c r="M351" s="9" t="str">
        <f t="shared" si="90"/>
        <v>国士无双</v>
      </c>
      <c r="N351" s="9" t="str">
        <f t="shared" si="91"/>
        <v>国士无双2</v>
      </c>
      <c r="O351" s="15">
        <f>INDEX(C:C,MATCH(J351,D:D,0))</f>
        <v>79</v>
      </c>
      <c r="P351" s="9">
        <f>INDEX(E:E,MATCH(J351,D:D,0))</f>
        <v>130</v>
      </c>
      <c r="Q351" s="7">
        <f t="shared" si="94"/>
        <v>79</v>
      </c>
      <c r="R351" s="7">
        <f>COUNTIF(J$8:$J351,"="&amp;J351)</f>
        <v>4</v>
      </c>
      <c r="S351" s="7">
        <f t="shared" si="93"/>
        <v>4079</v>
      </c>
    </row>
    <row r="352" spans="8:19">
      <c r="H352" s="7">
        <f>IF(I352="","",COUNTA(I$9:$I352))</f>
        <v>174</v>
      </c>
      <c r="I352" s="3" t="s">
        <v>413</v>
      </c>
      <c r="J352" s="6" t="s">
        <v>414</v>
      </c>
      <c r="K352" s="8" t="str">
        <f>IF(H352="","",阶段合并区域(J352:J355," ",L352:L355,1))</f>
        <v>彭越 吕不韦</v>
      </c>
      <c r="L352" s="8">
        <f>COUNTIF(M$8:$M352,"="&amp;M352)</f>
        <v>1</v>
      </c>
      <c r="M352" s="9" t="str">
        <f t="shared" ref="M352:M353" si="95">IF(H352="",M351,I352)</f>
        <v>因势利导</v>
      </c>
      <c r="N352" s="9" t="str">
        <f t="shared" ref="N352:N353" si="96">M352&amp;L352</f>
        <v>因势利导1</v>
      </c>
      <c r="O352" s="15">
        <f>INDEX(C:C,MATCH(J352,D:D,0))</f>
        <v>81</v>
      </c>
      <c r="P352" s="9">
        <f>INDEX(E:E,MATCH(J352,D:D,0))</f>
        <v>120</v>
      </c>
      <c r="Q352" s="7">
        <f t="shared" si="94"/>
        <v>81</v>
      </c>
      <c r="R352" s="7">
        <f>COUNTIF(J$8:$J352,"="&amp;J352)</f>
        <v>2</v>
      </c>
      <c r="S352" s="7">
        <f t="shared" ref="S352:S353" si="97">R352*1000+Q352</f>
        <v>2081</v>
      </c>
    </row>
    <row r="353" spans="8:23">
      <c r="H353" s="7" t="str">
        <f>IF(I353="","",COUNTA(I$9:$I353))</f>
        <v/>
      </c>
      <c r="I353" s="3"/>
      <c r="J353" s="6" t="s">
        <v>415</v>
      </c>
      <c r="K353" s="8" t="str">
        <f>IF(H353="","",阶段合并区域(J353:J356," ",L353:L356,1))</f>
        <v/>
      </c>
      <c r="L353" s="8">
        <f>COUNTIF(M$8:$M353,"="&amp;M353)</f>
        <v>2</v>
      </c>
      <c r="M353" s="9" t="str">
        <f t="shared" si="95"/>
        <v>因势利导</v>
      </c>
      <c r="N353" s="9" t="str">
        <f t="shared" si="96"/>
        <v>因势利导2</v>
      </c>
      <c r="O353" s="15">
        <f>INDEX(C:C,MATCH(J353,D:D,0))</f>
        <v>18</v>
      </c>
      <c r="P353" s="9">
        <f>INDEX(E:E,MATCH(J353,D:D,0))</f>
        <v>120</v>
      </c>
      <c r="Q353" s="7">
        <f t="shared" si="94"/>
        <v>18</v>
      </c>
      <c r="R353" s="7">
        <f>COUNTIF(J$8:$J353,"="&amp;J353)</f>
        <v>15</v>
      </c>
      <c r="S353" s="7">
        <f t="shared" si="97"/>
        <v>15018</v>
      </c>
    </row>
    <row r="354" spans="8:23">
      <c r="H354" s="7">
        <f>IF(I354="","",COUNTA(I$9:$I354))</f>
        <v>175</v>
      </c>
      <c r="I354" s="3" t="s">
        <v>416</v>
      </c>
      <c r="J354" s="6" t="s">
        <v>414</v>
      </c>
      <c r="K354" s="8" t="str">
        <f>IF(H354="","",阶段合并区域(J354:J357," ",L354:L357,1))</f>
        <v>彭越 李斯 苏秦</v>
      </c>
      <c r="L354" s="8">
        <f>COUNTIF(M$8:$M354,"="&amp;M354)</f>
        <v>1</v>
      </c>
      <c r="M354" s="9" t="str">
        <f t="shared" ref="M354:M355" si="98">IF(H354="",M353,I354)</f>
        <v>不得善终</v>
      </c>
      <c r="N354" s="9" t="str">
        <f t="shared" ref="N354:N355" si="99">M354&amp;L354</f>
        <v>不得善终1</v>
      </c>
      <c r="O354" s="15">
        <f>INDEX(C:C,MATCH(J354,D:D,0))</f>
        <v>81</v>
      </c>
      <c r="P354" s="9">
        <f>INDEX(E:E,MATCH(J354,D:D,0))</f>
        <v>120</v>
      </c>
      <c r="Q354" s="7">
        <f t="shared" si="94"/>
        <v>81</v>
      </c>
      <c r="R354" s="7">
        <f>COUNTIF(J$8:$J354,"="&amp;J354)</f>
        <v>3</v>
      </c>
      <c r="S354" s="7">
        <f t="shared" ref="S354:S355" si="100">R354*1000+Q354</f>
        <v>3081</v>
      </c>
    </row>
    <row r="355" spans="8:23">
      <c r="H355" s="7" t="str">
        <f>IF(I355="","",COUNTA(I$9:$I355))</f>
        <v/>
      </c>
      <c r="I355" s="3"/>
      <c r="J355" s="6" t="s">
        <v>417</v>
      </c>
      <c r="K355" s="8" t="str">
        <f>IF(H355="","",阶段合并区域(J355:J358," ",L355:L358,1))</f>
        <v/>
      </c>
      <c r="L355" s="8">
        <f>COUNTIF(M$8:$M355,"="&amp;M355)</f>
        <v>2</v>
      </c>
      <c r="M355" s="9" t="str">
        <f t="shared" si="98"/>
        <v>不得善终</v>
      </c>
      <c r="N355" s="9" t="str">
        <f t="shared" si="99"/>
        <v>不得善终2</v>
      </c>
      <c r="O355" s="15">
        <f>INDEX(C:C,MATCH(J355,D:D,0))</f>
        <v>26</v>
      </c>
      <c r="P355" s="9">
        <f>INDEX(E:E,MATCH(J355,D:D,0))</f>
        <v>120</v>
      </c>
      <c r="Q355" s="7">
        <f t="shared" si="94"/>
        <v>26</v>
      </c>
      <c r="R355" s="7">
        <f>COUNTIF(J$8:$J355,"="&amp;J355)</f>
        <v>6</v>
      </c>
      <c r="S355" s="7">
        <f t="shared" si="100"/>
        <v>6026</v>
      </c>
    </row>
    <row r="356" spans="8:23">
      <c r="H356" s="7" t="str">
        <f>IF(I356="","",COUNTA(I$9:$I356))</f>
        <v/>
      </c>
      <c r="I356" s="3"/>
      <c r="J356" s="6" t="s">
        <v>418</v>
      </c>
      <c r="K356" s="8" t="str">
        <f>IF(H356="","",阶段合并区域(J356:J359," ",L356:L359,1))</f>
        <v/>
      </c>
      <c r="L356" s="8">
        <f>COUNTIF(M$8:$M356,"="&amp;M356)</f>
        <v>3</v>
      </c>
      <c r="M356" s="9" t="str">
        <f t="shared" ref="M356:M358" si="101">IF(H356="",M355,I356)</f>
        <v>不得善终</v>
      </c>
      <c r="N356" s="9" t="str">
        <f t="shared" ref="N356:N358" si="102">M356&amp;L356</f>
        <v>不得善终3</v>
      </c>
      <c r="O356" s="15">
        <f>INDEX(C:C,MATCH(J356,D:D,0))</f>
        <v>57</v>
      </c>
      <c r="P356" s="9">
        <f>INDEX(E:E,MATCH(J356,D:D,0))</f>
        <v>120</v>
      </c>
      <c r="Q356" s="7">
        <f t="shared" si="94"/>
        <v>57</v>
      </c>
      <c r="R356" s="7">
        <f>COUNTIF(J$8:$J356,"="&amp;J356)</f>
        <v>11</v>
      </c>
      <c r="S356" s="7">
        <f t="shared" ref="S356:S358" si="103">R356*1000+Q356</f>
        <v>11057</v>
      </c>
    </row>
    <row r="357" spans="8:23">
      <c r="H357" s="7">
        <f>IF(I357="","",COUNTA(I$9:$I357))</f>
        <v>176</v>
      </c>
      <c r="I357" s="3" t="s">
        <v>423</v>
      </c>
      <c r="J357" s="3" t="s">
        <v>419</v>
      </c>
      <c r="K357" s="8" t="str">
        <f>IF(H357="","",阶段合并区域(J357:J360," ",L357:L360,1))</f>
        <v>养由基 廉颇</v>
      </c>
      <c r="L357" s="8">
        <f>COUNTIF(M$8:$M357,"="&amp;M357)</f>
        <v>1</v>
      </c>
      <c r="M357" s="9" t="str">
        <f t="shared" si="101"/>
        <v>老骥伏枥</v>
      </c>
      <c r="N357" s="9" t="str">
        <f t="shared" si="102"/>
        <v>老骥伏枥1</v>
      </c>
      <c r="O357" s="15">
        <f>INDEX(C:C,MATCH(J357,D:D,0))</f>
        <v>13</v>
      </c>
      <c r="P357" s="9">
        <f>INDEX(E:E,MATCH(J357,D:D,0))</f>
        <v>130</v>
      </c>
      <c r="Q357" s="7">
        <f t="shared" si="94"/>
        <v>13</v>
      </c>
      <c r="R357" s="7">
        <f>COUNTIF(J$8:$J357,"="&amp;J357)</f>
        <v>1</v>
      </c>
      <c r="S357" s="7">
        <f t="shared" si="103"/>
        <v>1013</v>
      </c>
    </row>
    <row r="358" spans="8:23">
      <c r="H358" s="7" t="str">
        <f>IF(I358="","",COUNTA(I$9:$I358))</f>
        <v/>
      </c>
      <c r="I358" s="3"/>
      <c r="J358" s="3" t="s">
        <v>255</v>
      </c>
      <c r="K358" s="8" t="str">
        <f>IF(H358="","",阶段合并区域(J358:J361," ",L358:L361,1))</f>
        <v/>
      </c>
      <c r="L358" s="8">
        <f>COUNTIF(M$8:$M358,"="&amp;M358)</f>
        <v>2</v>
      </c>
      <c r="M358" s="9" t="str">
        <f t="shared" si="101"/>
        <v>老骥伏枥</v>
      </c>
      <c r="N358" s="9" t="str">
        <f t="shared" si="102"/>
        <v>老骥伏枥2</v>
      </c>
      <c r="O358" s="15">
        <f>INDEX(C:C,MATCH(J358,D:D,0))</f>
        <v>5</v>
      </c>
      <c r="P358" s="9">
        <f>INDEX(E:E,MATCH(J358,D:D,0))</f>
        <v>130</v>
      </c>
      <c r="Q358" s="7">
        <f t="shared" si="94"/>
        <v>5</v>
      </c>
      <c r="R358" s="7">
        <f>COUNTIF(J$8:$J358,"="&amp;J358)</f>
        <v>7</v>
      </c>
      <c r="S358" s="7">
        <f t="shared" si="103"/>
        <v>7005</v>
      </c>
    </row>
    <row r="359" spans="8:23">
      <c r="H359" s="7">
        <f>IF(I359="","",COUNTA(I$9:$I359))</f>
        <v>177</v>
      </c>
      <c r="I359" s="3" t="s">
        <v>420</v>
      </c>
      <c r="J359" s="3" t="s">
        <v>419</v>
      </c>
      <c r="K359" s="8" t="str">
        <f>IF(H359="","",阶段合并区域(J359:J362," ",L359:L362,1))</f>
        <v>养由基 鲁班 扁鹊</v>
      </c>
      <c r="L359" s="8">
        <f>COUNTIF(M$8:$M359,"="&amp;M359)</f>
        <v>1</v>
      </c>
      <c r="M359" s="9" t="str">
        <f t="shared" ref="M359" si="104">IF(H359="",M358,I359)</f>
        <v>技惊当世</v>
      </c>
      <c r="N359" s="9" t="str">
        <f t="shared" ref="N359" si="105">M359&amp;L359</f>
        <v>技惊当世1</v>
      </c>
      <c r="O359" s="15">
        <f>INDEX(C:C,MATCH(J359,D:D,0))</f>
        <v>13</v>
      </c>
      <c r="P359" s="9">
        <f>INDEX(E:E,MATCH(J359,D:D,0))</f>
        <v>130</v>
      </c>
      <c r="Q359" s="7">
        <f t="shared" si="94"/>
        <v>13</v>
      </c>
      <c r="R359" s="7">
        <f>COUNTIF(J$8:$J359,"="&amp;J359)</f>
        <v>2</v>
      </c>
      <c r="S359" s="7">
        <f t="shared" ref="S359" si="106">R359*1000+Q359</f>
        <v>2013</v>
      </c>
    </row>
    <row r="360" spans="8:23">
      <c r="H360" s="7" t="str">
        <f>IF(I360="","",COUNTA(I$9:$I360))</f>
        <v/>
      </c>
      <c r="I360" s="3"/>
      <c r="J360" s="3" t="s">
        <v>326</v>
      </c>
      <c r="K360" s="8" t="str">
        <f>IF(H360="","",阶段合并区域(J360:J363," ",L360:L363,1))</f>
        <v/>
      </c>
      <c r="L360" s="8">
        <f>COUNTIF(M$8:$M360,"="&amp;M360)</f>
        <v>2</v>
      </c>
      <c r="M360" s="9" t="str">
        <f t="shared" ref="M360:M367" si="107">IF(H360="",M359,I360)</f>
        <v>技惊当世</v>
      </c>
      <c r="N360" s="9" t="str">
        <f t="shared" ref="N360:N367" si="108">M360&amp;L360</f>
        <v>技惊当世2</v>
      </c>
      <c r="O360" s="15">
        <f>INDEX(C:C,MATCH(J360,D:D,0))</f>
        <v>61</v>
      </c>
      <c r="P360" s="9">
        <f>INDEX(E:E,MATCH(J360,D:D,0))</f>
        <v>120</v>
      </c>
      <c r="Q360" s="7">
        <f t="shared" si="94"/>
        <v>61</v>
      </c>
      <c r="R360" s="7">
        <f>COUNTIF(J$8:$J360,"="&amp;J360)</f>
        <v>4</v>
      </c>
      <c r="S360" s="7">
        <f t="shared" ref="S360:S367" si="109">R360*1000+Q360</f>
        <v>4061</v>
      </c>
    </row>
    <row r="361" spans="8:23">
      <c r="H361" s="7" t="str">
        <f>IF(I361="","",COUNTA(I$9:$I361))</f>
        <v/>
      </c>
      <c r="I361" s="3"/>
      <c r="J361" s="3" t="s">
        <v>220</v>
      </c>
      <c r="K361" s="8" t="str">
        <f>IF(H361="","",阶段合并区域(J361:J364," ",L361:L364,1))</f>
        <v/>
      </c>
      <c r="L361" s="8">
        <f>COUNTIF(M$8:$M361,"="&amp;M361)</f>
        <v>3</v>
      </c>
      <c r="M361" s="9" t="str">
        <f t="shared" si="107"/>
        <v>技惊当世</v>
      </c>
      <c r="N361" s="9" t="str">
        <f t="shared" si="108"/>
        <v>技惊当世3</v>
      </c>
      <c r="O361" s="15">
        <f>INDEX(C:C,MATCH(J361,D:D,0))</f>
        <v>32</v>
      </c>
      <c r="P361" s="9">
        <f>INDEX(E:E,MATCH(J361,D:D,0))</f>
        <v>120</v>
      </c>
      <c r="Q361" s="7">
        <f t="shared" si="94"/>
        <v>32</v>
      </c>
      <c r="R361" s="7">
        <f>COUNTIF(J$8:$J361,"="&amp;J361)</f>
        <v>8</v>
      </c>
      <c r="S361" s="7">
        <f t="shared" si="109"/>
        <v>8032</v>
      </c>
    </row>
    <row r="362" spans="8:23">
      <c r="H362" s="7">
        <f>IF(I362="","",COUNTA(I$9:$I362))</f>
        <v>178</v>
      </c>
      <c r="I362" s="3" t="s">
        <v>421</v>
      </c>
      <c r="J362" s="3" t="s">
        <v>422</v>
      </c>
      <c r="K362" s="8" t="str">
        <f>IF(H362="","",阶段合并区域(J362:J365," ",L362:L365,1))</f>
        <v>养由基 赵括</v>
      </c>
      <c r="L362" s="8">
        <f>COUNTIF(M$8:$M362,"="&amp;M362)</f>
        <v>1</v>
      </c>
      <c r="M362" s="9" t="str">
        <f t="shared" si="107"/>
        <v>轻敌冒进</v>
      </c>
      <c r="N362" s="9" t="str">
        <f t="shared" si="108"/>
        <v>轻敌冒进1</v>
      </c>
      <c r="O362" s="15">
        <f>INDEX(C:C,MATCH(J362,D:D,0))</f>
        <v>13</v>
      </c>
      <c r="P362" s="9">
        <f>INDEX(E:E,MATCH(J362,D:D,0))</f>
        <v>130</v>
      </c>
      <c r="Q362" s="7">
        <f t="shared" si="94"/>
        <v>13</v>
      </c>
      <c r="R362" s="7">
        <f>COUNTIF(J$8:$J362,"="&amp;J362)</f>
        <v>3</v>
      </c>
      <c r="S362" s="7">
        <f t="shared" si="109"/>
        <v>3013</v>
      </c>
    </row>
    <row r="363" spans="8:23">
      <c r="H363" s="7" t="str">
        <f>IF(I363="","",COUNTA(I$9:$I363))</f>
        <v/>
      </c>
      <c r="I363" s="3"/>
      <c r="J363" s="3" t="s">
        <v>222</v>
      </c>
      <c r="K363" s="8" t="str">
        <f>IF(H363="","",阶段合并区域(J363:J366," ",L363:L366,1))</f>
        <v/>
      </c>
      <c r="L363" s="8">
        <f>COUNTIF(M$8:$M363,"="&amp;M363)</f>
        <v>2</v>
      </c>
      <c r="M363" s="9" t="str">
        <f t="shared" si="107"/>
        <v>轻敌冒进</v>
      </c>
      <c r="N363" s="9" t="str">
        <f t="shared" si="108"/>
        <v>轻敌冒进2</v>
      </c>
      <c r="O363" s="15">
        <f>INDEX(C:C,MATCH(J363,D:D,0))</f>
        <v>71</v>
      </c>
      <c r="P363" s="9">
        <f>INDEX(E:E,MATCH(J363,D:D,0))</f>
        <v>120</v>
      </c>
      <c r="Q363" s="7">
        <f t="shared" si="94"/>
        <v>71</v>
      </c>
      <c r="R363" s="7">
        <f>COUNTIF(J$8:$J363,"="&amp;J363)</f>
        <v>7</v>
      </c>
      <c r="S363" s="7">
        <f t="shared" si="109"/>
        <v>7071</v>
      </c>
    </row>
    <row r="364" spans="8:23">
      <c r="H364" s="7">
        <f>IF(I364="","",COUNTA(I$9:$I364))</f>
        <v>179</v>
      </c>
      <c r="I364" s="3" t="s">
        <v>427</v>
      </c>
      <c r="J364" s="3" t="s">
        <v>429</v>
      </c>
      <c r="K364" s="8" t="str">
        <f>IF(H364="","",阶段合并区域(J364:J367," ",L364:L367,1))</f>
        <v>陈阿娇 孙膑</v>
      </c>
      <c r="L364" s="8">
        <f>COUNTIF(M$8:$M364,"="&amp;M364)</f>
        <v>1</v>
      </c>
      <c r="M364" s="9" t="str">
        <f t="shared" si="107"/>
        <v>人生浮沉</v>
      </c>
      <c r="N364" s="9" t="str">
        <f t="shared" si="108"/>
        <v>人生浮沉1</v>
      </c>
      <c r="O364" s="15">
        <f>INDEX(C:C,MATCH(J364,D:D,0))</f>
        <v>23</v>
      </c>
      <c r="P364" s="9">
        <f>INDEX(E:E,MATCH(J364,D:D,0))</f>
        <v>130</v>
      </c>
      <c r="Q364" s="7">
        <f t="shared" si="94"/>
        <v>23</v>
      </c>
      <c r="R364" s="7">
        <f>COUNTIF(J$8:$J364,"="&amp;J364)</f>
        <v>1</v>
      </c>
      <c r="S364" s="7">
        <f t="shared" si="109"/>
        <v>1023</v>
      </c>
      <c r="U364" s="2"/>
      <c r="V364" s="2"/>
      <c r="W364" s="2"/>
    </row>
    <row r="365" spans="8:23">
      <c r="H365" s="7" t="str">
        <f>IF(I365="","",COUNTA(I$9:$I365))</f>
        <v/>
      </c>
      <c r="I365" s="3"/>
      <c r="J365" s="3" t="s">
        <v>276</v>
      </c>
      <c r="K365" s="8" t="str">
        <f>IF(H365="","",阶段合并区域(J365:J368," ",L365:L368,1))</f>
        <v/>
      </c>
      <c r="L365" s="8">
        <f>COUNTIF(M$8:$M365,"="&amp;M365)</f>
        <v>2</v>
      </c>
      <c r="M365" s="9" t="str">
        <f t="shared" si="107"/>
        <v>人生浮沉</v>
      </c>
      <c r="N365" s="9" t="str">
        <f t="shared" si="108"/>
        <v>人生浮沉2</v>
      </c>
      <c r="O365" s="15">
        <f>INDEX(C:C,MATCH(J365,D:D,0))</f>
        <v>36</v>
      </c>
      <c r="P365" s="9">
        <f>INDEX(E:E,MATCH(J365,D:D,0))</f>
        <v>120</v>
      </c>
      <c r="Q365" s="7">
        <f t="shared" si="94"/>
        <v>36</v>
      </c>
      <c r="R365" s="7">
        <f>COUNTIF(J$8:$J365,"="&amp;J365)</f>
        <v>13</v>
      </c>
      <c r="S365" s="7">
        <f t="shared" si="109"/>
        <v>13036</v>
      </c>
    </row>
    <row r="366" spans="8:23">
      <c r="H366" s="7">
        <f>IF(I366="","",COUNTA(I$9:$I366))</f>
        <v>180</v>
      </c>
      <c r="I366" s="3" t="s">
        <v>428</v>
      </c>
      <c r="J366" s="3" t="s">
        <v>430</v>
      </c>
      <c r="K366" s="8" t="str">
        <f>IF(H366="","",阶段合并区域(J366:J369," ",L366:L369,1))</f>
        <v>陈阿娇 孟尝君</v>
      </c>
      <c r="L366" s="8">
        <f>COUNTIF(M$8:$M366,"="&amp;M366)</f>
        <v>1</v>
      </c>
      <c r="M366" s="9" t="str">
        <f t="shared" si="107"/>
        <v>生而富贵</v>
      </c>
      <c r="N366" s="9" t="str">
        <f t="shared" si="108"/>
        <v>生而富贵1</v>
      </c>
      <c r="O366" s="15">
        <f>INDEX(C:C,MATCH(J366,D:D,0))</f>
        <v>23</v>
      </c>
      <c r="P366" s="9">
        <f>INDEX(E:E,MATCH(J366,D:D,0))</f>
        <v>130</v>
      </c>
      <c r="Q366" s="7">
        <f t="shared" si="94"/>
        <v>23</v>
      </c>
      <c r="R366" s="7">
        <f>COUNTIF(J$8:$J366,"="&amp;J366)</f>
        <v>2</v>
      </c>
      <c r="S366" s="7">
        <f t="shared" si="109"/>
        <v>2023</v>
      </c>
    </row>
    <row r="367" spans="8:23">
      <c r="H367" s="7" t="str">
        <f>IF(I367="","",COUNTA(I$9:$I367))</f>
        <v/>
      </c>
      <c r="I367" s="3"/>
      <c r="J367" s="3" t="s">
        <v>321</v>
      </c>
      <c r="K367" s="8" t="str">
        <f>IF(H367="","",阶段合并区域(J367:J370," ",L367:L370,1))</f>
        <v/>
      </c>
      <c r="L367" s="8">
        <f>COUNTIF(M$8:$M367,"="&amp;M367)</f>
        <v>2</v>
      </c>
      <c r="M367" s="9" t="str">
        <f t="shared" si="107"/>
        <v>生而富贵</v>
      </c>
      <c r="N367" s="9" t="str">
        <f t="shared" si="108"/>
        <v>生而富贵2</v>
      </c>
      <c r="O367" s="15">
        <f>INDEX(C:C,MATCH(J367,D:D,0))</f>
        <v>30</v>
      </c>
      <c r="P367" s="9">
        <f>INDEX(E:E,MATCH(J367,D:D,0))</f>
        <v>120</v>
      </c>
      <c r="Q367" s="7">
        <f t="shared" si="94"/>
        <v>30</v>
      </c>
      <c r="R367" s="7">
        <f>COUNTIF(J$8:$J367,"="&amp;J367)</f>
        <v>5</v>
      </c>
      <c r="S367" s="7">
        <f t="shared" si="109"/>
        <v>5030</v>
      </c>
    </row>
    <row r="368" spans="8:23">
      <c r="H368" s="7">
        <f>IF(I368="","",COUNTA(I$9:$I368))</f>
        <v>181</v>
      </c>
      <c r="I368" s="3" t="s">
        <v>431</v>
      </c>
      <c r="J368" s="3" t="s">
        <v>430</v>
      </c>
      <c r="K368" s="8" t="str">
        <f>IF(H368="","",阶段合并区域(J368:J371," ",L368:L371,1))</f>
        <v>陈阿娇 骊姬</v>
      </c>
      <c r="L368" s="8">
        <f>COUNTIF(M$8:$M368,"="&amp;M368)</f>
        <v>1</v>
      </c>
      <c r="M368" s="9" t="str">
        <f t="shared" ref="M368:M370" si="110">IF(H368="",M367,I368)</f>
        <v>擅宠而骄</v>
      </c>
      <c r="N368" s="9" t="str">
        <f t="shared" ref="N368:N370" si="111">M368&amp;L368</f>
        <v>擅宠而骄1</v>
      </c>
      <c r="O368" s="15">
        <f>INDEX(C:C,MATCH(J368,D:D,0))</f>
        <v>23</v>
      </c>
      <c r="P368" s="9">
        <f>INDEX(E:E,MATCH(J368,D:D,0))</f>
        <v>130</v>
      </c>
      <c r="Q368" s="7">
        <f t="shared" si="94"/>
        <v>23</v>
      </c>
      <c r="R368" s="7">
        <f>COUNTIF(J$8:$J368,"="&amp;J368)</f>
        <v>3</v>
      </c>
      <c r="S368" s="7">
        <f t="shared" ref="S368:S370" si="112">R368*1000+Q368</f>
        <v>3023</v>
      </c>
    </row>
    <row r="369" spans="8:19">
      <c r="H369" s="7" t="str">
        <f>IF(I369="","",COUNTA(I$9:$I369))</f>
        <v/>
      </c>
      <c r="I369" s="3"/>
      <c r="J369" s="3" t="s">
        <v>250</v>
      </c>
      <c r="K369" s="8" t="str">
        <f>IF(H369="","",阶段合并区域(J369:J372," ",L369:L372,1))</f>
        <v/>
      </c>
      <c r="L369" s="8">
        <f>COUNTIF(M$8:$M369,"="&amp;M369)</f>
        <v>2</v>
      </c>
      <c r="M369" s="9" t="str">
        <f t="shared" si="110"/>
        <v>擅宠而骄</v>
      </c>
      <c r="N369" s="9" t="str">
        <f t="shared" si="111"/>
        <v>擅宠而骄2</v>
      </c>
      <c r="O369" s="15">
        <f>INDEX(C:C,MATCH(J369,D:D,0))</f>
        <v>1</v>
      </c>
      <c r="P369" s="9">
        <f>INDEX(E:E,MATCH(J369,D:D,0))</f>
        <v>120</v>
      </c>
      <c r="Q369" s="7">
        <f t="shared" si="94"/>
        <v>1</v>
      </c>
      <c r="R369" s="7">
        <f>COUNTIF(J$8:$J369,"="&amp;J369)</f>
        <v>7</v>
      </c>
      <c r="S369" s="7">
        <f t="shared" si="112"/>
        <v>7001</v>
      </c>
    </row>
    <row r="370" spans="8:19">
      <c r="H370" s="7">
        <f>IF(I370="","",COUNTA(I$9:$I370))</f>
        <v>182</v>
      </c>
      <c r="I370" s="3" t="s">
        <v>440</v>
      </c>
      <c r="J370" s="3" t="s">
        <v>432</v>
      </c>
      <c r="K370" s="8" t="str">
        <f>IF(H370="","",阶段合并区域(J370:J373," ",L370:L373,1))</f>
        <v>李广 伍子胥 廉颇</v>
      </c>
      <c r="L370" s="8">
        <f>COUNTIF(M$8:$M370,"="&amp;M370)</f>
        <v>1</v>
      </c>
      <c r="M370" s="9" t="str">
        <f t="shared" si="110"/>
        <v>宝刀未老</v>
      </c>
      <c r="N370" s="9" t="str">
        <f t="shared" si="111"/>
        <v>宝刀未老1</v>
      </c>
      <c r="O370" s="15">
        <f>INDEX(C:C,MATCH(J370,D:D,0))</f>
        <v>14</v>
      </c>
      <c r="P370" s="9">
        <f>INDEX(E:E,MATCH(J370,D:D,0))</f>
        <v>130</v>
      </c>
      <c r="Q370" s="7">
        <f t="shared" si="94"/>
        <v>14</v>
      </c>
      <c r="R370" s="7">
        <f>COUNTIF(J$8:$J370,"="&amp;J370)</f>
        <v>1</v>
      </c>
      <c r="S370" s="7">
        <f t="shared" si="112"/>
        <v>1014</v>
      </c>
    </row>
    <row r="371" spans="8:19">
      <c r="H371" s="7" t="str">
        <f>IF(I371="","",COUNTA(I$9:$I371))</f>
        <v/>
      </c>
      <c r="I371" s="3"/>
      <c r="J371" s="3" t="s">
        <v>219</v>
      </c>
      <c r="K371" s="8" t="str">
        <f>IF(H371="","",阶段合并区域(J371:J374," ",L371:L374,1))</f>
        <v/>
      </c>
      <c r="L371" s="8">
        <f>COUNTIF(M$8:$M371,"="&amp;M371)</f>
        <v>2</v>
      </c>
      <c r="M371" s="9" t="str">
        <f t="shared" ref="M371" si="113">IF(H371="",M370,I371)</f>
        <v>宝刀未老</v>
      </c>
      <c r="N371" s="9" t="str">
        <f t="shared" ref="N371" si="114">M371&amp;L371</f>
        <v>宝刀未老2</v>
      </c>
      <c r="O371" s="15">
        <f>INDEX(C:C,MATCH(J371,D:D,0))</f>
        <v>62</v>
      </c>
      <c r="P371" s="9">
        <f>INDEX(E:E,MATCH(J371,D:D,0))</f>
        <v>120</v>
      </c>
      <c r="Q371" s="7">
        <f t="shared" si="94"/>
        <v>62</v>
      </c>
      <c r="R371" s="7">
        <f>COUNTIF(J$8:$J371,"="&amp;J371)</f>
        <v>9</v>
      </c>
      <c r="S371" s="7">
        <f t="shared" ref="S371:S434" si="115">R371*1000+Q371</f>
        <v>9062</v>
      </c>
    </row>
    <row r="372" spans="8:19">
      <c r="H372" s="7" t="str">
        <f>IF(I372="","",COUNTA(I$9:$I372))</f>
        <v/>
      </c>
      <c r="I372" s="3"/>
      <c r="J372" s="3" t="s">
        <v>255</v>
      </c>
      <c r="K372" s="8" t="str">
        <f>IF(H372="","",阶段合并区域(J372:J375," ",L372:L375,1))</f>
        <v/>
      </c>
      <c r="L372" s="8">
        <f>COUNTIF(M$8:$M372,"="&amp;M372)</f>
        <v>3</v>
      </c>
      <c r="M372" s="9" t="str">
        <f t="shared" ref="M372:M384" si="116">IF(H372="",M371,I372)</f>
        <v>宝刀未老</v>
      </c>
      <c r="N372" s="9" t="str">
        <f t="shared" ref="N372:N384" si="117">M372&amp;L372</f>
        <v>宝刀未老3</v>
      </c>
      <c r="O372" s="15">
        <f>INDEX(C:C,MATCH(J372,D:D,0))</f>
        <v>5</v>
      </c>
      <c r="P372" s="9">
        <f>INDEX(E:E,MATCH(J372,D:D,0))</f>
        <v>130</v>
      </c>
      <c r="Q372" s="7">
        <f t="shared" si="94"/>
        <v>5</v>
      </c>
      <c r="R372" s="7">
        <f>COUNTIF(J$8:$J372,"="&amp;J372)</f>
        <v>8</v>
      </c>
      <c r="S372" s="7">
        <f t="shared" si="115"/>
        <v>8005</v>
      </c>
    </row>
    <row r="373" spans="8:19">
      <c r="H373" s="7">
        <f>IF(I373="","",COUNTA(I$9:$I373))</f>
        <v>183</v>
      </c>
      <c r="I373" s="3" t="s">
        <v>494</v>
      </c>
      <c r="J373" s="3" t="s">
        <v>432</v>
      </c>
      <c r="K373" s="8" t="str">
        <f>IF(H373="","",阶段合并区域(J373:J376," ",L373:L376,1))</f>
        <v>李广 霍去病</v>
      </c>
      <c r="L373" s="8">
        <f>COUNTIF(M$8:$M373,"="&amp;M373)</f>
        <v>1</v>
      </c>
      <c r="M373" s="9" t="str">
        <f t="shared" si="116"/>
        <v>大漢飛將</v>
      </c>
      <c r="N373" s="9" t="str">
        <f t="shared" si="117"/>
        <v>大漢飛將1</v>
      </c>
      <c r="O373" s="15">
        <f>INDEX(C:C,MATCH(J373,D:D,0))</f>
        <v>14</v>
      </c>
      <c r="P373" s="9">
        <f>INDEX(E:E,MATCH(J373,D:D,0))</f>
        <v>130</v>
      </c>
      <c r="Q373" s="7">
        <f t="shared" si="94"/>
        <v>14</v>
      </c>
      <c r="R373" s="7">
        <f>COUNTIF(J$8:$J373,"="&amp;J373)</f>
        <v>2</v>
      </c>
      <c r="S373" s="7">
        <f t="shared" si="115"/>
        <v>2014</v>
      </c>
    </row>
    <row r="374" spans="8:19">
      <c r="H374" s="7" t="str">
        <f>IF(I374="","",COUNTA(I$9:$I374))</f>
        <v/>
      </c>
      <c r="I374" s="3"/>
      <c r="J374" s="3" t="s">
        <v>439</v>
      </c>
      <c r="K374" s="8" t="str">
        <f>IF(H374="","",阶段合并区域(J374:J377," ",L374:L377,1))</f>
        <v/>
      </c>
      <c r="L374" s="8">
        <f>COUNTIF(M$8:$M374,"="&amp;M374)</f>
        <v>2</v>
      </c>
      <c r="M374" s="9" t="str">
        <f t="shared" si="116"/>
        <v>大漢飛將</v>
      </c>
      <c r="N374" s="9" t="str">
        <f t="shared" si="117"/>
        <v>大漢飛將2</v>
      </c>
      <c r="O374" s="15">
        <f>INDEX(C:C,MATCH(J374,D:D,0))</f>
        <v>83</v>
      </c>
      <c r="P374" s="9">
        <f>INDEX(E:E,MATCH(J374,D:D,0))</f>
        <v>130</v>
      </c>
      <c r="Q374" s="7">
        <f t="shared" si="94"/>
        <v>83</v>
      </c>
      <c r="R374" s="7">
        <f>COUNTIF(J$8:$J374,"="&amp;J374)</f>
        <v>1</v>
      </c>
      <c r="S374" s="7">
        <f t="shared" si="115"/>
        <v>1083</v>
      </c>
    </row>
    <row r="375" spans="8:19">
      <c r="H375" s="7">
        <f>IF(I375="","",COUNTA(I$9:$I375))</f>
        <v>184</v>
      </c>
      <c r="I375" s="3" t="s">
        <v>433</v>
      </c>
      <c r="J375" s="3" t="s">
        <v>432</v>
      </c>
      <c r="K375" s="8" t="str">
        <f>IF(H375="","",阶段合并区域(J375:J378," ",L375:L378,1))</f>
        <v>李广 卫青</v>
      </c>
      <c r="L375" s="8">
        <f>COUNTIF(M$8:$M375,"="&amp;M375)</f>
        <v>1</v>
      </c>
      <c r="M375" s="9" t="str">
        <f t="shared" si="116"/>
        <v>龙城飞将</v>
      </c>
      <c r="N375" s="9" t="str">
        <f t="shared" si="117"/>
        <v>龙城飞将1</v>
      </c>
      <c r="O375" s="15">
        <f>INDEX(C:C,MATCH(J375,D:D,0))</f>
        <v>14</v>
      </c>
      <c r="P375" s="9">
        <f>INDEX(E:E,MATCH(J375,D:D,0))</f>
        <v>130</v>
      </c>
      <c r="Q375" s="7">
        <f t="shared" si="94"/>
        <v>14</v>
      </c>
      <c r="R375" s="7">
        <f>COUNTIF(J$8:$J375,"="&amp;J375)</f>
        <v>3</v>
      </c>
      <c r="S375" s="7">
        <f t="shared" si="115"/>
        <v>3014</v>
      </c>
    </row>
    <row r="376" spans="8:19">
      <c r="H376" s="7" t="str">
        <f>IF(I376="","",COUNTA(I$9:$I376))</f>
        <v/>
      </c>
      <c r="I376" s="3"/>
      <c r="J376" s="3" t="s">
        <v>434</v>
      </c>
      <c r="K376" s="8" t="str">
        <f>IF(H376="","",阶段合并区域(J376:J379," ",L376:L379,1))</f>
        <v/>
      </c>
      <c r="L376" s="8">
        <f>COUNTIF(M$8:$M376,"="&amp;M376)</f>
        <v>2</v>
      </c>
      <c r="M376" s="9" t="str">
        <f t="shared" si="116"/>
        <v>龙城飞将</v>
      </c>
      <c r="N376" s="9" t="str">
        <f t="shared" si="117"/>
        <v>龙城飞将2</v>
      </c>
      <c r="O376" s="15">
        <f>INDEX(C:C,MATCH(J376,D:D,0))</f>
        <v>82</v>
      </c>
      <c r="P376" s="9">
        <f>INDEX(E:E,MATCH(J376,D:D,0))</f>
        <v>130</v>
      </c>
      <c r="Q376" s="7">
        <f t="shared" si="94"/>
        <v>82</v>
      </c>
      <c r="R376" s="7">
        <f>COUNTIF(J$8:$J376,"="&amp;J376)</f>
        <v>1</v>
      </c>
      <c r="S376" s="7">
        <f t="shared" si="115"/>
        <v>1082</v>
      </c>
    </row>
    <row r="377" spans="8:19">
      <c r="H377" s="7">
        <f>IF(I377="","",COUNTA(I$9:$I377))</f>
        <v>185</v>
      </c>
      <c r="I377" s="3" t="s">
        <v>435</v>
      </c>
      <c r="J377" s="3" t="s">
        <v>434</v>
      </c>
      <c r="K377" s="8" t="str">
        <f>IF(H377="","",阶段合并区域(J377:J380," ",L377:L380,1))</f>
        <v>卫青 霍去病 卫青 李广</v>
      </c>
      <c r="L377" s="8">
        <f>COUNTIF(M$8:$M377,"="&amp;M377)</f>
        <v>1</v>
      </c>
      <c r="M377" s="9" t="str">
        <f t="shared" si="116"/>
        <v>大汉双壁</v>
      </c>
      <c r="N377" s="9" t="str">
        <f t="shared" si="117"/>
        <v>大汉双壁1</v>
      </c>
      <c r="O377" s="15">
        <f>INDEX(C:C,MATCH(J377,D:D,0))</f>
        <v>82</v>
      </c>
      <c r="P377" s="9">
        <f>INDEX(E:E,MATCH(J377,D:D,0))</f>
        <v>130</v>
      </c>
      <c r="Q377" s="7">
        <f t="shared" si="94"/>
        <v>82</v>
      </c>
      <c r="R377" s="7">
        <f>COUNTIF(J$8:$J377,"="&amp;J377)</f>
        <v>2</v>
      </c>
      <c r="S377" s="7">
        <f t="shared" si="115"/>
        <v>2082</v>
      </c>
    </row>
    <row r="378" spans="8:19">
      <c r="H378" s="7" t="str">
        <f>IF(I378="","",COUNTA(I$9:$I378))</f>
        <v/>
      </c>
      <c r="I378" s="3"/>
      <c r="J378" s="3" t="s">
        <v>439</v>
      </c>
      <c r="K378" s="8" t="str">
        <f>IF(H378="","",阶段合并区域(J378:J381," ",L378:L381,1))</f>
        <v/>
      </c>
      <c r="L378" s="8">
        <f>COUNTIF(M$8:$M378,"="&amp;M378)</f>
        <v>2</v>
      </c>
      <c r="M378" s="9" t="str">
        <f t="shared" si="116"/>
        <v>大汉双壁</v>
      </c>
      <c r="N378" s="9" t="str">
        <f t="shared" si="117"/>
        <v>大汉双壁2</v>
      </c>
      <c r="O378" s="15">
        <f>INDEX(C:C,MATCH(J378,D:D,0))</f>
        <v>83</v>
      </c>
      <c r="P378" s="9">
        <f>INDEX(E:E,MATCH(J378,D:D,0))</f>
        <v>130</v>
      </c>
      <c r="Q378" s="7">
        <f t="shared" si="94"/>
        <v>83</v>
      </c>
      <c r="R378" s="7">
        <f>COUNTIF(J$8:$J378,"="&amp;J378)</f>
        <v>2</v>
      </c>
      <c r="S378" s="7">
        <f t="shared" si="115"/>
        <v>2083</v>
      </c>
    </row>
    <row r="379" spans="8:19">
      <c r="H379" s="7">
        <f>IF(I379="","",COUNTA(I$9:$I379))</f>
        <v>186</v>
      </c>
      <c r="I379" s="3" t="s">
        <v>436</v>
      </c>
      <c r="J379" s="3" t="s">
        <v>434</v>
      </c>
      <c r="K379" s="8" t="str">
        <f>IF(H379="","",阶段合并区域(J379:J382," ",L379:L382,1))</f>
        <v>卫青 李广 卫青 蒙恬</v>
      </c>
      <c r="L379" s="8">
        <f>COUNTIF(M$8:$M379,"="&amp;M379)</f>
        <v>3</v>
      </c>
      <c r="M379" s="9" t="str">
        <f t="shared" si="116"/>
        <v>龙城飞将</v>
      </c>
      <c r="N379" s="9" t="str">
        <f t="shared" si="117"/>
        <v>龙城飞将3</v>
      </c>
      <c r="O379" s="15">
        <f>INDEX(C:C,MATCH(J379,D:D,0))</f>
        <v>82</v>
      </c>
      <c r="P379" s="9">
        <f>INDEX(E:E,MATCH(J379,D:D,0))</f>
        <v>130</v>
      </c>
      <c r="Q379" s="7">
        <f t="shared" si="94"/>
        <v>82</v>
      </c>
      <c r="R379" s="7">
        <f>COUNTIF(J$8:$J379,"="&amp;J379)</f>
        <v>3</v>
      </c>
      <c r="S379" s="7">
        <f t="shared" si="115"/>
        <v>3082</v>
      </c>
    </row>
    <row r="380" spans="8:19">
      <c r="H380" s="7" t="str">
        <f>IF(I380="","",COUNTA(I$9:$I380))</f>
        <v/>
      </c>
      <c r="I380" s="3"/>
      <c r="J380" s="3" t="s">
        <v>432</v>
      </c>
      <c r="K380" s="8" t="str">
        <f>IF(H380="","",阶段合并区域(J380:J383," ",L380:L383,1))</f>
        <v/>
      </c>
      <c r="L380" s="8">
        <f>COUNTIF(M$8:$M380,"="&amp;M380)</f>
        <v>4</v>
      </c>
      <c r="M380" s="9" t="str">
        <f t="shared" si="116"/>
        <v>龙城飞将</v>
      </c>
      <c r="N380" s="9" t="str">
        <f t="shared" si="117"/>
        <v>龙城飞将4</v>
      </c>
      <c r="O380" s="15">
        <f>INDEX(C:C,MATCH(J380,D:D,0))</f>
        <v>14</v>
      </c>
      <c r="P380" s="9">
        <f>INDEX(E:E,MATCH(J380,D:D,0))</f>
        <v>130</v>
      </c>
      <c r="Q380" s="7">
        <f t="shared" si="94"/>
        <v>14</v>
      </c>
      <c r="R380" s="7">
        <f>COUNTIF(J$8:$J380,"="&amp;J380)</f>
        <v>4</v>
      </c>
      <c r="S380" s="7">
        <f t="shared" si="115"/>
        <v>4014</v>
      </c>
    </row>
    <row r="381" spans="8:19">
      <c r="H381" s="7">
        <f>IF(I381="","",COUNTA(I$9:$I381))</f>
        <v>187</v>
      </c>
      <c r="I381" s="3" t="s">
        <v>437</v>
      </c>
      <c r="J381" s="3" t="s">
        <v>434</v>
      </c>
      <c r="K381" s="8" t="str">
        <f>IF(H381="","",阶段合并区域(J381:J384," ",L381:L384,1))</f>
        <v>卫青 蒙恬 霍去病 卫青</v>
      </c>
      <c r="L381" s="8">
        <f>COUNTIF(M$8:$M381,"="&amp;M381)</f>
        <v>1</v>
      </c>
      <c r="M381" s="9" t="str">
        <f t="shared" si="116"/>
        <v>抗击匈奴</v>
      </c>
      <c r="N381" s="9" t="str">
        <f t="shared" si="117"/>
        <v>抗击匈奴1</v>
      </c>
      <c r="O381" s="15">
        <f>INDEX(C:C,MATCH(J381,D:D,0))</f>
        <v>82</v>
      </c>
      <c r="P381" s="9">
        <f>INDEX(E:E,MATCH(J381,D:D,0))</f>
        <v>130</v>
      </c>
      <c r="Q381" s="7">
        <f t="shared" si="94"/>
        <v>82</v>
      </c>
      <c r="R381" s="7">
        <f>COUNTIF(J$8:$J381,"="&amp;J381)</f>
        <v>4</v>
      </c>
      <c r="S381" s="7">
        <f t="shared" si="115"/>
        <v>4082</v>
      </c>
    </row>
    <row r="382" spans="8:19">
      <c r="H382" s="7" t="str">
        <f>IF(I382="","",COUNTA(I$9:$I382))</f>
        <v/>
      </c>
      <c r="I382" s="3"/>
      <c r="J382" s="3" t="s">
        <v>438</v>
      </c>
      <c r="K382" s="8" t="str">
        <f>IF(H382="","",阶段合并区域(J382:J385," ",L382:L385,1))</f>
        <v/>
      </c>
      <c r="L382" s="8">
        <f>COUNTIF(M$8:$M382,"="&amp;M382)</f>
        <v>2</v>
      </c>
      <c r="M382" s="9" t="str">
        <f t="shared" si="116"/>
        <v>抗击匈奴</v>
      </c>
      <c r="N382" s="9" t="str">
        <f t="shared" si="117"/>
        <v>抗击匈奴2</v>
      </c>
      <c r="O382" s="15">
        <f>INDEX(C:C,MATCH(J382,D:D,0))</f>
        <v>74</v>
      </c>
      <c r="P382" s="9">
        <f>INDEX(E:E,MATCH(J382,D:D,0))</f>
        <v>130</v>
      </c>
      <c r="Q382" s="7">
        <f t="shared" si="94"/>
        <v>74</v>
      </c>
      <c r="R382" s="7">
        <f>COUNTIF(J$8:$J382,"="&amp;J382)</f>
        <v>4</v>
      </c>
      <c r="S382" s="7">
        <f t="shared" si="115"/>
        <v>4074</v>
      </c>
    </row>
    <row r="383" spans="8:19">
      <c r="H383" s="7">
        <f>IF(I383="","",COUNTA(I$9:$I383))</f>
        <v>188</v>
      </c>
      <c r="I383" s="3" t="s">
        <v>435</v>
      </c>
      <c r="J383" s="3" t="s">
        <v>439</v>
      </c>
      <c r="K383" s="8" t="str">
        <f>IF(H383="","",阶段合并区域(J383:J386," ",L383:L386,1))</f>
        <v>霍去病 卫青 霍去病 蒙恬</v>
      </c>
      <c r="L383" s="8">
        <f>COUNTIF(M$8:$M383,"="&amp;M383)</f>
        <v>3</v>
      </c>
      <c r="M383" s="9" t="str">
        <f t="shared" si="116"/>
        <v>大汉双壁</v>
      </c>
      <c r="N383" s="9" t="str">
        <f t="shared" si="117"/>
        <v>大汉双壁3</v>
      </c>
      <c r="O383" s="15">
        <f>INDEX(C:C,MATCH(J383,D:D,0))</f>
        <v>83</v>
      </c>
      <c r="P383" s="9">
        <f>INDEX(E:E,MATCH(J383,D:D,0))</f>
        <v>130</v>
      </c>
      <c r="Q383" s="7">
        <f t="shared" si="94"/>
        <v>83</v>
      </c>
      <c r="R383" s="7">
        <f>COUNTIF(J$8:$J383,"="&amp;J383)</f>
        <v>3</v>
      </c>
      <c r="S383" s="7">
        <f t="shared" si="115"/>
        <v>3083</v>
      </c>
    </row>
    <row r="384" spans="8:19">
      <c r="H384" s="7" t="str">
        <f>IF(I384="","",COUNTA(I$9:$I384))</f>
        <v/>
      </c>
      <c r="I384" s="3"/>
      <c r="J384" s="3" t="s">
        <v>426</v>
      </c>
      <c r="K384" s="8" t="str">
        <f>IF(H384="","",阶段合并区域(J384:J387," ",L384:L387,1))</f>
        <v/>
      </c>
      <c r="L384" s="8">
        <f>COUNTIF(M$8:$M384,"="&amp;M384)</f>
        <v>4</v>
      </c>
      <c r="M384" s="9" t="str">
        <f t="shared" si="116"/>
        <v>大汉双壁</v>
      </c>
      <c r="N384" s="9" t="str">
        <f t="shared" si="117"/>
        <v>大汉双壁4</v>
      </c>
      <c r="O384" s="15">
        <f>INDEX(C:C,MATCH(J384,D:D,0))</f>
        <v>82</v>
      </c>
      <c r="P384" s="9">
        <f>INDEX(E:E,MATCH(J384,D:D,0))</f>
        <v>130</v>
      </c>
      <c r="Q384" s="7">
        <f t="shared" si="94"/>
        <v>82</v>
      </c>
      <c r="R384" s="7">
        <f>COUNTIF(J$8:$J384,"="&amp;J384)</f>
        <v>5</v>
      </c>
      <c r="S384" s="7">
        <f t="shared" si="115"/>
        <v>5082</v>
      </c>
    </row>
    <row r="385" spans="8:19">
      <c r="H385" s="7">
        <f>IF(I385="","",COUNTA(I$9:$I385))</f>
        <v>189</v>
      </c>
      <c r="I385" s="3" t="s">
        <v>441</v>
      </c>
      <c r="J385" s="3" t="s">
        <v>439</v>
      </c>
      <c r="K385" s="8" t="str">
        <f>IF(H385="","",阶段合并区域(J385:J388," ",L385:L388,1))</f>
        <v>霍去病 蒙恬 李广</v>
      </c>
      <c r="L385" s="8">
        <f>COUNTIF(M$8:$M385,"="&amp;M385)</f>
        <v>1</v>
      </c>
      <c r="M385" s="9" t="str">
        <f t="shared" ref="M385:M392" si="118">IF(H385="",M384,I385)</f>
        <v>驱逐匈奴</v>
      </c>
      <c r="N385" s="9" t="str">
        <f t="shared" ref="N385:N392" si="119">M385&amp;L385</f>
        <v>驱逐匈奴1</v>
      </c>
      <c r="O385" s="15">
        <f>INDEX(C:C,MATCH(J385,D:D,0))</f>
        <v>83</v>
      </c>
      <c r="P385" s="9">
        <f>INDEX(E:E,MATCH(J385,D:D,0))</f>
        <v>130</v>
      </c>
      <c r="Q385" s="7">
        <f t="shared" si="94"/>
        <v>83</v>
      </c>
      <c r="R385" s="7">
        <f>COUNTIF(J$8:$J385,"="&amp;J385)</f>
        <v>4</v>
      </c>
      <c r="S385" s="7">
        <f t="shared" si="115"/>
        <v>4083</v>
      </c>
    </row>
    <row r="386" spans="8:19">
      <c r="H386" s="7" t="str">
        <f>IF(I386="","",COUNTA(I$9:$I386))</f>
        <v/>
      </c>
      <c r="I386" s="3"/>
      <c r="J386" s="3" t="s">
        <v>335</v>
      </c>
      <c r="K386" s="8" t="str">
        <f>IF(H386="","",阶段合并区域(J386:J389," ",L386:L389,1))</f>
        <v/>
      </c>
      <c r="L386" s="8">
        <f>COUNTIF(M$8:$M386,"="&amp;M386)</f>
        <v>2</v>
      </c>
      <c r="M386" s="9" t="str">
        <f t="shared" si="118"/>
        <v>驱逐匈奴</v>
      </c>
      <c r="N386" s="9" t="str">
        <f t="shared" si="119"/>
        <v>驱逐匈奴2</v>
      </c>
      <c r="O386" s="15">
        <f>INDEX(C:C,MATCH(J386,D:D,0))</f>
        <v>74</v>
      </c>
      <c r="P386" s="9">
        <f>INDEX(E:E,MATCH(J386,D:D,0))</f>
        <v>130</v>
      </c>
      <c r="Q386" s="7">
        <f t="shared" si="94"/>
        <v>74</v>
      </c>
      <c r="R386" s="7">
        <f>COUNTIF(J$8:$J386,"="&amp;J386)</f>
        <v>5</v>
      </c>
      <c r="S386" s="7">
        <f t="shared" si="115"/>
        <v>5074</v>
      </c>
    </row>
    <row r="387" spans="8:19">
      <c r="H387" s="7" t="str">
        <f>IF(I387="","",COUNTA(I$9:$I387))</f>
        <v/>
      </c>
      <c r="I387" s="3"/>
      <c r="J387" s="3" t="s">
        <v>424</v>
      </c>
      <c r="K387" s="8" t="str">
        <f>IF(H387="","",阶段合并区域(J387:J390," ",L387:L390,1))</f>
        <v/>
      </c>
      <c r="L387" s="8">
        <f>COUNTIF(M$8:$M387,"="&amp;M387)</f>
        <v>3</v>
      </c>
      <c r="M387" s="9" t="str">
        <f t="shared" si="118"/>
        <v>驱逐匈奴</v>
      </c>
      <c r="N387" s="9" t="str">
        <f t="shared" si="119"/>
        <v>驱逐匈奴3</v>
      </c>
      <c r="O387" s="15">
        <f>INDEX(C:C,MATCH(J387,D:D,0))</f>
        <v>14</v>
      </c>
      <c r="P387" s="9">
        <f>INDEX(E:E,MATCH(J387,D:D,0))</f>
        <v>130</v>
      </c>
      <c r="Q387" s="7">
        <f t="shared" si="94"/>
        <v>14</v>
      </c>
      <c r="R387" s="7">
        <f>COUNTIF(J$8:$J387,"="&amp;J387)</f>
        <v>5</v>
      </c>
      <c r="S387" s="7">
        <f t="shared" si="115"/>
        <v>5014</v>
      </c>
    </row>
    <row r="388" spans="8:19">
      <c r="H388" s="7">
        <f>IF(I388="","",COUNTA(I$9:$I388))</f>
        <v>190</v>
      </c>
      <c r="I388" s="3" t="s">
        <v>442</v>
      </c>
      <c r="J388" s="3" t="s">
        <v>439</v>
      </c>
      <c r="K388" s="8" t="str">
        <f>IF(H388="","",阶段合并区域(J388:J391," ",L388:L391,1))</f>
        <v>霍去病 韩信</v>
      </c>
      <c r="L388" s="8">
        <f>COUNTIF(M$8:$M388,"="&amp;M388)</f>
        <v>1</v>
      </c>
      <c r="M388" s="9" t="str">
        <f t="shared" si="118"/>
        <v>英年早逝</v>
      </c>
      <c r="N388" s="9" t="str">
        <f t="shared" si="119"/>
        <v>英年早逝1</v>
      </c>
      <c r="O388" s="15">
        <f>INDEX(C:C,MATCH(J388,D:D,0))</f>
        <v>83</v>
      </c>
      <c r="P388" s="9">
        <f>INDEX(E:E,MATCH(J388,D:D,0))</f>
        <v>130</v>
      </c>
      <c r="Q388" s="7">
        <f t="shared" si="94"/>
        <v>83</v>
      </c>
      <c r="R388" s="7">
        <f>COUNTIF(J$8:$J388,"="&amp;J388)</f>
        <v>5</v>
      </c>
      <c r="S388" s="7">
        <f t="shared" si="115"/>
        <v>5083</v>
      </c>
    </row>
    <row r="389" spans="8:19">
      <c r="H389" s="7" t="str">
        <f>IF(I389="","",COUNTA(I$9:$I389))</f>
        <v/>
      </c>
      <c r="I389" s="3"/>
      <c r="J389" s="3" t="s">
        <v>398</v>
      </c>
      <c r="K389" s="8" t="str">
        <f>IF(H389="","",阶段合并区域(J389:J392," ",L389:L392,1))</f>
        <v/>
      </c>
      <c r="L389" s="8">
        <f>COUNTIF(M$8:$M389,"="&amp;M389)</f>
        <v>2</v>
      </c>
      <c r="M389" s="9" t="str">
        <f t="shared" si="118"/>
        <v>英年早逝</v>
      </c>
      <c r="N389" s="9" t="str">
        <f t="shared" si="119"/>
        <v>英年早逝2</v>
      </c>
      <c r="O389" s="15">
        <f>INDEX(C:C,MATCH(J389,D:D,0))</f>
        <v>80</v>
      </c>
      <c r="P389" s="9">
        <f>INDEX(E:E,MATCH(J389,D:D,0))</f>
        <v>130</v>
      </c>
      <c r="Q389" s="7">
        <f t="shared" si="94"/>
        <v>80</v>
      </c>
      <c r="R389" s="7">
        <f>COUNTIF(J$8:$J389,"="&amp;J389)</f>
        <v>5</v>
      </c>
      <c r="S389" s="7">
        <f t="shared" si="115"/>
        <v>5080</v>
      </c>
    </row>
    <row r="390" spans="8:19">
      <c r="H390" s="7">
        <f>IF(I390="","",COUNTA(I$9:$I390))</f>
        <v>191</v>
      </c>
      <c r="I390" s="3" t="s">
        <v>443</v>
      </c>
      <c r="J390" s="3" t="s">
        <v>444</v>
      </c>
      <c r="K390" s="8" t="str">
        <f>IF(H390="","",阶段合并区域(J390:J393," ",L390:L393,1))</f>
        <v>曹操 关羽</v>
      </c>
      <c r="L390" s="8">
        <f>COUNTIF(M$8:$M390,"="&amp;M390)</f>
        <v>1</v>
      </c>
      <c r="M390" s="9" t="str">
        <f t="shared" si="118"/>
        <v>挂印封金</v>
      </c>
      <c r="N390" s="9" t="str">
        <f t="shared" si="119"/>
        <v>挂印封金1</v>
      </c>
      <c r="O390" s="15">
        <f>INDEX(C:C,MATCH(J390,D:D,0))</f>
        <v>84</v>
      </c>
      <c r="P390" s="9">
        <f>INDEX(E:E,MATCH(J390,D:D,0))</f>
        <v>130</v>
      </c>
      <c r="Q390" s="7">
        <f t="shared" si="94"/>
        <v>84</v>
      </c>
      <c r="R390" s="7">
        <f>COUNTIF(J$8:$J390,"="&amp;J390)</f>
        <v>1</v>
      </c>
      <c r="S390" s="7">
        <f t="shared" si="115"/>
        <v>1084</v>
      </c>
    </row>
    <row r="391" spans="8:19">
      <c r="H391" s="7" t="str">
        <f>IF(I391="","",COUNTA(I$9:$I391))</f>
        <v/>
      </c>
      <c r="I391" s="3"/>
      <c r="J391" s="3" t="s">
        <v>38</v>
      </c>
      <c r="K391" s="8" t="str">
        <f>IF(H391="","",阶段合并区域(J391:J394," ",L391:L394,1))</f>
        <v/>
      </c>
      <c r="L391" s="8">
        <f>COUNTIF(M$8:$M391,"="&amp;M391)</f>
        <v>2</v>
      </c>
      <c r="M391" s="9" t="str">
        <f t="shared" si="118"/>
        <v>挂印封金</v>
      </c>
      <c r="N391" s="9" t="str">
        <f t="shared" si="119"/>
        <v>挂印封金2</v>
      </c>
      <c r="O391" s="15">
        <f>INDEX(C:C,MATCH(J391,D:D,0))</f>
        <v>85</v>
      </c>
      <c r="P391" s="9">
        <f>INDEX(E:E,MATCH(J391,D:D,0))</f>
        <v>130</v>
      </c>
      <c r="Q391" s="7">
        <f t="shared" si="94"/>
        <v>85</v>
      </c>
      <c r="R391" s="7">
        <f>COUNTIF(J$8:$J391,"="&amp;J391)</f>
        <v>1</v>
      </c>
      <c r="S391" s="7">
        <f t="shared" si="115"/>
        <v>1085</v>
      </c>
    </row>
    <row r="392" spans="8:19">
      <c r="H392" s="7">
        <f>IF(I392="","",COUNTA(I$9:$I392))</f>
        <v>192</v>
      </c>
      <c r="I392" s="3" t="s">
        <v>445</v>
      </c>
      <c r="J392" s="3" t="s">
        <v>444</v>
      </c>
      <c r="K392" s="8" t="str">
        <f>IF(H392="","",阶段合并区域(J392:J395," ",L392:L395,1))</f>
        <v>曹操 齐桓公 晋文公</v>
      </c>
      <c r="L392" s="8">
        <f>COUNTIF(M$8:$M392,"="&amp;M392)</f>
        <v>1</v>
      </c>
      <c r="M392" s="9" t="str">
        <f t="shared" si="118"/>
        <v>乱世枭雄</v>
      </c>
      <c r="N392" s="9" t="str">
        <f t="shared" si="119"/>
        <v>乱世枭雄1</v>
      </c>
      <c r="O392" s="15">
        <f>INDEX(C:C,MATCH(J392,D:D,0))</f>
        <v>84</v>
      </c>
      <c r="P392" s="9">
        <f>INDEX(E:E,MATCH(J392,D:D,0))</f>
        <v>130</v>
      </c>
      <c r="Q392" s="7">
        <f t="shared" si="94"/>
        <v>84</v>
      </c>
      <c r="R392" s="7">
        <f>COUNTIF(J$8:$J392,"="&amp;J392)</f>
        <v>2</v>
      </c>
      <c r="S392" s="7">
        <f t="shared" si="115"/>
        <v>2084</v>
      </c>
    </row>
    <row r="393" spans="8:19">
      <c r="H393" s="7" t="str">
        <f>IF(I393="","",COUNTA(I$9:$I393))</f>
        <v/>
      </c>
      <c r="I393" s="3"/>
      <c r="J393" s="3" t="s">
        <v>359</v>
      </c>
      <c r="K393" s="8" t="str">
        <f>IF(H393="","",阶段合并区域(J393:J396," ",L393:L396,1))</f>
        <v/>
      </c>
      <c r="L393" s="8">
        <f>COUNTIF(M$8:$M393,"="&amp;M393)</f>
        <v>2</v>
      </c>
      <c r="M393" s="9" t="str">
        <f t="shared" ref="M393:M422" si="120">IF(H393="",M392,I393)</f>
        <v>乱世枭雄</v>
      </c>
      <c r="N393" s="9" t="str">
        <f t="shared" ref="N393:N422" si="121">M393&amp;L393</f>
        <v>乱世枭雄2</v>
      </c>
      <c r="O393" s="15">
        <f>INDEX(C:C,MATCH(J393,D:D,0))</f>
        <v>38</v>
      </c>
      <c r="P393" s="9">
        <f>INDEX(E:E,MATCH(J393,D:D,0))</f>
        <v>130</v>
      </c>
      <c r="Q393" s="7">
        <f t="shared" ref="Q393:Q449" si="122">INDEX($C$9:$C$190,MATCH(J393,$D$9:$D$190,0))</f>
        <v>38</v>
      </c>
      <c r="R393" s="7">
        <f>COUNTIF(J$8:$J393,"="&amp;J393)</f>
        <v>4</v>
      </c>
      <c r="S393" s="7">
        <f t="shared" si="115"/>
        <v>4038</v>
      </c>
    </row>
    <row r="394" spans="8:19">
      <c r="H394" s="7" t="str">
        <f>IF(I394="","",COUNTA(I$9:$I394))</f>
        <v/>
      </c>
      <c r="I394" s="3"/>
      <c r="J394" s="3" t="s">
        <v>282</v>
      </c>
      <c r="K394" s="8" t="str">
        <f>IF(H394="","",阶段合并区域(J394:J397," ",L394:L397,1))</f>
        <v/>
      </c>
      <c r="L394" s="8">
        <f>COUNTIF(M$8:$M394,"="&amp;M394)</f>
        <v>3</v>
      </c>
      <c r="M394" s="9" t="str">
        <f t="shared" si="120"/>
        <v>乱世枭雄</v>
      </c>
      <c r="N394" s="9" t="str">
        <f t="shared" si="121"/>
        <v>乱世枭雄3</v>
      </c>
      <c r="O394" s="15">
        <f>INDEX(C:C,MATCH(J394,D:D,0))</f>
        <v>65</v>
      </c>
      <c r="P394" s="9">
        <f>INDEX(E:E,MATCH(J394,D:D,0))</f>
        <v>130</v>
      </c>
      <c r="Q394" s="7">
        <f t="shared" si="122"/>
        <v>65</v>
      </c>
      <c r="R394" s="7">
        <f>COUNTIF(J$8:$J394,"="&amp;J394)</f>
        <v>6</v>
      </c>
      <c r="S394" s="7">
        <f t="shared" si="115"/>
        <v>6065</v>
      </c>
    </row>
    <row r="395" spans="8:19">
      <c r="H395" s="7">
        <f>IF(I395="","",COUNTA(I$9:$I395))</f>
        <v>193</v>
      </c>
      <c r="I395" s="3" t="s">
        <v>446</v>
      </c>
      <c r="J395" s="3" t="s">
        <v>444</v>
      </c>
      <c r="K395" s="8" t="str">
        <f>IF(H395="","",阶段合并区域(J395:J398," ",L395:L398,1))</f>
        <v>曹操 刘邦</v>
      </c>
      <c r="L395" s="8">
        <f>COUNTIF(M$8:$M395,"="&amp;M395)</f>
        <v>1</v>
      </c>
      <c r="M395" s="9" t="str">
        <f t="shared" si="120"/>
        <v>平定中原</v>
      </c>
      <c r="N395" s="9" t="str">
        <f t="shared" si="121"/>
        <v>平定中原1</v>
      </c>
      <c r="O395" s="15">
        <f>INDEX(C:C,MATCH(J395,D:D,0))</f>
        <v>84</v>
      </c>
      <c r="P395" s="9">
        <f>INDEX(E:E,MATCH(J395,D:D,0))</f>
        <v>130</v>
      </c>
      <c r="Q395" s="7">
        <f t="shared" si="122"/>
        <v>84</v>
      </c>
      <c r="R395" s="7">
        <f>COUNTIF(J$8:$J395,"="&amp;J395)</f>
        <v>3</v>
      </c>
      <c r="S395" s="7">
        <f t="shared" si="115"/>
        <v>3084</v>
      </c>
    </row>
    <row r="396" spans="8:19">
      <c r="H396" s="7" t="str">
        <f>IF(I396="","",COUNTA(I$9:$I396))</f>
        <v/>
      </c>
      <c r="I396" s="3"/>
      <c r="J396" s="3" t="s">
        <v>404</v>
      </c>
      <c r="K396" s="8" t="str">
        <f>IF(H396="","",阶段合并区域(J396:J399," ",L396:L399,1))</f>
        <v/>
      </c>
      <c r="L396" s="8">
        <f>COUNTIF(M$8:$M396,"="&amp;M396)</f>
        <v>2</v>
      </c>
      <c r="M396" s="9" t="str">
        <f t="shared" si="120"/>
        <v>平定中原</v>
      </c>
      <c r="N396" s="9" t="str">
        <f t="shared" si="121"/>
        <v>平定中原2</v>
      </c>
      <c r="O396" s="15">
        <f>INDEX(C:C,MATCH(J396,D:D,0))</f>
        <v>79</v>
      </c>
      <c r="P396" s="9">
        <f>INDEX(E:E,MATCH(J396,D:D,0))</f>
        <v>130</v>
      </c>
      <c r="Q396" s="7">
        <f t="shared" si="122"/>
        <v>79</v>
      </c>
      <c r="R396" s="7">
        <f>COUNTIF(J$8:$J396,"="&amp;J396)</f>
        <v>5</v>
      </c>
      <c r="S396" s="7">
        <f t="shared" si="115"/>
        <v>5079</v>
      </c>
    </row>
    <row r="397" spans="8:19">
      <c r="H397" s="7">
        <f>IF(I397="","",COUNTA(I$9:$I397))</f>
        <v>194</v>
      </c>
      <c r="I397" s="3" t="s">
        <v>447</v>
      </c>
      <c r="J397" s="3" t="s">
        <v>38</v>
      </c>
      <c r="K397" s="8" t="str">
        <f>IF(H397="","",阶段合并区域(J397:J400," ",L397:L400,1))</f>
        <v>关羽 屈原 荆轲 廉颇</v>
      </c>
      <c r="L397" s="8">
        <f>COUNTIF(M$8:$M397,"="&amp;M397)</f>
        <v>1</v>
      </c>
      <c r="M397" s="9" t="str">
        <f t="shared" si="120"/>
        <v>春秋大义</v>
      </c>
      <c r="N397" s="9" t="str">
        <f t="shared" si="121"/>
        <v>春秋大义1</v>
      </c>
      <c r="O397" s="15">
        <f>INDEX(C:C,MATCH(J397,D:D,0))</f>
        <v>85</v>
      </c>
      <c r="P397" s="9">
        <f>INDEX(E:E,MATCH(J397,D:D,0))</f>
        <v>130</v>
      </c>
      <c r="Q397" s="7">
        <f t="shared" si="122"/>
        <v>85</v>
      </c>
      <c r="R397" s="7">
        <f>COUNTIF(J$8:$J397,"="&amp;J397)</f>
        <v>2</v>
      </c>
      <c r="S397" s="7">
        <f t="shared" si="115"/>
        <v>2085</v>
      </c>
    </row>
    <row r="398" spans="8:19">
      <c r="H398" s="7" t="str">
        <f>IF(I398="","",COUNTA(I$9:$I398))</f>
        <v/>
      </c>
      <c r="I398" s="3"/>
      <c r="J398" s="3" t="s">
        <v>448</v>
      </c>
      <c r="K398" s="8" t="str">
        <f>IF(H398="","",阶段合并区域(J398:J401," ",L398:L401,1))</f>
        <v/>
      </c>
      <c r="L398" s="8">
        <f>COUNTIF(M$8:$M398,"="&amp;M398)</f>
        <v>2</v>
      </c>
      <c r="M398" s="9" t="str">
        <f t="shared" si="120"/>
        <v>春秋大义</v>
      </c>
      <c r="N398" s="9" t="str">
        <f t="shared" si="121"/>
        <v>春秋大义2</v>
      </c>
      <c r="O398" s="15">
        <f>INDEX(C:C,MATCH(J398,D:D,0))</f>
        <v>40</v>
      </c>
      <c r="P398" s="9">
        <f>INDEX(E:E,MATCH(J398,D:D,0))</f>
        <v>120</v>
      </c>
      <c r="Q398" s="7">
        <f t="shared" si="122"/>
        <v>40</v>
      </c>
      <c r="R398" s="7">
        <f>COUNTIF(J$8:$J398,"="&amp;J398)</f>
        <v>13</v>
      </c>
      <c r="S398" s="7">
        <f t="shared" si="115"/>
        <v>13040</v>
      </c>
    </row>
    <row r="399" spans="8:19">
      <c r="H399" s="7" t="str">
        <f>IF(I399="","",COUNTA(I$9:$I399))</f>
        <v/>
      </c>
      <c r="I399" s="3"/>
      <c r="J399" s="3" t="s">
        <v>449</v>
      </c>
      <c r="K399" s="8" t="str">
        <f>IF(H399="","",阶段合并区域(J399:J402," ",L399:L402,1))</f>
        <v/>
      </c>
      <c r="L399" s="8">
        <f>COUNTIF(M$8:$M399,"="&amp;M399)</f>
        <v>3</v>
      </c>
      <c r="M399" s="9" t="str">
        <f t="shared" si="120"/>
        <v>春秋大义</v>
      </c>
      <c r="N399" s="9" t="str">
        <f t="shared" si="121"/>
        <v>春秋大义3</v>
      </c>
      <c r="O399" s="15">
        <f>INDEX(C:C,MATCH(J399,D:D,0))</f>
        <v>56</v>
      </c>
      <c r="P399" s="9">
        <f>INDEX(E:E,MATCH(J399,D:D,0))</f>
        <v>120</v>
      </c>
      <c r="Q399" s="7">
        <f t="shared" si="122"/>
        <v>56</v>
      </c>
      <c r="R399" s="7">
        <f>COUNTIF(J$8:$J399,"="&amp;J399)</f>
        <v>6</v>
      </c>
      <c r="S399" s="7">
        <f t="shared" si="115"/>
        <v>6056</v>
      </c>
    </row>
    <row r="400" spans="8:19">
      <c r="H400" s="7" t="str">
        <f>IF(I400="","",COUNTA(I$9:$I400))</f>
        <v/>
      </c>
      <c r="I400" s="3"/>
      <c r="J400" s="3" t="s">
        <v>450</v>
      </c>
      <c r="K400" s="8" t="str">
        <f>IF(H400="","",阶段合并区域(J400:J403," ",L400:L403,1))</f>
        <v/>
      </c>
      <c r="L400" s="8">
        <f>COUNTIF(M$8:$M400,"="&amp;M400)</f>
        <v>4</v>
      </c>
      <c r="M400" s="9" t="str">
        <f t="shared" si="120"/>
        <v>春秋大义</v>
      </c>
      <c r="N400" s="9" t="str">
        <f t="shared" si="121"/>
        <v>春秋大义4</v>
      </c>
      <c r="O400" s="15">
        <f>INDEX(C:C,MATCH(J400,D:D,0))</f>
        <v>5</v>
      </c>
      <c r="P400" s="9">
        <f>INDEX(E:E,MATCH(J400,D:D,0))</f>
        <v>130</v>
      </c>
      <c r="Q400" s="7">
        <f t="shared" si="122"/>
        <v>5</v>
      </c>
      <c r="R400" s="7">
        <f>COUNTIF(J$8:$J400,"="&amp;J400)</f>
        <v>9</v>
      </c>
      <c r="S400" s="7">
        <f t="shared" si="115"/>
        <v>9005</v>
      </c>
    </row>
    <row r="401" spans="8:19">
      <c r="H401" s="7">
        <f>IF(I401="","",COUNTA(I$9:$I401))</f>
        <v>195</v>
      </c>
      <c r="I401" s="3" t="s">
        <v>451</v>
      </c>
      <c r="J401" s="3" t="s">
        <v>38</v>
      </c>
      <c r="K401" s="8" t="str">
        <f>IF(H401="","",阶段合并区域(J401:J404," ",L401:L404,1))</f>
        <v>关羽 养由基 关羽 曹操</v>
      </c>
      <c r="L401" s="8">
        <f>COUNTIF(M$8:$M401,"="&amp;M401)</f>
        <v>1</v>
      </c>
      <c r="M401" s="9" t="str">
        <f t="shared" si="120"/>
        <v>大意败亡</v>
      </c>
      <c r="N401" s="9" t="str">
        <f t="shared" si="121"/>
        <v>大意败亡1</v>
      </c>
      <c r="O401" s="15">
        <f>INDEX(C:C,MATCH(J401,D:D,0))</f>
        <v>85</v>
      </c>
      <c r="P401" s="9">
        <f>INDEX(E:E,MATCH(J401,D:D,0))</f>
        <v>130</v>
      </c>
      <c r="Q401" s="7">
        <f t="shared" si="122"/>
        <v>85</v>
      </c>
      <c r="R401" s="7">
        <f>COUNTIF(J$8:$J401,"="&amp;J401)</f>
        <v>3</v>
      </c>
      <c r="S401" s="7">
        <f t="shared" si="115"/>
        <v>3085</v>
      </c>
    </row>
    <row r="402" spans="8:19">
      <c r="H402" s="7" t="str">
        <f>IF(I402="","",COUNTA(I$9:$I402))</f>
        <v/>
      </c>
      <c r="I402" s="3"/>
      <c r="J402" s="3" t="s">
        <v>452</v>
      </c>
      <c r="K402" s="8" t="str">
        <f>IF(H402="","",阶段合并区域(J402:J405," ",L402:L405,1))</f>
        <v/>
      </c>
      <c r="L402" s="8">
        <f>COUNTIF(M$8:$M402,"="&amp;M402)</f>
        <v>2</v>
      </c>
      <c r="M402" s="9" t="str">
        <f t="shared" si="120"/>
        <v>大意败亡</v>
      </c>
      <c r="N402" s="9" t="str">
        <f t="shared" si="121"/>
        <v>大意败亡2</v>
      </c>
      <c r="O402" s="15">
        <f>INDEX(C:C,MATCH(J402,D:D,0))</f>
        <v>13</v>
      </c>
      <c r="P402" s="9">
        <f>INDEX(E:E,MATCH(J402,D:D,0))</f>
        <v>130</v>
      </c>
      <c r="Q402" s="7">
        <f t="shared" si="122"/>
        <v>13</v>
      </c>
      <c r="R402" s="7">
        <f>COUNTIF(J$8:$J402,"="&amp;J402)</f>
        <v>4</v>
      </c>
      <c r="S402" s="7">
        <f t="shared" si="115"/>
        <v>4013</v>
      </c>
    </row>
    <row r="403" spans="8:19">
      <c r="H403" s="7">
        <f>IF(I403="","",COUNTA(I$9:$I403))</f>
        <v>196</v>
      </c>
      <c r="I403" s="3" t="s">
        <v>443</v>
      </c>
      <c r="J403" s="3" t="s">
        <v>38</v>
      </c>
      <c r="K403" s="8" t="str">
        <f>IF(H403="","",阶段合并区域(J403:J406," ",L403:L406,1))</f>
        <v>关羽 曹操 董卓 吕不韦</v>
      </c>
      <c r="L403" s="8">
        <f>COUNTIF(M$8:$M403,"="&amp;M403)</f>
        <v>3</v>
      </c>
      <c r="M403" s="9" t="str">
        <f t="shared" si="120"/>
        <v>挂印封金</v>
      </c>
      <c r="N403" s="9" t="str">
        <f t="shared" si="121"/>
        <v>挂印封金3</v>
      </c>
      <c r="O403" s="15">
        <f>INDEX(C:C,MATCH(J403,D:D,0))</f>
        <v>85</v>
      </c>
      <c r="P403" s="9">
        <f>INDEX(E:E,MATCH(J403,D:D,0))</f>
        <v>130</v>
      </c>
      <c r="Q403" s="7">
        <f t="shared" si="122"/>
        <v>85</v>
      </c>
      <c r="R403" s="7">
        <f>COUNTIF(J$8:$J403,"="&amp;J403)</f>
        <v>4</v>
      </c>
      <c r="S403" s="7">
        <f t="shared" si="115"/>
        <v>4085</v>
      </c>
    </row>
    <row r="404" spans="8:19">
      <c r="H404" s="7" t="str">
        <f>IF(I404="","",COUNTA(I$9:$I404))</f>
        <v/>
      </c>
      <c r="I404" s="3"/>
      <c r="J404" s="3" t="s">
        <v>444</v>
      </c>
      <c r="K404" s="8" t="str">
        <f>IF(H404="","",阶段合并区域(J404:J407," ",L404:L407,1))</f>
        <v/>
      </c>
      <c r="L404" s="8">
        <f>COUNTIF(M$8:$M404,"="&amp;M404)</f>
        <v>4</v>
      </c>
      <c r="M404" s="9" t="str">
        <f t="shared" si="120"/>
        <v>挂印封金</v>
      </c>
      <c r="N404" s="9" t="str">
        <f t="shared" si="121"/>
        <v>挂印封金4</v>
      </c>
      <c r="O404" s="15">
        <f>INDEX(C:C,MATCH(J404,D:D,0))</f>
        <v>84</v>
      </c>
      <c r="P404" s="9">
        <f>INDEX(E:E,MATCH(J404,D:D,0))</f>
        <v>130</v>
      </c>
      <c r="Q404" s="7">
        <f t="shared" si="122"/>
        <v>84</v>
      </c>
      <c r="R404" s="7">
        <f>COUNTIF(J$8:$J404,"="&amp;J404)</f>
        <v>4</v>
      </c>
      <c r="S404" s="7">
        <f t="shared" si="115"/>
        <v>4084</v>
      </c>
    </row>
    <row r="405" spans="8:19">
      <c r="H405" s="7">
        <f>IF(I405="","",COUNTA(I$9:$I405))</f>
        <v>197</v>
      </c>
      <c r="I405" s="23" t="s">
        <v>453</v>
      </c>
      <c r="J405" s="3" t="s">
        <v>456</v>
      </c>
      <c r="K405" s="8" t="str">
        <f>IF(H405="","",阶段合并区域(J405:J408," ",L405:L408,1))</f>
        <v>董卓 吕不韦</v>
      </c>
      <c r="L405" s="8">
        <f>COUNTIF(M$8:$M405,"="&amp;M405)</f>
        <v>1</v>
      </c>
      <c r="M405" s="9" t="str">
        <f t="shared" si="120"/>
        <v>胁上作乱</v>
      </c>
      <c r="N405" s="9" t="str">
        <f t="shared" si="121"/>
        <v>胁上作乱1</v>
      </c>
      <c r="O405" s="15">
        <f>INDEX(C:C,MATCH(J405,D:D,0))</f>
        <v>86</v>
      </c>
      <c r="P405" s="9">
        <f>INDEX(E:E,MATCH(J405,D:D,0))</f>
        <v>130</v>
      </c>
      <c r="Q405" s="7">
        <f t="shared" si="122"/>
        <v>86</v>
      </c>
      <c r="R405" s="7">
        <f>COUNTIF(J$8:$J405,"="&amp;J405)</f>
        <v>1</v>
      </c>
      <c r="S405" s="7">
        <f t="shared" si="115"/>
        <v>1086</v>
      </c>
    </row>
    <row r="406" spans="8:19">
      <c r="H406" s="7" t="str">
        <f>IF(I406="","",COUNTA(I$9:$I406))</f>
        <v/>
      </c>
      <c r="I406" s="23"/>
      <c r="J406" s="3" t="s">
        <v>457</v>
      </c>
      <c r="K406" s="8" t="str">
        <f>IF(H406="","",阶段合并区域(J406:J409," ",L406:L409,1))</f>
        <v/>
      </c>
      <c r="L406" s="8">
        <f>COUNTIF(M$8:$M406,"="&amp;M406)</f>
        <v>2</v>
      </c>
      <c r="M406" s="9" t="str">
        <f t="shared" si="120"/>
        <v>胁上作乱</v>
      </c>
      <c r="N406" s="9" t="str">
        <f t="shared" si="121"/>
        <v>胁上作乱2</v>
      </c>
      <c r="O406" s="15">
        <f>INDEX(C:C,MATCH(J406,D:D,0))</f>
        <v>18</v>
      </c>
      <c r="P406" s="9">
        <f>INDEX(E:E,MATCH(J406,D:D,0))</f>
        <v>120</v>
      </c>
      <c r="Q406" s="7">
        <f t="shared" si="122"/>
        <v>18</v>
      </c>
      <c r="R406" s="7">
        <f>COUNTIF(J$8:$J406,"="&amp;J406)</f>
        <v>16</v>
      </c>
      <c r="S406" s="7">
        <f t="shared" si="115"/>
        <v>16018</v>
      </c>
    </row>
    <row r="407" spans="8:19">
      <c r="H407" s="7">
        <f>IF(I407="","",COUNTA(I$9:$I407))</f>
        <v>198</v>
      </c>
      <c r="I407" s="23" t="s">
        <v>454</v>
      </c>
      <c r="J407" s="3" t="s">
        <v>456</v>
      </c>
      <c r="K407" s="8" t="str">
        <f>IF(H407="","",阶段合并区域(J407:J410," ",L407:L410,1))</f>
        <v>董卓 义渠骇</v>
      </c>
      <c r="L407" s="8">
        <f>COUNTIF(M$8:$M407,"="&amp;M407)</f>
        <v>1</v>
      </c>
      <c r="M407" s="9" t="str">
        <f t="shared" si="120"/>
        <v>起兵边蛮</v>
      </c>
      <c r="N407" s="9" t="str">
        <f t="shared" si="121"/>
        <v>起兵边蛮1</v>
      </c>
      <c r="O407" s="15">
        <f>INDEX(C:C,MATCH(J407,D:D,0))</f>
        <v>86</v>
      </c>
      <c r="P407" s="9">
        <f>INDEX(E:E,MATCH(J407,D:D,0))</f>
        <v>130</v>
      </c>
      <c r="Q407" s="7">
        <f t="shared" si="122"/>
        <v>86</v>
      </c>
      <c r="R407" s="7">
        <f>COUNTIF(J$8:$J407,"="&amp;J407)</f>
        <v>2</v>
      </c>
      <c r="S407" s="7">
        <f t="shared" si="115"/>
        <v>2086</v>
      </c>
    </row>
    <row r="408" spans="8:19">
      <c r="H408" s="7" t="str">
        <f>IF(I408="","",COUNTA(I$9:$I408))</f>
        <v/>
      </c>
      <c r="I408" s="3"/>
      <c r="J408" s="3" t="s">
        <v>458</v>
      </c>
      <c r="K408" s="8" t="str">
        <f>IF(H408="","",阶段合并区域(J408:J411," ",L408:L411,1))</f>
        <v/>
      </c>
      <c r="L408" s="8">
        <f>COUNTIF(M$8:$M408,"="&amp;M408)</f>
        <v>2</v>
      </c>
      <c r="M408" s="9" t="str">
        <f t="shared" si="120"/>
        <v>起兵边蛮</v>
      </c>
      <c r="N408" s="9" t="str">
        <f t="shared" si="121"/>
        <v>起兵边蛮2</v>
      </c>
      <c r="O408" s="15">
        <f>INDEX(C:C,MATCH(J408,D:D,0))</f>
        <v>3</v>
      </c>
      <c r="P408" s="9">
        <f>INDEX(E:E,MATCH(J408,D:D,0))</f>
        <v>120</v>
      </c>
      <c r="Q408" s="7">
        <f t="shared" si="122"/>
        <v>3</v>
      </c>
      <c r="R408" s="7">
        <f>COUNTIF(J$8:$J408,"="&amp;J408)</f>
        <v>6</v>
      </c>
      <c r="S408" s="7">
        <f t="shared" si="115"/>
        <v>6003</v>
      </c>
    </row>
    <row r="409" spans="8:19">
      <c r="H409" s="7">
        <f>IF(I409="","",COUNTA(I$9:$I409))</f>
        <v>199</v>
      </c>
      <c r="I409" s="23" t="s">
        <v>455</v>
      </c>
      <c r="J409" s="3" t="s">
        <v>456</v>
      </c>
      <c r="K409" s="8" t="str">
        <f>IF(H409="","",阶段合并区域(J409:J412," ",L409:L412,1))</f>
        <v>董卓 伍子胥</v>
      </c>
      <c r="L409" s="8">
        <f>COUNTIF(M$8:$M409,"="&amp;M409)</f>
        <v>1</v>
      </c>
      <c r="M409" s="9" t="str">
        <f t="shared" si="120"/>
        <v>手段残暴</v>
      </c>
      <c r="N409" s="9" t="str">
        <f t="shared" si="121"/>
        <v>手段残暴1</v>
      </c>
      <c r="O409" s="15">
        <f>INDEX(C:C,MATCH(J409,D:D,0))</f>
        <v>86</v>
      </c>
      <c r="P409" s="9">
        <f>INDEX(E:E,MATCH(J409,D:D,0))</f>
        <v>130</v>
      </c>
      <c r="Q409" s="7">
        <f t="shared" si="122"/>
        <v>86</v>
      </c>
      <c r="R409" s="7">
        <f>COUNTIF(J$8:$J409,"="&amp;J409)</f>
        <v>3</v>
      </c>
      <c r="S409" s="7">
        <f t="shared" si="115"/>
        <v>3086</v>
      </c>
    </row>
    <row r="410" spans="8:19">
      <c r="H410" s="7" t="str">
        <f>IF(I410="","",COUNTA(I$9:$I410))</f>
        <v/>
      </c>
      <c r="I410" s="3"/>
      <c r="J410" s="3" t="s">
        <v>459</v>
      </c>
      <c r="K410" s="8" t="str">
        <f>IF(H410="","",阶段合并区域(J410:J413," ",L410:L413,1))</f>
        <v/>
      </c>
      <c r="L410" s="8">
        <f>COUNTIF(M$8:$M410,"="&amp;M410)</f>
        <v>2</v>
      </c>
      <c r="M410" s="9" t="str">
        <f t="shared" si="120"/>
        <v>手段残暴</v>
      </c>
      <c r="N410" s="9" t="str">
        <f t="shared" si="121"/>
        <v>手段残暴2</v>
      </c>
      <c r="O410" s="15">
        <f>INDEX(C:C,MATCH(J410,D:D,0))</f>
        <v>62</v>
      </c>
      <c r="P410" s="9">
        <f>INDEX(E:E,MATCH(J410,D:D,0))</f>
        <v>120</v>
      </c>
      <c r="Q410" s="7">
        <f t="shared" si="122"/>
        <v>62</v>
      </c>
      <c r="R410" s="7">
        <f>COUNTIF(J$8:$J410,"="&amp;J410)</f>
        <v>10</v>
      </c>
      <c r="S410" s="7">
        <f t="shared" si="115"/>
        <v>10062</v>
      </c>
    </row>
    <row r="411" spans="8:19">
      <c r="H411" s="7">
        <f>IF(I411="","",COUNTA(I$9:$I411))</f>
        <v>200</v>
      </c>
      <c r="I411" s="3" t="s">
        <v>461</v>
      </c>
      <c r="J411" s="3" t="s">
        <v>464</v>
      </c>
      <c r="K411" s="8" t="str">
        <f>IF(H411="","",阶段合并区域(J411:J414," ",L411:L414,1))</f>
        <v>貂蝉 董卓</v>
      </c>
      <c r="L411" s="8">
        <f>COUNTIF(M$8:$M411,"="&amp;M411)</f>
        <v>1</v>
      </c>
      <c r="M411" s="9" t="str">
        <f t="shared" si="120"/>
        <v>连环计</v>
      </c>
      <c r="N411" s="9" t="str">
        <f t="shared" si="121"/>
        <v>连环计1</v>
      </c>
      <c r="O411" s="15">
        <f>INDEX(C:C,MATCH(J411,D:D,0))</f>
        <v>87</v>
      </c>
      <c r="P411" s="9">
        <f>INDEX(E:E,MATCH(J411,D:D,0))</f>
        <v>130</v>
      </c>
      <c r="Q411" s="7">
        <f t="shared" si="122"/>
        <v>87</v>
      </c>
      <c r="R411" s="7">
        <f>COUNTIF(J$8:$J411,"="&amp;J411)</f>
        <v>1</v>
      </c>
      <c r="S411" s="7">
        <f t="shared" si="115"/>
        <v>1087</v>
      </c>
    </row>
    <row r="412" spans="8:19">
      <c r="H412" s="7" t="str">
        <f>IF(I412="","",COUNTA(I$9:$I412))</f>
        <v/>
      </c>
      <c r="I412" s="3"/>
      <c r="J412" s="3" t="s">
        <v>456</v>
      </c>
      <c r="K412" s="8" t="str">
        <f>IF(H412="","",阶段合并区域(J412:J415," ",L412:L415,1))</f>
        <v/>
      </c>
      <c r="L412" s="8">
        <f>COUNTIF(M$8:$M412,"="&amp;M412)</f>
        <v>2</v>
      </c>
      <c r="M412" s="9" t="str">
        <f t="shared" si="120"/>
        <v>连环计</v>
      </c>
      <c r="N412" s="9" t="str">
        <f t="shared" si="121"/>
        <v>连环计2</v>
      </c>
      <c r="O412" s="15">
        <f>INDEX(C:C,MATCH(J412,D:D,0))</f>
        <v>86</v>
      </c>
      <c r="P412" s="9">
        <f>INDEX(E:E,MATCH(J412,D:D,0))</f>
        <v>130</v>
      </c>
      <c r="Q412" s="7">
        <f t="shared" si="122"/>
        <v>86</v>
      </c>
      <c r="R412" s="7">
        <f>COUNTIF(J$8:$J412,"="&amp;J412)</f>
        <v>4</v>
      </c>
      <c r="S412" s="7">
        <f t="shared" si="115"/>
        <v>4086</v>
      </c>
    </row>
    <row r="413" spans="8:19">
      <c r="H413" s="7">
        <f>IF(I413="","",COUNTA(I$9:$I413))</f>
        <v>201</v>
      </c>
      <c r="I413" s="3" t="s">
        <v>462</v>
      </c>
      <c r="J413" s="3" t="s">
        <v>464</v>
      </c>
      <c r="K413" s="8" t="str">
        <f>IF(H413="","",阶段合并区域(J413:J416," ",L413:L416,1))</f>
        <v>貂蝉 西施</v>
      </c>
      <c r="L413" s="8">
        <f>COUNTIF(M$8:$M413,"="&amp;M413)</f>
        <v>1</v>
      </c>
      <c r="M413" s="9" t="str">
        <f t="shared" si="120"/>
        <v>沉鱼落雁</v>
      </c>
      <c r="N413" s="9" t="str">
        <f t="shared" si="121"/>
        <v>沉鱼落雁1</v>
      </c>
      <c r="O413" s="15">
        <f>INDEX(C:C,MATCH(J413,D:D,0))</f>
        <v>87</v>
      </c>
      <c r="P413" s="9">
        <f>INDEX(E:E,MATCH(J413,D:D,0))</f>
        <v>130</v>
      </c>
      <c r="Q413" s="7">
        <f t="shared" si="122"/>
        <v>87</v>
      </c>
      <c r="R413" s="7">
        <f>COUNTIF(J$8:$J413,"="&amp;J413)</f>
        <v>2</v>
      </c>
      <c r="S413" s="7">
        <f t="shared" si="115"/>
        <v>2087</v>
      </c>
    </row>
    <row r="414" spans="8:19">
      <c r="H414" s="7" t="str">
        <f>IF(I414="","",COUNTA(I$9:$I414))</f>
        <v/>
      </c>
      <c r="I414" s="3"/>
      <c r="J414" s="3" t="s">
        <v>465</v>
      </c>
      <c r="K414" s="8" t="str">
        <f>IF(H414="","",阶段合并区域(J414:J417," ",L414:L417,1))</f>
        <v/>
      </c>
      <c r="L414" s="8">
        <f>COUNTIF(M$8:$M414,"="&amp;M414)</f>
        <v>2</v>
      </c>
      <c r="M414" s="9" t="str">
        <f t="shared" si="120"/>
        <v>沉鱼落雁</v>
      </c>
      <c r="N414" s="9" t="str">
        <f t="shared" si="121"/>
        <v>沉鱼落雁2</v>
      </c>
      <c r="O414" s="15">
        <f>INDEX(C:C,MATCH(J414,D:D,0))</f>
        <v>7</v>
      </c>
      <c r="P414" s="9">
        <f>INDEX(E:E,MATCH(J414,D:D,0))</f>
        <v>120</v>
      </c>
      <c r="Q414" s="7">
        <f t="shared" si="122"/>
        <v>7</v>
      </c>
      <c r="R414" s="7">
        <f>COUNTIF(J$8:$J414,"="&amp;J414)</f>
        <v>9</v>
      </c>
      <c r="S414" s="7">
        <f t="shared" si="115"/>
        <v>9007</v>
      </c>
    </row>
    <row r="415" spans="8:19">
      <c r="H415" s="7">
        <f>IF(I415="","",COUNTA(I$9:$I415))</f>
        <v>202</v>
      </c>
      <c r="I415" s="3" t="s">
        <v>463</v>
      </c>
      <c r="J415" s="3" t="s">
        <v>464</v>
      </c>
      <c r="K415" s="8" t="str">
        <f>IF(H415="","",阶段合并区域(J415:J418," ",L415:L418,1))</f>
        <v>貂蝉 越女 虞姬</v>
      </c>
      <c r="L415" s="8">
        <f>COUNTIF(M$8:$M415,"="&amp;M415)</f>
        <v>1</v>
      </c>
      <c r="M415" s="9" t="str">
        <f t="shared" si="120"/>
        <v>巾帼义女</v>
      </c>
      <c r="N415" s="9" t="str">
        <f t="shared" si="121"/>
        <v>巾帼义女1</v>
      </c>
      <c r="O415" s="15">
        <f>INDEX(C:C,MATCH(J415,D:D,0))</f>
        <v>87</v>
      </c>
      <c r="P415" s="9">
        <f>INDEX(E:E,MATCH(J415,D:D,0))</f>
        <v>130</v>
      </c>
      <c r="Q415" s="7">
        <f t="shared" si="122"/>
        <v>87</v>
      </c>
      <c r="R415" s="7">
        <f>COUNTIF(J$8:$J415,"="&amp;J415)</f>
        <v>3</v>
      </c>
      <c r="S415" s="7">
        <f t="shared" si="115"/>
        <v>3087</v>
      </c>
    </row>
    <row r="416" spans="8:19">
      <c r="H416" s="7" t="str">
        <f>IF(I416="","",COUNTA(I$9:$I416))</f>
        <v/>
      </c>
      <c r="I416" s="3"/>
      <c r="J416" s="3" t="s">
        <v>466</v>
      </c>
      <c r="K416" s="8" t="str">
        <f>IF(H416="","",阶段合并区域(J416:J419," ",L416:L419,1))</f>
        <v/>
      </c>
      <c r="L416" s="8">
        <f>COUNTIF(M$8:$M416,"="&amp;M416)</f>
        <v>2</v>
      </c>
      <c r="M416" s="9" t="str">
        <f t="shared" si="120"/>
        <v>巾帼义女</v>
      </c>
      <c r="N416" s="9" t="str">
        <f t="shared" si="121"/>
        <v>巾帼义女2</v>
      </c>
      <c r="O416" s="15">
        <f>INDEX(C:C,MATCH(J416,D:D,0))</f>
        <v>76</v>
      </c>
      <c r="P416" s="9">
        <f>INDEX(E:E,MATCH(J416,D:D,0))</f>
        <v>130</v>
      </c>
      <c r="Q416" s="7">
        <f t="shared" si="122"/>
        <v>76</v>
      </c>
      <c r="R416" s="7">
        <f>COUNTIF(J$8:$J416,"="&amp;J416)</f>
        <v>5</v>
      </c>
      <c r="S416" s="7">
        <f t="shared" si="115"/>
        <v>5076</v>
      </c>
    </row>
    <row r="417" spans="8:59">
      <c r="H417" s="7" t="str">
        <f>IF(I417="","",COUNTA(I$9:$I417))</f>
        <v/>
      </c>
      <c r="I417" s="3"/>
      <c r="J417" s="3" t="s">
        <v>467</v>
      </c>
      <c r="K417" s="8" t="str">
        <f>IF(H417="","",阶段合并区域(J417:J420," ",L417:L420,1))</f>
        <v/>
      </c>
      <c r="L417" s="8">
        <f>COUNTIF(M$8:$M417,"="&amp;M417)</f>
        <v>3</v>
      </c>
      <c r="M417" s="9" t="str">
        <f t="shared" si="120"/>
        <v>巾帼义女</v>
      </c>
      <c r="N417" s="9" t="str">
        <f t="shared" si="121"/>
        <v>巾帼义女3</v>
      </c>
      <c r="O417" s="15">
        <f>INDEX(C:C,MATCH(J417,D:D,0))</f>
        <v>77</v>
      </c>
      <c r="P417" s="9">
        <f>INDEX(E:E,MATCH(J417,D:D,0))</f>
        <v>130</v>
      </c>
      <c r="Q417" s="7">
        <f t="shared" si="122"/>
        <v>77</v>
      </c>
      <c r="R417" s="7">
        <f>COUNTIF(J$8:$J417,"="&amp;J417)</f>
        <v>5</v>
      </c>
      <c r="S417" s="7">
        <f t="shared" si="115"/>
        <v>5077</v>
      </c>
    </row>
    <row r="418" spans="8:59">
      <c r="H418" s="7">
        <f>IF(I418="","",COUNTA(I$9:$I418))</f>
        <v>203</v>
      </c>
      <c r="I418" s="3" t="s">
        <v>471</v>
      </c>
      <c r="J418" s="3" t="s">
        <v>469</v>
      </c>
      <c r="K418" s="8" t="str">
        <f>IF(H418="","",阶段合并区域(J418:J421," ",L418:L421,1))</f>
        <v>吕布 楚庄王 项燕 秦武王</v>
      </c>
      <c r="L418" s="8">
        <f>COUNTIF(M$8:$M418,"="&amp;M418)</f>
        <v>1</v>
      </c>
      <c r="M418" s="9" t="str">
        <f t="shared" si="120"/>
        <v>万夫莫当</v>
      </c>
      <c r="N418" s="9" t="str">
        <f t="shared" si="121"/>
        <v>万夫莫当1</v>
      </c>
      <c r="O418" s="15">
        <f>INDEX(C:C,MATCH(J418,D:D,0))</f>
        <v>88</v>
      </c>
      <c r="P418" s="9">
        <f>INDEX(E:E,MATCH(J418,D:D,0))</f>
        <v>140</v>
      </c>
      <c r="Q418" s="7">
        <f t="shared" si="122"/>
        <v>88</v>
      </c>
      <c r="R418" s="7">
        <f>COUNTIF(J$8:$J418,"="&amp;J418)</f>
        <v>1</v>
      </c>
      <c r="S418" s="7">
        <f t="shared" si="115"/>
        <v>1088</v>
      </c>
    </row>
    <row r="419" spans="8:59">
      <c r="H419" s="7" t="str">
        <f>IF(I419="","",COUNTA(I$9:$I419))</f>
        <v/>
      </c>
      <c r="I419" s="3"/>
      <c r="J419" s="3" t="s">
        <v>253</v>
      </c>
      <c r="K419" s="8" t="str">
        <f>IF(H419="","",阶段合并区域(J419:J422," ",L419:L422,1))</f>
        <v/>
      </c>
      <c r="L419" s="8">
        <f>COUNTIF(M$8:$M419,"="&amp;M419)</f>
        <v>2</v>
      </c>
      <c r="M419" s="9" t="str">
        <f t="shared" si="120"/>
        <v>万夫莫当</v>
      </c>
      <c r="N419" s="9" t="str">
        <f t="shared" si="121"/>
        <v>万夫莫当2</v>
      </c>
      <c r="O419" s="15">
        <f>INDEX(C:C,MATCH(J419,D:D,0))</f>
        <v>15</v>
      </c>
      <c r="P419" s="9">
        <f>INDEX(E:E,MATCH(J419,D:D,0))</f>
        <v>120</v>
      </c>
      <c r="Q419" s="7">
        <f t="shared" si="122"/>
        <v>15</v>
      </c>
      <c r="R419" s="7">
        <f>COUNTIF(J$8:$J419,"="&amp;J419)</f>
        <v>8</v>
      </c>
      <c r="S419" s="7">
        <f t="shared" si="115"/>
        <v>8015</v>
      </c>
    </row>
    <row r="420" spans="8:59">
      <c r="H420" s="7" t="str">
        <f>IF(I420="","",COUNTA(I$9:$I420))</f>
        <v/>
      </c>
      <c r="I420" s="3"/>
      <c r="J420" s="3" t="s">
        <v>251</v>
      </c>
      <c r="K420" s="8" t="str">
        <f>IF(H420="","",阶段合并区域(J420:J423," ",L420:L423,1))</f>
        <v/>
      </c>
      <c r="L420" s="8">
        <f>COUNTIF(M$8:$M420,"="&amp;M420)</f>
        <v>3</v>
      </c>
      <c r="M420" s="9" t="str">
        <f t="shared" si="120"/>
        <v>万夫莫当</v>
      </c>
      <c r="N420" s="9" t="str">
        <f t="shared" si="121"/>
        <v>万夫莫当3</v>
      </c>
      <c r="O420" s="15">
        <f>INDEX(C:C,MATCH(J420,D:D,0))</f>
        <v>41</v>
      </c>
      <c r="P420" s="9">
        <f>INDEX(E:E,MATCH(J420,D:D,0))</f>
        <v>120</v>
      </c>
      <c r="Q420" s="7">
        <f t="shared" si="122"/>
        <v>41</v>
      </c>
      <c r="R420" s="7">
        <f>COUNTIF(J$8:$J420,"="&amp;J420)</f>
        <v>9</v>
      </c>
      <c r="S420" s="7">
        <f t="shared" si="115"/>
        <v>9041</v>
      </c>
    </row>
    <row r="421" spans="8:59">
      <c r="H421" s="7" t="str">
        <f>IF(I421="","",COUNTA(I$9:$I421))</f>
        <v/>
      </c>
      <c r="I421" s="3"/>
      <c r="J421" s="3" t="s">
        <v>254</v>
      </c>
      <c r="K421" s="8" t="str">
        <f>IF(H421="","",阶段合并区域(J421:J424," ",L421:L424,1))</f>
        <v/>
      </c>
      <c r="L421" s="8">
        <f>COUNTIF(M$8:$M421,"="&amp;M421)</f>
        <v>4</v>
      </c>
      <c r="M421" s="9" t="str">
        <f t="shared" si="120"/>
        <v>万夫莫当</v>
      </c>
      <c r="N421" s="9" t="str">
        <f t="shared" si="121"/>
        <v>万夫莫当4</v>
      </c>
      <c r="O421" s="15">
        <f>INDEX(C:C,MATCH(J421,D:D,0))</f>
        <v>20</v>
      </c>
      <c r="P421" s="9">
        <f>INDEX(E:E,MATCH(J421,D:D,0))</f>
        <v>120</v>
      </c>
      <c r="Q421" s="7">
        <f t="shared" si="122"/>
        <v>20</v>
      </c>
      <c r="R421" s="7">
        <f>COUNTIF(J$8:$J421,"="&amp;J421)</f>
        <v>11</v>
      </c>
      <c r="S421" s="7">
        <f t="shared" si="115"/>
        <v>11020</v>
      </c>
    </row>
    <row r="422" spans="8:59">
      <c r="H422" s="7">
        <f>IF(I422="","",COUNTA(I$9:$I422))</f>
        <v>204</v>
      </c>
      <c r="I422" s="3" t="s">
        <v>473</v>
      </c>
      <c r="J422" s="3" t="s">
        <v>469</v>
      </c>
      <c r="K422" s="8" t="str">
        <f>IF(H422="","",阶段合并区域(J422:J425," ",L422:L425,1))</f>
        <v>吕布 彭越 义渠骇</v>
      </c>
      <c r="L422" s="8">
        <f>COUNTIF(M$8:$M422,"="&amp;M422)</f>
        <v>1</v>
      </c>
      <c r="M422" s="9" t="str">
        <f t="shared" si="120"/>
        <v>反复无常</v>
      </c>
      <c r="N422" s="9" t="str">
        <f t="shared" si="121"/>
        <v>反复无常1</v>
      </c>
      <c r="O422" s="15">
        <f>INDEX(C:C,MATCH(J422,D:D,0))</f>
        <v>88</v>
      </c>
      <c r="P422" s="9">
        <f>INDEX(E:E,MATCH(J422,D:D,0))</f>
        <v>140</v>
      </c>
      <c r="Q422" s="7">
        <f t="shared" si="122"/>
        <v>88</v>
      </c>
      <c r="R422" s="7">
        <f>COUNTIF(J$8:$J422,"="&amp;J422)</f>
        <v>2</v>
      </c>
      <c r="S422" s="7">
        <f t="shared" si="115"/>
        <v>2088</v>
      </c>
    </row>
    <row r="423" spans="8:59">
      <c r="H423" s="7" t="str">
        <f>IF(I423="","",COUNTA(I$9:$I423))</f>
        <v/>
      </c>
      <c r="I423" s="3"/>
      <c r="J423" s="3" t="s">
        <v>405</v>
      </c>
      <c r="K423" s="8" t="str">
        <f>IF(H423="","",阶段合并区域(J423:J426," ",L423:L426,1))</f>
        <v/>
      </c>
      <c r="L423" s="8">
        <f>COUNTIF(M$8:$M423,"="&amp;M423)</f>
        <v>2</v>
      </c>
      <c r="M423" s="9" t="str">
        <f t="shared" ref="M423:M425" si="123">IF(H423="",M422,I423)</f>
        <v>反复无常</v>
      </c>
      <c r="N423" s="9" t="str">
        <f t="shared" ref="N423:N425" si="124">M423&amp;L423</f>
        <v>反复无常2</v>
      </c>
      <c r="O423" s="15">
        <f>INDEX(C:C,MATCH(J423,D:D,0))</f>
        <v>81</v>
      </c>
      <c r="P423" s="9">
        <f>INDEX(E:E,MATCH(J423,D:D,0))</f>
        <v>120</v>
      </c>
      <c r="Q423" s="7">
        <f t="shared" si="122"/>
        <v>81</v>
      </c>
      <c r="R423" s="7">
        <f>COUNTIF(J$8:$J423,"="&amp;J423)</f>
        <v>4</v>
      </c>
      <c r="S423" s="7">
        <f t="shared" si="115"/>
        <v>4081</v>
      </c>
    </row>
    <row r="424" spans="8:59">
      <c r="H424" s="7" t="str">
        <f>IF(I424="","",COUNTA(I$9:$I424))</f>
        <v/>
      </c>
      <c r="I424" s="3"/>
      <c r="J424" s="3" t="s">
        <v>287</v>
      </c>
      <c r="K424" s="8" t="str">
        <f>IF(H424="","",阶段合并区域(J424:J427," ",L424:L427,1))</f>
        <v/>
      </c>
      <c r="L424" s="8">
        <f>COUNTIF(M$8:$M424,"="&amp;M424)</f>
        <v>3</v>
      </c>
      <c r="M424" s="9" t="str">
        <f t="shared" si="123"/>
        <v>反复无常</v>
      </c>
      <c r="N424" s="9" t="str">
        <f t="shared" si="124"/>
        <v>反复无常3</v>
      </c>
      <c r="O424" s="15">
        <f>INDEX(C:C,MATCH(J424,D:D,0))</f>
        <v>3</v>
      </c>
      <c r="P424" s="9">
        <f>INDEX(E:E,MATCH(J424,D:D,0))</f>
        <v>120</v>
      </c>
      <c r="Q424" s="7">
        <f t="shared" si="122"/>
        <v>3</v>
      </c>
      <c r="R424" s="7">
        <f>COUNTIF(J$8:$J424,"="&amp;J424)</f>
        <v>7</v>
      </c>
      <c r="S424" s="7">
        <f t="shared" si="115"/>
        <v>7003</v>
      </c>
    </row>
    <row r="425" spans="8:59">
      <c r="H425" s="7">
        <f>IF(I425="","",COUNTA(I$9:$I425))</f>
        <v>205</v>
      </c>
      <c r="I425" s="3" t="s">
        <v>472</v>
      </c>
      <c r="J425" s="3" t="s">
        <v>469</v>
      </c>
      <c r="K425" s="8" t="str">
        <f>IF(H425="","",阶段合并区域(J425:J428," ",L425:L428,1))</f>
        <v>吕布 齐桓公 吕不韦</v>
      </c>
      <c r="L425" s="8">
        <f>COUNTIF(M$8:$M425,"="&amp;M425)</f>
        <v>1</v>
      </c>
      <c r="M425" s="9" t="str">
        <f t="shared" si="123"/>
        <v>众叛亲离</v>
      </c>
      <c r="N425" s="9" t="str">
        <f t="shared" si="124"/>
        <v>众叛亲离1</v>
      </c>
      <c r="O425" s="15">
        <f>INDEX(C:C,MATCH(J425,D:D,0))</f>
        <v>88</v>
      </c>
      <c r="P425" s="9">
        <f>INDEX(E:E,MATCH(J425,D:D,0))</f>
        <v>140</v>
      </c>
      <c r="Q425" s="7">
        <f t="shared" si="122"/>
        <v>88</v>
      </c>
      <c r="R425" s="7">
        <f>COUNTIF(J$8:$J425,"="&amp;J425)</f>
        <v>3</v>
      </c>
      <c r="S425" s="7">
        <f t="shared" si="115"/>
        <v>3088</v>
      </c>
    </row>
    <row r="426" spans="8:59">
      <c r="H426" s="7" t="str">
        <f>IF(I426="","",COUNTA(I$9:$I426))</f>
        <v/>
      </c>
      <c r="I426" s="3"/>
      <c r="J426" s="3" t="s">
        <v>359</v>
      </c>
      <c r="K426" s="8" t="str">
        <f>IF(H426="","",阶段合并区域(J426:J429," ",L426:L429,1))</f>
        <v/>
      </c>
      <c r="L426" s="8">
        <f>COUNTIF(M$8:$M426,"="&amp;M426)</f>
        <v>2</v>
      </c>
      <c r="M426" s="9" t="str">
        <f t="shared" ref="M426:M435" si="125">IF(H426="",M425,I426)</f>
        <v>众叛亲离</v>
      </c>
      <c r="N426" s="9" t="str">
        <f t="shared" ref="N426:N435" si="126">M426&amp;L426</f>
        <v>众叛亲离2</v>
      </c>
      <c r="O426" s="15">
        <f>INDEX(C:C,MATCH(J426,D:D,0))</f>
        <v>38</v>
      </c>
      <c r="P426" s="9">
        <f>INDEX(E:E,MATCH(J426,D:D,0))</f>
        <v>130</v>
      </c>
      <c r="Q426" s="7">
        <f t="shared" si="122"/>
        <v>38</v>
      </c>
      <c r="R426" s="7">
        <f>COUNTIF(J$8:$J426,"="&amp;J426)</f>
        <v>5</v>
      </c>
      <c r="S426" s="7">
        <f t="shared" si="115"/>
        <v>5038</v>
      </c>
    </row>
    <row r="427" spans="8:59">
      <c r="H427" s="7" t="str">
        <f>IF(I427="","",COUNTA(I$9:$I427))</f>
        <v/>
      </c>
      <c r="I427" s="3"/>
      <c r="J427" s="3" t="s">
        <v>215</v>
      </c>
      <c r="K427" s="8" t="str">
        <f>IF(H427="","",阶段合并区域(J427:J430," ",L427:L430,1))</f>
        <v/>
      </c>
      <c r="L427" s="8">
        <f>COUNTIF(M$8:$M427,"="&amp;M427)</f>
        <v>3</v>
      </c>
      <c r="M427" s="9" t="str">
        <f t="shared" si="125"/>
        <v>众叛亲离</v>
      </c>
      <c r="N427" s="9" t="str">
        <f t="shared" si="126"/>
        <v>众叛亲离3</v>
      </c>
      <c r="O427" s="15">
        <f>INDEX(C:C,MATCH(J427,D:D,0))</f>
        <v>18</v>
      </c>
      <c r="P427" s="9">
        <f>INDEX(E:E,MATCH(J427,D:D,0))</f>
        <v>120</v>
      </c>
      <c r="Q427" s="7">
        <f t="shared" si="122"/>
        <v>18</v>
      </c>
      <c r="R427" s="7">
        <f>COUNTIF(J$8:$J427,"="&amp;J427)</f>
        <v>17</v>
      </c>
      <c r="S427" s="7">
        <f t="shared" si="115"/>
        <v>17018</v>
      </c>
    </row>
    <row r="428" spans="8:59">
      <c r="H428" s="7">
        <f>IF(I428="","",COUNTA(I$9:$I428))</f>
        <v>206</v>
      </c>
      <c r="I428" s="3" t="s">
        <v>474</v>
      </c>
      <c r="J428" s="3" t="s">
        <v>475</v>
      </c>
      <c r="K428" s="8" t="str">
        <f>IF(H428="","",阶段合并区域(J428:J431," ",L428:L431,1))</f>
        <v>陆逊 吴起 伍子胥 田单</v>
      </c>
      <c r="L428" s="8">
        <f>COUNTIF(M$8:$M428,"="&amp;M428)</f>
        <v>1</v>
      </c>
      <c r="M428" s="9" t="str">
        <f t="shared" si="125"/>
        <v>文韬武略</v>
      </c>
      <c r="N428" s="9" t="str">
        <f t="shared" si="126"/>
        <v>文韬武略1</v>
      </c>
      <c r="O428" s="15">
        <f>INDEX(C:C,MATCH(J428,D:D,0))</f>
        <v>91</v>
      </c>
      <c r="P428" s="9">
        <f>INDEX(E:E,MATCH(J428,D:D,0))</f>
        <v>130</v>
      </c>
      <c r="Q428" s="7">
        <f t="shared" si="122"/>
        <v>91</v>
      </c>
      <c r="R428" s="7">
        <f>COUNTIF(J$8:$J428,"="&amp;J428)</f>
        <v>1</v>
      </c>
      <c r="S428" s="7">
        <f t="shared" si="115"/>
        <v>1091</v>
      </c>
    </row>
    <row r="429" spans="8:59">
      <c r="H429" s="7" t="str">
        <f>IF(I429="","",COUNTA(I$9:$I429))</f>
        <v/>
      </c>
      <c r="I429" s="3"/>
      <c r="J429" s="3" t="s">
        <v>232</v>
      </c>
      <c r="K429" s="8" t="str">
        <f>IF(H429="","",阶段合并区域(J429:J432," ",L429:L432,1))</f>
        <v/>
      </c>
      <c r="L429" s="8">
        <f>COUNTIF(M$8:$M429,"="&amp;M429)</f>
        <v>2</v>
      </c>
      <c r="M429" s="9" t="str">
        <f t="shared" si="125"/>
        <v>文韬武略</v>
      </c>
      <c r="N429" s="9" t="str">
        <f t="shared" si="126"/>
        <v>文韬武略2</v>
      </c>
      <c r="O429" s="15">
        <f>INDEX(C:C,MATCH(J429,D:D,0))</f>
        <v>9</v>
      </c>
      <c r="P429" s="9">
        <f>INDEX(E:E,MATCH(J429,D:D,0))</f>
        <v>130</v>
      </c>
      <c r="Q429" s="7">
        <f t="shared" si="122"/>
        <v>9</v>
      </c>
      <c r="R429" s="7">
        <f>COUNTIF(J$8:$J429,"="&amp;J429)</f>
        <v>8</v>
      </c>
      <c r="S429" s="7">
        <f t="shared" si="115"/>
        <v>8009</v>
      </c>
    </row>
    <row r="430" spans="8:59">
      <c r="H430" s="7" t="str">
        <f>IF(I430="","",COUNTA(I$9:$I430))</f>
        <v/>
      </c>
      <c r="I430" s="3"/>
      <c r="J430" s="3" t="s">
        <v>219</v>
      </c>
      <c r="K430" s="8" t="str">
        <f>IF(H430="","",阶段合并区域(J430:J433," ",L430:L433,1))</f>
        <v/>
      </c>
      <c r="L430" s="8">
        <f>COUNTIF(M$8:$M430,"="&amp;M430)</f>
        <v>3</v>
      </c>
      <c r="M430" s="9" t="str">
        <f t="shared" si="125"/>
        <v>文韬武略</v>
      </c>
      <c r="N430" s="9" t="str">
        <f t="shared" si="126"/>
        <v>文韬武略3</v>
      </c>
      <c r="O430" s="15">
        <f>INDEX(C:C,MATCH(J430,D:D,0))</f>
        <v>62</v>
      </c>
      <c r="P430" s="9">
        <f>INDEX(E:E,MATCH(J430,D:D,0))</f>
        <v>120</v>
      </c>
      <c r="Q430" s="7">
        <f t="shared" si="122"/>
        <v>62</v>
      </c>
      <c r="R430" s="7">
        <f>COUNTIF(J$8:$J430,"="&amp;J430)</f>
        <v>11</v>
      </c>
      <c r="S430" s="7">
        <f t="shared" si="115"/>
        <v>11062</v>
      </c>
    </row>
    <row r="431" spans="8:59">
      <c r="H431" s="7" t="str">
        <f>IF(I431="","",COUNTA(I$9:$I431))</f>
        <v/>
      </c>
      <c r="I431" s="3"/>
      <c r="J431" s="3" t="s">
        <v>257</v>
      </c>
      <c r="K431" s="8" t="str">
        <f>IF(H431="","",阶段合并区域(J431:J434," ",L431:L434,1))</f>
        <v/>
      </c>
      <c r="L431" s="8">
        <f>COUNTIF(M$8:$M431,"="&amp;M431)</f>
        <v>4</v>
      </c>
      <c r="M431" s="9" t="str">
        <f t="shared" si="125"/>
        <v>文韬武略</v>
      </c>
      <c r="N431" s="9" t="str">
        <f t="shared" si="126"/>
        <v>文韬武略4</v>
      </c>
      <c r="O431" s="15">
        <f>INDEX(C:C,MATCH(J431,D:D,0))</f>
        <v>16</v>
      </c>
      <c r="P431" s="9">
        <f>INDEX(E:E,MATCH(J431,D:D,0))</f>
        <v>120</v>
      </c>
      <c r="Q431" s="7">
        <f t="shared" si="122"/>
        <v>16</v>
      </c>
      <c r="R431" s="7">
        <f>COUNTIF(J$8:$J431,"="&amp;J431)</f>
        <v>12</v>
      </c>
      <c r="S431" s="7">
        <f t="shared" si="115"/>
        <v>12016</v>
      </c>
    </row>
    <row r="432" spans="8:59">
      <c r="H432" s="7">
        <f>IF(I432="","",COUNTA(I$9:$I432))</f>
        <v>207</v>
      </c>
      <c r="I432" s="3" t="s">
        <v>476</v>
      </c>
      <c r="J432" s="3" t="s">
        <v>475</v>
      </c>
      <c r="K432" s="8" t="str">
        <f>IF(H432="","",阶段合并区域(J432:J435," ",L432:L435,1))</f>
        <v>陆逊 刘备</v>
      </c>
      <c r="L432" s="8">
        <f>COUNTIF(M$8:$M432,"="&amp;M432)</f>
        <v>1</v>
      </c>
      <c r="M432" s="9" t="str">
        <f t="shared" si="125"/>
        <v>夷陵之战</v>
      </c>
      <c r="N432" s="9" t="str">
        <f t="shared" si="126"/>
        <v>夷陵之战1</v>
      </c>
      <c r="O432" s="15">
        <f>INDEX(C:C,MATCH(J432,D:D,0))</f>
        <v>91</v>
      </c>
      <c r="P432" s="9">
        <f>INDEX(E:E,MATCH(J432,D:D,0))</f>
        <v>130</v>
      </c>
      <c r="Q432" s="7">
        <f t="shared" si="122"/>
        <v>91</v>
      </c>
      <c r="R432" s="7">
        <f>COUNTIF(J$8:$J432,"="&amp;J432)</f>
        <v>2</v>
      </c>
      <c r="S432" s="7">
        <f t="shared" si="115"/>
        <v>2091</v>
      </c>
      <c r="T432" s="1"/>
      <c r="AA432" s="2"/>
      <c r="AB432" s="2"/>
      <c r="BE432" s="13"/>
      <c r="BG432" s="2"/>
    </row>
    <row r="433" spans="8:59">
      <c r="H433" s="7" t="str">
        <f>IF(I433="","",COUNTA(I$9:$I433))</f>
        <v/>
      </c>
      <c r="I433" s="3"/>
      <c r="J433" s="3" t="s">
        <v>37</v>
      </c>
      <c r="K433" s="8" t="str">
        <f>IF(H433="","",阶段合并区域(J433:J436," ",L433:L436,1))</f>
        <v/>
      </c>
      <c r="L433" s="8">
        <f>COUNTIF(M$8:$M433,"="&amp;M433)</f>
        <v>2</v>
      </c>
      <c r="M433" s="9" t="str">
        <f t="shared" si="125"/>
        <v>夷陵之战</v>
      </c>
      <c r="N433" s="9" t="str">
        <f t="shared" si="126"/>
        <v>夷陵之战2</v>
      </c>
      <c r="O433" s="15">
        <f>INDEX(C:C,MATCH(J433,D:D,0))</f>
        <v>90</v>
      </c>
      <c r="P433" s="9">
        <f>INDEX(E:E,MATCH(J433,D:D,0))</f>
        <v>130</v>
      </c>
      <c r="Q433" s="7">
        <f t="shared" si="122"/>
        <v>90</v>
      </c>
      <c r="R433" s="7">
        <f>COUNTIF(J$8:$J433,"="&amp;J433)</f>
        <v>1</v>
      </c>
      <c r="S433" s="7">
        <f t="shared" si="115"/>
        <v>1090</v>
      </c>
      <c r="T433" s="1"/>
      <c r="AA433" s="2"/>
      <c r="AB433" s="2"/>
      <c r="BE433" s="13"/>
      <c r="BG433" s="2"/>
    </row>
    <row r="434" spans="8:59">
      <c r="H434" s="7">
        <f>IF(I434="","",COUNTA(I$9:$I434))</f>
        <v>208</v>
      </c>
      <c r="I434" s="3" t="s">
        <v>477</v>
      </c>
      <c r="J434" s="3" t="s">
        <v>475</v>
      </c>
      <c r="K434" s="8" t="str">
        <f>IF(H434="","",阶段合并区域(J434:J437," ",L434:L437,1))</f>
        <v>陆逊 关羽</v>
      </c>
      <c r="L434" s="8">
        <f>COUNTIF(M$8:$M434,"="&amp;M434)</f>
        <v>1</v>
      </c>
      <c r="M434" s="9" t="str">
        <f t="shared" si="125"/>
        <v>袭取荆襄</v>
      </c>
      <c r="N434" s="9" t="str">
        <f t="shared" si="126"/>
        <v>袭取荆襄1</v>
      </c>
      <c r="O434" s="15">
        <f>INDEX(C:C,MATCH(J434,D:D,0))</f>
        <v>91</v>
      </c>
      <c r="P434" s="9">
        <f>INDEX(E:E,MATCH(J434,D:D,0))</f>
        <v>130</v>
      </c>
      <c r="Q434" s="7">
        <f t="shared" si="122"/>
        <v>91</v>
      </c>
      <c r="R434" s="7">
        <f>COUNTIF(J$8:$J434,"="&amp;J434)</f>
        <v>3</v>
      </c>
      <c r="S434" s="7">
        <f t="shared" si="115"/>
        <v>3091</v>
      </c>
      <c r="T434" s="1"/>
      <c r="AA434" s="2"/>
      <c r="AB434" s="2"/>
      <c r="BE434" s="13"/>
      <c r="BG434" s="2"/>
    </row>
    <row r="435" spans="8:59">
      <c r="H435" s="7" t="str">
        <f>IF(I435="","",COUNTA(I$9:$I435))</f>
        <v/>
      </c>
      <c r="I435" s="3"/>
      <c r="J435" s="3" t="s">
        <v>38</v>
      </c>
      <c r="K435" s="8" t="str">
        <f>IF(H435="","",阶段合并区域(J435:J438," ",L435:L438,1))</f>
        <v/>
      </c>
      <c r="L435" s="8">
        <f>COUNTIF(M$8:$M435,"="&amp;M435)</f>
        <v>2</v>
      </c>
      <c r="M435" s="9" t="str">
        <f t="shared" si="125"/>
        <v>袭取荆襄</v>
      </c>
      <c r="N435" s="9" t="str">
        <f t="shared" si="126"/>
        <v>袭取荆襄2</v>
      </c>
      <c r="O435" s="15">
        <f>INDEX(C:C,MATCH(J435,D:D,0))</f>
        <v>85</v>
      </c>
      <c r="P435" s="9">
        <f>INDEX(E:E,MATCH(J435,D:D,0))</f>
        <v>130</v>
      </c>
      <c r="Q435" s="7">
        <f t="shared" si="122"/>
        <v>85</v>
      </c>
      <c r="R435" s="7">
        <f>COUNTIF(J$8:$J435,"="&amp;J435)</f>
        <v>5</v>
      </c>
      <c r="S435" s="7">
        <f t="shared" ref="S435:S483" si="127">R435*1000+Q435</f>
        <v>5085</v>
      </c>
      <c r="T435" s="1"/>
      <c r="AA435" s="2"/>
      <c r="AB435" s="2"/>
      <c r="BE435" s="13"/>
      <c r="BG435" s="2"/>
    </row>
    <row r="436" spans="8:59">
      <c r="H436" s="7">
        <f>IF(I436="","",COUNTA(I$9:$I436))</f>
        <v>209</v>
      </c>
      <c r="I436" s="3" t="s">
        <v>479</v>
      </c>
      <c r="J436" s="3" t="s">
        <v>480</v>
      </c>
      <c r="K436" s="8" t="str">
        <f>IF(H436="","",阶段合并区域(J436:J439," ",L436:L439,1))</f>
        <v>袁绍 曹操</v>
      </c>
      <c r="L436" s="8">
        <f>COUNTIF(M$8:$M436,"="&amp;M436)</f>
        <v>1</v>
      </c>
      <c r="M436" s="9" t="str">
        <f t="shared" ref="M436:M449" si="128">IF(H436="",M435,I436)</f>
        <v>官渡之战</v>
      </c>
      <c r="N436" s="9" t="str">
        <f t="shared" ref="N436:N449" si="129">M436&amp;L436</f>
        <v>官渡之战1</v>
      </c>
      <c r="O436" s="15">
        <f>INDEX(C:C,MATCH(J436,D:D,0))</f>
        <v>92</v>
      </c>
      <c r="P436" s="9">
        <f>INDEX(E:E,MATCH(J436,D:D,0))</f>
        <v>130</v>
      </c>
      <c r="Q436" s="7">
        <f t="shared" si="122"/>
        <v>92</v>
      </c>
      <c r="R436" s="7">
        <f>COUNTIF(J$8:$J436,"="&amp;J436)</f>
        <v>1</v>
      </c>
      <c r="S436" s="7">
        <f t="shared" si="127"/>
        <v>1092</v>
      </c>
      <c r="T436" s="1"/>
      <c r="AA436" s="2"/>
      <c r="AB436" s="2"/>
      <c r="BE436" s="13"/>
      <c r="BG436" s="2"/>
    </row>
    <row r="437" spans="8:59">
      <c r="H437" s="7" t="str">
        <f>IF(I437="","",COUNTA(I$9:$I437))</f>
        <v/>
      </c>
      <c r="I437" s="3"/>
      <c r="J437" s="3" t="s">
        <v>444</v>
      </c>
      <c r="K437" s="8" t="str">
        <f>IF(H437="","",阶段合并区域(J437:J440," ",L437:L440,1))</f>
        <v/>
      </c>
      <c r="L437" s="8">
        <f>COUNTIF(M$8:$M437,"="&amp;M437)</f>
        <v>2</v>
      </c>
      <c r="M437" s="9" t="str">
        <f t="shared" si="128"/>
        <v>官渡之战</v>
      </c>
      <c r="N437" s="9" t="str">
        <f t="shared" si="129"/>
        <v>官渡之战2</v>
      </c>
      <c r="O437" s="15">
        <f>INDEX(C:C,MATCH(J437,D:D,0))</f>
        <v>84</v>
      </c>
      <c r="P437" s="9">
        <f>INDEX(E:E,MATCH(J437,D:D,0))</f>
        <v>130</v>
      </c>
      <c r="Q437" s="7">
        <f t="shared" si="122"/>
        <v>84</v>
      </c>
      <c r="R437" s="7">
        <f>COUNTIF(J$8:$J437,"="&amp;J437)</f>
        <v>5</v>
      </c>
      <c r="S437" s="7">
        <f t="shared" si="127"/>
        <v>5084</v>
      </c>
    </row>
    <row r="438" spans="8:59">
      <c r="H438" s="7">
        <f>IF(I438="","",COUNTA(I$9:$I438))</f>
        <v>210</v>
      </c>
      <c r="I438" s="3" t="s">
        <v>481</v>
      </c>
      <c r="J438" s="3" t="s">
        <v>480</v>
      </c>
      <c r="K438" s="8" t="str">
        <f>IF(H438="","",阶段合并区域(J438:J441," ",L438:L441,1))</f>
        <v>袁绍 董卓</v>
      </c>
      <c r="L438" s="8">
        <f>COUNTIF(M$8:$M438,"="&amp;M438)</f>
        <v>1</v>
      </c>
      <c r="M438" s="9" t="str">
        <f t="shared" si="128"/>
        <v>会盟讨董</v>
      </c>
      <c r="N438" s="9" t="str">
        <f t="shared" si="129"/>
        <v>会盟讨董1</v>
      </c>
      <c r="O438" s="15">
        <f>INDEX(C:C,MATCH(J438,D:D,0))</f>
        <v>92</v>
      </c>
      <c r="P438" s="9">
        <f>INDEX(E:E,MATCH(J438,D:D,0))</f>
        <v>130</v>
      </c>
      <c r="Q438" s="7">
        <f t="shared" si="122"/>
        <v>92</v>
      </c>
      <c r="R438" s="7">
        <f>COUNTIF(J$8:$J438,"="&amp;J438)</f>
        <v>2</v>
      </c>
      <c r="S438" s="7">
        <f t="shared" si="127"/>
        <v>2092</v>
      </c>
    </row>
    <row r="439" spans="8:59">
      <c r="H439" s="7" t="str">
        <f>IF(I439="","",COUNTA(I$9:$I439))</f>
        <v/>
      </c>
      <c r="I439" s="3"/>
      <c r="J439" s="3" t="s">
        <v>456</v>
      </c>
      <c r="K439" s="8" t="str">
        <f>IF(H439="","",阶段合并区域(J439:J442," ",L439:L442,1))</f>
        <v/>
      </c>
      <c r="L439" s="8">
        <f>COUNTIF(M$8:$M439,"="&amp;M439)</f>
        <v>2</v>
      </c>
      <c r="M439" s="9" t="str">
        <f t="shared" si="128"/>
        <v>会盟讨董</v>
      </c>
      <c r="N439" s="9" t="str">
        <f t="shared" si="129"/>
        <v>会盟讨董2</v>
      </c>
      <c r="O439" s="15">
        <f>INDEX(C:C,MATCH(J439,D:D,0))</f>
        <v>86</v>
      </c>
      <c r="P439" s="9">
        <f>INDEX(E:E,MATCH(J439,D:D,0))</f>
        <v>130</v>
      </c>
      <c r="Q439" s="7">
        <f t="shared" si="122"/>
        <v>86</v>
      </c>
      <c r="R439" s="7">
        <f>COUNTIF(J$8:$J439,"="&amp;J439)</f>
        <v>5</v>
      </c>
      <c r="S439" s="7">
        <f t="shared" si="127"/>
        <v>5086</v>
      </c>
    </row>
    <row r="440" spans="8:59">
      <c r="H440" s="7">
        <f>IF(I440="","",COUNTA(I$9:$I440))</f>
        <v>211</v>
      </c>
      <c r="I440" s="3" t="s">
        <v>482</v>
      </c>
      <c r="J440" s="3" t="s">
        <v>480</v>
      </c>
      <c r="K440" s="8" t="str">
        <f>IF(H440="","",阶段合并区域(J440:J443," ",L440:L443,1))</f>
        <v>袁绍 赵括</v>
      </c>
      <c r="L440" s="8">
        <f>COUNTIF(M$8:$M440,"="&amp;M440)</f>
        <v>1</v>
      </c>
      <c r="M440" s="9" t="str">
        <f t="shared" si="128"/>
        <v>刚愎自用</v>
      </c>
      <c r="N440" s="9" t="str">
        <f t="shared" si="129"/>
        <v>刚愎自用1</v>
      </c>
      <c r="O440" s="15">
        <f>INDEX(C:C,MATCH(J440,D:D,0))</f>
        <v>92</v>
      </c>
      <c r="P440" s="9">
        <f>INDEX(E:E,MATCH(J440,D:D,0))</f>
        <v>130</v>
      </c>
      <c r="Q440" s="7">
        <f t="shared" si="122"/>
        <v>92</v>
      </c>
      <c r="R440" s="7">
        <f>COUNTIF(J$8:$J440,"="&amp;J440)</f>
        <v>3</v>
      </c>
      <c r="S440" s="7">
        <f t="shared" si="127"/>
        <v>3092</v>
      </c>
    </row>
    <row r="441" spans="8:59">
      <c r="H441" s="7" t="str">
        <f>IF(I441="","",COUNTA(I$9:$I441))</f>
        <v/>
      </c>
      <c r="I441" s="3"/>
      <c r="J441" s="3" t="s">
        <v>222</v>
      </c>
      <c r="K441" s="8" t="str">
        <f>IF(H441="","",阶段合并区域(J441:J444," ",L441:L444,1))</f>
        <v/>
      </c>
      <c r="L441" s="8">
        <f>COUNTIF(M$8:$M441,"="&amp;M441)</f>
        <v>2</v>
      </c>
      <c r="M441" s="9" t="str">
        <f t="shared" si="128"/>
        <v>刚愎自用</v>
      </c>
      <c r="N441" s="9" t="str">
        <f t="shared" si="129"/>
        <v>刚愎自用2</v>
      </c>
      <c r="O441" s="15">
        <f>INDEX(C:C,MATCH(J441,D:D,0))</f>
        <v>71</v>
      </c>
      <c r="P441" s="9">
        <f>INDEX(E:E,MATCH(J441,D:D,0))</f>
        <v>120</v>
      </c>
      <c r="Q441" s="7">
        <f t="shared" si="122"/>
        <v>71</v>
      </c>
      <c r="R441" s="7">
        <f>COUNTIF(J$8:$J441,"="&amp;J441)</f>
        <v>8</v>
      </c>
      <c r="S441" s="7">
        <f t="shared" si="127"/>
        <v>8071</v>
      </c>
    </row>
    <row r="442" spans="8:59">
      <c r="H442" s="7">
        <f>IF(I442="","",COUNTA(I$9:$I442))</f>
        <v>212</v>
      </c>
      <c r="I442" s="3" t="s">
        <v>483</v>
      </c>
      <c r="J442" s="3" t="s">
        <v>37</v>
      </c>
      <c r="K442" s="8" t="str">
        <f>IF(H442="","",阶段合并区域(J442:J445," ",L442:L445,1))</f>
        <v>刘备 关羽 赵云</v>
      </c>
      <c r="L442" s="8">
        <f>COUNTIF(M$8:$M442,"="&amp;M442)</f>
        <v>1</v>
      </c>
      <c r="M442" s="9" t="str">
        <f t="shared" si="128"/>
        <v>生死相交</v>
      </c>
      <c r="N442" s="9" t="str">
        <f t="shared" si="129"/>
        <v>生死相交1</v>
      </c>
      <c r="O442" s="15">
        <f>INDEX(C:C,MATCH(J442,D:D,0))</f>
        <v>90</v>
      </c>
      <c r="P442" s="9">
        <f>INDEX(E:E,MATCH(J442,D:D,0))</f>
        <v>130</v>
      </c>
      <c r="Q442" s="7">
        <f t="shared" si="122"/>
        <v>90</v>
      </c>
      <c r="R442" s="7">
        <f>COUNTIF(J$8:$J442,"="&amp;J442)</f>
        <v>2</v>
      </c>
      <c r="S442" s="7">
        <f t="shared" si="127"/>
        <v>2090</v>
      </c>
    </row>
    <row r="443" spans="8:59">
      <c r="H443" s="7" t="str">
        <f>IF(I443="","",COUNTA(I$9:$I443))</f>
        <v/>
      </c>
      <c r="I443" s="3"/>
      <c r="J443" s="3" t="s">
        <v>38</v>
      </c>
      <c r="K443" s="8" t="str">
        <f>IF(H443="","",阶段合并区域(J443:J446," ",L443:L446,1))</f>
        <v/>
      </c>
      <c r="L443" s="8">
        <f>COUNTIF(M$8:$M443,"="&amp;M443)</f>
        <v>2</v>
      </c>
      <c r="M443" s="9" t="str">
        <f t="shared" si="128"/>
        <v>生死相交</v>
      </c>
      <c r="N443" s="9" t="str">
        <f t="shared" si="129"/>
        <v>生死相交2</v>
      </c>
      <c r="O443" s="15">
        <f>INDEX(C:C,MATCH(J443,D:D,0))</f>
        <v>85</v>
      </c>
      <c r="P443" s="9">
        <f>INDEX(E:E,MATCH(J443,D:D,0))</f>
        <v>130</v>
      </c>
      <c r="Q443" s="7">
        <f t="shared" si="122"/>
        <v>85</v>
      </c>
      <c r="R443" s="7">
        <f>COUNTIF(J$8:$J443,"="&amp;J443)</f>
        <v>6</v>
      </c>
      <c r="S443" s="7">
        <f t="shared" si="127"/>
        <v>6085</v>
      </c>
    </row>
    <row r="444" spans="8:59">
      <c r="H444" s="7" t="str">
        <f>IF(I444="","",COUNTA(I$9:$I444))</f>
        <v/>
      </c>
      <c r="I444" s="3"/>
      <c r="J444" s="3" t="s">
        <v>484</v>
      </c>
      <c r="K444" s="8" t="str">
        <f>IF(H444="","",阶段合并区域(J444:J447," ",L444:L447,1))</f>
        <v/>
      </c>
      <c r="L444" s="8">
        <f>COUNTIF(M$8:$M444,"="&amp;M444)</f>
        <v>3</v>
      </c>
      <c r="M444" s="9" t="str">
        <f t="shared" si="128"/>
        <v>生死相交</v>
      </c>
      <c r="N444" s="9" t="str">
        <f t="shared" si="129"/>
        <v>生死相交3</v>
      </c>
      <c r="O444" s="15">
        <f>INDEX(C:C,MATCH(J444,D:D,0))</f>
        <v>89</v>
      </c>
      <c r="P444" s="9">
        <f>INDEX(E:E,MATCH(J444,D:D,0))</f>
        <v>130</v>
      </c>
      <c r="Q444" s="7">
        <f t="shared" si="122"/>
        <v>89</v>
      </c>
      <c r="R444" s="7">
        <f>COUNTIF(J$8:$J444,"="&amp;J444)</f>
        <v>1</v>
      </c>
      <c r="S444" s="7">
        <f t="shared" si="127"/>
        <v>1089</v>
      </c>
    </row>
    <row r="445" spans="8:59">
      <c r="H445" s="7">
        <f>IF(I445="","",COUNTA(I$9:$I445))</f>
        <v>213</v>
      </c>
      <c r="I445" s="3" t="s">
        <v>485</v>
      </c>
      <c r="J445" s="3" t="s">
        <v>37</v>
      </c>
      <c r="K445" s="8" t="str">
        <f>IF(H445="","",阶段合并区域(J445:J448," ",L445:L448,1))</f>
        <v>刘备 曹操</v>
      </c>
      <c r="L445" s="8">
        <f>COUNTIF(M$8:$M445,"="&amp;M445)</f>
        <v>1</v>
      </c>
      <c r="M445" s="9" t="str">
        <f t="shared" si="128"/>
        <v>青梅煮酒</v>
      </c>
      <c r="N445" s="9" t="str">
        <f t="shared" si="129"/>
        <v>青梅煮酒1</v>
      </c>
      <c r="O445" s="15">
        <f>INDEX(C:C,MATCH(J445,D:D,0))</f>
        <v>90</v>
      </c>
      <c r="P445" s="9">
        <f>INDEX(E:E,MATCH(J445,D:D,0))</f>
        <v>130</v>
      </c>
      <c r="Q445" s="7">
        <f t="shared" si="122"/>
        <v>90</v>
      </c>
      <c r="R445" s="7">
        <f>COUNTIF(J$8:$J445,"="&amp;J445)</f>
        <v>3</v>
      </c>
      <c r="S445" s="7">
        <f t="shared" si="127"/>
        <v>3090</v>
      </c>
    </row>
    <row r="446" spans="8:59">
      <c r="H446" s="7" t="str">
        <f>IF(I446="","",COUNTA(I$9:$I446))</f>
        <v/>
      </c>
      <c r="I446" s="3"/>
      <c r="J446" s="3" t="s">
        <v>444</v>
      </c>
      <c r="K446" s="8" t="str">
        <f>IF(H446="","",阶段合并区域(J446:J449," ",L446:L449,1))</f>
        <v/>
      </c>
      <c r="L446" s="8">
        <f>COUNTIF(M$8:$M446,"="&amp;M446)</f>
        <v>2</v>
      </c>
      <c r="M446" s="9" t="str">
        <f t="shared" si="128"/>
        <v>青梅煮酒</v>
      </c>
      <c r="N446" s="9" t="str">
        <f t="shared" si="129"/>
        <v>青梅煮酒2</v>
      </c>
      <c r="O446" s="15">
        <f>INDEX(C:C,MATCH(J446,D:D,0))</f>
        <v>84</v>
      </c>
      <c r="P446" s="9">
        <f>INDEX(E:E,MATCH(J446,D:D,0))</f>
        <v>130</v>
      </c>
      <c r="Q446" s="7">
        <f t="shared" si="122"/>
        <v>84</v>
      </c>
      <c r="R446" s="7">
        <f>COUNTIF(J$8:$J446,"="&amp;J446)</f>
        <v>6</v>
      </c>
      <c r="S446" s="7">
        <f t="shared" si="127"/>
        <v>6084</v>
      </c>
    </row>
    <row r="447" spans="8:59">
      <c r="H447" s="7">
        <f>IF(I447="","",COUNTA(I$9:$I447))</f>
        <v>214</v>
      </c>
      <c r="I447" s="3" t="s">
        <v>486</v>
      </c>
      <c r="J447" s="3" t="s">
        <v>37</v>
      </c>
      <c r="K447" s="8" t="str">
        <f>IF(H447="","",阶段合并区域(J447:J450," ",L447:L450,1))</f>
        <v>刘备 刘邦</v>
      </c>
      <c r="L447" s="8">
        <f>COUNTIF(M$8:$M447,"="&amp;M447)</f>
        <v>1</v>
      </c>
      <c r="M447" s="9" t="str">
        <f t="shared" si="128"/>
        <v>汉室之胄</v>
      </c>
      <c r="N447" s="9" t="str">
        <f t="shared" si="129"/>
        <v>汉室之胄1</v>
      </c>
      <c r="O447" s="15">
        <f>INDEX(C:C,MATCH(J447,D:D,0))</f>
        <v>90</v>
      </c>
      <c r="P447" s="9">
        <f>INDEX(E:E,MATCH(J447,D:D,0))</f>
        <v>130</v>
      </c>
      <c r="Q447" s="7">
        <f t="shared" si="122"/>
        <v>90</v>
      </c>
      <c r="R447" s="7">
        <f>COUNTIF(J$8:$J447,"="&amp;J447)</f>
        <v>4</v>
      </c>
      <c r="S447" s="7">
        <f t="shared" si="127"/>
        <v>4090</v>
      </c>
    </row>
    <row r="448" spans="8:59">
      <c r="H448" s="7" t="str">
        <f>IF(I448="","",COUNTA(I$9:$I448))</f>
        <v/>
      </c>
      <c r="I448" s="3"/>
      <c r="J448" s="3" t="s">
        <v>404</v>
      </c>
      <c r="K448" s="8" t="str">
        <f>IF(H448="","",阶段合并区域(J448:J451," ",L448:L451,1))</f>
        <v/>
      </c>
      <c r="L448" s="8">
        <f>COUNTIF(M$8:$M448,"="&amp;M448)</f>
        <v>2</v>
      </c>
      <c r="M448" s="9" t="str">
        <f t="shared" si="128"/>
        <v>汉室之胄</v>
      </c>
      <c r="N448" s="9" t="str">
        <f t="shared" si="129"/>
        <v>汉室之胄2</v>
      </c>
      <c r="O448" s="15">
        <f>INDEX(C:C,MATCH(J448,D:D,0))</f>
        <v>79</v>
      </c>
      <c r="P448" s="9">
        <f>INDEX(E:E,MATCH(J448,D:D,0))</f>
        <v>130</v>
      </c>
      <c r="Q448" s="7">
        <f t="shared" si="122"/>
        <v>79</v>
      </c>
      <c r="R448" s="7">
        <f>COUNTIF(J$8:$J448,"="&amp;J448)</f>
        <v>6</v>
      </c>
      <c r="S448" s="7">
        <f t="shared" si="127"/>
        <v>6079</v>
      </c>
    </row>
    <row r="449" spans="8:19">
      <c r="H449" s="7">
        <f>IF(I449="","",COUNTA(I$9:$I449))</f>
        <v>215</v>
      </c>
      <c r="I449" s="3" t="s">
        <v>487</v>
      </c>
      <c r="J449" s="3" t="s">
        <v>484</v>
      </c>
      <c r="K449" s="8" t="str">
        <f>IF(H449="","",阶段合并区域(J449:J452," ",L449:L452,1))</f>
        <v>赵云 刘备</v>
      </c>
      <c r="L449" s="8">
        <f>COUNTIF(M$8:$M449,"="&amp;M449)</f>
        <v>1</v>
      </c>
      <c r="M449" s="9" t="str">
        <f t="shared" si="128"/>
        <v>扶危破乱</v>
      </c>
      <c r="N449" s="9" t="str">
        <f t="shared" si="129"/>
        <v>扶危破乱1</v>
      </c>
      <c r="O449" s="15">
        <f>INDEX(C:C,MATCH(J449,D:D,0))</f>
        <v>89</v>
      </c>
      <c r="P449" s="9">
        <f>INDEX(E:E,MATCH(J449,D:D,0))</f>
        <v>130</v>
      </c>
      <c r="Q449" s="7">
        <f t="shared" si="122"/>
        <v>89</v>
      </c>
      <c r="R449" s="7">
        <f>COUNTIF(J$8:$J449,"="&amp;J449)</f>
        <v>2</v>
      </c>
      <c r="S449" s="7">
        <f t="shared" si="127"/>
        <v>2089</v>
      </c>
    </row>
    <row r="450" spans="8:19">
      <c r="H450" s="7" t="str">
        <f>IF(I450="","",COUNTA(I$9:$I450))</f>
        <v/>
      </c>
      <c r="I450" s="3"/>
      <c r="J450" s="3" t="s">
        <v>37</v>
      </c>
      <c r="K450" s="8" t="str">
        <f>IF(H450="","",阶段合并区域(J450:J453," ",L450:L453,1))</f>
        <v/>
      </c>
      <c r="L450" s="8">
        <f>COUNTIF(M$8:$M450,"="&amp;M450)</f>
        <v>2</v>
      </c>
      <c r="M450" s="9" t="str">
        <f t="shared" ref="M450:M463" si="130">IF(H450="",M449,I450)</f>
        <v>扶危破乱</v>
      </c>
      <c r="N450" s="9" t="str">
        <f t="shared" ref="N450:N463" si="131">M450&amp;L450</f>
        <v>扶危破乱2</v>
      </c>
      <c r="O450" s="15">
        <f>INDEX(C:C,MATCH(J450,D:D,0))</f>
        <v>90</v>
      </c>
      <c r="P450" s="9">
        <f>INDEX(E:E,MATCH(J450,D:D,0))</f>
        <v>130</v>
      </c>
      <c r="Q450" s="7">
        <f t="shared" ref="Q450:Q463" si="132">INDEX($C$9:$C$190,MATCH(J450,$D$9:$D$190,0))</f>
        <v>90</v>
      </c>
      <c r="R450" s="7">
        <f>COUNTIF(J$8:$J450,"="&amp;J450)</f>
        <v>5</v>
      </c>
      <c r="S450" s="7">
        <f t="shared" si="127"/>
        <v>5090</v>
      </c>
    </row>
    <row r="451" spans="8:19">
      <c r="H451" s="7">
        <f>IF(I451="","",COUNTA(I$9:$I451))</f>
        <v>216</v>
      </c>
      <c r="I451" s="3" t="s">
        <v>488</v>
      </c>
      <c r="J451" s="3" t="s">
        <v>484</v>
      </c>
      <c r="K451" s="8" t="str">
        <f>IF(H451="","",阶段合并区域(J451:J454," ",L451:L454,1))</f>
        <v>赵云 廉颇 李广</v>
      </c>
      <c r="L451" s="8">
        <f>COUNTIF(M$8:$M451,"="&amp;M451)</f>
        <v>1</v>
      </c>
      <c r="M451" s="9" t="str">
        <f t="shared" si="130"/>
        <v>沙场宿将</v>
      </c>
      <c r="N451" s="9" t="str">
        <f t="shared" si="131"/>
        <v>沙场宿将1</v>
      </c>
      <c r="O451" s="15">
        <f>INDEX(C:C,MATCH(J451,D:D,0))</f>
        <v>89</v>
      </c>
      <c r="P451" s="9">
        <f>INDEX(E:E,MATCH(J451,D:D,0))</f>
        <v>130</v>
      </c>
      <c r="Q451" s="7">
        <f t="shared" si="132"/>
        <v>89</v>
      </c>
      <c r="R451" s="7">
        <f>COUNTIF(J$8:$J451,"="&amp;J451)</f>
        <v>3</v>
      </c>
      <c r="S451" s="7">
        <f t="shared" si="127"/>
        <v>3089</v>
      </c>
    </row>
    <row r="452" spans="8:19">
      <c r="H452" s="7" t="str">
        <f>IF(I452="","",COUNTA(I$9:$I452))</f>
        <v/>
      </c>
      <c r="I452" s="3"/>
      <c r="J452" s="3" t="s">
        <v>255</v>
      </c>
      <c r="K452" s="8" t="str">
        <f>IF(H452="","",阶段合并区域(J452:J455," ",L452:L455,1))</f>
        <v/>
      </c>
      <c r="L452" s="8">
        <f>COUNTIF(M$8:$M452,"="&amp;M452)</f>
        <v>2</v>
      </c>
      <c r="M452" s="9" t="str">
        <f t="shared" si="130"/>
        <v>沙场宿将</v>
      </c>
      <c r="N452" s="9" t="str">
        <f t="shared" si="131"/>
        <v>沙场宿将2</v>
      </c>
      <c r="O452" s="15">
        <f>INDEX(C:C,MATCH(J452,D:D,0))</f>
        <v>5</v>
      </c>
      <c r="P452" s="9">
        <f>INDEX(E:E,MATCH(J452,D:D,0))</f>
        <v>130</v>
      </c>
      <c r="Q452" s="7">
        <f t="shared" si="132"/>
        <v>5</v>
      </c>
      <c r="R452" s="7">
        <f>COUNTIF(J$8:$J452,"="&amp;J452)</f>
        <v>10</v>
      </c>
      <c r="S452" s="7">
        <f t="shared" si="127"/>
        <v>10005</v>
      </c>
    </row>
    <row r="453" spans="8:19">
      <c r="H453" s="7" t="str">
        <f>IF(I453="","",COUNTA(I$9:$I453))</f>
        <v/>
      </c>
      <c r="I453" s="3"/>
      <c r="J453" s="3" t="s">
        <v>424</v>
      </c>
      <c r="K453" s="8" t="str">
        <f>IF(H453="","",阶段合并区域(J453:J456," ",L453:L456,1))</f>
        <v/>
      </c>
      <c r="L453" s="8">
        <f>COUNTIF(M$8:$M453,"="&amp;M453)</f>
        <v>3</v>
      </c>
      <c r="M453" s="9" t="str">
        <f t="shared" si="130"/>
        <v>沙场宿将</v>
      </c>
      <c r="N453" s="9" t="str">
        <f t="shared" si="131"/>
        <v>沙场宿将3</v>
      </c>
      <c r="O453" s="15">
        <f>INDEX(C:C,MATCH(J453,D:D,0))</f>
        <v>14</v>
      </c>
      <c r="P453" s="9">
        <f>INDEX(E:E,MATCH(J453,D:D,0))</f>
        <v>130</v>
      </c>
      <c r="Q453" s="7">
        <f t="shared" si="132"/>
        <v>14</v>
      </c>
      <c r="R453" s="7">
        <f>COUNTIF(J$8:$J453,"="&amp;J453)</f>
        <v>6</v>
      </c>
      <c r="S453" s="7">
        <f t="shared" si="127"/>
        <v>6014</v>
      </c>
    </row>
    <row r="454" spans="8:19">
      <c r="H454" s="7">
        <f>IF(I454="","",COUNTA(I$9:$I454))</f>
        <v>217</v>
      </c>
      <c r="I454" s="3" t="s">
        <v>489</v>
      </c>
      <c r="J454" s="3" t="s">
        <v>484</v>
      </c>
      <c r="K454" s="8" t="str">
        <f>IF(H454="","",阶段合并区域(J454:J457," ",L454:L457,1))</f>
        <v>赵云 关羽 荆轲</v>
      </c>
      <c r="L454" s="8">
        <f>COUNTIF(M$8:$M454,"="&amp;M454)</f>
        <v>1</v>
      </c>
      <c r="M454" s="9" t="str">
        <f t="shared" si="130"/>
        <v>义贯金石</v>
      </c>
      <c r="N454" s="9" t="str">
        <f t="shared" si="131"/>
        <v>义贯金石1</v>
      </c>
      <c r="O454" s="15">
        <f>INDEX(C:C,MATCH(J454,D:D,0))</f>
        <v>89</v>
      </c>
      <c r="P454" s="9">
        <f>INDEX(E:E,MATCH(J454,D:D,0))</f>
        <v>130</v>
      </c>
      <c r="Q454" s="7">
        <f t="shared" si="132"/>
        <v>89</v>
      </c>
      <c r="R454" s="7">
        <f>COUNTIF(J$8:$J454,"="&amp;J454)</f>
        <v>4</v>
      </c>
      <c r="S454" s="7">
        <f t="shared" si="127"/>
        <v>4089</v>
      </c>
    </row>
    <row r="455" spans="8:19">
      <c r="H455" s="7" t="str">
        <f>IF(I455="","",COUNTA(I$9:$I455))</f>
        <v/>
      </c>
      <c r="I455" s="3"/>
      <c r="J455" s="3" t="s">
        <v>38</v>
      </c>
      <c r="K455" s="8" t="str">
        <f>IF(H455="","",阶段合并区域(J455:J458," ",L455:L458,1))</f>
        <v/>
      </c>
      <c r="L455" s="8">
        <f>COUNTIF(M$8:$M455,"="&amp;M455)</f>
        <v>2</v>
      </c>
      <c r="M455" s="9" t="str">
        <f t="shared" si="130"/>
        <v>义贯金石</v>
      </c>
      <c r="N455" s="9" t="str">
        <f t="shared" si="131"/>
        <v>义贯金石2</v>
      </c>
      <c r="O455" s="15">
        <f>INDEX(C:C,MATCH(J455,D:D,0))</f>
        <v>85</v>
      </c>
      <c r="P455" s="9">
        <f>INDEX(E:E,MATCH(J455,D:D,0))</f>
        <v>130</v>
      </c>
      <c r="Q455" s="7">
        <f t="shared" si="132"/>
        <v>85</v>
      </c>
      <c r="R455" s="7">
        <f>COUNTIF(J$8:$J455,"="&amp;J455)</f>
        <v>7</v>
      </c>
      <c r="S455" s="7">
        <f t="shared" si="127"/>
        <v>7085</v>
      </c>
    </row>
    <row r="456" spans="8:19">
      <c r="H456" s="7" t="str">
        <f>IF(I456="","",COUNTA(I$9:$I456))</f>
        <v/>
      </c>
      <c r="I456" s="3"/>
      <c r="J456" s="3" t="s">
        <v>304</v>
      </c>
      <c r="K456" s="8" t="str">
        <f>IF(H456="","",阶段合并区域(J456:J459," ",L456:L459,1))</f>
        <v/>
      </c>
      <c r="L456" s="8">
        <f>COUNTIF(M$8:$M456,"="&amp;M456)</f>
        <v>3</v>
      </c>
      <c r="M456" s="9" t="str">
        <f t="shared" si="130"/>
        <v>义贯金石</v>
      </c>
      <c r="N456" s="9" t="str">
        <f t="shared" si="131"/>
        <v>义贯金石3</v>
      </c>
      <c r="O456" s="15">
        <f>INDEX(C:C,MATCH(J456,D:D,0))</f>
        <v>56</v>
      </c>
      <c r="P456" s="9">
        <f>INDEX(E:E,MATCH(J456,D:D,0))</f>
        <v>120</v>
      </c>
      <c r="Q456" s="7">
        <f t="shared" si="132"/>
        <v>56</v>
      </c>
      <c r="R456" s="7">
        <f>COUNTIF(J$8:$J456,"="&amp;J456)</f>
        <v>7</v>
      </c>
      <c r="S456" s="7">
        <f t="shared" si="127"/>
        <v>7056</v>
      </c>
    </row>
    <row r="457" spans="8:19">
      <c r="H457" s="7">
        <f>IF(I457="","",COUNTA(I$9:$I457))</f>
        <v>218</v>
      </c>
      <c r="I457" s="3" t="s">
        <v>490</v>
      </c>
      <c r="J457" s="3" t="s">
        <v>491</v>
      </c>
      <c r="K457" s="8" t="str">
        <f>IF(H457="","",阶段合并区域(J457:J460," ",L457:L460,1))</f>
        <v>诸葛亮 韩信</v>
      </c>
      <c r="L457" s="8">
        <f>COUNTIF(M$8:$M457,"="&amp;M457)</f>
        <v>1</v>
      </c>
      <c r="M457" s="9" t="str">
        <f t="shared" si="130"/>
        <v>兵出汉中</v>
      </c>
      <c r="N457" s="9" t="str">
        <f t="shared" si="131"/>
        <v>兵出汉中1</v>
      </c>
      <c r="O457" s="15">
        <f>INDEX(C:C,MATCH(J457,D:D,0))</f>
        <v>93</v>
      </c>
      <c r="P457" s="9">
        <f>INDEX(E:E,MATCH(J457,D:D,0))</f>
        <v>140</v>
      </c>
      <c r="Q457" s="7">
        <f t="shared" si="132"/>
        <v>93</v>
      </c>
      <c r="R457" s="7">
        <f>COUNTIF(J$8:$J457,"="&amp;J457)</f>
        <v>1</v>
      </c>
      <c r="S457" s="7">
        <f t="shared" si="127"/>
        <v>1093</v>
      </c>
    </row>
    <row r="458" spans="8:19">
      <c r="H458" s="7" t="str">
        <f>IF(I458="","",COUNTA(I$9:$I458))</f>
        <v/>
      </c>
      <c r="I458" s="3"/>
      <c r="J458" s="3" t="s">
        <v>398</v>
      </c>
      <c r="K458" s="8" t="str">
        <f>IF(H458="","",阶段合并区域(J458:J461," ",L458:L461,1))</f>
        <v/>
      </c>
      <c r="L458" s="8">
        <f>COUNTIF(M$8:$M458,"="&amp;M458)</f>
        <v>2</v>
      </c>
      <c r="M458" s="9" t="str">
        <f t="shared" si="130"/>
        <v>兵出汉中</v>
      </c>
      <c r="N458" s="9" t="str">
        <f t="shared" si="131"/>
        <v>兵出汉中2</v>
      </c>
      <c r="O458" s="15">
        <f>INDEX(C:C,MATCH(J458,D:D,0))</f>
        <v>80</v>
      </c>
      <c r="P458" s="9">
        <f>INDEX(E:E,MATCH(J458,D:D,0))</f>
        <v>130</v>
      </c>
      <c r="Q458" s="7">
        <f t="shared" si="132"/>
        <v>80</v>
      </c>
      <c r="R458" s="7">
        <f>COUNTIF(J$8:$J458,"="&amp;J458)</f>
        <v>6</v>
      </c>
      <c r="S458" s="7">
        <f t="shared" si="127"/>
        <v>6080</v>
      </c>
    </row>
    <row r="459" spans="8:19">
      <c r="H459" s="7">
        <f>IF(I459="","",COUNTA(I$9:$I459))</f>
        <v>219</v>
      </c>
      <c r="I459" s="3" t="s">
        <v>492</v>
      </c>
      <c r="J459" s="3" t="s">
        <v>491</v>
      </c>
      <c r="K459" s="8" t="str">
        <f>IF(H459="","",阶段合并区域(J459:J462," ",L459:L462,1))</f>
        <v>诸葛亮 刘备</v>
      </c>
      <c r="L459" s="8">
        <f>COUNTIF(M$8:$M459,"="&amp;M459)</f>
        <v>1</v>
      </c>
      <c r="M459" s="9" t="str">
        <f t="shared" si="130"/>
        <v>君臣之至合</v>
      </c>
      <c r="N459" s="9" t="str">
        <f t="shared" si="131"/>
        <v>君臣之至合1</v>
      </c>
      <c r="O459" s="15">
        <f>INDEX(C:C,MATCH(J459,D:D,0))</f>
        <v>93</v>
      </c>
      <c r="P459" s="9">
        <f>INDEX(E:E,MATCH(J459,D:D,0))</f>
        <v>140</v>
      </c>
      <c r="Q459" s="7">
        <f t="shared" si="132"/>
        <v>93</v>
      </c>
      <c r="R459" s="7">
        <f>COUNTIF(J$8:$J459,"="&amp;J459)</f>
        <v>2</v>
      </c>
      <c r="S459" s="7">
        <f t="shared" si="127"/>
        <v>2093</v>
      </c>
    </row>
    <row r="460" spans="8:19">
      <c r="H460" s="7" t="str">
        <f>IF(I460="","",COUNTA(I$9:$I460))</f>
        <v/>
      </c>
      <c r="I460" s="3"/>
      <c r="J460" s="3" t="s">
        <v>37</v>
      </c>
      <c r="K460" s="8" t="str">
        <f>IF(H460="","",阶段合并区域(J460:J463," ",L460:L463,1))</f>
        <v/>
      </c>
      <c r="L460" s="8">
        <f>COUNTIF(M$8:$M460,"="&amp;M460)</f>
        <v>2</v>
      </c>
      <c r="M460" s="9" t="str">
        <f t="shared" si="130"/>
        <v>君臣之至合</v>
      </c>
      <c r="N460" s="9" t="str">
        <f t="shared" si="131"/>
        <v>君臣之至合2</v>
      </c>
      <c r="O460" s="15">
        <f>INDEX(C:C,MATCH(J460,D:D,0))</f>
        <v>90</v>
      </c>
      <c r="P460" s="9">
        <f>INDEX(E:E,MATCH(J460,D:D,0))</f>
        <v>130</v>
      </c>
      <c r="Q460" s="7">
        <f t="shared" si="132"/>
        <v>90</v>
      </c>
      <c r="R460" s="7">
        <f>COUNTIF(J$8:$J460,"="&amp;J460)</f>
        <v>6</v>
      </c>
      <c r="S460" s="7">
        <f t="shared" si="127"/>
        <v>6090</v>
      </c>
    </row>
    <row r="461" spans="8:19">
      <c r="H461" s="7">
        <f>IF(I461="","",COUNTA(I$9:$I461))</f>
        <v>220</v>
      </c>
      <c r="I461" s="3" t="s">
        <v>493</v>
      </c>
      <c r="J461" s="3" t="s">
        <v>491</v>
      </c>
      <c r="K461" s="8" t="str">
        <f>IF(H461="","",阶段合并区域(J461:J464," ",L461:L464,1))</f>
        <v>诸葛亮 关羽 赵云</v>
      </c>
      <c r="L461" s="8">
        <f>COUNTIF(M$8:$M461,"="&amp;M461)</f>
        <v>1</v>
      </c>
      <c r="M461" s="9" t="str">
        <f t="shared" si="130"/>
        <v>季汉群英</v>
      </c>
      <c r="N461" s="9" t="str">
        <f t="shared" si="131"/>
        <v>季汉群英1</v>
      </c>
      <c r="O461" s="15">
        <f>INDEX(C:C,MATCH(J461,D:D,0))</f>
        <v>93</v>
      </c>
      <c r="P461" s="9">
        <f>INDEX(E:E,MATCH(J461,D:D,0))</f>
        <v>140</v>
      </c>
      <c r="Q461" s="7">
        <f t="shared" si="132"/>
        <v>93</v>
      </c>
      <c r="R461" s="7">
        <f>COUNTIF(J$8:$J461,"="&amp;J461)</f>
        <v>3</v>
      </c>
      <c r="S461" s="7">
        <f t="shared" si="127"/>
        <v>3093</v>
      </c>
    </row>
    <row r="462" spans="8:19">
      <c r="H462" s="7" t="str">
        <f>IF(I462="","",COUNTA(I$9:$I462))</f>
        <v/>
      </c>
      <c r="I462" s="3"/>
      <c r="J462" s="3" t="s">
        <v>38</v>
      </c>
      <c r="K462" s="8" t="str">
        <f>IF(H462="","",阶段合并区域(J462:J465," ",L462:L465,1))</f>
        <v/>
      </c>
      <c r="L462" s="8">
        <f>COUNTIF(M$8:$M462,"="&amp;M462)</f>
        <v>2</v>
      </c>
      <c r="M462" s="9" t="str">
        <f t="shared" si="130"/>
        <v>季汉群英</v>
      </c>
      <c r="N462" s="9" t="str">
        <f t="shared" si="131"/>
        <v>季汉群英2</v>
      </c>
      <c r="O462" s="15">
        <f>INDEX(C:C,MATCH(J462,D:D,0))</f>
        <v>85</v>
      </c>
      <c r="P462" s="9">
        <f>INDEX(E:E,MATCH(J462,D:D,0))</f>
        <v>130</v>
      </c>
      <c r="Q462" s="7">
        <f t="shared" si="132"/>
        <v>85</v>
      </c>
      <c r="R462" s="7">
        <f>COUNTIF(J$8:$J462,"="&amp;J462)</f>
        <v>8</v>
      </c>
      <c r="S462" s="7">
        <f t="shared" si="127"/>
        <v>8085</v>
      </c>
    </row>
    <row r="463" spans="8:19">
      <c r="H463" s="7" t="str">
        <f>IF(I463="","",COUNTA(I$9:$I463))</f>
        <v/>
      </c>
      <c r="I463" s="3"/>
      <c r="J463" s="3" t="s">
        <v>484</v>
      </c>
      <c r="K463" s="8" t="str">
        <f>IF(H463="","",阶段合并区域(J463:J466," ",L463:L466,1))</f>
        <v/>
      </c>
      <c r="L463" s="8">
        <f>COUNTIF(M$8:$M463,"="&amp;M463)</f>
        <v>3</v>
      </c>
      <c r="M463" s="9" t="str">
        <f t="shared" si="130"/>
        <v>季汉群英</v>
      </c>
      <c r="N463" s="9" t="str">
        <f t="shared" si="131"/>
        <v>季汉群英3</v>
      </c>
      <c r="O463" s="15">
        <f>INDEX(C:C,MATCH(J463,D:D,0))</f>
        <v>89</v>
      </c>
      <c r="P463" s="9">
        <f>INDEX(E:E,MATCH(J463,D:D,0))</f>
        <v>130</v>
      </c>
      <c r="Q463" s="7">
        <f t="shared" si="132"/>
        <v>89</v>
      </c>
      <c r="R463" s="7">
        <f>COUNTIF(J$8:$J463,"="&amp;J463)</f>
        <v>5</v>
      </c>
      <c r="S463" s="7">
        <f t="shared" si="127"/>
        <v>5089</v>
      </c>
    </row>
    <row r="464" spans="8:19">
      <c r="H464" s="7">
        <f>IF(I464="","",COUNTA(I$9:$I464))</f>
        <v>221</v>
      </c>
      <c r="I464" s="3" t="s">
        <v>497</v>
      </c>
      <c r="J464" s="3" t="s">
        <v>495</v>
      </c>
      <c r="K464" s="8" t="str">
        <f>IF(H464="","",阶段合并区域(J464:J467," ",L464:L467,1))</f>
        <v>太史慈 孙权</v>
      </c>
      <c r="L464" s="8">
        <f>COUNTIF(M$8:$M464,"="&amp;M464)</f>
        <v>1</v>
      </c>
      <c r="M464" s="9" t="str">
        <f t="shared" ref="M464" si="133">IF(H464="",M463,I464)</f>
        <v>虎踞三江</v>
      </c>
      <c r="N464" s="9" t="str">
        <f t="shared" ref="N464" si="134">M464&amp;L464</f>
        <v>虎踞三江1</v>
      </c>
      <c r="O464" s="15">
        <f>INDEX(C:C,MATCH(J464,D:D,0))</f>
        <v>94</v>
      </c>
      <c r="P464" s="9">
        <f>INDEX(E:E,MATCH(J464,D:D,0))</f>
        <v>130</v>
      </c>
      <c r="Q464" s="7">
        <f t="shared" ref="Q464:Q476" si="135">INDEX($C$9:$C$190,MATCH(J464,$D$9:$D$190,0))</f>
        <v>94</v>
      </c>
      <c r="R464" s="7">
        <f>COUNTIF(J$8:$J464,"="&amp;J464)</f>
        <v>1</v>
      </c>
      <c r="S464" s="7">
        <f t="shared" si="127"/>
        <v>1094</v>
      </c>
    </row>
    <row r="465" spans="8:19">
      <c r="H465" s="7" t="str">
        <f>IF(I465="","",COUNTA(I$9:$I465))</f>
        <v/>
      </c>
      <c r="I465" s="3"/>
      <c r="J465" s="3" t="s">
        <v>496</v>
      </c>
      <c r="K465" s="8" t="str">
        <f>IF(H465="","",阶段合并区域(J465:J468," ",L465:L468,1))</f>
        <v/>
      </c>
      <c r="L465" s="8">
        <f>COUNTIF(M$8:$M465,"="&amp;M465)</f>
        <v>2</v>
      </c>
      <c r="M465" s="9" t="str">
        <f t="shared" ref="M465:M483" si="136">IF(H465="",M464,I465)</f>
        <v>虎踞三江</v>
      </c>
      <c r="N465" s="9" t="str">
        <f t="shared" ref="N465:N483" si="137">M465&amp;L465</f>
        <v>虎踞三江2</v>
      </c>
      <c r="O465" s="15">
        <f>INDEX(C:C,MATCH(J465,D:D,0))</f>
        <v>95</v>
      </c>
      <c r="P465" s="9">
        <f>INDEX(E:E,MATCH(J465,D:D,0))</f>
        <v>130</v>
      </c>
      <c r="Q465" s="7">
        <f t="shared" si="135"/>
        <v>95</v>
      </c>
      <c r="R465" s="7">
        <f>COUNTIF(J$8:$J465,"="&amp;J465)</f>
        <v>1</v>
      </c>
      <c r="S465" s="7">
        <f t="shared" si="127"/>
        <v>1095</v>
      </c>
    </row>
    <row r="466" spans="8:19">
      <c r="H466" s="7">
        <f>IF(I466="","",COUNTA(I$9:$I466))</f>
        <v>222</v>
      </c>
      <c r="I466" s="3" t="s">
        <v>498</v>
      </c>
      <c r="J466" s="3" t="s">
        <v>495</v>
      </c>
      <c r="K466" s="8" t="str">
        <f>IF(H466="","",阶段合并区域(J466:J469," ",L466:L469,1))</f>
        <v>太史慈 赵云</v>
      </c>
      <c r="L466" s="8">
        <f>COUNTIF(M$8:$M466,"="&amp;M466)</f>
        <v>1</v>
      </c>
      <c r="M466" s="9" t="str">
        <f t="shared" si="136"/>
        <v>世之勇将</v>
      </c>
      <c r="N466" s="9" t="str">
        <f t="shared" si="137"/>
        <v>世之勇将1</v>
      </c>
      <c r="O466" s="15">
        <f>INDEX(C:C,MATCH(J466,D:D,0))</f>
        <v>94</v>
      </c>
      <c r="P466" s="9">
        <f>INDEX(E:E,MATCH(J466,D:D,0))</f>
        <v>130</v>
      </c>
      <c r="Q466" s="7">
        <f t="shared" si="135"/>
        <v>94</v>
      </c>
      <c r="R466" s="7">
        <f>COUNTIF(J$8:$J466,"="&amp;J466)</f>
        <v>2</v>
      </c>
      <c r="S466" s="7">
        <f t="shared" si="127"/>
        <v>2094</v>
      </c>
    </row>
    <row r="467" spans="8:19">
      <c r="H467" s="7" t="str">
        <f>IF(I467="","",COUNTA(I$9:$I467))</f>
        <v/>
      </c>
      <c r="I467" s="3"/>
      <c r="J467" s="3" t="s">
        <v>484</v>
      </c>
      <c r="K467" s="8" t="str">
        <f>IF(H467="","",阶段合并区域(J467:J470," ",L467:L470,1))</f>
        <v/>
      </c>
      <c r="L467" s="8">
        <f>COUNTIF(M$8:$M467,"="&amp;M467)</f>
        <v>2</v>
      </c>
      <c r="M467" s="9" t="str">
        <f t="shared" si="136"/>
        <v>世之勇将</v>
      </c>
      <c r="N467" s="9" t="str">
        <f t="shared" si="137"/>
        <v>世之勇将2</v>
      </c>
      <c r="O467" s="15">
        <f>INDEX(C:C,MATCH(J467,D:D,0))</f>
        <v>89</v>
      </c>
      <c r="P467" s="9">
        <f>INDEX(E:E,MATCH(J467,D:D,0))</f>
        <v>130</v>
      </c>
      <c r="Q467" s="7">
        <f t="shared" si="135"/>
        <v>89</v>
      </c>
      <c r="R467" s="7">
        <f>COUNTIF(J$8:$J467,"="&amp;J467)</f>
        <v>6</v>
      </c>
      <c r="S467" s="7">
        <f t="shared" si="127"/>
        <v>6089</v>
      </c>
    </row>
    <row r="468" spans="8:19">
      <c r="H468" s="7">
        <f>IF(I468="","",COUNTA(I$9:$I468))</f>
        <v>223</v>
      </c>
      <c r="I468" s="3" t="s">
        <v>499</v>
      </c>
      <c r="J468" s="3" t="s">
        <v>495</v>
      </c>
      <c r="K468" s="8" t="str">
        <f>IF(H468="","",阶段合并区域(J468:J471," ",L468:L471,1))</f>
        <v>太史慈 养由基</v>
      </c>
      <c r="L468" s="8">
        <f>COUNTIF(M$8:$M468,"="&amp;M468)</f>
        <v>1</v>
      </c>
      <c r="M468" s="9" t="str">
        <f t="shared" si="136"/>
        <v>强弓擅射</v>
      </c>
      <c r="N468" s="9" t="str">
        <f t="shared" si="137"/>
        <v>强弓擅射1</v>
      </c>
      <c r="O468" s="15">
        <f>INDEX(C:C,MATCH(J468,D:D,0))</f>
        <v>94</v>
      </c>
      <c r="P468" s="9">
        <f>INDEX(E:E,MATCH(J468,D:D,0))</f>
        <v>130</v>
      </c>
      <c r="Q468" s="7">
        <f t="shared" si="135"/>
        <v>94</v>
      </c>
      <c r="R468" s="7">
        <f>COUNTIF(J$8:$J468,"="&amp;J468)</f>
        <v>3</v>
      </c>
      <c r="S468" s="7">
        <f t="shared" si="127"/>
        <v>3094</v>
      </c>
    </row>
    <row r="469" spans="8:19">
      <c r="H469" s="7" t="str">
        <f>IF(I469="","",COUNTA(I$9:$I469))</f>
        <v/>
      </c>
      <c r="I469" s="3"/>
      <c r="J469" s="3" t="s">
        <v>419</v>
      </c>
      <c r="K469" s="8" t="str">
        <f>IF(H469="","",阶段合并区域(J469:J472," ",L469:L472,1))</f>
        <v/>
      </c>
      <c r="L469" s="8">
        <f>COUNTIF(M$8:$M469,"="&amp;M469)</f>
        <v>2</v>
      </c>
      <c r="M469" s="9" t="str">
        <f t="shared" si="136"/>
        <v>强弓擅射</v>
      </c>
      <c r="N469" s="9" t="str">
        <f t="shared" si="137"/>
        <v>强弓擅射2</v>
      </c>
      <c r="O469" s="15">
        <f>INDEX(C:C,MATCH(J469,D:D,0))</f>
        <v>13</v>
      </c>
      <c r="P469" s="9">
        <f>INDEX(E:E,MATCH(J469,D:D,0))</f>
        <v>130</v>
      </c>
      <c r="Q469" s="7">
        <f t="shared" si="135"/>
        <v>13</v>
      </c>
      <c r="R469" s="7">
        <f>COUNTIF(J$8:$J469,"="&amp;J469)</f>
        <v>5</v>
      </c>
      <c r="S469" s="7">
        <f t="shared" si="127"/>
        <v>5013</v>
      </c>
    </row>
    <row r="470" spans="8:19">
      <c r="H470" s="7">
        <f>IF(I470="","",COUNTA(I$9:$I470))</f>
        <v>224</v>
      </c>
      <c r="I470" s="3" t="s">
        <v>500</v>
      </c>
      <c r="J470" s="3" t="s">
        <v>496</v>
      </c>
      <c r="K470" s="8" t="str">
        <f>IF(H470="","",阶段合并区域(J470:J473," ",L470:L473,1))</f>
        <v>孙权 刘备 曹操</v>
      </c>
      <c r="L470" s="8">
        <f>COUNTIF(M$8:$M470,"="&amp;M470)</f>
        <v>1</v>
      </c>
      <c r="M470" s="9" t="str">
        <f t="shared" si="136"/>
        <v>天下三分</v>
      </c>
      <c r="N470" s="9" t="str">
        <f t="shared" si="137"/>
        <v>天下三分1</v>
      </c>
      <c r="O470" s="15">
        <f>INDEX(C:C,MATCH(J470,D:D,0))</f>
        <v>95</v>
      </c>
      <c r="P470" s="9">
        <f>INDEX(E:E,MATCH(J470,D:D,0))</f>
        <v>130</v>
      </c>
      <c r="Q470" s="7">
        <f t="shared" si="135"/>
        <v>95</v>
      </c>
      <c r="R470" s="7">
        <f>COUNTIF(J$8:$J470,"="&amp;J470)</f>
        <v>2</v>
      </c>
      <c r="S470" s="7">
        <f t="shared" si="127"/>
        <v>2095</v>
      </c>
    </row>
    <row r="471" spans="8:19">
      <c r="H471" s="7" t="str">
        <f>IF(I471="","",COUNTA(I$9:$I471))</f>
        <v/>
      </c>
      <c r="I471" s="3"/>
      <c r="J471" s="3" t="s">
        <v>37</v>
      </c>
      <c r="K471" s="8" t="str">
        <f>IF(H471="","",阶段合并区域(J471:J474," ",L471:L474,1))</f>
        <v/>
      </c>
      <c r="L471" s="8">
        <f>COUNTIF(M$8:$M471,"="&amp;M471)</f>
        <v>2</v>
      </c>
      <c r="M471" s="9" t="str">
        <f t="shared" si="136"/>
        <v>天下三分</v>
      </c>
      <c r="N471" s="9" t="str">
        <f t="shared" si="137"/>
        <v>天下三分2</v>
      </c>
      <c r="O471" s="15">
        <f>INDEX(C:C,MATCH(J471,D:D,0))</f>
        <v>90</v>
      </c>
      <c r="P471" s="9">
        <f>INDEX(E:E,MATCH(J471,D:D,0))</f>
        <v>130</v>
      </c>
      <c r="Q471" s="7">
        <f t="shared" si="135"/>
        <v>90</v>
      </c>
      <c r="R471" s="7">
        <f>COUNTIF(J$8:$J471,"="&amp;J471)</f>
        <v>7</v>
      </c>
      <c r="S471" s="7">
        <f t="shared" si="127"/>
        <v>7090</v>
      </c>
    </row>
    <row r="472" spans="8:19">
      <c r="H472" s="7"/>
      <c r="I472" s="3"/>
      <c r="J472" s="3" t="s">
        <v>444</v>
      </c>
      <c r="K472" s="8" t="str">
        <f>IF(H472="","",阶段合并区域(J472:J475," ",L472:L475,1))</f>
        <v/>
      </c>
      <c r="L472" s="8">
        <f>COUNTIF(M$8:$M472,"="&amp;M472)</f>
        <v>3</v>
      </c>
      <c r="M472" s="9" t="str">
        <f t="shared" si="136"/>
        <v>天下三分</v>
      </c>
      <c r="N472" s="9" t="str">
        <f t="shared" si="137"/>
        <v>天下三分3</v>
      </c>
      <c r="O472" s="15">
        <f>INDEX(C:C,MATCH(J472,D:D,0))</f>
        <v>84</v>
      </c>
      <c r="P472" s="9">
        <f>INDEX(E:E,MATCH(J472,D:D,0))</f>
        <v>130</v>
      </c>
      <c r="Q472" s="7">
        <f t="shared" si="135"/>
        <v>84</v>
      </c>
      <c r="R472" s="7">
        <f>COUNTIF(J$8:$J472,"="&amp;J472)</f>
        <v>7</v>
      </c>
      <c r="S472" s="7">
        <f t="shared" si="127"/>
        <v>7084</v>
      </c>
    </row>
    <row r="473" spans="8:19">
      <c r="H473" s="7">
        <f>IF(I473="","",COUNTA(I$9:$I473))</f>
        <v>225</v>
      </c>
      <c r="I473" s="3" t="s">
        <v>501</v>
      </c>
      <c r="J473" s="3" t="s">
        <v>496</v>
      </c>
      <c r="K473" s="8" t="str">
        <f>IF(H473="","",阶段合并区域(J473:J476," ",L473:L476,1))</f>
        <v>孙权 嬴政</v>
      </c>
      <c r="L473" s="8">
        <f>COUNTIF(M$8:$M473,"="&amp;M473)</f>
        <v>1</v>
      </c>
      <c r="M473" s="9" t="str">
        <f t="shared" si="136"/>
        <v>少年继位</v>
      </c>
      <c r="N473" s="9" t="str">
        <f t="shared" si="137"/>
        <v>少年继位1</v>
      </c>
      <c r="O473" s="15">
        <f>INDEX(C:C,MATCH(J473,D:D,0))</f>
        <v>95</v>
      </c>
      <c r="P473" s="9">
        <f>INDEX(E:E,MATCH(J473,D:D,0))</f>
        <v>130</v>
      </c>
      <c r="Q473" s="7">
        <f t="shared" si="135"/>
        <v>95</v>
      </c>
      <c r="R473" s="7">
        <f>COUNTIF(J$8:$J473,"="&amp;J473)</f>
        <v>3</v>
      </c>
      <c r="S473" s="7">
        <f t="shared" si="127"/>
        <v>3095</v>
      </c>
    </row>
    <row r="474" spans="8:19">
      <c r="H474" s="7" t="str">
        <f>IF(I474="","",COUNTA(I$9:$I474))</f>
        <v/>
      </c>
      <c r="I474" s="3"/>
      <c r="J474" s="3" t="s">
        <v>403</v>
      </c>
      <c r="K474" s="8" t="str">
        <f>IF(H474="","",阶段合并区域(J474:J477," ",L474:L477,1))</f>
        <v/>
      </c>
      <c r="L474" s="8">
        <f>COUNTIF(M$8:$M474,"="&amp;M474)</f>
        <v>2</v>
      </c>
      <c r="M474" s="9" t="str">
        <f t="shared" si="136"/>
        <v>少年继位</v>
      </c>
      <c r="N474" s="9" t="str">
        <f t="shared" si="137"/>
        <v>少年继位2</v>
      </c>
      <c r="O474" s="15">
        <f>INDEX(C:C,MATCH(J474,D:D,0))</f>
        <v>73</v>
      </c>
      <c r="P474" s="9">
        <f>INDEX(E:E,MATCH(J474,D:D,0))</f>
        <v>130</v>
      </c>
      <c r="Q474" s="7">
        <f t="shared" si="135"/>
        <v>73</v>
      </c>
      <c r="R474" s="7">
        <f>COUNTIF(J$8:$J474,"="&amp;J474)</f>
        <v>7</v>
      </c>
      <c r="S474" s="7">
        <f t="shared" si="127"/>
        <v>7073</v>
      </c>
    </row>
    <row r="475" spans="8:19">
      <c r="H475" s="7">
        <f>IF(I475="","",COUNTA(I$9:$I475))</f>
        <v>226</v>
      </c>
      <c r="I475" s="3" t="s">
        <v>502</v>
      </c>
      <c r="J475" s="3" t="s">
        <v>496</v>
      </c>
      <c r="K475" s="8" t="str">
        <f>IF(H475="","",阶段合并区域(J475:J478," ",L475:L478,1))</f>
        <v>孙权 赵云</v>
      </c>
      <c r="L475" s="8">
        <f>COUNTIF(M$8:$M475,"="&amp;M475)</f>
        <v>1</v>
      </c>
      <c r="M475" s="9" t="str">
        <f t="shared" si="136"/>
        <v>甘露寺</v>
      </c>
      <c r="N475" s="9" t="str">
        <f t="shared" si="137"/>
        <v>甘露寺1</v>
      </c>
      <c r="O475" s="15">
        <f>INDEX(C:C,MATCH(J475,D:D,0))</f>
        <v>95</v>
      </c>
      <c r="P475" s="9">
        <f>INDEX(E:E,MATCH(J475,D:D,0))</f>
        <v>130</v>
      </c>
      <c r="Q475" s="7">
        <f t="shared" si="135"/>
        <v>95</v>
      </c>
      <c r="R475" s="7">
        <f>COUNTIF(J$8:$J475,"="&amp;J475)</f>
        <v>4</v>
      </c>
      <c r="S475" s="7">
        <f t="shared" si="127"/>
        <v>4095</v>
      </c>
    </row>
    <row r="476" spans="8:19">
      <c r="H476" s="7" t="str">
        <f>IF(I476="","",COUNTA(I$9:$I476))</f>
        <v/>
      </c>
      <c r="I476" s="3"/>
      <c r="J476" s="3" t="s">
        <v>484</v>
      </c>
      <c r="K476" s="8" t="str">
        <f>IF(H476="","",阶段合并区域(J476:J479," ",L476:L479,1))</f>
        <v/>
      </c>
      <c r="L476" s="8">
        <f>COUNTIF(M$8:$M476,"="&amp;M476)</f>
        <v>2</v>
      </c>
      <c r="M476" s="9" t="str">
        <f t="shared" si="136"/>
        <v>甘露寺</v>
      </c>
      <c r="N476" s="9" t="str">
        <f t="shared" si="137"/>
        <v>甘露寺2</v>
      </c>
      <c r="O476" s="15">
        <f>INDEX(C:C,MATCH(J476,D:D,0))</f>
        <v>89</v>
      </c>
      <c r="P476" s="9">
        <f>INDEX(E:E,MATCH(J476,D:D,0))</f>
        <v>130</v>
      </c>
      <c r="Q476" s="7">
        <f t="shared" si="135"/>
        <v>89</v>
      </c>
      <c r="R476" s="7">
        <f>COUNTIF(J$8:$J476,"="&amp;J476)</f>
        <v>7</v>
      </c>
      <c r="S476" s="7">
        <f t="shared" si="127"/>
        <v>7089</v>
      </c>
    </row>
    <row r="477" spans="8:19">
      <c r="H477" s="7">
        <f>IF(I477="","",COUNTA(I$9:$I477))</f>
        <v>227</v>
      </c>
      <c r="I477" s="3" t="s">
        <v>384</v>
      </c>
      <c r="J477" s="3" t="s">
        <v>503</v>
      </c>
      <c r="K477" s="8" t="str">
        <f>IF(H477="","",阶段合并区域(J477:J480," ",L477:L480,1))</f>
        <v>荀彧 李斯 范增</v>
      </c>
      <c r="L477" s="24">
        <v>1</v>
      </c>
      <c r="M477" s="9" t="str">
        <f t="shared" si="136"/>
        <v>王佐之才</v>
      </c>
      <c r="N477" s="9" t="str">
        <f t="shared" si="137"/>
        <v>王佐之才1</v>
      </c>
      <c r="O477" s="15">
        <f>INDEX(C:C,MATCH(J477,D:D,0))</f>
        <v>19</v>
      </c>
      <c r="P477" s="9">
        <f>INDEX(E:E,MATCH(J477,D:D,0))</f>
        <v>130</v>
      </c>
      <c r="Q477" s="7">
        <f t="shared" ref="Q477:Q483" si="138">INDEX($C$9:$C$190,MATCH(J477,$D$9:$D$190,0))</f>
        <v>19</v>
      </c>
      <c r="R477" s="7">
        <f>COUNTIF(J$8:$J477,"="&amp;J477)</f>
        <v>1</v>
      </c>
      <c r="S477" s="7">
        <f t="shared" si="127"/>
        <v>1019</v>
      </c>
    </row>
    <row r="478" spans="8:19">
      <c r="H478" s="7" t="str">
        <f>IF(I478="","",COUNTA(I$9:$I478))</f>
        <v/>
      </c>
      <c r="I478" s="3"/>
      <c r="J478" s="3" t="s">
        <v>365</v>
      </c>
      <c r="K478" s="8" t="str">
        <f>IF(H478="","",阶段合并区域(J478:J481," ",L478:L481,1))</f>
        <v/>
      </c>
      <c r="L478" s="24">
        <v>2</v>
      </c>
      <c r="M478" s="9" t="str">
        <f t="shared" si="136"/>
        <v>王佐之才</v>
      </c>
      <c r="N478" s="9" t="str">
        <f t="shared" si="137"/>
        <v>王佐之才2</v>
      </c>
      <c r="O478" s="15">
        <f>INDEX(C:C,MATCH(J478,D:D,0))</f>
        <v>26</v>
      </c>
      <c r="P478" s="9">
        <f>INDEX(E:E,MATCH(J478,D:D,0))</f>
        <v>120</v>
      </c>
      <c r="Q478" s="7">
        <f t="shared" si="138"/>
        <v>26</v>
      </c>
      <c r="R478" s="7">
        <f>COUNTIF(J$8:$J478,"="&amp;J478)</f>
        <v>7</v>
      </c>
      <c r="S478" s="7">
        <f t="shared" si="127"/>
        <v>7026</v>
      </c>
    </row>
    <row r="479" spans="8:19">
      <c r="H479" s="7"/>
      <c r="I479" s="3"/>
      <c r="J479" s="3" t="s">
        <v>370</v>
      </c>
      <c r="K479" s="8" t="str">
        <f>IF(H479="","",阶段合并区域(J479:J482," ",L479:L482,1))</f>
        <v/>
      </c>
      <c r="L479" s="24">
        <v>3</v>
      </c>
      <c r="M479" s="9" t="str">
        <f t="shared" si="136"/>
        <v>王佐之才</v>
      </c>
      <c r="N479" s="9" t="str">
        <f t="shared" si="137"/>
        <v>王佐之才3</v>
      </c>
      <c r="O479" s="15">
        <f>INDEX(C:C,MATCH(J479,D:D,0))</f>
        <v>22</v>
      </c>
      <c r="P479" s="9">
        <f>INDEX(E:E,MATCH(J479,D:D,0))</f>
        <v>120</v>
      </c>
      <c r="Q479" s="7">
        <f t="shared" si="138"/>
        <v>22</v>
      </c>
      <c r="R479" s="7">
        <f>COUNTIF(J$8:$J479,"="&amp;J479)</f>
        <v>4</v>
      </c>
      <c r="S479" s="7">
        <f t="shared" si="127"/>
        <v>4022</v>
      </c>
    </row>
    <row r="480" spans="8:19">
      <c r="H480" s="7">
        <f>IF(I480="","",COUNTA(I$9:$I480))</f>
        <v>228</v>
      </c>
      <c r="I480" s="3" t="s">
        <v>504</v>
      </c>
      <c r="J480" s="3" t="s">
        <v>503</v>
      </c>
      <c r="K480" s="8" t="str">
        <f>IF(H480="","",阶段合并区域(J480:J483," ",L480:L483,1))</f>
        <v>荀彧 嬴政</v>
      </c>
      <c r="L480" s="8">
        <f>COUNTIF(M$8:$M480,"="&amp;M480)</f>
        <v>1</v>
      </c>
      <c r="M480" s="9" t="str">
        <f t="shared" si="136"/>
        <v>主仆殊途</v>
      </c>
      <c r="N480" s="9" t="str">
        <f t="shared" si="137"/>
        <v>主仆殊途1</v>
      </c>
      <c r="O480" s="15">
        <f>INDEX(C:C,MATCH(J480,D:D,0))</f>
        <v>19</v>
      </c>
      <c r="P480" s="9">
        <f>INDEX(E:E,MATCH(J480,D:D,0))</f>
        <v>130</v>
      </c>
      <c r="Q480" s="7">
        <f t="shared" si="138"/>
        <v>19</v>
      </c>
      <c r="R480" s="7">
        <f>COUNTIF(J$8:$J480,"="&amp;J480)</f>
        <v>2</v>
      </c>
      <c r="S480" s="7">
        <f t="shared" si="127"/>
        <v>2019</v>
      </c>
    </row>
    <row r="481" spans="8:19">
      <c r="H481" s="7" t="str">
        <f>IF(I481="","",COUNTA(I$9:$I481))</f>
        <v/>
      </c>
      <c r="I481" s="3"/>
      <c r="J481" s="3" t="s">
        <v>403</v>
      </c>
      <c r="K481" s="8" t="str">
        <f>IF(H481="","",阶段合并区域(J481:J484," ",L481:L484,1))</f>
        <v/>
      </c>
      <c r="L481" s="8">
        <f>COUNTIF(M$8:$M481,"="&amp;M481)</f>
        <v>2</v>
      </c>
      <c r="M481" s="9" t="str">
        <f t="shared" si="136"/>
        <v>主仆殊途</v>
      </c>
      <c r="N481" s="9" t="str">
        <f t="shared" si="137"/>
        <v>主仆殊途2</v>
      </c>
      <c r="O481" s="15">
        <f>INDEX(C:C,MATCH(J481,D:D,0))</f>
        <v>73</v>
      </c>
      <c r="P481" s="9">
        <f>INDEX(E:E,MATCH(J481,D:D,0))</f>
        <v>130</v>
      </c>
      <c r="Q481" s="7">
        <f t="shared" si="138"/>
        <v>73</v>
      </c>
      <c r="R481" s="7">
        <f>COUNTIF(J$8:$J481,"="&amp;J481)</f>
        <v>8</v>
      </c>
      <c r="S481" s="7">
        <f t="shared" si="127"/>
        <v>8073</v>
      </c>
    </row>
    <row r="482" spans="8:19">
      <c r="H482" s="7">
        <f>IF(I482="","",COUNTA(I$9:$I482))</f>
        <v>229</v>
      </c>
      <c r="I482" s="3" t="s">
        <v>505</v>
      </c>
      <c r="J482" s="3" t="s">
        <v>503</v>
      </c>
      <c r="K482" s="8" t="str">
        <f>IF(H482="","",阶段合并区域(J482:J485," ",L482:L485,1))</f>
        <v>荀彧 赵云</v>
      </c>
      <c r="L482" s="8">
        <f>COUNTIF(M$8:$M482,"="&amp;M482)</f>
        <v>1</v>
      </c>
      <c r="M482" s="9" t="str">
        <f t="shared" si="136"/>
        <v>人定胜天</v>
      </c>
      <c r="N482" s="9" t="str">
        <f t="shared" si="137"/>
        <v>人定胜天1</v>
      </c>
      <c r="O482" s="15">
        <f>INDEX(C:C,MATCH(J482,D:D,0))</f>
        <v>19</v>
      </c>
      <c r="P482" s="9">
        <f>INDEX(E:E,MATCH(J482,D:D,0))</f>
        <v>130</v>
      </c>
      <c r="Q482" s="7">
        <f t="shared" si="138"/>
        <v>19</v>
      </c>
      <c r="R482" s="7">
        <f>COUNTIF(J$8:$J482,"="&amp;J482)</f>
        <v>3</v>
      </c>
      <c r="S482" s="7">
        <f t="shared" si="127"/>
        <v>3019</v>
      </c>
    </row>
    <row r="483" spans="8:19">
      <c r="H483" s="7" t="str">
        <f>IF(I483="","",COUNTA(I$9:$I483))</f>
        <v/>
      </c>
      <c r="I483" s="3"/>
      <c r="J483" s="3" t="s">
        <v>484</v>
      </c>
      <c r="K483" s="8" t="str">
        <f>IF(H483="","",阶段合并区域(J483:J486," ",L483:L486,1))</f>
        <v/>
      </c>
      <c r="L483" s="8">
        <f>COUNTIF(M$8:$M483,"="&amp;M483)</f>
        <v>2</v>
      </c>
      <c r="M483" s="9" t="str">
        <f t="shared" si="136"/>
        <v>人定胜天</v>
      </c>
      <c r="N483" s="9" t="str">
        <f t="shared" si="137"/>
        <v>人定胜天2</v>
      </c>
      <c r="O483" s="15">
        <f>INDEX(C:C,MATCH(J483,D:D,0))</f>
        <v>89</v>
      </c>
      <c r="P483" s="9">
        <f>INDEX(E:E,MATCH(J483,D:D,0))</f>
        <v>130</v>
      </c>
      <c r="Q483" s="7">
        <f t="shared" si="138"/>
        <v>89</v>
      </c>
      <c r="R483" s="7">
        <f>COUNTIF(J$8:$J483,"="&amp;J483)</f>
        <v>8</v>
      </c>
      <c r="S483" s="7">
        <f t="shared" si="127"/>
        <v>8089</v>
      </c>
    </row>
    <row r="484" spans="8:19">
      <c r="H484" s="7">
        <f>IF(I484="","",COUNTA(I$9:$I484))</f>
        <v>230</v>
      </c>
      <c r="I484" s="3" t="s">
        <v>506</v>
      </c>
      <c r="J484" s="3" t="s">
        <v>509</v>
      </c>
      <c r="K484" s="8" t="str">
        <f>IF(H484="","",阶段合并区域(J484:J487," ",L484:L487,1))</f>
        <v>夏侯渊 刘备</v>
      </c>
      <c r="L484" s="8">
        <f>COUNTIF(M$8:$M484,"="&amp;M484)</f>
        <v>1</v>
      </c>
      <c r="M484" s="9" t="str">
        <f t="shared" ref="M484:M487" si="139">IF(H484="",M483,I484)</f>
        <v>虎步关右</v>
      </c>
      <c r="N484" s="9" t="str">
        <f t="shared" ref="N484:N487" si="140">M484&amp;L484</f>
        <v>虎步关右1</v>
      </c>
      <c r="O484" s="15">
        <f>INDEX(C:C,MATCH(J484,D:D,0))</f>
        <v>96</v>
      </c>
      <c r="P484" s="9">
        <f>INDEX(E:E,MATCH(J484,D:D,0))</f>
        <v>130</v>
      </c>
      <c r="Q484" s="7">
        <f t="shared" ref="Q484:Q487" si="141">INDEX($C$9:$C$190,MATCH(J484,$D$9:$D$190,0))</f>
        <v>96</v>
      </c>
      <c r="R484" s="7">
        <f>COUNTIF(J$8:$J484,"="&amp;J484)</f>
        <v>1</v>
      </c>
      <c r="S484" s="7">
        <f t="shared" ref="S484:S487" si="142">R484*1000+Q484</f>
        <v>1096</v>
      </c>
    </row>
    <row r="485" spans="8:19">
      <c r="H485" s="7" t="str">
        <f>IF(I485="","",COUNTA(I$9:$I485))</f>
        <v/>
      </c>
      <c r="I485" s="3"/>
      <c r="J485" s="3" t="s">
        <v>37</v>
      </c>
      <c r="K485" s="8" t="str">
        <f>IF(H485="","",阶段合并区域(J485:J488," ",L485:L488,1))</f>
        <v/>
      </c>
      <c r="L485" s="8">
        <f>COUNTIF(M$8:$M485,"="&amp;M485)</f>
        <v>2</v>
      </c>
      <c r="M485" s="9" t="str">
        <f t="shared" si="139"/>
        <v>虎步关右</v>
      </c>
      <c r="N485" s="9" t="str">
        <f t="shared" si="140"/>
        <v>虎步关右2</v>
      </c>
      <c r="O485" s="15">
        <f>INDEX(C:C,MATCH(J485,D:D,0))</f>
        <v>90</v>
      </c>
      <c r="P485" s="9">
        <f>INDEX(E:E,MATCH(J485,D:D,0))</f>
        <v>130</v>
      </c>
      <c r="Q485" s="7">
        <f t="shared" si="141"/>
        <v>90</v>
      </c>
      <c r="R485" s="7">
        <f>COUNTIF(J$8:$J485,"="&amp;J485)</f>
        <v>8</v>
      </c>
      <c r="S485" s="7">
        <f t="shared" si="142"/>
        <v>8090</v>
      </c>
    </row>
    <row r="486" spans="8:19">
      <c r="H486" s="7">
        <f>IF(I486="","",COUNTA(I$9:$I486))</f>
        <v>231</v>
      </c>
      <c r="I486" s="3" t="s">
        <v>507</v>
      </c>
      <c r="J486" s="3" t="s">
        <v>509</v>
      </c>
      <c r="K486" s="8" t="str">
        <f>IF(H486="","",阶段合并区域(J486:J489," ",L486:L489,1))</f>
        <v>夏侯渊 曹操</v>
      </c>
      <c r="L486" s="8">
        <f>COUNTIF(M$8:$M486,"="&amp;M486)</f>
        <v>1</v>
      </c>
      <c r="M486" s="9" t="str">
        <f t="shared" si="139"/>
        <v>白地将军</v>
      </c>
      <c r="N486" s="9" t="str">
        <f t="shared" si="140"/>
        <v>白地将军1</v>
      </c>
      <c r="O486" s="15">
        <f>INDEX(C:C,MATCH(J486,D:D,0))</f>
        <v>96</v>
      </c>
      <c r="P486" s="9">
        <f>INDEX(E:E,MATCH(J486,D:D,0))</f>
        <v>130</v>
      </c>
      <c r="Q486" s="7">
        <f t="shared" si="141"/>
        <v>96</v>
      </c>
      <c r="R486" s="7">
        <f>COUNTIF(J$8:$J486,"="&amp;J486)</f>
        <v>2</v>
      </c>
      <c r="S486" s="7">
        <f t="shared" si="142"/>
        <v>2096</v>
      </c>
    </row>
    <row r="487" spans="8:19">
      <c r="H487" s="7" t="str">
        <f>IF(I487="","",COUNTA(I$9:$I487))</f>
        <v/>
      </c>
      <c r="I487" s="3"/>
      <c r="J487" s="3" t="s">
        <v>444</v>
      </c>
      <c r="K487" s="8" t="str">
        <f>IF(H487="","",阶段合并区域(J487:J489," ",L487:L489,1))</f>
        <v/>
      </c>
      <c r="L487" s="8">
        <f>COUNTIF(M$8:$M487,"="&amp;M487)</f>
        <v>2</v>
      </c>
      <c r="M487" s="9" t="str">
        <f t="shared" si="139"/>
        <v>白地将军</v>
      </c>
      <c r="N487" s="9" t="str">
        <f t="shared" si="140"/>
        <v>白地将军2</v>
      </c>
      <c r="O487" s="15">
        <f>INDEX(C:C,MATCH(J487,D:D,0))</f>
        <v>84</v>
      </c>
      <c r="P487" s="9">
        <f>INDEX(E:E,MATCH(J487,D:D,0))</f>
        <v>130</v>
      </c>
      <c r="Q487" s="7">
        <f t="shared" si="141"/>
        <v>84</v>
      </c>
      <c r="R487" s="7">
        <f>COUNTIF(J$8:$J487,"="&amp;J487)</f>
        <v>8</v>
      </c>
      <c r="S487" s="7">
        <f t="shared" si="142"/>
        <v>8084</v>
      </c>
    </row>
    <row r="488" spans="8:19">
      <c r="H488" s="7">
        <f>IF(I488="","",COUNTA(I$9:$I488))</f>
        <v>232</v>
      </c>
      <c r="I488" s="3" t="s">
        <v>508</v>
      </c>
      <c r="J488" s="3" t="s">
        <v>509</v>
      </c>
      <c r="K488" s="8" t="str">
        <f>IF(H488="","",阶段合并区域(J488:J491," ",L488:L490,1))</f>
        <v>夏侯渊 关羽</v>
      </c>
      <c r="L488" s="8">
        <f>COUNTIF(M$8:$M488,"="&amp;M488)</f>
        <v>1</v>
      </c>
      <c r="M488" s="9" t="str">
        <f>IF(H488="",M487,I488)</f>
        <v>忠义事主</v>
      </c>
      <c r="N488" s="9" t="str">
        <f t="shared" ref="N488:N489" si="143">M488&amp;L488</f>
        <v>忠义事主1</v>
      </c>
      <c r="O488" s="15">
        <f>INDEX(C:C,MATCH(J488,D:D,0))</f>
        <v>96</v>
      </c>
      <c r="P488" s="9">
        <f>INDEX(E:E,MATCH(J488,D:D,0))</f>
        <v>130</v>
      </c>
      <c r="Q488" s="7">
        <f t="shared" ref="Q488:Q489" si="144">INDEX($C$9:$C$190,MATCH(J488,$D$9:$D$190,0))</f>
        <v>96</v>
      </c>
      <c r="R488" s="7">
        <f>COUNTIF(J$8:$J488,"="&amp;J488)</f>
        <v>3</v>
      </c>
      <c r="S488" s="7">
        <f t="shared" ref="S488:S489" si="145">R488*1000+Q488</f>
        <v>3096</v>
      </c>
    </row>
    <row r="489" spans="8:19">
      <c r="H489" s="7" t="str">
        <f>IF(I489="","",COUNTA(I$9:$I489))</f>
        <v/>
      </c>
      <c r="I489" s="3"/>
      <c r="J489" s="3" t="s">
        <v>38</v>
      </c>
      <c r="K489" s="8" t="str">
        <f>IF(H489="","",阶段合并区域(J489:J492," ",L489:L491,1))</f>
        <v/>
      </c>
      <c r="L489" s="8">
        <f>COUNTIF(M$8:$M489,"="&amp;M489)</f>
        <v>2</v>
      </c>
      <c r="M489" s="9" t="str">
        <f t="shared" ref="M489" si="146">IF(H489="",M488,I489)</f>
        <v>忠义事主</v>
      </c>
      <c r="N489" s="9" t="str">
        <f t="shared" si="143"/>
        <v>忠义事主2</v>
      </c>
      <c r="O489" s="15">
        <f>INDEX(C:C,MATCH(J489,D:D,0))</f>
        <v>85</v>
      </c>
      <c r="P489" s="9">
        <f>INDEX(E:E,MATCH(J489,D:D,0))</f>
        <v>130</v>
      </c>
      <c r="Q489" s="7">
        <f t="shared" si="144"/>
        <v>85</v>
      </c>
      <c r="R489" s="7">
        <f>COUNTIF(J$8:$J489,"="&amp;J489)</f>
        <v>9</v>
      </c>
      <c r="S489" s="7">
        <f t="shared" si="145"/>
        <v>9085</v>
      </c>
    </row>
    <row r="490" spans="8:19">
      <c r="H490" s="7">
        <f>IF(I490="","",COUNTA(I$9:$I490))</f>
        <v>233</v>
      </c>
      <c r="I490" s="3" t="s">
        <v>510</v>
      </c>
      <c r="J490" s="2" t="s">
        <v>513</v>
      </c>
      <c r="K490" s="8" t="str">
        <f>IF(H490="","",阶段合并区域(J491:J493," ",L490:L493,1))</f>
        <v>曹操 夏侯渊 司马懿</v>
      </c>
      <c r="L490" s="8">
        <f>COUNTIF(M$8:$M490,"="&amp;M490)</f>
        <v>1</v>
      </c>
      <c r="M490" s="9" t="str">
        <f>IF(H490="",#REF!,I490)</f>
        <v>曹魏军团</v>
      </c>
      <c r="N490" s="9" t="str">
        <f t="shared" ref="N490:N491" si="147">M490&amp;L490</f>
        <v>曹魏军团1</v>
      </c>
      <c r="O490" s="15">
        <f>INDEX(C:C,MATCH(J490,D:D,0))</f>
        <v>97</v>
      </c>
      <c r="P490" s="9">
        <f>INDEX(E:E,MATCH(J490,D:D,0))</f>
        <v>140</v>
      </c>
      <c r="Q490" s="7">
        <f t="shared" ref="Q490:Q492" si="148">INDEX($C$9:$C$190,MATCH(J490,$D$9:$D$190,0))</f>
        <v>97</v>
      </c>
      <c r="R490" s="7">
        <f>COUNTIF(J$8:$J490,"="&amp;J490)</f>
        <v>1</v>
      </c>
      <c r="S490" s="7">
        <f t="shared" ref="S490:S492" si="149">R490*1000+Q490</f>
        <v>1097</v>
      </c>
    </row>
    <row r="491" spans="8:19">
      <c r="H491" s="7" t="str">
        <f>IF(I491="","",COUNTA(I$9:$I491))</f>
        <v/>
      </c>
      <c r="I491" s="3"/>
      <c r="J491" s="3" t="s">
        <v>444</v>
      </c>
      <c r="K491" s="8" t="str">
        <f>IF(H491="","",阶段合并区域(J492:J494," ",L491:L494,1))</f>
        <v/>
      </c>
      <c r="L491" s="8">
        <f>COUNTIF(M$8:$M491,"="&amp;M491)</f>
        <v>2</v>
      </c>
      <c r="M491" s="9" t="str">
        <f t="shared" ref="M491" si="150">IF(H491="",M490,I491)</f>
        <v>曹魏军团</v>
      </c>
      <c r="N491" s="9" t="str">
        <f t="shared" si="147"/>
        <v>曹魏军团2</v>
      </c>
      <c r="O491" s="15">
        <f>INDEX(C:C,MATCH(J491,D:D,0))</f>
        <v>84</v>
      </c>
      <c r="P491" s="9">
        <f>INDEX(E:E,MATCH(J491,D:D,0))</f>
        <v>130</v>
      </c>
      <c r="Q491" s="7">
        <f t="shared" si="148"/>
        <v>84</v>
      </c>
      <c r="R491" s="7">
        <f>COUNTIF(J$8:$J491,"="&amp;J491)</f>
        <v>9</v>
      </c>
      <c r="S491" s="7">
        <f t="shared" si="149"/>
        <v>9084</v>
      </c>
    </row>
    <row r="492" spans="8:19">
      <c r="H492" s="7" t="str">
        <f>IF(I492="","",COUNTA(I$9:$I492))</f>
        <v/>
      </c>
      <c r="I492" s="3"/>
      <c r="J492" s="3" t="s">
        <v>509</v>
      </c>
      <c r="K492" s="8" t="str">
        <f>IF(H492="","",阶段合并区域(J493:J495," ",L492:L495,1))</f>
        <v/>
      </c>
      <c r="L492" s="8">
        <f>COUNTIF(M$8:$M492,"="&amp;M492)</f>
        <v>3</v>
      </c>
      <c r="M492" s="9" t="str">
        <f>IF(H492="",M491,I492)</f>
        <v>曹魏军团</v>
      </c>
      <c r="N492" s="9" t="str">
        <f t="shared" ref="N492:N494" si="151">M492&amp;L492</f>
        <v>曹魏军团3</v>
      </c>
      <c r="O492" s="15">
        <f>INDEX(C:C,MATCH(J492,D:D,0))</f>
        <v>96</v>
      </c>
      <c r="P492" s="9">
        <f>INDEX(E:E,MATCH(J492,D:D,0))</f>
        <v>130</v>
      </c>
      <c r="Q492" s="7">
        <f t="shared" si="148"/>
        <v>96</v>
      </c>
      <c r="R492" s="7">
        <f>COUNTIF(J$8:$J492,"="&amp;J492)</f>
        <v>4</v>
      </c>
      <c r="S492" s="7">
        <f t="shared" si="149"/>
        <v>4096</v>
      </c>
    </row>
    <row r="493" spans="8:19">
      <c r="H493" s="7">
        <f>IF(I493="","",COUNTA(I$9:$I493))</f>
        <v>234</v>
      </c>
      <c r="I493" s="3" t="s">
        <v>512</v>
      </c>
      <c r="J493" s="2" t="s">
        <v>513</v>
      </c>
      <c r="K493" s="8" t="str">
        <f>IF(H493="","",阶段合并区域(J494:J496," ",L493:L496,1))</f>
        <v>韩信 陆逊 司马懿</v>
      </c>
      <c r="L493" s="8">
        <f>COUNTIF(M$8:$M493,"="&amp;M493)</f>
        <v>1</v>
      </c>
      <c r="M493" s="9" t="str">
        <f t="shared" ref="M493:M494" si="152">IF(H493="",M492,I493)</f>
        <v>智囊军师</v>
      </c>
      <c r="N493" s="9" t="str">
        <f t="shared" si="151"/>
        <v>智囊军师1</v>
      </c>
      <c r="O493" s="15">
        <f>INDEX(C:C,MATCH(J493,D:D,0))</f>
        <v>97</v>
      </c>
      <c r="P493" s="9">
        <f>INDEX(E:E,MATCH(J493,D:D,0))</f>
        <v>140</v>
      </c>
      <c r="Q493" s="7">
        <f t="shared" ref="Q493:Q497" si="153">INDEX($C$9:$C$190,MATCH(J493,$D$9:$D$190,0))</f>
        <v>97</v>
      </c>
      <c r="R493" s="7">
        <f>COUNTIF(J$8:$J493,"="&amp;J493)</f>
        <v>2</v>
      </c>
      <c r="S493" s="7">
        <f t="shared" ref="S493:S497" si="154">R493*1000+Q493</f>
        <v>2097</v>
      </c>
    </row>
    <row r="494" spans="8:19">
      <c r="H494" s="7" t="str">
        <f>IF(I494="","",COUNTA(I$9:$I494))</f>
        <v/>
      </c>
      <c r="I494" s="3"/>
      <c r="J494" s="3" t="s">
        <v>398</v>
      </c>
      <c r="K494" s="8" t="str">
        <f>IF(H494="","",阶段合并区域(J495:J497," ",L494:L497,1))</f>
        <v/>
      </c>
      <c r="L494" s="8">
        <f>COUNTIF(M$8:$M494,"="&amp;M494)</f>
        <v>2</v>
      </c>
      <c r="M494" s="9" t="str">
        <f t="shared" si="152"/>
        <v>智囊军师</v>
      </c>
      <c r="N494" s="9" t="str">
        <f t="shared" si="151"/>
        <v>智囊军师2</v>
      </c>
      <c r="O494" s="15">
        <f>INDEX(C:C,MATCH(J494,D:D,0))</f>
        <v>80</v>
      </c>
      <c r="P494" s="9">
        <f>INDEX(E:E,MATCH(J494,D:D,0))</f>
        <v>130</v>
      </c>
      <c r="Q494" s="7">
        <f t="shared" si="153"/>
        <v>80</v>
      </c>
      <c r="R494" s="7">
        <f>COUNTIF(J$8:$J494,"="&amp;J494)</f>
        <v>7</v>
      </c>
      <c r="S494" s="7">
        <f t="shared" si="154"/>
        <v>7080</v>
      </c>
    </row>
    <row r="495" spans="8:19">
      <c r="H495" s="7" t="str">
        <f>IF(I495="","",COUNTA(I$9:$I495))</f>
        <v/>
      </c>
      <c r="I495" s="3"/>
      <c r="J495" s="3" t="s">
        <v>475</v>
      </c>
      <c r="K495" s="8" t="str">
        <f>IF(H495="","",阶段合并区域(J496:J498," ",L495:L498,1))</f>
        <v/>
      </c>
      <c r="L495" s="8">
        <f>COUNTIF(M$8:$M495,"="&amp;M495)</f>
        <v>3</v>
      </c>
      <c r="M495" s="9" t="str">
        <f>IF(H495="",M494,I495)</f>
        <v>智囊军师</v>
      </c>
      <c r="N495" s="9" t="str">
        <f t="shared" ref="N495:N497" si="155">M495&amp;L495</f>
        <v>智囊军师3</v>
      </c>
      <c r="O495" s="15">
        <f>INDEX(C:C,MATCH(J495,D:D,0))</f>
        <v>91</v>
      </c>
      <c r="P495" s="9">
        <f>INDEX(E:E,MATCH(J495,D:D,0))</f>
        <v>130</v>
      </c>
      <c r="Q495" s="7">
        <f t="shared" si="153"/>
        <v>91</v>
      </c>
      <c r="R495" s="7">
        <f>COUNTIF(J$8:$J495,"="&amp;J495)</f>
        <v>4</v>
      </c>
      <c r="S495" s="7">
        <f t="shared" si="154"/>
        <v>4091</v>
      </c>
    </row>
    <row r="496" spans="8:19">
      <c r="H496" s="7">
        <f>IF(I496="","",COUNTA(I$9:$I496))</f>
        <v>235</v>
      </c>
      <c r="I496" s="3" t="s">
        <v>511</v>
      </c>
      <c r="J496" s="2" t="s">
        <v>513</v>
      </c>
      <c r="K496" s="8" t="str">
        <f>IF(H496="","",阶段合并区域(J497:J499," ",L496:L499,1))</f>
        <v>董卓</v>
      </c>
      <c r="L496" s="8">
        <f>COUNTIF(M$8:$M496,"="&amp;M496)</f>
        <v>1</v>
      </c>
      <c r="M496" s="9" t="str">
        <f t="shared" ref="M496:M497" si="156">IF(H496="",M495,I496)</f>
        <v>挟制天子</v>
      </c>
      <c r="N496" s="9" t="str">
        <f t="shared" si="155"/>
        <v>挟制天子1</v>
      </c>
      <c r="O496" s="15">
        <f>INDEX(C:C,MATCH(J496,D:D,0))</f>
        <v>97</v>
      </c>
      <c r="P496" s="9">
        <f>INDEX(E:E,MATCH(J496,D:D,0))</f>
        <v>140</v>
      </c>
      <c r="Q496" s="7">
        <f t="shared" si="153"/>
        <v>97</v>
      </c>
      <c r="R496" s="7">
        <f>COUNTIF(J$8:$J496,"="&amp;J496)</f>
        <v>3</v>
      </c>
      <c r="S496" s="7">
        <f t="shared" si="154"/>
        <v>3097</v>
      </c>
    </row>
    <row r="497" spans="8:20">
      <c r="H497" s="7" t="str">
        <f>IF(I497="","",COUNTA(I$9:$I497))</f>
        <v/>
      </c>
      <c r="I497" s="3"/>
      <c r="J497" s="3" t="s">
        <v>456</v>
      </c>
      <c r="K497" s="8" t="str">
        <f>IF(H497="","",阶段合并区域(J498:J500," ",L497:L500,1))</f>
        <v/>
      </c>
      <c r="L497" s="8">
        <f>COUNTIF(M$8:$M497,"="&amp;M497)</f>
        <v>2</v>
      </c>
      <c r="M497" s="9" t="str">
        <f t="shared" si="156"/>
        <v>挟制天子</v>
      </c>
      <c r="N497" s="9" t="str">
        <f t="shared" si="155"/>
        <v>挟制天子2</v>
      </c>
      <c r="O497" s="15">
        <f>INDEX(C:C,MATCH(J497,D:D,0))</f>
        <v>86</v>
      </c>
      <c r="P497" s="9">
        <f>INDEX(E:E,MATCH(J497,D:D,0))</f>
        <v>130</v>
      </c>
      <c r="Q497" s="7">
        <f t="shared" si="153"/>
        <v>86</v>
      </c>
      <c r="R497" s="7">
        <f>COUNTIF(J$8:$J497,"="&amp;J497)</f>
        <v>6</v>
      </c>
      <c r="S497" s="7">
        <f t="shared" si="154"/>
        <v>6086</v>
      </c>
    </row>
    <row r="498" spans="8:20"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</sheetData>
  <phoneticPr fontId="2" type="noConversion"/>
  <conditionalFormatting sqref="I1:I1048576">
    <cfRule type="duplicateValues" dxfId="1" priority="1"/>
    <cfRule type="duplicateValues" dxfId="0" priority="4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AW107"/>
  <sheetViews>
    <sheetView topLeftCell="A91" workbookViewId="0">
      <selection activeCell="E104" sqref="E104"/>
    </sheetView>
  </sheetViews>
  <sheetFormatPr defaultRowHeight="11.25"/>
  <cols>
    <col min="1" max="8" width="9" style="1"/>
    <col min="9" max="9" width="50.625" style="1" customWidth="1"/>
    <col min="10" max="10" width="9" style="1"/>
    <col min="11" max="14" width="8.625" style="1" customWidth="1"/>
    <col min="15" max="15" width="9" style="1"/>
    <col min="16" max="19" width="8.625" style="1" customWidth="1"/>
    <col min="20" max="20" width="9" style="1"/>
    <col min="21" max="24" width="8.625" style="1" customWidth="1"/>
    <col min="25" max="25" width="9" style="1"/>
    <col min="26" max="29" width="8.625" style="1" customWidth="1"/>
    <col min="30" max="30" width="9" style="1"/>
    <col min="31" max="34" width="8.625" style="1" customWidth="1"/>
    <col min="35" max="35" width="9" style="14"/>
    <col min="36" max="39" width="8.625" style="1" customWidth="1"/>
    <col min="40" max="40" width="9" style="1"/>
    <col min="41" max="44" width="8.625" style="1" customWidth="1"/>
    <col min="45" max="45" width="9" style="14"/>
    <col min="46" max="49" width="8.625" style="1" customWidth="1"/>
    <col min="50" max="16384" width="9" style="1"/>
  </cols>
  <sheetData>
    <row r="7" spans="2:49">
      <c r="B7" s="1" t="s">
        <v>132</v>
      </c>
      <c r="K7" s="1" t="s">
        <v>121</v>
      </c>
      <c r="P7" s="1" t="s">
        <v>122</v>
      </c>
      <c r="U7" s="1" t="s">
        <v>123</v>
      </c>
      <c r="Z7" s="1" t="s">
        <v>124</v>
      </c>
      <c r="AE7" s="1" t="s">
        <v>140</v>
      </c>
      <c r="AJ7" s="1" t="s">
        <v>141</v>
      </c>
      <c r="AO7" s="1" t="s">
        <v>142</v>
      </c>
      <c r="AT7" s="1" t="s">
        <v>143</v>
      </c>
    </row>
    <row r="8" spans="2:49">
      <c r="C8" s="6" t="s">
        <v>127</v>
      </c>
      <c r="D8" s="6" t="s">
        <v>128</v>
      </c>
      <c r="E8" s="6" t="s">
        <v>129</v>
      </c>
      <c r="F8" s="6" t="s">
        <v>130</v>
      </c>
      <c r="G8" s="6" t="s">
        <v>131</v>
      </c>
      <c r="I8" s="6" t="s">
        <v>126</v>
      </c>
      <c r="K8" s="6" t="s">
        <v>117</v>
      </c>
      <c r="L8" s="6" t="s">
        <v>118</v>
      </c>
      <c r="M8" s="6" t="s">
        <v>119</v>
      </c>
      <c r="N8" s="6" t="s">
        <v>120</v>
      </c>
      <c r="P8" s="6" t="s">
        <v>117</v>
      </c>
      <c r="Q8" s="6" t="s">
        <v>118</v>
      </c>
      <c r="R8" s="6" t="s">
        <v>119</v>
      </c>
      <c r="S8" s="6" t="s">
        <v>120</v>
      </c>
      <c r="U8" s="6" t="s">
        <v>117</v>
      </c>
      <c r="V8" s="6" t="s">
        <v>118</v>
      </c>
      <c r="W8" s="6" t="s">
        <v>119</v>
      </c>
      <c r="X8" s="6" t="s">
        <v>120</v>
      </c>
      <c r="Z8" s="6" t="s">
        <v>117</v>
      </c>
      <c r="AA8" s="6" t="s">
        <v>118</v>
      </c>
      <c r="AB8" s="6" t="s">
        <v>119</v>
      </c>
      <c r="AC8" s="6" t="s">
        <v>120</v>
      </c>
      <c r="AE8" s="6" t="s">
        <v>117</v>
      </c>
      <c r="AF8" s="6" t="s">
        <v>118</v>
      </c>
      <c r="AG8" s="6" t="s">
        <v>119</v>
      </c>
      <c r="AH8" s="6" t="s">
        <v>120</v>
      </c>
      <c r="AJ8" s="6" t="s">
        <v>117</v>
      </c>
      <c r="AK8" s="6" t="s">
        <v>118</v>
      </c>
      <c r="AL8" s="6" t="s">
        <v>119</v>
      </c>
      <c r="AM8" s="6" t="s">
        <v>120</v>
      </c>
      <c r="AO8" s="6" t="s">
        <v>117</v>
      </c>
      <c r="AP8" s="6" t="s">
        <v>118</v>
      </c>
      <c r="AQ8" s="6" t="s">
        <v>119</v>
      </c>
      <c r="AR8" s="6" t="s">
        <v>120</v>
      </c>
      <c r="AT8" s="6" t="s">
        <v>117</v>
      </c>
      <c r="AU8" s="6" t="s">
        <v>118</v>
      </c>
      <c r="AV8" s="6" t="s">
        <v>119</v>
      </c>
      <c r="AW8" s="6" t="s">
        <v>120</v>
      </c>
    </row>
    <row r="9" spans="2:49">
      <c r="B9" s="12" t="str">
        <f>羁绊设计!D9</f>
        <v>骊姬</v>
      </c>
      <c r="C9" s="7" t="str">
        <f>IF(COUNTIF($K9:$AW9,"="&amp;C$8)=0,"",COUNTIF($K9:$AW9,"="&amp;C$8))</f>
        <v/>
      </c>
      <c r="D9" s="7" t="str">
        <f>IF(COUNTIF($K9:$AW9,"="&amp;D$8)=0,"",COUNTIF($K9:$AW9,"="&amp;D$8))</f>
        <v/>
      </c>
      <c r="E9" s="7" t="str">
        <f t="shared" ref="E9:G24" si="0">IF(COUNTIF($K9:$AW9,"="&amp;E$8)=0,"",COUNTIF($K9:$AW9,"="&amp;E$8))</f>
        <v/>
      </c>
      <c r="F9" s="7">
        <f>IF(COUNTIF($K9:$AW9,"="&amp;F$8)=0,"",COUNTIF($K9:$AW9,"="&amp;F$8))</f>
        <v>4</v>
      </c>
      <c r="G9" s="7" t="str">
        <f>IF(COUNTIF($K9:$AW9,"="&amp;G$8)=0,"",COUNTIF($K9:$AW9,"="&amp;G$8))</f>
        <v/>
      </c>
      <c r="I9" s="9" t="str">
        <f>合并区域(K9:AW9,",")</f>
        <v>橙,橙,橙,橙+,橙+,橙+,橙+,橙,橙+</v>
      </c>
      <c r="K9" s="9" t="str">
        <f>IFERROR(INDEX(羁绊设计!$F:$F,MATCH(羁绊设计!BI9,羁绊设计!$D:$D,0)),"")</f>
        <v>橙</v>
      </c>
      <c r="L9" s="9" t="str">
        <f>IFERROR(INDEX(羁绊设计!$F:$F,MATCH(羁绊设计!BJ9,羁绊设计!$D:$D,0)),"")</f>
        <v>橙</v>
      </c>
      <c r="M9" s="9" t="str">
        <f>IFERROR(INDEX(羁绊设计!$F:$F,MATCH(羁绊设计!BK9,羁绊设计!$D:$D,0)),"")</f>
        <v/>
      </c>
      <c r="N9" s="9" t="str">
        <f>IFERROR(INDEX(羁绊设计!$F:$F,MATCH(羁绊设计!BL9,羁绊设计!$D:$D,0)),"")</f>
        <v/>
      </c>
      <c r="P9" s="9" t="str">
        <f>IFERROR(INDEX(羁绊设计!$F:$F,MATCH(羁绊设计!BN9,羁绊设计!$D:$D,0)),"")</f>
        <v>橙</v>
      </c>
      <c r="Q9" s="9" t="str">
        <f>IFERROR(INDEX(羁绊设计!$F:$F,MATCH(羁绊设计!BO9,羁绊设计!$D:$D,0)),"")</f>
        <v/>
      </c>
      <c r="R9" s="9" t="str">
        <f>IFERROR(INDEX(羁绊设计!$F:$F,MATCH(羁绊设计!BP9,羁绊设计!$D:$D,0)),"")</f>
        <v/>
      </c>
      <c r="S9" s="9" t="str">
        <f>IFERROR(INDEX(羁绊设计!$F:$F,MATCH(羁绊设计!BQ9,羁绊设计!$D:$D,0)),"")</f>
        <v/>
      </c>
      <c r="U9" s="9" t="str">
        <f>IFERROR(INDEX(羁绊设计!$F:$F,MATCH(羁绊设计!BS9,羁绊设计!$D:$D,0)),"")</f>
        <v>橙+</v>
      </c>
      <c r="V9" s="9" t="str">
        <f>IFERROR(INDEX(羁绊设计!$F:$F,MATCH(羁绊设计!BT9,羁绊设计!$D:$D,0)),"")</f>
        <v/>
      </c>
      <c r="W9" s="9" t="str">
        <f>IFERROR(INDEX(羁绊设计!$F:$F,MATCH(羁绊设计!BU9,羁绊设计!$D:$D,0)),"")</f>
        <v/>
      </c>
      <c r="X9" s="9" t="str">
        <f>IFERROR(INDEX(羁绊设计!$F:$F,MATCH(羁绊设计!BV9,羁绊设计!$D:$D,0)),"")</f>
        <v/>
      </c>
      <c r="Z9" s="9" t="str">
        <f>IFERROR(INDEX(羁绊设计!$F:$F,MATCH(羁绊设计!BX9,羁绊设计!$D:$D,0)),"")</f>
        <v>橙+</v>
      </c>
      <c r="AA9" s="9" t="str">
        <f>IFERROR(INDEX(羁绊设计!$F:$F,MATCH(羁绊设计!BY9,羁绊设计!$D:$D,0)),"")</f>
        <v/>
      </c>
      <c r="AB9" s="9" t="str">
        <f>IFERROR(INDEX(羁绊设计!$F:$F,MATCH(羁绊设计!BZ9,羁绊设计!$D:$D,0)),"")</f>
        <v/>
      </c>
      <c r="AC9" s="9" t="str">
        <f>IFERROR(INDEX(羁绊设计!$F:$F,MATCH(羁绊设计!CA9,羁绊设计!$D:$D,0)),"")</f>
        <v/>
      </c>
      <c r="AE9" s="9" t="str">
        <f>IFERROR(INDEX(羁绊设计!$F:$F,MATCH(羁绊设计!CC9,羁绊设计!$D:$D,0)),"")</f>
        <v>橙+</v>
      </c>
      <c r="AF9" s="9" t="str">
        <f>IFERROR(INDEX(羁绊设计!$F:$F,MATCH(羁绊设计!CD9,羁绊设计!$D:$D,0)),"")</f>
        <v/>
      </c>
      <c r="AG9" s="9" t="str">
        <f>IFERROR(INDEX(羁绊设计!$F:$F,MATCH(羁绊设计!CE9,羁绊设计!$D:$D,0)),"")</f>
        <v/>
      </c>
      <c r="AH9" s="9" t="str">
        <f>IFERROR(INDEX(羁绊设计!$F:$F,MATCH(羁绊设计!CF9,羁绊设计!$D:$D,0)),"")</f>
        <v/>
      </c>
      <c r="AJ9" s="9" t="str">
        <f>IFERROR(INDEX(羁绊设计!$F:$F,MATCH(羁绊设计!CH9,羁绊设计!$D:$D,0)),"")</f>
        <v>橙+</v>
      </c>
      <c r="AK9" s="9" t="str">
        <f>IFERROR(INDEX(羁绊设计!$F:$F,MATCH(羁绊设计!CI9,羁绊设计!$D:$D,0)),"")</f>
        <v/>
      </c>
      <c r="AL9" s="9" t="str">
        <f>IFERROR(INDEX(羁绊设计!$F:$F,MATCH(羁绊设计!CJ9,羁绊设计!$D:$D,0)),"")</f>
        <v>橙</v>
      </c>
      <c r="AM9" s="9" t="str">
        <f>IFERROR(INDEX(羁绊设计!$F:$F,MATCH(羁绊设计!CK9,羁绊设计!$D:$D,0)),"")</f>
        <v/>
      </c>
      <c r="AO9" s="9" t="str">
        <f>IFERROR(INDEX(羁绊设计!$F:$F,MATCH(羁绊设计!CM9,羁绊设计!$D:$D,0)),"")</f>
        <v>橙+</v>
      </c>
      <c r="AP9" s="9" t="str">
        <f>IFERROR(INDEX(羁绊设计!$F:$F,MATCH(羁绊设计!CN9,羁绊设计!$D:$D,0)),"")</f>
        <v/>
      </c>
      <c r="AQ9" s="9" t="str">
        <f>IFERROR(INDEX(羁绊设计!$F:$F,MATCH(羁绊设计!CO9,羁绊设计!$D:$D,0)),"")</f>
        <v/>
      </c>
      <c r="AR9" s="9" t="str">
        <f>IFERROR(INDEX(羁绊设计!$F:$F,MATCH(羁绊设计!CP9,羁绊设计!$D:$D,0)),"")</f>
        <v/>
      </c>
      <c r="AT9" s="9" t="str">
        <f>IFERROR(INDEX(羁绊设计!$F:$F,MATCH(羁绊设计!CR9,羁绊设计!$D:$D,0)),"")</f>
        <v/>
      </c>
      <c r="AU9" s="9" t="str">
        <f>IFERROR(INDEX(羁绊设计!$F:$F,MATCH(羁绊设计!CS9,羁绊设计!$D:$D,0)),"")</f>
        <v/>
      </c>
      <c r="AV9" s="9" t="str">
        <f>IFERROR(INDEX(羁绊设计!$F:$F,MATCH(羁绊设计!CT9,羁绊设计!$D:$D,0)),"")</f>
        <v/>
      </c>
      <c r="AW9" s="9" t="str">
        <f>IFERROR(INDEX(羁绊设计!$F:$F,MATCH(羁绊设计!CU9,羁绊设计!$D:$D,0)),"")</f>
        <v/>
      </c>
    </row>
    <row r="10" spans="2:49">
      <c r="B10" s="12" t="str">
        <f>羁绊设计!D10</f>
        <v>王翦</v>
      </c>
      <c r="C10" s="7" t="str">
        <f t="shared" ref="C10:G41" si="1">IF(COUNTIF($K10:$AW10,"="&amp;C$8)=0,"",COUNTIF($K10:$AW10,"="&amp;C$8))</f>
        <v/>
      </c>
      <c r="D10" s="7" t="str">
        <f t="shared" si="1"/>
        <v/>
      </c>
      <c r="E10" s="7" t="str">
        <f t="shared" si="0"/>
        <v/>
      </c>
      <c r="F10" s="7" t="str">
        <f t="shared" si="0"/>
        <v/>
      </c>
      <c r="G10" s="7" t="str">
        <f t="shared" si="0"/>
        <v/>
      </c>
      <c r="I10" s="9" t="str">
        <f t="shared" ref="I10:I73" si="2">合并区域(K10:AW10,",")</f>
        <v/>
      </c>
      <c r="K10" s="9" t="str">
        <f>IFERROR(INDEX(羁绊设计!$F:$F,MATCH(羁绊设计!BI10,羁绊设计!$D:$D,0)),"")</f>
        <v/>
      </c>
      <c r="L10" s="9" t="str">
        <f>IFERROR(INDEX(羁绊设计!$F:$F,MATCH(羁绊设计!BJ10,羁绊设计!$D:$D,0)),"")</f>
        <v/>
      </c>
      <c r="M10" s="9" t="str">
        <f>IFERROR(INDEX(羁绊设计!$F:$F,MATCH(羁绊设计!BK10,羁绊设计!$D:$D,0)),"")</f>
        <v/>
      </c>
      <c r="N10" s="9" t="str">
        <f>IFERROR(INDEX(羁绊设计!$F:$F,MATCH(羁绊设计!BL10,羁绊设计!$D:$D,0)),"")</f>
        <v/>
      </c>
      <c r="P10" s="9" t="str">
        <f>IFERROR(INDEX(羁绊设计!$F:$F,MATCH(羁绊设计!BN10,羁绊设计!$D:$D,0)),"")</f>
        <v/>
      </c>
      <c r="Q10" s="9" t="str">
        <f>IFERROR(INDEX(羁绊设计!$F:$F,MATCH(羁绊设计!BO10,羁绊设计!$D:$D,0)),"")</f>
        <v/>
      </c>
      <c r="R10" s="9" t="str">
        <f>IFERROR(INDEX(羁绊设计!$F:$F,MATCH(羁绊设计!BP10,羁绊设计!$D:$D,0)),"")</f>
        <v/>
      </c>
      <c r="S10" s="9" t="str">
        <f>IFERROR(INDEX(羁绊设计!$F:$F,MATCH(羁绊设计!BQ10,羁绊设计!$D:$D,0)),"")</f>
        <v/>
      </c>
      <c r="U10" s="9" t="str">
        <f>IFERROR(INDEX(羁绊设计!$F:$F,MATCH(羁绊设计!BS10,羁绊设计!$D:$D,0)),"")</f>
        <v/>
      </c>
      <c r="V10" s="9" t="str">
        <f>IFERROR(INDEX(羁绊设计!$F:$F,MATCH(羁绊设计!BT10,羁绊设计!$D:$D,0)),"")</f>
        <v/>
      </c>
      <c r="W10" s="9" t="str">
        <f>IFERROR(INDEX(羁绊设计!$F:$F,MATCH(羁绊设计!BU10,羁绊设计!$D:$D,0)),"")</f>
        <v/>
      </c>
      <c r="X10" s="9" t="str">
        <f>IFERROR(INDEX(羁绊设计!$F:$F,MATCH(羁绊设计!BV10,羁绊设计!$D:$D,0)),"")</f>
        <v/>
      </c>
      <c r="Z10" s="9" t="str">
        <f>IFERROR(INDEX(羁绊设计!$F:$F,MATCH(羁绊设计!BX10,羁绊设计!$D:$D,0)),"")</f>
        <v/>
      </c>
      <c r="AA10" s="9" t="str">
        <f>IFERROR(INDEX(羁绊设计!$F:$F,MATCH(羁绊设计!BY10,羁绊设计!$D:$D,0)),"")</f>
        <v/>
      </c>
      <c r="AB10" s="9" t="str">
        <f>IFERROR(INDEX(羁绊设计!$F:$F,MATCH(羁绊设计!BZ10,羁绊设计!$D:$D,0)),"")</f>
        <v/>
      </c>
      <c r="AC10" s="9" t="str">
        <f>IFERROR(INDEX(羁绊设计!$F:$F,MATCH(羁绊设计!CA10,羁绊设计!$D:$D,0)),"")</f>
        <v/>
      </c>
      <c r="AE10" s="9" t="str">
        <f>IFERROR(INDEX(羁绊设计!$F:$F,MATCH(羁绊设计!CC10,羁绊设计!$D:$D,0)),"")</f>
        <v/>
      </c>
      <c r="AF10" s="9" t="str">
        <f>IFERROR(INDEX(羁绊设计!$F:$F,MATCH(羁绊设计!CD10,羁绊设计!$D:$D,0)),"")</f>
        <v/>
      </c>
      <c r="AG10" s="9" t="str">
        <f>IFERROR(INDEX(羁绊设计!$F:$F,MATCH(羁绊设计!CE10,羁绊设计!$D:$D,0)),"")</f>
        <v/>
      </c>
      <c r="AH10" s="9" t="str">
        <f>IFERROR(INDEX(羁绊设计!$F:$F,MATCH(羁绊设计!CF10,羁绊设计!$D:$D,0)),"")</f>
        <v/>
      </c>
      <c r="AJ10" s="9" t="str">
        <f>IFERROR(INDEX(羁绊设计!$F:$F,MATCH(羁绊设计!CH10,羁绊设计!$D:$D,0)),"")</f>
        <v/>
      </c>
      <c r="AK10" s="9" t="str">
        <f>IFERROR(INDEX(羁绊设计!$F:$F,MATCH(羁绊设计!CI10,羁绊设计!$D:$D,0)),"")</f>
        <v/>
      </c>
      <c r="AL10" s="9" t="str">
        <f>IFERROR(INDEX(羁绊设计!$F:$F,MATCH(羁绊设计!CJ10,羁绊设计!$D:$D,0)),"")</f>
        <v/>
      </c>
      <c r="AM10" s="9" t="str">
        <f>IFERROR(INDEX(羁绊设计!$F:$F,MATCH(羁绊设计!CK10,羁绊设计!$D:$D,0)),"")</f>
        <v/>
      </c>
      <c r="AO10" s="9" t="str">
        <f>IFERROR(INDEX(羁绊设计!$F:$F,MATCH(羁绊设计!CM10,羁绊设计!$D:$D,0)),"")</f>
        <v/>
      </c>
      <c r="AP10" s="9" t="str">
        <f>IFERROR(INDEX(羁绊设计!$F:$F,MATCH(羁绊设计!CN10,羁绊设计!$D:$D,0)),"")</f>
        <v/>
      </c>
      <c r="AQ10" s="9" t="str">
        <f>IFERROR(INDEX(羁绊设计!$F:$F,MATCH(羁绊设计!CO10,羁绊设计!$D:$D,0)),"")</f>
        <v/>
      </c>
      <c r="AR10" s="9" t="str">
        <f>IFERROR(INDEX(羁绊设计!$F:$F,MATCH(羁绊设计!CP10,羁绊设计!$D:$D,0)),"")</f>
        <v/>
      </c>
      <c r="AT10" s="9" t="str">
        <f>IFERROR(INDEX(羁绊设计!$F:$F,MATCH(羁绊设计!CR10,羁绊设计!$D:$D,0)),"")</f>
        <v/>
      </c>
      <c r="AU10" s="9" t="str">
        <f>IFERROR(INDEX(羁绊设计!$F:$F,MATCH(羁绊设计!CS10,羁绊设计!$D:$D,0)),"")</f>
        <v/>
      </c>
      <c r="AV10" s="9" t="str">
        <f>IFERROR(INDEX(羁绊设计!$F:$F,MATCH(羁绊设计!CT10,羁绊设计!$D:$D,0)),"")</f>
        <v/>
      </c>
      <c r="AW10" s="9" t="str">
        <f>IFERROR(INDEX(羁绊设计!$F:$F,MATCH(羁绊设计!CU10,羁绊设计!$D:$D,0)),"")</f>
        <v/>
      </c>
    </row>
    <row r="11" spans="2:49">
      <c r="B11" s="12" t="str">
        <f>羁绊设计!D11</f>
        <v>义渠骇</v>
      </c>
      <c r="C11" s="7" t="str">
        <f t="shared" si="1"/>
        <v/>
      </c>
      <c r="D11" s="7" t="str">
        <f t="shared" si="1"/>
        <v/>
      </c>
      <c r="E11" s="7">
        <f t="shared" si="0"/>
        <v>2</v>
      </c>
      <c r="F11" s="7">
        <f t="shared" si="0"/>
        <v>9</v>
      </c>
      <c r="G11" s="7">
        <f t="shared" si="0"/>
        <v>1</v>
      </c>
      <c r="I11" s="9" t="str">
        <f t="shared" si="2"/>
        <v>紫,紫,橙,橙,橙,橙,橙+,橙,橙,橙+,橙,橙,橙+,红,橙</v>
      </c>
      <c r="K11" s="9" t="str">
        <f>IFERROR(INDEX(羁绊设计!$F:$F,MATCH(羁绊设计!BI11,羁绊设计!$D:$D,0)),"")</f>
        <v>紫</v>
      </c>
      <c r="L11" s="9" t="str">
        <f>IFERROR(INDEX(羁绊设计!$F:$F,MATCH(羁绊设计!BJ11,羁绊设计!$D:$D,0)),"")</f>
        <v>紫</v>
      </c>
      <c r="M11" s="9" t="str">
        <f>IFERROR(INDEX(羁绊设计!$F:$F,MATCH(羁绊设计!BK11,羁绊设计!$D:$D,0)),"")</f>
        <v>橙</v>
      </c>
      <c r="N11" s="9" t="str">
        <f>IFERROR(INDEX(羁绊设计!$F:$F,MATCH(羁绊设计!BL11,羁绊设计!$D:$D,0)),"")</f>
        <v/>
      </c>
      <c r="P11" s="9" t="str">
        <f>IFERROR(INDEX(羁绊设计!$F:$F,MATCH(羁绊设计!BN11,羁绊设计!$D:$D,0)),"")</f>
        <v>橙</v>
      </c>
      <c r="Q11" s="9" t="str">
        <f>IFERROR(INDEX(羁绊设计!$F:$F,MATCH(羁绊设计!BO11,羁绊设计!$D:$D,0)),"")</f>
        <v/>
      </c>
      <c r="R11" s="9" t="str">
        <f>IFERROR(INDEX(羁绊设计!$F:$F,MATCH(羁绊设计!BP11,羁绊设计!$D:$D,0)),"")</f>
        <v>橙</v>
      </c>
      <c r="S11" s="9" t="str">
        <f>IFERROR(INDEX(羁绊设计!$F:$F,MATCH(羁绊设计!BQ11,羁绊设计!$D:$D,0)),"")</f>
        <v/>
      </c>
      <c r="U11" s="9" t="str">
        <f>IFERROR(INDEX(羁绊设计!$F:$F,MATCH(羁绊设计!BS11,羁绊设计!$D:$D,0)),"")</f>
        <v/>
      </c>
      <c r="V11" s="9" t="str">
        <f>IFERROR(INDEX(羁绊设计!$F:$F,MATCH(羁绊设计!BT11,羁绊设计!$D:$D,0)),"")</f>
        <v>橙</v>
      </c>
      <c r="W11" s="9" t="str">
        <f>IFERROR(INDEX(羁绊设计!$F:$F,MATCH(羁绊设计!BU11,羁绊设计!$D:$D,0)),"")</f>
        <v/>
      </c>
      <c r="X11" s="9" t="str">
        <f>IFERROR(INDEX(羁绊设计!$F:$F,MATCH(羁绊设计!BV11,羁绊设计!$D:$D,0)),"")</f>
        <v/>
      </c>
      <c r="Z11" s="9" t="str">
        <f>IFERROR(INDEX(羁绊设计!$F:$F,MATCH(羁绊设计!BX11,羁绊设计!$D:$D,0)),"")</f>
        <v>橙+</v>
      </c>
      <c r="AA11" s="9" t="str">
        <f>IFERROR(INDEX(羁绊设计!$F:$F,MATCH(羁绊设计!BY11,羁绊设计!$D:$D,0)),"")</f>
        <v>橙</v>
      </c>
      <c r="AB11" s="9" t="str">
        <f>IFERROR(INDEX(羁绊设计!$F:$F,MATCH(羁绊设计!BZ11,羁绊设计!$D:$D,0)),"")</f>
        <v/>
      </c>
      <c r="AC11" s="9" t="str">
        <f>IFERROR(INDEX(羁绊设计!$F:$F,MATCH(羁绊设计!CA11,羁绊设计!$D:$D,0)),"")</f>
        <v>橙</v>
      </c>
      <c r="AE11" s="9" t="str">
        <f>IFERROR(INDEX(羁绊设计!$F:$F,MATCH(羁绊设计!CC11,羁绊设计!$D:$D,0)),"")</f>
        <v>橙+</v>
      </c>
      <c r="AF11" s="9" t="str">
        <f>IFERROR(INDEX(羁绊设计!$F:$F,MATCH(羁绊设计!CD11,羁绊设计!$D:$D,0)),"")</f>
        <v>橙</v>
      </c>
      <c r="AG11" s="9" t="str">
        <f>IFERROR(INDEX(羁绊设计!$F:$F,MATCH(羁绊设计!CE11,羁绊设计!$D:$D,0)),"")</f>
        <v/>
      </c>
      <c r="AH11" s="9" t="str">
        <f>IFERROR(INDEX(羁绊设计!$F:$F,MATCH(羁绊设计!CF11,羁绊设计!$D:$D,0)),"")</f>
        <v>橙</v>
      </c>
      <c r="AJ11" s="9" t="str">
        <f>IFERROR(INDEX(羁绊设计!$F:$F,MATCH(羁绊设计!CH11,羁绊设计!$D:$D,0)),"")</f>
        <v>橙+</v>
      </c>
      <c r="AK11" s="9" t="str">
        <f>IFERROR(INDEX(羁绊设计!$F:$F,MATCH(羁绊设计!CI11,羁绊设计!$D:$D,0)),"")</f>
        <v/>
      </c>
      <c r="AL11" s="9" t="str">
        <f>IFERROR(INDEX(羁绊设计!$F:$F,MATCH(羁绊设计!CJ11,羁绊设计!$D:$D,0)),"")</f>
        <v/>
      </c>
      <c r="AM11" s="9" t="str">
        <f>IFERROR(INDEX(羁绊设计!$F:$F,MATCH(羁绊设计!CK11,羁绊设计!$D:$D,0)),"")</f>
        <v/>
      </c>
      <c r="AO11" s="9" t="str">
        <f>IFERROR(INDEX(羁绊设计!$F:$F,MATCH(羁绊设计!CM11,羁绊设计!$D:$D,0)),"")</f>
        <v>红</v>
      </c>
      <c r="AP11" s="9" t="str">
        <f>IFERROR(INDEX(羁绊设计!$F:$F,MATCH(羁绊设计!CN11,羁绊设计!$D:$D,0)),"")</f>
        <v>橙</v>
      </c>
      <c r="AQ11" s="9" t="str">
        <f>IFERROR(INDEX(羁绊设计!$F:$F,MATCH(羁绊设计!CO11,羁绊设计!$D:$D,0)),"")</f>
        <v/>
      </c>
      <c r="AR11" s="9" t="str">
        <f>IFERROR(INDEX(羁绊设计!$F:$F,MATCH(羁绊设计!CP11,羁绊设计!$D:$D,0)),"")</f>
        <v/>
      </c>
      <c r="AT11" s="9" t="str">
        <f>IFERROR(INDEX(羁绊设计!$F:$F,MATCH(羁绊设计!CR11,羁绊设计!$D:$D,0)),"")</f>
        <v/>
      </c>
      <c r="AU11" s="9" t="str">
        <f>IFERROR(INDEX(羁绊设计!$F:$F,MATCH(羁绊设计!CS11,羁绊设计!$D:$D,0)),"")</f>
        <v/>
      </c>
      <c r="AV11" s="9" t="str">
        <f>IFERROR(INDEX(羁绊设计!$F:$F,MATCH(羁绊设计!CT11,羁绊设计!$D:$D,0)),"")</f>
        <v/>
      </c>
      <c r="AW11" s="9" t="str">
        <f>IFERROR(INDEX(羁绊设计!$F:$F,MATCH(羁绊设计!CU11,羁绊设计!$D:$D,0)),"")</f>
        <v/>
      </c>
    </row>
    <row r="12" spans="2:49">
      <c r="B12" s="12" t="str">
        <f>羁绊设计!D12</f>
        <v>白起</v>
      </c>
      <c r="C12" s="7" t="str">
        <f t="shared" si="1"/>
        <v/>
      </c>
      <c r="D12" s="7" t="str">
        <f t="shared" si="1"/>
        <v/>
      </c>
      <c r="E12" s="7" t="str">
        <f t="shared" si="0"/>
        <v/>
      </c>
      <c r="F12" s="7">
        <f t="shared" si="0"/>
        <v>5</v>
      </c>
      <c r="G12" s="7">
        <f t="shared" si="0"/>
        <v>1</v>
      </c>
      <c r="I12" s="9" t="str">
        <f t="shared" si="2"/>
        <v>红,橙,橙+,橙+,橙,橙,橙+,橙,橙</v>
      </c>
      <c r="K12" s="9" t="str">
        <f>IFERROR(INDEX(羁绊设计!$F:$F,MATCH(羁绊设计!BI12,羁绊设计!$D:$D,0)),"")</f>
        <v>红</v>
      </c>
      <c r="L12" s="9" t="str">
        <f>IFERROR(INDEX(羁绊设计!$F:$F,MATCH(羁绊设计!BJ12,羁绊设计!$D:$D,0)),"")</f>
        <v>橙</v>
      </c>
      <c r="M12" s="9" t="str">
        <f>IFERROR(INDEX(羁绊设计!$F:$F,MATCH(羁绊设计!BK12,羁绊设计!$D:$D,0)),"")</f>
        <v>橙+</v>
      </c>
      <c r="N12" s="9" t="str">
        <f>IFERROR(INDEX(羁绊设计!$F:$F,MATCH(羁绊设计!BL12,羁绊设计!$D:$D,0)),"")</f>
        <v/>
      </c>
      <c r="P12" s="9" t="str">
        <f>IFERROR(INDEX(羁绊设计!$F:$F,MATCH(羁绊设计!BN12,羁绊设计!$D:$D,0)),"")</f>
        <v/>
      </c>
      <c r="Q12" s="9" t="str">
        <f>IFERROR(INDEX(羁绊设计!$F:$F,MATCH(羁绊设计!BO12,羁绊设计!$D:$D,0)),"")</f>
        <v>橙+</v>
      </c>
      <c r="R12" s="9" t="str">
        <f>IFERROR(INDEX(羁绊设计!$F:$F,MATCH(羁绊设计!BP12,羁绊设计!$D:$D,0)),"")</f>
        <v>橙</v>
      </c>
      <c r="S12" s="9" t="str">
        <f>IFERROR(INDEX(羁绊设计!$F:$F,MATCH(羁绊设计!BQ12,羁绊设计!$D:$D,0)),"")</f>
        <v>橙</v>
      </c>
      <c r="U12" s="9" t="str">
        <f>IFERROR(INDEX(羁绊设计!$F:$F,MATCH(羁绊设计!BS12,羁绊设计!$D:$D,0)),"")</f>
        <v>橙+</v>
      </c>
      <c r="V12" s="9" t="str">
        <f>IFERROR(INDEX(羁绊设计!$F:$F,MATCH(羁绊设计!BT12,羁绊设计!$D:$D,0)),"")</f>
        <v>橙</v>
      </c>
      <c r="W12" s="9" t="str">
        <f>IFERROR(INDEX(羁绊设计!$F:$F,MATCH(羁绊设计!BU12,羁绊设计!$D:$D,0)),"")</f>
        <v>橙</v>
      </c>
      <c r="X12" s="9" t="str">
        <f>IFERROR(INDEX(羁绊设计!$F:$F,MATCH(羁绊设计!BV12,羁绊设计!$D:$D,0)),"")</f>
        <v/>
      </c>
      <c r="Z12" s="9" t="str">
        <f>IFERROR(INDEX(羁绊设计!$F:$F,MATCH(羁绊设计!BX12,羁绊设计!$D:$D,0)),"")</f>
        <v/>
      </c>
      <c r="AA12" s="9" t="str">
        <f>IFERROR(INDEX(羁绊设计!$F:$F,MATCH(羁绊设计!BY12,羁绊设计!$D:$D,0)),"")</f>
        <v/>
      </c>
      <c r="AB12" s="9" t="str">
        <f>IFERROR(INDEX(羁绊设计!$F:$F,MATCH(羁绊设计!BZ12,羁绊设计!$D:$D,0)),"")</f>
        <v/>
      </c>
      <c r="AC12" s="9" t="str">
        <f>IFERROR(INDEX(羁绊设计!$F:$F,MATCH(羁绊设计!CA12,羁绊设计!$D:$D,0)),"")</f>
        <v/>
      </c>
      <c r="AE12" s="9" t="str">
        <f>IFERROR(INDEX(羁绊设计!$F:$F,MATCH(羁绊设计!CC12,羁绊设计!$D:$D,0)),"")</f>
        <v/>
      </c>
      <c r="AF12" s="9" t="str">
        <f>IFERROR(INDEX(羁绊设计!$F:$F,MATCH(羁绊设计!CD12,羁绊设计!$D:$D,0)),"")</f>
        <v/>
      </c>
      <c r="AG12" s="9" t="str">
        <f>IFERROR(INDEX(羁绊设计!$F:$F,MATCH(羁绊设计!CE12,羁绊设计!$D:$D,0)),"")</f>
        <v/>
      </c>
      <c r="AH12" s="9" t="str">
        <f>IFERROR(INDEX(羁绊设计!$F:$F,MATCH(羁绊设计!CF12,羁绊设计!$D:$D,0)),"")</f>
        <v/>
      </c>
      <c r="AJ12" s="9" t="str">
        <f>IFERROR(INDEX(羁绊设计!$F:$F,MATCH(羁绊设计!CH12,羁绊设计!$D:$D,0)),"")</f>
        <v/>
      </c>
      <c r="AK12" s="9" t="str">
        <f>IFERROR(INDEX(羁绊设计!$F:$F,MATCH(羁绊设计!CI12,羁绊设计!$D:$D,0)),"")</f>
        <v/>
      </c>
      <c r="AL12" s="9" t="str">
        <f>IFERROR(INDEX(羁绊设计!$F:$F,MATCH(羁绊设计!CJ12,羁绊设计!$D:$D,0)),"")</f>
        <v/>
      </c>
      <c r="AM12" s="9" t="str">
        <f>IFERROR(INDEX(羁绊设计!$F:$F,MATCH(羁绊设计!CK12,羁绊设计!$D:$D,0)),"")</f>
        <v/>
      </c>
      <c r="AO12" s="9" t="str">
        <f>IFERROR(INDEX(羁绊设计!$F:$F,MATCH(羁绊设计!CM12,羁绊设计!$D:$D,0)),"")</f>
        <v/>
      </c>
      <c r="AP12" s="9" t="str">
        <f>IFERROR(INDEX(羁绊设计!$F:$F,MATCH(羁绊设计!CN12,羁绊设计!$D:$D,0)),"")</f>
        <v/>
      </c>
      <c r="AQ12" s="9" t="str">
        <f>IFERROR(INDEX(羁绊设计!$F:$F,MATCH(羁绊设计!CO12,羁绊设计!$D:$D,0)),"")</f>
        <v/>
      </c>
      <c r="AR12" s="9" t="str">
        <f>IFERROR(INDEX(羁绊设计!$F:$F,MATCH(羁绊设计!CP12,羁绊设计!$D:$D,0)),"")</f>
        <v/>
      </c>
      <c r="AT12" s="9" t="str">
        <f>IFERROR(INDEX(羁绊设计!$F:$F,MATCH(羁绊设计!CR12,羁绊设计!$D:$D,0)),"")</f>
        <v/>
      </c>
      <c r="AU12" s="9" t="str">
        <f>IFERROR(INDEX(羁绊设计!$F:$F,MATCH(羁绊设计!CS12,羁绊设计!$D:$D,0)),"")</f>
        <v/>
      </c>
      <c r="AV12" s="9" t="str">
        <f>IFERROR(INDEX(羁绊设计!$F:$F,MATCH(羁绊设计!CT12,羁绊设计!$D:$D,0)),"")</f>
        <v/>
      </c>
      <c r="AW12" s="9" t="str">
        <f>IFERROR(INDEX(羁绊设计!$F:$F,MATCH(羁绊设计!CU12,羁绊设计!$D:$D,0)),"")</f>
        <v/>
      </c>
    </row>
    <row r="13" spans="2:49">
      <c r="B13" s="12" t="str">
        <f>羁绊设计!D13</f>
        <v>廉颇</v>
      </c>
      <c r="C13" s="7" t="str">
        <f t="shared" si="1"/>
        <v/>
      </c>
      <c r="D13" s="7" t="str">
        <f t="shared" si="1"/>
        <v/>
      </c>
      <c r="E13" s="7" t="str">
        <f t="shared" si="0"/>
        <v/>
      </c>
      <c r="F13" s="7">
        <f t="shared" si="0"/>
        <v>10</v>
      </c>
      <c r="G13" s="7">
        <f t="shared" si="0"/>
        <v>2</v>
      </c>
      <c r="I13" s="9" t="str">
        <f t="shared" si="2"/>
        <v>橙+,橙,橙,橙,橙,橙,橙,橙,橙,橙,红,橙,红,橙+,橙+</v>
      </c>
      <c r="K13" s="9" t="str">
        <f>IFERROR(INDEX(羁绊设计!$F:$F,MATCH(羁绊设计!BI13,羁绊设计!$D:$D,0)),"")</f>
        <v>橙+</v>
      </c>
      <c r="L13" s="9" t="str">
        <f>IFERROR(INDEX(羁绊设计!$F:$F,MATCH(羁绊设计!BJ13,羁绊设计!$D:$D,0)),"")</f>
        <v>橙</v>
      </c>
      <c r="M13" s="9" t="str">
        <f>IFERROR(INDEX(羁绊设计!$F:$F,MATCH(羁绊设计!BK13,羁绊设计!$D:$D,0)),"")</f>
        <v>橙</v>
      </c>
      <c r="N13" s="9" t="str">
        <f>IFERROR(INDEX(羁绊设计!$F:$F,MATCH(羁绊设计!BL13,羁绊设计!$D:$D,0)),"")</f>
        <v>橙</v>
      </c>
      <c r="P13" s="9" t="str">
        <f>IFERROR(INDEX(羁绊设计!$F:$F,MATCH(羁绊设计!BN13,羁绊设计!$D:$D,0)),"")</f>
        <v/>
      </c>
      <c r="Q13" s="9" t="str">
        <f>IFERROR(INDEX(羁绊设计!$F:$F,MATCH(羁绊设计!BO13,羁绊设计!$D:$D,0)),"")</f>
        <v>橙</v>
      </c>
      <c r="R13" s="9" t="str">
        <f>IFERROR(INDEX(羁绊设计!$F:$F,MATCH(羁绊设计!BP13,羁绊设计!$D:$D,0)),"")</f>
        <v>橙</v>
      </c>
      <c r="S13" s="9" t="str">
        <f>IFERROR(INDEX(羁绊设计!$F:$F,MATCH(羁绊设计!BQ13,羁绊设计!$D:$D,0)),"")</f>
        <v>橙</v>
      </c>
      <c r="U13" s="9" t="str">
        <f>IFERROR(INDEX(羁绊设计!$F:$F,MATCH(羁绊设计!BS13,羁绊设计!$D:$D,0)),"")</f>
        <v/>
      </c>
      <c r="V13" s="9" t="str">
        <f>IFERROR(INDEX(羁绊设计!$F:$F,MATCH(羁绊设计!BT13,羁绊设计!$D:$D,0)),"")</f>
        <v/>
      </c>
      <c r="W13" s="9" t="str">
        <f>IFERROR(INDEX(羁绊设计!$F:$F,MATCH(羁绊设计!BU13,羁绊设计!$D:$D,0)),"")</f>
        <v/>
      </c>
      <c r="X13" s="9" t="str">
        <f>IFERROR(INDEX(羁绊设计!$F:$F,MATCH(羁绊设计!BV13,羁绊设计!$D:$D,0)),"")</f>
        <v>橙</v>
      </c>
      <c r="Z13" s="9" t="str">
        <f>IFERROR(INDEX(羁绊设计!$F:$F,MATCH(羁绊设计!BX13,羁绊设计!$D:$D,0)),"")</f>
        <v>橙</v>
      </c>
      <c r="AA13" s="9" t="str">
        <f>IFERROR(INDEX(羁绊设计!$F:$F,MATCH(羁绊设计!BY13,羁绊设计!$D:$D,0)),"")</f>
        <v>橙</v>
      </c>
      <c r="AB13" s="9" t="str">
        <f>IFERROR(INDEX(羁绊设计!$F:$F,MATCH(羁绊设计!BZ13,羁绊设计!$D:$D,0)),"")</f>
        <v/>
      </c>
      <c r="AC13" s="9" t="str">
        <f>IFERROR(INDEX(羁绊设计!$F:$F,MATCH(羁绊设计!CA13,羁绊设计!$D:$D,0)),"")</f>
        <v/>
      </c>
      <c r="AE13" s="9" t="str">
        <f>IFERROR(INDEX(羁绊设计!$F:$F,MATCH(羁绊设计!CC13,羁绊设计!$D:$D,0)),"")</f>
        <v>红</v>
      </c>
      <c r="AF13" s="9" t="str">
        <f>IFERROR(INDEX(羁绊设计!$F:$F,MATCH(羁绊设计!CD13,羁绊设计!$D:$D,0)),"")</f>
        <v>橙</v>
      </c>
      <c r="AG13" s="9" t="str">
        <f>IFERROR(INDEX(羁绊设计!$F:$F,MATCH(羁绊设计!CE13,羁绊设计!$D:$D,0)),"")</f>
        <v/>
      </c>
      <c r="AH13" s="9" t="str">
        <f>IFERROR(INDEX(羁绊设计!$F:$F,MATCH(羁绊设计!CF13,羁绊设计!$D:$D,0)),"")</f>
        <v/>
      </c>
      <c r="AJ13" s="9" t="str">
        <f>IFERROR(INDEX(羁绊设计!$F:$F,MATCH(羁绊设计!CH13,羁绊设计!$D:$D,0)),"")</f>
        <v>红</v>
      </c>
      <c r="AK13" s="9" t="str">
        <f>IFERROR(INDEX(羁绊设计!$F:$F,MATCH(羁绊设计!CI13,羁绊设计!$D:$D,0)),"")</f>
        <v/>
      </c>
      <c r="AL13" s="9" t="str">
        <f>IFERROR(INDEX(羁绊设计!$F:$F,MATCH(羁绊设计!CJ13,羁绊设计!$D:$D,0)),"")</f>
        <v/>
      </c>
      <c r="AM13" s="9" t="str">
        <f>IFERROR(INDEX(羁绊设计!$F:$F,MATCH(羁绊设计!CK13,羁绊设计!$D:$D,0)),"")</f>
        <v/>
      </c>
      <c r="AO13" s="9" t="str">
        <f>IFERROR(INDEX(羁绊设计!$F:$F,MATCH(羁绊设计!CM13,羁绊设计!$D:$D,0)),"")</f>
        <v>橙+</v>
      </c>
      <c r="AP13" s="9" t="str">
        <f>IFERROR(INDEX(羁绊设计!$F:$F,MATCH(羁绊设计!CN13,羁绊设计!$D:$D,0)),"")</f>
        <v/>
      </c>
      <c r="AQ13" s="9" t="str">
        <f>IFERROR(INDEX(羁绊设计!$F:$F,MATCH(羁绊设计!CO13,羁绊设计!$D:$D,0)),"")</f>
        <v/>
      </c>
      <c r="AR13" s="9" t="str">
        <f>IFERROR(INDEX(羁绊设计!$F:$F,MATCH(羁绊设计!CP13,羁绊设计!$D:$D,0)),"")</f>
        <v/>
      </c>
      <c r="AT13" s="9" t="str">
        <f>IFERROR(INDEX(羁绊设计!$F:$F,MATCH(羁绊设计!CR13,羁绊设计!$D:$D,0)),"")</f>
        <v>橙+</v>
      </c>
      <c r="AU13" s="9" t="str">
        <f>IFERROR(INDEX(羁绊设计!$F:$F,MATCH(羁绊设计!CS13,羁绊设计!$D:$D,0)),"")</f>
        <v/>
      </c>
      <c r="AV13" s="9" t="str">
        <f>IFERROR(INDEX(羁绊设计!$F:$F,MATCH(羁绊设计!CT13,羁绊设计!$D:$D,0)),"")</f>
        <v/>
      </c>
      <c r="AW13" s="9" t="str">
        <f>IFERROR(INDEX(羁绊设计!$F:$F,MATCH(羁绊设计!CU13,羁绊设计!$D:$D,0)),"")</f>
        <v/>
      </c>
    </row>
    <row r="14" spans="2:49">
      <c r="B14" s="12" t="str">
        <f>羁绊设计!D14</f>
        <v>信陵君</v>
      </c>
      <c r="C14" s="7" t="str">
        <f t="shared" si="1"/>
        <v/>
      </c>
      <c r="D14" s="7" t="str">
        <f t="shared" si="1"/>
        <v/>
      </c>
      <c r="E14" s="7">
        <f t="shared" si="0"/>
        <v>1</v>
      </c>
      <c r="F14" s="7">
        <f t="shared" si="0"/>
        <v>10</v>
      </c>
      <c r="G14" s="7" t="str">
        <f t="shared" si="0"/>
        <v/>
      </c>
      <c r="I14" s="9" t="str">
        <f t="shared" si="2"/>
        <v>橙,橙,橙,橙,紫,橙+,橙,橙+,橙,橙+,橙,橙+,橙,橙,橙</v>
      </c>
      <c r="K14" s="9" t="str">
        <f>IFERROR(INDEX(羁绊设计!$F:$F,MATCH(羁绊设计!BI14,羁绊设计!$D:$D,0)),"")</f>
        <v>橙</v>
      </c>
      <c r="L14" s="9" t="str">
        <f>IFERROR(INDEX(羁绊设计!$F:$F,MATCH(羁绊设计!BJ14,羁绊设计!$D:$D,0)),"")</f>
        <v>橙</v>
      </c>
      <c r="M14" s="9" t="str">
        <f>IFERROR(INDEX(羁绊设计!$F:$F,MATCH(羁绊设计!BK14,羁绊设计!$D:$D,0)),"")</f>
        <v/>
      </c>
      <c r="N14" s="9" t="str">
        <f>IFERROR(INDEX(羁绊设计!$F:$F,MATCH(羁绊设计!BL14,羁绊设计!$D:$D,0)),"")</f>
        <v/>
      </c>
      <c r="P14" s="9" t="str">
        <f>IFERROR(INDEX(羁绊设计!$F:$F,MATCH(羁绊设计!BN14,羁绊设计!$D:$D,0)),"")</f>
        <v>橙</v>
      </c>
      <c r="Q14" s="9" t="str">
        <f>IFERROR(INDEX(羁绊设计!$F:$F,MATCH(羁绊设计!BO14,羁绊设计!$D:$D,0)),"")</f>
        <v>橙</v>
      </c>
      <c r="R14" s="9" t="str">
        <f>IFERROR(INDEX(羁绊设计!$F:$F,MATCH(羁绊设计!BP14,羁绊设计!$D:$D,0)),"")</f>
        <v/>
      </c>
      <c r="S14" s="9" t="str">
        <f>IFERROR(INDEX(羁绊设计!$F:$F,MATCH(羁绊设计!BQ14,羁绊设计!$D:$D,0)),"")</f>
        <v/>
      </c>
      <c r="U14" s="9" t="str">
        <f>IFERROR(INDEX(羁绊设计!$F:$F,MATCH(羁绊设计!BS14,羁绊设计!$D:$D,0)),"")</f>
        <v>紫</v>
      </c>
      <c r="V14" s="9" t="str">
        <f>IFERROR(INDEX(羁绊设计!$F:$F,MATCH(羁绊设计!BT14,羁绊设计!$D:$D,0)),"")</f>
        <v/>
      </c>
      <c r="W14" s="9" t="str">
        <f>IFERROR(INDEX(羁绊设计!$F:$F,MATCH(羁绊设计!BU14,羁绊设计!$D:$D,0)),"")</f>
        <v/>
      </c>
      <c r="X14" s="9" t="str">
        <f>IFERROR(INDEX(羁绊设计!$F:$F,MATCH(羁绊设计!BV14,羁绊设计!$D:$D,0)),"")</f>
        <v/>
      </c>
      <c r="Z14" s="9" t="str">
        <f>IFERROR(INDEX(羁绊设计!$F:$F,MATCH(羁绊设计!BX14,羁绊设计!$D:$D,0)),"")</f>
        <v>橙+</v>
      </c>
      <c r="AA14" s="9" t="str">
        <f>IFERROR(INDEX(羁绊设计!$F:$F,MATCH(羁绊设计!BY14,羁绊设计!$D:$D,0)),"")</f>
        <v/>
      </c>
      <c r="AB14" s="9" t="str">
        <f>IFERROR(INDEX(羁绊设计!$F:$F,MATCH(羁绊设计!BZ14,羁绊设计!$D:$D,0)),"")</f>
        <v>橙</v>
      </c>
      <c r="AC14" s="9" t="str">
        <f>IFERROR(INDEX(羁绊设计!$F:$F,MATCH(羁绊设计!CA14,羁绊设计!$D:$D,0)),"")</f>
        <v/>
      </c>
      <c r="AE14" s="9" t="str">
        <f>IFERROR(INDEX(羁绊设计!$F:$F,MATCH(羁绊设计!CC14,羁绊设计!$D:$D,0)),"")</f>
        <v>橙+</v>
      </c>
      <c r="AF14" s="9" t="str">
        <f>IFERROR(INDEX(羁绊设计!$F:$F,MATCH(羁绊设计!CD14,羁绊设计!$D:$D,0)),"")</f>
        <v/>
      </c>
      <c r="AG14" s="9" t="str">
        <f>IFERROR(INDEX(羁绊设计!$F:$F,MATCH(羁绊设计!CE14,羁绊设计!$D:$D,0)),"")</f>
        <v/>
      </c>
      <c r="AH14" s="9" t="str">
        <f>IFERROR(INDEX(羁绊设计!$F:$F,MATCH(羁绊设计!CF14,羁绊设计!$D:$D,0)),"")</f>
        <v>橙</v>
      </c>
      <c r="AJ14" s="9" t="str">
        <f>IFERROR(INDEX(羁绊设计!$F:$F,MATCH(羁绊设计!CH14,羁绊设计!$D:$D,0)),"")</f>
        <v>橙+</v>
      </c>
      <c r="AK14" s="9" t="str">
        <f>IFERROR(INDEX(羁绊设计!$F:$F,MATCH(羁绊设计!CI14,羁绊设计!$D:$D,0)),"")</f>
        <v/>
      </c>
      <c r="AL14" s="9" t="str">
        <f>IFERROR(INDEX(羁绊设计!$F:$F,MATCH(羁绊设计!CJ14,羁绊设计!$D:$D,0)),"")</f>
        <v/>
      </c>
      <c r="AM14" s="9" t="str">
        <f>IFERROR(INDEX(羁绊设计!$F:$F,MATCH(羁绊设计!CK14,羁绊设计!$D:$D,0)),"")</f>
        <v>橙</v>
      </c>
      <c r="AO14" s="9" t="str">
        <f>IFERROR(INDEX(羁绊设计!$F:$F,MATCH(羁绊设计!CM14,羁绊设计!$D:$D,0)),"")</f>
        <v>橙+</v>
      </c>
      <c r="AP14" s="9" t="str">
        <f>IFERROR(INDEX(羁绊设计!$F:$F,MATCH(羁绊设计!CN14,羁绊设计!$D:$D,0)),"")</f>
        <v/>
      </c>
      <c r="AQ14" s="9" t="str">
        <f>IFERROR(INDEX(羁绊设计!$F:$F,MATCH(羁绊设计!CO14,羁绊设计!$D:$D,0)),"")</f>
        <v>橙</v>
      </c>
      <c r="AR14" s="9" t="str">
        <f>IFERROR(INDEX(羁绊设计!$F:$F,MATCH(羁绊设计!CP14,羁绊设计!$D:$D,0)),"")</f>
        <v/>
      </c>
      <c r="AT14" s="9" t="str">
        <f>IFERROR(INDEX(羁绊设计!$F:$F,MATCH(羁绊设计!CR14,羁绊设计!$D:$D,0)),"")</f>
        <v>橙</v>
      </c>
      <c r="AU14" s="9" t="str">
        <f>IFERROR(INDEX(羁绊设计!$F:$F,MATCH(羁绊设计!CS14,羁绊设计!$D:$D,0)),"")</f>
        <v/>
      </c>
      <c r="AV14" s="9" t="str">
        <f>IFERROR(INDEX(羁绊设计!$F:$F,MATCH(羁绊设计!CT14,羁绊设计!$D:$D,0)),"")</f>
        <v>橙</v>
      </c>
      <c r="AW14" s="9" t="str">
        <f>IFERROR(INDEX(羁绊设计!$F:$F,MATCH(羁绊设计!CU14,羁绊设计!$D:$D,0)),"")</f>
        <v/>
      </c>
    </row>
    <row r="15" spans="2:49">
      <c r="B15" s="12" t="str">
        <f>羁绊设计!D15</f>
        <v>西施</v>
      </c>
      <c r="C15" s="7" t="str">
        <f t="shared" si="1"/>
        <v/>
      </c>
      <c r="D15" s="7" t="str">
        <f t="shared" si="1"/>
        <v/>
      </c>
      <c r="E15" s="7">
        <f t="shared" si="0"/>
        <v>1</v>
      </c>
      <c r="F15" s="7">
        <f t="shared" si="0"/>
        <v>6</v>
      </c>
      <c r="G15" s="7" t="str">
        <f t="shared" si="0"/>
        <v/>
      </c>
      <c r="I15" s="9" t="str">
        <f t="shared" si="2"/>
        <v>橙,橙,橙,紫,橙+,橙+,橙,橙,橙+,橙+,橙,橙+</v>
      </c>
      <c r="K15" s="9" t="str">
        <f>IFERROR(INDEX(羁绊设计!$F:$F,MATCH(羁绊设计!BI15,羁绊设计!$D:$D,0)),"")</f>
        <v>橙</v>
      </c>
      <c r="L15" s="9" t="str">
        <f>IFERROR(INDEX(羁绊设计!$F:$F,MATCH(羁绊设计!BJ15,羁绊设计!$D:$D,0)),"")</f>
        <v>橙</v>
      </c>
      <c r="M15" s="9" t="str">
        <f>IFERROR(INDEX(羁绊设计!$F:$F,MATCH(羁绊设计!BK15,羁绊设计!$D:$D,0)),"")</f>
        <v/>
      </c>
      <c r="N15" s="9" t="str">
        <f>IFERROR(INDEX(羁绊设计!$F:$F,MATCH(羁绊设计!BL15,羁绊设计!$D:$D,0)),"")</f>
        <v/>
      </c>
      <c r="P15" s="9" t="str">
        <f>IFERROR(INDEX(羁绊设计!$F:$F,MATCH(羁绊设计!BN15,羁绊设计!$D:$D,0)),"")</f>
        <v/>
      </c>
      <c r="Q15" s="9" t="str">
        <f>IFERROR(INDEX(羁绊设计!$F:$F,MATCH(羁绊设计!BO15,羁绊设计!$D:$D,0)),"")</f>
        <v>橙</v>
      </c>
      <c r="R15" s="9" t="str">
        <f>IFERROR(INDEX(羁绊设计!$F:$F,MATCH(羁绊设计!BP15,羁绊设计!$D:$D,0)),"")</f>
        <v/>
      </c>
      <c r="S15" s="9" t="str">
        <f>IFERROR(INDEX(羁绊设计!$F:$F,MATCH(羁绊设计!BQ15,羁绊设计!$D:$D,0)),"")</f>
        <v/>
      </c>
      <c r="U15" s="9" t="str">
        <f>IFERROR(INDEX(羁绊设计!$F:$F,MATCH(羁绊设计!BS15,羁绊设计!$D:$D,0)),"")</f>
        <v>紫</v>
      </c>
      <c r="V15" s="9" t="str">
        <f>IFERROR(INDEX(羁绊设计!$F:$F,MATCH(羁绊设计!BT15,羁绊设计!$D:$D,0)),"")</f>
        <v/>
      </c>
      <c r="W15" s="9" t="str">
        <f>IFERROR(INDEX(羁绊设计!$F:$F,MATCH(羁绊设计!BU15,羁绊设计!$D:$D,0)),"")</f>
        <v/>
      </c>
      <c r="X15" s="9" t="str">
        <f>IFERROR(INDEX(羁绊设计!$F:$F,MATCH(羁绊设计!BV15,羁绊设计!$D:$D,0)),"")</f>
        <v/>
      </c>
      <c r="Z15" s="9" t="str">
        <f>IFERROR(INDEX(羁绊设计!$F:$F,MATCH(羁绊设计!BX15,羁绊设计!$D:$D,0)),"")</f>
        <v>橙+</v>
      </c>
      <c r="AA15" s="9" t="str">
        <f>IFERROR(INDEX(羁绊设计!$F:$F,MATCH(羁绊设计!BY15,羁绊设计!$D:$D,0)),"")</f>
        <v/>
      </c>
      <c r="AB15" s="9" t="str">
        <f>IFERROR(INDEX(羁绊设计!$F:$F,MATCH(羁绊设计!BZ15,羁绊设计!$D:$D,0)),"")</f>
        <v/>
      </c>
      <c r="AC15" s="9" t="str">
        <f>IFERROR(INDEX(羁绊设计!$F:$F,MATCH(羁绊设计!CA15,羁绊设计!$D:$D,0)),"")</f>
        <v/>
      </c>
      <c r="AE15" s="9" t="str">
        <f>IFERROR(INDEX(羁绊设计!$F:$F,MATCH(羁绊设计!CC15,羁绊设计!$D:$D,0)),"")</f>
        <v>橙+</v>
      </c>
      <c r="AF15" s="9" t="str">
        <f>IFERROR(INDEX(羁绊设计!$F:$F,MATCH(羁绊设计!CD15,羁绊设计!$D:$D,0)),"")</f>
        <v>橙</v>
      </c>
      <c r="AG15" s="9" t="str">
        <f>IFERROR(INDEX(羁绊设计!$F:$F,MATCH(羁绊设计!CE15,羁绊设计!$D:$D,0)),"")</f>
        <v>橙</v>
      </c>
      <c r="AH15" s="9" t="str">
        <f>IFERROR(INDEX(羁绊设计!$F:$F,MATCH(羁绊设计!CF15,羁绊设计!$D:$D,0)),"")</f>
        <v/>
      </c>
      <c r="AJ15" s="9" t="str">
        <f>IFERROR(INDEX(羁绊设计!$F:$F,MATCH(羁绊设计!CH15,羁绊设计!$D:$D,0)),"")</f>
        <v>橙+</v>
      </c>
      <c r="AK15" s="9" t="str">
        <f>IFERROR(INDEX(羁绊设计!$F:$F,MATCH(羁绊设计!CI15,羁绊设计!$D:$D,0)),"")</f>
        <v/>
      </c>
      <c r="AL15" s="9" t="str">
        <f>IFERROR(INDEX(羁绊设计!$F:$F,MATCH(羁绊设计!CJ15,羁绊设计!$D:$D,0)),"")</f>
        <v/>
      </c>
      <c r="AM15" s="9" t="str">
        <f>IFERROR(INDEX(羁绊设计!$F:$F,MATCH(羁绊设计!CK15,羁绊设计!$D:$D,0)),"")</f>
        <v/>
      </c>
      <c r="AO15" s="9" t="str">
        <f>IFERROR(INDEX(羁绊设计!$F:$F,MATCH(羁绊设计!CM15,羁绊设计!$D:$D,0)),"")</f>
        <v>橙+</v>
      </c>
      <c r="AP15" s="9" t="str">
        <f>IFERROR(INDEX(羁绊设计!$F:$F,MATCH(羁绊设计!CN15,羁绊设计!$D:$D,0)),"")</f>
        <v/>
      </c>
      <c r="AQ15" s="9" t="str">
        <f>IFERROR(INDEX(羁绊设计!$F:$F,MATCH(羁绊设计!CO15,羁绊设计!$D:$D,0)),"")</f>
        <v>橙</v>
      </c>
      <c r="AR15" s="9" t="str">
        <f>IFERROR(INDEX(羁绊设计!$F:$F,MATCH(羁绊设计!CP15,羁绊设计!$D:$D,0)),"")</f>
        <v/>
      </c>
      <c r="AT15" s="9" t="str">
        <f>IFERROR(INDEX(羁绊设计!$F:$F,MATCH(羁绊设计!CR15,羁绊设计!$D:$D,0)),"")</f>
        <v>橙+</v>
      </c>
      <c r="AU15" s="9" t="str">
        <f>IFERROR(INDEX(羁绊设计!$F:$F,MATCH(羁绊设计!CS15,羁绊设计!$D:$D,0)),"")</f>
        <v/>
      </c>
      <c r="AV15" s="9" t="str">
        <f>IFERROR(INDEX(羁绊设计!$F:$F,MATCH(羁绊设计!CT15,羁绊设计!$D:$D,0)),"")</f>
        <v/>
      </c>
      <c r="AW15" s="9" t="str">
        <f>IFERROR(INDEX(羁绊设计!$F:$F,MATCH(羁绊设计!CU15,羁绊设计!$D:$D,0)),"")</f>
        <v/>
      </c>
    </row>
    <row r="16" spans="2:49">
      <c r="B16" s="12" t="str">
        <f>羁绊设计!D16</f>
        <v>李牧</v>
      </c>
      <c r="C16" s="7" t="str">
        <f t="shared" si="1"/>
        <v/>
      </c>
      <c r="D16" s="7" t="str">
        <f t="shared" si="1"/>
        <v/>
      </c>
      <c r="E16" s="7" t="str">
        <f t="shared" si="0"/>
        <v/>
      </c>
      <c r="F16" s="7" t="str">
        <f t="shared" si="0"/>
        <v/>
      </c>
      <c r="G16" s="7" t="str">
        <f t="shared" si="0"/>
        <v/>
      </c>
      <c r="I16" s="9" t="str">
        <f t="shared" si="2"/>
        <v/>
      </c>
      <c r="K16" s="9" t="str">
        <f>IFERROR(INDEX(羁绊设计!$F:$F,MATCH(羁绊设计!BI16,羁绊设计!$D:$D,0)),"")</f>
        <v/>
      </c>
      <c r="L16" s="9" t="str">
        <f>IFERROR(INDEX(羁绊设计!$F:$F,MATCH(羁绊设计!BJ16,羁绊设计!$D:$D,0)),"")</f>
        <v/>
      </c>
      <c r="M16" s="9" t="str">
        <f>IFERROR(INDEX(羁绊设计!$F:$F,MATCH(羁绊设计!BK16,羁绊设计!$D:$D,0)),"")</f>
        <v/>
      </c>
      <c r="N16" s="9" t="str">
        <f>IFERROR(INDEX(羁绊设计!$F:$F,MATCH(羁绊设计!BL16,羁绊设计!$D:$D,0)),"")</f>
        <v/>
      </c>
      <c r="P16" s="9" t="str">
        <f>IFERROR(INDEX(羁绊设计!$F:$F,MATCH(羁绊设计!BN16,羁绊设计!$D:$D,0)),"")</f>
        <v/>
      </c>
      <c r="Q16" s="9" t="str">
        <f>IFERROR(INDEX(羁绊设计!$F:$F,MATCH(羁绊设计!BO16,羁绊设计!$D:$D,0)),"")</f>
        <v/>
      </c>
      <c r="R16" s="9" t="str">
        <f>IFERROR(INDEX(羁绊设计!$F:$F,MATCH(羁绊设计!BP16,羁绊设计!$D:$D,0)),"")</f>
        <v/>
      </c>
      <c r="S16" s="9" t="str">
        <f>IFERROR(INDEX(羁绊设计!$F:$F,MATCH(羁绊设计!BQ16,羁绊设计!$D:$D,0)),"")</f>
        <v/>
      </c>
      <c r="U16" s="9" t="str">
        <f>IFERROR(INDEX(羁绊设计!$F:$F,MATCH(羁绊设计!BS16,羁绊设计!$D:$D,0)),"")</f>
        <v/>
      </c>
      <c r="V16" s="9" t="str">
        <f>IFERROR(INDEX(羁绊设计!$F:$F,MATCH(羁绊设计!BT16,羁绊设计!$D:$D,0)),"")</f>
        <v/>
      </c>
      <c r="W16" s="9" t="str">
        <f>IFERROR(INDEX(羁绊设计!$F:$F,MATCH(羁绊设计!BU16,羁绊设计!$D:$D,0)),"")</f>
        <v/>
      </c>
      <c r="X16" s="9" t="str">
        <f>IFERROR(INDEX(羁绊设计!$F:$F,MATCH(羁绊设计!BV16,羁绊设计!$D:$D,0)),"")</f>
        <v/>
      </c>
      <c r="Z16" s="9" t="str">
        <f>IFERROR(INDEX(羁绊设计!$F:$F,MATCH(羁绊设计!BX16,羁绊设计!$D:$D,0)),"")</f>
        <v/>
      </c>
      <c r="AA16" s="9" t="str">
        <f>IFERROR(INDEX(羁绊设计!$F:$F,MATCH(羁绊设计!BY16,羁绊设计!$D:$D,0)),"")</f>
        <v/>
      </c>
      <c r="AB16" s="9" t="str">
        <f>IFERROR(INDEX(羁绊设计!$F:$F,MATCH(羁绊设计!BZ16,羁绊设计!$D:$D,0)),"")</f>
        <v/>
      </c>
      <c r="AC16" s="9" t="str">
        <f>IFERROR(INDEX(羁绊设计!$F:$F,MATCH(羁绊设计!CA16,羁绊设计!$D:$D,0)),"")</f>
        <v/>
      </c>
      <c r="AE16" s="9" t="str">
        <f>IFERROR(INDEX(羁绊设计!$F:$F,MATCH(羁绊设计!CC16,羁绊设计!$D:$D,0)),"")</f>
        <v/>
      </c>
      <c r="AF16" s="9" t="str">
        <f>IFERROR(INDEX(羁绊设计!$F:$F,MATCH(羁绊设计!CD16,羁绊设计!$D:$D,0)),"")</f>
        <v/>
      </c>
      <c r="AG16" s="9" t="str">
        <f>IFERROR(INDEX(羁绊设计!$F:$F,MATCH(羁绊设计!CE16,羁绊设计!$D:$D,0)),"")</f>
        <v/>
      </c>
      <c r="AH16" s="9" t="str">
        <f>IFERROR(INDEX(羁绊设计!$F:$F,MATCH(羁绊设计!CF16,羁绊设计!$D:$D,0)),"")</f>
        <v/>
      </c>
      <c r="AJ16" s="9" t="str">
        <f>IFERROR(INDEX(羁绊设计!$F:$F,MATCH(羁绊设计!CH16,羁绊设计!$D:$D,0)),"")</f>
        <v/>
      </c>
      <c r="AK16" s="9" t="str">
        <f>IFERROR(INDEX(羁绊设计!$F:$F,MATCH(羁绊设计!CI16,羁绊设计!$D:$D,0)),"")</f>
        <v/>
      </c>
      <c r="AL16" s="9" t="str">
        <f>IFERROR(INDEX(羁绊设计!$F:$F,MATCH(羁绊设计!CJ16,羁绊设计!$D:$D,0)),"")</f>
        <v/>
      </c>
      <c r="AM16" s="9" t="str">
        <f>IFERROR(INDEX(羁绊设计!$F:$F,MATCH(羁绊设计!CK16,羁绊设计!$D:$D,0)),"")</f>
        <v/>
      </c>
      <c r="AO16" s="9" t="str">
        <f>IFERROR(INDEX(羁绊设计!$F:$F,MATCH(羁绊设计!CM16,羁绊设计!$D:$D,0)),"")</f>
        <v/>
      </c>
      <c r="AP16" s="9" t="str">
        <f>IFERROR(INDEX(羁绊设计!$F:$F,MATCH(羁绊设计!CN16,羁绊设计!$D:$D,0)),"")</f>
        <v/>
      </c>
      <c r="AQ16" s="9" t="str">
        <f>IFERROR(INDEX(羁绊设计!$F:$F,MATCH(羁绊设计!CO16,羁绊设计!$D:$D,0)),"")</f>
        <v/>
      </c>
      <c r="AR16" s="9" t="str">
        <f>IFERROR(INDEX(羁绊设计!$F:$F,MATCH(羁绊设计!CP16,羁绊设计!$D:$D,0)),"")</f>
        <v/>
      </c>
      <c r="AT16" s="9" t="str">
        <f>IFERROR(INDEX(羁绊设计!$F:$F,MATCH(羁绊设计!CR16,羁绊设计!$D:$D,0)),"")</f>
        <v/>
      </c>
      <c r="AU16" s="9" t="str">
        <f>IFERROR(INDEX(羁绊设计!$F:$F,MATCH(羁绊设计!CS16,羁绊设计!$D:$D,0)),"")</f>
        <v/>
      </c>
      <c r="AV16" s="9" t="str">
        <f>IFERROR(INDEX(羁绊设计!$F:$F,MATCH(羁绊设计!CT16,羁绊设计!$D:$D,0)),"")</f>
        <v/>
      </c>
      <c r="AW16" s="9" t="str">
        <f>IFERROR(INDEX(羁绊设计!$F:$F,MATCH(羁绊设计!CU16,羁绊设计!$D:$D,0)),"")</f>
        <v/>
      </c>
    </row>
    <row r="17" spans="2:49">
      <c r="B17" s="12" t="str">
        <f>羁绊设计!D17</f>
        <v>吴起</v>
      </c>
      <c r="C17" s="7" t="str">
        <f t="shared" si="1"/>
        <v/>
      </c>
      <c r="D17" s="7" t="str">
        <f t="shared" si="1"/>
        <v/>
      </c>
      <c r="E17" s="7" t="str">
        <f t="shared" si="0"/>
        <v/>
      </c>
      <c r="F17" s="7">
        <f t="shared" si="0"/>
        <v>12</v>
      </c>
      <c r="G17" s="7">
        <f t="shared" si="0"/>
        <v>1</v>
      </c>
      <c r="I17" s="9" t="str">
        <f t="shared" si="2"/>
        <v>橙+,橙,橙,橙,橙,橙,橙,橙,橙,橙,橙+,红,橙,橙+,橙,橙+,橙+,橙</v>
      </c>
      <c r="K17" s="9" t="str">
        <f>IFERROR(INDEX(羁绊设计!$F:$F,MATCH(羁绊设计!BI17,羁绊设计!$D:$D,0)),"")</f>
        <v>橙+</v>
      </c>
      <c r="L17" s="9" t="str">
        <f>IFERROR(INDEX(羁绊设计!$F:$F,MATCH(羁绊设计!BJ17,羁绊设计!$D:$D,0)),"")</f>
        <v>橙</v>
      </c>
      <c r="M17" s="9" t="str">
        <f>IFERROR(INDEX(羁绊设计!$F:$F,MATCH(羁绊设计!BK17,羁绊设计!$D:$D,0)),"")</f>
        <v>橙</v>
      </c>
      <c r="N17" s="9" t="str">
        <f>IFERROR(INDEX(羁绊设计!$F:$F,MATCH(羁绊设计!BL17,羁绊设计!$D:$D,0)),"")</f>
        <v>橙</v>
      </c>
      <c r="P17" s="9" t="str">
        <f>IFERROR(INDEX(羁绊设计!$F:$F,MATCH(羁绊设计!BN17,羁绊设计!$D:$D,0)),"")</f>
        <v/>
      </c>
      <c r="Q17" s="9" t="str">
        <f>IFERROR(INDEX(羁绊设计!$F:$F,MATCH(羁绊设计!BO17,羁绊设计!$D:$D,0)),"")</f>
        <v>橙</v>
      </c>
      <c r="R17" s="9" t="str">
        <f>IFERROR(INDEX(羁绊设计!$F:$F,MATCH(羁绊设计!BP17,羁绊设计!$D:$D,0)),"")</f>
        <v>橙</v>
      </c>
      <c r="S17" s="9" t="str">
        <f>IFERROR(INDEX(羁绊设计!$F:$F,MATCH(羁绊设计!BQ17,羁绊设计!$D:$D,0)),"")</f>
        <v>橙</v>
      </c>
      <c r="U17" s="9" t="str">
        <f>IFERROR(INDEX(羁绊设计!$F:$F,MATCH(羁绊设计!BS17,羁绊设计!$D:$D,0)),"")</f>
        <v/>
      </c>
      <c r="V17" s="9" t="str">
        <f>IFERROR(INDEX(羁绊设计!$F:$F,MATCH(羁绊设计!BT17,羁绊设计!$D:$D,0)),"")</f>
        <v>橙</v>
      </c>
      <c r="W17" s="9" t="str">
        <f>IFERROR(INDEX(羁绊设计!$F:$F,MATCH(羁绊设计!BU17,羁绊设计!$D:$D,0)),"")</f>
        <v>橙</v>
      </c>
      <c r="X17" s="9" t="str">
        <f>IFERROR(INDEX(羁绊设计!$F:$F,MATCH(羁绊设计!BV17,羁绊设计!$D:$D,0)),"")</f>
        <v>橙</v>
      </c>
      <c r="Z17" s="9" t="str">
        <f>IFERROR(INDEX(羁绊设计!$F:$F,MATCH(羁绊设计!BX17,羁绊设计!$D:$D,0)),"")</f>
        <v>橙+</v>
      </c>
      <c r="AA17" s="9" t="str">
        <f>IFERROR(INDEX(羁绊设计!$F:$F,MATCH(羁绊设计!BY17,羁绊设计!$D:$D,0)),"")</f>
        <v/>
      </c>
      <c r="AB17" s="9" t="str">
        <f>IFERROR(INDEX(羁绊设计!$F:$F,MATCH(羁绊设计!BZ17,羁绊设计!$D:$D,0)),"")</f>
        <v/>
      </c>
      <c r="AC17" s="9" t="str">
        <f>IFERROR(INDEX(羁绊设计!$F:$F,MATCH(羁绊设计!CA17,羁绊设计!$D:$D,0)),"")</f>
        <v/>
      </c>
      <c r="AE17" s="9" t="str">
        <f>IFERROR(INDEX(羁绊设计!$F:$F,MATCH(羁绊设计!CC17,羁绊设计!$D:$D,0)),"")</f>
        <v>红</v>
      </c>
      <c r="AF17" s="9" t="str">
        <f>IFERROR(INDEX(羁绊设计!$F:$F,MATCH(羁绊设计!CD17,羁绊设计!$D:$D,0)),"")</f>
        <v/>
      </c>
      <c r="AG17" s="9" t="str">
        <f>IFERROR(INDEX(羁绊设计!$F:$F,MATCH(羁绊设计!CE17,羁绊设计!$D:$D,0)),"")</f>
        <v>橙</v>
      </c>
      <c r="AH17" s="9" t="str">
        <f>IFERROR(INDEX(羁绊设计!$F:$F,MATCH(羁绊设计!CF17,羁绊设计!$D:$D,0)),"")</f>
        <v/>
      </c>
      <c r="AJ17" s="9" t="str">
        <f>IFERROR(INDEX(羁绊设计!$F:$F,MATCH(羁绊设计!CH17,羁绊设计!$D:$D,0)),"")</f>
        <v>橙+</v>
      </c>
      <c r="AK17" s="9" t="str">
        <f>IFERROR(INDEX(羁绊设计!$F:$F,MATCH(羁绊设计!CI17,羁绊设计!$D:$D,0)),"")</f>
        <v/>
      </c>
      <c r="AL17" s="9" t="str">
        <f>IFERROR(INDEX(羁绊设计!$F:$F,MATCH(羁绊设计!CJ17,羁绊设计!$D:$D,0)),"")</f>
        <v>橙</v>
      </c>
      <c r="AM17" s="9" t="str">
        <f>IFERROR(INDEX(羁绊设计!$F:$F,MATCH(羁绊设计!CK17,羁绊设计!$D:$D,0)),"")</f>
        <v/>
      </c>
      <c r="AO17" s="9" t="str">
        <f>IFERROR(INDEX(羁绊设计!$F:$F,MATCH(羁绊设计!CM17,羁绊设计!$D:$D,0)),"")</f>
        <v>橙+</v>
      </c>
      <c r="AP17" s="9" t="str">
        <f>IFERROR(INDEX(羁绊设计!$F:$F,MATCH(羁绊设计!CN17,羁绊设计!$D:$D,0)),"")</f>
        <v/>
      </c>
      <c r="AQ17" s="9" t="str">
        <f>IFERROR(INDEX(羁绊设计!$F:$F,MATCH(羁绊设计!CO17,羁绊设计!$D:$D,0)),"")</f>
        <v/>
      </c>
      <c r="AR17" s="9" t="str">
        <f>IFERROR(INDEX(羁绊设计!$F:$F,MATCH(羁绊设计!CP17,羁绊设计!$D:$D,0)),"")</f>
        <v/>
      </c>
      <c r="AT17" s="9" t="str">
        <f>IFERROR(INDEX(羁绊设计!$F:$F,MATCH(羁绊设计!CR17,羁绊设计!$D:$D,0)),"")</f>
        <v>橙+</v>
      </c>
      <c r="AU17" s="9" t="str">
        <f>IFERROR(INDEX(羁绊设计!$F:$F,MATCH(羁绊设计!CS17,羁绊设计!$D:$D,0)),"")</f>
        <v/>
      </c>
      <c r="AV17" s="9" t="str">
        <f>IFERROR(INDEX(羁绊设计!$F:$F,MATCH(羁绊设计!CT17,羁绊设计!$D:$D,0)),"")</f>
        <v>橙</v>
      </c>
      <c r="AW17" s="9" t="str">
        <f>IFERROR(INDEX(羁绊设计!$F:$F,MATCH(羁绊设计!CU17,羁绊设计!$D:$D,0)),"")</f>
        <v/>
      </c>
    </row>
    <row r="18" spans="2:49">
      <c r="B18" s="12" t="str">
        <f>羁绊设计!D18</f>
        <v>聂荌</v>
      </c>
      <c r="C18" s="7" t="str">
        <f t="shared" si="1"/>
        <v/>
      </c>
      <c r="D18" s="7" t="str">
        <f t="shared" si="1"/>
        <v/>
      </c>
      <c r="E18" s="7">
        <f t="shared" si="0"/>
        <v>4</v>
      </c>
      <c r="F18" s="7">
        <f t="shared" si="0"/>
        <v>1</v>
      </c>
      <c r="G18" s="7" t="str">
        <f t="shared" si="0"/>
        <v/>
      </c>
      <c r="I18" s="9" t="str">
        <f t="shared" si="2"/>
        <v>紫,紫,紫,紫,橙</v>
      </c>
      <c r="K18" s="9" t="str">
        <f>IFERROR(INDEX(羁绊设计!$F:$F,MATCH(羁绊设计!BI18,羁绊设计!$D:$D,0)),"")</f>
        <v>紫</v>
      </c>
      <c r="L18" s="9" t="str">
        <f>IFERROR(INDEX(羁绊设计!$F:$F,MATCH(羁绊设计!BJ18,羁绊设计!$D:$D,0)),"")</f>
        <v>紫</v>
      </c>
      <c r="M18" s="9" t="str">
        <f>IFERROR(INDEX(羁绊设计!$F:$F,MATCH(羁绊设计!BK18,羁绊设计!$D:$D,0)),"")</f>
        <v>紫</v>
      </c>
      <c r="N18" s="9" t="str">
        <f>IFERROR(INDEX(羁绊设计!$F:$F,MATCH(羁绊设计!BL18,羁绊设计!$D:$D,0)),"")</f>
        <v/>
      </c>
      <c r="P18" s="9" t="str">
        <f>IFERROR(INDEX(羁绊设计!$F:$F,MATCH(羁绊设计!BN18,羁绊设计!$D:$D,0)),"")</f>
        <v/>
      </c>
      <c r="Q18" s="9" t="str">
        <f>IFERROR(INDEX(羁绊设计!$F:$F,MATCH(羁绊设计!BO18,羁绊设计!$D:$D,0)),"")</f>
        <v>紫</v>
      </c>
      <c r="R18" s="9" t="str">
        <f>IFERROR(INDEX(羁绊设计!$F:$F,MATCH(羁绊设计!BP18,羁绊设计!$D:$D,0)),"")</f>
        <v>橙</v>
      </c>
      <c r="S18" s="9" t="str">
        <f>IFERROR(INDEX(羁绊设计!$F:$F,MATCH(羁绊设计!BQ18,羁绊设计!$D:$D,0)),"")</f>
        <v/>
      </c>
      <c r="U18" s="9" t="str">
        <f>IFERROR(INDEX(羁绊设计!$F:$F,MATCH(羁绊设计!BS18,羁绊设计!$D:$D,0)),"")</f>
        <v/>
      </c>
      <c r="V18" s="9" t="str">
        <f>IFERROR(INDEX(羁绊设计!$F:$F,MATCH(羁绊设计!BT18,羁绊设计!$D:$D,0)),"")</f>
        <v/>
      </c>
      <c r="W18" s="9" t="str">
        <f>IFERROR(INDEX(羁绊设计!$F:$F,MATCH(羁绊设计!BU18,羁绊设计!$D:$D,0)),"")</f>
        <v/>
      </c>
      <c r="X18" s="9" t="str">
        <f>IFERROR(INDEX(羁绊设计!$F:$F,MATCH(羁绊设计!BV18,羁绊设计!$D:$D,0)),"")</f>
        <v/>
      </c>
      <c r="Z18" s="9" t="str">
        <f>IFERROR(INDEX(羁绊设计!$F:$F,MATCH(羁绊设计!BX18,羁绊设计!$D:$D,0)),"")</f>
        <v/>
      </c>
      <c r="AA18" s="9" t="str">
        <f>IFERROR(INDEX(羁绊设计!$F:$F,MATCH(羁绊设计!BY18,羁绊设计!$D:$D,0)),"")</f>
        <v/>
      </c>
      <c r="AB18" s="9" t="str">
        <f>IFERROR(INDEX(羁绊设计!$F:$F,MATCH(羁绊设计!BZ18,羁绊设计!$D:$D,0)),"")</f>
        <v/>
      </c>
      <c r="AC18" s="9" t="str">
        <f>IFERROR(INDEX(羁绊设计!$F:$F,MATCH(羁绊设计!CA18,羁绊设计!$D:$D,0)),"")</f>
        <v/>
      </c>
      <c r="AE18" s="9" t="str">
        <f>IFERROR(INDEX(羁绊设计!$F:$F,MATCH(羁绊设计!CC18,羁绊设计!$D:$D,0)),"")</f>
        <v/>
      </c>
      <c r="AF18" s="9" t="str">
        <f>IFERROR(INDEX(羁绊设计!$F:$F,MATCH(羁绊设计!CD18,羁绊设计!$D:$D,0)),"")</f>
        <v/>
      </c>
      <c r="AG18" s="9" t="str">
        <f>IFERROR(INDEX(羁绊设计!$F:$F,MATCH(羁绊设计!CE18,羁绊设计!$D:$D,0)),"")</f>
        <v/>
      </c>
      <c r="AH18" s="9" t="str">
        <f>IFERROR(INDEX(羁绊设计!$F:$F,MATCH(羁绊设计!CF18,羁绊设计!$D:$D,0)),"")</f>
        <v/>
      </c>
      <c r="AJ18" s="9" t="str">
        <f>IFERROR(INDEX(羁绊设计!$F:$F,MATCH(羁绊设计!CH18,羁绊设计!$D:$D,0)),"")</f>
        <v/>
      </c>
      <c r="AK18" s="9" t="str">
        <f>IFERROR(INDEX(羁绊设计!$F:$F,MATCH(羁绊设计!CI18,羁绊设计!$D:$D,0)),"")</f>
        <v/>
      </c>
      <c r="AL18" s="9" t="str">
        <f>IFERROR(INDEX(羁绊设计!$F:$F,MATCH(羁绊设计!CJ18,羁绊设计!$D:$D,0)),"")</f>
        <v/>
      </c>
      <c r="AM18" s="9" t="str">
        <f>IFERROR(INDEX(羁绊设计!$F:$F,MATCH(羁绊设计!CK18,羁绊设计!$D:$D,0)),"")</f>
        <v/>
      </c>
      <c r="AO18" s="9" t="str">
        <f>IFERROR(INDEX(羁绊设计!$F:$F,MATCH(羁绊设计!CM18,羁绊设计!$D:$D,0)),"")</f>
        <v/>
      </c>
      <c r="AP18" s="9" t="str">
        <f>IFERROR(INDEX(羁绊设计!$F:$F,MATCH(羁绊设计!CN18,羁绊设计!$D:$D,0)),"")</f>
        <v/>
      </c>
      <c r="AQ18" s="9" t="str">
        <f>IFERROR(INDEX(羁绊设计!$F:$F,MATCH(羁绊设计!CO18,羁绊设计!$D:$D,0)),"")</f>
        <v/>
      </c>
      <c r="AR18" s="9" t="str">
        <f>IFERROR(INDEX(羁绊设计!$F:$F,MATCH(羁绊设计!CP18,羁绊设计!$D:$D,0)),"")</f>
        <v/>
      </c>
      <c r="AT18" s="9" t="str">
        <f>IFERROR(INDEX(羁绊设计!$F:$F,MATCH(羁绊设计!CR18,羁绊设计!$D:$D,0)),"")</f>
        <v/>
      </c>
      <c r="AU18" s="9" t="str">
        <f>IFERROR(INDEX(羁绊设计!$F:$F,MATCH(羁绊设计!CS18,羁绊设计!$D:$D,0)),"")</f>
        <v/>
      </c>
      <c r="AV18" s="9" t="str">
        <f>IFERROR(INDEX(羁绊设计!$F:$F,MATCH(羁绊设计!CT18,羁绊设计!$D:$D,0)),"")</f>
        <v/>
      </c>
      <c r="AW18" s="9" t="str">
        <f>IFERROR(INDEX(羁绊设计!$F:$F,MATCH(羁绊设计!CU18,羁绊设计!$D:$D,0)),"")</f>
        <v/>
      </c>
    </row>
    <row r="19" spans="2:49">
      <c r="B19" s="12" t="str">
        <f>羁绊设计!D19</f>
        <v>专诸</v>
      </c>
      <c r="C19" s="7" t="str">
        <f t="shared" si="1"/>
        <v/>
      </c>
      <c r="D19" s="7">
        <f t="shared" si="1"/>
        <v>1</v>
      </c>
      <c r="E19" s="7">
        <f t="shared" si="0"/>
        <v>3</v>
      </c>
      <c r="F19" s="7">
        <f t="shared" si="0"/>
        <v>3</v>
      </c>
      <c r="G19" s="7" t="str">
        <f t="shared" si="0"/>
        <v/>
      </c>
      <c r="I19" s="9" t="str">
        <f t="shared" si="2"/>
        <v>蓝,紫,橙,橙,橙,紫,紫</v>
      </c>
      <c r="K19" s="9" t="str">
        <f>IFERROR(INDEX(羁绊设计!$F:$F,MATCH(羁绊设计!BI19,羁绊设计!$D:$D,0)),"")</f>
        <v>蓝</v>
      </c>
      <c r="L19" s="9" t="str">
        <f>IFERROR(INDEX(羁绊设计!$F:$F,MATCH(羁绊设计!BJ19,羁绊设计!$D:$D,0)),"")</f>
        <v>紫</v>
      </c>
      <c r="M19" s="9" t="str">
        <f>IFERROR(INDEX(羁绊设计!$F:$F,MATCH(羁绊设计!BK19,羁绊设计!$D:$D,0)),"")</f>
        <v>橙</v>
      </c>
      <c r="N19" s="9" t="str">
        <f>IFERROR(INDEX(羁绊设计!$F:$F,MATCH(羁绊设计!BL19,羁绊设计!$D:$D,0)),"")</f>
        <v>橙</v>
      </c>
      <c r="P19" s="9" t="str">
        <f>IFERROR(INDEX(羁绊设计!$F:$F,MATCH(羁绊设计!BN19,羁绊设计!$D:$D,0)),"")</f>
        <v>橙</v>
      </c>
      <c r="Q19" s="9" t="str">
        <f>IFERROR(INDEX(羁绊设计!$F:$F,MATCH(羁绊设计!BO19,羁绊设计!$D:$D,0)),"")</f>
        <v/>
      </c>
      <c r="R19" s="9" t="str">
        <f>IFERROR(INDEX(羁绊设计!$F:$F,MATCH(羁绊设计!BP19,羁绊设计!$D:$D,0)),"")</f>
        <v/>
      </c>
      <c r="S19" s="9" t="str">
        <f>IFERROR(INDEX(羁绊设计!$F:$F,MATCH(羁绊设计!BQ19,羁绊设计!$D:$D,0)),"")</f>
        <v/>
      </c>
      <c r="U19" s="9" t="str">
        <f>IFERROR(INDEX(羁绊设计!$F:$F,MATCH(羁绊设计!BS19,羁绊设计!$D:$D,0)),"")</f>
        <v>紫</v>
      </c>
      <c r="V19" s="9" t="str">
        <f>IFERROR(INDEX(羁绊设计!$F:$F,MATCH(羁绊设计!BT19,羁绊设计!$D:$D,0)),"")</f>
        <v/>
      </c>
      <c r="W19" s="9" t="str">
        <f>IFERROR(INDEX(羁绊设计!$F:$F,MATCH(羁绊设计!BU19,羁绊设计!$D:$D,0)),"")</f>
        <v/>
      </c>
      <c r="X19" s="9" t="str">
        <f>IFERROR(INDEX(羁绊设计!$F:$F,MATCH(羁绊设计!BV19,羁绊设计!$D:$D,0)),"")</f>
        <v>紫</v>
      </c>
      <c r="Z19" s="9" t="str">
        <f>IFERROR(INDEX(羁绊设计!$F:$F,MATCH(羁绊设计!BX19,羁绊设计!$D:$D,0)),"")</f>
        <v/>
      </c>
      <c r="AA19" s="9" t="str">
        <f>IFERROR(INDEX(羁绊设计!$F:$F,MATCH(羁绊设计!BY19,羁绊设计!$D:$D,0)),"")</f>
        <v/>
      </c>
      <c r="AB19" s="9" t="str">
        <f>IFERROR(INDEX(羁绊设计!$F:$F,MATCH(羁绊设计!BZ19,羁绊设计!$D:$D,0)),"")</f>
        <v/>
      </c>
      <c r="AC19" s="9" t="str">
        <f>IFERROR(INDEX(羁绊设计!$F:$F,MATCH(羁绊设计!CA19,羁绊设计!$D:$D,0)),"")</f>
        <v/>
      </c>
      <c r="AE19" s="9" t="str">
        <f>IFERROR(INDEX(羁绊设计!$F:$F,MATCH(羁绊设计!CC19,羁绊设计!$D:$D,0)),"")</f>
        <v/>
      </c>
      <c r="AF19" s="9" t="str">
        <f>IFERROR(INDEX(羁绊设计!$F:$F,MATCH(羁绊设计!CD19,羁绊设计!$D:$D,0)),"")</f>
        <v/>
      </c>
      <c r="AG19" s="9" t="str">
        <f>IFERROR(INDEX(羁绊设计!$F:$F,MATCH(羁绊设计!CE19,羁绊设计!$D:$D,0)),"")</f>
        <v/>
      </c>
      <c r="AH19" s="9" t="str">
        <f>IFERROR(INDEX(羁绊设计!$F:$F,MATCH(羁绊设计!CF19,羁绊设计!$D:$D,0)),"")</f>
        <v/>
      </c>
      <c r="AJ19" s="9" t="str">
        <f>IFERROR(INDEX(羁绊设计!$F:$F,MATCH(羁绊设计!CH19,羁绊设计!$D:$D,0)),"")</f>
        <v/>
      </c>
      <c r="AK19" s="9" t="str">
        <f>IFERROR(INDEX(羁绊设计!$F:$F,MATCH(羁绊设计!CI19,羁绊设计!$D:$D,0)),"")</f>
        <v/>
      </c>
      <c r="AL19" s="9" t="str">
        <f>IFERROR(INDEX(羁绊设计!$F:$F,MATCH(羁绊设计!CJ19,羁绊设计!$D:$D,0)),"")</f>
        <v/>
      </c>
      <c r="AM19" s="9" t="str">
        <f>IFERROR(INDEX(羁绊设计!$F:$F,MATCH(羁绊设计!CK19,羁绊设计!$D:$D,0)),"")</f>
        <v/>
      </c>
      <c r="AO19" s="9" t="str">
        <f>IFERROR(INDEX(羁绊设计!$F:$F,MATCH(羁绊设计!CM19,羁绊设计!$D:$D,0)),"")</f>
        <v/>
      </c>
      <c r="AP19" s="9" t="str">
        <f>IFERROR(INDEX(羁绊设计!$F:$F,MATCH(羁绊设计!CN19,羁绊设计!$D:$D,0)),"")</f>
        <v/>
      </c>
      <c r="AQ19" s="9" t="str">
        <f>IFERROR(INDEX(羁绊设计!$F:$F,MATCH(羁绊设计!CO19,羁绊设计!$D:$D,0)),"")</f>
        <v/>
      </c>
      <c r="AR19" s="9" t="str">
        <f>IFERROR(INDEX(羁绊设计!$F:$F,MATCH(羁绊设计!CP19,羁绊设计!$D:$D,0)),"")</f>
        <v/>
      </c>
      <c r="AT19" s="9" t="str">
        <f>IFERROR(INDEX(羁绊设计!$F:$F,MATCH(羁绊设计!CR19,羁绊设计!$D:$D,0)),"")</f>
        <v/>
      </c>
      <c r="AU19" s="9" t="str">
        <f>IFERROR(INDEX(羁绊设计!$F:$F,MATCH(羁绊设计!CS19,羁绊设计!$D:$D,0)),"")</f>
        <v/>
      </c>
      <c r="AV19" s="9" t="str">
        <f>IFERROR(INDEX(羁绊设计!$F:$F,MATCH(羁绊设计!CT19,羁绊设计!$D:$D,0)),"")</f>
        <v/>
      </c>
      <c r="AW19" s="9" t="str">
        <f>IFERROR(INDEX(羁绊设计!$F:$F,MATCH(羁绊设计!CU19,羁绊设计!$D:$D,0)),"")</f>
        <v/>
      </c>
    </row>
    <row r="20" spans="2:49">
      <c r="B20" s="12" t="str">
        <f>羁绊设计!D20</f>
        <v>吕雉</v>
      </c>
      <c r="C20" s="7" t="str">
        <f t="shared" si="1"/>
        <v/>
      </c>
      <c r="D20" s="7" t="str">
        <f t="shared" si="1"/>
        <v/>
      </c>
      <c r="E20" s="7">
        <f t="shared" si="0"/>
        <v>1</v>
      </c>
      <c r="F20" s="7">
        <f t="shared" si="0"/>
        <v>8</v>
      </c>
      <c r="G20" s="7" t="str">
        <f t="shared" si="0"/>
        <v/>
      </c>
      <c r="I20" s="9" t="str">
        <f t="shared" si="2"/>
        <v>橙+,橙,橙,橙,橙,橙,橙,紫,橙,橙,橙+,橙+</v>
      </c>
      <c r="K20" s="9" t="str">
        <f>IFERROR(INDEX(羁绊设计!$F:$F,MATCH(羁绊设计!BI20,羁绊设计!$D:$D,0)),"")</f>
        <v>橙+</v>
      </c>
      <c r="L20" s="9" t="str">
        <f>IFERROR(INDEX(羁绊设计!$F:$F,MATCH(羁绊设计!BJ20,羁绊设计!$D:$D,0)),"")</f>
        <v>橙</v>
      </c>
      <c r="M20" s="9" t="str">
        <f>IFERROR(INDEX(羁绊设计!$F:$F,MATCH(羁绊设计!BK20,羁绊设计!$D:$D,0)),"")</f>
        <v>橙</v>
      </c>
      <c r="N20" s="9" t="str">
        <f>IFERROR(INDEX(羁绊设计!$F:$F,MATCH(羁绊设计!BL20,羁绊设计!$D:$D,0)),"")</f>
        <v/>
      </c>
      <c r="P20" s="9" t="str">
        <f>IFERROR(INDEX(羁绊设计!$F:$F,MATCH(羁绊设计!BN20,羁绊设计!$D:$D,0)),"")</f>
        <v/>
      </c>
      <c r="Q20" s="9" t="str">
        <f>IFERROR(INDEX(羁绊设计!$F:$F,MATCH(羁绊设计!BO20,羁绊设计!$D:$D,0)),"")</f>
        <v>橙</v>
      </c>
      <c r="R20" s="9" t="str">
        <f>IFERROR(INDEX(羁绊设计!$F:$F,MATCH(羁绊设计!BP20,羁绊设计!$D:$D,0)),"")</f>
        <v>橙</v>
      </c>
      <c r="S20" s="9" t="str">
        <f>IFERROR(INDEX(羁绊设计!$F:$F,MATCH(羁绊设计!BQ20,羁绊设计!$D:$D,0)),"")</f>
        <v/>
      </c>
      <c r="U20" s="9" t="str">
        <f>IFERROR(INDEX(羁绊设计!$F:$F,MATCH(羁绊设计!BS20,羁绊设计!$D:$D,0)),"")</f>
        <v/>
      </c>
      <c r="V20" s="9" t="str">
        <f>IFERROR(INDEX(羁绊设计!$F:$F,MATCH(羁绊设计!BT20,羁绊设计!$D:$D,0)),"")</f>
        <v>橙</v>
      </c>
      <c r="W20" s="9" t="str">
        <f>IFERROR(INDEX(羁绊设计!$F:$F,MATCH(羁绊设计!BU20,羁绊设计!$D:$D,0)),"")</f>
        <v>橙</v>
      </c>
      <c r="X20" s="9" t="str">
        <f>IFERROR(INDEX(羁绊设计!$F:$F,MATCH(羁绊设计!BV20,羁绊设计!$D:$D,0)),"")</f>
        <v/>
      </c>
      <c r="Z20" s="9" t="str">
        <f>IFERROR(INDEX(羁绊设计!$F:$F,MATCH(羁绊设计!BX20,羁绊设计!$D:$D,0)),"")</f>
        <v/>
      </c>
      <c r="AA20" s="9" t="str">
        <f>IFERROR(INDEX(羁绊设计!$F:$F,MATCH(羁绊设计!BY20,羁绊设计!$D:$D,0)),"")</f>
        <v>紫</v>
      </c>
      <c r="AB20" s="9" t="str">
        <f>IFERROR(INDEX(羁绊设计!$F:$F,MATCH(羁绊设计!BZ20,羁绊设计!$D:$D,0)),"")</f>
        <v/>
      </c>
      <c r="AC20" s="9" t="str">
        <f>IFERROR(INDEX(羁绊设计!$F:$F,MATCH(羁绊设计!CA20,羁绊设计!$D:$D,0)),"")</f>
        <v/>
      </c>
      <c r="AE20" s="9" t="str">
        <f>IFERROR(INDEX(羁绊设计!$F:$F,MATCH(羁绊设计!CC20,羁绊设计!$D:$D,0)),"")</f>
        <v/>
      </c>
      <c r="AF20" s="9" t="str">
        <f>IFERROR(INDEX(羁绊设计!$F:$F,MATCH(羁绊设计!CD20,羁绊设计!$D:$D,0)),"")</f>
        <v/>
      </c>
      <c r="AG20" s="9" t="str">
        <f>IFERROR(INDEX(羁绊设计!$F:$F,MATCH(羁绊设计!CE20,羁绊设计!$D:$D,0)),"")</f>
        <v>橙</v>
      </c>
      <c r="AH20" s="9" t="str">
        <f>IFERROR(INDEX(羁绊设计!$F:$F,MATCH(羁绊设计!CF20,羁绊设计!$D:$D,0)),"")</f>
        <v/>
      </c>
      <c r="AJ20" s="9" t="str">
        <f>IFERROR(INDEX(羁绊设计!$F:$F,MATCH(羁绊设计!CH20,羁绊设计!$D:$D,0)),"")</f>
        <v/>
      </c>
      <c r="AK20" s="9" t="str">
        <f>IFERROR(INDEX(羁绊设计!$F:$F,MATCH(羁绊设计!CI20,羁绊设计!$D:$D,0)),"")</f>
        <v>橙</v>
      </c>
      <c r="AL20" s="9" t="str">
        <f>IFERROR(INDEX(羁绊设计!$F:$F,MATCH(羁绊设计!CJ20,羁绊设计!$D:$D,0)),"")</f>
        <v>橙+</v>
      </c>
      <c r="AM20" s="9" t="str">
        <f>IFERROR(INDEX(羁绊设计!$F:$F,MATCH(羁绊设计!CK20,羁绊设计!$D:$D,0)),"")</f>
        <v/>
      </c>
      <c r="AO20" s="9" t="str">
        <f>IFERROR(INDEX(羁绊设计!$F:$F,MATCH(羁绊设计!CM20,羁绊设计!$D:$D,0)),"")</f>
        <v>橙+</v>
      </c>
      <c r="AP20" s="9" t="str">
        <f>IFERROR(INDEX(羁绊设计!$F:$F,MATCH(羁绊设计!CN20,羁绊设计!$D:$D,0)),"")</f>
        <v/>
      </c>
      <c r="AQ20" s="9" t="str">
        <f>IFERROR(INDEX(羁绊设计!$F:$F,MATCH(羁绊设计!CO20,羁绊设计!$D:$D,0)),"")</f>
        <v/>
      </c>
      <c r="AR20" s="9" t="str">
        <f>IFERROR(INDEX(羁绊设计!$F:$F,MATCH(羁绊设计!CP20,羁绊设计!$D:$D,0)),"")</f>
        <v/>
      </c>
      <c r="AT20" s="9" t="str">
        <f>IFERROR(INDEX(羁绊设计!$F:$F,MATCH(羁绊设计!CR20,羁绊设计!$D:$D,0)),"")</f>
        <v/>
      </c>
      <c r="AU20" s="9" t="str">
        <f>IFERROR(INDEX(羁绊设计!$F:$F,MATCH(羁绊设计!CS20,羁绊设计!$D:$D,0)),"")</f>
        <v/>
      </c>
      <c r="AV20" s="9" t="str">
        <f>IFERROR(INDEX(羁绊设计!$F:$F,MATCH(羁绊设计!CT20,羁绊设计!$D:$D,0)),"")</f>
        <v/>
      </c>
      <c r="AW20" s="9" t="str">
        <f>IFERROR(INDEX(羁绊设计!$F:$F,MATCH(羁绊设计!CU20,羁绊设计!$D:$D,0)),"")</f>
        <v/>
      </c>
    </row>
    <row r="21" spans="2:49">
      <c r="B21" s="12" t="str">
        <f>羁绊设计!D21</f>
        <v>养由基</v>
      </c>
      <c r="C21" s="7" t="str">
        <f t="shared" si="1"/>
        <v/>
      </c>
      <c r="D21" s="7" t="str">
        <f t="shared" si="1"/>
        <v/>
      </c>
      <c r="E21" s="7" t="str">
        <f t="shared" si="0"/>
        <v/>
      </c>
      <c r="F21" s="7">
        <f t="shared" si="0"/>
        <v>3</v>
      </c>
      <c r="G21" s="7" t="str">
        <f t="shared" si="0"/>
        <v/>
      </c>
      <c r="I21" s="9" t="str">
        <f t="shared" si="2"/>
        <v>橙+,橙+,橙,橙,橙,橙+,橙+</v>
      </c>
      <c r="K21" s="9" t="str">
        <f>IFERROR(INDEX(羁绊设计!$F:$F,MATCH(羁绊设计!BI21,羁绊设计!$D:$D,0)),"")</f>
        <v>橙+</v>
      </c>
      <c r="L21" s="9" t="str">
        <f>IFERROR(INDEX(羁绊设计!$F:$F,MATCH(羁绊设计!BJ21,羁绊设计!$D:$D,0)),"")</f>
        <v>橙+</v>
      </c>
      <c r="M21" s="9" t="str">
        <f>IFERROR(INDEX(羁绊设计!$F:$F,MATCH(羁绊设计!BK21,羁绊设计!$D:$D,0)),"")</f>
        <v/>
      </c>
      <c r="N21" s="9" t="str">
        <f>IFERROR(INDEX(羁绊设计!$F:$F,MATCH(羁绊设计!BL21,羁绊设计!$D:$D,0)),"")</f>
        <v/>
      </c>
      <c r="P21" s="9" t="str">
        <f>IFERROR(INDEX(羁绊设计!$F:$F,MATCH(羁绊设计!BN21,羁绊设计!$D:$D,0)),"")</f>
        <v/>
      </c>
      <c r="Q21" s="9" t="str">
        <f>IFERROR(INDEX(羁绊设计!$F:$F,MATCH(羁绊设计!BO21,羁绊设计!$D:$D,0)),"")</f>
        <v>橙</v>
      </c>
      <c r="R21" s="9" t="str">
        <f>IFERROR(INDEX(羁绊设计!$F:$F,MATCH(羁绊设计!BP21,羁绊设计!$D:$D,0)),"")</f>
        <v>橙</v>
      </c>
      <c r="S21" s="9" t="str">
        <f>IFERROR(INDEX(羁绊设计!$F:$F,MATCH(羁绊设计!BQ21,羁绊设计!$D:$D,0)),"")</f>
        <v/>
      </c>
      <c r="U21" s="9" t="str">
        <f>IFERROR(INDEX(羁绊设计!$F:$F,MATCH(羁绊设计!BS21,羁绊设计!$D:$D,0)),"")</f>
        <v/>
      </c>
      <c r="V21" s="9" t="str">
        <f>IFERROR(INDEX(羁绊设计!$F:$F,MATCH(羁绊设计!BT21,羁绊设计!$D:$D,0)),"")</f>
        <v>橙</v>
      </c>
      <c r="W21" s="9" t="str">
        <f>IFERROR(INDEX(羁绊设计!$F:$F,MATCH(羁绊设计!BU21,羁绊设计!$D:$D,0)),"")</f>
        <v/>
      </c>
      <c r="X21" s="9" t="str">
        <f>IFERROR(INDEX(羁绊设计!$F:$F,MATCH(羁绊设计!BV21,羁绊设计!$D:$D,0)),"")</f>
        <v/>
      </c>
      <c r="Z21" s="9" t="str">
        <f>IFERROR(INDEX(羁绊设计!$F:$F,MATCH(羁绊设计!BX21,羁绊设计!$D:$D,0)),"")</f>
        <v>橙+</v>
      </c>
      <c r="AA21" s="9" t="str">
        <f>IFERROR(INDEX(羁绊设计!$F:$F,MATCH(羁绊设计!BY21,羁绊设计!$D:$D,0)),"")</f>
        <v/>
      </c>
      <c r="AB21" s="9" t="str">
        <f>IFERROR(INDEX(羁绊设计!$F:$F,MATCH(羁绊设计!BZ21,羁绊设计!$D:$D,0)),"")</f>
        <v/>
      </c>
      <c r="AC21" s="9" t="str">
        <f>IFERROR(INDEX(羁绊设计!$F:$F,MATCH(羁绊设计!CA21,羁绊设计!$D:$D,0)),"")</f>
        <v/>
      </c>
      <c r="AE21" s="9" t="str">
        <f>IFERROR(INDEX(羁绊设计!$F:$F,MATCH(羁绊设计!CC21,羁绊设计!$D:$D,0)),"")</f>
        <v>橙+</v>
      </c>
      <c r="AF21" s="9" t="str">
        <f>IFERROR(INDEX(羁绊设计!$F:$F,MATCH(羁绊设计!CD21,羁绊设计!$D:$D,0)),"")</f>
        <v/>
      </c>
      <c r="AG21" s="9" t="str">
        <f>IFERROR(INDEX(羁绊设计!$F:$F,MATCH(羁绊设计!CE21,羁绊设计!$D:$D,0)),"")</f>
        <v/>
      </c>
      <c r="AH21" s="9" t="str">
        <f>IFERROR(INDEX(羁绊设计!$F:$F,MATCH(羁绊设计!CF21,羁绊设计!$D:$D,0)),"")</f>
        <v/>
      </c>
      <c r="AJ21" s="9" t="str">
        <f>IFERROR(INDEX(羁绊设计!$F:$F,MATCH(羁绊设计!CH21,羁绊设计!$D:$D,0)),"")</f>
        <v/>
      </c>
      <c r="AK21" s="9" t="str">
        <f>IFERROR(INDEX(羁绊设计!$F:$F,MATCH(羁绊设计!CI21,羁绊设计!$D:$D,0)),"")</f>
        <v/>
      </c>
      <c r="AL21" s="9" t="str">
        <f>IFERROR(INDEX(羁绊设计!$F:$F,MATCH(羁绊设计!CJ21,羁绊设计!$D:$D,0)),"")</f>
        <v/>
      </c>
      <c r="AM21" s="9" t="str">
        <f>IFERROR(INDEX(羁绊设计!$F:$F,MATCH(羁绊设计!CK21,羁绊设计!$D:$D,0)),"")</f>
        <v/>
      </c>
      <c r="AO21" s="9" t="str">
        <f>IFERROR(INDEX(羁绊设计!$F:$F,MATCH(羁绊设计!CM21,羁绊设计!$D:$D,0)),"")</f>
        <v/>
      </c>
      <c r="AP21" s="9" t="str">
        <f>IFERROR(INDEX(羁绊设计!$F:$F,MATCH(羁绊设计!CN21,羁绊设计!$D:$D,0)),"")</f>
        <v/>
      </c>
      <c r="AQ21" s="9" t="str">
        <f>IFERROR(INDEX(羁绊设计!$F:$F,MATCH(羁绊设计!CO21,羁绊设计!$D:$D,0)),"")</f>
        <v/>
      </c>
      <c r="AR21" s="9" t="str">
        <f>IFERROR(INDEX(羁绊设计!$F:$F,MATCH(羁绊设计!CP21,羁绊设计!$D:$D,0)),"")</f>
        <v/>
      </c>
      <c r="AT21" s="9" t="str">
        <f>IFERROR(INDEX(羁绊设计!$F:$F,MATCH(羁绊设计!CR21,羁绊设计!$D:$D,0)),"")</f>
        <v/>
      </c>
      <c r="AU21" s="9" t="str">
        <f>IFERROR(INDEX(羁绊设计!$F:$F,MATCH(羁绊设计!CS21,羁绊设计!$D:$D,0)),"")</f>
        <v/>
      </c>
      <c r="AV21" s="9" t="str">
        <f>IFERROR(INDEX(羁绊设计!$F:$F,MATCH(羁绊设计!CT21,羁绊设计!$D:$D,0)),"")</f>
        <v/>
      </c>
      <c r="AW21" s="9" t="str">
        <f>IFERROR(INDEX(羁绊设计!$F:$F,MATCH(羁绊设计!CU21,羁绊设计!$D:$D,0)),"")</f>
        <v/>
      </c>
    </row>
    <row r="22" spans="2:49">
      <c r="B22" s="12" t="str">
        <f>羁绊设计!D22</f>
        <v>李广</v>
      </c>
      <c r="C22" s="7" t="str">
        <f t="shared" si="1"/>
        <v/>
      </c>
      <c r="D22" s="7" t="str">
        <f t="shared" si="1"/>
        <v/>
      </c>
      <c r="E22" s="7" t="str">
        <f t="shared" si="0"/>
        <v/>
      </c>
      <c r="F22" s="7">
        <f t="shared" si="0"/>
        <v>1</v>
      </c>
      <c r="G22" s="7" t="str">
        <f t="shared" si="0"/>
        <v/>
      </c>
      <c r="I22" s="9" t="str">
        <f t="shared" si="2"/>
        <v>橙+,橙,橙+,橙+,橙+,橙+,橙+</v>
      </c>
      <c r="K22" s="9" t="str">
        <f>IFERROR(INDEX(羁绊设计!$F:$F,MATCH(羁绊设计!BI22,羁绊设计!$D:$D,0)),"")</f>
        <v>橙+</v>
      </c>
      <c r="L22" s="9" t="str">
        <f>IFERROR(INDEX(羁绊设计!$F:$F,MATCH(羁绊设计!BJ22,羁绊设计!$D:$D,0)),"")</f>
        <v>橙</v>
      </c>
      <c r="M22" s="9" t="str">
        <f>IFERROR(INDEX(羁绊设计!$F:$F,MATCH(羁绊设计!BK22,羁绊设计!$D:$D,0)),"")</f>
        <v>橙+</v>
      </c>
      <c r="N22" s="9" t="str">
        <f>IFERROR(INDEX(羁绊设计!$F:$F,MATCH(羁绊设计!BL22,羁绊设计!$D:$D,0)),"")</f>
        <v/>
      </c>
      <c r="P22" s="9" t="str">
        <f>IFERROR(INDEX(羁绊设计!$F:$F,MATCH(羁绊设计!BN22,羁绊设计!$D:$D,0)),"")</f>
        <v/>
      </c>
      <c r="Q22" s="9" t="str">
        <f>IFERROR(INDEX(羁绊设计!$F:$F,MATCH(羁绊设计!BO22,羁绊设计!$D:$D,0)),"")</f>
        <v>橙+</v>
      </c>
      <c r="R22" s="9" t="str">
        <f>IFERROR(INDEX(羁绊设计!$F:$F,MATCH(羁绊设计!BP22,羁绊设计!$D:$D,0)),"")</f>
        <v/>
      </c>
      <c r="S22" s="9" t="str">
        <f>IFERROR(INDEX(羁绊设计!$F:$F,MATCH(羁绊设计!BQ22,羁绊设计!$D:$D,0)),"")</f>
        <v/>
      </c>
      <c r="U22" s="9" t="str">
        <f>IFERROR(INDEX(羁绊设计!$F:$F,MATCH(羁绊设计!BS22,羁绊设计!$D:$D,0)),"")</f>
        <v/>
      </c>
      <c r="V22" s="9" t="str">
        <f>IFERROR(INDEX(羁绊设计!$F:$F,MATCH(羁绊设计!BT22,羁绊设计!$D:$D,0)),"")</f>
        <v>橙+</v>
      </c>
      <c r="W22" s="9" t="str">
        <f>IFERROR(INDEX(羁绊设计!$F:$F,MATCH(羁绊设计!BU22,羁绊设计!$D:$D,0)),"")</f>
        <v/>
      </c>
      <c r="X22" s="9" t="str">
        <f>IFERROR(INDEX(羁绊设计!$F:$F,MATCH(羁绊设计!BV22,羁绊设计!$D:$D,0)),"")</f>
        <v/>
      </c>
      <c r="Z22" s="9" t="str">
        <f>IFERROR(INDEX(羁绊设计!$F:$F,MATCH(羁绊设计!BX22,羁绊设计!$D:$D,0)),"")</f>
        <v/>
      </c>
      <c r="AA22" s="9" t="str">
        <f>IFERROR(INDEX(羁绊设计!$F:$F,MATCH(羁绊设计!BY22,羁绊设计!$D:$D,0)),"")</f>
        <v/>
      </c>
      <c r="AB22" s="9" t="str">
        <f>IFERROR(INDEX(羁绊设计!$F:$F,MATCH(羁绊设计!BZ22,羁绊设计!$D:$D,0)),"")</f>
        <v/>
      </c>
      <c r="AC22" s="9" t="str">
        <f>IFERROR(INDEX(羁绊设计!$F:$F,MATCH(羁绊设计!CA22,羁绊设计!$D:$D,0)),"")</f>
        <v/>
      </c>
      <c r="AE22" s="9" t="str">
        <f>IFERROR(INDEX(羁绊设计!$F:$F,MATCH(羁绊设计!CC22,羁绊设计!$D:$D,0)),"")</f>
        <v/>
      </c>
      <c r="AF22" s="9" t="str">
        <f>IFERROR(INDEX(羁绊设计!$F:$F,MATCH(羁绊设计!CD22,羁绊设计!$D:$D,0)),"")</f>
        <v>橙+</v>
      </c>
      <c r="AG22" s="9" t="str">
        <f>IFERROR(INDEX(羁绊设计!$F:$F,MATCH(羁绊设计!CE22,羁绊设计!$D:$D,0)),"")</f>
        <v/>
      </c>
      <c r="AH22" s="9" t="str">
        <f>IFERROR(INDEX(羁绊设计!$F:$F,MATCH(羁绊设计!CF22,羁绊设计!$D:$D,0)),"")</f>
        <v/>
      </c>
      <c r="AJ22" s="9" t="str">
        <f>IFERROR(INDEX(羁绊设计!$F:$F,MATCH(羁绊设计!CH22,羁绊设计!$D:$D,0)),"")</f>
        <v>橙+</v>
      </c>
      <c r="AK22" s="9" t="str">
        <f>IFERROR(INDEX(羁绊设计!$F:$F,MATCH(羁绊设计!CI22,羁绊设计!$D:$D,0)),"")</f>
        <v/>
      </c>
      <c r="AL22" s="9" t="str">
        <f>IFERROR(INDEX(羁绊设计!$F:$F,MATCH(羁绊设计!CJ22,羁绊设计!$D:$D,0)),"")</f>
        <v/>
      </c>
      <c r="AM22" s="9" t="str">
        <f>IFERROR(INDEX(羁绊设计!$F:$F,MATCH(羁绊设计!CK22,羁绊设计!$D:$D,0)),"")</f>
        <v/>
      </c>
      <c r="AO22" s="9" t="str">
        <f>IFERROR(INDEX(羁绊设计!$F:$F,MATCH(羁绊设计!CM22,羁绊设计!$D:$D,0)),"")</f>
        <v/>
      </c>
      <c r="AP22" s="9" t="str">
        <f>IFERROR(INDEX(羁绊设计!$F:$F,MATCH(羁绊设计!CN22,羁绊设计!$D:$D,0)),"")</f>
        <v/>
      </c>
      <c r="AQ22" s="9" t="str">
        <f>IFERROR(INDEX(羁绊设计!$F:$F,MATCH(羁绊设计!CO22,羁绊设计!$D:$D,0)),"")</f>
        <v/>
      </c>
      <c r="AR22" s="9" t="str">
        <f>IFERROR(INDEX(羁绊设计!$F:$F,MATCH(羁绊设计!CP22,羁绊设计!$D:$D,0)),"")</f>
        <v/>
      </c>
      <c r="AT22" s="9" t="str">
        <f>IFERROR(INDEX(羁绊设计!$F:$F,MATCH(羁绊设计!CR22,羁绊设计!$D:$D,0)),"")</f>
        <v/>
      </c>
      <c r="AU22" s="9" t="str">
        <f>IFERROR(INDEX(羁绊设计!$F:$F,MATCH(羁绊设计!CS22,羁绊设计!$D:$D,0)),"")</f>
        <v/>
      </c>
      <c r="AV22" s="9" t="str">
        <f>IFERROR(INDEX(羁绊设计!$F:$F,MATCH(羁绊设计!CT22,羁绊设计!$D:$D,0)),"")</f>
        <v/>
      </c>
      <c r="AW22" s="9" t="str">
        <f>IFERROR(INDEX(羁绊设计!$F:$F,MATCH(羁绊设计!CU22,羁绊设计!$D:$D,0)),"")</f>
        <v/>
      </c>
    </row>
    <row r="23" spans="2:49">
      <c r="B23" s="12" t="str">
        <f>羁绊设计!D23</f>
        <v>楚庄王</v>
      </c>
      <c r="C23" s="7" t="str">
        <f t="shared" si="1"/>
        <v/>
      </c>
      <c r="D23" s="7" t="str">
        <f t="shared" si="1"/>
        <v/>
      </c>
      <c r="E23" s="7">
        <f t="shared" si="0"/>
        <v>1</v>
      </c>
      <c r="F23" s="7">
        <f t="shared" si="0"/>
        <v>6</v>
      </c>
      <c r="G23" s="7">
        <f t="shared" si="0"/>
        <v>2</v>
      </c>
      <c r="I23" s="9" t="str">
        <f t="shared" si="2"/>
        <v>橙,橙,橙,橙,紫,橙+,橙+,红,橙,红,橙</v>
      </c>
      <c r="K23" s="9" t="str">
        <f>IFERROR(INDEX(羁绊设计!$F:$F,MATCH(羁绊设计!BI23,羁绊设计!$D:$D,0)),"")</f>
        <v>橙</v>
      </c>
      <c r="L23" s="9" t="str">
        <f>IFERROR(INDEX(羁绊设计!$F:$F,MATCH(羁绊设计!BJ23,羁绊设计!$D:$D,0)),"")</f>
        <v>橙</v>
      </c>
      <c r="M23" s="9" t="str">
        <f>IFERROR(INDEX(羁绊设计!$F:$F,MATCH(羁绊设计!BK23,羁绊设计!$D:$D,0)),"")</f>
        <v/>
      </c>
      <c r="N23" s="9" t="str">
        <f>IFERROR(INDEX(羁绊设计!$F:$F,MATCH(羁绊设计!BL23,羁绊设计!$D:$D,0)),"")</f>
        <v/>
      </c>
      <c r="P23" s="9" t="str">
        <f>IFERROR(INDEX(羁绊设计!$F:$F,MATCH(羁绊设计!BN23,羁绊设计!$D:$D,0)),"")</f>
        <v/>
      </c>
      <c r="Q23" s="9" t="str">
        <f>IFERROR(INDEX(羁绊设计!$F:$F,MATCH(羁绊设计!BO23,羁绊设计!$D:$D,0)),"")</f>
        <v>橙</v>
      </c>
      <c r="R23" s="9" t="str">
        <f>IFERROR(INDEX(羁绊设计!$F:$F,MATCH(羁绊设计!BP23,羁绊设计!$D:$D,0)),"")</f>
        <v>橙</v>
      </c>
      <c r="S23" s="9" t="str">
        <f>IFERROR(INDEX(羁绊设计!$F:$F,MATCH(羁绊设计!BQ23,羁绊设计!$D:$D,0)),"")</f>
        <v/>
      </c>
      <c r="U23" s="9" t="str">
        <f>IFERROR(INDEX(羁绊设计!$F:$F,MATCH(羁绊设计!BS23,羁绊设计!$D:$D,0)),"")</f>
        <v/>
      </c>
      <c r="V23" s="9" t="str">
        <f>IFERROR(INDEX(羁绊设计!$F:$F,MATCH(羁绊设计!BT23,羁绊设计!$D:$D,0)),"")</f>
        <v>紫</v>
      </c>
      <c r="W23" s="9" t="str">
        <f>IFERROR(INDEX(羁绊设计!$F:$F,MATCH(羁绊设计!BU23,羁绊设计!$D:$D,0)),"")</f>
        <v/>
      </c>
      <c r="X23" s="9" t="str">
        <f>IFERROR(INDEX(羁绊设计!$F:$F,MATCH(羁绊设计!BV23,羁绊设计!$D:$D,0)),"")</f>
        <v/>
      </c>
      <c r="Z23" s="9" t="str">
        <f>IFERROR(INDEX(羁绊设计!$F:$F,MATCH(羁绊设计!BX23,羁绊设计!$D:$D,0)),"")</f>
        <v>橙+</v>
      </c>
      <c r="AA23" s="9" t="str">
        <f>IFERROR(INDEX(羁绊设计!$F:$F,MATCH(羁绊设计!BY23,羁绊设计!$D:$D,0)),"")</f>
        <v/>
      </c>
      <c r="AB23" s="9" t="str">
        <f>IFERROR(INDEX(羁绊设计!$F:$F,MATCH(羁绊设计!BZ23,羁绊设计!$D:$D,0)),"")</f>
        <v/>
      </c>
      <c r="AC23" s="9" t="str">
        <f>IFERROR(INDEX(羁绊设计!$F:$F,MATCH(羁绊设计!CA23,羁绊设计!$D:$D,0)),"")</f>
        <v/>
      </c>
      <c r="AE23" s="9" t="str">
        <f>IFERROR(INDEX(羁绊设计!$F:$F,MATCH(羁绊设计!CC23,羁绊设计!$D:$D,0)),"")</f>
        <v>橙+</v>
      </c>
      <c r="AF23" s="9" t="str">
        <f>IFERROR(INDEX(羁绊设计!$F:$F,MATCH(羁绊设计!CD23,羁绊设计!$D:$D,0)),"")</f>
        <v/>
      </c>
      <c r="AG23" s="9" t="str">
        <f>IFERROR(INDEX(羁绊设计!$F:$F,MATCH(羁绊设计!CE23,羁绊设计!$D:$D,0)),"")</f>
        <v/>
      </c>
      <c r="AH23" s="9" t="str">
        <f>IFERROR(INDEX(羁绊设计!$F:$F,MATCH(羁绊设计!CF23,羁绊设计!$D:$D,0)),"")</f>
        <v/>
      </c>
      <c r="AJ23" s="9" t="str">
        <f>IFERROR(INDEX(羁绊设计!$F:$F,MATCH(羁绊设计!CH23,羁绊设计!$D:$D,0)),"")</f>
        <v/>
      </c>
      <c r="AK23" s="9" t="str">
        <f>IFERROR(INDEX(羁绊设计!$F:$F,MATCH(羁绊设计!CI23,羁绊设计!$D:$D,0)),"")</f>
        <v/>
      </c>
      <c r="AL23" s="9" t="str">
        <f>IFERROR(INDEX(羁绊设计!$F:$F,MATCH(羁绊设计!CJ23,羁绊设计!$D:$D,0)),"")</f>
        <v/>
      </c>
      <c r="AM23" s="9" t="str">
        <f>IFERROR(INDEX(羁绊设计!$F:$F,MATCH(羁绊设计!CK23,羁绊设计!$D:$D,0)),"")</f>
        <v/>
      </c>
      <c r="AO23" s="9" t="str">
        <f>IFERROR(INDEX(羁绊设计!$F:$F,MATCH(羁绊设计!CM23,羁绊设计!$D:$D,0)),"")</f>
        <v>红</v>
      </c>
      <c r="AP23" s="9" t="str">
        <f>IFERROR(INDEX(羁绊设计!$F:$F,MATCH(羁绊设计!CN23,羁绊设计!$D:$D,0)),"")</f>
        <v/>
      </c>
      <c r="AQ23" s="9" t="str">
        <f>IFERROR(INDEX(羁绊设计!$F:$F,MATCH(羁绊设计!CO23,羁绊设计!$D:$D,0)),"")</f>
        <v>橙</v>
      </c>
      <c r="AR23" s="9" t="str">
        <f>IFERROR(INDEX(羁绊设计!$F:$F,MATCH(羁绊设计!CP23,羁绊设计!$D:$D,0)),"")</f>
        <v/>
      </c>
      <c r="AT23" s="9" t="str">
        <f>IFERROR(INDEX(羁绊设计!$F:$F,MATCH(羁绊设计!CR23,羁绊设计!$D:$D,0)),"")</f>
        <v>红</v>
      </c>
      <c r="AU23" s="9" t="str">
        <f>IFERROR(INDEX(羁绊设计!$F:$F,MATCH(羁绊设计!CS23,羁绊设计!$D:$D,0)),"")</f>
        <v/>
      </c>
      <c r="AV23" s="9" t="str">
        <f>IFERROR(INDEX(羁绊设计!$F:$F,MATCH(羁绊设计!CT23,羁绊设计!$D:$D,0)),"")</f>
        <v>橙</v>
      </c>
      <c r="AW23" s="9" t="str">
        <f>IFERROR(INDEX(羁绊设计!$F:$F,MATCH(羁绊设计!CU23,羁绊设计!$D:$D,0)),"")</f>
        <v/>
      </c>
    </row>
    <row r="24" spans="2:49">
      <c r="B24" s="12" t="str">
        <f>羁绊设计!D24</f>
        <v>田单</v>
      </c>
      <c r="C24" s="7" t="str">
        <f t="shared" si="1"/>
        <v/>
      </c>
      <c r="D24" s="7" t="str">
        <f t="shared" si="1"/>
        <v/>
      </c>
      <c r="E24" s="7">
        <f t="shared" si="0"/>
        <v>1</v>
      </c>
      <c r="F24" s="7">
        <f t="shared" si="0"/>
        <v>10</v>
      </c>
      <c r="G24" s="7" t="str">
        <f t="shared" si="0"/>
        <v/>
      </c>
      <c r="I24" s="9" t="str">
        <f t="shared" si="2"/>
        <v>紫,橙,橙,橙,橙,橙+,橙,橙+,橙+,橙,橙,橙,橙,橙</v>
      </c>
      <c r="K24" s="9" t="str">
        <f>IFERROR(INDEX(羁绊设计!$F:$F,MATCH(羁绊设计!BI24,羁绊设计!$D:$D,0)),"")</f>
        <v>紫</v>
      </c>
      <c r="L24" s="9" t="str">
        <f>IFERROR(INDEX(羁绊设计!$F:$F,MATCH(羁绊设计!BJ24,羁绊设计!$D:$D,0)),"")</f>
        <v>橙</v>
      </c>
      <c r="M24" s="9" t="str">
        <f>IFERROR(INDEX(羁绊设计!$F:$F,MATCH(羁绊设计!BK24,羁绊设计!$D:$D,0)),"")</f>
        <v/>
      </c>
      <c r="N24" s="9" t="str">
        <f>IFERROR(INDEX(羁绊设计!$F:$F,MATCH(羁绊设计!BL24,羁绊设计!$D:$D,0)),"")</f>
        <v/>
      </c>
      <c r="P24" s="9" t="str">
        <f>IFERROR(INDEX(羁绊设计!$F:$F,MATCH(羁绊设计!BN24,羁绊设计!$D:$D,0)),"")</f>
        <v/>
      </c>
      <c r="Q24" s="9" t="str">
        <f>IFERROR(INDEX(羁绊设计!$F:$F,MATCH(羁绊设计!BO24,羁绊设计!$D:$D,0)),"")</f>
        <v>橙</v>
      </c>
      <c r="R24" s="9" t="str">
        <f>IFERROR(INDEX(羁绊设计!$F:$F,MATCH(羁绊设计!BP24,羁绊设计!$D:$D,0)),"")</f>
        <v>橙</v>
      </c>
      <c r="S24" s="9" t="str">
        <f>IFERROR(INDEX(羁绊设计!$F:$F,MATCH(羁绊设计!BQ24,羁绊设计!$D:$D,0)),"")</f>
        <v/>
      </c>
      <c r="U24" s="9" t="str">
        <f>IFERROR(INDEX(羁绊设计!$F:$F,MATCH(羁绊设计!BS24,羁绊设计!$D:$D,0)),"")</f>
        <v/>
      </c>
      <c r="V24" s="9" t="str">
        <f>IFERROR(INDEX(羁绊设计!$F:$F,MATCH(羁绊设计!BT24,羁绊设计!$D:$D,0)),"")</f>
        <v>橙</v>
      </c>
      <c r="W24" s="9" t="str">
        <f>IFERROR(INDEX(羁绊设计!$F:$F,MATCH(羁绊设计!BU24,羁绊设计!$D:$D,0)),"")</f>
        <v/>
      </c>
      <c r="X24" s="9" t="str">
        <f>IFERROR(INDEX(羁绊设计!$F:$F,MATCH(羁绊设计!BV24,羁绊设计!$D:$D,0)),"")</f>
        <v/>
      </c>
      <c r="Z24" s="9" t="str">
        <f>IFERROR(INDEX(羁绊设计!$F:$F,MATCH(羁绊设计!BX24,羁绊设计!$D:$D,0)),"")</f>
        <v>橙+</v>
      </c>
      <c r="AA24" s="9" t="str">
        <f>IFERROR(INDEX(羁绊设计!$F:$F,MATCH(羁绊设计!BY24,羁绊设计!$D:$D,0)),"")</f>
        <v/>
      </c>
      <c r="AB24" s="9" t="str">
        <f>IFERROR(INDEX(羁绊设计!$F:$F,MATCH(羁绊设计!BZ24,羁绊设计!$D:$D,0)),"")</f>
        <v>橙</v>
      </c>
      <c r="AC24" s="9" t="str">
        <f>IFERROR(INDEX(羁绊设计!$F:$F,MATCH(羁绊设计!CA24,羁绊设计!$D:$D,0)),"")</f>
        <v/>
      </c>
      <c r="AE24" s="9" t="str">
        <f>IFERROR(INDEX(羁绊设计!$F:$F,MATCH(羁绊设计!CC24,羁绊设计!$D:$D,0)),"")</f>
        <v>橙+</v>
      </c>
      <c r="AF24" s="9" t="str">
        <f>IFERROR(INDEX(羁绊设计!$F:$F,MATCH(羁绊设计!CD24,羁绊设计!$D:$D,0)),"")</f>
        <v/>
      </c>
      <c r="AG24" s="9" t="str">
        <f>IFERROR(INDEX(羁绊设计!$F:$F,MATCH(羁绊设计!CE24,羁绊设计!$D:$D,0)),"")</f>
        <v/>
      </c>
      <c r="AH24" s="9" t="str">
        <f>IFERROR(INDEX(羁绊设计!$F:$F,MATCH(羁绊设计!CF24,羁绊设计!$D:$D,0)),"")</f>
        <v/>
      </c>
      <c r="AJ24" s="9" t="str">
        <f>IFERROR(INDEX(羁绊设计!$F:$F,MATCH(羁绊设计!CH24,羁绊设计!$D:$D,0)),"")</f>
        <v>橙+</v>
      </c>
      <c r="AK24" s="9" t="str">
        <f>IFERROR(INDEX(羁绊设计!$F:$F,MATCH(羁绊设计!CI24,羁绊设计!$D:$D,0)),"")</f>
        <v>橙</v>
      </c>
      <c r="AL24" s="9" t="str">
        <f>IFERROR(INDEX(羁绊设计!$F:$F,MATCH(羁绊设计!CJ24,羁绊设计!$D:$D,0)),"")</f>
        <v/>
      </c>
      <c r="AM24" s="9" t="str">
        <f>IFERROR(INDEX(羁绊设计!$F:$F,MATCH(羁绊设计!CK24,羁绊设计!$D:$D,0)),"")</f>
        <v>橙</v>
      </c>
      <c r="AO24" s="9" t="str">
        <f>IFERROR(INDEX(羁绊设计!$F:$F,MATCH(羁绊设计!CM24,羁绊设计!$D:$D,0)),"")</f>
        <v>橙</v>
      </c>
      <c r="AP24" s="9" t="str">
        <f>IFERROR(INDEX(羁绊设计!$F:$F,MATCH(羁绊设计!CN24,羁绊设计!$D:$D,0)),"")</f>
        <v>橙</v>
      </c>
      <c r="AQ24" s="9" t="str">
        <f>IFERROR(INDEX(羁绊设计!$F:$F,MATCH(羁绊设计!CO24,羁绊设计!$D:$D,0)),"")</f>
        <v/>
      </c>
      <c r="AR24" s="9" t="str">
        <f>IFERROR(INDEX(羁绊设计!$F:$F,MATCH(羁绊设计!CP24,羁绊设计!$D:$D,0)),"")</f>
        <v/>
      </c>
      <c r="AT24" s="9" t="str">
        <f>IFERROR(INDEX(羁绊设计!$F:$F,MATCH(羁绊设计!CR24,羁绊设计!$D:$D,0)),"")</f>
        <v>橙</v>
      </c>
      <c r="AU24" s="9" t="str">
        <f>IFERROR(INDEX(羁绊设计!$F:$F,MATCH(羁绊设计!CS24,羁绊设计!$D:$D,0)),"")</f>
        <v/>
      </c>
      <c r="AV24" s="9" t="str">
        <f>IFERROR(INDEX(羁绊设计!$F:$F,MATCH(羁绊设计!CT24,羁绊设计!$D:$D,0)),"")</f>
        <v/>
      </c>
      <c r="AW24" s="9" t="str">
        <f>IFERROR(INDEX(羁绊设计!$F:$F,MATCH(羁绊设计!CU24,羁绊设计!$D:$D,0)),"")</f>
        <v/>
      </c>
    </row>
    <row r="25" spans="2:49">
      <c r="B25" s="12" t="str">
        <f>羁绊设计!D25</f>
        <v>司马错</v>
      </c>
      <c r="C25" s="7" t="str">
        <f t="shared" si="1"/>
        <v/>
      </c>
      <c r="D25" s="7" t="str">
        <f t="shared" si="1"/>
        <v/>
      </c>
      <c r="E25" s="7">
        <f t="shared" si="1"/>
        <v>1</v>
      </c>
      <c r="F25" s="7">
        <f t="shared" si="1"/>
        <v>10</v>
      </c>
      <c r="G25" s="7" t="str">
        <f t="shared" si="1"/>
        <v/>
      </c>
      <c r="I25" s="9" t="str">
        <f t="shared" si="2"/>
        <v>橙,橙,橙,紫,橙+,橙,橙,橙+,橙,橙,橙+,橙,橙,橙+,橙,橙+</v>
      </c>
      <c r="K25" s="9" t="str">
        <f>IFERROR(INDEX(羁绊设计!$F:$F,MATCH(羁绊设计!BI25,羁绊设计!$D:$D,0)),"")</f>
        <v>橙</v>
      </c>
      <c r="L25" s="9" t="str">
        <f>IFERROR(INDEX(羁绊设计!$F:$F,MATCH(羁绊设计!BJ25,羁绊设计!$D:$D,0)),"")</f>
        <v>橙</v>
      </c>
      <c r="M25" s="9" t="str">
        <f>IFERROR(INDEX(羁绊设计!$F:$F,MATCH(羁绊设计!BK25,羁绊设计!$D:$D,0)),"")</f>
        <v/>
      </c>
      <c r="N25" s="9" t="str">
        <f>IFERROR(INDEX(羁绊设计!$F:$F,MATCH(羁绊设计!BL25,羁绊设计!$D:$D,0)),"")</f>
        <v/>
      </c>
      <c r="P25" s="9" t="str">
        <f>IFERROR(INDEX(羁绊设计!$F:$F,MATCH(羁绊设计!BN25,羁绊设计!$D:$D,0)),"")</f>
        <v>橙</v>
      </c>
      <c r="Q25" s="9" t="str">
        <f>IFERROR(INDEX(羁绊设计!$F:$F,MATCH(羁绊设计!BO25,羁绊设计!$D:$D,0)),"")</f>
        <v/>
      </c>
      <c r="R25" s="9" t="str">
        <f>IFERROR(INDEX(羁绊设计!$F:$F,MATCH(羁绊设计!BP25,羁绊设计!$D:$D,0)),"")</f>
        <v/>
      </c>
      <c r="S25" s="9" t="str">
        <f>IFERROR(INDEX(羁绊设计!$F:$F,MATCH(羁绊设计!BQ25,羁绊设计!$D:$D,0)),"")</f>
        <v/>
      </c>
      <c r="U25" s="9" t="str">
        <f>IFERROR(INDEX(羁绊设计!$F:$F,MATCH(羁绊设计!BS25,羁绊设计!$D:$D,0)),"")</f>
        <v>紫</v>
      </c>
      <c r="V25" s="9" t="str">
        <f>IFERROR(INDEX(羁绊设计!$F:$F,MATCH(羁绊设计!BT25,羁绊设计!$D:$D,0)),"")</f>
        <v/>
      </c>
      <c r="W25" s="9" t="str">
        <f>IFERROR(INDEX(羁绊设计!$F:$F,MATCH(羁绊设计!BU25,羁绊设计!$D:$D,0)),"")</f>
        <v/>
      </c>
      <c r="X25" s="9" t="str">
        <f>IFERROR(INDEX(羁绊设计!$F:$F,MATCH(羁绊设计!BV25,羁绊设计!$D:$D,0)),"")</f>
        <v/>
      </c>
      <c r="Z25" s="9" t="str">
        <f>IFERROR(INDEX(羁绊设计!$F:$F,MATCH(羁绊设计!BX25,羁绊设计!$D:$D,0)),"")</f>
        <v>橙+</v>
      </c>
      <c r="AA25" s="9" t="str">
        <f>IFERROR(INDEX(羁绊设计!$F:$F,MATCH(羁绊设计!BY25,羁绊设计!$D:$D,0)),"")</f>
        <v>橙</v>
      </c>
      <c r="AB25" s="9" t="str">
        <f>IFERROR(INDEX(羁绊设计!$F:$F,MATCH(羁绊设计!BZ25,羁绊设计!$D:$D,0)),"")</f>
        <v/>
      </c>
      <c r="AC25" s="9" t="str">
        <f>IFERROR(INDEX(羁绊设计!$F:$F,MATCH(羁绊设计!CA25,羁绊设计!$D:$D,0)),"")</f>
        <v>橙</v>
      </c>
      <c r="AE25" s="9" t="str">
        <f>IFERROR(INDEX(羁绊设计!$F:$F,MATCH(羁绊设计!CC25,羁绊设计!$D:$D,0)),"")</f>
        <v>橙+</v>
      </c>
      <c r="AF25" s="9" t="str">
        <f>IFERROR(INDEX(羁绊设计!$F:$F,MATCH(羁绊设计!CD25,羁绊设计!$D:$D,0)),"")</f>
        <v>橙</v>
      </c>
      <c r="AG25" s="9" t="str">
        <f>IFERROR(INDEX(羁绊设计!$F:$F,MATCH(羁绊设计!CE25,羁绊设计!$D:$D,0)),"")</f>
        <v/>
      </c>
      <c r="AH25" s="9" t="str">
        <f>IFERROR(INDEX(羁绊设计!$F:$F,MATCH(羁绊设计!CF25,羁绊设计!$D:$D,0)),"")</f>
        <v>橙</v>
      </c>
      <c r="AJ25" s="9" t="str">
        <f>IFERROR(INDEX(羁绊设计!$F:$F,MATCH(羁绊设计!CH25,羁绊设计!$D:$D,0)),"")</f>
        <v>橙+</v>
      </c>
      <c r="AK25" s="9" t="str">
        <f>IFERROR(INDEX(羁绊设计!$F:$F,MATCH(羁绊设计!CI25,羁绊设计!$D:$D,0)),"")</f>
        <v>橙</v>
      </c>
      <c r="AL25" s="9" t="str">
        <f>IFERROR(INDEX(羁绊设计!$F:$F,MATCH(羁绊设计!CJ25,羁绊设计!$D:$D,0)),"")</f>
        <v>橙</v>
      </c>
      <c r="AM25" s="9" t="str">
        <f>IFERROR(INDEX(羁绊设计!$F:$F,MATCH(羁绊设计!CK25,羁绊设计!$D:$D,0)),"")</f>
        <v/>
      </c>
      <c r="AO25" s="9" t="str">
        <f>IFERROR(INDEX(羁绊设计!$F:$F,MATCH(羁绊设计!CM25,羁绊设计!$D:$D,0)),"")</f>
        <v>橙+</v>
      </c>
      <c r="AP25" s="9" t="str">
        <f>IFERROR(INDEX(羁绊设计!$F:$F,MATCH(羁绊设计!CN25,羁绊设计!$D:$D,0)),"")</f>
        <v>橙</v>
      </c>
      <c r="AQ25" s="9" t="str">
        <f>IFERROR(INDEX(羁绊设计!$F:$F,MATCH(羁绊设计!CO25,羁绊设计!$D:$D,0)),"")</f>
        <v/>
      </c>
      <c r="AR25" s="9" t="str">
        <f>IFERROR(INDEX(羁绊设计!$F:$F,MATCH(羁绊设计!CP25,羁绊设计!$D:$D,0)),"")</f>
        <v>橙+</v>
      </c>
      <c r="AT25" s="9" t="str">
        <f>IFERROR(INDEX(羁绊设计!$F:$F,MATCH(羁绊设计!CR25,羁绊设计!$D:$D,0)),"")</f>
        <v/>
      </c>
      <c r="AU25" s="9" t="str">
        <f>IFERROR(INDEX(羁绊设计!$F:$F,MATCH(羁绊设计!CS25,羁绊设计!$D:$D,0)),"")</f>
        <v/>
      </c>
      <c r="AV25" s="9" t="str">
        <f>IFERROR(INDEX(羁绊设计!$F:$F,MATCH(羁绊设计!CT25,羁绊设计!$D:$D,0)),"")</f>
        <v/>
      </c>
      <c r="AW25" s="9" t="str">
        <f>IFERROR(INDEX(羁绊设计!$F:$F,MATCH(羁绊设计!CU25,羁绊设计!$D:$D,0)),"")</f>
        <v/>
      </c>
    </row>
    <row r="26" spans="2:49">
      <c r="B26" s="12" t="str">
        <f>羁绊设计!D26</f>
        <v>吕不韦</v>
      </c>
      <c r="C26" s="7" t="str">
        <f t="shared" si="1"/>
        <v/>
      </c>
      <c r="D26" s="7">
        <f t="shared" si="1"/>
        <v>1</v>
      </c>
      <c r="E26" s="7" t="str">
        <f t="shared" si="1"/>
        <v/>
      </c>
      <c r="F26" s="7">
        <f t="shared" si="1"/>
        <v>10</v>
      </c>
      <c r="G26" s="7" t="str">
        <f t="shared" si="1"/>
        <v/>
      </c>
      <c r="I26" s="9" t="str">
        <f t="shared" si="2"/>
        <v>蓝,橙,橙,橙,橙,橙+,橙,橙,橙+,橙+,橙,橙+,橙,橙+,橙,橙</v>
      </c>
      <c r="K26" s="9" t="str">
        <f>IFERROR(INDEX(羁绊设计!$F:$F,MATCH(羁绊设计!BI26,羁绊设计!$D:$D,0)),"")</f>
        <v>蓝</v>
      </c>
      <c r="L26" s="9" t="str">
        <f>IFERROR(INDEX(羁绊设计!$F:$F,MATCH(羁绊设计!BJ26,羁绊设计!$D:$D,0)),"")</f>
        <v>橙</v>
      </c>
      <c r="M26" s="9" t="str">
        <f>IFERROR(INDEX(羁绊设计!$F:$F,MATCH(羁绊设计!BK26,羁绊设计!$D:$D,0)),"")</f>
        <v/>
      </c>
      <c r="N26" s="9" t="str">
        <f>IFERROR(INDEX(羁绊设计!$F:$F,MATCH(羁绊设计!BL26,羁绊设计!$D:$D,0)),"")</f>
        <v/>
      </c>
      <c r="P26" s="9" t="str">
        <f>IFERROR(INDEX(羁绊设计!$F:$F,MATCH(羁绊设计!BN26,羁绊设计!$D:$D,0)),"")</f>
        <v/>
      </c>
      <c r="Q26" s="9" t="str">
        <f>IFERROR(INDEX(羁绊设计!$F:$F,MATCH(羁绊设计!BO26,羁绊设计!$D:$D,0)),"")</f>
        <v>橙</v>
      </c>
      <c r="R26" s="9" t="str">
        <f>IFERROR(INDEX(羁绊设计!$F:$F,MATCH(羁绊设计!BP26,羁绊设计!$D:$D,0)),"")</f>
        <v>橙</v>
      </c>
      <c r="S26" s="9" t="str">
        <f>IFERROR(INDEX(羁绊设计!$F:$F,MATCH(羁绊设计!BQ26,羁绊设计!$D:$D,0)),"")</f>
        <v/>
      </c>
      <c r="U26" s="9" t="str">
        <f>IFERROR(INDEX(羁绊设计!$F:$F,MATCH(羁绊设计!BS26,羁绊设计!$D:$D,0)),"")</f>
        <v>橙</v>
      </c>
      <c r="V26" s="9" t="str">
        <f>IFERROR(INDEX(羁绊设计!$F:$F,MATCH(羁绊设计!BT26,羁绊设计!$D:$D,0)),"")</f>
        <v/>
      </c>
      <c r="W26" s="9" t="str">
        <f>IFERROR(INDEX(羁绊设计!$F:$F,MATCH(羁绊设计!BU26,羁绊设计!$D:$D,0)),"")</f>
        <v/>
      </c>
      <c r="X26" s="9" t="str">
        <f>IFERROR(INDEX(羁绊设计!$F:$F,MATCH(羁绊设计!BV26,羁绊设计!$D:$D,0)),"")</f>
        <v/>
      </c>
      <c r="Z26" s="9" t="str">
        <f>IFERROR(INDEX(羁绊设计!$F:$F,MATCH(羁绊设计!BX26,羁绊设计!$D:$D,0)),"")</f>
        <v>橙+</v>
      </c>
      <c r="AA26" s="9" t="str">
        <f>IFERROR(INDEX(羁绊设计!$F:$F,MATCH(羁绊设计!BY26,羁绊设计!$D:$D,0)),"")</f>
        <v>橙</v>
      </c>
      <c r="AB26" s="9" t="str">
        <f>IFERROR(INDEX(羁绊设计!$F:$F,MATCH(羁绊设计!BZ26,羁绊设计!$D:$D,0)),"")</f>
        <v>橙</v>
      </c>
      <c r="AC26" s="9" t="str">
        <f>IFERROR(INDEX(羁绊设计!$F:$F,MATCH(羁绊设计!CA26,羁绊设计!$D:$D,0)),"")</f>
        <v/>
      </c>
      <c r="AE26" s="9" t="str">
        <f>IFERROR(INDEX(羁绊设计!$F:$F,MATCH(羁绊设计!CC26,羁绊设计!$D:$D,0)),"")</f>
        <v>橙+</v>
      </c>
      <c r="AF26" s="9" t="str">
        <f>IFERROR(INDEX(羁绊设计!$F:$F,MATCH(羁绊设计!CD26,羁绊设计!$D:$D,0)),"")</f>
        <v/>
      </c>
      <c r="AG26" s="9" t="str">
        <f>IFERROR(INDEX(羁绊设计!$F:$F,MATCH(羁绊设计!CE26,羁绊设计!$D:$D,0)),"")</f>
        <v/>
      </c>
      <c r="AH26" s="9" t="str">
        <f>IFERROR(INDEX(羁绊设计!$F:$F,MATCH(羁绊设计!CF26,羁绊设计!$D:$D,0)),"")</f>
        <v/>
      </c>
      <c r="AJ26" s="9" t="str">
        <f>IFERROR(INDEX(羁绊设计!$F:$F,MATCH(羁绊设计!CH26,羁绊设计!$D:$D,0)),"")</f>
        <v>橙+</v>
      </c>
      <c r="AK26" s="9" t="str">
        <f>IFERROR(INDEX(羁绊设计!$F:$F,MATCH(羁绊设计!CI26,羁绊设计!$D:$D,0)),"")</f>
        <v/>
      </c>
      <c r="AL26" s="9" t="str">
        <f>IFERROR(INDEX(羁绊设计!$F:$F,MATCH(羁绊设计!CJ26,羁绊设计!$D:$D,0)),"")</f>
        <v/>
      </c>
      <c r="AM26" s="9" t="str">
        <f>IFERROR(INDEX(羁绊设计!$F:$F,MATCH(羁绊设计!CK26,羁绊设计!$D:$D,0)),"")</f>
        <v>橙</v>
      </c>
      <c r="AO26" s="9" t="str">
        <f>IFERROR(INDEX(羁绊设计!$F:$F,MATCH(羁绊设计!CM26,羁绊设计!$D:$D,0)),"")</f>
        <v>橙+</v>
      </c>
      <c r="AP26" s="9" t="str">
        <f>IFERROR(INDEX(羁绊设计!$F:$F,MATCH(羁绊设计!CN26,羁绊设计!$D:$D,0)),"")</f>
        <v/>
      </c>
      <c r="AQ26" s="9" t="str">
        <f>IFERROR(INDEX(羁绊设计!$F:$F,MATCH(羁绊设计!CO26,羁绊设计!$D:$D,0)),"")</f>
        <v>橙</v>
      </c>
      <c r="AR26" s="9" t="str">
        <f>IFERROR(INDEX(羁绊设计!$F:$F,MATCH(羁绊设计!CP26,羁绊设计!$D:$D,0)),"")</f>
        <v/>
      </c>
      <c r="AT26" s="9" t="str">
        <f>IFERROR(INDEX(羁绊设计!$F:$F,MATCH(羁绊设计!CR26,羁绊设计!$D:$D,0)),"")</f>
        <v>橙+</v>
      </c>
      <c r="AU26" s="9" t="str">
        <f>IFERROR(INDEX(羁绊设计!$F:$F,MATCH(羁绊设计!CS26,羁绊设计!$D:$D,0)),"")</f>
        <v/>
      </c>
      <c r="AV26" s="9" t="str">
        <f>IFERROR(INDEX(羁绊设计!$F:$F,MATCH(羁绊设计!CT26,羁绊设计!$D:$D,0)),"")</f>
        <v>橙</v>
      </c>
      <c r="AW26" s="9" t="str">
        <f>IFERROR(INDEX(羁绊设计!$F:$F,MATCH(羁绊设计!CU26,羁绊设计!$D:$D,0)),"")</f>
        <v>橙</v>
      </c>
    </row>
    <row r="27" spans="2:49">
      <c r="B27" s="12" t="str">
        <f>羁绊设计!D27</f>
        <v>荀彧</v>
      </c>
      <c r="C27" s="7" t="str">
        <f t="shared" si="1"/>
        <v/>
      </c>
      <c r="D27" s="7" t="str">
        <f t="shared" si="1"/>
        <v/>
      </c>
      <c r="E27" s="7" t="str">
        <f t="shared" si="1"/>
        <v/>
      </c>
      <c r="F27" s="7">
        <f t="shared" si="1"/>
        <v>3</v>
      </c>
      <c r="G27" s="7" t="str">
        <f t="shared" si="1"/>
        <v/>
      </c>
      <c r="I27" s="9" t="str">
        <f t="shared" si="2"/>
        <v>橙,橙,橙,橙+,橙+,橙+,橙+</v>
      </c>
      <c r="K27" s="9" t="str">
        <f>IFERROR(INDEX(羁绊设计!$F:$F,MATCH(羁绊设计!BI27,羁绊设计!$D:$D,0)),"")</f>
        <v>橙</v>
      </c>
      <c r="L27" s="9" t="str">
        <f>IFERROR(INDEX(羁绊设计!$F:$F,MATCH(羁绊设计!BJ27,羁绊设计!$D:$D,0)),"")</f>
        <v>橙</v>
      </c>
      <c r="M27" s="9" t="str">
        <f>IFERROR(INDEX(羁绊设计!$F:$F,MATCH(羁绊设计!BK27,羁绊设计!$D:$D,0)),"")</f>
        <v>橙</v>
      </c>
      <c r="N27" s="9" t="str">
        <f>IFERROR(INDEX(羁绊设计!$F:$F,MATCH(羁绊设计!BL27,羁绊设计!$D:$D,0)),"")</f>
        <v>橙+</v>
      </c>
      <c r="P27" s="9" t="str">
        <f>IFERROR(INDEX(羁绊设计!$F:$F,MATCH(羁绊设计!BN27,羁绊设计!$D:$D,0)),"")</f>
        <v>橙+</v>
      </c>
      <c r="Q27" s="9" t="str">
        <f>IFERROR(INDEX(羁绊设计!$F:$F,MATCH(羁绊设计!BO27,羁绊设计!$D:$D,0)),"")</f>
        <v>橙+</v>
      </c>
      <c r="R27" s="9" t="str">
        <f>IFERROR(INDEX(羁绊设计!$F:$F,MATCH(羁绊设计!BP27,羁绊设计!$D:$D,0)),"")</f>
        <v/>
      </c>
      <c r="S27" s="9" t="str">
        <f>IFERROR(INDEX(羁绊设计!$F:$F,MATCH(羁绊设计!BQ27,羁绊设计!$D:$D,0)),"")</f>
        <v/>
      </c>
      <c r="U27" s="9" t="str">
        <f>IFERROR(INDEX(羁绊设计!$F:$F,MATCH(羁绊设计!BS27,羁绊设计!$D:$D,0)),"")</f>
        <v/>
      </c>
      <c r="V27" s="9" t="str">
        <f>IFERROR(INDEX(羁绊设计!$F:$F,MATCH(羁绊设计!BT27,羁绊设计!$D:$D,0)),"")</f>
        <v>橙+</v>
      </c>
      <c r="W27" s="9" t="str">
        <f>IFERROR(INDEX(羁绊设计!$F:$F,MATCH(羁绊设计!BU27,羁绊设计!$D:$D,0)),"")</f>
        <v/>
      </c>
      <c r="X27" s="9" t="str">
        <f>IFERROR(INDEX(羁绊设计!$F:$F,MATCH(羁绊设计!BV27,羁绊设计!$D:$D,0)),"")</f>
        <v/>
      </c>
      <c r="Z27" s="9" t="str">
        <f>IFERROR(INDEX(羁绊设计!$F:$F,MATCH(羁绊设计!BX27,羁绊设计!$D:$D,0)),"")</f>
        <v/>
      </c>
      <c r="AA27" s="9" t="str">
        <f>IFERROR(INDEX(羁绊设计!$F:$F,MATCH(羁绊设计!BY27,羁绊设计!$D:$D,0)),"")</f>
        <v/>
      </c>
      <c r="AB27" s="9" t="str">
        <f>IFERROR(INDEX(羁绊设计!$F:$F,MATCH(羁绊设计!BZ27,羁绊设计!$D:$D,0)),"")</f>
        <v/>
      </c>
      <c r="AC27" s="9" t="str">
        <f>IFERROR(INDEX(羁绊设计!$F:$F,MATCH(羁绊设计!CA27,羁绊设计!$D:$D,0)),"")</f>
        <v/>
      </c>
      <c r="AE27" s="9" t="str">
        <f>IFERROR(INDEX(羁绊设计!$F:$F,MATCH(羁绊设计!CC27,羁绊设计!$D:$D,0)),"")</f>
        <v/>
      </c>
      <c r="AF27" s="9" t="str">
        <f>IFERROR(INDEX(羁绊设计!$F:$F,MATCH(羁绊设计!CD27,羁绊设计!$D:$D,0)),"")</f>
        <v/>
      </c>
      <c r="AG27" s="9" t="str">
        <f>IFERROR(INDEX(羁绊设计!$F:$F,MATCH(羁绊设计!CE27,羁绊设计!$D:$D,0)),"")</f>
        <v/>
      </c>
      <c r="AH27" s="9" t="str">
        <f>IFERROR(INDEX(羁绊设计!$F:$F,MATCH(羁绊设计!CF27,羁绊设计!$D:$D,0)),"")</f>
        <v/>
      </c>
      <c r="AJ27" s="9" t="str">
        <f>IFERROR(INDEX(羁绊设计!$F:$F,MATCH(羁绊设计!CH27,羁绊设计!$D:$D,0)),"")</f>
        <v/>
      </c>
      <c r="AK27" s="9" t="str">
        <f>IFERROR(INDEX(羁绊设计!$F:$F,MATCH(羁绊设计!CI27,羁绊设计!$D:$D,0)),"")</f>
        <v/>
      </c>
      <c r="AL27" s="9" t="str">
        <f>IFERROR(INDEX(羁绊设计!$F:$F,MATCH(羁绊设计!CJ27,羁绊设计!$D:$D,0)),"")</f>
        <v/>
      </c>
      <c r="AM27" s="9" t="str">
        <f>IFERROR(INDEX(羁绊设计!$F:$F,MATCH(羁绊设计!CK27,羁绊设计!$D:$D,0)),"")</f>
        <v/>
      </c>
      <c r="AO27" s="9" t="str">
        <f>IFERROR(INDEX(羁绊设计!$F:$F,MATCH(羁绊设计!CM27,羁绊设计!$D:$D,0)),"")</f>
        <v/>
      </c>
      <c r="AP27" s="9" t="str">
        <f>IFERROR(INDEX(羁绊设计!$F:$F,MATCH(羁绊设计!CN27,羁绊设计!$D:$D,0)),"")</f>
        <v/>
      </c>
      <c r="AQ27" s="9" t="str">
        <f>IFERROR(INDEX(羁绊设计!$F:$F,MATCH(羁绊设计!CO27,羁绊设计!$D:$D,0)),"")</f>
        <v/>
      </c>
      <c r="AR27" s="9" t="str">
        <f>IFERROR(INDEX(羁绊设计!$F:$F,MATCH(羁绊设计!CP27,羁绊设计!$D:$D,0)),"")</f>
        <v/>
      </c>
      <c r="AT27" s="9" t="str">
        <f>IFERROR(INDEX(羁绊设计!$F:$F,MATCH(羁绊设计!CR27,羁绊设计!$D:$D,0)),"")</f>
        <v/>
      </c>
      <c r="AU27" s="9" t="str">
        <f>IFERROR(INDEX(羁绊设计!$F:$F,MATCH(羁绊设计!CS27,羁绊设计!$D:$D,0)),"")</f>
        <v/>
      </c>
      <c r="AV27" s="9" t="str">
        <f>IFERROR(INDEX(羁绊设计!$F:$F,MATCH(羁绊设计!CT27,羁绊设计!$D:$D,0)),"")</f>
        <v/>
      </c>
      <c r="AW27" s="9" t="str">
        <f>IFERROR(INDEX(羁绊设计!$F:$F,MATCH(羁绊设计!CU27,羁绊设计!$D:$D,0)),"")</f>
        <v/>
      </c>
    </row>
    <row r="28" spans="2:49">
      <c r="B28" s="12" t="str">
        <f>羁绊设计!D28</f>
        <v>秦武王</v>
      </c>
      <c r="C28" s="7" t="str">
        <f t="shared" si="1"/>
        <v/>
      </c>
      <c r="D28" s="7" t="str">
        <f t="shared" si="1"/>
        <v/>
      </c>
      <c r="E28" s="7">
        <f t="shared" si="1"/>
        <v>1</v>
      </c>
      <c r="F28" s="7">
        <f t="shared" si="1"/>
        <v>7</v>
      </c>
      <c r="G28" s="7" t="str">
        <f t="shared" si="1"/>
        <v/>
      </c>
      <c r="I28" s="9" t="str">
        <f t="shared" si="2"/>
        <v>橙,紫,橙,橙,橙,橙+,橙+,橙+,橙,橙,橙+,橙,橙+</v>
      </c>
      <c r="K28" s="9" t="str">
        <f>IFERROR(INDEX(羁绊设计!$F:$F,MATCH(羁绊设计!BI28,羁绊设计!$D:$D,0)),"")</f>
        <v>橙</v>
      </c>
      <c r="L28" s="9" t="str">
        <f>IFERROR(INDEX(羁绊设计!$F:$F,MATCH(羁绊设计!BJ28,羁绊设计!$D:$D,0)),"")</f>
        <v>紫</v>
      </c>
      <c r="M28" s="9" t="str">
        <f>IFERROR(INDEX(羁绊设计!$F:$F,MATCH(羁绊设计!BK28,羁绊设计!$D:$D,0)),"")</f>
        <v/>
      </c>
      <c r="N28" s="9" t="str">
        <f>IFERROR(INDEX(羁绊设计!$F:$F,MATCH(羁绊设计!BL28,羁绊设计!$D:$D,0)),"")</f>
        <v/>
      </c>
      <c r="P28" s="9" t="str">
        <f>IFERROR(INDEX(羁绊设计!$F:$F,MATCH(羁绊设计!BN28,羁绊设计!$D:$D,0)),"")</f>
        <v>橙</v>
      </c>
      <c r="Q28" s="9" t="str">
        <f>IFERROR(INDEX(羁绊设计!$F:$F,MATCH(羁绊设计!BO28,羁绊设计!$D:$D,0)),"")</f>
        <v/>
      </c>
      <c r="R28" s="9" t="str">
        <f>IFERROR(INDEX(羁绊设计!$F:$F,MATCH(羁绊设计!BP28,羁绊设计!$D:$D,0)),"")</f>
        <v/>
      </c>
      <c r="S28" s="9" t="str">
        <f>IFERROR(INDEX(羁绊设计!$F:$F,MATCH(羁绊设计!BQ28,羁绊设计!$D:$D,0)),"")</f>
        <v/>
      </c>
      <c r="U28" s="9" t="str">
        <f>IFERROR(INDEX(羁绊设计!$F:$F,MATCH(羁绊设计!BS28,羁绊设计!$D:$D,0)),"")</f>
        <v>橙</v>
      </c>
      <c r="V28" s="9" t="str">
        <f>IFERROR(INDEX(羁绊设计!$F:$F,MATCH(羁绊设计!BT28,羁绊设计!$D:$D,0)),"")</f>
        <v>橙</v>
      </c>
      <c r="W28" s="9" t="str">
        <f>IFERROR(INDEX(羁绊设计!$F:$F,MATCH(羁绊设计!BU28,羁绊设计!$D:$D,0)),"")</f>
        <v/>
      </c>
      <c r="X28" s="9" t="str">
        <f>IFERROR(INDEX(羁绊设计!$F:$F,MATCH(羁绊设计!BV28,羁绊设计!$D:$D,0)),"")</f>
        <v/>
      </c>
      <c r="Z28" s="9" t="str">
        <f>IFERROR(INDEX(羁绊设计!$F:$F,MATCH(羁绊设计!BX28,羁绊设计!$D:$D,0)),"")</f>
        <v>橙+</v>
      </c>
      <c r="AA28" s="9" t="str">
        <f>IFERROR(INDEX(羁绊设计!$F:$F,MATCH(羁绊设计!BY28,羁绊设计!$D:$D,0)),"")</f>
        <v/>
      </c>
      <c r="AB28" s="9" t="str">
        <f>IFERROR(INDEX(羁绊设计!$F:$F,MATCH(羁绊设计!BZ28,羁绊设计!$D:$D,0)),"")</f>
        <v/>
      </c>
      <c r="AC28" s="9" t="str">
        <f>IFERROR(INDEX(羁绊设计!$F:$F,MATCH(羁绊设计!CA28,羁绊设计!$D:$D,0)),"")</f>
        <v/>
      </c>
      <c r="AE28" s="9" t="str">
        <f>IFERROR(INDEX(羁绊设计!$F:$F,MATCH(羁绊设计!CC28,羁绊设计!$D:$D,0)),"")</f>
        <v>橙+</v>
      </c>
      <c r="AF28" s="9" t="str">
        <f>IFERROR(INDEX(羁绊设计!$F:$F,MATCH(羁绊设计!CD28,羁绊设计!$D:$D,0)),"")</f>
        <v/>
      </c>
      <c r="AG28" s="9" t="str">
        <f>IFERROR(INDEX(羁绊设计!$F:$F,MATCH(羁绊设计!CE28,羁绊设计!$D:$D,0)),"")</f>
        <v/>
      </c>
      <c r="AH28" s="9" t="str">
        <f>IFERROR(INDEX(羁绊设计!$F:$F,MATCH(羁绊设计!CF28,羁绊设计!$D:$D,0)),"")</f>
        <v/>
      </c>
      <c r="AJ28" s="9" t="str">
        <f>IFERROR(INDEX(羁绊设计!$F:$F,MATCH(羁绊设计!CH28,羁绊设计!$D:$D,0)),"")</f>
        <v>橙+</v>
      </c>
      <c r="AK28" s="9" t="str">
        <f>IFERROR(INDEX(羁绊设计!$F:$F,MATCH(羁绊设计!CI28,羁绊设计!$D:$D,0)),"")</f>
        <v/>
      </c>
      <c r="AL28" s="9" t="str">
        <f>IFERROR(INDEX(羁绊设计!$F:$F,MATCH(羁绊设计!CJ28,羁绊设计!$D:$D,0)),"")</f>
        <v>橙</v>
      </c>
      <c r="AM28" s="9" t="str">
        <f>IFERROR(INDEX(羁绊设计!$F:$F,MATCH(羁绊设计!CK28,羁绊设计!$D:$D,0)),"")</f>
        <v>橙</v>
      </c>
      <c r="AO28" s="9" t="str">
        <f>IFERROR(INDEX(羁绊设计!$F:$F,MATCH(羁绊设计!CM28,羁绊设计!$D:$D,0)),"")</f>
        <v>橙+</v>
      </c>
      <c r="AP28" s="9" t="str">
        <f>IFERROR(INDEX(羁绊设计!$F:$F,MATCH(羁绊设计!CN28,羁绊设计!$D:$D,0)),"")</f>
        <v>橙</v>
      </c>
      <c r="AQ28" s="9" t="str">
        <f>IFERROR(INDEX(羁绊设计!$F:$F,MATCH(羁绊设计!CO28,羁绊设计!$D:$D,0)),"")</f>
        <v/>
      </c>
      <c r="AR28" s="9" t="str">
        <f>IFERROR(INDEX(羁绊设计!$F:$F,MATCH(羁绊设计!CP28,羁绊设计!$D:$D,0)),"")</f>
        <v/>
      </c>
      <c r="AT28" s="9" t="str">
        <f>IFERROR(INDEX(羁绊设计!$F:$F,MATCH(羁绊设计!CR28,羁绊设计!$D:$D,0)),"")</f>
        <v>橙+</v>
      </c>
      <c r="AU28" s="9" t="str">
        <f>IFERROR(INDEX(羁绊设计!$F:$F,MATCH(羁绊设计!CS28,羁绊设计!$D:$D,0)),"")</f>
        <v/>
      </c>
      <c r="AV28" s="9" t="str">
        <f>IFERROR(INDEX(羁绊设计!$F:$F,MATCH(羁绊设计!CT28,羁绊设计!$D:$D,0)),"")</f>
        <v/>
      </c>
      <c r="AW28" s="9" t="str">
        <f>IFERROR(INDEX(羁绊设计!$F:$F,MATCH(羁绊设计!CU28,羁绊设计!$D:$D,0)),"")</f>
        <v/>
      </c>
    </row>
    <row r="29" spans="2:49">
      <c r="B29" s="12" t="str">
        <f>羁绊设计!D29</f>
        <v>嫪毐</v>
      </c>
      <c r="C29" s="7" t="str">
        <f t="shared" si="1"/>
        <v/>
      </c>
      <c r="D29" s="7">
        <f t="shared" si="1"/>
        <v>1</v>
      </c>
      <c r="E29" s="7" t="str">
        <f t="shared" si="1"/>
        <v/>
      </c>
      <c r="F29" s="7">
        <f t="shared" si="1"/>
        <v>1</v>
      </c>
      <c r="G29" s="7" t="str">
        <f t="shared" si="1"/>
        <v/>
      </c>
      <c r="I29" s="9" t="str">
        <f t="shared" si="2"/>
        <v>蓝,橙</v>
      </c>
      <c r="K29" s="9" t="str">
        <f>IFERROR(INDEX(羁绊设计!$F:$F,MATCH(羁绊设计!BI29,羁绊设计!$D:$D,0)),"")</f>
        <v>蓝</v>
      </c>
      <c r="L29" s="9" t="str">
        <f>IFERROR(INDEX(羁绊设计!$F:$F,MATCH(羁绊设计!BJ29,羁绊设计!$D:$D,0)),"")</f>
        <v>橙</v>
      </c>
      <c r="M29" s="9" t="str">
        <f>IFERROR(INDEX(羁绊设计!$F:$F,MATCH(羁绊设计!BK29,羁绊设计!$D:$D,0)),"")</f>
        <v/>
      </c>
      <c r="N29" s="9" t="str">
        <f>IFERROR(INDEX(羁绊设计!$F:$F,MATCH(羁绊设计!BL29,羁绊设计!$D:$D,0)),"")</f>
        <v/>
      </c>
      <c r="P29" s="9" t="str">
        <f>IFERROR(INDEX(羁绊设计!$F:$F,MATCH(羁绊设计!BN29,羁绊设计!$D:$D,0)),"")</f>
        <v/>
      </c>
      <c r="Q29" s="9" t="str">
        <f>IFERROR(INDEX(羁绊设计!$F:$F,MATCH(羁绊设计!BO29,羁绊设计!$D:$D,0)),"")</f>
        <v/>
      </c>
      <c r="R29" s="9" t="str">
        <f>IFERROR(INDEX(羁绊设计!$F:$F,MATCH(羁绊设计!BP29,羁绊设计!$D:$D,0)),"")</f>
        <v/>
      </c>
      <c r="S29" s="9" t="str">
        <f>IFERROR(INDEX(羁绊设计!$F:$F,MATCH(羁绊设计!BQ29,羁绊设计!$D:$D,0)),"")</f>
        <v/>
      </c>
      <c r="U29" s="9" t="str">
        <f>IFERROR(INDEX(羁绊设计!$F:$F,MATCH(羁绊设计!BS29,羁绊设计!$D:$D,0)),"")</f>
        <v/>
      </c>
      <c r="V29" s="9" t="str">
        <f>IFERROR(INDEX(羁绊设计!$F:$F,MATCH(羁绊设计!BT29,羁绊设计!$D:$D,0)),"")</f>
        <v/>
      </c>
      <c r="W29" s="9" t="str">
        <f>IFERROR(INDEX(羁绊设计!$F:$F,MATCH(羁绊设计!BU29,羁绊设计!$D:$D,0)),"")</f>
        <v/>
      </c>
      <c r="X29" s="9" t="str">
        <f>IFERROR(INDEX(羁绊设计!$F:$F,MATCH(羁绊设计!BV29,羁绊设计!$D:$D,0)),"")</f>
        <v/>
      </c>
      <c r="Z29" s="9" t="str">
        <f>IFERROR(INDEX(羁绊设计!$F:$F,MATCH(羁绊设计!BX29,羁绊设计!$D:$D,0)),"")</f>
        <v/>
      </c>
      <c r="AA29" s="9" t="str">
        <f>IFERROR(INDEX(羁绊设计!$F:$F,MATCH(羁绊设计!BY29,羁绊设计!$D:$D,0)),"")</f>
        <v/>
      </c>
      <c r="AB29" s="9" t="str">
        <f>IFERROR(INDEX(羁绊设计!$F:$F,MATCH(羁绊设计!BZ29,羁绊设计!$D:$D,0)),"")</f>
        <v/>
      </c>
      <c r="AC29" s="9" t="str">
        <f>IFERROR(INDEX(羁绊设计!$F:$F,MATCH(羁绊设计!CA29,羁绊设计!$D:$D,0)),"")</f>
        <v/>
      </c>
      <c r="AE29" s="9" t="str">
        <f>IFERROR(INDEX(羁绊设计!$F:$F,MATCH(羁绊设计!CC29,羁绊设计!$D:$D,0)),"")</f>
        <v/>
      </c>
      <c r="AF29" s="9" t="str">
        <f>IFERROR(INDEX(羁绊设计!$F:$F,MATCH(羁绊设计!CD29,羁绊设计!$D:$D,0)),"")</f>
        <v/>
      </c>
      <c r="AG29" s="9" t="str">
        <f>IFERROR(INDEX(羁绊设计!$F:$F,MATCH(羁绊设计!CE29,羁绊设计!$D:$D,0)),"")</f>
        <v/>
      </c>
      <c r="AH29" s="9" t="str">
        <f>IFERROR(INDEX(羁绊设计!$F:$F,MATCH(羁绊设计!CF29,羁绊设计!$D:$D,0)),"")</f>
        <v/>
      </c>
      <c r="AJ29" s="9" t="str">
        <f>IFERROR(INDEX(羁绊设计!$F:$F,MATCH(羁绊设计!CH29,羁绊设计!$D:$D,0)),"")</f>
        <v/>
      </c>
      <c r="AK29" s="9" t="str">
        <f>IFERROR(INDEX(羁绊设计!$F:$F,MATCH(羁绊设计!CI29,羁绊设计!$D:$D,0)),"")</f>
        <v/>
      </c>
      <c r="AL29" s="9" t="str">
        <f>IFERROR(INDEX(羁绊设计!$F:$F,MATCH(羁绊设计!CJ29,羁绊设计!$D:$D,0)),"")</f>
        <v/>
      </c>
      <c r="AM29" s="9" t="str">
        <f>IFERROR(INDEX(羁绊设计!$F:$F,MATCH(羁绊设计!CK29,羁绊设计!$D:$D,0)),"")</f>
        <v/>
      </c>
      <c r="AO29" s="9" t="str">
        <f>IFERROR(INDEX(羁绊设计!$F:$F,MATCH(羁绊设计!CM29,羁绊设计!$D:$D,0)),"")</f>
        <v/>
      </c>
      <c r="AP29" s="9" t="str">
        <f>IFERROR(INDEX(羁绊设计!$F:$F,MATCH(羁绊设计!CN29,羁绊设计!$D:$D,0)),"")</f>
        <v/>
      </c>
      <c r="AQ29" s="9" t="str">
        <f>IFERROR(INDEX(羁绊设计!$F:$F,MATCH(羁绊设计!CO29,羁绊设计!$D:$D,0)),"")</f>
        <v/>
      </c>
      <c r="AR29" s="9" t="str">
        <f>IFERROR(INDEX(羁绊设计!$F:$F,MATCH(羁绊设计!CP29,羁绊设计!$D:$D,0)),"")</f>
        <v/>
      </c>
      <c r="AT29" s="9" t="str">
        <f>IFERROR(INDEX(羁绊设计!$F:$F,MATCH(羁绊设计!CR29,羁绊设计!$D:$D,0)),"")</f>
        <v/>
      </c>
      <c r="AU29" s="9" t="str">
        <f>IFERROR(INDEX(羁绊设计!$F:$F,MATCH(羁绊设计!CS29,羁绊设计!$D:$D,0)),"")</f>
        <v/>
      </c>
      <c r="AV29" s="9" t="str">
        <f>IFERROR(INDEX(羁绊设计!$F:$F,MATCH(羁绊设计!CT29,羁绊设计!$D:$D,0)),"")</f>
        <v/>
      </c>
      <c r="AW29" s="9" t="str">
        <f>IFERROR(INDEX(羁绊设计!$F:$F,MATCH(羁绊设计!CU29,羁绊设计!$D:$D,0)),"")</f>
        <v/>
      </c>
    </row>
    <row r="30" spans="2:49">
      <c r="B30" s="12" t="str">
        <f>羁绊设计!D30</f>
        <v>范增</v>
      </c>
      <c r="C30" s="7" t="str">
        <f t="shared" si="1"/>
        <v/>
      </c>
      <c r="D30" s="7" t="str">
        <f t="shared" si="1"/>
        <v/>
      </c>
      <c r="E30" s="7" t="str">
        <f t="shared" si="1"/>
        <v/>
      </c>
      <c r="F30" s="7">
        <f t="shared" si="1"/>
        <v>5</v>
      </c>
      <c r="G30" s="7" t="str">
        <f t="shared" si="1"/>
        <v/>
      </c>
      <c r="I30" s="9" t="str">
        <f t="shared" si="2"/>
        <v>橙,橙,橙,橙,橙,橙+</v>
      </c>
      <c r="K30" s="9" t="str">
        <f>IFERROR(INDEX(羁绊设计!$F:$F,MATCH(羁绊设计!BI30,羁绊设计!$D:$D,0)),"")</f>
        <v>橙</v>
      </c>
      <c r="L30" s="9" t="str">
        <f>IFERROR(INDEX(羁绊设计!$F:$F,MATCH(羁绊设计!BJ30,羁绊设计!$D:$D,0)),"")</f>
        <v>橙</v>
      </c>
      <c r="M30" s="9" t="str">
        <f>IFERROR(INDEX(羁绊设计!$F:$F,MATCH(羁绊设计!BK30,羁绊设计!$D:$D,0)),"")</f>
        <v/>
      </c>
      <c r="N30" s="9" t="str">
        <f>IFERROR(INDEX(羁绊设计!$F:$F,MATCH(羁绊设计!BL30,羁绊设计!$D:$D,0)),"")</f>
        <v/>
      </c>
      <c r="P30" s="9" t="str">
        <f>IFERROR(INDEX(羁绊设计!$F:$F,MATCH(羁绊设计!BN30,羁绊设计!$D:$D,0)),"")</f>
        <v/>
      </c>
      <c r="Q30" s="9" t="str">
        <f>IFERROR(INDEX(羁绊设计!$F:$F,MATCH(羁绊设计!BO30,羁绊设计!$D:$D,0)),"")</f>
        <v>橙</v>
      </c>
      <c r="R30" s="9" t="str">
        <f>IFERROR(INDEX(羁绊设计!$F:$F,MATCH(羁绊设计!BP30,羁绊设计!$D:$D,0)),"")</f>
        <v/>
      </c>
      <c r="S30" s="9" t="str">
        <f>IFERROR(INDEX(羁绊设计!$F:$F,MATCH(羁绊设计!BQ30,羁绊设计!$D:$D,0)),"")</f>
        <v/>
      </c>
      <c r="U30" s="9" t="str">
        <f>IFERROR(INDEX(羁绊设计!$F:$F,MATCH(羁绊设计!BS30,羁绊设计!$D:$D,0)),"")</f>
        <v/>
      </c>
      <c r="V30" s="9" t="str">
        <f>IFERROR(INDEX(羁绊设计!$F:$F,MATCH(羁绊设计!BT30,羁绊设计!$D:$D,0)),"")</f>
        <v>橙</v>
      </c>
      <c r="W30" s="9" t="str">
        <f>IFERROR(INDEX(羁绊设计!$F:$F,MATCH(羁绊设计!BU30,羁绊设计!$D:$D,0)),"")</f>
        <v>橙</v>
      </c>
      <c r="X30" s="9" t="str">
        <f>IFERROR(INDEX(羁绊设计!$F:$F,MATCH(羁绊设计!BV30,羁绊设计!$D:$D,0)),"")</f>
        <v>橙+</v>
      </c>
      <c r="Z30" s="9" t="str">
        <f>IFERROR(INDEX(羁绊设计!$F:$F,MATCH(羁绊设计!BX30,羁绊设计!$D:$D,0)),"")</f>
        <v/>
      </c>
      <c r="AA30" s="9" t="str">
        <f>IFERROR(INDEX(羁绊设计!$F:$F,MATCH(羁绊设计!BY30,羁绊设计!$D:$D,0)),"")</f>
        <v/>
      </c>
      <c r="AB30" s="9" t="str">
        <f>IFERROR(INDEX(羁绊设计!$F:$F,MATCH(羁绊设计!BZ30,羁绊设计!$D:$D,0)),"")</f>
        <v/>
      </c>
      <c r="AC30" s="9" t="str">
        <f>IFERROR(INDEX(羁绊设计!$F:$F,MATCH(羁绊设计!CA30,羁绊设计!$D:$D,0)),"")</f>
        <v/>
      </c>
      <c r="AE30" s="9" t="str">
        <f>IFERROR(INDEX(羁绊设计!$F:$F,MATCH(羁绊设计!CC30,羁绊设计!$D:$D,0)),"")</f>
        <v/>
      </c>
      <c r="AF30" s="9" t="str">
        <f>IFERROR(INDEX(羁绊设计!$F:$F,MATCH(羁绊设计!CD30,羁绊设计!$D:$D,0)),"")</f>
        <v/>
      </c>
      <c r="AG30" s="9" t="str">
        <f>IFERROR(INDEX(羁绊设计!$F:$F,MATCH(羁绊设计!CE30,羁绊设计!$D:$D,0)),"")</f>
        <v/>
      </c>
      <c r="AH30" s="9" t="str">
        <f>IFERROR(INDEX(羁绊设计!$F:$F,MATCH(羁绊设计!CF30,羁绊设计!$D:$D,0)),"")</f>
        <v/>
      </c>
      <c r="AJ30" s="9" t="str">
        <f>IFERROR(INDEX(羁绊设计!$F:$F,MATCH(羁绊设计!CH30,羁绊设计!$D:$D,0)),"")</f>
        <v/>
      </c>
      <c r="AK30" s="9" t="str">
        <f>IFERROR(INDEX(羁绊设计!$F:$F,MATCH(羁绊设计!CI30,羁绊设计!$D:$D,0)),"")</f>
        <v/>
      </c>
      <c r="AL30" s="9" t="str">
        <f>IFERROR(INDEX(羁绊设计!$F:$F,MATCH(羁绊设计!CJ30,羁绊设计!$D:$D,0)),"")</f>
        <v/>
      </c>
      <c r="AM30" s="9" t="str">
        <f>IFERROR(INDEX(羁绊设计!$F:$F,MATCH(羁绊设计!CK30,羁绊设计!$D:$D,0)),"")</f>
        <v/>
      </c>
      <c r="AO30" s="9" t="str">
        <f>IFERROR(INDEX(羁绊设计!$F:$F,MATCH(羁绊设计!CM30,羁绊设计!$D:$D,0)),"")</f>
        <v/>
      </c>
      <c r="AP30" s="9" t="str">
        <f>IFERROR(INDEX(羁绊设计!$F:$F,MATCH(羁绊设计!CN30,羁绊设计!$D:$D,0)),"")</f>
        <v/>
      </c>
      <c r="AQ30" s="9" t="str">
        <f>IFERROR(INDEX(羁绊设计!$F:$F,MATCH(羁绊设计!CO30,羁绊设计!$D:$D,0)),"")</f>
        <v/>
      </c>
      <c r="AR30" s="9" t="str">
        <f>IFERROR(INDEX(羁绊设计!$F:$F,MATCH(羁绊设计!CP30,羁绊设计!$D:$D,0)),"")</f>
        <v/>
      </c>
      <c r="AT30" s="9" t="str">
        <f>IFERROR(INDEX(羁绊设计!$F:$F,MATCH(羁绊设计!CR30,羁绊设计!$D:$D,0)),"")</f>
        <v/>
      </c>
      <c r="AU30" s="9" t="str">
        <f>IFERROR(INDEX(羁绊设计!$F:$F,MATCH(羁绊设计!CS30,羁绊设计!$D:$D,0)),"")</f>
        <v/>
      </c>
      <c r="AV30" s="9" t="str">
        <f>IFERROR(INDEX(羁绊设计!$F:$F,MATCH(羁绊设计!CT30,羁绊设计!$D:$D,0)),"")</f>
        <v/>
      </c>
      <c r="AW30" s="9" t="str">
        <f>IFERROR(INDEX(羁绊设计!$F:$F,MATCH(羁绊设计!CU30,羁绊设计!$D:$D,0)),"")</f>
        <v/>
      </c>
    </row>
    <row r="31" spans="2:49">
      <c r="B31" s="12" t="str">
        <f>羁绊设计!D31</f>
        <v>陈阿娇</v>
      </c>
      <c r="C31" s="7" t="str">
        <f t="shared" si="1"/>
        <v/>
      </c>
      <c r="D31" s="7" t="str">
        <f t="shared" si="1"/>
        <v/>
      </c>
      <c r="E31" s="7" t="str">
        <f t="shared" si="1"/>
        <v/>
      </c>
      <c r="F31" s="7">
        <f t="shared" si="1"/>
        <v>3</v>
      </c>
      <c r="G31" s="7" t="str">
        <f t="shared" si="1"/>
        <v/>
      </c>
      <c r="I31" s="9" t="str">
        <f t="shared" si="2"/>
        <v>橙+,橙,橙,橙</v>
      </c>
      <c r="K31" s="9" t="str">
        <f>IFERROR(INDEX(羁绊设计!$F:$F,MATCH(羁绊设计!BI31,羁绊设计!$D:$D,0)),"")</f>
        <v>橙+</v>
      </c>
      <c r="L31" s="9" t="str">
        <f>IFERROR(INDEX(羁绊设计!$F:$F,MATCH(羁绊设计!BJ31,羁绊设计!$D:$D,0)),"")</f>
        <v>橙</v>
      </c>
      <c r="M31" s="9" t="str">
        <f>IFERROR(INDEX(羁绊设计!$F:$F,MATCH(羁绊设计!BK31,羁绊设计!$D:$D,0)),"")</f>
        <v/>
      </c>
      <c r="N31" s="9" t="str">
        <f>IFERROR(INDEX(羁绊设计!$F:$F,MATCH(羁绊设计!BL31,羁绊设计!$D:$D,0)),"")</f>
        <v/>
      </c>
      <c r="P31" s="9" t="str">
        <f>IFERROR(INDEX(羁绊设计!$F:$F,MATCH(羁绊设计!BN31,羁绊设计!$D:$D,0)),"")</f>
        <v/>
      </c>
      <c r="Q31" s="9" t="str">
        <f>IFERROR(INDEX(羁绊设计!$F:$F,MATCH(羁绊设计!BO31,羁绊设计!$D:$D,0)),"")</f>
        <v>橙</v>
      </c>
      <c r="R31" s="9" t="str">
        <f>IFERROR(INDEX(羁绊设计!$F:$F,MATCH(羁绊设计!BP31,羁绊设计!$D:$D,0)),"")</f>
        <v/>
      </c>
      <c r="S31" s="9" t="str">
        <f>IFERROR(INDEX(羁绊设计!$F:$F,MATCH(羁绊设计!BQ31,羁绊设计!$D:$D,0)),"")</f>
        <v/>
      </c>
      <c r="U31" s="9" t="str">
        <f>IFERROR(INDEX(羁绊设计!$F:$F,MATCH(羁绊设计!BS31,羁绊设计!$D:$D,0)),"")</f>
        <v/>
      </c>
      <c r="V31" s="9" t="str">
        <f>IFERROR(INDEX(羁绊设计!$F:$F,MATCH(羁绊设计!BT31,羁绊设计!$D:$D,0)),"")</f>
        <v>橙</v>
      </c>
      <c r="W31" s="9" t="str">
        <f>IFERROR(INDEX(羁绊设计!$F:$F,MATCH(羁绊设计!BU31,羁绊设计!$D:$D,0)),"")</f>
        <v/>
      </c>
      <c r="X31" s="9" t="str">
        <f>IFERROR(INDEX(羁绊设计!$F:$F,MATCH(羁绊设计!BV31,羁绊设计!$D:$D,0)),"")</f>
        <v/>
      </c>
      <c r="Z31" s="9" t="str">
        <f>IFERROR(INDEX(羁绊设计!$F:$F,MATCH(羁绊设计!BX31,羁绊设计!$D:$D,0)),"")</f>
        <v/>
      </c>
      <c r="AA31" s="9" t="str">
        <f>IFERROR(INDEX(羁绊设计!$F:$F,MATCH(羁绊设计!BY31,羁绊设计!$D:$D,0)),"")</f>
        <v/>
      </c>
      <c r="AB31" s="9" t="str">
        <f>IFERROR(INDEX(羁绊设计!$F:$F,MATCH(羁绊设计!BZ31,羁绊设计!$D:$D,0)),"")</f>
        <v/>
      </c>
      <c r="AC31" s="9" t="str">
        <f>IFERROR(INDEX(羁绊设计!$F:$F,MATCH(羁绊设计!CA31,羁绊设计!$D:$D,0)),"")</f>
        <v/>
      </c>
      <c r="AE31" s="9" t="str">
        <f>IFERROR(INDEX(羁绊设计!$F:$F,MATCH(羁绊设计!CC31,羁绊设计!$D:$D,0)),"")</f>
        <v/>
      </c>
      <c r="AF31" s="9" t="str">
        <f>IFERROR(INDEX(羁绊设计!$F:$F,MATCH(羁绊设计!CD31,羁绊设计!$D:$D,0)),"")</f>
        <v/>
      </c>
      <c r="AG31" s="9" t="str">
        <f>IFERROR(INDEX(羁绊设计!$F:$F,MATCH(羁绊设计!CE31,羁绊设计!$D:$D,0)),"")</f>
        <v/>
      </c>
      <c r="AH31" s="9" t="str">
        <f>IFERROR(INDEX(羁绊设计!$F:$F,MATCH(羁绊设计!CF31,羁绊设计!$D:$D,0)),"")</f>
        <v/>
      </c>
      <c r="AJ31" s="9" t="str">
        <f>IFERROR(INDEX(羁绊设计!$F:$F,MATCH(羁绊设计!CH31,羁绊设计!$D:$D,0)),"")</f>
        <v/>
      </c>
      <c r="AK31" s="9" t="str">
        <f>IFERROR(INDEX(羁绊设计!$F:$F,MATCH(羁绊设计!CI31,羁绊设计!$D:$D,0)),"")</f>
        <v/>
      </c>
      <c r="AL31" s="9" t="str">
        <f>IFERROR(INDEX(羁绊设计!$F:$F,MATCH(羁绊设计!CJ31,羁绊设计!$D:$D,0)),"")</f>
        <v/>
      </c>
      <c r="AM31" s="9" t="str">
        <f>IFERROR(INDEX(羁绊设计!$F:$F,MATCH(羁绊设计!CK31,羁绊设计!$D:$D,0)),"")</f>
        <v/>
      </c>
      <c r="AO31" s="9" t="str">
        <f>IFERROR(INDEX(羁绊设计!$F:$F,MATCH(羁绊设计!CM31,羁绊设计!$D:$D,0)),"")</f>
        <v/>
      </c>
      <c r="AP31" s="9" t="str">
        <f>IFERROR(INDEX(羁绊设计!$F:$F,MATCH(羁绊设计!CN31,羁绊设计!$D:$D,0)),"")</f>
        <v/>
      </c>
      <c r="AQ31" s="9" t="str">
        <f>IFERROR(INDEX(羁绊设计!$F:$F,MATCH(羁绊设计!CO31,羁绊设计!$D:$D,0)),"")</f>
        <v/>
      </c>
      <c r="AR31" s="9" t="str">
        <f>IFERROR(INDEX(羁绊设计!$F:$F,MATCH(羁绊设计!CP31,羁绊设计!$D:$D,0)),"")</f>
        <v/>
      </c>
      <c r="AT31" s="9" t="str">
        <f>IFERROR(INDEX(羁绊设计!$F:$F,MATCH(羁绊设计!CR31,羁绊设计!$D:$D,0)),"")</f>
        <v/>
      </c>
      <c r="AU31" s="9" t="str">
        <f>IFERROR(INDEX(羁绊设计!$F:$F,MATCH(羁绊设计!CS31,羁绊设计!$D:$D,0)),"")</f>
        <v/>
      </c>
      <c r="AV31" s="9" t="str">
        <f>IFERROR(INDEX(羁绊设计!$F:$F,MATCH(羁绊设计!CT31,羁绊设计!$D:$D,0)),"")</f>
        <v/>
      </c>
      <c r="AW31" s="9" t="str">
        <f>IFERROR(INDEX(羁绊设计!$F:$F,MATCH(羁绊设计!CU31,羁绊设计!$D:$D,0)),"")</f>
        <v/>
      </c>
    </row>
    <row r="32" spans="2:49">
      <c r="B32" s="12" t="str">
        <f>羁绊设计!D32</f>
        <v>范雎</v>
      </c>
      <c r="C32" s="7" t="str">
        <f t="shared" si="1"/>
        <v/>
      </c>
      <c r="D32" s="7" t="str">
        <f t="shared" si="1"/>
        <v/>
      </c>
      <c r="E32" s="7" t="str">
        <f t="shared" si="1"/>
        <v/>
      </c>
      <c r="F32" s="7">
        <f t="shared" si="1"/>
        <v>8</v>
      </c>
      <c r="G32" s="7" t="str">
        <f t="shared" si="1"/>
        <v/>
      </c>
      <c r="I32" s="9" t="str">
        <f t="shared" si="2"/>
        <v>橙,橙,橙+,橙,橙,橙+,橙,橙,橙,橙</v>
      </c>
      <c r="K32" s="9" t="str">
        <f>IFERROR(INDEX(羁绊设计!$F:$F,MATCH(羁绊设计!BI32,羁绊设计!$D:$D,0)),"")</f>
        <v>橙</v>
      </c>
      <c r="L32" s="9" t="str">
        <f>IFERROR(INDEX(羁绊设计!$F:$F,MATCH(羁绊设计!BJ32,羁绊设计!$D:$D,0)),"")</f>
        <v>橙</v>
      </c>
      <c r="M32" s="9" t="str">
        <f>IFERROR(INDEX(羁绊设计!$F:$F,MATCH(羁绊设计!BK32,羁绊设计!$D:$D,0)),"")</f>
        <v>橙+</v>
      </c>
      <c r="N32" s="9" t="str">
        <f>IFERROR(INDEX(羁绊设计!$F:$F,MATCH(羁绊设计!BL32,羁绊设计!$D:$D,0)),"")</f>
        <v/>
      </c>
      <c r="P32" s="9" t="str">
        <f>IFERROR(INDEX(羁绊设计!$F:$F,MATCH(羁绊设计!BN32,羁绊设计!$D:$D,0)),"")</f>
        <v/>
      </c>
      <c r="Q32" s="9" t="str">
        <f>IFERROR(INDEX(羁绊设计!$F:$F,MATCH(羁绊设计!BO32,羁绊设计!$D:$D,0)),"")</f>
        <v>橙</v>
      </c>
      <c r="R32" s="9" t="str">
        <f>IFERROR(INDEX(羁绊设计!$F:$F,MATCH(羁绊设计!BP32,羁绊设计!$D:$D,0)),"")</f>
        <v>橙</v>
      </c>
      <c r="S32" s="9" t="str">
        <f>IFERROR(INDEX(羁绊设计!$F:$F,MATCH(羁绊设计!BQ32,羁绊设计!$D:$D,0)),"")</f>
        <v>橙+</v>
      </c>
      <c r="U32" s="9" t="str">
        <f>IFERROR(INDEX(羁绊设计!$F:$F,MATCH(羁绊设计!BS32,羁绊设计!$D:$D,0)),"")</f>
        <v/>
      </c>
      <c r="V32" s="9" t="str">
        <f>IFERROR(INDEX(羁绊设计!$F:$F,MATCH(羁绊设计!BT32,羁绊设计!$D:$D,0)),"")</f>
        <v>橙</v>
      </c>
      <c r="W32" s="9" t="str">
        <f>IFERROR(INDEX(羁绊设计!$F:$F,MATCH(羁绊设计!BU32,羁绊设计!$D:$D,0)),"")</f>
        <v>橙</v>
      </c>
      <c r="X32" s="9" t="str">
        <f>IFERROR(INDEX(羁绊设计!$F:$F,MATCH(羁绊设计!BV32,羁绊设计!$D:$D,0)),"")</f>
        <v>橙</v>
      </c>
      <c r="Z32" s="9" t="str">
        <f>IFERROR(INDEX(羁绊设计!$F:$F,MATCH(羁绊设计!BX32,羁绊设计!$D:$D,0)),"")</f>
        <v/>
      </c>
      <c r="AA32" s="9" t="str">
        <f>IFERROR(INDEX(羁绊设计!$F:$F,MATCH(羁绊设计!BY32,羁绊设计!$D:$D,0)),"")</f>
        <v/>
      </c>
      <c r="AB32" s="9" t="str">
        <f>IFERROR(INDEX(羁绊设计!$F:$F,MATCH(羁绊设计!BZ32,羁绊设计!$D:$D,0)),"")</f>
        <v>橙</v>
      </c>
      <c r="AC32" s="9" t="str">
        <f>IFERROR(INDEX(羁绊设计!$F:$F,MATCH(羁绊设计!CA32,羁绊设计!$D:$D,0)),"")</f>
        <v/>
      </c>
      <c r="AE32" s="9" t="str">
        <f>IFERROR(INDEX(羁绊设计!$F:$F,MATCH(羁绊设计!CC32,羁绊设计!$D:$D,0)),"")</f>
        <v/>
      </c>
      <c r="AF32" s="9" t="str">
        <f>IFERROR(INDEX(羁绊设计!$F:$F,MATCH(羁绊设计!CD32,羁绊设计!$D:$D,0)),"")</f>
        <v/>
      </c>
      <c r="AG32" s="9" t="str">
        <f>IFERROR(INDEX(羁绊设计!$F:$F,MATCH(羁绊设计!CE32,羁绊设计!$D:$D,0)),"")</f>
        <v/>
      </c>
      <c r="AH32" s="9" t="str">
        <f>IFERROR(INDEX(羁绊设计!$F:$F,MATCH(羁绊设计!CF32,羁绊设计!$D:$D,0)),"")</f>
        <v/>
      </c>
      <c r="AJ32" s="9" t="str">
        <f>IFERROR(INDEX(羁绊设计!$F:$F,MATCH(羁绊设计!CH32,羁绊设计!$D:$D,0)),"")</f>
        <v/>
      </c>
      <c r="AK32" s="9" t="str">
        <f>IFERROR(INDEX(羁绊设计!$F:$F,MATCH(羁绊设计!CI32,羁绊设计!$D:$D,0)),"")</f>
        <v/>
      </c>
      <c r="AL32" s="9" t="str">
        <f>IFERROR(INDEX(羁绊设计!$F:$F,MATCH(羁绊设计!CJ32,羁绊设计!$D:$D,0)),"")</f>
        <v/>
      </c>
      <c r="AM32" s="9" t="str">
        <f>IFERROR(INDEX(羁绊设计!$F:$F,MATCH(羁绊设计!CK32,羁绊设计!$D:$D,0)),"")</f>
        <v/>
      </c>
      <c r="AO32" s="9" t="str">
        <f>IFERROR(INDEX(羁绊设计!$F:$F,MATCH(羁绊设计!CM32,羁绊设计!$D:$D,0)),"")</f>
        <v/>
      </c>
      <c r="AP32" s="9" t="str">
        <f>IFERROR(INDEX(羁绊设计!$F:$F,MATCH(羁绊设计!CN32,羁绊设计!$D:$D,0)),"")</f>
        <v/>
      </c>
      <c r="AQ32" s="9" t="str">
        <f>IFERROR(INDEX(羁绊设计!$F:$F,MATCH(羁绊设计!CO32,羁绊设计!$D:$D,0)),"")</f>
        <v/>
      </c>
      <c r="AR32" s="9" t="str">
        <f>IFERROR(INDEX(羁绊设计!$F:$F,MATCH(羁绊设计!CP32,羁绊设计!$D:$D,0)),"")</f>
        <v/>
      </c>
      <c r="AT32" s="9" t="str">
        <f>IFERROR(INDEX(羁绊设计!$F:$F,MATCH(羁绊设计!CR32,羁绊设计!$D:$D,0)),"")</f>
        <v/>
      </c>
      <c r="AU32" s="9" t="str">
        <f>IFERROR(INDEX(羁绊设计!$F:$F,MATCH(羁绊设计!CS32,羁绊设计!$D:$D,0)),"")</f>
        <v/>
      </c>
      <c r="AV32" s="9" t="str">
        <f>IFERROR(INDEX(羁绊设计!$F:$F,MATCH(羁绊设计!CT32,羁绊设计!$D:$D,0)),"")</f>
        <v/>
      </c>
      <c r="AW32" s="9" t="str">
        <f>IFERROR(INDEX(羁绊设计!$F:$F,MATCH(羁绊设计!CU32,羁绊设计!$D:$D,0)),"")</f>
        <v/>
      </c>
    </row>
    <row r="33" spans="2:49">
      <c r="B33" s="12" t="str">
        <f>羁绊设计!D33</f>
        <v>秦始皇</v>
      </c>
      <c r="C33" s="7" t="str">
        <f t="shared" si="1"/>
        <v/>
      </c>
      <c r="D33" s="7" t="str">
        <f t="shared" si="1"/>
        <v/>
      </c>
      <c r="E33" s="7" t="str">
        <f t="shared" si="1"/>
        <v/>
      </c>
      <c r="F33" s="7" t="str">
        <f t="shared" si="1"/>
        <v/>
      </c>
      <c r="G33" s="7" t="str">
        <f t="shared" si="1"/>
        <v/>
      </c>
      <c r="I33" s="9" t="str">
        <f t="shared" si="2"/>
        <v/>
      </c>
      <c r="K33" s="9" t="str">
        <f>IFERROR(INDEX(羁绊设计!$F:$F,MATCH(羁绊设计!BI33,羁绊设计!$D:$D,0)),"")</f>
        <v/>
      </c>
      <c r="L33" s="9" t="str">
        <f>IFERROR(INDEX(羁绊设计!$F:$F,MATCH(羁绊设计!BJ33,羁绊设计!$D:$D,0)),"")</f>
        <v/>
      </c>
      <c r="M33" s="9" t="str">
        <f>IFERROR(INDEX(羁绊设计!$F:$F,MATCH(羁绊设计!BK33,羁绊设计!$D:$D,0)),"")</f>
        <v/>
      </c>
      <c r="N33" s="9" t="str">
        <f>IFERROR(INDEX(羁绊设计!$F:$F,MATCH(羁绊设计!BL33,羁绊设计!$D:$D,0)),"")</f>
        <v/>
      </c>
      <c r="P33" s="9" t="str">
        <f>IFERROR(INDEX(羁绊设计!$F:$F,MATCH(羁绊设计!BN33,羁绊设计!$D:$D,0)),"")</f>
        <v/>
      </c>
      <c r="Q33" s="9" t="str">
        <f>IFERROR(INDEX(羁绊设计!$F:$F,MATCH(羁绊设计!BO33,羁绊设计!$D:$D,0)),"")</f>
        <v/>
      </c>
      <c r="R33" s="9" t="str">
        <f>IFERROR(INDEX(羁绊设计!$F:$F,MATCH(羁绊设计!BP33,羁绊设计!$D:$D,0)),"")</f>
        <v/>
      </c>
      <c r="S33" s="9" t="str">
        <f>IFERROR(INDEX(羁绊设计!$F:$F,MATCH(羁绊设计!BQ33,羁绊设计!$D:$D,0)),"")</f>
        <v/>
      </c>
      <c r="U33" s="9" t="str">
        <f>IFERROR(INDEX(羁绊设计!$F:$F,MATCH(羁绊设计!BS33,羁绊设计!$D:$D,0)),"")</f>
        <v/>
      </c>
      <c r="V33" s="9" t="str">
        <f>IFERROR(INDEX(羁绊设计!$F:$F,MATCH(羁绊设计!BT33,羁绊设计!$D:$D,0)),"")</f>
        <v/>
      </c>
      <c r="W33" s="9" t="str">
        <f>IFERROR(INDEX(羁绊设计!$F:$F,MATCH(羁绊设计!BU33,羁绊设计!$D:$D,0)),"")</f>
        <v/>
      </c>
      <c r="X33" s="9" t="str">
        <f>IFERROR(INDEX(羁绊设计!$F:$F,MATCH(羁绊设计!BV33,羁绊设计!$D:$D,0)),"")</f>
        <v/>
      </c>
      <c r="Z33" s="9" t="str">
        <f>IFERROR(INDEX(羁绊设计!$F:$F,MATCH(羁绊设计!BX33,羁绊设计!$D:$D,0)),"")</f>
        <v/>
      </c>
      <c r="AA33" s="9" t="str">
        <f>IFERROR(INDEX(羁绊设计!$F:$F,MATCH(羁绊设计!BY33,羁绊设计!$D:$D,0)),"")</f>
        <v/>
      </c>
      <c r="AB33" s="9" t="str">
        <f>IFERROR(INDEX(羁绊设计!$F:$F,MATCH(羁绊设计!BZ33,羁绊设计!$D:$D,0)),"")</f>
        <v/>
      </c>
      <c r="AC33" s="9" t="str">
        <f>IFERROR(INDEX(羁绊设计!$F:$F,MATCH(羁绊设计!CA33,羁绊设计!$D:$D,0)),"")</f>
        <v/>
      </c>
      <c r="AE33" s="9" t="str">
        <f>IFERROR(INDEX(羁绊设计!$F:$F,MATCH(羁绊设计!CC33,羁绊设计!$D:$D,0)),"")</f>
        <v/>
      </c>
      <c r="AF33" s="9" t="str">
        <f>IFERROR(INDEX(羁绊设计!$F:$F,MATCH(羁绊设计!CD33,羁绊设计!$D:$D,0)),"")</f>
        <v/>
      </c>
      <c r="AG33" s="9" t="str">
        <f>IFERROR(INDEX(羁绊设计!$F:$F,MATCH(羁绊设计!CE33,羁绊设计!$D:$D,0)),"")</f>
        <v/>
      </c>
      <c r="AH33" s="9" t="str">
        <f>IFERROR(INDEX(羁绊设计!$F:$F,MATCH(羁绊设计!CF33,羁绊设计!$D:$D,0)),"")</f>
        <v/>
      </c>
      <c r="AJ33" s="9" t="str">
        <f>IFERROR(INDEX(羁绊设计!$F:$F,MATCH(羁绊设计!CH33,羁绊设计!$D:$D,0)),"")</f>
        <v/>
      </c>
      <c r="AK33" s="9" t="str">
        <f>IFERROR(INDEX(羁绊设计!$F:$F,MATCH(羁绊设计!CI33,羁绊设计!$D:$D,0)),"")</f>
        <v/>
      </c>
      <c r="AL33" s="9" t="str">
        <f>IFERROR(INDEX(羁绊设计!$F:$F,MATCH(羁绊设计!CJ33,羁绊设计!$D:$D,0)),"")</f>
        <v/>
      </c>
      <c r="AM33" s="9" t="str">
        <f>IFERROR(INDEX(羁绊设计!$F:$F,MATCH(羁绊设计!CK33,羁绊设计!$D:$D,0)),"")</f>
        <v/>
      </c>
      <c r="AO33" s="9" t="str">
        <f>IFERROR(INDEX(羁绊设计!$F:$F,MATCH(羁绊设计!CM33,羁绊设计!$D:$D,0)),"")</f>
        <v/>
      </c>
      <c r="AP33" s="9" t="str">
        <f>IFERROR(INDEX(羁绊设计!$F:$F,MATCH(羁绊设计!CN33,羁绊设计!$D:$D,0)),"")</f>
        <v/>
      </c>
      <c r="AQ33" s="9" t="str">
        <f>IFERROR(INDEX(羁绊设计!$F:$F,MATCH(羁绊设计!CO33,羁绊设计!$D:$D,0)),"")</f>
        <v/>
      </c>
      <c r="AR33" s="9" t="str">
        <f>IFERROR(INDEX(羁绊设计!$F:$F,MATCH(羁绊设计!CP33,羁绊设计!$D:$D,0)),"")</f>
        <v/>
      </c>
      <c r="AT33" s="9" t="str">
        <f>IFERROR(INDEX(羁绊设计!$F:$F,MATCH(羁绊设计!CR33,羁绊设计!$D:$D,0)),"")</f>
        <v/>
      </c>
      <c r="AU33" s="9" t="str">
        <f>IFERROR(INDEX(羁绊设计!$F:$F,MATCH(羁绊设计!CS33,羁绊设计!$D:$D,0)),"")</f>
        <v/>
      </c>
      <c r="AV33" s="9" t="str">
        <f>IFERROR(INDEX(羁绊设计!$F:$F,MATCH(羁绊设计!CT33,羁绊设计!$D:$D,0)),"")</f>
        <v/>
      </c>
      <c r="AW33" s="9" t="str">
        <f>IFERROR(INDEX(羁绊设计!$F:$F,MATCH(羁绊设计!CU33,羁绊设计!$D:$D,0)),"")</f>
        <v/>
      </c>
    </row>
    <row r="34" spans="2:49">
      <c r="B34" s="12" t="str">
        <f>羁绊设计!D34</f>
        <v>李斯</v>
      </c>
      <c r="C34" s="7" t="str">
        <f t="shared" si="1"/>
        <v/>
      </c>
      <c r="D34" s="7" t="str">
        <f t="shared" si="1"/>
        <v/>
      </c>
      <c r="E34" s="7" t="str">
        <f t="shared" si="1"/>
        <v/>
      </c>
      <c r="F34" s="7">
        <f t="shared" si="1"/>
        <v>7</v>
      </c>
      <c r="G34" s="7" t="str">
        <f t="shared" si="1"/>
        <v/>
      </c>
      <c r="I34" s="9" t="str">
        <f t="shared" si="2"/>
        <v>橙,橙,橙,橙,橙,橙+,橙+,橙+,橙,橙</v>
      </c>
      <c r="K34" s="9" t="str">
        <f>IFERROR(INDEX(羁绊设计!$F:$F,MATCH(羁绊设计!BI34,羁绊设计!$D:$D,0)),"")</f>
        <v>橙</v>
      </c>
      <c r="L34" s="9" t="str">
        <f>IFERROR(INDEX(羁绊设计!$F:$F,MATCH(羁绊设计!BJ34,羁绊设计!$D:$D,0)),"")</f>
        <v>橙</v>
      </c>
      <c r="M34" s="9" t="str">
        <f>IFERROR(INDEX(羁绊设计!$F:$F,MATCH(羁绊设计!BK34,羁绊设计!$D:$D,0)),"")</f>
        <v>橙</v>
      </c>
      <c r="N34" s="9" t="str">
        <f>IFERROR(INDEX(羁绊设计!$F:$F,MATCH(羁绊设计!BL34,羁绊设计!$D:$D,0)),"")</f>
        <v/>
      </c>
      <c r="P34" s="9" t="str">
        <f>IFERROR(INDEX(羁绊设计!$F:$F,MATCH(羁绊设计!BN34,羁绊设计!$D:$D,0)),"")</f>
        <v/>
      </c>
      <c r="Q34" s="9" t="str">
        <f>IFERROR(INDEX(羁绊设计!$F:$F,MATCH(羁绊设计!BO34,羁绊设计!$D:$D,0)),"")</f>
        <v/>
      </c>
      <c r="R34" s="9" t="str">
        <f>IFERROR(INDEX(羁绊设计!$F:$F,MATCH(羁绊设计!BP34,羁绊设计!$D:$D,0)),"")</f>
        <v/>
      </c>
      <c r="S34" s="9" t="str">
        <f>IFERROR(INDEX(羁绊设计!$F:$F,MATCH(羁绊设计!BQ34,羁绊设计!$D:$D,0)),"")</f>
        <v/>
      </c>
      <c r="U34" s="9" t="str">
        <f>IFERROR(INDEX(羁绊设计!$F:$F,MATCH(羁绊设计!BS34,羁绊设计!$D:$D,0)),"")</f>
        <v>橙</v>
      </c>
      <c r="V34" s="9" t="str">
        <f>IFERROR(INDEX(羁绊设计!$F:$F,MATCH(羁绊设计!BT34,羁绊设计!$D:$D,0)),"")</f>
        <v/>
      </c>
      <c r="W34" s="9" t="str">
        <f>IFERROR(INDEX(羁绊设计!$F:$F,MATCH(羁绊设计!BU34,羁绊设计!$D:$D,0)),"")</f>
        <v/>
      </c>
      <c r="X34" s="9" t="str">
        <f>IFERROR(INDEX(羁绊设计!$F:$F,MATCH(羁绊设计!BV34,羁绊设计!$D:$D,0)),"")</f>
        <v/>
      </c>
      <c r="Z34" s="9" t="str">
        <f>IFERROR(INDEX(羁绊设计!$F:$F,MATCH(羁绊设计!BX34,羁绊设计!$D:$D,0)),"")</f>
        <v>橙</v>
      </c>
      <c r="AA34" s="9" t="str">
        <f>IFERROR(INDEX(羁绊设计!$F:$F,MATCH(羁绊设计!BY34,羁绊设计!$D:$D,0)),"")</f>
        <v/>
      </c>
      <c r="AB34" s="9" t="str">
        <f>IFERROR(INDEX(羁绊设计!$F:$F,MATCH(羁绊设计!BZ34,羁绊设计!$D:$D,0)),"")</f>
        <v/>
      </c>
      <c r="AC34" s="9" t="str">
        <f>IFERROR(INDEX(羁绊设计!$F:$F,MATCH(羁绊设计!CA34,羁绊设计!$D:$D,0)),"")</f>
        <v>橙+</v>
      </c>
      <c r="AE34" s="9" t="str">
        <f>IFERROR(INDEX(羁绊设计!$F:$F,MATCH(羁绊设计!CC34,羁绊设计!$D:$D,0)),"")</f>
        <v>橙+</v>
      </c>
      <c r="AF34" s="9" t="str">
        <f>IFERROR(INDEX(羁绊设计!$F:$F,MATCH(羁绊设计!CD34,羁绊设计!$D:$D,0)),"")</f>
        <v/>
      </c>
      <c r="AG34" s="9" t="str">
        <f>IFERROR(INDEX(羁绊设计!$F:$F,MATCH(羁绊设计!CE34,羁绊设计!$D:$D,0)),"")</f>
        <v>橙+</v>
      </c>
      <c r="AH34" s="9" t="str">
        <f>IFERROR(INDEX(羁绊设计!$F:$F,MATCH(羁绊设计!CF34,羁绊设计!$D:$D,0)),"")</f>
        <v/>
      </c>
      <c r="AJ34" s="9" t="str">
        <f>IFERROR(INDEX(羁绊设计!$F:$F,MATCH(羁绊设计!CH34,羁绊设计!$D:$D,0)),"")</f>
        <v>橙</v>
      </c>
      <c r="AK34" s="9" t="str">
        <f>IFERROR(INDEX(羁绊设计!$F:$F,MATCH(羁绊设计!CI34,羁绊设计!$D:$D,0)),"")</f>
        <v/>
      </c>
      <c r="AL34" s="9" t="str">
        <f>IFERROR(INDEX(羁绊设计!$F:$F,MATCH(羁绊设计!CJ34,羁绊设计!$D:$D,0)),"")</f>
        <v>橙</v>
      </c>
      <c r="AM34" s="9" t="str">
        <f>IFERROR(INDEX(羁绊设计!$F:$F,MATCH(羁绊设计!CK34,羁绊设计!$D:$D,0)),"")</f>
        <v/>
      </c>
      <c r="AO34" s="9" t="str">
        <f>IFERROR(INDEX(羁绊设计!$F:$F,MATCH(羁绊设计!CM34,羁绊设计!$D:$D,0)),"")</f>
        <v/>
      </c>
      <c r="AP34" s="9" t="str">
        <f>IFERROR(INDEX(羁绊设计!$F:$F,MATCH(羁绊设计!CN34,羁绊设计!$D:$D,0)),"")</f>
        <v/>
      </c>
      <c r="AQ34" s="9" t="str">
        <f>IFERROR(INDEX(羁绊设计!$F:$F,MATCH(羁绊设计!CO34,羁绊设计!$D:$D,0)),"")</f>
        <v/>
      </c>
      <c r="AR34" s="9" t="str">
        <f>IFERROR(INDEX(羁绊设计!$F:$F,MATCH(羁绊设计!CP34,羁绊设计!$D:$D,0)),"")</f>
        <v/>
      </c>
      <c r="AT34" s="9" t="str">
        <f>IFERROR(INDEX(羁绊设计!$F:$F,MATCH(羁绊设计!CR34,羁绊设计!$D:$D,0)),"")</f>
        <v/>
      </c>
      <c r="AU34" s="9" t="str">
        <f>IFERROR(INDEX(羁绊设计!$F:$F,MATCH(羁绊设计!CS34,羁绊设计!$D:$D,0)),"")</f>
        <v/>
      </c>
      <c r="AV34" s="9" t="str">
        <f>IFERROR(INDEX(羁绊设计!$F:$F,MATCH(羁绊设计!CT34,羁绊设计!$D:$D,0)),"")</f>
        <v/>
      </c>
      <c r="AW34" s="9" t="str">
        <f>IFERROR(INDEX(羁绊设计!$F:$F,MATCH(羁绊设计!CU34,羁绊设计!$D:$D,0)),"")</f>
        <v/>
      </c>
    </row>
    <row r="35" spans="2:49">
      <c r="B35" s="12" t="str">
        <f>羁绊设计!D35</f>
        <v>樗里疾</v>
      </c>
      <c r="C35" s="7" t="str">
        <f t="shared" si="1"/>
        <v/>
      </c>
      <c r="D35" s="7" t="str">
        <f t="shared" si="1"/>
        <v/>
      </c>
      <c r="E35" s="7">
        <f t="shared" si="1"/>
        <v>1</v>
      </c>
      <c r="F35" s="7">
        <f t="shared" si="1"/>
        <v>9</v>
      </c>
      <c r="G35" s="7" t="str">
        <f t="shared" si="1"/>
        <v/>
      </c>
      <c r="I35" s="9" t="str">
        <f t="shared" si="2"/>
        <v>橙,橙,橙,橙,紫,橙+,橙,橙,橙+,橙,橙,橙+,橙</v>
      </c>
      <c r="K35" s="9" t="str">
        <f>IFERROR(INDEX(羁绊设计!$F:$F,MATCH(羁绊设计!BI35,羁绊设计!$D:$D,0)),"")</f>
        <v>橙</v>
      </c>
      <c r="L35" s="9" t="str">
        <f>IFERROR(INDEX(羁绊设计!$F:$F,MATCH(羁绊设计!BJ35,羁绊设计!$D:$D,0)),"")</f>
        <v>橙</v>
      </c>
      <c r="M35" s="9" t="str">
        <f>IFERROR(INDEX(羁绊设计!$F:$F,MATCH(羁绊设计!BK35,羁绊设计!$D:$D,0)),"")</f>
        <v/>
      </c>
      <c r="N35" s="9" t="str">
        <f>IFERROR(INDEX(羁绊设计!$F:$F,MATCH(羁绊设计!BL35,羁绊设计!$D:$D,0)),"")</f>
        <v/>
      </c>
      <c r="P35" s="9" t="str">
        <f>IFERROR(INDEX(羁绊设计!$F:$F,MATCH(羁绊设计!BN35,羁绊设计!$D:$D,0)),"")</f>
        <v>橙</v>
      </c>
      <c r="Q35" s="9" t="str">
        <f>IFERROR(INDEX(羁绊设计!$F:$F,MATCH(羁绊设计!BO35,羁绊设计!$D:$D,0)),"")</f>
        <v>橙</v>
      </c>
      <c r="R35" s="9" t="str">
        <f>IFERROR(INDEX(羁绊设计!$F:$F,MATCH(羁绊设计!BP35,羁绊设计!$D:$D,0)),"")</f>
        <v/>
      </c>
      <c r="S35" s="9" t="str">
        <f>IFERROR(INDEX(羁绊设计!$F:$F,MATCH(羁绊设计!BQ35,羁绊设计!$D:$D,0)),"")</f>
        <v/>
      </c>
      <c r="U35" s="9" t="str">
        <f>IFERROR(INDEX(羁绊设计!$F:$F,MATCH(羁绊设计!BS35,羁绊设计!$D:$D,0)),"")</f>
        <v/>
      </c>
      <c r="V35" s="9" t="str">
        <f>IFERROR(INDEX(羁绊设计!$F:$F,MATCH(羁绊设计!BT35,羁绊设计!$D:$D,0)),"")</f>
        <v>紫</v>
      </c>
      <c r="W35" s="9" t="str">
        <f>IFERROR(INDEX(羁绊设计!$F:$F,MATCH(羁绊设计!BU35,羁绊设计!$D:$D,0)),"")</f>
        <v/>
      </c>
      <c r="X35" s="9" t="str">
        <f>IFERROR(INDEX(羁绊设计!$F:$F,MATCH(羁绊设计!BV35,羁绊设计!$D:$D,0)),"")</f>
        <v/>
      </c>
      <c r="Z35" s="9" t="str">
        <f>IFERROR(INDEX(羁绊设计!$F:$F,MATCH(羁绊设计!BX35,羁绊设计!$D:$D,0)),"")</f>
        <v>橙+</v>
      </c>
      <c r="AA35" s="9" t="str">
        <f>IFERROR(INDEX(羁绊设计!$F:$F,MATCH(羁绊设计!BY35,羁绊设计!$D:$D,0)),"")</f>
        <v>橙</v>
      </c>
      <c r="AB35" s="9" t="str">
        <f>IFERROR(INDEX(羁绊设计!$F:$F,MATCH(羁绊设计!BZ35,羁绊设计!$D:$D,0)),"")</f>
        <v/>
      </c>
      <c r="AC35" s="9" t="str">
        <f>IFERROR(INDEX(羁绊设计!$F:$F,MATCH(羁绊设计!CA35,羁绊设计!$D:$D,0)),"")</f>
        <v/>
      </c>
      <c r="AE35" s="9" t="str">
        <f>IFERROR(INDEX(羁绊设计!$F:$F,MATCH(羁绊设计!CC35,羁绊设计!$D:$D,0)),"")</f>
        <v/>
      </c>
      <c r="AF35" s="9" t="str">
        <f>IFERROR(INDEX(羁绊设计!$F:$F,MATCH(羁绊设计!CD35,羁绊设计!$D:$D,0)),"")</f>
        <v/>
      </c>
      <c r="AG35" s="9" t="str">
        <f>IFERROR(INDEX(羁绊设计!$F:$F,MATCH(羁绊设计!CE35,羁绊设计!$D:$D,0)),"")</f>
        <v/>
      </c>
      <c r="AH35" s="9" t="str">
        <f>IFERROR(INDEX(羁绊设计!$F:$F,MATCH(羁绊设计!CF35,羁绊设计!$D:$D,0)),"")</f>
        <v>橙</v>
      </c>
      <c r="AJ35" s="9" t="str">
        <f>IFERROR(INDEX(羁绊设计!$F:$F,MATCH(羁绊设计!CH35,羁绊设计!$D:$D,0)),"")</f>
        <v>橙+</v>
      </c>
      <c r="AK35" s="9" t="str">
        <f>IFERROR(INDEX(羁绊设计!$F:$F,MATCH(羁绊设计!CI35,羁绊设计!$D:$D,0)),"")</f>
        <v>橙</v>
      </c>
      <c r="AL35" s="9" t="str">
        <f>IFERROR(INDEX(羁绊设计!$F:$F,MATCH(羁绊设计!CJ35,羁绊设计!$D:$D,0)),"")</f>
        <v>橙</v>
      </c>
      <c r="AM35" s="9" t="str">
        <f>IFERROR(INDEX(羁绊设计!$F:$F,MATCH(羁绊设计!CK35,羁绊设计!$D:$D,0)),"")</f>
        <v/>
      </c>
      <c r="AO35" s="9" t="str">
        <f>IFERROR(INDEX(羁绊设计!$F:$F,MATCH(羁绊设计!CM35,羁绊设计!$D:$D,0)),"")</f>
        <v>橙+</v>
      </c>
      <c r="AP35" s="9" t="str">
        <f>IFERROR(INDEX(羁绊设计!$F:$F,MATCH(羁绊设计!CN35,羁绊设计!$D:$D,0)),"")</f>
        <v/>
      </c>
      <c r="AQ35" s="9" t="str">
        <f>IFERROR(INDEX(羁绊设计!$F:$F,MATCH(羁绊设计!CO35,羁绊设计!$D:$D,0)),"")</f>
        <v>橙</v>
      </c>
      <c r="AR35" s="9" t="str">
        <f>IFERROR(INDEX(羁绊设计!$F:$F,MATCH(羁绊设计!CP35,羁绊设计!$D:$D,0)),"")</f>
        <v/>
      </c>
      <c r="AT35" s="9" t="str">
        <f>IFERROR(INDEX(羁绊设计!$F:$F,MATCH(羁绊设计!CR35,羁绊设计!$D:$D,0)),"")</f>
        <v/>
      </c>
      <c r="AU35" s="9" t="str">
        <f>IFERROR(INDEX(羁绊设计!$F:$F,MATCH(羁绊设计!CS35,羁绊设计!$D:$D,0)),"")</f>
        <v/>
      </c>
      <c r="AV35" s="9" t="str">
        <f>IFERROR(INDEX(羁绊设计!$F:$F,MATCH(羁绊设计!CT35,羁绊设计!$D:$D,0)),"")</f>
        <v/>
      </c>
      <c r="AW35" s="9" t="str">
        <f>IFERROR(INDEX(羁绊设计!$F:$F,MATCH(羁绊设计!CU35,羁绊设计!$D:$D,0)),"")</f>
        <v/>
      </c>
    </row>
    <row r="36" spans="2:49">
      <c r="B36" s="12" t="str">
        <f>羁绊设计!D36</f>
        <v>伯乐</v>
      </c>
      <c r="C36" s="7" t="str">
        <f t="shared" si="1"/>
        <v/>
      </c>
      <c r="D36" s="7" t="str">
        <f t="shared" si="1"/>
        <v/>
      </c>
      <c r="E36" s="7" t="str">
        <f t="shared" si="1"/>
        <v/>
      </c>
      <c r="F36" s="7">
        <f t="shared" si="1"/>
        <v>9</v>
      </c>
      <c r="G36" s="7" t="str">
        <f t="shared" si="1"/>
        <v/>
      </c>
      <c r="I36" s="9" t="str">
        <f t="shared" si="2"/>
        <v>橙,橙,橙,橙,橙+,橙+,橙,橙,橙,橙,橙</v>
      </c>
      <c r="K36" s="9" t="str">
        <f>IFERROR(INDEX(羁绊设计!$F:$F,MATCH(羁绊设计!BI36,羁绊设计!$D:$D,0)),"")</f>
        <v>橙</v>
      </c>
      <c r="L36" s="9" t="str">
        <f>IFERROR(INDEX(羁绊设计!$F:$F,MATCH(羁绊设计!BJ36,羁绊设计!$D:$D,0)),"")</f>
        <v>橙</v>
      </c>
      <c r="M36" s="9" t="str">
        <f>IFERROR(INDEX(羁绊设计!$F:$F,MATCH(羁绊设计!BK36,羁绊设计!$D:$D,0)),"")</f>
        <v>橙</v>
      </c>
      <c r="N36" s="9" t="str">
        <f>IFERROR(INDEX(羁绊设计!$F:$F,MATCH(羁绊设计!BL36,羁绊设计!$D:$D,0)),"")</f>
        <v/>
      </c>
      <c r="P36" s="9" t="str">
        <f>IFERROR(INDEX(羁绊设计!$F:$F,MATCH(羁绊设计!BN36,羁绊设计!$D:$D,0)),"")</f>
        <v/>
      </c>
      <c r="Q36" s="9" t="str">
        <f>IFERROR(INDEX(羁绊设计!$F:$F,MATCH(羁绊设计!BO36,羁绊设计!$D:$D,0)),"")</f>
        <v>橙</v>
      </c>
      <c r="R36" s="9" t="str">
        <f>IFERROR(INDEX(羁绊设计!$F:$F,MATCH(羁绊设计!BP36,羁绊设计!$D:$D,0)),"")</f>
        <v/>
      </c>
      <c r="S36" s="9" t="str">
        <f>IFERROR(INDEX(羁绊设计!$F:$F,MATCH(羁绊设计!BQ36,羁绊设计!$D:$D,0)),"")</f>
        <v/>
      </c>
      <c r="U36" s="9" t="str">
        <f>IFERROR(INDEX(羁绊设计!$F:$F,MATCH(羁绊设计!BS36,羁绊设计!$D:$D,0)),"")</f>
        <v>橙+</v>
      </c>
      <c r="V36" s="9" t="str">
        <f>IFERROR(INDEX(羁绊设计!$F:$F,MATCH(羁绊设计!BT36,羁绊设计!$D:$D,0)),"")</f>
        <v/>
      </c>
      <c r="W36" s="9" t="str">
        <f>IFERROR(INDEX(羁绊设计!$F:$F,MATCH(羁绊设计!BU36,羁绊设计!$D:$D,0)),"")</f>
        <v/>
      </c>
      <c r="X36" s="9" t="str">
        <f>IFERROR(INDEX(羁绊设计!$F:$F,MATCH(羁绊设计!BV36,羁绊设计!$D:$D,0)),"")</f>
        <v/>
      </c>
      <c r="Z36" s="9" t="str">
        <f>IFERROR(INDEX(羁绊设计!$F:$F,MATCH(羁绊设计!BX36,羁绊设计!$D:$D,0)),"")</f>
        <v>橙+</v>
      </c>
      <c r="AA36" s="9" t="str">
        <f>IFERROR(INDEX(羁绊设计!$F:$F,MATCH(羁绊设计!BY36,羁绊设计!$D:$D,0)),"")</f>
        <v>橙</v>
      </c>
      <c r="AB36" s="9" t="str">
        <f>IFERROR(INDEX(羁绊设计!$F:$F,MATCH(羁绊设计!BZ36,羁绊设计!$D:$D,0)),"")</f>
        <v/>
      </c>
      <c r="AC36" s="9" t="str">
        <f>IFERROR(INDEX(羁绊设计!$F:$F,MATCH(羁绊设计!CA36,羁绊设计!$D:$D,0)),"")</f>
        <v>橙</v>
      </c>
      <c r="AE36" s="9" t="str">
        <f>IFERROR(INDEX(羁绊设计!$F:$F,MATCH(羁绊设计!CC36,羁绊设计!$D:$D,0)),"")</f>
        <v>橙</v>
      </c>
      <c r="AF36" s="9" t="str">
        <f>IFERROR(INDEX(羁绊设计!$F:$F,MATCH(羁绊设计!CD36,羁绊设计!$D:$D,0)),"")</f>
        <v>橙</v>
      </c>
      <c r="AG36" s="9" t="str">
        <f>IFERROR(INDEX(羁绊设计!$F:$F,MATCH(羁绊设计!CE36,羁绊设计!$D:$D,0)),"")</f>
        <v/>
      </c>
      <c r="AH36" s="9" t="str">
        <f>IFERROR(INDEX(羁绊设计!$F:$F,MATCH(羁绊设计!CF36,羁绊设计!$D:$D,0)),"")</f>
        <v/>
      </c>
      <c r="AJ36" s="9" t="str">
        <f>IFERROR(INDEX(羁绊设计!$F:$F,MATCH(羁绊设计!CH36,羁绊设计!$D:$D,0)),"")</f>
        <v>橙</v>
      </c>
      <c r="AK36" s="9" t="str">
        <f>IFERROR(INDEX(羁绊设计!$F:$F,MATCH(羁绊设计!CI36,羁绊设计!$D:$D,0)),"")</f>
        <v/>
      </c>
      <c r="AL36" s="9" t="str">
        <f>IFERROR(INDEX(羁绊设计!$F:$F,MATCH(羁绊设计!CJ36,羁绊设计!$D:$D,0)),"")</f>
        <v/>
      </c>
      <c r="AM36" s="9" t="str">
        <f>IFERROR(INDEX(羁绊设计!$F:$F,MATCH(羁绊设计!CK36,羁绊设计!$D:$D,0)),"")</f>
        <v/>
      </c>
      <c r="AO36" s="9" t="str">
        <f>IFERROR(INDEX(羁绊设计!$F:$F,MATCH(羁绊设计!CM36,羁绊设计!$D:$D,0)),"")</f>
        <v/>
      </c>
      <c r="AP36" s="9" t="str">
        <f>IFERROR(INDEX(羁绊设计!$F:$F,MATCH(羁绊设计!CN36,羁绊设计!$D:$D,0)),"")</f>
        <v/>
      </c>
      <c r="AQ36" s="9" t="str">
        <f>IFERROR(INDEX(羁绊设计!$F:$F,MATCH(羁绊设计!CO36,羁绊设计!$D:$D,0)),"")</f>
        <v/>
      </c>
      <c r="AR36" s="9" t="str">
        <f>IFERROR(INDEX(羁绊设计!$F:$F,MATCH(羁绊设计!CP36,羁绊设计!$D:$D,0)),"")</f>
        <v/>
      </c>
      <c r="AT36" s="9" t="str">
        <f>IFERROR(INDEX(羁绊设计!$F:$F,MATCH(羁绊设计!CR36,羁绊设计!$D:$D,0)),"")</f>
        <v/>
      </c>
      <c r="AU36" s="9" t="str">
        <f>IFERROR(INDEX(羁绊设计!$F:$F,MATCH(羁绊设计!CS36,羁绊设计!$D:$D,0)),"")</f>
        <v/>
      </c>
      <c r="AV36" s="9" t="str">
        <f>IFERROR(INDEX(羁绊设计!$F:$F,MATCH(羁绊设计!CT36,羁绊设计!$D:$D,0)),"")</f>
        <v/>
      </c>
      <c r="AW36" s="9" t="str">
        <f>IFERROR(INDEX(羁绊设计!$F:$F,MATCH(羁绊设计!CU36,羁绊设计!$D:$D,0)),"")</f>
        <v/>
      </c>
    </row>
    <row r="37" spans="2:49">
      <c r="B37" s="12" t="str">
        <f>羁绊设计!D37</f>
        <v>钟无艳</v>
      </c>
      <c r="C37" s="7" t="str">
        <f t="shared" si="1"/>
        <v/>
      </c>
      <c r="D37" s="7" t="str">
        <f t="shared" si="1"/>
        <v/>
      </c>
      <c r="E37" s="7">
        <f t="shared" si="1"/>
        <v>3</v>
      </c>
      <c r="F37" s="7">
        <f t="shared" si="1"/>
        <v>2</v>
      </c>
      <c r="G37" s="7" t="str">
        <f t="shared" si="1"/>
        <v/>
      </c>
      <c r="I37" s="9" t="str">
        <f t="shared" si="2"/>
        <v>紫,紫,紫,橙,橙</v>
      </c>
      <c r="K37" s="9" t="str">
        <f>IFERROR(INDEX(羁绊设计!$F:$F,MATCH(羁绊设计!BI37,羁绊设计!$D:$D,0)),"")</f>
        <v>紫</v>
      </c>
      <c r="L37" s="9" t="str">
        <f>IFERROR(INDEX(羁绊设计!$F:$F,MATCH(羁绊设计!BJ37,羁绊设计!$D:$D,0)),"")</f>
        <v>紫</v>
      </c>
      <c r="M37" s="9" t="str">
        <f>IFERROR(INDEX(羁绊设计!$F:$F,MATCH(羁绊设计!BK37,羁绊设计!$D:$D,0)),"")</f>
        <v>紫</v>
      </c>
      <c r="N37" s="9" t="str">
        <f>IFERROR(INDEX(羁绊设计!$F:$F,MATCH(羁绊设计!BL37,羁绊设计!$D:$D,0)),"")</f>
        <v/>
      </c>
      <c r="P37" s="9" t="str">
        <f>IFERROR(INDEX(羁绊设计!$F:$F,MATCH(羁绊设计!BN37,羁绊设计!$D:$D,0)),"")</f>
        <v/>
      </c>
      <c r="Q37" s="9" t="str">
        <f>IFERROR(INDEX(羁绊设计!$F:$F,MATCH(羁绊设计!BO37,羁绊设计!$D:$D,0)),"")</f>
        <v>橙</v>
      </c>
      <c r="R37" s="9" t="str">
        <f>IFERROR(INDEX(羁绊设计!$F:$F,MATCH(羁绊设计!BP37,羁绊设计!$D:$D,0)),"")</f>
        <v/>
      </c>
      <c r="S37" s="9" t="str">
        <f>IFERROR(INDEX(羁绊设计!$F:$F,MATCH(羁绊设计!BQ37,羁绊设计!$D:$D,0)),"")</f>
        <v/>
      </c>
      <c r="U37" s="9" t="str">
        <f>IFERROR(INDEX(羁绊设计!$F:$F,MATCH(羁绊设计!BS37,羁绊设计!$D:$D,0)),"")</f>
        <v/>
      </c>
      <c r="V37" s="9" t="str">
        <f>IFERROR(INDEX(羁绊设计!$F:$F,MATCH(羁绊设计!BT37,羁绊设计!$D:$D,0)),"")</f>
        <v>橙</v>
      </c>
      <c r="W37" s="9" t="str">
        <f>IFERROR(INDEX(羁绊设计!$F:$F,MATCH(羁绊设计!BU37,羁绊设计!$D:$D,0)),"")</f>
        <v/>
      </c>
      <c r="X37" s="9" t="str">
        <f>IFERROR(INDEX(羁绊设计!$F:$F,MATCH(羁绊设计!BV37,羁绊设计!$D:$D,0)),"")</f>
        <v/>
      </c>
      <c r="Z37" s="9" t="str">
        <f>IFERROR(INDEX(羁绊设计!$F:$F,MATCH(羁绊设计!BX37,羁绊设计!$D:$D,0)),"")</f>
        <v/>
      </c>
      <c r="AA37" s="9" t="str">
        <f>IFERROR(INDEX(羁绊设计!$F:$F,MATCH(羁绊设计!BY37,羁绊设计!$D:$D,0)),"")</f>
        <v/>
      </c>
      <c r="AB37" s="9" t="str">
        <f>IFERROR(INDEX(羁绊设计!$F:$F,MATCH(羁绊设计!BZ37,羁绊设计!$D:$D,0)),"")</f>
        <v/>
      </c>
      <c r="AC37" s="9" t="str">
        <f>IFERROR(INDEX(羁绊设计!$F:$F,MATCH(羁绊设计!CA37,羁绊设计!$D:$D,0)),"")</f>
        <v/>
      </c>
      <c r="AE37" s="9" t="str">
        <f>IFERROR(INDEX(羁绊设计!$F:$F,MATCH(羁绊设计!CC37,羁绊设计!$D:$D,0)),"")</f>
        <v/>
      </c>
      <c r="AF37" s="9" t="str">
        <f>IFERROR(INDEX(羁绊设计!$F:$F,MATCH(羁绊设计!CD37,羁绊设计!$D:$D,0)),"")</f>
        <v/>
      </c>
      <c r="AG37" s="9" t="str">
        <f>IFERROR(INDEX(羁绊设计!$F:$F,MATCH(羁绊设计!CE37,羁绊设计!$D:$D,0)),"")</f>
        <v/>
      </c>
      <c r="AH37" s="9" t="str">
        <f>IFERROR(INDEX(羁绊设计!$F:$F,MATCH(羁绊设计!CF37,羁绊设计!$D:$D,0)),"")</f>
        <v/>
      </c>
      <c r="AJ37" s="9" t="str">
        <f>IFERROR(INDEX(羁绊设计!$F:$F,MATCH(羁绊设计!CH37,羁绊设计!$D:$D,0)),"")</f>
        <v/>
      </c>
      <c r="AK37" s="9" t="str">
        <f>IFERROR(INDEX(羁绊设计!$F:$F,MATCH(羁绊设计!CI37,羁绊设计!$D:$D,0)),"")</f>
        <v/>
      </c>
      <c r="AL37" s="9" t="str">
        <f>IFERROR(INDEX(羁绊设计!$F:$F,MATCH(羁绊设计!CJ37,羁绊设计!$D:$D,0)),"")</f>
        <v/>
      </c>
      <c r="AM37" s="9" t="str">
        <f>IFERROR(INDEX(羁绊设计!$F:$F,MATCH(羁绊设计!CK37,羁绊设计!$D:$D,0)),"")</f>
        <v/>
      </c>
      <c r="AO37" s="9" t="str">
        <f>IFERROR(INDEX(羁绊设计!$F:$F,MATCH(羁绊设计!CM37,羁绊设计!$D:$D,0)),"")</f>
        <v/>
      </c>
      <c r="AP37" s="9" t="str">
        <f>IFERROR(INDEX(羁绊设计!$F:$F,MATCH(羁绊设计!CN37,羁绊设计!$D:$D,0)),"")</f>
        <v/>
      </c>
      <c r="AQ37" s="9" t="str">
        <f>IFERROR(INDEX(羁绊设计!$F:$F,MATCH(羁绊设计!CO37,羁绊设计!$D:$D,0)),"")</f>
        <v/>
      </c>
      <c r="AR37" s="9" t="str">
        <f>IFERROR(INDEX(羁绊设计!$F:$F,MATCH(羁绊设计!CP37,羁绊设计!$D:$D,0)),"")</f>
        <v/>
      </c>
      <c r="AT37" s="9" t="str">
        <f>IFERROR(INDEX(羁绊设计!$F:$F,MATCH(羁绊设计!CR37,羁绊设计!$D:$D,0)),"")</f>
        <v/>
      </c>
      <c r="AU37" s="9" t="str">
        <f>IFERROR(INDEX(羁绊设计!$F:$F,MATCH(羁绊设计!CS37,羁绊设计!$D:$D,0)),"")</f>
        <v/>
      </c>
      <c r="AV37" s="9" t="str">
        <f>IFERROR(INDEX(羁绊设计!$F:$F,MATCH(羁绊设计!CT37,羁绊设计!$D:$D,0)),"")</f>
        <v/>
      </c>
      <c r="AW37" s="9" t="str">
        <f>IFERROR(INDEX(羁绊设计!$F:$F,MATCH(羁绊设计!CU37,羁绊设计!$D:$D,0)),"")</f>
        <v/>
      </c>
    </row>
    <row r="38" spans="2:49">
      <c r="B38" s="12" t="str">
        <f>羁绊设计!D38</f>
        <v>孟尝君</v>
      </c>
      <c r="C38" s="7" t="str">
        <f t="shared" si="1"/>
        <v/>
      </c>
      <c r="D38" s="7" t="str">
        <f t="shared" si="1"/>
        <v/>
      </c>
      <c r="E38" s="7" t="str">
        <f t="shared" si="1"/>
        <v/>
      </c>
      <c r="F38" s="7">
        <f t="shared" si="1"/>
        <v>6</v>
      </c>
      <c r="G38" s="7" t="str">
        <f t="shared" si="1"/>
        <v/>
      </c>
      <c r="I38" s="9" t="str">
        <f t="shared" si="2"/>
        <v>橙,橙,橙,橙,橙,橙+,橙,橙+</v>
      </c>
      <c r="K38" s="9" t="str">
        <f>IFERROR(INDEX(羁绊设计!$F:$F,MATCH(羁绊设计!BI38,羁绊设计!$D:$D,0)),"")</f>
        <v>橙</v>
      </c>
      <c r="L38" s="9" t="str">
        <f>IFERROR(INDEX(羁绊设计!$F:$F,MATCH(羁绊设计!BJ38,羁绊设计!$D:$D,0)),"")</f>
        <v>橙</v>
      </c>
      <c r="M38" s="9" t="str">
        <f>IFERROR(INDEX(羁绊设计!$F:$F,MATCH(羁绊设计!BK38,羁绊设计!$D:$D,0)),"")</f>
        <v/>
      </c>
      <c r="N38" s="9" t="str">
        <f>IFERROR(INDEX(羁绊设计!$F:$F,MATCH(羁绊设计!BL38,羁绊设计!$D:$D,0)),"")</f>
        <v/>
      </c>
      <c r="P38" s="9" t="str">
        <f>IFERROR(INDEX(羁绊设计!$F:$F,MATCH(羁绊设计!BN38,羁绊设计!$D:$D,0)),"")</f>
        <v/>
      </c>
      <c r="Q38" s="9" t="str">
        <f>IFERROR(INDEX(羁绊设计!$F:$F,MATCH(羁绊设计!BO38,羁绊设计!$D:$D,0)),"")</f>
        <v>橙</v>
      </c>
      <c r="R38" s="9" t="str">
        <f>IFERROR(INDEX(羁绊设计!$F:$F,MATCH(羁绊设计!BP38,羁绊设计!$D:$D,0)),"")</f>
        <v/>
      </c>
      <c r="S38" s="9" t="str">
        <f>IFERROR(INDEX(羁绊设计!$F:$F,MATCH(羁绊设计!BQ38,羁绊设计!$D:$D,0)),"")</f>
        <v/>
      </c>
      <c r="U38" s="9" t="str">
        <f>IFERROR(INDEX(羁绊设计!$F:$F,MATCH(羁绊设计!BS38,羁绊设计!$D:$D,0)),"")</f>
        <v/>
      </c>
      <c r="V38" s="9" t="str">
        <f>IFERROR(INDEX(羁绊设计!$F:$F,MATCH(羁绊设计!BT38,羁绊设计!$D:$D,0)),"")</f>
        <v>橙</v>
      </c>
      <c r="W38" s="9" t="str">
        <f>IFERROR(INDEX(羁绊设计!$F:$F,MATCH(羁绊设计!BU38,羁绊设计!$D:$D,0)),"")</f>
        <v>橙</v>
      </c>
      <c r="X38" s="9" t="str">
        <f>IFERROR(INDEX(羁绊设计!$F:$F,MATCH(羁绊设计!BV38,羁绊设计!$D:$D,0)),"")</f>
        <v/>
      </c>
      <c r="Z38" s="9" t="str">
        <f>IFERROR(INDEX(羁绊设计!$F:$F,MATCH(羁绊设计!BX38,羁绊设计!$D:$D,0)),"")</f>
        <v>橙+</v>
      </c>
      <c r="AA38" s="9" t="str">
        <f>IFERROR(INDEX(羁绊设计!$F:$F,MATCH(羁绊设计!BY38,羁绊设计!$D:$D,0)),"")</f>
        <v/>
      </c>
      <c r="AB38" s="9" t="str">
        <f>IFERROR(INDEX(羁绊设计!$F:$F,MATCH(羁绊设计!BZ38,羁绊设计!$D:$D,0)),"")</f>
        <v/>
      </c>
      <c r="AC38" s="9" t="str">
        <f>IFERROR(INDEX(羁绊设计!$F:$F,MATCH(羁绊设计!CA38,羁绊设计!$D:$D,0)),"")</f>
        <v>橙</v>
      </c>
      <c r="AE38" s="9" t="str">
        <f>IFERROR(INDEX(羁绊设计!$F:$F,MATCH(羁绊设计!CC38,羁绊设计!$D:$D,0)),"")</f>
        <v>橙+</v>
      </c>
      <c r="AF38" s="9" t="str">
        <f>IFERROR(INDEX(羁绊设计!$F:$F,MATCH(羁绊设计!CD38,羁绊设计!$D:$D,0)),"")</f>
        <v/>
      </c>
      <c r="AG38" s="9" t="str">
        <f>IFERROR(INDEX(羁绊设计!$F:$F,MATCH(羁绊设计!CE38,羁绊设计!$D:$D,0)),"")</f>
        <v/>
      </c>
      <c r="AH38" s="9" t="str">
        <f>IFERROR(INDEX(羁绊设计!$F:$F,MATCH(羁绊设计!CF38,羁绊设计!$D:$D,0)),"")</f>
        <v/>
      </c>
      <c r="AJ38" s="9" t="str">
        <f>IFERROR(INDEX(羁绊设计!$F:$F,MATCH(羁绊设计!CH38,羁绊设计!$D:$D,0)),"")</f>
        <v/>
      </c>
      <c r="AK38" s="9" t="str">
        <f>IFERROR(INDEX(羁绊设计!$F:$F,MATCH(羁绊设计!CI38,羁绊设计!$D:$D,0)),"")</f>
        <v/>
      </c>
      <c r="AL38" s="9" t="str">
        <f>IFERROR(INDEX(羁绊设计!$F:$F,MATCH(羁绊设计!CJ38,羁绊设计!$D:$D,0)),"")</f>
        <v/>
      </c>
      <c r="AM38" s="9" t="str">
        <f>IFERROR(INDEX(羁绊设计!$F:$F,MATCH(羁绊设计!CK38,羁绊设计!$D:$D,0)),"")</f>
        <v/>
      </c>
      <c r="AO38" s="9" t="str">
        <f>IFERROR(INDEX(羁绊设计!$F:$F,MATCH(羁绊设计!CM38,羁绊设计!$D:$D,0)),"")</f>
        <v/>
      </c>
      <c r="AP38" s="9" t="str">
        <f>IFERROR(INDEX(羁绊设计!$F:$F,MATCH(羁绊设计!CN38,羁绊设计!$D:$D,0)),"")</f>
        <v/>
      </c>
      <c r="AQ38" s="9" t="str">
        <f>IFERROR(INDEX(羁绊设计!$F:$F,MATCH(羁绊设计!CO38,羁绊设计!$D:$D,0)),"")</f>
        <v/>
      </c>
      <c r="AR38" s="9" t="str">
        <f>IFERROR(INDEX(羁绊设计!$F:$F,MATCH(羁绊设计!CP38,羁绊设计!$D:$D,0)),"")</f>
        <v/>
      </c>
      <c r="AT38" s="9" t="str">
        <f>IFERROR(INDEX(羁绊设计!$F:$F,MATCH(羁绊设计!CR38,羁绊设计!$D:$D,0)),"")</f>
        <v/>
      </c>
      <c r="AU38" s="9" t="str">
        <f>IFERROR(INDEX(羁绊设计!$F:$F,MATCH(羁绊设计!CS38,羁绊设计!$D:$D,0)),"")</f>
        <v/>
      </c>
      <c r="AV38" s="9" t="str">
        <f>IFERROR(INDEX(羁绊设计!$F:$F,MATCH(羁绊设计!CT38,羁绊设计!$D:$D,0)),"")</f>
        <v/>
      </c>
      <c r="AW38" s="9" t="str">
        <f>IFERROR(INDEX(羁绊设计!$F:$F,MATCH(羁绊设计!CU38,羁绊设计!$D:$D,0)),"")</f>
        <v/>
      </c>
    </row>
    <row r="39" spans="2:49">
      <c r="B39" s="12" t="str">
        <f>羁绊设计!D39</f>
        <v>邹衍</v>
      </c>
      <c r="C39" s="7" t="str">
        <f t="shared" si="1"/>
        <v/>
      </c>
      <c r="D39" s="7" t="str">
        <f t="shared" si="1"/>
        <v/>
      </c>
      <c r="E39" s="7" t="str">
        <f t="shared" si="1"/>
        <v/>
      </c>
      <c r="F39" s="7">
        <f t="shared" si="1"/>
        <v>3</v>
      </c>
      <c r="G39" s="7" t="str">
        <f t="shared" si="1"/>
        <v/>
      </c>
      <c r="I39" s="9" t="str">
        <f t="shared" si="2"/>
        <v>橙+,橙+,橙,橙,橙</v>
      </c>
      <c r="K39" s="9" t="str">
        <f>IFERROR(INDEX(羁绊设计!$F:$F,MATCH(羁绊设计!BI39,羁绊设计!$D:$D,0)),"")</f>
        <v>橙+</v>
      </c>
      <c r="L39" s="9" t="str">
        <f>IFERROR(INDEX(羁绊设计!$F:$F,MATCH(羁绊设计!BJ39,羁绊设计!$D:$D,0)),"")</f>
        <v>橙+</v>
      </c>
      <c r="M39" s="9" t="str">
        <f>IFERROR(INDEX(羁绊设计!$F:$F,MATCH(羁绊设计!BK39,羁绊设计!$D:$D,0)),"")</f>
        <v>橙</v>
      </c>
      <c r="N39" s="9" t="str">
        <f>IFERROR(INDEX(羁绊设计!$F:$F,MATCH(羁绊设计!BL39,羁绊设计!$D:$D,0)),"")</f>
        <v/>
      </c>
      <c r="P39" s="9" t="str">
        <f>IFERROR(INDEX(羁绊设计!$F:$F,MATCH(羁绊设计!BN39,羁绊设计!$D:$D,0)),"")</f>
        <v/>
      </c>
      <c r="Q39" s="9" t="str">
        <f>IFERROR(INDEX(羁绊设计!$F:$F,MATCH(羁绊设计!BO39,羁绊设计!$D:$D,0)),"")</f>
        <v>橙</v>
      </c>
      <c r="R39" s="9" t="str">
        <f>IFERROR(INDEX(羁绊设计!$F:$F,MATCH(羁绊设计!BP39,羁绊设计!$D:$D,0)),"")</f>
        <v/>
      </c>
      <c r="S39" s="9" t="str">
        <f>IFERROR(INDEX(羁绊设计!$F:$F,MATCH(羁绊设计!BQ39,羁绊设计!$D:$D,0)),"")</f>
        <v/>
      </c>
      <c r="U39" s="9" t="str">
        <f>IFERROR(INDEX(羁绊设计!$F:$F,MATCH(羁绊设计!BS39,羁绊设计!$D:$D,0)),"")</f>
        <v/>
      </c>
      <c r="V39" s="9" t="str">
        <f>IFERROR(INDEX(羁绊设计!$F:$F,MATCH(羁绊设计!BT39,羁绊设计!$D:$D,0)),"")</f>
        <v>橙</v>
      </c>
      <c r="W39" s="9" t="str">
        <f>IFERROR(INDEX(羁绊设计!$F:$F,MATCH(羁绊设计!BU39,羁绊设计!$D:$D,0)),"")</f>
        <v/>
      </c>
      <c r="X39" s="9" t="str">
        <f>IFERROR(INDEX(羁绊设计!$F:$F,MATCH(羁绊设计!BV39,羁绊设计!$D:$D,0)),"")</f>
        <v/>
      </c>
      <c r="Z39" s="9" t="str">
        <f>IFERROR(INDEX(羁绊设计!$F:$F,MATCH(羁绊设计!BX39,羁绊设计!$D:$D,0)),"")</f>
        <v/>
      </c>
      <c r="AA39" s="9" t="str">
        <f>IFERROR(INDEX(羁绊设计!$F:$F,MATCH(羁绊设计!BY39,羁绊设计!$D:$D,0)),"")</f>
        <v/>
      </c>
      <c r="AB39" s="9" t="str">
        <f>IFERROR(INDEX(羁绊设计!$F:$F,MATCH(羁绊设计!BZ39,羁绊设计!$D:$D,0)),"")</f>
        <v/>
      </c>
      <c r="AC39" s="9" t="str">
        <f>IFERROR(INDEX(羁绊设计!$F:$F,MATCH(羁绊设计!CA39,羁绊设计!$D:$D,0)),"")</f>
        <v/>
      </c>
      <c r="AE39" s="9" t="str">
        <f>IFERROR(INDEX(羁绊设计!$F:$F,MATCH(羁绊设计!CC39,羁绊设计!$D:$D,0)),"")</f>
        <v/>
      </c>
      <c r="AF39" s="9" t="str">
        <f>IFERROR(INDEX(羁绊设计!$F:$F,MATCH(羁绊设计!CD39,羁绊设计!$D:$D,0)),"")</f>
        <v/>
      </c>
      <c r="AG39" s="9" t="str">
        <f>IFERROR(INDEX(羁绊设计!$F:$F,MATCH(羁绊设计!CE39,羁绊设计!$D:$D,0)),"")</f>
        <v/>
      </c>
      <c r="AH39" s="9" t="str">
        <f>IFERROR(INDEX(羁绊设计!$F:$F,MATCH(羁绊设计!CF39,羁绊设计!$D:$D,0)),"")</f>
        <v/>
      </c>
      <c r="AJ39" s="9" t="str">
        <f>IFERROR(INDEX(羁绊设计!$F:$F,MATCH(羁绊设计!CH39,羁绊设计!$D:$D,0)),"")</f>
        <v/>
      </c>
      <c r="AK39" s="9" t="str">
        <f>IFERROR(INDEX(羁绊设计!$F:$F,MATCH(羁绊设计!CI39,羁绊设计!$D:$D,0)),"")</f>
        <v/>
      </c>
      <c r="AL39" s="9" t="str">
        <f>IFERROR(INDEX(羁绊设计!$F:$F,MATCH(羁绊设计!CJ39,羁绊设计!$D:$D,0)),"")</f>
        <v/>
      </c>
      <c r="AM39" s="9" t="str">
        <f>IFERROR(INDEX(羁绊设计!$F:$F,MATCH(羁绊设计!CK39,羁绊设计!$D:$D,0)),"")</f>
        <v/>
      </c>
      <c r="AO39" s="9" t="str">
        <f>IFERROR(INDEX(羁绊设计!$F:$F,MATCH(羁绊设计!CM39,羁绊设计!$D:$D,0)),"")</f>
        <v/>
      </c>
      <c r="AP39" s="9" t="str">
        <f>IFERROR(INDEX(羁绊设计!$F:$F,MATCH(羁绊设计!CN39,羁绊设计!$D:$D,0)),"")</f>
        <v/>
      </c>
      <c r="AQ39" s="9" t="str">
        <f>IFERROR(INDEX(羁绊设计!$F:$F,MATCH(羁绊设计!CO39,羁绊设计!$D:$D,0)),"")</f>
        <v/>
      </c>
      <c r="AR39" s="9" t="str">
        <f>IFERROR(INDEX(羁绊设计!$F:$F,MATCH(羁绊设计!CP39,羁绊设计!$D:$D,0)),"")</f>
        <v/>
      </c>
      <c r="AT39" s="9" t="str">
        <f>IFERROR(INDEX(羁绊设计!$F:$F,MATCH(羁绊设计!CR39,羁绊设计!$D:$D,0)),"")</f>
        <v/>
      </c>
      <c r="AU39" s="9" t="str">
        <f>IFERROR(INDEX(羁绊设计!$F:$F,MATCH(羁绊设计!CS39,羁绊设计!$D:$D,0)),"")</f>
        <v/>
      </c>
      <c r="AV39" s="9" t="str">
        <f>IFERROR(INDEX(羁绊设计!$F:$F,MATCH(羁绊设计!CT39,羁绊设计!$D:$D,0)),"")</f>
        <v/>
      </c>
      <c r="AW39" s="9" t="str">
        <f>IFERROR(INDEX(羁绊设计!$F:$F,MATCH(羁绊设计!CU39,羁绊设计!$D:$D,0)),"")</f>
        <v/>
      </c>
    </row>
    <row r="40" spans="2:49">
      <c r="B40" s="12" t="str">
        <f>羁绊设计!D40</f>
        <v>扁鹊</v>
      </c>
      <c r="C40" s="7" t="str">
        <f t="shared" si="1"/>
        <v/>
      </c>
      <c r="D40" s="7" t="str">
        <f t="shared" si="1"/>
        <v/>
      </c>
      <c r="E40" s="7" t="str">
        <f t="shared" si="1"/>
        <v/>
      </c>
      <c r="F40" s="7">
        <f t="shared" si="1"/>
        <v>8</v>
      </c>
      <c r="G40" s="7" t="str">
        <f t="shared" si="1"/>
        <v/>
      </c>
      <c r="I40" s="9" t="str">
        <f t="shared" si="2"/>
        <v>橙,橙,橙,橙,橙+,橙,橙,橙+,橙,橙+,橙,橙+,橙+</v>
      </c>
      <c r="K40" s="9" t="str">
        <f>IFERROR(INDEX(羁绊设计!$F:$F,MATCH(羁绊设计!BI40,羁绊设计!$D:$D,0)),"")</f>
        <v>橙</v>
      </c>
      <c r="L40" s="9" t="str">
        <f>IFERROR(INDEX(羁绊设计!$F:$F,MATCH(羁绊设计!BJ40,羁绊设计!$D:$D,0)),"")</f>
        <v>橙</v>
      </c>
      <c r="M40" s="9" t="str">
        <f>IFERROR(INDEX(羁绊设计!$F:$F,MATCH(羁绊设计!BK40,羁绊设计!$D:$D,0)),"")</f>
        <v>橙</v>
      </c>
      <c r="N40" s="9" t="str">
        <f>IFERROR(INDEX(羁绊设计!$F:$F,MATCH(羁绊设计!BL40,羁绊设计!$D:$D,0)),"")</f>
        <v/>
      </c>
      <c r="P40" s="9" t="str">
        <f>IFERROR(INDEX(羁绊设计!$F:$F,MATCH(羁绊设计!BN40,羁绊设计!$D:$D,0)),"")</f>
        <v/>
      </c>
      <c r="Q40" s="9" t="str">
        <f>IFERROR(INDEX(羁绊设计!$F:$F,MATCH(羁绊设计!BO40,羁绊设计!$D:$D,0)),"")</f>
        <v>橙</v>
      </c>
      <c r="R40" s="9" t="str">
        <f>IFERROR(INDEX(羁绊设计!$F:$F,MATCH(羁绊设计!BP40,羁绊设计!$D:$D,0)),"")</f>
        <v/>
      </c>
      <c r="S40" s="9" t="str">
        <f>IFERROR(INDEX(羁绊设计!$F:$F,MATCH(羁绊设计!BQ40,羁绊设计!$D:$D,0)),"")</f>
        <v/>
      </c>
      <c r="U40" s="9" t="str">
        <f>IFERROR(INDEX(羁绊设计!$F:$F,MATCH(羁绊设计!BS40,羁绊设计!$D:$D,0)),"")</f>
        <v>橙+</v>
      </c>
      <c r="V40" s="9" t="str">
        <f>IFERROR(INDEX(羁绊设计!$F:$F,MATCH(羁绊设计!BT40,羁绊设计!$D:$D,0)),"")</f>
        <v>橙</v>
      </c>
      <c r="W40" s="9" t="str">
        <f>IFERROR(INDEX(羁绊设计!$F:$F,MATCH(羁绊设计!BU40,羁绊设计!$D:$D,0)),"")</f>
        <v>橙</v>
      </c>
      <c r="X40" s="9" t="str">
        <f>IFERROR(INDEX(羁绊设计!$F:$F,MATCH(羁绊设计!BV40,羁绊设计!$D:$D,0)),"")</f>
        <v/>
      </c>
      <c r="Z40" s="9" t="str">
        <f>IFERROR(INDEX(羁绊设计!$F:$F,MATCH(羁绊设计!BX40,羁绊设计!$D:$D,0)),"")</f>
        <v>橙+</v>
      </c>
      <c r="AA40" s="9" t="str">
        <f>IFERROR(INDEX(羁绊设计!$F:$F,MATCH(羁绊设计!BY40,羁绊设计!$D:$D,0)),"")</f>
        <v/>
      </c>
      <c r="AB40" s="9" t="str">
        <f>IFERROR(INDEX(羁绊设计!$F:$F,MATCH(羁绊设计!BZ40,羁绊设计!$D:$D,0)),"")</f>
        <v/>
      </c>
      <c r="AC40" s="9" t="str">
        <f>IFERROR(INDEX(羁绊设计!$F:$F,MATCH(羁绊设计!CA40,羁绊设计!$D:$D,0)),"")</f>
        <v/>
      </c>
      <c r="AE40" s="9" t="str">
        <f>IFERROR(INDEX(羁绊设计!$F:$F,MATCH(羁绊设计!CC40,羁绊设计!$D:$D,0)),"")</f>
        <v>橙</v>
      </c>
      <c r="AF40" s="9" t="str">
        <f>IFERROR(INDEX(羁绊设计!$F:$F,MATCH(羁绊设计!CD40,羁绊设计!$D:$D,0)),"")</f>
        <v/>
      </c>
      <c r="AG40" s="9" t="str">
        <f>IFERROR(INDEX(羁绊设计!$F:$F,MATCH(羁绊设计!CE40,羁绊设计!$D:$D,0)),"")</f>
        <v/>
      </c>
      <c r="AH40" s="9" t="str">
        <f>IFERROR(INDEX(羁绊设计!$F:$F,MATCH(羁绊设计!CF40,羁绊设计!$D:$D,0)),"")</f>
        <v/>
      </c>
      <c r="AJ40" s="9" t="str">
        <f>IFERROR(INDEX(羁绊设计!$F:$F,MATCH(羁绊设计!CH40,羁绊设计!$D:$D,0)),"")</f>
        <v>橙+</v>
      </c>
      <c r="AK40" s="9" t="str">
        <f>IFERROR(INDEX(羁绊设计!$F:$F,MATCH(羁绊设计!CI40,羁绊设计!$D:$D,0)),"")</f>
        <v>橙</v>
      </c>
      <c r="AL40" s="9" t="str">
        <f>IFERROR(INDEX(羁绊设计!$F:$F,MATCH(羁绊设计!CJ40,羁绊设计!$D:$D,0)),"")</f>
        <v/>
      </c>
      <c r="AM40" s="9" t="str">
        <f>IFERROR(INDEX(羁绊设计!$F:$F,MATCH(羁绊设计!CK40,羁绊设计!$D:$D,0)),"")</f>
        <v/>
      </c>
      <c r="AO40" s="9" t="str">
        <f>IFERROR(INDEX(羁绊设计!$F:$F,MATCH(羁绊设计!CM40,羁绊设计!$D:$D,0)),"")</f>
        <v>橙+</v>
      </c>
      <c r="AP40" s="9" t="str">
        <f>IFERROR(INDEX(羁绊设计!$F:$F,MATCH(羁绊设计!CN40,羁绊设计!$D:$D,0)),"")</f>
        <v/>
      </c>
      <c r="AQ40" s="9" t="str">
        <f>IFERROR(INDEX(羁绊设计!$F:$F,MATCH(羁绊设计!CO40,羁绊设计!$D:$D,0)),"")</f>
        <v/>
      </c>
      <c r="AR40" s="9" t="str">
        <f>IFERROR(INDEX(羁绊设计!$F:$F,MATCH(羁绊设计!CP40,羁绊设计!$D:$D,0)),"")</f>
        <v/>
      </c>
      <c r="AT40" s="9" t="str">
        <f>IFERROR(INDEX(羁绊设计!$F:$F,MATCH(羁绊设计!CR40,羁绊设计!$D:$D,0)),"")</f>
        <v>橙+</v>
      </c>
      <c r="AU40" s="9" t="str">
        <f>IFERROR(INDEX(羁绊设计!$F:$F,MATCH(羁绊设计!CS40,羁绊设计!$D:$D,0)),"")</f>
        <v/>
      </c>
      <c r="AV40" s="9" t="str">
        <f>IFERROR(INDEX(羁绊设计!$F:$F,MATCH(羁绊设计!CT40,羁绊设计!$D:$D,0)),"")</f>
        <v/>
      </c>
      <c r="AW40" s="9" t="str">
        <f>IFERROR(INDEX(羁绊设计!$F:$F,MATCH(羁绊设计!CU40,羁绊设计!$D:$D,0)),"")</f>
        <v/>
      </c>
    </row>
    <row r="41" spans="2:49">
      <c r="B41" s="12" t="str">
        <f>羁绊设计!D41</f>
        <v>田忌</v>
      </c>
      <c r="C41" s="7" t="str">
        <f t="shared" si="1"/>
        <v/>
      </c>
      <c r="D41" s="7" t="str">
        <f t="shared" si="1"/>
        <v/>
      </c>
      <c r="E41" s="7">
        <f t="shared" si="1"/>
        <v>1</v>
      </c>
      <c r="F41" s="7">
        <f t="shared" si="1"/>
        <v>2</v>
      </c>
      <c r="G41" s="7" t="str">
        <f t="shared" si="1"/>
        <v/>
      </c>
      <c r="I41" s="9" t="str">
        <f t="shared" si="2"/>
        <v>橙,紫,橙</v>
      </c>
      <c r="K41" s="9" t="str">
        <f>IFERROR(INDEX(羁绊设计!$F:$F,MATCH(羁绊设计!BI41,羁绊设计!$D:$D,0)),"")</f>
        <v>橙</v>
      </c>
      <c r="L41" s="9" t="str">
        <f>IFERROR(INDEX(羁绊设计!$F:$F,MATCH(羁绊设计!BJ41,羁绊设计!$D:$D,0)),"")</f>
        <v>紫</v>
      </c>
      <c r="M41" s="9" t="str">
        <f>IFERROR(INDEX(羁绊设计!$F:$F,MATCH(羁绊设计!BK41,羁绊设计!$D:$D,0)),"")</f>
        <v/>
      </c>
      <c r="N41" s="9" t="str">
        <f>IFERROR(INDEX(羁绊设计!$F:$F,MATCH(羁绊设计!BL41,羁绊设计!$D:$D,0)),"")</f>
        <v/>
      </c>
      <c r="P41" s="9" t="str">
        <f>IFERROR(INDEX(羁绊设计!$F:$F,MATCH(羁绊设计!BN41,羁绊设计!$D:$D,0)),"")</f>
        <v/>
      </c>
      <c r="Q41" s="9" t="str">
        <f>IFERROR(INDEX(羁绊设计!$F:$F,MATCH(羁绊设计!BO41,羁绊设计!$D:$D,0)),"")</f>
        <v>橙</v>
      </c>
      <c r="R41" s="9" t="str">
        <f>IFERROR(INDEX(羁绊设计!$F:$F,MATCH(羁绊设计!BP41,羁绊设计!$D:$D,0)),"")</f>
        <v/>
      </c>
      <c r="S41" s="9" t="str">
        <f>IFERROR(INDEX(羁绊设计!$F:$F,MATCH(羁绊设计!BQ41,羁绊设计!$D:$D,0)),"")</f>
        <v/>
      </c>
      <c r="U41" s="9" t="str">
        <f>IFERROR(INDEX(羁绊设计!$F:$F,MATCH(羁绊设计!BS41,羁绊设计!$D:$D,0)),"")</f>
        <v/>
      </c>
      <c r="V41" s="9" t="str">
        <f>IFERROR(INDEX(羁绊设计!$F:$F,MATCH(羁绊设计!BT41,羁绊设计!$D:$D,0)),"")</f>
        <v/>
      </c>
      <c r="W41" s="9" t="str">
        <f>IFERROR(INDEX(羁绊设计!$F:$F,MATCH(羁绊设计!BU41,羁绊设计!$D:$D,0)),"")</f>
        <v/>
      </c>
      <c r="X41" s="9" t="str">
        <f>IFERROR(INDEX(羁绊设计!$F:$F,MATCH(羁绊设计!BV41,羁绊设计!$D:$D,0)),"")</f>
        <v/>
      </c>
      <c r="Z41" s="9" t="str">
        <f>IFERROR(INDEX(羁绊设计!$F:$F,MATCH(羁绊设计!BX41,羁绊设计!$D:$D,0)),"")</f>
        <v/>
      </c>
      <c r="AA41" s="9" t="str">
        <f>IFERROR(INDEX(羁绊设计!$F:$F,MATCH(羁绊设计!BY41,羁绊设计!$D:$D,0)),"")</f>
        <v/>
      </c>
      <c r="AB41" s="9" t="str">
        <f>IFERROR(INDEX(羁绊设计!$F:$F,MATCH(羁绊设计!BZ41,羁绊设计!$D:$D,0)),"")</f>
        <v/>
      </c>
      <c r="AC41" s="9" t="str">
        <f>IFERROR(INDEX(羁绊设计!$F:$F,MATCH(羁绊设计!CA41,羁绊设计!$D:$D,0)),"")</f>
        <v/>
      </c>
      <c r="AE41" s="9" t="str">
        <f>IFERROR(INDEX(羁绊设计!$F:$F,MATCH(羁绊设计!CC41,羁绊设计!$D:$D,0)),"")</f>
        <v/>
      </c>
      <c r="AF41" s="9" t="str">
        <f>IFERROR(INDEX(羁绊设计!$F:$F,MATCH(羁绊设计!CD41,羁绊设计!$D:$D,0)),"")</f>
        <v/>
      </c>
      <c r="AG41" s="9" t="str">
        <f>IFERROR(INDEX(羁绊设计!$F:$F,MATCH(羁绊设计!CE41,羁绊设计!$D:$D,0)),"")</f>
        <v/>
      </c>
      <c r="AH41" s="9" t="str">
        <f>IFERROR(INDEX(羁绊设计!$F:$F,MATCH(羁绊设计!CF41,羁绊设计!$D:$D,0)),"")</f>
        <v/>
      </c>
      <c r="AJ41" s="9" t="str">
        <f>IFERROR(INDEX(羁绊设计!$F:$F,MATCH(羁绊设计!CH41,羁绊设计!$D:$D,0)),"")</f>
        <v/>
      </c>
      <c r="AK41" s="9" t="str">
        <f>IFERROR(INDEX(羁绊设计!$F:$F,MATCH(羁绊设计!CI41,羁绊设计!$D:$D,0)),"")</f>
        <v/>
      </c>
      <c r="AL41" s="9" t="str">
        <f>IFERROR(INDEX(羁绊设计!$F:$F,MATCH(羁绊设计!CJ41,羁绊设计!$D:$D,0)),"")</f>
        <v/>
      </c>
      <c r="AM41" s="9" t="str">
        <f>IFERROR(INDEX(羁绊设计!$F:$F,MATCH(羁绊设计!CK41,羁绊设计!$D:$D,0)),"")</f>
        <v/>
      </c>
      <c r="AO41" s="9" t="str">
        <f>IFERROR(INDEX(羁绊设计!$F:$F,MATCH(羁绊设计!CM41,羁绊设计!$D:$D,0)),"")</f>
        <v/>
      </c>
      <c r="AP41" s="9" t="str">
        <f>IFERROR(INDEX(羁绊设计!$F:$F,MATCH(羁绊设计!CN41,羁绊设计!$D:$D,0)),"")</f>
        <v/>
      </c>
      <c r="AQ41" s="9" t="str">
        <f>IFERROR(INDEX(羁绊设计!$F:$F,MATCH(羁绊设计!CO41,羁绊设计!$D:$D,0)),"")</f>
        <v/>
      </c>
      <c r="AR41" s="9" t="str">
        <f>IFERROR(INDEX(羁绊设计!$F:$F,MATCH(羁绊设计!CP41,羁绊设计!$D:$D,0)),"")</f>
        <v/>
      </c>
      <c r="AT41" s="9" t="str">
        <f>IFERROR(INDEX(羁绊设计!$F:$F,MATCH(羁绊设计!CR41,羁绊设计!$D:$D,0)),"")</f>
        <v/>
      </c>
      <c r="AU41" s="9" t="str">
        <f>IFERROR(INDEX(羁绊设计!$F:$F,MATCH(羁绊设计!CS41,羁绊设计!$D:$D,0)),"")</f>
        <v/>
      </c>
      <c r="AV41" s="9" t="str">
        <f>IFERROR(INDEX(羁绊设计!$F:$F,MATCH(羁绊设计!CT41,羁绊设计!$D:$D,0)),"")</f>
        <v/>
      </c>
      <c r="AW41" s="9" t="str">
        <f>IFERROR(INDEX(羁绊设计!$F:$F,MATCH(羁绊设计!CU41,羁绊设计!$D:$D,0)),"")</f>
        <v/>
      </c>
    </row>
    <row r="42" spans="2:49">
      <c r="B42" s="12" t="str">
        <f>羁绊设计!D42</f>
        <v>司马穰苴</v>
      </c>
      <c r="C42" s="7" t="str">
        <f t="shared" ref="C42:G73" si="3">IF(COUNTIF($K42:$AW42,"="&amp;C$8)=0,"",COUNTIF($K42:$AW42,"="&amp;C$8))</f>
        <v/>
      </c>
      <c r="D42" s="7" t="str">
        <f t="shared" si="3"/>
        <v/>
      </c>
      <c r="E42" s="7">
        <f t="shared" si="3"/>
        <v>1</v>
      </c>
      <c r="F42" s="7">
        <f t="shared" si="3"/>
        <v>10</v>
      </c>
      <c r="G42" s="7" t="str">
        <f t="shared" si="3"/>
        <v/>
      </c>
      <c r="I42" s="9" t="str">
        <f t="shared" si="2"/>
        <v>橙,橙,橙,紫,橙,橙+,橙,橙,橙+,橙,橙,橙+,橙+,橙,橙,橙+</v>
      </c>
      <c r="K42" s="9" t="str">
        <f>IFERROR(INDEX(羁绊设计!$F:$F,MATCH(羁绊设计!BI42,羁绊设计!$D:$D,0)),"")</f>
        <v>橙</v>
      </c>
      <c r="L42" s="9" t="str">
        <f>IFERROR(INDEX(羁绊设计!$F:$F,MATCH(羁绊设计!BJ42,羁绊设计!$D:$D,0)),"")</f>
        <v>橙</v>
      </c>
      <c r="M42" s="9" t="str">
        <f>IFERROR(INDEX(羁绊设计!$F:$F,MATCH(羁绊设计!BK42,羁绊设计!$D:$D,0)),"")</f>
        <v>橙</v>
      </c>
      <c r="N42" s="9" t="str">
        <f>IFERROR(INDEX(羁绊设计!$F:$F,MATCH(羁绊设计!BL42,羁绊设计!$D:$D,0)),"")</f>
        <v/>
      </c>
      <c r="P42" s="9" t="str">
        <f>IFERROR(INDEX(羁绊设计!$F:$F,MATCH(羁绊设计!BN42,羁绊设计!$D:$D,0)),"")</f>
        <v/>
      </c>
      <c r="Q42" s="9" t="str">
        <f>IFERROR(INDEX(羁绊设计!$F:$F,MATCH(羁绊设计!BO42,羁绊设计!$D:$D,0)),"")</f>
        <v>紫</v>
      </c>
      <c r="R42" s="9" t="str">
        <f>IFERROR(INDEX(羁绊设计!$F:$F,MATCH(羁绊设计!BP42,羁绊设计!$D:$D,0)),"")</f>
        <v/>
      </c>
      <c r="S42" s="9" t="str">
        <f>IFERROR(INDEX(羁绊设计!$F:$F,MATCH(羁绊设计!BQ42,羁绊设计!$D:$D,0)),"")</f>
        <v/>
      </c>
      <c r="U42" s="9" t="str">
        <f>IFERROR(INDEX(羁绊设计!$F:$F,MATCH(羁绊设计!BS42,羁绊设计!$D:$D,0)),"")</f>
        <v/>
      </c>
      <c r="V42" s="9" t="str">
        <f>IFERROR(INDEX(羁绊设计!$F:$F,MATCH(羁绊设计!BT42,羁绊设计!$D:$D,0)),"")</f>
        <v>橙</v>
      </c>
      <c r="W42" s="9" t="str">
        <f>IFERROR(INDEX(羁绊设计!$F:$F,MATCH(羁绊设计!BU42,羁绊设计!$D:$D,0)),"")</f>
        <v/>
      </c>
      <c r="X42" s="9" t="str">
        <f>IFERROR(INDEX(羁绊设计!$F:$F,MATCH(羁绊设计!BV42,羁绊设计!$D:$D,0)),"")</f>
        <v/>
      </c>
      <c r="Z42" s="9" t="str">
        <f>IFERROR(INDEX(羁绊设计!$F:$F,MATCH(羁绊设计!BX42,羁绊设计!$D:$D,0)),"")</f>
        <v>橙+</v>
      </c>
      <c r="AA42" s="9" t="str">
        <f>IFERROR(INDEX(羁绊设计!$F:$F,MATCH(羁绊设计!BY42,羁绊设计!$D:$D,0)),"")</f>
        <v/>
      </c>
      <c r="AB42" s="9" t="str">
        <f>IFERROR(INDEX(羁绊设计!$F:$F,MATCH(羁绊设计!BZ42,羁绊设计!$D:$D,0)),"")</f>
        <v>橙</v>
      </c>
      <c r="AC42" s="9" t="str">
        <f>IFERROR(INDEX(羁绊设计!$F:$F,MATCH(羁绊设计!CA42,羁绊设计!$D:$D,0)),"")</f>
        <v>橙</v>
      </c>
      <c r="AE42" s="9" t="str">
        <f>IFERROR(INDEX(羁绊设计!$F:$F,MATCH(羁绊设计!CC42,羁绊设计!$D:$D,0)),"")</f>
        <v>橙+</v>
      </c>
      <c r="AF42" s="9" t="str">
        <f>IFERROR(INDEX(羁绊设计!$F:$F,MATCH(羁绊设计!CD42,羁绊设计!$D:$D,0)),"")</f>
        <v>橙</v>
      </c>
      <c r="AG42" s="9" t="str">
        <f>IFERROR(INDEX(羁绊设计!$F:$F,MATCH(羁绊设计!CE42,羁绊设计!$D:$D,0)),"")</f>
        <v>橙</v>
      </c>
      <c r="AH42" s="9" t="str">
        <f>IFERROR(INDEX(羁绊设计!$F:$F,MATCH(羁绊设计!CF42,羁绊设计!$D:$D,0)),"")</f>
        <v/>
      </c>
      <c r="AJ42" s="9" t="str">
        <f>IFERROR(INDEX(羁绊设计!$F:$F,MATCH(羁绊设计!CH42,羁绊设计!$D:$D,0)),"")</f>
        <v>橙+</v>
      </c>
      <c r="AK42" s="9" t="str">
        <f>IFERROR(INDEX(羁绊设计!$F:$F,MATCH(羁绊设计!CI42,羁绊设计!$D:$D,0)),"")</f>
        <v/>
      </c>
      <c r="AL42" s="9" t="str">
        <f>IFERROR(INDEX(羁绊设计!$F:$F,MATCH(羁绊设计!CJ42,羁绊设计!$D:$D,0)),"")</f>
        <v/>
      </c>
      <c r="AM42" s="9" t="str">
        <f>IFERROR(INDEX(羁绊设计!$F:$F,MATCH(羁绊设计!CK42,羁绊设计!$D:$D,0)),"")</f>
        <v/>
      </c>
      <c r="AO42" s="9" t="str">
        <f>IFERROR(INDEX(羁绊设计!$F:$F,MATCH(羁绊设计!CM42,羁绊设计!$D:$D,0)),"")</f>
        <v>橙+</v>
      </c>
      <c r="AP42" s="9" t="str">
        <f>IFERROR(INDEX(羁绊设计!$F:$F,MATCH(羁绊设计!CN42,羁绊设计!$D:$D,0)),"")</f>
        <v>橙</v>
      </c>
      <c r="AQ42" s="9" t="str">
        <f>IFERROR(INDEX(羁绊设计!$F:$F,MATCH(羁绊设计!CO42,羁绊设计!$D:$D,0)),"")</f>
        <v>橙</v>
      </c>
      <c r="AR42" s="9" t="str">
        <f>IFERROR(INDEX(羁绊设计!$F:$F,MATCH(羁绊设计!CP42,羁绊设计!$D:$D,0)),"")</f>
        <v/>
      </c>
      <c r="AT42" s="9" t="str">
        <f>IFERROR(INDEX(羁绊设计!$F:$F,MATCH(羁绊设计!CR42,羁绊设计!$D:$D,0)),"")</f>
        <v>橙+</v>
      </c>
      <c r="AU42" s="9" t="str">
        <f>IFERROR(INDEX(羁绊设计!$F:$F,MATCH(羁绊设计!CS42,羁绊设计!$D:$D,0)),"")</f>
        <v/>
      </c>
      <c r="AV42" s="9" t="str">
        <f>IFERROR(INDEX(羁绊设计!$F:$F,MATCH(羁绊设计!CT42,羁绊设计!$D:$D,0)),"")</f>
        <v/>
      </c>
      <c r="AW42" s="9" t="str">
        <f>IFERROR(INDEX(羁绊设计!$F:$F,MATCH(羁绊设计!CU42,羁绊设计!$D:$D,0)),"")</f>
        <v/>
      </c>
    </row>
    <row r="43" spans="2:49">
      <c r="B43" s="12" t="str">
        <f>羁绊设计!D43</f>
        <v>鲍叔牙</v>
      </c>
      <c r="C43" s="7" t="str">
        <f t="shared" si="3"/>
        <v/>
      </c>
      <c r="D43" s="7" t="str">
        <f t="shared" si="3"/>
        <v/>
      </c>
      <c r="E43" s="7" t="str">
        <f t="shared" si="3"/>
        <v/>
      </c>
      <c r="F43" s="7" t="str">
        <f t="shared" si="3"/>
        <v/>
      </c>
      <c r="G43" s="7" t="str">
        <f t="shared" si="3"/>
        <v/>
      </c>
      <c r="I43" s="9" t="str">
        <f t="shared" si="2"/>
        <v/>
      </c>
      <c r="K43" s="9" t="str">
        <f>IFERROR(INDEX(羁绊设计!$F:$F,MATCH(羁绊设计!BI43,羁绊设计!$D:$D,0)),"")</f>
        <v/>
      </c>
      <c r="L43" s="9" t="str">
        <f>IFERROR(INDEX(羁绊设计!$F:$F,MATCH(羁绊设计!BJ43,羁绊设计!$D:$D,0)),"")</f>
        <v/>
      </c>
      <c r="M43" s="9" t="str">
        <f>IFERROR(INDEX(羁绊设计!$F:$F,MATCH(羁绊设计!BK43,羁绊设计!$D:$D,0)),"")</f>
        <v/>
      </c>
      <c r="N43" s="9" t="str">
        <f>IFERROR(INDEX(羁绊设计!$F:$F,MATCH(羁绊设计!BL43,羁绊设计!$D:$D,0)),"")</f>
        <v/>
      </c>
      <c r="P43" s="9" t="str">
        <f>IFERROR(INDEX(羁绊设计!$F:$F,MATCH(羁绊设计!BN43,羁绊设计!$D:$D,0)),"")</f>
        <v/>
      </c>
      <c r="Q43" s="9" t="str">
        <f>IFERROR(INDEX(羁绊设计!$F:$F,MATCH(羁绊设计!BO43,羁绊设计!$D:$D,0)),"")</f>
        <v/>
      </c>
      <c r="R43" s="9" t="str">
        <f>IFERROR(INDEX(羁绊设计!$F:$F,MATCH(羁绊设计!BP43,羁绊设计!$D:$D,0)),"")</f>
        <v/>
      </c>
      <c r="S43" s="9" t="str">
        <f>IFERROR(INDEX(羁绊设计!$F:$F,MATCH(羁绊设计!BQ43,羁绊设计!$D:$D,0)),"")</f>
        <v/>
      </c>
      <c r="U43" s="9" t="str">
        <f>IFERROR(INDEX(羁绊设计!$F:$F,MATCH(羁绊设计!BS43,羁绊设计!$D:$D,0)),"")</f>
        <v/>
      </c>
      <c r="V43" s="9" t="str">
        <f>IFERROR(INDEX(羁绊设计!$F:$F,MATCH(羁绊设计!BT43,羁绊设计!$D:$D,0)),"")</f>
        <v/>
      </c>
      <c r="W43" s="9" t="str">
        <f>IFERROR(INDEX(羁绊设计!$F:$F,MATCH(羁绊设计!BU43,羁绊设计!$D:$D,0)),"")</f>
        <v/>
      </c>
      <c r="X43" s="9" t="str">
        <f>IFERROR(INDEX(羁绊设计!$F:$F,MATCH(羁绊设计!BV43,羁绊设计!$D:$D,0)),"")</f>
        <v/>
      </c>
      <c r="Z43" s="9" t="str">
        <f>IFERROR(INDEX(羁绊设计!$F:$F,MATCH(羁绊设计!BX43,羁绊设计!$D:$D,0)),"")</f>
        <v/>
      </c>
      <c r="AA43" s="9" t="str">
        <f>IFERROR(INDEX(羁绊设计!$F:$F,MATCH(羁绊设计!BY43,羁绊设计!$D:$D,0)),"")</f>
        <v/>
      </c>
      <c r="AB43" s="9" t="str">
        <f>IFERROR(INDEX(羁绊设计!$F:$F,MATCH(羁绊设计!BZ43,羁绊设计!$D:$D,0)),"")</f>
        <v/>
      </c>
      <c r="AC43" s="9" t="str">
        <f>IFERROR(INDEX(羁绊设计!$F:$F,MATCH(羁绊设计!CA43,羁绊设计!$D:$D,0)),"")</f>
        <v/>
      </c>
      <c r="AE43" s="9" t="str">
        <f>IFERROR(INDEX(羁绊设计!$F:$F,MATCH(羁绊设计!CC43,羁绊设计!$D:$D,0)),"")</f>
        <v/>
      </c>
      <c r="AF43" s="9" t="str">
        <f>IFERROR(INDEX(羁绊设计!$F:$F,MATCH(羁绊设计!CD43,羁绊设计!$D:$D,0)),"")</f>
        <v/>
      </c>
      <c r="AG43" s="9" t="str">
        <f>IFERROR(INDEX(羁绊设计!$F:$F,MATCH(羁绊设计!CE43,羁绊设计!$D:$D,0)),"")</f>
        <v/>
      </c>
      <c r="AH43" s="9" t="str">
        <f>IFERROR(INDEX(羁绊设计!$F:$F,MATCH(羁绊设计!CF43,羁绊设计!$D:$D,0)),"")</f>
        <v/>
      </c>
      <c r="AJ43" s="9" t="str">
        <f>IFERROR(INDEX(羁绊设计!$F:$F,MATCH(羁绊设计!CH43,羁绊设计!$D:$D,0)),"")</f>
        <v/>
      </c>
      <c r="AK43" s="9" t="str">
        <f>IFERROR(INDEX(羁绊设计!$F:$F,MATCH(羁绊设计!CI43,羁绊设计!$D:$D,0)),"")</f>
        <v/>
      </c>
      <c r="AL43" s="9" t="str">
        <f>IFERROR(INDEX(羁绊设计!$F:$F,MATCH(羁绊设计!CJ43,羁绊设计!$D:$D,0)),"")</f>
        <v/>
      </c>
      <c r="AM43" s="9" t="str">
        <f>IFERROR(INDEX(羁绊设计!$F:$F,MATCH(羁绊设计!CK43,羁绊设计!$D:$D,0)),"")</f>
        <v/>
      </c>
      <c r="AO43" s="9" t="str">
        <f>IFERROR(INDEX(羁绊设计!$F:$F,MATCH(羁绊设计!CM43,羁绊设计!$D:$D,0)),"")</f>
        <v/>
      </c>
      <c r="AP43" s="9" t="str">
        <f>IFERROR(INDEX(羁绊设计!$F:$F,MATCH(羁绊设计!CN43,羁绊设计!$D:$D,0)),"")</f>
        <v/>
      </c>
      <c r="AQ43" s="9" t="str">
        <f>IFERROR(INDEX(羁绊设计!$F:$F,MATCH(羁绊设计!CO43,羁绊设计!$D:$D,0)),"")</f>
        <v/>
      </c>
      <c r="AR43" s="9" t="str">
        <f>IFERROR(INDEX(羁绊设计!$F:$F,MATCH(羁绊设计!CP43,羁绊设计!$D:$D,0)),"")</f>
        <v/>
      </c>
      <c r="AT43" s="9" t="str">
        <f>IFERROR(INDEX(羁绊设计!$F:$F,MATCH(羁绊设计!CR43,羁绊设计!$D:$D,0)),"")</f>
        <v/>
      </c>
      <c r="AU43" s="9" t="str">
        <f>IFERROR(INDEX(羁绊设计!$F:$F,MATCH(羁绊设计!CS43,羁绊设计!$D:$D,0)),"")</f>
        <v/>
      </c>
      <c r="AV43" s="9" t="str">
        <f>IFERROR(INDEX(羁绊设计!$F:$F,MATCH(羁绊设计!CT43,羁绊设计!$D:$D,0)),"")</f>
        <v/>
      </c>
      <c r="AW43" s="9" t="str">
        <f>IFERROR(INDEX(羁绊设计!$F:$F,MATCH(羁绊设计!CU43,羁绊设计!$D:$D,0)),"")</f>
        <v/>
      </c>
    </row>
    <row r="44" spans="2:49">
      <c r="B44" s="12" t="str">
        <f>羁绊设计!D44</f>
        <v>孙膑</v>
      </c>
      <c r="C44" s="7" t="str">
        <f t="shared" si="3"/>
        <v/>
      </c>
      <c r="D44" s="7" t="str">
        <f t="shared" si="3"/>
        <v/>
      </c>
      <c r="E44" s="7">
        <f t="shared" si="3"/>
        <v>2</v>
      </c>
      <c r="F44" s="7">
        <f t="shared" si="3"/>
        <v>9</v>
      </c>
      <c r="G44" s="7" t="str">
        <f t="shared" si="3"/>
        <v/>
      </c>
      <c r="I44" s="9" t="str">
        <f t="shared" si="2"/>
        <v>橙,紫,紫,橙,橙+,橙,橙,橙+,橙,橙,橙+,橙+,橙,橙,橙</v>
      </c>
      <c r="K44" s="9" t="str">
        <f>IFERROR(INDEX(羁绊设计!$F:$F,MATCH(羁绊设计!BI44,羁绊设计!$D:$D,0)),"")</f>
        <v>橙</v>
      </c>
      <c r="L44" s="9" t="str">
        <f>IFERROR(INDEX(羁绊设计!$F:$F,MATCH(羁绊设计!BJ44,羁绊设计!$D:$D,0)),"")</f>
        <v>紫</v>
      </c>
      <c r="M44" s="9" t="str">
        <f>IFERROR(INDEX(羁绊设计!$F:$F,MATCH(羁绊设计!BK44,羁绊设计!$D:$D,0)),"")</f>
        <v/>
      </c>
      <c r="N44" s="9" t="str">
        <f>IFERROR(INDEX(羁绊设计!$F:$F,MATCH(羁绊设计!BL44,羁绊设计!$D:$D,0)),"")</f>
        <v/>
      </c>
      <c r="P44" s="9" t="str">
        <f>IFERROR(INDEX(羁绊设计!$F:$F,MATCH(羁绊设计!BN44,羁绊设计!$D:$D,0)),"")</f>
        <v/>
      </c>
      <c r="Q44" s="9" t="str">
        <f>IFERROR(INDEX(羁绊设计!$F:$F,MATCH(羁绊设计!BO44,羁绊设计!$D:$D,0)),"")</f>
        <v>紫</v>
      </c>
      <c r="R44" s="9" t="str">
        <f>IFERROR(INDEX(羁绊设计!$F:$F,MATCH(羁绊设计!BP44,羁绊设计!$D:$D,0)),"")</f>
        <v/>
      </c>
      <c r="S44" s="9" t="str">
        <f>IFERROR(INDEX(羁绊设计!$F:$F,MATCH(羁绊设计!BQ44,羁绊设计!$D:$D,0)),"")</f>
        <v/>
      </c>
      <c r="U44" s="9" t="str">
        <f>IFERROR(INDEX(羁绊设计!$F:$F,MATCH(羁绊设计!BS44,羁绊设计!$D:$D,0)),"")</f>
        <v/>
      </c>
      <c r="V44" s="9" t="str">
        <f>IFERROR(INDEX(羁绊设计!$F:$F,MATCH(羁绊设计!BT44,羁绊设计!$D:$D,0)),"")</f>
        <v>橙</v>
      </c>
      <c r="W44" s="9" t="str">
        <f>IFERROR(INDEX(羁绊设计!$F:$F,MATCH(羁绊设计!BU44,羁绊设计!$D:$D,0)),"")</f>
        <v/>
      </c>
      <c r="X44" s="9" t="str">
        <f>IFERROR(INDEX(羁绊设计!$F:$F,MATCH(羁绊设计!BV44,羁绊设计!$D:$D,0)),"")</f>
        <v/>
      </c>
      <c r="Z44" s="9" t="str">
        <f>IFERROR(INDEX(羁绊设计!$F:$F,MATCH(羁绊设计!BX44,羁绊设计!$D:$D,0)),"")</f>
        <v>橙+</v>
      </c>
      <c r="AA44" s="9" t="str">
        <f>IFERROR(INDEX(羁绊设计!$F:$F,MATCH(羁绊设计!BY44,羁绊设计!$D:$D,0)),"")</f>
        <v>橙</v>
      </c>
      <c r="AB44" s="9" t="str">
        <f>IFERROR(INDEX(羁绊设计!$F:$F,MATCH(羁绊设计!BZ44,羁绊设计!$D:$D,0)),"")</f>
        <v/>
      </c>
      <c r="AC44" s="9" t="str">
        <f>IFERROR(INDEX(羁绊设计!$F:$F,MATCH(羁绊设计!CA44,羁绊设计!$D:$D,0)),"")</f>
        <v>橙</v>
      </c>
      <c r="AE44" s="9" t="str">
        <f>IFERROR(INDEX(羁绊设计!$F:$F,MATCH(羁绊设计!CC44,羁绊设计!$D:$D,0)),"")</f>
        <v>橙+</v>
      </c>
      <c r="AF44" s="9" t="str">
        <f>IFERROR(INDEX(羁绊设计!$F:$F,MATCH(羁绊设计!CD44,羁绊设计!$D:$D,0)),"")</f>
        <v>橙</v>
      </c>
      <c r="AG44" s="9" t="str">
        <f>IFERROR(INDEX(羁绊设计!$F:$F,MATCH(羁绊设计!CE44,羁绊设计!$D:$D,0)),"")</f>
        <v/>
      </c>
      <c r="AH44" s="9" t="str">
        <f>IFERROR(INDEX(羁绊设计!$F:$F,MATCH(羁绊设计!CF44,羁绊设计!$D:$D,0)),"")</f>
        <v>橙</v>
      </c>
      <c r="AJ44" s="9" t="str">
        <f>IFERROR(INDEX(羁绊设计!$F:$F,MATCH(羁绊设计!CH44,羁绊设计!$D:$D,0)),"")</f>
        <v>橙+</v>
      </c>
      <c r="AK44" s="9" t="str">
        <f>IFERROR(INDEX(羁绊设计!$F:$F,MATCH(羁绊设计!CI44,羁绊设计!$D:$D,0)),"")</f>
        <v/>
      </c>
      <c r="AL44" s="9" t="str">
        <f>IFERROR(INDEX(羁绊设计!$F:$F,MATCH(羁绊设计!CJ44,羁绊设计!$D:$D,0)),"")</f>
        <v/>
      </c>
      <c r="AM44" s="9" t="str">
        <f>IFERROR(INDEX(羁绊设计!$F:$F,MATCH(羁绊设计!CK44,羁绊设计!$D:$D,0)),"")</f>
        <v/>
      </c>
      <c r="AO44" s="9" t="str">
        <f>IFERROR(INDEX(羁绊设计!$F:$F,MATCH(羁绊设计!CM44,羁绊设计!$D:$D,0)),"")</f>
        <v>橙+</v>
      </c>
      <c r="AP44" s="9" t="str">
        <f>IFERROR(INDEX(羁绊设计!$F:$F,MATCH(羁绊设计!CN44,羁绊设计!$D:$D,0)),"")</f>
        <v/>
      </c>
      <c r="AQ44" s="9" t="str">
        <f>IFERROR(INDEX(羁绊设计!$F:$F,MATCH(羁绊设计!CO44,羁绊设计!$D:$D,0)),"")</f>
        <v>橙</v>
      </c>
      <c r="AR44" s="9" t="str">
        <f>IFERROR(INDEX(羁绊设计!$F:$F,MATCH(羁绊设计!CP44,羁绊设计!$D:$D,0)),"")</f>
        <v/>
      </c>
      <c r="AT44" s="9" t="str">
        <f>IFERROR(INDEX(羁绊设计!$F:$F,MATCH(羁绊设计!CR44,羁绊设计!$D:$D,0)),"")</f>
        <v>橙</v>
      </c>
      <c r="AU44" s="9" t="str">
        <f>IFERROR(INDEX(羁绊设计!$F:$F,MATCH(羁绊设计!CS44,羁绊设计!$D:$D,0)),"")</f>
        <v/>
      </c>
      <c r="AV44" s="9" t="str">
        <f>IFERROR(INDEX(羁绊设计!$F:$F,MATCH(羁绊设计!CT44,羁绊设计!$D:$D,0)),"")</f>
        <v>橙</v>
      </c>
      <c r="AW44" s="9" t="str">
        <f>IFERROR(INDEX(羁绊设计!$F:$F,MATCH(羁绊设计!CU44,羁绊设计!$D:$D,0)),"")</f>
        <v/>
      </c>
    </row>
    <row r="45" spans="2:49">
      <c r="B45" s="12" t="str">
        <f>羁绊设计!D45</f>
        <v>孟子</v>
      </c>
      <c r="C45" s="7" t="str">
        <f t="shared" si="3"/>
        <v/>
      </c>
      <c r="D45" s="7" t="str">
        <f t="shared" si="3"/>
        <v/>
      </c>
      <c r="E45" s="7" t="str">
        <f t="shared" si="3"/>
        <v/>
      </c>
      <c r="F45" s="7" t="str">
        <f t="shared" si="3"/>
        <v/>
      </c>
      <c r="G45" s="7" t="str">
        <f t="shared" si="3"/>
        <v/>
      </c>
      <c r="I45" s="9" t="str">
        <f t="shared" si="2"/>
        <v/>
      </c>
      <c r="K45" s="9" t="str">
        <f>IFERROR(INDEX(羁绊设计!$F:$F,MATCH(羁绊设计!BI45,羁绊设计!$D:$D,0)),"")</f>
        <v/>
      </c>
      <c r="L45" s="9" t="str">
        <f>IFERROR(INDEX(羁绊设计!$F:$F,MATCH(羁绊设计!BJ45,羁绊设计!$D:$D,0)),"")</f>
        <v/>
      </c>
      <c r="M45" s="9" t="str">
        <f>IFERROR(INDEX(羁绊设计!$F:$F,MATCH(羁绊设计!BK45,羁绊设计!$D:$D,0)),"")</f>
        <v/>
      </c>
      <c r="N45" s="9" t="str">
        <f>IFERROR(INDEX(羁绊设计!$F:$F,MATCH(羁绊设计!BL45,羁绊设计!$D:$D,0)),"")</f>
        <v/>
      </c>
      <c r="P45" s="9" t="str">
        <f>IFERROR(INDEX(羁绊设计!$F:$F,MATCH(羁绊设计!BN45,羁绊设计!$D:$D,0)),"")</f>
        <v/>
      </c>
      <c r="Q45" s="9" t="str">
        <f>IFERROR(INDEX(羁绊设计!$F:$F,MATCH(羁绊设计!BO45,羁绊设计!$D:$D,0)),"")</f>
        <v/>
      </c>
      <c r="R45" s="9" t="str">
        <f>IFERROR(INDEX(羁绊设计!$F:$F,MATCH(羁绊设计!BP45,羁绊设计!$D:$D,0)),"")</f>
        <v/>
      </c>
      <c r="S45" s="9" t="str">
        <f>IFERROR(INDEX(羁绊设计!$F:$F,MATCH(羁绊设计!BQ45,羁绊设计!$D:$D,0)),"")</f>
        <v/>
      </c>
      <c r="U45" s="9" t="str">
        <f>IFERROR(INDEX(羁绊设计!$F:$F,MATCH(羁绊设计!BS45,羁绊设计!$D:$D,0)),"")</f>
        <v/>
      </c>
      <c r="V45" s="9" t="str">
        <f>IFERROR(INDEX(羁绊设计!$F:$F,MATCH(羁绊设计!BT45,羁绊设计!$D:$D,0)),"")</f>
        <v/>
      </c>
      <c r="W45" s="9" t="str">
        <f>IFERROR(INDEX(羁绊设计!$F:$F,MATCH(羁绊设计!BU45,羁绊设计!$D:$D,0)),"")</f>
        <v/>
      </c>
      <c r="X45" s="9" t="str">
        <f>IFERROR(INDEX(羁绊设计!$F:$F,MATCH(羁绊设计!BV45,羁绊设计!$D:$D,0)),"")</f>
        <v/>
      </c>
      <c r="Z45" s="9" t="str">
        <f>IFERROR(INDEX(羁绊设计!$F:$F,MATCH(羁绊设计!BX45,羁绊设计!$D:$D,0)),"")</f>
        <v/>
      </c>
      <c r="AA45" s="9" t="str">
        <f>IFERROR(INDEX(羁绊设计!$F:$F,MATCH(羁绊设计!BY45,羁绊设计!$D:$D,0)),"")</f>
        <v/>
      </c>
      <c r="AB45" s="9" t="str">
        <f>IFERROR(INDEX(羁绊设计!$F:$F,MATCH(羁绊设计!BZ45,羁绊设计!$D:$D,0)),"")</f>
        <v/>
      </c>
      <c r="AC45" s="9" t="str">
        <f>IFERROR(INDEX(羁绊设计!$F:$F,MATCH(羁绊设计!CA45,羁绊设计!$D:$D,0)),"")</f>
        <v/>
      </c>
      <c r="AE45" s="9" t="str">
        <f>IFERROR(INDEX(羁绊设计!$F:$F,MATCH(羁绊设计!CC45,羁绊设计!$D:$D,0)),"")</f>
        <v/>
      </c>
      <c r="AF45" s="9" t="str">
        <f>IFERROR(INDEX(羁绊设计!$F:$F,MATCH(羁绊设计!CD45,羁绊设计!$D:$D,0)),"")</f>
        <v/>
      </c>
      <c r="AG45" s="9" t="str">
        <f>IFERROR(INDEX(羁绊设计!$F:$F,MATCH(羁绊设计!CE45,羁绊设计!$D:$D,0)),"")</f>
        <v/>
      </c>
      <c r="AH45" s="9" t="str">
        <f>IFERROR(INDEX(羁绊设计!$F:$F,MATCH(羁绊设计!CF45,羁绊设计!$D:$D,0)),"")</f>
        <v/>
      </c>
      <c r="AJ45" s="9" t="str">
        <f>IFERROR(INDEX(羁绊设计!$F:$F,MATCH(羁绊设计!CH45,羁绊设计!$D:$D,0)),"")</f>
        <v/>
      </c>
      <c r="AK45" s="9" t="str">
        <f>IFERROR(INDEX(羁绊设计!$F:$F,MATCH(羁绊设计!CI45,羁绊设计!$D:$D,0)),"")</f>
        <v/>
      </c>
      <c r="AL45" s="9" t="str">
        <f>IFERROR(INDEX(羁绊设计!$F:$F,MATCH(羁绊设计!CJ45,羁绊设计!$D:$D,0)),"")</f>
        <v/>
      </c>
      <c r="AM45" s="9" t="str">
        <f>IFERROR(INDEX(羁绊设计!$F:$F,MATCH(羁绊设计!CK45,羁绊设计!$D:$D,0)),"")</f>
        <v/>
      </c>
      <c r="AO45" s="9" t="str">
        <f>IFERROR(INDEX(羁绊设计!$F:$F,MATCH(羁绊设计!CM45,羁绊设计!$D:$D,0)),"")</f>
        <v/>
      </c>
      <c r="AP45" s="9" t="str">
        <f>IFERROR(INDEX(羁绊设计!$F:$F,MATCH(羁绊设计!CN45,羁绊设计!$D:$D,0)),"")</f>
        <v/>
      </c>
      <c r="AQ45" s="9" t="str">
        <f>IFERROR(INDEX(羁绊设计!$F:$F,MATCH(羁绊设计!CO45,羁绊设计!$D:$D,0)),"")</f>
        <v/>
      </c>
      <c r="AR45" s="9" t="str">
        <f>IFERROR(INDEX(羁绊设计!$F:$F,MATCH(羁绊设计!CP45,羁绊设计!$D:$D,0)),"")</f>
        <v/>
      </c>
      <c r="AT45" s="9" t="str">
        <f>IFERROR(INDEX(羁绊设计!$F:$F,MATCH(羁绊设计!CR45,羁绊设计!$D:$D,0)),"")</f>
        <v/>
      </c>
      <c r="AU45" s="9" t="str">
        <f>IFERROR(INDEX(羁绊设计!$F:$F,MATCH(羁绊设计!CS45,羁绊设计!$D:$D,0)),"")</f>
        <v/>
      </c>
      <c r="AV45" s="9" t="str">
        <f>IFERROR(INDEX(羁绊设计!$F:$F,MATCH(羁绊设计!CT45,羁绊设计!$D:$D,0)),"")</f>
        <v/>
      </c>
      <c r="AW45" s="9" t="str">
        <f>IFERROR(INDEX(羁绊设计!$F:$F,MATCH(羁绊设计!CU45,羁绊设计!$D:$D,0)),"")</f>
        <v/>
      </c>
    </row>
    <row r="46" spans="2:49">
      <c r="B46" s="12" t="str">
        <f>羁绊设计!D46</f>
        <v>齐桓公</v>
      </c>
      <c r="C46" s="7" t="str">
        <f t="shared" si="3"/>
        <v/>
      </c>
      <c r="D46" s="7" t="str">
        <f t="shared" si="3"/>
        <v/>
      </c>
      <c r="E46" s="7" t="str">
        <f t="shared" si="3"/>
        <v/>
      </c>
      <c r="F46" s="7">
        <f t="shared" si="3"/>
        <v>7</v>
      </c>
      <c r="G46" s="7">
        <f t="shared" si="3"/>
        <v>1</v>
      </c>
      <c r="I46" s="9" t="str">
        <f t="shared" si="2"/>
        <v>橙+,橙,橙,橙,橙+,橙,橙,橙,橙+,橙+,红,橙</v>
      </c>
      <c r="K46" s="9" t="str">
        <f>IFERROR(INDEX(羁绊设计!$F:$F,MATCH(羁绊设计!BI46,羁绊设计!$D:$D,0)),"")</f>
        <v>橙+</v>
      </c>
      <c r="L46" s="9" t="str">
        <f>IFERROR(INDEX(羁绊设计!$F:$F,MATCH(羁绊设计!BJ46,羁绊设计!$D:$D,0)),"")</f>
        <v>橙</v>
      </c>
      <c r="M46" s="9" t="str">
        <f>IFERROR(INDEX(羁绊设计!$F:$F,MATCH(羁绊设计!BK46,羁绊设计!$D:$D,0)),"")</f>
        <v>橙</v>
      </c>
      <c r="N46" s="9" t="str">
        <f>IFERROR(INDEX(羁绊设计!$F:$F,MATCH(羁绊设计!BL46,羁绊设计!$D:$D,0)),"")</f>
        <v>橙</v>
      </c>
      <c r="P46" s="9" t="str">
        <f>IFERROR(INDEX(羁绊设计!$F:$F,MATCH(羁绊设计!BN46,羁绊设计!$D:$D,0)),"")</f>
        <v>橙+</v>
      </c>
      <c r="Q46" s="9" t="str">
        <f>IFERROR(INDEX(羁绊设计!$F:$F,MATCH(羁绊设计!BO46,羁绊设计!$D:$D,0)),"")</f>
        <v>橙</v>
      </c>
      <c r="R46" s="9" t="str">
        <f>IFERROR(INDEX(羁绊设计!$F:$F,MATCH(羁绊设计!BP46,羁绊设计!$D:$D,0)),"")</f>
        <v>橙</v>
      </c>
      <c r="S46" s="9" t="str">
        <f>IFERROR(INDEX(羁绊设计!$F:$F,MATCH(羁绊设计!BQ46,羁绊设计!$D:$D,0)),"")</f>
        <v>橙</v>
      </c>
      <c r="U46" s="9" t="str">
        <f>IFERROR(INDEX(羁绊设计!$F:$F,MATCH(羁绊设计!BS46,羁绊设计!$D:$D,0)),"")</f>
        <v/>
      </c>
      <c r="V46" s="9" t="str">
        <f>IFERROR(INDEX(羁绊设计!$F:$F,MATCH(羁绊设计!BT46,羁绊设计!$D:$D,0)),"")</f>
        <v>橙+</v>
      </c>
      <c r="W46" s="9" t="str">
        <f>IFERROR(INDEX(羁绊设计!$F:$F,MATCH(羁绊设计!BU46,羁绊设计!$D:$D,0)),"")</f>
        <v/>
      </c>
      <c r="X46" s="9" t="str">
        <f>IFERROR(INDEX(羁绊设计!$F:$F,MATCH(羁绊设计!BV46,羁绊设计!$D:$D,0)),"")</f>
        <v/>
      </c>
      <c r="Z46" s="9" t="str">
        <f>IFERROR(INDEX(羁绊设计!$F:$F,MATCH(羁绊设计!BX46,羁绊设计!$D:$D,0)),"")</f>
        <v>橙+</v>
      </c>
      <c r="AA46" s="9" t="str">
        <f>IFERROR(INDEX(羁绊设计!$F:$F,MATCH(羁绊设计!BY46,羁绊设计!$D:$D,0)),"")</f>
        <v/>
      </c>
      <c r="AB46" s="9" t="str">
        <f>IFERROR(INDEX(羁绊设计!$F:$F,MATCH(羁绊设计!BZ46,羁绊设计!$D:$D,0)),"")</f>
        <v/>
      </c>
      <c r="AC46" s="9" t="str">
        <f>IFERROR(INDEX(羁绊设计!$F:$F,MATCH(羁绊设计!CA46,羁绊设计!$D:$D,0)),"")</f>
        <v/>
      </c>
      <c r="AE46" s="9" t="str">
        <f>IFERROR(INDEX(羁绊设计!$F:$F,MATCH(羁绊设计!CC46,羁绊设计!$D:$D,0)),"")</f>
        <v>红</v>
      </c>
      <c r="AF46" s="9" t="str">
        <f>IFERROR(INDEX(羁绊设计!$F:$F,MATCH(羁绊设计!CD46,羁绊设计!$D:$D,0)),"")</f>
        <v/>
      </c>
      <c r="AG46" s="9" t="str">
        <f>IFERROR(INDEX(羁绊设计!$F:$F,MATCH(羁绊设计!CE46,羁绊设计!$D:$D,0)),"")</f>
        <v>橙</v>
      </c>
      <c r="AH46" s="9" t="str">
        <f>IFERROR(INDEX(羁绊设计!$F:$F,MATCH(羁绊设计!CF46,羁绊设计!$D:$D,0)),"")</f>
        <v/>
      </c>
      <c r="AJ46" s="9" t="str">
        <f>IFERROR(INDEX(羁绊设计!$F:$F,MATCH(羁绊设计!CH46,羁绊设计!$D:$D,0)),"")</f>
        <v/>
      </c>
      <c r="AK46" s="9" t="str">
        <f>IFERROR(INDEX(羁绊设计!$F:$F,MATCH(羁绊设计!CI46,羁绊设计!$D:$D,0)),"")</f>
        <v/>
      </c>
      <c r="AL46" s="9" t="str">
        <f>IFERROR(INDEX(羁绊设计!$F:$F,MATCH(羁绊设计!CJ46,羁绊设计!$D:$D,0)),"")</f>
        <v/>
      </c>
      <c r="AM46" s="9" t="str">
        <f>IFERROR(INDEX(羁绊设计!$F:$F,MATCH(羁绊设计!CK46,羁绊设计!$D:$D,0)),"")</f>
        <v/>
      </c>
      <c r="AO46" s="9" t="str">
        <f>IFERROR(INDEX(羁绊设计!$F:$F,MATCH(羁绊设计!CM46,羁绊设计!$D:$D,0)),"")</f>
        <v/>
      </c>
      <c r="AP46" s="9" t="str">
        <f>IFERROR(INDEX(羁绊设计!$F:$F,MATCH(羁绊设计!CN46,羁绊设计!$D:$D,0)),"")</f>
        <v/>
      </c>
      <c r="AQ46" s="9" t="str">
        <f>IFERROR(INDEX(羁绊设计!$F:$F,MATCH(羁绊设计!CO46,羁绊设计!$D:$D,0)),"")</f>
        <v/>
      </c>
      <c r="AR46" s="9" t="str">
        <f>IFERROR(INDEX(羁绊设计!$F:$F,MATCH(羁绊设计!CP46,羁绊设计!$D:$D,0)),"")</f>
        <v/>
      </c>
      <c r="AT46" s="9" t="str">
        <f>IFERROR(INDEX(羁绊设计!$F:$F,MATCH(羁绊设计!CR46,羁绊设计!$D:$D,0)),"")</f>
        <v/>
      </c>
      <c r="AU46" s="9" t="str">
        <f>IFERROR(INDEX(羁绊设计!$F:$F,MATCH(羁绊设计!CS46,羁绊设计!$D:$D,0)),"")</f>
        <v/>
      </c>
      <c r="AV46" s="9" t="str">
        <f>IFERROR(INDEX(羁绊设计!$F:$F,MATCH(羁绊设计!CT46,羁绊设计!$D:$D,0)),"")</f>
        <v/>
      </c>
      <c r="AW46" s="9" t="str">
        <f>IFERROR(INDEX(羁绊设计!$F:$F,MATCH(羁绊设计!CU46,羁绊设计!$D:$D,0)),"")</f>
        <v/>
      </c>
    </row>
    <row r="47" spans="2:49">
      <c r="B47" s="12" t="str">
        <f>羁绊设计!D47</f>
        <v>管仲</v>
      </c>
      <c r="C47" s="7" t="str">
        <f t="shared" si="3"/>
        <v/>
      </c>
      <c r="D47" s="7" t="str">
        <f t="shared" si="3"/>
        <v/>
      </c>
      <c r="E47" s="7" t="str">
        <f t="shared" si="3"/>
        <v/>
      </c>
      <c r="F47" s="7" t="str">
        <f t="shared" si="3"/>
        <v/>
      </c>
      <c r="G47" s="7" t="str">
        <f t="shared" si="3"/>
        <v/>
      </c>
      <c r="I47" s="9" t="str">
        <f t="shared" si="2"/>
        <v/>
      </c>
      <c r="K47" s="9" t="str">
        <f>IFERROR(INDEX(羁绊设计!$F:$F,MATCH(羁绊设计!BI47,羁绊设计!$D:$D,0)),"")</f>
        <v/>
      </c>
      <c r="L47" s="9" t="str">
        <f>IFERROR(INDEX(羁绊设计!$F:$F,MATCH(羁绊设计!BJ47,羁绊设计!$D:$D,0)),"")</f>
        <v/>
      </c>
      <c r="M47" s="9" t="str">
        <f>IFERROR(INDEX(羁绊设计!$F:$F,MATCH(羁绊设计!BK47,羁绊设计!$D:$D,0)),"")</f>
        <v/>
      </c>
      <c r="N47" s="9" t="str">
        <f>IFERROR(INDEX(羁绊设计!$F:$F,MATCH(羁绊设计!BL47,羁绊设计!$D:$D,0)),"")</f>
        <v/>
      </c>
      <c r="P47" s="9" t="str">
        <f>IFERROR(INDEX(羁绊设计!$F:$F,MATCH(羁绊设计!BN47,羁绊设计!$D:$D,0)),"")</f>
        <v/>
      </c>
      <c r="Q47" s="9" t="str">
        <f>IFERROR(INDEX(羁绊设计!$F:$F,MATCH(羁绊设计!BO47,羁绊设计!$D:$D,0)),"")</f>
        <v/>
      </c>
      <c r="R47" s="9" t="str">
        <f>IFERROR(INDEX(羁绊设计!$F:$F,MATCH(羁绊设计!BP47,羁绊设计!$D:$D,0)),"")</f>
        <v/>
      </c>
      <c r="S47" s="9" t="str">
        <f>IFERROR(INDEX(羁绊设计!$F:$F,MATCH(羁绊设计!BQ47,羁绊设计!$D:$D,0)),"")</f>
        <v/>
      </c>
      <c r="U47" s="9" t="str">
        <f>IFERROR(INDEX(羁绊设计!$F:$F,MATCH(羁绊设计!BS47,羁绊设计!$D:$D,0)),"")</f>
        <v/>
      </c>
      <c r="V47" s="9" t="str">
        <f>IFERROR(INDEX(羁绊设计!$F:$F,MATCH(羁绊设计!BT47,羁绊设计!$D:$D,0)),"")</f>
        <v/>
      </c>
      <c r="W47" s="9" t="str">
        <f>IFERROR(INDEX(羁绊设计!$F:$F,MATCH(羁绊设计!BU47,羁绊设计!$D:$D,0)),"")</f>
        <v/>
      </c>
      <c r="X47" s="9" t="str">
        <f>IFERROR(INDEX(羁绊设计!$F:$F,MATCH(羁绊设计!BV47,羁绊设计!$D:$D,0)),"")</f>
        <v/>
      </c>
      <c r="Z47" s="9" t="str">
        <f>IFERROR(INDEX(羁绊设计!$F:$F,MATCH(羁绊设计!BX47,羁绊设计!$D:$D,0)),"")</f>
        <v/>
      </c>
      <c r="AA47" s="9" t="str">
        <f>IFERROR(INDEX(羁绊设计!$F:$F,MATCH(羁绊设计!BY47,羁绊设计!$D:$D,0)),"")</f>
        <v/>
      </c>
      <c r="AB47" s="9" t="str">
        <f>IFERROR(INDEX(羁绊设计!$F:$F,MATCH(羁绊设计!BZ47,羁绊设计!$D:$D,0)),"")</f>
        <v/>
      </c>
      <c r="AC47" s="9" t="str">
        <f>IFERROR(INDEX(羁绊设计!$F:$F,MATCH(羁绊设计!CA47,羁绊设计!$D:$D,0)),"")</f>
        <v/>
      </c>
      <c r="AE47" s="9" t="str">
        <f>IFERROR(INDEX(羁绊设计!$F:$F,MATCH(羁绊设计!CC47,羁绊设计!$D:$D,0)),"")</f>
        <v/>
      </c>
      <c r="AF47" s="9" t="str">
        <f>IFERROR(INDEX(羁绊设计!$F:$F,MATCH(羁绊设计!CD47,羁绊设计!$D:$D,0)),"")</f>
        <v/>
      </c>
      <c r="AG47" s="9" t="str">
        <f>IFERROR(INDEX(羁绊设计!$F:$F,MATCH(羁绊设计!CE47,羁绊设计!$D:$D,0)),"")</f>
        <v/>
      </c>
      <c r="AH47" s="9" t="str">
        <f>IFERROR(INDEX(羁绊设计!$F:$F,MATCH(羁绊设计!CF47,羁绊设计!$D:$D,0)),"")</f>
        <v/>
      </c>
      <c r="AJ47" s="9" t="str">
        <f>IFERROR(INDEX(羁绊设计!$F:$F,MATCH(羁绊设计!CH47,羁绊设计!$D:$D,0)),"")</f>
        <v/>
      </c>
      <c r="AK47" s="9" t="str">
        <f>IFERROR(INDEX(羁绊设计!$F:$F,MATCH(羁绊设计!CI47,羁绊设计!$D:$D,0)),"")</f>
        <v/>
      </c>
      <c r="AL47" s="9" t="str">
        <f>IFERROR(INDEX(羁绊设计!$F:$F,MATCH(羁绊设计!CJ47,羁绊设计!$D:$D,0)),"")</f>
        <v/>
      </c>
      <c r="AM47" s="9" t="str">
        <f>IFERROR(INDEX(羁绊设计!$F:$F,MATCH(羁绊设计!CK47,羁绊设计!$D:$D,0)),"")</f>
        <v/>
      </c>
      <c r="AO47" s="9" t="str">
        <f>IFERROR(INDEX(羁绊设计!$F:$F,MATCH(羁绊设计!CM47,羁绊设计!$D:$D,0)),"")</f>
        <v/>
      </c>
      <c r="AP47" s="9" t="str">
        <f>IFERROR(INDEX(羁绊设计!$F:$F,MATCH(羁绊设计!CN47,羁绊设计!$D:$D,0)),"")</f>
        <v/>
      </c>
      <c r="AQ47" s="9" t="str">
        <f>IFERROR(INDEX(羁绊设计!$F:$F,MATCH(羁绊设计!CO47,羁绊设计!$D:$D,0)),"")</f>
        <v/>
      </c>
      <c r="AR47" s="9" t="str">
        <f>IFERROR(INDEX(羁绊设计!$F:$F,MATCH(羁绊设计!CP47,羁绊设计!$D:$D,0)),"")</f>
        <v/>
      </c>
      <c r="AT47" s="9" t="str">
        <f>IFERROR(INDEX(羁绊设计!$F:$F,MATCH(羁绊设计!CR47,羁绊设计!$D:$D,0)),"")</f>
        <v/>
      </c>
      <c r="AU47" s="9" t="str">
        <f>IFERROR(INDEX(羁绊设计!$F:$F,MATCH(羁绊设计!CS47,羁绊设计!$D:$D,0)),"")</f>
        <v/>
      </c>
      <c r="AV47" s="9" t="str">
        <f>IFERROR(INDEX(羁绊设计!$F:$F,MATCH(羁绊设计!CT47,羁绊设计!$D:$D,0)),"")</f>
        <v/>
      </c>
      <c r="AW47" s="9" t="str">
        <f>IFERROR(INDEX(羁绊设计!$F:$F,MATCH(羁绊设计!CU47,羁绊设计!$D:$D,0)),"")</f>
        <v/>
      </c>
    </row>
    <row r="48" spans="2:49">
      <c r="B48" s="12" t="str">
        <f>羁绊设计!D48</f>
        <v>屈原</v>
      </c>
      <c r="C48" s="7" t="str">
        <f t="shared" si="3"/>
        <v/>
      </c>
      <c r="D48" s="7" t="str">
        <f t="shared" si="3"/>
        <v/>
      </c>
      <c r="E48" s="7" t="str">
        <f t="shared" si="3"/>
        <v/>
      </c>
      <c r="F48" s="7">
        <f t="shared" si="3"/>
        <v>9</v>
      </c>
      <c r="G48" s="7" t="str">
        <f t="shared" si="3"/>
        <v/>
      </c>
      <c r="I48" s="9" t="str">
        <f t="shared" si="2"/>
        <v>橙,橙,橙,橙,橙,橙+,橙,橙+,橙,橙+,橙,橙+,橙</v>
      </c>
      <c r="K48" s="9" t="str">
        <f>IFERROR(INDEX(羁绊设计!$F:$F,MATCH(羁绊设计!BI48,羁绊设计!$D:$D,0)),"")</f>
        <v>橙</v>
      </c>
      <c r="L48" s="9" t="str">
        <f>IFERROR(INDEX(羁绊设计!$F:$F,MATCH(羁绊设计!BJ48,羁绊设计!$D:$D,0)),"")</f>
        <v>橙</v>
      </c>
      <c r="M48" s="9" t="str">
        <f>IFERROR(INDEX(羁绊设计!$F:$F,MATCH(羁绊设计!BK48,羁绊设计!$D:$D,0)),"")</f>
        <v/>
      </c>
      <c r="N48" s="9" t="str">
        <f>IFERROR(INDEX(羁绊设计!$F:$F,MATCH(羁绊设计!BL48,羁绊设计!$D:$D,0)),"")</f>
        <v/>
      </c>
      <c r="P48" s="9" t="str">
        <f>IFERROR(INDEX(羁绊设计!$F:$F,MATCH(羁绊设计!BN48,羁绊设计!$D:$D,0)),"")</f>
        <v>橙</v>
      </c>
      <c r="Q48" s="9" t="str">
        <f>IFERROR(INDEX(羁绊设计!$F:$F,MATCH(羁绊设计!BO48,羁绊设计!$D:$D,0)),"")</f>
        <v>橙</v>
      </c>
      <c r="R48" s="9" t="str">
        <f>IFERROR(INDEX(羁绊设计!$F:$F,MATCH(羁绊设计!BP48,羁绊设计!$D:$D,0)),"")</f>
        <v/>
      </c>
      <c r="S48" s="9" t="str">
        <f>IFERROR(INDEX(羁绊设计!$F:$F,MATCH(羁绊设计!BQ48,羁绊设计!$D:$D,0)),"")</f>
        <v/>
      </c>
      <c r="U48" s="9" t="str">
        <f>IFERROR(INDEX(羁绊设计!$F:$F,MATCH(羁绊设计!BS48,羁绊设计!$D:$D,0)),"")</f>
        <v/>
      </c>
      <c r="V48" s="9" t="str">
        <f>IFERROR(INDEX(羁绊设计!$F:$F,MATCH(羁绊设计!BT48,羁绊设计!$D:$D,0)),"")</f>
        <v>橙</v>
      </c>
      <c r="W48" s="9" t="str">
        <f>IFERROR(INDEX(羁绊设计!$F:$F,MATCH(羁绊设计!BU48,羁绊设计!$D:$D,0)),"")</f>
        <v/>
      </c>
      <c r="X48" s="9" t="str">
        <f>IFERROR(INDEX(羁绊设计!$F:$F,MATCH(羁绊设计!BV48,羁绊设计!$D:$D,0)),"")</f>
        <v/>
      </c>
      <c r="Z48" s="9" t="str">
        <f>IFERROR(INDEX(羁绊设计!$F:$F,MATCH(羁绊设计!BX48,羁绊设计!$D:$D,0)),"")</f>
        <v>橙+</v>
      </c>
      <c r="AA48" s="9" t="str">
        <f>IFERROR(INDEX(羁绊设计!$F:$F,MATCH(羁绊设计!BY48,羁绊设计!$D:$D,0)),"")</f>
        <v/>
      </c>
      <c r="AB48" s="9" t="str">
        <f>IFERROR(INDEX(羁绊设计!$F:$F,MATCH(羁绊设计!BZ48,羁绊设计!$D:$D,0)),"")</f>
        <v>橙</v>
      </c>
      <c r="AC48" s="9" t="str">
        <f>IFERROR(INDEX(羁绊设计!$F:$F,MATCH(羁绊设计!CA48,羁绊设计!$D:$D,0)),"")</f>
        <v/>
      </c>
      <c r="AE48" s="9" t="str">
        <f>IFERROR(INDEX(羁绊设计!$F:$F,MATCH(羁绊设计!CC48,羁绊设计!$D:$D,0)),"")</f>
        <v/>
      </c>
      <c r="AF48" s="9" t="str">
        <f>IFERROR(INDEX(羁绊设计!$F:$F,MATCH(羁绊设计!CD48,羁绊设计!$D:$D,0)),"")</f>
        <v/>
      </c>
      <c r="AG48" s="9" t="str">
        <f>IFERROR(INDEX(羁绊设计!$F:$F,MATCH(羁绊设计!CE48,羁绊设计!$D:$D,0)),"")</f>
        <v/>
      </c>
      <c r="AH48" s="9" t="str">
        <f>IFERROR(INDEX(羁绊设计!$F:$F,MATCH(羁绊设计!CF48,羁绊设计!$D:$D,0)),"")</f>
        <v/>
      </c>
      <c r="AJ48" s="9" t="str">
        <f>IFERROR(INDEX(羁绊设计!$F:$F,MATCH(羁绊设计!CH48,羁绊设计!$D:$D,0)),"")</f>
        <v>橙+</v>
      </c>
      <c r="AK48" s="9" t="str">
        <f>IFERROR(INDEX(羁绊设计!$F:$F,MATCH(羁绊设计!CI48,羁绊设计!$D:$D,0)),"")</f>
        <v/>
      </c>
      <c r="AL48" s="9" t="str">
        <f>IFERROR(INDEX(羁绊设计!$F:$F,MATCH(羁绊设计!CJ48,羁绊设计!$D:$D,0)),"")</f>
        <v>橙</v>
      </c>
      <c r="AM48" s="9" t="str">
        <f>IFERROR(INDEX(羁绊设计!$F:$F,MATCH(羁绊设计!CK48,羁绊设计!$D:$D,0)),"")</f>
        <v/>
      </c>
      <c r="AO48" s="9" t="str">
        <f>IFERROR(INDEX(羁绊设计!$F:$F,MATCH(羁绊设计!CM48,羁绊设计!$D:$D,0)),"")</f>
        <v>橙+</v>
      </c>
      <c r="AP48" s="9" t="str">
        <f>IFERROR(INDEX(羁绊设计!$F:$F,MATCH(羁绊设计!CN48,羁绊设计!$D:$D,0)),"")</f>
        <v/>
      </c>
      <c r="AQ48" s="9" t="str">
        <f>IFERROR(INDEX(羁绊设计!$F:$F,MATCH(羁绊设计!CO48,羁绊设计!$D:$D,0)),"")</f>
        <v>橙</v>
      </c>
      <c r="AR48" s="9" t="str">
        <f>IFERROR(INDEX(羁绊设计!$F:$F,MATCH(羁绊设计!CP48,羁绊设计!$D:$D,0)),"")</f>
        <v/>
      </c>
      <c r="AT48" s="9" t="str">
        <f>IFERROR(INDEX(羁绊设计!$F:$F,MATCH(羁绊设计!CR48,羁绊设计!$D:$D,0)),"")</f>
        <v>橙+</v>
      </c>
      <c r="AU48" s="9" t="str">
        <f>IFERROR(INDEX(羁绊设计!$F:$F,MATCH(羁绊设计!CS48,羁绊设计!$D:$D,0)),"")</f>
        <v/>
      </c>
      <c r="AV48" s="9" t="str">
        <f>IFERROR(INDEX(羁绊设计!$F:$F,MATCH(羁绊设计!CT48,羁绊设计!$D:$D,0)),"")</f>
        <v>橙</v>
      </c>
      <c r="AW48" s="9" t="str">
        <f>IFERROR(INDEX(羁绊设计!$F:$F,MATCH(羁绊设计!CU48,羁绊设计!$D:$D,0)),"")</f>
        <v/>
      </c>
    </row>
    <row r="49" spans="2:49">
      <c r="B49" s="12" t="str">
        <f>羁绊设计!D49</f>
        <v>项燕</v>
      </c>
      <c r="C49" s="7" t="str">
        <f t="shared" si="3"/>
        <v/>
      </c>
      <c r="D49" s="7" t="str">
        <f t="shared" si="3"/>
        <v/>
      </c>
      <c r="E49" s="7">
        <f t="shared" si="3"/>
        <v>1</v>
      </c>
      <c r="F49" s="7">
        <f t="shared" si="3"/>
        <v>10</v>
      </c>
      <c r="G49" s="7" t="str">
        <f t="shared" si="3"/>
        <v/>
      </c>
      <c r="I49" s="9" t="str">
        <f t="shared" si="2"/>
        <v>紫,橙,橙,橙,橙,橙+,橙,橙+,橙,橙,橙+,橙,橙+,橙,橙</v>
      </c>
      <c r="K49" s="9" t="str">
        <f>IFERROR(INDEX(羁绊设计!$F:$F,MATCH(羁绊设计!BI49,羁绊设计!$D:$D,0)),"")</f>
        <v>紫</v>
      </c>
      <c r="L49" s="9" t="str">
        <f>IFERROR(INDEX(羁绊设计!$F:$F,MATCH(羁绊设计!BJ49,羁绊设计!$D:$D,0)),"")</f>
        <v>橙</v>
      </c>
      <c r="M49" s="9" t="str">
        <f>IFERROR(INDEX(羁绊设计!$F:$F,MATCH(羁绊设计!BK49,羁绊设计!$D:$D,0)),"")</f>
        <v/>
      </c>
      <c r="N49" s="9" t="str">
        <f>IFERROR(INDEX(羁绊设计!$F:$F,MATCH(羁绊设计!BL49,羁绊设计!$D:$D,0)),"")</f>
        <v/>
      </c>
      <c r="P49" s="9" t="str">
        <f>IFERROR(INDEX(羁绊设计!$F:$F,MATCH(羁绊设计!BN49,羁绊设计!$D:$D,0)),"")</f>
        <v>橙</v>
      </c>
      <c r="Q49" s="9" t="str">
        <f>IFERROR(INDEX(羁绊设计!$F:$F,MATCH(羁绊设计!BO49,羁绊设计!$D:$D,0)),"")</f>
        <v/>
      </c>
      <c r="R49" s="9" t="str">
        <f>IFERROR(INDEX(羁绊设计!$F:$F,MATCH(羁绊设计!BP49,羁绊设计!$D:$D,0)),"")</f>
        <v>橙</v>
      </c>
      <c r="S49" s="9" t="str">
        <f>IFERROR(INDEX(羁绊设计!$F:$F,MATCH(羁绊设计!BQ49,羁绊设计!$D:$D,0)),"")</f>
        <v/>
      </c>
      <c r="U49" s="9" t="str">
        <f>IFERROR(INDEX(羁绊设计!$F:$F,MATCH(羁绊设计!BS49,羁绊设计!$D:$D,0)),"")</f>
        <v/>
      </c>
      <c r="V49" s="9" t="str">
        <f>IFERROR(INDEX(羁绊设计!$F:$F,MATCH(羁绊设计!BT49,羁绊设计!$D:$D,0)),"")</f>
        <v>橙</v>
      </c>
      <c r="W49" s="9" t="str">
        <f>IFERROR(INDEX(羁绊设计!$F:$F,MATCH(羁绊设计!BU49,羁绊设计!$D:$D,0)),"")</f>
        <v/>
      </c>
      <c r="X49" s="9" t="str">
        <f>IFERROR(INDEX(羁绊设计!$F:$F,MATCH(羁绊设计!BV49,羁绊设计!$D:$D,0)),"")</f>
        <v/>
      </c>
      <c r="Z49" s="9" t="str">
        <f>IFERROR(INDEX(羁绊设计!$F:$F,MATCH(羁绊设计!BX49,羁绊设计!$D:$D,0)),"")</f>
        <v/>
      </c>
      <c r="AA49" s="9" t="str">
        <f>IFERROR(INDEX(羁绊设计!$F:$F,MATCH(羁绊设计!BY49,羁绊设计!$D:$D,0)),"")</f>
        <v/>
      </c>
      <c r="AB49" s="9" t="str">
        <f>IFERROR(INDEX(羁绊设计!$F:$F,MATCH(羁绊设计!BZ49,羁绊设计!$D:$D,0)),"")</f>
        <v/>
      </c>
      <c r="AC49" s="9" t="str">
        <f>IFERROR(INDEX(羁绊设计!$F:$F,MATCH(羁绊设计!CA49,羁绊设计!$D:$D,0)),"")</f>
        <v/>
      </c>
      <c r="AE49" s="9" t="str">
        <f>IFERROR(INDEX(羁绊设计!$F:$F,MATCH(羁绊设计!CC49,羁绊设计!$D:$D,0)),"")</f>
        <v>橙+</v>
      </c>
      <c r="AF49" s="9" t="str">
        <f>IFERROR(INDEX(羁绊设计!$F:$F,MATCH(羁绊设计!CD49,羁绊设计!$D:$D,0)),"")</f>
        <v/>
      </c>
      <c r="AG49" s="9" t="str">
        <f>IFERROR(INDEX(羁绊设计!$F:$F,MATCH(羁绊设计!CE49,羁绊设计!$D:$D,0)),"")</f>
        <v>橙</v>
      </c>
      <c r="AH49" s="9" t="str">
        <f>IFERROR(INDEX(羁绊设计!$F:$F,MATCH(羁绊设计!CF49,羁绊设计!$D:$D,0)),"")</f>
        <v/>
      </c>
      <c r="AJ49" s="9" t="str">
        <f>IFERROR(INDEX(羁绊设计!$F:$F,MATCH(羁绊设计!CH49,羁绊设计!$D:$D,0)),"")</f>
        <v>橙+</v>
      </c>
      <c r="AK49" s="9" t="str">
        <f>IFERROR(INDEX(羁绊设计!$F:$F,MATCH(羁绊设计!CI49,羁绊设计!$D:$D,0)),"")</f>
        <v>橙</v>
      </c>
      <c r="AL49" s="9" t="str">
        <f>IFERROR(INDEX(羁绊设计!$F:$F,MATCH(羁绊设计!CJ49,羁绊设计!$D:$D,0)),"")</f>
        <v>橙</v>
      </c>
      <c r="AM49" s="9" t="str">
        <f>IFERROR(INDEX(羁绊设计!$F:$F,MATCH(羁绊设计!CK49,羁绊设计!$D:$D,0)),"")</f>
        <v/>
      </c>
      <c r="AO49" s="9" t="str">
        <f>IFERROR(INDEX(羁绊设计!$F:$F,MATCH(羁绊设计!CM49,羁绊设计!$D:$D,0)),"")</f>
        <v>橙+</v>
      </c>
      <c r="AP49" s="9" t="str">
        <f>IFERROR(INDEX(羁绊设计!$F:$F,MATCH(羁绊设计!CN49,羁绊设计!$D:$D,0)),"")</f>
        <v/>
      </c>
      <c r="AQ49" s="9" t="str">
        <f>IFERROR(INDEX(羁绊设计!$F:$F,MATCH(羁绊设计!CO49,羁绊设计!$D:$D,0)),"")</f>
        <v>橙</v>
      </c>
      <c r="AR49" s="9" t="str">
        <f>IFERROR(INDEX(羁绊设计!$F:$F,MATCH(羁绊设计!CP49,羁绊设计!$D:$D,0)),"")</f>
        <v/>
      </c>
      <c r="AT49" s="9" t="str">
        <f>IFERROR(INDEX(羁绊设计!$F:$F,MATCH(羁绊设计!CR49,羁绊设计!$D:$D,0)),"")</f>
        <v>橙+</v>
      </c>
      <c r="AU49" s="9" t="str">
        <f>IFERROR(INDEX(羁绊设计!$F:$F,MATCH(羁绊设计!CS49,羁绊设计!$D:$D,0)),"")</f>
        <v/>
      </c>
      <c r="AV49" s="9" t="str">
        <f>IFERROR(INDEX(羁绊设计!$F:$F,MATCH(羁绊设计!CT49,羁绊设计!$D:$D,0)),"")</f>
        <v>橙</v>
      </c>
      <c r="AW49" s="9" t="str">
        <f>IFERROR(INDEX(羁绊设计!$F:$F,MATCH(羁绊设计!CU49,羁绊设计!$D:$D,0)),"")</f>
        <v>橙</v>
      </c>
    </row>
    <row r="50" spans="2:49">
      <c r="B50" s="12" t="str">
        <f>羁绊设计!D50</f>
        <v>春申君</v>
      </c>
      <c r="C50" s="7" t="str">
        <f t="shared" si="3"/>
        <v/>
      </c>
      <c r="D50" s="7" t="str">
        <f t="shared" si="3"/>
        <v/>
      </c>
      <c r="E50" s="7">
        <f t="shared" si="3"/>
        <v>2</v>
      </c>
      <c r="F50" s="7">
        <f t="shared" si="3"/>
        <v>2</v>
      </c>
      <c r="G50" s="7" t="str">
        <f t="shared" si="3"/>
        <v/>
      </c>
      <c r="I50" s="9" t="str">
        <f t="shared" si="2"/>
        <v>紫,紫,橙,橙</v>
      </c>
      <c r="K50" s="9" t="str">
        <f>IFERROR(INDEX(羁绊设计!$F:$F,MATCH(羁绊设计!BI50,羁绊设计!$D:$D,0)),"")</f>
        <v>紫</v>
      </c>
      <c r="L50" s="9" t="str">
        <f>IFERROR(INDEX(羁绊设计!$F:$F,MATCH(羁绊设计!BJ50,羁绊设计!$D:$D,0)),"")</f>
        <v>紫</v>
      </c>
      <c r="M50" s="9" t="str">
        <f>IFERROR(INDEX(羁绊设计!$F:$F,MATCH(羁绊设计!BK50,羁绊设计!$D:$D,0)),"")</f>
        <v>橙</v>
      </c>
      <c r="N50" s="9" t="str">
        <f>IFERROR(INDEX(羁绊设计!$F:$F,MATCH(羁绊设计!BL50,羁绊设计!$D:$D,0)),"")</f>
        <v/>
      </c>
      <c r="P50" s="9" t="str">
        <f>IFERROR(INDEX(羁绊设计!$F:$F,MATCH(羁绊设计!BN50,羁绊设计!$D:$D,0)),"")</f>
        <v/>
      </c>
      <c r="Q50" s="9" t="str">
        <f>IFERROR(INDEX(羁绊设计!$F:$F,MATCH(羁绊设计!BO50,羁绊设计!$D:$D,0)),"")</f>
        <v>橙</v>
      </c>
      <c r="R50" s="9" t="str">
        <f>IFERROR(INDEX(羁绊设计!$F:$F,MATCH(羁绊设计!BP50,羁绊设计!$D:$D,0)),"")</f>
        <v/>
      </c>
      <c r="S50" s="9" t="str">
        <f>IFERROR(INDEX(羁绊设计!$F:$F,MATCH(羁绊设计!BQ50,羁绊设计!$D:$D,0)),"")</f>
        <v/>
      </c>
      <c r="U50" s="9" t="str">
        <f>IFERROR(INDEX(羁绊设计!$F:$F,MATCH(羁绊设计!BS50,羁绊设计!$D:$D,0)),"")</f>
        <v/>
      </c>
      <c r="V50" s="9" t="str">
        <f>IFERROR(INDEX(羁绊设计!$F:$F,MATCH(羁绊设计!BT50,羁绊设计!$D:$D,0)),"")</f>
        <v/>
      </c>
      <c r="W50" s="9" t="str">
        <f>IFERROR(INDEX(羁绊设计!$F:$F,MATCH(羁绊设计!BU50,羁绊设计!$D:$D,0)),"")</f>
        <v/>
      </c>
      <c r="X50" s="9" t="str">
        <f>IFERROR(INDEX(羁绊设计!$F:$F,MATCH(羁绊设计!BV50,羁绊设计!$D:$D,0)),"")</f>
        <v/>
      </c>
      <c r="Z50" s="9" t="str">
        <f>IFERROR(INDEX(羁绊设计!$F:$F,MATCH(羁绊设计!BX50,羁绊设计!$D:$D,0)),"")</f>
        <v/>
      </c>
      <c r="AA50" s="9" t="str">
        <f>IFERROR(INDEX(羁绊设计!$F:$F,MATCH(羁绊设计!BY50,羁绊设计!$D:$D,0)),"")</f>
        <v/>
      </c>
      <c r="AB50" s="9" t="str">
        <f>IFERROR(INDEX(羁绊设计!$F:$F,MATCH(羁绊设计!BZ50,羁绊设计!$D:$D,0)),"")</f>
        <v/>
      </c>
      <c r="AC50" s="9" t="str">
        <f>IFERROR(INDEX(羁绊设计!$F:$F,MATCH(羁绊设计!CA50,羁绊设计!$D:$D,0)),"")</f>
        <v/>
      </c>
      <c r="AE50" s="9" t="str">
        <f>IFERROR(INDEX(羁绊设计!$F:$F,MATCH(羁绊设计!CC50,羁绊设计!$D:$D,0)),"")</f>
        <v/>
      </c>
      <c r="AF50" s="9" t="str">
        <f>IFERROR(INDEX(羁绊设计!$F:$F,MATCH(羁绊设计!CD50,羁绊设计!$D:$D,0)),"")</f>
        <v/>
      </c>
      <c r="AG50" s="9" t="str">
        <f>IFERROR(INDEX(羁绊设计!$F:$F,MATCH(羁绊设计!CE50,羁绊设计!$D:$D,0)),"")</f>
        <v/>
      </c>
      <c r="AH50" s="9" t="str">
        <f>IFERROR(INDEX(羁绊设计!$F:$F,MATCH(羁绊设计!CF50,羁绊设计!$D:$D,0)),"")</f>
        <v/>
      </c>
      <c r="AJ50" s="9" t="str">
        <f>IFERROR(INDEX(羁绊设计!$F:$F,MATCH(羁绊设计!CH50,羁绊设计!$D:$D,0)),"")</f>
        <v/>
      </c>
      <c r="AK50" s="9" t="str">
        <f>IFERROR(INDEX(羁绊设计!$F:$F,MATCH(羁绊设计!CI50,羁绊设计!$D:$D,0)),"")</f>
        <v/>
      </c>
      <c r="AL50" s="9" t="str">
        <f>IFERROR(INDEX(羁绊设计!$F:$F,MATCH(羁绊设计!CJ50,羁绊设计!$D:$D,0)),"")</f>
        <v/>
      </c>
      <c r="AM50" s="9" t="str">
        <f>IFERROR(INDEX(羁绊设计!$F:$F,MATCH(羁绊设计!CK50,羁绊设计!$D:$D,0)),"")</f>
        <v/>
      </c>
      <c r="AO50" s="9" t="str">
        <f>IFERROR(INDEX(羁绊设计!$F:$F,MATCH(羁绊设计!CM50,羁绊设计!$D:$D,0)),"")</f>
        <v/>
      </c>
      <c r="AP50" s="9" t="str">
        <f>IFERROR(INDEX(羁绊设计!$F:$F,MATCH(羁绊设计!CN50,羁绊设计!$D:$D,0)),"")</f>
        <v/>
      </c>
      <c r="AQ50" s="9" t="str">
        <f>IFERROR(INDEX(羁绊设计!$F:$F,MATCH(羁绊设计!CO50,羁绊设计!$D:$D,0)),"")</f>
        <v/>
      </c>
      <c r="AR50" s="9" t="str">
        <f>IFERROR(INDEX(羁绊设计!$F:$F,MATCH(羁绊设计!CP50,羁绊设计!$D:$D,0)),"")</f>
        <v/>
      </c>
      <c r="AT50" s="9" t="str">
        <f>IFERROR(INDEX(羁绊设计!$F:$F,MATCH(羁绊设计!CR50,羁绊设计!$D:$D,0)),"")</f>
        <v/>
      </c>
      <c r="AU50" s="9" t="str">
        <f>IFERROR(INDEX(羁绊设计!$F:$F,MATCH(羁绊设计!CS50,羁绊设计!$D:$D,0)),"")</f>
        <v/>
      </c>
      <c r="AV50" s="9" t="str">
        <f>IFERROR(INDEX(羁绊设计!$F:$F,MATCH(羁绊设计!CT50,羁绊设计!$D:$D,0)),"")</f>
        <v/>
      </c>
      <c r="AW50" s="9" t="str">
        <f>IFERROR(INDEX(羁绊设计!$F:$F,MATCH(羁绊设计!CU50,羁绊设计!$D:$D,0)),"")</f>
        <v/>
      </c>
    </row>
    <row r="51" spans="2:49">
      <c r="B51" s="12" t="str">
        <f>羁绊设计!D51</f>
        <v>莫邪</v>
      </c>
      <c r="C51" s="7" t="str">
        <f t="shared" si="3"/>
        <v/>
      </c>
      <c r="D51" s="7" t="str">
        <f t="shared" si="3"/>
        <v/>
      </c>
      <c r="E51" s="7">
        <f t="shared" si="3"/>
        <v>4</v>
      </c>
      <c r="F51" s="7">
        <f t="shared" si="3"/>
        <v>2</v>
      </c>
      <c r="G51" s="7" t="str">
        <f t="shared" si="3"/>
        <v/>
      </c>
      <c r="I51" s="9" t="str">
        <f t="shared" si="2"/>
        <v>紫,紫,紫,紫,橙,橙</v>
      </c>
      <c r="K51" s="9" t="str">
        <f>IFERROR(INDEX(羁绊设计!$F:$F,MATCH(羁绊设计!BI51,羁绊设计!$D:$D,0)),"")</f>
        <v>紫</v>
      </c>
      <c r="L51" s="9" t="str">
        <f>IFERROR(INDEX(羁绊设计!$F:$F,MATCH(羁绊设计!BJ51,羁绊设计!$D:$D,0)),"")</f>
        <v>紫</v>
      </c>
      <c r="M51" s="9" t="str">
        <f>IFERROR(INDEX(羁绊设计!$F:$F,MATCH(羁绊设计!BK51,羁绊设计!$D:$D,0)),"")</f>
        <v>紫</v>
      </c>
      <c r="N51" s="9" t="str">
        <f>IFERROR(INDEX(羁绊设计!$F:$F,MATCH(羁绊设计!BL51,羁绊设计!$D:$D,0)),"")</f>
        <v/>
      </c>
      <c r="P51" s="9" t="str">
        <f>IFERROR(INDEX(羁绊设计!$F:$F,MATCH(羁绊设计!BN51,羁绊设计!$D:$D,0)),"")</f>
        <v/>
      </c>
      <c r="Q51" s="9" t="str">
        <f>IFERROR(INDEX(羁绊设计!$F:$F,MATCH(羁绊设计!BO51,羁绊设计!$D:$D,0)),"")</f>
        <v>紫</v>
      </c>
      <c r="R51" s="9" t="str">
        <f>IFERROR(INDEX(羁绊设计!$F:$F,MATCH(羁绊设计!BP51,羁绊设计!$D:$D,0)),"")</f>
        <v>橙</v>
      </c>
      <c r="S51" s="9" t="str">
        <f>IFERROR(INDEX(羁绊设计!$F:$F,MATCH(羁绊设计!BQ51,羁绊设计!$D:$D,0)),"")</f>
        <v/>
      </c>
      <c r="U51" s="9" t="str">
        <f>IFERROR(INDEX(羁绊设计!$F:$F,MATCH(羁绊设计!BS51,羁绊设计!$D:$D,0)),"")</f>
        <v>橙</v>
      </c>
      <c r="V51" s="9" t="str">
        <f>IFERROR(INDEX(羁绊设计!$F:$F,MATCH(羁绊设计!BT51,羁绊设计!$D:$D,0)),"")</f>
        <v/>
      </c>
      <c r="W51" s="9" t="str">
        <f>IFERROR(INDEX(羁绊设计!$F:$F,MATCH(羁绊设计!BU51,羁绊设计!$D:$D,0)),"")</f>
        <v/>
      </c>
      <c r="X51" s="9" t="str">
        <f>IFERROR(INDEX(羁绊设计!$F:$F,MATCH(羁绊设计!BV51,羁绊设计!$D:$D,0)),"")</f>
        <v/>
      </c>
      <c r="Z51" s="9" t="str">
        <f>IFERROR(INDEX(羁绊设计!$F:$F,MATCH(羁绊设计!BX51,羁绊设计!$D:$D,0)),"")</f>
        <v/>
      </c>
      <c r="AA51" s="9" t="str">
        <f>IFERROR(INDEX(羁绊设计!$F:$F,MATCH(羁绊设计!BY51,羁绊设计!$D:$D,0)),"")</f>
        <v/>
      </c>
      <c r="AB51" s="9" t="str">
        <f>IFERROR(INDEX(羁绊设计!$F:$F,MATCH(羁绊设计!BZ51,羁绊设计!$D:$D,0)),"")</f>
        <v/>
      </c>
      <c r="AC51" s="9" t="str">
        <f>IFERROR(INDEX(羁绊设计!$F:$F,MATCH(羁绊设计!CA51,羁绊设计!$D:$D,0)),"")</f>
        <v/>
      </c>
      <c r="AE51" s="9" t="str">
        <f>IFERROR(INDEX(羁绊设计!$F:$F,MATCH(羁绊设计!CC51,羁绊设计!$D:$D,0)),"")</f>
        <v/>
      </c>
      <c r="AF51" s="9" t="str">
        <f>IFERROR(INDEX(羁绊设计!$F:$F,MATCH(羁绊设计!CD51,羁绊设计!$D:$D,0)),"")</f>
        <v/>
      </c>
      <c r="AG51" s="9" t="str">
        <f>IFERROR(INDEX(羁绊设计!$F:$F,MATCH(羁绊设计!CE51,羁绊设计!$D:$D,0)),"")</f>
        <v/>
      </c>
      <c r="AH51" s="9" t="str">
        <f>IFERROR(INDEX(羁绊设计!$F:$F,MATCH(羁绊设计!CF51,羁绊设计!$D:$D,0)),"")</f>
        <v/>
      </c>
      <c r="AJ51" s="9" t="str">
        <f>IFERROR(INDEX(羁绊设计!$F:$F,MATCH(羁绊设计!CH51,羁绊设计!$D:$D,0)),"")</f>
        <v/>
      </c>
      <c r="AK51" s="9" t="str">
        <f>IFERROR(INDEX(羁绊设计!$F:$F,MATCH(羁绊设计!CI51,羁绊设计!$D:$D,0)),"")</f>
        <v/>
      </c>
      <c r="AL51" s="9" t="str">
        <f>IFERROR(INDEX(羁绊设计!$F:$F,MATCH(羁绊设计!CJ51,羁绊设计!$D:$D,0)),"")</f>
        <v/>
      </c>
      <c r="AM51" s="9" t="str">
        <f>IFERROR(INDEX(羁绊设计!$F:$F,MATCH(羁绊设计!CK51,羁绊设计!$D:$D,0)),"")</f>
        <v/>
      </c>
      <c r="AO51" s="9" t="str">
        <f>IFERROR(INDEX(羁绊设计!$F:$F,MATCH(羁绊设计!CM51,羁绊设计!$D:$D,0)),"")</f>
        <v/>
      </c>
      <c r="AP51" s="9" t="str">
        <f>IFERROR(INDEX(羁绊设计!$F:$F,MATCH(羁绊设计!CN51,羁绊设计!$D:$D,0)),"")</f>
        <v/>
      </c>
      <c r="AQ51" s="9" t="str">
        <f>IFERROR(INDEX(羁绊设计!$F:$F,MATCH(羁绊设计!CO51,羁绊设计!$D:$D,0)),"")</f>
        <v/>
      </c>
      <c r="AR51" s="9" t="str">
        <f>IFERROR(INDEX(羁绊设计!$F:$F,MATCH(羁绊设计!CP51,羁绊设计!$D:$D,0)),"")</f>
        <v/>
      </c>
      <c r="AT51" s="9" t="str">
        <f>IFERROR(INDEX(羁绊设计!$F:$F,MATCH(羁绊设计!CR51,羁绊设计!$D:$D,0)),"")</f>
        <v/>
      </c>
      <c r="AU51" s="9" t="str">
        <f>IFERROR(INDEX(羁绊设计!$F:$F,MATCH(羁绊设计!CS51,羁绊设计!$D:$D,0)),"")</f>
        <v/>
      </c>
      <c r="AV51" s="9" t="str">
        <f>IFERROR(INDEX(羁绊设计!$F:$F,MATCH(羁绊设计!CT51,羁绊设计!$D:$D,0)),"")</f>
        <v/>
      </c>
      <c r="AW51" s="9" t="str">
        <f>IFERROR(INDEX(羁绊设计!$F:$F,MATCH(羁绊设计!CU51,羁绊设计!$D:$D,0)),"")</f>
        <v/>
      </c>
    </row>
    <row r="52" spans="2:49">
      <c r="B52" s="12" t="str">
        <f>羁绊设计!D52</f>
        <v>干将</v>
      </c>
      <c r="C52" s="7" t="str">
        <f t="shared" si="3"/>
        <v/>
      </c>
      <c r="D52" s="7" t="str">
        <f t="shared" si="3"/>
        <v/>
      </c>
      <c r="E52" s="7" t="str">
        <f t="shared" si="3"/>
        <v/>
      </c>
      <c r="F52" s="7" t="str">
        <f t="shared" si="3"/>
        <v/>
      </c>
      <c r="G52" s="7" t="str">
        <f t="shared" si="3"/>
        <v/>
      </c>
      <c r="I52" s="9" t="str">
        <f>合并区域(K52:AW52,",")</f>
        <v/>
      </c>
      <c r="K52" s="9" t="str">
        <f>IFERROR(INDEX(羁绊设计!$F:$F,MATCH(羁绊设计!BI52,羁绊设计!$D:$D,0)),"")</f>
        <v/>
      </c>
      <c r="L52" s="9" t="str">
        <f>IFERROR(INDEX(羁绊设计!$F:$F,MATCH(羁绊设计!BJ52,羁绊设计!$D:$D,0)),"")</f>
        <v/>
      </c>
      <c r="M52" s="9" t="str">
        <f>IFERROR(INDEX(羁绊设计!$F:$F,MATCH(羁绊设计!BK52,羁绊设计!$D:$D,0)),"")</f>
        <v/>
      </c>
      <c r="N52" s="9" t="str">
        <f>IFERROR(INDEX(羁绊设计!$F:$F,MATCH(羁绊设计!BL52,羁绊设计!$D:$D,0)),"")</f>
        <v/>
      </c>
      <c r="P52" s="9" t="str">
        <f>IFERROR(INDEX(羁绊设计!$F:$F,MATCH(羁绊设计!BN52,羁绊设计!$D:$D,0)),"")</f>
        <v/>
      </c>
      <c r="Q52" s="9" t="str">
        <f>IFERROR(INDEX(羁绊设计!$F:$F,MATCH(羁绊设计!BO52,羁绊设计!$D:$D,0)),"")</f>
        <v/>
      </c>
      <c r="R52" s="9" t="str">
        <f>IFERROR(INDEX(羁绊设计!$F:$F,MATCH(羁绊设计!BP52,羁绊设计!$D:$D,0)),"")</f>
        <v/>
      </c>
      <c r="S52" s="9" t="str">
        <f>IFERROR(INDEX(羁绊设计!$F:$F,MATCH(羁绊设计!BQ52,羁绊设计!$D:$D,0)),"")</f>
        <v/>
      </c>
      <c r="U52" s="9" t="str">
        <f>IFERROR(INDEX(羁绊设计!$F:$F,MATCH(羁绊设计!BS52,羁绊设计!$D:$D,0)),"")</f>
        <v/>
      </c>
      <c r="V52" s="9" t="str">
        <f>IFERROR(INDEX(羁绊设计!$F:$F,MATCH(羁绊设计!BT52,羁绊设计!$D:$D,0)),"")</f>
        <v/>
      </c>
      <c r="W52" s="9" t="str">
        <f>IFERROR(INDEX(羁绊设计!$F:$F,MATCH(羁绊设计!BU52,羁绊设计!$D:$D,0)),"")</f>
        <v/>
      </c>
      <c r="X52" s="9" t="str">
        <f>IFERROR(INDEX(羁绊设计!$F:$F,MATCH(羁绊设计!BV52,羁绊设计!$D:$D,0)),"")</f>
        <v/>
      </c>
      <c r="Z52" s="9" t="str">
        <f>IFERROR(INDEX(羁绊设计!$F:$F,MATCH(羁绊设计!BX52,羁绊设计!$D:$D,0)),"")</f>
        <v/>
      </c>
      <c r="AA52" s="9" t="str">
        <f>IFERROR(INDEX(羁绊设计!$F:$F,MATCH(羁绊设计!BY52,羁绊设计!$D:$D,0)),"")</f>
        <v/>
      </c>
      <c r="AB52" s="9" t="str">
        <f>IFERROR(INDEX(羁绊设计!$F:$F,MATCH(羁绊设计!BZ52,羁绊设计!$D:$D,0)),"")</f>
        <v/>
      </c>
      <c r="AC52" s="9" t="str">
        <f>IFERROR(INDEX(羁绊设计!$F:$F,MATCH(羁绊设计!CA52,羁绊设计!$D:$D,0)),"")</f>
        <v/>
      </c>
      <c r="AE52" s="9" t="str">
        <f>IFERROR(INDEX(羁绊设计!$F:$F,MATCH(羁绊设计!CC52,羁绊设计!$D:$D,0)),"")</f>
        <v/>
      </c>
      <c r="AF52" s="9" t="str">
        <f>IFERROR(INDEX(羁绊设计!$F:$F,MATCH(羁绊设计!CD52,羁绊设计!$D:$D,0)),"")</f>
        <v/>
      </c>
      <c r="AG52" s="9" t="str">
        <f>IFERROR(INDEX(羁绊设计!$F:$F,MATCH(羁绊设计!CE52,羁绊设计!$D:$D,0)),"")</f>
        <v/>
      </c>
      <c r="AH52" s="9" t="str">
        <f>IFERROR(INDEX(羁绊设计!$F:$F,MATCH(羁绊设计!CF52,羁绊设计!$D:$D,0)),"")</f>
        <v/>
      </c>
      <c r="AJ52" s="9" t="str">
        <f>IFERROR(INDEX(羁绊设计!$F:$F,MATCH(羁绊设计!CH52,羁绊设计!$D:$D,0)),"")</f>
        <v/>
      </c>
      <c r="AK52" s="9" t="str">
        <f>IFERROR(INDEX(羁绊设计!$F:$F,MATCH(羁绊设计!CI52,羁绊设计!$D:$D,0)),"")</f>
        <v/>
      </c>
      <c r="AL52" s="9" t="str">
        <f>IFERROR(INDEX(羁绊设计!$F:$F,MATCH(羁绊设计!CJ52,羁绊设计!$D:$D,0)),"")</f>
        <v/>
      </c>
      <c r="AM52" s="9" t="str">
        <f>IFERROR(INDEX(羁绊设计!$F:$F,MATCH(羁绊设计!CK52,羁绊设计!$D:$D,0)),"")</f>
        <v/>
      </c>
      <c r="AO52" s="9" t="str">
        <f>IFERROR(INDEX(羁绊设计!$F:$F,MATCH(羁绊设计!CM52,羁绊设计!$D:$D,0)),"")</f>
        <v/>
      </c>
      <c r="AP52" s="9" t="str">
        <f>IFERROR(INDEX(羁绊设计!$F:$F,MATCH(羁绊设计!CN52,羁绊设计!$D:$D,0)),"")</f>
        <v/>
      </c>
      <c r="AQ52" s="9" t="str">
        <f>IFERROR(INDEX(羁绊设计!$F:$F,MATCH(羁绊设计!CO52,羁绊设计!$D:$D,0)),"")</f>
        <v/>
      </c>
      <c r="AR52" s="9" t="str">
        <f>IFERROR(INDEX(羁绊设计!$F:$F,MATCH(羁绊设计!CP52,羁绊设计!$D:$D,0)),"")</f>
        <v/>
      </c>
      <c r="AT52" s="9" t="str">
        <f>IFERROR(INDEX(羁绊设计!$F:$F,MATCH(羁绊设计!CR52,羁绊设计!$D:$D,0)),"")</f>
        <v/>
      </c>
      <c r="AU52" s="9" t="str">
        <f>IFERROR(INDEX(羁绊设计!$F:$F,MATCH(羁绊设计!CS52,羁绊设计!$D:$D,0)),"")</f>
        <v/>
      </c>
      <c r="AV52" s="9" t="str">
        <f>IFERROR(INDEX(羁绊设计!$F:$F,MATCH(羁绊设计!CT52,羁绊设计!$D:$D,0)),"")</f>
        <v/>
      </c>
      <c r="AW52" s="9" t="str">
        <f>IFERROR(INDEX(羁绊设计!$F:$F,MATCH(羁绊设计!CU52,羁绊设计!$D:$D,0)),"")</f>
        <v/>
      </c>
    </row>
    <row r="53" spans="2:49">
      <c r="B53" s="12" t="str">
        <f>羁绊设计!D53</f>
        <v>孙叔敖</v>
      </c>
      <c r="C53" s="7" t="str">
        <f t="shared" si="3"/>
        <v/>
      </c>
      <c r="D53" s="7" t="str">
        <f t="shared" si="3"/>
        <v/>
      </c>
      <c r="E53" s="7">
        <f t="shared" si="3"/>
        <v>2</v>
      </c>
      <c r="F53" s="7">
        <f t="shared" si="3"/>
        <v>2</v>
      </c>
      <c r="G53" s="7" t="str">
        <f t="shared" si="3"/>
        <v/>
      </c>
      <c r="I53" s="9" t="str">
        <f t="shared" si="2"/>
        <v>紫,紫,橙,橙</v>
      </c>
      <c r="K53" s="9" t="str">
        <f>IFERROR(INDEX(羁绊设计!$F:$F,MATCH(羁绊设计!BI53,羁绊设计!$D:$D,0)),"")</f>
        <v>紫</v>
      </c>
      <c r="L53" s="9" t="str">
        <f>IFERROR(INDEX(羁绊设计!$F:$F,MATCH(羁绊设计!BJ53,羁绊设计!$D:$D,0)),"")</f>
        <v>紫</v>
      </c>
      <c r="M53" s="9" t="str">
        <f>IFERROR(INDEX(羁绊设计!$F:$F,MATCH(羁绊设计!BK53,羁绊设计!$D:$D,0)),"")</f>
        <v>橙</v>
      </c>
      <c r="N53" s="9" t="str">
        <f>IFERROR(INDEX(羁绊设计!$F:$F,MATCH(羁绊设计!BL53,羁绊设计!$D:$D,0)),"")</f>
        <v/>
      </c>
      <c r="P53" s="9" t="str">
        <f>IFERROR(INDEX(羁绊设计!$F:$F,MATCH(羁绊设计!BN53,羁绊设计!$D:$D,0)),"")</f>
        <v>橙</v>
      </c>
      <c r="Q53" s="9" t="str">
        <f>IFERROR(INDEX(羁绊设计!$F:$F,MATCH(羁绊设计!BO53,羁绊设计!$D:$D,0)),"")</f>
        <v/>
      </c>
      <c r="R53" s="9" t="str">
        <f>IFERROR(INDEX(羁绊设计!$F:$F,MATCH(羁绊设计!BP53,羁绊设计!$D:$D,0)),"")</f>
        <v/>
      </c>
      <c r="S53" s="9" t="str">
        <f>IFERROR(INDEX(羁绊设计!$F:$F,MATCH(羁绊设计!BQ53,羁绊设计!$D:$D,0)),"")</f>
        <v/>
      </c>
      <c r="U53" s="9" t="str">
        <f>IFERROR(INDEX(羁绊设计!$F:$F,MATCH(羁绊设计!BS53,羁绊设计!$D:$D,0)),"")</f>
        <v/>
      </c>
      <c r="V53" s="9" t="str">
        <f>IFERROR(INDEX(羁绊设计!$F:$F,MATCH(羁绊设计!BT53,羁绊设计!$D:$D,0)),"")</f>
        <v/>
      </c>
      <c r="W53" s="9" t="str">
        <f>IFERROR(INDEX(羁绊设计!$F:$F,MATCH(羁绊设计!BU53,羁绊设计!$D:$D,0)),"")</f>
        <v/>
      </c>
      <c r="X53" s="9" t="str">
        <f>IFERROR(INDEX(羁绊设计!$F:$F,MATCH(羁绊设计!BV53,羁绊设计!$D:$D,0)),"")</f>
        <v/>
      </c>
      <c r="Z53" s="9" t="str">
        <f>IFERROR(INDEX(羁绊设计!$F:$F,MATCH(羁绊设计!BX53,羁绊设计!$D:$D,0)),"")</f>
        <v/>
      </c>
      <c r="AA53" s="9" t="str">
        <f>IFERROR(INDEX(羁绊设计!$F:$F,MATCH(羁绊设计!BY53,羁绊设计!$D:$D,0)),"")</f>
        <v/>
      </c>
      <c r="AB53" s="9" t="str">
        <f>IFERROR(INDEX(羁绊设计!$F:$F,MATCH(羁绊设计!BZ53,羁绊设计!$D:$D,0)),"")</f>
        <v/>
      </c>
      <c r="AC53" s="9" t="str">
        <f>IFERROR(INDEX(羁绊设计!$F:$F,MATCH(羁绊设计!CA53,羁绊设计!$D:$D,0)),"")</f>
        <v/>
      </c>
      <c r="AE53" s="9" t="str">
        <f>IFERROR(INDEX(羁绊设计!$F:$F,MATCH(羁绊设计!CC53,羁绊设计!$D:$D,0)),"")</f>
        <v/>
      </c>
      <c r="AF53" s="9" t="str">
        <f>IFERROR(INDEX(羁绊设计!$F:$F,MATCH(羁绊设计!CD53,羁绊设计!$D:$D,0)),"")</f>
        <v/>
      </c>
      <c r="AG53" s="9" t="str">
        <f>IFERROR(INDEX(羁绊设计!$F:$F,MATCH(羁绊设计!CE53,羁绊设计!$D:$D,0)),"")</f>
        <v/>
      </c>
      <c r="AH53" s="9" t="str">
        <f>IFERROR(INDEX(羁绊设计!$F:$F,MATCH(羁绊设计!CF53,羁绊设计!$D:$D,0)),"")</f>
        <v/>
      </c>
      <c r="AJ53" s="9" t="str">
        <f>IFERROR(INDEX(羁绊设计!$F:$F,MATCH(羁绊设计!CH53,羁绊设计!$D:$D,0)),"")</f>
        <v/>
      </c>
      <c r="AK53" s="9" t="str">
        <f>IFERROR(INDEX(羁绊设计!$F:$F,MATCH(羁绊设计!CI53,羁绊设计!$D:$D,0)),"")</f>
        <v/>
      </c>
      <c r="AL53" s="9" t="str">
        <f>IFERROR(INDEX(羁绊设计!$F:$F,MATCH(羁绊设计!CJ53,羁绊设计!$D:$D,0)),"")</f>
        <v/>
      </c>
      <c r="AM53" s="9" t="str">
        <f>IFERROR(INDEX(羁绊设计!$F:$F,MATCH(羁绊设计!CK53,羁绊设计!$D:$D,0)),"")</f>
        <v/>
      </c>
      <c r="AO53" s="9" t="str">
        <f>IFERROR(INDEX(羁绊设计!$F:$F,MATCH(羁绊设计!CM53,羁绊设计!$D:$D,0)),"")</f>
        <v/>
      </c>
      <c r="AP53" s="9" t="str">
        <f>IFERROR(INDEX(羁绊设计!$F:$F,MATCH(羁绊设计!CN53,羁绊设计!$D:$D,0)),"")</f>
        <v/>
      </c>
      <c r="AQ53" s="9" t="str">
        <f>IFERROR(INDEX(羁绊设计!$F:$F,MATCH(羁绊设计!CO53,羁绊设计!$D:$D,0)),"")</f>
        <v/>
      </c>
      <c r="AR53" s="9" t="str">
        <f>IFERROR(INDEX(羁绊设计!$F:$F,MATCH(羁绊设计!CP53,羁绊设计!$D:$D,0)),"")</f>
        <v/>
      </c>
      <c r="AT53" s="9" t="str">
        <f>IFERROR(INDEX(羁绊设计!$F:$F,MATCH(羁绊设计!CR53,羁绊设计!$D:$D,0)),"")</f>
        <v/>
      </c>
      <c r="AU53" s="9" t="str">
        <f>IFERROR(INDEX(羁绊设计!$F:$F,MATCH(羁绊设计!CS53,羁绊设计!$D:$D,0)),"")</f>
        <v/>
      </c>
      <c r="AV53" s="9" t="str">
        <f>IFERROR(INDEX(羁绊设计!$F:$F,MATCH(羁绊设计!CT53,羁绊设计!$D:$D,0)),"")</f>
        <v/>
      </c>
      <c r="AW53" s="9" t="str">
        <f>IFERROR(INDEX(羁绊设计!$F:$F,MATCH(羁绊设计!CU53,羁绊设计!$D:$D,0)),"")</f>
        <v/>
      </c>
    </row>
    <row r="54" spans="2:49">
      <c r="B54" s="12" t="str">
        <f>羁绊设计!D54</f>
        <v>平原君</v>
      </c>
      <c r="C54" s="7" t="str">
        <f t="shared" si="3"/>
        <v/>
      </c>
      <c r="D54" s="7" t="str">
        <f t="shared" si="3"/>
        <v/>
      </c>
      <c r="E54" s="7" t="str">
        <f t="shared" si="3"/>
        <v/>
      </c>
      <c r="F54" s="7" t="str">
        <f t="shared" si="3"/>
        <v/>
      </c>
      <c r="G54" s="7" t="str">
        <f t="shared" si="3"/>
        <v/>
      </c>
      <c r="I54" s="9" t="str">
        <f t="shared" si="2"/>
        <v/>
      </c>
      <c r="K54" s="9" t="str">
        <f>IFERROR(INDEX(羁绊设计!$F:$F,MATCH(羁绊设计!BI54,羁绊设计!$D:$D,0)),"")</f>
        <v/>
      </c>
      <c r="L54" s="9" t="str">
        <f>IFERROR(INDEX(羁绊设计!$F:$F,MATCH(羁绊设计!BJ54,羁绊设计!$D:$D,0)),"")</f>
        <v/>
      </c>
      <c r="M54" s="9" t="str">
        <f>IFERROR(INDEX(羁绊设计!$F:$F,MATCH(羁绊设计!BK54,羁绊设计!$D:$D,0)),"")</f>
        <v/>
      </c>
      <c r="N54" s="9" t="str">
        <f>IFERROR(INDEX(羁绊设计!$F:$F,MATCH(羁绊设计!BL54,羁绊设计!$D:$D,0)),"")</f>
        <v/>
      </c>
      <c r="P54" s="9" t="str">
        <f>IFERROR(INDEX(羁绊设计!$F:$F,MATCH(羁绊设计!BN54,羁绊设计!$D:$D,0)),"")</f>
        <v/>
      </c>
      <c r="Q54" s="9" t="str">
        <f>IFERROR(INDEX(羁绊设计!$F:$F,MATCH(羁绊设计!BO54,羁绊设计!$D:$D,0)),"")</f>
        <v/>
      </c>
      <c r="R54" s="9" t="str">
        <f>IFERROR(INDEX(羁绊设计!$F:$F,MATCH(羁绊设计!BP54,羁绊设计!$D:$D,0)),"")</f>
        <v/>
      </c>
      <c r="S54" s="9" t="str">
        <f>IFERROR(INDEX(羁绊设计!$F:$F,MATCH(羁绊设计!BQ54,羁绊设计!$D:$D,0)),"")</f>
        <v/>
      </c>
      <c r="U54" s="9" t="str">
        <f>IFERROR(INDEX(羁绊设计!$F:$F,MATCH(羁绊设计!BS54,羁绊设计!$D:$D,0)),"")</f>
        <v/>
      </c>
      <c r="V54" s="9" t="str">
        <f>IFERROR(INDEX(羁绊设计!$F:$F,MATCH(羁绊设计!BT54,羁绊设计!$D:$D,0)),"")</f>
        <v/>
      </c>
      <c r="W54" s="9" t="str">
        <f>IFERROR(INDEX(羁绊设计!$F:$F,MATCH(羁绊设计!BU54,羁绊设计!$D:$D,0)),"")</f>
        <v/>
      </c>
      <c r="X54" s="9" t="str">
        <f>IFERROR(INDEX(羁绊设计!$F:$F,MATCH(羁绊设计!BV54,羁绊设计!$D:$D,0)),"")</f>
        <v/>
      </c>
      <c r="Z54" s="9" t="str">
        <f>IFERROR(INDEX(羁绊设计!$F:$F,MATCH(羁绊设计!BX54,羁绊设计!$D:$D,0)),"")</f>
        <v/>
      </c>
      <c r="AA54" s="9" t="str">
        <f>IFERROR(INDEX(羁绊设计!$F:$F,MATCH(羁绊设计!BY54,羁绊设计!$D:$D,0)),"")</f>
        <v/>
      </c>
      <c r="AB54" s="9" t="str">
        <f>IFERROR(INDEX(羁绊设计!$F:$F,MATCH(羁绊设计!BZ54,羁绊设计!$D:$D,0)),"")</f>
        <v/>
      </c>
      <c r="AC54" s="9" t="str">
        <f>IFERROR(INDEX(羁绊设计!$F:$F,MATCH(羁绊设计!CA54,羁绊设计!$D:$D,0)),"")</f>
        <v/>
      </c>
      <c r="AE54" s="9" t="str">
        <f>IFERROR(INDEX(羁绊设计!$F:$F,MATCH(羁绊设计!CC54,羁绊设计!$D:$D,0)),"")</f>
        <v/>
      </c>
      <c r="AF54" s="9" t="str">
        <f>IFERROR(INDEX(羁绊设计!$F:$F,MATCH(羁绊设计!CD54,羁绊设计!$D:$D,0)),"")</f>
        <v/>
      </c>
      <c r="AG54" s="9" t="str">
        <f>IFERROR(INDEX(羁绊设计!$F:$F,MATCH(羁绊设计!CE54,羁绊设计!$D:$D,0)),"")</f>
        <v/>
      </c>
      <c r="AH54" s="9" t="str">
        <f>IFERROR(INDEX(羁绊设计!$F:$F,MATCH(羁绊设计!CF54,羁绊设计!$D:$D,0)),"")</f>
        <v/>
      </c>
      <c r="AJ54" s="9" t="str">
        <f>IFERROR(INDEX(羁绊设计!$F:$F,MATCH(羁绊设计!CH54,羁绊设计!$D:$D,0)),"")</f>
        <v/>
      </c>
      <c r="AK54" s="9" t="str">
        <f>IFERROR(INDEX(羁绊设计!$F:$F,MATCH(羁绊设计!CI54,羁绊设计!$D:$D,0)),"")</f>
        <v/>
      </c>
      <c r="AL54" s="9" t="str">
        <f>IFERROR(INDEX(羁绊设计!$F:$F,MATCH(羁绊设计!CJ54,羁绊设计!$D:$D,0)),"")</f>
        <v/>
      </c>
      <c r="AM54" s="9" t="str">
        <f>IFERROR(INDEX(羁绊设计!$F:$F,MATCH(羁绊设计!CK54,羁绊设计!$D:$D,0)),"")</f>
        <v/>
      </c>
      <c r="AO54" s="9" t="str">
        <f>IFERROR(INDEX(羁绊设计!$F:$F,MATCH(羁绊设计!CM54,羁绊设计!$D:$D,0)),"")</f>
        <v/>
      </c>
      <c r="AP54" s="9" t="str">
        <f>IFERROR(INDEX(羁绊设计!$F:$F,MATCH(羁绊设计!CN54,羁绊设计!$D:$D,0)),"")</f>
        <v/>
      </c>
      <c r="AQ54" s="9" t="str">
        <f>IFERROR(INDEX(羁绊设计!$F:$F,MATCH(羁绊设计!CO54,羁绊设计!$D:$D,0)),"")</f>
        <v/>
      </c>
      <c r="AR54" s="9" t="str">
        <f>IFERROR(INDEX(羁绊设计!$F:$F,MATCH(羁绊设计!CP54,羁绊设计!$D:$D,0)),"")</f>
        <v/>
      </c>
      <c r="AT54" s="9" t="str">
        <f>IFERROR(INDEX(羁绊设计!$F:$F,MATCH(羁绊设计!CR54,羁绊设计!$D:$D,0)),"")</f>
        <v/>
      </c>
      <c r="AU54" s="9" t="str">
        <f>IFERROR(INDEX(羁绊设计!$F:$F,MATCH(羁绊设计!CS54,羁绊设计!$D:$D,0)),"")</f>
        <v/>
      </c>
      <c r="AV54" s="9" t="str">
        <f>IFERROR(INDEX(羁绊设计!$F:$F,MATCH(羁绊设计!CT54,羁绊设计!$D:$D,0)),"")</f>
        <v/>
      </c>
      <c r="AW54" s="9" t="str">
        <f>IFERROR(INDEX(羁绊设计!$F:$F,MATCH(羁绊设计!CU54,羁绊设计!$D:$D,0)),"")</f>
        <v/>
      </c>
    </row>
    <row r="55" spans="2:49">
      <c r="B55" s="12" t="str">
        <f>羁绊设计!D55</f>
        <v>蔺相如</v>
      </c>
      <c r="C55" s="7" t="str">
        <f t="shared" si="3"/>
        <v/>
      </c>
      <c r="D55" s="7" t="str">
        <f t="shared" si="3"/>
        <v/>
      </c>
      <c r="E55" s="7" t="str">
        <f t="shared" si="3"/>
        <v/>
      </c>
      <c r="F55" s="7">
        <f t="shared" si="3"/>
        <v>10</v>
      </c>
      <c r="G55" s="7" t="str">
        <f t="shared" si="3"/>
        <v/>
      </c>
      <c r="I55" s="9" t="str">
        <f t="shared" si="2"/>
        <v>橙+,橙,橙,橙,橙,橙,橙,橙,橙,橙,橙</v>
      </c>
      <c r="K55" s="9" t="str">
        <f>IFERROR(INDEX(羁绊设计!$F:$F,MATCH(羁绊设计!BI55,羁绊设计!$D:$D,0)),"")</f>
        <v>橙+</v>
      </c>
      <c r="L55" s="9" t="str">
        <f>IFERROR(INDEX(羁绊设计!$F:$F,MATCH(羁绊设计!BJ55,羁绊设计!$D:$D,0)),"")</f>
        <v>橙</v>
      </c>
      <c r="M55" s="9" t="str">
        <f>IFERROR(INDEX(羁绊设计!$F:$F,MATCH(羁绊设计!BK55,羁绊设计!$D:$D,0)),"")</f>
        <v>橙</v>
      </c>
      <c r="N55" s="9" t="str">
        <f>IFERROR(INDEX(羁绊设计!$F:$F,MATCH(羁绊设计!BL55,羁绊设计!$D:$D,0)),"")</f>
        <v>橙</v>
      </c>
      <c r="P55" s="9" t="str">
        <f>IFERROR(INDEX(羁绊设计!$F:$F,MATCH(羁绊设计!BN55,羁绊设计!$D:$D,0)),"")</f>
        <v/>
      </c>
      <c r="Q55" s="9" t="str">
        <f>IFERROR(INDEX(羁绊设计!$F:$F,MATCH(羁绊设计!BO55,羁绊设计!$D:$D,0)),"")</f>
        <v>橙</v>
      </c>
      <c r="R55" s="9" t="str">
        <f>IFERROR(INDEX(羁绊设计!$F:$F,MATCH(羁绊设计!BP55,羁绊设计!$D:$D,0)),"")</f>
        <v>橙</v>
      </c>
      <c r="S55" s="9" t="str">
        <f>IFERROR(INDEX(羁绊设计!$F:$F,MATCH(羁绊设计!BQ55,羁绊设计!$D:$D,0)),"")</f>
        <v>橙</v>
      </c>
      <c r="U55" s="9" t="str">
        <f>IFERROR(INDEX(羁绊设计!$F:$F,MATCH(羁绊设计!BS55,羁绊设计!$D:$D,0)),"")</f>
        <v/>
      </c>
      <c r="V55" s="9" t="str">
        <f>IFERROR(INDEX(羁绊设计!$F:$F,MATCH(羁绊设计!BT55,羁绊设计!$D:$D,0)),"")</f>
        <v>橙</v>
      </c>
      <c r="W55" s="9" t="str">
        <f>IFERROR(INDEX(羁绊设计!$F:$F,MATCH(羁绊设计!BU55,羁绊设计!$D:$D,0)),"")</f>
        <v>橙</v>
      </c>
      <c r="X55" s="9" t="str">
        <f>IFERROR(INDEX(羁绊设计!$F:$F,MATCH(羁绊设计!BV55,羁绊设计!$D:$D,0)),"")</f>
        <v>橙</v>
      </c>
      <c r="Z55" s="9" t="str">
        <f>IFERROR(INDEX(羁绊设计!$F:$F,MATCH(羁绊设计!BX55,羁绊设计!$D:$D,0)),"")</f>
        <v>橙</v>
      </c>
      <c r="AA55" s="9" t="str">
        <f>IFERROR(INDEX(羁绊设计!$F:$F,MATCH(羁绊设计!BY55,羁绊设计!$D:$D,0)),"")</f>
        <v/>
      </c>
      <c r="AB55" s="9" t="str">
        <f>IFERROR(INDEX(羁绊设计!$F:$F,MATCH(羁绊设计!BZ55,羁绊设计!$D:$D,0)),"")</f>
        <v/>
      </c>
      <c r="AC55" s="9" t="str">
        <f>IFERROR(INDEX(羁绊设计!$F:$F,MATCH(羁绊设计!CA55,羁绊设计!$D:$D,0)),"")</f>
        <v/>
      </c>
      <c r="AE55" s="9" t="str">
        <f>IFERROR(INDEX(羁绊设计!$F:$F,MATCH(羁绊设计!CC55,羁绊设计!$D:$D,0)),"")</f>
        <v/>
      </c>
      <c r="AF55" s="9" t="str">
        <f>IFERROR(INDEX(羁绊设计!$F:$F,MATCH(羁绊设计!CD55,羁绊设计!$D:$D,0)),"")</f>
        <v/>
      </c>
      <c r="AG55" s="9" t="str">
        <f>IFERROR(INDEX(羁绊设计!$F:$F,MATCH(羁绊设计!CE55,羁绊设计!$D:$D,0)),"")</f>
        <v/>
      </c>
      <c r="AH55" s="9" t="str">
        <f>IFERROR(INDEX(羁绊设计!$F:$F,MATCH(羁绊设计!CF55,羁绊设计!$D:$D,0)),"")</f>
        <v/>
      </c>
      <c r="AJ55" s="9" t="str">
        <f>IFERROR(INDEX(羁绊设计!$F:$F,MATCH(羁绊设计!CH55,羁绊设计!$D:$D,0)),"")</f>
        <v/>
      </c>
      <c r="AK55" s="9" t="str">
        <f>IFERROR(INDEX(羁绊设计!$F:$F,MATCH(羁绊设计!CI55,羁绊设计!$D:$D,0)),"")</f>
        <v/>
      </c>
      <c r="AL55" s="9" t="str">
        <f>IFERROR(INDEX(羁绊设计!$F:$F,MATCH(羁绊设计!CJ55,羁绊设计!$D:$D,0)),"")</f>
        <v/>
      </c>
      <c r="AM55" s="9" t="str">
        <f>IFERROR(INDEX(羁绊设计!$F:$F,MATCH(羁绊设计!CK55,羁绊设计!$D:$D,0)),"")</f>
        <v/>
      </c>
      <c r="AO55" s="9" t="str">
        <f>IFERROR(INDEX(羁绊设计!$F:$F,MATCH(羁绊设计!CM55,羁绊设计!$D:$D,0)),"")</f>
        <v/>
      </c>
      <c r="AP55" s="9" t="str">
        <f>IFERROR(INDEX(羁绊设计!$F:$F,MATCH(羁绊设计!CN55,羁绊设计!$D:$D,0)),"")</f>
        <v/>
      </c>
      <c r="AQ55" s="9" t="str">
        <f>IFERROR(INDEX(羁绊设计!$F:$F,MATCH(羁绊设计!CO55,羁绊设计!$D:$D,0)),"")</f>
        <v/>
      </c>
      <c r="AR55" s="9" t="str">
        <f>IFERROR(INDEX(羁绊设计!$F:$F,MATCH(羁绊设计!CP55,羁绊设计!$D:$D,0)),"")</f>
        <v/>
      </c>
      <c r="AT55" s="9" t="str">
        <f>IFERROR(INDEX(羁绊设计!$F:$F,MATCH(羁绊设计!CR55,羁绊设计!$D:$D,0)),"")</f>
        <v/>
      </c>
      <c r="AU55" s="9" t="str">
        <f>IFERROR(INDEX(羁绊设计!$F:$F,MATCH(羁绊设计!CS55,羁绊设计!$D:$D,0)),"")</f>
        <v/>
      </c>
      <c r="AV55" s="9" t="str">
        <f>IFERROR(INDEX(羁绊设计!$F:$F,MATCH(羁绊设计!CT55,羁绊设计!$D:$D,0)),"")</f>
        <v/>
      </c>
      <c r="AW55" s="9" t="str">
        <f>IFERROR(INDEX(羁绊设计!$F:$F,MATCH(羁绊设计!CU55,羁绊设计!$D:$D,0)),"")</f>
        <v/>
      </c>
    </row>
    <row r="56" spans="2:49">
      <c r="B56" s="12" t="str">
        <f>羁绊设计!D56</f>
        <v>赵奢</v>
      </c>
      <c r="C56" s="7" t="str">
        <f t="shared" si="3"/>
        <v/>
      </c>
      <c r="D56" s="7" t="str">
        <f t="shared" si="3"/>
        <v/>
      </c>
      <c r="E56" s="7" t="str">
        <f t="shared" si="3"/>
        <v/>
      </c>
      <c r="F56" s="7">
        <f t="shared" si="3"/>
        <v>5</v>
      </c>
      <c r="G56" s="7" t="str">
        <f t="shared" si="3"/>
        <v/>
      </c>
      <c r="I56" s="9" t="str">
        <f t="shared" si="2"/>
        <v>橙,橙,橙,橙,橙</v>
      </c>
      <c r="K56" s="9" t="str">
        <f>IFERROR(INDEX(羁绊设计!$F:$F,MATCH(羁绊设计!BI56,羁绊设计!$D:$D,0)),"")</f>
        <v>橙</v>
      </c>
      <c r="L56" s="9" t="str">
        <f>IFERROR(INDEX(羁绊设计!$F:$F,MATCH(羁绊设计!BJ56,羁绊设计!$D:$D,0)),"")</f>
        <v>橙</v>
      </c>
      <c r="M56" s="9" t="str">
        <f>IFERROR(INDEX(羁绊设计!$F:$F,MATCH(羁绊设计!BK56,羁绊设计!$D:$D,0)),"")</f>
        <v/>
      </c>
      <c r="N56" s="9" t="str">
        <f>IFERROR(INDEX(羁绊设计!$F:$F,MATCH(羁绊设计!BL56,羁绊设计!$D:$D,0)),"")</f>
        <v/>
      </c>
      <c r="P56" s="9" t="str">
        <f>IFERROR(INDEX(羁绊设计!$F:$F,MATCH(羁绊设计!BN56,羁绊设计!$D:$D,0)),"")</f>
        <v/>
      </c>
      <c r="Q56" s="9" t="str">
        <f>IFERROR(INDEX(羁绊设计!$F:$F,MATCH(羁绊设计!BO56,羁绊设计!$D:$D,0)),"")</f>
        <v>橙</v>
      </c>
      <c r="R56" s="9" t="str">
        <f>IFERROR(INDEX(羁绊设计!$F:$F,MATCH(羁绊设计!BP56,羁绊设计!$D:$D,0)),"")</f>
        <v/>
      </c>
      <c r="S56" s="9" t="str">
        <f>IFERROR(INDEX(羁绊设计!$F:$F,MATCH(羁绊设计!BQ56,羁绊设计!$D:$D,0)),"")</f>
        <v/>
      </c>
      <c r="U56" s="9" t="str">
        <f>IFERROR(INDEX(羁绊设计!$F:$F,MATCH(羁绊设计!BS56,羁绊设计!$D:$D,0)),"")</f>
        <v/>
      </c>
      <c r="V56" s="9" t="str">
        <f>IFERROR(INDEX(羁绊设计!$F:$F,MATCH(羁绊设计!BT56,羁绊设计!$D:$D,0)),"")</f>
        <v>橙</v>
      </c>
      <c r="W56" s="9" t="str">
        <f>IFERROR(INDEX(羁绊设计!$F:$F,MATCH(羁绊设计!BU56,羁绊设计!$D:$D,0)),"")</f>
        <v>橙</v>
      </c>
      <c r="X56" s="9" t="str">
        <f>IFERROR(INDEX(羁绊设计!$F:$F,MATCH(羁绊设计!BV56,羁绊设计!$D:$D,0)),"")</f>
        <v/>
      </c>
      <c r="Z56" s="9" t="str">
        <f>IFERROR(INDEX(羁绊设计!$F:$F,MATCH(羁绊设计!BX56,羁绊设计!$D:$D,0)),"")</f>
        <v/>
      </c>
      <c r="AA56" s="9" t="str">
        <f>IFERROR(INDEX(羁绊设计!$F:$F,MATCH(羁绊设计!BY56,羁绊设计!$D:$D,0)),"")</f>
        <v/>
      </c>
      <c r="AB56" s="9" t="str">
        <f>IFERROR(INDEX(羁绊设计!$F:$F,MATCH(羁绊设计!BZ56,羁绊设计!$D:$D,0)),"")</f>
        <v/>
      </c>
      <c r="AC56" s="9" t="str">
        <f>IFERROR(INDEX(羁绊设计!$F:$F,MATCH(羁绊设计!CA56,羁绊设计!$D:$D,0)),"")</f>
        <v/>
      </c>
      <c r="AE56" s="9" t="str">
        <f>IFERROR(INDEX(羁绊设计!$F:$F,MATCH(羁绊设计!CC56,羁绊设计!$D:$D,0)),"")</f>
        <v/>
      </c>
      <c r="AF56" s="9" t="str">
        <f>IFERROR(INDEX(羁绊设计!$F:$F,MATCH(羁绊设计!CD56,羁绊设计!$D:$D,0)),"")</f>
        <v/>
      </c>
      <c r="AG56" s="9" t="str">
        <f>IFERROR(INDEX(羁绊设计!$F:$F,MATCH(羁绊设计!CE56,羁绊设计!$D:$D,0)),"")</f>
        <v/>
      </c>
      <c r="AH56" s="9" t="str">
        <f>IFERROR(INDEX(羁绊设计!$F:$F,MATCH(羁绊设计!CF56,羁绊设计!$D:$D,0)),"")</f>
        <v/>
      </c>
      <c r="AJ56" s="9" t="str">
        <f>IFERROR(INDEX(羁绊设计!$F:$F,MATCH(羁绊设计!CH56,羁绊设计!$D:$D,0)),"")</f>
        <v/>
      </c>
      <c r="AK56" s="9" t="str">
        <f>IFERROR(INDEX(羁绊设计!$F:$F,MATCH(羁绊设计!CI56,羁绊设计!$D:$D,0)),"")</f>
        <v/>
      </c>
      <c r="AL56" s="9" t="str">
        <f>IFERROR(INDEX(羁绊设计!$F:$F,MATCH(羁绊设计!CJ56,羁绊设计!$D:$D,0)),"")</f>
        <v/>
      </c>
      <c r="AM56" s="9" t="str">
        <f>IFERROR(INDEX(羁绊设计!$F:$F,MATCH(羁绊设计!CK56,羁绊设计!$D:$D,0)),"")</f>
        <v/>
      </c>
      <c r="AO56" s="9" t="str">
        <f>IFERROR(INDEX(羁绊设计!$F:$F,MATCH(羁绊设计!CM56,羁绊设计!$D:$D,0)),"")</f>
        <v/>
      </c>
      <c r="AP56" s="9" t="str">
        <f>IFERROR(INDEX(羁绊设计!$F:$F,MATCH(羁绊设计!CN56,羁绊设计!$D:$D,0)),"")</f>
        <v/>
      </c>
      <c r="AQ56" s="9" t="str">
        <f>IFERROR(INDEX(羁绊设计!$F:$F,MATCH(羁绊设计!CO56,羁绊设计!$D:$D,0)),"")</f>
        <v/>
      </c>
      <c r="AR56" s="9" t="str">
        <f>IFERROR(INDEX(羁绊设计!$F:$F,MATCH(羁绊设计!CP56,羁绊设计!$D:$D,0)),"")</f>
        <v/>
      </c>
      <c r="AT56" s="9" t="str">
        <f>IFERROR(INDEX(羁绊设计!$F:$F,MATCH(羁绊设计!CR56,羁绊设计!$D:$D,0)),"")</f>
        <v/>
      </c>
      <c r="AU56" s="9" t="str">
        <f>IFERROR(INDEX(羁绊设计!$F:$F,MATCH(羁绊设计!CS56,羁绊设计!$D:$D,0)),"")</f>
        <v/>
      </c>
      <c r="AV56" s="9" t="str">
        <f>IFERROR(INDEX(羁绊设计!$F:$F,MATCH(羁绊设计!CT56,羁绊设计!$D:$D,0)),"")</f>
        <v/>
      </c>
      <c r="AW56" s="9" t="str">
        <f>IFERROR(INDEX(羁绊设计!$F:$F,MATCH(羁绊设计!CU56,羁绊设计!$D:$D,0)),"")</f>
        <v/>
      </c>
    </row>
    <row r="57" spans="2:49">
      <c r="B57" s="12" t="str">
        <f>羁绊设计!D57</f>
        <v>庞涓</v>
      </c>
      <c r="C57" s="7" t="str">
        <f t="shared" si="3"/>
        <v/>
      </c>
      <c r="D57" s="7" t="str">
        <f t="shared" si="3"/>
        <v/>
      </c>
      <c r="E57" s="7">
        <f t="shared" si="3"/>
        <v>2</v>
      </c>
      <c r="F57" s="7">
        <f t="shared" si="3"/>
        <v>2</v>
      </c>
      <c r="G57" s="7" t="str">
        <f t="shared" si="3"/>
        <v/>
      </c>
      <c r="I57" s="9" t="str">
        <f t="shared" si="2"/>
        <v>橙,紫,紫,橙,橙+</v>
      </c>
      <c r="K57" s="9" t="str">
        <f>IFERROR(INDEX(羁绊设计!$F:$F,MATCH(羁绊设计!BI57,羁绊设计!$D:$D,0)),"")</f>
        <v>橙</v>
      </c>
      <c r="L57" s="9" t="str">
        <f>IFERROR(INDEX(羁绊设计!$F:$F,MATCH(羁绊设计!BJ57,羁绊设计!$D:$D,0)),"")</f>
        <v>紫</v>
      </c>
      <c r="M57" s="9" t="str">
        <f>IFERROR(INDEX(羁绊设计!$F:$F,MATCH(羁绊设计!BK57,羁绊设计!$D:$D,0)),"")</f>
        <v/>
      </c>
      <c r="N57" s="9" t="str">
        <f>IFERROR(INDEX(羁绊设计!$F:$F,MATCH(羁绊设计!BL57,羁绊设计!$D:$D,0)),"")</f>
        <v/>
      </c>
      <c r="P57" s="9" t="str">
        <f>IFERROR(INDEX(羁绊设计!$F:$F,MATCH(羁绊设计!BN57,羁绊设计!$D:$D,0)),"")</f>
        <v>紫</v>
      </c>
      <c r="Q57" s="9" t="str">
        <f>IFERROR(INDEX(羁绊设计!$F:$F,MATCH(羁绊设计!BO57,羁绊设计!$D:$D,0)),"")</f>
        <v/>
      </c>
      <c r="R57" s="9" t="str">
        <f>IFERROR(INDEX(羁绊设计!$F:$F,MATCH(羁绊设计!BP57,羁绊设计!$D:$D,0)),"")</f>
        <v>橙</v>
      </c>
      <c r="S57" s="9" t="str">
        <f>IFERROR(INDEX(羁绊设计!$F:$F,MATCH(羁绊设计!BQ57,羁绊设计!$D:$D,0)),"")</f>
        <v/>
      </c>
      <c r="U57" s="9" t="str">
        <f>IFERROR(INDEX(羁绊设计!$F:$F,MATCH(羁绊设计!BS57,羁绊设计!$D:$D,0)),"")</f>
        <v>橙+</v>
      </c>
      <c r="V57" s="9" t="str">
        <f>IFERROR(INDEX(羁绊设计!$F:$F,MATCH(羁绊设计!BT57,羁绊设计!$D:$D,0)),"")</f>
        <v/>
      </c>
      <c r="W57" s="9" t="str">
        <f>IFERROR(INDEX(羁绊设计!$F:$F,MATCH(羁绊设计!BU57,羁绊设计!$D:$D,0)),"")</f>
        <v/>
      </c>
      <c r="X57" s="9" t="str">
        <f>IFERROR(INDEX(羁绊设计!$F:$F,MATCH(羁绊设计!BV57,羁绊设计!$D:$D,0)),"")</f>
        <v/>
      </c>
      <c r="Z57" s="9" t="str">
        <f>IFERROR(INDEX(羁绊设计!$F:$F,MATCH(羁绊设计!BX57,羁绊设计!$D:$D,0)),"")</f>
        <v/>
      </c>
      <c r="AA57" s="9" t="str">
        <f>IFERROR(INDEX(羁绊设计!$F:$F,MATCH(羁绊设计!BY57,羁绊设计!$D:$D,0)),"")</f>
        <v/>
      </c>
      <c r="AB57" s="9" t="str">
        <f>IFERROR(INDEX(羁绊设计!$F:$F,MATCH(羁绊设计!BZ57,羁绊设计!$D:$D,0)),"")</f>
        <v/>
      </c>
      <c r="AC57" s="9" t="str">
        <f>IFERROR(INDEX(羁绊设计!$F:$F,MATCH(羁绊设计!CA57,羁绊设计!$D:$D,0)),"")</f>
        <v/>
      </c>
      <c r="AE57" s="9" t="str">
        <f>IFERROR(INDEX(羁绊设计!$F:$F,MATCH(羁绊设计!CC57,羁绊设计!$D:$D,0)),"")</f>
        <v/>
      </c>
      <c r="AF57" s="9" t="str">
        <f>IFERROR(INDEX(羁绊设计!$F:$F,MATCH(羁绊设计!CD57,羁绊设计!$D:$D,0)),"")</f>
        <v/>
      </c>
      <c r="AG57" s="9" t="str">
        <f>IFERROR(INDEX(羁绊设计!$F:$F,MATCH(羁绊设计!CE57,羁绊设计!$D:$D,0)),"")</f>
        <v/>
      </c>
      <c r="AH57" s="9" t="str">
        <f>IFERROR(INDEX(羁绊设计!$F:$F,MATCH(羁绊设计!CF57,羁绊设计!$D:$D,0)),"")</f>
        <v/>
      </c>
      <c r="AJ57" s="9" t="str">
        <f>IFERROR(INDEX(羁绊设计!$F:$F,MATCH(羁绊设计!CH57,羁绊设计!$D:$D,0)),"")</f>
        <v/>
      </c>
      <c r="AK57" s="9" t="str">
        <f>IFERROR(INDEX(羁绊设计!$F:$F,MATCH(羁绊设计!CI57,羁绊设计!$D:$D,0)),"")</f>
        <v/>
      </c>
      <c r="AL57" s="9" t="str">
        <f>IFERROR(INDEX(羁绊设计!$F:$F,MATCH(羁绊设计!CJ57,羁绊设计!$D:$D,0)),"")</f>
        <v/>
      </c>
      <c r="AM57" s="9" t="str">
        <f>IFERROR(INDEX(羁绊设计!$F:$F,MATCH(羁绊设计!CK57,羁绊设计!$D:$D,0)),"")</f>
        <v/>
      </c>
      <c r="AO57" s="9" t="str">
        <f>IFERROR(INDEX(羁绊设计!$F:$F,MATCH(羁绊设计!CM57,羁绊设计!$D:$D,0)),"")</f>
        <v/>
      </c>
      <c r="AP57" s="9" t="str">
        <f>IFERROR(INDEX(羁绊设计!$F:$F,MATCH(羁绊设计!CN57,羁绊设计!$D:$D,0)),"")</f>
        <v/>
      </c>
      <c r="AQ57" s="9" t="str">
        <f>IFERROR(INDEX(羁绊设计!$F:$F,MATCH(羁绊设计!CO57,羁绊设计!$D:$D,0)),"")</f>
        <v/>
      </c>
      <c r="AR57" s="9" t="str">
        <f>IFERROR(INDEX(羁绊设计!$F:$F,MATCH(羁绊设计!CP57,羁绊设计!$D:$D,0)),"")</f>
        <v/>
      </c>
      <c r="AT57" s="9" t="str">
        <f>IFERROR(INDEX(羁绊设计!$F:$F,MATCH(羁绊设计!CR57,羁绊设计!$D:$D,0)),"")</f>
        <v/>
      </c>
      <c r="AU57" s="9" t="str">
        <f>IFERROR(INDEX(羁绊设计!$F:$F,MATCH(羁绊设计!CS57,羁绊设计!$D:$D,0)),"")</f>
        <v/>
      </c>
      <c r="AV57" s="9" t="str">
        <f>IFERROR(INDEX(羁绊设计!$F:$F,MATCH(羁绊设计!CT57,羁绊设计!$D:$D,0)),"")</f>
        <v/>
      </c>
      <c r="AW57" s="9" t="str">
        <f>IFERROR(INDEX(羁绊设计!$F:$F,MATCH(羁绊设计!CU57,羁绊设计!$D:$D,0)),"")</f>
        <v/>
      </c>
    </row>
    <row r="58" spans="2:49">
      <c r="B58" s="12" t="str">
        <f>羁绊设计!D58</f>
        <v>朱亥</v>
      </c>
      <c r="C58" s="7" t="str">
        <f t="shared" si="3"/>
        <v/>
      </c>
      <c r="D58" s="7">
        <f t="shared" si="3"/>
        <v>1</v>
      </c>
      <c r="E58" s="7">
        <f t="shared" si="3"/>
        <v>1</v>
      </c>
      <c r="F58" s="7">
        <f t="shared" si="3"/>
        <v>2</v>
      </c>
      <c r="G58" s="7" t="str">
        <f t="shared" si="3"/>
        <v/>
      </c>
      <c r="I58" s="9" t="str">
        <f t="shared" si="2"/>
        <v>蓝,紫,橙,橙</v>
      </c>
      <c r="K58" s="9" t="str">
        <f>IFERROR(INDEX(羁绊设计!$F:$F,MATCH(羁绊设计!BI58,羁绊设计!$D:$D,0)),"")</f>
        <v>蓝</v>
      </c>
      <c r="L58" s="9" t="str">
        <f>IFERROR(INDEX(羁绊设计!$F:$F,MATCH(羁绊设计!BJ58,羁绊设计!$D:$D,0)),"")</f>
        <v>紫</v>
      </c>
      <c r="M58" s="9" t="str">
        <f>IFERROR(INDEX(羁绊设计!$F:$F,MATCH(羁绊设计!BK58,羁绊设计!$D:$D,0)),"")</f>
        <v>橙</v>
      </c>
      <c r="N58" s="9" t="str">
        <f>IFERROR(INDEX(羁绊设计!$F:$F,MATCH(羁绊设计!BL58,羁绊设计!$D:$D,0)),"")</f>
        <v>橙</v>
      </c>
      <c r="P58" s="9" t="str">
        <f>IFERROR(INDEX(羁绊设计!$F:$F,MATCH(羁绊设计!BN58,羁绊设计!$D:$D,0)),"")</f>
        <v/>
      </c>
      <c r="Q58" s="9" t="str">
        <f>IFERROR(INDEX(羁绊设计!$F:$F,MATCH(羁绊设计!BO58,羁绊设计!$D:$D,0)),"")</f>
        <v/>
      </c>
      <c r="R58" s="9" t="str">
        <f>IFERROR(INDEX(羁绊设计!$F:$F,MATCH(羁绊设计!BP58,羁绊设计!$D:$D,0)),"")</f>
        <v/>
      </c>
      <c r="S58" s="9" t="str">
        <f>IFERROR(INDEX(羁绊设计!$F:$F,MATCH(羁绊设计!BQ58,羁绊设计!$D:$D,0)),"")</f>
        <v/>
      </c>
      <c r="U58" s="9" t="str">
        <f>IFERROR(INDEX(羁绊设计!$F:$F,MATCH(羁绊设计!BS58,羁绊设计!$D:$D,0)),"")</f>
        <v/>
      </c>
      <c r="V58" s="9" t="str">
        <f>IFERROR(INDEX(羁绊设计!$F:$F,MATCH(羁绊设计!BT58,羁绊设计!$D:$D,0)),"")</f>
        <v/>
      </c>
      <c r="W58" s="9" t="str">
        <f>IFERROR(INDEX(羁绊设计!$F:$F,MATCH(羁绊设计!BU58,羁绊设计!$D:$D,0)),"")</f>
        <v/>
      </c>
      <c r="X58" s="9" t="str">
        <f>IFERROR(INDEX(羁绊设计!$F:$F,MATCH(羁绊设计!BV58,羁绊设计!$D:$D,0)),"")</f>
        <v/>
      </c>
      <c r="Z58" s="9" t="str">
        <f>IFERROR(INDEX(羁绊设计!$F:$F,MATCH(羁绊设计!BX58,羁绊设计!$D:$D,0)),"")</f>
        <v/>
      </c>
      <c r="AA58" s="9" t="str">
        <f>IFERROR(INDEX(羁绊设计!$F:$F,MATCH(羁绊设计!BY58,羁绊设计!$D:$D,0)),"")</f>
        <v/>
      </c>
      <c r="AB58" s="9" t="str">
        <f>IFERROR(INDEX(羁绊设计!$F:$F,MATCH(羁绊设计!BZ58,羁绊设计!$D:$D,0)),"")</f>
        <v/>
      </c>
      <c r="AC58" s="9" t="str">
        <f>IFERROR(INDEX(羁绊设计!$F:$F,MATCH(羁绊设计!CA58,羁绊设计!$D:$D,0)),"")</f>
        <v/>
      </c>
      <c r="AE58" s="9" t="str">
        <f>IFERROR(INDEX(羁绊设计!$F:$F,MATCH(羁绊设计!CC58,羁绊设计!$D:$D,0)),"")</f>
        <v/>
      </c>
      <c r="AF58" s="9" t="str">
        <f>IFERROR(INDEX(羁绊设计!$F:$F,MATCH(羁绊设计!CD58,羁绊设计!$D:$D,0)),"")</f>
        <v/>
      </c>
      <c r="AG58" s="9" t="str">
        <f>IFERROR(INDEX(羁绊设计!$F:$F,MATCH(羁绊设计!CE58,羁绊设计!$D:$D,0)),"")</f>
        <v/>
      </c>
      <c r="AH58" s="9" t="str">
        <f>IFERROR(INDEX(羁绊设计!$F:$F,MATCH(羁绊设计!CF58,羁绊设计!$D:$D,0)),"")</f>
        <v/>
      </c>
      <c r="AJ58" s="9" t="str">
        <f>IFERROR(INDEX(羁绊设计!$F:$F,MATCH(羁绊设计!CH58,羁绊设计!$D:$D,0)),"")</f>
        <v/>
      </c>
      <c r="AK58" s="9" t="str">
        <f>IFERROR(INDEX(羁绊设计!$F:$F,MATCH(羁绊设计!CI58,羁绊设计!$D:$D,0)),"")</f>
        <v/>
      </c>
      <c r="AL58" s="9" t="str">
        <f>IFERROR(INDEX(羁绊设计!$F:$F,MATCH(羁绊设计!CJ58,羁绊设计!$D:$D,0)),"")</f>
        <v/>
      </c>
      <c r="AM58" s="9" t="str">
        <f>IFERROR(INDEX(羁绊设计!$F:$F,MATCH(羁绊设计!CK58,羁绊设计!$D:$D,0)),"")</f>
        <v/>
      </c>
      <c r="AO58" s="9" t="str">
        <f>IFERROR(INDEX(羁绊设计!$F:$F,MATCH(羁绊设计!CM58,羁绊设计!$D:$D,0)),"")</f>
        <v/>
      </c>
      <c r="AP58" s="9" t="str">
        <f>IFERROR(INDEX(羁绊设计!$F:$F,MATCH(羁绊设计!CN58,羁绊设计!$D:$D,0)),"")</f>
        <v/>
      </c>
      <c r="AQ58" s="9" t="str">
        <f>IFERROR(INDEX(羁绊设计!$F:$F,MATCH(羁绊设计!CO58,羁绊设计!$D:$D,0)),"")</f>
        <v/>
      </c>
      <c r="AR58" s="9" t="str">
        <f>IFERROR(INDEX(羁绊设计!$F:$F,MATCH(羁绊设计!CP58,羁绊设计!$D:$D,0)),"")</f>
        <v/>
      </c>
      <c r="AT58" s="9" t="str">
        <f>IFERROR(INDEX(羁绊设计!$F:$F,MATCH(羁绊设计!CR58,羁绊设计!$D:$D,0)),"")</f>
        <v/>
      </c>
      <c r="AU58" s="9" t="str">
        <f>IFERROR(INDEX(羁绊设计!$F:$F,MATCH(羁绊设计!CS58,羁绊设计!$D:$D,0)),"")</f>
        <v/>
      </c>
      <c r="AV58" s="9" t="str">
        <f>IFERROR(INDEX(羁绊设计!$F:$F,MATCH(羁绊设计!CT58,羁绊设计!$D:$D,0)),"")</f>
        <v/>
      </c>
      <c r="AW58" s="9" t="str">
        <f>IFERROR(INDEX(羁绊设计!$F:$F,MATCH(羁绊设计!CU58,羁绊设计!$D:$D,0)),"")</f>
        <v/>
      </c>
    </row>
    <row r="59" spans="2:49">
      <c r="B59" s="12" t="str">
        <f>羁绊设计!D59</f>
        <v>西门豹</v>
      </c>
      <c r="C59" s="7" t="str">
        <f t="shared" si="3"/>
        <v/>
      </c>
      <c r="D59" s="7" t="str">
        <f t="shared" si="3"/>
        <v/>
      </c>
      <c r="E59" s="7">
        <f t="shared" si="3"/>
        <v>2</v>
      </c>
      <c r="F59" s="7">
        <f t="shared" si="3"/>
        <v>2</v>
      </c>
      <c r="G59" s="7" t="str">
        <f t="shared" si="3"/>
        <v/>
      </c>
      <c r="I59" s="9" t="str">
        <f t="shared" si="2"/>
        <v>紫,紫,橙,橙</v>
      </c>
      <c r="K59" s="9" t="str">
        <f>IFERROR(INDEX(羁绊设计!$F:$F,MATCH(羁绊设计!BI59,羁绊设计!$D:$D,0)),"")</f>
        <v>紫</v>
      </c>
      <c r="L59" s="9" t="str">
        <f>IFERROR(INDEX(羁绊设计!$F:$F,MATCH(羁绊设计!BJ59,羁绊设计!$D:$D,0)),"")</f>
        <v>紫</v>
      </c>
      <c r="M59" s="9" t="str">
        <f>IFERROR(INDEX(羁绊设计!$F:$F,MATCH(羁绊设计!BK59,羁绊设计!$D:$D,0)),"")</f>
        <v>橙</v>
      </c>
      <c r="N59" s="9" t="str">
        <f>IFERROR(INDEX(羁绊设计!$F:$F,MATCH(羁绊设计!BL59,羁绊设计!$D:$D,0)),"")</f>
        <v/>
      </c>
      <c r="P59" s="9" t="str">
        <f>IFERROR(INDEX(羁绊设计!$F:$F,MATCH(羁绊设计!BN59,羁绊设计!$D:$D,0)),"")</f>
        <v>橙</v>
      </c>
      <c r="Q59" s="9" t="str">
        <f>IFERROR(INDEX(羁绊设计!$F:$F,MATCH(羁绊设计!BO59,羁绊设计!$D:$D,0)),"")</f>
        <v/>
      </c>
      <c r="R59" s="9" t="str">
        <f>IFERROR(INDEX(羁绊设计!$F:$F,MATCH(羁绊设计!BP59,羁绊设计!$D:$D,0)),"")</f>
        <v/>
      </c>
      <c r="S59" s="9" t="str">
        <f>IFERROR(INDEX(羁绊设计!$F:$F,MATCH(羁绊设计!BQ59,羁绊设计!$D:$D,0)),"")</f>
        <v/>
      </c>
      <c r="U59" s="9" t="str">
        <f>IFERROR(INDEX(羁绊设计!$F:$F,MATCH(羁绊设计!BS59,羁绊设计!$D:$D,0)),"")</f>
        <v/>
      </c>
      <c r="V59" s="9" t="str">
        <f>IFERROR(INDEX(羁绊设计!$F:$F,MATCH(羁绊设计!BT59,羁绊设计!$D:$D,0)),"")</f>
        <v/>
      </c>
      <c r="W59" s="9" t="str">
        <f>IFERROR(INDEX(羁绊设计!$F:$F,MATCH(羁绊设计!BU59,羁绊设计!$D:$D,0)),"")</f>
        <v/>
      </c>
      <c r="X59" s="9" t="str">
        <f>IFERROR(INDEX(羁绊设计!$F:$F,MATCH(羁绊设计!BV59,羁绊设计!$D:$D,0)),"")</f>
        <v/>
      </c>
      <c r="Z59" s="9" t="str">
        <f>IFERROR(INDEX(羁绊设计!$F:$F,MATCH(羁绊设计!BX59,羁绊设计!$D:$D,0)),"")</f>
        <v/>
      </c>
      <c r="AA59" s="9" t="str">
        <f>IFERROR(INDEX(羁绊设计!$F:$F,MATCH(羁绊设计!BY59,羁绊设计!$D:$D,0)),"")</f>
        <v/>
      </c>
      <c r="AB59" s="9" t="str">
        <f>IFERROR(INDEX(羁绊设计!$F:$F,MATCH(羁绊设计!BZ59,羁绊设计!$D:$D,0)),"")</f>
        <v/>
      </c>
      <c r="AC59" s="9" t="str">
        <f>IFERROR(INDEX(羁绊设计!$F:$F,MATCH(羁绊设计!CA59,羁绊设计!$D:$D,0)),"")</f>
        <v/>
      </c>
      <c r="AE59" s="9" t="str">
        <f>IFERROR(INDEX(羁绊设计!$F:$F,MATCH(羁绊设计!CC59,羁绊设计!$D:$D,0)),"")</f>
        <v/>
      </c>
      <c r="AF59" s="9" t="str">
        <f>IFERROR(INDEX(羁绊设计!$F:$F,MATCH(羁绊设计!CD59,羁绊设计!$D:$D,0)),"")</f>
        <v/>
      </c>
      <c r="AG59" s="9" t="str">
        <f>IFERROR(INDEX(羁绊设计!$F:$F,MATCH(羁绊设计!CE59,羁绊设计!$D:$D,0)),"")</f>
        <v/>
      </c>
      <c r="AH59" s="9" t="str">
        <f>IFERROR(INDEX(羁绊设计!$F:$F,MATCH(羁绊设计!CF59,羁绊设计!$D:$D,0)),"")</f>
        <v/>
      </c>
      <c r="AJ59" s="9" t="str">
        <f>IFERROR(INDEX(羁绊设计!$F:$F,MATCH(羁绊设计!CH59,羁绊设计!$D:$D,0)),"")</f>
        <v/>
      </c>
      <c r="AK59" s="9" t="str">
        <f>IFERROR(INDEX(羁绊设计!$F:$F,MATCH(羁绊设计!CI59,羁绊设计!$D:$D,0)),"")</f>
        <v/>
      </c>
      <c r="AL59" s="9" t="str">
        <f>IFERROR(INDEX(羁绊设计!$F:$F,MATCH(羁绊设计!CJ59,羁绊设计!$D:$D,0)),"")</f>
        <v/>
      </c>
      <c r="AM59" s="9" t="str">
        <f>IFERROR(INDEX(羁绊设计!$F:$F,MATCH(羁绊设计!CK59,羁绊设计!$D:$D,0)),"")</f>
        <v/>
      </c>
      <c r="AO59" s="9" t="str">
        <f>IFERROR(INDEX(羁绊设计!$F:$F,MATCH(羁绊设计!CM59,羁绊设计!$D:$D,0)),"")</f>
        <v/>
      </c>
      <c r="AP59" s="9" t="str">
        <f>IFERROR(INDEX(羁绊设计!$F:$F,MATCH(羁绊设计!CN59,羁绊设计!$D:$D,0)),"")</f>
        <v/>
      </c>
      <c r="AQ59" s="9" t="str">
        <f>IFERROR(INDEX(羁绊设计!$F:$F,MATCH(羁绊设计!CO59,羁绊设计!$D:$D,0)),"")</f>
        <v/>
      </c>
      <c r="AR59" s="9" t="str">
        <f>IFERROR(INDEX(羁绊设计!$F:$F,MATCH(羁绊设计!CP59,羁绊设计!$D:$D,0)),"")</f>
        <v/>
      </c>
      <c r="AT59" s="9" t="str">
        <f>IFERROR(INDEX(羁绊设计!$F:$F,MATCH(羁绊设计!CR59,羁绊设计!$D:$D,0)),"")</f>
        <v/>
      </c>
      <c r="AU59" s="9" t="str">
        <f>IFERROR(INDEX(羁绊设计!$F:$F,MATCH(羁绊设计!CS59,羁绊设计!$D:$D,0)),"")</f>
        <v/>
      </c>
      <c r="AV59" s="9" t="str">
        <f>IFERROR(INDEX(羁绊设计!$F:$F,MATCH(羁绊设计!CT59,羁绊设计!$D:$D,0)),"")</f>
        <v/>
      </c>
      <c r="AW59" s="9" t="str">
        <f>IFERROR(INDEX(羁绊设计!$F:$F,MATCH(羁绊设计!CU59,羁绊设计!$D:$D,0)),"")</f>
        <v/>
      </c>
    </row>
    <row r="60" spans="2:49">
      <c r="B60" s="12" t="str">
        <f>羁绊设计!D60</f>
        <v>韩非子</v>
      </c>
      <c r="C60" s="7" t="str">
        <f t="shared" si="3"/>
        <v/>
      </c>
      <c r="D60" s="7" t="str">
        <f t="shared" si="3"/>
        <v/>
      </c>
      <c r="E60" s="7" t="str">
        <f t="shared" si="3"/>
        <v/>
      </c>
      <c r="F60" s="7">
        <f t="shared" si="3"/>
        <v>8</v>
      </c>
      <c r="G60" s="7" t="str">
        <f t="shared" si="3"/>
        <v/>
      </c>
      <c r="I60" s="9" t="str">
        <f t="shared" si="2"/>
        <v>橙,橙,橙,橙,橙,橙,橙+,橙+,橙,橙+,橙+,橙</v>
      </c>
      <c r="K60" s="9" t="str">
        <f>IFERROR(INDEX(羁绊设计!$F:$F,MATCH(羁绊设计!BI60,羁绊设计!$D:$D,0)),"")</f>
        <v>橙</v>
      </c>
      <c r="L60" s="9" t="str">
        <f>IFERROR(INDEX(羁绊设计!$F:$F,MATCH(羁绊设计!BJ60,羁绊设计!$D:$D,0)),"")</f>
        <v>橙</v>
      </c>
      <c r="M60" s="9" t="str">
        <f>IFERROR(INDEX(羁绊设计!$F:$F,MATCH(羁绊设计!BK60,羁绊设计!$D:$D,0)),"")</f>
        <v>橙</v>
      </c>
      <c r="N60" s="9" t="str">
        <f>IFERROR(INDEX(羁绊设计!$F:$F,MATCH(羁绊设计!BL60,羁绊设计!$D:$D,0)),"")</f>
        <v>橙</v>
      </c>
      <c r="P60" s="9" t="str">
        <f>IFERROR(INDEX(羁绊设计!$F:$F,MATCH(羁绊设计!BN60,羁绊设计!$D:$D,0)),"")</f>
        <v/>
      </c>
      <c r="Q60" s="9" t="str">
        <f>IFERROR(INDEX(羁绊设计!$F:$F,MATCH(羁绊设计!BO60,羁绊设计!$D:$D,0)),"")</f>
        <v>橙</v>
      </c>
      <c r="R60" s="9" t="str">
        <f>IFERROR(INDEX(羁绊设计!$F:$F,MATCH(羁绊设计!BP60,羁绊设计!$D:$D,0)),"")</f>
        <v/>
      </c>
      <c r="S60" s="9" t="str">
        <f>IFERROR(INDEX(羁绊设计!$F:$F,MATCH(羁绊设计!BQ60,羁绊设计!$D:$D,0)),"")</f>
        <v/>
      </c>
      <c r="U60" s="9" t="str">
        <f>IFERROR(INDEX(羁绊设计!$F:$F,MATCH(羁绊设计!BS60,羁绊设计!$D:$D,0)),"")</f>
        <v/>
      </c>
      <c r="V60" s="9" t="str">
        <f>IFERROR(INDEX(羁绊设计!$F:$F,MATCH(羁绊设计!BT60,羁绊设计!$D:$D,0)),"")</f>
        <v>橙</v>
      </c>
      <c r="W60" s="9" t="str">
        <f>IFERROR(INDEX(羁绊设计!$F:$F,MATCH(羁绊设计!BU60,羁绊设计!$D:$D,0)),"")</f>
        <v/>
      </c>
      <c r="X60" s="9" t="str">
        <f>IFERROR(INDEX(羁绊设计!$F:$F,MATCH(羁绊设计!BV60,羁绊设计!$D:$D,0)),"")</f>
        <v/>
      </c>
      <c r="Z60" s="9" t="str">
        <f>IFERROR(INDEX(羁绊设计!$F:$F,MATCH(羁绊设计!BX60,羁绊设计!$D:$D,0)),"")</f>
        <v>橙+</v>
      </c>
      <c r="AA60" s="9" t="str">
        <f>IFERROR(INDEX(羁绊设计!$F:$F,MATCH(羁绊设计!BY60,羁绊设计!$D:$D,0)),"")</f>
        <v/>
      </c>
      <c r="AB60" s="9" t="str">
        <f>IFERROR(INDEX(羁绊设计!$F:$F,MATCH(羁绊设计!BZ60,羁绊设计!$D:$D,0)),"")</f>
        <v/>
      </c>
      <c r="AC60" s="9" t="str">
        <f>IFERROR(INDEX(羁绊设计!$F:$F,MATCH(羁绊设计!CA60,羁绊设计!$D:$D,0)),"")</f>
        <v/>
      </c>
      <c r="AE60" s="9" t="str">
        <f>IFERROR(INDEX(羁绊设计!$F:$F,MATCH(羁绊设计!CC60,羁绊设计!$D:$D,0)),"")</f>
        <v/>
      </c>
      <c r="AF60" s="9" t="str">
        <f>IFERROR(INDEX(羁绊设计!$F:$F,MATCH(羁绊设计!CD60,羁绊设计!$D:$D,0)),"")</f>
        <v/>
      </c>
      <c r="AG60" s="9" t="str">
        <f>IFERROR(INDEX(羁绊设计!$F:$F,MATCH(羁绊设计!CE60,羁绊设计!$D:$D,0)),"")</f>
        <v/>
      </c>
      <c r="AH60" s="9" t="str">
        <f>IFERROR(INDEX(羁绊设计!$F:$F,MATCH(羁绊设计!CF60,羁绊设计!$D:$D,0)),"")</f>
        <v/>
      </c>
      <c r="AJ60" s="9" t="str">
        <f>IFERROR(INDEX(羁绊设计!$F:$F,MATCH(羁绊设计!CH60,羁绊设计!$D:$D,0)),"")</f>
        <v>橙+</v>
      </c>
      <c r="AK60" s="9" t="str">
        <f>IFERROR(INDEX(羁绊设计!$F:$F,MATCH(羁绊设计!CI60,羁绊设计!$D:$D,0)),"")</f>
        <v/>
      </c>
      <c r="AL60" s="9" t="str">
        <f>IFERROR(INDEX(羁绊设计!$F:$F,MATCH(羁绊设计!CJ60,羁绊设计!$D:$D,0)),"")</f>
        <v>橙</v>
      </c>
      <c r="AM60" s="9" t="str">
        <f>IFERROR(INDEX(羁绊设计!$F:$F,MATCH(羁绊设计!CK60,羁绊设计!$D:$D,0)),"")</f>
        <v/>
      </c>
      <c r="AO60" s="9" t="str">
        <f>IFERROR(INDEX(羁绊设计!$F:$F,MATCH(羁绊设计!CM60,羁绊设计!$D:$D,0)),"")</f>
        <v>橙+</v>
      </c>
      <c r="AP60" s="9" t="str">
        <f>IFERROR(INDEX(羁绊设计!$F:$F,MATCH(羁绊设计!CN60,羁绊设计!$D:$D,0)),"")</f>
        <v/>
      </c>
      <c r="AQ60" s="9" t="str">
        <f>IFERROR(INDEX(羁绊设计!$F:$F,MATCH(羁绊设计!CO60,羁绊设计!$D:$D,0)),"")</f>
        <v/>
      </c>
      <c r="AR60" s="9" t="str">
        <f>IFERROR(INDEX(羁绊设计!$F:$F,MATCH(羁绊设计!CP60,羁绊设计!$D:$D,0)),"")</f>
        <v/>
      </c>
      <c r="AT60" s="9" t="str">
        <f>IFERROR(INDEX(羁绊设计!$F:$F,MATCH(羁绊设计!CR60,羁绊设计!$D:$D,0)),"")</f>
        <v>橙+</v>
      </c>
      <c r="AU60" s="9" t="str">
        <f>IFERROR(INDEX(羁绊设计!$F:$F,MATCH(羁绊设计!CS60,羁绊设计!$D:$D,0)),"")</f>
        <v/>
      </c>
      <c r="AV60" s="9" t="str">
        <f>IFERROR(INDEX(羁绊设计!$F:$F,MATCH(羁绊设计!CT60,羁绊设计!$D:$D,0)),"")</f>
        <v>橙</v>
      </c>
      <c r="AW60" s="9" t="str">
        <f>IFERROR(INDEX(羁绊设计!$F:$F,MATCH(羁绊设计!CU60,羁绊设计!$D:$D,0)),"")</f>
        <v/>
      </c>
    </row>
    <row r="61" spans="2:49">
      <c r="B61" s="12" t="str">
        <f>羁绊设计!D61</f>
        <v>暴鸢</v>
      </c>
      <c r="C61" s="7" t="str">
        <f t="shared" si="3"/>
        <v/>
      </c>
      <c r="D61" s="7" t="str">
        <f t="shared" si="3"/>
        <v/>
      </c>
      <c r="E61" s="7">
        <f t="shared" si="3"/>
        <v>1</v>
      </c>
      <c r="F61" s="7">
        <f t="shared" si="3"/>
        <v>2</v>
      </c>
      <c r="G61" s="7" t="str">
        <f t="shared" si="3"/>
        <v/>
      </c>
      <c r="I61" s="9" t="str">
        <f t="shared" si="2"/>
        <v>橙,紫,橙</v>
      </c>
      <c r="K61" s="9" t="str">
        <f>IFERROR(INDEX(羁绊设计!$F:$F,MATCH(羁绊设计!BI61,羁绊设计!$D:$D,0)),"")</f>
        <v>橙</v>
      </c>
      <c r="L61" s="9" t="str">
        <f>IFERROR(INDEX(羁绊设计!$F:$F,MATCH(羁绊设计!BJ61,羁绊设计!$D:$D,0)),"")</f>
        <v>紫</v>
      </c>
      <c r="M61" s="9" t="str">
        <f>IFERROR(INDEX(羁绊设计!$F:$F,MATCH(羁绊设计!BK61,羁绊设计!$D:$D,0)),"")</f>
        <v/>
      </c>
      <c r="N61" s="9" t="str">
        <f>IFERROR(INDEX(羁绊设计!$F:$F,MATCH(羁绊设计!BL61,羁绊设计!$D:$D,0)),"")</f>
        <v/>
      </c>
      <c r="P61" s="9" t="str">
        <f>IFERROR(INDEX(羁绊设计!$F:$F,MATCH(羁绊设计!BN61,羁绊设计!$D:$D,0)),"")</f>
        <v>橙</v>
      </c>
      <c r="Q61" s="9" t="str">
        <f>IFERROR(INDEX(羁绊设计!$F:$F,MATCH(羁绊设计!BO61,羁绊设计!$D:$D,0)),"")</f>
        <v/>
      </c>
      <c r="R61" s="9" t="str">
        <f>IFERROR(INDEX(羁绊设计!$F:$F,MATCH(羁绊设计!BP61,羁绊设计!$D:$D,0)),"")</f>
        <v/>
      </c>
      <c r="S61" s="9" t="str">
        <f>IFERROR(INDEX(羁绊设计!$F:$F,MATCH(羁绊设计!BQ61,羁绊设计!$D:$D,0)),"")</f>
        <v/>
      </c>
      <c r="U61" s="9" t="str">
        <f>IFERROR(INDEX(羁绊设计!$F:$F,MATCH(羁绊设计!BS61,羁绊设计!$D:$D,0)),"")</f>
        <v/>
      </c>
      <c r="V61" s="9" t="str">
        <f>IFERROR(INDEX(羁绊设计!$F:$F,MATCH(羁绊设计!BT61,羁绊设计!$D:$D,0)),"")</f>
        <v/>
      </c>
      <c r="W61" s="9" t="str">
        <f>IFERROR(INDEX(羁绊设计!$F:$F,MATCH(羁绊设计!BU61,羁绊设计!$D:$D,0)),"")</f>
        <v/>
      </c>
      <c r="X61" s="9" t="str">
        <f>IFERROR(INDEX(羁绊设计!$F:$F,MATCH(羁绊设计!BV61,羁绊设计!$D:$D,0)),"")</f>
        <v/>
      </c>
      <c r="Z61" s="9" t="str">
        <f>IFERROR(INDEX(羁绊设计!$F:$F,MATCH(羁绊设计!BX61,羁绊设计!$D:$D,0)),"")</f>
        <v/>
      </c>
      <c r="AA61" s="9" t="str">
        <f>IFERROR(INDEX(羁绊设计!$F:$F,MATCH(羁绊设计!BY61,羁绊设计!$D:$D,0)),"")</f>
        <v/>
      </c>
      <c r="AB61" s="9" t="str">
        <f>IFERROR(INDEX(羁绊设计!$F:$F,MATCH(羁绊设计!BZ61,羁绊设计!$D:$D,0)),"")</f>
        <v/>
      </c>
      <c r="AC61" s="9" t="str">
        <f>IFERROR(INDEX(羁绊设计!$F:$F,MATCH(羁绊设计!CA61,羁绊设计!$D:$D,0)),"")</f>
        <v/>
      </c>
      <c r="AE61" s="9" t="str">
        <f>IFERROR(INDEX(羁绊设计!$F:$F,MATCH(羁绊设计!CC61,羁绊设计!$D:$D,0)),"")</f>
        <v/>
      </c>
      <c r="AF61" s="9" t="str">
        <f>IFERROR(INDEX(羁绊设计!$F:$F,MATCH(羁绊设计!CD61,羁绊设计!$D:$D,0)),"")</f>
        <v/>
      </c>
      <c r="AG61" s="9" t="str">
        <f>IFERROR(INDEX(羁绊设计!$F:$F,MATCH(羁绊设计!CE61,羁绊设计!$D:$D,0)),"")</f>
        <v/>
      </c>
      <c r="AH61" s="9" t="str">
        <f>IFERROR(INDEX(羁绊设计!$F:$F,MATCH(羁绊设计!CF61,羁绊设计!$D:$D,0)),"")</f>
        <v/>
      </c>
      <c r="AJ61" s="9" t="str">
        <f>IFERROR(INDEX(羁绊设计!$F:$F,MATCH(羁绊设计!CH61,羁绊设计!$D:$D,0)),"")</f>
        <v/>
      </c>
      <c r="AK61" s="9" t="str">
        <f>IFERROR(INDEX(羁绊设计!$F:$F,MATCH(羁绊设计!CI61,羁绊设计!$D:$D,0)),"")</f>
        <v/>
      </c>
      <c r="AL61" s="9" t="str">
        <f>IFERROR(INDEX(羁绊设计!$F:$F,MATCH(羁绊设计!CJ61,羁绊设计!$D:$D,0)),"")</f>
        <v/>
      </c>
      <c r="AM61" s="9" t="str">
        <f>IFERROR(INDEX(羁绊设计!$F:$F,MATCH(羁绊设计!CK61,羁绊设计!$D:$D,0)),"")</f>
        <v/>
      </c>
      <c r="AO61" s="9" t="str">
        <f>IFERROR(INDEX(羁绊设计!$F:$F,MATCH(羁绊设计!CM61,羁绊设计!$D:$D,0)),"")</f>
        <v/>
      </c>
      <c r="AP61" s="9" t="str">
        <f>IFERROR(INDEX(羁绊设计!$F:$F,MATCH(羁绊设计!CN61,羁绊设计!$D:$D,0)),"")</f>
        <v/>
      </c>
      <c r="AQ61" s="9" t="str">
        <f>IFERROR(INDEX(羁绊设计!$F:$F,MATCH(羁绊设计!CO61,羁绊设计!$D:$D,0)),"")</f>
        <v/>
      </c>
      <c r="AR61" s="9" t="str">
        <f>IFERROR(INDEX(羁绊设计!$F:$F,MATCH(羁绊设计!CP61,羁绊设计!$D:$D,0)),"")</f>
        <v/>
      </c>
      <c r="AT61" s="9" t="str">
        <f>IFERROR(INDEX(羁绊设计!$F:$F,MATCH(羁绊设计!CR61,羁绊设计!$D:$D,0)),"")</f>
        <v/>
      </c>
      <c r="AU61" s="9" t="str">
        <f>IFERROR(INDEX(羁绊设计!$F:$F,MATCH(羁绊设计!CS61,羁绊设计!$D:$D,0)),"")</f>
        <v/>
      </c>
      <c r="AV61" s="9" t="str">
        <f>IFERROR(INDEX(羁绊设计!$F:$F,MATCH(羁绊设计!CT61,羁绊设计!$D:$D,0)),"")</f>
        <v/>
      </c>
      <c r="AW61" s="9" t="str">
        <f>IFERROR(INDEX(羁绊设计!$F:$F,MATCH(羁绊设计!CU61,羁绊设计!$D:$D,0)),"")</f>
        <v/>
      </c>
    </row>
    <row r="62" spans="2:49">
      <c r="B62" s="12" t="str">
        <f>羁绊设计!D62</f>
        <v>申不害</v>
      </c>
      <c r="C62" s="7" t="str">
        <f t="shared" si="3"/>
        <v/>
      </c>
      <c r="D62" s="7" t="str">
        <f t="shared" si="3"/>
        <v/>
      </c>
      <c r="E62" s="7">
        <f t="shared" si="3"/>
        <v>1</v>
      </c>
      <c r="F62" s="7">
        <f t="shared" si="3"/>
        <v>10</v>
      </c>
      <c r="G62" s="7" t="str">
        <f t="shared" si="3"/>
        <v/>
      </c>
      <c r="I62" s="9" t="str">
        <f t="shared" si="2"/>
        <v>橙,橙,橙,橙,紫,橙+,橙,橙+,橙,橙,橙+,橙,橙,橙</v>
      </c>
      <c r="K62" s="9" t="str">
        <f>IFERROR(INDEX(羁绊设计!$F:$F,MATCH(羁绊设计!BI62,羁绊设计!$D:$D,0)),"")</f>
        <v>橙</v>
      </c>
      <c r="L62" s="9" t="str">
        <f>IFERROR(INDEX(羁绊设计!$F:$F,MATCH(羁绊设计!BJ62,羁绊设计!$D:$D,0)),"")</f>
        <v>橙</v>
      </c>
      <c r="M62" s="9" t="str">
        <f>IFERROR(INDEX(羁绊设计!$F:$F,MATCH(羁绊设计!BK62,羁绊设计!$D:$D,0)),"")</f>
        <v>橙</v>
      </c>
      <c r="N62" s="9" t="str">
        <f>IFERROR(INDEX(羁绊设计!$F:$F,MATCH(羁绊设计!BL62,羁绊设计!$D:$D,0)),"")</f>
        <v/>
      </c>
      <c r="P62" s="9" t="str">
        <f>IFERROR(INDEX(羁绊设计!$F:$F,MATCH(羁绊设计!BN62,羁绊设计!$D:$D,0)),"")</f>
        <v>橙</v>
      </c>
      <c r="Q62" s="9" t="str">
        <f>IFERROR(INDEX(羁绊设计!$F:$F,MATCH(羁绊设计!BO62,羁绊设计!$D:$D,0)),"")</f>
        <v/>
      </c>
      <c r="R62" s="9" t="str">
        <f>IFERROR(INDEX(羁绊设计!$F:$F,MATCH(羁绊设计!BP62,羁绊设计!$D:$D,0)),"")</f>
        <v/>
      </c>
      <c r="S62" s="9" t="str">
        <f>IFERROR(INDEX(羁绊设计!$F:$F,MATCH(羁绊设计!BQ62,羁绊设计!$D:$D,0)),"")</f>
        <v/>
      </c>
      <c r="U62" s="9" t="str">
        <f>IFERROR(INDEX(羁绊设计!$F:$F,MATCH(羁绊设计!BS62,羁绊设计!$D:$D,0)),"")</f>
        <v/>
      </c>
      <c r="V62" s="9" t="str">
        <f>IFERROR(INDEX(羁绊设计!$F:$F,MATCH(羁绊设计!BT62,羁绊设计!$D:$D,0)),"")</f>
        <v>紫</v>
      </c>
      <c r="W62" s="9" t="str">
        <f>IFERROR(INDEX(羁绊设计!$F:$F,MATCH(羁绊设计!BU62,羁绊设计!$D:$D,0)),"")</f>
        <v/>
      </c>
      <c r="X62" s="9" t="str">
        <f>IFERROR(INDEX(羁绊设计!$F:$F,MATCH(羁绊设计!BV62,羁绊设计!$D:$D,0)),"")</f>
        <v/>
      </c>
      <c r="Z62" s="9" t="str">
        <f>IFERROR(INDEX(羁绊设计!$F:$F,MATCH(羁绊设计!BX62,羁绊设计!$D:$D,0)),"")</f>
        <v>橙+</v>
      </c>
      <c r="AA62" s="9" t="str">
        <f>IFERROR(INDEX(羁绊设计!$F:$F,MATCH(羁绊设计!BY62,羁绊设计!$D:$D,0)),"")</f>
        <v>橙</v>
      </c>
      <c r="AB62" s="9" t="str">
        <f>IFERROR(INDEX(羁绊设计!$F:$F,MATCH(羁绊设计!BZ62,羁绊设计!$D:$D,0)),"")</f>
        <v/>
      </c>
      <c r="AC62" s="9" t="str">
        <f>IFERROR(INDEX(羁绊设计!$F:$F,MATCH(羁绊设计!CA62,羁绊设计!$D:$D,0)),"")</f>
        <v/>
      </c>
      <c r="AE62" s="9" t="str">
        <f>IFERROR(INDEX(羁绊设计!$F:$F,MATCH(羁绊设计!CC62,羁绊设计!$D:$D,0)),"")</f>
        <v>橙+</v>
      </c>
      <c r="AF62" s="9" t="str">
        <f>IFERROR(INDEX(羁绊设计!$F:$F,MATCH(羁绊设计!CD62,羁绊设计!$D:$D,0)),"")</f>
        <v>橙</v>
      </c>
      <c r="AG62" s="9" t="str">
        <f>IFERROR(INDEX(羁绊设计!$F:$F,MATCH(羁绊设计!CE62,羁绊设计!$D:$D,0)),"")</f>
        <v>橙</v>
      </c>
      <c r="AH62" s="9" t="str">
        <f>IFERROR(INDEX(羁绊设计!$F:$F,MATCH(羁绊设计!CF62,羁绊设计!$D:$D,0)),"")</f>
        <v/>
      </c>
      <c r="AJ62" s="9" t="str">
        <f>IFERROR(INDEX(羁绊设计!$F:$F,MATCH(羁绊设计!CH62,羁绊设计!$D:$D,0)),"")</f>
        <v>橙+</v>
      </c>
      <c r="AK62" s="9" t="str">
        <f>IFERROR(INDEX(羁绊设计!$F:$F,MATCH(羁绊设计!CI62,羁绊设计!$D:$D,0)),"")</f>
        <v>橙</v>
      </c>
      <c r="AL62" s="9" t="str">
        <f>IFERROR(INDEX(羁绊设计!$F:$F,MATCH(羁绊设计!CJ62,羁绊设计!$D:$D,0)),"")</f>
        <v/>
      </c>
      <c r="AM62" s="9" t="str">
        <f>IFERROR(INDEX(羁绊设计!$F:$F,MATCH(羁绊设计!CK62,羁绊设计!$D:$D,0)),"")</f>
        <v/>
      </c>
      <c r="AO62" s="9" t="str">
        <f>IFERROR(INDEX(羁绊设计!$F:$F,MATCH(羁绊设计!CM62,羁绊设计!$D:$D,0)),"")</f>
        <v>橙</v>
      </c>
      <c r="AP62" s="9" t="str">
        <f>IFERROR(INDEX(羁绊设计!$F:$F,MATCH(羁绊设计!CN62,羁绊设计!$D:$D,0)),"")</f>
        <v/>
      </c>
      <c r="AQ62" s="9" t="str">
        <f>IFERROR(INDEX(羁绊设计!$F:$F,MATCH(羁绊设计!CO62,羁绊设计!$D:$D,0)),"")</f>
        <v/>
      </c>
      <c r="AR62" s="9" t="str">
        <f>IFERROR(INDEX(羁绊设计!$F:$F,MATCH(羁绊设计!CP62,羁绊设计!$D:$D,0)),"")</f>
        <v>橙</v>
      </c>
      <c r="AT62" s="9" t="str">
        <f>IFERROR(INDEX(羁绊设计!$F:$F,MATCH(羁绊设计!CR62,羁绊设计!$D:$D,0)),"")</f>
        <v/>
      </c>
      <c r="AU62" s="9" t="str">
        <f>IFERROR(INDEX(羁绊设计!$F:$F,MATCH(羁绊设计!CS62,羁绊设计!$D:$D,0)),"")</f>
        <v/>
      </c>
      <c r="AV62" s="9" t="str">
        <f>IFERROR(INDEX(羁绊设计!$F:$F,MATCH(羁绊设计!CT62,羁绊设计!$D:$D,0)),"")</f>
        <v/>
      </c>
      <c r="AW62" s="9" t="str">
        <f>IFERROR(INDEX(羁绊设计!$F:$F,MATCH(羁绊设计!CU62,羁绊设计!$D:$D,0)),"")</f>
        <v/>
      </c>
    </row>
    <row r="63" spans="2:49">
      <c r="B63" s="12" t="str">
        <f>羁绊设计!D63</f>
        <v>乐毅</v>
      </c>
      <c r="C63" s="7" t="str">
        <f t="shared" si="3"/>
        <v/>
      </c>
      <c r="D63" s="7" t="str">
        <f t="shared" si="3"/>
        <v/>
      </c>
      <c r="E63" s="7" t="str">
        <f t="shared" si="3"/>
        <v/>
      </c>
      <c r="F63" s="7">
        <f t="shared" si="3"/>
        <v>9</v>
      </c>
      <c r="G63" s="7">
        <f t="shared" si="3"/>
        <v>1</v>
      </c>
      <c r="I63" s="9" t="str">
        <f t="shared" si="2"/>
        <v>橙,橙,橙,橙,橙+,橙,橙,橙+,橙,橙+,橙+,橙,橙,红</v>
      </c>
      <c r="K63" s="9" t="str">
        <f>IFERROR(INDEX(羁绊设计!$F:$F,MATCH(羁绊设计!BI63,羁绊设计!$D:$D,0)),"")</f>
        <v>橙</v>
      </c>
      <c r="L63" s="9" t="str">
        <f>IFERROR(INDEX(羁绊设计!$F:$F,MATCH(羁绊设计!BJ63,羁绊设计!$D:$D,0)),"")</f>
        <v>橙</v>
      </c>
      <c r="M63" s="9" t="str">
        <f>IFERROR(INDEX(羁绊设计!$F:$F,MATCH(羁绊设计!BK63,羁绊设计!$D:$D,0)),"")</f>
        <v/>
      </c>
      <c r="N63" s="9" t="str">
        <f>IFERROR(INDEX(羁绊设计!$F:$F,MATCH(羁绊设计!BL63,羁绊设计!$D:$D,0)),"")</f>
        <v/>
      </c>
      <c r="P63" s="9" t="str">
        <f>IFERROR(INDEX(羁绊设计!$F:$F,MATCH(羁绊设计!BN63,羁绊设计!$D:$D,0)),"")</f>
        <v/>
      </c>
      <c r="Q63" s="9" t="str">
        <f>IFERROR(INDEX(羁绊设计!$F:$F,MATCH(羁绊设计!BO63,羁绊设计!$D:$D,0)),"")</f>
        <v>橙</v>
      </c>
      <c r="R63" s="9" t="str">
        <f>IFERROR(INDEX(羁绊设计!$F:$F,MATCH(羁绊设计!BP63,羁绊设计!$D:$D,0)),"")</f>
        <v>橙</v>
      </c>
      <c r="S63" s="9" t="str">
        <f>IFERROR(INDEX(羁绊设计!$F:$F,MATCH(羁绊设计!BQ63,羁绊设计!$D:$D,0)),"")</f>
        <v/>
      </c>
      <c r="U63" s="9" t="str">
        <f>IFERROR(INDEX(羁绊设计!$F:$F,MATCH(羁绊设计!BS63,羁绊设计!$D:$D,0)),"")</f>
        <v>橙+</v>
      </c>
      <c r="V63" s="9" t="str">
        <f>IFERROR(INDEX(羁绊设计!$F:$F,MATCH(羁绊设计!BT63,羁绊设计!$D:$D,0)),"")</f>
        <v>橙</v>
      </c>
      <c r="W63" s="9" t="str">
        <f>IFERROR(INDEX(羁绊设计!$F:$F,MATCH(羁绊设计!BU63,羁绊设计!$D:$D,0)),"")</f>
        <v/>
      </c>
      <c r="X63" s="9" t="str">
        <f>IFERROR(INDEX(羁绊设计!$F:$F,MATCH(羁绊设计!BV63,羁绊设计!$D:$D,0)),"")</f>
        <v>橙</v>
      </c>
      <c r="Z63" s="9" t="str">
        <f>IFERROR(INDEX(羁绊设计!$F:$F,MATCH(羁绊设计!BX63,羁绊设计!$D:$D,0)),"")</f>
        <v>橙+</v>
      </c>
      <c r="AA63" s="9" t="str">
        <f>IFERROR(INDEX(羁绊设计!$F:$F,MATCH(羁绊设计!BY63,羁绊设计!$D:$D,0)),"")</f>
        <v/>
      </c>
      <c r="AB63" s="9" t="str">
        <f>IFERROR(INDEX(羁绊设计!$F:$F,MATCH(羁绊设计!BZ63,羁绊设计!$D:$D,0)),"")</f>
        <v/>
      </c>
      <c r="AC63" s="9" t="str">
        <f>IFERROR(INDEX(羁绊设计!$F:$F,MATCH(羁绊设计!CA63,羁绊设计!$D:$D,0)),"")</f>
        <v/>
      </c>
      <c r="AE63" s="9" t="str">
        <f>IFERROR(INDEX(羁绊设计!$F:$F,MATCH(羁绊设计!CC63,羁绊设计!$D:$D,0)),"")</f>
        <v/>
      </c>
      <c r="AF63" s="9" t="str">
        <f>IFERROR(INDEX(羁绊设计!$F:$F,MATCH(羁绊设计!CD63,羁绊设计!$D:$D,0)),"")</f>
        <v/>
      </c>
      <c r="AG63" s="9" t="str">
        <f>IFERROR(INDEX(羁绊设计!$F:$F,MATCH(羁绊设计!CE63,羁绊设计!$D:$D,0)),"")</f>
        <v/>
      </c>
      <c r="AH63" s="9" t="str">
        <f>IFERROR(INDEX(羁绊设计!$F:$F,MATCH(羁绊设计!CF63,羁绊设计!$D:$D,0)),"")</f>
        <v>橙</v>
      </c>
      <c r="AJ63" s="9" t="str">
        <f>IFERROR(INDEX(羁绊设计!$F:$F,MATCH(羁绊设计!CH63,羁绊设计!$D:$D,0)),"")</f>
        <v>橙+</v>
      </c>
      <c r="AK63" s="9" t="str">
        <f>IFERROR(INDEX(羁绊设计!$F:$F,MATCH(羁绊设计!CI63,羁绊设计!$D:$D,0)),"")</f>
        <v/>
      </c>
      <c r="AL63" s="9" t="str">
        <f>IFERROR(INDEX(羁绊设计!$F:$F,MATCH(羁绊设计!CJ63,羁绊设计!$D:$D,0)),"")</f>
        <v/>
      </c>
      <c r="AM63" s="9" t="str">
        <f>IFERROR(INDEX(羁绊设计!$F:$F,MATCH(羁绊设计!CK63,羁绊设计!$D:$D,0)),"")</f>
        <v/>
      </c>
      <c r="AO63" s="9" t="str">
        <f>IFERROR(INDEX(羁绊设计!$F:$F,MATCH(羁绊设计!CM63,羁绊设计!$D:$D,0)),"")</f>
        <v>橙+</v>
      </c>
      <c r="AP63" s="9" t="str">
        <f>IFERROR(INDEX(羁绊设计!$F:$F,MATCH(羁绊设计!CN63,羁绊设计!$D:$D,0)),"")</f>
        <v>橙</v>
      </c>
      <c r="AQ63" s="9" t="str">
        <f>IFERROR(INDEX(羁绊设计!$F:$F,MATCH(羁绊设计!CO63,羁绊设计!$D:$D,0)),"")</f>
        <v>橙</v>
      </c>
      <c r="AR63" s="9" t="str">
        <f>IFERROR(INDEX(羁绊设计!$F:$F,MATCH(羁绊设计!CP63,羁绊设计!$D:$D,0)),"")</f>
        <v/>
      </c>
      <c r="AT63" s="9" t="str">
        <f>IFERROR(INDEX(羁绊设计!$F:$F,MATCH(羁绊设计!CR63,羁绊设计!$D:$D,0)),"")</f>
        <v>红</v>
      </c>
      <c r="AU63" s="9" t="str">
        <f>IFERROR(INDEX(羁绊设计!$F:$F,MATCH(羁绊设计!CS63,羁绊设计!$D:$D,0)),"")</f>
        <v/>
      </c>
      <c r="AV63" s="9" t="str">
        <f>IFERROR(INDEX(羁绊设计!$F:$F,MATCH(羁绊设计!CT63,羁绊设计!$D:$D,0)),"")</f>
        <v/>
      </c>
      <c r="AW63" s="9" t="str">
        <f>IFERROR(INDEX(羁绊设计!$F:$F,MATCH(羁绊设计!CU63,羁绊设计!$D:$D,0)),"")</f>
        <v/>
      </c>
    </row>
    <row r="64" spans="2:49">
      <c r="B64" s="12" t="str">
        <f>羁绊设计!D64</f>
        <v>荆轲</v>
      </c>
      <c r="C64" s="7" t="str">
        <f t="shared" si="3"/>
        <v/>
      </c>
      <c r="D64" s="7">
        <f t="shared" si="3"/>
        <v>1</v>
      </c>
      <c r="E64" s="7">
        <f t="shared" si="3"/>
        <v>3</v>
      </c>
      <c r="F64" s="7">
        <f t="shared" si="3"/>
        <v>7</v>
      </c>
      <c r="G64" s="7" t="str">
        <f t="shared" si="3"/>
        <v/>
      </c>
      <c r="I64" s="9" t="str">
        <f t="shared" si="2"/>
        <v>蓝,紫,橙,橙,紫,紫,橙,橙+,橙,橙,橙+,橙,橙+,橙,橙+,橙+</v>
      </c>
      <c r="K64" s="9" t="str">
        <f>IFERROR(INDEX(羁绊设计!$F:$F,MATCH(羁绊设计!BI64,羁绊设计!$D:$D,0)),"")</f>
        <v>蓝</v>
      </c>
      <c r="L64" s="9" t="str">
        <f>IFERROR(INDEX(羁绊设计!$F:$F,MATCH(羁绊设计!BJ64,羁绊设计!$D:$D,0)),"")</f>
        <v>紫</v>
      </c>
      <c r="M64" s="9" t="str">
        <f>IFERROR(INDEX(羁绊设计!$F:$F,MATCH(羁绊设计!BK64,羁绊设计!$D:$D,0)),"")</f>
        <v>橙</v>
      </c>
      <c r="N64" s="9" t="str">
        <f>IFERROR(INDEX(羁绊设计!$F:$F,MATCH(羁绊设计!BL64,羁绊设计!$D:$D,0)),"")</f>
        <v>橙</v>
      </c>
      <c r="P64" s="9" t="str">
        <f>IFERROR(INDEX(羁绊设计!$F:$F,MATCH(羁绊设计!BN64,羁绊设计!$D:$D,0)),"")</f>
        <v>紫</v>
      </c>
      <c r="Q64" s="9" t="str">
        <f>IFERROR(INDEX(羁绊设计!$F:$F,MATCH(羁绊设计!BO64,羁绊设计!$D:$D,0)),"")</f>
        <v/>
      </c>
      <c r="R64" s="9" t="str">
        <f>IFERROR(INDEX(羁绊设计!$F:$F,MATCH(羁绊设计!BP64,羁绊设计!$D:$D,0)),"")</f>
        <v/>
      </c>
      <c r="S64" s="9" t="str">
        <f>IFERROR(INDEX(羁绊设计!$F:$F,MATCH(羁绊设计!BQ64,羁绊设计!$D:$D,0)),"")</f>
        <v>紫</v>
      </c>
      <c r="U64" s="9" t="str">
        <f>IFERROR(INDEX(羁绊设计!$F:$F,MATCH(羁绊设计!BS64,羁绊设计!$D:$D,0)),"")</f>
        <v>橙</v>
      </c>
      <c r="V64" s="9" t="str">
        <f>IFERROR(INDEX(羁绊设计!$F:$F,MATCH(羁绊设计!BT64,羁绊设计!$D:$D,0)),"")</f>
        <v/>
      </c>
      <c r="W64" s="9" t="str">
        <f>IFERROR(INDEX(羁绊设计!$F:$F,MATCH(羁绊设计!BU64,羁绊设计!$D:$D,0)),"")</f>
        <v/>
      </c>
      <c r="X64" s="9" t="str">
        <f>IFERROR(INDEX(羁绊设计!$F:$F,MATCH(羁绊设计!BV64,羁绊设计!$D:$D,0)),"")</f>
        <v/>
      </c>
      <c r="Z64" s="9" t="str">
        <f>IFERROR(INDEX(羁绊设计!$F:$F,MATCH(羁绊设计!BX64,羁绊设计!$D:$D,0)),"")</f>
        <v>橙+</v>
      </c>
      <c r="AA64" s="9" t="str">
        <f>IFERROR(INDEX(羁绊设计!$F:$F,MATCH(羁绊设计!BY64,羁绊设计!$D:$D,0)),"")</f>
        <v>橙</v>
      </c>
      <c r="AB64" s="9" t="str">
        <f>IFERROR(INDEX(羁绊设计!$F:$F,MATCH(羁绊设计!BZ64,羁绊设计!$D:$D,0)),"")</f>
        <v>橙</v>
      </c>
      <c r="AC64" s="9" t="str">
        <f>IFERROR(INDEX(羁绊设计!$F:$F,MATCH(羁绊设计!CA64,羁绊设计!$D:$D,0)),"")</f>
        <v/>
      </c>
      <c r="AE64" s="9" t="str">
        <f>IFERROR(INDEX(羁绊设计!$F:$F,MATCH(羁绊设计!CC64,羁绊设计!$D:$D,0)),"")</f>
        <v>橙+</v>
      </c>
      <c r="AF64" s="9" t="str">
        <f>IFERROR(INDEX(羁绊设计!$F:$F,MATCH(羁绊设计!CD64,羁绊设计!$D:$D,0)),"")</f>
        <v>橙</v>
      </c>
      <c r="AG64" s="9" t="str">
        <f>IFERROR(INDEX(羁绊设计!$F:$F,MATCH(羁绊设计!CE64,羁绊设计!$D:$D,0)),"")</f>
        <v/>
      </c>
      <c r="AH64" s="9" t="str">
        <f>IFERROR(INDEX(羁绊设计!$F:$F,MATCH(羁绊设计!CF64,羁绊设计!$D:$D,0)),"")</f>
        <v/>
      </c>
      <c r="AJ64" s="9" t="str">
        <f>IFERROR(INDEX(羁绊设计!$F:$F,MATCH(羁绊设计!CH64,羁绊设计!$D:$D,0)),"")</f>
        <v>橙+</v>
      </c>
      <c r="AK64" s="9" t="str">
        <f>IFERROR(INDEX(羁绊设计!$F:$F,MATCH(羁绊设计!CI64,羁绊设计!$D:$D,0)),"")</f>
        <v>橙</v>
      </c>
      <c r="AL64" s="9" t="str">
        <f>IFERROR(INDEX(羁绊设计!$F:$F,MATCH(羁绊设计!CJ64,羁绊设计!$D:$D,0)),"")</f>
        <v/>
      </c>
      <c r="AM64" s="9" t="str">
        <f>IFERROR(INDEX(羁绊设计!$F:$F,MATCH(羁绊设计!CK64,羁绊设计!$D:$D,0)),"")</f>
        <v>橙+</v>
      </c>
      <c r="AO64" s="9" t="str">
        <f>IFERROR(INDEX(羁绊设计!$F:$F,MATCH(羁绊设计!CM64,羁绊设计!$D:$D,0)),"")</f>
        <v>橙+</v>
      </c>
      <c r="AP64" s="9" t="str">
        <f>IFERROR(INDEX(羁绊设计!$F:$F,MATCH(羁绊设计!CN64,羁绊设计!$D:$D,0)),"")</f>
        <v/>
      </c>
      <c r="AQ64" s="9" t="str">
        <f>IFERROR(INDEX(羁绊设计!$F:$F,MATCH(羁绊设计!CO64,羁绊设计!$D:$D,0)),"")</f>
        <v/>
      </c>
      <c r="AR64" s="9" t="str">
        <f>IFERROR(INDEX(羁绊设计!$F:$F,MATCH(羁绊设计!CP64,羁绊设计!$D:$D,0)),"")</f>
        <v/>
      </c>
      <c r="AT64" s="9" t="str">
        <f>IFERROR(INDEX(羁绊设计!$F:$F,MATCH(羁绊设计!CR64,羁绊设计!$D:$D,0)),"")</f>
        <v/>
      </c>
      <c r="AU64" s="9" t="str">
        <f>IFERROR(INDEX(羁绊设计!$F:$F,MATCH(羁绊设计!CS64,羁绊设计!$D:$D,0)),"")</f>
        <v/>
      </c>
      <c r="AV64" s="9" t="str">
        <f>IFERROR(INDEX(羁绊设计!$F:$F,MATCH(羁绊设计!CT64,羁绊设计!$D:$D,0)),"")</f>
        <v/>
      </c>
      <c r="AW64" s="9" t="str">
        <f>IFERROR(INDEX(羁绊设计!$F:$F,MATCH(羁绊设计!CU64,羁绊设计!$D:$D,0)),"")</f>
        <v/>
      </c>
    </row>
    <row r="65" spans="2:49">
      <c r="B65" s="12" t="str">
        <f>羁绊设计!D65</f>
        <v>苏秦</v>
      </c>
      <c r="C65" s="7" t="str">
        <f t="shared" si="3"/>
        <v/>
      </c>
      <c r="D65" s="7" t="str">
        <f t="shared" si="3"/>
        <v/>
      </c>
      <c r="E65" s="7" t="str">
        <f t="shared" si="3"/>
        <v/>
      </c>
      <c r="F65" s="7">
        <f t="shared" si="3"/>
        <v>10</v>
      </c>
      <c r="G65" s="7" t="str">
        <f t="shared" si="3"/>
        <v/>
      </c>
      <c r="I65" s="9" t="str">
        <f t="shared" si="2"/>
        <v>橙,橙,橙,橙,橙,橙+,橙,橙+,橙,橙+,橙,橙,橙+,橙</v>
      </c>
      <c r="K65" s="9" t="str">
        <f>IFERROR(INDEX(羁绊设计!$F:$F,MATCH(羁绊设计!BI65,羁绊设计!$D:$D,0)),"")</f>
        <v>橙</v>
      </c>
      <c r="L65" s="9" t="str">
        <f>IFERROR(INDEX(羁绊设计!$F:$F,MATCH(羁绊设计!BJ65,羁绊设计!$D:$D,0)),"")</f>
        <v>橙</v>
      </c>
      <c r="M65" s="9" t="str">
        <f>IFERROR(INDEX(羁绊设计!$F:$F,MATCH(羁绊设计!BK65,羁绊设计!$D:$D,0)),"")</f>
        <v>橙</v>
      </c>
      <c r="N65" s="9" t="str">
        <f>IFERROR(INDEX(羁绊设计!$F:$F,MATCH(羁绊设计!BL65,羁绊设计!$D:$D,0)),"")</f>
        <v/>
      </c>
      <c r="P65" s="9" t="str">
        <f>IFERROR(INDEX(羁绊设计!$F:$F,MATCH(羁绊设计!BN65,羁绊设计!$D:$D,0)),"")</f>
        <v>橙</v>
      </c>
      <c r="Q65" s="9" t="str">
        <f>IFERROR(INDEX(羁绊设计!$F:$F,MATCH(羁绊设计!BO65,羁绊设计!$D:$D,0)),"")</f>
        <v/>
      </c>
      <c r="R65" s="9" t="str">
        <f>IFERROR(INDEX(羁绊设计!$F:$F,MATCH(羁绊设计!BP65,羁绊设计!$D:$D,0)),"")</f>
        <v/>
      </c>
      <c r="S65" s="9" t="str">
        <f>IFERROR(INDEX(羁绊设计!$F:$F,MATCH(羁绊设计!BQ65,羁绊设计!$D:$D,0)),"")</f>
        <v/>
      </c>
      <c r="U65" s="9" t="str">
        <f>IFERROR(INDEX(羁绊设计!$F:$F,MATCH(羁绊设计!BS65,羁绊设计!$D:$D,0)),"")</f>
        <v>橙</v>
      </c>
      <c r="V65" s="9" t="str">
        <f>IFERROR(INDEX(羁绊设计!$F:$F,MATCH(羁绊设计!BT65,羁绊设计!$D:$D,0)),"")</f>
        <v/>
      </c>
      <c r="W65" s="9" t="str">
        <f>IFERROR(INDEX(羁绊设计!$F:$F,MATCH(羁绊设计!BU65,羁绊设计!$D:$D,0)),"")</f>
        <v/>
      </c>
      <c r="X65" s="9" t="str">
        <f>IFERROR(INDEX(羁绊设计!$F:$F,MATCH(羁绊设计!BV65,羁绊设计!$D:$D,0)),"")</f>
        <v/>
      </c>
      <c r="Z65" s="9" t="str">
        <f>IFERROR(INDEX(羁绊设计!$F:$F,MATCH(羁绊设计!BX65,羁绊设计!$D:$D,0)),"")</f>
        <v>橙+</v>
      </c>
      <c r="AA65" s="9" t="str">
        <f>IFERROR(INDEX(羁绊设计!$F:$F,MATCH(羁绊设计!BY65,羁绊设计!$D:$D,0)),"")</f>
        <v/>
      </c>
      <c r="AB65" s="9" t="str">
        <f>IFERROR(INDEX(羁绊设计!$F:$F,MATCH(羁绊设计!BZ65,羁绊设计!$D:$D,0)),"")</f>
        <v>橙</v>
      </c>
      <c r="AC65" s="9" t="str">
        <f>IFERROR(INDEX(羁绊设计!$F:$F,MATCH(羁绊设计!CA65,羁绊设计!$D:$D,0)),"")</f>
        <v/>
      </c>
      <c r="AE65" s="9" t="str">
        <f>IFERROR(INDEX(羁绊设计!$F:$F,MATCH(羁绊设计!CC65,羁绊设计!$D:$D,0)),"")</f>
        <v>橙+</v>
      </c>
      <c r="AF65" s="9" t="str">
        <f>IFERROR(INDEX(羁绊设计!$F:$F,MATCH(羁绊设计!CD65,羁绊设计!$D:$D,0)),"")</f>
        <v/>
      </c>
      <c r="AG65" s="9" t="str">
        <f>IFERROR(INDEX(羁绊设计!$F:$F,MATCH(羁绊设计!CE65,羁绊设计!$D:$D,0)),"")</f>
        <v/>
      </c>
      <c r="AH65" s="9" t="str">
        <f>IFERROR(INDEX(羁绊设计!$F:$F,MATCH(羁绊设计!CF65,羁绊设计!$D:$D,0)),"")</f>
        <v>橙</v>
      </c>
      <c r="AJ65" s="9" t="str">
        <f>IFERROR(INDEX(羁绊设计!$F:$F,MATCH(羁绊设计!CH65,羁绊设计!$D:$D,0)),"")</f>
        <v>橙+</v>
      </c>
      <c r="AK65" s="9" t="str">
        <f>IFERROR(INDEX(羁绊设计!$F:$F,MATCH(羁绊设计!CI65,羁绊设计!$D:$D,0)),"")</f>
        <v/>
      </c>
      <c r="AL65" s="9" t="str">
        <f>IFERROR(INDEX(羁绊设计!$F:$F,MATCH(羁绊设计!CJ65,羁绊设计!$D:$D,0)),"")</f>
        <v>橙</v>
      </c>
      <c r="AM65" s="9" t="str">
        <f>IFERROR(INDEX(羁绊设计!$F:$F,MATCH(羁绊设计!CK65,羁绊设计!$D:$D,0)),"")</f>
        <v>橙</v>
      </c>
      <c r="AO65" s="9" t="str">
        <f>IFERROR(INDEX(羁绊设计!$F:$F,MATCH(羁绊设计!CM65,羁绊设计!$D:$D,0)),"")</f>
        <v>橙+</v>
      </c>
      <c r="AP65" s="9" t="str">
        <f>IFERROR(INDEX(羁绊设计!$F:$F,MATCH(羁绊设计!CN65,羁绊设计!$D:$D,0)),"")</f>
        <v/>
      </c>
      <c r="AQ65" s="9" t="str">
        <f>IFERROR(INDEX(羁绊设计!$F:$F,MATCH(羁绊设计!CO65,羁绊设计!$D:$D,0)),"")</f>
        <v/>
      </c>
      <c r="AR65" s="9" t="str">
        <f>IFERROR(INDEX(羁绊设计!$F:$F,MATCH(羁绊设计!CP65,羁绊设计!$D:$D,0)),"")</f>
        <v/>
      </c>
      <c r="AT65" s="9" t="str">
        <f>IFERROR(INDEX(羁绊设计!$F:$F,MATCH(羁绊设计!CR65,羁绊设计!$D:$D,0)),"")</f>
        <v>橙</v>
      </c>
      <c r="AU65" s="9" t="str">
        <f>IFERROR(INDEX(羁绊设计!$F:$F,MATCH(羁绊设计!CS65,羁绊设计!$D:$D,0)),"")</f>
        <v/>
      </c>
      <c r="AV65" s="9" t="str">
        <f>IFERROR(INDEX(羁绊设计!$F:$F,MATCH(羁绊设计!CT65,羁绊设计!$D:$D,0)),"")</f>
        <v/>
      </c>
      <c r="AW65" s="9" t="str">
        <f>IFERROR(INDEX(羁绊设计!$F:$F,MATCH(羁绊设计!CU65,羁绊设计!$D:$D,0)),"")</f>
        <v/>
      </c>
    </row>
    <row r="66" spans="2:49">
      <c r="B66" s="12" t="str">
        <f>羁绊设计!D66</f>
        <v>秦开</v>
      </c>
      <c r="C66" s="7" t="str">
        <f t="shared" si="3"/>
        <v/>
      </c>
      <c r="D66" s="7" t="str">
        <f t="shared" si="3"/>
        <v/>
      </c>
      <c r="E66" s="7">
        <f t="shared" si="3"/>
        <v>1</v>
      </c>
      <c r="F66" s="7">
        <f t="shared" si="3"/>
        <v>2</v>
      </c>
      <c r="G66" s="7" t="str">
        <f t="shared" si="3"/>
        <v/>
      </c>
      <c r="I66" s="9" t="str">
        <f t="shared" si="2"/>
        <v>紫,橙,橙</v>
      </c>
      <c r="K66" s="9" t="str">
        <f>IFERROR(INDEX(羁绊设计!$F:$F,MATCH(羁绊设计!BI66,羁绊设计!$D:$D,0)),"")</f>
        <v>紫</v>
      </c>
      <c r="L66" s="9" t="str">
        <f>IFERROR(INDEX(羁绊设计!$F:$F,MATCH(羁绊设计!BJ66,羁绊设计!$D:$D,0)),"")</f>
        <v>橙</v>
      </c>
      <c r="M66" s="9" t="str">
        <f>IFERROR(INDEX(羁绊设计!$F:$F,MATCH(羁绊设计!BK66,羁绊设计!$D:$D,0)),"")</f>
        <v/>
      </c>
      <c r="N66" s="9" t="str">
        <f>IFERROR(INDEX(羁绊设计!$F:$F,MATCH(羁绊设计!BL66,羁绊设计!$D:$D,0)),"")</f>
        <v/>
      </c>
      <c r="P66" s="9" t="str">
        <f>IFERROR(INDEX(羁绊设计!$F:$F,MATCH(羁绊设计!BN66,羁绊设计!$D:$D,0)),"")</f>
        <v/>
      </c>
      <c r="Q66" s="9" t="str">
        <f>IFERROR(INDEX(羁绊设计!$F:$F,MATCH(羁绊设计!BO66,羁绊设计!$D:$D,0)),"")</f>
        <v>橙</v>
      </c>
      <c r="R66" s="9" t="str">
        <f>IFERROR(INDEX(羁绊设计!$F:$F,MATCH(羁绊设计!BP66,羁绊设计!$D:$D,0)),"")</f>
        <v/>
      </c>
      <c r="S66" s="9" t="str">
        <f>IFERROR(INDEX(羁绊设计!$F:$F,MATCH(羁绊设计!BQ66,羁绊设计!$D:$D,0)),"")</f>
        <v/>
      </c>
      <c r="U66" s="9" t="str">
        <f>IFERROR(INDEX(羁绊设计!$F:$F,MATCH(羁绊设计!BS66,羁绊设计!$D:$D,0)),"")</f>
        <v/>
      </c>
      <c r="V66" s="9" t="str">
        <f>IFERROR(INDEX(羁绊设计!$F:$F,MATCH(羁绊设计!BT66,羁绊设计!$D:$D,0)),"")</f>
        <v/>
      </c>
      <c r="W66" s="9" t="str">
        <f>IFERROR(INDEX(羁绊设计!$F:$F,MATCH(羁绊设计!BU66,羁绊设计!$D:$D,0)),"")</f>
        <v/>
      </c>
      <c r="X66" s="9" t="str">
        <f>IFERROR(INDEX(羁绊设计!$F:$F,MATCH(羁绊设计!BV66,羁绊设计!$D:$D,0)),"")</f>
        <v/>
      </c>
      <c r="Z66" s="9" t="str">
        <f>IFERROR(INDEX(羁绊设计!$F:$F,MATCH(羁绊设计!BX66,羁绊设计!$D:$D,0)),"")</f>
        <v/>
      </c>
      <c r="AA66" s="9" t="str">
        <f>IFERROR(INDEX(羁绊设计!$F:$F,MATCH(羁绊设计!BY66,羁绊设计!$D:$D,0)),"")</f>
        <v/>
      </c>
      <c r="AB66" s="9" t="str">
        <f>IFERROR(INDEX(羁绊设计!$F:$F,MATCH(羁绊设计!BZ66,羁绊设计!$D:$D,0)),"")</f>
        <v/>
      </c>
      <c r="AC66" s="9" t="str">
        <f>IFERROR(INDEX(羁绊设计!$F:$F,MATCH(羁绊设计!CA66,羁绊设计!$D:$D,0)),"")</f>
        <v/>
      </c>
      <c r="AE66" s="9" t="str">
        <f>IFERROR(INDEX(羁绊设计!$F:$F,MATCH(羁绊设计!CC66,羁绊设计!$D:$D,0)),"")</f>
        <v/>
      </c>
      <c r="AF66" s="9" t="str">
        <f>IFERROR(INDEX(羁绊设计!$F:$F,MATCH(羁绊设计!CD66,羁绊设计!$D:$D,0)),"")</f>
        <v/>
      </c>
      <c r="AG66" s="9" t="str">
        <f>IFERROR(INDEX(羁绊设计!$F:$F,MATCH(羁绊设计!CE66,羁绊设计!$D:$D,0)),"")</f>
        <v/>
      </c>
      <c r="AH66" s="9" t="str">
        <f>IFERROR(INDEX(羁绊设计!$F:$F,MATCH(羁绊设计!CF66,羁绊设计!$D:$D,0)),"")</f>
        <v/>
      </c>
      <c r="AJ66" s="9" t="str">
        <f>IFERROR(INDEX(羁绊设计!$F:$F,MATCH(羁绊设计!CH66,羁绊设计!$D:$D,0)),"")</f>
        <v/>
      </c>
      <c r="AK66" s="9" t="str">
        <f>IFERROR(INDEX(羁绊设计!$F:$F,MATCH(羁绊设计!CI66,羁绊设计!$D:$D,0)),"")</f>
        <v/>
      </c>
      <c r="AL66" s="9" t="str">
        <f>IFERROR(INDEX(羁绊设计!$F:$F,MATCH(羁绊设计!CJ66,羁绊设计!$D:$D,0)),"")</f>
        <v/>
      </c>
      <c r="AM66" s="9" t="str">
        <f>IFERROR(INDEX(羁绊设计!$F:$F,MATCH(羁绊设计!CK66,羁绊设计!$D:$D,0)),"")</f>
        <v/>
      </c>
      <c r="AO66" s="9" t="str">
        <f>IFERROR(INDEX(羁绊设计!$F:$F,MATCH(羁绊设计!CM66,羁绊设计!$D:$D,0)),"")</f>
        <v/>
      </c>
      <c r="AP66" s="9" t="str">
        <f>IFERROR(INDEX(羁绊设计!$F:$F,MATCH(羁绊设计!CN66,羁绊设计!$D:$D,0)),"")</f>
        <v/>
      </c>
      <c r="AQ66" s="9" t="str">
        <f>IFERROR(INDEX(羁绊设计!$F:$F,MATCH(羁绊设计!CO66,羁绊设计!$D:$D,0)),"")</f>
        <v/>
      </c>
      <c r="AR66" s="9" t="str">
        <f>IFERROR(INDEX(羁绊设计!$F:$F,MATCH(羁绊设计!CP66,羁绊设计!$D:$D,0)),"")</f>
        <v/>
      </c>
      <c r="AT66" s="9" t="str">
        <f>IFERROR(INDEX(羁绊设计!$F:$F,MATCH(羁绊设计!CR66,羁绊设计!$D:$D,0)),"")</f>
        <v/>
      </c>
      <c r="AU66" s="9" t="str">
        <f>IFERROR(INDEX(羁绊设计!$F:$F,MATCH(羁绊设计!CS66,羁绊设计!$D:$D,0)),"")</f>
        <v/>
      </c>
      <c r="AV66" s="9" t="str">
        <f>IFERROR(INDEX(羁绊设计!$F:$F,MATCH(羁绊设计!CT66,羁绊设计!$D:$D,0)),"")</f>
        <v/>
      </c>
      <c r="AW66" s="9" t="str">
        <f>IFERROR(INDEX(羁绊设计!$F:$F,MATCH(羁绊设计!CU66,羁绊设计!$D:$D,0)),"")</f>
        <v/>
      </c>
    </row>
    <row r="67" spans="2:49">
      <c r="B67" s="12" t="str">
        <f>羁绊设计!D67</f>
        <v>墨子</v>
      </c>
      <c r="C67" s="7" t="str">
        <f t="shared" si="3"/>
        <v/>
      </c>
      <c r="D67" s="7" t="str">
        <f t="shared" si="3"/>
        <v/>
      </c>
      <c r="E67" s="7" t="str">
        <f t="shared" si="3"/>
        <v/>
      </c>
      <c r="F67" s="7">
        <f t="shared" si="3"/>
        <v>9</v>
      </c>
      <c r="G67" s="7" t="str">
        <f t="shared" si="3"/>
        <v/>
      </c>
      <c r="I67" s="9" t="str">
        <f t="shared" si="2"/>
        <v>橙+,橙,橙,橙,橙,橙,橙,橙,橙,橙</v>
      </c>
      <c r="K67" s="9" t="str">
        <f>IFERROR(INDEX(羁绊设计!$F:$F,MATCH(羁绊设计!BI67,羁绊设计!$D:$D,0)),"")</f>
        <v>橙+</v>
      </c>
      <c r="L67" s="9" t="str">
        <f>IFERROR(INDEX(羁绊设计!$F:$F,MATCH(羁绊设计!BJ67,羁绊设计!$D:$D,0)),"")</f>
        <v>橙</v>
      </c>
      <c r="M67" s="9" t="str">
        <f>IFERROR(INDEX(羁绊设计!$F:$F,MATCH(羁绊设计!BK67,羁绊设计!$D:$D,0)),"")</f>
        <v>橙</v>
      </c>
      <c r="N67" s="9" t="str">
        <f>IFERROR(INDEX(羁绊设计!$F:$F,MATCH(羁绊设计!BL67,羁绊设计!$D:$D,0)),"")</f>
        <v>橙</v>
      </c>
      <c r="P67" s="9" t="str">
        <f>IFERROR(INDEX(羁绊设计!$F:$F,MATCH(羁绊设计!BN67,羁绊设计!$D:$D,0)),"")</f>
        <v/>
      </c>
      <c r="Q67" s="9" t="str">
        <f>IFERROR(INDEX(羁绊设计!$F:$F,MATCH(羁绊设计!BO67,羁绊设计!$D:$D,0)),"")</f>
        <v>橙</v>
      </c>
      <c r="R67" s="9" t="str">
        <f>IFERROR(INDEX(羁绊设计!$F:$F,MATCH(羁绊设计!BP67,羁绊设计!$D:$D,0)),"")</f>
        <v>橙</v>
      </c>
      <c r="S67" s="9" t="str">
        <f>IFERROR(INDEX(羁绊设计!$F:$F,MATCH(羁绊设计!BQ67,羁绊设计!$D:$D,0)),"")</f>
        <v>橙</v>
      </c>
      <c r="U67" s="9" t="str">
        <f>IFERROR(INDEX(羁绊设计!$F:$F,MATCH(羁绊设计!BS67,羁绊设计!$D:$D,0)),"")</f>
        <v/>
      </c>
      <c r="V67" s="9" t="str">
        <f>IFERROR(INDEX(羁绊设计!$F:$F,MATCH(羁绊设计!BT67,羁绊设计!$D:$D,0)),"")</f>
        <v>橙</v>
      </c>
      <c r="W67" s="9" t="str">
        <f>IFERROR(INDEX(羁绊设计!$F:$F,MATCH(羁绊设计!BU67,羁绊设计!$D:$D,0)),"")</f>
        <v>橙</v>
      </c>
      <c r="X67" s="9" t="str">
        <f>IFERROR(INDEX(羁绊设计!$F:$F,MATCH(羁绊设计!BV67,羁绊设计!$D:$D,0)),"")</f>
        <v>橙</v>
      </c>
      <c r="Z67" s="9" t="str">
        <f>IFERROR(INDEX(羁绊设计!$F:$F,MATCH(羁绊设计!BX67,羁绊设计!$D:$D,0)),"")</f>
        <v/>
      </c>
      <c r="AA67" s="9" t="str">
        <f>IFERROR(INDEX(羁绊设计!$F:$F,MATCH(羁绊设计!BY67,羁绊设计!$D:$D,0)),"")</f>
        <v/>
      </c>
      <c r="AB67" s="9" t="str">
        <f>IFERROR(INDEX(羁绊设计!$F:$F,MATCH(羁绊设计!BZ67,羁绊设计!$D:$D,0)),"")</f>
        <v/>
      </c>
      <c r="AC67" s="9" t="str">
        <f>IFERROR(INDEX(羁绊设计!$F:$F,MATCH(羁绊设计!CA67,羁绊设计!$D:$D,0)),"")</f>
        <v/>
      </c>
      <c r="AE67" s="9" t="str">
        <f>IFERROR(INDEX(羁绊设计!$F:$F,MATCH(羁绊设计!CC67,羁绊设计!$D:$D,0)),"")</f>
        <v/>
      </c>
      <c r="AF67" s="9" t="str">
        <f>IFERROR(INDEX(羁绊设计!$F:$F,MATCH(羁绊设计!CD67,羁绊设计!$D:$D,0)),"")</f>
        <v/>
      </c>
      <c r="AG67" s="9" t="str">
        <f>IFERROR(INDEX(羁绊设计!$F:$F,MATCH(羁绊设计!CE67,羁绊设计!$D:$D,0)),"")</f>
        <v/>
      </c>
      <c r="AH67" s="9" t="str">
        <f>IFERROR(INDEX(羁绊设计!$F:$F,MATCH(羁绊设计!CF67,羁绊设计!$D:$D,0)),"")</f>
        <v/>
      </c>
      <c r="AJ67" s="9" t="str">
        <f>IFERROR(INDEX(羁绊设计!$F:$F,MATCH(羁绊设计!CH67,羁绊设计!$D:$D,0)),"")</f>
        <v/>
      </c>
      <c r="AK67" s="9" t="str">
        <f>IFERROR(INDEX(羁绊设计!$F:$F,MATCH(羁绊设计!CI67,羁绊设计!$D:$D,0)),"")</f>
        <v/>
      </c>
      <c r="AL67" s="9" t="str">
        <f>IFERROR(INDEX(羁绊设计!$F:$F,MATCH(羁绊设计!CJ67,羁绊设计!$D:$D,0)),"")</f>
        <v/>
      </c>
      <c r="AM67" s="9" t="str">
        <f>IFERROR(INDEX(羁绊设计!$F:$F,MATCH(羁绊设计!CK67,羁绊设计!$D:$D,0)),"")</f>
        <v/>
      </c>
      <c r="AO67" s="9" t="str">
        <f>IFERROR(INDEX(羁绊设计!$F:$F,MATCH(羁绊设计!CM67,羁绊设计!$D:$D,0)),"")</f>
        <v/>
      </c>
      <c r="AP67" s="9" t="str">
        <f>IFERROR(INDEX(羁绊设计!$F:$F,MATCH(羁绊设计!CN67,羁绊设计!$D:$D,0)),"")</f>
        <v/>
      </c>
      <c r="AQ67" s="9" t="str">
        <f>IFERROR(INDEX(羁绊设计!$F:$F,MATCH(羁绊设计!CO67,羁绊设计!$D:$D,0)),"")</f>
        <v/>
      </c>
      <c r="AR67" s="9" t="str">
        <f>IFERROR(INDEX(羁绊设计!$F:$F,MATCH(羁绊设计!CP67,羁绊设计!$D:$D,0)),"")</f>
        <v/>
      </c>
      <c r="AT67" s="9" t="str">
        <f>IFERROR(INDEX(羁绊设计!$F:$F,MATCH(羁绊设计!CR67,羁绊设计!$D:$D,0)),"")</f>
        <v/>
      </c>
      <c r="AU67" s="9" t="str">
        <f>IFERROR(INDEX(羁绊设计!$F:$F,MATCH(羁绊设计!CS67,羁绊设计!$D:$D,0)),"")</f>
        <v/>
      </c>
      <c r="AV67" s="9" t="str">
        <f>IFERROR(INDEX(羁绊设计!$F:$F,MATCH(羁绊设计!CT67,羁绊设计!$D:$D,0)),"")</f>
        <v/>
      </c>
      <c r="AW67" s="9" t="str">
        <f>IFERROR(INDEX(羁绊设计!$F:$F,MATCH(羁绊设计!CU67,羁绊设计!$D:$D,0)),"")</f>
        <v/>
      </c>
    </row>
    <row r="68" spans="2:49">
      <c r="B68" s="12" t="str">
        <f>羁绊设计!D68</f>
        <v>褒姒</v>
      </c>
      <c r="C68" s="7" t="str">
        <f t="shared" si="3"/>
        <v/>
      </c>
      <c r="D68" s="7" t="str">
        <f t="shared" si="3"/>
        <v/>
      </c>
      <c r="E68" s="7" t="str">
        <f t="shared" si="3"/>
        <v/>
      </c>
      <c r="F68" s="7">
        <f t="shared" si="3"/>
        <v>8</v>
      </c>
      <c r="G68" s="7" t="str">
        <f t="shared" si="3"/>
        <v/>
      </c>
      <c r="I68" s="9" t="str">
        <f t="shared" si="2"/>
        <v>橙+,橙,橙,橙,橙,橙,橙,橙,橙</v>
      </c>
      <c r="K68" s="9" t="str">
        <f>IFERROR(INDEX(羁绊设计!$F:$F,MATCH(羁绊设计!BI68,羁绊设计!$D:$D,0)),"")</f>
        <v>橙+</v>
      </c>
      <c r="L68" s="9" t="str">
        <f>IFERROR(INDEX(羁绊设计!$F:$F,MATCH(羁绊设计!BJ68,羁绊设计!$D:$D,0)),"")</f>
        <v>橙</v>
      </c>
      <c r="M68" s="9" t="str">
        <f>IFERROR(INDEX(羁绊设计!$F:$F,MATCH(羁绊设计!BK68,羁绊设计!$D:$D,0)),"")</f>
        <v>橙</v>
      </c>
      <c r="N68" s="9" t="str">
        <f>IFERROR(INDEX(羁绊设计!$F:$F,MATCH(羁绊设计!BL68,羁绊设计!$D:$D,0)),"")</f>
        <v/>
      </c>
      <c r="P68" s="9" t="str">
        <f>IFERROR(INDEX(羁绊设计!$F:$F,MATCH(羁绊设计!BN68,羁绊设计!$D:$D,0)),"")</f>
        <v>橙</v>
      </c>
      <c r="Q68" s="9" t="str">
        <f>IFERROR(INDEX(羁绊设计!$F:$F,MATCH(羁绊设计!BO68,羁绊设计!$D:$D,0)),"")</f>
        <v>橙</v>
      </c>
      <c r="R68" s="9" t="str">
        <f>IFERROR(INDEX(羁绊设计!$F:$F,MATCH(羁绊设计!BP68,羁绊设计!$D:$D,0)),"")</f>
        <v>橙</v>
      </c>
      <c r="S68" s="9" t="str">
        <f>IFERROR(INDEX(羁绊设计!$F:$F,MATCH(羁绊设计!BQ68,羁绊设计!$D:$D,0)),"")</f>
        <v/>
      </c>
      <c r="U68" s="9" t="str">
        <f>IFERROR(INDEX(羁绊设计!$F:$F,MATCH(羁绊设计!BS68,羁绊设计!$D:$D,0)),"")</f>
        <v/>
      </c>
      <c r="V68" s="9" t="str">
        <f>IFERROR(INDEX(羁绊设计!$F:$F,MATCH(羁绊设计!BT68,羁绊设计!$D:$D,0)),"")</f>
        <v>橙</v>
      </c>
      <c r="W68" s="9" t="str">
        <f>IFERROR(INDEX(羁绊设计!$F:$F,MATCH(羁绊设计!BU68,羁绊设计!$D:$D,0)),"")</f>
        <v>橙</v>
      </c>
      <c r="X68" s="9" t="str">
        <f>IFERROR(INDEX(羁绊设计!$F:$F,MATCH(羁绊设计!BV68,羁绊设计!$D:$D,0)),"")</f>
        <v>橙</v>
      </c>
      <c r="Z68" s="9" t="str">
        <f>IFERROR(INDEX(羁绊设计!$F:$F,MATCH(羁绊设计!BX68,羁绊设计!$D:$D,0)),"")</f>
        <v/>
      </c>
      <c r="AA68" s="9" t="str">
        <f>IFERROR(INDEX(羁绊设计!$F:$F,MATCH(羁绊设计!BY68,羁绊设计!$D:$D,0)),"")</f>
        <v/>
      </c>
      <c r="AB68" s="9" t="str">
        <f>IFERROR(INDEX(羁绊设计!$F:$F,MATCH(羁绊设计!BZ68,羁绊设计!$D:$D,0)),"")</f>
        <v/>
      </c>
      <c r="AC68" s="9" t="str">
        <f>IFERROR(INDEX(羁绊设计!$F:$F,MATCH(羁绊设计!CA68,羁绊设计!$D:$D,0)),"")</f>
        <v/>
      </c>
      <c r="AE68" s="9" t="str">
        <f>IFERROR(INDEX(羁绊设计!$F:$F,MATCH(羁绊设计!CC68,羁绊设计!$D:$D,0)),"")</f>
        <v/>
      </c>
      <c r="AF68" s="9" t="str">
        <f>IFERROR(INDEX(羁绊设计!$F:$F,MATCH(羁绊设计!CD68,羁绊设计!$D:$D,0)),"")</f>
        <v/>
      </c>
      <c r="AG68" s="9" t="str">
        <f>IFERROR(INDEX(羁绊设计!$F:$F,MATCH(羁绊设计!CE68,羁绊设计!$D:$D,0)),"")</f>
        <v/>
      </c>
      <c r="AH68" s="9" t="str">
        <f>IFERROR(INDEX(羁绊设计!$F:$F,MATCH(羁绊设计!CF68,羁绊设计!$D:$D,0)),"")</f>
        <v/>
      </c>
      <c r="AJ68" s="9" t="str">
        <f>IFERROR(INDEX(羁绊设计!$F:$F,MATCH(羁绊设计!CH68,羁绊设计!$D:$D,0)),"")</f>
        <v/>
      </c>
      <c r="AK68" s="9" t="str">
        <f>IFERROR(INDEX(羁绊设计!$F:$F,MATCH(羁绊设计!CI68,羁绊设计!$D:$D,0)),"")</f>
        <v/>
      </c>
      <c r="AL68" s="9" t="str">
        <f>IFERROR(INDEX(羁绊设计!$F:$F,MATCH(羁绊设计!CJ68,羁绊设计!$D:$D,0)),"")</f>
        <v/>
      </c>
      <c r="AM68" s="9" t="str">
        <f>IFERROR(INDEX(羁绊设计!$F:$F,MATCH(羁绊设计!CK68,羁绊设计!$D:$D,0)),"")</f>
        <v/>
      </c>
      <c r="AO68" s="9" t="str">
        <f>IFERROR(INDEX(羁绊设计!$F:$F,MATCH(羁绊设计!CM68,羁绊设计!$D:$D,0)),"")</f>
        <v/>
      </c>
      <c r="AP68" s="9" t="str">
        <f>IFERROR(INDEX(羁绊设计!$F:$F,MATCH(羁绊设计!CN68,羁绊设计!$D:$D,0)),"")</f>
        <v/>
      </c>
      <c r="AQ68" s="9" t="str">
        <f>IFERROR(INDEX(羁绊设计!$F:$F,MATCH(羁绊设计!CO68,羁绊设计!$D:$D,0)),"")</f>
        <v/>
      </c>
      <c r="AR68" s="9" t="str">
        <f>IFERROR(INDEX(羁绊设计!$F:$F,MATCH(羁绊设计!CP68,羁绊设计!$D:$D,0)),"")</f>
        <v/>
      </c>
      <c r="AT68" s="9" t="str">
        <f>IFERROR(INDEX(羁绊设计!$F:$F,MATCH(羁绊设计!CR68,羁绊设计!$D:$D,0)),"")</f>
        <v/>
      </c>
      <c r="AU68" s="9" t="str">
        <f>IFERROR(INDEX(羁绊设计!$F:$F,MATCH(羁绊设计!CS68,羁绊设计!$D:$D,0)),"")</f>
        <v/>
      </c>
      <c r="AV68" s="9" t="str">
        <f>IFERROR(INDEX(羁绊设计!$F:$F,MATCH(羁绊设计!CT68,羁绊设计!$D:$D,0)),"")</f>
        <v/>
      </c>
      <c r="AW68" s="9" t="str">
        <f>IFERROR(INDEX(羁绊设计!$F:$F,MATCH(羁绊设计!CU68,羁绊设计!$D:$D,0)),"")</f>
        <v/>
      </c>
    </row>
    <row r="69" spans="2:49">
      <c r="B69" s="12" t="str">
        <f>羁绊设计!D69</f>
        <v>鲁班</v>
      </c>
      <c r="C69" s="7" t="str">
        <f t="shared" si="3"/>
        <v/>
      </c>
      <c r="D69" s="7" t="str">
        <f t="shared" si="3"/>
        <v/>
      </c>
      <c r="E69" s="7" t="str">
        <f t="shared" si="3"/>
        <v/>
      </c>
      <c r="F69" s="7">
        <f t="shared" si="3"/>
        <v>5</v>
      </c>
      <c r="G69" s="7" t="str">
        <f t="shared" si="3"/>
        <v/>
      </c>
      <c r="I69" s="9" t="str">
        <f t="shared" si="2"/>
        <v>橙,橙,橙,橙,橙,橙+</v>
      </c>
      <c r="K69" s="9" t="str">
        <f>IFERROR(INDEX(羁绊设计!$F:$F,MATCH(羁绊设计!BI69,羁绊设计!$D:$D,0)),"")</f>
        <v>橙</v>
      </c>
      <c r="L69" s="9" t="str">
        <f>IFERROR(INDEX(羁绊设计!$F:$F,MATCH(羁绊设计!BJ69,羁绊设计!$D:$D,0)),"")</f>
        <v>橙</v>
      </c>
      <c r="M69" s="9" t="str">
        <f>IFERROR(INDEX(羁绊设计!$F:$F,MATCH(羁绊设计!BK69,羁绊设计!$D:$D,0)),"")</f>
        <v/>
      </c>
      <c r="N69" s="9" t="str">
        <f>IFERROR(INDEX(羁绊设计!$F:$F,MATCH(羁绊设计!BL69,羁绊设计!$D:$D,0)),"")</f>
        <v/>
      </c>
      <c r="P69" s="9" t="str">
        <f>IFERROR(INDEX(羁绊设计!$F:$F,MATCH(羁绊设计!BN69,羁绊设计!$D:$D,0)),"")</f>
        <v/>
      </c>
      <c r="Q69" s="9" t="str">
        <f>IFERROR(INDEX(羁绊设计!$F:$F,MATCH(羁绊设计!BO69,羁绊设计!$D:$D,0)),"")</f>
        <v>橙</v>
      </c>
      <c r="R69" s="9" t="str">
        <f>IFERROR(INDEX(羁绊设计!$F:$F,MATCH(羁绊设计!BP69,羁绊设计!$D:$D,0)),"")</f>
        <v/>
      </c>
      <c r="S69" s="9" t="str">
        <f>IFERROR(INDEX(羁绊设计!$F:$F,MATCH(羁绊设计!BQ69,羁绊设计!$D:$D,0)),"")</f>
        <v/>
      </c>
      <c r="U69" s="9" t="str">
        <f>IFERROR(INDEX(羁绊设计!$F:$F,MATCH(羁绊设计!BS69,羁绊设计!$D:$D,0)),"")</f>
        <v/>
      </c>
      <c r="V69" s="9" t="str">
        <f>IFERROR(INDEX(羁绊设计!$F:$F,MATCH(羁绊设计!BT69,羁绊设计!$D:$D,0)),"")</f>
        <v>橙</v>
      </c>
      <c r="W69" s="9" t="str">
        <f>IFERROR(INDEX(羁绊设计!$F:$F,MATCH(羁绊设计!BU69,羁绊设计!$D:$D,0)),"")</f>
        <v>橙</v>
      </c>
      <c r="X69" s="9" t="str">
        <f>IFERROR(INDEX(羁绊设计!$F:$F,MATCH(羁绊设计!BV69,羁绊设计!$D:$D,0)),"")</f>
        <v/>
      </c>
      <c r="Z69" s="9" t="str">
        <f>IFERROR(INDEX(羁绊设计!$F:$F,MATCH(羁绊设计!BX69,羁绊设计!$D:$D,0)),"")</f>
        <v>橙+</v>
      </c>
      <c r="AA69" s="9" t="str">
        <f>IFERROR(INDEX(羁绊设计!$F:$F,MATCH(羁绊设计!BY69,羁绊设计!$D:$D,0)),"")</f>
        <v/>
      </c>
      <c r="AB69" s="9" t="str">
        <f>IFERROR(INDEX(羁绊设计!$F:$F,MATCH(羁绊设计!BZ69,羁绊设计!$D:$D,0)),"")</f>
        <v/>
      </c>
      <c r="AC69" s="9" t="str">
        <f>IFERROR(INDEX(羁绊设计!$F:$F,MATCH(羁绊设计!CA69,羁绊设计!$D:$D,0)),"")</f>
        <v/>
      </c>
      <c r="AE69" s="9" t="str">
        <f>IFERROR(INDEX(羁绊设计!$F:$F,MATCH(羁绊设计!CC69,羁绊设计!$D:$D,0)),"")</f>
        <v/>
      </c>
      <c r="AF69" s="9" t="str">
        <f>IFERROR(INDEX(羁绊设计!$F:$F,MATCH(羁绊设计!CD69,羁绊设计!$D:$D,0)),"")</f>
        <v/>
      </c>
      <c r="AG69" s="9" t="str">
        <f>IFERROR(INDEX(羁绊设计!$F:$F,MATCH(羁绊设计!CE69,羁绊设计!$D:$D,0)),"")</f>
        <v/>
      </c>
      <c r="AH69" s="9" t="str">
        <f>IFERROR(INDEX(羁绊设计!$F:$F,MATCH(羁绊设计!CF69,羁绊设计!$D:$D,0)),"")</f>
        <v/>
      </c>
      <c r="AJ69" s="9" t="str">
        <f>IFERROR(INDEX(羁绊设计!$F:$F,MATCH(羁绊设计!CH69,羁绊设计!$D:$D,0)),"")</f>
        <v/>
      </c>
      <c r="AK69" s="9" t="str">
        <f>IFERROR(INDEX(羁绊设计!$F:$F,MATCH(羁绊设计!CI69,羁绊设计!$D:$D,0)),"")</f>
        <v/>
      </c>
      <c r="AL69" s="9" t="str">
        <f>IFERROR(INDEX(羁绊设计!$F:$F,MATCH(羁绊设计!CJ69,羁绊设计!$D:$D,0)),"")</f>
        <v/>
      </c>
      <c r="AM69" s="9" t="str">
        <f>IFERROR(INDEX(羁绊设计!$F:$F,MATCH(羁绊设计!CK69,羁绊设计!$D:$D,0)),"")</f>
        <v/>
      </c>
      <c r="AO69" s="9" t="str">
        <f>IFERROR(INDEX(羁绊设计!$F:$F,MATCH(羁绊设计!CM69,羁绊设计!$D:$D,0)),"")</f>
        <v/>
      </c>
      <c r="AP69" s="9" t="str">
        <f>IFERROR(INDEX(羁绊设计!$F:$F,MATCH(羁绊设计!CN69,羁绊设计!$D:$D,0)),"")</f>
        <v/>
      </c>
      <c r="AQ69" s="9" t="str">
        <f>IFERROR(INDEX(羁绊设计!$F:$F,MATCH(羁绊设计!CO69,羁绊设计!$D:$D,0)),"")</f>
        <v/>
      </c>
      <c r="AR69" s="9" t="str">
        <f>IFERROR(INDEX(羁绊设计!$F:$F,MATCH(羁绊设计!CP69,羁绊设计!$D:$D,0)),"")</f>
        <v/>
      </c>
      <c r="AT69" s="9" t="str">
        <f>IFERROR(INDEX(羁绊设计!$F:$F,MATCH(羁绊设计!CR69,羁绊设计!$D:$D,0)),"")</f>
        <v/>
      </c>
      <c r="AU69" s="9" t="str">
        <f>IFERROR(INDEX(羁绊设计!$F:$F,MATCH(羁绊设计!CS69,羁绊设计!$D:$D,0)),"")</f>
        <v/>
      </c>
      <c r="AV69" s="9" t="str">
        <f>IFERROR(INDEX(羁绊设计!$F:$F,MATCH(羁绊设计!CT69,羁绊设计!$D:$D,0)),"")</f>
        <v/>
      </c>
      <c r="AW69" s="9" t="str">
        <f>IFERROR(INDEX(羁绊设计!$F:$F,MATCH(羁绊设计!CU69,羁绊设计!$D:$D,0)),"")</f>
        <v/>
      </c>
    </row>
    <row r="70" spans="2:49">
      <c r="B70" s="12" t="str">
        <f>羁绊设计!D70</f>
        <v>伍子胥</v>
      </c>
      <c r="C70" s="7" t="str">
        <f t="shared" si="3"/>
        <v/>
      </c>
      <c r="D70" s="7" t="str">
        <f t="shared" si="3"/>
        <v/>
      </c>
      <c r="E70" s="7">
        <f t="shared" si="3"/>
        <v>2</v>
      </c>
      <c r="F70" s="7">
        <f t="shared" si="3"/>
        <v>10</v>
      </c>
      <c r="G70" s="7" t="str">
        <f t="shared" si="3"/>
        <v/>
      </c>
      <c r="I70" s="9" t="str">
        <f t="shared" si="2"/>
        <v>紫,紫,橙,橙,橙,橙+,橙,橙,橙+,橙,橙,橙,橙+,橙,橙</v>
      </c>
      <c r="K70" s="9" t="str">
        <f>IFERROR(INDEX(羁绊设计!$F:$F,MATCH(羁绊设计!BI70,羁绊设计!$D:$D,0)),"")</f>
        <v>紫</v>
      </c>
      <c r="L70" s="9" t="str">
        <f>IFERROR(INDEX(羁绊设计!$F:$F,MATCH(羁绊设计!BJ70,羁绊设计!$D:$D,0)),"")</f>
        <v>紫</v>
      </c>
      <c r="M70" s="9" t="str">
        <f>IFERROR(INDEX(羁绊设计!$F:$F,MATCH(羁绊设计!BK70,羁绊设计!$D:$D,0)),"")</f>
        <v>橙</v>
      </c>
      <c r="N70" s="9" t="str">
        <f>IFERROR(INDEX(羁绊设计!$F:$F,MATCH(羁绊设计!BL70,羁绊设计!$D:$D,0)),"")</f>
        <v/>
      </c>
      <c r="P70" s="9" t="str">
        <f>IFERROR(INDEX(羁绊设计!$F:$F,MATCH(羁绊设计!BN70,羁绊设计!$D:$D,0)),"")</f>
        <v/>
      </c>
      <c r="Q70" s="9" t="str">
        <f>IFERROR(INDEX(羁绊设计!$F:$F,MATCH(羁绊设计!BO70,羁绊设计!$D:$D,0)),"")</f>
        <v>橙</v>
      </c>
      <c r="R70" s="9" t="str">
        <f>IFERROR(INDEX(羁绊设计!$F:$F,MATCH(羁绊设计!BP70,羁绊设计!$D:$D,0)),"")</f>
        <v/>
      </c>
      <c r="S70" s="9" t="str">
        <f>IFERROR(INDEX(羁绊设计!$F:$F,MATCH(羁绊设计!BQ70,羁绊设计!$D:$D,0)),"")</f>
        <v/>
      </c>
      <c r="U70" s="9" t="str">
        <f>IFERROR(INDEX(羁绊设计!$F:$F,MATCH(羁绊设计!BS70,羁绊设计!$D:$D,0)),"")</f>
        <v>橙</v>
      </c>
      <c r="V70" s="9" t="str">
        <f>IFERROR(INDEX(羁绊设计!$F:$F,MATCH(羁绊设计!BT70,羁绊设计!$D:$D,0)),"")</f>
        <v/>
      </c>
      <c r="W70" s="9" t="str">
        <f>IFERROR(INDEX(羁绊设计!$F:$F,MATCH(羁绊设计!BU70,羁绊设计!$D:$D,0)),"")</f>
        <v/>
      </c>
      <c r="X70" s="9" t="str">
        <f>IFERROR(INDEX(羁绊设计!$F:$F,MATCH(羁绊设计!BV70,羁绊设计!$D:$D,0)),"")</f>
        <v/>
      </c>
      <c r="Z70" s="9" t="str">
        <f>IFERROR(INDEX(羁绊设计!$F:$F,MATCH(羁绊设计!BX70,羁绊设计!$D:$D,0)),"")</f>
        <v>橙+</v>
      </c>
      <c r="AA70" s="9" t="str">
        <f>IFERROR(INDEX(羁绊设计!$F:$F,MATCH(羁绊设计!BY70,羁绊设计!$D:$D,0)),"")</f>
        <v/>
      </c>
      <c r="AB70" s="9" t="str">
        <f>IFERROR(INDEX(羁绊设计!$F:$F,MATCH(羁绊设计!BZ70,羁绊设计!$D:$D,0)),"")</f>
        <v>橙</v>
      </c>
      <c r="AC70" s="9" t="str">
        <f>IFERROR(INDEX(羁绊设计!$F:$F,MATCH(羁绊设计!CA70,羁绊设计!$D:$D,0)),"")</f>
        <v>橙</v>
      </c>
      <c r="AE70" s="9" t="str">
        <f>IFERROR(INDEX(羁绊设计!$F:$F,MATCH(羁绊设计!CC70,羁绊设计!$D:$D,0)),"")</f>
        <v>橙+</v>
      </c>
      <c r="AF70" s="9" t="str">
        <f>IFERROR(INDEX(羁绊设计!$F:$F,MATCH(羁绊设计!CD70,羁绊设计!$D:$D,0)),"")</f>
        <v>橙</v>
      </c>
      <c r="AG70" s="9" t="str">
        <f>IFERROR(INDEX(羁绊设计!$F:$F,MATCH(羁绊设计!CE70,羁绊设计!$D:$D,0)),"")</f>
        <v/>
      </c>
      <c r="AH70" s="9" t="str">
        <f>IFERROR(INDEX(羁绊设计!$F:$F,MATCH(羁绊设计!CF70,羁绊设计!$D:$D,0)),"")</f>
        <v>橙</v>
      </c>
      <c r="AJ70" s="9" t="str">
        <f>IFERROR(INDEX(羁绊设计!$F:$F,MATCH(羁绊设计!CH70,羁绊设计!$D:$D,0)),"")</f>
        <v>橙</v>
      </c>
      <c r="AK70" s="9" t="str">
        <f>IFERROR(INDEX(羁绊设计!$F:$F,MATCH(羁绊设计!CI70,羁绊设计!$D:$D,0)),"")</f>
        <v/>
      </c>
      <c r="AL70" s="9" t="str">
        <f>IFERROR(INDEX(羁绊设计!$F:$F,MATCH(羁绊设计!CJ70,羁绊设计!$D:$D,0)),"")</f>
        <v/>
      </c>
      <c r="AM70" s="9" t="str">
        <f>IFERROR(INDEX(羁绊设计!$F:$F,MATCH(羁绊设计!CK70,羁绊设计!$D:$D,0)),"")</f>
        <v/>
      </c>
      <c r="AO70" s="9" t="str">
        <f>IFERROR(INDEX(羁绊设计!$F:$F,MATCH(羁绊设计!CM70,羁绊设计!$D:$D,0)),"")</f>
        <v>橙+</v>
      </c>
      <c r="AP70" s="9" t="str">
        <f>IFERROR(INDEX(羁绊设计!$F:$F,MATCH(羁绊设计!CN70,羁绊设计!$D:$D,0)),"")</f>
        <v/>
      </c>
      <c r="AQ70" s="9" t="str">
        <f>IFERROR(INDEX(羁绊设计!$F:$F,MATCH(羁绊设计!CO70,羁绊设计!$D:$D,0)),"")</f>
        <v/>
      </c>
      <c r="AR70" s="9" t="str">
        <f>IFERROR(INDEX(羁绊设计!$F:$F,MATCH(羁绊设计!CP70,羁绊设计!$D:$D,0)),"")</f>
        <v>橙</v>
      </c>
      <c r="AT70" s="9" t="str">
        <f>IFERROR(INDEX(羁绊设计!$F:$F,MATCH(羁绊设计!CR70,羁绊设计!$D:$D,0)),"")</f>
        <v>橙</v>
      </c>
      <c r="AU70" s="9" t="str">
        <f>IFERROR(INDEX(羁绊设计!$F:$F,MATCH(羁绊设计!CS70,羁绊设计!$D:$D,0)),"")</f>
        <v/>
      </c>
      <c r="AV70" s="9" t="str">
        <f>IFERROR(INDEX(羁绊设计!$F:$F,MATCH(羁绊设计!CT70,羁绊设计!$D:$D,0)),"")</f>
        <v/>
      </c>
      <c r="AW70" s="9" t="str">
        <f>IFERROR(INDEX(羁绊设计!$F:$F,MATCH(羁绊设计!CU70,羁绊设计!$D:$D,0)),"")</f>
        <v/>
      </c>
    </row>
    <row r="71" spans="2:49">
      <c r="B71" s="12" t="str">
        <f>羁绊设计!D71</f>
        <v>欧冶子</v>
      </c>
      <c r="C71" s="7" t="str">
        <f t="shared" si="3"/>
        <v/>
      </c>
      <c r="D71" s="7" t="str">
        <f t="shared" si="3"/>
        <v/>
      </c>
      <c r="E71" s="7">
        <f t="shared" si="3"/>
        <v>1</v>
      </c>
      <c r="F71" s="7">
        <f t="shared" si="3"/>
        <v>5</v>
      </c>
      <c r="G71" s="7" t="str">
        <f t="shared" si="3"/>
        <v/>
      </c>
      <c r="I71" s="9" t="str">
        <f t="shared" si="2"/>
        <v>橙,橙,橙,紫,橙,橙+,橙+,橙,橙+</v>
      </c>
      <c r="K71" s="9" t="str">
        <f>IFERROR(INDEX(羁绊设计!$F:$F,MATCH(羁绊设计!BI71,羁绊设计!$D:$D,0)),"")</f>
        <v>橙</v>
      </c>
      <c r="L71" s="9" t="str">
        <f>IFERROR(INDEX(羁绊设计!$F:$F,MATCH(羁绊设计!BJ71,羁绊设计!$D:$D,0)),"")</f>
        <v>橙</v>
      </c>
      <c r="M71" s="9" t="str">
        <f>IFERROR(INDEX(羁绊设计!$F:$F,MATCH(羁绊设计!BK71,羁绊设计!$D:$D,0)),"")</f>
        <v>橙</v>
      </c>
      <c r="N71" s="9" t="str">
        <f>IFERROR(INDEX(羁绊设计!$F:$F,MATCH(羁绊设计!BL71,羁绊设计!$D:$D,0)),"")</f>
        <v/>
      </c>
      <c r="P71" s="9" t="str">
        <f>IFERROR(INDEX(羁绊设计!$F:$F,MATCH(羁绊设计!BN71,羁绊设计!$D:$D,0)),"")</f>
        <v/>
      </c>
      <c r="Q71" s="9" t="str">
        <f>IFERROR(INDEX(羁绊设计!$F:$F,MATCH(羁绊设计!BO71,羁绊设计!$D:$D,0)),"")</f>
        <v>紫</v>
      </c>
      <c r="R71" s="9" t="str">
        <f>IFERROR(INDEX(羁绊设计!$F:$F,MATCH(羁绊设计!BP71,羁绊设计!$D:$D,0)),"")</f>
        <v/>
      </c>
      <c r="S71" s="9" t="str">
        <f>IFERROR(INDEX(羁绊设计!$F:$F,MATCH(羁绊设计!BQ71,羁绊设计!$D:$D,0)),"")</f>
        <v/>
      </c>
      <c r="U71" s="9" t="str">
        <f>IFERROR(INDEX(羁绊设计!$F:$F,MATCH(羁绊设计!BS71,羁绊设计!$D:$D,0)),"")</f>
        <v>橙</v>
      </c>
      <c r="V71" s="9" t="str">
        <f>IFERROR(INDEX(羁绊设计!$F:$F,MATCH(羁绊设计!BT71,羁绊设计!$D:$D,0)),"")</f>
        <v/>
      </c>
      <c r="W71" s="9" t="str">
        <f>IFERROR(INDEX(羁绊设计!$F:$F,MATCH(羁绊设计!BU71,羁绊设计!$D:$D,0)),"")</f>
        <v/>
      </c>
      <c r="X71" s="9" t="str">
        <f>IFERROR(INDEX(羁绊设计!$F:$F,MATCH(羁绊设计!BV71,羁绊设计!$D:$D,0)),"")</f>
        <v/>
      </c>
      <c r="Z71" s="9" t="str">
        <f>IFERROR(INDEX(羁绊设计!$F:$F,MATCH(羁绊设计!BX71,羁绊设计!$D:$D,0)),"")</f>
        <v>橙+</v>
      </c>
      <c r="AA71" s="9" t="str">
        <f>IFERROR(INDEX(羁绊设计!$F:$F,MATCH(羁绊设计!BY71,羁绊设计!$D:$D,0)),"")</f>
        <v/>
      </c>
      <c r="AB71" s="9" t="str">
        <f>IFERROR(INDEX(羁绊设计!$F:$F,MATCH(羁绊设计!BZ71,羁绊设计!$D:$D,0)),"")</f>
        <v/>
      </c>
      <c r="AC71" s="9" t="str">
        <f>IFERROR(INDEX(羁绊设计!$F:$F,MATCH(羁绊设计!CA71,羁绊设计!$D:$D,0)),"")</f>
        <v/>
      </c>
      <c r="AE71" s="9" t="str">
        <f>IFERROR(INDEX(羁绊设计!$F:$F,MATCH(羁绊设计!CC71,羁绊设计!$D:$D,0)),"")</f>
        <v>橙+</v>
      </c>
      <c r="AF71" s="9" t="str">
        <f>IFERROR(INDEX(羁绊设计!$F:$F,MATCH(羁绊设计!CD71,羁绊设计!$D:$D,0)),"")</f>
        <v/>
      </c>
      <c r="AG71" s="9" t="str">
        <f>IFERROR(INDEX(羁绊设计!$F:$F,MATCH(羁绊设计!CE71,羁绊设计!$D:$D,0)),"")</f>
        <v>橙</v>
      </c>
      <c r="AH71" s="9" t="str">
        <f>IFERROR(INDEX(羁绊设计!$F:$F,MATCH(羁绊设计!CF71,羁绊设计!$D:$D,0)),"")</f>
        <v>橙+</v>
      </c>
      <c r="AJ71" s="9" t="str">
        <f>IFERROR(INDEX(羁绊设计!$F:$F,MATCH(羁绊设计!CH71,羁绊设计!$D:$D,0)),"")</f>
        <v/>
      </c>
      <c r="AK71" s="9" t="str">
        <f>IFERROR(INDEX(羁绊设计!$F:$F,MATCH(羁绊设计!CI71,羁绊设计!$D:$D,0)),"")</f>
        <v/>
      </c>
      <c r="AL71" s="9" t="str">
        <f>IFERROR(INDEX(羁绊设计!$F:$F,MATCH(羁绊设计!CJ71,羁绊设计!$D:$D,0)),"")</f>
        <v/>
      </c>
      <c r="AM71" s="9" t="str">
        <f>IFERROR(INDEX(羁绊设计!$F:$F,MATCH(羁绊设计!CK71,羁绊设计!$D:$D,0)),"")</f>
        <v/>
      </c>
      <c r="AO71" s="9" t="str">
        <f>IFERROR(INDEX(羁绊设计!$F:$F,MATCH(羁绊设计!CM71,羁绊设计!$D:$D,0)),"")</f>
        <v/>
      </c>
      <c r="AP71" s="9" t="str">
        <f>IFERROR(INDEX(羁绊设计!$F:$F,MATCH(羁绊设计!CN71,羁绊设计!$D:$D,0)),"")</f>
        <v/>
      </c>
      <c r="AQ71" s="9" t="str">
        <f>IFERROR(INDEX(羁绊设计!$F:$F,MATCH(羁绊设计!CO71,羁绊设计!$D:$D,0)),"")</f>
        <v/>
      </c>
      <c r="AR71" s="9" t="str">
        <f>IFERROR(INDEX(羁绊设计!$F:$F,MATCH(羁绊设计!CP71,羁绊设计!$D:$D,0)),"")</f>
        <v/>
      </c>
      <c r="AT71" s="9" t="str">
        <f>IFERROR(INDEX(羁绊设计!$F:$F,MATCH(羁绊设计!CR71,羁绊设计!$D:$D,0)),"")</f>
        <v/>
      </c>
      <c r="AU71" s="9" t="str">
        <f>IFERROR(INDEX(羁绊设计!$F:$F,MATCH(羁绊设计!CS71,羁绊设计!$D:$D,0)),"")</f>
        <v/>
      </c>
      <c r="AV71" s="9" t="str">
        <f>IFERROR(INDEX(羁绊设计!$F:$F,MATCH(羁绊设计!CT71,羁绊设计!$D:$D,0)),"")</f>
        <v/>
      </c>
      <c r="AW71" s="9" t="str">
        <f>IFERROR(INDEX(羁绊设计!$F:$F,MATCH(羁绊设计!CU71,羁绊设计!$D:$D,0)),"")</f>
        <v/>
      </c>
    </row>
    <row r="72" spans="2:49">
      <c r="B72" s="12" t="str">
        <f>羁绊设计!D72</f>
        <v>勾践</v>
      </c>
      <c r="C72" s="7" t="str">
        <f t="shared" si="3"/>
        <v/>
      </c>
      <c r="D72" s="7" t="str">
        <f t="shared" si="3"/>
        <v/>
      </c>
      <c r="E72" s="7">
        <f t="shared" si="3"/>
        <v>1</v>
      </c>
      <c r="F72" s="7">
        <f t="shared" si="3"/>
        <v>4</v>
      </c>
      <c r="G72" s="7" t="str">
        <f t="shared" si="3"/>
        <v/>
      </c>
      <c r="I72" s="9" t="str">
        <f t="shared" si="2"/>
        <v>橙,橙,橙,橙,紫,橙+,橙+,橙+,橙+,橙+</v>
      </c>
      <c r="K72" s="9" t="str">
        <f>IFERROR(INDEX(羁绊设计!$F:$F,MATCH(羁绊设计!BI72,羁绊设计!$D:$D,0)),"")</f>
        <v>橙</v>
      </c>
      <c r="L72" s="9" t="str">
        <f>IFERROR(INDEX(羁绊设计!$F:$F,MATCH(羁绊设计!BJ72,羁绊设计!$D:$D,0)),"")</f>
        <v>橙</v>
      </c>
      <c r="M72" s="9" t="str">
        <f>IFERROR(INDEX(羁绊设计!$F:$F,MATCH(羁绊设计!BK72,羁绊设计!$D:$D,0)),"")</f>
        <v>橙</v>
      </c>
      <c r="N72" s="9" t="str">
        <f>IFERROR(INDEX(羁绊设计!$F:$F,MATCH(羁绊设计!BL72,羁绊设计!$D:$D,0)),"")</f>
        <v/>
      </c>
      <c r="P72" s="9" t="str">
        <f>IFERROR(INDEX(羁绊设计!$F:$F,MATCH(羁绊设计!BN72,羁绊设计!$D:$D,0)),"")</f>
        <v>橙</v>
      </c>
      <c r="Q72" s="9" t="str">
        <f>IFERROR(INDEX(羁绊设计!$F:$F,MATCH(羁绊设计!BO72,羁绊设计!$D:$D,0)),"")</f>
        <v/>
      </c>
      <c r="R72" s="9" t="str">
        <f>IFERROR(INDEX(羁绊设计!$F:$F,MATCH(羁绊设计!BP72,羁绊设计!$D:$D,0)),"")</f>
        <v/>
      </c>
      <c r="S72" s="9" t="str">
        <f>IFERROR(INDEX(羁绊设计!$F:$F,MATCH(羁绊设计!BQ72,羁绊设计!$D:$D,0)),"")</f>
        <v/>
      </c>
      <c r="U72" s="9" t="str">
        <f>IFERROR(INDEX(羁绊设计!$F:$F,MATCH(羁绊设计!BS72,羁绊设计!$D:$D,0)),"")</f>
        <v>紫</v>
      </c>
      <c r="V72" s="9" t="str">
        <f>IFERROR(INDEX(羁绊设计!$F:$F,MATCH(羁绊设计!BT72,羁绊设计!$D:$D,0)),"")</f>
        <v/>
      </c>
      <c r="W72" s="9" t="str">
        <f>IFERROR(INDEX(羁绊设计!$F:$F,MATCH(羁绊设计!BU72,羁绊设计!$D:$D,0)),"")</f>
        <v/>
      </c>
      <c r="X72" s="9" t="str">
        <f>IFERROR(INDEX(羁绊设计!$F:$F,MATCH(羁绊设计!BV72,羁绊设计!$D:$D,0)),"")</f>
        <v/>
      </c>
      <c r="Z72" s="9" t="str">
        <f>IFERROR(INDEX(羁绊设计!$F:$F,MATCH(羁绊设计!BX72,羁绊设计!$D:$D,0)),"")</f>
        <v>橙+</v>
      </c>
      <c r="AA72" s="9" t="str">
        <f>IFERROR(INDEX(羁绊设计!$F:$F,MATCH(羁绊设计!BY72,羁绊设计!$D:$D,0)),"")</f>
        <v/>
      </c>
      <c r="AB72" s="9" t="str">
        <f>IFERROR(INDEX(羁绊设计!$F:$F,MATCH(羁绊设计!BZ72,羁绊设计!$D:$D,0)),"")</f>
        <v/>
      </c>
      <c r="AC72" s="9" t="str">
        <f>IFERROR(INDEX(羁绊设计!$F:$F,MATCH(羁绊设计!CA72,羁绊设计!$D:$D,0)),"")</f>
        <v/>
      </c>
      <c r="AE72" s="9" t="str">
        <f>IFERROR(INDEX(羁绊设计!$F:$F,MATCH(羁绊设计!CC72,羁绊设计!$D:$D,0)),"")</f>
        <v>橙+</v>
      </c>
      <c r="AF72" s="9" t="str">
        <f>IFERROR(INDEX(羁绊设计!$F:$F,MATCH(羁绊设计!CD72,羁绊设计!$D:$D,0)),"")</f>
        <v/>
      </c>
      <c r="AG72" s="9" t="str">
        <f>IFERROR(INDEX(羁绊设计!$F:$F,MATCH(羁绊设计!CE72,羁绊设计!$D:$D,0)),"")</f>
        <v/>
      </c>
      <c r="AH72" s="9" t="str">
        <f>IFERROR(INDEX(羁绊设计!$F:$F,MATCH(羁绊设计!CF72,羁绊设计!$D:$D,0)),"")</f>
        <v/>
      </c>
      <c r="AJ72" s="9" t="str">
        <f>IFERROR(INDEX(羁绊设计!$F:$F,MATCH(羁绊设计!CH72,羁绊设计!$D:$D,0)),"")</f>
        <v>橙+</v>
      </c>
      <c r="AK72" s="9" t="str">
        <f>IFERROR(INDEX(羁绊设计!$F:$F,MATCH(羁绊设计!CI72,羁绊设计!$D:$D,0)),"")</f>
        <v/>
      </c>
      <c r="AL72" s="9" t="str">
        <f>IFERROR(INDEX(羁绊设计!$F:$F,MATCH(羁绊设计!CJ72,羁绊设计!$D:$D,0)),"")</f>
        <v/>
      </c>
      <c r="AM72" s="9" t="str">
        <f>IFERROR(INDEX(羁绊设计!$F:$F,MATCH(羁绊设计!CK72,羁绊设计!$D:$D,0)),"")</f>
        <v/>
      </c>
      <c r="AO72" s="9" t="str">
        <f>IFERROR(INDEX(羁绊设计!$F:$F,MATCH(羁绊设计!CM72,羁绊设计!$D:$D,0)),"")</f>
        <v>橙+</v>
      </c>
      <c r="AP72" s="9" t="str">
        <f>IFERROR(INDEX(羁绊设计!$F:$F,MATCH(羁绊设计!CN72,羁绊设计!$D:$D,0)),"")</f>
        <v>橙+</v>
      </c>
      <c r="AQ72" s="9" t="str">
        <f>IFERROR(INDEX(羁绊设计!$F:$F,MATCH(羁绊设计!CO72,羁绊设计!$D:$D,0)),"")</f>
        <v/>
      </c>
      <c r="AR72" s="9" t="str">
        <f>IFERROR(INDEX(羁绊设计!$F:$F,MATCH(羁绊设计!CP72,羁绊设计!$D:$D,0)),"")</f>
        <v/>
      </c>
      <c r="AT72" s="9" t="str">
        <f>IFERROR(INDEX(羁绊设计!$F:$F,MATCH(羁绊设计!CR72,羁绊设计!$D:$D,0)),"")</f>
        <v/>
      </c>
      <c r="AU72" s="9" t="str">
        <f>IFERROR(INDEX(羁绊设计!$F:$F,MATCH(羁绊设计!CS72,羁绊设计!$D:$D,0)),"")</f>
        <v/>
      </c>
      <c r="AV72" s="9" t="str">
        <f>IFERROR(INDEX(羁绊设计!$F:$F,MATCH(羁绊设计!CT72,羁绊设计!$D:$D,0)),"")</f>
        <v/>
      </c>
      <c r="AW72" s="9" t="str">
        <f>IFERROR(INDEX(羁绊设计!$F:$F,MATCH(羁绊设计!CU72,羁绊设计!$D:$D,0)),"")</f>
        <v/>
      </c>
    </row>
    <row r="73" spans="2:49">
      <c r="B73" s="12" t="str">
        <f>羁绊设计!D73</f>
        <v>晋文公</v>
      </c>
      <c r="C73" s="7" t="str">
        <f t="shared" si="3"/>
        <v/>
      </c>
      <c r="D73" s="7" t="str">
        <f t="shared" si="3"/>
        <v/>
      </c>
      <c r="E73" s="7" t="str">
        <f t="shared" si="3"/>
        <v/>
      </c>
      <c r="F73" s="7">
        <f t="shared" si="3"/>
        <v>11</v>
      </c>
      <c r="G73" s="7" t="str">
        <f t="shared" si="3"/>
        <v/>
      </c>
      <c r="I73" s="9" t="str">
        <f t="shared" si="2"/>
        <v>橙+,橙,橙,橙,橙,橙,橙,橙,橙,橙,橙+,橙,橙,橙+,橙+</v>
      </c>
      <c r="K73" s="9" t="str">
        <f>IFERROR(INDEX(羁绊设计!$F:$F,MATCH(羁绊设计!BI73,羁绊设计!$D:$D,0)),"")</f>
        <v>橙+</v>
      </c>
      <c r="L73" s="9" t="str">
        <f>IFERROR(INDEX(羁绊设计!$F:$F,MATCH(羁绊设计!BJ73,羁绊设计!$D:$D,0)),"")</f>
        <v>橙</v>
      </c>
      <c r="M73" s="9" t="str">
        <f>IFERROR(INDEX(羁绊设计!$F:$F,MATCH(羁绊设计!BK73,羁绊设计!$D:$D,0)),"")</f>
        <v>橙</v>
      </c>
      <c r="N73" s="9" t="str">
        <f>IFERROR(INDEX(羁绊设计!$F:$F,MATCH(羁绊设计!BL73,羁绊设计!$D:$D,0)),"")</f>
        <v>橙</v>
      </c>
      <c r="P73" s="9" t="str">
        <f>IFERROR(INDEX(羁绊设计!$F:$F,MATCH(羁绊设计!BN73,羁绊设计!$D:$D,0)),"")</f>
        <v/>
      </c>
      <c r="Q73" s="9" t="str">
        <f>IFERROR(INDEX(羁绊设计!$F:$F,MATCH(羁绊设计!BO73,羁绊设计!$D:$D,0)),"")</f>
        <v>橙</v>
      </c>
      <c r="R73" s="9" t="str">
        <f>IFERROR(INDEX(羁绊设计!$F:$F,MATCH(羁绊设计!BP73,羁绊设计!$D:$D,0)),"")</f>
        <v>橙</v>
      </c>
      <c r="S73" s="9" t="str">
        <f>IFERROR(INDEX(羁绊设计!$F:$F,MATCH(羁绊设计!BQ73,羁绊设计!$D:$D,0)),"")</f>
        <v>橙</v>
      </c>
      <c r="U73" s="9" t="str">
        <f>IFERROR(INDEX(羁绊设计!$F:$F,MATCH(羁绊设计!BS73,羁绊设计!$D:$D,0)),"")</f>
        <v/>
      </c>
      <c r="V73" s="9" t="str">
        <f>IFERROR(INDEX(羁绊设计!$F:$F,MATCH(羁绊设计!BT73,羁绊设计!$D:$D,0)),"")</f>
        <v>橙</v>
      </c>
      <c r="W73" s="9" t="str">
        <f>IFERROR(INDEX(羁绊设计!$F:$F,MATCH(羁绊设计!BU73,羁绊设计!$D:$D,0)),"")</f>
        <v>橙</v>
      </c>
      <c r="X73" s="9" t="str">
        <f>IFERROR(INDEX(羁绊设计!$F:$F,MATCH(羁绊设计!BV73,羁绊设计!$D:$D,0)),"")</f>
        <v>橙</v>
      </c>
      <c r="Z73" s="9" t="str">
        <f>IFERROR(INDEX(羁绊设计!$F:$F,MATCH(羁绊设计!BX73,羁绊设计!$D:$D,0)),"")</f>
        <v>橙+</v>
      </c>
      <c r="AA73" s="9" t="str">
        <f>IFERROR(INDEX(羁绊设计!$F:$F,MATCH(羁绊设计!BY73,羁绊设计!$D:$D,0)),"")</f>
        <v>橙</v>
      </c>
      <c r="AB73" s="9" t="str">
        <f>IFERROR(INDEX(羁绊设计!$F:$F,MATCH(羁绊设计!BZ73,羁绊设计!$D:$D,0)),"")</f>
        <v>橙</v>
      </c>
      <c r="AC73" s="9" t="str">
        <f>IFERROR(INDEX(羁绊设计!$F:$F,MATCH(羁绊设计!CA73,羁绊设计!$D:$D,0)),"")</f>
        <v/>
      </c>
      <c r="AE73" s="9" t="str">
        <f>IFERROR(INDEX(羁绊设计!$F:$F,MATCH(羁绊设计!CC73,羁绊设计!$D:$D,0)),"")</f>
        <v/>
      </c>
      <c r="AF73" s="9" t="str">
        <f>IFERROR(INDEX(羁绊设计!$F:$F,MATCH(羁绊设计!CD73,羁绊设计!$D:$D,0)),"")</f>
        <v/>
      </c>
      <c r="AG73" s="9" t="str">
        <f>IFERROR(INDEX(羁绊设计!$F:$F,MATCH(羁绊设计!CE73,羁绊设计!$D:$D,0)),"")</f>
        <v/>
      </c>
      <c r="AH73" s="9" t="str">
        <f>IFERROR(INDEX(羁绊设计!$F:$F,MATCH(羁绊设计!CF73,羁绊设计!$D:$D,0)),"")</f>
        <v/>
      </c>
      <c r="AJ73" s="9" t="str">
        <f>IFERROR(INDEX(羁绊设计!$F:$F,MATCH(羁绊设计!CH73,羁绊设计!$D:$D,0)),"")</f>
        <v>橙+</v>
      </c>
      <c r="AK73" s="9" t="str">
        <f>IFERROR(INDEX(羁绊设计!$F:$F,MATCH(羁绊设计!CI73,羁绊设计!$D:$D,0)),"")</f>
        <v>橙+</v>
      </c>
      <c r="AL73" s="9" t="str">
        <f>IFERROR(INDEX(羁绊设计!$F:$F,MATCH(羁绊设计!CJ73,羁绊设计!$D:$D,0)),"")</f>
        <v/>
      </c>
      <c r="AM73" s="9" t="str">
        <f>IFERROR(INDEX(羁绊设计!$F:$F,MATCH(羁绊设计!CK73,羁绊设计!$D:$D,0)),"")</f>
        <v/>
      </c>
      <c r="AO73" s="9" t="str">
        <f>IFERROR(INDEX(羁绊设计!$F:$F,MATCH(羁绊设计!CM73,羁绊设计!$D:$D,0)),"")</f>
        <v/>
      </c>
      <c r="AP73" s="9" t="str">
        <f>IFERROR(INDEX(羁绊设计!$F:$F,MATCH(羁绊设计!CN73,羁绊设计!$D:$D,0)),"")</f>
        <v/>
      </c>
      <c r="AQ73" s="9" t="str">
        <f>IFERROR(INDEX(羁绊设计!$F:$F,MATCH(羁绊设计!CO73,羁绊设计!$D:$D,0)),"")</f>
        <v/>
      </c>
      <c r="AR73" s="9" t="str">
        <f>IFERROR(INDEX(羁绊设计!$F:$F,MATCH(羁绊设计!CP73,羁绊设计!$D:$D,0)),"")</f>
        <v/>
      </c>
      <c r="AT73" s="9" t="str">
        <f>IFERROR(INDEX(羁绊设计!$F:$F,MATCH(羁绊设计!CR73,羁绊设计!$D:$D,0)),"")</f>
        <v/>
      </c>
      <c r="AU73" s="9" t="str">
        <f>IFERROR(INDEX(羁绊设计!$F:$F,MATCH(羁绊设计!CS73,羁绊设计!$D:$D,0)),"")</f>
        <v/>
      </c>
      <c r="AV73" s="9" t="str">
        <f>IFERROR(INDEX(羁绊设计!$F:$F,MATCH(羁绊设计!CT73,羁绊设计!$D:$D,0)),"")</f>
        <v/>
      </c>
      <c r="AW73" s="9" t="str">
        <f>IFERROR(INDEX(羁绊设计!$F:$F,MATCH(羁绊设计!CU73,羁绊设计!$D:$D,0)),"")</f>
        <v/>
      </c>
    </row>
    <row r="74" spans="2:49">
      <c r="B74" s="12" t="str">
        <f>羁绊设计!D74</f>
        <v>范蠡</v>
      </c>
      <c r="C74" s="7" t="str">
        <f t="shared" ref="C74:G107" si="4">IF(COUNTIF($K74:$AW74,"="&amp;C$8)=0,"",COUNTIF($K74:$AW74,"="&amp;C$8))</f>
        <v/>
      </c>
      <c r="D74" s="7" t="str">
        <f t="shared" si="4"/>
        <v/>
      </c>
      <c r="E74" s="7" t="str">
        <f t="shared" si="4"/>
        <v/>
      </c>
      <c r="F74" s="7" t="str">
        <f t="shared" si="4"/>
        <v/>
      </c>
      <c r="G74" s="7" t="str">
        <f t="shared" si="4"/>
        <v/>
      </c>
      <c r="I74" s="9" t="str">
        <f t="shared" ref="I74:I78" si="5">合并区域(K74:AW74,",")</f>
        <v/>
      </c>
      <c r="K74" s="9" t="str">
        <f>IFERROR(INDEX(羁绊设计!$F:$F,MATCH(羁绊设计!BI74,羁绊设计!$D:$D,0)),"")</f>
        <v/>
      </c>
      <c r="L74" s="9" t="str">
        <f>IFERROR(INDEX(羁绊设计!$F:$F,MATCH(羁绊设计!BJ74,羁绊设计!$D:$D,0)),"")</f>
        <v/>
      </c>
      <c r="M74" s="9" t="str">
        <f>IFERROR(INDEX(羁绊设计!$F:$F,MATCH(羁绊设计!BK74,羁绊设计!$D:$D,0)),"")</f>
        <v/>
      </c>
      <c r="N74" s="9" t="str">
        <f>IFERROR(INDEX(羁绊设计!$F:$F,MATCH(羁绊设计!BL74,羁绊设计!$D:$D,0)),"")</f>
        <v/>
      </c>
      <c r="P74" s="9" t="str">
        <f>IFERROR(INDEX(羁绊设计!$F:$F,MATCH(羁绊设计!BN74,羁绊设计!$D:$D,0)),"")</f>
        <v/>
      </c>
      <c r="Q74" s="9" t="str">
        <f>IFERROR(INDEX(羁绊设计!$F:$F,MATCH(羁绊设计!BO74,羁绊设计!$D:$D,0)),"")</f>
        <v/>
      </c>
      <c r="R74" s="9" t="str">
        <f>IFERROR(INDEX(羁绊设计!$F:$F,MATCH(羁绊设计!BP74,羁绊设计!$D:$D,0)),"")</f>
        <v/>
      </c>
      <c r="S74" s="9" t="str">
        <f>IFERROR(INDEX(羁绊设计!$F:$F,MATCH(羁绊设计!BQ74,羁绊设计!$D:$D,0)),"")</f>
        <v/>
      </c>
      <c r="U74" s="9" t="str">
        <f>IFERROR(INDEX(羁绊设计!$F:$F,MATCH(羁绊设计!BS74,羁绊设计!$D:$D,0)),"")</f>
        <v/>
      </c>
      <c r="V74" s="9" t="str">
        <f>IFERROR(INDEX(羁绊设计!$F:$F,MATCH(羁绊设计!BT74,羁绊设计!$D:$D,0)),"")</f>
        <v/>
      </c>
      <c r="W74" s="9" t="str">
        <f>IFERROR(INDEX(羁绊设计!$F:$F,MATCH(羁绊设计!BU74,羁绊设计!$D:$D,0)),"")</f>
        <v/>
      </c>
      <c r="X74" s="9" t="str">
        <f>IFERROR(INDEX(羁绊设计!$F:$F,MATCH(羁绊设计!BV74,羁绊设计!$D:$D,0)),"")</f>
        <v/>
      </c>
      <c r="Z74" s="9" t="str">
        <f>IFERROR(INDEX(羁绊设计!$F:$F,MATCH(羁绊设计!BX74,羁绊设计!$D:$D,0)),"")</f>
        <v/>
      </c>
      <c r="AA74" s="9" t="str">
        <f>IFERROR(INDEX(羁绊设计!$F:$F,MATCH(羁绊设计!BY74,羁绊设计!$D:$D,0)),"")</f>
        <v/>
      </c>
      <c r="AB74" s="9" t="str">
        <f>IFERROR(INDEX(羁绊设计!$F:$F,MATCH(羁绊设计!BZ74,羁绊设计!$D:$D,0)),"")</f>
        <v/>
      </c>
      <c r="AC74" s="9" t="str">
        <f>IFERROR(INDEX(羁绊设计!$F:$F,MATCH(羁绊设计!CA74,羁绊设计!$D:$D,0)),"")</f>
        <v/>
      </c>
      <c r="AE74" s="9" t="str">
        <f>IFERROR(INDEX(羁绊设计!$F:$F,MATCH(羁绊设计!CC74,羁绊设计!$D:$D,0)),"")</f>
        <v/>
      </c>
      <c r="AF74" s="9" t="str">
        <f>IFERROR(INDEX(羁绊设计!$F:$F,MATCH(羁绊设计!CD74,羁绊设计!$D:$D,0)),"")</f>
        <v/>
      </c>
      <c r="AG74" s="9" t="str">
        <f>IFERROR(INDEX(羁绊设计!$F:$F,MATCH(羁绊设计!CE74,羁绊设计!$D:$D,0)),"")</f>
        <v/>
      </c>
      <c r="AH74" s="9" t="str">
        <f>IFERROR(INDEX(羁绊设计!$F:$F,MATCH(羁绊设计!CF74,羁绊设计!$D:$D,0)),"")</f>
        <v/>
      </c>
      <c r="AJ74" s="9" t="str">
        <f>IFERROR(INDEX(羁绊设计!$F:$F,MATCH(羁绊设计!CH74,羁绊设计!$D:$D,0)),"")</f>
        <v/>
      </c>
      <c r="AK74" s="9" t="str">
        <f>IFERROR(INDEX(羁绊设计!$F:$F,MATCH(羁绊设计!CI74,羁绊设计!$D:$D,0)),"")</f>
        <v/>
      </c>
      <c r="AL74" s="9" t="str">
        <f>IFERROR(INDEX(羁绊设计!$F:$F,MATCH(羁绊设计!CJ74,羁绊设计!$D:$D,0)),"")</f>
        <v/>
      </c>
      <c r="AM74" s="9" t="str">
        <f>IFERROR(INDEX(羁绊设计!$F:$F,MATCH(羁绊设计!CK74,羁绊设计!$D:$D,0)),"")</f>
        <v/>
      </c>
      <c r="AO74" s="9" t="str">
        <f>IFERROR(INDEX(羁绊设计!$F:$F,MATCH(羁绊设计!CM74,羁绊设计!$D:$D,0)),"")</f>
        <v/>
      </c>
      <c r="AP74" s="9" t="str">
        <f>IFERROR(INDEX(羁绊设计!$F:$F,MATCH(羁绊设计!CN74,羁绊设计!$D:$D,0)),"")</f>
        <v/>
      </c>
      <c r="AQ74" s="9" t="str">
        <f>IFERROR(INDEX(羁绊设计!$F:$F,MATCH(羁绊设计!CO74,羁绊设计!$D:$D,0)),"")</f>
        <v/>
      </c>
      <c r="AR74" s="9" t="str">
        <f>IFERROR(INDEX(羁绊设计!$F:$F,MATCH(羁绊设计!CP74,羁绊设计!$D:$D,0)),"")</f>
        <v/>
      </c>
      <c r="AT74" s="9" t="str">
        <f>IFERROR(INDEX(羁绊设计!$F:$F,MATCH(羁绊设计!CR74,羁绊设计!$D:$D,0)),"")</f>
        <v/>
      </c>
      <c r="AU74" s="9" t="str">
        <f>IFERROR(INDEX(羁绊设计!$F:$F,MATCH(羁绊设计!CS74,羁绊设计!$D:$D,0)),"")</f>
        <v/>
      </c>
      <c r="AV74" s="9" t="str">
        <f>IFERROR(INDEX(羁绊设计!$F:$F,MATCH(羁绊设计!CT74,羁绊设计!$D:$D,0)),"")</f>
        <v/>
      </c>
      <c r="AW74" s="9" t="str">
        <f>IFERROR(INDEX(羁绊设计!$F:$F,MATCH(羁绊设计!CU74,羁绊设计!$D:$D,0)),"")</f>
        <v/>
      </c>
    </row>
    <row r="75" spans="2:49">
      <c r="B75" s="12" t="str">
        <f>羁绊设计!D75</f>
        <v>孙武</v>
      </c>
      <c r="C75" s="7" t="str">
        <f t="shared" si="4"/>
        <v/>
      </c>
      <c r="D75" s="7" t="str">
        <f t="shared" si="4"/>
        <v/>
      </c>
      <c r="E75" s="7" t="str">
        <f t="shared" si="4"/>
        <v/>
      </c>
      <c r="F75" s="7" t="str">
        <f t="shared" si="4"/>
        <v/>
      </c>
      <c r="G75" s="7" t="str">
        <f t="shared" si="4"/>
        <v/>
      </c>
      <c r="I75" s="9" t="str">
        <f t="shared" si="5"/>
        <v/>
      </c>
      <c r="K75" s="9" t="str">
        <f>IFERROR(INDEX(羁绊设计!$F:$F,MATCH(羁绊设计!BI75,羁绊设计!$D:$D,0)),"")</f>
        <v/>
      </c>
      <c r="L75" s="9" t="str">
        <f>IFERROR(INDEX(羁绊设计!$F:$F,MATCH(羁绊设计!BJ75,羁绊设计!$D:$D,0)),"")</f>
        <v/>
      </c>
      <c r="M75" s="9" t="str">
        <f>IFERROR(INDEX(羁绊设计!$F:$F,MATCH(羁绊设计!BK75,羁绊设计!$D:$D,0)),"")</f>
        <v/>
      </c>
      <c r="N75" s="9" t="str">
        <f>IFERROR(INDEX(羁绊设计!$F:$F,MATCH(羁绊设计!BL75,羁绊设计!$D:$D,0)),"")</f>
        <v/>
      </c>
      <c r="P75" s="9" t="str">
        <f>IFERROR(INDEX(羁绊设计!$F:$F,MATCH(羁绊设计!BN75,羁绊设计!$D:$D,0)),"")</f>
        <v/>
      </c>
      <c r="Q75" s="9" t="str">
        <f>IFERROR(INDEX(羁绊设计!$F:$F,MATCH(羁绊设计!BO75,羁绊设计!$D:$D,0)),"")</f>
        <v/>
      </c>
      <c r="R75" s="9" t="str">
        <f>IFERROR(INDEX(羁绊设计!$F:$F,MATCH(羁绊设计!BP75,羁绊设计!$D:$D,0)),"")</f>
        <v/>
      </c>
      <c r="S75" s="9" t="str">
        <f>IFERROR(INDEX(羁绊设计!$F:$F,MATCH(羁绊设计!BQ75,羁绊设计!$D:$D,0)),"")</f>
        <v/>
      </c>
      <c r="U75" s="9" t="str">
        <f>IFERROR(INDEX(羁绊设计!$F:$F,MATCH(羁绊设计!BS75,羁绊设计!$D:$D,0)),"")</f>
        <v/>
      </c>
      <c r="V75" s="9" t="str">
        <f>IFERROR(INDEX(羁绊设计!$F:$F,MATCH(羁绊设计!BT75,羁绊设计!$D:$D,0)),"")</f>
        <v/>
      </c>
      <c r="W75" s="9" t="str">
        <f>IFERROR(INDEX(羁绊设计!$F:$F,MATCH(羁绊设计!BU75,羁绊设计!$D:$D,0)),"")</f>
        <v/>
      </c>
      <c r="X75" s="9" t="str">
        <f>IFERROR(INDEX(羁绊设计!$F:$F,MATCH(羁绊设计!BV75,羁绊设计!$D:$D,0)),"")</f>
        <v/>
      </c>
      <c r="Z75" s="9" t="str">
        <f>IFERROR(INDEX(羁绊设计!$F:$F,MATCH(羁绊设计!BX75,羁绊设计!$D:$D,0)),"")</f>
        <v/>
      </c>
      <c r="AA75" s="9" t="str">
        <f>IFERROR(INDEX(羁绊设计!$F:$F,MATCH(羁绊设计!BY75,羁绊设计!$D:$D,0)),"")</f>
        <v/>
      </c>
      <c r="AB75" s="9" t="str">
        <f>IFERROR(INDEX(羁绊设计!$F:$F,MATCH(羁绊设计!BZ75,羁绊设计!$D:$D,0)),"")</f>
        <v/>
      </c>
      <c r="AC75" s="9" t="str">
        <f>IFERROR(INDEX(羁绊设计!$F:$F,MATCH(羁绊设计!CA75,羁绊设计!$D:$D,0)),"")</f>
        <v/>
      </c>
      <c r="AE75" s="9" t="str">
        <f>IFERROR(INDEX(羁绊设计!$F:$F,MATCH(羁绊设计!CC75,羁绊设计!$D:$D,0)),"")</f>
        <v/>
      </c>
      <c r="AF75" s="9" t="str">
        <f>IFERROR(INDEX(羁绊设计!$F:$F,MATCH(羁绊设计!CD75,羁绊设计!$D:$D,0)),"")</f>
        <v/>
      </c>
      <c r="AG75" s="9" t="str">
        <f>IFERROR(INDEX(羁绊设计!$F:$F,MATCH(羁绊设计!CE75,羁绊设计!$D:$D,0)),"")</f>
        <v/>
      </c>
      <c r="AH75" s="9" t="str">
        <f>IFERROR(INDEX(羁绊设计!$F:$F,MATCH(羁绊设计!CF75,羁绊设计!$D:$D,0)),"")</f>
        <v/>
      </c>
      <c r="AJ75" s="9" t="str">
        <f>IFERROR(INDEX(羁绊设计!$F:$F,MATCH(羁绊设计!CH75,羁绊设计!$D:$D,0)),"")</f>
        <v/>
      </c>
      <c r="AK75" s="9" t="str">
        <f>IFERROR(INDEX(羁绊设计!$F:$F,MATCH(羁绊设计!CI75,羁绊设计!$D:$D,0)),"")</f>
        <v/>
      </c>
      <c r="AL75" s="9" t="str">
        <f>IFERROR(INDEX(羁绊设计!$F:$F,MATCH(羁绊设计!CJ75,羁绊设计!$D:$D,0)),"")</f>
        <v/>
      </c>
      <c r="AM75" s="9" t="str">
        <f>IFERROR(INDEX(羁绊设计!$F:$F,MATCH(羁绊设计!CK75,羁绊设计!$D:$D,0)),"")</f>
        <v/>
      </c>
      <c r="AO75" s="9" t="str">
        <f>IFERROR(INDEX(羁绊设计!$F:$F,MATCH(羁绊设计!CM75,羁绊设计!$D:$D,0)),"")</f>
        <v/>
      </c>
      <c r="AP75" s="9" t="str">
        <f>IFERROR(INDEX(羁绊设计!$F:$F,MATCH(羁绊设计!CN75,羁绊设计!$D:$D,0)),"")</f>
        <v/>
      </c>
      <c r="AQ75" s="9" t="str">
        <f>IFERROR(INDEX(羁绊设计!$F:$F,MATCH(羁绊设计!CO75,羁绊设计!$D:$D,0)),"")</f>
        <v/>
      </c>
      <c r="AR75" s="9" t="str">
        <f>IFERROR(INDEX(羁绊设计!$F:$F,MATCH(羁绊设计!CP75,羁绊设计!$D:$D,0)),"")</f>
        <v/>
      </c>
      <c r="AT75" s="9" t="str">
        <f>IFERROR(INDEX(羁绊设计!$F:$F,MATCH(羁绊设计!CR75,羁绊设计!$D:$D,0)),"")</f>
        <v/>
      </c>
      <c r="AU75" s="9" t="str">
        <f>IFERROR(INDEX(羁绊设计!$F:$F,MATCH(羁绊设计!CS75,羁绊设计!$D:$D,0)),"")</f>
        <v/>
      </c>
      <c r="AV75" s="9" t="str">
        <f>IFERROR(INDEX(羁绊设计!$F:$F,MATCH(羁绊设计!CT75,羁绊设计!$D:$D,0)),"")</f>
        <v/>
      </c>
      <c r="AW75" s="9" t="str">
        <f>IFERROR(INDEX(羁绊设计!$F:$F,MATCH(羁绊设计!CU75,羁绊设计!$D:$D,0)),"")</f>
        <v/>
      </c>
    </row>
    <row r="76" spans="2:49">
      <c r="B76" s="12" t="str">
        <f>羁绊设计!D76</f>
        <v>鬼谷子</v>
      </c>
      <c r="C76" s="7" t="str">
        <f t="shared" si="4"/>
        <v/>
      </c>
      <c r="D76" s="7" t="str">
        <f t="shared" si="4"/>
        <v/>
      </c>
      <c r="E76" s="7" t="str">
        <f t="shared" si="4"/>
        <v/>
      </c>
      <c r="F76" s="7" t="str">
        <f t="shared" si="4"/>
        <v/>
      </c>
      <c r="G76" s="7" t="str">
        <f t="shared" si="4"/>
        <v/>
      </c>
      <c r="I76" s="9" t="str">
        <f t="shared" si="5"/>
        <v/>
      </c>
      <c r="K76" s="9" t="str">
        <f>IFERROR(INDEX(羁绊设计!$F:$F,MATCH(羁绊设计!BI76,羁绊设计!$D:$D,0)),"")</f>
        <v/>
      </c>
      <c r="L76" s="9" t="str">
        <f>IFERROR(INDEX(羁绊设计!$F:$F,MATCH(羁绊设计!BJ76,羁绊设计!$D:$D,0)),"")</f>
        <v/>
      </c>
      <c r="M76" s="9" t="str">
        <f>IFERROR(INDEX(羁绊设计!$F:$F,MATCH(羁绊设计!BK76,羁绊设计!$D:$D,0)),"")</f>
        <v/>
      </c>
      <c r="N76" s="9" t="str">
        <f>IFERROR(INDEX(羁绊设计!$F:$F,MATCH(羁绊设计!BL76,羁绊设计!$D:$D,0)),"")</f>
        <v/>
      </c>
      <c r="P76" s="9" t="str">
        <f>IFERROR(INDEX(羁绊设计!$F:$F,MATCH(羁绊设计!BN76,羁绊设计!$D:$D,0)),"")</f>
        <v/>
      </c>
      <c r="Q76" s="9" t="str">
        <f>IFERROR(INDEX(羁绊设计!$F:$F,MATCH(羁绊设计!BO76,羁绊设计!$D:$D,0)),"")</f>
        <v/>
      </c>
      <c r="R76" s="9" t="str">
        <f>IFERROR(INDEX(羁绊设计!$F:$F,MATCH(羁绊设计!BP76,羁绊设计!$D:$D,0)),"")</f>
        <v/>
      </c>
      <c r="S76" s="9" t="str">
        <f>IFERROR(INDEX(羁绊设计!$F:$F,MATCH(羁绊设计!BQ76,羁绊设计!$D:$D,0)),"")</f>
        <v/>
      </c>
      <c r="U76" s="9" t="str">
        <f>IFERROR(INDEX(羁绊设计!$F:$F,MATCH(羁绊设计!BS76,羁绊设计!$D:$D,0)),"")</f>
        <v/>
      </c>
      <c r="V76" s="9" t="str">
        <f>IFERROR(INDEX(羁绊设计!$F:$F,MATCH(羁绊设计!BT76,羁绊设计!$D:$D,0)),"")</f>
        <v/>
      </c>
      <c r="W76" s="9" t="str">
        <f>IFERROR(INDEX(羁绊设计!$F:$F,MATCH(羁绊设计!BU76,羁绊设计!$D:$D,0)),"")</f>
        <v/>
      </c>
      <c r="X76" s="9" t="str">
        <f>IFERROR(INDEX(羁绊设计!$F:$F,MATCH(羁绊设计!BV76,羁绊设计!$D:$D,0)),"")</f>
        <v/>
      </c>
      <c r="Z76" s="9" t="str">
        <f>IFERROR(INDEX(羁绊设计!$F:$F,MATCH(羁绊设计!BX76,羁绊设计!$D:$D,0)),"")</f>
        <v/>
      </c>
      <c r="AA76" s="9" t="str">
        <f>IFERROR(INDEX(羁绊设计!$F:$F,MATCH(羁绊设计!BY76,羁绊设计!$D:$D,0)),"")</f>
        <v/>
      </c>
      <c r="AB76" s="9" t="str">
        <f>IFERROR(INDEX(羁绊设计!$F:$F,MATCH(羁绊设计!BZ76,羁绊设计!$D:$D,0)),"")</f>
        <v/>
      </c>
      <c r="AC76" s="9" t="str">
        <f>IFERROR(INDEX(羁绊设计!$F:$F,MATCH(羁绊设计!CA76,羁绊设计!$D:$D,0)),"")</f>
        <v/>
      </c>
      <c r="AE76" s="9" t="str">
        <f>IFERROR(INDEX(羁绊设计!$F:$F,MATCH(羁绊设计!CC76,羁绊设计!$D:$D,0)),"")</f>
        <v/>
      </c>
      <c r="AF76" s="9" t="str">
        <f>IFERROR(INDEX(羁绊设计!$F:$F,MATCH(羁绊设计!CD76,羁绊设计!$D:$D,0)),"")</f>
        <v/>
      </c>
      <c r="AG76" s="9" t="str">
        <f>IFERROR(INDEX(羁绊设计!$F:$F,MATCH(羁绊设计!CE76,羁绊设计!$D:$D,0)),"")</f>
        <v/>
      </c>
      <c r="AH76" s="9" t="str">
        <f>IFERROR(INDEX(羁绊设计!$F:$F,MATCH(羁绊设计!CF76,羁绊设计!$D:$D,0)),"")</f>
        <v/>
      </c>
      <c r="AJ76" s="9" t="str">
        <f>IFERROR(INDEX(羁绊设计!$F:$F,MATCH(羁绊设计!CH76,羁绊设计!$D:$D,0)),"")</f>
        <v/>
      </c>
      <c r="AK76" s="9" t="str">
        <f>IFERROR(INDEX(羁绊设计!$F:$F,MATCH(羁绊设计!CI76,羁绊设计!$D:$D,0)),"")</f>
        <v/>
      </c>
      <c r="AL76" s="9" t="str">
        <f>IFERROR(INDEX(羁绊设计!$F:$F,MATCH(羁绊设计!CJ76,羁绊设计!$D:$D,0)),"")</f>
        <v/>
      </c>
      <c r="AM76" s="9" t="str">
        <f>IFERROR(INDEX(羁绊设计!$F:$F,MATCH(羁绊设计!CK76,羁绊设计!$D:$D,0)),"")</f>
        <v/>
      </c>
      <c r="AO76" s="9" t="str">
        <f>IFERROR(INDEX(羁绊设计!$F:$F,MATCH(羁绊设计!CM76,羁绊设计!$D:$D,0)),"")</f>
        <v/>
      </c>
      <c r="AP76" s="9" t="str">
        <f>IFERROR(INDEX(羁绊设计!$F:$F,MATCH(羁绊设计!CN76,羁绊设计!$D:$D,0)),"")</f>
        <v/>
      </c>
      <c r="AQ76" s="9" t="str">
        <f>IFERROR(INDEX(羁绊设计!$F:$F,MATCH(羁绊设计!CO76,羁绊设计!$D:$D,0)),"")</f>
        <v/>
      </c>
      <c r="AR76" s="9" t="str">
        <f>IFERROR(INDEX(羁绊设计!$F:$F,MATCH(羁绊设计!CP76,羁绊设计!$D:$D,0)),"")</f>
        <v/>
      </c>
      <c r="AT76" s="9" t="str">
        <f>IFERROR(INDEX(羁绊设计!$F:$F,MATCH(羁绊设计!CR76,羁绊设计!$D:$D,0)),"")</f>
        <v/>
      </c>
      <c r="AU76" s="9" t="str">
        <f>IFERROR(INDEX(羁绊设计!$F:$F,MATCH(羁绊设计!CS76,羁绊设计!$D:$D,0)),"")</f>
        <v/>
      </c>
      <c r="AV76" s="9" t="str">
        <f>IFERROR(INDEX(羁绊设计!$F:$F,MATCH(羁绊设计!CT76,羁绊设计!$D:$D,0)),"")</f>
        <v/>
      </c>
      <c r="AW76" s="9" t="str">
        <f>IFERROR(INDEX(羁绊设计!$F:$F,MATCH(羁绊设计!CU76,羁绊设计!$D:$D,0)),"")</f>
        <v/>
      </c>
    </row>
    <row r="77" spans="2:49">
      <c r="B77" s="12" t="str">
        <f>羁绊设计!D77</f>
        <v>孔丘</v>
      </c>
      <c r="C77" s="7" t="str">
        <f t="shared" si="4"/>
        <v/>
      </c>
      <c r="D77" s="7" t="str">
        <f t="shared" si="4"/>
        <v/>
      </c>
      <c r="E77" s="7" t="str">
        <f t="shared" si="4"/>
        <v/>
      </c>
      <c r="F77" s="7" t="str">
        <f t="shared" si="4"/>
        <v/>
      </c>
      <c r="G77" s="7" t="str">
        <f t="shared" si="4"/>
        <v/>
      </c>
      <c r="I77" s="9" t="str">
        <f t="shared" si="5"/>
        <v/>
      </c>
      <c r="K77" s="9" t="str">
        <f>IFERROR(INDEX(羁绊设计!$F:$F,MATCH(羁绊设计!BI77,羁绊设计!$D:$D,0)),"")</f>
        <v/>
      </c>
      <c r="L77" s="9" t="str">
        <f>IFERROR(INDEX(羁绊设计!$F:$F,MATCH(羁绊设计!BJ77,羁绊设计!$D:$D,0)),"")</f>
        <v/>
      </c>
      <c r="M77" s="9" t="str">
        <f>IFERROR(INDEX(羁绊设计!$F:$F,MATCH(羁绊设计!BK77,羁绊设计!$D:$D,0)),"")</f>
        <v/>
      </c>
      <c r="N77" s="9" t="str">
        <f>IFERROR(INDEX(羁绊设计!$F:$F,MATCH(羁绊设计!BL77,羁绊设计!$D:$D,0)),"")</f>
        <v/>
      </c>
      <c r="P77" s="9" t="str">
        <f>IFERROR(INDEX(羁绊设计!$F:$F,MATCH(羁绊设计!BN77,羁绊设计!$D:$D,0)),"")</f>
        <v/>
      </c>
      <c r="Q77" s="9" t="str">
        <f>IFERROR(INDEX(羁绊设计!$F:$F,MATCH(羁绊设计!BO77,羁绊设计!$D:$D,0)),"")</f>
        <v/>
      </c>
      <c r="R77" s="9" t="str">
        <f>IFERROR(INDEX(羁绊设计!$F:$F,MATCH(羁绊设计!BP77,羁绊设计!$D:$D,0)),"")</f>
        <v/>
      </c>
      <c r="S77" s="9" t="str">
        <f>IFERROR(INDEX(羁绊设计!$F:$F,MATCH(羁绊设计!BQ77,羁绊设计!$D:$D,0)),"")</f>
        <v/>
      </c>
      <c r="U77" s="9" t="str">
        <f>IFERROR(INDEX(羁绊设计!$F:$F,MATCH(羁绊设计!BS77,羁绊设计!$D:$D,0)),"")</f>
        <v/>
      </c>
      <c r="V77" s="9" t="str">
        <f>IFERROR(INDEX(羁绊设计!$F:$F,MATCH(羁绊设计!BT77,羁绊设计!$D:$D,0)),"")</f>
        <v/>
      </c>
      <c r="W77" s="9" t="str">
        <f>IFERROR(INDEX(羁绊设计!$F:$F,MATCH(羁绊设计!BU77,羁绊设计!$D:$D,0)),"")</f>
        <v/>
      </c>
      <c r="X77" s="9" t="str">
        <f>IFERROR(INDEX(羁绊设计!$F:$F,MATCH(羁绊设计!BV77,羁绊设计!$D:$D,0)),"")</f>
        <v/>
      </c>
      <c r="Z77" s="9" t="str">
        <f>IFERROR(INDEX(羁绊设计!$F:$F,MATCH(羁绊设计!BX77,羁绊设计!$D:$D,0)),"")</f>
        <v/>
      </c>
      <c r="AA77" s="9" t="str">
        <f>IFERROR(INDEX(羁绊设计!$F:$F,MATCH(羁绊设计!BY77,羁绊设计!$D:$D,0)),"")</f>
        <v/>
      </c>
      <c r="AB77" s="9" t="str">
        <f>IFERROR(INDEX(羁绊设计!$F:$F,MATCH(羁绊设计!BZ77,羁绊设计!$D:$D,0)),"")</f>
        <v/>
      </c>
      <c r="AC77" s="9" t="str">
        <f>IFERROR(INDEX(羁绊设计!$F:$F,MATCH(羁绊设计!CA77,羁绊设计!$D:$D,0)),"")</f>
        <v/>
      </c>
      <c r="AE77" s="9" t="str">
        <f>IFERROR(INDEX(羁绊设计!$F:$F,MATCH(羁绊设计!CC77,羁绊设计!$D:$D,0)),"")</f>
        <v/>
      </c>
      <c r="AF77" s="9" t="str">
        <f>IFERROR(INDEX(羁绊设计!$F:$F,MATCH(羁绊设计!CD77,羁绊设计!$D:$D,0)),"")</f>
        <v/>
      </c>
      <c r="AG77" s="9" t="str">
        <f>IFERROR(INDEX(羁绊设计!$F:$F,MATCH(羁绊设计!CE77,羁绊设计!$D:$D,0)),"")</f>
        <v/>
      </c>
      <c r="AH77" s="9" t="str">
        <f>IFERROR(INDEX(羁绊设计!$F:$F,MATCH(羁绊设计!CF77,羁绊设计!$D:$D,0)),"")</f>
        <v/>
      </c>
      <c r="AJ77" s="9" t="str">
        <f>IFERROR(INDEX(羁绊设计!$F:$F,MATCH(羁绊设计!CH77,羁绊设计!$D:$D,0)),"")</f>
        <v/>
      </c>
      <c r="AK77" s="9" t="str">
        <f>IFERROR(INDEX(羁绊设计!$F:$F,MATCH(羁绊设计!CI77,羁绊设计!$D:$D,0)),"")</f>
        <v/>
      </c>
      <c r="AL77" s="9" t="str">
        <f>IFERROR(INDEX(羁绊设计!$F:$F,MATCH(羁绊设计!CJ77,羁绊设计!$D:$D,0)),"")</f>
        <v/>
      </c>
      <c r="AM77" s="9" t="str">
        <f>IFERROR(INDEX(羁绊设计!$F:$F,MATCH(羁绊设计!CK77,羁绊设计!$D:$D,0)),"")</f>
        <v/>
      </c>
      <c r="AO77" s="9" t="str">
        <f>IFERROR(INDEX(羁绊设计!$F:$F,MATCH(羁绊设计!CM77,羁绊设计!$D:$D,0)),"")</f>
        <v/>
      </c>
      <c r="AP77" s="9" t="str">
        <f>IFERROR(INDEX(羁绊设计!$F:$F,MATCH(羁绊设计!CN77,羁绊设计!$D:$D,0)),"")</f>
        <v/>
      </c>
      <c r="AQ77" s="9" t="str">
        <f>IFERROR(INDEX(羁绊设计!$F:$F,MATCH(羁绊设计!CO77,羁绊设计!$D:$D,0)),"")</f>
        <v/>
      </c>
      <c r="AR77" s="9" t="str">
        <f>IFERROR(INDEX(羁绊设计!$F:$F,MATCH(羁绊设计!CP77,羁绊设计!$D:$D,0)),"")</f>
        <v/>
      </c>
      <c r="AT77" s="9" t="str">
        <f>IFERROR(INDEX(羁绊设计!$F:$F,MATCH(羁绊设计!CR77,羁绊设计!$D:$D,0)),"")</f>
        <v/>
      </c>
      <c r="AU77" s="9" t="str">
        <f>IFERROR(INDEX(羁绊设计!$F:$F,MATCH(羁绊设计!CS77,羁绊设计!$D:$D,0)),"")</f>
        <v/>
      </c>
      <c r="AV77" s="9" t="str">
        <f>IFERROR(INDEX(羁绊设计!$F:$F,MATCH(羁绊设计!CT77,羁绊设计!$D:$D,0)),"")</f>
        <v/>
      </c>
      <c r="AW77" s="9" t="str">
        <f>IFERROR(INDEX(羁绊设计!$F:$F,MATCH(羁绊设计!CU77,羁绊设计!$D:$D,0)),"")</f>
        <v/>
      </c>
    </row>
    <row r="78" spans="2:49">
      <c r="B78" s="12" t="str">
        <f>羁绊设计!D78</f>
        <v>老子</v>
      </c>
      <c r="C78" s="7" t="str">
        <f t="shared" si="4"/>
        <v/>
      </c>
      <c r="D78" s="7" t="str">
        <f t="shared" si="4"/>
        <v/>
      </c>
      <c r="E78" s="7" t="str">
        <f t="shared" si="4"/>
        <v/>
      </c>
      <c r="F78" s="7" t="str">
        <f t="shared" si="4"/>
        <v/>
      </c>
      <c r="G78" s="7" t="str">
        <f t="shared" si="4"/>
        <v/>
      </c>
      <c r="I78" s="9" t="str">
        <f t="shared" si="5"/>
        <v/>
      </c>
      <c r="K78" s="9" t="str">
        <f>IFERROR(INDEX(羁绊设计!$F:$F,MATCH(羁绊设计!BI78,羁绊设计!$D:$D,0)),"")</f>
        <v/>
      </c>
      <c r="L78" s="9" t="str">
        <f>IFERROR(INDEX(羁绊设计!$F:$F,MATCH(羁绊设计!BJ78,羁绊设计!$D:$D,0)),"")</f>
        <v/>
      </c>
      <c r="M78" s="9" t="str">
        <f>IFERROR(INDEX(羁绊设计!$F:$F,MATCH(羁绊设计!BK78,羁绊设计!$D:$D,0)),"")</f>
        <v/>
      </c>
      <c r="N78" s="9" t="str">
        <f>IFERROR(INDEX(羁绊设计!$F:$F,MATCH(羁绊设计!BL78,羁绊设计!$D:$D,0)),"")</f>
        <v/>
      </c>
      <c r="P78" s="9" t="str">
        <f>IFERROR(INDEX(羁绊设计!$F:$F,MATCH(羁绊设计!BN78,羁绊设计!$D:$D,0)),"")</f>
        <v/>
      </c>
      <c r="Q78" s="9" t="str">
        <f>IFERROR(INDEX(羁绊设计!$F:$F,MATCH(羁绊设计!BO78,羁绊设计!$D:$D,0)),"")</f>
        <v/>
      </c>
      <c r="R78" s="9" t="str">
        <f>IFERROR(INDEX(羁绊设计!$F:$F,MATCH(羁绊设计!BP78,羁绊设计!$D:$D,0)),"")</f>
        <v/>
      </c>
      <c r="S78" s="9" t="str">
        <f>IFERROR(INDEX(羁绊设计!$F:$F,MATCH(羁绊设计!BQ78,羁绊设计!$D:$D,0)),"")</f>
        <v/>
      </c>
      <c r="U78" s="9" t="str">
        <f>IFERROR(INDEX(羁绊设计!$F:$F,MATCH(羁绊设计!BS78,羁绊设计!$D:$D,0)),"")</f>
        <v/>
      </c>
      <c r="V78" s="9" t="str">
        <f>IFERROR(INDEX(羁绊设计!$F:$F,MATCH(羁绊设计!BT78,羁绊设计!$D:$D,0)),"")</f>
        <v/>
      </c>
      <c r="W78" s="9" t="str">
        <f>IFERROR(INDEX(羁绊设计!$F:$F,MATCH(羁绊设计!BU78,羁绊设计!$D:$D,0)),"")</f>
        <v/>
      </c>
      <c r="X78" s="9" t="str">
        <f>IFERROR(INDEX(羁绊设计!$F:$F,MATCH(羁绊设计!BV78,羁绊设计!$D:$D,0)),"")</f>
        <v/>
      </c>
      <c r="Z78" s="9" t="str">
        <f>IFERROR(INDEX(羁绊设计!$F:$F,MATCH(羁绊设计!BX78,羁绊设计!$D:$D,0)),"")</f>
        <v/>
      </c>
      <c r="AA78" s="9" t="str">
        <f>IFERROR(INDEX(羁绊设计!$F:$F,MATCH(羁绊设计!BY78,羁绊设计!$D:$D,0)),"")</f>
        <v/>
      </c>
      <c r="AB78" s="9" t="str">
        <f>IFERROR(INDEX(羁绊设计!$F:$F,MATCH(羁绊设计!BZ78,羁绊设计!$D:$D,0)),"")</f>
        <v/>
      </c>
      <c r="AC78" s="9" t="str">
        <f>IFERROR(INDEX(羁绊设计!$F:$F,MATCH(羁绊设计!CA78,羁绊设计!$D:$D,0)),"")</f>
        <v/>
      </c>
      <c r="AE78" s="9" t="str">
        <f>IFERROR(INDEX(羁绊设计!$F:$F,MATCH(羁绊设计!CC78,羁绊设计!$D:$D,0)),"")</f>
        <v/>
      </c>
      <c r="AF78" s="9" t="str">
        <f>IFERROR(INDEX(羁绊设计!$F:$F,MATCH(羁绊设计!CD78,羁绊设计!$D:$D,0)),"")</f>
        <v/>
      </c>
      <c r="AG78" s="9" t="str">
        <f>IFERROR(INDEX(羁绊设计!$F:$F,MATCH(羁绊设计!CE78,羁绊设计!$D:$D,0)),"")</f>
        <v/>
      </c>
      <c r="AH78" s="9" t="str">
        <f>IFERROR(INDEX(羁绊设计!$F:$F,MATCH(羁绊设计!CF78,羁绊设计!$D:$D,0)),"")</f>
        <v/>
      </c>
      <c r="AJ78" s="9" t="str">
        <f>IFERROR(INDEX(羁绊设计!$F:$F,MATCH(羁绊设计!CH78,羁绊设计!$D:$D,0)),"")</f>
        <v/>
      </c>
      <c r="AK78" s="9" t="str">
        <f>IFERROR(INDEX(羁绊设计!$F:$F,MATCH(羁绊设计!CI78,羁绊设计!$D:$D,0)),"")</f>
        <v/>
      </c>
      <c r="AL78" s="9" t="str">
        <f>IFERROR(INDEX(羁绊设计!$F:$F,MATCH(羁绊设计!CJ78,羁绊设计!$D:$D,0)),"")</f>
        <v/>
      </c>
      <c r="AM78" s="9" t="str">
        <f>IFERROR(INDEX(羁绊设计!$F:$F,MATCH(羁绊设计!CK78,羁绊设计!$D:$D,0)),"")</f>
        <v/>
      </c>
      <c r="AO78" s="9" t="str">
        <f>IFERROR(INDEX(羁绊设计!$F:$F,MATCH(羁绊设计!CM78,羁绊设计!$D:$D,0)),"")</f>
        <v/>
      </c>
      <c r="AP78" s="9" t="str">
        <f>IFERROR(INDEX(羁绊设计!$F:$F,MATCH(羁绊设计!CN78,羁绊设计!$D:$D,0)),"")</f>
        <v/>
      </c>
      <c r="AQ78" s="9" t="str">
        <f>IFERROR(INDEX(羁绊设计!$F:$F,MATCH(羁绊设计!CO78,羁绊设计!$D:$D,0)),"")</f>
        <v/>
      </c>
      <c r="AR78" s="9" t="str">
        <f>IFERROR(INDEX(羁绊设计!$F:$F,MATCH(羁绊设计!CP78,羁绊设计!$D:$D,0)),"")</f>
        <v/>
      </c>
      <c r="AT78" s="9" t="str">
        <f>IFERROR(INDEX(羁绊设计!$F:$F,MATCH(羁绊设计!CR78,羁绊设计!$D:$D,0)),"")</f>
        <v/>
      </c>
      <c r="AU78" s="9" t="str">
        <f>IFERROR(INDEX(羁绊设计!$F:$F,MATCH(羁绊设计!CS78,羁绊设计!$D:$D,0)),"")</f>
        <v/>
      </c>
      <c r="AV78" s="9" t="str">
        <f>IFERROR(INDEX(羁绊设计!$F:$F,MATCH(羁绊设计!CT78,羁绊设计!$D:$D,0)),"")</f>
        <v/>
      </c>
      <c r="AW78" s="9" t="str">
        <f>IFERROR(INDEX(羁绊设计!$F:$F,MATCH(羁绊设计!CU78,羁绊设计!$D:$D,0)),"")</f>
        <v/>
      </c>
    </row>
    <row r="79" spans="2:49">
      <c r="B79" s="12" t="str">
        <f>羁绊设计!D79</f>
        <v>赵括</v>
      </c>
      <c r="C79" s="7" t="str">
        <f t="shared" si="4"/>
        <v/>
      </c>
      <c r="D79" s="7">
        <f t="shared" si="4"/>
        <v>1</v>
      </c>
      <c r="E79" s="7">
        <f t="shared" si="4"/>
        <v>1</v>
      </c>
      <c r="F79" s="7">
        <f t="shared" si="4"/>
        <v>9</v>
      </c>
      <c r="G79" s="7" t="str">
        <f t="shared" si="4"/>
        <v/>
      </c>
      <c r="I79" s="9" t="str">
        <f t="shared" ref="I79" si="6">合并区域(K79:AW79,",")</f>
        <v>蓝,紫,橙,橙,橙,橙+,橙,橙,橙,橙,橙+,橙+,橙,橙,橙+,橙+</v>
      </c>
      <c r="K79" s="9" t="str">
        <f>IFERROR(INDEX(羁绊设计!$F:$F,MATCH(羁绊设计!BI79,羁绊设计!$D:$D,0)),"")</f>
        <v>蓝</v>
      </c>
      <c r="L79" s="9" t="str">
        <f>IFERROR(INDEX(羁绊设计!$F:$F,MATCH(羁绊设计!BJ79,羁绊设计!$D:$D,0)),"")</f>
        <v>紫</v>
      </c>
      <c r="M79" s="9" t="str">
        <f>IFERROR(INDEX(羁绊设计!$F:$F,MATCH(羁绊设计!BK79,羁绊设计!$D:$D,0)),"")</f>
        <v>橙</v>
      </c>
      <c r="N79" s="9" t="str">
        <f>IFERROR(INDEX(羁绊设计!$F:$F,MATCH(羁绊设计!BL79,羁绊设计!$D:$D,0)),"")</f>
        <v>橙</v>
      </c>
      <c r="P79" s="9" t="str">
        <f>IFERROR(INDEX(羁绊设计!$F:$F,MATCH(羁绊设计!BN79,羁绊设计!$D:$D,0)),"")</f>
        <v/>
      </c>
      <c r="Q79" s="9" t="str">
        <f>IFERROR(INDEX(羁绊设计!$F:$F,MATCH(羁绊设计!BO79,羁绊设计!$D:$D,0)),"")</f>
        <v>橙</v>
      </c>
      <c r="R79" s="9" t="str">
        <f>IFERROR(INDEX(羁绊设计!$F:$F,MATCH(羁绊设计!BP79,羁绊设计!$D:$D,0)),"")</f>
        <v/>
      </c>
      <c r="S79" s="9" t="str">
        <f>IFERROR(INDEX(羁绊设计!$F:$F,MATCH(羁绊设计!BQ79,羁绊设计!$D:$D,0)),"")</f>
        <v/>
      </c>
      <c r="U79" s="9" t="str">
        <f>IFERROR(INDEX(羁绊设计!$F:$F,MATCH(羁绊设计!BS79,羁绊设计!$D:$D,0)),"")</f>
        <v>橙+</v>
      </c>
      <c r="V79" s="9" t="str">
        <f>IFERROR(INDEX(羁绊设计!$F:$F,MATCH(羁绊设计!BT79,羁绊设计!$D:$D,0)),"")</f>
        <v>橙</v>
      </c>
      <c r="W79" s="9" t="str">
        <f>IFERROR(INDEX(羁绊设计!$F:$F,MATCH(羁绊设计!BU79,羁绊设计!$D:$D,0)),"")</f>
        <v/>
      </c>
      <c r="X79" s="9" t="str">
        <f>IFERROR(INDEX(羁绊设计!$F:$F,MATCH(羁绊设计!BV79,羁绊设计!$D:$D,0)),"")</f>
        <v>橙</v>
      </c>
      <c r="Z79" s="9" t="str">
        <f>IFERROR(INDEX(羁绊设计!$F:$F,MATCH(羁绊设计!BX79,羁绊设计!$D:$D,0)),"")</f>
        <v>橙</v>
      </c>
      <c r="AA79" s="9" t="str">
        <f>IFERROR(INDEX(羁绊设计!$F:$F,MATCH(羁绊设计!BY79,羁绊设计!$D:$D,0)),"")</f>
        <v/>
      </c>
      <c r="AB79" s="9" t="str">
        <f>IFERROR(INDEX(羁绊设计!$F:$F,MATCH(羁绊设计!BZ79,羁绊设计!$D:$D,0)),"")</f>
        <v/>
      </c>
      <c r="AC79" s="9" t="str">
        <f>IFERROR(INDEX(羁绊设计!$F:$F,MATCH(羁绊设计!CA79,羁绊设计!$D:$D,0)),"")</f>
        <v/>
      </c>
      <c r="AE79" s="9" t="str">
        <f>IFERROR(INDEX(羁绊设计!$F:$F,MATCH(羁绊设计!CC79,羁绊设计!$D:$D,0)),"")</f>
        <v>橙</v>
      </c>
      <c r="AF79" s="9" t="str">
        <f>IFERROR(INDEX(羁绊设计!$F:$F,MATCH(羁绊设计!CD79,羁绊设计!$D:$D,0)),"")</f>
        <v/>
      </c>
      <c r="AG79" s="9" t="str">
        <f>IFERROR(INDEX(羁绊设计!$F:$F,MATCH(羁绊设计!CE79,羁绊设计!$D:$D,0)),"")</f>
        <v>橙+</v>
      </c>
      <c r="AH79" s="9" t="str">
        <f>IFERROR(INDEX(羁绊设计!$F:$F,MATCH(羁绊设计!CF79,羁绊设计!$D:$D,0)),"")</f>
        <v/>
      </c>
      <c r="AJ79" s="9" t="str">
        <f>IFERROR(INDEX(羁绊设计!$F:$F,MATCH(羁绊设计!CH79,羁绊设计!$D:$D,0)),"")</f>
        <v>橙+</v>
      </c>
      <c r="AK79" s="9" t="str">
        <f>IFERROR(INDEX(羁绊设计!$F:$F,MATCH(羁绊设计!CI79,羁绊设计!$D:$D,0)),"")</f>
        <v>橙</v>
      </c>
      <c r="AL79" s="9" t="str">
        <f>IFERROR(INDEX(羁绊设计!$F:$F,MATCH(羁绊设计!CJ79,羁绊设计!$D:$D,0)),"")</f>
        <v>橙</v>
      </c>
      <c r="AM79" s="9" t="str">
        <f>IFERROR(INDEX(羁绊设计!$F:$F,MATCH(羁绊设计!CK79,羁绊设计!$D:$D,0)),"")</f>
        <v/>
      </c>
      <c r="AO79" s="9" t="str">
        <f>IFERROR(INDEX(羁绊设计!$F:$F,MATCH(羁绊设计!CM79,羁绊设计!$D:$D,0)),"")</f>
        <v>橙+</v>
      </c>
      <c r="AP79" s="9" t="str">
        <f>IFERROR(INDEX(羁绊设计!$F:$F,MATCH(羁绊设计!CN79,羁绊设计!$D:$D,0)),"")</f>
        <v/>
      </c>
      <c r="AQ79" s="9" t="str">
        <f>IFERROR(INDEX(羁绊设计!$F:$F,MATCH(羁绊设计!CO79,羁绊设计!$D:$D,0)),"")</f>
        <v/>
      </c>
      <c r="AR79" s="9" t="str">
        <f>IFERROR(INDEX(羁绊设计!$F:$F,MATCH(羁绊设计!CP79,羁绊设计!$D:$D,0)),"")</f>
        <v/>
      </c>
      <c r="AT79" s="9" t="str">
        <f>IFERROR(INDEX(羁绊设计!$F:$F,MATCH(羁绊设计!CR79,羁绊设计!$D:$D,0)),"")</f>
        <v>橙+</v>
      </c>
      <c r="AU79" s="9" t="str">
        <f>IFERROR(INDEX(羁绊设计!$F:$F,MATCH(羁绊设计!CS79,羁绊设计!$D:$D,0)),"")</f>
        <v/>
      </c>
      <c r="AV79" s="9" t="str">
        <f>IFERROR(INDEX(羁绊设计!$F:$F,MATCH(羁绊设计!CT79,羁绊设计!$D:$D,0)),"")</f>
        <v/>
      </c>
      <c r="AW79" s="9" t="str">
        <f>IFERROR(INDEX(羁绊设计!$F:$F,MATCH(羁绊设计!CU79,羁绊设计!$D:$D,0)),"")</f>
        <v/>
      </c>
    </row>
    <row r="80" spans="2:49">
      <c r="B80" s="12" t="str">
        <f>羁绊设计!D80</f>
        <v>典藏吕不韦</v>
      </c>
      <c r="C80" s="7" t="str">
        <f t="shared" si="4"/>
        <v/>
      </c>
      <c r="D80" s="7" t="str">
        <f t="shared" si="4"/>
        <v/>
      </c>
      <c r="E80" s="7" t="str">
        <f t="shared" si="4"/>
        <v/>
      </c>
      <c r="F80" s="7">
        <f t="shared" si="4"/>
        <v>9</v>
      </c>
      <c r="G80" s="7" t="str">
        <f t="shared" si="4"/>
        <v/>
      </c>
      <c r="I80" s="9" t="str">
        <f t="shared" ref="I80" si="7">合并区域(K80:AW80,",")</f>
        <v>橙+,橙,橙,橙,橙,橙,橙,橙,橙,橙</v>
      </c>
      <c r="K80" s="9" t="str">
        <f>IFERROR(INDEX(羁绊设计!$F:$F,MATCH(羁绊设计!BI80,羁绊设计!$D:$D,0)),"")</f>
        <v>橙+</v>
      </c>
      <c r="L80" s="9" t="str">
        <f>IFERROR(INDEX(羁绊设计!$F:$F,MATCH(羁绊设计!BJ80,羁绊设计!$D:$D,0)),"")</f>
        <v>橙</v>
      </c>
      <c r="M80" s="9" t="str">
        <f>IFERROR(INDEX(羁绊设计!$F:$F,MATCH(羁绊设计!BK80,羁绊设计!$D:$D,0)),"")</f>
        <v>橙</v>
      </c>
      <c r="N80" s="9" t="str">
        <f>IFERROR(INDEX(羁绊设计!$F:$F,MATCH(羁绊设计!BL80,羁绊设计!$D:$D,0)),"")</f>
        <v>橙</v>
      </c>
      <c r="P80" s="9" t="str">
        <f>IFERROR(INDEX(羁绊设计!$F:$F,MATCH(羁绊设计!BN80,羁绊设计!$D:$D,0)),"")</f>
        <v/>
      </c>
      <c r="Q80" s="9" t="str">
        <f>IFERROR(INDEX(羁绊设计!$F:$F,MATCH(羁绊设计!BO80,羁绊设计!$D:$D,0)),"")</f>
        <v>橙</v>
      </c>
      <c r="R80" s="9" t="str">
        <f>IFERROR(INDEX(羁绊设计!$F:$F,MATCH(羁绊设计!BP80,羁绊设计!$D:$D,0)),"")</f>
        <v>橙</v>
      </c>
      <c r="S80" s="9" t="str">
        <f>IFERROR(INDEX(羁绊设计!$F:$F,MATCH(羁绊设计!BQ80,羁绊设计!$D:$D,0)),"")</f>
        <v>橙</v>
      </c>
      <c r="U80" s="9" t="str">
        <f>IFERROR(INDEX(羁绊设计!$F:$F,MATCH(羁绊设计!BS80,羁绊设计!$D:$D,0)),"")</f>
        <v/>
      </c>
      <c r="V80" s="9" t="str">
        <f>IFERROR(INDEX(羁绊设计!$F:$F,MATCH(羁绊设计!BT80,羁绊设计!$D:$D,0)),"")</f>
        <v>橙</v>
      </c>
      <c r="W80" s="9" t="str">
        <f>IFERROR(INDEX(羁绊设计!$F:$F,MATCH(羁绊设计!BU80,羁绊设计!$D:$D,0)),"")</f>
        <v>橙</v>
      </c>
      <c r="X80" s="9" t="str">
        <f>IFERROR(INDEX(羁绊设计!$F:$F,MATCH(羁绊设计!BV80,羁绊设计!$D:$D,0)),"")</f>
        <v>橙</v>
      </c>
      <c r="Z80" s="9" t="str">
        <f>IFERROR(INDEX(羁绊设计!$F:$F,MATCH(羁绊设计!BX80,羁绊设计!$D:$D,0)),"")</f>
        <v/>
      </c>
      <c r="AA80" s="9" t="str">
        <f>IFERROR(INDEX(羁绊设计!$F:$F,MATCH(羁绊设计!BY80,羁绊设计!$D:$D,0)),"")</f>
        <v/>
      </c>
      <c r="AB80" s="9" t="str">
        <f>IFERROR(INDEX(羁绊设计!$F:$F,MATCH(羁绊设计!BZ80,羁绊设计!$D:$D,0)),"")</f>
        <v/>
      </c>
      <c r="AC80" s="9" t="str">
        <f>IFERROR(INDEX(羁绊设计!$F:$F,MATCH(羁绊设计!CA80,羁绊设计!$D:$D,0)),"")</f>
        <v/>
      </c>
      <c r="AE80" s="9" t="str">
        <f>IFERROR(INDEX(羁绊设计!$F:$F,MATCH(羁绊设计!CC80,羁绊设计!$D:$D,0)),"")</f>
        <v/>
      </c>
      <c r="AF80" s="9" t="str">
        <f>IFERROR(INDEX(羁绊设计!$F:$F,MATCH(羁绊设计!CD80,羁绊设计!$D:$D,0)),"")</f>
        <v/>
      </c>
      <c r="AG80" s="9" t="str">
        <f>IFERROR(INDEX(羁绊设计!$F:$F,MATCH(羁绊设计!CE80,羁绊设计!$D:$D,0)),"")</f>
        <v/>
      </c>
      <c r="AH80" s="9" t="str">
        <f>IFERROR(INDEX(羁绊设计!$F:$F,MATCH(羁绊设计!CF80,羁绊设计!$D:$D,0)),"")</f>
        <v/>
      </c>
      <c r="AJ80" s="9" t="str">
        <f>IFERROR(INDEX(羁绊设计!$F:$F,MATCH(羁绊设计!CH80,羁绊设计!$D:$D,0)),"")</f>
        <v/>
      </c>
      <c r="AK80" s="9" t="str">
        <f>IFERROR(INDEX(羁绊设计!$F:$F,MATCH(羁绊设计!CI80,羁绊设计!$D:$D,0)),"")</f>
        <v/>
      </c>
      <c r="AL80" s="9" t="str">
        <f>IFERROR(INDEX(羁绊设计!$F:$F,MATCH(羁绊设计!CJ80,羁绊设计!$D:$D,0)),"")</f>
        <v/>
      </c>
      <c r="AM80" s="9" t="str">
        <f>IFERROR(INDEX(羁绊设计!$F:$F,MATCH(羁绊设计!CK80,羁绊设计!$D:$D,0)),"")</f>
        <v/>
      </c>
      <c r="AO80" s="9" t="str">
        <f>IFERROR(INDEX(羁绊设计!$F:$F,MATCH(羁绊设计!CM80,羁绊设计!$D:$D,0)),"")</f>
        <v/>
      </c>
      <c r="AP80" s="9" t="str">
        <f>IFERROR(INDEX(羁绊设计!$F:$F,MATCH(羁绊设计!CN80,羁绊设计!$D:$D,0)),"")</f>
        <v/>
      </c>
      <c r="AQ80" s="9" t="str">
        <f>IFERROR(INDEX(羁绊设计!$F:$F,MATCH(羁绊设计!CO80,羁绊设计!$D:$D,0)),"")</f>
        <v/>
      </c>
      <c r="AR80" s="9" t="str">
        <f>IFERROR(INDEX(羁绊设计!$F:$F,MATCH(羁绊设计!CP80,羁绊设计!$D:$D,0)),"")</f>
        <v/>
      </c>
      <c r="AT80" s="9" t="str">
        <f>IFERROR(INDEX(羁绊设计!$F:$F,MATCH(羁绊设计!CR80,羁绊设计!$D:$D,0)),"")</f>
        <v/>
      </c>
      <c r="AU80" s="9" t="str">
        <f>IFERROR(INDEX(羁绊设计!$F:$F,MATCH(羁绊设计!CS80,羁绊设计!$D:$D,0)),"")</f>
        <v/>
      </c>
      <c r="AV80" s="9" t="str">
        <f>IFERROR(INDEX(羁绊设计!$F:$F,MATCH(羁绊设计!CT80,羁绊设计!$D:$D,0)),"")</f>
        <v/>
      </c>
      <c r="AW80" s="9" t="str">
        <f>IFERROR(INDEX(羁绊设计!$F:$F,MATCH(羁绊设计!CU80,羁绊设计!$D:$D,0)),"")</f>
        <v/>
      </c>
    </row>
    <row r="81" spans="2:49">
      <c r="B81" s="12" t="str">
        <f>羁绊设计!D81</f>
        <v>嬴政</v>
      </c>
      <c r="C81" s="7" t="str">
        <f t="shared" si="4"/>
        <v/>
      </c>
      <c r="D81" s="7" t="str">
        <f t="shared" si="4"/>
        <v/>
      </c>
      <c r="E81" s="7" t="str">
        <f t="shared" si="4"/>
        <v/>
      </c>
      <c r="F81" s="7">
        <f t="shared" si="4"/>
        <v>10</v>
      </c>
      <c r="G81" s="7" t="str">
        <f t="shared" si="4"/>
        <v/>
      </c>
      <c r="I81" s="9" t="str">
        <f t="shared" ref="I81" si="8">合并区域(K81:AW81,",")</f>
        <v>橙+,橙,橙,橙,橙,橙,橙,橙,橙,橙,橙+,橙,橙+,橙+,橙+,橙+</v>
      </c>
      <c r="K81" s="9" t="str">
        <f>IFERROR(INDEX(羁绊设计!$F:$F,MATCH(羁绊设计!BI81,羁绊设计!$D:$D,0)),"")</f>
        <v>橙+</v>
      </c>
      <c r="L81" s="9" t="str">
        <f>IFERROR(INDEX(羁绊设计!$F:$F,MATCH(羁绊设计!BJ81,羁绊设计!$D:$D,0)),"")</f>
        <v>橙</v>
      </c>
      <c r="M81" s="9" t="str">
        <f>IFERROR(INDEX(羁绊设计!$F:$F,MATCH(羁绊设计!BK81,羁绊设计!$D:$D,0)),"")</f>
        <v>橙</v>
      </c>
      <c r="N81" s="9" t="str">
        <f>IFERROR(INDEX(羁绊设计!$F:$F,MATCH(羁绊设计!BL81,羁绊设计!$D:$D,0)),"")</f>
        <v>橙</v>
      </c>
      <c r="P81" s="9" t="str">
        <f>IFERROR(INDEX(羁绊设计!$F:$F,MATCH(羁绊设计!BN81,羁绊设计!$D:$D,0)),"")</f>
        <v/>
      </c>
      <c r="Q81" s="9" t="str">
        <f>IFERROR(INDEX(羁绊设计!$F:$F,MATCH(羁绊设计!BO81,羁绊设计!$D:$D,0)),"")</f>
        <v>橙</v>
      </c>
      <c r="R81" s="9" t="str">
        <f>IFERROR(INDEX(羁绊设计!$F:$F,MATCH(羁绊设计!BP81,羁绊设计!$D:$D,0)),"")</f>
        <v>橙</v>
      </c>
      <c r="S81" s="9" t="str">
        <f>IFERROR(INDEX(羁绊设计!$F:$F,MATCH(羁绊设计!BQ81,羁绊设计!$D:$D,0)),"")</f>
        <v>橙</v>
      </c>
      <c r="U81" s="9" t="str">
        <f>IFERROR(INDEX(羁绊设计!$F:$F,MATCH(羁绊设计!BS81,羁绊设计!$D:$D,0)),"")</f>
        <v/>
      </c>
      <c r="V81" s="9" t="str">
        <f>IFERROR(INDEX(羁绊设计!$F:$F,MATCH(羁绊设计!BT81,羁绊设计!$D:$D,0)),"")</f>
        <v>橙</v>
      </c>
      <c r="W81" s="9" t="str">
        <f>IFERROR(INDEX(羁绊设计!$F:$F,MATCH(羁绊设计!BU81,羁绊设计!$D:$D,0)),"")</f>
        <v>橙</v>
      </c>
      <c r="X81" s="9" t="str">
        <f>IFERROR(INDEX(羁绊设计!$F:$F,MATCH(羁绊设计!BV81,羁绊设计!$D:$D,0)),"")</f>
        <v>橙</v>
      </c>
      <c r="Z81" s="9" t="str">
        <f>IFERROR(INDEX(羁绊设计!$F:$F,MATCH(羁绊设计!BX81,羁绊设计!$D:$D,0)),"")</f>
        <v>橙+</v>
      </c>
      <c r="AA81" s="9" t="str">
        <f>IFERROR(INDEX(羁绊设计!$F:$F,MATCH(羁绊设计!BY81,羁绊设计!$D:$D,0)),"")</f>
        <v>橙</v>
      </c>
      <c r="AB81" s="9" t="str">
        <f>IFERROR(INDEX(羁绊设计!$F:$F,MATCH(羁绊设计!BZ81,羁绊设计!$D:$D,0)),"")</f>
        <v/>
      </c>
      <c r="AC81" s="9" t="str">
        <f>IFERROR(INDEX(羁绊设计!$F:$F,MATCH(羁绊设计!CA81,羁绊设计!$D:$D,0)),"")</f>
        <v/>
      </c>
      <c r="AE81" s="9" t="str">
        <f>IFERROR(INDEX(羁绊设计!$F:$F,MATCH(羁绊设计!CC81,羁绊设计!$D:$D,0)),"")</f>
        <v>橙+</v>
      </c>
      <c r="AF81" s="9" t="str">
        <f>IFERROR(INDEX(羁绊设计!$F:$F,MATCH(羁绊设计!CD81,羁绊设计!$D:$D,0)),"")</f>
        <v/>
      </c>
      <c r="AG81" s="9" t="str">
        <f>IFERROR(INDEX(羁绊设计!$F:$F,MATCH(羁绊设计!CE81,羁绊设计!$D:$D,0)),"")</f>
        <v/>
      </c>
      <c r="AH81" s="9" t="str">
        <f>IFERROR(INDEX(羁绊设计!$F:$F,MATCH(羁绊设计!CF81,羁绊设计!$D:$D,0)),"")</f>
        <v/>
      </c>
      <c r="AJ81" s="9" t="str">
        <f>IFERROR(INDEX(羁绊设计!$F:$F,MATCH(羁绊设计!CH81,羁绊设计!$D:$D,0)),"")</f>
        <v>橙+</v>
      </c>
      <c r="AK81" s="9" t="str">
        <f>IFERROR(INDEX(羁绊设计!$F:$F,MATCH(羁绊设计!CI81,羁绊设计!$D:$D,0)),"")</f>
        <v/>
      </c>
      <c r="AL81" s="9" t="str">
        <f>IFERROR(INDEX(羁绊设计!$F:$F,MATCH(羁绊设计!CJ81,羁绊设计!$D:$D,0)),"")</f>
        <v/>
      </c>
      <c r="AM81" s="9" t="str">
        <f>IFERROR(INDEX(羁绊设计!$F:$F,MATCH(羁绊设计!CK81,羁绊设计!$D:$D,0)),"")</f>
        <v/>
      </c>
      <c r="AO81" s="9" t="str">
        <f>IFERROR(INDEX(羁绊设计!$F:$F,MATCH(羁绊设计!CM81,羁绊设计!$D:$D,0)),"")</f>
        <v>橙+</v>
      </c>
      <c r="AP81" s="9" t="str">
        <f>IFERROR(INDEX(羁绊设计!$F:$F,MATCH(羁绊设计!CN81,羁绊设计!$D:$D,0)),"")</f>
        <v/>
      </c>
      <c r="AQ81" s="9" t="str">
        <f>IFERROR(INDEX(羁绊设计!$F:$F,MATCH(羁绊设计!CO81,羁绊设计!$D:$D,0)),"")</f>
        <v/>
      </c>
      <c r="AR81" s="9" t="str">
        <f>IFERROR(INDEX(羁绊设计!$F:$F,MATCH(羁绊设计!CP81,羁绊设计!$D:$D,0)),"")</f>
        <v/>
      </c>
      <c r="AT81" s="9" t="str">
        <f>IFERROR(INDEX(羁绊设计!$F:$F,MATCH(羁绊设计!CR81,羁绊设计!$D:$D,0)),"")</f>
        <v>橙+</v>
      </c>
      <c r="AU81" s="9" t="str">
        <f>IFERROR(INDEX(羁绊设计!$F:$F,MATCH(羁绊设计!CS81,羁绊设计!$D:$D,0)),"")</f>
        <v/>
      </c>
      <c r="AV81" s="9" t="str">
        <f>IFERROR(INDEX(羁绊设计!$F:$F,MATCH(羁绊设计!CT81,羁绊设计!$D:$D,0)),"")</f>
        <v/>
      </c>
      <c r="AW81" s="9" t="str">
        <f>IFERROR(INDEX(羁绊设计!$F:$F,MATCH(羁绊设计!CU81,羁绊设计!$D:$D,0)),"")</f>
        <v/>
      </c>
    </row>
    <row r="82" spans="2:49">
      <c r="B82" s="12" t="str">
        <f>羁绊设计!D82</f>
        <v>蒙恬</v>
      </c>
      <c r="C82" s="7" t="str">
        <f t="shared" si="4"/>
        <v/>
      </c>
      <c r="D82" s="7" t="str">
        <f t="shared" si="4"/>
        <v/>
      </c>
      <c r="E82" s="7" t="str">
        <f t="shared" si="4"/>
        <v/>
      </c>
      <c r="F82" s="7">
        <f t="shared" si="4"/>
        <v>9</v>
      </c>
      <c r="G82" s="7" t="str">
        <f t="shared" si="4"/>
        <v/>
      </c>
      <c r="I82" s="9" t="str">
        <f t="shared" ref="I82:I83" si="9">合并区域(K82:AW82,",")</f>
        <v>橙+,橙,橙,橙,橙,橙,橙,橙,橙,橙,橙+,橙+,橙+</v>
      </c>
      <c r="K82" s="9" t="str">
        <f>IFERROR(INDEX(羁绊设计!$F:$F,MATCH(羁绊设计!BI82,羁绊设计!$D:$D,0)),"")</f>
        <v>橙+</v>
      </c>
      <c r="L82" s="9" t="str">
        <f>IFERROR(INDEX(羁绊设计!$F:$F,MATCH(羁绊设计!BJ82,羁绊设计!$D:$D,0)),"")</f>
        <v>橙</v>
      </c>
      <c r="M82" s="9" t="str">
        <f>IFERROR(INDEX(羁绊设计!$F:$F,MATCH(羁绊设计!BK82,羁绊设计!$D:$D,0)),"")</f>
        <v>橙</v>
      </c>
      <c r="N82" s="9" t="str">
        <f>IFERROR(INDEX(羁绊设计!$F:$F,MATCH(羁绊设计!BL82,羁绊设计!$D:$D,0)),"")</f>
        <v>橙</v>
      </c>
      <c r="P82" s="9" t="str">
        <f>IFERROR(INDEX(羁绊设计!$F:$F,MATCH(羁绊设计!BN82,羁绊设计!$D:$D,0)),"")</f>
        <v/>
      </c>
      <c r="Q82" s="9" t="str">
        <f>IFERROR(INDEX(羁绊设计!$F:$F,MATCH(羁绊设计!BO82,羁绊设计!$D:$D,0)),"")</f>
        <v>橙</v>
      </c>
      <c r="R82" s="9" t="str">
        <f>IFERROR(INDEX(羁绊设计!$F:$F,MATCH(羁绊设计!BP82,羁绊设计!$D:$D,0)),"")</f>
        <v>橙</v>
      </c>
      <c r="S82" s="9" t="str">
        <f>IFERROR(INDEX(羁绊设计!$F:$F,MATCH(羁绊设计!BQ82,羁绊设计!$D:$D,0)),"")</f>
        <v>橙</v>
      </c>
      <c r="U82" s="9" t="str">
        <f>IFERROR(INDEX(羁绊设计!$F:$F,MATCH(羁绊设计!BS82,羁绊设计!$D:$D,0)),"")</f>
        <v/>
      </c>
      <c r="V82" s="9" t="str">
        <f>IFERROR(INDEX(羁绊设计!$F:$F,MATCH(羁绊设计!BT82,羁绊设计!$D:$D,0)),"")</f>
        <v>橙</v>
      </c>
      <c r="W82" s="9" t="str">
        <f>IFERROR(INDEX(羁绊设计!$F:$F,MATCH(羁绊设计!BU82,羁绊设计!$D:$D,0)),"")</f>
        <v>橙</v>
      </c>
      <c r="X82" s="9" t="str">
        <f>IFERROR(INDEX(羁绊设计!$F:$F,MATCH(羁绊设计!BV82,羁绊设计!$D:$D,0)),"")</f>
        <v>橙</v>
      </c>
      <c r="Z82" s="9" t="str">
        <f>IFERROR(INDEX(羁绊设计!$F:$F,MATCH(羁绊设计!BX82,羁绊设计!$D:$D,0)),"")</f>
        <v>橙+</v>
      </c>
      <c r="AA82" s="9" t="str">
        <f>IFERROR(INDEX(羁绊设计!$F:$F,MATCH(羁绊设计!BY82,羁绊设计!$D:$D,0)),"")</f>
        <v/>
      </c>
      <c r="AB82" s="9" t="str">
        <f>IFERROR(INDEX(羁绊设计!$F:$F,MATCH(羁绊设计!BZ82,羁绊设计!$D:$D,0)),"")</f>
        <v/>
      </c>
      <c r="AC82" s="9" t="str">
        <f>IFERROR(INDEX(羁绊设计!$F:$F,MATCH(羁绊设计!CA82,羁绊设计!$D:$D,0)),"")</f>
        <v/>
      </c>
      <c r="AE82" s="9" t="str">
        <f>IFERROR(INDEX(羁绊设计!$F:$F,MATCH(羁绊设计!CC82,羁绊设计!$D:$D,0)),"")</f>
        <v>橙+</v>
      </c>
      <c r="AF82" s="9" t="str">
        <f>IFERROR(INDEX(羁绊设计!$F:$F,MATCH(羁绊设计!CD82,羁绊设计!$D:$D,0)),"")</f>
        <v/>
      </c>
      <c r="AG82" s="9" t="str">
        <f>IFERROR(INDEX(羁绊设计!$F:$F,MATCH(羁绊设计!CE82,羁绊设计!$D:$D,0)),"")</f>
        <v>橙+</v>
      </c>
      <c r="AH82" s="9" t="str">
        <f>IFERROR(INDEX(羁绊设计!$F:$F,MATCH(羁绊设计!CF82,羁绊设计!$D:$D,0)),"")</f>
        <v/>
      </c>
      <c r="AJ82" s="9" t="str">
        <f>IFERROR(INDEX(羁绊设计!$F:$F,MATCH(羁绊设计!CH82,羁绊设计!$D:$D,0)),"")</f>
        <v/>
      </c>
      <c r="AK82" s="9" t="str">
        <f>IFERROR(INDEX(羁绊设计!$F:$F,MATCH(羁绊设计!CI82,羁绊设计!$D:$D,0)),"")</f>
        <v/>
      </c>
      <c r="AL82" s="9" t="str">
        <f>IFERROR(INDEX(羁绊设计!$F:$F,MATCH(羁绊设计!CJ82,羁绊设计!$D:$D,0)),"")</f>
        <v/>
      </c>
      <c r="AM82" s="9" t="str">
        <f>IFERROR(INDEX(羁绊设计!$F:$F,MATCH(羁绊设计!CK82,羁绊设计!$D:$D,0)),"")</f>
        <v/>
      </c>
      <c r="AO82" s="9" t="str">
        <f>IFERROR(INDEX(羁绊设计!$F:$F,MATCH(羁绊设计!CM82,羁绊设计!$D:$D,0)),"")</f>
        <v/>
      </c>
      <c r="AP82" s="9" t="str">
        <f>IFERROR(INDEX(羁绊设计!$F:$F,MATCH(羁绊设计!CN82,羁绊设计!$D:$D,0)),"")</f>
        <v/>
      </c>
      <c r="AQ82" s="9" t="str">
        <f>IFERROR(INDEX(羁绊设计!$F:$F,MATCH(羁绊设计!CO82,羁绊设计!$D:$D,0)),"")</f>
        <v/>
      </c>
      <c r="AR82" s="9" t="str">
        <f>IFERROR(INDEX(羁绊设计!$F:$F,MATCH(羁绊设计!CP82,羁绊设计!$D:$D,0)),"")</f>
        <v/>
      </c>
      <c r="AT82" s="9" t="str">
        <f>IFERROR(INDEX(羁绊设计!$F:$F,MATCH(羁绊设计!CR82,羁绊设计!$D:$D,0)),"")</f>
        <v/>
      </c>
      <c r="AU82" s="9" t="str">
        <f>IFERROR(INDEX(羁绊设计!$F:$F,MATCH(羁绊设计!CS82,羁绊设计!$D:$D,0)),"")</f>
        <v/>
      </c>
      <c r="AV82" s="9" t="str">
        <f>IFERROR(INDEX(羁绊设计!$F:$F,MATCH(羁绊设计!CT82,羁绊设计!$D:$D,0)),"")</f>
        <v/>
      </c>
      <c r="AW82" s="9" t="str">
        <f>IFERROR(INDEX(羁绊设计!$F:$F,MATCH(羁绊设计!CU82,羁绊设计!$D:$D,0)),"")</f>
        <v/>
      </c>
    </row>
    <row r="83" spans="2:49">
      <c r="B83" s="12" t="str">
        <f>羁绊设计!D83</f>
        <v>弄玉</v>
      </c>
      <c r="C83" s="7" t="str">
        <f t="shared" si="4"/>
        <v/>
      </c>
      <c r="D83" s="7" t="str">
        <f t="shared" si="4"/>
        <v/>
      </c>
      <c r="E83" s="7" t="str">
        <f t="shared" si="4"/>
        <v/>
      </c>
      <c r="F83" s="7">
        <f t="shared" si="4"/>
        <v>6</v>
      </c>
      <c r="G83" s="7" t="str">
        <f t="shared" si="4"/>
        <v/>
      </c>
      <c r="I83" s="9" t="str">
        <f t="shared" si="9"/>
        <v>橙+,橙,橙,橙,橙,橙+,橙,橙,橙+</v>
      </c>
      <c r="K83" s="9" t="str">
        <f>IFERROR(INDEX(羁绊设计!$F:$F,MATCH(羁绊设计!BI83,羁绊设计!$D:$D,0)),"")</f>
        <v>橙+</v>
      </c>
      <c r="L83" s="9" t="str">
        <f>IFERROR(INDEX(羁绊设计!$F:$F,MATCH(羁绊设计!BJ83,羁绊设计!$D:$D,0)),"")</f>
        <v>橙</v>
      </c>
      <c r="M83" s="9" t="str">
        <f>IFERROR(INDEX(羁绊设计!$F:$F,MATCH(羁绊设计!BK83,羁绊设计!$D:$D,0)),"")</f>
        <v>橙</v>
      </c>
      <c r="N83" s="9" t="str">
        <f>IFERROR(INDEX(羁绊设计!$F:$F,MATCH(羁绊设计!BL83,羁绊设计!$D:$D,0)),"")</f>
        <v/>
      </c>
      <c r="P83" s="9" t="str">
        <f>IFERROR(INDEX(羁绊设计!$F:$F,MATCH(羁绊设计!BN83,羁绊设计!$D:$D,0)),"")</f>
        <v/>
      </c>
      <c r="Q83" s="9" t="str">
        <f>IFERROR(INDEX(羁绊设计!$F:$F,MATCH(羁绊设计!BO83,羁绊设计!$D:$D,0)),"")</f>
        <v>橙</v>
      </c>
      <c r="R83" s="9" t="str">
        <f>IFERROR(INDEX(羁绊设计!$F:$F,MATCH(羁绊设计!BP83,羁绊设计!$D:$D,0)),"")</f>
        <v/>
      </c>
      <c r="S83" s="9" t="str">
        <f>IFERROR(INDEX(羁绊设计!$F:$F,MATCH(羁绊设计!BQ83,羁绊设计!$D:$D,0)),"")</f>
        <v/>
      </c>
      <c r="U83" s="9" t="str">
        <f>IFERROR(INDEX(羁绊设计!$F:$F,MATCH(羁绊设计!BS83,羁绊设计!$D:$D,0)),"")</f>
        <v/>
      </c>
      <c r="V83" s="9" t="str">
        <f>IFERROR(INDEX(羁绊设计!$F:$F,MATCH(羁绊设计!BT83,羁绊设计!$D:$D,0)),"")</f>
        <v>橙</v>
      </c>
      <c r="W83" s="9" t="str">
        <f>IFERROR(INDEX(羁绊设计!$F:$F,MATCH(羁绊设计!BU83,羁绊设计!$D:$D,0)),"")</f>
        <v/>
      </c>
      <c r="X83" s="9" t="str">
        <f>IFERROR(INDEX(羁绊设计!$F:$F,MATCH(羁绊设计!BV83,羁绊设计!$D:$D,0)),"")</f>
        <v/>
      </c>
      <c r="Z83" s="9" t="str">
        <f>IFERROR(INDEX(羁绊设计!$F:$F,MATCH(羁绊设计!BX83,羁绊设计!$D:$D,0)),"")</f>
        <v>橙+</v>
      </c>
      <c r="AA83" s="9" t="str">
        <f>IFERROR(INDEX(羁绊设计!$F:$F,MATCH(羁绊设计!BY83,羁绊设计!$D:$D,0)),"")</f>
        <v>橙</v>
      </c>
      <c r="AB83" s="9" t="str">
        <f>IFERROR(INDEX(羁绊设计!$F:$F,MATCH(羁绊设计!BZ83,羁绊设计!$D:$D,0)),"")</f>
        <v>橙</v>
      </c>
      <c r="AC83" s="9" t="str">
        <f>IFERROR(INDEX(羁绊设计!$F:$F,MATCH(羁绊设计!CA83,羁绊设计!$D:$D,0)),"")</f>
        <v/>
      </c>
      <c r="AE83" s="9" t="str">
        <f>IFERROR(INDEX(羁绊设计!$F:$F,MATCH(羁绊设计!CC83,羁绊设计!$D:$D,0)),"")</f>
        <v>橙+</v>
      </c>
      <c r="AF83" s="9" t="str">
        <f>IFERROR(INDEX(羁绊设计!$F:$F,MATCH(羁绊设计!CD83,羁绊设计!$D:$D,0)),"")</f>
        <v/>
      </c>
      <c r="AG83" s="9" t="str">
        <f>IFERROR(INDEX(羁绊设计!$F:$F,MATCH(羁绊设计!CE83,羁绊设计!$D:$D,0)),"")</f>
        <v/>
      </c>
      <c r="AH83" s="9" t="str">
        <f>IFERROR(INDEX(羁绊设计!$F:$F,MATCH(羁绊设计!CF83,羁绊设计!$D:$D,0)),"")</f>
        <v/>
      </c>
      <c r="AJ83" s="9" t="str">
        <f>IFERROR(INDEX(羁绊设计!$F:$F,MATCH(羁绊设计!CH83,羁绊设计!$D:$D,0)),"")</f>
        <v/>
      </c>
      <c r="AK83" s="9" t="str">
        <f>IFERROR(INDEX(羁绊设计!$F:$F,MATCH(羁绊设计!CI83,羁绊设计!$D:$D,0)),"")</f>
        <v/>
      </c>
      <c r="AL83" s="9" t="str">
        <f>IFERROR(INDEX(羁绊设计!$F:$F,MATCH(羁绊设计!CJ83,羁绊设计!$D:$D,0)),"")</f>
        <v/>
      </c>
      <c r="AM83" s="9" t="str">
        <f>IFERROR(INDEX(羁绊设计!$F:$F,MATCH(羁绊设计!CK83,羁绊设计!$D:$D,0)),"")</f>
        <v/>
      </c>
      <c r="AO83" s="9" t="str">
        <f>IFERROR(INDEX(羁绊设计!$F:$F,MATCH(羁绊设计!CM83,羁绊设计!$D:$D,0)),"")</f>
        <v/>
      </c>
      <c r="AP83" s="9" t="str">
        <f>IFERROR(INDEX(羁绊设计!$F:$F,MATCH(羁绊设计!CN83,羁绊设计!$D:$D,0)),"")</f>
        <v/>
      </c>
      <c r="AQ83" s="9" t="str">
        <f>IFERROR(INDEX(羁绊设计!$F:$F,MATCH(羁绊设计!CO83,羁绊设计!$D:$D,0)),"")</f>
        <v/>
      </c>
      <c r="AR83" s="9" t="str">
        <f>IFERROR(INDEX(羁绊设计!$F:$F,MATCH(羁绊设计!CP83,羁绊设计!$D:$D,0)),"")</f>
        <v/>
      </c>
      <c r="AT83" s="9" t="str">
        <f>IFERROR(INDEX(羁绊设计!$F:$F,MATCH(羁绊设计!CR83,羁绊设计!$D:$D,0)),"")</f>
        <v/>
      </c>
      <c r="AU83" s="9" t="str">
        <f>IFERROR(INDEX(羁绊设计!$F:$F,MATCH(羁绊设计!CS83,羁绊设计!$D:$D,0)),"")</f>
        <v/>
      </c>
      <c r="AV83" s="9" t="str">
        <f>IFERROR(INDEX(羁绊设计!$F:$F,MATCH(羁绊设计!CT83,羁绊设计!$D:$D,0)),"")</f>
        <v/>
      </c>
      <c r="AW83" s="9" t="str">
        <f>IFERROR(INDEX(羁绊设计!$F:$F,MATCH(羁绊设计!CU83,羁绊设计!$D:$D,0)),"")</f>
        <v/>
      </c>
    </row>
    <row r="84" spans="2:49">
      <c r="B84" s="12" t="str">
        <f>羁绊设计!D84</f>
        <v>越女</v>
      </c>
      <c r="C84" s="7" t="str">
        <f t="shared" si="4"/>
        <v/>
      </c>
      <c r="D84" s="7" t="str">
        <f t="shared" si="4"/>
        <v/>
      </c>
      <c r="E84" s="7" t="str">
        <f t="shared" si="4"/>
        <v/>
      </c>
      <c r="F84" s="7">
        <f t="shared" si="4"/>
        <v>7</v>
      </c>
      <c r="G84" s="7" t="str">
        <f t="shared" si="4"/>
        <v/>
      </c>
      <c r="I84" s="9" t="str">
        <f t="shared" ref="I84:I86" si="10">合并区域(K84:AW84,",")</f>
        <v>橙+,橙,橙,橙,橙,橙,橙+,橙+,橙,橙,橙+,橙+</v>
      </c>
      <c r="K84" s="9" t="str">
        <f>IFERROR(INDEX(羁绊设计!$F:$F,MATCH(羁绊设计!BI84,羁绊设计!$D:$D,0)),"")</f>
        <v>橙+</v>
      </c>
      <c r="L84" s="9" t="str">
        <f>IFERROR(INDEX(羁绊设计!$F:$F,MATCH(羁绊设计!BJ84,羁绊设计!$D:$D,0)),"")</f>
        <v>橙</v>
      </c>
      <c r="M84" s="9" t="str">
        <f>IFERROR(INDEX(羁绊设计!$F:$F,MATCH(羁绊设计!BK84,羁绊设计!$D:$D,0)),"")</f>
        <v/>
      </c>
      <c r="N84" s="9" t="str">
        <f>IFERROR(INDEX(羁绊设计!$F:$F,MATCH(羁绊设计!BL84,羁绊设计!$D:$D,0)),"")</f>
        <v/>
      </c>
      <c r="P84" s="9" t="str">
        <f>IFERROR(INDEX(羁绊设计!$F:$F,MATCH(羁绊设计!BN84,羁绊设计!$D:$D,0)),"")</f>
        <v/>
      </c>
      <c r="Q84" s="9" t="str">
        <f>IFERROR(INDEX(羁绊设计!$F:$F,MATCH(羁绊设计!BO84,羁绊设计!$D:$D,0)),"")</f>
        <v>橙</v>
      </c>
      <c r="R84" s="9" t="str">
        <f>IFERROR(INDEX(羁绊设计!$F:$F,MATCH(羁绊设计!BP84,羁绊设计!$D:$D,0)),"")</f>
        <v>橙</v>
      </c>
      <c r="S84" s="9" t="str">
        <f>IFERROR(INDEX(羁绊设计!$F:$F,MATCH(羁绊设计!BQ84,羁绊设计!$D:$D,0)),"")</f>
        <v/>
      </c>
      <c r="U84" s="9" t="str">
        <f>IFERROR(INDEX(羁绊设计!$F:$F,MATCH(羁绊设计!BS84,羁绊设计!$D:$D,0)),"")</f>
        <v/>
      </c>
      <c r="V84" s="9" t="str">
        <f>IFERROR(INDEX(羁绊设计!$F:$F,MATCH(羁绊设计!BT84,羁绊设计!$D:$D,0)),"")</f>
        <v>橙</v>
      </c>
      <c r="W84" s="9" t="str">
        <f>IFERROR(INDEX(羁绊设计!$F:$F,MATCH(羁绊设计!BU84,羁绊设计!$D:$D,0)),"")</f>
        <v>橙</v>
      </c>
      <c r="X84" s="9" t="str">
        <f>IFERROR(INDEX(羁绊设计!$F:$F,MATCH(羁绊设计!BV84,羁绊设计!$D:$D,0)),"")</f>
        <v>橙+</v>
      </c>
      <c r="Z84" s="9" t="str">
        <f>IFERROR(INDEX(羁绊设计!$F:$F,MATCH(羁绊设计!BX84,羁绊设计!$D:$D,0)),"")</f>
        <v>橙+</v>
      </c>
      <c r="AA84" s="9" t="str">
        <f>IFERROR(INDEX(羁绊设计!$F:$F,MATCH(羁绊设计!BY84,羁绊设计!$D:$D,0)),"")</f>
        <v/>
      </c>
      <c r="AB84" s="9" t="str">
        <f>IFERROR(INDEX(羁绊设计!$F:$F,MATCH(羁绊设计!BZ84,羁绊设计!$D:$D,0)),"")</f>
        <v>橙</v>
      </c>
      <c r="AC84" s="9" t="str">
        <f>IFERROR(INDEX(羁绊设计!$F:$F,MATCH(羁绊设计!CA84,羁绊设计!$D:$D,0)),"")</f>
        <v>橙</v>
      </c>
      <c r="AE84" s="9" t="str">
        <f>IFERROR(INDEX(羁绊设计!$F:$F,MATCH(羁绊设计!CC84,羁绊设计!$D:$D,0)),"")</f>
        <v>橙+</v>
      </c>
      <c r="AF84" s="9" t="str">
        <f>IFERROR(INDEX(羁绊设计!$F:$F,MATCH(羁绊设计!CD84,羁绊设计!$D:$D,0)),"")</f>
        <v/>
      </c>
      <c r="AG84" s="9" t="str">
        <f>IFERROR(INDEX(羁绊设计!$F:$F,MATCH(羁绊设计!CE84,羁绊设计!$D:$D,0)),"")</f>
        <v>橙+</v>
      </c>
      <c r="AH84" s="9" t="str">
        <f>IFERROR(INDEX(羁绊设计!$F:$F,MATCH(羁绊设计!CF84,羁绊设计!$D:$D,0)),"")</f>
        <v/>
      </c>
      <c r="AJ84" s="9" t="str">
        <f>IFERROR(INDEX(羁绊设计!$F:$F,MATCH(羁绊设计!CH84,羁绊设计!$D:$D,0)),"")</f>
        <v/>
      </c>
      <c r="AK84" s="9" t="str">
        <f>IFERROR(INDEX(羁绊设计!$F:$F,MATCH(羁绊设计!CI84,羁绊设计!$D:$D,0)),"")</f>
        <v/>
      </c>
      <c r="AL84" s="9" t="str">
        <f>IFERROR(INDEX(羁绊设计!$F:$F,MATCH(羁绊设计!CJ84,羁绊设计!$D:$D,0)),"")</f>
        <v/>
      </c>
      <c r="AM84" s="9" t="str">
        <f>IFERROR(INDEX(羁绊设计!$F:$F,MATCH(羁绊设计!CK84,羁绊设计!$D:$D,0)),"")</f>
        <v/>
      </c>
      <c r="AO84" s="9" t="str">
        <f>IFERROR(INDEX(羁绊设计!$F:$F,MATCH(羁绊设计!CM84,羁绊设计!$D:$D,0)),"")</f>
        <v/>
      </c>
      <c r="AP84" s="9" t="str">
        <f>IFERROR(INDEX(羁绊设计!$F:$F,MATCH(羁绊设计!CN84,羁绊设计!$D:$D,0)),"")</f>
        <v/>
      </c>
      <c r="AQ84" s="9" t="str">
        <f>IFERROR(INDEX(羁绊设计!$F:$F,MATCH(羁绊设计!CO84,羁绊设计!$D:$D,0)),"")</f>
        <v/>
      </c>
      <c r="AR84" s="9" t="str">
        <f>IFERROR(INDEX(羁绊设计!$F:$F,MATCH(羁绊设计!CP84,羁绊设计!$D:$D,0)),"")</f>
        <v/>
      </c>
      <c r="AT84" s="9" t="str">
        <f>IFERROR(INDEX(羁绊设计!$F:$F,MATCH(羁绊设计!CR84,羁绊设计!$D:$D,0)),"")</f>
        <v/>
      </c>
      <c r="AU84" s="9" t="str">
        <f>IFERROR(INDEX(羁绊设计!$F:$F,MATCH(羁绊设计!CS84,羁绊设计!$D:$D,0)),"")</f>
        <v/>
      </c>
      <c r="AV84" s="9" t="str">
        <f>IFERROR(INDEX(羁绊设计!$F:$F,MATCH(羁绊设计!CT84,羁绊设计!$D:$D,0)),"")</f>
        <v/>
      </c>
      <c r="AW84" s="9" t="str">
        <f>IFERROR(INDEX(羁绊设计!$F:$F,MATCH(羁绊设计!CU84,羁绊设计!$D:$D,0)),"")</f>
        <v/>
      </c>
    </row>
    <row r="85" spans="2:49">
      <c r="B85" s="12" t="str">
        <f>羁绊设计!D85</f>
        <v>虞姬</v>
      </c>
      <c r="C85" s="7" t="str">
        <f t="shared" si="4"/>
        <v/>
      </c>
      <c r="D85" s="7" t="str">
        <f t="shared" si="4"/>
        <v/>
      </c>
      <c r="E85" s="7" t="str">
        <f t="shared" si="4"/>
        <v/>
      </c>
      <c r="F85" s="7">
        <f t="shared" si="4"/>
        <v>4</v>
      </c>
      <c r="G85" s="7">
        <f t="shared" si="4"/>
        <v>1</v>
      </c>
      <c r="I85" s="9" t="str">
        <f t="shared" si="10"/>
        <v>橙+,橙+,橙,橙,橙,橙,红,橙+,橙+</v>
      </c>
      <c r="K85" s="9" t="str">
        <f>IFERROR(INDEX(羁绊设计!$F:$F,MATCH(羁绊设计!BI85,羁绊设计!$D:$D,0)),"")</f>
        <v>橙+</v>
      </c>
      <c r="L85" s="9" t="str">
        <f>IFERROR(INDEX(羁绊设计!$F:$F,MATCH(羁绊设计!BJ85,羁绊设计!$D:$D,0)),"")</f>
        <v>橙+</v>
      </c>
      <c r="M85" s="9" t="str">
        <f>IFERROR(INDEX(羁绊设计!$F:$F,MATCH(羁绊设计!BK85,羁绊设计!$D:$D,0)),"")</f>
        <v/>
      </c>
      <c r="N85" s="9" t="str">
        <f>IFERROR(INDEX(羁绊设计!$F:$F,MATCH(羁绊设计!BL85,羁绊设计!$D:$D,0)),"")</f>
        <v/>
      </c>
      <c r="P85" s="9" t="str">
        <f>IFERROR(INDEX(羁绊设计!$F:$F,MATCH(羁绊设计!BN85,羁绊设计!$D:$D,0)),"")</f>
        <v/>
      </c>
      <c r="Q85" s="9" t="str">
        <f>IFERROR(INDEX(羁绊设计!$F:$F,MATCH(羁绊设计!BO85,羁绊设计!$D:$D,0)),"")</f>
        <v>橙</v>
      </c>
      <c r="R85" s="9" t="str">
        <f>IFERROR(INDEX(羁绊设计!$F:$F,MATCH(羁绊设计!BP85,羁绊设计!$D:$D,0)),"")</f>
        <v/>
      </c>
      <c r="S85" s="9" t="str">
        <f>IFERROR(INDEX(羁绊设计!$F:$F,MATCH(羁绊设计!BQ85,羁绊设计!$D:$D,0)),"")</f>
        <v/>
      </c>
      <c r="U85" s="9" t="str">
        <f>IFERROR(INDEX(羁绊设计!$F:$F,MATCH(羁绊设计!BS85,羁绊设计!$D:$D,0)),"")</f>
        <v/>
      </c>
      <c r="V85" s="9" t="str">
        <f>IFERROR(INDEX(羁绊设计!$F:$F,MATCH(羁绊设计!BT85,羁绊设计!$D:$D,0)),"")</f>
        <v>橙</v>
      </c>
      <c r="W85" s="9" t="str">
        <f>IFERROR(INDEX(羁绊设计!$F:$F,MATCH(羁绊设计!BU85,羁绊设计!$D:$D,0)),"")</f>
        <v>橙</v>
      </c>
      <c r="X85" s="9" t="str">
        <f>IFERROR(INDEX(羁绊设计!$F:$F,MATCH(羁绊设计!BV85,羁绊设计!$D:$D,0)),"")</f>
        <v>橙</v>
      </c>
      <c r="Z85" s="9" t="str">
        <f>IFERROR(INDEX(羁绊设计!$F:$F,MATCH(羁绊设计!BX85,羁绊设计!$D:$D,0)),"")</f>
        <v>红</v>
      </c>
      <c r="AA85" s="9" t="str">
        <f>IFERROR(INDEX(羁绊设计!$F:$F,MATCH(羁绊设计!BY85,羁绊设计!$D:$D,0)),"")</f>
        <v/>
      </c>
      <c r="AB85" s="9" t="str">
        <f>IFERROR(INDEX(羁绊设计!$F:$F,MATCH(羁绊设计!BZ85,羁绊设计!$D:$D,0)),"")</f>
        <v/>
      </c>
      <c r="AC85" s="9" t="str">
        <f>IFERROR(INDEX(羁绊设计!$F:$F,MATCH(羁绊设计!CA85,羁绊设计!$D:$D,0)),"")</f>
        <v/>
      </c>
      <c r="AE85" s="9" t="str">
        <f>IFERROR(INDEX(羁绊设计!$F:$F,MATCH(羁绊设计!CC85,羁绊设计!$D:$D,0)),"")</f>
        <v>橙+</v>
      </c>
      <c r="AF85" s="9" t="str">
        <f>IFERROR(INDEX(羁绊设计!$F:$F,MATCH(羁绊设计!CD85,羁绊设计!$D:$D,0)),"")</f>
        <v>橙+</v>
      </c>
      <c r="AG85" s="9" t="str">
        <f>IFERROR(INDEX(羁绊设计!$F:$F,MATCH(羁绊设计!CE85,羁绊设计!$D:$D,0)),"")</f>
        <v/>
      </c>
      <c r="AH85" s="9" t="str">
        <f>IFERROR(INDEX(羁绊设计!$F:$F,MATCH(羁绊设计!CF85,羁绊设计!$D:$D,0)),"")</f>
        <v/>
      </c>
      <c r="AJ85" s="9" t="str">
        <f>IFERROR(INDEX(羁绊设计!$F:$F,MATCH(羁绊设计!CH85,羁绊设计!$D:$D,0)),"")</f>
        <v/>
      </c>
      <c r="AK85" s="9" t="str">
        <f>IFERROR(INDEX(羁绊设计!$F:$F,MATCH(羁绊设计!CI85,羁绊设计!$D:$D,0)),"")</f>
        <v/>
      </c>
      <c r="AL85" s="9" t="str">
        <f>IFERROR(INDEX(羁绊设计!$F:$F,MATCH(羁绊设计!CJ85,羁绊设计!$D:$D,0)),"")</f>
        <v/>
      </c>
      <c r="AM85" s="9" t="str">
        <f>IFERROR(INDEX(羁绊设计!$F:$F,MATCH(羁绊设计!CK85,羁绊设计!$D:$D,0)),"")</f>
        <v/>
      </c>
      <c r="AO85" s="9" t="str">
        <f>IFERROR(INDEX(羁绊设计!$F:$F,MATCH(羁绊设计!CM85,羁绊设计!$D:$D,0)),"")</f>
        <v/>
      </c>
      <c r="AP85" s="9" t="str">
        <f>IFERROR(INDEX(羁绊设计!$F:$F,MATCH(羁绊设计!CN85,羁绊设计!$D:$D,0)),"")</f>
        <v/>
      </c>
      <c r="AQ85" s="9" t="str">
        <f>IFERROR(INDEX(羁绊设计!$F:$F,MATCH(羁绊设计!CO85,羁绊设计!$D:$D,0)),"")</f>
        <v/>
      </c>
      <c r="AR85" s="9" t="str">
        <f>IFERROR(INDEX(羁绊设计!$F:$F,MATCH(羁绊设计!CP85,羁绊设计!$D:$D,0)),"")</f>
        <v/>
      </c>
      <c r="AT85" s="9" t="str">
        <f>IFERROR(INDEX(羁绊设计!$F:$F,MATCH(羁绊设计!CR85,羁绊设计!$D:$D,0)),"")</f>
        <v/>
      </c>
      <c r="AU85" s="9" t="str">
        <f>IFERROR(INDEX(羁绊设计!$F:$F,MATCH(羁绊设计!CS85,羁绊设计!$D:$D,0)),"")</f>
        <v/>
      </c>
      <c r="AV85" s="9" t="str">
        <f>IFERROR(INDEX(羁绊设计!$F:$F,MATCH(羁绊设计!CT85,羁绊设计!$D:$D,0)),"")</f>
        <v/>
      </c>
      <c r="AW85" s="9" t="str">
        <f>IFERROR(INDEX(羁绊设计!$F:$F,MATCH(羁绊设计!CU85,羁绊设计!$D:$D,0)),"")</f>
        <v/>
      </c>
    </row>
    <row r="86" spans="2:49">
      <c r="B86" s="12" t="str">
        <f>羁绊设计!D86</f>
        <v>项羽</v>
      </c>
      <c r="C86" s="7" t="str">
        <f t="shared" si="4"/>
        <v/>
      </c>
      <c r="D86" s="7" t="str">
        <f t="shared" si="4"/>
        <v/>
      </c>
      <c r="E86" s="7" t="str">
        <f t="shared" si="4"/>
        <v/>
      </c>
      <c r="F86" s="7">
        <f t="shared" si="4"/>
        <v>3</v>
      </c>
      <c r="G86" s="7">
        <f t="shared" si="4"/>
        <v>1</v>
      </c>
      <c r="I86" s="9" t="str">
        <f t="shared" si="10"/>
        <v>红,橙,橙+,橙+,橙,橙</v>
      </c>
      <c r="K86" s="9" t="str">
        <f>IFERROR(INDEX(羁绊设计!$F:$F,MATCH(羁绊设计!BI86,羁绊设计!$D:$D,0)),"")</f>
        <v>红</v>
      </c>
      <c r="L86" s="9" t="str">
        <f>IFERROR(INDEX(羁绊设计!$F:$F,MATCH(羁绊设计!BJ86,羁绊设计!$D:$D,0)),"")</f>
        <v>橙</v>
      </c>
      <c r="M86" s="9" t="str">
        <f>IFERROR(INDEX(羁绊设计!$F:$F,MATCH(羁绊设计!BK86,羁绊设计!$D:$D,0)),"")</f>
        <v>橙+</v>
      </c>
      <c r="N86" s="9" t="str">
        <f>IFERROR(INDEX(羁绊设计!$F:$F,MATCH(羁绊设计!BL86,羁绊设计!$D:$D,0)),"")</f>
        <v/>
      </c>
      <c r="P86" s="9" t="str">
        <f>IFERROR(INDEX(羁绊设计!$F:$F,MATCH(羁绊设计!BN86,羁绊设计!$D:$D,0)),"")</f>
        <v/>
      </c>
      <c r="Q86" s="9" t="str">
        <f>IFERROR(INDEX(羁绊设计!$F:$F,MATCH(羁绊设计!BO86,羁绊设计!$D:$D,0)),"")</f>
        <v>橙+</v>
      </c>
      <c r="R86" s="9" t="str">
        <f>IFERROR(INDEX(羁绊设计!$F:$F,MATCH(羁绊设计!BP86,羁绊设计!$D:$D,0)),"")</f>
        <v/>
      </c>
      <c r="S86" s="9" t="str">
        <f>IFERROR(INDEX(羁绊设计!$F:$F,MATCH(羁绊设计!BQ86,羁绊设计!$D:$D,0)),"")</f>
        <v/>
      </c>
      <c r="U86" s="9" t="str">
        <f>IFERROR(INDEX(羁绊设计!$F:$F,MATCH(羁绊设计!BS86,羁绊设计!$D:$D,0)),"")</f>
        <v/>
      </c>
      <c r="V86" s="9" t="str">
        <f>IFERROR(INDEX(羁绊设计!$F:$F,MATCH(羁绊设计!BT86,羁绊设计!$D:$D,0)),"")</f>
        <v>橙</v>
      </c>
      <c r="W86" s="9" t="str">
        <f>IFERROR(INDEX(羁绊设计!$F:$F,MATCH(羁绊设计!BU86,羁绊设计!$D:$D,0)),"")</f>
        <v>橙</v>
      </c>
      <c r="X86" s="9" t="str">
        <f>IFERROR(INDEX(羁绊设计!$F:$F,MATCH(羁绊设计!BV86,羁绊设计!$D:$D,0)),"")</f>
        <v/>
      </c>
      <c r="Z86" s="9" t="str">
        <f>IFERROR(INDEX(羁绊设计!$F:$F,MATCH(羁绊设计!BX86,羁绊设计!$D:$D,0)),"")</f>
        <v/>
      </c>
      <c r="AA86" s="9" t="str">
        <f>IFERROR(INDEX(羁绊设计!$F:$F,MATCH(羁绊设计!BY86,羁绊设计!$D:$D,0)),"")</f>
        <v/>
      </c>
      <c r="AB86" s="9" t="str">
        <f>IFERROR(INDEX(羁绊设计!$F:$F,MATCH(羁绊设计!BZ86,羁绊设计!$D:$D,0)),"")</f>
        <v/>
      </c>
      <c r="AC86" s="9" t="str">
        <f>IFERROR(INDEX(羁绊设计!$F:$F,MATCH(羁绊设计!CA86,羁绊设计!$D:$D,0)),"")</f>
        <v/>
      </c>
      <c r="AE86" s="9" t="str">
        <f>IFERROR(INDEX(羁绊设计!$F:$F,MATCH(羁绊设计!CC86,羁绊设计!$D:$D,0)),"")</f>
        <v/>
      </c>
      <c r="AF86" s="9" t="str">
        <f>IFERROR(INDEX(羁绊设计!$F:$F,MATCH(羁绊设计!CD86,羁绊设计!$D:$D,0)),"")</f>
        <v/>
      </c>
      <c r="AG86" s="9" t="str">
        <f>IFERROR(INDEX(羁绊设计!$F:$F,MATCH(羁绊设计!CE86,羁绊设计!$D:$D,0)),"")</f>
        <v/>
      </c>
      <c r="AH86" s="9" t="str">
        <f>IFERROR(INDEX(羁绊设计!$F:$F,MATCH(羁绊设计!CF86,羁绊设计!$D:$D,0)),"")</f>
        <v/>
      </c>
      <c r="AJ86" s="9" t="str">
        <f>IFERROR(INDEX(羁绊设计!$F:$F,MATCH(羁绊设计!CH86,羁绊设计!$D:$D,0)),"")</f>
        <v/>
      </c>
      <c r="AK86" s="9" t="str">
        <f>IFERROR(INDEX(羁绊设计!$F:$F,MATCH(羁绊设计!CI86,羁绊设计!$D:$D,0)),"")</f>
        <v/>
      </c>
      <c r="AL86" s="9" t="str">
        <f>IFERROR(INDEX(羁绊设计!$F:$F,MATCH(羁绊设计!CJ86,羁绊设计!$D:$D,0)),"")</f>
        <v/>
      </c>
      <c r="AM86" s="9" t="str">
        <f>IFERROR(INDEX(羁绊设计!$F:$F,MATCH(羁绊设计!CK86,羁绊设计!$D:$D,0)),"")</f>
        <v/>
      </c>
      <c r="AO86" s="9" t="str">
        <f>IFERROR(INDEX(羁绊设计!$F:$F,MATCH(羁绊设计!CM86,羁绊设计!$D:$D,0)),"")</f>
        <v/>
      </c>
      <c r="AP86" s="9" t="str">
        <f>IFERROR(INDEX(羁绊设计!$F:$F,MATCH(羁绊设计!CN86,羁绊设计!$D:$D,0)),"")</f>
        <v/>
      </c>
      <c r="AQ86" s="9" t="str">
        <f>IFERROR(INDEX(羁绊设计!$F:$F,MATCH(羁绊设计!CO86,羁绊设计!$D:$D,0)),"")</f>
        <v/>
      </c>
      <c r="AR86" s="9" t="str">
        <f>IFERROR(INDEX(羁绊设计!$F:$F,MATCH(羁绊设计!CP86,羁绊设计!$D:$D,0)),"")</f>
        <v/>
      </c>
      <c r="AT86" s="9" t="str">
        <f>IFERROR(INDEX(羁绊设计!$F:$F,MATCH(羁绊设计!CR86,羁绊设计!$D:$D,0)),"")</f>
        <v/>
      </c>
      <c r="AU86" s="9" t="str">
        <f>IFERROR(INDEX(羁绊设计!$F:$F,MATCH(羁绊设计!CS86,羁绊设计!$D:$D,0)),"")</f>
        <v/>
      </c>
      <c r="AV86" s="9" t="str">
        <f>IFERROR(INDEX(羁绊设计!$F:$F,MATCH(羁绊设计!CT86,羁绊设计!$D:$D,0)),"")</f>
        <v/>
      </c>
      <c r="AW86" s="9" t="str">
        <f>IFERROR(INDEX(羁绊设计!$F:$F,MATCH(羁绊设计!CU86,羁绊设计!$D:$D,0)),"")</f>
        <v/>
      </c>
    </row>
    <row r="87" spans="2:49">
      <c r="B87" s="12" t="str">
        <f>羁绊设计!D87</f>
        <v>刘邦</v>
      </c>
      <c r="C87" s="7" t="str">
        <f t="shared" si="4"/>
        <v/>
      </c>
      <c r="D87" s="7" t="str">
        <f t="shared" si="4"/>
        <v/>
      </c>
      <c r="E87" s="7" t="str">
        <f t="shared" si="4"/>
        <v/>
      </c>
      <c r="F87" s="7">
        <f t="shared" si="4"/>
        <v>1</v>
      </c>
      <c r="G87" s="7" t="str">
        <f t="shared" si="4"/>
        <v/>
      </c>
      <c r="I87" s="9" t="str">
        <f>合并区域(K87:AW87,",")</f>
        <v>橙+,橙+,橙+,橙,橙+,橙+,橙+</v>
      </c>
      <c r="K87" s="9" t="str">
        <f>IFERROR(INDEX(羁绊设计!$F:$F,MATCH(羁绊设计!BI87,羁绊设计!$D:$D,0)),"")</f>
        <v>橙+</v>
      </c>
      <c r="L87" s="9" t="str">
        <f>IFERROR(INDEX(羁绊设计!$F:$F,MATCH(羁绊设计!BJ87,羁绊设计!$D:$D,0)),"")</f>
        <v>橙+</v>
      </c>
      <c r="M87" s="9" t="str">
        <f>IFERROR(INDEX(羁绊设计!$F:$F,MATCH(羁绊设计!BK87,羁绊设计!$D:$D,0)),"")</f>
        <v/>
      </c>
      <c r="N87" s="9" t="str">
        <f>IFERROR(INDEX(羁绊设计!$F:$F,MATCH(羁绊设计!BL87,羁绊设计!$D:$D,0)),"")</f>
        <v/>
      </c>
      <c r="P87" s="9" t="str">
        <f>IFERROR(INDEX(羁绊设计!$F:$F,MATCH(羁绊设计!BN87,羁绊设计!$D:$D,0)),"")</f>
        <v/>
      </c>
      <c r="Q87" s="9" t="str">
        <f>IFERROR(INDEX(羁绊设计!$F:$F,MATCH(羁绊设计!BO87,羁绊设计!$D:$D,0)),"")</f>
        <v>橙+</v>
      </c>
      <c r="R87" s="9" t="str">
        <f>IFERROR(INDEX(羁绊设计!$F:$F,MATCH(羁绊设计!BP87,羁绊设计!$D:$D,0)),"")</f>
        <v>橙</v>
      </c>
      <c r="S87" s="9" t="str">
        <f>IFERROR(INDEX(羁绊设计!$F:$F,MATCH(羁绊设计!BQ87,羁绊设计!$D:$D,0)),"")</f>
        <v/>
      </c>
      <c r="U87" s="9" t="str">
        <f>IFERROR(INDEX(羁绊设计!$F:$F,MATCH(羁绊设计!BS87,羁绊设计!$D:$D,0)),"")</f>
        <v/>
      </c>
      <c r="V87" s="9" t="str">
        <f>IFERROR(INDEX(羁绊设计!$F:$F,MATCH(羁绊设计!BT87,羁绊设计!$D:$D,0)),"")</f>
        <v>橙+</v>
      </c>
      <c r="W87" s="9" t="str">
        <f>IFERROR(INDEX(羁绊设计!$F:$F,MATCH(羁绊设计!BU87,羁绊设计!$D:$D,0)),"")</f>
        <v/>
      </c>
      <c r="X87" s="9" t="str">
        <f>IFERROR(INDEX(羁绊设计!$F:$F,MATCH(羁绊设计!BV87,羁绊设计!$D:$D,0)),"")</f>
        <v/>
      </c>
      <c r="Z87" s="9" t="str">
        <f>IFERROR(INDEX(羁绊设计!$F:$F,MATCH(羁绊设计!BX87,羁绊设计!$D:$D,0)),"")</f>
        <v/>
      </c>
      <c r="AA87" s="9" t="str">
        <f>IFERROR(INDEX(羁绊设计!$F:$F,MATCH(羁绊设计!BY87,羁绊设计!$D:$D,0)),"")</f>
        <v/>
      </c>
      <c r="AB87" s="9" t="str">
        <f>IFERROR(INDEX(羁绊设计!$F:$F,MATCH(羁绊设计!BZ87,羁绊设计!$D:$D,0)),"")</f>
        <v/>
      </c>
      <c r="AC87" s="9" t="str">
        <f>IFERROR(INDEX(羁绊设计!$F:$F,MATCH(羁绊设计!CA87,羁绊设计!$D:$D,0)),"")</f>
        <v/>
      </c>
      <c r="AE87" s="9" t="str">
        <f>IFERROR(INDEX(羁绊设计!$F:$F,MATCH(羁绊设计!CC87,羁绊设计!$D:$D,0)),"")</f>
        <v>橙+</v>
      </c>
      <c r="AF87" s="9" t="str">
        <f>IFERROR(INDEX(羁绊设计!$F:$F,MATCH(羁绊设计!CD87,羁绊设计!$D:$D,0)),"")</f>
        <v/>
      </c>
      <c r="AG87" s="9" t="str">
        <f>IFERROR(INDEX(羁绊设计!$F:$F,MATCH(羁绊设计!CE87,羁绊设计!$D:$D,0)),"")</f>
        <v/>
      </c>
      <c r="AH87" s="9" t="str">
        <f>IFERROR(INDEX(羁绊设计!$F:$F,MATCH(羁绊设计!CF87,羁绊设计!$D:$D,0)),"")</f>
        <v/>
      </c>
      <c r="AJ87" s="9" t="str">
        <f>IFERROR(INDEX(羁绊设计!$F:$F,MATCH(羁绊设计!CH87,羁绊设计!$D:$D,0)),"")</f>
        <v>橙+</v>
      </c>
      <c r="AK87" s="9" t="str">
        <f>IFERROR(INDEX(羁绊设计!$F:$F,MATCH(羁绊设计!CI87,羁绊设计!$D:$D,0)),"")</f>
        <v/>
      </c>
      <c r="AL87" s="9" t="str">
        <f>IFERROR(INDEX(羁绊设计!$F:$F,MATCH(羁绊设计!CJ87,羁绊设计!$D:$D,0)),"")</f>
        <v/>
      </c>
      <c r="AM87" s="9" t="str">
        <f>IFERROR(INDEX(羁绊设计!$F:$F,MATCH(羁绊设计!CK87,羁绊设计!$D:$D,0)),"")</f>
        <v/>
      </c>
      <c r="AO87" s="9" t="str">
        <f>IFERROR(INDEX(羁绊设计!$F:$F,MATCH(羁绊设计!CM87,羁绊设计!$D:$D,0)),"")</f>
        <v/>
      </c>
      <c r="AP87" s="9" t="str">
        <f>IFERROR(INDEX(羁绊设计!$F:$F,MATCH(羁绊设计!CN87,羁绊设计!$D:$D,0)),"")</f>
        <v/>
      </c>
      <c r="AQ87" s="9" t="str">
        <f>IFERROR(INDEX(羁绊设计!$F:$F,MATCH(羁绊设计!CO87,羁绊设计!$D:$D,0)),"")</f>
        <v/>
      </c>
      <c r="AR87" s="9" t="str">
        <f>IFERROR(INDEX(羁绊设计!$F:$F,MATCH(羁绊设计!CP87,羁绊设计!$D:$D,0)),"")</f>
        <v/>
      </c>
      <c r="AT87" s="9" t="str">
        <f>IFERROR(INDEX(羁绊设计!$F:$F,MATCH(羁绊设计!CR87,羁绊设计!$D:$D,0)),"")</f>
        <v/>
      </c>
      <c r="AU87" s="9" t="str">
        <f>IFERROR(INDEX(羁绊设计!$F:$F,MATCH(羁绊设计!CS87,羁绊设计!$D:$D,0)),"")</f>
        <v/>
      </c>
      <c r="AV87" s="9" t="str">
        <f>IFERROR(INDEX(羁绊设计!$F:$F,MATCH(羁绊设计!CT87,羁绊设计!$D:$D,0)),"")</f>
        <v/>
      </c>
      <c r="AW87" s="9" t="str">
        <f>IFERROR(INDEX(羁绊设计!$F:$F,MATCH(羁绊设计!CU87,羁绊设计!$D:$D,0)),"")</f>
        <v/>
      </c>
    </row>
    <row r="88" spans="2:49">
      <c r="B88" s="12" t="str">
        <f>羁绊设计!D88</f>
        <v>韩信</v>
      </c>
      <c r="C88" s="7" t="str">
        <f t="shared" si="4"/>
        <v/>
      </c>
      <c r="D88" s="7" t="str">
        <f t="shared" si="4"/>
        <v/>
      </c>
      <c r="E88" s="7" t="str">
        <f t="shared" si="4"/>
        <v/>
      </c>
      <c r="F88" s="7">
        <f t="shared" si="4"/>
        <v>2</v>
      </c>
      <c r="G88" s="7">
        <f t="shared" si="4"/>
        <v>2</v>
      </c>
      <c r="I88" s="9" t="str">
        <f t="shared" ref="I88" si="11">合并区域(K88:AW88,",")</f>
        <v>橙+,橙+,橙,橙+,橙,橙+,橙+,红,红,橙+</v>
      </c>
      <c r="K88" s="9" t="str">
        <f>IFERROR(INDEX(羁绊设计!$F:$F,MATCH(羁绊设计!BI88,羁绊设计!$D:$D,0)),"")</f>
        <v>橙+</v>
      </c>
      <c r="L88" s="9" t="str">
        <f>IFERROR(INDEX(羁绊设计!$F:$F,MATCH(羁绊设计!BJ88,羁绊设计!$D:$D,0)),"")</f>
        <v>橙+</v>
      </c>
      <c r="M88" s="9" t="str">
        <f>IFERROR(INDEX(羁绊设计!$F:$F,MATCH(羁绊设计!BK88,羁绊设计!$D:$D,0)),"")</f>
        <v>橙</v>
      </c>
      <c r="N88" s="9" t="str">
        <f>IFERROR(INDEX(羁绊设计!$F:$F,MATCH(羁绊设计!BL88,羁绊设计!$D:$D,0)),"")</f>
        <v/>
      </c>
      <c r="P88" s="9" t="str">
        <f>IFERROR(INDEX(羁绊设计!$F:$F,MATCH(羁绊设计!BN88,羁绊设计!$D:$D,0)),"")</f>
        <v/>
      </c>
      <c r="Q88" s="9" t="str">
        <f>IFERROR(INDEX(羁绊设计!$F:$F,MATCH(羁绊设计!BO88,羁绊设计!$D:$D,0)),"")</f>
        <v>橙+</v>
      </c>
      <c r="R88" s="9" t="str">
        <f>IFERROR(INDEX(羁绊设计!$F:$F,MATCH(羁绊设计!BP88,羁绊设计!$D:$D,0)),"")</f>
        <v>橙</v>
      </c>
      <c r="S88" s="9" t="str">
        <f>IFERROR(INDEX(羁绊设计!$F:$F,MATCH(羁绊设计!BQ88,羁绊设计!$D:$D,0)),"")</f>
        <v/>
      </c>
      <c r="U88" s="9" t="str">
        <f>IFERROR(INDEX(羁绊设计!$F:$F,MATCH(羁绊设计!BS88,羁绊设计!$D:$D,0)),"")</f>
        <v/>
      </c>
      <c r="V88" s="9" t="str">
        <f>IFERROR(INDEX(羁绊设计!$F:$F,MATCH(羁绊设计!BT88,羁绊设计!$D:$D,0)),"")</f>
        <v>橙+</v>
      </c>
      <c r="W88" s="9" t="str">
        <f>IFERROR(INDEX(羁绊设计!$F:$F,MATCH(羁绊设计!BU88,羁绊设计!$D:$D,0)),"")</f>
        <v/>
      </c>
      <c r="X88" s="9" t="str">
        <f>IFERROR(INDEX(羁绊设计!$F:$F,MATCH(羁绊设计!BV88,羁绊设计!$D:$D,0)),"")</f>
        <v/>
      </c>
      <c r="Z88" s="9" t="str">
        <f>IFERROR(INDEX(羁绊设计!$F:$F,MATCH(羁绊设计!BX88,羁绊设计!$D:$D,0)),"")</f>
        <v/>
      </c>
      <c r="AA88" s="9" t="str">
        <f>IFERROR(INDEX(羁绊设计!$F:$F,MATCH(羁绊设计!BY88,羁绊设计!$D:$D,0)),"")</f>
        <v/>
      </c>
      <c r="AB88" s="9" t="str">
        <f>IFERROR(INDEX(羁绊设计!$F:$F,MATCH(羁绊设计!BZ88,羁绊设计!$D:$D,0)),"")</f>
        <v/>
      </c>
      <c r="AC88" s="9" t="str">
        <f>IFERROR(INDEX(羁绊设计!$F:$F,MATCH(羁绊设计!CA88,羁绊设计!$D:$D,0)),"")</f>
        <v/>
      </c>
      <c r="AE88" s="9" t="str">
        <f>IFERROR(INDEX(羁绊设计!$F:$F,MATCH(羁绊设计!CC88,羁绊设计!$D:$D,0)),"")</f>
        <v>橙+</v>
      </c>
      <c r="AF88" s="9" t="str">
        <f>IFERROR(INDEX(羁绊设计!$F:$F,MATCH(羁绊设计!CD88,羁绊设计!$D:$D,0)),"")</f>
        <v/>
      </c>
      <c r="AG88" s="9" t="str">
        <f>IFERROR(INDEX(羁绊设计!$F:$F,MATCH(羁绊设计!CE88,羁绊设计!$D:$D,0)),"")</f>
        <v/>
      </c>
      <c r="AH88" s="9" t="str">
        <f>IFERROR(INDEX(羁绊设计!$F:$F,MATCH(羁绊设计!CF88,羁绊设计!$D:$D,0)),"")</f>
        <v/>
      </c>
      <c r="AJ88" s="9" t="str">
        <f>IFERROR(INDEX(羁绊设计!$F:$F,MATCH(羁绊设计!CH88,羁绊设计!$D:$D,0)),"")</f>
        <v>红</v>
      </c>
      <c r="AK88" s="9" t="str">
        <f>IFERROR(INDEX(羁绊设计!$F:$F,MATCH(羁绊设计!CI88,羁绊设计!$D:$D,0)),"")</f>
        <v/>
      </c>
      <c r="AL88" s="9" t="str">
        <f>IFERROR(INDEX(羁绊设计!$F:$F,MATCH(羁绊设计!CJ88,羁绊设计!$D:$D,0)),"")</f>
        <v/>
      </c>
      <c r="AM88" s="9" t="str">
        <f>IFERROR(INDEX(羁绊设计!$F:$F,MATCH(羁绊设计!CK88,羁绊设计!$D:$D,0)),"")</f>
        <v/>
      </c>
      <c r="AO88" s="9" t="str">
        <f>IFERROR(INDEX(羁绊设计!$F:$F,MATCH(羁绊设计!CM88,羁绊设计!$D:$D,0)),"")</f>
        <v>红</v>
      </c>
      <c r="AP88" s="9" t="str">
        <f>IFERROR(INDEX(羁绊设计!$F:$F,MATCH(羁绊设计!CN88,羁绊设计!$D:$D,0)),"")</f>
        <v/>
      </c>
      <c r="AQ88" s="9" t="str">
        <f>IFERROR(INDEX(羁绊设计!$F:$F,MATCH(羁绊设计!CO88,羁绊设计!$D:$D,0)),"")</f>
        <v>橙+</v>
      </c>
      <c r="AR88" s="9" t="str">
        <f>IFERROR(INDEX(羁绊设计!$F:$F,MATCH(羁绊设计!CP88,羁绊设计!$D:$D,0)),"")</f>
        <v/>
      </c>
      <c r="AT88" s="9" t="str">
        <f>IFERROR(INDEX(羁绊设计!$F:$F,MATCH(羁绊设计!CR88,羁绊设计!$D:$D,0)),"")</f>
        <v/>
      </c>
      <c r="AU88" s="9" t="str">
        <f>IFERROR(INDEX(羁绊设计!$F:$F,MATCH(羁绊设计!CS88,羁绊设计!$D:$D,0)),"")</f>
        <v/>
      </c>
      <c r="AV88" s="9" t="str">
        <f>IFERROR(INDEX(羁绊设计!$F:$F,MATCH(羁绊设计!CT88,羁绊设计!$D:$D,0)),"")</f>
        <v/>
      </c>
      <c r="AW88" s="9" t="str">
        <f>IFERROR(INDEX(羁绊设计!$F:$F,MATCH(羁绊设计!CU88,羁绊设计!$D:$D,0)),"")</f>
        <v/>
      </c>
    </row>
    <row r="89" spans="2:49">
      <c r="B89" s="12" t="str">
        <f>羁绊设计!D89</f>
        <v>彭越</v>
      </c>
      <c r="C89" s="7" t="str">
        <f t="shared" si="4"/>
        <v/>
      </c>
      <c r="D89" s="7" t="str">
        <f t="shared" si="4"/>
        <v/>
      </c>
      <c r="E89" s="7" t="str">
        <f t="shared" si="4"/>
        <v/>
      </c>
      <c r="F89" s="7">
        <f t="shared" si="4"/>
        <v>5</v>
      </c>
      <c r="G89" s="7">
        <f t="shared" si="4"/>
        <v>1</v>
      </c>
      <c r="I89" s="9" t="str">
        <f t="shared" ref="I89" si="12">合并区域(K89:AW89,",")</f>
        <v>橙+,橙+,橙,橙,橙,橙,红,橙</v>
      </c>
      <c r="K89" s="9" t="str">
        <f>IFERROR(INDEX(羁绊设计!$F:$F,MATCH(羁绊设计!BI89,羁绊设计!$D:$D,0)),"")</f>
        <v>橙+</v>
      </c>
      <c r="L89" s="9" t="str">
        <f>IFERROR(INDEX(羁绊设计!$F:$F,MATCH(羁绊设计!BJ89,羁绊设计!$D:$D,0)),"")</f>
        <v>橙+</v>
      </c>
      <c r="M89" s="9" t="str">
        <f>IFERROR(INDEX(羁绊设计!$F:$F,MATCH(羁绊设计!BK89,羁绊设计!$D:$D,0)),"")</f>
        <v>橙</v>
      </c>
      <c r="N89" s="9" t="str">
        <f>IFERROR(INDEX(羁绊设计!$F:$F,MATCH(羁绊设计!BL89,羁绊设计!$D:$D,0)),"")</f>
        <v/>
      </c>
      <c r="P89" s="9" t="str">
        <f>IFERROR(INDEX(羁绊设计!$F:$F,MATCH(羁绊设计!BN89,羁绊设计!$D:$D,0)),"")</f>
        <v/>
      </c>
      <c r="Q89" s="9" t="str">
        <f>IFERROR(INDEX(羁绊设计!$F:$F,MATCH(羁绊设计!BO89,羁绊设计!$D:$D,0)),"")</f>
        <v>橙</v>
      </c>
      <c r="R89" s="9" t="str">
        <f>IFERROR(INDEX(羁绊设计!$F:$F,MATCH(羁绊设计!BP89,羁绊设计!$D:$D,0)),"")</f>
        <v/>
      </c>
      <c r="S89" s="9" t="str">
        <f>IFERROR(INDEX(羁绊设计!$F:$F,MATCH(羁绊设计!BQ89,羁绊设计!$D:$D,0)),"")</f>
        <v/>
      </c>
      <c r="U89" s="9" t="str">
        <f>IFERROR(INDEX(羁绊设计!$F:$F,MATCH(羁绊设计!BS89,羁绊设计!$D:$D,0)),"")</f>
        <v/>
      </c>
      <c r="V89" s="9" t="str">
        <f>IFERROR(INDEX(羁绊设计!$F:$F,MATCH(羁绊设计!BT89,羁绊设计!$D:$D,0)),"")</f>
        <v>橙</v>
      </c>
      <c r="W89" s="9" t="str">
        <f>IFERROR(INDEX(羁绊设计!$F:$F,MATCH(羁绊设计!BU89,羁绊设计!$D:$D,0)),"")</f>
        <v>橙</v>
      </c>
      <c r="X89" s="9" t="str">
        <f>IFERROR(INDEX(羁绊设计!$F:$F,MATCH(羁绊设计!BV89,羁绊设计!$D:$D,0)),"")</f>
        <v/>
      </c>
      <c r="Z89" s="9" t="str">
        <f>IFERROR(INDEX(羁绊设计!$F:$F,MATCH(羁绊设计!BX89,羁绊设计!$D:$D,0)),"")</f>
        <v>红</v>
      </c>
      <c r="AA89" s="9" t="str">
        <f>IFERROR(INDEX(羁绊设计!$F:$F,MATCH(羁绊设计!BY89,羁绊设计!$D:$D,0)),"")</f>
        <v/>
      </c>
      <c r="AB89" s="9" t="str">
        <f>IFERROR(INDEX(羁绊设计!$F:$F,MATCH(羁绊设计!BZ89,羁绊设计!$D:$D,0)),"")</f>
        <v>橙</v>
      </c>
      <c r="AC89" s="9" t="str">
        <f>IFERROR(INDEX(羁绊设计!$F:$F,MATCH(羁绊设计!CA89,羁绊设计!$D:$D,0)),"")</f>
        <v/>
      </c>
      <c r="AE89" s="9" t="str">
        <f>IFERROR(INDEX(羁绊设计!$F:$F,MATCH(羁绊设计!CC89,羁绊设计!$D:$D,0)),"")</f>
        <v/>
      </c>
      <c r="AF89" s="9" t="str">
        <f>IFERROR(INDEX(羁绊设计!$F:$F,MATCH(羁绊设计!CD89,羁绊设计!$D:$D,0)),"")</f>
        <v/>
      </c>
      <c r="AG89" s="9" t="str">
        <f>IFERROR(INDEX(羁绊设计!$F:$F,MATCH(羁绊设计!CE89,羁绊设计!$D:$D,0)),"")</f>
        <v/>
      </c>
      <c r="AH89" s="9" t="str">
        <f>IFERROR(INDEX(羁绊设计!$F:$F,MATCH(羁绊设计!CF89,羁绊设计!$D:$D,0)),"")</f>
        <v/>
      </c>
      <c r="AJ89" s="9" t="str">
        <f>IFERROR(INDEX(羁绊设计!$F:$F,MATCH(羁绊设计!CH89,羁绊设计!$D:$D,0)),"")</f>
        <v/>
      </c>
      <c r="AK89" s="9" t="str">
        <f>IFERROR(INDEX(羁绊设计!$F:$F,MATCH(羁绊设计!CI89,羁绊设计!$D:$D,0)),"")</f>
        <v/>
      </c>
      <c r="AL89" s="9" t="str">
        <f>IFERROR(INDEX(羁绊设计!$F:$F,MATCH(羁绊设计!CJ89,羁绊设计!$D:$D,0)),"")</f>
        <v/>
      </c>
      <c r="AM89" s="9" t="str">
        <f>IFERROR(INDEX(羁绊设计!$F:$F,MATCH(羁绊设计!CK89,羁绊设计!$D:$D,0)),"")</f>
        <v/>
      </c>
      <c r="AO89" s="9" t="str">
        <f>IFERROR(INDEX(羁绊设计!$F:$F,MATCH(羁绊设计!CM89,羁绊设计!$D:$D,0)),"")</f>
        <v/>
      </c>
      <c r="AP89" s="9" t="str">
        <f>IFERROR(INDEX(羁绊设计!$F:$F,MATCH(羁绊设计!CN89,羁绊设计!$D:$D,0)),"")</f>
        <v/>
      </c>
      <c r="AQ89" s="9" t="str">
        <f>IFERROR(INDEX(羁绊设计!$F:$F,MATCH(羁绊设计!CO89,羁绊设计!$D:$D,0)),"")</f>
        <v/>
      </c>
      <c r="AR89" s="9" t="str">
        <f>IFERROR(INDEX(羁绊设计!$F:$F,MATCH(羁绊设计!CP89,羁绊设计!$D:$D,0)),"")</f>
        <v/>
      </c>
      <c r="AT89" s="9" t="str">
        <f>IFERROR(INDEX(羁绊设计!$F:$F,MATCH(羁绊设计!CR89,羁绊设计!$D:$D,0)),"")</f>
        <v/>
      </c>
      <c r="AU89" s="9" t="str">
        <f>IFERROR(INDEX(羁绊设计!$F:$F,MATCH(羁绊设计!CS89,羁绊设计!$D:$D,0)),"")</f>
        <v/>
      </c>
      <c r="AV89" s="9" t="str">
        <f>IFERROR(INDEX(羁绊设计!$F:$F,MATCH(羁绊设计!CT89,羁绊设计!$D:$D,0)),"")</f>
        <v/>
      </c>
      <c r="AW89" s="9" t="str">
        <f>IFERROR(INDEX(羁绊设计!$F:$F,MATCH(羁绊设计!CU89,羁绊设计!$D:$D,0)),"")</f>
        <v/>
      </c>
    </row>
    <row r="90" spans="2:49">
      <c r="B90" s="12" t="str">
        <f>羁绊设计!D90</f>
        <v>卫青</v>
      </c>
      <c r="C90" s="7" t="str">
        <f t="shared" si="4"/>
        <v/>
      </c>
      <c r="D90" s="7" t="str">
        <f t="shared" si="4"/>
        <v/>
      </c>
      <c r="E90" s="7" t="str">
        <f t="shared" si="4"/>
        <v/>
      </c>
      <c r="F90" s="7" t="str">
        <f t="shared" si="4"/>
        <v/>
      </c>
      <c r="G90" s="7" t="str">
        <f t="shared" si="4"/>
        <v/>
      </c>
      <c r="I90" s="9" t="str">
        <f t="shared" ref="I90" si="13">合并区域(K90:AW90,",")</f>
        <v>橙+,橙+,橙+,橙+,橙+</v>
      </c>
      <c r="K90" s="9" t="str">
        <f>IFERROR(INDEX(羁绊设计!$F:$F,MATCH(羁绊设计!BI90,羁绊设计!$D:$D,0)),"")</f>
        <v>橙+</v>
      </c>
      <c r="L90" s="9" t="str">
        <f>IFERROR(INDEX(羁绊设计!$F:$F,MATCH(羁绊设计!BJ90,羁绊设计!$D:$D,0)),"")</f>
        <v>橙+</v>
      </c>
      <c r="M90" s="9" t="str">
        <f>IFERROR(INDEX(羁绊设计!$F:$F,MATCH(羁绊设计!BK90,羁绊设计!$D:$D,0)),"")</f>
        <v>橙+</v>
      </c>
      <c r="N90" s="9" t="str">
        <f>IFERROR(INDEX(羁绊设计!$F:$F,MATCH(羁绊设计!BL90,羁绊设计!$D:$D,0)),"")</f>
        <v>橙+</v>
      </c>
      <c r="P90" s="9" t="str">
        <f>IFERROR(INDEX(羁绊设计!$F:$F,MATCH(羁绊设计!BN90,羁绊设计!$D:$D,0)),"")</f>
        <v/>
      </c>
      <c r="Q90" s="9" t="str">
        <f>IFERROR(INDEX(羁绊设计!$F:$F,MATCH(羁绊设计!BO90,羁绊设计!$D:$D,0)),"")</f>
        <v/>
      </c>
      <c r="R90" s="9" t="str">
        <f>IFERROR(INDEX(羁绊设计!$F:$F,MATCH(羁绊设计!BP90,羁绊设计!$D:$D,0)),"")</f>
        <v/>
      </c>
      <c r="S90" s="9" t="str">
        <f>IFERROR(INDEX(羁绊设计!$F:$F,MATCH(羁绊设计!BQ90,羁绊设计!$D:$D,0)),"")</f>
        <v/>
      </c>
      <c r="U90" s="9" t="str">
        <f>IFERROR(INDEX(羁绊设计!$F:$F,MATCH(羁绊设计!BS90,羁绊设计!$D:$D,0)),"")</f>
        <v/>
      </c>
      <c r="V90" s="9" t="str">
        <f>IFERROR(INDEX(羁绊设计!$F:$F,MATCH(羁绊设计!BT90,羁绊设计!$D:$D,0)),"")</f>
        <v/>
      </c>
      <c r="W90" s="9" t="str">
        <f>IFERROR(INDEX(羁绊设计!$F:$F,MATCH(羁绊设计!BU90,羁绊设计!$D:$D,0)),"")</f>
        <v/>
      </c>
      <c r="X90" s="9" t="str">
        <f>IFERROR(INDEX(羁绊设计!$F:$F,MATCH(羁绊设计!BV90,羁绊设计!$D:$D,0)),"")</f>
        <v/>
      </c>
      <c r="Z90" s="9" t="str">
        <f>IFERROR(INDEX(羁绊设计!$F:$F,MATCH(羁绊设计!BX90,羁绊设计!$D:$D,0)),"")</f>
        <v/>
      </c>
      <c r="AA90" s="9" t="str">
        <f>IFERROR(INDEX(羁绊设计!$F:$F,MATCH(羁绊设计!BY90,羁绊设计!$D:$D,0)),"")</f>
        <v>橙+</v>
      </c>
      <c r="AB90" s="9" t="str">
        <f>IFERROR(INDEX(羁绊设计!$F:$F,MATCH(羁绊设计!BZ90,羁绊设计!$D:$D,0)),"")</f>
        <v/>
      </c>
      <c r="AC90" s="9" t="str">
        <f>IFERROR(INDEX(羁绊设计!$F:$F,MATCH(羁绊设计!CA90,羁绊设计!$D:$D,0)),"")</f>
        <v/>
      </c>
      <c r="AE90" s="9" t="str">
        <f>IFERROR(INDEX(羁绊设计!$F:$F,MATCH(羁绊设计!CC90,羁绊设计!$D:$D,0)),"")</f>
        <v/>
      </c>
      <c r="AF90" s="9" t="str">
        <f>IFERROR(INDEX(羁绊设计!$F:$F,MATCH(羁绊设计!CD90,羁绊设计!$D:$D,0)),"")</f>
        <v/>
      </c>
      <c r="AG90" s="9" t="str">
        <f>IFERROR(INDEX(羁绊设计!$F:$F,MATCH(羁绊设计!CE90,羁绊设计!$D:$D,0)),"")</f>
        <v/>
      </c>
      <c r="AH90" s="9" t="str">
        <f>IFERROR(INDEX(羁绊设计!$F:$F,MATCH(羁绊设计!CF90,羁绊设计!$D:$D,0)),"")</f>
        <v/>
      </c>
      <c r="AJ90" s="9" t="str">
        <f>IFERROR(INDEX(羁绊设计!$F:$F,MATCH(羁绊设计!CH90,羁绊设计!$D:$D,0)),"")</f>
        <v/>
      </c>
      <c r="AK90" s="9" t="str">
        <f>IFERROR(INDEX(羁绊设计!$F:$F,MATCH(羁绊设计!CI90,羁绊设计!$D:$D,0)),"")</f>
        <v/>
      </c>
      <c r="AL90" s="9" t="str">
        <f>IFERROR(INDEX(羁绊设计!$F:$F,MATCH(羁绊设计!CJ90,羁绊设计!$D:$D,0)),"")</f>
        <v/>
      </c>
      <c r="AM90" s="9" t="str">
        <f>IFERROR(INDEX(羁绊设计!$F:$F,MATCH(羁绊设计!CK90,羁绊设计!$D:$D,0)),"")</f>
        <v/>
      </c>
      <c r="AO90" s="9" t="str">
        <f>IFERROR(INDEX(羁绊设计!$F:$F,MATCH(羁绊设计!CM90,羁绊设计!$D:$D,0)),"")</f>
        <v/>
      </c>
      <c r="AP90" s="9" t="str">
        <f>IFERROR(INDEX(羁绊设计!$F:$F,MATCH(羁绊设计!CN90,羁绊设计!$D:$D,0)),"")</f>
        <v/>
      </c>
      <c r="AQ90" s="9" t="str">
        <f>IFERROR(INDEX(羁绊设计!$F:$F,MATCH(羁绊设计!CO90,羁绊设计!$D:$D,0)),"")</f>
        <v/>
      </c>
      <c r="AR90" s="9" t="str">
        <f>IFERROR(INDEX(羁绊设计!$F:$F,MATCH(羁绊设计!CP90,羁绊设计!$D:$D,0)),"")</f>
        <v/>
      </c>
      <c r="AT90" s="9" t="str">
        <f>IFERROR(INDEX(羁绊设计!$F:$F,MATCH(羁绊设计!CR90,羁绊设计!$D:$D,0)),"")</f>
        <v/>
      </c>
      <c r="AU90" s="9" t="str">
        <f>IFERROR(INDEX(羁绊设计!$F:$F,MATCH(羁绊设计!CS90,羁绊设计!$D:$D,0)),"")</f>
        <v/>
      </c>
      <c r="AV90" s="9" t="str">
        <f>IFERROR(INDEX(羁绊设计!$F:$F,MATCH(羁绊设计!CT90,羁绊设计!$D:$D,0)),"")</f>
        <v/>
      </c>
      <c r="AW90" s="9" t="str">
        <f>IFERROR(INDEX(羁绊设计!$F:$F,MATCH(羁绊设计!CU90,羁绊设计!$D:$D,0)),"")</f>
        <v/>
      </c>
    </row>
    <row r="91" spans="2:49">
      <c r="B91" s="12" t="str">
        <f>羁绊设计!D91</f>
        <v>霍去病</v>
      </c>
      <c r="C91" s="7" t="str">
        <f t="shared" si="4"/>
        <v/>
      </c>
      <c r="D91" s="7" t="str">
        <f t="shared" si="4"/>
        <v/>
      </c>
      <c r="E91" s="7" t="str">
        <f t="shared" si="4"/>
        <v/>
      </c>
      <c r="F91" s="7" t="str">
        <f t="shared" si="4"/>
        <v/>
      </c>
      <c r="G91" s="7" t="str">
        <f t="shared" si="4"/>
        <v/>
      </c>
      <c r="I91" s="9" t="str">
        <f t="shared" ref="I91:I104" si="14">合并区域(K91:AW91,",")</f>
        <v>橙+,橙+,橙+,橙+,橙+</v>
      </c>
      <c r="K91" s="9" t="str">
        <f>IFERROR(INDEX(羁绊设计!$F:$F,MATCH(羁绊设计!BI91,羁绊设计!$D:$D,0)),"")</f>
        <v>橙+</v>
      </c>
      <c r="L91" s="9" t="str">
        <f>IFERROR(INDEX(羁绊设计!$F:$F,MATCH(羁绊设计!BJ91,羁绊设计!$D:$D,0)),"")</f>
        <v>橙+</v>
      </c>
      <c r="M91" s="9" t="str">
        <f>IFERROR(INDEX(羁绊设计!$F:$F,MATCH(羁绊设计!BK91,羁绊设计!$D:$D,0)),"")</f>
        <v/>
      </c>
      <c r="N91" s="9" t="str">
        <f>IFERROR(INDEX(羁绊设计!$F:$F,MATCH(羁绊设计!BL91,羁绊设计!$D:$D,0)),"")</f>
        <v/>
      </c>
      <c r="P91" s="9" t="str">
        <f>IFERROR(INDEX(羁绊设计!$F:$F,MATCH(羁绊设计!BN91,羁绊设计!$D:$D,0)),"")</f>
        <v>橙+</v>
      </c>
      <c r="Q91" s="9" t="str">
        <f>IFERROR(INDEX(羁绊设计!$F:$F,MATCH(羁绊设计!BO91,羁绊设计!$D:$D,0)),"")</f>
        <v/>
      </c>
      <c r="R91" s="9" t="str">
        <f>IFERROR(INDEX(羁绊设计!$F:$F,MATCH(羁绊设计!BP91,羁绊设计!$D:$D,0)),"")</f>
        <v/>
      </c>
      <c r="S91" s="9" t="str">
        <f>IFERROR(INDEX(羁绊设计!$F:$F,MATCH(羁绊设计!BQ91,羁绊设计!$D:$D,0)),"")</f>
        <v/>
      </c>
      <c r="U91" s="9" t="str">
        <f>IFERROR(INDEX(羁绊设计!$F:$F,MATCH(羁绊设计!BS91,羁绊设计!$D:$D,0)),"")</f>
        <v/>
      </c>
      <c r="V91" s="9" t="str">
        <f>IFERROR(INDEX(羁绊设计!$F:$F,MATCH(羁绊设计!BT91,羁绊设计!$D:$D,0)),"")</f>
        <v/>
      </c>
      <c r="W91" s="9" t="str">
        <f>IFERROR(INDEX(羁绊设计!$F:$F,MATCH(羁绊设计!BU91,羁绊设计!$D:$D,0)),"")</f>
        <v/>
      </c>
      <c r="X91" s="9" t="str">
        <f>IFERROR(INDEX(羁绊设计!$F:$F,MATCH(羁绊设计!BV91,羁绊设计!$D:$D,0)),"")</f>
        <v/>
      </c>
      <c r="Z91" s="9" t="str">
        <f>IFERROR(INDEX(羁绊设计!$F:$F,MATCH(羁绊设计!BX91,羁绊设计!$D:$D,0)),"")</f>
        <v/>
      </c>
      <c r="AA91" s="9" t="str">
        <f>IFERROR(INDEX(羁绊设计!$F:$F,MATCH(羁绊设计!BY91,羁绊设计!$D:$D,0)),"")</f>
        <v>橙+</v>
      </c>
      <c r="AB91" s="9" t="str">
        <f>IFERROR(INDEX(羁绊设计!$F:$F,MATCH(羁绊设计!BZ91,羁绊设计!$D:$D,0)),"")</f>
        <v/>
      </c>
      <c r="AC91" s="9" t="str">
        <f>IFERROR(INDEX(羁绊设计!$F:$F,MATCH(羁绊设计!CA91,羁绊设计!$D:$D,0)),"")</f>
        <v/>
      </c>
      <c r="AE91" s="9" t="str">
        <f>IFERROR(INDEX(羁绊设计!$F:$F,MATCH(羁绊设计!CC91,羁绊设计!$D:$D,0)),"")</f>
        <v/>
      </c>
      <c r="AF91" s="9" t="str">
        <f>IFERROR(INDEX(羁绊设计!$F:$F,MATCH(羁绊设计!CD91,羁绊设计!$D:$D,0)),"")</f>
        <v>橙+</v>
      </c>
      <c r="AG91" s="9" t="str">
        <f>IFERROR(INDEX(羁绊设计!$F:$F,MATCH(羁绊设计!CE91,羁绊设计!$D:$D,0)),"")</f>
        <v/>
      </c>
      <c r="AH91" s="9" t="str">
        <f>IFERROR(INDEX(羁绊设计!$F:$F,MATCH(羁绊设计!CF91,羁绊设计!$D:$D,0)),"")</f>
        <v/>
      </c>
      <c r="AJ91" s="9" t="str">
        <f>IFERROR(INDEX(羁绊设计!$F:$F,MATCH(羁绊设计!CH91,羁绊设计!$D:$D,0)),"")</f>
        <v/>
      </c>
      <c r="AK91" s="9" t="str">
        <f>IFERROR(INDEX(羁绊设计!$F:$F,MATCH(羁绊设计!CI91,羁绊设计!$D:$D,0)),"")</f>
        <v/>
      </c>
      <c r="AL91" s="9" t="str">
        <f>IFERROR(INDEX(羁绊设计!$F:$F,MATCH(羁绊设计!CJ91,羁绊设计!$D:$D,0)),"")</f>
        <v/>
      </c>
      <c r="AM91" s="9" t="str">
        <f>IFERROR(INDEX(羁绊设计!$F:$F,MATCH(羁绊设计!CK91,羁绊设计!$D:$D,0)),"")</f>
        <v/>
      </c>
      <c r="AO91" s="9" t="str">
        <f>IFERROR(INDEX(羁绊设计!$F:$F,MATCH(羁绊设计!CM91,羁绊设计!$D:$D,0)),"")</f>
        <v/>
      </c>
      <c r="AP91" s="9" t="str">
        <f>IFERROR(INDEX(羁绊设计!$F:$F,MATCH(羁绊设计!CN91,羁绊设计!$D:$D,0)),"")</f>
        <v/>
      </c>
      <c r="AQ91" s="9" t="str">
        <f>IFERROR(INDEX(羁绊设计!$F:$F,MATCH(羁绊设计!CO91,羁绊设计!$D:$D,0)),"")</f>
        <v/>
      </c>
      <c r="AR91" s="9" t="str">
        <f>IFERROR(INDEX(羁绊设计!$F:$F,MATCH(羁绊设计!CP91,羁绊设计!$D:$D,0)),"")</f>
        <v/>
      </c>
      <c r="AT91" s="9" t="str">
        <f>IFERROR(INDEX(羁绊设计!$F:$F,MATCH(羁绊设计!CR91,羁绊设计!$D:$D,0)),"")</f>
        <v/>
      </c>
      <c r="AU91" s="9" t="str">
        <f>IFERROR(INDEX(羁绊设计!$F:$F,MATCH(羁绊设计!CS91,羁绊设计!$D:$D,0)),"")</f>
        <v/>
      </c>
      <c r="AV91" s="9" t="str">
        <f>IFERROR(INDEX(羁绊设计!$F:$F,MATCH(羁绊设计!CT91,羁绊设计!$D:$D,0)),"")</f>
        <v/>
      </c>
      <c r="AW91" s="9" t="str">
        <f>IFERROR(INDEX(羁绊设计!$F:$F,MATCH(羁绊设计!CU91,羁绊设计!$D:$D,0)),"")</f>
        <v/>
      </c>
    </row>
    <row r="92" spans="2:49">
      <c r="B92" s="12" t="str">
        <f>羁绊设计!D92</f>
        <v>曹操</v>
      </c>
      <c r="C92" s="7" t="str">
        <f t="shared" si="4"/>
        <v/>
      </c>
      <c r="D92" s="7" t="str">
        <f t="shared" si="4"/>
        <v/>
      </c>
      <c r="E92" s="7" t="str">
        <f t="shared" si="4"/>
        <v/>
      </c>
      <c r="F92" s="7" t="str">
        <f t="shared" si="4"/>
        <v/>
      </c>
      <c r="G92" s="7" t="str">
        <f t="shared" si="4"/>
        <v/>
      </c>
      <c r="I92" s="9" t="str">
        <f t="shared" si="14"/>
        <v>橙+,橙+,橙+,橙+,橙+,橙+,橙+,橙+,橙+,橙+</v>
      </c>
      <c r="K92" s="9" t="str">
        <f>IFERROR(INDEX(羁绊设计!$F:$F,MATCH(羁绊设计!BI92,羁绊设计!$D:$D,0)),"")</f>
        <v>橙+</v>
      </c>
      <c r="L92" s="9" t="str">
        <f>IFERROR(INDEX(羁绊设计!$F:$F,MATCH(羁绊设计!BJ92,羁绊设计!$D:$D,0)),"")</f>
        <v>橙+</v>
      </c>
      <c r="M92" s="9" t="str">
        <f>IFERROR(INDEX(羁绊设计!$F:$F,MATCH(羁绊设计!BK92,羁绊设计!$D:$D,0)),"")</f>
        <v>橙+</v>
      </c>
      <c r="N92" s="9" t="str">
        <f>IFERROR(INDEX(羁绊设计!$F:$F,MATCH(羁绊设计!BL92,羁绊设计!$D:$D,0)),"")</f>
        <v>橙+</v>
      </c>
      <c r="P92" s="9" t="str">
        <f>IFERROR(INDEX(羁绊设计!$F:$F,MATCH(羁绊设计!BN92,羁绊设计!$D:$D,0)),"")</f>
        <v/>
      </c>
      <c r="Q92" s="9" t="str">
        <f>IFERROR(INDEX(羁绊设计!$F:$F,MATCH(羁绊设计!BO92,羁绊设计!$D:$D,0)),"")</f>
        <v/>
      </c>
      <c r="R92" s="9" t="str">
        <f>IFERROR(INDEX(羁绊设计!$F:$F,MATCH(羁绊设计!BP92,羁绊设计!$D:$D,0)),"")</f>
        <v>橙+</v>
      </c>
      <c r="S92" s="9" t="str">
        <f>IFERROR(INDEX(羁绊设计!$F:$F,MATCH(羁绊设计!BQ92,羁绊设计!$D:$D,0)),"")</f>
        <v/>
      </c>
      <c r="U92" s="9" t="str">
        <f>IFERROR(INDEX(羁绊设计!$F:$F,MATCH(羁绊设计!BS92,羁绊设计!$D:$D,0)),"")</f>
        <v/>
      </c>
      <c r="V92" s="9" t="str">
        <f>IFERROR(INDEX(羁绊设计!$F:$F,MATCH(羁绊设计!BT92,羁绊设计!$D:$D,0)),"")</f>
        <v>橙+</v>
      </c>
      <c r="W92" s="9" t="str">
        <f>IFERROR(INDEX(羁绊设计!$F:$F,MATCH(羁绊设计!BU92,羁绊设计!$D:$D,0)),"")</f>
        <v/>
      </c>
      <c r="X92" s="9" t="str">
        <f>IFERROR(INDEX(羁绊设计!$F:$F,MATCH(羁绊设计!BV92,羁绊设计!$D:$D,0)),"")</f>
        <v/>
      </c>
      <c r="Z92" s="9" t="str">
        <f>IFERROR(INDEX(羁绊设计!$F:$F,MATCH(羁绊设计!BX92,羁绊设计!$D:$D,0)),"")</f>
        <v/>
      </c>
      <c r="AA92" s="9" t="str">
        <f>IFERROR(INDEX(羁绊设计!$F:$F,MATCH(羁绊设计!BY92,羁绊设计!$D:$D,0)),"")</f>
        <v/>
      </c>
      <c r="AB92" s="9" t="str">
        <f>IFERROR(INDEX(羁绊设计!$F:$F,MATCH(羁绊设计!BZ92,羁绊设计!$D:$D,0)),"")</f>
        <v/>
      </c>
      <c r="AC92" s="9" t="str">
        <f>IFERROR(INDEX(羁绊设计!$F:$F,MATCH(羁绊设计!CA92,羁绊设计!$D:$D,0)),"")</f>
        <v/>
      </c>
      <c r="AE92" s="9" t="str">
        <f>IFERROR(INDEX(羁绊设计!$F:$F,MATCH(羁绊设计!CC92,羁绊设计!$D:$D,0)),"")</f>
        <v>橙+</v>
      </c>
      <c r="AF92" s="9" t="str">
        <f>IFERROR(INDEX(羁绊设计!$F:$F,MATCH(羁绊设计!CD92,羁绊设计!$D:$D,0)),"")</f>
        <v/>
      </c>
      <c r="AG92" s="9" t="str">
        <f>IFERROR(INDEX(羁绊设计!$F:$F,MATCH(羁绊设计!CE92,羁绊设计!$D:$D,0)),"")</f>
        <v/>
      </c>
      <c r="AH92" s="9" t="str">
        <f>IFERROR(INDEX(羁绊设计!$F:$F,MATCH(羁绊设计!CF92,羁绊设计!$D:$D,0)),"")</f>
        <v/>
      </c>
      <c r="AJ92" s="9" t="str">
        <f>IFERROR(INDEX(羁绊设计!$F:$F,MATCH(羁绊设计!CH92,羁绊设计!$D:$D,0)),"")</f>
        <v>橙+</v>
      </c>
      <c r="AK92" s="9" t="str">
        <f>IFERROR(INDEX(羁绊设计!$F:$F,MATCH(羁绊设计!CI92,羁绊设计!$D:$D,0)),"")</f>
        <v/>
      </c>
      <c r="AL92" s="9" t="str">
        <f>IFERROR(INDEX(羁绊设计!$F:$F,MATCH(羁绊设计!CJ92,羁绊设计!$D:$D,0)),"")</f>
        <v/>
      </c>
      <c r="AM92" s="9" t="str">
        <f>IFERROR(INDEX(羁绊设计!$F:$F,MATCH(羁绊设计!CK92,羁绊设计!$D:$D,0)),"")</f>
        <v/>
      </c>
      <c r="AO92" s="9" t="str">
        <f>IFERROR(INDEX(羁绊设计!$F:$F,MATCH(羁绊设计!CM92,羁绊设计!$D:$D,0)),"")</f>
        <v>橙+</v>
      </c>
      <c r="AP92" s="9" t="str">
        <f>IFERROR(INDEX(羁绊设计!$F:$F,MATCH(羁绊设计!CN92,羁绊设计!$D:$D,0)),"")</f>
        <v/>
      </c>
      <c r="AQ92" s="9" t="str">
        <f>IFERROR(INDEX(羁绊设计!$F:$F,MATCH(羁绊设计!CO92,羁绊设计!$D:$D,0)),"")</f>
        <v/>
      </c>
      <c r="AR92" s="9" t="str">
        <f>IFERROR(INDEX(羁绊设计!$F:$F,MATCH(羁绊设计!CP92,羁绊设计!$D:$D,0)),"")</f>
        <v/>
      </c>
      <c r="AT92" s="9" t="str">
        <f>IFERROR(INDEX(羁绊设计!$F:$F,MATCH(羁绊设计!CR92,羁绊设计!$D:$D,0)),"")</f>
        <v>橙+</v>
      </c>
      <c r="AU92" s="9" t="str">
        <f>IFERROR(INDEX(羁绊设计!$F:$F,MATCH(羁绊设计!CS92,羁绊设计!$D:$D,0)),"")</f>
        <v/>
      </c>
      <c r="AV92" s="9" t="str">
        <f>IFERROR(INDEX(羁绊设计!$F:$F,MATCH(羁绊设计!CT92,羁绊设计!$D:$D,0)),"")</f>
        <v/>
      </c>
      <c r="AW92" s="9" t="str">
        <f>IFERROR(INDEX(羁绊设计!$F:$F,MATCH(羁绊设计!CU92,羁绊设计!$D:$D,0)),"")</f>
        <v/>
      </c>
    </row>
    <row r="93" spans="2:49">
      <c r="B93" s="12" t="str">
        <f>羁绊设计!D93</f>
        <v>关羽</v>
      </c>
      <c r="C93" s="7" t="str">
        <f t="shared" si="4"/>
        <v/>
      </c>
      <c r="D93" s="7" t="str">
        <f t="shared" si="4"/>
        <v/>
      </c>
      <c r="E93" s="7" t="str">
        <f t="shared" si="4"/>
        <v/>
      </c>
      <c r="F93" s="7">
        <f t="shared" si="4"/>
        <v>2</v>
      </c>
      <c r="G93" s="7">
        <f t="shared" si="4"/>
        <v>1</v>
      </c>
      <c r="I93" s="9" t="str">
        <f t="shared" si="14"/>
        <v>橙+,橙+,橙+,橙+,橙,橙,橙+,橙+,橙+,橙+,橙+,红</v>
      </c>
      <c r="K93" s="9" t="str">
        <f>IFERROR(INDEX(羁绊设计!$F:$F,MATCH(羁绊设计!BI93,羁绊设计!$D:$D,0)),"")</f>
        <v>橙+</v>
      </c>
      <c r="L93" s="9" t="str">
        <f>IFERROR(INDEX(羁绊设计!$F:$F,MATCH(羁绊设计!BJ93,羁绊设计!$D:$D,0)),"")</f>
        <v>橙+</v>
      </c>
      <c r="M93" s="9" t="str">
        <f>IFERROR(INDEX(羁绊设计!$F:$F,MATCH(羁绊设计!BK93,羁绊设计!$D:$D,0)),"")</f>
        <v>橙+</v>
      </c>
      <c r="N93" s="9" t="str">
        <f>IFERROR(INDEX(羁绊设计!$F:$F,MATCH(羁绊设计!BL93,羁绊设计!$D:$D,0)),"")</f>
        <v>橙+</v>
      </c>
      <c r="P93" s="9" t="str">
        <f>IFERROR(INDEX(羁绊设计!$F:$F,MATCH(羁绊设计!BN93,羁绊设计!$D:$D,0)),"")</f>
        <v/>
      </c>
      <c r="Q93" s="9" t="str">
        <f>IFERROR(INDEX(羁绊设计!$F:$F,MATCH(羁绊设计!BO93,羁绊设计!$D:$D,0)),"")</f>
        <v>橙</v>
      </c>
      <c r="R93" s="9" t="str">
        <f>IFERROR(INDEX(羁绊设计!$F:$F,MATCH(羁绊设计!BP93,羁绊设计!$D:$D,0)),"")</f>
        <v>橙</v>
      </c>
      <c r="S93" s="9" t="str">
        <f>IFERROR(INDEX(羁绊设计!$F:$F,MATCH(羁绊设计!BQ93,羁绊设计!$D:$D,0)),"")</f>
        <v>橙+</v>
      </c>
      <c r="U93" s="9" t="str">
        <f>IFERROR(INDEX(羁绊设计!$F:$F,MATCH(羁绊设计!BS93,羁绊设计!$D:$D,0)),"")</f>
        <v/>
      </c>
      <c r="V93" s="9" t="str">
        <f>IFERROR(INDEX(羁绊设计!$F:$F,MATCH(羁绊设计!BT93,羁绊设计!$D:$D,0)),"")</f>
        <v>橙+</v>
      </c>
      <c r="W93" s="9" t="str">
        <f>IFERROR(INDEX(羁绊设计!$F:$F,MATCH(羁绊设计!BU93,羁绊设计!$D:$D,0)),"")</f>
        <v/>
      </c>
      <c r="X93" s="9" t="str">
        <f>IFERROR(INDEX(羁绊设计!$F:$F,MATCH(羁绊设计!BV93,羁绊设计!$D:$D,0)),"")</f>
        <v/>
      </c>
      <c r="Z93" s="9" t="str">
        <f>IFERROR(INDEX(羁绊设计!$F:$F,MATCH(羁绊设计!BX93,羁绊设计!$D:$D,0)),"")</f>
        <v/>
      </c>
      <c r="AA93" s="9" t="str">
        <f>IFERROR(INDEX(羁绊设计!$F:$F,MATCH(羁绊设计!BY93,羁绊设计!$D:$D,0)),"")</f>
        <v/>
      </c>
      <c r="AB93" s="9" t="str">
        <f>IFERROR(INDEX(羁绊设计!$F:$F,MATCH(羁绊设计!BZ93,羁绊设计!$D:$D,0)),"")</f>
        <v/>
      </c>
      <c r="AC93" s="9" t="str">
        <f>IFERROR(INDEX(羁绊设计!$F:$F,MATCH(羁绊设计!CA93,羁绊设计!$D:$D,0)),"")</f>
        <v/>
      </c>
      <c r="AE93" s="9" t="str">
        <f>IFERROR(INDEX(羁绊设计!$F:$F,MATCH(羁绊设计!CC93,羁绊设计!$D:$D,0)),"")</f>
        <v>橙+</v>
      </c>
      <c r="AF93" s="9" t="str">
        <f>IFERROR(INDEX(羁绊设计!$F:$F,MATCH(羁绊设计!CD93,羁绊设计!$D:$D,0)),"")</f>
        <v/>
      </c>
      <c r="AG93" s="9" t="str">
        <f>IFERROR(INDEX(羁绊设计!$F:$F,MATCH(羁绊设计!CE93,羁绊设计!$D:$D,0)),"")</f>
        <v/>
      </c>
      <c r="AH93" s="9" t="str">
        <f>IFERROR(INDEX(羁绊设计!$F:$F,MATCH(羁绊设计!CF93,羁绊设计!$D:$D,0)),"")</f>
        <v/>
      </c>
      <c r="AJ93" s="9" t="str">
        <f>IFERROR(INDEX(羁绊设计!$F:$F,MATCH(羁绊设计!CH93,羁绊设计!$D:$D,0)),"")</f>
        <v>橙+</v>
      </c>
      <c r="AK93" s="9" t="str">
        <f>IFERROR(INDEX(羁绊设计!$F:$F,MATCH(羁绊设计!CI93,羁绊设计!$D:$D,0)),"")</f>
        <v/>
      </c>
      <c r="AL93" s="9" t="str">
        <f>IFERROR(INDEX(羁绊设计!$F:$F,MATCH(羁绊设计!CJ93,羁绊设计!$D:$D,0)),"")</f>
        <v>橙+</v>
      </c>
      <c r="AM93" s="9" t="str">
        <f>IFERROR(INDEX(羁绊设计!$F:$F,MATCH(羁绊设计!CK93,羁绊设计!$D:$D,0)),"")</f>
        <v/>
      </c>
      <c r="AO93" s="9" t="str">
        <f>IFERROR(INDEX(羁绊设计!$F:$F,MATCH(羁绊设计!CM93,羁绊设计!$D:$D,0)),"")</f>
        <v/>
      </c>
      <c r="AP93" s="9" t="str">
        <f>IFERROR(INDEX(羁绊设计!$F:$F,MATCH(羁绊设计!CN93,羁绊设计!$D:$D,0)),"")</f>
        <v/>
      </c>
      <c r="AQ93" s="9" t="str">
        <f>IFERROR(INDEX(羁绊设计!$F:$F,MATCH(羁绊设计!CO93,羁绊设计!$D:$D,0)),"")</f>
        <v/>
      </c>
      <c r="AR93" s="9" t="str">
        <f>IFERROR(INDEX(羁绊设计!$F:$F,MATCH(羁绊设计!CP93,羁绊设计!$D:$D,0)),"")</f>
        <v/>
      </c>
      <c r="AT93" s="9" t="str">
        <f>IFERROR(INDEX(羁绊设计!$F:$F,MATCH(羁绊设计!CR93,羁绊设计!$D:$D,0)),"")</f>
        <v>红</v>
      </c>
      <c r="AU93" s="9" t="str">
        <f>IFERROR(INDEX(羁绊设计!$F:$F,MATCH(羁绊设计!CS93,羁绊设计!$D:$D,0)),"")</f>
        <v/>
      </c>
      <c r="AV93" s="9" t="str">
        <f>IFERROR(INDEX(羁绊设计!$F:$F,MATCH(羁绊设计!CT93,羁绊设计!$D:$D,0)),"")</f>
        <v/>
      </c>
      <c r="AW93" s="9" t="str">
        <f>IFERROR(INDEX(羁绊设计!$F:$F,MATCH(羁绊设计!CU93,羁绊设计!$D:$D,0)),"")</f>
        <v/>
      </c>
    </row>
    <row r="94" spans="2:49">
      <c r="B94" s="12" t="str">
        <f>羁绊设计!D94</f>
        <v>董卓</v>
      </c>
      <c r="C94" s="7" t="str">
        <f t="shared" si="4"/>
        <v/>
      </c>
      <c r="D94" s="7" t="str">
        <f t="shared" si="4"/>
        <v/>
      </c>
      <c r="E94" s="7" t="str">
        <f t="shared" si="4"/>
        <v/>
      </c>
      <c r="F94" s="7">
        <f t="shared" si="4"/>
        <v>3</v>
      </c>
      <c r="G94" s="7">
        <f t="shared" si="4"/>
        <v>1</v>
      </c>
      <c r="I94" s="9" t="str">
        <f t="shared" si="14"/>
        <v>橙+,橙,橙,橙,橙+,橙+,红</v>
      </c>
      <c r="K94" s="9" t="str">
        <f>IFERROR(INDEX(羁绊设计!$F:$F,MATCH(羁绊设计!BI94,羁绊设计!$D:$D,0)),"")</f>
        <v>橙+</v>
      </c>
      <c r="L94" s="9" t="str">
        <f>IFERROR(INDEX(羁绊设计!$F:$F,MATCH(羁绊设计!BJ94,羁绊设计!$D:$D,0)),"")</f>
        <v>橙</v>
      </c>
      <c r="M94" s="9" t="str">
        <f>IFERROR(INDEX(羁绊设计!$F:$F,MATCH(羁绊设计!BK94,羁绊设计!$D:$D,0)),"")</f>
        <v/>
      </c>
      <c r="N94" s="9" t="str">
        <f>IFERROR(INDEX(羁绊设计!$F:$F,MATCH(羁绊设计!BL94,羁绊设计!$D:$D,0)),"")</f>
        <v/>
      </c>
      <c r="P94" s="9" t="str">
        <f>IFERROR(INDEX(羁绊设计!$F:$F,MATCH(羁绊设计!BN94,羁绊设计!$D:$D,0)),"")</f>
        <v/>
      </c>
      <c r="Q94" s="9" t="str">
        <f>IFERROR(INDEX(羁绊设计!$F:$F,MATCH(羁绊设计!BO94,羁绊设计!$D:$D,0)),"")</f>
        <v>橙</v>
      </c>
      <c r="R94" s="9" t="str">
        <f>IFERROR(INDEX(羁绊设计!$F:$F,MATCH(羁绊设计!BP94,羁绊设计!$D:$D,0)),"")</f>
        <v/>
      </c>
      <c r="S94" s="9" t="str">
        <f>IFERROR(INDEX(羁绊设计!$F:$F,MATCH(羁绊设计!BQ94,羁绊设计!$D:$D,0)),"")</f>
        <v/>
      </c>
      <c r="U94" s="9" t="str">
        <f>IFERROR(INDEX(羁绊设计!$F:$F,MATCH(羁绊设计!BS94,羁绊设计!$D:$D,0)),"")</f>
        <v/>
      </c>
      <c r="V94" s="9" t="str">
        <f>IFERROR(INDEX(羁绊设计!$F:$F,MATCH(羁绊设计!BT94,羁绊设计!$D:$D,0)),"")</f>
        <v>橙</v>
      </c>
      <c r="W94" s="9" t="str">
        <f>IFERROR(INDEX(羁绊设计!$F:$F,MATCH(羁绊设计!BU94,羁绊设计!$D:$D,0)),"")</f>
        <v/>
      </c>
      <c r="X94" s="9" t="str">
        <f>IFERROR(INDEX(羁绊设计!$F:$F,MATCH(羁绊设计!BV94,羁绊设计!$D:$D,0)),"")</f>
        <v/>
      </c>
      <c r="Z94" s="9" t="str">
        <f>IFERROR(INDEX(羁绊设计!$F:$F,MATCH(羁绊设计!BX94,羁绊设计!$D:$D,0)),"")</f>
        <v>橙+</v>
      </c>
      <c r="AA94" s="9" t="str">
        <f>IFERROR(INDEX(羁绊设计!$F:$F,MATCH(羁绊设计!BY94,羁绊设计!$D:$D,0)),"")</f>
        <v/>
      </c>
      <c r="AB94" s="9" t="str">
        <f>IFERROR(INDEX(羁绊设计!$F:$F,MATCH(羁绊设计!BZ94,羁绊设计!$D:$D,0)),"")</f>
        <v/>
      </c>
      <c r="AC94" s="9" t="str">
        <f>IFERROR(INDEX(羁绊设计!$F:$F,MATCH(羁绊设计!CA94,羁绊设计!$D:$D,0)),"")</f>
        <v/>
      </c>
      <c r="AE94" s="9" t="str">
        <f>IFERROR(INDEX(羁绊设计!$F:$F,MATCH(羁绊设计!CC94,羁绊设计!$D:$D,0)),"")</f>
        <v>橙+</v>
      </c>
      <c r="AF94" s="9" t="str">
        <f>IFERROR(INDEX(羁绊设计!$F:$F,MATCH(羁绊设计!CD94,羁绊设计!$D:$D,0)),"")</f>
        <v/>
      </c>
      <c r="AG94" s="9" t="str">
        <f>IFERROR(INDEX(羁绊设计!$F:$F,MATCH(羁绊设计!CE94,羁绊设计!$D:$D,0)),"")</f>
        <v/>
      </c>
      <c r="AH94" s="9" t="str">
        <f>IFERROR(INDEX(羁绊设计!$F:$F,MATCH(羁绊设计!CF94,羁绊设计!$D:$D,0)),"")</f>
        <v/>
      </c>
      <c r="AJ94" s="9" t="str">
        <f>IFERROR(INDEX(羁绊设计!$F:$F,MATCH(羁绊设计!CH94,羁绊设计!$D:$D,0)),"")</f>
        <v>红</v>
      </c>
      <c r="AK94" s="9" t="str">
        <f>IFERROR(INDEX(羁绊设计!$F:$F,MATCH(羁绊设计!CI94,羁绊设计!$D:$D,0)),"")</f>
        <v/>
      </c>
      <c r="AL94" s="9" t="str">
        <f>IFERROR(INDEX(羁绊设计!$F:$F,MATCH(羁绊设计!CJ94,羁绊设计!$D:$D,0)),"")</f>
        <v/>
      </c>
      <c r="AM94" s="9" t="str">
        <f>IFERROR(INDEX(羁绊设计!$F:$F,MATCH(羁绊设计!CK94,羁绊设计!$D:$D,0)),"")</f>
        <v/>
      </c>
      <c r="AO94" s="9" t="str">
        <f>IFERROR(INDEX(羁绊设计!$F:$F,MATCH(羁绊设计!CM94,羁绊设计!$D:$D,0)),"")</f>
        <v/>
      </c>
      <c r="AP94" s="9" t="str">
        <f>IFERROR(INDEX(羁绊设计!$F:$F,MATCH(羁绊设计!CN94,羁绊设计!$D:$D,0)),"")</f>
        <v/>
      </c>
      <c r="AQ94" s="9" t="str">
        <f>IFERROR(INDEX(羁绊设计!$F:$F,MATCH(羁绊设计!CO94,羁绊设计!$D:$D,0)),"")</f>
        <v/>
      </c>
      <c r="AR94" s="9" t="str">
        <f>IFERROR(INDEX(羁绊设计!$F:$F,MATCH(羁绊设计!CP94,羁绊设计!$D:$D,0)),"")</f>
        <v/>
      </c>
      <c r="AT94" s="9" t="str">
        <f>IFERROR(INDEX(羁绊设计!$F:$F,MATCH(羁绊设计!CR94,羁绊设计!$D:$D,0)),"")</f>
        <v/>
      </c>
      <c r="AU94" s="9" t="str">
        <f>IFERROR(INDEX(羁绊设计!$F:$F,MATCH(羁绊设计!CS94,羁绊设计!$D:$D,0)),"")</f>
        <v/>
      </c>
      <c r="AV94" s="9" t="str">
        <f>IFERROR(INDEX(羁绊设计!$F:$F,MATCH(羁绊设计!CT94,羁绊设计!$D:$D,0)),"")</f>
        <v/>
      </c>
      <c r="AW94" s="9" t="str">
        <f>IFERROR(INDEX(羁绊设计!$F:$F,MATCH(羁绊设计!CU94,羁绊设计!$D:$D,0)),"")</f>
        <v/>
      </c>
    </row>
    <row r="95" spans="2:49">
      <c r="B95" s="12" t="str">
        <f>羁绊设计!D95</f>
        <v>貂蝉</v>
      </c>
      <c r="C95" s="7" t="str">
        <f t="shared" si="4"/>
        <v/>
      </c>
      <c r="D95" s="7" t="str">
        <f t="shared" si="4"/>
        <v/>
      </c>
      <c r="E95" s="7" t="str">
        <f t="shared" si="4"/>
        <v/>
      </c>
      <c r="F95" s="7">
        <f t="shared" si="4"/>
        <v>1</v>
      </c>
      <c r="G95" s="7" t="str">
        <f t="shared" si="4"/>
        <v/>
      </c>
      <c r="I95" s="9" t="str">
        <f t="shared" si="14"/>
        <v>橙+,橙+,橙,橙+,橙+</v>
      </c>
      <c r="K95" s="9" t="str">
        <f>IFERROR(INDEX(羁绊设计!$F:$F,MATCH(羁绊设计!BI95,羁绊设计!$D:$D,0)),"")</f>
        <v>橙+</v>
      </c>
      <c r="L95" s="9" t="str">
        <f>IFERROR(INDEX(羁绊设计!$F:$F,MATCH(羁绊设计!BJ95,羁绊设计!$D:$D,0)),"")</f>
        <v>橙+</v>
      </c>
      <c r="M95" s="9" t="str">
        <f>IFERROR(INDEX(羁绊设计!$F:$F,MATCH(羁绊设计!BK95,羁绊设计!$D:$D,0)),"")</f>
        <v/>
      </c>
      <c r="N95" s="9" t="str">
        <f>IFERROR(INDEX(羁绊设计!$F:$F,MATCH(羁绊设计!BL95,羁绊设计!$D:$D,0)),"")</f>
        <v/>
      </c>
      <c r="P95" s="9" t="str">
        <f>IFERROR(INDEX(羁绊设计!$F:$F,MATCH(羁绊设计!BN95,羁绊设计!$D:$D,0)),"")</f>
        <v/>
      </c>
      <c r="Q95" s="9" t="str">
        <f>IFERROR(INDEX(羁绊设计!$F:$F,MATCH(羁绊设计!BO95,羁绊设计!$D:$D,0)),"")</f>
        <v>橙</v>
      </c>
      <c r="R95" s="9" t="str">
        <f>IFERROR(INDEX(羁绊设计!$F:$F,MATCH(羁绊设计!BP95,羁绊设计!$D:$D,0)),"")</f>
        <v/>
      </c>
      <c r="S95" s="9" t="str">
        <f>IFERROR(INDEX(羁绊设计!$F:$F,MATCH(羁绊设计!BQ95,羁绊设计!$D:$D,0)),"")</f>
        <v/>
      </c>
      <c r="U95" s="9" t="str">
        <f>IFERROR(INDEX(羁绊设计!$F:$F,MATCH(羁绊设计!BS95,羁绊设计!$D:$D,0)),"")</f>
        <v/>
      </c>
      <c r="V95" s="9" t="str">
        <f>IFERROR(INDEX(羁绊设计!$F:$F,MATCH(羁绊设计!BT95,羁绊设计!$D:$D,0)),"")</f>
        <v>橙+</v>
      </c>
      <c r="W95" s="9" t="str">
        <f>IFERROR(INDEX(羁绊设计!$F:$F,MATCH(羁绊设计!BU95,羁绊设计!$D:$D,0)),"")</f>
        <v>橙+</v>
      </c>
      <c r="X95" s="9" t="str">
        <f>IFERROR(INDEX(羁绊设计!$F:$F,MATCH(羁绊设计!BV95,羁绊设计!$D:$D,0)),"")</f>
        <v/>
      </c>
      <c r="Z95" s="9" t="str">
        <f>IFERROR(INDEX(羁绊设计!$F:$F,MATCH(羁绊设计!BX95,羁绊设计!$D:$D,0)),"")</f>
        <v/>
      </c>
      <c r="AA95" s="9" t="str">
        <f>IFERROR(INDEX(羁绊设计!$F:$F,MATCH(羁绊设计!BY95,羁绊设计!$D:$D,0)),"")</f>
        <v/>
      </c>
      <c r="AB95" s="9" t="str">
        <f>IFERROR(INDEX(羁绊设计!$F:$F,MATCH(羁绊设计!BZ95,羁绊设计!$D:$D,0)),"")</f>
        <v/>
      </c>
      <c r="AC95" s="9" t="str">
        <f>IFERROR(INDEX(羁绊设计!$F:$F,MATCH(羁绊设计!CA95,羁绊设计!$D:$D,0)),"")</f>
        <v/>
      </c>
      <c r="AE95" s="9" t="str">
        <f>IFERROR(INDEX(羁绊设计!$F:$F,MATCH(羁绊设计!CC95,羁绊设计!$D:$D,0)),"")</f>
        <v/>
      </c>
      <c r="AF95" s="9" t="str">
        <f>IFERROR(INDEX(羁绊设计!$F:$F,MATCH(羁绊设计!CD95,羁绊设计!$D:$D,0)),"")</f>
        <v/>
      </c>
      <c r="AG95" s="9" t="str">
        <f>IFERROR(INDEX(羁绊设计!$F:$F,MATCH(羁绊设计!CE95,羁绊设计!$D:$D,0)),"")</f>
        <v/>
      </c>
      <c r="AH95" s="9" t="str">
        <f>IFERROR(INDEX(羁绊设计!$F:$F,MATCH(羁绊设计!CF95,羁绊设计!$D:$D,0)),"")</f>
        <v/>
      </c>
      <c r="AJ95" s="9" t="str">
        <f>IFERROR(INDEX(羁绊设计!$F:$F,MATCH(羁绊设计!CH95,羁绊设计!$D:$D,0)),"")</f>
        <v/>
      </c>
      <c r="AK95" s="9" t="str">
        <f>IFERROR(INDEX(羁绊设计!$F:$F,MATCH(羁绊设计!CI95,羁绊设计!$D:$D,0)),"")</f>
        <v/>
      </c>
      <c r="AL95" s="9" t="str">
        <f>IFERROR(INDEX(羁绊设计!$F:$F,MATCH(羁绊设计!CJ95,羁绊设计!$D:$D,0)),"")</f>
        <v/>
      </c>
      <c r="AM95" s="9" t="str">
        <f>IFERROR(INDEX(羁绊设计!$F:$F,MATCH(羁绊设计!CK95,羁绊设计!$D:$D,0)),"")</f>
        <v/>
      </c>
      <c r="AO95" s="9" t="str">
        <f>IFERROR(INDEX(羁绊设计!$F:$F,MATCH(羁绊设计!CM95,羁绊设计!$D:$D,0)),"")</f>
        <v/>
      </c>
      <c r="AP95" s="9" t="str">
        <f>IFERROR(INDEX(羁绊设计!$F:$F,MATCH(羁绊设计!CN95,羁绊设计!$D:$D,0)),"")</f>
        <v/>
      </c>
      <c r="AQ95" s="9" t="str">
        <f>IFERROR(INDEX(羁绊设计!$F:$F,MATCH(羁绊设计!CO95,羁绊设计!$D:$D,0)),"")</f>
        <v/>
      </c>
      <c r="AR95" s="9" t="str">
        <f>IFERROR(INDEX(羁绊设计!$F:$F,MATCH(羁绊设计!CP95,羁绊设计!$D:$D,0)),"")</f>
        <v/>
      </c>
      <c r="AT95" s="9" t="str">
        <f>IFERROR(INDEX(羁绊设计!$F:$F,MATCH(羁绊设计!CR95,羁绊设计!$D:$D,0)),"")</f>
        <v/>
      </c>
      <c r="AU95" s="9" t="str">
        <f>IFERROR(INDEX(羁绊设计!$F:$F,MATCH(羁绊设计!CS95,羁绊设计!$D:$D,0)),"")</f>
        <v/>
      </c>
      <c r="AV95" s="9" t="str">
        <f>IFERROR(INDEX(羁绊设计!$F:$F,MATCH(羁绊设计!CT95,羁绊设计!$D:$D,0)),"")</f>
        <v/>
      </c>
      <c r="AW95" s="9" t="str">
        <f>IFERROR(INDEX(羁绊设计!$F:$F,MATCH(羁绊设计!CU95,羁绊设计!$D:$D,0)),"")</f>
        <v/>
      </c>
    </row>
    <row r="96" spans="2:49">
      <c r="B96" s="12" t="str">
        <f>羁绊设计!D96</f>
        <v>吕布</v>
      </c>
      <c r="C96" s="7" t="str">
        <f t="shared" si="4"/>
        <v/>
      </c>
      <c r="D96" s="7" t="str">
        <f t="shared" si="4"/>
        <v/>
      </c>
      <c r="E96" s="7" t="str">
        <f t="shared" si="4"/>
        <v/>
      </c>
      <c r="F96" s="7">
        <f t="shared" si="4"/>
        <v>6</v>
      </c>
      <c r="G96" s="7">
        <f t="shared" si="4"/>
        <v>1</v>
      </c>
      <c r="I96" s="9" t="str">
        <f t="shared" si="14"/>
        <v>红,橙,橙,橙,橙,橙,橙+,橙</v>
      </c>
      <c r="K96" s="9" t="str">
        <f>IFERROR(INDEX(羁绊设计!$F:$F,MATCH(羁绊设计!BI96,羁绊设计!$D:$D,0)),"")</f>
        <v>红</v>
      </c>
      <c r="L96" s="9" t="str">
        <f>IFERROR(INDEX(羁绊设计!$F:$F,MATCH(羁绊设计!BJ96,羁绊设计!$D:$D,0)),"")</f>
        <v>橙</v>
      </c>
      <c r="M96" s="9" t="str">
        <f>IFERROR(INDEX(羁绊设计!$F:$F,MATCH(羁绊设计!BK96,羁绊设计!$D:$D,0)),"")</f>
        <v>橙</v>
      </c>
      <c r="N96" s="9" t="str">
        <f>IFERROR(INDEX(羁绊设计!$F:$F,MATCH(羁绊设计!BL96,羁绊设计!$D:$D,0)),"")</f>
        <v>橙</v>
      </c>
      <c r="P96" s="9" t="str">
        <f>IFERROR(INDEX(羁绊设计!$F:$F,MATCH(羁绊设计!BN96,羁绊设计!$D:$D,0)),"")</f>
        <v/>
      </c>
      <c r="Q96" s="9" t="str">
        <f>IFERROR(INDEX(羁绊设计!$F:$F,MATCH(羁绊设计!BO96,羁绊设计!$D:$D,0)),"")</f>
        <v>橙</v>
      </c>
      <c r="R96" s="9" t="str">
        <f>IFERROR(INDEX(羁绊设计!$F:$F,MATCH(羁绊设计!BP96,羁绊设计!$D:$D,0)),"")</f>
        <v>橙</v>
      </c>
      <c r="S96" s="9" t="str">
        <f>IFERROR(INDEX(羁绊设计!$F:$F,MATCH(羁绊设计!BQ96,羁绊设计!$D:$D,0)),"")</f>
        <v/>
      </c>
      <c r="U96" s="9" t="str">
        <f>IFERROR(INDEX(羁绊设计!$F:$F,MATCH(羁绊设计!BS96,羁绊设计!$D:$D,0)),"")</f>
        <v/>
      </c>
      <c r="V96" s="9" t="str">
        <f>IFERROR(INDEX(羁绊设计!$F:$F,MATCH(羁绊设计!BT96,羁绊设计!$D:$D,0)),"")</f>
        <v>橙+</v>
      </c>
      <c r="W96" s="9" t="str">
        <f>IFERROR(INDEX(羁绊设计!$F:$F,MATCH(羁绊设计!BU96,羁绊设计!$D:$D,0)),"")</f>
        <v>橙</v>
      </c>
      <c r="X96" s="9" t="str">
        <f>IFERROR(INDEX(羁绊设计!$F:$F,MATCH(羁绊设计!BV96,羁绊设计!$D:$D,0)),"")</f>
        <v/>
      </c>
      <c r="Z96" s="9" t="str">
        <f>IFERROR(INDEX(羁绊设计!$F:$F,MATCH(羁绊设计!BX96,羁绊设计!$D:$D,0)),"")</f>
        <v/>
      </c>
      <c r="AA96" s="9" t="str">
        <f>IFERROR(INDEX(羁绊设计!$F:$F,MATCH(羁绊设计!BY96,羁绊设计!$D:$D,0)),"")</f>
        <v/>
      </c>
      <c r="AB96" s="9" t="str">
        <f>IFERROR(INDEX(羁绊设计!$F:$F,MATCH(羁绊设计!BZ96,羁绊设计!$D:$D,0)),"")</f>
        <v/>
      </c>
      <c r="AC96" s="9" t="str">
        <f>IFERROR(INDEX(羁绊设计!$F:$F,MATCH(羁绊设计!CA96,羁绊设计!$D:$D,0)),"")</f>
        <v/>
      </c>
      <c r="AE96" s="9" t="str">
        <f>IFERROR(INDEX(羁绊设计!$F:$F,MATCH(羁绊设计!CC96,羁绊设计!$D:$D,0)),"")</f>
        <v/>
      </c>
      <c r="AF96" s="9" t="str">
        <f>IFERROR(INDEX(羁绊设计!$F:$F,MATCH(羁绊设计!CD96,羁绊设计!$D:$D,0)),"")</f>
        <v/>
      </c>
      <c r="AG96" s="9" t="str">
        <f>IFERROR(INDEX(羁绊设计!$F:$F,MATCH(羁绊设计!CE96,羁绊设计!$D:$D,0)),"")</f>
        <v/>
      </c>
      <c r="AH96" s="9" t="str">
        <f>IFERROR(INDEX(羁绊设计!$F:$F,MATCH(羁绊设计!CF96,羁绊设计!$D:$D,0)),"")</f>
        <v/>
      </c>
      <c r="AJ96" s="9" t="str">
        <f>IFERROR(INDEX(羁绊设计!$F:$F,MATCH(羁绊设计!CH96,羁绊设计!$D:$D,0)),"")</f>
        <v/>
      </c>
      <c r="AK96" s="9" t="str">
        <f>IFERROR(INDEX(羁绊设计!$F:$F,MATCH(羁绊设计!CI96,羁绊设计!$D:$D,0)),"")</f>
        <v/>
      </c>
      <c r="AL96" s="9" t="str">
        <f>IFERROR(INDEX(羁绊设计!$F:$F,MATCH(羁绊设计!CJ96,羁绊设计!$D:$D,0)),"")</f>
        <v/>
      </c>
      <c r="AM96" s="9" t="str">
        <f>IFERROR(INDEX(羁绊设计!$F:$F,MATCH(羁绊设计!CK96,羁绊设计!$D:$D,0)),"")</f>
        <v/>
      </c>
      <c r="AO96" s="9" t="str">
        <f>IFERROR(INDEX(羁绊设计!$F:$F,MATCH(羁绊设计!CM96,羁绊设计!$D:$D,0)),"")</f>
        <v/>
      </c>
      <c r="AP96" s="9" t="str">
        <f>IFERROR(INDEX(羁绊设计!$F:$F,MATCH(羁绊设计!CN96,羁绊设计!$D:$D,0)),"")</f>
        <v/>
      </c>
      <c r="AQ96" s="9" t="str">
        <f>IFERROR(INDEX(羁绊设计!$F:$F,MATCH(羁绊设计!CO96,羁绊设计!$D:$D,0)),"")</f>
        <v/>
      </c>
      <c r="AR96" s="9" t="str">
        <f>IFERROR(INDEX(羁绊设计!$F:$F,MATCH(羁绊设计!CP96,羁绊设计!$D:$D,0)),"")</f>
        <v/>
      </c>
      <c r="AT96" s="9" t="str">
        <f>IFERROR(INDEX(羁绊设计!$F:$F,MATCH(羁绊设计!CR96,羁绊设计!$D:$D,0)),"")</f>
        <v/>
      </c>
      <c r="AU96" s="9" t="str">
        <f>IFERROR(INDEX(羁绊设计!$F:$F,MATCH(羁绊设计!CS96,羁绊设计!$D:$D,0)),"")</f>
        <v/>
      </c>
      <c r="AV96" s="9" t="str">
        <f>IFERROR(INDEX(羁绊设计!$F:$F,MATCH(羁绊设计!CT96,羁绊设计!$D:$D,0)),"")</f>
        <v/>
      </c>
      <c r="AW96" s="9" t="str">
        <f>IFERROR(INDEX(羁绊设计!$F:$F,MATCH(羁绊设计!CU96,羁绊设计!$D:$D,0)),"")</f>
        <v/>
      </c>
    </row>
    <row r="97" spans="2:49">
      <c r="B97" s="12" t="str">
        <f>羁绊设计!D97</f>
        <v>赵云</v>
      </c>
      <c r="C97" s="7" t="str">
        <f t="shared" si="4"/>
        <v/>
      </c>
      <c r="D97" s="7" t="str">
        <f t="shared" si="4"/>
        <v/>
      </c>
      <c r="E97" s="7" t="str">
        <f t="shared" si="4"/>
        <v/>
      </c>
      <c r="F97" s="7">
        <f t="shared" si="4"/>
        <v>1</v>
      </c>
      <c r="G97" s="7">
        <f t="shared" si="4"/>
        <v>1</v>
      </c>
      <c r="I97" s="9" t="str">
        <f t="shared" si="14"/>
        <v>橙+,橙+,橙+,橙+,橙+,橙,红,橙+,橙+,橙+</v>
      </c>
      <c r="K97" s="9" t="str">
        <f>IFERROR(INDEX(羁绊设计!$F:$F,MATCH(羁绊设计!BI97,羁绊设计!$D:$D,0)),"")</f>
        <v>橙+</v>
      </c>
      <c r="L97" s="9" t="str">
        <f>IFERROR(INDEX(羁绊设计!$F:$F,MATCH(羁绊设计!BJ97,羁绊设计!$D:$D,0)),"")</f>
        <v>橙+</v>
      </c>
      <c r="M97" s="9" t="str">
        <f>IFERROR(INDEX(羁绊设计!$F:$F,MATCH(羁绊设计!BK97,羁绊设计!$D:$D,0)),"")</f>
        <v>橙+</v>
      </c>
      <c r="N97" s="9" t="str">
        <f>IFERROR(INDEX(羁绊设计!$F:$F,MATCH(羁绊设计!BL97,羁绊设计!$D:$D,0)),"")</f>
        <v/>
      </c>
      <c r="P97" s="9" t="str">
        <f>IFERROR(INDEX(羁绊设计!$F:$F,MATCH(羁绊设计!BN97,羁绊设计!$D:$D,0)),"")</f>
        <v/>
      </c>
      <c r="Q97" s="9" t="str">
        <f>IFERROR(INDEX(羁绊设计!$F:$F,MATCH(羁绊设计!BO97,羁绊设计!$D:$D,0)),"")</f>
        <v/>
      </c>
      <c r="R97" s="9" t="str">
        <f>IFERROR(INDEX(羁绊设计!$F:$F,MATCH(羁绊设计!BP97,羁绊设计!$D:$D,0)),"")</f>
        <v/>
      </c>
      <c r="S97" s="9" t="str">
        <f>IFERROR(INDEX(羁绊设计!$F:$F,MATCH(羁绊设计!BQ97,羁绊设计!$D:$D,0)),"")</f>
        <v/>
      </c>
      <c r="U97" s="9" t="str">
        <f>IFERROR(INDEX(羁绊设计!$F:$F,MATCH(羁绊设计!BS97,羁绊设计!$D:$D,0)),"")</f>
        <v/>
      </c>
      <c r="V97" s="9" t="str">
        <f>IFERROR(INDEX(羁绊设计!$F:$F,MATCH(羁绊设计!BT97,羁绊设计!$D:$D,0)),"")</f>
        <v>橙+</v>
      </c>
      <c r="W97" s="9" t="str">
        <f>IFERROR(INDEX(羁绊设计!$F:$F,MATCH(羁绊设计!BU97,羁绊设计!$D:$D,0)),"")</f>
        <v>橙+</v>
      </c>
      <c r="X97" s="9" t="str">
        <f>IFERROR(INDEX(羁绊设计!$F:$F,MATCH(羁绊设计!BV97,羁绊设计!$D:$D,0)),"")</f>
        <v/>
      </c>
      <c r="Z97" s="9" t="str">
        <f>IFERROR(INDEX(羁绊设计!$F:$F,MATCH(羁绊设计!BX97,羁绊设计!$D:$D,0)),"")</f>
        <v/>
      </c>
      <c r="AA97" s="9" t="str">
        <f>IFERROR(INDEX(羁绊设计!$F:$F,MATCH(羁绊设计!BY97,羁绊设计!$D:$D,0)),"")</f>
        <v/>
      </c>
      <c r="AB97" s="9" t="str">
        <f>IFERROR(INDEX(羁绊设计!$F:$F,MATCH(羁绊设计!BZ97,羁绊设计!$D:$D,0)),"")</f>
        <v>橙</v>
      </c>
      <c r="AC97" s="9" t="str">
        <f>IFERROR(INDEX(羁绊设计!$F:$F,MATCH(羁绊设计!CA97,羁绊设计!$D:$D,0)),"")</f>
        <v/>
      </c>
      <c r="AE97" s="9" t="str">
        <f>IFERROR(INDEX(羁绊设计!$F:$F,MATCH(羁绊设计!CC97,羁绊设计!$D:$D,0)),"")</f>
        <v>红</v>
      </c>
      <c r="AF97" s="9" t="str">
        <f>IFERROR(INDEX(羁绊设计!$F:$F,MATCH(羁绊设计!CD97,羁绊设计!$D:$D,0)),"")</f>
        <v/>
      </c>
      <c r="AG97" s="9" t="str">
        <f>IFERROR(INDEX(羁绊设计!$F:$F,MATCH(羁绊设计!CE97,羁绊设计!$D:$D,0)),"")</f>
        <v/>
      </c>
      <c r="AH97" s="9" t="str">
        <f>IFERROR(INDEX(羁绊设计!$F:$F,MATCH(羁绊设计!CF97,羁绊设计!$D:$D,0)),"")</f>
        <v/>
      </c>
      <c r="AJ97" s="9" t="str">
        <f>IFERROR(INDEX(羁绊设计!$F:$F,MATCH(羁绊设计!CH97,羁绊设计!$D:$D,0)),"")</f>
        <v>橙+</v>
      </c>
      <c r="AK97" s="9" t="str">
        <f>IFERROR(INDEX(羁绊设计!$F:$F,MATCH(羁绊设计!CI97,羁绊设计!$D:$D,0)),"")</f>
        <v/>
      </c>
      <c r="AL97" s="9" t="str">
        <f>IFERROR(INDEX(羁绊设计!$F:$F,MATCH(羁绊设计!CJ97,羁绊设计!$D:$D,0)),"")</f>
        <v/>
      </c>
      <c r="AM97" s="9" t="str">
        <f>IFERROR(INDEX(羁绊设计!$F:$F,MATCH(羁绊设计!CK97,羁绊设计!$D:$D,0)),"")</f>
        <v/>
      </c>
      <c r="AO97" s="9" t="str">
        <f>IFERROR(INDEX(羁绊设计!$F:$F,MATCH(羁绊设计!CM97,羁绊设计!$D:$D,0)),"")</f>
        <v>橙+</v>
      </c>
      <c r="AP97" s="9" t="str">
        <f>IFERROR(INDEX(羁绊设计!$F:$F,MATCH(羁绊设计!CN97,羁绊设计!$D:$D,0)),"")</f>
        <v/>
      </c>
      <c r="AQ97" s="9" t="str">
        <f>IFERROR(INDEX(羁绊设计!$F:$F,MATCH(羁绊设计!CO97,羁绊设计!$D:$D,0)),"")</f>
        <v/>
      </c>
      <c r="AR97" s="9" t="str">
        <f>IFERROR(INDEX(羁绊设计!$F:$F,MATCH(羁绊设计!CP97,羁绊设计!$D:$D,0)),"")</f>
        <v/>
      </c>
      <c r="AT97" s="9" t="str">
        <f>IFERROR(INDEX(羁绊设计!$F:$F,MATCH(羁绊设计!CR97,羁绊设计!$D:$D,0)),"")</f>
        <v>橙+</v>
      </c>
      <c r="AU97" s="9" t="str">
        <f>IFERROR(INDEX(羁绊设计!$F:$F,MATCH(羁绊设计!CS97,羁绊设计!$D:$D,0)),"")</f>
        <v/>
      </c>
      <c r="AV97" s="9" t="str">
        <f>IFERROR(INDEX(羁绊设计!$F:$F,MATCH(羁绊设计!CT97,羁绊设计!$D:$D,0)),"")</f>
        <v/>
      </c>
      <c r="AW97" s="9" t="str">
        <f>IFERROR(INDEX(羁绊设计!$F:$F,MATCH(羁绊设计!CU97,羁绊设计!$D:$D,0)),"")</f>
        <v/>
      </c>
    </row>
    <row r="98" spans="2:49">
      <c r="B98" s="12" t="str">
        <f>羁绊设计!D98</f>
        <v>刘备</v>
      </c>
      <c r="C98" s="7" t="str">
        <f t="shared" si="4"/>
        <v/>
      </c>
      <c r="D98" s="7" t="str">
        <f t="shared" si="4"/>
        <v/>
      </c>
      <c r="E98" s="7" t="str">
        <f t="shared" si="4"/>
        <v/>
      </c>
      <c r="F98" s="7" t="str">
        <f t="shared" si="4"/>
        <v/>
      </c>
      <c r="G98" s="7">
        <f t="shared" si="4"/>
        <v>1</v>
      </c>
      <c r="I98" s="9" t="str">
        <f t="shared" si="14"/>
        <v>橙+,橙+,橙+,橙+,橙+,橙+,红,橙+,橙+</v>
      </c>
      <c r="K98" s="9" t="str">
        <f>IFERROR(INDEX(羁绊设计!$F:$F,MATCH(羁绊设计!BI98,羁绊设计!$D:$D,0)),"")</f>
        <v>橙+</v>
      </c>
      <c r="L98" s="9" t="str">
        <f>IFERROR(INDEX(羁绊设计!$F:$F,MATCH(羁绊设计!BJ98,羁绊设计!$D:$D,0)),"")</f>
        <v>橙+</v>
      </c>
      <c r="M98" s="9" t="str">
        <f>IFERROR(INDEX(羁绊设计!$F:$F,MATCH(羁绊设计!BK98,羁绊设计!$D:$D,0)),"")</f>
        <v/>
      </c>
      <c r="N98" s="9" t="str">
        <f>IFERROR(INDEX(羁绊设计!$F:$F,MATCH(羁绊设计!BL98,羁绊设计!$D:$D,0)),"")</f>
        <v/>
      </c>
      <c r="P98" s="9" t="str">
        <f>IFERROR(INDEX(羁绊设计!$F:$F,MATCH(羁绊设计!BN98,羁绊设计!$D:$D,0)),"")</f>
        <v/>
      </c>
      <c r="Q98" s="9" t="str">
        <f>IFERROR(INDEX(羁绊设计!$F:$F,MATCH(羁绊设计!BO98,羁绊设计!$D:$D,0)),"")</f>
        <v>橙+</v>
      </c>
      <c r="R98" s="9" t="str">
        <f>IFERROR(INDEX(羁绊设计!$F:$F,MATCH(羁绊设计!BP98,羁绊设计!$D:$D,0)),"")</f>
        <v>橙+</v>
      </c>
      <c r="S98" s="9" t="str">
        <f>IFERROR(INDEX(羁绊设计!$F:$F,MATCH(羁绊设计!BQ98,羁绊设计!$D:$D,0)),"")</f>
        <v/>
      </c>
      <c r="U98" s="9" t="str">
        <f>IFERROR(INDEX(羁绊设计!$F:$F,MATCH(羁绊设计!BS98,羁绊设计!$D:$D,0)),"")</f>
        <v/>
      </c>
      <c r="V98" s="9" t="str">
        <f>IFERROR(INDEX(羁绊设计!$F:$F,MATCH(羁绊设计!BT98,羁绊设计!$D:$D,0)),"")</f>
        <v>橙+</v>
      </c>
      <c r="W98" s="9" t="str">
        <f>IFERROR(INDEX(羁绊设计!$F:$F,MATCH(羁绊设计!BU98,羁绊设计!$D:$D,0)),"")</f>
        <v/>
      </c>
      <c r="X98" s="9" t="str">
        <f>IFERROR(INDEX(羁绊设计!$F:$F,MATCH(羁绊设计!BV98,羁绊设计!$D:$D,0)),"")</f>
        <v/>
      </c>
      <c r="Z98" s="9" t="str">
        <f>IFERROR(INDEX(羁绊设计!$F:$F,MATCH(羁绊设计!BX98,羁绊设计!$D:$D,0)),"")</f>
        <v/>
      </c>
      <c r="AA98" s="9" t="str">
        <f>IFERROR(INDEX(羁绊设计!$F:$F,MATCH(羁绊设计!BY98,羁绊设计!$D:$D,0)),"")</f>
        <v>橙+</v>
      </c>
      <c r="AB98" s="9" t="str">
        <f>IFERROR(INDEX(羁绊设计!$F:$F,MATCH(羁绊设计!BZ98,羁绊设计!$D:$D,0)),"")</f>
        <v/>
      </c>
      <c r="AC98" s="9" t="str">
        <f>IFERROR(INDEX(羁绊设计!$F:$F,MATCH(羁绊设计!CA98,羁绊设计!$D:$D,0)),"")</f>
        <v/>
      </c>
      <c r="AE98" s="9" t="str">
        <f>IFERROR(INDEX(羁绊设计!$F:$F,MATCH(羁绊设计!CC98,羁绊设计!$D:$D,0)),"")</f>
        <v/>
      </c>
      <c r="AF98" s="9" t="str">
        <f>IFERROR(INDEX(羁绊设计!$F:$F,MATCH(羁绊设计!CD98,羁绊设计!$D:$D,0)),"")</f>
        <v/>
      </c>
      <c r="AG98" s="9" t="str">
        <f>IFERROR(INDEX(羁绊设计!$F:$F,MATCH(羁绊设计!CE98,羁绊设计!$D:$D,0)),"")</f>
        <v/>
      </c>
      <c r="AH98" s="9" t="str">
        <f>IFERROR(INDEX(羁绊设计!$F:$F,MATCH(羁绊设计!CF98,羁绊设计!$D:$D,0)),"")</f>
        <v/>
      </c>
      <c r="AJ98" s="9" t="str">
        <f>IFERROR(INDEX(羁绊设计!$F:$F,MATCH(羁绊设计!CH98,羁绊设计!$D:$D,0)),"")</f>
        <v>红</v>
      </c>
      <c r="AK98" s="9" t="str">
        <f>IFERROR(INDEX(羁绊设计!$F:$F,MATCH(羁绊设计!CI98,羁绊设计!$D:$D,0)),"")</f>
        <v/>
      </c>
      <c r="AL98" s="9" t="str">
        <f>IFERROR(INDEX(羁绊设计!$F:$F,MATCH(羁绊设计!CJ98,羁绊设计!$D:$D,0)),"")</f>
        <v/>
      </c>
      <c r="AM98" s="9" t="str">
        <f>IFERROR(INDEX(羁绊设计!$F:$F,MATCH(羁绊设计!CK98,羁绊设计!$D:$D,0)),"")</f>
        <v/>
      </c>
      <c r="AO98" s="9" t="str">
        <f>IFERROR(INDEX(羁绊设计!$F:$F,MATCH(羁绊设计!CM98,羁绊设计!$D:$D,0)),"")</f>
        <v>橙+</v>
      </c>
      <c r="AP98" s="9" t="str">
        <f>IFERROR(INDEX(羁绊设计!$F:$F,MATCH(羁绊设计!CN98,羁绊设计!$D:$D,0)),"")</f>
        <v/>
      </c>
      <c r="AQ98" s="9" t="str">
        <f>IFERROR(INDEX(羁绊设计!$F:$F,MATCH(羁绊设计!CO98,羁绊设计!$D:$D,0)),"")</f>
        <v/>
      </c>
      <c r="AR98" s="9" t="str">
        <f>IFERROR(INDEX(羁绊设计!$F:$F,MATCH(羁绊设计!CP98,羁绊设计!$D:$D,0)),"")</f>
        <v/>
      </c>
      <c r="AT98" s="9" t="str">
        <f>IFERROR(INDEX(羁绊设计!$F:$F,MATCH(羁绊设计!CR98,羁绊设计!$D:$D,0)),"")</f>
        <v>橙+</v>
      </c>
      <c r="AU98" s="9" t="str">
        <f>IFERROR(INDEX(羁绊设计!$F:$F,MATCH(羁绊设计!CS98,羁绊设计!$D:$D,0)),"")</f>
        <v/>
      </c>
      <c r="AV98" s="9" t="str">
        <f>IFERROR(INDEX(羁绊设计!$F:$F,MATCH(羁绊设计!CT98,羁绊设计!$D:$D,0)),"")</f>
        <v/>
      </c>
      <c r="AW98" s="9" t="str">
        <f>IFERROR(INDEX(羁绊设计!$F:$F,MATCH(羁绊设计!CU98,羁绊设计!$D:$D,0)),"")</f>
        <v/>
      </c>
    </row>
    <row r="99" spans="2:49">
      <c r="B99" s="12" t="str">
        <f>羁绊设计!D99</f>
        <v>陆逊</v>
      </c>
      <c r="C99" s="7" t="str">
        <f t="shared" si="4"/>
        <v/>
      </c>
      <c r="D99" s="7" t="str">
        <f t="shared" si="4"/>
        <v/>
      </c>
      <c r="E99" s="7" t="str">
        <f t="shared" si="4"/>
        <v/>
      </c>
      <c r="F99" s="7">
        <f t="shared" si="4"/>
        <v>2</v>
      </c>
      <c r="G99" s="7">
        <f t="shared" si="4"/>
        <v>1</v>
      </c>
      <c r="I99" s="9" t="str">
        <f t="shared" si="14"/>
        <v>橙+,橙+,橙,橙,橙+,橙+,红,橙+</v>
      </c>
      <c r="K99" s="9" t="str">
        <f>IFERROR(INDEX(羁绊设计!$F:$F,MATCH(羁绊设计!BI99,羁绊设计!$D:$D,0)),"")</f>
        <v>橙+</v>
      </c>
      <c r="L99" s="9" t="str">
        <f>IFERROR(INDEX(羁绊设计!$F:$F,MATCH(羁绊设计!BJ99,羁绊设计!$D:$D,0)),"")</f>
        <v>橙+</v>
      </c>
      <c r="M99" s="9" t="str">
        <f>IFERROR(INDEX(羁绊设计!$F:$F,MATCH(羁绊设计!BK99,羁绊设计!$D:$D,0)),"")</f>
        <v>橙</v>
      </c>
      <c r="N99" s="9" t="str">
        <f>IFERROR(INDEX(羁绊设计!$F:$F,MATCH(羁绊设计!BL99,羁绊设计!$D:$D,0)),"")</f>
        <v>橙</v>
      </c>
      <c r="P99" s="9" t="str">
        <f>IFERROR(INDEX(羁绊设计!$F:$F,MATCH(羁绊设计!BN99,羁绊设计!$D:$D,0)),"")</f>
        <v/>
      </c>
      <c r="Q99" s="9" t="str">
        <f>IFERROR(INDEX(羁绊设计!$F:$F,MATCH(羁绊设计!BO99,羁绊设计!$D:$D,0)),"")</f>
        <v>橙+</v>
      </c>
      <c r="R99" s="9" t="str">
        <f>IFERROR(INDEX(羁绊设计!$F:$F,MATCH(羁绊设计!BP99,羁绊设计!$D:$D,0)),"")</f>
        <v/>
      </c>
      <c r="S99" s="9" t="str">
        <f>IFERROR(INDEX(羁绊设计!$F:$F,MATCH(羁绊设计!BQ99,羁绊设计!$D:$D,0)),"")</f>
        <v/>
      </c>
      <c r="U99" s="9" t="str">
        <f>IFERROR(INDEX(羁绊设计!$F:$F,MATCH(羁绊设计!BS99,羁绊设计!$D:$D,0)),"")</f>
        <v/>
      </c>
      <c r="V99" s="9" t="str">
        <f>IFERROR(INDEX(羁绊设计!$F:$F,MATCH(羁绊设计!BT99,羁绊设计!$D:$D,0)),"")</f>
        <v>橙+</v>
      </c>
      <c r="W99" s="9" t="str">
        <f>IFERROR(INDEX(羁绊设计!$F:$F,MATCH(羁绊设计!BU99,羁绊设计!$D:$D,0)),"")</f>
        <v/>
      </c>
      <c r="X99" s="9" t="str">
        <f>IFERROR(INDEX(羁绊设计!$F:$F,MATCH(羁绊设计!BV99,羁绊设计!$D:$D,0)),"")</f>
        <v/>
      </c>
      <c r="Z99" s="9" t="str">
        <f>IFERROR(INDEX(羁绊设计!$F:$F,MATCH(羁绊设计!BX99,羁绊设计!$D:$D,0)),"")</f>
        <v>红</v>
      </c>
      <c r="AA99" s="9" t="str">
        <f>IFERROR(INDEX(羁绊设计!$F:$F,MATCH(羁绊设计!BY99,羁绊设计!$D:$D,0)),"")</f>
        <v>橙+</v>
      </c>
      <c r="AB99" s="9" t="str">
        <f>IFERROR(INDEX(羁绊设计!$F:$F,MATCH(羁绊设计!BZ99,羁绊设计!$D:$D,0)),"")</f>
        <v/>
      </c>
      <c r="AC99" s="9" t="str">
        <f>IFERROR(INDEX(羁绊设计!$F:$F,MATCH(羁绊设计!CA99,羁绊设计!$D:$D,0)),"")</f>
        <v/>
      </c>
      <c r="AE99" s="9" t="str">
        <f>IFERROR(INDEX(羁绊设计!$F:$F,MATCH(羁绊设计!CC99,羁绊设计!$D:$D,0)),"")</f>
        <v/>
      </c>
      <c r="AF99" s="9" t="str">
        <f>IFERROR(INDEX(羁绊设计!$F:$F,MATCH(羁绊设计!CD99,羁绊设计!$D:$D,0)),"")</f>
        <v/>
      </c>
      <c r="AG99" s="9" t="str">
        <f>IFERROR(INDEX(羁绊设计!$F:$F,MATCH(羁绊设计!CE99,羁绊设计!$D:$D,0)),"")</f>
        <v/>
      </c>
      <c r="AH99" s="9" t="str">
        <f>IFERROR(INDEX(羁绊设计!$F:$F,MATCH(羁绊设计!CF99,羁绊设计!$D:$D,0)),"")</f>
        <v/>
      </c>
      <c r="AJ99" s="9" t="str">
        <f>IFERROR(INDEX(羁绊设计!$F:$F,MATCH(羁绊设计!CH99,羁绊设计!$D:$D,0)),"")</f>
        <v/>
      </c>
      <c r="AK99" s="9" t="str">
        <f>IFERROR(INDEX(羁绊设计!$F:$F,MATCH(羁绊设计!CI99,羁绊设计!$D:$D,0)),"")</f>
        <v/>
      </c>
      <c r="AL99" s="9" t="str">
        <f>IFERROR(INDEX(羁绊设计!$F:$F,MATCH(羁绊设计!CJ99,羁绊设计!$D:$D,0)),"")</f>
        <v/>
      </c>
      <c r="AM99" s="9" t="str">
        <f>IFERROR(INDEX(羁绊设计!$F:$F,MATCH(羁绊设计!CK99,羁绊设计!$D:$D,0)),"")</f>
        <v/>
      </c>
      <c r="AO99" s="9" t="str">
        <f>IFERROR(INDEX(羁绊设计!$F:$F,MATCH(羁绊设计!CM99,羁绊设计!$D:$D,0)),"")</f>
        <v/>
      </c>
      <c r="AP99" s="9" t="str">
        <f>IFERROR(INDEX(羁绊设计!$F:$F,MATCH(羁绊设计!CN99,羁绊设计!$D:$D,0)),"")</f>
        <v/>
      </c>
      <c r="AQ99" s="9" t="str">
        <f>IFERROR(INDEX(羁绊设计!$F:$F,MATCH(羁绊设计!CO99,羁绊设计!$D:$D,0)),"")</f>
        <v/>
      </c>
      <c r="AR99" s="9" t="str">
        <f>IFERROR(INDEX(羁绊设计!$F:$F,MATCH(羁绊设计!CP99,羁绊设计!$D:$D,0)),"")</f>
        <v/>
      </c>
      <c r="AT99" s="9" t="str">
        <f>IFERROR(INDEX(羁绊设计!$F:$F,MATCH(羁绊设计!CR99,羁绊设计!$D:$D,0)),"")</f>
        <v/>
      </c>
      <c r="AU99" s="9" t="str">
        <f>IFERROR(INDEX(羁绊设计!$F:$F,MATCH(羁绊设计!CS99,羁绊设计!$D:$D,0)),"")</f>
        <v/>
      </c>
      <c r="AV99" s="9" t="str">
        <f>IFERROR(INDEX(羁绊设计!$F:$F,MATCH(羁绊设计!CT99,羁绊设计!$D:$D,0)),"")</f>
        <v/>
      </c>
      <c r="AW99" s="9" t="str">
        <f>IFERROR(INDEX(羁绊设计!$F:$F,MATCH(羁绊设计!CU99,羁绊设计!$D:$D,0)),"")</f>
        <v/>
      </c>
    </row>
    <row r="100" spans="2:49">
      <c r="B100" s="12" t="str">
        <f>羁绊设计!D100</f>
        <v>袁绍</v>
      </c>
      <c r="C100" s="7" t="str">
        <f t="shared" si="4"/>
        <v/>
      </c>
      <c r="D100" s="7" t="str">
        <f t="shared" si="4"/>
        <v/>
      </c>
      <c r="E100" s="7" t="str">
        <f t="shared" si="4"/>
        <v/>
      </c>
      <c r="F100" s="7">
        <f t="shared" si="4"/>
        <v>1</v>
      </c>
      <c r="G100" s="7" t="str">
        <f t="shared" si="4"/>
        <v/>
      </c>
      <c r="I100" s="9" t="str">
        <f t="shared" si="14"/>
        <v>橙+,橙+,橙+,橙</v>
      </c>
      <c r="K100" s="9" t="str">
        <f>IFERROR(INDEX(羁绊设计!$F:$F,MATCH(羁绊设计!BI100,羁绊设计!$D:$D,0)),"")</f>
        <v>橙+</v>
      </c>
      <c r="L100" s="9" t="str">
        <f>IFERROR(INDEX(羁绊设计!$F:$F,MATCH(羁绊设计!BJ100,羁绊设计!$D:$D,0)),"")</f>
        <v>橙+</v>
      </c>
      <c r="M100" s="9" t="str">
        <f>IFERROR(INDEX(羁绊设计!$F:$F,MATCH(羁绊设计!BK100,羁绊设计!$D:$D,0)),"")</f>
        <v/>
      </c>
      <c r="N100" s="9" t="str">
        <f>IFERROR(INDEX(羁绊设计!$F:$F,MATCH(羁绊设计!BL100,羁绊设计!$D:$D,0)),"")</f>
        <v/>
      </c>
      <c r="P100" s="9" t="str">
        <f>IFERROR(INDEX(羁绊设计!$F:$F,MATCH(羁绊设计!BN100,羁绊设计!$D:$D,0)),"")</f>
        <v/>
      </c>
      <c r="Q100" s="9" t="str">
        <f>IFERROR(INDEX(羁绊设计!$F:$F,MATCH(羁绊设计!BO100,羁绊设计!$D:$D,0)),"")</f>
        <v>橙+</v>
      </c>
      <c r="R100" s="9" t="str">
        <f>IFERROR(INDEX(羁绊设计!$F:$F,MATCH(羁绊设计!BP100,羁绊设计!$D:$D,0)),"")</f>
        <v/>
      </c>
      <c r="S100" s="9" t="str">
        <f>IFERROR(INDEX(羁绊设计!$F:$F,MATCH(羁绊设计!BQ100,羁绊设计!$D:$D,0)),"")</f>
        <v/>
      </c>
      <c r="U100" s="9" t="str">
        <f>IFERROR(INDEX(羁绊设计!$F:$F,MATCH(羁绊设计!BS100,羁绊设计!$D:$D,0)),"")</f>
        <v/>
      </c>
      <c r="V100" s="9" t="str">
        <f>IFERROR(INDEX(羁绊设计!$F:$F,MATCH(羁绊设计!BT100,羁绊设计!$D:$D,0)),"")</f>
        <v>橙</v>
      </c>
      <c r="W100" s="9" t="str">
        <f>IFERROR(INDEX(羁绊设计!$F:$F,MATCH(羁绊设计!BU100,羁绊设计!$D:$D,0)),"")</f>
        <v/>
      </c>
      <c r="X100" s="9" t="str">
        <f>IFERROR(INDEX(羁绊设计!$F:$F,MATCH(羁绊设计!BV100,羁绊设计!$D:$D,0)),"")</f>
        <v/>
      </c>
      <c r="Z100" s="9" t="str">
        <f>IFERROR(INDEX(羁绊设计!$F:$F,MATCH(羁绊设计!BX100,羁绊设计!$D:$D,0)),"")</f>
        <v/>
      </c>
      <c r="AA100" s="9" t="str">
        <f>IFERROR(INDEX(羁绊设计!$F:$F,MATCH(羁绊设计!BY100,羁绊设计!$D:$D,0)),"")</f>
        <v/>
      </c>
      <c r="AB100" s="9" t="str">
        <f>IFERROR(INDEX(羁绊设计!$F:$F,MATCH(羁绊设计!BZ100,羁绊设计!$D:$D,0)),"")</f>
        <v/>
      </c>
      <c r="AC100" s="9" t="str">
        <f>IFERROR(INDEX(羁绊设计!$F:$F,MATCH(羁绊设计!CA100,羁绊设计!$D:$D,0)),"")</f>
        <v/>
      </c>
      <c r="AE100" s="9" t="str">
        <f>IFERROR(INDEX(羁绊设计!$F:$F,MATCH(羁绊设计!CC100,羁绊设计!$D:$D,0)),"")</f>
        <v/>
      </c>
      <c r="AF100" s="9" t="str">
        <f>IFERROR(INDEX(羁绊设计!$F:$F,MATCH(羁绊设计!CD100,羁绊设计!$D:$D,0)),"")</f>
        <v/>
      </c>
      <c r="AG100" s="9" t="str">
        <f>IFERROR(INDEX(羁绊设计!$F:$F,MATCH(羁绊设计!CE100,羁绊设计!$D:$D,0)),"")</f>
        <v/>
      </c>
      <c r="AH100" s="9" t="str">
        <f>IFERROR(INDEX(羁绊设计!$F:$F,MATCH(羁绊设计!CF100,羁绊设计!$D:$D,0)),"")</f>
        <v/>
      </c>
      <c r="AJ100" s="9" t="str">
        <f>IFERROR(INDEX(羁绊设计!$F:$F,MATCH(羁绊设计!CH100,羁绊设计!$D:$D,0)),"")</f>
        <v/>
      </c>
      <c r="AK100" s="9" t="str">
        <f>IFERROR(INDEX(羁绊设计!$F:$F,MATCH(羁绊设计!CI100,羁绊设计!$D:$D,0)),"")</f>
        <v/>
      </c>
      <c r="AL100" s="9" t="str">
        <f>IFERROR(INDEX(羁绊设计!$F:$F,MATCH(羁绊设计!CJ100,羁绊设计!$D:$D,0)),"")</f>
        <v/>
      </c>
      <c r="AM100" s="9" t="str">
        <f>IFERROR(INDEX(羁绊设计!$F:$F,MATCH(羁绊设计!CK100,羁绊设计!$D:$D,0)),"")</f>
        <v/>
      </c>
      <c r="AO100" s="9" t="str">
        <f>IFERROR(INDEX(羁绊设计!$F:$F,MATCH(羁绊设计!CM100,羁绊设计!$D:$D,0)),"")</f>
        <v/>
      </c>
      <c r="AP100" s="9" t="str">
        <f>IFERROR(INDEX(羁绊设计!$F:$F,MATCH(羁绊设计!CN100,羁绊设计!$D:$D,0)),"")</f>
        <v/>
      </c>
      <c r="AQ100" s="9" t="str">
        <f>IFERROR(INDEX(羁绊设计!$F:$F,MATCH(羁绊设计!CO100,羁绊设计!$D:$D,0)),"")</f>
        <v/>
      </c>
      <c r="AR100" s="9" t="str">
        <f>IFERROR(INDEX(羁绊设计!$F:$F,MATCH(羁绊设计!CP100,羁绊设计!$D:$D,0)),"")</f>
        <v/>
      </c>
      <c r="AT100" s="9" t="str">
        <f>IFERROR(INDEX(羁绊设计!$F:$F,MATCH(羁绊设计!CR100,羁绊设计!$D:$D,0)),"")</f>
        <v/>
      </c>
      <c r="AU100" s="9" t="str">
        <f>IFERROR(INDEX(羁绊设计!$F:$F,MATCH(羁绊设计!CS100,羁绊设计!$D:$D,0)),"")</f>
        <v/>
      </c>
      <c r="AV100" s="9" t="str">
        <f>IFERROR(INDEX(羁绊设计!$F:$F,MATCH(羁绊设计!CT100,羁绊设计!$D:$D,0)),"")</f>
        <v/>
      </c>
      <c r="AW100" s="9" t="str">
        <f>IFERROR(INDEX(羁绊设计!$F:$F,MATCH(羁绊设计!CU100,羁绊设计!$D:$D,0)),"")</f>
        <v/>
      </c>
    </row>
    <row r="101" spans="2:49">
      <c r="B101" s="12" t="str">
        <f>羁绊设计!D101</f>
        <v>诸葛亮</v>
      </c>
      <c r="C101" s="7" t="str">
        <f t="shared" si="4"/>
        <v/>
      </c>
      <c r="D101" s="7" t="str">
        <f t="shared" si="4"/>
        <v/>
      </c>
      <c r="E101" s="7" t="str">
        <f t="shared" si="4"/>
        <v/>
      </c>
      <c r="F101" s="7" t="str">
        <f t="shared" si="4"/>
        <v/>
      </c>
      <c r="G101" s="7">
        <f t="shared" si="4"/>
        <v>1</v>
      </c>
      <c r="I101" s="9" t="str">
        <f t="shared" si="14"/>
        <v>红,橙+,橙+,橙+,橙+</v>
      </c>
      <c r="K101" s="9" t="str">
        <f>IFERROR(INDEX(羁绊设计!$F:$F,MATCH(羁绊设计!BI101,羁绊设计!$D:$D,0)),"")</f>
        <v>红</v>
      </c>
      <c r="L101" s="9" t="str">
        <f>IFERROR(INDEX(羁绊设计!$F:$F,MATCH(羁绊设计!BJ101,羁绊设计!$D:$D,0)),"")</f>
        <v>橙+</v>
      </c>
      <c r="M101" s="9" t="str">
        <f>IFERROR(INDEX(羁绊设计!$F:$F,MATCH(羁绊设计!BK101,羁绊设计!$D:$D,0)),"")</f>
        <v/>
      </c>
      <c r="N101" s="9" t="str">
        <f>IFERROR(INDEX(羁绊设计!$F:$F,MATCH(羁绊设计!BL101,羁绊设计!$D:$D,0)),"")</f>
        <v/>
      </c>
      <c r="P101" s="9" t="str">
        <f>IFERROR(INDEX(羁绊设计!$F:$F,MATCH(羁绊设计!BN101,羁绊设计!$D:$D,0)),"")</f>
        <v/>
      </c>
      <c r="Q101" s="9" t="str">
        <f>IFERROR(INDEX(羁绊设计!$F:$F,MATCH(羁绊设计!BO101,羁绊设计!$D:$D,0)),"")</f>
        <v>橙+</v>
      </c>
      <c r="R101" s="9" t="str">
        <f>IFERROR(INDEX(羁绊设计!$F:$F,MATCH(羁绊设计!BP101,羁绊设计!$D:$D,0)),"")</f>
        <v/>
      </c>
      <c r="S101" s="9" t="str">
        <f>IFERROR(INDEX(羁绊设计!$F:$F,MATCH(羁绊设计!BQ101,羁绊设计!$D:$D,0)),"")</f>
        <v/>
      </c>
      <c r="U101" s="9" t="str">
        <f>IFERROR(INDEX(羁绊设计!$F:$F,MATCH(羁绊设计!BS101,羁绊设计!$D:$D,0)),"")</f>
        <v/>
      </c>
      <c r="V101" s="9" t="str">
        <f>IFERROR(INDEX(羁绊设计!$F:$F,MATCH(羁绊设计!BT101,羁绊设计!$D:$D,0)),"")</f>
        <v>橙+</v>
      </c>
      <c r="W101" s="9" t="str">
        <f>IFERROR(INDEX(羁绊设计!$F:$F,MATCH(羁绊设计!BU101,羁绊设计!$D:$D,0)),"")</f>
        <v>橙+</v>
      </c>
      <c r="X101" s="9" t="str">
        <f>IFERROR(INDEX(羁绊设计!$F:$F,MATCH(羁绊设计!BV101,羁绊设计!$D:$D,0)),"")</f>
        <v/>
      </c>
      <c r="Z101" s="9" t="str">
        <f>IFERROR(INDEX(羁绊设计!$F:$F,MATCH(羁绊设计!BX101,羁绊设计!$D:$D,0)),"")</f>
        <v/>
      </c>
      <c r="AA101" s="9" t="str">
        <f>IFERROR(INDEX(羁绊设计!$F:$F,MATCH(羁绊设计!BY101,羁绊设计!$D:$D,0)),"")</f>
        <v/>
      </c>
      <c r="AB101" s="9" t="str">
        <f>IFERROR(INDEX(羁绊设计!$F:$F,MATCH(羁绊设计!BZ101,羁绊设计!$D:$D,0)),"")</f>
        <v/>
      </c>
      <c r="AC101" s="9" t="str">
        <f>IFERROR(INDEX(羁绊设计!$F:$F,MATCH(羁绊设计!CA101,羁绊设计!$D:$D,0)),"")</f>
        <v/>
      </c>
      <c r="AE101" s="9" t="str">
        <f>IFERROR(INDEX(羁绊设计!$F:$F,MATCH(羁绊设计!CC101,羁绊设计!$D:$D,0)),"")</f>
        <v/>
      </c>
      <c r="AF101" s="9" t="str">
        <f>IFERROR(INDEX(羁绊设计!$F:$F,MATCH(羁绊设计!CD101,羁绊设计!$D:$D,0)),"")</f>
        <v/>
      </c>
      <c r="AG101" s="9" t="str">
        <f>IFERROR(INDEX(羁绊设计!$F:$F,MATCH(羁绊设计!CE101,羁绊设计!$D:$D,0)),"")</f>
        <v/>
      </c>
      <c r="AH101" s="9" t="str">
        <f>IFERROR(INDEX(羁绊设计!$F:$F,MATCH(羁绊设计!CF101,羁绊设计!$D:$D,0)),"")</f>
        <v/>
      </c>
      <c r="AJ101" s="9" t="str">
        <f>IFERROR(INDEX(羁绊设计!$F:$F,MATCH(羁绊设计!CH101,羁绊设计!$D:$D,0)),"")</f>
        <v/>
      </c>
      <c r="AK101" s="9" t="str">
        <f>IFERROR(INDEX(羁绊设计!$F:$F,MATCH(羁绊设计!CI101,羁绊设计!$D:$D,0)),"")</f>
        <v/>
      </c>
      <c r="AL101" s="9" t="str">
        <f>IFERROR(INDEX(羁绊设计!$F:$F,MATCH(羁绊设计!CJ101,羁绊设计!$D:$D,0)),"")</f>
        <v/>
      </c>
      <c r="AM101" s="9" t="str">
        <f>IFERROR(INDEX(羁绊设计!$F:$F,MATCH(羁绊设计!CK101,羁绊设计!$D:$D,0)),"")</f>
        <v/>
      </c>
      <c r="AO101" s="9" t="str">
        <f>IFERROR(INDEX(羁绊设计!$F:$F,MATCH(羁绊设计!CM101,羁绊设计!$D:$D,0)),"")</f>
        <v/>
      </c>
      <c r="AP101" s="9" t="str">
        <f>IFERROR(INDEX(羁绊设计!$F:$F,MATCH(羁绊设计!CN101,羁绊设计!$D:$D,0)),"")</f>
        <v/>
      </c>
      <c r="AQ101" s="9" t="str">
        <f>IFERROR(INDEX(羁绊设计!$F:$F,MATCH(羁绊设计!CO101,羁绊设计!$D:$D,0)),"")</f>
        <v/>
      </c>
      <c r="AR101" s="9" t="str">
        <f>IFERROR(INDEX(羁绊设计!$F:$F,MATCH(羁绊设计!CP101,羁绊设计!$D:$D,0)),"")</f>
        <v/>
      </c>
      <c r="AT101" s="9" t="str">
        <f>IFERROR(INDEX(羁绊设计!$F:$F,MATCH(羁绊设计!CR101,羁绊设计!$D:$D,0)),"")</f>
        <v/>
      </c>
      <c r="AU101" s="9" t="str">
        <f>IFERROR(INDEX(羁绊设计!$F:$F,MATCH(羁绊设计!CS101,羁绊设计!$D:$D,0)),"")</f>
        <v/>
      </c>
      <c r="AV101" s="9" t="str">
        <f>IFERROR(INDEX(羁绊设计!$F:$F,MATCH(羁绊设计!CT101,羁绊设计!$D:$D,0)),"")</f>
        <v/>
      </c>
      <c r="AW101" s="9" t="str">
        <f>IFERROR(INDEX(羁绊设计!$F:$F,MATCH(羁绊设计!CU101,羁绊设计!$D:$D,0)),"")</f>
        <v/>
      </c>
    </row>
    <row r="102" spans="2:49">
      <c r="B102" s="12" t="str">
        <f>羁绊设计!D102</f>
        <v>太史慈</v>
      </c>
      <c r="C102" s="7" t="str">
        <f t="shared" si="4"/>
        <v/>
      </c>
      <c r="D102" s="7" t="str">
        <f t="shared" si="4"/>
        <v/>
      </c>
      <c r="E102" s="7" t="str">
        <f t="shared" si="4"/>
        <v/>
      </c>
      <c r="F102" s="7" t="str">
        <f t="shared" si="4"/>
        <v/>
      </c>
      <c r="G102" s="7" t="str">
        <f t="shared" si="4"/>
        <v/>
      </c>
      <c r="I102" s="9" t="str">
        <f t="shared" si="14"/>
        <v>橙+,橙+,橙+,橙+</v>
      </c>
      <c r="K102" s="9" t="str">
        <f>IFERROR(INDEX(羁绊设计!$F:$F,MATCH(羁绊设计!BI102,羁绊设计!$D:$D,0)),"")</f>
        <v>橙+</v>
      </c>
      <c r="L102" s="9" t="str">
        <f>IFERROR(INDEX(羁绊设计!$F:$F,MATCH(羁绊设计!BJ102,羁绊设计!$D:$D,0)),"")</f>
        <v>橙+</v>
      </c>
      <c r="M102" s="9" t="str">
        <f>IFERROR(INDEX(羁绊设计!$F:$F,MATCH(羁绊设计!BK102,羁绊设计!$D:$D,0)),"")</f>
        <v/>
      </c>
      <c r="N102" s="9" t="str">
        <f>IFERROR(INDEX(羁绊设计!$F:$F,MATCH(羁绊设计!BL102,羁绊设计!$D:$D,0)),"")</f>
        <v/>
      </c>
      <c r="P102" s="9" t="str">
        <f>IFERROR(INDEX(羁绊设计!$F:$F,MATCH(羁绊设计!BN102,羁绊设计!$D:$D,0)),"")</f>
        <v/>
      </c>
      <c r="Q102" s="9" t="str">
        <f>IFERROR(INDEX(羁绊设计!$F:$F,MATCH(羁绊设计!BO102,羁绊设计!$D:$D,0)),"")</f>
        <v>橙+</v>
      </c>
      <c r="R102" s="9" t="str">
        <f>IFERROR(INDEX(羁绊设计!$F:$F,MATCH(羁绊设计!BP102,羁绊设计!$D:$D,0)),"")</f>
        <v/>
      </c>
      <c r="S102" s="9" t="str">
        <f>IFERROR(INDEX(羁绊设计!$F:$F,MATCH(羁绊设计!BQ102,羁绊设计!$D:$D,0)),"")</f>
        <v/>
      </c>
      <c r="U102" s="9" t="str">
        <f>IFERROR(INDEX(羁绊设计!$F:$F,MATCH(羁绊设计!BS102,羁绊设计!$D:$D,0)),"")</f>
        <v/>
      </c>
      <c r="V102" s="9" t="str">
        <f>IFERROR(INDEX(羁绊设计!$F:$F,MATCH(羁绊设计!BT102,羁绊设计!$D:$D,0)),"")</f>
        <v>橙+</v>
      </c>
      <c r="W102" s="9" t="str">
        <f>IFERROR(INDEX(羁绊设计!$F:$F,MATCH(羁绊设计!BU102,羁绊设计!$D:$D,0)),"")</f>
        <v/>
      </c>
      <c r="X102" s="9" t="str">
        <f>IFERROR(INDEX(羁绊设计!$F:$F,MATCH(羁绊设计!BV102,羁绊设计!$D:$D,0)),"")</f>
        <v/>
      </c>
      <c r="Z102" s="9" t="str">
        <f>IFERROR(INDEX(羁绊设计!$F:$F,MATCH(羁绊设计!BX102,羁绊设计!$D:$D,0)),"")</f>
        <v/>
      </c>
      <c r="AA102" s="9" t="str">
        <f>IFERROR(INDEX(羁绊设计!$F:$F,MATCH(羁绊设计!BY102,羁绊设计!$D:$D,0)),"")</f>
        <v/>
      </c>
      <c r="AB102" s="9" t="str">
        <f>IFERROR(INDEX(羁绊设计!$F:$F,MATCH(羁绊设计!BZ102,羁绊设计!$D:$D,0)),"")</f>
        <v/>
      </c>
      <c r="AC102" s="9" t="str">
        <f>IFERROR(INDEX(羁绊设计!$F:$F,MATCH(羁绊设计!CA102,羁绊设计!$D:$D,0)),"")</f>
        <v/>
      </c>
      <c r="AE102" s="9" t="str">
        <f>IFERROR(INDEX(羁绊设计!$F:$F,MATCH(羁绊设计!CC102,羁绊设计!$D:$D,0)),"")</f>
        <v/>
      </c>
      <c r="AF102" s="9" t="str">
        <f>IFERROR(INDEX(羁绊设计!$F:$F,MATCH(羁绊设计!CD102,羁绊设计!$D:$D,0)),"")</f>
        <v/>
      </c>
      <c r="AG102" s="9" t="str">
        <f>IFERROR(INDEX(羁绊设计!$F:$F,MATCH(羁绊设计!CE102,羁绊设计!$D:$D,0)),"")</f>
        <v/>
      </c>
      <c r="AH102" s="9" t="str">
        <f>IFERROR(INDEX(羁绊设计!$F:$F,MATCH(羁绊设计!CF102,羁绊设计!$D:$D,0)),"")</f>
        <v/>
      </c>
      <c r="AJ102" s="9" t="str">
        <f>IFERROR(INDEX(羁绊设计!$F:$F,MATCH(羁绊设计!CH102,羁绊设计!$D:$D,0)),"")</f>
        <v/>
      </c>
      <c r="AK102" s="9" t="str">
        <f>IFERROR(INDEX(羁绊设计!$F:$F,MATCH(羁绊设计!CI102,羁绊设计!$D:$D,0)),"")</f>
        <v/>
      </c>
      <c r="AL102" s="9" t="str">
        <f>IFERROR(INDEX(羁绊设计!$F:$F,MATCH(羁绊设计!CJ102,羁绊设计!$D:$D,0)),"")</f>
        <v/>
      </c>
      <c r="AM102" s="9" t="str">
        <f>IFERROR(INDEX(羁绊设计!$F:$F,MATCH(羁绊设计!CK102,羁绊设计!$D:$D,0)),"")</f>
        <v/>
      </c>
      <c r="AO102" s="9" t="str">
        <f>IFERROR(INDEX(羁绊设计!$F:$F,MATCH(羁绊设计!CM102,羁绊设计!$D:$D,0)),"")</f>
        <v/>
      </c>
      <c r="AP102" s="9" t="str">
        <f>IFERROR(INDEX(羁绊设计!$F:$F,MATCH(羁绊设计!CN102,羁绊设计!$D:$D,0)),"")</f>
        <v/>
      </c>
      <c r="AQ102" s="9" t="str">
        <f>IFERROR(INDEX(羁绊设计!$F:$F,MATCH(羁绊设计!CO102,羁绊设计!$D:$D,0)),"")</f>
        <v/>
      </c>
      <c r="AR102" s="9" t="str">
        <f>IFERROR(INDEX(羁绊设计!$F:$F,MATCH(羁绊设计!CP102,羁绊设计!$D:$D,0)),"")</f>
        <v/>
      </c>
      <c r="AT102" s="9" t="str">
        <f>IFERROR(INDEX(羁绊设计!$F:$F,MATCH(羁绊设计!CR102,羁绊设计!$D:$D,0)),"")</f>
        <v/>
      </c>
      <c r="AU102" s="9" t="str">
        <f>IFERROR(INDEX(羁绊设计!$F:$F,MATCH(羁绊设计!CS102,羁绊设计!$D:$D,0)),"")</f>
        <v/>
      </c>
      <c r="AV102" s="9" t="str">
        <f>IFERROR(INDEX(羁绊设计!$F:$F,MATCH(羁绊设计!CT102,羁绊设计!$D:$D,0)),"")</f>
        <v/>
      </c>
      <c r="AW102" s="9" t="str">
        <f>IFERROR(INDEX(羁绊设计!$F:$F,MATCH(羁绊设计!CU102,羁绊设计!$D:$D,0)),"")</f>
        <v/>
      </c>
    </row>
    <row r="103" spans="2:49">
      <c r="B103" s="12" t="str">
        <f>羁绊设计!D103</f>
        <v>孙权</v>
      </c>
      <c r="C103" s="7" t="str">
        <f t="shared" si="4"/>
        <v/>
      </c>
      <c r="D103" s="7" t="str">
        <f t="shared" si="4"/>
        <v/>
      </c>
      <c r="E103" s="7" t="str">
        <f t="shared" si="4"/>
        <v/>
      </c>
      <c r="F103" s="7" t="str">
        <f t="shared" si="4"/>
        <v/>
      </c>
      <c r="G103" s="7" t="str">
        <f t="shared" si="4"/>
        <v/>
      </c>
      <c r="I103" s="9" t="str">
        <f t="shared" si="14"/>
        <v>橙+,橙+,橙+,橙+,橙+,橙+</v>
      </c>
      <c r="K103" s="9" t="str">
        <f>IFERROR(INDEX(羁绊设计!$F:$F,MATCH(羁绊设计!BI103,羁绊设计!$D:$D,0)),"")</f>
        <v>橙+</v>
      </c>
      <c r="L103" s="9" t="str">
        <f>IFERROR(INDEX(羁绊设计!$F:$F,MATCH(羁绊设计!BJ103,羁绊设计!$D:$D,0)),"")</f>
        <v>橙+</v>
      </c>
      <c r="M103" s="9" t="str">
        <f>IFERROR(INDEX(羁绊设计!$F:$F,MATCH(羁绊设计!BK103,羁绊设计!$D:$D,0)),"")</f>
        <v/>
      </c>
      <c r="N103" s="9" t="str">
        <f>IFERROR(INDEX(羁绊设计!$F:$F,MATCH(羁绊设计!BL103,羁绊设计!$D:$D,0)),"")</f>
        <v/>
      </c>
      <c r="P103" s="9" t="str">
        <f>IFERROR(INDEX(羁绊设计!$F:$F,MATCH(羁绊设计!BN103,羁绊设计!$D:$D,0)),"")</f>
        <v/>
      </c>
      <c r="Q103" s="9" t="str">
        <f>IFERROR(INDEX(羁绊设计!$F:$F,MATCH(羁绊设计!BO103,羁绊设计!$D:$D,0)),"")</f>
        <v>橙+</v>
      </c>
      <c r="R103" s="9" t="str">
        <f>IFERROR(INDEX(羁绊设计!$F:$F,MATCH(羁绊设计!BP103,羁绊设计!$D:$D,0)),"")</f>
        <v>橙+</v>
      </c>
      <c r="S103" s="9" t="str">
        <f>IFERROR(INDEX(羁绊设计!$F:$F,MATCH(羁绊设计!BQ103,羁绊设计!$D:$D,0)),"")</f>
        <v/>
      </c>
      <c r="U103" s="9" t="str">
        <f>IFERROR(INDEX(羁绊设计!$F:$F,MATCH(羁绊设计!BS103,羁绊设计!$D:$D,0)),"")</f>
        <v/>
      </c>
      <c r="V103" s="9" t="str">
        <f>IFERROR(INDEX(羁绊设计!$F:$F,MATCH(羁绊设计!BT103,羁绊设计!$D:$D,0)),"")</f>
        <v>橙+</v>
      </c>
      <c r="W103" s="9" t="str">
        <f>IFERROR(INDEX(羁绊设计!$F:$F,MATCH(羁绊设计!BU103,羁绊设计!$D:$D,0)),"")</f>
        <v/>
      </c>
      <c r="X103" s="9" t="str">
        <f>IFERROR(INDEX(羁绊设计!$F:$F,MATCH(羁绊设计!BV103,羁绊设计!$D:$D,0)),"")</f>
        <v/>
      </c>
      <c r="Z103" s="9" t="str">
        <f>IFERROR(INDEX(羁绊设计!$F:$F,MATCH(羁绊设计!BX103,羁绊设计!$D:$D,0)),"")</f>
        <v/>
      </c>
      <c r="AA103" s="9" t="str">
        <f>IFERROR(INDEX(羁绊设计!$F:$F,MATCH(羁绊设计!BY103,羁绊设计!$D:$D,0)),"")</f>
        <v>橙+</v>
      </c>
      <c r="AB103" s="9" t="str">
        <f>IFERROR(INDEX(羁绊设计!$F:$F,MATCH(羁绊设计!BZ103,羁绊设计!$D:$D,0)),"")</f>
        <v/>
      </c>
      <c r="AC103" s="9" t="str">
        <f>IFERROR(INDEX(羁绊设计!$F:$F,MATCH(羁绊设计!CA103,羁绊设计!$D:$D,0)),"")</f>
        <v/>
      </c>
      <c r="AE103" s="9" t="str">
        <f>IFERROR(INDEX(羁绊设计!$F:$F,MATCH(羁绊设计!CC103,羁绊设计!$D:$D,0)),"")</f>
        <v/>
      </c>
      <c r="AF103" s="9" t="str">
        <f>IFERROR(INDEX(羁绊设计!$F:$F,MATCH(羁绊设计!CD103,羁绊设计!$D:$D,0)),"")</f>
        <v/>
      </c>
      <c r="AG103" s="9" t="str">
        <f>IFERROR(INDEX(羁绊设计!$F:$F,MATCH(羁绊设计!CE103,羁绊设计!$D:$D,0)),"")</f>
        <v/>
      </c>
      <c r="AH103" s="9" t="str">
        <f>IFERROR(INDEX(羁绊设计!$F:$F,MATCH(羁绊设计!CF103,羁绊设计!$D:$D,0)),"")</f>
        <v/>
      </c>
      <c r="AJ103" s="9" t="str">
        <f>IFERROR(INDEX(羁绊设计!$F:$F,MATCH(羁绊设计!CH103,羁绊设计!$D:$D,0)),"")</f>
        <v/>
      </c>
      <c r="AK103" s="9" t="str">
        <f>IFERROR(INDEX(羁绊设计!$F:$F,MATCH(羁绊设计!CI103,羁绊设计!$D:$D,0)),"")</f>
        <v/>
      </c>
      <c r="AL103" s="9" t="str">
        <f>IFERROR(INDEX(羁绊设计!$F:$F,MATCH(羁绊设计!CJ103,羁绊设计!$D:$D,0)),"")</f>
        <v/>
      </c>
      <c r="AM103" s="9" t="str">
        <f>IFERROR(INDEX(羁绊设计!$F:$F,MATCH(羁绊设计!CK103,羁绊设计!$D:$D,0)),"")</f>
        <v/>
      </c>
      <c r="AO103" s="9" t="str">
        <f>IFERROR(INDEX(羁绊设计!$F:$F,MATCH(羁绊设计!CM103,羁绊设计!$D:$D,0)),"")</f>
        <v/>
      </c>
      <c r="AP103" s="9" t="str">
        <f>IFERROR(INDEX(羁绊设计!$F:$F,MATCH(羁绊设计!CN103,羁绊设计!$D:$D,0)),"")</f>
        <v/>
      </c>
      <c r="AQ103" s="9" t="str">
        <f>IFERROR(INDEX(羁绊设计!$F:$F,MATCH(羁绊设计!CO103,羁绊设计!$D:$D,0)),"")</f>
        <v/>
      </c>
      <c r="AR103" s="9" t="str">
        <f>IFERROR(INDEX(羁绊设计!$F:$F,MATCH(羁绊设计!CP103,羁绊设计!$D:$D,0)),"")</f>
        <v/>
      </c>
      <c r="AT103" s="9" t="str">
        <f>IFERROR(INDEX(羁绊设计!$F:$F,MATCH(羁绊设计!CR103,羁绊设计!$D:$D,0)),"")</f>
        <v/>
      </c>
      <c r="AU103" s="9" t="str">
        <f>IFERROR(INDEX(羁绊设计!$F:$F,MATCH(羁绊设计!CS103,羁绊设计!$D:$D,0)),"")</f>
        <v/>
      </c>
      <c r="AV103" s="9" t="str">
        <f>IFERROR(INDEX(羁绊设计!$F:$F,MATCH(羁绊设计!CT103,羁绊设计!$D:$D,0)),"")</f>
        <v/>
      </c>
      <c r="AW103" s="9" t="str">
        <f>IFERROR(INDEX(羁绊设计!$F:$F,MATCH(羁绊设计!CU103,羁绊设计!$D:$D,0)),"")</f>
        <v/>
      </c>
    </row>
    <row r="104" spans="2:49">
      <c r="B104" s="12" t="str">
        <f>羁绊设计!D104</f>
        <v>夏侯渊</v>
      </c>
      <c r="C104" s="7" t="str">
        <f t="shared" si="4"/>
        <v/>
      </c>
      <c r="D104" s="7" t="str">
        <f t="shared" si="4"/>
        <v/>
      </c>
      <c r="E104" s="7" t="str">
        <f t="shared" si="4"/>
        <v/>
      </c>
      <c r="F104" s="7" t="str">
        <f t="shared" si="4"/>
        <v/>
      </c>
      <c r="G104" s="7">
        <f t="shared" si="4"/>
        <v>1</v>
      </c>
      <c r="I104" s="9" t="str">
        <f t="shared" si="14"/>
        <v>橙+,橙+,橙+,橙+,红</v>
      </c>
      <c r="K104" s="9" t="str">
        <f>IFERROR(INDEX(羁绊设计!$F:$F,MATCH(羁绊设计!BI104,羁绊设计!$D:$D,0)),"")</f>
        <v>橙+</v>
      </c>
      <c r="L104" s="9" t="str">
        <f>IFERROR(INDEX(羁绊设计!$F:$F,MATCH(羁绊设计!BJ104,羁绊设计!$D:$D,0)),"")</f>
        <v>橙+</v>
      </c>
      <c r="M104" s="9" t="str">
        <f>IFERROR(INDEX(羁绊设计!$F:$F,MATCH(羁绊设计!BK104,羁绊设计!$D:$D,0)),"")</f>
        <v/>
      </c>
      <c r="N104" s="9" t="str">
        <f>IFERROR(INDEX(羁绊设计!$F:$F,MATCH(羁绊设计!BL104,羁绊设计!$D:$D,0)),"")</f>
        <v/>
      </c>
      <c r="P104" s="9" t="str">
        <f>IFERROR(INDEX(羁绊设计!$F:$F,MATCH(羁绊设计!BN104,羁绊设计!$D:$D,0)),"")</f>
        <v/>
      </c>
      <c r="Q104" s="9" t="str">
        <f>IFERROR(INDEX(羁绊设计!$F:$F,MATCH(羁绊设计!BO104,羁绊设计!$D:$D,0)),"")</f>
        <v>橙+</v>
      </c>
      <c r="R104" s="9" t="str">
        <f>IFERROR(INDEX(羁绊设计!$F:$F,MATCH(羁绊设计!BP104,羁绊设计!$D:$D,0)),"")</f>
        <v/>
      </c>
      <c r="S104" s="9" t="str">
        <f>IFERROR(INDEX(羁绊设计!$F:$F,MATCH(羁绊设计!BQ104,羁绊设计!$D:$D,0)),"")</f>
        <v/>
      </c>
      <c r="U104" s="9" t="str">
        <f>IFERROR(INDEX(羁绊设计!$F:$F,MATCH(羁绊设计!BS104,羁绊设计!$D:$D,0)),"")</f>
        <v/>
      </c>
      <c r="V104" s="9" t="str">
        <f>IFERROR(INDEX(羁绊设计!$F:$F,MATCH(羁绊设计!BT104,羁绊设计!$D:$D,0)),"")</f>
        <v>橙+</v>
      </c>
      <c r="W104" s="9" t="str">
        <f>IFERROR(INDEX(羁绊设计!$F:$F,MATCH(羁绊设计!BU104,羁绊设计!$D:$D,0)),"")</f>
        <v/>
      </c>
      <c r="X104" s="9" t="str">
        <f>IFERROR(INDEX(羁绊设计!$F:$F,MATCH(羁绊设计!BV104,羁绊设计!$D:$D,0)),"")</f>
        <v/>
      </c>
      <c r="Z104" s="9" t="str">
        <f>IFERROR(INDEX(羁绊设计!$F:$F,MATCH(羁绊设计!BX104,羁绊设计!$D:$D,0)),"")</f>
        <v>红</v>
      </c>
      <c r="AA104" s="9" t="str">
        <f>IFERROR(INDEX(羁绊设计!$F:$F,MATCH(羁绊设计!BY104,羁绊设计!$D:$D,0)),"")</f>
        <v/>
      </c>
      <c r="AB104" s="9" t="str">
        <f>IFERROR(INDEX(羁绊设计!$F:$F,MATCH(羁绊设计!BZ104,羁绊设计!$D:$D,0)),"")</f>
        <v/>
      </c>
      <c r="AC104" s="9" t="str">
        <f>IFERROR(INDEX(羁绊设计!$F:$F,MATCH(羁绊设计!CA104,羁绊设计!$D:$D,0)),"")</f>
        <v/>
      </c>
      <c r="AE104" s="9" t="str">
        <f>IFERROR(INDEX(羁绊设计!$F:$F,MATCH(羁绊设计!CC104,羁绊设计!$D:$D,0)),"")</f>
        <v/>
      </c>
      <c r="AF104" s="9" t="str">
        <f>IFERROR(INDEX(羁绊设计!$F:$F,MATCH(羁绊设计!CD104,羁绊设计!$D:$D,0)),"")</f>
        <v/>
      </c>
      <c r="AG104" s="9" t="str">
        <f>IFERROR(INDEX(羁绊设计!$F:$F,MATCH(羁绊设计!CE104,羁绊设计!$D:$D,0)),"")</f>
        <v/>
      </c>
      <c r="AH104" s="9" t="str">
        <f>IFERROR(INDEX(羁绊设计!$F:$F,MATCH(羁绊设计!CF104,羁绊设计!$D:$D,0)),"")</f>
        <v/>
      </c>
      <c r="AJ104" s="9" t="str">
        <f>IFERROR(INDEX(羁绊设计!$F:$F,MATCH(羁绊设计!CH104,羁绊设计!$D:$D,0)),"")</f>
        <v/>
      </c>
      <c r="AK104" s="9" t="str">
        <f>IFERROR(INDEX(羁绊设计!$F:$F,MATCH(羁绊设计!CI104,羁绊设计!$D:$D,0)),"")</f>
        <v/>
      </c>
      <c r="AL104" s="9" t="str">
        <f>IFERROR(INDEX(羁绊设计!$F:$F,MATCH(羁绊设计!CJ104,羁绊设计!$D:$D,0)),"")</f>
        <v/>
      </c>
      <c r="AM104" s="9" t="str">
        <f>IFERROR(INDEX(羁绊设计!$F:$F,MATCH(羁绊设计!CK104,羁绊设计!$D:$D,0)),"")</f>
        <v/>
      </c>
      <c r="AO104" s="9" t="str">
        <f>IFERROR(INDEX(羁绊设计!$F:$F,MATCH(羁绊设计!CM104,羁绊设计!$D:$D,0)),"")</f>
        <v/>
      </c>
      <c r="AP104" s="9" t="str">
        <f>IFERROR(INDEX(羁绊设计!$F:$F,MATCH(羁绊设计!CN104,羁绊设计!$D:$D,0)),"")</f>
        <v/>
      </c>
      <c r="AQ104" s="9" t="str">
        <f>IFERROR(INDEX(羁绊设计!$F:$F,MATCH(羁绊设计!CO104,羁绊设计!$D:$D,0)),"")</f>
        <v/>
      </c>
      <c r="AR104" s="9" t="str">
        <f>IFERROR(INDEX(羁绊设计!$F:$F,MATCH(羁绊设计!CP104,羁绊设计!$D:$D,0)),"")</f>
        <v/>
      </c>
      <c r="AT104" s="9" t="str">
        <f>IFERROR(INDEX(羁绊设计!$F:$F,MATCH(羁绊设计!CR104,羁绊设计!$D:$D,0)),"")</f>
        <v/>
      </c>
      <c r="AU104" s="9" t="str">
        <f>IFERROR(INDEX(羁绊设计!$F:$F,MATCH(羁绊设计!CS104,羁绊设计!$D:$D,0)),"")</f>
        <v/>
      </c>
      <c r="AV104" s="9" t="str">
        <f>IFERROR(INDEX(羁绊设计!$F:$F,MATCH(羁绊设计!CT104,羁绊设计!$D:$D,0)),"")</f>
        <v/>
      </c>
      <c r="AW104" s="9" t="str">
        <f>IFERROR(INDEX(羁绊设计!$F:$F,MATCH(羁绊设计!CU104,羁绊设计!$D:$D,0)),"")</f>
        <v/>
      </c>
    </row>
    <row r="105" spans="2:49">
      <c r="B105" s="12" t="str">
        <f>羁绊设计!D105</f>
        <v>司马懿</v>
      </c>
      <c r="C105" s="7" t="str">
        <f t="shared" si="4"/>
        <v/>
      </c>
      <c r="D105" s="7" t="str">
        <f t="shared" si="4"/>
        <v/>
      </c>
      <c r="E105" s="7" t="str">
        <f t="shared" si="4"/>
        <v/>
      </c>
      <c r="F105" s="7" t="str">
        <f t="shared" si="4"/>
        <v/>
      </c>
      <c r="G105" s="7" t="str">
        <f t="shared" si="4"/>
        <v/>
      </c>
    </row>
    <row r="106" spans="2:49">
      <c r="B106" s="12">
        <f>羁绊设计!D106</f>
        <v>0</v>
      </c>
      <c r="C106" s="7" t="str">
        <f t="shared" si="4"/>
        <v/>
      </c>
      <c r="D106" s="7" t="str">
        <f t="shared" si="4"/>
        <v/>
      </c>
      <c r="E106" s="7" t="str">
        <f t="shared" si="4"/>
        <v/>
      </c>
      <c r="F106" s="7" t="str">
        <f t="shared" si="4"/>
        <v/>
      </c>
      <c r="G106" s="7" t="str">
        <f t="shared" si="4"/>
        <v/>
      </c>
    </row>
    <row r="107" spans="2:49">
      <c r="B107" s="12">
        <f>羁绊设计!D107</f>
        <v>0</v>
      </c>
      <c r="C107" s="7" t="str">
        <f t="shared" si="4"/>
        <v/>
      </c>
      <c r="D107" s="7" t="str">
        <f t="shared" si="4"/>
        <v/>
      </c>
      <c r="E107" s="7" t="str">
        <f t="shared" si="4"/>
        <v/>
      </c>
      <c r="F107" s="7" t="str">
        <f t="shared" si="4"/>
        <v/>
      </c>
      <c r="G107" s="7" t="str">
        <f t="shared" si="4"/>
        <v/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C1:G111"/>
  <sheetViews>
    <sheetView workbookViewId="0">
      <selection activeCell="G126" sqref="G126"/>
    </sheetView>
  </sheetViews>
  <sheetFormatPr defaultRowHeight="13.5" customHeight="1"/>
  <sheetData>
    <row r="1" spans="3:7" ht="13.5" customHeight="1">
      <c r="C1" t="s">
        <v>135</v>
      </c>
      <c r="D1" t="s">
        <v>63</v>
      </c>
      <c r="E1" t="s">
        <v>52</v>
      </c>
      <c r="F1" t="s">
        <v>62</v>
      </c>
      <c r="G1" t="s">
        <v>221</v>
      </c>
    </row>
    <row r="2" spans="3:7" ht="13.5" hidden="1" customHeight="1"/>
    <row r="3" spans="3:7" ht="13.5" hidden="1" customHeight="1">
      <c r="C3" t="s">
        <v>188</v>
      </c>
    </row>
    <row r="4" spans="3:7" ht="13.5" hidden="1" customHeight="1">
      <c r="C4" t="s">
        <v>188</v>
      </c>
    </row>
    <row r="5" spans="3:7" ht="13.5" hidden="1" customHeight="1">
      <c r="C5" t="s">
        <v>158</v>
      </c>
      <c r="D5" t="s">
        <v>74</v>
      </c>
      <c r="E5" t="s">
        <v>65</v>
      </c>
    </row>
    <row r="6" spans="3:7" ht="13.5" hidden="1" customHeight="1">
      <c r="C6" t="s">
        <v>188</v>
      </c>
    </row>
    <row r="7" spans="3:7" ht="13.5" hidden="1" customHeight="1">
      <c r="C7" t="s">
        <v>162</v>
      </c>
      <c r="D7" t="s">
        <v>84</v>
      </c>
      <c r="E7" t="s">
        <v>75</v>
      </c>
    </row>
    <row r="8" spans="3:7" ht="13.5" hidden="1" customHeight="1">
      <c r="C8" t="s">
        <v>188</v>
      </c>
    </row>
    <row r="9" spans="3:7" ht="13.5" hidden="1" customHeight="1">
      <c r="C9" t="s">
        <v>165</v>
      </c>
      <c r="D9" t="s">
        <v>75</v>
      </c>
      <c r="E9" t="s">
        <v>59</v>
      </c>
    </row>
    <row r="10" spans="3:7" ht="13.5" hidden="1" customHeight="1">
      <c r="C10" t="s">
        <v>188</v>
      </c>
    </row>
    <row r="11" spans="3:7" ht="13.5" hidden="1" customHeight="1">
      <c r="C11" t="s">
        <v>166</v>
      </c>
      <c r="D11" t="s">
        <v>92</v>
      </c>
      <c r="E11" t="s">
        <v>77</v>
      </c>
      <c r="F11" t="s">
        <v>71</v>
      </c>
    </row>
    <row r="12" spans="3:7" ht="13.5" hidden="1" customHeight="1">
      <c r="C12" t="s">
        <v>188</v>
      </c>
    </row>
    <row r="13" spans="3:7" ht="13.5" hidden="1" customHeight="1">
      <c r="C13" t="s">
        <v>188</v>
      </c>
    </row>
    <row r="14" spans="3:7" ht="13.5" hidden="1" customHeight="1">
      <c r="C14" t="s">
        <v>144</v>
      </c>
      <c r="D14" t="s">
        <v>191</v>
      </c>
      <c r="E14" t="s">
        <v>52</v>
      </c>
    </row>
    <row r="15" spans="3:7" ht="13.5" hidden="1" customHeight="1">
      <c r="C15" t="s">
        <v>188</v>
      </c>
    </row>
    <row r="16" spans="3:7" ht="13.5" hidden="1" customHeight="1">
      <c r="C16" t="s">
        <v>133</v>
      </c>
      <c r="D16" t="s">
        <v>50</v>
      </c>
      <c r="E16" t="s">
        <v>76</v>
      </c>
      <c r="F16" t="s">
        <v>58</v>
      </c>
    </row>
    <row r="17" spans="3:7" ht="13.5" hidden="1" customHeight="1">
      <c r="C17" t="s">
        <v>188</v>
      </c>
    </row>
    <row r="18" spans="3:7" ht="13.5" hidden="1" customHeight="1">
      <c r="C18" t="s">
        <v>188</v>
      </c>
    </row>
    <row r="19" spans="3:7" ht="13.5" customHeight="1">
      <c r="C19" t="s">
        <v>167</v>
      </c>
      <c r="D19" t="s">
        <v>50</v>
      </c>
      <c r="E19" t="s">
        <v>52</v>
      </c>
      <c r="F19" t="s">
        <v>62</v>
      </c>
      <c r="G19" t="s">
        <v>76</v>
      </c>
    </row>
    <row r="20" spans="3:7" ht="13.5" hidden="1" customHeight="1">
      <c r="C20" t="s">
        <v>188</v>
      </c>
    </row>
    <row r="21" spans="3:7" ht="13.5" hidden="1" customHeight="1">
      <c r="C21" t="s">
        <v>188</v>
      </c>
    </row>
    <row r="22" spans="3:7" ht="13.5" hidden="1" customHeight="1"/>
    <row r="23" spans="3:7" ht="13.5" hidden="1" customHeight="1">
      <c r="C23" t="s">
        <v>168</v>
      </c>
      <c r="D23" t="s">
        <v>84</v>
      </c>
      <c r="E23" t="s">
        <v>66</v>
      </c>
    </row>
    <row r="24" spans="3:7" ht="13.5" hidden="1" customHeight="1">
      <c r="C24" t="s">
        <v>188</v>
      </c>
    </row>
    <row r="25" spans="3:7" ht="13.5" hidden="1" customHeight="1">
      <c r="C25" t="s">
        <v>147</v>
      </c>
      <c r="D25" t="s">
        <v>68</v>
      </c>
      <c r="E25" t="s">
        <v>111</v>
      </c>
      <c r="F25" t="s">
        <v>67</v>
      </c>
    </row>
    <row r="26" spans="3:7" ht="13.5" hidden="1" customHeight="1">
      <c r="C26" t="s">
        <v>188</v>
      </c>
    </row>
    <row r="27" spans="3:7" ht="13.5" hidden="1" customHeight="1">
      <c r="C27" t="s">
        <v>188</v>
      </c>
    </row>
    <row r="28" spans="3:7" ht="13.5" hidden="1" customHeight="1">
      <c r="C28" t="s">
        <v>134</v>
      </c>
      <c r="D28" t="s">
        <v>51</v>
      </c>
      <c r="E28" t="s">
        <v>46</v>
      </c>
    </row>
    <row r="29" spans="3:7" ht="13.5" hidden="1" customHeight="1">
      <c r="C29" t="s">
        <v>188</v>
      </c>
    </row>
    <row r="30" spans="3:7" ht="13.5" hidden="1" customHeight="1">
      <c r="C30" t="s">
        <v>188</v>
      </c>
    </row>
    <row r="31" spans="3:7" ht="13.5" hidden="1" customHeight="1">
      <c r="C31" t="s">
        <v>161</v>
      </c>
      <c r="D31" t="s">
        <v>58</v>
      </c>
      <c r="E31" t="s">
        <v>72</v>
      </c>
    </row>
    <row r="32" spans="3:7" ht="13.5" hidden="1" customHeight="1">
      <c r="C32" t="s">
        <v>188</v>
      </c>
    </row>
    <row r="33" spans="3:6" ht="13.5" hidden="1" customHeight="1">
      <c r="C33" t="s">
        <v>151</v>
      </c>
      <c r="D33" t="s">
        <v>59</v>
      </c>
      <c r="E33" t="s">
        <v>112</v>
      </c>
      <c r="F33" t="s">
        <v>87</v>
      </c>
    </row>
    <row r="34" spans="3:6" ht="13.5" hidden="1" customHeight="1">
      <c r="C34" t="s">
        <v>188</v>
      </c>
    </row>
    <row r="35" spans="3:6" ht="13.5" hidden="1" customHeight="1">
      <c r="C35" t="s">
        <v>188</v>
      </c>
    </row>
    <row r="36" spans="3:6" ht="13.5" hidden="1" customHeight="1">
      <c r="C36" t="s">
        <v>155</v>
      </c>
      <c r="D36" t="s">
        <v>87</v>
      </c>
      <c r="E36" t="s">
        <v>156</v>
      </c>
    </row>
    <row r="37" spans="3:6" ht="13.5" hidden="1" customHeight="1">
      <c r="C37" t="s">
        <v>188</v>
      </c>
    </row>
    <row r="38" spans="3:6" ht="13.5" hidden="1" customHeight="1">
      <c r="C38" t="s">
        <v>148</v>
      </c>
      <c r="D38" t="s">
        <v>71</v>
      </c>
      <c r="E38" t="s">
        <v>196</v>
      </c>
    </row>
    <row r="39" spans="3:6" ht="13.5" hidden="1" customHeight="1">
      <c r="C39" t="s">
        <v>188</v>
      </c>
    </row>
    <row r="40" spans="3:6" ht="13.5" hidden="1" customHeight="1">
      <c r="C40" t="s">
        <v>163</v>
      </c>
      <c r="D40" t="s">
        <v>59</v>
      </c>
      <c r="E40" t="s">
        <v>61</v>
      </c>
    </row>
    <row r="41" spans="3:6" ht="13.5" hidden="1" customHeight="1">
      <c r="C41" t="s">
        <v>188</v>
      </c>
    </row>
    <row r="42" spans="3:6" ht="13.5" hidden="1" customHeight="1">
      <c r="C42" t="s">
        <v>169</v>
      </c>
      <c r="D42" t="s">
        <v>111</v>
      </c>
      <c r="E42" t="s">
        <v>184</v>
      </c>
    </row>
    <row r="43" spans="3:6" ht="13.5" hidden="1" customHeight="1">
      <c r="C43" t="s">
        <v>188</v>
      </c>
    </row>
    <row r="44" spans="3:6" ht="13.5" hidden="1" customHeight="1">
      <c r="C44" t="s">
        <v>145</v>
      </c>
      <c r="D44" t="s">
        <v>60</v>
      </c>
      <c r="E44" t="s">
        <v>191</v>
      </c>
    </row>
    <row r="45" spans="3:6" ht="13.5" hidden="1" customHeight="1">
      <c r="C45" t="s">
        <v>188</v>
      </c>
    </row>
    <row r="46" spans="3:6" ht="13.5" hidden="1" customHeight="1">
      <c r="C46" t="s">
        <v>170</v>
      </c>
      <c r="D46" t="s">
        <v>87</v>
      </c>
      <c r="E46" t="s">
        <v>60</v>
      </c>
    </row>
    <row r="47" spans="3:6" ht="13.5" hidden="1" customHeight="1">
      <c r="C47" t="s">
        <v>188</v>
      </c>
    </row>
    <row r="48" spans="3:6" ht="13.5" hidden="1" customHeight="1">
      <c r="C48" t="s">
        <v>153</v>
      </c>
      <c r="D48" t="s">
        <v>154</v>
      </c>
      <c r="E48" t="s">
        <v>60</v>
      </c>
    </row>
    <row r="49" spans="3:6" ht="13.5" hidden="1" customHeight="1">
      <c r="C49" t="s">
        <v>188</v>
      </c>
    </row>
    <row r="50" spans="3:6" ht="13.5" hidden="1" customHeight="1">
      <c r="C50" t="s">
        <v>146</v>
      </c>
      <c r="D50" t="s">
        <v>184</v>
      </c>
      <c r="E50" t="s">
        <v>85</v>
      </c>
      <c r="F50" t="s">
        <v>191</v>
      </c>
    </row>
    <row r="51" spans="3:6" ht="13.5" hidden="1" customHeight="1">
      <c r="C51" t="s">
        <v>188</v>
      </c>
    </row>
    <row r="52" spans="3:6" ht="13.5" hidden="1" customHeight="1">
      <c r="C52" t="s">
        <v>188</v>
      </c>
    </row>
    <row r="53" spans="3:6" ht="13.5" hidden="1" customHeight="1">
      <c r="C53" t="s">
        <v>171</v>
      </c>
      <c r="D53" t="s">
        <v>65</v>
      </c>
      <c r="E53" t="s">
        <v>70</v>
      </c>
      <c r="F53" t="s">
        <v>196</v>
      </c>
    </row>
    <row r="54" spans="3:6" ht="13.5" hidden="1" customHeight="1">
      <c r="C54" t="s">
        <v>188</v>
      </c>
    </row>
    <row r="55" spans="3:6" ht="13.5" hidden="1" customHeight="1">
      <c r="C55" t="s">
        <v>188</v>
      </c>
    </row>
    <row r="56" spans="3:6" ht="13.5" hidden="1" customHeight="1">
      <c r="C56" t="s">
        <v>227</v>
      </c>
      <c r="D56" t="s">
        <v>64</v>
      </c>
      <c r="E56" t="s">
        <v>70</v>
      </c>
    </row>
    <row r="57" spans="3:6" ht="13.5" hidden="1" customHeight="1">
      <c r="C57" t="s">
        <v>188</v>
      </c>
    </row>
    <row r="58" spans="3:6" ht="13.5" hidden="1" customHeight="1">
      <c r="C58" t="s">
        <v>149</v>
      </c>
      <c r="D58" t="s">
        <v>184</v>
      </c>
      <c r="E58" t="s">
        <v>92</v>
      </c>
    </row>
    <row r="59" spans="3:6" ht="13.5" hidden="1" customHeight="1">
      <c r="C59" t="s">
        <v>188</v>
      </c>
    </row>
    <row r="60" spans="3:6" ht="13.5" hidden="1" customHeight="1">
      <c r="C60" t="s">
        <v>150</v>
      </c>
      <c r="D60" t="s">
        <v>82</v>
      </c>
      <c r="E60" t="s">
        <v>72</v>
      </c>
      <c r="F60" t="s">
        <v>64</v>
      </c>
    </row>
    <row r="61" spans="3:6" ht="13.5" hidden="1" customHeight="1">
      <c r="C61" t="s">
        <v>188</v>
      </c>
    </row>
    <row r="62" spans="3:6" ht="13.5" hidden="1" customHeight="1">
      <c r="C62" t="s">
        <v>188</v>
      </c>
    </row>
    <row r="63" spans="3:6" ht="13.5" hidden="1" customHeight="1">
      <c r="C63" t="s">
        <v>164</v>
      </c>
      <c r="D63" t="s">
        <v>64</v>
      </c>
      <c r="E63" t="s">
        <v>97</v>
      </c>
    </row>
    <row r="64" spans="3:6" ht="13.5" hidden="1" customHeight="1">
      <c r="C64" t="s">
        <v>188</v>
      </c>
    </row>
    <row r="65" spans="3:6" ht="13.5" hidden="1" customHeight="1">
      <c r="C65" t="s">
        <v>157</v>
      </c>
      <c r="D65" t="s">
        <v>82</v>
      </c>
      <c r="E65" t="s">
        <v>112</v>
      </c>
    </row>
    <row r="66" spans="3:6" ht="13.5" hidden="1" customHeight="1">
      <c r="C66" t="s">
        <v>188</v>
      </c>
    </row>
    <row r="67" spans="3:6" ht="13.5" hidden="1" customHeight="1">
      <c r="C67" t="s">
        <v>172</v>
      </c>
      <c r="D67" t="s">
        <v>112</v>
      </c>
      <c r="E67" t="s">
        <v>77</v>
      </c>
    </row>
    <row r="68" spans="3:6" ht="13.5" hidden="1" customHeight="1">
      <c r="C68" t="s">
        <v>188</v>
      </c>
    </row>
    <row r="69" spans="3:6" ht="13.5" hidden="1" customHeight="1">
      <c r="C69" t="s">
        <v>152</v>
      </c>
      <c r="D69" t="s">
        <v>186</v>
      </c>
      <c r="E69" t="s">
        <v>66</v>
      </c>
      <c r="F69" t="s">
        <v>53</v>
      </c>
    </row>
    <row r="70" spans="3:6" ht="13.5" hidden="1" customHeight="1">
      <c r="C70" t="s">
        <v>188</v>
      </c>
    </row>
    <row r="71" spans="3:6" ht="13.5" hidden="1" customHeight="1">
      <c r="C71" t="s">
        <v>188</v>
      </c>
    </row>
    <row r="72" spans="3:6" ht="13.5" hidden="1" customHeight="1">
      <c r="C72" t="s">
        <v>173</v>
      </c>
      <c r="D72" t="s">
        <v>46</v>
      </c>
      <c r="E72" t="s">
        <v>85</v>
      </c>
    </row>
    <row r="73" spans="3:6" ht="13.5" hidden="1" customHeight="1">
      <c r="C73" t="s">
        <v>188</v>
      </c>
    </row>
    <row r="74" spans="3:6" ht="13.5" hidden="1" customHeight="1">
      <c r="C74" t="s">
        <v>174</v>
      </c>
      <c r="D74" t="s">
        <v>58</v>
      </c>
      <c r="E74" t="s">
        <v>46</v>
      </c>
    </row>
    <row r="75" spans="3:6" ht="13.5" hidden="1" customHeight="1">
      <c r="C75" t="s">
        <v>188</v>
      </c>
    </row>
    <row r="76" spans="3:6" ht="13.5" hidden="1" customHeight="1">
      <c r="C76" t="s">
        <v>175</v>
      </c>
      <c r="D76" t="s">
        <v>61</v>
      </c>
      <c r="E76" t="s">
        <v>53</v>
      </c>
      <c r="F76" t="s">
        <v>97</v>
      </c>
    </row>
    <row r="77" spans="3:6" ht="13.5" hidden="1" customHeight="1">
      <c r="C77" t="s">
        <v>188</v>
      </c>
    </row>
    <row r="78" spans="3:6" ht="13.5" hidden="1" customHeight="1">
      <c r="C78" t="s">
        <v>188</v>
      </c>
    </row>
    <row r="79" spans="3:6" ht="13.5" hidden="1" customHeight="1">
      <c r="C79" t="s">
        <v>176</v>
      </c>
      <c r="D79" t="s">
        <v>53</v>
      </c>
      <c r="E79" t="s">
        <v>51</v>
      </c>
    </row>
    <row r="80" spans="3:6" ht="13.5" hidden="1" customHeight="1">
      <c r="C80" t="s">
        <v>188</v>
      </c>
    </row>
    <row r="81" spans="3:5" ht="13.5" hidden="1" customHeight="1">
      <c r="C81" t="s">
        <v>177</v>
      </c>
      <c r="D81" t="s">
        <v>186</v>
      </c>
      <c r="E81" t="s">
        <v>196</v>
      </c>
    </row>
    <row r="82" spans="3:5" ht="13.5" hidden="1" customHeight="1">
      <c r="C82" t="s">
        <v>188</v>
      </c>
    </row>
    <row r="83" spans="3:5" ht="13.5" hidden="1" customHeight="1">
      <c r="C83" t="s">
        <v>178</v>
      </c>
      <c r="D83" t="s">
        <v>68</v>
      </c>
      <c r="E83" t="s">
        <v>76</v>
      </c>
    </row>
    <row r="84" spans="3:5" ht="13.5" hidden="1" customHeight="1">
      <c r="C84" t="s">
        <v>188</v>
      </c>
    </row>
    <row r="85" spans="3:5" ht="13.5" hidden="1" customHeight="1">
      <c r="C85" t="s">
        <v>179</v>
      </c>
      <c r="D85" t="s">
        <v>72</v>
      </c>
      <c r="E85" t="s">
        <v>62</v>
      </c>
    </row>
    <row r="86" spans="3:5" ht="13.5" hidden="1" customHeight="1">
      <c r="C86" t="s">
        <v>188</v>
      </c>
    </row>
    <row r="87" spans="3:5" ht="13.5" hidden="1" customHeight="1">
      <c r="C87" t="s">
        <v>180</v>
      </c>
      <c r="D87" t="s">
        <v>154</v>
      </c>
      <c r="E87" t="s">
        <v>85</v>
      </c>
    </row>
    <row r="88" spans="3:5" ht="13.5" hidden="1" customHeight="1">
      <c r="C88" t="s">
        <v>188</v>
      </c>
    </row>
    <row r="89" spans="3:5" ht="13.5" hidden="1" customHeight="1">
      <c r="C89" t="s">
        <v>160</v>
      </c>
      <c r="D89" t="s">
        <v>67</v>
      </c>
      <c r="E89" t="s">
        <v>70</v>
      </c>
    </row>
    <row r="90" spans="3:5" ht="13.5" hidden="1" customHeight="1">
      <c r="C90" t="s">
        <v>188</v>
      </c>
    </row>
    <row r="91" spans="3:5" ht="13.5" hidden="1" customHeight="1">
      <c r="C91" t="s">
        <v>181</v>
      </c>
      <c r="D91" t="s">
        <v>97</v>
      </c>
      <c r="E91" t="s">
        <v>156</v>
      </c>
    </row>
    <row r="92" spans="3:5" ht="13.5" hidden="1" customHeight="1">
      <c r="C92" t="s">
        <v>188</v>
      </c>
    </row>
    <row r="93" spans="3:5" ht="13.5" hidden="1" customHeight="1">
      <c r="C93" t="s">
        <v>228</v>
      </c>
      <c r="D93" t="s">
        <v>82</v>
      </c>
      <c r="E93" t="s">
        <v>65</v>
      </c>
    </row>
    <row r="94" spans="3:5" ht="13.5" hidden="1" customHeight="1">
      <c r="C94" t="s">
        <v>188</v>
      </c>
    </row>
    <row r="95" spans="3:5" ht="13.5" hidden="1" customHeight="1">
      <c r="C95" t="s">
        <v>229</v>
      </c>
      <c r="D95" t="s">
        <v>84</v>
      </c>
      <c r="E95" t="s">
        <v>71</v>
      </c>
    </row>
    <row r="96" spans="3:5" ht="13.5" hidden="1" customHeight="1">
      <c r="C96" t="s">
        <v>188</v>
      </c>
    </row>
    <row r="97" spans="3:5" ht="13.5" hidden="1" customHeight="1">
      <c r="C97" t="s">
        <v>225</v>
      </c>
      <c r="D97" t="s">
        <v>221</v>
      </c>
      <c r="E97" t="s">
        <v>68</v>
      </c>
    </row>
    <row r="98" spans="3:5" ht="13.5" hidden="1" customHeight="1">
      <c r="C98" t="s">
        <v>188</v>
      </c>
    </row>
    <row r="99" spans="3:5" ht="13.5" hidden="1" customHeight="1"/>
    <row r="100" spans="3:5" ht="13.5" hidden="1" customHeight="1"/>
    <row r="101" spans="3:5" ht="13.5" hidden="1" customHeight="1"/>
    <row r="102" spans="3:5" ht="13.5" hidden="1" customHeight="1"/>
    <row r="103" spans="3:5" ht="13.5" hidden="1" customHeight="1"/>
    <row r="104" spans="3:5" ht="13.5" hidden="1" customHeight="1"/>
    <row r="105" spans="3:5" ht="13.5" hidden="1" customHeight="1"/>
    <row r="106" spans="3:5" ht="13.5" hidden="1" customHeight="1"/>
    <row r="107" spans="3:5" ht="13.5" hidden="1" customHeight="1"/>
    <row r="108" spans="3:5" ht="13.5" hidden="1" customHeight="1"/>
    <row r="109" spans="3:5" ht="13.5" hidden="1" customHeight="1"/>
    <row r="110" spans="3:5" ht="13.5" hidden="1" customHeight="1"/>
    <row r="111" spans="3:5" ht="13.5" hidden="1" customHeight="1"/>
  </sheetData>
  <autoFilter ref="C1:G111" xr:uid="{00000000-0009-0000-0000-000003000000}">
    <filterColumn colId="0">
      <customFilters>
        <customFilter operator="notEqual" val=" "/>
      </customFilters>
    </filterColumn>
    <filterColumn colId="3">
      <customFilters>
        <customFilter operator="notEqual" val=" "/>
      </customFilters>
    </filterColumn>
    <filterColumn colId="4">
      <customFilters>
        <customFilter operator="notEqual" val=" "/>
      </customFilters>
    </filterColumn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B1:M124"/>
  <sheetViews>
    <sheetView topLeftCell="A74" workbookViewId="0">
      <selection activeCell="H36" sqref="H36"/>
    </sheetView>
  </sheetViews>
  <sheetFormatPr defaultRowHeight="13.5"/>
  <sheetData>
    <row r="1" spans="2:13">
      <c r="E1">
        <v>1</v>
      </c>
      <c r="F1">
        <v>2</v>
      </c>
      <c r="G1">
        <v>3</v>
      </c>
    </row>
    <row r="2" spans="2:13">
      <c r="B2">
        <v>1</v>
      </c>
      <c r="C2" t="s">
        <v>187</v>
      </c>
      <c r="E2" t="s">
        <v>63</v>
      </c>
      <c r="F2" t="s">
        <v>52</v>
      </c>
      <c r="G2" t="s">
        <v>62</v>
      </c>
      <c r="I2">
        <f>COUNTIF($J$2:J2,1)</f>
        <v>1</v>
      </c>
      <c r="J2">
        <v>1</v>
      </c>
      <c r="K2" t="str">
        <f t="shared" ref="K2:K33" ca="1" si="0">OFFSET($D$1,I2,J2)</f>
        <v>朱亥</v>
      </c>
      <c r="M2" t="str">
        <f>IF(J2=1,INDEX($C$2:C42,I2),"")</f>
        <v>敢死之士</v>
      </c>
    </row>
    <row r="3" spans="2:13">
      <c r="B3">
        <v>2</v>
      </c>
      <c r="C3" t="s">
        <v>158</v>
      </c>
      <c r="E3" t="s">
        <v>74</v>
      </c>
      <c r="F3" t="s">
        <v>65</v>
      </c>
      <c r="I3">
        <f>COUNTIF($J$2:J3,1)</f>
        <v>1</v>
      </c>
      <c r="J3">
        <v>2</v>
      </c>
      <c r="K3" t="str">
        <f t="shared" ca="1" si="0"/>
        <v>专诸</v>
      </c>
      <c r="M3" t="str">
        <f>IF(J3=1,INDEX($C$2:C43,I3),"")</f>
        <v/>
      </c>
    </row>
    <row r="4" spans="2:13">
      <c r="B4">
        <v>3</v>
      </c>
      <c r="C4" t="s">
        <v>162</v>
      </c>
      <c r="E4" t="s">
        <v>84</v>
      </c>
      <c r="F4" t="s">
        <v>75</v>
      </c>
      <c r="I4">
        <f>COUNTIF($J$2:J4,1)</f>
        <v>1</v>
      </c>
      <c r="J4">
        <v>3</v>
      </c>
      <c r="K4" t="str">
        <f t="shared" ca="1" si="0"/>
        <v>荆轲</v>
      </c>
      <c r="M4" t="str">
        <f>IF(J4=1,INDEX($C$2:C44,I4),"")</f>
        <v/>
      </c>
    </row>
    <row r="5" spans="2:13">
      <c r="B5">
        <v>4</v>
      </c>
      <c r="C5" s="17" t="s">
        <v>165</v>
      </c>
      <c r="E5" t="s">
        <v>75</v>
      </c>
      <c r="F5" t="s">
        <v>59</v>
      </c>
      <c r="I5">
        <f>COUNTIF($J$2:J5,1)</f>
        <v>2</v>
      </c>
      <c r="J5">
        <v>1</v>
      </c>
      <c r="K5" t="str">
        <f t="shared" ca="1" si="0"/>
        <v>嫪毐</v>
      </c>
      <c r="M5" t="str">
        <f>IF(J5=1,INDEX($C$2:C45,I5),"")</f>
        <v>进献奇人</v>
      </c>
    </row>
    <row r="6" spans="2:13">
      <c r="B6">
        <v>5</v>
      </c>
      <c r="C6" t="s">
        <v>166</v>
      </c>
      <c r="E6" t="s">
        <v>92</v>
      </c>
      <c r="F6" t="s">
        <v>77</v>
      </c>
      <c r="G6" t="s">
        <v>71</v>
      </c>
      <c r="I6">
        <f>COUNTIF($J$2:J6,1)</f>
        <v>2</v>
      </c>
      <c r="J6">
        <v>2</v>
      </c>
      <c r="K6" t="str">
        <f t="shared" ca="1" si="0"/>
        <v>吕不韦</v>
      </c>
      <c r="M6" t="str">
        <f>IF(J6=1,INDEX($C$2:C46,I6),"")</f>
        <v/>
      </c>
    </row>
    <row r="7" spans="2:13" hidden="1">
      <c r="B7">
        <v>6</v>
      </c>
      <c r="C7" s="17" t="s">
        <v>144</v>
      </c>
      <c r="E7" t="s">
        <v>183</v>
      </c>
      <c r="F7" t="s">
        <v>52</v>
      </c>
      <c r="I7">
        <f>COUNTIF($J$2:J7,1)</f>
        <v>2</v>
      </c>
      <c r="J7">
        <v>3</v>
      </c>
      <c r="K7">
        <f t="shared" ca="1" si="0"/>
        <v>0</v>
      </c>
      <c r="M7" t="str">
        <f>IF(J7=1,INDEX(C7:C47,I7),"")</f>
        <v/>
      </c>
    </row>
    <row r="8" spans="2:13">
      <c r="B8">
        <v>7</v>
      </c>
      <c r="C8" t="s">
        <v>133</v>
      </c>
      <c r="E8" t="s">
        <v>50</v>
      </c>
      <c r="F8" t="s">
        <v>76</v>
      </c>
      <c r="G8" t="s">
        <v>58</v>
      </c>
      <c r="I8">
        <f>COUNTIF($J$2:J8,1)</f>
        <v>3</v>
      </c>
      <c r="J8">
        <v>1</v>
      </c>
      <c r="K8" t="str">
        <f t="shared" ca="1" si="0"/>
        <v>孙膑</v>
      </c>
      <c r="M8" t="str">
        <f>IF(J8=1,INDEX($C$2:C48,I8),"")</f>
        <v>田忌赛马</v>
      </c>
    </row>
    <row r="9" spans="2:13">
      <c r="B9">
        <v>8</v>
      </c>
      <c r="C9" s="17" t="s">
        <v>167</v>
      </c>
      <c r="E9" t="s">
        <v>50</v>
      </c>
      <c r="F9" t="s">
        <v>52</v>
      </c>
      <c r="G9" t="s">
        <v>62</v>
      </c>
      <c r="I9">
        <f>COUNTIF($J$2:J9,1)</f>
        <v>3</v>
      </c>
      <c r="J9">
        <v>2</v>
      </c>
      <c r="K9" t="str">
        <f t="shared" ca="1" si="0"/>
        <v>田忌</v>
      </c>
      <c r="M9" t="str">
        <f>IF(J9=1,INDEX($C$2:C49,I9),"")</f>
        <v/>
      </c>
    </row>
    <row r="10" spans="2:13" hidden="1">
      <c r="B10">
        <v>9</v>
      </c>
      <c r="C10" t="s">
        <v>168</v>
      </c>
      <c r="E10" t="s">
        <v>84</v>
      </c>
      <c r="F10" t="s">
        <v>66</v>
      </c>
      <c r="I10">
        <f>COUNTIF($J$2:J10,1)</f>
        <v>3</v>
      </c>
      <c r="J10">
        <v>3</v>
      </c>
      <c r="K10">
        <f t="shared" ca="1" si="0"/>
        <v>0</v>
      </c>
      <c r="M10" t="str">
        <f>IF(J10=1,INDEX(C10:C50,I10),"")</f>
        <v/>
      </c>
    </row>
    <row r="11" spans="2:13">
      <c r="B11">
        <v>10</v>
      </c>
      <c r="C11" s="17" t="s">
        <v>147</v>
      </c>
      <c r="E11" t="s">
        <v>68</v>
      </c>
      <c r="F11" t="s">
        <v>111</v>
      </c>
      <c r="G11" t="s">
        <v>84</v>
      </c>
      <c r="I11">
        <f>COUNTIF($J$2:J11,1)</f>
        <v>4</v>
      </c>
      <c r="J11">
        <v>1</v>
      </c>
      <c r="K11" t="str">
        <f t="shared" ca="1" si="0"/>
        <v>田忌</v>
      </c>
      <c r="M11" t="str">
        <f>IF(J11=1,INDEX($C$2:C51,I11),"")</f>
        <v>齐国宗室</v>
      </c>
    </row>
    <row r="12" spans="2:13">
      <c r="B12">
        <v>11</v>
      </c>
      <c r="C12" s="17" t="s">
        <v>134</v>
      </c>
      <c r="E12" t="s">
        <v>79</v>
      </c>
      <c r="F12" t="s">
        <v>46</v>
      </c>
      <c r="G12" t="s">
        <v>51</v>
      </c>
      <c r="I12">
        <f>COUNTIF($J$2:J12,1)</f>
        <v>4</v>
      </c>
      <c r="J12">
        <v>2</v>
      </c>
      <c r="K12" t="str">
        <f t="shared" ca="1" si="0"/>
        <v>田单</v>
      </c>
      <c r="M12" t="str">
        <f>IF(J12=1,INDEX($C$2:C52,I12),"")</f>
        <v/>
      </c>
    </row>
    <row r="13" spans="2:13" hidden="1">
      <c r="B13">
        <v>12</v>
      </c>
      <c r="C13" t="s">
        <v>161</v>
      </c>
      <c r="E13" t="s">
        <v>58</v>
      </c>
      <c r="F13" t="s">
        <v>72</v>
      </c>
      <c r="I13">
        <f>COUNTIF($J$2:J13,1)</f>
        <v>4</v>
      </c>
      <c r="J13">
        <v>3</v>
      </c>
      <c r="K13">
        <f t="shared" ca="1" si="0"/>
        <v>0</v>
      </c>
      <c r="M13" t="str">
        <f>IF(J13=1,INDEX(C13:C53,I13),"")</f>
        <v/>
      </c>
    </row>
    <row r="14" spans="2:13">
      <c r="B14">
        <v>13</v>
      </c>
      <c r="C14" t="s">
        <v>151</v>
      </c>
      <c r="E14" t="s">
        <v>59</v>
      </c>
      <c r="F14" t="s">
        <v>112</v>
      </c>
      <c r="G14" t="s">
        <v>87</v>
      </c>
      <c r="I14">
        <f>COUNTIF($J$2:J14,1)</f>
        <v>5</v>
      </c>
      <c r="J14">
        <v>1</v>
      </c>
      <c r="K14" t="str">
        <f t="shared" ca="1" si="0"/>
        <v>孙叔敖</v>
      </c>
      <c r="M14" t="str">
        <f>IF(J14=1,INDEX($C$2:C54,I14),"")</f>
        <v>治水修渠</v>
      </c>
    </row>
    <row r="15" spans="2:13">
      <c r="B15">
        <v>14</v>
      </c>
      <c r="C15" t="s">
        <v>155</v>
      </c>
      <c r="E15" t="s">
        <v>87</v>
      </c>
      <c r="F15" t="s">
        <v>156</v>
      </c>
      <c r="I15">
        <f>COUNTIF($J$2:J15,1)</f>
        <v>5</v>
      </c>
      <c r="J15">
        <v>2</v>
      </c>
      <c r="K15" t="str">
        <f t="shared" ca="1" si="0"/>
        <v>西门豹</v>
      </c>
      <c r="M15" t="str">
        <f>IF(J15=1,INDEX($C$2:C55,I15),"")</f>
        <v/>
      </c>
    </row>
    <row r="16" spans="2:13">
      <c r="B16">
        <v>15</v>
      </c>
      <c r="C16" t="s">
        <v>148</v>
      </c>
      <c r="E16" t="s">
        <v>71</v>
      </c>
      <c r="F16" t="s">
        <v>47</v>
      </c>
      <c r="I16">
        <f>COUNTIF($J$2:J16,1)</f>
        <v>5</v>
      </c>
      <c r="J16">
        <v>3</v>
      </c>
      <c r="K16" t="str">
        <f t="shared" ca="1" si="0"/>
        <v>伍子胥</v>
      </c>
      <c r="M16" t="str">
        <f>IF(J16=1,INDEX($C$2:C56,I16),"")</f>
        <v/>
      </c>
    </row>
    <row r="17" spans="2:13">
      <c r="B17">
        <v>16</v>
      </c>
      <c r="C17" s="17" t="s">
        <v>163</v>
      </c>
      <c r="E17" t="s">
        <v>59</v>
      </c>
      <c r="F17" t="s">
        <v>61</v>
      </c>
      <c r="I17">
        <f>COUNTIF($J$2:J17,1)</f>
        <v>6</v>
      </c>
      <c r="J17">
        <v>1</v>
      </c>
      <c r="K17" t="str">
        <f t="shared" ca="1" si="0"/>
        <v>赢荡</v>
      </c>
      <c r="M17" t="str">
        <f>IF(J17=1,INDEX($C$2:C57,I17),"")</f>
        <v>力敌万夫</v>
      </c>
    </row>
    <row r="18" spans="2:13">
      <c r="B18">
        <v>17</v>
      </c>
      <c r="C18" t="s">
        <v>169</v>
      </c>
      <c r="E18" t="s">
        <v>111</v>
      </c>
      <c r="F18" t="s">
        <v>184</v>
      </c>
      <c r="I18">
        <f>COUNTIF($J$2:J18,1)</f>
        <v>6</v>
      </c>
      <c r="J18">
        <v>2</v>
      </c>
      <c r="K18" t="str">
        <f t="shared" ca="1" si="0"/>
        <v>专诸</v>
      </c>
      <c r="M18" t="str">
        <f>IF(J18=1,INDEX($C$2:C58,I18),"")</f>
        <v/>
      </c>
    </row>
    <row r="19" spans="2:13" hidden="1">
      <c r="B19">
        <v>18</v>
      </c>
      <c r="C19" t="s">
        <v>145</v>
      </c>
      <c r="E19" t="s">
        <v>60</v>
      </c>
      <c r="F19" t="s">
        <v>183</v>
      </c>
      <c r="I19">
        <f>COUNTIF($J$2:J19,1)</f>
        <v>6</v>
      </c>
      <c r="J19">
        <v>3</v>
      </c>
      <c r="K19">
        <f t="shared" ca="1" si="0"/>
        <v>0</v>
      </c>
      <c r="M19" t="str">
        <f>IF(J19=1,INDEX(C19:C59,I19),"")</f>
        <v/>
      </c>
    </row>
    <row r="20" spans="2:13">
      <c r="B20">
        <v>19</v>
      </c>
      <c r="C20" t="s">
        <v>170</v>
      </c>
      <c r="E20" t="s">
        <v>87</v>
      </c>
      <c r="F20" t="s">
        <v>60</v>
      </c>
      <c r="I20">
        <f>COUNTIF($J$2:J20,1)</f>
        <v>7</v>
      </c>
      <c r="J20">
        <v>1</v>
      </c>
      <c r="K20" t="str">
        <f t="shared" ca="1" si="0"/>
        <v>聂荌</v>
      </c>
      <c r="M20" t="str">
        <f>IF(J20=1,INDEX($C$2:C60,I20),"")</f>
        <v>女中豪杰</v>
      </c>
    </row>
    <row r="21" spans="2:13">
      <c r="B21">
        <v>20</v>
      </c>
      <c r="C21" s="17" t="s">
        <v>153</v>
      </c>
      <c r="E21" t="s">
        <v>154</v>
      </c>
      <c r="F21" t="s">
        <v>60</v>
      </c>
      <c r="I21">
        <f>COUNTIF($J$2:J21,1)</f>
        <v>7</v>
      </c>
      <c r="J21">
        <v>2</v>
      </c>
      <c r="K21" t="str">
        <f t="shared" ca="1" si="0"/>
        <v>莫邪</v>
      </c>
      <c r="M21" t="str">
        <f>IF(J21=1,INDEX($C$2:C61,I21),"")</f>
        <v/>
      </c>
    </row>
    <row r="22" spans="2:13">
      <c r="B22">
        <v>21</v>
      </c>
      <c r="C22" t="s">
        <v>146</v>
      </c>
      <c r="E22" t="s">
        <v>184</v>
      </c>
      <c r="F22" t="s">
        <v>85</v>
      </c>
      <c r="G22" t="s">
        <v>183</v>
      </c>
      <c r="I22">
        <f>COUNTIF($J$2:J22,1)</f>
        <v>7</v>
      </c>
      <c r="J22">
        <v>3</v>
      </c>
      <c r="K22" t="str">
        <f t="shared" ca="1" si="0"/>
        <v>钟无艳</v>
      </c>
      <c r="M22" t="str">
        <f>IF(J22=1,INDEX($C$2:C62,I22),"")</f>
        <v/>
      </c>
    </row>
    <row r="23" spans="2:13">
      <c r="B23">
        <v>22</v>
      </c>
      <c r="C23" s="17" t="s">
        <v>171</v>
      </c>
      <c r="E23" t="s">
        <v>65</v>
      </c>
      <c r="F23" t="s">
        <v>70</v>
      </c>
      <c r="G23" t="s">
        <v>47</v>
      </c>
      <c r="I23">
        <f>COUNTIF($J$2:J23,1)</f>
        <v>8</v>
      </c>
      <c r="J23">
        <v>1</v>
      </c>
      <c r="K23" t="str">
        <f t="shared" ca="1" si="0"/>
        <v>聂荌</v>
      </c>
      <c r="M23" t="str">
        <f>IF(J23=1,INDEX($C$2:C63,I23),"")</f>
        <v>江湖豪侠</v>
      </c>
    </row>
    <row r="24" spans="2:13">
      <c r="B24">
        <v>23</v>
      </c>
      <c r="C24" t="s">
        <v>159</v>
      </c>
      <c r="E24" t="s">
        <v>65</v>
      </c>
      <c r="F24" t="s">
        <v>70</v>
      </c>
      <c r="I24">
        <f>COUNTIF($J$2:J24,1)</f>
        <v>8</v>
      </c>
      <c r="J24">
        <v>2</v>
      </c>
      <c r="K24" t="str">
        <f t="shared" ca="1" si="0"/>
        <v>专诸</v>
      </c>
      <c r="M24" t="str">
        <f>IF(J24=1,INDEX($C$2:C64,I24),"")</f>
        <v/>
      </c>
    </row>
    <row r="25" spans="2:13">
      <c r="B25">
        <v>24</v>
      </c>
      <c r="C25" s="18" t="s">
        <v>149</v>
      </c>
      <c r="E25" t="s">
        <v>184</v>
      </c>
      <c r="F25" t="s">
        <v>92</v>
      </c>
      <c r="I25">
        <f>COUNTIF($J$2:J25,1)</f>
        <v>8</v>
      </c>
      <c r="J25">
        <v>3</v>
      </c>
      <c r="K25" t="str">
        <f t="shared" ca="1" si="0"/>
        <v>荆轲</v>
      </c>
      <c r="M25" t="str">
        <f>IF(J25=1,INDEX($C$2:C65,I25),"")</f>
        <v/>
      </c>
    </row>
    <row r="26" spans="2:13">
      <c r="B26">
        <v>25</v>
      </c>
      <c r="C26" t="s">
        <v>150</v>
      </c>
      <c r="E26" t="s">
        <v>82</v>
      </c>
      <c r="F26" t="s">
        <v>72</v>
      </c>
      <c r="G26" t="s">
        <v>64</v>
      </c>
      <c r="I26">
        <f>COUNTIF($J$2:J26,1)</f>
        <v>9</v>
      </c>
      <c r="J26">
        <v>1</v>
      </c>
      <c r="K26" t="str">
        <f t="shared" ca="1" si="0"/>
        <v>孙膑</v>
      </c>
      <c r="M26" t="str">
        <f>IF(J26=1,INDEX($C$2:C66,I26),"")</f>
        <v>针锋相对</v>
      </c>
    </row>
    <row r="27" spans="2:13">
      <c r="B27">
        <v>26</v>
      </c>
      <c r="C27" t="s">
        <v>164</v>
      </c>
      <c r="E27" t="s">
        <v>64</v>
      </c>
      <c r="F27" t="s">
        <v>185</v>
      </c>
      <c r="I27">
        <f>COUNTIF($J$2:J27,1)</f>
        <v>9</v>
      </c>
      <c r="J27">
        <v>2</v>
      </c>
      <c r="K27" t="str">
        <f t="shared" ca="1" si="0"/>
        <v>庞涓</v>
      </c>
      <c r="M27" t="str">
        <f>IF(J27=1,INDEX($C$2:C67,I27),"")</f>
        <v/>
      </c>
    </row>
    <row r="28" spans="2:13" hidden="1">
      <c r="B28">
        <v>27</v>
      </c>
      <c r="C28" t="s">
        <v>157</v>
      </c>
      <c r="E28" t="s">
        <v>82</v>
      </c>
      <c r="F28" t="s">
        <v>112</v>
      </c>
      <c r="I28">
        <f>COUNTIF($J$2:J28,1)</f>
        <v>9</v>
      </c>
      <c r="J28">
        <v>3</v>
      </c>
      <c r="K28">
        <f t="shared" ca="1" si="0"/>
        <v>0</v>
      </c>
      <c r="M28" t="str">
        <f>IF(J28=1,INDEX(C28:C68,I28),"")</f>
        <v/>
      </c>
    </row>
    <row r="29" spans="2:13">
      <c r="B29">
        <v>28</v>
      </c>
      <c r="C29" s="18" t="s">
        <v>172</v>
      </c>
      <c r="E29" t="s">
        <v>112</v>
      </c>
      <c r="F29" t="s">
        <v>77</v>
      </c>
      <c r="I29">
        <f>COUNTIF($J$2:J29,1)</f>
        <v>10</v>
      </c>
      <c r="J29">
        <v>1</v>
      </c>
      <c r="K29" t="str">
        <f t="shared" ca="1" si="0"/>
        <v>欧冶子</v>
      </c>
      <c r="M29" t="str">
        <f>IF(J29=1,INDEX($C$2:C69,I29),"")</f>
        <v>百业翘楚</v>
      </c>
    </row>
    <row r="30" spans="2:13">
      <c r="B30">
        <v>29</v>
      </c>
      <c r="C30" t="s">
        <v>152</v>
      </c>
      <c r="E30" t="s">
        <v>186</v>
      </c>
      <c r="F30" t="s">
        <v>66</v>
      </c>
      <c r="G30" t="s">
        <v>53</v>
      </c>
      <c r="I30">
        <f>COUNTIF($J$2:J30,1)</f>
        <v>10</v>
      </c>
      <c r="J30">
        <v>2</v>
      </c>
      <c r="K30" t="str">
        <f t="shared" ca="1" si="0"/>
        <v>伯乐</v>
      </c>
      <c r="M30" t="str">
        <f>IF(J30=1,INDEX($C$2:C70,I30),"")</f>
        <v/>
      </c>
    </row>
    <row r="31" spans="2:13">
      <c r="B31">
        <v>30</v>
      </c>
      <c r="C31" s="17" t="s">
        <v>173</v>
      </c>
      <c r="E31" t="s">
        <v>46</v>
      </c>
      <c r="F31" t="s">
        <v>85</v>
      </c>
      <c r="I31">
        <f>COUNTIF($J$2:J31,1)</f>
        <v>10</v>
      </c>
      <c r="J31">
        <v>3</v>
      </c>
      <c r="K31" t="str">
        <f t="shared" ca="1" si="0"/>
        <v>孙膑</v>
      </c>
      <c r="M31" t="str">
        <f>IF(J31=1,INDEX($C$2:C71,I31),"")</f>
        <v/>
      </c>
    </row>
    <row r="32" spans="2:13">
      <c r="B32">
        <v>31</v>
      </c>
      <c r="C32" t="s">
        <v>174</v>
      </c>
      <c r="E32" t="s">
        <v>58</v>
      </c>
      <c r="F32" t="s">
        <v>46</v>
      </c>
      <c r="I32">
        <f>COUNTIF($J$2:J32,1)</f>
        <v>11</v>
      </c>
      <c r="J32">
        <v>1</v>
      </c>
      <c r="K32" t="str">
        <f t="shared" ca="1" si="0"/>
        <v>褒姒</v>
      </c>
      <c r="M32" t="str">
        <f>IF(J32=1,INDEX($C$2:C72,I32),"")</f>
        <v>红颜祸水</v>
      </c>
    </row>
    <row r="33" spans="2:13">
      <c r="B33">
        <v>32</v>
      </c>
      <c r="C33" t="s">
        <v>151</v>
      </c>
      <c r="E33" t="s">
        <v>87</v>
      </c>
      <c r="F33" t="s">
        <v>112</v>
      </c>
      <c r="G33" t="s">
        <v>59</v>
      </c>
      <c r="I33">
        <f>COUNTIF($J$2:J33,1)</f>
        <v>11</v>
      </c>
      <c r="J33">
        <v>2</v>
      </c>
      <c r="K33" t="str">
        <f t="shared" ca="1" si="0"/>
        <v>西施</v>
      </c>
      <c r="M33" t="str">
        <f>IF(J33=1,INDEX($C$2:C73,I33),"")</f>
        <v/>
      </c>
    </row>
    <row r="34" spans="2:13">
      <c r="B34">
        <v>33</v>
      </c>
      <c r="C34" s="18" t="s">
        <v>175</v>
      </c>
      <c r="E34" t="s">
        <v>61</v>
      </c>
      <c r="F34" t="s">
        <v>53</v>
      </c>
      <c r="G34" t="s">
        <v>97</v>
      </c>
      <c r="I34">
        <f>COUNTIF($J$2:J34,1)</f>
        <v>11</v>
      </c>
      <c r="J34">
        <v>3</v>
      </c>
      <c r="K34" t="str">
        <f t="shared" ref="K34:K65" ca="1" si="1">OFFSET($D$1,I34,J34)</f>
        <v>骊姬</v>
      </c>
      <c r="M34" t="str">
        <f>IF(J34=1,INDEX($C$2:C74,I34),"")</f>
        <v/>
      </c>
    </row>
    <row r="35" spans="2:13">
      <c r="B35">
        <v>34</v>
      </c>
      <c r="C35" t="s">
        <v>176</v>
      </c>
      <c r="E35" t="s">
        <v>53</v>
      </c>
      <c r="F35" t="s">
        <v>51</v>
      </c>
      <c r="I35">
        <f>COUNTIF($J$2:J35,1)</f>
        <v>12</v>
      </c>
      <c r="J35">
        <v>1</v>
      </c>
      <c r="K35" t="str">
        <f t="shared" ca="1" si="1"/>
        <v>钟无艳</v>
      </c>
      <c r="M35" t="str">
        <f>IF(J35=1,INDEX($C$2:C75,I35),"")</f>
        <v>破秦勇将</v>
      </c>
    </row>
    <row r="36" spans="2:13">
      <c r="B36">
        <v>35</v>
      </c>
      <c r="C36" t="s">
        <v>177</v>
      </c>
      <c r="E36" t="s">
        <v>186</v>
      </c>
      <c r="F36" t="s">
        <v>47</v>
      </c>
      <c r="I36">
        <f>COUNTIF($J$2:J36,1)</f>
        <v>12</v>
      </c>
      <c r="J36">
        <v>2</v>
      </c>
      <c r="K36" t="str">
        <f t="shared" ca="1" si="1"/>
        <v>项燕</v>
      </c>
      <c r="M36" t="str">
        <f>IF(J36=1,INDEX($C$2:C76,I36),"")</f>
        <v/>
      </c>
    </row>
    <row r="37" spans="2:13" hidden="1">
      <c r="B37">
        <v>36</v>
      </c>
      <c r="C37" t="s">
        <v>178</v>
      </c>
      <c r="E37" t="s">
        <v>68</v>
      </c>
      <c r="F37" t="s">
        <v>76</v>
      </c>
      <c r="I37">
        <f>COUNTIF($J$2:J37,1)</f>
        <v>12</v>
      </c>
      <c r="J37">
        <v>3</v>
      </c>
      <c r="K37">
        <f t="shared" ca="1" si="1"/>
        <v>0</v>
      </c>
      <c r="M37" t="str">
        <f>IF(J37=1,INDEX(C37:C77,I37),"")</f>
        <v/>
      </c>
    </row>
    <row r="38" spans="2:13">
      <c r="B38">
        <v>37</v>
      </c>
      <c r="C38" t="s">
        <v>179</v>
      </c>
      <c r="E38" t="s">
        <v>72</v>
      </c>
      <c r="F38" t="s">
        <v>62</v>
      </c>
      <c r="I38">
        <f>COUNTIF($J$2:J38,1)</f>
        <v>13</v>
      </c>
      <c r="J38">
        <v>1</v>
      </c>
      <c r="K38" t="str">
        <f t="shared" ca="1" si="1"/>
        <v>田单</v>
      </c>
      <c r="M38" t="str">
        <f>IF(J38=1,INDEX($C$2:C78,I38),"")</f>
        <v>御敌于国</v>
      </c>
    </row>
    <row r="39" spans="2:13">
      <c r="B39">
        <v>38</v>
      </c>
      <c r="C39" t="s">
        <v>180</v>
      </c>
      <c r="E39" t="s">
        <v>154</v>
      </c>
      <c r="F39" t="s">
        <v>85</v>
      </c>
      <c r="I39">
        <f>COUNTIF($J$2:J39,1)</f>
        <v>13</v>
      </c>
      <c r="J39">
        <v>2</v>
      </c>
      <c r="K39" t="str">
        <f t="shared" ca="1" si="1"/>
        <v>申不害</v>
      </c>
      <c r="M39" t="str">
        <f>IF(J39=1,INDEX($C$2:C79,I39),"")</f>
        <v/>
      </c>
    </row>
    <row r="40" spans="2:13">
      <c r="B40">
        <v>39</v>
      </c>
      <c r="C40" t="s">
        <v>160</v>
      </c>
      <c r="E40" t="s">
        <v>67</v>
      </c>
      <c r="F40" t="s">
        <v>79</v>
      </c>
      <c r="I40">
        <f>COUNTIF($J$2:J40,1)</f>
        <v>13</v>
      </c>
      <c r="J40">
        <v>3</v>
      </c>
      <c r="K40" t="str">
        <f t="shared" ca="1" si="1"/>
        <v>司马穰苴</v>
      </c>
      <c r="M40" t="str">
        <f>IF(J40=1,INDEX($C$2:C80,I40),"")</f>
        <v/>
      </c>
    </row>
    <row r="41" spans="2:13">
      <c r="B41">
        <v>40</v>
      </c>
      <c r="C41" s="17" t="s">
        <v>181</v>
      </c>
      <c r="E41" t="s">
        <v>97</v>
      </c>
      <c r="F41" t="s">
        <v>156</v>
      </c>
      <c r="I41">
        <f>COUNTIF($J$2:J41,1)</f>
        <v>14</v>
      </c>
      <c r="J41">
        <v>1</v>
      </c>
      <c r="K41" t="str">
        <f t="shared" ca="1" si="1"/>
        <v>司马穰苴</v>
      </c>
      <c r="M41" t="str">
        <f>IF(J41=1,INDEX($C$2:C81,I41),"")</f>
        <v>东征西讨</v>
      </c>
    </row>
    <row r="42" spans="2:13">
      <c r="B42">
        <v>41</v>
      </c>
      <c r="C42" t="s">
        <v>182</v>
      </c>
      <c r="E42" t="s">
        <v>82</v>
      </c>
      <c r="F42" t="s">
        <v>64</v>
      </c>
      <c r="I42">
        <f>COUNTIF($J$2:J42,1)</f>
        <v>14</v>
      </c>
      <c r="J42">
        <v>2</v>
      </c>
      <c r="K42" t="str">
        <f t="shared" ca="1" si="1"/>
        <v>暴鸢</v>
      </c>
      <c r="M42" t="str">
        <f>IF(J42=1,INDEX($C$2:C82,I42),"")</f>
        <v/>
      </c>
    </row>
    <row r="43" spans="2:13" hidden="1">
      <c r="I43">
        <f>COUNTIF($J$2:J43,1)</f>
        <v>14</v>
      </c>
      <c r="J43">
        <v>3</v>
      </c>
      <c r="K43">
        <f t="shared" ca="1" si="1"/>
        <v>0</v>
      </c>
      <c r="M43" t="str">
        <f>IF(J43=1,INDEX($C$2:C83,I43),"")</f>
        <v/>
      </c>
    </row>
    <row r="44" spans="2:13">
      <c r="I44">
        <f>COUNTIF($J$2:J44,1)</f>
        <v>15</v>
      </c>
      <c r="J44">
        <v>1</v>
      </c>
      <c r="K44" t="str">
        <f t="shared" ca="1" si="1"/>
        <v>伍子胥</v>
      </c>
      <c r="M44" t="str">
        <f>IF(J44=1,INDEX($C$2:C84,I44),"")</f>
        <v>出将入相</v>
      </c>
    </row>
    <row r="45" spans="2:13">
      <c r="I45">
        <f>COUNTIF($J$2:J45,1)</f>
        <v>15</v>
      </c>
      <c r="J45">
        <v>2</v>
      </c>
      <c r="K45" t="str">
        <f t="shared" ca="1" si="1"/>
        <v>魏无忌</v>
      </c>
      <c r="M45" t="str">
        <f>IF(J45=1,INDEX($C$2:C85,I45),"")</f>
        <v/>
      </c>
    </row>
    <row r="46" spans="2:13" hidden="1">
      <c r="I46">
        <f>COUNTIF($J$2:J46,1)</f>
        <v>15</v>
      </c>
      <c r="J46">
        <v>3</v>
      </c>
      <c r="K46">
        <f t="shared" ca="1" si="1"/>
        <v>0</v>
      </c>
      <c r="M46" t="str">
        <f>IF(J46=1,INDEX($C$2:C86,I46),"")</f>
        <v/>
      </c>
    </row>
    <row r="47" spans="2:13">
      <c r="I47">
        <f>COUNTIF($J$2:J47,1)</f>
        <v>16</v>
      </c>
      <c r="J47">
        <v>1</v>
      </c>
      <c r="K47" t="str">
        <f t="shared" ca="1" si="1"/>
        <v>田单</v>
      </c>
      <c r="M47" t="str">
        <f>IF(J47=1,INDEX($C$2:C87,I47),"")</f>
        <v>棋逢对手</v>
      </c>
    </row>
    <row r="48" spans="2:13">
      <c r="I48">
        <f>COUNTIF($J$2:J48,1)</f>
        <v>16</v>
      </c>
      <c r="J48">
        <v>2</v>
      </c>
      <c r="K48" t="str">
        <f t="shared" ca="1" si="1"/>
        <v>乐毅</v>
      </c>
      <c r="M48" t="str">
        <f>IF(J48=1,INDEX($C$2:C88,I48),"")</f>
        <v/>
      </c>
    </row>
    <row r="49" spans="9:13" hidden="1">
      <c r="I49">
        <f>COUNTIF($J$2:J49,1)</f>
        <v>16</v>
      </c>
      <c r="J49">
        <v>3</v>
      </c>
      <c r="K49">
        <f t="shared" ca="1" si="1"/>
        <v>0</v>
      </c>
      <c r="M49" t="str">
        <f>IF(J49=1,INDEX($C$2:C89,I49),"")</f>
        <v/>
      </c>
    </row>
    <row r="50" spans="9:13">
      <c r="I50">
        <f>COUNTIF($J$2:J50,1)</f>
        <v>17</v>
      </c>
      <c r="J50">
        <v>1</v>
      </c>
      <c r="K50" t="str">
        <f t="shared" ca="1" si="1"/>
        <v>伯乐</v>
      </c>
      <c r="M50" t="str">
        <f>IF(J50=1,INDEX($C$2:C90,I50),"")</f>
        <v>慧眼识人</v>
      </c>
    </row>
    <row r="51" spans="9:13">
      <c r="I51">
        <f>COUNTIF($J$2:J51,1)</f>
        <v>17</v>
      </c>
      <c r="J51">
        <v>2</v>
      </c>
      <c r="K51" t="str">
        <f t="shared" ca="1" si="1"/>
        <v>楚庄王</v>
      </c>
      <c r="M51" t="str">
        <f>IF(J51=1,INDEX($C$2:C91,I51),"")</f>
        <v/>
      </c>
    </row>
    <row r="52" spans="9:13" hidden="1">
      <c r="I52">
        <f>COUNTIF($J$2:J52,1)</f>
        <v>17</v>
      </c>
      <c r="J52">
        <v>3</v>
      </c>
      <c r="K52">
        <f t="shared" ca="1" si="1"/>
        <v>0</v>
      </c>
      <c r="M52" t="str">
        <f>IF(J52=1,INDEX($C$2:C92,I52),"")</f>
        <v/>
      </c>
    </row>
    <row r="53" spans="9:13">
      <c r="I53">
        <f>COUNTIF($J$2:J53,1)</f>
        <v>18</v>
      </c>
      <c r="J53">
        <v>1</v>
      </c>
      <c r="K53" t="str">
        <f t="shared" ca="1" si="1"/>
        <v>司马错</v>
      </c>
      <c r="M53" t="str">
        <f>IF(J53=1,INDEX($C$2:C93,I53),"")</f>
        <v>平定蜀乱</v>
      </c>
    </row>
    <row r="54" spans="9:13">
      <c r="I54">
        <f>COUNTIF($J$2:J54,1)</f>
        <v>18</v>
      </c>
      <c r="J54">
        <v>2</v>
      </c>
      <c r="K54" t="str">
        <f t="shared" ca="1" si="1"/>
        <v>赢荡</v>
      </c>
      <c r="M54" t="str">
        <f>IF(J54=1,INDEX($C$2:C94,I54),"")</f>
        <v/>
      </c>
    </row>
    <row r="55" spans="9:13" hidden="1">
      <c r="I55">
        <f>COUNTIF($J$2:J55,1)</f>
        <v>18</v>
      </c>
      <c r="J55">
        <v>3</v>
      </c>
      <c r="K55">
        <f t="shared" ca="1" si="1"/>
        <v>0</v>
      </c>
      <c r="M55" t="str">
        <f>IF(J55=1,INDEX($C$2:C95,I55),"")</f>
        <v/>
      </c>
    </row>
    <row r="56" spans="9:13">
      <c r="I56">
        <f>COUNTIF($J$2:J56,1)</f>
        <v>19</v>
      </c>
      <c r="J56">
        <v>1</v>
      </c>
      <c r="K56" t="str">
        <f t="shared" ca="1" si="1"/>
        <v>司马穰苴</v>
      </c>
      <c r="M56" t="str">
        <f>IF(J56=1,INDEX($C$2:C96,I56),"")</f>
        <v>百战名将</v>
      </c>
    </row>
    <row r="57" spans="9:13">
      <c r="I57">
        <f>COUNTIF($J$2:J57,1)</f>
        <v>19</v>
      </c>
      <c r="J57">
        <v>2</v>
      </c>
      <c r="K57" t="str">
        <f t="shared" ca="1" si="1"/>
        <v>司马错</v>
      </c>
      <c r="M57" t="str">
        <f>IF(J57=1,INDEX($C$2:C97,I57),"")</f>
        <v/>
      </c>
    </row>
    <row r="58" spans="9:13" hidden="1">
      <c r="I58">
        <f>COUNTIF($J$2:J58,1)</f>
        <v>19</v>
      </c>
      <c r="J58">
        <v>3</v>
      </c>
      <c r="K58">
        <f t="shared" ca="1" si="1"/>
        <v>0</v>
      </c>
      <c r="M58" t="str">
        <f>IF(J58=1,INDEX($C$2:C98,I58),"")</f>
        <v/>
      </c>
    </row>
    <row r="59" spans="9:13">
      <c r="I59">
        <f>COUNTIF($J$2:J59,1)</f>
        <v>20</v>
      </c>
      <c r="J59">
        <v>1</v>
      </c>
      <c r="K59" t="str">
        <f t="shared" ca="1" si="1"/>
        <v>秦开</v>
      </c>
      <c r="M59" t="str">
        <f>IF(J59=1,INDEX($C$2:C99,I59),"")</f>
        <v>开疆扩土</v>
      </c>
    </row>
    <row r="60" spans="9:13">
      <c r="I60">
        <f>COUNTIF($J$2:J60,1)</f>
        <v>20</v>
      </c>
      <c r="J60">
        <v>2</v>
      </c>
      <c r="K60" t="str">
        <f t="shared" ca="1" si="1"/>
        <v>司马错</v>
      </c>
      <c r="M60" t="str">
        <f>IF(J60=1,INDEX($C$2:C100,I60),"")</f>
        <v/>
      </c>
    </row>
    <row r="61" spans="9:13" hidden="1">
      <c r="I61">
        <f>COUNTIF($J$2:J61,1)</f>
        <v>20</v>
      </c>
      <c r="J61">
        <v>3</v>
      </c>
      <c r="K61">
        <f t="shared" ca="1" si="1"/>
        <v>0</v>
      </c>
      <c r="M61" t="str">
        <f>IF(J61=1,INDEX($C$2:C101,I61),"")</f>
        <v/>
      </c>
    </row>
    <row r="62" spans="9:13">
      <c r="I62">
        <f>COUNTIF($J$2:J62,1)</f>
        <v>21</v>
      </c>
      <c r="J62">
        <v>1</v>
      </c>
      <c r="K62" t="str">
        <f t="shared" ca="1" si="1"/>
        <v>楚庄王</v>
      </c>
      <c r="M62" t="str">
        <f>IF(J62=1,INDEX($C$2:C102,I62),"")</f>
        <v>问鼎之心</v>
      </c>
    </row>
    <row r="63" spans="9:13">
      <c r="I63">
        <f>COUNTIF($J$2:J63,1)</f>
        <v>21</v>
      </c>
      <c r="J63">
        <v>2</v>
      </c>
      <c r="K63" t="str">
        <f t="shared" ca="1" si="1"/>
        <v>勾践</v>
      </c>
      <c r="M63" t="str">
        <f>IF(J63=1,INDEX($C$2:C103,I63),"")</f>
        <v/>
      </c>
    </row>
    <row r="64" spans="9:13">
      <c r="I64">
        <f>COUNTIF($J$2:J64,1)</f>
        <v>21</v>
      </c>
      <c r="J64">
        <v>3</v>
      </c>
      <c r="K64" t="str">
        <f t="shared" ca="1" si="1"/>
        <v>赢荡</v>
      </c>
      <c r="M64" t="str">
        <f>IF(J64=1,INDEX($C$2:C104,I64),"")</f>
        <v/>
      </c>
    </row>
    <row r="65" spans="9:13">
      <c r="I65">
        <f>COUNTIF($J$2:J65,1)</f>
        <v>22</v>
      </c>
      <c r="J65">
        <v>1</v>
      </c>
      <c r="K65" t="str">
        <f t="shared" ca="1" si="1"/>
        <v>吕不韦</v>
      </c>
      <c r="M65" t="str">
        <f>IF(J65=1,INDEX($C$2:C105,I65),"")</f>
        <v>权倾朝野</v>
      </c>
    </row>
    <row r="66" spans="9:13">
      <c r="I66">
        <f>COUNTIF($J$2:J66,1)</f>
        <v>22</v>
      </c>
      <c r="J66">
        <v>2</v>
      </c>
      <c r="K66" t="str">
        <f t="shared" ref="K66:K97" ca="1" si="2">OFFSET($D$1,I66,J66)</f>
        <v>苏秦</v>
      </c>
      <c r="M66" t="str">
        <f>IF(J66=1,INDEX($C$2:C106,I66),"")</f>
        <v/>
      </c>
    </row>
    <row r="67" spans="9:13">
      <c r="I67">
        <f>COUNTIF($J$2:J67,1)</f>
        <v>22</v>
      </c>
      <c r="J67">
        <v>3</v>
      </c>
      <c r="K67" t="str">
        <f t="shared" ca="1" si="2"/>
        <v>魏无忌</v>
      </c>
      <c r="M67" t="str">
        <f>IF(J67=1,INDEX($C$2:C107,I67),"")</f>
        <v/>
      </c>
    </row>
    <row r="68" spans="9:13">
      <c r="I68">
        <f>COUNTIF($J$2:J68,1)</f>
        <v>23</v>
      </c>
      <c r="J68">
        <v>1</v>
      </c>
      <c r="K68" t="str">
        <f t="shared" ca="1" si="2"/>
        <v>吕不韦</v>
      </c>
      <c r="M68" t="str">
        <f>IF(J68=1,INDEX($C$2:C108,I68),"")</f>
        <v>口舌之利</v>
      </c>
    </row>
    <row r="69" spans="9:13">
      <c r="I69">
        <f>COUNTIF($J$2:J69,1)</f>
        <v>23</v>
      </c>
      <c r="J69">
        <v>2</v>
      </c>
      <c r="K69" t="str">
        <f t="shared" ca="1" si="2"/>
        <v>苏秦</v>
      </c>
      <c r="M69" t="str">
        <f>IF(J69=1,INDEX($C$2:C109,I69),"")</f>
        <v/>
      </c>
    </row>
    <row r="70" spans="9:13" hidden="1">
      <c r="I70">
        <f>COUNTIF($J$2:J70,1)</f>
        <v>23</v>
      </c>
      <c r="J70">
        <v>3</v>
      </c>
      <c r="K70">
        <f t="shared" ca="1" si="2"/>
        <v>0</v>
      </c>
      <c r="M70" t="str">
        <f>IF(J70=1,INDEX($C$2:C110,I70),"")</f>
        <v/>
      </c>
    </row>
    <row r="71" spans="9:13">
      <c r="I71">
        <f>COUNTIF($J$2:J71,1)</f>
        <v>24</v>
      </c>
      <c r="J71">
        <v>1</v>
      </c>
      <c r="K71" t="str">
        <f t="shared" ca="1" si="2"/>
        <v>楚庄王</v>
      </c>
      <c r="M71" t="str">
        <f>IF(J71=1,INDEX($C$2:C111,I71),"")</f>
        <v>君圣臣贤</v>
      </c>
    </row>
    <row r="72" spans="9:13">
      <c r="I72">
        <f>COUNTIF($J$2:J72,1)</f>
        <v>24</v>
      </c>
      <c r="J72">
        <v>2</v>
      </c>
      <c r="K72" t="str">
        <f t="shared" ca="1" si="2"/>
        <v>孙叔敖</v>
      </c>
      <c r="M72" t="str">
        <f>IF(J72=1,INDEX($C$2:C112,I72),"")</f>
        <v/>
      </c>
    </row>
    <row r="73" spans="9:13" hidden="1">
      <c r="I73">
        <f>COUNTIF($J$2:J73,1)</f>
        <v>24</v>
      </c>
      <c r="J73">
        <v>3</v>
      </c>
      <c r="K73">
        <f t="shared" ca="1" si="2"/>
        <v>0</v>
      </c>
      <c r="M73" t="str">
        <f>IF(J73=1,INDEX($C$2:C113,I73),"")</f>
        <v/>
      </c>
    </row>
    <row r="74" spans="9:13">
      <c r="I74">
        <f>COUNTIF($J$2:J74,1)</f>
        <v>25</v>
      </c>
      <c r="J74">
        <v>1</v>
      </c>
      <c r="K74" t="str">
        <f t="shared" ca="1" si="2"/>
        <v>韩非子</v>
      </c>
      <c r="M74" t="str">
        <f>IF(J74=1,INDEX($C$2:C114,I74),"")</f>
        <v>国破家亡</v>
      </c>
    </row>
    <row r="75" spans="9:13">
      <c r="I75">
        <f>COUNTIF($J$2:J75,1)</f>
        <v>25</v>
      </c>
      <c r="J75">
        <v>2</v>
      </c>
      <c r="K75" t="str">
        <f t="shared" ca="1" si="2"/>
        <v>项燕</v>
      </c>
      <c r="M75" t="str">
        <f>IF(J75=1,INDEX($C$2:C115,I75),"")</f>
        <v/>
      </c>
    </row>
    <row r="76" spans="9:13">
      <c r="I76">
        <f>COUNTIF($J$2:J76,1)</f>
        <v>25</v>
      </c>
      <c r="J76">
        <v>3</v>
      </c>
      <c r="K76" t="str">
        <f t="shared" ca="1" si="2"/>
        <v>屈原</v>
      </c>
      <c r="M76" t="str">
        <f>IF(J76=1,INDEX($C$2:C116,I76),"")</f>
        <v/>
      </c>
    </row>
    <row r="77" spans="9:13">
      <c r="I77">
        <f>COUNTIF($J$2:J77,1)</f>
        <v>26</v>
      </c>
      <c r="J77">
        <v>1</v>
      </c>
      <c r="K77" t="str">
        <f t="shared" ca="1" si="2"/>
        <v>屈原</v>
      </c>
      <c r="M77" t="str">
        <f>IF(J77=1,INDEX($C$2:C117,I77),"")</f>
        <v>人文之士</v>
      </c>
    </row>
    <row r="78" spans="9:13">
      <c r="I78">
        <f>COUNTIF($J$2:J78,1)</f>
        <v>26</v>
      </c>
      <c r="J78">
        <v>2</v>
      </c>
      <c r="K78" t="str">
        <f t="shared" ca="1" si="2"/>
        <v>樗里祭</v>
      </c>
      <c r="M78" t="str">
        <f>IF(J78=1,INDEX($C$2:C118,I78),"")</f>
        <v/>
      </c>
    </row>
    <row r="79" spans="9:13" hidden="1">
      <c r="I79">
        <f>COUNTIF($J$2:J79,1)</f>
        <v>26</v>
      </c>
      <c r="J79">
        <v>3</v>
      </c>
      <c r="K79">
        <f t="shared" ca="1" si="2"/>
        <v>0</v>
      </c>
      <c r="M79" t="str">
        <f>IF(J79=1,INDEX($C$2:C119,I79),"")</f>
        <v/>
      </c>
    </row>
    <row r="80" spans="9:13">
      <c r="I80">
        <f>COUNTIF($J$2:J80,1)</f>
        <v>27</v>
      </c>
      <c r="J80">
        <v>1</v>
      </c>
      <c r="K80" t="str">
        <f t="shared" ca="1" si="2"/>
        <v>韩非子</v>
      </c>
      <c r="M80" t="str">
        <f>IF(J80=1,INDEX($C$2:C120,I80),"")</f>
        <v>严刑峻法</v>
      </c>
    </row>
    <row r="81" spans="9:13">
      <c r="I81">
        <f>COUNTIF($J$2:J81,1)</f>
        <v>27</v>
      </c>
      <c r="J81">
        <v>2</v>
      </c>
      <c r="K81" t="str">
        <f t="shared" ca="1" si="2"/>
        <v>申不害</v>
      </c>
      <c r="M81" t="str">
        <f>IF(J81=1,INDEX($C$2:C121,I81),"")</f>
        <v/>
      </c>
    </row>
    <row r="82" spans="9:13" hidden="1">
      <c r="I82">
        <f>COUNTIF($J$2:J82,1)</f>
        <v>27</v>
      </c>
      <c r="J82">
        <v>3</v>
      </c>
      <c r="K82">
        <f t="shared" ca="1" si="2"/>
        <v>0</v>
      </c>
      <c r="M82" t="str">
        <f>IF(J82=1,INDEX($C$2:C122,I82),"")</f>
        <v/>
      </c>
    </row>
    <row r="83" spans="9:13">
      <c r="I83">
        <f>COUNTIF($J$2:J83,1)</f>
        <v>28</v>
      </c>
      <c r="J83">
        <v>1</v>
      </c>
      <c r="K83" t="str">
        <f t="shared" ca="1" si="2"/>
        <v>申不害</v>
      </c>
      <c r="M83" t="str">
        <f>IF(J83=1,INDEX($C$2:C123,I83),"")</f>
        <v>富国强兵</v>
      </c>
    </row>
    <row r="84" spans="9:13">
      <c r="I84">
        <f>COUNTIF($J$2:J84,1)</f>
        <v>28</v>
      </c>
      <c r="J84">
        <v>2</v>
      </c>
      <c r="K84" t="str">
        <f t="shared" ca="1" si="2"/>
        <v>西门豹</v>
      </c>
      <c r="M84" t="str">
        <f>IF(J84=1,INDEX($C$2:C124,I84),"")</f>
        <v/>
      </c>
    </row>
    <row r="85" spans="9:13" hidden="1">
      <c r="I85">
        <f>COUNTIF($J$2:J85,1)</f>
        <v>28</v>
      </c>
      <c r="J85">
        <v>3</v>
      </c>
      <c r="K85">
        <f t="shared" ca="1" si="2"/>
        <v>0</v>
      </c>
      <c r="M85" t="str">
        <f>IF(J85=1,INDEX($C$2:C125,I85),"")</f>
        <v/>
      </c>
    </row>
    <row r="86" spans="9:13">
      <c r="I86">
        <f>COUNTIF($J$2:J86,1)</f>
        <v>29</v>
      </c>
      <c r="J86">
        <v>1</v>
      </c>
      <c r="K86" t="str">
        <f t="shared" ca="1" si="2"/>
        <v>春申君</v>
      </c>
      <c r="M86" t="str">
        <f>IF(J86=1,INDEX($C$2:C126,I86),"")</f>
        <v>穷兵黩武</v>
      </c>
    </row>
    <row r="87" spans="9:13">
      <c r="I87">
        <f>COUNTIF($J$2:J87,1)</f>
        <v>29</v>
      </c>
      <c r="J87">
        <v>2</v>
      </c>
      <c r="K87" t="str">
        <f t="shared" ca="1" si="2"/>
        <v>庞涓</v>
      </c>
      <c r="M87" t="str">
        <f>IF(J87=1,INDEX($C$2:C127,I87),"")</f>
        <v/>
      </c>
    </row>
    <row r="88" spans="9:13">
      <c r="I88">
        <f>COUNTIF($J$2:J88,1)</f>
        <v>29</v>
      </c>
      <c r="J88">
        <v>3</v>
      </c>
      <c r="K88" t="str">
        <f t="shared" ca="1" si="2"/>
        <v>义渠骇</v>
      </c>
      <c r="M88" t="str">
        <f>IF(J88=1,INDEX($C$2:C128,I88),"")</f>
        <v/>
      </c>
    </row>
    <row r="89" spans="9:13">
      <c r="I89">
        <f>COUNTIF($J$2:J89,1)</f>
        <v>30</v>
      </c>
      <c r="J89">
        <v>1</v>
      </c>
      <c r="K89" t="str">
        <f t="shared" ca="1" si="2"/>
        <v>西施</v>
      </c>
      <c r="M89" t="str">
        <f>IF(J89=1,INDEX($C$2:C129,I89),"")</f>
        <v>忍辱负重</v>
      </c>
    </row>
    <row r="90" spans="9:13">
      <c r="I90">
        <f>COUNTIF($J$2:J90,1)</f>
        <v>30</v>
      </c>
      <c r="J90">
        <v>2</v>
      </c>
      <c r="K90" t="str">
        <f t="shared" ca="1" si="2"/>
        <v>勾践</v>
      </c>
      <c r="M90" t="str">
        <f>IF(J90=1,INDEX($C$2:C130,I90),"")</f>
        <v/>
      </c>
    </row>
    <row r="91" spans="9:13" hidden="1">
      <c r="I91">
        <f>COUNTIF($J$2:J91,1)</f>
        <v>30</v>
      </c>
      <c r="J91">
        <v>3</v>
      </c>
      <c r="K91">
        <f t="shared" ca="1" si="2"/>
        <v>0</v>
      </c>
      <c r="M91" t="str">
        <f>IF(J91=1,INDEX($C$2:C131,I91),"")</f>
        <v/>
      </c>
    </row>
    <row r="92" spans="9:13">
      <c r="I92">
        <f>COUNTIF($J$2:J92,1)</f>
        <v>31</v>
      </c>
      <c r="J92">
        <v>1</v>
      </c>
      <c r="K92" t="str">
        <f t="shared" ca="1" si="2"/>
        <v>钟无艳</v>
      </c>
      <c r="M92" t="str">
        <f>IF(J92=1,INDEX($C$2:C132,I92),"")</f>
        <v>巾帼英雄</v>
      </c>
    </row>
    <row r="93" spans="9:13">
      <c r="I93">
        <f>COUNTIF($J$2:J93,1)</f>
        <v>31</v>
      </c>
      <c r="J93">
        <v>2</v>
      </c>
      <c r="K93" t="str">
        <f t="shared" ca="1" si="2"/>
        <v>西施</v>
      </c>
      <c r="M93" t="str">
        <f>IF(J93=1,INDEX($C$2:C133,I93),"")</f>
        <v/>
      </c>
    </row>
    <row r="94" spans="9:13" hidden="1">
      <c r="I94">
        <f>COUNTIF($J$2:J94,1)</f>
        <v>31</v>
      </c>
      <c r="J94">
        <v>3</v>
      </c>
      <c r="K94">
        <f t="shared" ca="1" si="2"/>
        <v>0</v>
      </c>
      <c r="M94" t="str">
        <f>IF(J94=1,INDEX($C$2:C134,I94),"")</f>
        <v/>
      </c>
    </row>
    <row r="95" spans="9:13">
      <c r="I95">
        <f>COUNTIF($J$2:J95,1)</f>
        <v>32</v>
      </c>
      <c r="J95">
        <v>1</v>
      </c>
      <c r="K95" t="str">
        <f t="shared" ca="1" si="2"/>
        <v>司马穰苴</v>
      </c>
      <c r="M95" t="str">
        <f>IF(J95=1,INDEX($C$2:C135,I95),"")</f>
        <v>御敌于国</v>
      </c>
    </row>
    <row r="96" spans="9:13">
      <c r="I96">
        <f>COUNTIF($J$2:J96,1)</f>
        <v>32</v>
      </c>
      <c r="J96">
        <v>2</v>
      </c>
      <c r="K96" t="str">
        <f t="shared" ca="1" si="2"/>
        <v>申不害</v>
      </c>
      <c r="M96" t="str">
        <f>IF(J96=1,INDEX($C$2:C136,I96),"")</f>
        <v/>
      </c>
    </row>
    <row r="97" spans="9:13">
      <c r="I97">
        <f>COUNTIF($J$2:J97,1)</f>
        <v>32</v>
      </c>
      <c r="J97">
        <v>3</v>
      </c>
      <c r="K97" t="str">
        <f t="shared" ca="1" si="2"/>
        <v>田单</v>
      </c>
      <c r="M97" t="str">
        <f>IF(J97=1,INDEX($C$2:C137,I97),"")</f>
        <v/>
      </c>
    </row>
    <row r="98" spans="9:13">
      <c r="I98">
        <f>COUNTIF($J$2:J98,1)</f>
        <v>33</v>
      </c>
      <c r="J98">
        <v>1</v>
      </c>
      <c r="K98" t="str">
        <f t="shared" ref="K98:K124" ca="1" si="3">OFFSET($D$1,I98,J98)</f>
        <v>乐毅</v>
      </c>
      <c r="M98" t="str">
        <f>IF(J98=1,INDEX($C$2:C138,I98),"")</f>
        <v>南征北战</v>
      </c>
    </row>
    <row r="99" spans="9:13">
      <c r="I99">
        <f>COUNTIF($J$2:J99,1)</f>
        <v>33</v>
      </c>
      <c r="J99">
        <v>2</v>
      </c>
      <c r="K99" t="str">
        <f t="shared" ca="1" si="3"/>
        <v>义渠骇</v>
      </c>
      <c r="M99" t="str">
        <f>IF(J99=1,INDEX($C$2:C139,I99),"")</f>
        <v/>
      </c>
    </row>
    <row r="100" spans="9:13">
      <c r="I100">
        <f>COUNTIF($J$2:J100,1)</f>
        <v>33</v>
      </c>
      <c r="J100">
        <v>3</v>
      </c>
      <c r="K100" t="str">
        <f t="shared" ca="1" si="3"/>
        <v>樗里疾</v>
      </c>
      <c r="M100" t="str">
        <f>IF(J100=1,INDEX($C$2:C140,I100),"")</f>
        <v/>
      </c>
    </row>
    <row r="101" spans="9:13">
      <c r="I101">
        <f>COUNTIF($J$2:J101,1)</f>
        <v>34</v>
      </c>
      <c r="J101">
        <v>1</v>
      </c>
      <c r="K101" t="str">
        <f t="shared" ca="1" si="3"/>
        <v>义渠骇</v>
      </c>
      <c r="M101" t="str">
        <f>IF(J101=1,INDEX($C$2:C141,I101),"")</f>
        <v>东夷西戎</v>
      </c>
    </row>
    <row r="102" spans="9:13">
      <c r="I102">
        <f>COUNTIF($J$2:J102,1)</f>
        <v>34</v>
      </c>
      <c r="J102">
        <v>2</v>
      </c>
      <c r="K102" t="str">
        <f t="shared" ca="1" si="3"/>
        <v>骊姬</v>
      </c>
      <c r="M102" t="str">
        <f>IF(J102=1,INDEX($C$2:C142,I102),"")</f>
        <v/>
      </c>
    </row>
    <row r="103" spans="9:13" hidden="1">
      <c r="I103">
        <f>COUNTIF($J$2:J103,1)</f>
        <v>34</v>
      </c>
      <c r="J103">
        <v>3</v>
      </c>
      <c r="K103">
        <f t="shared" ca="1" si="3"/>
        <v>0</v>
      </c>
      <c r="M103" t="str">
        <f>IF(J103=1,INDEX($C$2:C143,I103),"")</f>
        <v/>
      </c>
    </row>
    <row r="104" spans="9:13">
      <c r="I104">
        <f>COUNTIF($J$2:J104,1)</f>
        <v>35</v>
      </c>
      <c r="J104">
        <v>1</v>
      </c>
      <c r="K104" t="str">
        <f t="shared" ca="1" si="3"/>
        <v>春申君</v>
      </c>
      <c r="M104" t="str">
        <f>IF(J104=1,INDEX($C$2:C144,I104),"")</f>
        <v>门客三千</v>
      </c>
    </row>
    <row r="105" spans="9:13">
      <c r="I105">
        <f>COUNTIF($J$2:J105,1)</f>
        <v>35</v>
      </c>
      <c r="J105">
        <v>2</v>
      </c>
      <c r="K105" t="str">
        <f t="shared" ca="1" si="3"/>
        <v>魏无忌</v>
      </c>
      <c r="M105" t="str">
        <f>IF(J105=1,INDEX($C$2:C145,I105),"")</f>
        <v/>
      </c>
    </row>
    <row r="106" spans="9:13" hidden="1">
      <c r="I106">
        <f>COUNTIF($J$2:J106,1)</f>
        <v>35</v>
      </c>
      <c r="J106">
        <v>3</v>
      </c>
      <c r="K106">
        <f t="shared" ca="1" si="3"/>
        <v>0</v>
      </c>
      <c r="M106" t="str">
        <f>IF(J106=1,INDEX($C$2:C146,I106),"")</f>
        <v/>
      </c>
    </row>
    <row r="107" spans="9:13">
      <c r="I107">
        <f>COUNTIF($J$2:J107,1)</f>
        <v>36</v>
      </c>
      <c r="J107">
        <v>1</v>
      </c>
      <c r="K107" t="str">
        <f t="shared" ca="1" si="3"/>
        <v>欧冶子</v>
      </c>
      <c r="M107" t="str">
        <f>IF(J107=1,INDEX($C$2:C147,I107),"")</f>
        <v>神兵利刃</v>
      </c>
    </row>
    <row r="108" spans="9:13">
      <c r="I108">
        <f>COUNTIF($J$2:J108,1)</f>
        <v>36</v>
      </c>
      <c r="J108">
        <v>2</v>
      </c>
      <c r="K108" t="str">
        <f t="shared" ca="1" si="3"/>
        <v>莫邪</v>
      </c>
      <c r="M108" t="str">
        <f>IF(J108=1,INDEX($C$2:C148,I108),"")</f>
        <v/>
      </c>
    </row>
    <row r="109" spans="9:13" hidden="1">
      <c r="I109">
        <f>COUNTIF($J$2:J109,1)</f>
        <v>36</v>
      </c>
      <c r="J109">
        <v>3</v>
      </c>
      <c r="K109">
        <f t="shared" ca="1" si="3"/>
        <v>0</v>
      </c>
      <c r="M109" t="str">
        <f>IF(J109=1,INDEX($C$2:C149,I109),"")</f>
        <v/>
      </c>
    </row>
    <row r="110" spans="9:13">
      <c r="I110">
        <f>COUNTIF($J$2:J110,1)</f>
        <v>37</v>
      </c>
      <c r="J110">
        <v>1</v>
      </c>
      <c r="K110" t="str">
        <f t="shared" ca="1" si="3"/>
        <v>项燕</v>
      </c>
      <c r="M110" t="str">
        <f>IF(J110=1,INDEX($C$2:C150,I110),"")</f>
        <v>有死无生</v>
      </c>
    </row>
    <row r="111" spans="9:13">
      <c r="I111">
        <f>COUNTIF($J$2:J111,1)</f>
        <v>37</v>
      </c>
      <c r="J111">
        <v>2</v>
      </c>
      <c r="K111" t="str">
        <f t="shared" ca="1" si="3"/>
        <v>荆轲</v>
      </c>
      <c r="M111" t="str">
        <f>IF(J111=1,INDEX($C$2:C151,I111),"")</f>
        <v/>
      </c>
    </row>
    <row r="112" spans="9:13" hidden="1">
      <c r="I112">
        <f>COUNTIF($J$2:J112,1)</f>
        <v>37</v>
      </c>
      <c r="J112">
        <v>3</v>
      </c>
      <c r="K112">
        <f t="shared" ca="1" si="3"/>
        <v>0</v>
      </c>
      <c r="M112" t="str">
        <f>IF(J112=1,INDEX($C$2:C152,I112),"")</f>
        <v/>
      </c>
    </row>
    <row r="113" spans="9:13">
      <c r="I113">
        <f>COUNTIF($J$2:J113,1)</f>
        <v>38</v>
      </c>
      <c r="J113">
        <v>1</v>
      </c>
      <c r="K113" t="str">
        <f t="shared" ca="1" si="3"/>
        <v>秦开</v>
      </c>
      <c r="M113" t="str">
        <f>IF(J113=1,INDEX($C$2:C153,I113),"")</f>
        <v>乘胜追击</v>
      </c>
    </row>
    <row r="114" spans="9:13">
      <c r="I114">
        <f>COUNTIF($J$2:J114,1)</f>
        <v>38</v>
      </c>
      <c r="J114">
        <v>2</v>
      </c>
      <c r="K114" t="str">
        <f t="shared" ca="1" si="3"/>
        <v>勾践</v>
      </c>
      <c r="M114" t="str">
        <f>IF(J114=1,INDEX($C$2:C154,I114),"")</f>
        <v/>
      </c>
    </row>
    <row r="115" spans="9:13" hidden="1">
      <c r="I115">
        <f>COUNTIF($J$2:J115,1)</f>
        <v>38</v>
      </c>
      <c r="J115">
        <v>3</v>
      </c>
      <c r="K115">
        <f t="shared" ca="1" si="3"/>
        <v>0</v>
      </c>
      <c r="M115" t="str">
        <f>IF(J115=1,INDEX($C$2:C155,I115),"")</f>
        <v/>
      </c>
    </row>
    <row r="116" spans="9:13">
      <c r="I116">
        <f>COUNTIF($J$2:J116,1)</f>
        <v>39</v>
      </c>
      <c r="J116">
        <v>1</v>
      </c>
      <c r="K116" t="str">
        <f t="shared" ca="1" si="3"/>
        <v>扁鹊</v>
      </c>
      <c r="M116" t="str">
        <f>IF(J116=1,INDEX($C$2:C156,I116),"")</f>
        <v>颠沛流离</v>
      </c>
    </row>
    <row r="117" spans="9:13">
      <c r="I117">
        <f>COUNTIF($J$2:J117,1)</f>
        <v>39</v>
      </c>
      <c r="J117">
        <v>2</v>
      </c>
      <c r="K117" t="str">
        <f t="shared" ca="1" si="3"/>
        <v>褒姒</v>
      </c>
      <c r="M117" t="str">
        <f>IF(J117=1,INDEX($C$2:C157,I117),"")</f>
        <v/>
      </c>
    </row>
    <row r="118" spans="9:13" hidden="1">
      <c r="I118">
        <f>COUNTIF($J$2:J118,1)</f>
        <v>39</v>
      </c>
      <c r="J118">
        <v>3</v>
      </c>
      <c r="K118">
        <f t="shared" ca="1" si="3"/>
        <v>0</v>
      </c>
      <c r="M118" t="str">
        <f>IF(J118=1,INDEX($C$2:C158,I118),"")</f>
        <v/>
      </c>
    </row>
    <row r="119" spans="9:13">
      <c r="I119">
        <f>COUNTIF($J$2:J119,1)</f>
        <v>40</v>
      </c>
      <c r="J119">
        <v>1</v>
      </c>
      <c r="K119" t="str">
        <f t="shared" ca="1" si="3"/>
        <v>樗里疾</v>
      </c>
      <c r="M119" t="str">
        <f>IF(J119=1,INDEX($C$2:C159,I119),"")</f>
        <v>建功立业</v>
      </c>
    </row>
    <row r="120" spans="9:13">
      <c r="I120">
        <f>COUNTIF($J$2:J120,1)</f>
        <v>40</v>
      </c>
      <c r="J120">
        <v>2</v>
      </c>
      <c r="K120" t="str">
        <f t="shared" ca="1" si="3"/>
        <v>暴鸢</v>
      </c>
      <c r="M120" t="str">
        <f>IF(J120=1,INDEX($C$2:C160,I120),"")</f>
        <v/>
      </c>
    </row>
    <row r="121" spans="9:13" hidden="1">
      <c r="I121">
        <f>COUNTIF($J$2:J121,1)</f>
        <v>40</v>
      </c>
      <c r="J121">
        <v>3</v>
      </c>
      <c r="K121">
        <f t="shared" ca="1" si="3"/>
        <v>0</v>
      </c>
      <c r="M121" t="str">
        <f>IF(J121=1,INDEX($C$2:C161,I121),"")</f>
        <v/>
      </c>
    </row>
    <row r="122" spans="9:13">
      <c r="I122">
        <f>COUNTIF($J$2:J122,1)</f>
        <v>41</v>
      </c>
      <c r="J122">
        <v>1</v>
      </c>
      <c r="K122" t="str">
        <f t="shared" ca="1" si="3"/>
        <v>韩非子</v>
      </c>
      <c r="M122" t="str">
        <f>IF(J122=1,INDEX($C$2:C162,I122),"")</f>
        <v>身不由己</v>
      </c>
    </row>
    <row r="123" spans="9:13">
      <c r="I123">
        <f>COUNTIF($J$2:J123,1)</f>
        <v>41</v>
      </c>
      <c r="J123">
        <v>2</v>
      </c>
      <c r="K123" t="str">
        <f t="shared" ca="1" si="3"/>
        <v>屈原</v>
      </c>
      <c r="M123" t="str">
        <f>IF(J123=1,INDEX($C$2:C163,I123),"")</f>
        <v/>
      </c>
    </row>
    <row r="124" spans="9:13" hidden="1">
      <c r="I124">
        <f>COUNTIF($J$2:J124,1)</f>
        <v>41</v>
      </c>
      <c r="J124">
        <v>3</v>
      </c>
      <c r="K124">
        <f t="shared" ca="1" si="3"/>
        <v>0</v>
      </c>
      <c r="M124" t="str">
        <f>IF(J124=1,INDEX($C$2:C164,I124),"")</f>
        <v/>
      </c>
    </row>
  </sheetData>
  <autoFilter ref="I1:M124" xr:uid="{00000000-0009-0000-0000-000004000000}">
    <filterColumn colId="2">
      <filters>
        <filter val="褒姒"/>
        <filter val="暴鸢"/>
        <filter val="扁鹊"/>
        <filter val="伯乐"/>
        <filter val="樗里疾"/>
        <filter val="樗里祭"/>
        <filter val="楚庄王"/>
        <filter val="春申君"/>
        <filter val="勾践"/>
        <filter val="韩非子"/>
        <filter val="荆轲"/>
        <filter val="嫪毐"/>
        <filter val="乐毅"/>
        <filter val="骊姬"/>
        <filter val="吕不韦"/>
        <filter val="莫邪"/>
        <filter val="聂荌"/>
        <filter val="欧冶子"/>
        <filter val="庞涓"/>
        <filter val="秦开"/>
        <filter val="屈原"/>
        <filter val="申不害"/>
        <filter val="司马错"/>
        <filter val="司马穰苴"/>
        <filter val="苏秦"/>
        <filter val="孙膑"/>
        <filter val="孙叔敖"/>
        <filter val="田单"/>
        <filter val="田忌"/>
        <filter val="魏无忌"/>
        <filter val="伍子胥"/>
        <filter val="西门豹"/>
        <filter val="西施"/>
        <filter val="项燕"/>
        <filter val="义渠骇"/>
        <filter val="赢荡"/>
        <filter val="钟无艳"/>
        <filter val="朱亥"/>
        <filter val="专诸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羁绊简述</vt:lpstr>
      <vt:lpstr>羁绊设计</vt:lpstr>
      <vt:lpstr>羁绊解锁统计</vt:lpstr>
      <vt:lpstr>分列处理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泠月</dc:creator>
  <cp:lastModifiedBy>admin</cp:lastModifiedBy>
  <dcterms:created xsi:type="dcterms:W3CDTF">2019-07-17T07:02:14Z</dcterms:created>
  <dcterms:modified xsi:type="dcterms:W3CDTF">2023-05-17T07:54:34Z</dcterms:modified>
</cp:coreProperties>
</file>